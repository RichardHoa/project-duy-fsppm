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fuveduvn-my.sharepoint.com/personal/mpp26_duypham_student_fulbright_edu_vn/Documents/FSMPP/18. Thesis/Final Data/"/>
    </mc:Choice>
  </mc:AlternateContent>
  <xr:revisionPtr revIDLastSave="2276" documentId="13_ncr:1_{8DA829A7-D392-410C-B92C-4D9E531A3674}" xr6:coauthVersionLast="47" xr6:coauthVersionMax="47" xr10:uidLastSave="{EAE7CCB3-3685-443A-87DC-82E86D955D08}"/>
  <bookViews>
    <workbookView xWindow="-98" yWindow="-98" windowWidth="21795" windowHeight="13875" firstSheet="3" activeTab="4" xr2:uid="{00000000-000D-0000-FFFF-FFFF00000000}"/>
  </bookViews>
  <sheets>
    <sheet name="step3_validation" sheetId="18" r:id="rId1"/>
    <sheet name="survey_responses" sheetId="16" r:id="rId2"/>
    <sheet name="step3_combined_data" sheetId="12" r:id="rId3"/>
    <sheet name="AIx" sheetId="21" r:id="rId4"/>
    <sheet name="Insights" sheetId="22" r:id="rId5"/>
    <sheet name="EMD" sheetId="19" r:id="rId6"/>
    <sheet name="SUMMARY_REPORT" sheetId="10" r:id="rId7"/>
    <sheet name="CM_REPORT" sheetId="11" r:id="rId8"/>
    <sheet name="CM_ENF1" sheetId="1" r:id="rId9"/>
    <sheet name="CM_ENF2" sheetId="2" r:id="rId10"/>
    <sheet name="CM_FAC1" sheetId="3" r:id="rId11"/>
    <sheet name="CM_FAC2" sheetId="4" r:id="rId12"/>
    <sheet name="CM_TRU1" sheetId="5" r:id="rId13"/>
    <sheet name="CM_TRU2" sheetId="6" r:id="rId14"/>
    <sheet name="CM_TRU3" sheetId="7" r:id="rId15"/>
    <sheet name="CM_TRU4" sheetId="8" r:id="rId16"/>
    <sheet name="CM_OUT1" sheetId="9" r:id="rId17"/>
  </sheets>
  <definedNames>
    <definedName name="ExternalData_1" localSheetId="1" hidden="1">survey_responses!$A$1:$Q$404</definedName>
    <definedName name="ExternalData_3" localSheetId="0" hidden="1">step3_validation!$A$1:$AS$404</definedName>
  </definedNames>
  <calcPr calcId="191029"/>
  <pivotCaches>
    <pivotCache cacheId="26"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22" l="1"/>
  <c r="C71" i="22"/>
  <c r="B71" i="22"/>
  <c r="D70" i="22"/>
  <c r="C70" i="22"/>
  <c r="B70" i="22"/>
  <c r="D69" i="22"/>
  <c r="C69" i="22"/>
  <c r="B69" i="22"/>
  <c r="D68" i="22"/>
  <c r="C68" i="22"/>
  <c r="B68" i="22"/>
  <c r="D67" i="22"/>
  <c r="C67" i="22"/>
  <c r="B67" i="22"/>
  <c r="D66" i="22"/>
  <c r="C66" i="22"/>
  <c r="B66" i="22"/>
  <c r="D65" i="22"/>
  <c r="E65" i="22" s="1"/>
  <c r="C65" i="22"/>
  <c r="B65" i="22"/>
  <c r="D64" i="22"/>
  <c r="C64" i="22"/>
  <c r="B64" i="22"/>
  <c r="E64" i="22" s="1"/>
  <c r="H64" i="22" s="1"/>
  <c r="D61" i="22"/>
  <c r="C61" i="22"/>
  <c r="B61" i="22"/>
  <c r="D60" i="22"/>
  <c r="C60" i="22"/>
  <c r="B60" i="22"/>
  <c r="D59" i="22"/>
  <c r="C59" i="22"/>
  <c r="B59" i="22"/>
  <c r="D58" i="22"/>
  <c r="C58" i="22"/>
  <c r="B58" i="22"/>
  <c r="D57" i="22"/>
  <c r="C57" i="22"/>
  <c r="B57" i="22"/>
  <c r="D56" i="22"/>
  <c r="C56" i="22"/>
  <c r="B56" i="22"/>
  <c r="D55" i="22"/>
  <c r="C55" i="22"/>
  <c r="B55" i="22"/>
  <c r="D54" i="22"/>
  <c r="C54" i="22"/>
  <c r="B54" i="22"/>
  <c r="D79" i="22"/>
  <c r="C79" i="22"/>
  <c r="B79" i="22"/>
  <c r="D78" i="22"/>
  <c r="C78" i="22"/>
  <c r="B78" i="22"/>
  <c r="D77" i="22"/>
  <c r="C77" i="22"/>
  <c r="B77" i="22"/>
  <c r="D76" i="22"/>
  <c r="C76" i="22"/>
  <c r="B76" i="22"/>
  <c r="D75" i="22"/>
  <c r="C75" i="22"/>
  <c r="B75" i="22"/>
  <c r="E75" i="22" s="1"/>
  <c r="H75" i="22" s="1"/>
  <c r="D74" i="22"/>
  <c r="C74" i="22"/>
  <c r="B74" i="22"/>
  <c r="D51" i="22"/>
  <c r="C51" i="22"/>
  <c r="B51" i="22"/>
  <c r="D50" i="22"/>
  <c r="C50" i="22"/>
  <c r="B50" i="22"/>
  <c r="D49" i="22"/>
  <c r="C49" i="22"/>
  <c r="B49" i="22"/>
  <c r="D48" i="22"/>
  <c r="C48" i="22"/>
  <c r="B48" i="22"/>
  <c r="D47" i="22"/>
  <c r="C47" i="22"/>
  <c r="B47" i="22"/>
  <c r="D46" i="22"/>
  <c r="C46" i="22"/>
  <c r="B46" i="22"/>
  <c r="D43" i="22"/>
  <c r="C43" i="22"/>
  <c r="B43" i="22"/>
  <c r="D42" i="22"/>
  <c r="C42" i="22"/>
  <c r="B42" i="22"/>
  <c r="D41" i="22"/>
  <c r="C41" i="22"/>
  <c r="B41" i="22"/>
  <c r="D40" i="22"/>
  <c r="C40" i="22"/>
  <c r="B40" i="22"/>
  <c r="D39" i="22"/>
  <c r="C39" i="22"/>
  <c r="B39" i="22"/>
  <c r="E39" i="22" s="1"/>
  <c r="H39" i="22" s="1"/>
  <c r="D38" i="22"/>
  <c r="C38" i="22"/>
  <c r="B38" i="22"/>
  <c r="D35" i="22"/>
  <c r="C35" i="22"/>
  <c r="B35" i="22"/>
  <c r="D34" i="22"/>
  <c r="C34" i="22"/>
  <c r="B34" i="22"/>
  <c r="D33" i="22"/>
  <c r="C33" i="22"/>
  <c r="B33" i="22"/>
  <c r="D32" i="22"/>
  <c r="C32" i="22"/>
  <c r="B32" i="22"/>
  <c r="D31" i="22"/>
  <c r="C31" i="22"/>
  <c r="B31" i="22"/>
  <c r="E31" i="22" s="1"/>
  <c r="D30" i="22"/>
  <c r="C30" i="22"/>
  <c r="B30" i="22"/>
  <c r="D27" i="22"/>
  <c r="C27" i="22"/>
  <c r="B27" i="22"/>
  <c r="D26" i="22"/>
  <c r="C26" i="22"/>
  <c r="B26" i="22"/>
  <c r="D25" i="22"/>
  <c r="E25" i="22" s="1"/>
  <c r="H25" i="22" s="1"/>
  <c r="C25" i="22"/>
  <c r="B25" i="22"/>
  <c r="D24" i="22"/>
  <c r="C24" i="22"/>
  <c r="E24" i="22" s="1"/>
  <c r="B24" i="22"/>
  <c r="D23" i="22"/>
  <c r="C23" i="22"/>
  <c r="B23" i="22"/>
  <c r="D22" i="22"/>
  <c r="C22" i="22"/>
  <c r="B22" i="22"/>
  <c r="D19" i="22"/>
  <c r="C19" i="22"/>
  <c r="B19" i="22"/>
  <c r="D18" i="22"/>
  <c r="C18" i="22"/>
  <c r="B18" i="22"/>
  <c r="D17" i="22"/>
  <c r="C17" i="22"/>
  <c r="B17" i="22"/>
  <c r="D16" i="22"/>
  <c r="C16" i="22"/>
  <c r="B16" i="22"/>
  <c r="D15" i="22"/>
  <c r="C15" i="22"/>
  <c r="B15" i="22"/>
  <c r="D14" i="22"/>
  <c r="C14" i="22"/>
  <c r="B14" i="22"/>
  <c r="D11" i="22"/>
  <c r="C11" i="22"/>
  <c r="B11" i="22"/>
  <c r="D10" i="22"/>
  <c r="C10" i="22"/>
  <c r="B10" i="22"/>
  <c r="D7" i="22"/>
  <c r="C7" i="22"/>
  <c r="B7" i="22"/>
  <c r="D6" i="22"/>
  <c r="C6" i="22"/>
  <c r="B6" i="22"/>
  <c r="D3" i="22"/>
  <c r="C3" i="22"/>
  <c r="B3" i="22"/>
  <c r="D2" i="22"/>
  <c r="C2" i="22"/>
  <c r="B2" i="22"/>
  <c r="E76" i="22"/>
  <c r="E51" i="22"/>
  <c r="E50" i="22"/>
  <c r="H50" i="22" s="1"/>
  <c r="E40" i="22"/>
  <c r="E26" i="22"/>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44" i="21"/>
  <c r="BD45" i="21"/>
  <c r="BD46" i="21"/>
  <c r="BD47" i="21"/>
  <c r="BD48" i="21"/>
  <c r="BD49" i="21"/>
  <c r="BD50" i="21"/>
  <c r="BD51" i="21"/>
  <c r="BD52" i="21"/>
  <c r="BD53" i="21"/>
  <c r="BD54" i="21"/>
  <c r="BD55"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D87" i="21"/>
  <c r="BD88" i="21"/>
  <c r="BD89" i="21"/>
  <c r="BD90" i="21"/>
  <c r="BD91" i="21"/>
  <c r="BD92"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4" i="21"/>
  <c r="BD155" i="21"/>
  <c r="BD156" i="21"/>
  <c r="BD157" i="21"/>
  <c r="BD158" i="21"/>
  <c r="BD159" i="21"/>
  <c r="BD160" i="21"/>
  <c r="BD161" i="21"/>
  <c r="BD162" i="21"/>
  <c r="BD163" i="21"/>
  <c r="BD164" i="21"/>
  <c r="BD165" i="21"/>
  <c r="BD166" i="21"/>
  <c r="BD167" i="21"/>
  <c r="BD168" i="21"/>
  <c r="BD169" i="21"/>
  <c r="BD170" i="21"/>
  <c r="BD171" i="21"/>
  <c r="BD172" i="21"/>
  <c r="BD173" i="21"/>
  <c r="BD174" i="21"/>
  <c r="BD175" i="21"/>
  <c r="BD176" i="21"/>
  <c r="BD177" i="21"/>
  <c r="BD178" i="21"/>
  <c r="BD179" i="21"/>
  <c r="BD180" i="21"/>
  <c r="BD181" i="21"/>
  <c r="BD182" i="21"/>
  <c r="BD183" i="21"/>
  <c r="BD184" i="21"/>
  <c r="BD185" i="21"/>
  <c r="BD186" i="21"/>
  <c r="BD187" i="21"/>
  <c r="BD188" i="21"/>
  <c r="BD189" i="21"/>
  <c r="BD190" i="21"/>
  <c r="BD191" i="21"/>
  <c r="BD192" i="21"/>
  <c r="BD193" i="21"/>
  <c r="BD194" i="21"/>
  <c r="BD195" i="21"/>
  <c r="BD196" i="21"/>
  <c r="BD197" i="21"/>
  <c r="BD198" i="21"/>
  <c r="BD199" i="21"/>
  <c r="BD200" i="21"/>
  <c r="BD201" i="21"/>
  <c r="BD202" i="21"/>
  <c r="BD203" i="21"/>
  <c r="BD204" i="21"/>
  <c r="BD205" i="21"/>
  <c r="BD206" i="21"/>
  <c r="BD207" i="21"/>
  <c r="BD208" i="21"/>
  <c r="BD209" i="21"/>
  <c r="BD210" i="21"/>
  <c r="BD211" i="21"/>
  <c r="BD212" i="21"/>
  <c r="BD213" i="21"/>
  <c r="BD214" i="21"/>
  <c r="BD215" i="21"/>
  <c r="BD216" i="21"/>
  <c r="BD217" i="21"/>
  <c r="BD218" i="21"/>
  <c r="BD219" i="21"/>
  <c r="BD220" i="21"/>
  <c r="BD221" i="21"/>
  <c r="BD222" i="21"/>
  <c r="BD223" i="21"/>
  <c r="BD224" i="21"/>
  <c r="BD225" i="21"/>
  <c r="BD226" i="21"/>
  <c r="BD227" i="21"/>
  <c r="BD228" i="21"/>
  <c r="BD229" i="21"/>
  <c r="BD230" i="21"/>
  <c r="BD231" i="21"/>
  <c r="BD232" i="21"/>
  <c r="BD233" i="21"/>
  <c r="BD234" i="21"/>
  <c r="BD235" i="21"/>
  <c r="BD236" i="21"/>
  <c r="BD237" i="21"/>
  <c r="BD238" i="21"/>
  <c r="BD239" i="21"/>
  <c r="BD240" i="21"/>
  <c r="BD241" i="21"/>
  <c r="BD242" i="21"/>
  <c r="BD243" i="21"/>
  <c r="BD244" i="21"/>
  <c r="BD245" i="21"/>
  <c r="BD246" i="21"/>
  <c r="BD247" i="21"/>
  <c r="BD248" i="21"/>
  <c r="BD249" i="21"/>
  <c r="BD250" i="21"/>
  <c r="BD251" i="21"/>
  <c r="BD252" i="21"/>
  <c r="BD253" i="21"/>
  <c r="BD254" i="21"/>
  <c r="BD255" i="21"/>
  <c r="BD256" i="21"/>
  <c r="BD257" i="21"/>
  <c r="BD258" i="21"/>
  <c r="BD259" i="21"/>
  <c r="BD260" i="21"/>
  <c r="BD261" i="21"/>
  <c r="BD262" i="21"/>
  <c r="BD263" i="21"/>
  <c r="BD264" i="21"/>
  <c r="BD265" i="21"/>
  <c r="BD266" i="21"/>
  <c r="BD267" i="21"/>
  <c r="BD268" i="21"/>
  <c r="BD269" i="21"/>
  <c r="BD270" i="21"/>
  <c r="BD271" i="21"/>
  <c r="BD272" i="21"/>
  <c r="BD273" i="21"/>
  <c r="BD274" i="21"/>
  <c r="BD275" i="21"/>
  <c r="BD276" i="21"/>
  <c r="BD277" i="21"/>
  <c r="BD278" i="21"/>
  <c r="BD279" i="21"/>
  <c r="BD280" i="21"/>
  <c r="BD281" i="21"/>
  <c r="BD282" i="21"/>
  <c r="BD283" i="21"/>
  <c r="BD284" i="21"/>
  <c r="BD285" i="21"/>
  <c r="BD286" i="21"/>
  <c r="BD287" i="21"/>
  <c r="BD288" i="21"/>
  <c r="BD289" i="21"/>
  <c r="BD290" i="21"/>
  <c r="BD291" i="21"/>
  <c r="BD292" i="21"/>
  <c r="BD293" i="21"/>
  <c r="BD294" i="21"/>
  <c r="BD295" i="21"/>
  <c r="BD296" i="21"/>
  <c r="BD297" i="21"/>
  <c r="BD298" i="21"/>
  <c r="BD299" i="21"/>
  <c r="BD300" i="21"/>
  <c r="BD301" i="21"/>
  <c r="BD302" i="21"/>
  <c r="BD303" i="21"/>
  <c r="BD304" i="21"/>
  <c r="BD305" i="21"/>
  <c r="BD306" i="21"/>
  <c r="BD307" i="21"/>
  <c r="BD308" i="21"/>
  <c r="BD309" i="21"/>
  <c r="BD310" i="21"/>
  <c r="BD311" i="21"/>
  <c r="BD312" i="21"/>
  <c r="BD313" i="21"/>
  <c r="BD314" i="21"/>
  <c r="BD315" i="21"/>
  <c r="BD316" i="21"/>
  <c r="BD317" i="21"/>
  <c r="BD318" i="21"/>
  <c r="BD319" i="21"/>
  <c r="BD320" i="21"/>
  <c r="BD321" i="21"/>
  <c r="BD322" i="21"/>
  <c r="BD323" i="21"/>
  <c r="BD324" i="21"/>
  <c r="BD325" i="21"/>
  <c r="BD326" i="21"/>
  <c r="BD327" i="21"/>
  <c r="BD328" i="21"/>
  <c r="BD329" i="21"/>
  <c r="BD330" i="21"/>
  <c r="BD331" i="21"/>
  <c r="BD332" i="21"/>
  <c r="BD333" i="21"/>
  <c r="BD334" i="21"/>
  <c r="BD335" i="21"/>
  <c r="BD336" i="21"/>
  <c r="BD337" i="21"/>
  <c r="BD338" i="21"/>
  <c r="BD339" i="21"/>
  <c r="BD340" i="21"/>
  <c r="BD341" i="21"/>
  <c r="BD342" i="21"/>
  <c r="BD343" i="21"/>
  <c r="BD344" i="21"/>
  <c r="BD345" i="21"/>
  <c r="BD346" i="21"/>
  <c r="BD347" i="21"/>
  <c r="BD348" i="21"/>
  <c r="BD349" i="21"/>
  <c r="BD350" i="21"/>
  <c r="BD351" i="21"/>
  <c r="BD352" i="21"/>
  <c r="BD353" i="21"/>
  <c r="BD354" i="21"/>
  <c r="BD355" i="21"/>
  <c r="BD356" i="21"/>
  <c r="BD357" i="21"/>
  <c r="BD358" i="21"/>
  <c r="BD359" i="21"/>
  <c r="BD360" i="21"/>
  <c r="BD361" i="21"/>
  <c r="BD362" i="21"/>
  <c r="BD363" i="21"/>
  <c r="BD364" i="21"/>
  <c r="BD365" i="21"/>
  <c r="BD366" i="21"/>
  <c r="BD367" i="21"/>
  <c r="BD368" i="21"/>
  <c r="BD369" i="21"/>
  <c r="BD370" i="21"/>
  <c r="BD371" i="21"/>
  <c r="BD372" i="21"/>
  <c r="BD373" i="21"/>
  <c r="BD374" i="21"/>
  <c r="BD375" i="21"/>
  <c r="BD376" i="21"/>
  <c r="BD377" i="21"/>
  <c r="BD378" i="21"/>
  <c r="BD379" i="21"/>
  <c r="BD380" i="21"/>
  <c r="BD381" i="21"/>
  <c r="BD382" i="21"/>
  <c r="BD383" i="21"/>
  <c r="BD384" i="21"/>
  <c r="BD385" i="21"/>
  <c r="BD386" i="21"/>
  <c r="BD387" i="21"/>
  <c r="BD388" i="21"/>
  <c r="BD389" i="21"/>
  <c r="BD390" i="21"/>
  <c r="BD391" i="21"/>
  <c r="BD392" i="21"/>
  <c r="BD393" i="21"/>
  <c r="BD394" i="21"/>
  <c r="BD395" i="21"/>
  <c r="BD396" i="21"/>
  <c r="BD397" i="21"/>
  <c r="BD398" i="21"/>
  <c r="BD399" i="21"/>
  <c r="BD400" i="21"/>
  <c r="BD401" i="21"/>
  <c r="BD402" i="21"/>
  <c r="BD403" i="21"/>
  <c r="BD404" i="21"/>
  <c r="BD2" i="2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C44" i="21"/>
  <c r="BC45" i="21"/>
  <c r="BC46" i="21"/>
  <c r="BC47" i="21"/>
  <c r="BC48" i="21"/>
  <c r="BC49" i="21"/>
  <c r="BC50" i="21"/>
  <c r="BC51" i="21"/>
  <c r="BC52" i="21"/>
  <c r="BC53" i="21"/>
  <c r="BC54" i="21"/>
  <c r="BC55" i="21"/>
  <c r="BC56" i="21"/>
  <c r="BC57" i="21"/>
  <c r="BC58" i="21"/>
  <c r="BC59" i="21"/>
  <c r="BC60" i="21"/>
  <c r="BC61" i="21"/>
  <c r="BC62" i="21"/>
  <c r="BC63" i="21"/>
  <c r="BC64" i="21"/>
  <c r="BC65" i="21"/>
  <c r="BC66" i="21"/>
  <c r="BC67" i="21"/>
  <c r="BC68" i="21"/>
  <c r="BC69" i="21"/>
  <c r="BC70" i="21"/>
  <c r="BC71" i="21"/>
  <c r="BC72" i="21"/>
  <c r="BC73" i="21"/>
  <c r="BC74" i="21"/>
  <c r="BC75" i="21"/>
  <c r="BC76" i="21"/>
  <c r="BC77" i="21"/>
  <c r="BC78" i="21"/>
  <c r="BC79" i="21"/>
  <c r="BC80" i="21"/>
  <c r="BC81" i="21"/>
  <c r="BC82" i="21"/>
  <c r="BC83" i="21"/>
  <c r="BC84" i="21"/>
  <c r="BC85" i="21"/>
  <c r="BC86" i="21"/>
  <c r="BC87" i="21"/>
  <c r="BC88" i="21"/>
  <c r="BC89" i="21"/>
  <c r="BC90" i="21"/>
  <c r="BC91" i="21"/>
  <c r="BC92" i="21"/>
  <c r="BC93" i="21"/>
  <c r="BC94" i="21"/>
  <c r="BC95" i="21"/>
  <c r="BC96" i="21"/>
  <c r="BC97" i="21"/>
  <c r="BC98" i="21"/>
  <c r="BC99" i="21"/>
  <c r="BC100" i="21"/>
  <c r="BC101" i="21"/>
  <c r="BC102" i="21"/>
  <c r="BC103" i="21"/>
  <c r="BC104" i="21"/>
  <c r="BC105" i="21"/>
  <c r="BC106" i="21"/>
  <c r="BC107" i="21"/>
  <c r="BC108" i="21"/>
  <c r="BC109" i="21"/>
  <c r="BC110" i="21"/>
  <c r="BC111" i="21"/>
  <c r="BC112" i="21"/>
  <c r="BC113" i="21"/>
  <c r="BC114" i="21"/>
  <c r="BC115" i="21"/>
  <c r="BC116" i="21"/>
  <c r="BC117" i="21"/>
  <c r="BC118" i="21"/>
  <c r="BC119" i="21"/>
  <c r="BC120" i="21"/>
  <c r="BC121" i="21"/>
  <c r="BC122" i="21"/>
  <c r="BC123" i="21"/>
  <c r="BC124" i="21"/>
  <c r="BC125" i="21"/>
  <c r="BC126" i="21"/>
  <c r="BC127" i="21"/>
  <c r="BC128" i="21"/>
  <c r="BC129" i="21"/>
  <c r="BC130" i="21"/>
  <c r="BC131" i="21"/>
  <c r="BC132" i="21"/>
  <c r="BC133" i="21"/>
  <c r="BC134" i="21"/>
  <c r="BC135" i="21"/>
  <c r="BC136" i="21"/>
  <c r="BC137" i="21"/>
  <c r="BC138" i="21"/>
  <c r="BC139" i="21"/>
  <c r="BC140" i="21"/>
  <c r="BC141" i="21"/>
  <c r="BC142" i="21"/>
  <c r="BC143" i="21"/>
  <c r="BC144" i="21"/>
  <c r="BC145" i="21"/>
  <c r="BC146" i="21"/>
  <c r="BC147" i="21"/>
  <c r="BC148" i="21"/>
  <c r="BC149" i="21"/>
  <c r="BC150" i="21"/>
  <c r="BC151" i="21"/>
  <c r="BC152" i="21"/>
  <c r="BC153" i="21"/>
  <c r="BC154" i="21"/>
  <c r="BC155" i="21"/>
  <c r="BC156" i="21"/>
  <c r="BC157" i="21"/>
  <c r="BC158" i="21"/>
  <c r="BC159" i="21"/>
  <c r="BC160" i="21"/>
  <c r="BC161" i="21"/>
  <c r="BC162" i="21"/>
  <c r="BC163" i="21"/>
  <c r="BC164" i="21"/>
  <c r="BC165" i="21"/>
  <c r="BC166" i="21"/>
  <c r="BC167" i="21"/>
  <c r="BC168" i="21"/>
  <c r="BC169" i="21"/>
  <c r="BC170" i="21"/>
  <c r="BC171" i="21"/>
  <c r="BC172" i="21"/>
  <c r="BC173" i="21"/>
  <c r="BC174" i="21"/>
  <c r="BC175" i="21"/>
  <c r="BC176" i="21"/>
  <c r="BC177" i="21"/>
  <c r="BC178" i="21"/>
  <c r="BC179" i="21"/>
  <c r="BC180" i="21"/>
  <c r="BC181" i="21"/>
  <c r="BC182" i="21"/>
  <c r="BC183" i="21"/>
  <c r="BC184" i="21"/>
  <c r="BC185" i="21"/>
  <c r="BC186" i="21"/>
  <c r="BC187" i="21"/>
  <c r="BC188" i="21"/>
  <c r="BC189" i="21"/>
  <c r="BC190" i="21"/>
  <c r="BC191" i="21"/>
  <c r="BC192" i="21"/>
  <c r="BC193" i="21"/>
  <c r="BC194" i="21"/>
  <c r="BC195" i="21"/>
  <c r="BC196" i="21"/>
  <c r="BC197" i="21"/>
  <c r="BC198" i="21"/>
  <c r="BC199" i="21"/>
  <c r="BC200" i="21"/>
  <c r="BC201" i="21"/>
  <c r="BC202" i="21"/>
  <c r="BC203" i="21"/>
  <c r="BC204" i="21"/>
  <c r="BC205" i="21"/>
  <c r="BC206" i="21"/>
  <c r="BC207" i="21"/>
  <c r="BC208" i="21"/>
  <c r="BC209" i="21"/>
  <c r="BC210" i="21"/>
  <c r="BC211" i="21"/>
  <c r="BC212" i="21"/>
  <c r="BC213" i="21"/>
  <c r="BC214" i="21"/>
  <c r="BC215" i="21"/>
  <c r="BC216" i="21"/>
  <c r="BC217" i="21"/>
  <c r="BC218" i="21"/>
  <c r="BC219" i="21"/>
  <c r="BC220" i="21"/>
  <c r="BC221" i="21"/>
  <c r="BC222" i="21"/>
  <c r="BC223" i="21"/>
  <c r="BC224" i="21"/>
  <c r="BC225" i="21"/>
  <c r="BC226" i="21"/>
  <c r="BC227" i="21"/>
  <c r="BC228" i="21"/>
  <c r="BC229" i="21"/>
  <c r="BC230" i="21"/>
  <c r="BC231" i="21"/>
  <c r="BC232" i="21"/>
  <c r="BC233" i="21"/>
  <c r="BC234" i="21"/>
  <c r="BC235" i="21"/>
  <c r="BC236" i="21"/>
  <c r="BC237" i="21"/>
  <c r="BC238" i="21"/>
  <c r="BC239" i="21"/>
  <c r="BC240" i="21"/>
  <c r="BC241" i="21"/>
  <c r="BC242" i="21"/>
  <c r="BC243" i="21"/>
  <c r="BC244" i="21"/>
  <c r="BC245" i="21"/>
  <c r="BC246" i="21"/>
  <c r="BC247" i="21"/>
  <c r="BC248" i="21"/>
  <c r="BC249" i="21"/>
  <c r="BC250" i="21"/>
  <c r="BC251" i="21"/>
  <c r="BC252" i="21"/>
  <c r="BC253" i="21"/>
  <c r="BC254" i="21"/>
  <c r="BC255" i="21"/>
  <c r="BC256" i="21"/>
  <c r="BC257" i="21"/>
  <c r="BC258" i="21"/>
  <c r="BC259" i="21"/>
  <c r="BC260" i="21"/>
  <c r="BC261" i="21"/>
  <c r="BC262" i="21"/>
  <c r="BC263" i="21"/>
  <c r="BC264" i="21"/>
  <c r="BC265" i="21"/>
  <c r="BC266" i="21"/>
  <c r="BC267" i="21"/>
  <c r="BC268" i="21"/>
  <c r="BC269" i="21"/>
  <c r="BC270" i="21"/>
  <c r="BC271" i="21"/>
  <c r="BC272" i="21"/>
  <c r="BC273" i="21"/>
  <c r="BC274" i="21"/>
  <c r="BC275" i="21"/>
  <c r="BC276" i="21"/>
  <c r="BC277" i="21"/>
  <c r="BC278" i="21"/>
  <c r="BC279" i="21"/>
  <c r="BC280" i="21"/>
  <c r="BC281" i="21"/>
  <c r="BC282" i="21"/>
  <c r="BC283" i="21"/>
  <c r="BC284" i="21"/>
  <c r="BC285" i="21"/>
  <c r="BC286" i="21"/>
  <c r="BC287" i="21"/>
  <c r="BC288" i="21"/>
  <c r="BC289" i="21"/>
  <c r="BC290" i="21"/>
  <c r="BC291" i="21"/>
  <c r="BC292" i="21"/>
  <c r="BC293" i="21"/>
  <c r="BC294" i="21"/>
  <c r="BC295" i="21"/>
  <c r="BC296" i="21"/>
  <c r="BC297" i="21"/>
  <c r="BC298" i="21"/>
  <c r="BC299" i="21"/>
  <c r="BC300" i="21"/>
  <c r="BC301" i="21"/>
  <c r="BC302" i="21"/>
  <c r="BC303" i="21"/>
  <c r="BC304" i="21"/>
  <c r="BC305" i="21"/>
  <c r="BC306" i="21"/>
  <c r="BC307" i="21"/>
  <c r="BC308" i="21"/>
  <c r="BC309" i="21"/>
  <c r="BC310" i="21"/>
  <c r="BC311" i="21"/>
  <c r="BC312" i="21"/>
  <c r="BC313" i="21"/>
  <c r="BC314" i="21"/>
  <c r="BC315" i="21"/>
  <c r="BC316" i="21"/>
  <c r="BC317" i="21"/>
  <c r="BC318" i="21"/>
  <c r="BC319" i="21"/>
  <c r="BC320" i="21"/>
  <c r="BC321" i="21"/>
  <c r="BC322" i="21"/>
  <c r="BC323" i="21"/>
  <c r="BC324" i="21"/>
  <c r="BC325" i="21"/>
  <c r="BC326" i="21"/>
  <c r="BC327" i="21"/>
  <c r="BC328" i="21"/>
  <c r="BC329" i="21"/>
  <c r="BC330" i="21"/>
  <c r="BC331" i="21"/>
  <c r="BC332" i="21"/>
  <c r="BC333" i="21"/>
  <c r="BC334" i="21"/>
  <c r="BC335" i="21"/>
  <c r="BC336" i="21"/>
  <c r="BC337" i="21"/>
  <c r="BC338" i="21"/>
  <c r="BC339" i="21"/>
  <c r="BC340" i="21"/>
  <c r="BC341" i="21"/>
  <c r="BC342" i="21"/>
  <c r="BC343" i="21"/>
  <c r="BC344" i="21"/>
  <c r="BC345" i="21"/>
  <c r="BC346" i="21"/>
  <c r="BC347" i="21"/>
  <c r="BC348" i="21"/>
  <c r="BC349" i="21"/>
  <c r="BC350" i="21"/>
  <c r="BC351" i="21"/>
  <c r="BC352" i="21"/>
  <c r="BC353" i="21"/>
  <c r="BC354" i="21"/>
  <c r="BC355" i="21"/>
  <c r="BC356" i="21"/>
  <c r="BC357" i="21"/>
  <c r="BC358" i="21"/>
  <c r="BC359" i="21"/>
  <c r="BC360" i="21"/>
  <c r="BC361" i="21"/>
  <c r="BC362" i="21"/>
  <c r="BC363" i="21"/>
  <c r="BC364" i="21"/>
  <c r="BC365" i="21"/>
  <c r="BC366" i="21"/>
  <c r="BC367" i="21"/>
  <c r="BC368" i="21"/>
  <c r="BC369" i="21"/>
  <c r="BC370" i="21"/>
  <c r="BC371" i="21"/>
  <c r="BC372" i="21"/>
  <c r="BC373" i="21"/>
  <c r="BC374" i="21"/>
  <c r="BC375" i="21"/>
  <c r="BC376" i="21"/>
  <c r="BC377" i="21"/>
  <c r="BC378" i="21"/>
  <c r="BC379" i="21"/>
  <c r="BC380" i="21"/>
  <c r="BC381" i="21"/>
  <c r="BC382" i="21"/>
  <c r="BC383" i="21"/>
  <c r="BC384" i="21"/>
  <c r="BC385" i="21"/>
  <c r="BC386" i="21"/>
  <c r="BC387" i="21"/>
  <c r="BC388" i="21"/>
  <c r="BC389" i="21"/>
  <c r="BC390" i="21"/>
  <c r="BC391" i="21"/>
  <c r="BC392" i="21"/>
  <c r="BC393" i="21"/>
  <c r="BC394" i="21"/>
  <c r="BC395" i="21"/>
  <c r="BC396" i="21"/>
  <c r="BC397" i="21"/>
  <c r="BC398" i="21"/>
  <c r="BC399" i="21"/>
  <c r="BC400" i="21"/>
  <c r="BC401" i="21"/>
  <c r="BC402" i="21"/>
  <c r="BC403" i="21"/>
  <c r="BC404" i="21"/>
  <c r="BC2" i="21"/>
  <c r="E61" i="22" l="1"/>
  <c r="H61" i="22" s="1"/>
  <c r="E60" i="22"/>
  <c r="I60" i="22" s="1"/>
  <c r="E55" i="22"/>
  <c r="H55" i="22" s="1"/>
  <c r="E54" i="22"/>
  <c r="H54" i="22" s="1"/>
  <c r="E15" i="22"/>
  <c r="I15" i="22" s="1"/>
  <c r="E14" i="22"/>
  <c r="H14" i="22" s="1"/>
  <c r="E11" i="22"/>
  <c r="H11" i="22" s="1"/>
  <c r="E10" i="22"/>
  <c r="J61" i="22"/>
  <c r="E71" i="22"/>
  <c r="I71" i="22" s="1"/>
  <c r="I39" i="22"/>
  <c r="I75" i="22"/>
  <c r="J39" i="22"/>
  <c r="E7" i="22"/>
  <c r="H7" i="22" s="1"/>
  <c r="E30" i="22"/>
  <c r="H30" i="22" s="1"/>
  <c r="I50" i="22"/>
  <c r="I64" i="22"/>
  <c r="J50" i="22"/>
  <c r="J64" i="22"/>
  <c r="I25" i="22"/>
  <c r="H51" i="22"/>
  <c r="I51" i="22"/>
  <c r="I65" i="22"/>
  <c r="J65" i="22"/>
  <c r="H65" i="22"/>
  <c r="H15" i="22"/>
  <c r="H49" i="22"/>
  <c r="J51" i="22"/>
  <c r="H40" i="22"/>
  <c r="I40" i="22"/>
  <c r="H76" i="22"/>
  <c r="I76" i="22"/>
  <c r="J76" i="22"/>
  <c r="I26" i="22"/>
  <c r="H26" i="22"/>
  <c r="H24" i="22"/>
  <c r="I31" i="22"/>
  <c r="H31" i="22"/>
  <c r="J31" i="22"/>
  <c r="J40" i="22"/>
  <c r="I30" i="22"/>
  <c r="I24" i="22"/>
  <c r="J26" i="22"/>
  <c r="E3" i="22"/>
  <c r="I3" i="22" s="1"/>
  <c r="E6" i="22"/>
  <c r="E23" i="22"/>
  <c r="H23" i="22" s="1"/>
  <c r="E34" i="22"/>
  <c r="H34" i="22" s="1"/>
  <c r="E48" i="22"/>
  <c r="I48" i="22" s="1"/>
  <c r="E59" i="22"/>
  <c r="J59" i="22" s="1"/>
  <c r="E70" i="22"/>
  <c r="I70" i="22" s="1"/>
  <c r="E49" i="22"/>
  <c r="J49" i="22" s="1"/>
  <c r="E2" i="22"/>
  <c r="E19" i="22"/>
  <c r="J19" i="22" s="1"/>
  <c r="E22" i="22"/>
  <c r="I22" i="22" s="1"/>
  <c r="J25" i="22"/>
  <c r="E33" i="22"/>
  <c r="J33" i="22" s="1"/>
  <c r="E47" i="22"/>
  <c r="J47" i="22" s="1"/>
  <c r="E58" i="22"/>
  <c r="J58" i="22" s="1"/>
  <c r="E69" i="22"/>
  <c r="H69" i="22" s="1"/>
  <c r="J75" i="22"/>
  <c r="E35" i="22"/>
  <c r="J35" i="22" s="1"/>
  <c r="E38" i="22"/>
  <c r="J38" i="22" s="1"/>
  <c r="E74" i="22"/>
  <c r="H74" i="22" s="1"/>
  <c r="E18" i="22"/>
  <c r="J18" i="22" s="1"/>
  <c r="J24" i="22"/>
  <c r="E32" i="22"/>
  <c r="H32" i="22" s="1"/>
  <c r="E43" i="22"/>
  <c r="J43" i="22" s="1"/>
  <c r="E46" i="22"/>
  <c r="H46" i="22" s="1"/>
  <c r="E57" i="22"/>
  <c r="J57" i="22" s="1"/>
  <c r="E68" i="22"/>
  <c r="J68" i="22" s="1"/>
  <c r="E79" i="22"/>
  <c r="H79" i="22" s="1"/>
  <c r="E17" i="22"/>
  <c r="J17" i="22" s="1"/>
  <c r="E42" i="22"/>
  <c r="J42" i="22" s="1"/>
  <c r="E56" i="22"/>
  <c r="E67" i="22"/>
  <c r="J67" i="22" s="1"/>
  <c r="E78" i="22"/>
  <c r="J78" i="22" s="1"/>
  <c r="E16" i="22"/>
  <c r="H16" i="22" s="1"/>
  <c r="E27" i="22"/>
  <c r="H27" i="22" s="1"/>
  <c r="E41" i="22"/>
  <c r="H41" i="22" s="1"/>
  <c r="E66" i="22"/>
  <c r="E77" i="22"/>
  <c r="BH405" i="21"/>
  <c r="I67" i="22" l="1"/>
  <c r="I61" i="22"/>
  <c r="J60" i="22"/>
  <c r="H60" i="22"/>
  <c r="H57" i="22"/>
  <c r="I57" i="22"/>
  <c r="J55" i="22"/>
  <c r="I55" i="22"/>
  <c r="H59" i="22"/>
  <c r="I54" i="22"/>
  <c r="J54" i="22"/>
  <c r="E53" i="22"/>
  <c r="I78" i="22"/>
  <c r="I49" i="22"/>
  <c r="J30" i="22"/>
  <c r="J15" i="22"/>
  <c r="J14" i="22"/>
  <c r="I14" i="22"/>
  <c r="J11" i="22"/>
  <c r="I11" i="22"/>
  <c r="E9" i="22"/>
  <c r="J10" i="22"/>
  <c r="I10" i="22"/>
  <c r="H10" i="22"/>
  <c r="E5" i="22"/>
  <c r="I7" i="22"/>
  <c r="J7" i="22"/>
  <c r="I69" i="22"/>
  <c r="I47" i="22"/>
  <c r="I59" i="22"/>
  <c r="I6" i="22"/>
  <c r="H71" i="22"/>
  <c r="J71" i="22"/>
  <c r="H70" i="22"/>
  <c r="J23" i="22"/>
  <c r="I58" i="22"/>
  <c r="H3" i="22"/>
  <c r="J70" i="22"/>
  <c r="H58" i="22"/>
  <c r="I35" i="22"/>
  <c r="E21" i="22"/>
  <c r="J22" i="22"/>
  <c r="H19" i="22"/>
  <c r="I18" i="22"/>
  <c r="H35" i="22"/>
  <c r="J48" i="22"/>
  <c r="E73" i="22"/>
  <c r="I74" i="22"/>
  <c r="J66" i="22"/>
  <c r="I66" i="22"/>
  <c r="H66" i="22"/>
  <c r="J16" i="22"/>
  <c r="I16" i="22"/>
  <c r="E1" i="22"/>
  <c r="J2" i="22"/>
  <c r="H68" i="22"/>
  <c r="H48" i="22"/>
  <c r="I19" i="22"/>
  <c r="H38" i="22"/>
  <c r="J34" i="22"/>
  <c r="H18" i="22"/>
  <c r="I34" i="22"/>
  <c r="I42" i="22"/>
  <c r="H42" i="22"/>
  <c r="H17" i="22"/>
  <c r="E13" i="22"/>
  <c r="J3" i="22"/>
  <c r="I79" i="22"/>
  <c r="I43" i="22"/>
  <c r="I33" i="22"/>
  <c r="H33" i="22"/>
  <c r="I2" i="22"/>
  <c r="J6" i="22"/>
  <c r="J77" i="22"/>
  <c r="I77" i="22"/>
  <c r="J32" i="22"/>
  <c r="I32" i="22"/>
  <c r="J27" i="22"/>
  <c r="I27" i="22"/>
  <c r="E63" i="22"/>
  <c r="J79" i="22"/>
  <c r="E29" i="22"/>
  <c r="J69" i="22"/>
  <c r="I23" i="22"/>
  <c r="H78" i="22"/>
  <c r="H2" i="22"/>
  <c r="H22" i="22"/>
  <c r="J46" i="22"/>
  <c r="E45" i="22"/>
  <c r="I46" i="22"/>
  <c r="J74" i="22"/>
  <c r="E37" i="22"/>
  <c r="I41" i="22"/>
  <c r="J41" i="22"/>
  <c r="H43" i="22"/>
  <c r="I56" i="22"/>
  <c r="J56" i="22"/>
  <c r="H77" i="22"/>
  <c r="H67" i="22"/>
  <c r="I38" i="22"/>
  <c r="I17" i="22"/>
  <c r="H47" i="22"/>
  <c r="I68" i="22"/>
  <c r="H56" i="22"/>
  <c r="H6" i="22"/>
  <c r="AY3" i="21"/>
  <c r="AY4" i="21"/>
  <c r="AZ4" i="21" s="1"/>
  <c r="AY5" i="21"/>
  <c r="AZ5" i="21" s="1"/>
  <c r="AY6" i="21"/>
  <c r="AZ6" i="21" s="1"/>
  <c r="AY7" i="21"/>
  <c r="AZ7" i="21" s="1"/>
  <c r="AY8" i="21"/>
  <c r="AZ8" i="21" s="1"/>
  <c r="AY9" i="21"/>
  <c r="AZ9" i="21" s="1"/>
  <c r="AY10" i="21"/>
  <c r="AZ10" i="21" s="1"/>
  <c r="AY11" i="21"/>
  <c r="AY12" i="21"/>
  <c r="AZ12" i="21" s="1"/>
  <c r="AY13" i="21"/>
  <c r="AZ13" i="21" s="1"/>
  <c r="AY14" i="21"/>
  <c r="AZ14" i="21" s="1"/>
  <c r="AY15" i="21"/>
  <c r="AZ15" i="21" s="1"/>
  <c r="AY16" i="21"/>
  <c r="AZ16" i="21" s="1"/>
  <c r="AY17" i="21"/>
  <c r="AZ17" i="21" s="1"/>
  <c r="AY18" i="21"/>
  <c r="AZ18" i="21" s="1"/>
  <c r="AY19" i="21"/>
  <c r="AZ19" i="21" s="1"/>
  <c r="AY20" i="21"/>
  <c r="AZ20" i="21" s="1"/>
  <c r="AY21" i="21"/>
  <c r="AZ21" i="21" s="1"/>
  <c r="AY22" i="21"/>
  <c r="AZ22" i="21" s="1"/>
  <c r="AY23" i="21"/>
  <c r="AZ23" i="21" s="1"/>
  <c r="AY24" i="21"/>
  <c r="AZ24" i="21" s="1"/>
  <c r="AY25" i="21"/>
  <c r="AZ25" i="21" s="1"/>
  <c r="AY26" i="21"/>
  <c r="AZ26" i="21" s="1"/>
  <c r="AY27" i="21"/>
  <c r="AY28" i="21"/>
  <c r="AY29" i="21"/>
  <c r="AZ29" i="21" s="1"/>
  <c r="AY30" i="21"/>
  <c r="AZ30" i="21" s="1"/>
  <c r="AY31" i="21"/>
  <c r="AZ31" i="21" s="1"/>
  <c r="AY32" i="21"/>
  <c r="AZ32" i="21" s="1"/>
  <c r="AY33" i="21"/>
  <c r="AZ33" i="21" s="1"/>
  <c r="AY34" i="21"/>
  <c r="AZ34" i="21" s="1"/>
  <c r="AY35" i="21"/>
  <c r="AY36" i="21"/>
  <c r="AZ36" i="21" s="1"/>
  <c r="AY37" i="21"/>
  <c r="AZ37" i="21" s="1"/>
  <c r="AY38" i="21"/>
  <c r="AZ38" i="21" s="1"/>
  <c r="AY39" i="21"/>
  <c r="AZ39" i="21" s="1"/>
  <c r="AY40" i="21"/>
  <c r="AZ40" i="21" s="1"/>
  <c r="AY41" i="21"/>
  <c r="AZ41" i="21" s="1"/>
  <c r="AY42" i="21"/>
  <c r="AZ42" i="21" s="1"/>
  <c r="AY43" i="21"/>
  <c r="AZ43" i="21" s="1"/>
  <c r="AY44" i="21"/>
  <c r="AZ44" i="21" s="1"/>
  <c r="AY45" i="21"/>
  <c r="AZ45" i="21" s="1"/>
  <c r="AY46" i="21"/>
  <c r="AZ46" i="21" s="1"/>
  <c r="AY47" i="21"/>
  <c r="AY48" i="21"/>
  <c r="AZ48" i="21" s="1"/>
  <c r="AY49" i="21"/>
  <c r="AZ49" i="21" s="1"/>
  <c r="AY50" i="21"/>
  <c r="AZ50" i="21" s="1"/>
  <c r="AY51" i="21"/>
  <c r="AZ51" i="21" s="1"/>
  <c r="AY52" i="21"/>
  <c r="AZ52" i="21" s="1"/>
  <c r="AY53" i="21"/>
  <c r="AZ53" i="21" s="1"/>
  <c r="AY54" i="21"/>
  <c r="AZ54" i="21" s="1"/>
  <c r="AY55" i="21"/>
  <c r="AZ55" i="21" s="1"/>
  <c r="AY56" i="21"/>
  <c r="AZ56" i="21" s="1"/>
  <c r="AY57" i="21"/>
  <c r="AZ57" i="21" s="1"/>
  <c r="AY58" i="21"/>
  <c r="AZ58" i="21" s="1"/>
  <c r="AY59" i="21"/>
  <c r="AZ59" i="21" s="1"/>
  <c r="AY60" i="21"/>
  <c r="AZ60" i="21" s="1"/>
  <c r="AY61" i="21"/>
  <c r="AZ61" i="21" s="1"/>
  <c r="AY62" i="21"/>
  <c r="AZ62" i="21" s="1"/>
  <c r="AY63" i="21"/>
  <c r="AZ63" i="21" s="1"/>
  <c r="AY64" i="21"/>
  <c r="AZ64" i="21" s="1"/>
  <c r="AY65" i="21"/>
  <c r="AZ65" i="21" s="1"/>
  <c r="AY66" i="21"/>
  <c r="AZ66" i="21" s="1"/>
  <c r="AY67" i="21"/>
  <c r="AZ67" i="21" s="1"/>
  <c r="AY68" i="21"/>
  <c r="AZ68" i="21" s="1"/>
  <c r="AY69" i="21"/>
  <c r="AZ69" i="21" s="1"/>
  <c r="AY70" i="21"/>
  <c r="AZ70" i="21" s="1"/>
  <c r="AY71" i="21"/>
  <c r="AZ71" i="21" s="1"/>
  <c r="AY72" i="21"/>
  <c r="AZ72" i="21" s="1"/>
  <c r="AY73" i="21"/>
  <c r="AZ73" i="21" s="1"/>
  <c r="AY74" i="21"/>
  <c r="AZ74" i="21" s="1"/>
  <c r="AY75" i="21"/>
  <c r="AZ75" i="21" s="1"/>
  <c r="AY76" i="21"/>
  <c r="AZ76" i="21" s="1"/>
  <c r="AY77" i="21"/>
  <c r="AZ77" i="21" s="1"/>
  <c r="AY78" i="21"/>
  <c r="AZ78" i="21" s="1"/>
  <c r="AY79" i="21"/>
  <c r="AY80" i="21"/>
  <c r="AZ80" i="21" s="1"/>
  <c r="AY81" i="21"/>
  <c r="AZ81" i="21" s="1"/>
  <c r="AY82" i="21"/>
  <c r="AZ82" i="21" s="1"/>
  <c r="AY83" i="21"/>
  <c r="AY84" i="21"/>
  <c r="AZ84" i="21" s="1"/>
  <c r="AY85" i="21"/>
  <c r="AZ85" i="21" s="1"/>
  <c r="AY86" i="21"/>
  <c r="AZ86" i="21" s="1"/>
  <c r="AY87" i="21"/>
  <c r="AZ87" i="21" s="1"/>
  <c r="AY88" i="21"/>
  <c r="AZ88" i="21" s="1"/>
  <c r="AY89" i="21"/>
  <c r="AZ89" i="21" s="1"/>
  <c r="AY90" i="21"/>
  <c r="AZ90" i="21" s="1"/>
  <c r="AY91" i="21"/>
  <c r="AY92" i="21"/>
  <c r="AZ92" i="21" s="1"/>
  <c r="AY93" i="21"/>
  <c r="AZ93" i="21" s="1"/>
  <c r="AY94" i="21"/>
  <c r="AZ94" i="21" s="1"/>
  <c r="AY95" i="21"/>
  <c r="AY96" i="21"/>
  <c r="AZ96" i="21" s="1"/>
  <c r="AY97" i="21"/>
  <c r="AZ97" i="21" s="1"/>
  <c r="AY98" i="21"/>
  <c r="AY99" i="21"/>
  <c r="AY100" i="21"/>
  <c r="AZ100" i="21" s="1"/>
  <c r="AY101" i="21"/>
  <c r="AZ101" i="21" s="1"/>
  <c r="AY102" i="21"/>
  <c r="AZ102" i="21" s="1"/>
  <c r="AY103" i="21"/>
  <c r="AZ103" i="21" s="1"/>
  <c r="AY104" i="21"/>
  <c r="AZ104" i="21" s="1"/>
  <c r="AY105" i="21"/>
  <c r="AZ105" i="21" s="1"/>
  <c r="AY106" i="21"/>
  <c r="AZ106" i="21" s="1"/>
  <c r="AY107" i="21"/>
  <c r="AZ107" i="21" s="1"/>
  <c r="AY108" i="21"/>
  <c r="AZ108" i="21" s="1"/>
  <c r="AY109" i="21"/>
  <c r="AZ109" i="21" s="1"/>
  <c r="AY110" i="21"/>
  <c r="AZ110" i="21" s="1"/>
  <c r="AY111" i="21"/>
  <c r="AZ111" i="21" s="1"/>
  <c r="AY112" i="21"/>
  <c r="AZ112" i="21" s="1"/>
  <c r="AY113" i="21"/>
  <c r="AZ113" i="21" s="1"/>
  <c r="AY114" i="21"/>
  <c r="AY115" i="21"/>
  <c r="AZ115" i="21" s="1"/>
  <c r="AY116" i="21"/>
  <c r="AZ116" i="21" s="1"/>
  <c r="AY117" i="21"/>
  <c r="AZ117" i="21" s="1"/>
  <c r="AY118" i="21"/>
  <c r="AZ118" i="21" s="1"/>
  <c r="AY119" i="21"/>
  <c r="AZ119" i="21" s="1"/>
  <c r="AY120" i="21"/>
  <c r="AZ120" i="21" s="1"/>
  <c r="AY121" i="21"/>
  <c r="AZ121" i="21" s="1"/>
  <c r="AY122" i="21"/>
  <c r="AY123" i="21"/>
  <c r="AZ123" i="21" s="1"/>
  <c r="AY124" i="21"/>
  <c r="AZ124" i="21" s="1"/>
  <c r="AY125" i="21"/>
  <c r="AZ125" i="21" s="1"/>
  <c r="AY126" i="21"/>
  <c r="AZ126" i="21" s="1"/>
  <c r="AY127" i="21"/>
  <c r="AZ127" i="21" s="1"/>
  <c r="AY128" i="21"/>
  <c r="AZ128" i="21" s="1"/>
  <c r="AY129" i="21"/>
  <c r="AZ129" i="21" s="1"/>
  <c r="AY130" i="21"/>
  <c r="AZ130" i="21" s="1"/>
  <c r="AY131" i="21"/>
  <c r="AZ131" i="21" s="1"/>
  <c r="AY132" i="21"/>
  <c r="AZ132" i="21" s="1"/>
  <c r="AY133" i="21"/>
  <c r="AZ133" i="21" s="1"/>
  <c r="AY134" i="21"/>
  <c r="AZ134" i="21" s="1"/>
  <c r="AY135" i="21"/>
  <c r="AZ135" i="21" s="1"/>
  <c r="AY136" i="21"/>
  <c r="AZ136" i="21" s="1"/>
  <c r="AY137" i="21"/>
  <c r="AZ137" i="21" s="1"/>
  <c r="AY138" i="21"/>
  <c r="AZ138" i="21" s="1"/>
  <c r="AY139" i="21"/>
  <c r="AY140" i="21"/>
  <c r="AZ140" i="21" s="1"/>
  <c r="AY141" i="21"/>
  <c r="AZ141" i="21" s="1"/>
  <c r="AY142" i="21"/>
  <c r="AZ142" i="21" s="1"/>
  <c r="AY143" i="21"/>
  <c r="AZ143" i="21" s="1"/>
  <c r="AY144" i="21"/>
  <c r="AZ144" i="21" s="1"/>
  <c r="AY145" i="21"/>
  <c r="AZ145" i="21" s="1"/>
  <c r="AY146" i="21"/>
  <c r="AZ146" i="21" s="1"/>
  <c r="AY147" i="21"/>
  <c r="AY148" i="21"/>
  <c r="AZ148" i="21" s="1"/>
  <c r="AY149" i="21"/>
  <c r="AZ149" i="21" s="1"/>
  <c r="AY150" i="21"/>
  <c r="AZ150" i="21" s="1"/>
  <c r="AY151" i="21"/>
  <c r="AZ151" i="21" s="1"/>
  <c r="AY152" i="21"/>
  <c r="AZ152" i="21" s="1"/>
  <c r="AY153" i="21"/>
  <c r="AZ153" i="21" s="1"/>
  <c r="AY154" i="21"/>
  <c r="AZ154" i="21" s="1"/>
  <c r="AY155" i="21"/>
  <c r="AY156" i="21"/>
  <c r="AZ156" i="21" s="1"/>
  <c r="AY157" i="21"/>
  <c r="AZ157" i="21" s="1"/>
  <c r="AY158" i="21"/>
  <c r="AZ158" i="21" s="1"/>
  <c r="AY159" i="21"/>
  <c r="AZ159" i="21" s="1"/>
  <c r="AY160" i="21"/>
  <c r="AZ160" i="21" s="1"/>
  <c r="AY161" i="21"/>
  <c r="AY162" i="21"/>
  <c r="AZ162" i="21" s="1"/>
  <c r="AY163" i="21"/>
  <c r="AY164" i="21"/>
  <c r="AZ164" i="21" s="1"/>
  <c r="AY165" i="21"/>
  <c r="AZ165" i="21" s="1"/>
  <c r="AY166" i="21"/>
  <c r="AZ166" i="21" s="1"/>
  <c r="AY167" i="21"/>
  <c r="AZ167" i="21" s="1"/>
  <c r="AY168" i="21"/>
  <c r="AZ168" i="21" s="1"/>
  <c r="AY169" i="21"/>
  <c r="AZ169" i="21" s="1"/>
  <c r="AY170" i="21"/>
  <c r="AZ170" i="21" s="1"/>
  <c r="AY171" i="21"/>
  <c r="AZ171" i="21" s="1"/>
  <c r="AY172" i="21"/>
  <c r="AZ172" i="21" s="1"/>
  <c r="AY173" i="21"/>
  <c r="AZ173" i="21" s="1"/>
  <c r="AY174" i="21"/>
  <c r="AZ174" i="21" s="1"/>
  <c r="AY175" i="21"/>
  <c r="AZ175" i="21" s="1"/>
  <c r="AY176" i="21"/>
  <c r="AZ176" i="21" s="1"/>
  <c r="AY177" i="21"/>
  <c r="AZ177" i="21" s="1"/>
  <c r="AY178" i="21"/>
  <c r="AZ178" i="21" s="1"/>
  <c r="AY179" i="21"/>
  <c r="AZ179" i="21" s="1"/>
  <c r="AY180" i="21"/>
  <c r="AZ180" i="21" s="1"/>
  <c r="AY181" i="21"/>
  <c r="AZ181" i="21" s="1"/>
  <c r="AY182" i="21"/>
  <c r="AZ182" i="21" s="1"/>
  <c r="AY183" i="21"/>
  <c r="AZ183" i="21" s="1"/>
  <c r="AY184" i="21"/>
  <c r="AZ184" i="21" s="1"/>
  <c r="AY185" i="21"/>
  <c r="AZ185" i="21" s="1"/>
  <c r="AY186" i="21"/>
  <c r="AZ186" i="21" s="1"/>
  <c r="AY187" i="21"/>
  <c r="AZ187" i="21" s="1"/>
  <c r="AY188" i="21"/>
  <c r="AZ188" i="21" s="1"/>
  <c r="AY189" i="21"/>
  <c r="AZ189" i="21" s="1"/>
  <c r="AY190" i="21"/>
  <c r="AZ190" i="21" s="1"/>
  <c r="AY191" i="21"/>
  <c r="AZ191" i="21" s="1"/>
  <c r="AY192" i="21"/>
  <c r="AZ192" i="21" s="1"/>
  <c r="AY193" i="21"/>
  <c r="AZ193" i="21" s="1"/>
  <c r="AY194" i="21"/>
  <c r="AZ194" i="21" s="1"/>
  <c r="AY195" i="21"/>
  <c r="AZ195" i="21" s="1"/>
  <c r="AY196" i="21"/>
  <c r="AY197" i="21"/>
  <c r="AZ197" i="21" s="1"/>
  <c r="AY198" i="21"/>
  <c r="AZ198" i="21" s="1"/>
  <c r="AY199" i="21"/>
  <c r="AZ199" i="21" s="1"/>
  <c r="AY200" i="21"/>
  <c r="AZ200" i="21" s="1"/>
  <c r="AY201" i="21"/>
  <c r="AZ201" i="21" s="1"/>
  <c r="AY202" i="21"/>
  <c r="AY203" i="21"/>
  <c r="AZ203" i="21" s="1"/>
  <c r="AY204" i="21"/>
  <c r="AZ204" i="21" s="1"/>
  <c r="AY205" i="21"/>
  <c r="AZ205" i="21" s="1"/>
  <c r="AY206" i="21"/>
  <c r="AZ206" i="21" s="1"/>
  <c r="AY207" i="21"/>
  <c r="AY208" i="21"/>
  <c r="AZ208" i="21" s="1"/>
  <c r="AY209" i="21"/>
  <c r="AZ209" i="21" s="1"/>
  <c r="AY210" i="21"/>
  <c r="AZ210" i="21" s="1"/>
  <c r="AY211" i="21"/>
  <c r="AY212" i="21"/>
  <c r="AZ212" i="21" s="1"/>
  <c r="AY213" i="21"/>
  <c r="AZ213" i="21" s="1"/>
  <c r="AY214" i="21"/>
  <c r="AZ214" i="21" s="1"/>
  <c r="AY215" i="21"/>
  <c r="AZ215" i="21" s="1"/>
  <c r="AY216" i="21"/>
  <c r="AZ216" i="21" s="1"/>
  <c r="AY217" i="21"/>
  <c r="AZ217" i="21" s="1"/>
  <c r="AY218" i="21"/>
  <c r="AZ218" i="21" s="1"/>
  <c r="AY219" i="21"/>
  <c r="AY220" i="21"/>
  <c r="AZ220" i="21" s="1"/>
  <c r="AY221" i="21"/>
  <c r="AZ221" i="21" s="1"/>
  <c r="AY222" i="21"/>
  <c r="AZ222" i="21" s="1"/>
  <c r="AY223" i="21"/>
  <c r="AZ223" i="21" s="1"/>
  <c r="AY224" i="21"/>
  <c r="AZ224" i="21" s="1"/>
  <c r="AY225" i="21"/>
  <c r="AZ225" i="21" s="1"/>
  <c r="AY226" i="21"/>
  <c r="AZ226" i="21" s="1"/>
  <c r="AY227" i="21"/>
  <c r="AY228" i="21"/>
  <c r="AZ228" i="21" s="1"/>
  <c r="AY229" i="21"/>
  <c r="AZ229" i="21" s="1"/>
  <c r="AY230" i="21"/>
  <c r="AZ230" i="21" s="1"/>
  <c r="AY231" i="21"/>
  <c r="AZ231" i="21" s="1"/>
  <c r="AY232" i="21"/>
  <c r="AZ232" i="21" s="1"/>
  <c r="AY233" i="21"/>
  <c r="AZ233" i="21" s="1"/>
  <c r="AY234" i="21"/>
  <c r="AZ234" i="21" s="1"/>
  <c r="AY235" i="21"/>
  <c r="AZ235" i="21" s="1"/>
  <c r="AY236" i="21"/>
  <c r="AZ236" i="21" s="1"/>
  <c r="AY237" i="21"/>
  <c r="AZ237" i="21" s="1"/>
  <c r="AY238" i="21"/>
  <c r="AZ238" i="21" s="1"/>
  <c r="AY239" i="21"/>
  <c r="AZ239" i="21" s="1"/>
  <c r="AY240" i="21"/>
  <c r="AZ240" i="21" s="1"/>
  <c r="AY241" i="21"/>
  <c r="AZ241" i="21" s="1"/>
  <c r="AY242" i="21"/>
  <c r="AZ242" i="21" s="1"/>
  <c r="AY243" i="21"/>
  <c r="AZ243" i="21" s="1"/>
  <c r="AY244" i="21"/>
  <c r="AZ244" i="21" s="1"/>
  <c r="AY245" i="21"/>
  <c r="AZ245" i="21" s="1"/>
  <c r="AY246" i="21"/>
  <c r="AZ246" i="21" s="1"/>
  <c r="AY247" i="21"/>
  <c r="AZ247" i="21" s="1"/>
  <c r="AY248" i="21"/>
  <c r="AZ248" i="21" s="1"/>
  <c r="AY249" i="21"/>
  <c r="AZ249" i="21" s="1"/>
  <c r="AY250" i="21"/>
  <c r="AY251" i="21"/>
  <c r="AZ251" i="21" s="1"/>
  <c r="AY252" i="21"/>
  <c r="AZ252" i="21" s="1"/>
  <c r="AY253" i="21"/>
  <c r="AZ253" i="21" s="1"/>
  <c r="AY254" i="21"/>
  <c r="AZ254" i="21" s="1"/>
  <c r="AY255" i="21"/>
  <c r="AY256" i="21"/>
  <c r="AZ256" i="21" s="1"/>
  <c r="AY257" i="21"/>
  <c r="AZ257" i="21" s="1"/>
  <c r="AY258" i="21"/>
  <c r="AZ258" i="21" s="1"/>
  <c r="AY259" i="21"/>
  <c r="AZ259" i="21" s="1"/>
  <c r="AY260" i="21"/>
  <c r="AZ260" i="21" s="1"/>
  <c r="AY261" i="21"/>
  <c r="AZ261" i="21" s="1"/>
  <c r="AY262" i="21"/>
  <c r="AZ262" i="21" s="1"/>
  <c r="AY263" i="21"/>
  <c r="AY264" i="21"/>
  <c r="AZ264" i="21" s="1"/>
  <c r="AY265" i="21"/>
  <c r="AZ265" i="21" s="1"/>
  <c r="AY266" i="21"/>
  <c r="AY267" i="21"/>
  <c r="AY268" i="21"/>
  <c r="AZ268" i="21" s="1"/>
  <c r="AY269" i="21"/>
  <c r="AZ269" i="21" s="1"/>
  <c r="AY270" i="21"/>
  <c r="AZ270" i="21" s="1"/>
  <c r="AY271" i="21"/>
  <c r="AZ271" i="21" s="1"/>
  <c r="AY272" i="21"/>
  <c r="AZ272" i="21" s="1"/>
  <c r="AY273" i="21"/>
  <c r="AZ273" i="21" s="1"/>
  <c r="AY274" i="21"/>
  <c r="AZ274" i="21" s="1"/>
  <c r="AY275" i="21"/>
  <c r="AY276" i="21"/>
  <c r="AZ276" i="21" s="1"/>
  <c r="AY277" i="21"/>
  <c r="AZ277" i="21" s="1"/>
  <c r="AY278" i="21"/>
  <c r="AZ278" i="21" s="1"/>
  <c r="AY279" i="21"/>
  <c r="AZ279" i="21" s="1"/>
  <c r="AY280" i="21"/>
  <c r="AZ280" i="21" s="1"/>
  <c r="AY281" i="21"/>
  <c r="AZ281" i="21" s="1"/>
  <c r="AY282" i="21"/>
  <c r="AZ282" i="21" s="1"/>
  <c r="AY283" i="21"/>
  <c r="AY284" i="21"/>
  <c r="AZ284" i="21" s="1"/>
  <c r="AY285" i="21"/>
  <c r="AZ285" i="21" s="1"/>
  <c r="AY286" i="21"/>
  <c r="AZ286" i="21" s="1"/>
  <c r="AY287" i="21"/>
  <c r="AZ287" i="21" s="1"/>
  <c r="AY288" i="21"/>
  <c r="AZ288" i="21" s="1"/>
  <c r="AY289" i="21"/>
  <c r="AZ289" i="21" s="1"/>
  <c r="AY290" i="21"/>
  <c r="AZ290" i="21" s="1"/>
  <c r="AY291" i="21"/>
  <c r="AY292" i="21"/>
  <c r="AZ292" i="21" s="1"/>
  <c r="AY293" i="21"/>
  <c r="AZ293" i="21" s="1"/>
  <c r="AY294" i="21"/>
  <c r="AZ294" i="21" s="1"/>
  <c r="AY295" i="21"/>
  <c r="AY296" i="21"/>
  <c r="AZ296" i="21" s="1"/>
  <c r="AY297" i="21"/>
  <c r="AZ297" i="21" s="1"/>
  <c r="AY298" i="21"/>
  <c r="AZ298" i="21" s="1"/>
  <c r="AY299" i="21"/>
  <c r="AZ299" i="21" s="1"/>
  <c r="AY300" i="21"/>
  <c r="AZ300" i="21" s="1"/>
  <c r="AY301" i="21"/>
  <c r="AZ301" i="21" s="1"/>
  <c r="AY302" i="21"/>
  <c r="AZ302" i="21" s="1"/>
  <c r="AY303" i="21"/>
  <c r="AZ303" i="21" s="1"/>
  <c r="AY304" i="21"/>
  <c r="AZ304" i="21" s="1"/>
  <c r="AY305" i="21"/>
  <c r="AZ305" i="21" s="1"/>
  <c r="AY306" i="21"/>
  <c r="AZ306" i="21" s="1"/>
  <c r="AY307" i="21"/>
  <c r="AZ307" i="21" s="1"/>
  <c r="AY308" i="21"/>
  <c r="AZ308" i="21" s="1"/>
  <c r="AY309" i="21"/>
  <c r="AZ309" i="21" s="1"/>
  <c r="AY310" i="21"/>
  <c r="AZ310" i="21" s="1"/>
  <c r="AY311" i="21"/>
  <c r="AZ311" i="21" s="1"/>
  <c r="AY312" i="21"/>
  <c r="AZ312" i="21" s="1"/>
  <c r="AY313" i="21"/>
  <c r="AZ313" i="21" s="1"/>
  <c r="AY314" i="21"/>
  <c r="AZ314" i="21" s="1"/>
  <c r="AY315" i="21"/>
  <c r="AZ315" i="21" s="1"/>
  <c r="AY316" i="21"/>
  <c r="AZ316" i="21" s="1"/>
  <c r="AY317" i="21"/>
  <c r="AZ317" i="21" s="1"/>
  <c r="AY318" i="21"/>
  <c r="AZ318" i="21" s="1"/>
  <c r="AY319" i="21"/>
  <c r="AZ319" i="21" s="1"/>
  <c r="AY320" i="21"/>
  <c r="AZ320" i="21" s="1"/>
  <c r="AY321" i="21"/>
  <c r="AZ321" i="21" s="1"/>
  <c r="AY322" i="21"/>
  <c r="AZ322" i="21" s="1"/>
  <c r="AY323" i="21"/>
  <c r="AZ323" i="21" s="1"/>
  <c r="AY324" i="21"/>
  <c r="AZ324" i="21" s="1"/>
  <c r="AY325" i="21"/>
  <c r="AZ325" i="21" s="1"/>
  <c r="AY326" i="21"/>
  <c r="AZ326" i="21" s="1"/>
  <c r="AY327" i="21"/>
  <c r="AZ327" i="21" s="1"/>
  <c r="AY328" i="21"/>
  <c r="AZ328" i="21" s="1"/>
  <c r="AY329" i="21"/>
  <c r="AZ329" i="21" s="1"/>
  <c r="AY330" i="21"/>
  <c r="AZ330" i="21" s="1"/>
  <c r="AY331" i="21"/>
  <c r="AZ331" i="21" s="1"/>
  <c r="AY332" i="21"/>
  <c r="AZ332" i="21" s="1"/>
  <c r="AY333" i="21"/>
  <c r="AZ333" i="21" s="1"/>
  <c r="AY334" i="21"/>
  <c r="AZ334" i="21" s="1"/>
  <c r="AY335" i="21"/>
  <c r="AZ335" i="21" s="1"/>
  <c r="AY336" i="21"/>
  <c r="AZ336" i="21" s="1"/>
  <c r="AY337" i="21"/>
  <c r="AZ337" i="21" s="1"/>
  <c r="AY338" i="21"/>
  <c r="AZ338" i="21" s="1"/>
  <c r="AY339" i="21"/>
  <c r="AY340" i="21"/>
  <c r="AZ340" i="21" s="1"/>
  <c r="AY341" i="21"/>
  <c r="AZ341" i="21" s="1"/>
  <c r="AY342" i="21"/>
  <c r="AZ342" i="21" s="1"/>
  <c r="AY343" i="21"/>
  <c r="AZ343" i="21" s="1"/>
  <c r="AY344" i="21"/>
  <c r="AZ344" i="21" s="1"/>
  <c r="AY345" i="21"/>
  <c r="AZ345" i="21" s="1"/>
  <c r="AY346" i="21"/>
  <c r="AZ346" i="21" s="1"/>
  <c r="AY347" i="21"/>
  <c r="AY348" i="21"/>
  <c r="AZ348" i="21" s="1"/>
  <c r="AY349" i="21"/>
  <c r="AZ349" i="21" s="1"/>
  <c r="AY350" i="21"/>
  <c r="AZ350" i="21" s="1"/>
  <c r="AY351" i="21"/>
  <c r="AZ351" i="21" s="1"/>
  <c r="AY352" i="21"/>
  <c r="AZ352" i="21" s="1"/>
  <c r="AY353" i="21"/>
  <c r="AZ353" i="21" s="1"/>
  <c r="AY354" i="21"/>
  <c r="AY355" i="21"/>
  <c r="AZ355" i="21" s="1"/>
  <c r="AY356" i="21"/>
  <c r="AZ356" i="21" s="1"/>
  <c r="AY357" i="21"/>
  <c r="AZ357" i="21" s="1"/>
  <c r="AY358" i="21"/>
  <c r="AZ358" i="21" s="1"/>
  <c r="AY359" i="21"/>
  <c r="AZ359" i="21" s="1"/>
  <c r="AY360" i="21"/>
  <c r="AZ360" i="21" s="1"/>
  <c r="AY361" i="21"/>
  <c r="AY362" i="21"/>
  <c r="AZ362" i="21" s="1"/>
  <c r="AY363" i="21"/>
  <c r="AZ363" i="21" s="1"/>
  <c r="AY364" i="21"/>
  <c r="AZ364" i="21" s="1"/>
  <c r="AY365" i="21"/>
  <c r="AZ365" i="21" s="1"/>
  <c r="AY366" i="21"/>
  <c r="AZ366" i="21" s="1"/>
  <c r="AY367" i="21"/>
  <c r="AZ367" i="21" s="1"/>
  <c r="AY368" i="21"/>
  <c r="AZ368" i="21" s="1"/>
  <c r="AY369" i="21"/>
  <c r="AZ369" i="21" s="1"/>
  <c r="AY370" i="21"/>
  <c r="AZ370" i="21" s="1"/>
  <c r="AY371" i="21"/>
  <c r="AZ371" i="21" s="1"/>
  <c r="AY372" i="21"/>
  <c r="AZ372" i="21" s="1"/>
  <c r="AY373" i="21"/>
  <c r="AZ373" i="21" s="1"/>
  <c r="AY374" i="21"/>
  <c r="AZ374" i="21" s="1"/>
  <c r="AY375" i="21"/>
  <c r="AY376" i="21"/>
  <c r="AZ376" i="21" s="1"/>
  <c r="AY377" i="21"/>
  <c r="AZ377" i="21" s="1"/>
  <c r="AY378" i="21"/>
  <c r="AZ378" i="21" s="1"/>
  <c r="AY379" i="21"/>
  <c r="AZ379" i="21" s="1"/>
  <c r="AY380" i="21"/>
  <c r="AZ380" i="21" s="1"/>
  <c r="AY381" i="21"/>
  <c r="AZ381" i="21" s="1"/>
  <c r="AY382" i="21"/>
  <c r="AZ382" i="21" s="1"/>
  <c r="AY383" i="21"/>
  <c r="AZ383" i="21" s="1"/>
  <c r="AY384" i="21"/>
  <c r="AZ384" i="21" s="1"/>
  <c r="AY385" i="21"/>
  <c r="AZ385" i="21" s="1"/>
  <c r="AY386" i="21"/>
  <c r="AZ386" i="21" s="1"/>
  <c r="AY387" i="21"/>
  <c r="AZ387" i="21" s="1"/>
  <c r="AY388" i="21"/>
  <c r="AZ388" i="21" s="1"/>
  <c r="AY389" i="21"/>
  <c r="AZ389" i="21" s="1"/>
  <c r="AY390" i="21"/>
  <c r="AZ390" i="21" s="1"/>
  <c r="AY391" i="21"/>
  <c r="AZ391" i="21" s="1"/>
  <c r="AY392" i="21"/>
  <c r="AZ392" i="21" s="1"/>
  <c r="AY393" i="21"/>
  <c r="AZ393" i="21" s="1"/>
  <c r="AY394" i="21"/>
  <c r="AZ394" i="21" s="1"/>
  <c r="AY395" i="21"/>
  <c r="AZ395" i="21" s="1"/>
  <c r="AY396" i="21"/>
  <c r="AZ396" i="21" s="1"/>
  <c r="AY397" i="21"/>
  <c r="AZ397" i="21" s="1"/>
  <c r="AY398" i="21"/>
  <c r="AZ398" i="21" s="1"/>
  <c r="AY399" i="21"/>
  <c r="AZ399" i="21" s="1"/>
  <c r="AY400" i="21"/>
  <c r="AZ400" i="21" s="1"/>
  <c r="AY401" i="21"/>
  <c r="AZ401" i="21" s="1"/>
  <c r="AY402" i="21"/>
  <c r="AZ402" i="21" s="1"/>
  <c r="AY403" i="21"/>
  <c r="AZ403" i="21" s="1"/>
  <c r="AY404" i="21"/>
  <c r="AZ404" i="21" s="1"/>
  <c r="AZ161" i="21"/>
  <c r="AZ3" i="21"/>
  <c r="AZ11" i="21"/>
  <c r="AZ27" i="21"/>
  <c r="AZ28" i="21"/>
  <c r="AZ35" i="21"/>
  <c r="AZ83" i="21"/>
  <c r="AZ91" i="21"/>
  <c r="AZ99" i="21"/>
  <c r="AZ139" i="21"/>
  <c r="AZ147" i="21"/>
  <c r="AZ155" i="21"/>
  <c r="AZ163" i="21"/>
  <c r="AZ196" i="21"/>
  <c r="AZ211" i="21"/>
  <c r="AZ219" i="21"/>
  <c r="AZ227" i="21"/>
  <c r="AZ255" i="21"/>
  <c r="AZ267" i="21"/>
  <c r="AZ275" i="21"/>
  <c r="AZ283" i="21"/>
  <c r="AZ291" i="21"/>
  <c r="AZ339" i="21"/>
  <c r="AZ347" i="21"/>
  <c r="BG404" i="21"/>
  <c r="BE404" i="21"/>
  <c r="BF404" i="21" s="1"/>
  <c r="AW404" i="21"/>
  <c r="AX404" i="21" s="1"/>
  <c r="AU404" i="21"/>
  <c r="AV404" i="21" s="1"/>
  <c r="AS404" i="21"/>
  <c r="AT404" i="21" s="1"/>
  <c r="AQ404" i="21"/>
  <c r="AR404" i="21" s="1"/>
  <c r="AO404" i="21"/>
  <c r="AM404" i="21"/>
  <c r="AK404" i="21"/>
  <c r="AL404" i="21" s="1"/>
  <c r="AG404" i="21"/>
  <c r="AH404" i="21" s="1"/>
  <c r="AE404" i="21"/>
  <c r="AF404" i="21" s="1"/>
  <c r="AC404" i="21"/>
  <c r="AA404" i="21"/>
  <c r="AB404" i="21" s="1"/>
  <c r="W404" i="21"/>
  <c r="X404" i="21" s="1"/>
  <c r="U404" i="21"/>
  <c r="V404" i="21" s="1"/>
  <c r="S404" i="21"/>
  <c r="T404" i="21" s="1"/>
  <c r="Q404" i="21"/>
  <c r="R404" i="21" s="1"/>
  <c r="Y404" i="21" s="1"/>
  <c r="P404" i="21"/>
  <c r="O404" i="21"/>
  <c r="N404" i="21"/>
  <c r="M404" i="21"/>
  <c r="L404" i="21"/>
  <c r="K404" i="21"/>
  <c r="J404" i="21"/>
  <c r="I404" i="21"/>
  <c r="H404" i="21"/>
  <c r="G404" i="21"/>
  <c r="F404" i="21"/>
  <c r="E404" i="21"/>
  <c r="D404" i="21"/>
  <c r="C404" i="21"/>
  <c r="B404" i="21"/>
  <c r="A404" i="21"/>
  <c r="BG403" i="21"/>
  <c r="BH403" i="21" s="1"/>
  <c r="BE403" i="21"/>
  <c r="BF403" i="21" s="1"/>
  <c r="AW403" i="21"/>
  <c r="AU403" i="21"/>
  <c r="AV403" i="21" s="1"/>
  <c r="AS403" i="21"/>
  <c r="AT403" i="21" s="1"/>
  <c r="AQ403" i="21"/>
  <c r="AO403" i="21"/>
  <c r="AP403" i="21" s="1"/>
  <c r="AM403" i="21"/>
  <c r="AN403" i="21" s="1"/>
  <c r="AK403" i="21"/>
  <c r="AL403" i="21" s="1"/>
  <c r="AG403" i="21"/>
  <c r="AE403" i="21"/>
  <c r="AF403" i="21" s="1"/>
  <c r="AC403" i="21"/>
  <c r="AD403" i="21" s="1"/>
  <c r="AA403" i="21"/>
  <c r="AB403" i="21" s="1"/>
  <c r="W403" i="21"/>
  <c r="X403" i="21" s="1"/>
  <c r="U403" i="21"/>
  <c r="V403" i="21" s="1"/>
  <c r="S403" i="21"/>
  <c r="Q403" i="21"/>
  <c r="R403" i="21" s="1"/>
  <c r="P403" i="21"/>
  <c r="O403" i="21"/>
  <c r="N403" i="21"/>
  <c r="M403" i="21"/>
  <c r="L403" i="21"/>
  <c r="K403" i="21"/>
  <c r="J403" i="21"/>
  <c r="I403" i="21"/>
  <c r="H403" i="21"/>
  <c r="G403" i="21"/>
  <c r="F403" i="21"/>
  <c r="E403" i="21"/>
  <c r="D403" i="21"/>
  <c r="C403" i="21"/>
  <c r="B403" i="21"/>
  <c r="A403" i="21"/>
  <c r="BG402" i="21"/>
  <c r="BH402" i="21" s="1"/>
  <c r="BE402" i="21"/>
  <c r="BF402" i="21" s="1"/>
  <c r="AW402" i="21"/>
  <c r="AX402" i="21" s="1"/>
  <c r="AU402" i="21"/>
  <c r="AV402" i="21" s="1"/>
  <c r="AS402" i="21"/>
  <c r="AT402" i="21" s="1"/>
  <c r="AQ402" i="21"/>
  <c r="AR402" i="21" s="1"/>
  <c r="AO402" i="21"/>
  <c r="AP402" i="21" s="1"/>
  <c r="AM402" i="21"/>
  <c r="AK402" i="21"/>
  <c r="AL402" i="21" s="1"/>
  <c r="AG402" i="21"/>
  <c r="AH402" i="21" s="1"/>
  <c r="AE402" i="21"/>
  <c r="AF402" i="21" s="1"/>
  <c r="AC402" i="21"/>
  <c r="AD402" i="21" s="1"/>
  <c r="AA402" i="21"/>
  <c r="W402" i="21"/>
  <c r="X402" i="21" s="1"/>
  <c r="U402" i="21"/>
  <c r="V402" i="21" s="1"/>
  <c r="S402" i="21"/>
  <c r="T402" i="21" s="1"/>
  <c r="Q402" i="21"/>
  <c r="R402" i="21" s="1"/>
  <c r="P402" i="21"/>
  <c r="O402" i="21"/>
  <c r="N402" i="21"/>
  <c r="M402" i="21"/>
  <c r="L402" i="21"/>
  <c r="K402" i="21"/>
  <c r="J402" i="21"/>
  <c r="I402" i="21"/>
  <c r="H402" i="21"/>
  <c r="G402" i="21"/>
  <c r="F402" i="21"/>
  <c r="E402" i="21"/>
  <c r="D402" i="21"/>
  <c r="C402" i="21"/>
  <c r="B402" i="21"/>
  <c r="A402" i="21"/>
  <c r="BG401" i="21"/>
  <c r="BH401" i="21" s="1"/>
  <c r="BE401" i="21"/>
  <c r="BF401" i="21" s="1"/>
  <c r="AW401" i="21"/>
  <c r="AX401" i="21" s="1"/>
  <c r="AU401" i="21"/>
  <c r="AV401" i="21" s="1"/>
  <c r="AS401" i="21"/>
  <c r="AT401" i="21" s="1"/>
  <c r="AQ401" i="21"/>
  <c r="AO401" i="21"/>
  <c r="AP401" i="21" s="1"/>
  <c r="AM401" i="21"/>
  <c r="AN401" i="21" s="1"/>
  <c r="AK401" i="21"/>
  <c r="AL401" i="21" s="1"/>
  <c r="AG401" i="21"/>
  <c r="AH401" i="21" s="1"/>
  <c r="AE401" i="21"/>
  <c r="AF401" i="21" s="1"/>
  <c r="AC401" i="21"/>
  <c r="AD401" i="21" s="1"/>
  <c r="AA401" i="21"/>
  <c r="AB401" i="21" s="1"/>
  <c r="W401" i="21"/>
  <c r="X401" i="21" s="1"/>
  <c r="U401" i="21"/>
  <c r="S401" i="21"/>
  <c r="T401" i="21" s="1"/>
  <c r="Q401" i="21"/>
  <c r="R401" i="21" s="1"/>
  <c r="P401" i="21"/>
  <c r="O401" i="21"/>
  <c r="N401" i="21"/>
  <c r="M401" i="21"/>
  <c r="L401" i="21"/>
  <c r="K401" i="21"/>
  <c r="J401" i="21"/>
  <c r="I401" i="21"/>
  <c r="H401" i="21"/>
  <c r="G401" i="21"/>
  <c r="F401" i="21"/>
  <c r="E401" i="21"/>
  <c r="D401" i="21"/>
  <c r="C401" i="21"/>
  <c r="B401" i="21"/>
  <c r="A401" i="21"/>
  <c r="BG400" i="21"/>
  <c r="BE400" i="21"/>
  <c r="BF400" i="21" s="1"/>
  <c r="AW400" i="21"/>
  <c r="AX400" i="21" s="1"/>
  <c r="AU400" i="21"/>
  <c r="AS400" i="21"/>
  <c r="AT400" i="21" s="1"/>
  <c r="AQ400" i="21"/>
  <c r="AR400" i="21" s="1"/>
  <c r="AO400" i="21"/>
  <c r="AP400" i="21" s="1"/>
  <c r="AM400" i="21"/>
  <c r="AN400" i="21" s="1"/>
  <c r="AK400" i="21"/>
  <c r="AL400" i="21" s="1"/>
  <c r="AG400" i="21"/>
  <c r="AE400" i="21"/>
  <c r="AF400" i="21" s="1"/>
  <c r="AC400" i="21"/>
  <c r="AD400" i="21" s="1"/>
  <c r="AA400" i="21"/>
  <c r="W400" i="21"/>
  <c r="X400" i="21" s="1"/>
  <c r="U400" i="21"/>
  <c r="V400" i="21" s="1"/>
  <c r="S400" i="21"/>
  <c r="Q400" i="21"/>
  <c r="R400" i="21" s="1"/>
  <c r="P400" i="21"/>
  <c r="O400" i="21"/>
  <c r="N400" i="21"/>
  <c r="M400" i="21"/>
  <c r="L400" i="21"/>
  <c r="K400" i="21"/>
  <c r="J400" i="21"/>
  <c r="I400" i="21"/>
  <c r="H400" i="21"/>
  <c r="G400" i="21"/>
  <c r="F400" i="21"/>
  <c r="E400" i="21"/>
  <c r="D400" i="21"/>
  <c r="C400" i="21"/>
  <c r="B400" i="21"/>
  <c r="A400" i="21"/>
  <c r="BG399" i="21"/>
  <c r="BH399" i="21" s="1"/>
  <c r="BE399" i="21"/>
  <c r="BF399" i="21" s="1"/>
  <c r="AW399" i="21"/>
  <c r="AX399" i="21" s="1"/>
  <c r="AU399" i="21"/>
  <c r="AV399" i="21" s="1"/>
  <c r="AS399" i="21"/>
  <c r="AT399" i="21" s="1"/>
  <c r="AQ399" i="21"/>
  <c r="AO399" i="21"/>
  <c r="AP399" i="21" s="1"/>
  <c r="AM399" i="21"/>
  <c r="AN399" i="21" s="1"/>
  <c r="AK399" i="21"/>
  <c r="AL399" i="21" s="1"/>
  <c r="AG399" i="21"/>
  <c r="AH399" i="21" s="1"/>
  <c r="AE399" i="21"/>
  <c r="AC399" i="21"/>
  <c r="AA399" i="21"/>
  <c r="AB399" i="21" s="1"/>
  <c r="W399" i="21"/>
  <c r="U399" i="21"/>
  <c r="V399" i="21" s="1"/>
  <c r="S399" i="21"/>
  <c r="T399" i="21" s="1"/>
  <c r="Q399" i="21"/>
  <c r="R399" i="21" s="1"/>
  <c r="P399" i="21"/>
  <c r="O399" i="21"/>
  <c r="N399" i="21"/>
  <c r="M399" i="21"/>
  <c r="L399" i="21"/>
  <c r="K399" i="21"/>
  <c r="J399" i="21"/>
  <c r="I399" i="21"/>
  <c r="H399" i="21"/>
  <c r="G399" i="21"/>
  <c r="F399" i="21"/>
  <c r="E399" i="21"/>
  <c r="D399" i="21"/>
  <c r="C399" i="21"/>
  <c r="B399" i="21"/>
  <c r="A399" i="21"/>
  <c r="BG398" i="21"/>
  <c r="BE398" i="21"/>
  <c r="BF398" i="21" s="1"/>
  <c r="AW398" i="21"/>
  <c r="AX398" i="21" s="1"/>
  <c r="AU398" i="21"/>
  <c r="AV398" i="21" s="1"/>
  <c r="AS398" i="21"/>
  <c r="AT398" i="21" s="1"/>
  <c r="AQ398" i="21"/>
  <c r="AR398" i="21" s="1"/>
  <c r="AO398" i="21"/>
  <c r="AP398" i="21" s="1"/>
  <c r="AM398" i="21"/>
  <c r="AN398" i="21" s="1"/>
  <c r="AK398" i="21"/>
  <c r="AG398" i="21"/>
  <c r="AH398" i="21" s="1"/>
  <c r="AE398" i="21"/>
  <c r="AF398" i="21" s="1"/>
  <c r="AC398" i="21"/>
  <c r="AA398" i="21"/>
  <c r="AB398" i="21" s="1"/>
  <c r="W398" i="21"/>
  <c r="X398" i="21" s="1"/>
  <c r="U398" i="21"/>
  <c r="V398" i="21" s="1"/>
  <c r="S398" i="21"/>
  <c r="Q398" i="21"/>
  <c r="R398" i="21" s="1"/>
  <c r="P398" i="21"/>
  <c r="O398" i="21"/>
  <c r="N398" i="21"/>
  <c r="M398" i="21"/>
  <c r="L398" i="21"/>
  <c r="K398" i="21"/>
  <c r="J398" i="21"/>
  <c r="I398" i="21"/>
  <c r="H398" i="21"/>
  <c r="G398" i="21"/>
  <c r="F398" i="21"/>
  <c r="E398" i="21"/>
  <c r="D398" i="21"/>
  <c r="C398" i="21"/>
  <c r="B398" i="21"/>
  <c r="A398" i="21"/>
  <c r="BG397" i="21"/>
  <c r="BH397" i="21" s="1"/>
  <c r="BE397" i="21"/>
  <c r="BF397" i="21" s="1"/>
  <c r="AW397" i="21"/>
  <c r="AX397" i="21" s="1"/>
  <c r="AU397" i="21"/>
  <c r="AV397" i="21" s="1"/>
  <c r="AS397" i="21"/>
  <c r="AT397" i="21" s="1"/>
  <c r="AQ397" i="21"/>
  <c r="AR397" i="21" s="1"/>
  <c r="AO397" i="21"/>
  <c r="AM397" i="21"/>
  <c r="AN397" i="21" s="1"/>
  <c r="AK397" i="21"/>
  <c r="AL397" i="21" s="1"/>
  <c r="AG397" i="21"/>
  <c r="AE397" i="21"/>
  <c r="AF397" i="21" s="1"/>
  <c r="AC397" i="21"/>
  <c r="AD397" i="21" s="1"/>
  <c r="AA397" i="21"/>
  <c r="AB397" i="21" s="1"/>
  <c r="W397" i="21"/>
  <c r="U397" i="21"/>
  <c r="V397" i="21" s="1"/>
  <c r="S397" i="21"/>
  <c r="T397" i="21" s="1"/>
  <c r="Q397" i="21"/>
  <c r="R397" i="21" s="1"/>
  <c r="P397" i="21"/>
  <c r="O397" i="21"/>
  <c r="N397" i="21"/>
  <c r="M397" i="21"/>
  <c r="L397" i="21"/>
  <c r="K397" i="21"/>
  <c r="J397" i="21"/>
  <c r="I397" i="21"/>
  <c r="H397" i="21"/>
  <c r="G397" i="21"/>
  <c r="F397" i="21"/>
  <c r="E397" i="21"/>
  <c r="D397" i="21"/>
  <c r="C397" i="21"/>
  <c r="B397" i="21"/>
  <c r="A397" i="21"/>
  <c r="BG396" i="21"/>
  <c r="BH396" i="21" s="1"/>
  <c r="BE396" i="21"/>
  <c r="AW396" i="21"/>
  <c r="AX396" i="21" s="1"/>
  <c r="AU396" i="21"/>
  <c r="AV396" i="21" s="1"/>
  <c r="AS396" i="21"/>
  <c r="AQ396" i="21"/>
  <c r="AR396" i="21" s="1"/>
  <c r="AO396" i="21"/>
  <c r="AP396" i="21" s="1"/>
  <c r="AM396" i="21"/>
  <c r="AK396" i="21"/>
  <c r="AL396" i="21" s="1"/>
  <c r="AG396" i="21"/>
  <c r="AH396" i="21" s="1"/>
  <c r="AE396" i="21"/>
  <c r="AF396" i="21" s="1"/>
  <c r="AC396" i="21"/>
  <c r="AA396" i="21"/>
  <c r="AB396" i="21" s="1"/>
  <c r="W396" i="21"/>
  <c r="X396" i="21" s="1"/>
  <c r="U396" i="21"/>
  <c r="V396" i="21" s="1"/>
  <c r="S396" i="21"/>
  <c r="T396" i="21" s="1"/>
  <c r="Q396" i="21"/>
  <c r="R396" i="21" s="1"/>
  <c r="Y396" i="21" s="1"/>
  <c r="P396" i="21"/>
  <c r="O396" i="21"/>
  <c r="N396" i="21"/>
  <c r="M396" i="21"/>
  <c r="L396" i="21"/>
  <c r="K396" i="21"/>
  <c r="J396" i="21"/>
  <c r="I396" i="21"/>
  <c r="H396" i="21"/>
  <c r="G396" i="21"/>
  <c r="F396" i="21"/>
  <c r="E396" i="21"/>
  <c r="D396" i="21"/>
  <c r="C396" i="21"/>
  <c r="B396" i="21"/>
  <c r="A396" i="21"/>
  <c r="BG395" i="21"/>
  <c r="BH395" i="21" s="1"/>
  <c r="BE395" i="21"/>
  <c r="BF395" i="21" s="1"/>
  <c r="AW395" i="21"/>
  <c r="AU395" i="21"/>
  <c r="AV395" i="21" s="1"/>
  <c r="AS395" i="21"/>
  <c r="AT395" i="21" s="1"/>
  <c r="AQ395" i="21"/>
  <c r="AO395" i="21"/>
  <c r="AP395" i="21" s="1"/>
  <c r="AM395" i="21"/>
  <c r="AN395" i="21" s="1"/>
  <c r="AK395" i="21"/>
  <c r="AL395" i="21" s="1"/>
  <c r="AG395" i="21"/>
  <c r="AE395" i="21"/>
  <c r="AF395" i="21" s="1"/>
  <c r="AC395" i="21"/>
  <c r="AD395" i="21" s="1"/>
  <c r="AA395" i="21"/>
  <c r="AB395" i="21" s="1"/>
  <c r="W395" i="21"/>
  <c r="X395" i="21" s="1"/>
  <c r="U395" i="21"/>
  <c r="V395" i="21" s="1"/>
  <c r="S395" i="21"/>
  <c r="T395" i="21" s="1"/>
  <c r="Z395" i="21" s="1"/>
  <c r="Q395" i="21"/>
  <c r="R395" i="21" s="1"/>
  <c r="P395" i="21"/>
  <c r="O395" i="21"/>
  <c r="N395" i="21"/>
  <c r="M395" i="21"/>
  <c r="L395" i="21"/>
  <c r="K395" i="21"/>
  <c r="J395" i="21"/>
  <c r="I395" i="21"/>
  <c r="H395" i="21"/>
  <c r="G395" i="21"/>
  <c r="F395" i="21"/>
  <c r="E395" i="21"/>
  <c r="D395" i="21"/>
  <c r="C395" i="21"/>
  <c r="B395" i="21"/>
  <c r="A395" i="21"/>
  <c r="BG394" i="21"/>
  <c r="BH394" i="21" s="1"/>
  <c r="BE394" i="21"/>
  <c r="AW394" i="21"/>
  <c r="AX394" i="21" s="1"/>
  <c r="AU394" i="21"/>
  <c r="AS394" i="21"/>
  <c r="AT394" i="21" s="1"/>
  <c r="AQ394" i="21"/>
  <c r="AR394" i="21" s="1"/>
  <c r="AO394" i="21"/>
  <c r="AP394" i="21" s="1"/>
  <c r="AM394" i="21"/>
  <c r="AN394" i="21" s="1"/>
  <c r="AK394" i="21"/>
  <c r="AL394" i="21" s="1"/>
  <c r="AG394" i="21"/>
  <c r="AH394" i="21" s="1"/>
  <c r="AE394" i="21"/>
  <c r="AF394" i="21" s="1"/>
  <c r="AC394" i="21"/>
  <c r="AD394" i="21" s="1"/>
  <c r="AA394" i="21"/>
  <c r="AB394" i="21" s="1"/>
  <c r="W394" i="21"/>
  <c r="X394" i="21" s="1"/>
  <c r="U394" i="21"/>
  <c r="S394" i="21"/>
  <c r="T394" i="21" s="1"/>
  <c r="Q394" i="21"/>
  <c r="R394" i="21" s="1"/>
  <c r="P394" i="21"/>
  <c r="O394" i="21"/>
  <c r="N394" i="21"/>
  <c r="M394" i="21"/>
  <c r="L394" i="21"/>
  <c r="K394" i="21"/>
  <c r="J394" i="21"/>
  <c r="I394" i="21"/>
  <c r="H394" i="21"/>
  <c r="G394" i="21"/>
  <c r="F394" i="21"/>
  <c r="E394" i="21"/>
  <c r="D394" i="21"/>
  <c r="C394" i="21"/>
  <c r="B394" i="21"/>
  <c r="A394" i="21"/>
  <c r="BG393" i="21"/>
  <c r="BH393" i="21" s="1"/>
  <c r="BE393" i="21"/>
  <c r="BF393" i="21" s="1"/>
  <c r="AW393" i="21"/>
  <c r="AX393" i="21" s="1"/>
  <c r="AU393" i="21"/>
  <c r="AV393" i="21" s="1"/>
  <c r="AS393" i="21"/>
  <c r="AT393" i="21" s="1"/>
  <c r="AQ393" i="21"/>
  <c r="AO393" i="21"/>
  <c r="AP393" i="21" s="1"/>
  <c r="AM393" i="21"/>
  <c r="AN393" i="21" s="1"/>
  <c r="AK393" i="21"/>
  <c r="AL393" i="21" s="1"/>
  <c r="AG393" i="21"/>
  <c r="AH393" i="21" s="1"/>
  <c r="AE393" i="21"/>
  <c r="AF393" i="21" s="1"/>
  <c r="AC393" i="21"/>
  <c r="AD393" i="21" s="1"/>
  <c r="AA393" i="21"/>
  <c r="AB393" i="21" s="1"/>
  <c r="W393" i="21"/>
  <c r="X393" i="21" s="1"/>
  <c r="U393" i="21"/>
  <c r="S393" i="21"/>
  <c r="T393" i="21" s="1"/>
  <c r="Q393" i="21"/>
  <c r="R393" i="21" s="1"/>
  <c r="P393" i="21"/>
  <c r="O393" i="21"/>
  <c r="N393" i="21"/>
  <c r="M393" i="21"/>
  <c r="L393" i="21"/>
  <c r="K393" i="21"/>
  <c r="J393" i="21"/>
  <c r="I393" i="21"/>
  <c r="H393" i="21"/>
  <c r="G393" i="21"/>
  <c r="F393" i="21"/>
  <c r="E393" i="21"/>
  <c r="D393" i="21"/>
  <c r="C393" i="21"/>
  <c r="B393" i="21"/>
  <c r="A393" i="21"/>
  <c r="BG392" i="21"/>
  <c r="BH392" i="21" s="1"/>
  <c r="BE392" i="21"/>
  <c r="BF392" i="21" s="1"/>
  <c r="AW392" i="21"/>
  <c r="AX392" i="21" s="1"/>
  <c r="AU392" i="21"/>
  <c r="AV392" i="21" s="1"/>
  <c r="AS392" i="21"/>
  <c r="AT392" i="21" s="1"/>
  <c r="AQ392" i="21"/>
  <c r="AR392" i="21" s="1"/>
  <c r="AO392" i="21"/>
  <c r="AP392" i="21" s="1"/>
  <c r="AM392" i="21"/>
  <c r="AN392" i="21" s="1"/>
  <c r="AK392" i="21"/>
  <c r="AL392" i="21" s="1"/>
  <c r="AG392" i="21"/>
  <c r="AH392" i="21" s="1"/>
  <c r="AE392" i="21"/>
  <c r="AF392" i="21" s="1"/>
  <c r="AC392" i="21"/>
  <c r="AD392" i="21" s="1"/>
  <c r="AA392" i="21"/>
  <c r="W392" i="21"/>
  <c r="X392" i="21" s="1"/>
  <c r="U392" i="21"/>
  <c r="V392" i="21" s="1"/>
  <c r="S392" i="21"/>
  <c r="T392" i="21" s="1"/>
  <c r="Q392" i="21"/>
  <c r="R392" i="21" s="1"/>
  <c r="P392" i="21"/>
  <c r="O392" i="21"/>
  <c r="N392" i="21"/>
  <c r="M392" i="21"/>
  <c r="L392" i="21"/>
  <c r="K392" i="21"/>
  <c r="J392" i="21"/>
  <c r="I392" i="21"/>
  <c r="H392" i="21"/>
  <c r="G392" i="21"/>
  <c r="F392" i="21"/>
  <c r="E392" i="21"/>
  <c r="D392" i="21"/>
  <c r="C392" i="21"/>
  <c r="B392" i="21"/>
  <c r="A392" i="21"/>
  <c r="BG391" i="21"/>
  <c r="BH391" i="21" s="1"/>
  <c r="BE391" i="21"/>
  <c r="BF391" i="21" s="1"/>
  <c r="AW391" i="21"/>
  <c r="AU391" i="21"/>
  <c r="AV391" i="21" s="1"/>
  <c r="AS391" i="21"/>
  <c r="AT391" i="21" s="1"/>
  <c r="AQ391" i="21"/>
  <c r="AR391" i="21" s="1"/>
  <c r="AO391" i="21"/>
  <c r="AP391" i="21" s="1"/>
  <c r="AM391" i="21"/>
  <c r="AK391" i="21"/>
  <c r="AL391" i="21" s="1"/>
  <c r="AG391" i="21"/>
  <c r="AH391" i="21" s="1"/>
  <c r="AE391" i="21"/>
  <c r="AC391" i="21"/>
  <c r="AD391" i="21" s="1"/>
  <c r="AJ391" i="21" s="1"/>
  <c r="AA391" i="21"/>
  <c r="AB391" i="21" s="1"/>
  <c r="W391" i="21"/>
  <c r="U391" i="21"/>
  <c r="V391" i="21" s="1"/>
  <c r="S391" i="21"/>
  <c r="T391" i="21" s="1"/>
  <c r="Q391" i="21"/>
  <c r="R391" i="21" s="1"/>
  <c r="P391" i="21"/>
  <c r="O391" i="21"/>
  <c r="N391" i="21"/>
  <c r="M391" i="21"/>
  <c r="L391" i="21"/>
  <c r="K391" i="21"/>
  <c r="J391" i="21"/>
  <c r="I391" i="21"/>
  <c r="H391" i="21"/>
  <c r="G391" i="21"/>
  <c r="F391" i="21"/>
  <c r="E391" i="21"/>
  <c r="D391" i="21"/>
  <c r="C391" i="21"/>
  <c r="B391" i="21"/>
  <c r="A391" i="21"/>
  <c r="BG390" i="21"/>
  <c r="BH390" i="21" s="1"/>
  <c r="BE390" i="21"/>
  <c r="BF390" i="21" s="1"/>
  <c r="AW390" i="21"/>
  <c r="AX390" i="21" s="1"/>
  <c r="AU390" i="21"/>
  <c r="AV390" i="21" s="1"/>
  <c r="AS390" i="21"/>
  <c r="AQ390" i="21"/>
  <c r="AR390" i="21" s="1"/>
  <c r="AO390" i="21"/>
  <c r="AP390" i="21" s="1"/>
  <c r="AM390" i="21"/>
  <c r="AN390" i="21" s="1"/>
  <c r="AK390" i="21"/>
  <c r="AL390" i="21" s="1"/>
  <c r="AG390" i="21"/>
  <c r="AH390" i="21" s="1"/>
  <c r="AE390" i="21"/>
  <c r="AF390" i="21" s="1"/>
  <c r="AC390" i="21"/>
  <c r="AD390" i="21" s="1"/>
  <c r="AA390" i="21"/>
  <c r="AB390" i="21" s="1"/>
  <c r="W390" i="21"/>
  <c r="X390" i="21" s="1"/>
  <c r="U390" i="21"/>
  <c r="V390" i="21" s="1"/>
  <c r="S390" i="21"/>
  <c r="T390" i="21" s="1"/>
  <c r="Q390" i="21"/>
  <c r="R390" i="21" s="1"/>
  <c r="P390" i="21"/>
  <c r="O390" i="21"/>
  <c r="N390" i="21"/>
  <c r="M390" i="21"/>
  <c r="L390" i="21"/>
  <c r="K390" i="21"/>
  <c r="J390" i="21"/>
  <c r="I390" i="21"/>
  <c r="H390" i="21"/>
  <c r="G390" i="21"/>
  <c r="F390" i="21"/>
  <c r="E390" i="21"/>
  <c r="D390" i="21"/>
  <c r="C390" i="21"/>
  <c r="B390" i="21"/>
  <c r="A390" i="21"/>
  <c r="BG389" i="21"/>
  <c r="BH389" i="21" s="1"/>
  <c r="BE389" i="21"/>
  <c r="BF389" i="21" s="1"/>
  <c r="AW389" i="21"/>
  <c r="AX389" i="21" s="1"/>
  <c r="AU389" i="21"/>
  <c r="AS389" i="21"/>
  <c r="AT389" i="21" s="1"/>
  <c r="AQ389" i="21"/>
  <c r="AR389" i="21" s="1"/>
  <c r="AO389" i="21"/>
  <c r="AP389" i="21" s="1"/>
  <c r="AM389" i="21"/>
  <c r="AN389" i="21" s="1"/>
  <c r="AK389" i="21"/>
  <c r="AL389" i="21" s="1"/>
  <c r="AG389" i="21"/>
  <c r="AH389" i="21" s="1"/>
  <c r="AE389" i="21"/>
  <c r="AF389" i="21" s="1"/>
  <c r="AC389" i="21"/>
  <c r="AA389" i="21"/>
  <c r="AB389" i="21" s="1"/>
  <c r="W389" i="21"/>
  <c r="X389" i="21" s="1"/>
  <c r="U389" i="21"/>
  <c r="V389" i="21" s="1"/>
  <c r="S389" i="21"/>
  <c r="T389" i="21" s="1"/>
  <c r="Q389" i="21"/>
  <c r="R389" i="21" s="1"/>
  <c r="P389" i="21"/>
  <c r="O389" i="21"/>
  <c r="N389" i="21"/>
  <c r="M389" i="21"/>
  <c r="L389" i="21"/>
  <c r="K389" i="21"/>
  <c r="J389" i="21"/>
  <c r="I389" i="21"/>
  <c r="H389" i="21"/>
  <c r="G389" i="21"/>
  <c r="F389" i="21"/>
  <c r="E389" i="21"/>
  <c r="D389" i="21"/>
  <c r="C389" i="21"/>
  <c r="B389" i="21"/>
  <c r="A389" i="21"/>
  <c r="BG388" i="21"/>
  <c r="BH388" i="21" s="1"/>
  <c r="BE388" i="21"/>
  <c r="BF388" i="21" s="1"/>
  <c r="AW388" i="21"/>
  <c r="AX388" i="21" s="1"/>
  <c r="AU388" i="21"/>
  <c r="AV388" i="21" s="1"/>
  <c r="AS388" i="21"/>
  <c r="AT388" i="21" s="1"/>
  <c r="AQ388" i="21"/>
  <c r="AO388" i="21"/>
  <c r="AP388" i="21" s="1"/>
  <c r="AM388" i="21"/>
  <c r="AN388" i="21" s="1"/>
  <c r="AK388" i="21"/>
  <c r="AL388" i="21" s="1"/>
  <c r="AG388" i="21"/>
  <c r="AE388" i="21"/>
  <c r="AF388" i="21" s="1"/>
  <c r="AC388" i="21"/>
  <c r="AD388" i="21" s="1"/>
  <c r="AA388" i="21"/>
  <c r="AB388" i="21" s="1"/>
  <c r="W388" i="21"/>
  <c r="X388" i="21" s="1"/>
  <c r="U388" i="21"/>
  <c r="V388" i="21" s="1"/>
  <c r="S388" i="21"/>
  <c r="T388" i="21" s="1"/>
  <c r="Q388" i="21"/>
  <c r="R388" i="21" s="1"/>
  <c r="Y388" i="21" s="1"/>
  <c r="P388" i="21"/>
  <c r="O388" i="21"/>
  <c r="N388" i="21"/>
  <c r="M388" i="21"/>
  <c r="L388" i="21"/>
  <c r="K388" i="21"/>
  <c r="J388" i="21"/>
  <c r="I388" i="21"/>
  <c r="H388" i="21"/>
  <c r="G388" i="21"/>
  <c r="F388" i="21"/>
  <c r="E388" i="21"/>
  <c r="D388" i="21"/>
  <c r="C388" i="21"/>
  <c r="B388" i="21"/>
  <c r="A388" i="21"/>
  <c r="BG387" i="21"/>
  <c r="BH387" i="21" s="1"/>
  <c r="BE387" i="21"/>
  <c r="BF387" i="21" s="1"/>
  <c r="AW387" i="21"/>
  <c r="AX387" i="21" s="1"/>
  <c r="AU387" i="21"/>
  <c r="AV387" i="21" s="1"/>
  <c r="AS387" i="21"/>
  <c r="AT387" i="21" s="1"/>
  <c r="AQ387" i="21"/>
  <c r="AO387" i="21"/>
  <c r="AP387" i="21" s="1"/>
  <c r="AM387" i="21"/>
  <c r="AN387" i="21" s="1"/>
  <c r="AK387" i="21"/>
  <c r="AL387" i="21" s="1"/>
  <c r="AG387" i="21"/>
  <c r="AE387" i="21"/>
  <c r="AF387" i="21" s="1"/>
  <c r="AC387" i="21"/>
  <c r="AD387" i="21" s="1"/>
  <c r="AA387" i="21"/>
  <c r="AB387" i="21" s="1"/>
  <c r="W387" i="21"/>
  <c r="X387" i="21" s="1"/>
  <c r="U387" i="21"/>
  <c r="V387" i="21" s="1"/>
  <c r="S387" i="21"/>
  <c r="Q387" i="21"/>
  <c r="R387" i="21" s="1"/>
  <c r="P387" i="21"/>
  <c r="O387" i="21"/>
  <c r="N387" i="21"/>
  <c r="M387" i="21"/>
  <c r="L387" i="21"/>
  <c r="K387" i="21"/>
  <c r="J387" i="21"/>
  <c r="I387" i="21"/>
  <c r="H387" i="21"/>
  <c r="G387" i="21"/>
  <c r="F387" i="21"/>
  <c r="E387" i="21"/>
  <c r="D387" i="21"/>
  <c r="C387" i="21"/>
  <c r="B387" i="21"/>
  <c r="A387" i="21"/>
  <c r="BG386" i="21"/>
  <c r="BH386" i="21" s="1"/>
  <c r="BE386" i="21"/>
  <c r="BF386" i="21" s="1"/>
  <c r="AW386" i="21"/>
  <c r="AX386" i="21" s="1"/>
  <c r="AU386" i="21"/>
  <c r="AS386" i="21"/>
  <c r="AT386" i="21" s="1"/>
  <c r="AQ386" i="21"/>
  <c r="AR386" i="21" s="1"/>
  <c r="AO386" i="21"/>
  <c r="AP386" i="21" s="1"/>
  <c r="AM386" i="21"/>
  <c r="AN386" i="21" s="1"/>
  <c r="AK386" i="21"/>
  <c r="AL386" i="21" s="1"/>
  <c r="AG386" i="21"/>
  <c r="AH386" i="21" s="1"/>
  <c r="AE386" i="21"/>
  <c r="AF386" i="21" s="1"/>
  <c r="AC386" i="21"/>
  <c r="AA386" i="21"/>
  <c r="AB386" i="21" s="1"/>
  <c r="W386" i="21"/>
  <c r="X386" i="21" s="1"/>
  <c r="U386" i="21"/>
  <c r="V386" i="21" s="1"/>
  <c r="S386" i="21"/>
  <c r="T386" i="21" s="1"/>
  <c r="Q386" i="21"/>
  <c r="R386" i="21" s="1"/>
  <c r="P386" i="21"/>
  <c r="O386" i="21"/>
  <c r="N386" i="21"/>
  <c r="M386" i="21"/>
  <c r="L386" i="21"/>
  <c r="K386" i="21"/>
  <c r="J386" i="21"/>
  <c r="I386" i="21"/>
  <c r="H386" i="21"/>
  <c r="G386" i="21"/>
  <c r="F386" i="21"/>
  <c r="E386" i="21"/>
  <c r="D386" i="21"/>
  <c r="C386" i="21"/>
  <c r="B386" i="21"/>
  <c r="A386" i="21"/>
  <c r="BG385" i="21"/>
  <c r="BH385" i="21" s="1"/>
  <c r="BE385" i="21"/>
  <c r="AW385" i="21"/>
  <c r="AX385" i="21" s="1"/>
  <c r="AU385" i="21"/>
  <c r="AV385" i="21" s="1"/>
  <c r="AS385" i="21"/>
  <c r="AT385" i="21" s="1"/>
  <c r="AQ385" i="21"/>
  <c r="AR385" i="21" s="1"/>
  <c r="AO385" i="21"/>
  <c r="AP385" i="21" s="1"/>
  <c r="AM385" i="21"/>
  <c r="AN385" i="21" s="1"/>
  <c r="AK385" i="21"/>
  <c r="AL385" i="21" s="1"/>
  <c r="AG385" i="21"/>
  <c r="AH385" i="21" s="1"/>
  <c r="AE385" i="21"/>
  <c r="AF385" i="21" s="1"/>
  <c r="AC385" i="21"/>
  <c r="AA385" i="21"/>
  <c r="AB385" i="21" s="1"/>
  <c r="W385" i="21"/>
  <c r="X385" i="21" s="1"/>
  <c r="U385" i="21"/>
  <c r="V385" i="21" s="1"/>
  <c r="S385" i="21"/>
  <c r="Q385" i="21"/>
  <c r="R385" i="21" s="1"/>
  <c r="P385" i="21"/>
  <c r="O385" i="21"/>
  <c r="N385" i="21"/>
  <c r="M385" i="21"/>
  <c r="L385" i="21"/>
  <c r="K385" i="21"/>
  <c r="J385" i="21"/>
  <c r="I385" i="21"/>
  <c r="H385" i="21"/>
  <c r="G385" i="21"/>
  <c r="F385" i="21"/>
  <c r="E385" i="21"/>
  <c r="D385" i="21"/>
  <c r="C385" i="21"/>
  <c r="B385" i="21"/>
  <c r="A385" i="21"/>
  <c r="BG384" i="21"/>
  <c r="BH384" i="21" s="1"/>
  <c r="BE384" i="21"/>
  <c r="BF384" i="21" s="1"/>
  <c r="AW384" i="21"/>
  <c r="AX384" i="21" s="1"/>
  <c r="AU384" i="21"/>
  <c r="AV384" i="21" s="1"/>
  <c r="AS384" i="21"/>
  <c r="AT384" i="21" s="1"/>
  <c r="AQ384" i="21"/>
  <c r="AR384" i="21" s="1"/>
  <c r="AO384" i="21"/>
  <c r="AP384" i="21" s="1"/>
  <c r="AM384" i="21"/>
  <c r="AN384" i="21" s="1"/>
  <c r="AK384" i="21"/>
  <c r="AL384" i="21" s="1"/>
  <c r="AG384" i="21"/>
  <c r="AE384" i="21"/>
  <c r="AF384" i="21" s="1"/>
  <c r="AC384" i="21"/>
  <c r="AD384" i="21" s="1"/>
  <c r="AA384" i="21"/>
  <c r="AB384" i="21" s="1"/>
  <c r="AI384" i="21" s="1"/>
  <c r="W384" i="21"/>
  <c r="X384" i="21" s="1"/>
  <c r="U384" i="21"/>
  <c r="S384" i="21"/>
  <c r="T384" i="21" s="1"/>
  <c r="Q384" i="21"/>
  <c r="R384" i="21" s="1"/>
  <c r="P384" i="21"/>
  <c r="O384" i="21"/>
  <c r="N384" i="21"/>
  <c r="M384" i="21"/>
  <c r="L384" i="21"/>
  <c r="K384" i="21"/>
  <c r="J384" i="21"/>
  <c r="I384" i="21"/>
  <c r="H384" i="21"/>
  <c r="G384" i="21"/>
  <c r="F384" i="21"/>
  <c r="E384" i="21"/>
  <c r="D384" i="21"/>
  <c r="C384" i="21"/>
  <c r="B384" i="21"/>
  <c r="A384" i="21"/>
  <c r="BG383" i="21"/>
  <c r="BH383" i="21" s="1"/>
  <c r="BE383" i="21"/>
  <c r="BF383" i="21" s="1"/>
  <c r="AW383" i="21"/>
  <c r="AU383" i="21"/>
  <c r="AV383" i="21" s="1"/>
  <c r="AS383" i="21"/>
  <c r="AT383" i="21" s="1"/>
  <c r="AQ383" i="21"/>
  <c r="AR383" i="21" s="1"/>
  <c r="AO383" i="21"/>
  <c r="AP383" i="21" s="1"/>
  <c r="AM383" i="21"/>
  <c r="AN383" i="21" s="1"/>
  <c r="AK383" i="21"/>
  <c r="AL383" i="21" s="1"/>
  <c r="AG383" i="21"/>
  <c r="AH383" i="21" s="1"/>
  <c r="AE383" i="21"/>
  <c r="AF383" i="21" s="1"/>
  <c r="AC383" i="21"/>
  <c r="AD383" i="21" s="1"/>
  <c r="AJ383" i="21" s="1"/>
  <c r="AA383" i="21"/>
  <c r="W383" i="21"/>
  <c r="U383" i="21"/>
  <c r="V383" i="21" s="1"/>
  <c r="S383" i="21"/>
  <c r="T383" i="21" s="1"/>
  <c r="Q383" i="21"/>
  <c r="R383" i="21" s="1"/>
  <c r="P383" i="21"/>
  <c r="O383" i="21"/>
  <c r="N383" i="21"/>
  <c r="M383" i="21"/>
  <c r="L383" i="21"/>
  <c r="K383" i="21"/>
  <c r="J383" i="21"/>
  <c r="I383" i="21"/>
  <c r="H383" i="21"/>
  <c r="G383" i="21"/>
  <c r="F383" i="21"/>
  <c r="E383" i="21"/>
  <c r="D383" i="21"/>
  <c r="C383" i="21"/>
  <c r="B383" i="21"/>
  <c r="A383" i="21"/>
  <c r="BG382" i="21"/>
  <c r="BH382" i="21" s="1"/>
  <c r="BE382" i="21"/>
  <c r="BF382" i="21" s="1"/>
  <c r="AW382" i="21"/>
  <c r="AX382" i="21" s="1"/>
  <c r="AU382" i="21"/>
  <c r="AV382" i="21" s="1"/>
  <c r="AS382" i="21"/>
  <c r="AT382" i="21" s="1"/>
  <c r="AQ382" i="21"/>
  <c r="AR382" i="21" s="1"/>
  <c r="AO382" i="21"/>
  <c r="AP382" i="21" s="1"/>
  <c r="AM382" i="21"/>
  <c r="AN382" i="21" s="1"/>
  <c r="AK382" i="21"/>
  <c r="AL382" i="21" s="1"/>
  <c r="AG382" i="21"/>
  <c r="AH382" i="21" s="1"/>
  <c r="AE382" i="21"/>
  <c r="AF382" i="21" s="1"/>
  <c r="AC382" i="21"/>
  <c r="AD382" i="21" s="1"/>
  <c r="AA382" i="21"/>
  <c r="W382" i="21"/>
  <c r="X382" i="21" s="1"/>
  <c r="U382" i="21"/>
  <c r="V382" i="21" s="1"/>
  <c r="S382" i="21"/>
  <c r="Q382" i="21"/>
  <c r="R382" i="21" s="1"/>
  <c r="P382" i="21"/>
  <c r="O382" i="21"/>
  <c r="N382" i="21"/>
  <c r="M382" i="21"/>
  <c r="L382" i="21"/>
  <c r="K382" i="21"/>
  <c r="J382" i="21"/>
  <c r="I382" i="21"/>
  <c r="H382" i="21"/>
  <c r="G382" i="21"/>
  <c r="F382" i="21"/>
  <c r="E382" i="21"/>
  <c r="D382" i="21"/>
  <c r="C382" i="21"/>
  <c r="B382" i="21"/>
  <c r="A382" i="21"/>
  <c r="BG381" i="21"/>
  <c r="BH381" i="21" s="1"/>
  <c r="BE381" i="21"/>
  <c r="BF381" i="21" s="1"/>
  <c r="AW381" i="21"/>
  <c r="AX381" i="21" s="1"/>
  <c r="AU381" i="21"/>
  <c r="AS381" i="21"/>
  <c r="AT381" i="21" s="1"/>
  <c r="AQ381" i="21"/>
  <c r="AR381" i="21" s="1"/>
  <c r="AO381" i="21"/>
  <c r="AP381" i="21" s="1"/>
  <c r="AM381" i="21"/>
  <c r="AN381" i="21" s="1"/>
  <c r="AK381" i="21"/>
  <c r="AL381" i="21" s="1"/>
  <c r="AG381" i="21"/>
  <c r="AH381" i="21" s="1"/>
  <c r="AE381" i="21"/>
  <c r="AC381" i="21"/>
  <c r="AD381" i="21" s="1"/>
  <c r="AA381" i="21"/>
  <c r="AB381" i="21" s="1"/>
  <c r="W381" i="21"/>
  <c r="U381" i="21"/>
  <c r="V381" i="21" s="1"/>
  <c r="S381" i="21"/>
  <c r="T381" i="21" s="1"/>
  <c r="Q381" i="21"/>
  <c r="R381" i="21" s="1"/>
  <c r="P381" i="21"/>
  <c r="O381" i="21"/>
  <c r="N381" i="21"/>
  <c r="M381" i="21"/>
  <c r="L381" i="21"/>
  <c r="K381" i="21"/>
  <c r="J381" i="21"/>
  <c r="I381" i="21"/>
  <c r="H381" i="21"/>
  <c r="G381" i="21"/>
  <c r="F381" i="21"/>
  <c r="E381" i="21"/>
  <c r="D381" i="21"/>
  <c r="C381" i="21"/>
  <c r="B381" i="21"/>
  <c r="A381" i="21"/>
  <c r="BG380" i="21"/>
  <c r="BH380" i="21" s="1"/>
  <c r="BE380" i="21"/>
  <c r="BF380" i="21" s="1"/>
  <c r="AW380" i="21"/>
  <c r="AX380" i="21" s="1"/>
  <c r="AU380" i="21"/>
  <c r="AV380" i="21" s="1"/>
  <c r="AS380" i="21"/>
  <c r="AT380" i="21" s="1"/>
  <c r="AQ380" i="21"/>
  <c r="AR380" i="21" s="1"/>
  <c r="AO380" i="21"/>
  <c r="AP380" i="21" s="1"/>
  <c r="AM380" i="21"/>
  <c r="AN380" i="21" s="1"/>
  <c r="AK380" i="21"/>
  <c r="AG380" i="21"/>
  <c r="AH380" i="21" s="1"/>
  <c r="AE380" i="21"/>
  <c r="AF380" i="21" s="1"/>
  <c r="AC380" i="21"/>
  <c r="AA380" i="21"/>
  <c r="AB380" i="21" s="1"/>
  <c r="W380" i="21"/>
  <c r="X380" i="21" s="1"/>
  <c r="U380" i="21"/>
  <c r="V380" i="21" s="1"/>
  <c r="S380" i="21"/>
  <c r="T380" i="21" s="1"/>
  <c r="Q380" i="21"/>
  <c r="R380" i="21" s="1"/>
  <c r="Y380" i="21" s="1"/>
  <c r="P380" i="21"/>
  <c r="O380" i="21"/>
  <c r="N380" i="21"/>
  <c r="M380" i="21"/>
  <c r="L380" i="21"/>
  <c r="K380" i="21"/>
  <c r="J380" i="21"/>
  <c r="I380" i="21"/>
  <c r="H380" i="21"/>
  <c r="G380" i="21"/>
  <c r="F380" i="21"/>
  <c r="E380" i="21"/>
  <c r="D380" i="21"/>
  <c r="C380" i="21"/>
  <c r="B380" i="21"/>
  <c r="A380" i="21"/>
  <c r="BG379" i="21"/>
  <c r="BH379" i="21" s="1"/>
  <c r="BE379" i="21"/>
  <c r="BF379" i="21" s="1"/>
  <c r="AW379" i="21"/>
  <c r="AX379" i="21" s="1"/>
  <c r="AU379" i="21"/>
  <c r="AV379" i="21" s="1"/>
  <c r="AS379" i="21"/>
  <c r="AT379" i="21" s="1"/>
  <c r="AQ379" i="21"/>
  <c r="AR379" i="21" s="1"/>
  <c r="AO379" i="21"/>
  <c r="AM379" i="21"/>
  <c r="AN379" i="21" s="1"/>
  <c r="AK379" i="21"/>
  <c r="AL379" i="21" s="1"/>
  <c r="AG379" i="21"/>
  <c r="AE379" i="21"/>
  <c r="AF379" i="21" s="1"/>
  <c r="AC379" i="21"/>
  <c r="AD379" i="21" s="1"/>
  <c r="AA379" i="21"/>
  <c r="AB379" i="21" s="1"/>
  <c r="W379" i="21"/>
  <c r="U379" i="21"/>
  <c r="V379" i="21" s="1"/>
  <c r="S379" i="21"/>
  <c r="T379" i="21" s="1"/>
  <c r="Q379" i="21"/>
  <c r="R379" i="21" s="1"/>
  <c r="P379" i="21"/>
  <c r="O379" i="21"/>
  <c r="N379" i="21"/>
  <c r="M379" i="21"/>
  <c r="L379" i="21"/>
  <c r="K379" i="21"/>
  <c r="J379" i="21"/>
  <c r="I379" i="21"/>
  <c r="H379" i="21"/>
  <c r="G379" i="21"/>
  <c r="F379" i="21"/>
  <c r="E379" i="21"/>
  <c r="D379" i="21"/>
  <c r="C379" i="21"/>
  <c r="B379" i="21"/>
  <c r="A379" i="21"/>
  <c r="BG378" i="21"/>
  <c r="BH378" i="21" s="1"/>
  <c r="BE378" i="21"/>
  <c r="BF378" i="21" s="1"/>
  <c r="AW378" i="21"/>
  <c r="AX378" i="21" s="1"/>
  <c r="AU378" i="21"/>
  <c r="AV378" i="21" s="1"/>
  <c r="AS378" i="21"/>
  <c r="AQ378" i="21"/>
  <c r="AR378" i="21" s="1"/>
  <c r="AO378" i="21"/>
  <c r="AP378" i="21" s="1"/>
  <c r="AM378" i="21"/>
  <c r="AK378" i="21"/>
  <c r="AL378" i="21" s="1"/>
  <c r="AG378" i="21"/>
  <c r="AH378" i="21" s="1"/>
  <c r="AE378" i="21"/>
  <c r="AF378" i="21" s="1"/>
  <c r="AC378" i="21"/>
  <c r="AD378" i="21" s="1"/>
  <c r="AA378" i="21"/>
  <c r="AB378" i="21" s="1"/>
  <c r="W378" i="21"/>
  <c r="X378" i="21" s="1"/>
  <c r="U378" i="21"/>
  <c r="S378" i="21"/>
  <c r="T378" i="21" s="1"/>
  <c r="Q378" i="21"/>
  <c r="R378" i="21" s="1"/>
  <c r="P378" i="21"/>
  <c r="O378" i="21"/>
  <c r="N378" i="21"/>
  <c r="M378" i="21"/>
  <c r="L378" i="21"/>
  <c r="K378" i="21"/>
  <c r="J378" i="21"/>
  <c r="I378" i="21"/>
  <c r="H378" i="21"/>
  <c r="G378" i="21"/>
  <c r="F378" i="21"/>
  <c r="E378" i="21"/>
  <c r="D378" i="21"/>
  <c r="C378" i="21"/>
  <c r="B378" i="21"/>
  <c r="A378" i="21"/>
  <c r="BG377" i="21"/>
  <c r="BE377" i="21"/>
  <c r="BF377" i="21" s="1"/>
  <c r="AW377" i="21"/>
  <c r="AX377" i="21" s="1"/>
  <c r="AU377" i="21"/>
  <c r="AV377" i="21" s="1"/>
  <c r="AS377" i="21"/>
  <c r="AT377" i="21" s="1"/>
  <c r="AQ377" i="21"/>
  <c r="AO377" i="21"/>
  <c r="AP377" i="21" s="1"/>
  <c r="AM377" i="21"/>
  <c r="AN377" i="21" s="1"/>
  <c r="AK377" i="21"/>
  <c r="AL377" i="21" s="1"/>
  <c r="AG377" i="21"/>
  <c r="AH377" i="21" s="1"/>
  <c r="AE377" i="21"/>
  <c r="AF377" i="21" s="1"/>
  <c r="AC377" i="21"/>
  <c r="AD377" i="21" s="1"/>
  <c r="AA377" i="21"/>
  <c r="W377" i="21"/>
  <c r="X377" i="21" s="1"/>
  <c r="U377" i="21"/>
  <c r="V377" i="21" s="1"/>
  <c r="S377" i="21"/>
  <c r="Q377" i="21"/>
  <c r="R377" i="21" s="1"/>
  <c r="P377" i="21"/>
  <c r="O377" i="21"/>
  <c r="N377" i="21"/>
  <c r="M377" i="21"/>
  <c r="L377" i="21"/>
  <c r="K377" i="21"/>
  <c r="J377" i="21"/>
  <c r="I377" i="21"/>
  <c r="H377" i="21"/>
  <c r="G377" i="21"/>
  <c r="F377" i="21"/>
  <c r="E377" i="21"/>
  <c r="D377" i="21"/>
  <c r="C377" i="21"/>
  <c r="B377" i="21"/>
  <c r="A377" i="21"/>
  <c r="BG376" i="21"/>
  <c r="BH376" i="21" s="1"/>
  <c r="BE376" i="21"/>
  <c r="AW376" i="21"/>
  <c r="AX376" i="21" s="1"/>
  <c r="AU376" i="21"/>
  <c r="AS376" i="21"/>
  <c r="AT376" i="21" s="1"/>
  <c r="AQ376" i="21"/>
  <c r="AR376" i="21" s="1"/>
  <c r="AO376" i="21"/>
  <c r="AP376" i="21" s="1"/>
  <c r="AM376" i="21"/>
  <c r="AN376" i="21" s="1"/>
  <c r="AK376" i="21"/>
  <c r="AL376" i="21" s="1"/>
  <c r="AG376" i="21"/>
  <c r="AH376" i="21" s="1"/>
  <c r="AE376" i="21"/>
  <c r="AC376" i="21"/>
  <c r="AD376" i="21" s="1"/>
  <c r="AA376" i="21"/>
  <c r="AB376" i="21" s="1"/>
  <c r="W376" i="21"/>
  <c r="U376" i="21"/>
  <c r="V376" i="21" s="1"/>
  <c r="S376" i="21"/>
  <c r="T376" i="21" s="1"/>
  <c r="Q376" i="21"/>
  <c r="P376" i="21"/>
  <c r="O376" i="21"/>
  <c r="N376" i="21"/>
  <c r="M376" i="21"/>
  <c r="L376" i="21"/>
  <c r="K376" i="21"/>
  <c r="J376" i="21"/>
  <c r="I376" i="21"/>
  <c r="H376" i="21"/>
  <c r="G376" i="21"/>
  <c r="F376" i="21"/>
  <c r="E376" i="21"/>
  <c r="D376" i="21"/>
  <c r="C376" i="21"/>
  <c r="B376" i="21"/>
  <c r="A376" i="21"/>
  <c r="BG375" i="21"/>
  <c r="BH375" i="21" s="1"/>
  <c r="BE375" i="21"/>
  <c r="BF375" i="21" s="1"/>
  <c r="AW375" i="21"/>
  <c r="AX375" i="21" s="1"/>
  <c r="AU375" i="21"/>
  <c r="AV375" i="21" s="1"/>
  <c r="AS375" i="21"/>
  <c r="AT375" i="21" s="1"/>
  <c r="AQ375" i="21"/>
  <c r="AO375" i="21"/>
  <c r="AP375" i="21" s="1"/>
  <c r="AM375" i="21"/>
  <c r="AN375" i="21" s="1"/>
  <c r="AK375" i="21"/>
  <c r="AG375" i="21"/>
  <c r="AH375" i="21" s="1"/>
  <c r="AE375" i="21"/>
  <c r="AF375" i="21" s="1"/>
  <c r="AC375" i="21"/>
  <c r="AA375" i="21"/>
  <c r="AB375" i="21" s="1"/>
  <c r="W375" i="21"/>
  <c r="X375" i="21" s="1"/>
  <c r="U375" i="21"/>
  <c r="V375" i="21" s="1"/>
  <c r="S375" i="21"/>
  <c r="T375" i="21" s="1"/>
  <c r="Q375" i="21"/>
  <c r="R375" i="21" s="1"/>
  <c r="P375" i="21"/>
  <c r="O375" i="21"/>
  <c r="N375" i="21"/>
  <c r="M375" i="21"/>
  <c r="L375" i="21"/>
  <c r="K375" i="21"/>
  <c r="J375" i="21"/>
  <c r="I375" i="21"/>
  <c r="H375" i="21"/>
  <c r="G375" i="21"/>
  <c r="F375" i="21"/>
  <c r="E375" i="21"/>
  <c r="D375" i="21"/>
  <c r="C375" i="21"/>
  <c r="B375" i="21"/>
  <c r="A375" i="21"/>
  <c r="BG374" i="21"/>
  <c r="BE374" i="21"/>
  <c r="BF374" i="21" s="1"/>
  <c r="AW374" i="21"/>
  <c r="AX374" i="21" s="1"/>
  <c r="AU374" i="21"/>
  <c r="AV374" i="21" s="1"/>
  <c r="AS374" i="21"/>
  <c r="AT374" i="21" s="1"/>
  <c r="AQ374" i="21"/>
  <c r="AR374" i="21" s="1"/>
  <c r="AO374" i="21"/>
  <c r="AM374" i="21"/>
  <c r="AN374" i="21" s="1"/>
  <c r="AK374" i="21"/>
  <c r="AL374" i="21" s="1"/>
  <c r="AG374" i="21"/>
  <c r="AE374" i="21"/>
  <c r="AF374" i="21" s="1"/>
  <c r="AC374" i="21"/>
  <c r="AD374" i="21" s="1"/>
  <c r="AA374" i="21"/>
  <c r="W374" i="21"/>
  <c r="X374" i="21" s="1"/>
  <c r="U374" i="21"/>
  <c r="V374" i="21" s="1"/>
  <c r="S374" i="21"/>
  <c r="T374" i="21" s="1"/>
  <c r="Q374" i="21"/>
  <c r="R374" i="21" s="1"/>
  <c r="P374" i="21"/>
  <c r="O374" i="21"/>
  <c r="N374" i="21"/>
  <c r="M374" i="21"/>
  <c r="L374" i="21"/>
  <c r="K374" i="21"/>
  <c r="J374" i="21"/>
  <c r="I374" i="21"/>
  <c r="H374" i="21"/>
  <c r="G374" i="21"/>
  <c r="F374" i="21"/>
  <c r="E374" i="21"/>
  <c r="D374" i="21"/>
  <c r="C374" i="21"/>
  <c r="B374" i="21"/>
  <c r="A374" i="21"/>
  <c r="BG373" i="21"/>
  <c r="BH373" i="21" s="1"/>
  <c r="BE373" i="21"/>
  <c r="BF373" i="21" s="1"/>
  <c r="AW373" i="21"/>
  <c r="AX373" i="21" s="1"/>
  <c r="AU373" i="21"/>
  <c r="AV373" i="21" s="1"/>
  <c r="AS373" i="21"/>
  <c r="AQ373" i="21"/>
  <c r="AR373" i="21" s="1"/>
  <c r="AO373" i="21"/>
  <c r="AM373" i="21"/>
  <c r="AK373" i="21"/>
  <c r="AL373" i="21" s="1"/>
  <c r="AG373" i="21"/>
  <c r="AH373" i="21" s="1"/>
  <c r="AE373" i="21"/>
  <c r="AC373" i="21"/>
  <c r="AD373" i="21" s="1"/>
  <c r="AA373" i="21"/>
  <c r="AB373" i="21" s="1"/>
  <c r="W373" i="21"/>
  <c r="X373" i="21" s="1"/>
  <c r="U373" i="21"/>
  <c r="V373" i="21" s="1"/>
  <c r="S373" i="21"/>
  <c r="Q373" i="21"/>
  <c r="R373" i="21" s="1"/>
  <c r="P373" i="21"/>
  <c r="O373" i="21"/>
  <c r="N373" i="21"/>
  <c r="M373" i="21"/>
  <c r="L373" i="21"/>
  <c r="K373" i="21"/>
  <c r="J373" i="21"/>
  <c r="I373" i="21"/>
  <c r="H373" i="21"/>
  <c r="G373" i="21"/>
  <c r="F373" i="21"/>
  <c r="E373" i="21"/>
  <c r="D373" i="21"/>
  <c r="C373" i="21"/>
  <c r="B373" i="21"/>
  <c r="A373" i="21"/>
  <c r="BG372" i="21"/>
  <c r="BH372" i="21" s="1"/>
  <c r="BE372" i="21"/>
  <c r="BF372" i="21" s="1"/>
  <c r="AW372" i="21"/>
  <c r="AU372" i="21"/>
  <c r="AV372" i="21" s="1"/>
  <c r="AS372" i="21"/>
  <c r="AT372" i="21" s="1"/>
  <c r="AQ372" i="21"/>
  <c r="AR372" i="21" s="1"/>
  <c r="AO372" i="21"/>
  <c r="AP372" i="21" s="1"/>
  <c r="AM372" i="21"/>
  <c r="AN372" i="21" s="1"/>
  <c r="AK372" i="21"/>
  <c r="AG372" i="21"/>
  <c r="AE372" i="21"/>
  <c r="AF372" i="21" s="1"/>
  <c r="AC372" i="21"/>
  <c r="AD372" i="21" s="1"/>
  <c r="AA372" i="21"/>
  <c r="AB372" i="21" s="1"/>
  <c r="W372" i="21"/>
  <c r="X372" i="21" s="1"/>
  <c r="U372" i="21"/>
  <c r="V372" i="21" s="1"/>
  <c r="S372" i="21"/>
  <c r="Q372" i="21"/>
  <c r="R372" i="21" s="1"/>
  <c r="Y372" i="21" s="1"/>
  <c r="P372" i="21"/>
  <c r="O372" i="21"/>
  <c r="N372" i="21"/>
  <c r="M372" i="21"/>
  <c r="L372" i="21"/>
  <c r="K372" i="21"/>
  <c r="J372" i="21"/>
  <c r="I372" i="21"/>
  <c r="H372" i="21"/>
  <c r="G372" i="21"/>
  <c r="F372" i="21"/>
  <c r="E372" i="21"/>
  <c r="D372" i="21"/>
  <c r="C372" i="21"/>
  <c r="B372" i="21"/>
  <c r="A372" i="21"/>
  <c r="BG371" i="21"/>
  <c r="BH371" i="21" s="1"/>
  <c r="BE371" i="21"/>
  <c r="BF371" i="21" s="1"/>
  <c r="AW371" i="21"/>
  <c r="AX371" i="21" s="1"/>
  <c r="AU371" i="21"/>
  <c r="AV371" i="21" s="1"/>
  <c r="AS371" i="21"/>
  <c r="AT371" i="21" s="1"/>
  <c r="AQ371" i="21"/>
  <c r="AR371" i="21" s="1"/>
  <c r="AO371" i="21"/>
  <c r="AM371" i="21"/>
  <c r="AK371" i="21"/>
  <c r="AL371" i="21" s="1"/>
  <c r="AG371" i="21"/>
  <c r="AE371" i="21"/>
  <c r="AF371" i="21" s="1"/>
  <c r="AC371" i="21"/>
  <c r="AD371" i="21" s="1"/>
  <c r="AA371" i="21"/>
  <c r="AB371" i="21" s="1"/>
  <c r="W371" i="21"/>
  <c r="U371" i="21"/>
  <c r="V371" i="21" s="1"/>
  <c r="S371" i="21"/>
  <c r="T371" i="21" s="1"/>
  <c r="Q371" i="21"/>
  <c r="R371" i="21" s="1"/>
  <c r="P371" i="21"/>
  <c r="O371" i="21"/>
  <c r="N371" i="21"/>
  <c r="M371" i="21"/>
  <c r="L371" i="21"/>
  <c r="K371" i="21"/>
  <c r="J371" i="21"/>
  <c r="I371" i="21"/>
  <c r="H371" i="21"/>
  <c r="G371" i="21"/>
  <c r="F371" i="21"/>
  <c r="E371" i="21"/>
  <c r="D371" i="21"/>
  <c r="C371" i="21"/>
  <c r="B371" i="21"/>
  <c r="A371" i="21"/>
  <c r="BG370" i="21"/>
  <c r="BH370" i="21" s="1"/>
  <c r="BE370" i="21"/>
  <c r="BF370" i="21" s="1"/>
  <c r="AW370" i="21"/>
  <c r="AX370" i="21" s="1"/>
  <c r="AU370" i="21"/>
  <c r="AV370" i="21" s="1"/>
  <c r="AS370" i="21"/>
  <c r="AQ370" i="21"/>
  <c r="AO370" i="21"/>
  <c r="AP370" i="21" s="1"/>
  <c r="AM370" i="21"/>
  <c r="AN370" i="21" s="1"/>
  <c r="AK370" i="21"/>
  <c r="AL370" i="21" s="1"/>
  <c r="AG370" i="21"/>
  <c r="AH370" i="21" s="1"/>
  <c r="AE370" i="21"/>
  <c r="AF370" i="21" s="1"/>
  <c r="AC370" i="21"/>
  <c r="AD370" i="21" s="1"/>
  <c r="AA370" i="21"/>
  <c r="AB370" i="21" s="1"/>
  <c r="W370" i="21"/>
  <c r="X370" i="21" s="1"/>
  <c r="U370" i="21"/>
  <c r="V370" i="21" s="1"/>
  <c r="S370" i="21"/>
  <c r="Q370" i="21"/>
  <c r="R370" i="21" s="1"/>
  <c r="P370" i="21"/>
  <c r="O370" i="21"/>
  <c r="N370" i="21"/>
  <c r="M370" i="21"/>
  <c r="L370" i="21"/>
  <c r="K370" i="21"/>
  <c r="J370" i="21"/>
  <c r="I370" i="21"/>
  <c r="H370" i="21"/>
  <c r="G370" i="21"/>
  <c r="F370" i="21"/>
  <c r="E370" i="21"/>
  <c r="D370" i="21"/>
  <c r="C370" i="21"/>
  <c r="B370" i="21"/>
  <c r="A370" i="21"/>
  <c r="BG369" i="21"/>
  <c r="BE369" i="21"/>
  <c r="BF369" i="21" s="1"/>
  <c r="AW369" i="21"/>
  <c r="AX369" i="21" s="1"/>
  <c r="AU369" i="21"/>
  <c r="AS369" i="21"/>
  <c r="AT369" i="21" s="1"/>
  <c r="AQ369" i="21"/>
  <c r="AR369" i="21" s="1"/>
  <c r="AO369" i="21"/>
  <c r="AP369" i="21" s="1"/>
  <c r="AM369" i="21"/>
  <c r="AK369" i="21"/>
  <c r="AL369" i="21" s="1"/>
  <c r="AG369" i="21"/>
  <c r="AH369" i="21" s="1"/>
  <c r="AE369" i="21"/>
  <c r="AF369" i="21" s="1"/>
  <c r="AC369" i="21"/>
  <c r="AD369" i="21" s="1"/>
  <c r="AA369" i="21"/>
  <c r="W369" i="21"/>
  <c r="U369" i="21"/>
  <c r="V369" i="21" s="1"/>
  <c r="S369" i="21"/>
  <c r="Q369" i="21"/>
  <c r="R369" i="21" s="1"/>
  <c r="P369" i="21"/>
  <c r="O369" i="21"/>
  <c r="N369" i="21"/>
  <c r="M369" i="21"/>
  <c r="L369" i="21"/>
  <c r="K369" i="21"/>
  <c r="J369" i="21"/>
  <c r="I369" i="21"/>
  <c r="H369" i="21"/>
  <c r="G369" i="21"/>
  <c r="F369" i="21"/>
  <c r="E369" i="21"/>
  <c r="D369" i="21"/>
  <c r="C369" i="21"/>
  <c r="B369" i="21"/>
  <c r="A369" i="21"/>
  <c r="BG368" i="21"/>
  <c r="BE368" i="21"/>
  <c r="BF368" i="21" s="1"/>
  <c r="AW368" i="21"/>
  <c r="AU368" i="21"/>
  <c r="AV368" i="21" s="1"/>
  <c r="AS368" i="21"/>
  <c r="AT368" i="21" s="1"/>
  <c r="AQ368" i="21"/>
  <c r="AR368" i="21" s="1"/>
  <c r="AO368" i="21"/>
  <c r="AP368" i="21" s="1"/>
  <c r="AM368" i="21"/>
  <c r="AN368" i="21" s="1"/>
  <c r="AK368" i="21"/>
  <c r="AL368" i="21" s="1"/>
  <c r="AG368" i="21"/>
  <c r="AH368" i="21" s="1"/>
  <c r="AE368" i="21"/>
  <c r="AC368" i="21"/>
  <c r="AA368" i="21"/>
  <c r="AB368" i="21" s="1"/>
  <c r="W368" i="21"/>
  <c r="X368" i="21" s="1"/>
  <c r="U368" i="21"/>
  <c r="V368" i="21" s="1"/>
  <c r="S368" i="21"/>
  <c r="T368" i="21" s="1"/>
  <c r="Q368" i="21"/>
  <c r="R368" i="21" s="1"/>
  <c r="P368" i="21"/>
  <c r="O368" i="21"/>
  <c r="N368" i="21"/>
  <c r="M368" i="21"/>
  <c r="L368" i="21"/>
  <c r="K368" i="21"/>
  <c r="J368" i="21"/>
  <c r="I368" i="21"/>
  <c r="H368" i="21"/>
  <c r="G368" i="21"/>
  <c r="F368" i="21"/>
  <c r="E368" i="21"/>
  <c r="D368" i="21"/>
  <c r="C368" i="21"/>
  <c r="B368" i="21"/>
  <c r="A368" i="21"/>
  <c r="BG367" i="21"/>
  <c r="BH367" i="21" s="1"/>
  <c r="BE367" i="21"/>
  <c r="BF367" i="21" s="1"/>
  <c r="AW367" i="21"/>
  <c r="AX367" i="21" s="1"/>
  <c r="AU367" i="21"/>
  <c r="AV367" i="21" s="1"/>
  <c r="AS367" i="21"/>
  <c r="AT367" i="21" s="1"/>
  <c r="AQ367" i="21"/>
  <c r="AR367" i="21" s="1"/>
  <c r="AO367" i="21"/>
  <c r="AP367" i="21" s="1"/>
  <c r="AM367" i="21"/>
  <c r="AN367" i="21" s="1"/>
  <c r="AK367" i="21"/>
  <c r="AL367" i="21" s="1"/>
  <c r="AG367" i="21"/>
  <c r="AE367" i="21"/>
  <c r="AF367" i="21" s="1"/>
  <c r="AC367" i="21"/>
  <c r="AA367" i="21"/>
  <c r="AB367" i="21" s="1"/>
  <c r="W367" i="21"/>
  <c r="U367" i="21"/>
  <c r="V367" i="21" s="1"/>
  <c r="S367" i="21"/>
  <c r="T367" i="21" s="1"/>
  <c r="Q367" i="21"/>
  <c r="R367" i="21" s="1"/>
  <c r="P367" i="21"/>
  <c r="O367" i="21"/>
  <c r="N367" i="21"/>
  <c r="M367" i="21"/>
  <c r="L367" i="21"/>
  <c r="K367" i="21"/>
  <c r="J367" i="21"/>
  <c r="I367" i="21"/>
  <c r="H367" i="21"/>
  <c r="G367" i="21"/>
  <c r="F367" i="21"/>
  <c r="E367" i="21"/>
  <c r="D367" i="21"/>
  <c r="C367" i="21"/>
  <c r="B367" i="21"/>
  <c r="A367" i="21"/>
  <c r="BG366" i="21"/>
  <c r="BH366" i="21" s="1"/>
  <c r="BE366" i="21"/>
  <c r="BF366" i="21" s="1"/>
  <c r="AW366" i="21"/>
  <c r="AX366" i="21" s="1"/>
  <c r="AU366" i="21"/>
  <c r="AV366" i="21" s="1"/>
  <c r="AS366" i="21"/>
  <c r="AT366" i="21" s="1"/>
  <c r="AQ366" i="21"/>
  <c r="AR366" i="21" s="1"/>
  <c r="AO366" i="21"/>
  <c r="AP366" i="21" s="1"/>
  <c r="AM366" i="21"/>
  <c r="AK366" i="21"/>
  <c r="AL366" i="21" s="1"/>
  <c r="AG366" i="21"/>
  <c r="AE366" i="21"/>
  <c r="AF366" i="21" s="1"/>
  <c r="AC366" i="21"/>
  <c r="AD366" i="21" s="1"/>
  <c r="AA366" i="21"/>
  <c r="AB366" i="21" s="1"/>
  <c r="W366" i="21"/>
  <c r="X366" i="21" s="1"/>
  <c r="U366" i="21"/>
  <c r="V366" i="21" s="1"/>
  <c r="S366" i="21"/>
  <c r="T366" i="21" s="1"/>
  <c r="Q366" i="21"/>
  <c r="R366" i="21" s="1"/>
  <c r="P366" i="21"/>
  <c r="O366" i="21"/>
  <c r="N366" i="21"/>
  <c r="M366" i="21"/>
  <c r="L366" i="21"/>
  <c r="K366" i="21"/>
  <c r="J366" i="21"/>
  <c r="I366" i="21"/>
  <c r="H366" i="21"/>
  <c r="G366" i="21"/>
  <c r="F366" i="21"/>
  <c r="E366" i="21"/>
  <c r="D366" i="21"/>
  <c r="C366" i="21"/>
  <c r="B366" i="21"/>
  <c r="A366" i="21"/>
  <c r="BG365" i="21"/>
  <c r="BH365" i="21" s="1"/>
  <c r="BE365" i="21"/>
  <c r="BF365" i="21" s="1"/>
  <c r="AW365" i="21"/>
  <c r="AX365" i="21" s="1"/>
  <c r="AU365" i="21"/>
  <c r="AV365" i="21" s="1"/>
  <c r="AS365" i="21"/>
  <c r="AQ365" i="21"/>
  <c r="AO365" i="21"/>
  <c r="AP365" i="21" s="1"/>
  <c r="AM365" i="21"/>
  <c r="AK365" i="21"/>
  <c r="AL365" i="21" s="1"/>
  <c r="AG365" i="21"/>
  <c r="AE365" i="21"/>
  <c r="AF365" i="21" s="1"/>
  <c r="AC365" i="21"/>
  <c r="AD365" i="21" s="1"/>
  <c r="AA365" i="21"/>
  <c r="AB365" i="21" s="1"/>
  <c r="W365" i="21"/>
  <c r="X365" i="21" s="1"/>
  <c r="U365" i="21"/>
  <c r="V365" i="21" s="1"/>
  <c r="S365" i="21"/>
  <c r="Q365" i="21"/>
  <c r="R365" i="21" s="1"/>
  <c r="P365" i="21"/>
  <c r="O365" i="21"/>
  <c r="N365" i="21"/>
  <c r="M365" i="21"/>
  <c r="L365" i="21"/>
  <c r="K365" i="21"/>
  <c r="J365" i="21"/>
  <c r="I365" i="21"/>
  <c r="H365" i="21"/>
  <c r="G365" i="21"/>
  <c r="F365" i="21"/>
  <c r="E365" i="21"/>
  <c r="D365" i="21"/>
  <c r="C365" i="21"/>
  <c r="B365" i="21"/>
  <c r="A365" i="21"/>
  <c r="BG364" i="21"/>
  <c r="BH364" i="21" s="1"/>
  <c r="BE364" i="21"/>
  <c r="BF364" i="21" s="1"/>
  <c r="AW364" i="21"/>
  <c r="AX364" i="21" s="1"/>
  <c r="AU364" i="21"/>
  <c r="AS364" i="21"/>
  <c r="AT364" i="21" s="1"/>
  <c r="AQ364" i="21"/>
  <c r="AO364" i="21"/>
  <c r="AP364" i="21" s="1"/>
  <c r="AM364" i="21"/>
  <c r="AK364" i="21"/>
  <c r="AL364" i="21" s="1"/>
  <c r="AG364" i="21"/>
  <c r="AH364" i="21" s="1"/>
  <c r="AE364" i="21"/>
  <c r="AF364" i="21" s="1"/>
  <c r="AC364" i="21"/>
  <c r="AA364" i="21"/>
  <c r="AB364" i="21" s="1"/>
  <c r="W364" i="21"/>
  <c r="X364" i="21" s="1"/>
  <c r="U364" i="21"/>
  <c r="V364" i="21" s="1"/>
  <c r="S364" i="21"/>
  <c r="Q364" i="21"/>
  <c r="R364" i="21" s="1"/>
  <c r="Y364" i="21" s="1"/>
  <c r="P364" i="21"/>
  <c r="O364" i="21"/>
  <c r="N364" i="21"/>
  <c r="M364" i="21"/>
  <c r="L364" i="21"/>
  <c r="K364" i="21"/>
  <c r="J364" i="21"/>
  <c r="I364" i="21"/>
  <c r="H364" i="21"/>
  <c r="G364" i="21"/>
  <c r="F364" i="21"/>
  <c r="E364" i="21"/>
  <c r="D364" i="21"/>
  <c r="C364" i="21"/>
  <c r="B364" i="21"/>
  <c r="A364" i="21"/>
  <c r="BG363" i="21"/>
  <c r="BH363" i="21" s="1"/>
  <c r="BE363" i="21"/>
  <c r="AW363" i="21"/>
  <c r="AX363" i="21" s="1"/>
  <c r="AU363" i="21"/>
  <c r="AS363" i="21"/>
  <c r="AT363" i="21" s="1"/>
  <c r="AQ363" i="21"/>
  <c r="AR363" i="21" s="1"/>
  <c r="AO363" i="21"/>
  <c r="AP363" i="21" s="1"/>
  <c r="AM363" i="21"/>
  <c r="AN363" i="21" s="1"/>
  <c r="AK363" i="21"/>
  <c r="AL363" i="21" s="1"/>
  <c r="AG363" i="21"/>
  <c r="AH363" i="21" s="1"/>
  <c r="AE363" i="21"/>
  <c r="AF363" i="21" s="1"/>
  <c r="AC363" i="21"/>
  <c r="AD363" i="21" s="1"/>
  <c r="AA363" i="21"/>
  <c r="W363" i="21"/>
  <c r="X363" i="21" s="1"/>
  <c r="U363" i="21"/>
  <c r="V363" i="21" s="1"/>
  <c r="S363" i="21"/>
  <c r="T363" i="21" s="1"/>
  <c r="Z363" i="21" s="1"/>
  <c r="Q363" i="21"/>
  <c r="P363" i="21"/>
  <c r="O363" i="21"/>
  <c r="N363" i="21"/>
  <c r="M363" i="21"/>
  <c r="L363" i="21"/>
  <c r="K363" i="21"/>
  <c r="J363" i="21"/>
  <c r="I363" i="21"/>
  <c r="H363" i="21"/>
  <c r="G363" i="21"/>
  <c r="F363" i="21"/>
  <c r="E363" i="21"/>
  <c r="D363" i="21"/>
  <c r="C363" i="21"/>
  <c r="B363" i="21"/>
  <c r="A363" i="21"/>
  <c r="BG362" i="21"/>
  <c r="BH362" i="21" s="1"/>
  <c r="BE362" i="21"/>
  <c r="BF362" i="21" s="1"/>
  <c r="AW362" i="21"/>
  <c r="AX362" i="21" s="1"/>
  <c r="AU362" i="21"/>
  <c r="AS362" i="21"/>
  <c r="AT362" i="21" s="1"/>
  <c r="AQ362" i="21"/>
  <c r="AR362" i="21" s="1"/>
  <c r="AO362" i="21"/>
  <c r="AP362" i="21" s="1"/>
  <c r="AM362" i="21"/>
  <c r="AN362" i="21" s="1"/>
  <c r="AK362" i="21"/>
  <c r="AL362" i="21" s="1"/>
  <c r="AG362" i="21"/>
  <c r="AH362" i="21" s="1"/>
  <c r="AE362" i="21"/>
  <c r="AF362" i="21" s="1"/>
  <c r="AC362" i="21"/>
  <c r="AD362" i="21" s="1"/>
  <c r="AA362" i="21"/>
  <c r="AB362" i="21" s="1"/>
  <c r="W362" i="21"/>
  <c r="X362" i="21" s="1"/>
  <c r="U362" i="21"/>
  <c r="V362" i="21" s="1"/>
  <c r="S362" i="21"/>
  <c r="T362" i="21" s="1"/>
  <c r="Q362" i="21"/>
  <c r="R362" i="21" s="1"/>
  <c r="P362" i="21"/>
  <c r="O362" i="21"/>
  <c r="N362" i="21"/>
  <c r="M362" i="21"/>
  <c r="L362" i="21"/>
  <c r="K362" i="21"/>
  <c r="J362" i="21"/>
  <c r="I362" i="21"/>
  <c r="H362" i="21"/>
  <c r="G362" i="21"/>
  <c r="F362" i="21"/>
  <c r="E362" i="21"/>
  <c r="D362" i="21"/>
  <c r="C362" i="21"/>
  <c r="B362" i="21"/>
  <c r="A362" i="21"/>
  <c r="BG361" i="21"/>
  <c r="BE361" i="21"/>
  <c r="BF361" i="21" s="1"/>
  <c r="AW361" i="21"/>
  <c r="AX361" i="21" s="1"/>
  <c r="AU361" i="21"/>
  <c r="AV361" i="21" s="1"/>
  <c r="AS361" i="21"/>
  <c r="AT361" i="21" s="1"/>
  <c r="AQ361" i="21"/>
  <c r="AR361" i="21" s="1"/>
  <c r="AO361" i="21"/>
  <c r="AP361" i="21" s="1"/>
  <c r="AM361" i="21"/>
  <c r="AN361" i="21" s="1"/>
  <c r="AK361" i="21"/>
  <c r="AL361" i="21" s="1"/>
  <c r="AG361" i="21"/>
  <c r="AH361" i="21" s="1"/>
  <c r="AE361" i="21"/>
  <c r="AC361" i="21"/>
  <c r="AD361" i="21" s="1"/>
  <c r="AA361" i="21"/>
  <c r="W361" i="21"/>
  <c r="U361" i="21"/>
  <c r="V361" i="21" s="1"/>
  <c r="S361" i="21"/>
  <c r="Q361" i="21"/>
  <c r="R361" i="21" s="1"/>
  <c r="P361" i="21"/>
  <c r="O361" i="21"/>
  <c r="N361" i="21"/>
  <c r="M361" i="21"/>
  <c r="L361" i="21"/>
  <c r="K361" i="21"/>
  <c r="J361" i="21"/>
  <c r="I361" i="21"/>
  <c r="H361" i="21"/>
  <c r="G361" i="21"/>
  <c r="F361" i="21"/>
  <c r="E361" i="21"/>
  <c r="D361" i="21"/>
  <c r="C361" i="21"/>
  <c r="B361" i="21"/>
  <c r="A361" i="21"/>
  <c r="BG360" i="21"/>
  <c r="BH360" i="21" s="1"/>
  <c r="BE360" i="21"/>
  <c r="BF360" i="21" s="1"/>
  <c r="AW360" i="21"/>
  <c r="AX360" i="21" s="1"/>
  <c r="AU360" i="21"/>
  <c r="AV360" i="21" s="1"/>
  <c r="AS360" i="21"/>
  <c r="AT360" i="21" s="1"/>
  <c r="AQ360" i="21"/>
  <c r="AR360" i="21" s="1"/>
  <c r="AO360" i="21"/>
  <c r="AP360" i="21" s="1"/>
  <c r="AM360" i="21"/>
  <c r="AN360" i="21" s="1"/>
  <c r="AK360" i="21"/>
  <c r="AL360" i="21" s="1"/>
  <c r="AG360" i="21"/>
  <c r="AH360" i="21" s="1"/>
  <c r="AE360" i="21"/>
  <c r="AF360" i="21" s="1"/>
  <c r="AC360" i="21"/>
  <c r="AA360" i="21"/>
  <c r="AB360" i="21" s="1"/>
  <c r="AI360" i="21" s="1"/>
  <c r="W360" i="21"/>
  <c r="U360" i="21"/>
  <c r="V360" i="21" s="1"/>
  <c r="S360" i="21"/>
  <c r="T360" i="21" s="1"/>
  <c r="Q360" i="21"/>
  <c r="R360" i="21" s="1"/>
  <c r="P360" i="21"/>
  <c r="O360" i="21"/>
  <c r="N360" i="21"/>
  <c r="M360" i="21"/>
  <c r="L360" i="21"/>
  <c r="K360" i="21"/>
  <c r="J360" i="21"/>
  <c r="I360" i="21"/>
  <c r="H360" i="21"/>
  <c r="G360" i="21"/>
  <c r="F360" i="21"/>
  <c r="E360" i="21"/>
  <c r="D360" i="21"/>
  <c r="C360" i="21"/>
  <c r="B360" i="21"/>
  <c r="A360" i="21"/>
  <c r="BG359" i="21"/>
  <c r="BH359" i="21" s="1"/>
  <c r="BE359" i="21"/>
  <c r="BF359" i="21" s="1"/>
  <c r="AW359" i="21"/>
  <c r="AU359" i="21"/>
  <c r="AV359" i="21" s="1"/>
  <c r="AS359" i="21"/>
  <c r="AT359" i="21" s="1"/>
  <c r="AQ359" i="21"/>
  <c r="AR359" i="21" s="1"/>
  <c r="AO359" i="21"/>
  <c r="AP359" i="21" s="1"/>
  <c r="AM359" i="21"/>
  <c r="AN359" i="21" s="1"/>
  <c r="AK359" i="21"/>
  <c r="AG359" i="21"/>
  <c r="AH359" i="21" s="1"/>
  <c r="AE359" i="21"/>
  <c r="AF359" i="21" s="1"/>
  <c r="AC359" i="21"/>
  <c r="AD359" i="21" s="1"/>
  <c r="AJ359" i="21" s="1"/>
  <c r="AA359" i="21"/>
  <c r="AB359" i="21" s="1"/>
  <c r="W359" i="21"/>
  <c r="U359" i="21"/>
  <c r="V359" i="21" s="1"/>
  <c r="S359" i="21"/>
  <c r="T359" i="21" s="1"/>
  <c r="Q359" i="21"/>
  <c r="R359" i="21" s="1"/>
  <c r="P359" i="21"/>
  <c r="O359" i="21"/>
  <c r="N359" i="21"/>
  <c r="M359" i="21"/>
  <c r="L359" i="21"/>
  <c r="K359" i="21"/>
  <c r="J359" i="21"/>
  <c r="I359" i="21"/>
  <c r="H359" i="21"/>
  <c r="G359" i="21"/>
  <c r="F359" i="21"/>
  <c r="E359" i="21"/>
  <c r="D359" i="21"/>
  <c r="C359" i="21"/>
  <c r="B359" i="21"/>
  <c r="A359" i="21"/>
  <c r="BG358" i="21"/>
  <c r="BH358" i="21" s="1"/>
  <c r="BE358" i="21"/>
  <c r="BF358" i="21" s="1"/>
  <c r="AW358" i="21"/>
  <c r="AX358" i="21" s="1"/>
  <c r="AU358" i="21"/>
  <c r="AV358" i="21" s="1"/>
  <c r="AS358" i="21"/>
  <c r="AT358" i="21" s="1"/>
  <c r="AQ358" i="21"/>
  <c r="AR358" i="21" s="1"/>
  <c r="AO358" i="21"/>
  <c r="AM358" i="21"/>
  <c r="AN358" i="21" s="1"/>
  <c r="AK358" i="21"/>
  <c r="AL358" i="21" s="1"/>
  <c r="AG358" i="21"/>
  <c r="AE358" i="21"/>
  <c r="AF358" i="21" s="1"/>
  <c r="AC358" i="21"/>
  <c r="AA358" i="21"/>
  <c r="AB358" i="21" s="1"/>
  <c r="W358" i="21"/>
  <c r="X358" i="21" s="1"/>
  <c r="U358" i="21"/>
  <c r="V358" i="21" s="1"/>
  <c r="S358" i="21"/>
  <c r="T358" i="21" s="1"/>
  <c r="Q358" i="21"/>
  <c r="R358" i="21" s="1"/>
  <c r="P358" i="21"/>
  <c r="O358" i="21"/>
  <c r="N358" i="21"/>
  <c r="M358" i="21"/>
  <c r="L358" i="21"/>
  <c r="K358" i="21"/>
  <c r="J358" i="21"/>
  <c r="I358" i="21"/>
  <c r="H358" i="21"/>
  <c r="G358" i="21"/>
  <c r="F358" i="21"/>
  <c r="E358" i="21"/>
  <c r="D358" i="21"/>
  <c r="C358" i="21"/>
  <c r="B358" i="21"/>
  <c r="A358" i="21"/>
  <c r="BG357" i="21"/>
  <c r="BH357" i="21" s="1"/>
  <c r="BE357" i="21"/>
  <c r="BF357" i="21" s="1"/>
  <c r="AW357" i="21"/>
  <c r="AX357" i="21" s="1"/>
  <c r="AU357" i="21"/>
  <c r="AV357" i="21" s="1"/>
  <c r="AS357" i="21"/>
  <c r="AT357" i="21" s="1"/>
  <c r="AQ357" i="21"/>
  <c r="AO357" i="21"/>
  <c r="AP357" i="21" s="1"/>
  <c r="AM357" i="21"/>
  <c r="AK357" i="21"/>
  <c r="AL357" i="21" s="1"/>
  <c r="AG357" i="21"/>
  <c r="AH357" i="21" s="1"/>
  <c r="AE357" i="21"/>
  <c r="AF357" i="21" s="1"/>
  <c r="AC357" i="21"/>
  <c r="AD357" i="21" s="1"/>
  <c r="AA357" i="21"/>
  <c r="AB357" i="21" s="1"/>
  <c r="W357" i="21"/>
  <c r="X357" i="21" s="1"/>
  <c r="U357" i="21"/>
  <c r="V357" i="21" s="1"/>
  <c r="S357" i="21"/>
  <c r="T357" i="21" s="1"/>
  <c r="Q357" i="21"/>
  <c r="R357" i="21" s="1"/>
  <c r="P357" i="21"/>
  <c r="O357" i="21"/>
  <c r="N357" i="21"/>
  <c r="M357" i="21"/>
  <c r="L357" i="21"/>
  <c r="K357" i="21"/>
  <c r="J357" i="21"/>
  <c r="I357" i="21"/>
  <c r="H357" i="21"/>
  <c r="G357" i="21"/>
  <c r="F357" i="21"/>
  <c r="E357" i="21"/>
  <c r="D357" i="21"/>
  <c r="C357" i="21"/>
  <c r="B357" i="21"/>
  <c r="A357" i="21"/>
  <c r="BG356" i="21"/>
  <c r="BH356" i="21" s="1"/>
  <c r="BE356" i="21"/>
  <c r="BF356" i="21" s="1"/>
  <c r="AW356" i="21"/>
  <c r="AU356" i="21"/>
  <c r="AS356" i="21"/>
  <c r="AT356" i="21" s="1"/>
  <c r="AQ356" i="21"/>
  <c r="AR356" i="21" s="1"/>
  <c r="AO356" i="21"/>
  <c r="AP356" i="21" s="1"/>
  <c r="AM356" i="21"/>
  <c r="AN356" i="21" s="1"/>
  <c r="AK356" i="21"/>
  <c r="AL356" i="21" s="1"/>
  <c r="AG356" i="21"/>
  <c r="AH356" i="21" s="1"/>
  <c r="AE356" i="21"/>
  <c r="AF356" i="21" s="1"/>
  <c r="AC356" i="21"/>
  <c r="AD356" i="21" s="1"/>
  <c r="AA356" i="21"/>
  <c r="AB356" i="21" s="1"/>
  <c r="W356" i="21"/>
  <c r="X356" i="21" s="1"/>
  <c r="U356" i="21"/>
  <c r="V356" i="21" s="1"/>
  <c r="S356" i="21"/>
  <c r="Q356" i="21"/>
  <c r="R356" i="21" s="1"/>
  <c r="Y356" i="21" s="1"/>
  <c r="P356" i="21"/>
  <c r="O356" i="21"/>
  <c r="N356" i="21"/>
  <c r="M356" i="21"/>
  <c r="L356" i="21"/>
  <c r="K356" i="21"/>
  <c r="J356" i="21"/>
  <c r="I356" i="21"/>
  <c r="H356" i="21"/>
  <c r="G356" i="21"/>
  <c r="F356" i="21"/>
  <c r="E356" i="21"/>
  <c r="D356" i="21"/>
  <c r="C356" i="21"/>
  <c r="B356" i="21"/>
  <c r="A356" i="21"/>
  <c r="BG355" i="21"/>
  <c r="BH355" i="21" s="1"/>
  <c r="BE355" i="21"/>
  <c r="BF355" i="21" s="1"/>
  <c r="AW355" i="21"/>
  <c r="AX355" i="21" s="1"/>
  <c r="AU355" i="21"/>
  <c r="AV355" i="21" s="1"/>
  <c r="AS355" i="21"/>
  <c r="AT355" i="21" s="1"/>
  <c r="AQ355" i="21"/>
  <c r="AO355" i="21"/>
  <c r="AP355" i="21" s="1"/>
  <c r="AM355" i="21"/>
  <c r="AN355" i="21" s="1"/>
  <c r="AK355" i="21"/>
  <c r="AL355" i="21" s="1"/>
  <c r="AG355" i="21"/>
  <c r="AH355" i="21" s="1"/>
  <c r="AE355" i="21"/>
  <c r="AF355" i="21" s="1"/>
  <c r="AC355" i="21"/>
  <c r="AD355" i="21" s="1"/>
  <c r="AA355" i="21"/>
  <c r="AB355" i="21" s="1"/>
  <c r="W355" i="21"/>
  <c r="X355" i="21" s="1"/>
  <c r="U355" i="21"/>
  <c r="V355" i="21" s="1"/>
  <c r="S355" i="21"/>
  <c r="T355" i="21" s="1"/>
  <c r="Z355" i="21" s="1"/>
  <c r="Q355" i="21"/>
  <c r="R355" i="21" s="1"/>
  <c r="P355" i="21"/>
  <c r="O355" i="21"/>
  <c r="N355" i="21"/>
  <c r="M355" i="21"/>
  <c r="L355" i="21"/>
  <c r="K355" i="21"/>
  <c r="J355" i="21"/>
  <c r="I355" i="21"/>
  <c r="H355" i="21"/>
  <c r="G355" i="21"/>
  <c r="F355" i="21"/>
  <c r="E355" i="21"/>
  <c r="D355" i="21"/>
  <c r="C355" i="21"/>
  <c r="B355" i="21"/>
  <c r="A355" i="21"/>
  <c r="BG354" i="21"/>
  <c r="BH354" i="21" s="1"/>
  <c r="BE354" i="21"/>
  <c r="BF354" i="21" s="1"/>
  <c r="AW354" i="21"/>
  <c r="AX354" i="21" s="1"/>
  <c r="AU354" i="21"/>
  <c r="AS354" i="21"/>
  <c r="AT354" i="21" s="1"/>
  <c r="AQ354" i="21"/>
  <c r="AR354" i="21" s="1"/>
  <c r="AO354" i="21"/>
  <c r="AP354" i="21" s="1"/>
  <c r="AM354" i="21"/>
  <c r="AK354" i="21"/>
  <c r="AL354" i="21" s="1"/>
  <c r="AG354" i="21"/>
  <c r="AH354" i="21" s="1"/>
  <c r="AE354" i="21"/>
  <c r="AF354" i="21" s="1"/>
  <c r="AC354" i="21"/>
  <c r="AD354" i="21" s="1"/>
  <c r="AA354" i="21"/>
  <c r="AB354" i="21" s="1"/>
  <c r="W354" i="21"/>
  <c r="X354" i="21" s="1"/>
  <c r="U354" i="21"/>
  <c r="S354" i="21"/>
  <c r="Q354" i="21"/>
  <c r="R354" i="21" s="1"/>
  <c r="P354" i="21"/>
  <c r="O354" i="21"/>
  <c r="N354" i="21"/>
  <c r="M354" i="21"/>
  <c r="L354" i="21"/>
  <c r="K354" i="21"/>
  <c r="J354" i="21"/>
  <c r="I354" i="21"/>
  <c r="H354" i="21"/>
  <c r="G354" i="21"/>
  <c r="F354" i="21"/>
  <c r="E354" i="21"/>
  <c r="D354" i="21"/>
  <c r="C354" i="21"/>
  <c r="B354" i="21"/>
  <c r="A354" i="21"/>
  <c r="BG353" i="21"/>
  <c r="BE353" i="21"/>
  <c r="BF353" i="21" s="1"/>
  <c r="AW353" i="21"/>
  <c r="AX353" i="21" s="1"/>
  <c r="AU353" i="21"/>
  <c r="AV353" i="21" s="1"/>
  <c r="AS353" i="21"/>
  <c r="AT353" i="21" s="1"/>
  <c r="AQ353" i="21"/>
  <c r="AR353" i="21" s="1"/>
  <c r="AO353" i="21"/>
  <c r="AP353" i="21" s="1"/>
  <c r="AM353" i="21"/>
  <c r="AN353" i="21" s="1"/>
  <c r="AK353" i="21"/>
  <c r="AL353" i="21" s="1"/>
  <c r="AG353" i="21"/>
  <c r="AE353" i="21"/>
  <c r="AF353" i="21" s="1"/>
  <c r="AC353" i="21"/>
  <c r="AD353" i="21" s="1"/>
  <c r="AA353" i="21"/>
  <c r="AB353" i="21" s="1"/>
  <c r="W353" i="21"/>
  <c r="U353" i="21"/>
  <c r="V353" i="21" s="1"/>
  <c r="S353" i="21"/>
  <c r="T353" i="21" s="1"/>
  <c r="Q353" i="21"/>
  <c r="R353" i="21" s="1"/>
  <c r="P353" i="21"/>
  <c r="O353" i="21"/>
  <c r="N353" i="21"/>
  <c r="M353" i="21"/>
  <c r="L353" i="21"/>
  <c r="K353" i="21"/>
  <c r="J353" i="21"/>
  <c r="I353" i="21"/>
  <c r="H353" i="21"/>
  <c r="G353" i="21"/>
  <c r="F353" i="21"/>
  <c r="E353" i="21"/>
  <c r="D353" i="21"/>
  <c r="C353" i="21"/>
  <c r="B353" i="21"/>
  <c r="A353" i="21"/>
  <c r="BG352" i="21"/>
  <c r="BH352" i="21" s="1"/>
  <c r="BE352" i="21"/>
  <c r="BF352" i="21" s="1"/>
  <c r="AW352" i="21"/>
  <c r="AX352" i="21" s="1"/>
  <c r="AU352" i="21"/>
  <c r="AV352" i="21" s="1"/>
  <c r="AS352" i="21"/>
  <c r="AT352" i="21" s="1"/>
  <c r="AQ352" i="21"/>
  <c r="AO352" i="21"/>
  <c r="AP352" i="21" s="1"/>
  <c r="AM352" i="21"/>
  <c r="AN352" i="21" s="1"/>
  <c r="AK352" i="21"/>
  <c r="AG352" i="21"/>
  <c r="AH352" i="21" s="1"/>
  <c r="AE352" i="21"/>
  <c r="AC352" i="21"/>
  <c r="AA352" i="21"/>
  <c r="AB352" i="21" s="1"/>
  <c r="W352" i="21"/>
  <c r="U352" i="21"/>
  <c r="V352" i="21" s="1"/>
  <c r="S352" i="21"/>
  <c r="T352" i="21" s="1"/>
  <c r="Q352" i="21"/>
  <c r="R352" i="21" s="1"/>
  <c r="P352" i="21"/>
  <c r="O352" i="21"/>
  <c r="N352" i="21"/>
  <c r="M352" i="21"/>
  <c r="L352" i="21"/>
  <c r="K352" i="21"/>
  <c r="J352" i="21"/>
  <c r="I352" i="21"/>
  <c r="H352" i="21"/>
  <c r="G352" i="21"/>
  <c r="F352" i="21"/>
  <c r="E352" i="21"/>
  <c r="D352" i="21"/>
  <c r="C352" i="21"/>
  <c r="B352" i="21"/>
  <c r="A352" i="21"/>
  <c r="BG351" i="21"/>
  <c r="BH351" i="21" s="1"/>
  <c r="BE351" i="21"/>
  <c r="BF351" i="21" s="1"/>
  <c r="AW351" i="21"/>
  <c r="AX351" i="21" s="1"/>
  <c r="AU351" i="21"/>
  <c r="AS351" i="21"/>
  <c r="AT351" i="21" s="1"/>
  <c r="AQ351" i="21"/>
  <c r="AR351" i="21" s="1"/>
  <c r="AO351" i="21"/>
  <c r="AP351" i="21" s="1"/>
  <c r="AM351" i="21"/>
  <c r="AN351" i="21" s="1"/>
  <c r="AK351" i="21"/>
  <c r="AG351" i="21"/>
  <c r="AH351" i="21" s="1"/>
  <c r="AE351" i="21"/>
  <c r="AF351" i="21" s="1"/>
  <c r="AC351" i="21"/>
  <c r="AD351" i="21" s="1"/>
  <c r="AA351" i="21"/>
  <c r="AB351" i="21" s="1"/>
  <c r="W351" i="21"/>
  <c r="X351" i="21" s="1"/>
  <c r="U351" i="21"/>
  <c r="V351" i="21" s="1"/>
  <c r="S351" i="21"/>
  <c r="Q351" i="21"/>
  <c r="R351" i="21" s="1"/>
  <c r="P351" i="21"/>
  <c r="O351" i="21"/>
  <c r="N351" i="21"/>
  <c r="M351" i="21"/>
  <c r="L351" i="21"/>
  <c r="K351" i="21"/>
  <c r="J351" i="21"/>
  <c r="I351" i="21"/>
  <c r="H351" i="21"/>
  <c r="G351" i="21"/>
  <c r="F351" i="21"/>
  <c r="E351" i="21"/>
  <c r="D351" i="21"/>
  <c r="C351" i="21"/>
  <c r="B351" i="21"/>
  <c r="A351" i="21"/>
  <c r="BG350" i="21"/>
  <c r="BH350" i="21" s="1"/>
  <c r="BE350" i="21"/>
  <c r="BF350" i="21" s="1"/>
  <c r="AW350" i="21"/>
  <c r="AX350" i="21" s="1"/>
  <c r="AU350" i="21"/>
  <c r="AV350" i="21" s="1"/>
  <c r="AS350" i="21"/>
  <c r="AT350" i="21" s="1"/>
  <c r="AQ350" i="21"/>
  <c r="AR350" i="21" s="1"/>
  <c r="AO350" i="21"/>
  <c r="AP350" i="21" s="1"/>
  <c r="AM350" i="21"/>
  <c r="AN350" i="21" s="1"/>
  <c r="AK350" i="21"/>
  <c r="AL350" i="21" s="1"/>
  <c r="AG350" i="21"/>
  <c r="AH350" i="21" s="1"/>
  <c r="AE350" i="21"/>
  <c r="AF350" i="21" s="1"/>
  <c r="AC350" i="21"/>
  <c r="AD350" i="21" s="1"/>
  <c r="AA350" i="21"/>
  <c r="W350" i="21"/>
  <c r="X350" i="21" s="1"/>
  <c r="U350" i="21"/>
  <c r="V350" i="21" s="1"/>
  <c r="S350" i="21"/>
  <c r="Q350" i="21"/>
  <c r="R350" i="21" s="1"/>
  <c r="P350" i="21"/>
  <c r="O350" i="21"/>
  <c r="N350" i="21"/>
  <c r="M350" i="21"/>
  <c r="L350" i="21"/>
  <c r="K350" i="21"/>
  <c r="J350" i="21"/>
  <c r="I350" i="21"/>
  <c r="H350" i="21"/>
  <c r="G350" i="21"/>
  <c r="F350" i="21"/>
  <c r="E350" i="21"/>
  <c r="D350" i="21"/>
  <c r="C350" i="21"/>
  <c r="B350" i="21"/>
  <c r="A350" i="21"/>
  <c r="BG349" i="21"/>
  <c r="BH349" i="21" s="1"/>
  <c r="BE349" i="21"/>
  <c r="BF349" i="21" s="1"/>
  <c r="AW349" i="21"/>
  <c r="AU349" i="21"/>
  <c r="AV349" i="21" s="1"/>
  <c r="AS349" i="21"/>
  <c r="AT349" i="21" s="1"/>
  <c r="AQ349" i="21"/>
  <c r="AO349" i="21"/>
  <c r="AP349" i="21" s="1"/>
  <c r="AM349" i="21"/>
  <c r="AN349" i="21" s="1"/>
  <c r="AK349" i="21"/>
  <c r="AL349" i="21" s="1"/>
  <c r="AG349" i="21"/>
  <c r="AH349" i="21" s="1"/>
  <c r="AE349" i="21"/>
  <c r="AC349" i="21"/>
  <c r="AD349" i="21" s="1"/>
  <c r="AA349" i="21"/>
  <c r="AB349" i="21" s="1"/>
  <c r="W349" i="21"/>
  <c r="U349" i="21"/>
  <c r="V349" i="21" s="1"/>
  <c r="S349" i="21"/>
  <c r="T349" i="21" s="1"/>
  <c r="Q349" i="21"/>
  <c r="R349" i="21" s="1"/>
  <c r="P349" i="21"/>
  <c r="O349" i="21"/>
  <c r="N349" i="21"/>
  <c r="M349" i="21"/>
  <c r="L349" i="21"/>
  <c r="K349" i="21"/>
  <c r="J349" i="21"/>
  <c r="I349" i="21"/>
  <c r="H349" i="21"/>
  <c r="G349" i="21"/>
  <c r="F349" i="21"/>
  <c r="E349" i="21"/>
  <c r="D349" i="21"/>
  <c r="C349" i="21"/>
  <c r="B349" i="21"/>
  <c r="A349" i="21"/>
  <c r="BG348" i="21"/>
  <c r="BE348" i="21"/>
  <c r="BF348" i="21" s="1"/>
  <c r="AW348" i="21"/>
  <c r="AX348" i="21" s="1"/>
  <c r="AU348" i="21"/>
  <c r="AS348" i="21"/>
  <c r="AT348" i="21" s="1"/>
  <c r="AQ348" i="21"/>
  <c r="AR348" i="21" s="1"/>
  <c r="AO348" i="21"/>
  <c r="AP348" i="21" s="1"/>
  <c r="AM348" i="21"/>
  <c r="AK348" i="21"/>
  <c r="AL348" i="21" s="1"/>
  <c r="AG348" i="21"/>
  <c r="AH348" i="21" s="1"/>
  <c r="AE348" i="21"/>
  <c r="AF348" i="21" s="1"/>
  <c r="AC348" i="21"/>
  <c r="AA348" i="21"/>
  <c r="AB348" i="21" s="1"/>
  <c r="W348" i="21"/>
  <c r="U348" i="21"/>
  <c r="V348" i="21" s="1"/>
  <c r="S348" i="21"/>
  <c r="T348" i="21" s="1"/>
  <c r="Q348" i="21"/>
  <c r="R348" i="21" s="1"/>
  <c r="Y348" i="21" s="1"/>
  <c r="P348" i="21"/>
  <c r="O348" i="21"/>
  <c r="N348" i="21"/>
  <c r="M348" i="21"/>
  <c r="L348" i="21"/>
  <c r="K348" i="21"/>
  <c r="J348" i="21"/>
  <c r="I348" i="21"/>
  <c r="H348" i="21"/>
  <c r="G348" i="21"/>
  <c r="F348" i="21"/>
  <c r="E348" i="21"/>
  <c r="D348" i="21"/>
  <c r="C348" i="21"/>
  <c r="B348" i="21"/>
  <c r="A348" i="21"/>
  <c r="BG347" i="21"/>
  <c r="BH347" i="21" s="1"/>
  <c r="BE347" i="21"/>
  <c r="BF347" i="21" s="1"/>
  <c r="AW347" i="21"/>
  <c r="AX347" i="21" s="1"/>
  <c r="AU347" i="21"/>
  <c r="AS347" i="21"/>
  <c r="AT347" i="21" s="1"/>
  <c r="AQ347" i="21"/>
  <c r="AR347" i="21" s="1"/>
  <c r="AO347" i="21"/>
  <c r="AM347" i="21"/>
  <c r="AN347" i="21" s="1"/>
  <c r="AK347" i="21"/>
  <c r="AL347" i="21" s="1"/>
  <c r="AG347" i="21"/>
  <c r="AE347" i="21"/>
  <c r="AF347" i="21" s="1"/>
  <c r="AC347" i="21"/>
  <c r="AD347" i="21" s="1"/>
  <c r="AA347" i="21"/>
  <c r="AB347" i="21" s="1"/>
  <c r="W347" i="21"/>
  <c r="X347" i="21" s="1"/>
  <c r="U347" i="21"/>
  <c r="S347" i="21"/>
  <c r="T347" i="21" s="1"/>
  <c r="Z347" i="21" s="1"/>
  <c r="Q347" i="21"/>
  <c r="R347" i="21" s="1"/>
  <c r="P347" i="21"/>
  <c r="O347" i="21"/>
  <c r="N347" i="21"/>
  <c r="M347" i="21"/>
  <c r="L347" i="21"/>
  <c r="K347" i="21"/>
  <c r="J347" i="21"/>
  <c r="I347" i="21"/>
  <c r="H347" i="21"/>
  <c r="G347" i="21"/>
  <c r="F347" i="21"/>
  <c r="E347" i="21"/>
  <c r="D347" i="21"/>
  <c r="C347" i="21"/>
  <c r="B347" i="21"/>
  <c r="A347" i="21"/>
  <c r="BG346" i="21"/>
  <c r="BE346" i="21"/>
  <c r="BF346" i="21" s="1"/>
  <c r="AW346" i="21"/>
  <c r="AX346" i="21" s="1"/>
  <c r="AU346" i="21"/>
  <c r="AV346" i="21" s="1"/>
  <c r="AS346" i="21"/>
  <c r="AQ346" i="21"/>
  <c r="AR346" i="21" s="1"/>
  <c r="AO346" i="21"/>
  <c r="AP346" i="21" s="1"/>
  <c r="AM346" i="21"/>
  <c r="AK346" i="21"/>
  <c r="AL346" i="21" s="1"/>
  <c r="AG346" i="21"/>
  <c r="AH346" i="21" s="1"/>
  <c r="AE346" i="21"/>
  <c r="AF346" i="21" s="1"/>
  <c r="AC346" i="21"/>
  <c r="AD346" i="21" s="1"/>
  <c r="AA346" i="21"/>
  <c r="W346" i="21"/>
  <c r="X346" i="21" s="1"/>
  <c r="U346" i="21"/>
  <c r="V346" i="21" s="1"/>
  <c r="S346" i="21"/>
  <c r="Q346" i="21"/>
  <c r="R346" i="21" s="1"/>
  <c r="P346" i="21"/>
  <c r="O346" i="21"/>
  <c r="N346" i="21"/>
  <c r="M346" i="21"/>
  <c r="L346" i="21"/>
  <c r="K346" i="21"/>
  <c r="J346" i="21"/>
  <c r="I346" i="21"/>
  <c r="H346" i="21"/>
  <c r="G346" i="21"/>
  <c r="F346" i="21"/>
  <c r="E346" i="21"/>
  <c r="D346" i="21"/>
  <c r="C346" i="21"/>
  <c r="B346" i="21"/>
  <c r="A346" i="21"/>
  <c r="BG345" i="21"/>
  <c r="BE345" i="21"/>
  <c r="BF345" i="21" s="1"/>
  <c r="AW345" i="21"/>
  <c r="AX345" i="21" s="1"/>
  <c r="AU345" i="21"/>
  <c r="AV345" i="21" s="1"/>
  <c r="AS345" i="21"/>
  <c r="AT345" i="21" s="1"/>
  <c r="AQ345" i="21"/>
  <c r="AO345" i="21"/>
  <c r="AP345" i="21" s="1"/>
  <c r="AM345" i="21"/>
  <c r="AK345" i="21"/>
  <c r="AL345" i="21" s="1"/>
  <c r="AG345" i="21"/>
  <c r="AH345" i="21" s="1"/>
  <c r="AE345" i="21"/>
  <c r="AF345" i="21" s="1"/>
  <c r="AC345" i="21"/>
  <c r="AD345" i="21" s="1"/>
  <c r="AA345" i="21"/>
  <c r="AB345" i="21" s="1"/>
  <c r="W345" i="21"/>
  <c r="U345" i="21"/>
  <c r="V345" i="21" s="1"/>
  <c r="S345" i="21"/>
  <c r="T345" i="21" s="1"/>
  <c r="Q345" i="21"/>
  <c r="R345" i="21" s="1"/>
  <c r="P345" i="21"/>
  <c r="O345" i="21"/>
  <c r="N345" i="21"/>
  <c r="M345" i="21"/>
  <c r="L345" i="21"/>
  <c r="K345" i="21"/>
  <c r="J345" i="21"/>
  <c r="I345" i="21"/>
  <c r="H345" i="21"/>
  <c r="G345" i="21"/>
  <c r="F345" i="21"/>
  <c r="E345" i="21"/>
  <c r="D345" i="21"/>
  <c r="C345" i="21"/>
  <c r="B345" i="21"/>
  <c r="A345" i="21"/>
  <c r="BG344" i="21"/>
  <c r="BH344" i="21" s="1"/>
  <c r="BE344" i="21"/>
  <c r="BF344" i="21" s="1"/>
  <c r="AW344" i="21"/>
  <c r="AX344" i="21" s="1"/>
  <c r="AU344" i="21"/>
  <c r="AS344" i="21"/>
  <c r="AT344" i="21" s="1"/>
  <c r="AQ344" i="21"/>
  <c r="AO344" i="21"/>
  <c r="AP344" i="21" s="1"/>
  <c r="AM344" i="21"/>
  <c r="AN344" i="21" s="1"/>
  <c r="AK344" i="21"/>
  <c r="AL344" i="21" s="1"/>
  <c r="AG344" i="21"/>
  <c r="AH344" i="21" s="1"/>
  <c r="AE344" i="21"/>
  <c r="AF344" i="21" s="1"/>
  <c r="AC344" i="21"/>
  <c r="AA344" i="21"/>
  <c r="AB344" i="21" s="1"/>
  <c r="AI344" i="21" s="1"/>
  <c r="W344" i="21"/>
  <c r="U344" i="21"/>
  <c r="V344" i="21" s="1"/>
  <c r="S344" i="21"/>
  <c r="T344" i="21" s="1"/>
  <c r="Q344" i="21"/>
  <c r="P344" i="21"/>
  <c r="O344" i="21"/>
  <c r="N344" i="21"/>
  <c r="M344" i="21"/>
  <c r="L344" i="21"/>
  <c r="K344" i="21"/>
  <c r="J344" i="21"/>
  <c r="I344" i="21"/>
  <c r="H344" i="21"/>
  <c r="G344" i="21"/>
  <c r="F344" i="21"/>
  <c r="E344" i="21"/>
  <c r="D344" i="21"/>
  <c r="C344" i="21"/>
  <c r="B344" i="21"/>
  <c r="A344" i="21"/>
  <c r="BG343" i="21"/>
  <c r="BH343" i="21" s="1"/>
  <c r="BE343" i="21"/>
  <c r="BF343" i="21" s="1"/>
  <c r="AW343" i="21"/>
  <c r="AX343" i="21" s="1"/>
  <c r="AU343" i="21"/>
  <c r="AV343" i="21" s="1"/>
  <c r="AS343" i="21"/>
  <c r="AT343" i="21" s="1"/>
  <c r="AQ343" i="21"/>
  <c r="AR343" i="21" s="1"/>
  <c r="AO343" i="21"/>
  <c r="AM343" i="21"/>
  <c r="AN343" i="21" s="1"/>
  <c r="AK343" i="21"/>
  <c r="AL343" i="21" s="1"/>
  <c r="AG343" i="21"/>
  <c r="AE343" i="21"/>
  <c r="AF343" i="21" s="1"/>
  <c r="AC343" i="21"/>
  <c r="AA343" i="21"/>
  <c r="AB343" i="21" s="1"/>
  <c r="W343" i="21"/>
  <c r="X343" i="21" s="1"/>
  <c r="U343" i="21"/>
  <c r="V343" i="21" s="1"/>
  <c r="S343" i="21"/>
  <c r="T343" i="21" s="1"/>
  <c r="Q343" i="21"/>
  <c r="R343" i="21" s="1"/>
  <c r="P343" i="21"/>
  <c r="O343" i="21"/>
  <c r="N343" i="21"/>
  <c r="M343" i="21"/>
  <c r="L343" i="21"/>
  <c r="K343" i="21"/>
  <c r="J343" i="21"/>
  <c r="I343" i="21"/>
  <c r="H343" i="21"/>
  <c r="G343" i="21"/>
  <c r="F343" i="21"/>
  <c r="E343" i="21"/>
  <c r="D343" i="21"/>
  <c r="C343" i="21"/>
  <c r="B343" i="21"/>
  <c r="A343" i="21"/>
  <c r="BG342" i="21"/>
  <c r="BE342" i="21"/>
  <c r="BF342" i="21" s="1"/>
  <c r="AW342" i="21"/>
  <c r="AX342" i="21" s="1"/>
  <c r="AU342" i="21"/>
  <c r="AV342" i="21" s="1"/>
  <c r="AS342" i="21"/>
  <c r="AT342" i="21" s="1"/>
  <c r="AQ342" i="21"/>
  <c r="AR342" i="21" s="1"/>
  <c r="AO342" i="21"/>
  <c r="AP342" i="21" s="1"/>
  <c r="AM342" i="21"/>
  <c r="AK342" i="21"/>
  <c r="AL342" i="21" s="1"/>
  <c r="AG342" i="21"/>
  <c r="AE342" i="21"/>
  <c r="AF342" i="21" s="1"/>
  <c r="AC342" i="21"/>
  <c r="AD342" i="21" s="1"/>
  <c r="AA342" i="21"/>
  <c r="AB342" i="21" s="1"/>
  <c r="W342" i="21"/>
  <c r="X342" i="21" s="1"/>
  <c r="U342" i="21"/>
  <c r="V342" i="21" s="1"/>
  <c r="S342" i="21"/>
  <c r="Q342" i="21"/>
  <c r="R342" i="21" s="1"/>
  <c r="P342" i="21"/>
  <c r="O342" i="21"/>
  <c r="N342" i="21"/>
  <c r="M342" i="21"/>
  <c r="L342" i="21"/>
  <c r="K342" i="21"/>
  <c r="J342" i="21"/>
  <c r="I342" i="21"/>
  <c r="H342" i="21"/>
  <c r="G342" i="21"/>
  <c r="F342" i="21"/>
  <c r="E342" i="21"/>
  <c r="D342" i="21"/>
  <c r="C342" i="21"/>
  <c r="B342" i="21"/>
  <c r="A342" i="21"/>
  <c r="BG341" i="21"/>
  <c r="BE341" i="21"/>
  <c r="BF341" i="21" s="1"/>
  <c r="AW341" i="21"/>
  <c r="AX341" i="21" s="1"/>
  <c r="AU341" i="21"/>
  <c r="AV341" i="21" s="1"/>
  <c r="AS341" i="21"/>
  <c r="AT341" i="21" s="1"/>
  <c r="AQ341" i="21"/>
  <c r="AO341" i="21"/>
  <c r="AP341" i="21" s="1"/>
  <c r="AM341" i="21"/>
  <c r="AN341" i="21" s="1"/>
  <c r="AK341" i="21"/>
  <c r="AL341" i="21" s="1"/>
  <c r="AG341" i="21"/>
  <c r="AH341" i="21" s="1"/>
  <c r="AE341" i="21"/>
  <c r="AF341" i="21" s="1"/>
  <c r="AC341" i="21"/>
  <c r="AD341" i="21" s="1"/>
  <c r="AA341" i="21"/>
  <c r="W341" i="21"/>
  <c r="U341" i="21"/>
  <c r="V341" i="21" s="1"/>
  <c r="S341" i="21"/>
  <c r="T341" i="21" s="1"/>
  <c r="Q341" i="21"/>
  <c r="R341" i="21" s="1"/>
  <c r="P341" i="21"/>
  <c r="O341" i="21"/>
  <c r="N341" i="21"/>
  <c r="M341" i="21"/>
  <c r="L341" i="21"/>
  <c r="K341" i="21"/>
  <c r="J341" i="21"/>
  <c r="I341" i="21"/>
  <c r="H341" i="21"/>
  <c r="G341" i="21"/>
  <c r="F341" i="21"/>
  <c r="E341" i="21"/>
  <c r="D341" i="21"/>
  <c r="C341" i="21"/>
  <c r="B341" i="21"/>
  <c r="A341" i="21"/>
  <c r="BG340" i="21"/>
  <c r="BH340" i="21" s="1"/>
  <c r="BE340" i="21"/>
  <c r="BF340" i="21" s="1"/>
  <c r="AW340" i="21"/>
  <c r="AX340" i="21" s="1"/>
  <c r="AU340" i="21"/>
  <c r="AS340" i="21"/>
  <c r="AT340" i="21" s="1"/>
  <c r="AQ340" i="21"/>
  <c r="AO340" i="21"/>
  <c r="AP340" i="21" s="1"/>
  <c r="AM340" i="21"/>
  <c r="AN340" i="21" s="1"/>
  <c r="AK340" i="21"/>
  <c r="AG340" i="21"/>
  <c r="AE340" i="21"/>
  <c r="AF340" i="21" s="1"/>
  <c r="AC340" i="21"/>
  <c r="AA340" i="21"/>
  <c r="AB340" i="21" s="1"/>
  <c r="W340" i="21"/>
  <c r="X340" i="21" s="1"/>
  <c r="U340" i="21"/>
  <c r="V340" i="21" s="1"/>
  <c r="S340" i="21"/>
  <c r="T340" i="21" s="1"/>
  <c r="Q340" i="21"/>
  <c r="P340" i="21"/>
  <c r="O340" i="21"/>
  <c r="N340" i="21"/>
  <c r="M340" i="21"/>
  <c r="L340" i="21"/>
  <c r="K340" i="21"/>
  <c r="J340" i="21"/>
  <c r="I340" i="21"/>
  <c r="H340" i="21"/>
  <c r="G340" i="21"/>
  <c r="F340" i="21"/>
  <c r="E340" i="21"/>
  <c r="D340" i="21"/>
  <c r="C340" i="21"/>
  <c r="B340" i="21"/>
  <c r="A340" i="21"/>
  <c r="BG339" i="21"/>
  <c r="BH339" i="21" s="1"/>
  <c r="BE339" i="21"/>
  <c r="BF339" i="21" s="1"/>
  <c r="AW339" i="21"/>
  <c r="AU339" i="21"/>
  <c r="AV339" i="21" s="1"/>
  <c r="AS339" i="21"/>
  <c r="AQ339" i="21"/>
  <c r="AR339" i="21" s="1"/>
  <c r="AO339" i="21"/>
  <c r="AM339" i="21"/>
  <c r="AN339" i="21" s="1"/>
  <c r="AK339" i="21"/>
  <c r="AL339" i="21" s="1"/>
  <c r="AG339" i="21"/>
  <c r="AE339" i="21"/>
  <c r="AF339" i="21" s="1"/>
  <c r="AC339" i="21"/>
  <c r="AD339" i="21" s="1"/>
  <c r="AA339" i="21"/>
  <c r="AB339" i="21" s="1"/>
  <c r="W339" i="21"/>
  <c r="X339" i="21" s="1"/>
  <c r="U339" i="21"/>
  <c r="V339" i="21" s="1"/>
  <c r="S339" i="21"/>
  <c r="T339" i="21" s="1"/>
  <c r="Z339" i="21" s="1"/>
  <c r="Q339" i="21"/>
  <c r="R339" i="21" s="1"/>
  <c r="P339" i="21"/>
  <c r="O339" i="21"/>
  <c r="N339" i="21"/>
  <c r="M339" i="21"/>
  <c r="L339" i="21"/>
  <c r="K339" i="21"/>
  <c r="J339" i="21"/>
  <c r="I339" i="21"/>
  <c r="H339" i="21"/>
  <c r="G339" i="21"/>
  <c r="F339" i="21"/>
  <c r="E339" i="21"/>
  <c r="D339" i="21"/>
  <c r="C339" i="21"/>
  <c r="B339" i="21"/>
  <c r="A339" i="21"/>
  <c r="BG338" i="21"/>
  <c r="BE338" i="21"/>
  <c r="BF338" i="21" s="1"/>
  <c r="AW338" i="21"/>
  <c r="AX338" i="21" s="1"/>
  <c r="AU338" i="21"/>
  <c r="AV338" i="21" s="1"/>
  <c r="AS338" i="21"/>
  <c r="AT338" i="21" s="1"/>
  <c r="AQ338" i="21"/>
  <c r="AR338" i="21" s="1"/>
  <c r="AO338" i="21"/>
  <c r="AP338" i="21" s="1"/>
  <c r="AM338" i="21"/>
  <c r="AK338" i="21"/>
  <c r="AL338" i="21" s="1"/>
  <c r="AG338" i="21"/>
  <c r="AE338" i="21"/>
  <c r="AF338" i="21" s="1"/>
  <c r="AC338" i="21"/>
  <c r="AD338" i="21" s="1"/>
  <c r="AA338" i="21"/>
  <c r="AB338" i="21" s="1"/>
  <c r="W338" i="21"/>
  <c r="X338" i="21" s="1"/>
  <c r="U338" i="21"/>
  <c r="V338" i="21" s="1"/>
  <c r="S338" i="21"/>
  <c r="Q338" i="21"/>
  <c r="R338" i="21" s="1"/>
  <c r="P338" i="21"/>
  <c r="O338" i="21"/>
  <c r="N338" i="21"/>
  <c r="M338" i="21"/>
  <c r="L338" i="21"/>
  <c r="K338" i="21"/>
  <c r="J338" i="21"/>
  <c r="I338" i="21"/>
  <c r="H338" i="21"/>
  <c r="G338" i="21"/>
  <c r="F338" i="21"/>
  <c r="E338" i="21"/>
  <c r="D338" i="21"/>
  <c r="C338" i="21"/>
  <c r="B338" i="21"/>
  <c r="A338" i="21"/>
  <c r="BG337" i="21"/>
  <c r="BH337" i="21" s="1"/>
  <c r="BE337" i="21"/>
  <c r="BF337" i="21" s="1"/>
  <c r="AW337" i="21"/>
  <c r="AX337" i="21" s="1"/>
  <c r="AU337" i="21"/>
  <c r="AV337" i="21" s="1"/>
  <c r="AS337" i="21"/>
  <c r="AQ337" i="21"/>
  <c r="AO337" i="21"/>
  <c r="AP337" i="21" s="1"/>
  <c r="AM337" i="21"/>
  <c r="AK337" i="21"/>
  <c r="AL337" i="21" s="1"/>
  <c r="AG337" i="21"/>
  <c r="AH337" i="21" s="1"/>
  <c r="AE337" i="21"/>
  <c r="AF337" i="21" s="1"/>
  <c r="AC337" i="21"/>
  <c r="AD337" i="21" s="1"/>
  <c r="AA337" i="21"/>
  <c r="AB337" i="21" s="1"/>
  <c r="W337" i="21"/>
  <c r="U337" i="21"/>
  <c r="V337" i="21" s="1"/>
  <c r="S337" i="21"/>
  <c r="Q337" i="21"/>
  <c r="R337" i="21" s="1"/>
  <c r="P337" i="21"/>
  <c r="O337" i="21"/>
  <c r="N337" i="21"/>
  <c r="M337" i="21"/>
  <c r="L337" i="21"/>
  <c r="K337" i="21"/>
  <c r="J337" i="21"/>
  <c r="I337" i="21"/>
  <c r="H337" i="21"/>
  <c r="G337" i="21"/>
  <c r="F337" i="21"/>
  <c r="E337" i="21"/>
  <c r="D337" i="21"/>
  <c r="C337" i="21"/>
  <c r="B337" i="21"/>
  <c r="A337" i="21"/>
  <c r="BG336" i="21"/>
  <c r="BH336" i="21" s="1"/>
  <c r="BE336" i="21"/>
  <c r="AW336" i="21"/>
  <c r="AU336" i="21"/>
  <c r="AS336" i="21"/>
  <c r="AT336" i="21" s="1"/>
  <c r="AQ336" i="21"/>
  <c r="AR336" i="21" s="1"/>
  <c r="AO336" i="21"/>
  <c r="AP336" i="21" s="1"/>
  <c r="AM336" i="21"/>
  <c r="AN336" i="21" s="1"/>
  <c r="AK336" i="21"/>
  <c r="AG336" i="21"/>
  <c r="AH336" i="21" s="1"/>
  <c r="AE336" i="21"/>
  <c r="AF336" i="21" s="1"/>
  <c r="AC336" i="21"/>
  <c r="AA336" i="21"/>
  <c r="AB336" i="21" s="1"/>
  <c r="AI336" i="21" s="1"/>
  <c r="W336" i="21"/>
  <c r="X336" i="21" s="1"/>
  <c r="U336" i="21"/>
  <c r="V336" i="21" s="1"/>
  <c r="S336" i="21"/>
  <c r="T336" i="21" s="1"/>
  <c r="Q336" i="21"/>
  <c r="P336" i="21"/>
  <c r="O336" i="21"/>
  <c r="N336" i="21"/>
  <c r="M336" i="21"/>
  <c r="L336" i="21"/>
  <c r="K336" i="21"/>
  <c r="J336" i="21"/>
  <c r="I336" i="21"/>
  <c r="H336" i="21"/>
  <c r="G336" i="21"/>
  <c r="F336" i="21"/>
  <c r="E336" i="21"/>
  <c r="D336" i="21"/>
  <c r="C336" i="21"/>
  <c r="B336" i="21"/>
  <c r="A336" i="21"/>
  <c r="BG335" i="21"/>
  <c r="BH335" i="21" s="1"/>
  <c r="BE335" i="21"/>
  <c r="BF335" i="21" s="1"/>
  <c r="AW335" i="21"/>
  <c r="AX335" i="21" s="1"/>
  <c r="AU335" i="21"/>
  <c r="AS335" i="21"/>
  <c r="AT335" i="21" s="1"/>
  <c r="AQ335" i="21"/>
  <c r="AR335" i="21" s="1"/>
  <c r="AO335" i="21"/>
  <c r="AP335" i="21" s="1"/>
  <c r="AM335" i="21"/>
  <c r="AN335" i="21" s="1"/>
  <c r="AK335" i="21"/>
  <c r="AL335" i="21" s="1"/>
  <c r="AG335" i="21"/>
  <c r="AH335" i="21" s="1"/>
  <c r="AE335" i="21"/>
  <c r="AF335" i="21" s="1"/>
  <c r="AC335" i="21"/>
  <c r="AA335" i="21"/>
  <c r="AB335" i="21" s="1"/>
  <c r="W335" i="21"/>
  <c r="X335" i="21" s="1"/>
  <c r="U335" i="21"/>
  <c r="S335" i="21"/>
  <c r="T335" i="21" s="1"/>
  <c r="Q335" i="21"/>
  <c r="R335" i="21" s="1"/>
  <c r="P335" i="21"/>
  <c r="O335" i="21"/>
  <c r="N335" i="21"/>
  <c r="M335" i="21"/>
  <c r="L335" i="21"/>
  <c r="K335" i="21"/>
  <c r="J335" i="21"/>
  <c r="I335" i="21"/>
  <c r="H335" i="21"/>
  <c r="G335" i="21"/>
  <c r="F335" i="21"/>
  <c r="E335" i="21"/>
  <c r="D335" i="21"/>
  <c r="C335" i="21"/>
  <c r="B335" i="21"/>
  <c r="A335" i="21"/>
  <c r="BG334" i="21"/>
  <c r="BE334" i="21"/>
  <c r="BF334" i="21" s="1"/>
  <c r="AW334" i="21"/>
  <c r="AX334" i="21" s="1"/>
  <c r="AU334" i="21"/>
  <c r="AV334" i="21" s="1"/>
  <c r="AS334" i="21"/>
  <c r="AT334" i="21" s="1"/>
  <c r="AQ334" i="21"/>
  <c r="AR334" i="21" s="1"/>
  <c r="AO334" i="21"/>
  <c r="AP334" i="21" s="1"/>
  <c r="AM334" i="21"/>
  <c r="AK334" i="21"/>
  <c r="AL334" i="21" s="1"/>
  <c r="AG334" i="21"/>
  <c r="AH334" i="21" s="1"/>
  <c r="AE334" i="21"/>
  <c r="AF334" i="21" s="1"/>
  <c r="AC334" i="21"/>
  <c r="AD334" i="21" s="1"/>
  <c r="AA334" i="21"/>
  <c r="AB334" i="21" s="1"/>
  <c r="W334" i="21"/>
  <c r="X334" i="21" s="1"/>
  <c r="U334" i="21"/>
  <c r="S334" i="21"/>
  <c r="Q334" i="21"/>
  <c r="R334" i="21" s="1"/>
  <c r="P334" i="21"/>
  <c r="O334" i="21"/>
  <c r="N334" i="21"/>
  <c r="M334" i="21"/>
  <c r="L334" i="21"/>
  <c r="K334" i="21"/>
  <c r="J334" i="21"/>
  <c r="I334" i="21"/>
  <c r="H334" i="21"/>
  <c r="G334" i="21"/>
  <c r="F334" i="21"/>
  <c r="E334" i="21"/>
  <c r="D334" i="21"/>
  <c r="C334" i="21"/>
  <c r="B334" i="21"/>
  <c r="A334" i="21"/>
  <c r="BG333" i="21"/>
  <c r="BH333" i="21" s="1"/>
  <c r="BE333" i="21"/>
  <c r="BF333" i="21" s="1"/>
  <c r="AW333" i="21"/>
  <c r="AX333" i="21" s="1"/>
  <c r="AU333" i="21"/>
  <c r="AV333" i="21" s="1"/>
  <c r="AS333" i="21"/>
  <c r="AT333" i="21" s="1"/>
  <c r="AQ333" i="21"/>
  <c r="AR333" i="21" s="1"/>
  <c r="AO333" i="21"/>
  <c r="AP333" i="21" s="1"/>
  <c r="AM333" i="21"/>
  <c r="AK333" i="21"/>
  <c r="AL333" i="21" s="1"/>
  <c r="AG333" i="21"/>
  <c r="AH333" i="21" s="1"/>
  <c r="AE333" i="21"/>
  <c r="AF333" i="21" s="1"/>
  <c r="AC333" i="21"/>
  <c r="AA333" i="21"/>
  <c r="AB333" i="21" s="1"/>
  <c r="W333" i="21"/>
  <c r="X333" i="21" s="1"/>
  <c r="U333" i="21"/>
  <c r="V333" i="21" s="1"/>
  <c r="S333" i="21"/>
  <c r="Q333" i="21"/>
  <c r="R333" i="21" s="1"/>
  <c r="P333" i="21"/>
  <c r="O333" i="21"/>
  <c r="N333" i="21"/>
  <c r="M333" i="21"/>
  <c r="L333" i="21"/>
  <c r="K333" i="21"/>
  <c r="J333" i="21"/>
  <c r="I333" i="21"/>
  <c r="H333" i="21"/>
  <c r="G333" i="21"/>
  <c r="F333" i="21"/>
  <c r="E333" i="21"/>
  <c r="D333" i="21"/>
  <c r="C333" i="21"/>
  <c r="B333" i="21"/>
  <c r="A333" i="21"/>
  <c r="BG332" i="21"/>
  <c r="BH332" i="21" s="1"/>
  <c r="BE332" i="21"/>
  <c r="AW332" i="21"/>
  <c r="AU332" i="21"/>
  <c r="AV332" i="21" s="1"/>
  <c r="AS332" i="21"/>
  <c r="AT332" i="21" s="1"/>
  <c r="AQ332" i="21"/>
  <c r="AO332" i="21"/>
  <c r="AP332" i="21" s="1"/>
  <c r="AM332" i="21"/>
  <c r="AK332" i="21"/>
  <c r="AL332" i="21" s="1"/>
  <c r="AG332" i="21"/>
  <c r="AH332" i="21" s="1"/>
  <c r="AE332" i="21"/>
  <c r="AF332" i="21" s="1"/>
  <c r="AC332" i="21"/>
  <c r="AD332" i="21" s="1"/>
  <c r="AA332" i="21"/>
  <c r="AB332" i="21" s="1"/>
  <c r="W332" i="21"/>
  <c r="U332" i="21"/>
  <c r="V332" i="21" s="1"/>
  <c r="S332" i="21"/>
  <c r="T332" i="21" s="1"/>
  <c r="Q332" i="21"/>
  <c r="R332" i="21" s="1"/>
  <c r="Y332" i="21" s="1"/>
  <c r="P332" i="21"/>
  <c r="O332" i="21"/>
  <c r="N332" i="21"/>
  <c r="M332" i="21"/>
  <c r="L332" i="21"/>
  <c r="K332" i="21"/>
  <c r="J332" i="21"/>
  <c r="I332" i="21"/>
  <c r="H332" i="21"/>
  <c r="G332" i="21"/>
  <c r="F332" i="21"/>
  <c r="E332" i="21"/>
  <c r="D332" i="21"/>
  <c r="C332" i="21"/>
  <c r="B332" i="21"/>
  <c r="A332" i="21"/>
  <c r="BG331" i="21"/>
  <c r="BH331" i="21" s="1"/>
  <c r="BE331" i="21"/>
  <c r="AW331" i="21"/>
  <c r="AX331" i="21" s="1"/>
  <c r="AU331" i="21"/>
  <c r="AS331" i="21"/>
  <c r="AT331" i="21" s="1"/>
  <c r="AQ331" i="21"/>
  <c r="AO331" i="21"/>
  <c r="AP331" i="21" s="1"/>
  <c r="AM331" i="21"/>
  <c r="AN331" i="21" s="1"/>
  <c r="AK331" i="21"/>
  <c r="AL331" i="21" s="1"/>
  <c r="AG331" i="21"/>
  <c r="AH331" i="21" s="1"/>
  <c r="AE331" i="21"/>
  <c r="AF331" i="21" s="1"/>
  <c r="AC331" i="21"/>
  <c r="AA331" i="21"/>
  <c r="AB331" i="21" s="1"/>
  <c r="W331" i="21"/>
  <c r="X331" i="21" s="1"/>
  <c r="U331" i="21"/>
  <c r="V331" i="21" s="1"/>
  <c r="S331" i="21"/>
  <c r="T331" i="21" s="1"/>
  <c r="Z331" i="21" s="1"/>
  <c r="Q331" i="21"/>
  <c r="P331" i="21"/>
  <c r="O331" i="21"/>
  <c r="N331" i="21"/>
  <c r="M331" i="21"/>
  <c r="L331" i="21"/>
  <c r="K331" i="21"/>
  <c r="J331" i="21"/>
  <c r="I331" i="21"/>
  <c r="H331" i="21"/>
  <c r="G331" i="21"/>
  <c r="F331" i="21"/>
  <c r="E331" i="21"/>
  <c r="D331" i="21"/>
  <c r="C331" i="21"/>
  <c r="B331" i="21"/>
  <c r="A331" i="21"/>
  <c r="BG330" i="21"/>
  <c r="BH330" i="21" s="1"/>
  <c r="BE330" i="21"/>
  <c r="BF330" i="21" s="1"/>
  <c r="AW330" i="21"/>
  <c r="AX330" i="21" s="1"/>
  <c r="AU330" i="21"/>
  <c r="AV330" i="21" s="1"/>
  <c r="AS330" i="21"/>
  <c r="AT330" i="21" s="1"/>
  <c r="AQ330" i="21"/>
  <c r="AR330" i="21" s="1"/>
  <c r="AO330" i="21"/>
  <c r="AP330" i="21" s="1"/>
  <c r="AM330" i="21"/>
  <c r="AN330" i="21" s="1"/>
  <c r="AK330" i="21"/>
  <c r="AG330" i="21"/>
  <c r="AE330" i="21"/>
  <c r="AF330" i="21" s="1"/>
  <c r="AC330" i="21"/>
  <c r="AA330" i="21"/>
  <c r="AB330" i="21" s="1"/>
  <c r="W330" i="21"/>
  <c r="X330" i="21" s="1"/>
  <c r="U330" i="21"/>
  <c r="S330" i="21"/>
  <c r="T330" i="21" s="1"/>
  <c r="Q330" i="21"/>
  <c r="R330" i="21" s="1"/>
  <c r="P330" i="21"/>
  <c r="O330" i="21"/>
  <c r="N330" i="21"/>
  <c r="M330" i="21"/>
  <c r="L330" i="21"/>
  <c r="K330" i="21"/>
  <c r="J330" i="21"/>
  <c r="I330" i="21"/>
  <c r="H330" i="21"/>
  <c r="G330" i="21"/>
  <c r="F330" i="21"/>
  <c r="E330" i="21"/>
  <c r="D330" i="21"/>
  <c r="C330" i="21"/>
  <c r="B330" i="21"/>
  <c r="A330" i="21"/>
  <c r="BG329" i="21"/>
  <c r="BE329" i="21"/>
  <c r="BF329" i="21" s="1"/>
  <c r="AW329" i="21"/>
  <c r="AX329" i="21" s="1"/>
  <c r="AU329" i="21"/>
  <c r="AV329" i="21" s="1"/>
  <c r="AS329" i="21"/>
  <c r="AT329" i="21" s="1"/>
  <c r="AQ329" i="21"/>
  <c r="AO329" i="21"/>
  <c r="AP329" i="21" s="1"/>
  <c r="AM329" i="21"/>
  <c r="AK329" i="21"/>
  <c r="AL329" i="21" s="1"/>
  <c r="AG329" i="21"/>
  <c r="AE329" i="21"/>
  <c r="AF329" i="21" s="1"/>
  <c r="AC329" i="21"/>
  <c r="AD329" i="21" s="1"/>
  <c r="AA329" i="21"/>
  <c r="W329" i="21"/>
  <c r="X329" i="21" s="1"/>
  <c r="U329" i="21"/>
  <c r="V329" i="21" s="1"/>
  <c r="S329" i="21"/>
  <c r="Q329" i="21"/>
  <c r="R329" i="21" s="1"/>
  <c r="P329" i="21"/>
  <c r="O329" i="21"/>
  <c r="N329" i="21"/>
  <c r="M329" i="21"/>
  <c r="L329" i="21"/>
  <c r="K329" i="21"/>
  <c r="J329" i="21"/>
  <c r="I329" i="21"/>
  <c r="H329" i="21"/>
  <c r="G329" i="21"/>
  <c r="F329" i="21"/>
  <c r="E329" i="21"/>
  <c r="D329" i="21"/>
  <c r="C329" i="21"/>
  <c r="B329" i="21"/>
  <c r="A329" i="21"/>
  <c r="BG328" i="21"/>
  <c r="BH328" i="21" s="1"/>
  <c r="BE328" i="21"/>
  <c r="BF328" i="21" s="1"/>
  <c r="AW328" i="21"/>
  <c r="AU328" i="21"/>
  <c r="AS328" i="21"/>
  <c r="AT328" i="21" s="1"/>
  <c r="AQ328" i="21"/>
  <c r="AO328" i="21"/>
  <c r="AP328" i="21" s="1"/>
  <c r="AM328" i="21"/>
  <c r="AK328" i="21"/>
  <c r="AL328" i="21" s="1"/>
  <c r="AG328" i="21"/>
  <c r="AH328" i="21" s="1"/>
  <c r="AE328" i="21"/>
  <c r="AC328" i="21"/>
  <c r="AD328" i="21" s="1"/>
  <c r="AA328" i="21"/>
  <c r="AB328" i="21" s="1"/>
  <c r="W328" i="21"/>
  <c r="U328" i="21"/>
  <c r="V328" i="21" s="1"/>
  <c r="S328" i="21"/>
  <c r="T328" i="21" s="1"/>
  <c r="Q328" i="21"/>
  <c r="R328" i="21" s="1"/>
  <c r="P328" i="21"/>
  <c r="O328" i="21"/>
  <c r="N328" i="21"/>
  <c r="M328" i="21"/>
  <c r="L328" i="21"/>
  <c r="K328" i="21"/>
  <c r="J328" i="21"/>
  <c r="I328" i="21"/>
  <c r="H328" i="21"/>
  <c r="G328" i="21"/>
  <c r="F328" i="21"/>
  <c r="E328" i="21"/>
  <c r="D328" i="21"/>
  <c r="C328" i="21"/>
  <c r="B328" i="21"/>
  <c r="A328" i="21"/>
  <c r="BG327" i="21"/>
  <c r="BH327" i="21" s="1"/>
  <c r="BE327" i="21"/>
  <c r="AW327" i="21"/>
  <c r="AX327" i="21" s="1"/>
  <c r="AU327" i="21"/>
  <c r="AS327" i="21"/>
  <c r="AT327" i="21" s="1"/>
  <c r="AQ327" i="21"/>
  <c r="AO327" i="21"/>
  <c r="AP327" i="21" s="1"/>
  <c r="AM327" i="21"/>
  <c r="AN327" i="21" s="1"/>
  <c r="AK327" i="21"/>
  <c r="AG327" i="21"/>
  <c r="AH327" i="21" s="1"/>
  <c r="AE327" i="21"/>
  <c r="AF327" i="21" s="1"/>
  <c r="AC327" i="21"/>
  <c r="AA327" i="21"/>
  <c r="AB327" i="21" s="1"/>
  <c r="W327" i="21"/>
  <c r="X327" i="21" s="1"/>
  <c r="U327" i="21"/>
  <c r="V327" i="21" s="1"/>
  <c r="S327" i="21"/>
  <c r="Q327" i="21"/>
  <c r="R327" i="21" s="1"/>
  <c r="P327" i="21"/>
  <c r="O327" i="21"/>
  <c r="N327" i="21"/>
  <c r="M327" i="21"/>
  <c r="L327" i="21"/>
  <c r="K327" i="21"/>
  <c r="J327" i="21"/>
  <c r="I327" i="21"/>
  <c r="H327" i="21"/>
  <c r="G327" i="21"/>
  <c r="F327" i="21"/>
  <c r="E327" i="21"/>
  <c r="D327" i="21"/>
  <c r="C327" i="21"/>
  <c r="B327" i="21"/>
  <c r="A327" i="21"/>
  <c r="BG326" i="21"/>
  <c r="BH326" i="21" s="1"/>
  <c r="BE326" i="21"/>
  <c r="BF326" i="21" s="1"/>
  <c r="AW326" i="21"/>
  <c r="AX326" i="21" s="1"/>
  <c r="AU326" i="21"/>
  <c r="AV326" i="21" s="1"/>
  <c r="AS326" i="21"/>
  <c r="AT326" i="21" s="1"/>
  <c r="AQ326" i="21"/>
  <c r="AR326" i="21" s="1"/>
  <c r="AO326" i="21"/>
  <c r="AM326" i="21"/>
  <c r="AN326" i="21" s="1"/>
  <c r="AK326" i="21"/>
  <c r="AL326" i="21" s="1"/>
  <c r="AG326" i="21"/>
  <c r="AE326" i="21"/>
  <c r="AF326" i="21" s="1"/>
  <c r="AC326" i="21"/>
  <c r="AD326" i="21" s="1"/>
  <c r="AA326" i="21"/>
  <c r="AB326" i="21" s="1"/>
  <c r="W326" i="21"/>
  <c r="X326" i="21" s="1"/>
  <c r="U326" i="21"/>
  <c r="V326" i="21" s="1"/>
  <c r="S326" i="21"/>
  <c r="T326" i="21" s="1"/>
  <c r="Q326" i="21"/>
  <c r="R326" i="21" s="1"/>
  <c r="P326" i="21"/>
  <c r="O326" i="21"/>
  <c r="N326" i="21"/>
  <c r="M326" i="21"/>
  <c r="L326" i="21"/>
  <c r="K326" i="21"/>
  <c r="J326" i="21"/>
  <c r="I326" i="21"/>
  <c r="H326" i="21"/>
  <c r="G326" i="21"/>
  <c r="F326" i="21"/>
  <c r="E326" i="21"/>
  <c r="D326" i="21"/>
  <c r="C326" i="21"/>
  <c r="B326" i="21"/>
  <c r="A326" i="21"/>
  <c r="BG325" i="21"/>
  <c r="BE325" i="21"/>
  <c r="BF325" i="21" s="1"/>
  <c r="AW325" i="21"/>
  <c r="AX325" i="21" s="1"/>
  <c r="AU325" i="21"/>
  <c r="AV325" i="21" s="1"/>
  <c r="AS325" i="21"/>
  <c r="AQ325" i="21"/>
  <c r="AR325" i="21" s="1"/>
  <c r="AO325" i="21"/>
  <c r="AP325" i="21" s="1"/>
  <c r="AM325" i="21"/>
  <c r="AK325" i="21"/>
  <c r="AL325" i="21" s="1"/>
  <c r="AG325" i="21"/>
  <c r="AH325" i="21" s="1"/>
  <c r="AE325" i="21"/>
  <c r="AF325" i="21" s="1"/>
  <c r="AC325" i="21"/>
  <c r="AD325" i="21" s="1"/>
  <c r="AA325" i="21"/>
  <c r="AB325" i="21" s="1"/>
  <c r="W325" i="21"/>
  <c r="X325" i="21" s="1"/>
  <c r="U325" i="21"/>
  <c r="V325" i="21" s="1"/>
  <c r="S325" i="21"/>
  <c r="Q325" i="21"/>
  <c r="R325" i="21" s="1"/>
  <c r="P325" i="21"/>
  <c r="O325" i="21"/>
  <c r="N325" i="21"/>
  <c r="M325" i="21"/>
  <c r="L325" i="21"/>
  <c r="K325" i="21"/>
  <c r="J325" i="21"/>
  <c r="I325" i="21"/>
  <c r="H325" i="21"/>
  <c r="G325" i="21"/>
  <c r="F325" i="21"/>
  <c r="E325" i="21"/>
  <c r="D325" i="21"/>
  <c r="C325" i="21"/>
  <c r="B325" i="21"/>
  <c r="A325" i="21"/>
  <c r="BG324" i="21"/>
  <c r="BH324" i="21" s="1"/>
  <c r="BE324" i="21"/>
  <c r="BF324" i="21" s="1"/>
  <c r="AW324" i="21"/>
  <c r="AU324" i="21"/>
  <c r="AV324" i="21" s="1"/>
  <c r="AS324" i="21"/>
  <c r="AT324" i="21" s="1"/>
  <c r="AQ324" i="21"/>
  <c r="AO324" i="21"/>
  <c r="AP324" i="21" s="1"/>
  <c r="AM324" i="21"/>
  <c r="AN324" i="21" s="1"/>
  <c r="AK324" i="21"/>
  <c r="AL324" i="21" s="1"/>
  <c r="AG324" i="21"/>
  <c r="AH324" i="21" s="1"/>
  <c r="AE324" i="21"/>
  <c r="AF324" i="21" s="1"/>
  <c r="AC324" i="21"/>
  <c r="AD324" i="21" s="1"/>
  <c r="AA324" i="21"/>
  <c r="AB324" i="21" s="1"/>
  <c r="W324" i="21"/>
  <c r="U324" i="21"/>
  <c r="V324" i="21" s="1"/>
  <c r="S324" i="21"/>
  <c r="Q324" i="21"/>
  <c r="R324" i="21" s="1"/>
  <c r="P324" i="21"/>
  <c r="O324" i="21"/>
  <c r="N324" i="21"/>
  <c r="M324" i="21"/>
  <c r="L324" i="21"/>
  <c r="K324" i="21"/>
  <c r="J324" i="21"/>
  <c r="I324" i="21"/>
  <c r="H324" i="21"/>
  <c r="G324" i="21"/>
  <c r="F324" i="21"/>
  <c r="E324" i="21"/>
  <c r="D324" i="21"/>
  <c r="C324" i="21"/>
  <c r="B324" i="21"/>
  <c r="A324" i="21"/>
  <c r="BG323" i="21"/>
  <c r="BH323" i="21" s="1"/>
  <c r="BE323" i="21"/>
  <c r="AW323" i="21"/>
  <c r="AX323" i="21" s="1"/>
  <c r="AU323" i="21"/>
  <c r="AS323" i="21"/>
  <c r="AT323" i="21" s="1"/>
  <c r="AQ323" i="21"/>
  <c r="AR323" i="21" s="1"/>
  <c r="AO323" i="21"/>
  <c r="AP323" i="21" s="1"/>
  <c r="AM323" i="21"/>
  <c r="AN323" i="21" s="1"/>
  <c r="AK323" i="21"/>
  <c r="AL323" i="21" s="1"/>
  <c r="AG323" i="21"/>
  <c r="AH323" i="21" s="1"/>
  <c r="AE323" i="21"/>
  <c r="AF323" i="21" s="1"/>
  <c r="AC323" i="21"/>
  <c r="AA323" i="21"/>
  <c r="AB323" i="21" s="1"/>
  <c r="W323" i="21"/>
  <c r="X323" i="21" s="1"/>
  <c r="U323" i="21"/>
  <c r="V323" i="21" s="1"/>
  <c r="S323" i="21"/>
  <c r="T323" i="21" s="1"/>
  <c r="Q323" i="21"/>
  <c r="P323" i="21"/>
  <c r="O323" i="21"/>
  <c r="N323" i="21"/>
  <c r="M323" i="21"/>
  <c r="L323" i="21"/>
  <c r="K323" i="21"/>
  <c r="J323" i="21"/>
  <c r="I323" i="21"/>
  <c r="H323" i="21"/>
  <c r="G323" i="21"/>
  <c r="F323" i="21"/>
  <c r="E323" i="21"/>
  <c r="D323" i="21"/>
  <c r="C323" i="21"/>
  <c r="B323" i="21"/>
  <c r="A323" i="21"/>
  <c r="BG322" i="21"/>
  <c r="BH322" i="21" s="1"/>
  <c r="BE322" i="21"/>
  <c r="BF322" i="21" s="1"/>
  <c r="AW322" i="21"/>
  <c r="AX322" i="21" s="1"/>
  <c r="AU322" i="21"/>
  <c r="AV322" i="21" s="1"/>
  <c r="AS322" i="21"/>
  <c r="AT322" i="21" s="1"/>
  <c r="AQ322" i="21"/>
  <c r="AR322" i="21" s="1"/>
  <c r="AO322" i="21"/>
  <c r="AP322" i="21" s="1"/>
  <c r="AM322" i="21"/>
  <c r="AN322" i="21" s="1"/>
  <c r="AK322" i="21"/>
  <c r="AL322" i="21" s="1"/>
  <c r="AG322" i="21"/>
  <c r="AE322" i="21"/>
  <c r="AF322" i="21" s="1"/>
  <c r="AC322" i="21"/>
  <c r="AA322" i="21"/>
  <c r="AB322" i="21" s="1"/>
  <c r="W322" i="21"/>
  <c r="X322" i="21" s="1"/>
  <c r="U322" i="21"/>
  <c r="S322" i="21"/>
  <c r="T322" i="21" s="1"/>
  <c r="Q322" i="21"/>
  <c r="R322" i="21" s="1"/>
  <c r="P322" i="21"/>
  <c r="O322" i="21"/>
  <c r="N322" i="21"/>
  <c r="M322" i="21"/>
  <c r="L322" i="21"/>
  <c r="K322" i="21"/>
  <c r="J322" i="21"/>
  <c r="I322" i="21"/>
  <c r="H322" i="21"/>
  <c r="G322" i="21"/>
  <c r="F322" i="21"/>
  <c r="E322" i="21"/>
  <c r="D322" i="21"/>
  <c r="C322" i="21"/>
  <c r="B322" i="21"/>
  <c r="A322" i="21"/>
  <c r="BG321" i="21"/>
  <c r="BE321" i="21"/>
  <c r="BF321" i="21" s="1"/>
  <c r="AW321" i="21"/>
  <c r="AX321" i="21" s="1"/>
  <c r="AU321" i="21"/>
  <c r="AV321" i="21" s="1"/>
  <c r="AS321" i="21"/>
  <c r="AT321" i="21" s="1"/>
  <c r="AQ321" i="21"/>
  <c r="AR321" i="21" s="1"/>
  <c r="AO321" i="21"/>
  <c r="AP321" i="21" s="1"/>
  <c r="AM321" i="21"/>
  <c r="AK321" i="21"/>
  <c r="AL321" i="21" s="1"/>
  <c r="AG321" i="21"/>
  <c r="AH321" i="21" s="1"/>
  <c r="AE321" i="21"/>
  <c r="AF321" i="21" s="1"/>
  <c r="AC321" i="21"/>
  <c r="AD321" i="21" s="1"/>
  <c r="AA321" i="21"/>
  <c r="W321" i="21"/>
  <c r="X321" i="21" s="1"/>
  <c r="U321" i="21"/>
  <c r="V321" i="21" s="1"/>
  <c r="S321" i="21"/>
  <c r="Q321" i="21"/>
  <c r="R321" i="21" s="1"/>
  <c r="P321" i="21"/>
  <c r="O321" i="21"/>
  <c r="N321" i="21"/>
  <c r="M321" i="21"/>
  <c r="L321" i="21"/>
  <c r="K321" i="21"/>
  <c r="J321" i="21"/>
  <c r="I321" i="21"/>
  <c r="H321" i="21"/>
  <c r="G321" i="21"/>
  <c r="F321" i="21"/>
  <c r="E321" i="21"/>
  <c r="D321" i="21"/>
  <c r="C321" i="21"/>
  <c r="B321" i="21"/>
  <c r="A321" i="21"/>
  <c r="BG320" i="21"/>
  <c r="BH320" i="21" s="1"/>
  <c r="BE320" i="21"/>
  <c r="BF320" i="21" s="1"/>
  <c r="AW320" i="21"/>
  <c r="AX320" i="21" s="1"/>
  <c r="AU320" i="21"/>
  <c r="AV320" i="21" s="1"/>
  <c r="AS320" i="21"/>
  <c r="AT320" i="21" s="1"/>
  <c r="AQ320" i="21"/>
  <c r="AR320" i="21" s="1"/>
  <c r="AO320" i="21"/>
  <c r="AP320" i="21" s="1"/>
  <c r="AM320" i="21"/>
  <c r="AK320" i="21"/>
  <c r="AL320" i="21" s="1"/>
  <c r="AG320" i="21"/>
  <c r="AH320" i="21" s="1"/>
  <c r="AE320" i="21"/>
  <c r="AC320" i="21"/>
  <c r="AD320" i="21" s="1"/>
  <c r="AA320" i="21"/>
  <c r="AB320" i="21" s="1"/>
  <c r="W320" i="21"/>
  <c r="U320" i="21"/>
  <c r="V320" i="21" s="1"/>
  <c r="S320" i="21"/>
  <c r="Q320" i="21"/>
  <c r="R320" i="21" s="1"/>
  <c r="P320" i="21"/>
  <c r="O320" i="21"/>
  <c r="N320" i="21"/>
  <c r="M320" i="21"/>
  <c r="L320" i="21"/>
  <c r="K320" i="21"/>
  <c r="J320" i="21"/>
  <c r="I320" i="21"/>
  <c r="H320" i="21"/>
  <c r="G320" i="21"/>
  <c r="F320" i="21"/>
  <c r="E320" i="21"/>
  <c r="D320" i="21"/>
  <c r="C320" i="21"/>
  <c r="B320" i="21"/>
  <c r="A320" i="21"/>
  <c r="BG319" i="21"/>
  <c r="BH319" i="21" s="1"/>
  <c r="BE319" i="21"/>
  <c r="BF319" i="21" s="1"/>
  <c r="AW319" i="21"/>
  <c r="AX319" i="21" s="1"/>
  <c r="AU319" i="21"/>
  <c r="AV319" i="21" s="1"/>
  <c r="AS319" i="21"/>
  <c r="AT319" i="21" s="1"/>
  <c r="AQ319" i="21"/>
  <c r="AO319" i="21"/>
  <c r="AP319" i="21" s="1"/>
  <c r="AM319" i="21"/>
  <c r="AN319" i="21" s="1"/>
  <c r="AK319" i="21"/>
  <c r="AG319" i="21"/>
  <c r="AH319" i="21" s="1"/>
  <c r="AE319" i="21"/>
  <c r="AC319" i="21"/>
  <c r="AA319" i="21"/>
  <c r="AB319" i="21" s="1"/>
  <c r="W319" i="21"/>
  <c r="X319" i="21" s="1"/>
  <c r="U319" i="21"/>
  <c r="V319" i="21" s="1"/>
  <c r="S319" i="21"/>
  <c r="T319" i="21" s="1"/>
  <c r="Q319" i="21"/>
  <c r="R319" i="21" s="1"/>
  <c r="P319" i="21"/>
  <c r="O319" i="21"/>
  <c r="N319" i="21"/>
  <c r="M319" i="21"/>
  <c r="L319" i="21"/>
  <c r="K319" i="21"/>
  <c r="J319" i="21"/>
  <c r="I319" i="21"/>
  <c r="H319" i="21"/>
  <c r="G319" i="21"/>
  <c r="F319" i="21"/>
  <c r="E319" i="21"/>
  <c r="D319" i="21"/>
  <c r="C319" i="21"/>
  <c r="B319" i="21"/>
  <c r="A319" i="21"/>
  <c r="BG318" i="21"/>
  <c r="BH318" i="21" s="1"/>
  <c r="BE318" i="21"/>
  <c r="AW318" i="21"/>
  <c r="AX318" i="21" s="1"/>
  <c r="AU318" i="21"/>
  <c r="AV318" i="21" s="1"/>
  <c r="AS318" i="21"/>
  <c r="AT318" i="21" s="1"/>
  <c r="AQ318" i="21"/>
  <c r="AR318" i="21" s="1"/>
  <c r="AO318" i="21"/>
  <c r="AP318" i="21" s="1"/>
  <c r="AM318" i="21"/>
  <c r="AN318" i="21" s="1"/>
  <c r="AK318" i="21"/>
  <c r="AG318" i="21"/>
  <c r="AE318" i="21"/>
  <c r="AF318" i="21" s="1"/>
  <c r="AC318" i="21"/>
  <c r="AD318" i="21" s="1"/>
  <c r="AA318" i="21"/>
  <c r="AB318" i="21" s="1"/>
  <c r="W318" i="21"/>
  <c r="X318" i="21" s="1"/>
  <c r="U318" i="21"/>
  <c r="V318" i="21" s="1"/>
  <c r="S318" i="21"/>
  <c r="Q318" i="21"/>
  <c r="R318" i="21" s="1"/>
  <c r="P318" i="21"/>
  <c r="O318" i="21"/>
  <c r="N318" i="21"/>
  <c r="M318" i="21"/>
  <c r="L318" i="21"/>
  <c r="K318" i="21"/>
  <c r="J318" i="21"/>
  <c r="I318" i="21"/>
  <c r="H318" i="21"/>
  <c r="G318" i="21"/>
  <c r="F318" i="21"/>
  <c r="E318" i="21"/>
  <c r="D318" i="21"/>
  <c r="C318" i="21"/>
  <c r="B318" i="21"/>
  <c r="A318" i="21"/>
  <c r="BG317" i="21"/>
  <c r="BH317" i="21" s="1"/>
  <c r="BE317" i="21"/>
  <c r="BF317" i="21" s="1"/>
  <c r="AW317" i="21"/>
  <c r="AX317" i="21" s="1"/>
  <c r="AU317" i="21"/>
  <c r="AV317" i="21" s="1"/>
  <c r="AS317" i="21"/>
  <c r="AQ317" i="21"/>
  <c r="AR317" i="21" s="1"/>
  <c r="AO317" i="21"/>
  <c r="AP317" i="21" s="1"/>
  <c r="AM317" i="21"/>
  <c r="AK317" i="21"/>
  <c r="AL317" i="21" s="1"/>
  <c r="AG317" i="21"/>
  <c r="AE317" i="21"/>
  <c r="AF317" i="21" s="1"/>
  <c r="AC317" i="21"/>
  <c r="AD317" i="21" s="1"/>
  <c r="AA317" i="21"/>
  <c r="AB317" i="21" s="1"/>
  <c r="W317" i="21"/>
  <c r="X317" i="21" s="1"/>
  <c r="U317" i="21"/>
  <c r="V317" i="21" s="1"/>
  <c r="S317" i="21"/>
  <c r="T317" i="21" s="1"/>
  <c r="Q317" i="21"/>
  <c r="R317" i="21" s="1"/>
  <c r="P317" i="21"/>
  <c r="O317" i="21"/>
  <c r="N317" i="21"/>
  <c r="M317" i="21"/>
  <c r="L317" i="21"/>
  <c r="K317" i="21"/>
  <c r="J317" i="21"/>
  <c r="I317" i="21"/>
  <c r="H317" i="21"/>
  <c r="G317" i="21"/>
  <c r="F317" i="21"/>
  <c r="E317" i="21"/>
  <c r="D317" i="21"/>
  <c r="C317" i="21"/>
  <c r="B317" i="21"/>
  <c r="A317" i="21"/>
  <c r="BG316" i="21"/>
  <c r="BH316" i="21" s="1"/>
  <c r="BE316" i="21"/>
  <c r="BF316" i="21" s="1"/>
  <c r="AW316" i="21"/>
  <c r="AX316" i="21" s="1"/>
  <c r="AU316" i="21"/>
  <c r="AV316" i="21" s="1"/>
  <c r="AS316" i="21"/>
  <c r="AT316" i="21" s="1"/>
  <c r="AQ316" i="21"/>
  <c r="AO316" i="21"/>
  <c r="AP316" i="21" s="1"/>
  <c r="AM316" i="21"/>
  <c r="AK316" i="21"/>
  <c r="AL316" i="21" s="1"/>
  <c r="AG316" i="21"/>
  <c r="AH316" i="21" s="1"/>
  <c r="AE316" i="21"/>
  <c r="AF316" i="21" s="1"/>
  <c r="AC316" i="21"/>
  <c r="AD316" i="21" s="1"/>
  <c r="AA316" i="21"/>
  <c r="AB316" i="21" s="1"/>
  <c r="W316" i="21"/>
  <c r="X316" i="21" s="1"/>
  <c r="U316" i="21"/>
  <c r="V316" i="21" s="1"/>
  <c r="S316" i="21"/>
  <c r="Q316" i="21"/>
  <c r="R316" i="21" s="1"/>
  <c r="P316" i="21"/>
  <c r="O316" i="21"/>
  <c r="N316" i="21"/>
  <c r="M316" i="21"/>
  <c r="L316" i="21"/>
  <c r="K316" i="21"/>
  <c r="J316" i="21"/>
  <c r="I316" i="21"/>
  <c r="H316" i="21"/>
  <c r="G316" i="21"/>
  <c r="F316" i="21"/>
  <c r="E316" i="21"/>
  <c r="D316" i="21"/>
  <c r="C316" i="21"/>
  <c r="B316" i="21"/>
  <c r="A316" i="21"/>
  <c r="BG315" i="21"/>
  <c r="BH315" i="21" s="1"/>
  <c r="BE315" i="21"/>
  <c r="BF315" i="21" s="1"/>
  <c r="AW315" i="21"/>
  <c r="AU315" i="21"/>
  <c r="AS315" i="21"/>
  <c r="AT315" i="21" s="1"/>
  <c r="AQ315" i="21"/>
  <c r="AR315" i="21" s="1"/>
  <c r="AO315" i="21"/>
  <c r="AP315" i="21" s="1"/>
  <c r="AM315" i="21"/>
  <c r="AN315" i="21" s="1"/>
  <c r="AK315" i="21"/>
  <c r="AL315" i="21" s="1"/>
  <c r="AG315" i="21"/>
  <c r="AH315" i="21" s="1"/>
  <c r="AE315" i="21"/>
  <c r="AF315" i="21" s="1"/>
  <c r="AC315" i="21"/>
  <c r="AD315" i="21" s="1"/>
  <c r="AA315" i="21"/>
  <c r="AB315" i="21" s="1"/>
  <c r="W315" i="21"/>
  <c r="X315" i="21" s="1"/>
  <c r="U315" i="21"/>
  <c r="V315" i="21" s="1"/>
  <c r="S315" i="21"/>
  <c r="T315" i="21" s="1"/>
  <c r="Q315" i="21"/>
  <c r="P315" i="21"/>
  <c r="O315" i="21"/>
  <c r="N315" i="21"/>
  <c r="M315" i="21"/>
  <c r="L315" i="21"/>
  <c r="K315" i="21"/>
  <c r="J315" i="21"/>
  <c r="I315" i="21"/>
  <c r="H315" i="21"/>
  <c r="G315" i="21"/>
  <c r="F315" i="21"/>
  <c r="E315" i="21"/>
  <c r="D315" i="21"/>
  <c r="C315" i="21"/>
  <c r="B315" i="21"/>
  <c r="A315" i="21"/>
  <c r="BG314" i="21"/>
  <c r="BH314" i="21" s="1"/>
  <c r="BE314" i="21"/>
  <c r="BF314" i="21" s="1"/>
  <c r="AW314" i="21"/>
  <c r="AX314" i="21" s="1"/>
  <c r="AU314" i="21"/>
  <c r="AV314" i="21" s="1"/>
  <c r="AS314" i="21"/>
  <c r="AT314" i="21" s="1"/>
  <c r="AQ314" i="21"/>
  <c r="AR314" i="21" s="1"/>
  <c r="AO314" i="21"/>
  <c r="AP314" i="21" s="1"/>
  <c r="AM314" i="21"/>
  <c r="AN314" i="21" s="1"/>
  <c r="AK314" i="21"/>
  <c r="AL314" i="21" s="1"/>
  <c r="AG314" i="21"/>
  <c r="AH314" i="21" s="1"/>
  <c r="AE314" i="21"/>
  <c r="AF314" i="21" s="1"/>
  <c r="AC314" i="21"/>
  <c r="AD314" i="21" s="1"/>
  <c r="AA314" i="21"/>
  <c r="AB314" i="21" s="1"/>
  <c r="W314" i="21"/>
  <c r="X314" i="21" s="1"/>
  <c r="U314" i="21"/>
  <c r="S314" i="21"/>
  <c r="Q314" i="21"/>
  <c r="R314" i="21" s="1"/>
  <c r="P314" i="21"/>
  <c r="O314" i="21"/>
  <c r="N314" i="21"/>
  <c r="M314" i="21"/>
  <c r="L314" i="21"/>
  <c r="K314" i="21"/>
  <c r="J314" i="21"/>
  <c r="I314" i="21"/>
  <c r="H314" i="21"/>
  <c r="G314" i="21"/>
  <c r="F314" i="21"/>
  <c r="E314" i="21"/>
  <c r="D314" i="21"/>
  <c r="C314" i="21"/>
  <c r="B314" i="21"/>
  <c r="A314" i="21"/>
  <c r="BG313" i="21"/>
  <c r="BE313" i="21"/>
  <c r="BF313" i="21" s="1"/>
  <c r="AW313" i="21"/>
  <c r="AX313" i="21" s="1"/>
  <c r="AU313" i="21"/>
  <c r="AV313" i="21" s="1"/>
  <c r="AS313" i="21"/>
  <c r="AT313" i="21" s="1"/>
  <c r="AQ313" i="21"/>
  <c r="AR313" i="21" s="1"/>
  <c r="AO313" i="21"/>
  <c r="AP313" i="21" s="1"/>
  <c r="AM313" i="21"/>
  <c r="AN313" i="21" s="1"/>
  <c r="AK313" i="21"/>
  <c r="AL313" i="21" s="1"/>
  <c r="AG313" i="21"/>
  <c r="AE313" i="21"/>
  <c r="AF313" i="21" s="1"/>
  <c r="AC313" i="21"/>
  <c r="AD313" i="21" s="1"/>
  <c r="AA313" i="21"/>
  <c r="W313" i="21"/>
  <c r="X313" i="21" s="1"/>
  <c r="U313" i="21"/>
  <c r="V313" i="21" s="1"/>
  <c r="S313" i="21"/>
  <c r="Q313" i="21"/>
  <c r="R313" i="21" s="1"/>
  <c r="P313" i="21"/>
  <c r="O313" i="21"/>
  <c r="N313" i="21"/>
  <c r="M313" i="21"/>
  <c r="L313" i="21"/>
  <c r="K313" i="21"/>
  <c r="J313" i="21"/>
  <c r="I313" i="21"/>
  <c r="H313" i="21"/>
  <c r="G313" i="21"/>
  <c r="F313" i="21"/>
  <c r="E313" i="21"/>
  <c r="D313" i="21"/>
  <c r="C313" i="21"/>
  <c r="B313" i="21"/>
  <c r="A313" i="21"/>
  <c r="BG312" i="21"/>
  <c r="BE312" i="21"/>
  <c r="BF312" i="21" s="1"/>
  <c r="AW312" i="21"/>
  <c r="AX312" i="21" s="1"/>
  <c r="AU312" i="21"/>
  <c r="AV312" i="21" s="1"/>
  <c r="AS312" i="21"/>
  <c r="AT312" i="21" s="1"/>
  <c r="AQ312" i="21"/>
  <c r="AR312" i="21" s="1"/>
  <c r="AO312" i="21"/>
  <c r="AP312" i="21" s="1"/>
  <c r="AM312" i="21"/>
  <c r="AK312" i="21"/>
  <c r="AL312" i="21" s="1"/>
  <c r="AG312" i="21"/>
  <c r="AH312" i="21" s="1"/>
  <c r="AE312" i="21"/>
  <c r="AC312" i="21"/>
  <c r="AD312" i="21" s="1"/>
  <c r="AA312" i="21"/>
  <c r="W312" i="21"/>
  <c r="U312" i="21"/>
  <c r="V312" i="21" s="1"/>
  <c r="S312" i="21"/>
  <c r="T312" i="21" s="1"/>
  <c r="Q312" i="21"/>
  <c r="R312" i="21" s="1"/>
  <c r="P312" i="21"/>
  <c r="O312" i="21"/>
  <c r="N312" i="21"/>
  <c r="M312" i="21"/>
  <c r="L312" i="21"/>
  <c r="K312" i="21"/>
  <c r="J312" i="21"/>
  <c r="I312" i="21"/>
  <c r="H312" i="21"/>
  <c r="G312" i="21"/>
  <c r="F312" i="21"/>
  <c r="E312" i="21"/>
  <c r="D312" i="21"/>
  <c r="C312" i="21"/>
  <c r="B312" i="21"/>
  <c r="A312" i="21"/>
  <c r="BG311" i="21"/>
  <c r="BH311" i="21" s="1"/>
  <c r="BE311" i="21"/>
  <c r="BF311" i="21" s="1"/>
  <c r="AW311" i="21"/>
  <c r="AU311" i="21"/>
  <c r="AV311" i="21" s="1"/>
  <c r="AS311" i="21"/>
  <c r="AT311" i="21" s="1"/>
  <c r="AQ311" i="21"/>
  <c r="AR311" i="21" s="1"/>
  <c r="AO311" i="21"/>
  <c r="AP311" i="21" s="1"/>
  <c r="AM311" i="21"/>
  <c r="AK311" i="21"/>
  <c r="AL311" i="21" s="1"/>
  <c r="AG311" i="21"/>
  <c r="AH311" i="21" s="1"/>
  <c r="AE311" i="21"/>
  <c r="AC311" i="21"/>
  <c r="AA311" i="21"/>
  <c r="AB311" i="21" s="1"/>
  <c r="W311" i="21"/>
  <c r="X311" i="21" s="1"/>
  <c r="U311" i="21"/>
  <c r="V311" i="21" s="1"/>
  <c r="S311" i="21"/>
  <c r="T311" i="21" s="1"/>
  <c r="Q311" i="21"/>
  <c r="R311" i="21" s="1"/>
  <c r="P311" i="21"/>
  <c r="O311" i="21"/>
  <c r="N311" i="21"/>
  <c r="M311" i="21"/>
  <c r="L311" i="21"/>
  <c r="K311" i="21"/>
  <c r="J311" i="21"/>
  <c r="I311" i="21"/>
  <c r="H311" i="21"/>
  <c r="G311" i="21"/>
  <c r="F311" i="21"/>
  <c r="E311" i="21"/>
  <c r="D311" i="21"/>
  <c r="C311" i="21"/>
  <c r="B311" i="21"/>
  <c r="A311" i="21"/>
  <c r="BG310" i="21"/>
  <c r="BE310" i="21"/>
  <c r="BF310" i="21" s="1"/>
  <c r="AW310" i="21"/>
  <c r="AX310" i="21" s="1"/>
  <c r="AU310" i="21"/>
  <c r="AS310" i="21"/>
  <c r="AT310" i="21" s="1"/>
  <c r="AQ310" i="21"/>
  <c r="AR310" i="21" s="1"/>
  <c r="AO310" i="21"/>
  <c r="AP310" i="21" s="1"/>
  <c r="AM310" i="21"/>
  <c r="AN310" i="21" s="1"/>
  <c r="AK310" i="21"/>
  <c r="AL310" i="21" s="1"/>
  <c r="AG310" i="21"/>
  <c r="AE310" i="21"/>
  <c r="AF310" i="21" s="1"/>
  <c r="AC310" i="21"/>
  <c r="AA310" i="21"/>
  <c r="AB310" i="21" s="1"/>
  <c r="W310" i="21"/>
  <c r="X310" i="21" s="1"/>
  <c r="U310" i="21"/>
  <c r="V310" i="21" s="1"/>
  <c r="S310" i="21"/>
  <c r="T310" i="21" s="1"/>
  <c r="Q310" i="21"/>
  <c r="R310" i="21" s="1"/>
  <c r="P310" i="21"/>
  <c r="O310" i="21"/>
  <c r="N310" i="21"/>
  <c r="M310" i="21"/>
  <c r="L310" i="21"/>
  <c r="K310" i="21"/>
  <c r="J310" i="21"/>
  <c r="I310" i="21"/>
  <c r="H310" i="21"/>
  <c r="G310" i="21"/>
  <c r="F310" i="21"/>
  <c r="E310" i="21"/>
  <c r="D310" i="21"/>
  <c r="C310" i="21"/>
  <c r="B310" i="21"/>
  <c r="A310" i="21"/>
  <c r="BG309" i="21"/>
  <c r="BH309" i="21" s="1"/>
  <c r="BE309" i="21"/>
  <c r="BF309" i="21" s="1"/>
  <c r="AW309" i="21"/>
  <c r="AX309" i="21" s="1"/>
  <c r="AU309" i="21"/>
  <c r="AV309" i="21" s="1"/>
  <c r="AS309" i="21"/>
  <c r="AT309" i="21" s="1"/>
  <c r="AQ309" i="21"/>
  <c r="AO309" i="21"/>
  <c r="AP309" i="21" s="1"/>
  <c r="AM309" i="21"/>
  <c r="AK309" i="21"/>
  <c r="AL309" i="21" s="1"/>
  <c r="AG309" i="21"/>
  <c r="AE309" i="21"/>
  <c r="AF309" i="21" s="1"/>
  <c r="AC309" i="21"/>
  <c r="AD309" i="21" s="1"/>
  <c r="AA309" i="21"/>
  <c r="AB309" i="21" s="1"/>
  <c r="W309" i="21"/>
  <c r="X309" i="21" s="1"/>
  <c r="U309" i="21"/>
  <c r="V309" i="21" s="1"/>
  <c r="S309" i="21"/>
  <c r="T309" i="21" s="1"/>
  <c r="Q309" i="21"/>
  <c r="R309" i="21" s="1"/>
  <c r="P309" i="21"/>
  <c r="O309" i="21"/>
  <c r="N309" i="21"/>
  <c r="M309" i="21"/>
  <c r="L309" i="21"/>
  <c r="K309" i="21"/>
  <c r="J309" i="21"/>
  <c r="I309" i="21"/>
  <c r="H309" i="21"/>
  <c r="G309" i="21"/>
  <c r="F309" i="21"/>
  <c r="E309" i="21"/>
  <c r="D309" i="21"/>
  <c r="C309" i="21"/>
  <c r="B309" i="21"/>
  <c r="A309" i="21"/>
  <c r="BG308" i="21"/>
  <c r="BE308" i="21"/>
  <c r="BF308" i="21" s="1"/>
  <c r="AW308" i="21"/>
  <c r="AX308" i="21" s="1"/>
  <c r="AU308" i="21"/>
  <c r="AV308" i="21" s="1"/>
  <c r="AS308" i="21"/>
  <c r="AQ308" i="21"/>
  <c r="AO308" i="21"/>
  <c r="AP308" i="21" s="1"/>
  <c r="AM308" i="21"/>
  <c r="AN308" i="21" s="1"/>
  <c r="AK308" i="21"/>
  <c r="AL308" i="21" s="1"/>
  <c r="AG308" i="21"/>
  <c r="AH308" i="21" s="1"/>
  <c r="AE308" i="21"/>
  <c r="AF308" i="21" s="1"/>
  <c r="AC308" i="21"/>
  <c r="AD308" i="21" s="1"/>
  <c r="AA308" i="21"/>
  <c r="AB308" i="21" s="1"/>
  <c r="W308" i="21"/>
  <c r="X308" i="21" s="1"/>
  <c r="U308" i="21"/>
  <c r="V308" i="21" s="1"/>
  <c r="S308" i="21"/>
  <c r="T308" i="21" s="1"/>
  <c r="Q308" i="21"/>
  <c r="R308" i="21" s="1"/>
  <c r="P308" i="21"/>
  <c r="O308" i="21"/>
  <c r="N308" i="21"/>
  <c r="M308" i="21"/>
  <c r="L308" i="21"/>
  <c r="K308" i="21"/>
  <c r="J308" i="21"/>
  <c r="I308" i="21"/>
  <c r="H308" i="21"/>
  <c r="G308" i="21"/>
  <c r="F308" i="21"/>
  <c r="E308" i="21"/>
  <c r="D308" i="21"/>
  <c r="C308" i="21"/>
  <c r="B308" i="21"/>
  <c r="A308" i="21"/>
  <c r="BG307" i="21"/>
  <c r="BH307" i="21" s="1"/>
  <c r="BE307" i="21"/>
  <c r="AW307" i="21"/>
  <c r="AX307" i="21" s="1"/>
  <c r="AU307" i="21"/>
  <c r="AS307" i="21"/>
  <c r="AT307" i="21" s="1"/>
  <c r="AQ307" i="21"/>
  <c r="AR307" i="21" s="1"/>
  <c r="AO307" i="21"/>
  <c r="AP307" i="21" s="1"/>
  <c r="AM307" i="21"/>
  <c r="AN307" i="21" s="1"/>
  <c r="AK307" i="21"/>
  <c r="AG307" i="21"/>
  <c r="AH307" i="21" s="1"/>
  <c r="AE307" i="21"/>
  <c r="AF307" i="21" s="1"/>
  <c r="AC307" i="21"/>
  <c r="AD307" i="21" s="1"/>
  <c r="AA307" i="21"/>
  <c r="AB307" i="21" s="1"/>
  <c r="W307" i="21"/>
  <c r="X307" i="21" s="1"/>
  <c r="U307" i="21"/>
  <c r="S307" i="21"/>
  <c r="T307" i="21" s="1"/>
  <c r="Q307" i="21"/>
  <c r="R307" i="21" s="1"/>
  <c r="P307" i="21"/>
  <c r="O307" i="21"/>
  <c r="N307" i="21"/>
  <c r="M307" i="21"/>
  <c r="L307" i="21"/>
  <c r="K307" i="21"/>
  <c r="J307" i="21"/>
  <c r="I307" i="21"/>
  <c r="H307" i="21"/>
  <c r="G307" i="21"/>
  <c r="F307" i="21"/>
  <c r="E307" i="21"/>
  <c r="D307" i="21"/>
  <c r="C307" i="21"/>
  <c r="B307" i="21"/>
  <c r="A307" i="21"/>
  <c r="BG306" i="21"/>
  <c r="BH306" i="21" s="1"/>
  <c r="BE306" i="21"/>
  <c r="BF306" i="21" s="1"/>
  <c r="AW306" i="21"/>
  <c r="AX306" i="21" s="1"/>
  <c r="AU306" i="21"/>
  <c r="AS306" i="21"/>
  <c r="AT306" i="21" s="1"/>
  <c r="AQ306" i="21"/>
  <c r="AR306" i="21" s="1"/>
  <c r="AO306" i="21"/>
  <c r="AP306" i="21" s="1"/>
  <c r="AM306" i="21"/>
  <c r="AN306" i="21" s="1"/>
  <c r="AK306" i="21"/>
  <c r="AL306" i="21" s="1"/>
  <c r="AG306" i="21"/>
  <c r="AH306" i="21" s="1"/>
  <c r="AE306" i="21"/>
  <c r="AF306" i="21" s="1"/>
  <c r="AC306" i="21"/>
  <c r="AA306" i="21"/>
  <c r="AB306" i="21" s="1"/>
  <c r="W306" i="21"/>
  <c r="X306" i="21" s="1"/>
  <c r="U306" i="21"/>
  <c r="V306" i="21" s="1"/>
  <c r="S306" i="21"/>
  <c r="T306" i="21" s="1"/>
  <c r="Q306" i="21"/>
  <c r="R306" i="21" s="1"/>
  <c r="P306" i="21"/>
  <c r="O306" i="21"/>
  <c r="N306" i="21"/>
  <c r="M306" i="21"/>
  <c r="L306" i="21"/>
  <c r="K306" i="21"/>
  <c r="J306" i="21"/>
  <c r="I306" i="21"/>
  <c r="H306" i="21"/>
  <c r="G306" i="21"/>
  <c r="F306" i="21"/>
  <c r="E306" i="21"/>
  <c r="D306" i="21"/>
  <c r="C306" i="21"/>
  <c r="B306" i="21"/>
  <c r="A306" i="21"/>
  <c r="BG305" i="21"/>
  <c r="BE305" i="21"/>
  <c r="BF305" i="21" s="1"/>
  <c r="AW305" i="21"/>
  <c r="AX305" i="21" s="1"/>
  <c r="AU305" i="21"/>
  <c r="AV305" i="21" s="1"/>
  <c r="AS305" i="21"/>
  <c r="AT305" i="21" s="1"/>
  <c r="AQ305" i="21"/>
  <c r="AR305" i="21" s="1"/>
  <c r="AO305" i="21"/>
  <c r="AP305" i="21" s="1"/>
  <c r="AM305" i="21"/>
  <c r="AN305" i="21" s="1"/>
  <c r="AK305" i="21"/>
  <c r="AL305" i="21" s="1"/>
  <c r="AG305" i="21"/>
  <c r="AE305" i="21"/>
  <c r="AF305" i="21" s="1"/>
  <c r="AC305" i="21"/>
  <c r="AD305" i="21" s="1"/>
  <c r="AA305" i="21"/>
  <c r="W305" i="21"/>
  <c r="X305" i="21" s="1"/>
  <c r="U305" i="21"/>
  <c r="S305" i="21"/>
  <c r="Q305" i="21"/>
  <c r="R305" i="21" s="1"/>
  <c r="P305" i="21"/>
  <c r="O305" i="21"/>
  <c r="N305" i="21"/>
  <c r="M305" i="21"/>
  <c r="L305" i="21"/>
  <c r="K305" i="21"/>
  <c r="J305" i="21"/>
  <c r="I305" i="21"/>
  <c r="H305" i="21"/>
  <c r="G305" i="21"/>
  <c r="F305" i="21"/>
  <c r="E305" i="21"/>
  <c r="D305" i="21"/>
  <c r="C305" i="21"/>
  <c r="B305" i="21"/>
  <c r="A305" i="21"/>
  <c r="BG304" i="21"/>
  <c r="BH304" i="21" s="1"/>
  <c r="BE304" i="21"/>
  <c r="BF304" i="21" s="1"/>
  <c r="AW304" i="21"/>
  <c r="AX304" i="21" s="1"/>
  <c r="AU304" i="21"/>
  <c r="AV304" i="21" s="1"/>
  <c r="AS304" i="21"/>
  <c r="AQ304" i="21"/>
  <c r="AR304" i="21" s="1"/>
  <c r="AO304" i="21"/>
  <c r="AP304" i="21" s="1"/>
  <c r="AM304" i="21"/>
  <c r="AK304" i="21"/>
  <c r="AL304" i="21" s="1"/>
  <c r="AG304" i="21"/>
  <c r="AH304" i="21" s="1"/>
  <c r="AE304" i="21"/>
  <c r="AC304" i="21"/>
  <c r="AD304" i="21" s="1"/>
  <c r="AA304" i="21"/>
  <c r="W304" i="21"/>
  <c r="U304" i="21"/>
  <c r="V304" i="21" s="1"/>
  <c r="S304" i="21"/>
  <c r="T304" i="21" s="1"/>
  <c r="Q304" i="21"/>
  <c r="R304" i="21" s="1"/>
  <c r="P304" i="21"/>
  <c r="O304" i="21"/>
  <c r="N304" i="21"/>
  <c r="M304" i="21"/>
  <c r="L304" i="21"/>
  <c r="K304" i="21"/>
  <c r="J304" i="21"/>
  <c r="I304" i="21"/>
  <c r="H304" i="21"/>
  <c r="G304" i="21"/>
  <c r="F304" i="21"/>
  <c r="E304" i="21"/>
  <c r="D304" i="21"/>
  <c r="C304" i="21"/>
  <c r="B304" i="21"/>
  <c r="A304" i="21"/>
  <c r="BG303" i="21"/>
  <c r="BE303" i="21"/>
  <c r="BF303" i="21" s="1"/>
  <c r="AW303" i="21"/>
  <c r="AX303" i="21" s="1"/>
  <c r="AU303" i="21"/>
  <c r="AV303" i="21" s="1"/>
  <c r="AS303" i="21"/>
  <c r="AT303" i="21" s="1"/>
  <c r="AQ303" i="21"/>
  <c r="AR303" i="21" s="1"/>
  <c r="AO303" i="21"/>
  <c r="AM303" i="21"/>
  <c r="AN303" i="21" s="1"/>
  <c r="AK303" i="21"/>
  <c r="AL303" i="21" s="1"/>
  <c r="AG303" i="21"/>
  <c r="AH303" i="21" s="1"/>
  <c r="AE303" i="21"/>
  <c r="AF303" i="21" s="1"/>
  <c r="AC303" i="21"/>
  <c r="AA303" i="21"/>
  <c r="AB303" i="21" s="1"/>
  <c r="W303" i="21"/>
  <c r="U303" i="21"/>
  <c r="V303" i="21" s="1"/>
  <c r="S303" i="21"/>
  <c r="Q303" i="21"/>
  <c r="R303" i="21" s="1"/>
  <c r="P303" i="21"/>
  <c r="O303" i="21"/>
  <c r="N303" i="21"/>
  <c r="M303" i="21"/>
  <c r="L303" i="21"/>
  <c r="K303" i="21"/>
  <c r="J303" i="21"/>
  <c r="I303" i="21"/>
  <c r="H303" i="21"/>
  <c r="G303" i="21"/>
  <c r="F303" i="21"/>
  <c r="E303" i="21"/>
  <c r="D303" i="21"/>
  <c r="C303" i="21"/>
  <c r="B303" i="21"/>
  <c r="A303" i="21"/>
  <c r="BG302" i="21"/>
  <c r="BH302" i="21" s="1"/>
  <c r="BE302" i="21"/>
  <c r="AW302" i="21"/>
  <c r="AX302" i="21" s="1"/>
  <c r="AU302" i="21"/>
  <c r="AV302" i="21" s="1"/>
  <c r="AS302" i="21"/>
  <c r="AT302" i="21" s="1"/>
  <c r="AQ302" i="21"/>
  <c r="AR302" i="21" s="1"/>
  <c r="AO302" i="21"/>
  <c r="AP302" i="21" s="1"/>
  <c r="AM302" i="21"/>
  <c r="AN302" i="21" s="1"/>
  <c r="AK302" i="21"/>
  <c r="AG302" i="21"/>
  <c r="AE302" i="21"/>
  <c r="AF302" i="21" s="1"/>
  <c r="AC302" i="21"/>
  <c r="AA302" i="21"/>
  <c r="AB302" i="21" s="1"/>
  <c r="W302" i="21"/>
  <c r="X302" i="21" s="1"/>
  <c r="U302" i="21"/>
  <c r="S302" i="21"/>
  <c r="Q302" i="21"/>
  <c r="R302" i="21" s="1"/>
  <c r="P302" i="21"/>
  <c r="O302" i="21"/>
  <c r="N302" i="21"/>
  <c r="M302" i="21"/>
  <c r="L302" i="21"/>
  <c r="K302" i="21"/>
  <c r="J302" i="21"/>
  <c r="I302" i="21"/>
  <c r="H302" i="21"/>
  <c r="G302" i="21"/>
  <c r="F302" i="21"/>
  <c r="E302" i="21"/>
  <c r="D302" i="21"/>
  <c r="C302" i="21"/>
  <c r="B302" i="21"/>
  <c r="A302" i="21"/>
  <c r="BG301" i="21"/>
  <c r="BH301" i="21" s="1"/>
  <c r="BE301" i="21"/>
  <c r="BF301" i="21" s="1"/>
  <c r="AW301" i="21"/>
  <c r="AX301" i="21" s="1"/>
  <c r="AU301" i="21"/>
  <c r="AS301" i="21"/>
  <c r="AT301" i="21" s="1"/>
  <c r="AQ301" i="21"/>
  <c r="AR301" i="21" s="1"/>
  <c r="AO301" i="21"/>
  <c r="AP301" i="21" s="1"/>
  <c r="AM301" i="21"/>
  <c r="AK301" i="21"/>
  <c r="AL301" i="21" s="1"/>
  <c r="AG301" i="21"/>
  <c r="AH301" i="21" s="1"/>
  <c r="AE301" i="21"/>
  <c r="AC301" i="21"/>
  <c r="AD301" i="21" s="1"/>
  <c r="AA301" i="21"/>
  <c r="AB301" i="21" s="1"/>
  <c r="W301" i="21"/>
  <c r="U301" i="21"/>
  <c r="V301" i="21" s="1"/>
  <c r="S301" i="21"/>
  <c r="Q301" i="21"/>
  <c r="R301" i="21" s="1"/>
  <c r="P301" i="21"/>
  <c r="O301" i="21"/>
  <c r="N301" i="21"/>
  <c r="M301" i="21"/>
  <c r="L301" i="21"/>
  <c r="K301" i="21"/>
  <c r="J301" i="21"/>
  <c r="I301" i="21"/>
  <c r="H301" i="21"/>
  <c r="G301" i="21"/>
  <c r="F301" i="21"/>
  <c r="E301" i="21"/>
  <c r="D301" i="21"/>
  <c r="C301" i="21"/>
  <c r="B301" i="21"/>
  <c r="A301" i="21"/>
  <c r="BG300" i="21"/>
  <c r="BE300" i="21"/>
  <c r="BF300" i="21" s="1"/>
  <c r="AW300" i="21"/>
  <c r="AX300" i="21" s="1"/>
  <c r="AU300" i="21"/>
  <c r="AV300" i="21" s="1"/>
  <c r="AS300" i="21"/>
  <c r="AT300" i="21" s="1"/>
  <c r="AQ300" i="21"/>
  <c r="AR300" i="21" s="1"/>
  <c r="AO300" i="21"/>
  <c r="AP300" i="21" s="1"/>
  <c r="AM300" i="21"/>
  <c r="AN300" i="21" s="1"/>
  <c r="AK300" i="21"/>
  <c r="AL300" i="21" s="1"/>
  <c r="AG300" i="21"/>
  <c r="AH300" i="21" s="1"/>
  <c r="AE300" i="21"/>
  <c r="AC300" i="21"/>
  <c r="AD300" i="21" s="1"/>
  <c r="AA300" i="21"/>
  <c r="AB300" i="21" s="1"/>
  <c r="W300" i="21"/>
  <c r="U300" i="21"/>
  <c r="V300" i="21" s="1"/>
  <c r="S300" i="21"/>
  <c r="T300" i="21" s="1"/>
  <c r="Q300" i="21"/>
  <c r="R300" i="21" s="1"/>
  <c r="P300" i="21"/>
  <c r="O300" i="21"/>
  <c r="N300" i="21"/>
  <c r="M300" i="21"/>
  <c r="L300" i="21"/>
  <c r="K300" i="21"/>
  <c r="J300" i="21"/>
  <c r="I300" i="21"/>
  <c r="H300" i="21"/>
  <c r="G300" i="21"/>
  <c r="F300" i="21"/>
  <c r="E300" i="21"/>
  <c r="D300" i="21"/>
  <c r="C300" i="21"/>
  <c r="B300" i="21"/>
  <c r="A300" i="21"/>
  <c r="BG299" i="21"/>
  <c r="BH299" i="21" s="1"/>
  <c r="BE299" i="21"/>
  <c r="BF299" i="21" s="1"/>
  <c r="AW299" i="21"/>
  <c r="AU299" i="21"/>
  <c r="AV299" i="21" s="1"/>
  <c r="AS299" i="21"/>
  <c r="AT299" i="21" s="1"/>
  <c r="AQ299" i="21"/>
  <c r="AO299" i="21"/>
  <c r="AP299" i="21" s="1"/>
  <c r="AM299" i="21"/>
  <c r="AN299" i="21" s="1"/>
  <c r="AK299" i="21"/>
  <c r="AG299" i="21"/>
  <c r="AH299" i="21" s="1"/>
  <c r="AE299" i="21"/>
  <c r="AC299" i="21"/>
  <c r="AD299" i="21" s="1"/>
  <c r="AA299" i="21"/>
  <c r="AB299" i="21" s="1"/>
  <c r="W299" i="21"/>
  <c r="X299" i="21" s="1"/>
  <c r="U299" i="21"/>
  <c r="V299" i="21" s="1"/>
  <c r="S299" i="21"/>
  <c r="T299" i="21" s="1"/>
  <c r="Q299" i="21"/>
  <c r="P299" i="21"/>
  <c r="O299" i="21"/>
  <c r="N299" i="21"/>
  <c r="M299" i="21"/>
  <c r="L299" i="21"/>
  <c r="K299" i="21"/>
  <c r="J299" i="21"/>
  <c r="I299" i="21"/>
  <c r="H299" i="21"/>
  <c r="G299" i="21"/>
  <c r="F299" i="21"/>
  <c r="E299" i="21"/>
  <c r="D299" i="21"/>
  <c r="C299" i="21"/>
  <c r="B299" i="21"/>
  <c r="A299" i="21"/>
  <c r="BG298" i="21"/>
  <c r="BH298" i="21" s="1"/>
  <c r="BE298" i="21"/>
  <c r="BF298" i="21" s="1"/>
  <c r="AW298" i="21"/>
  <c r="AX298" i="21" s="1"/>
  <c r="AU298" i="21"/>
  <c r="AV298" i="21" s="1"/>
  <c r="AS298" i="21"/>
  <c r="AT298" i="21" s="1"/>
  <c r="AQ298" i="21"/>
  <c r="AR298" i="21" s="1"/>
  <c r="AO298" i="21"/>
  <c r="AM298" i="21"/>
  <c r="AN298" i="21" s="1"/>
  <c r="AK298" i="21"/>
  <c r="AG298" i="21"/>
  <c r="AH298" i="21" s="1"/>
  <c r="AE298" i="21"/>
  <c r="AF298" i="21" s="1"/>
  <c r="AC298" i="21"/>
  <c r="AA298" i="21"/>
  <c r="AB298" i="21" s="1"/>
  <c r="W298" i="21"/>
  <c r="U298" i="21"/>
  <c r="V298" i="21" s="1"/>
  <c r="S298" i="21"/>
  <c r="T298" i="21" s="1"/>
  <c r="Q298" i="21"/>
  <c r="R298" i="21" s="1"/>
  <c r="P298" i="21"/>
  <c r="O298" i="21"/>
  <c r="N298" i="21"/>
  <c r="M298" i="21"/>
  <c r="L298" i="21"/>
  <c r="K298" i="21"/>
  <c r="J298" i="21"/>
  <c r="I298" i="21"/>
  <c r="H298" i="21"/>
  <c r="G298" i="21"/>
  <c r="F298" i="21"/>
  <c r="E298" i="21"/>
  <c r="D298" i="21"/>
  <c r="C298" i="21"/>
  <c r="B298" i="21"/>
  <c r="A298" i="21"/>
  <c r="BG297" i="21"/>
  <c r="BH297" i="21" s="1"/>
  <c r="BE297" i="21"/>
  <c r="BF297" i="21" s="1"/>
  <c r="AW297" i="21"/>
  <c r="AX297" i="21" s="1"/>
  <c r="AU297" i="21"/>
  <c r="AV297" i="21" s="1"/>
  <c r="AS297" i="21"/>
  <c r="AQ297" i="21"/>
  <c r="AO297" i="21"/>
  <c r="AP297" i="21" s="1"/>
  <c r="AM297" i="21"/>
  <c r="AK297" i="21"/>
  <c r="AL297" i="21" s="1"/>
  <c r="AG297" i="21"/>
  <c r="AH297" i="21" s="1"/>
  <c r="AE297" i="21"/>
  <c r="AF297" i="21" s="1"/>
  <c r="AC297" i="21"/>
  <c r="AD297" i="21" s="1"/>
  <c r="AA297" i="21"/>
  <c r="AB297" i="21" s="1"/>
  <c r="W297" i="21"/>
  <c r="X297" i="21" s="1"/>
  <c r="U297" i="21"/>
  <c r="V297" i="21" s="1"/>
  <c r="S297" i="21"/>
  <c r="T297" i="21" s="1"/>
  <c r="Q297" i="21"/>
  <c r="R297" i="21" s="1"/>
  <c r="P297" i="21"/>
  <c r="O297" i="21"/>
  <c r="N297" i="21"/>
  <c r="M297" i="21"/>
  <c r="L297" i="21"/>
  <c r="K297" i="21"/>
  <c r="J297" i="21"/>
  <c r="I297" i="21"/>
  <c r="H297" i="21"/>
  <c r="G297" i="21"/>
  <c r="F297" i="21"/>
  <c r="E297" i="21"/>
  <c r="D297" i="21"/>
  <c r="C297" i="21"/>
  <c r="B297" i="21"/>
  <c r="A297" i="21"/>
  <c r="BG296" i="21"/>
  <c r="BH296" i="21" s="1"/>
  <c r="BE296" i="21"/>
  <c r="BF296" i="21" s="1"/>
  <c r="AW296" i="21"/>
  <c r="AX296" i="21" s="1"/>
  <c r="AU296" i="21"/>
  <c r="AV296" i="21" s="1"/>
  <c r="AS296" i="21"/>
  <c r="AT296" i="21" s="1"/>
  <c r="AQ296" i="21"/>
  <c r="AR296" i="21" s="1"/>
  <c r="AO296" i="21"/>
  <c r="AP296" i="21" s="1"/>
  <c r="AM296" i="21"/>
  <c r="AK296" i="21"/>
  <c r="AL296" i="21" s="1"/>
  <c r="AG296" i="21"/>
  <c r="AE296" i="21"/>
  <c r="AF296" i="21" s="1"/>
  <c r="AC296" i="21"/>
  <c r="AD296" i="21" s="1"/>
  <c r="AA296" i="21"/>
  <c r="AB296" i="21" s="1"/>
  <c r="W296" i="21"/>
  <c r="U296" i="21"/>
  <c r="V296" i="21" s="1"/>
  <c r="S296" i="21"/>
  <c r="Q296" i="21"/>
  <c r="R296" i="21" s="1"/>
  <c r="P296" i="21"/>
  <c r="O296" i="21"/>
  <c r="N296" i="21"/>
  <c r="M296" i="21"/>
  <c r="L296" i="21"/>
  <c r="K296" i="21"/>
  <c r="J296" i="21"/>
  <c r="I296" i="21"/>
  <c r="H296" i="21"/>
  <c r="G296" i="21"/>
  <c r="F296" i="21"/>
  <c r="E296" i="21"/>
  <c r="D296" i="21"/>
  <c r="C296" i="21"/>
  <c r="B296" i="21"/>
  <c r="A296" i="21"/>
  <c r="BG295" i="21"/>
  <c r="BH295" i="21" s="1"/>
  <c r="BE295" i="21"/>
  <c r="BF295" i="21" s="1"/>
  <c r="AW295" i="21"/>
  <c r="AX295" i="21" s="1"/>
  <c r="AU295" i="21"/>
  <c r="AV295" i="21" s="1"/>
  <c r="AS295" i="21"/>
  <c r="AT295" i="21" s="1"/>
  <c r="AQ295" i="21"/>
  <c r="AO295" i="21"/>
  <c r="AP295" i="21" s="1"/>
  <c r="AM295" i="21"/>
  <c r="AN295" i="21" s="1"/>
  <c r="AK295" i="21"/>
  <c r="AL295" i="21" s="1"/>
  <c r="AG295" i="21"/>
  <c r="AE295" i="21"/>
  <c r="AF295" i="21" s="1"/>
  <c r="AC295" i="21"/>
  <c r="AD295" i="21" s="1"/>
  <c r="AA295" i="21"/>
  <c r="W295" i="21"/>
  <c r="X295" i="21" s="1"/>
  <c r="U295" i="21"/>
  <c r="S295" i="21"/>
  <c r="T295" i="21" s="1"/>
  <c r="Q295" i="21"/>
  <c r="R295" i="21" s="1"/>
  <c r="P295" i="21"/>
  <c r="O295" i="21"/>
  <c r="N295" i="21"/>
  <c r="M295" i="21"/>
  <c r="L295" i="21"/>
  <c r="K295" i="21"/>
  <c r="J295" i="21"/>
  <c r="I295" i="21"/>
  <c r="H295" i="21"/>
  <c r="G295" i="21"/>
  <c r="F295" i="21"/>
  <c r="E295" i="21"/>
  <c r="D295" i="21"/>
  <c r="C295" i="21"/>
  <c r="B295" i="21"/>
  <c r="A295" i="21"/>
  <c r="BG294" i="21"/>
  <c r="BE294" i="21"/>
  <c r="BF294" i="21" s="1"/>
  <c r="AW294" i="21"/>
  <c r="AU294" i="21"/>
  <c r="AV294" i="21" s="1"/>
  <c r="AS294" i="21"/>
  <c r="AT294" i="21" s="1"/>
  <c r="AQ294" i="21"/>
  <c r="AR294" i="21" s="1"/>
  <c r="AO294" i="21"/>
  <c r="AP294" i="21" s="1"/>
  <c r="AM294" i="21"/>
  <c r="AK294" i="21"/>
  <c r="AL294" i="21" s="1"/>
  <c r="AG294" i="21"/>
  <c r="AH294" i="21" s="1"/>
  <c r="AE294" i="21"/>
  <c r="AF294" i="21" s="1"/>
  <c r="AC294" i="21"/>
  <c r="AD294" i="21" s="1"/>
  <c r="AA294" i="21"/>
  <c r="W294" i="21"/>
  <c r="X294" i="21" s="1"/>
  <c r="U294" i="21"/>
  <c r="V294" i="21" s="1"/>
  <c r="S294" i="21"/>
  <c r="Q294" i="21"/>
  <c r="R294" i="21" s="1"/>
  <c r="P294" i="21"/>
  <c r="O294" i="21"/>
  <c r="N294" i="21"/>
  <c r="M294" i="21"/>
  <c r="L294" i="21"/>
  <c r="K294" i="21"/>
  <c r="J294" i="21"/>
  <c r="I294" i="21"/>
  <c r="H294" i="21"/>
  <c r="G294" i="21"/>
  <c r="F294" i="21"/>
  <c r="E294" i="21"/>
  <c r="D294" i="21"/>
  <c r="C294" i="21"/>
  <c r="B294" i="21"/>
  <c r="A294" i="21"/>
  <c r="BG293" i="21"/>
  <c r="BH293" i="21" s="1"/>
  <c r="BE293" i="21"/>
  <c r="BF293" i="21" s="1"/>
  <c r="AW293" i="21"/>
  <c r="AX293" i="21" s="1"/>
  <c r="AU293" i="21"/>
  <c r="AV293" i="21" s="1"/>
  <c r="AS293" i="21"/>
  <c r="AT293" i="21" s="1"/>
  <c r="AQ293" i="21"/>
  <c r="AO293" i="21"/>
  <c r="AP293" i="21" s="1"/>
  <c r="AM293" i="21"/>
  <c r="AN293" i="21" s="1"/>
  <c r="AK293" i="21"/>
  <c r="AL293" i="21" s="1"/>
  <c r="AG293" i="21"/>
  <c r="AH293" i="21" s="1"/>
  <c r="AE293" i="21"/>
  <c r="AC293" i="21"/>
  <c r="AD293" i="21" s="1"/>
  <c r="AA293" i="21"/>
  <c r="AB293" i="21" s="1"/>
  <c r="W293" i="21"/>
  <c r="U293" i="21"/>
  <c r="V293" i="21" s="1"/>
  <c r="S293" i="21"/>
  <c r="T293" i="21" s="1"/>
  <c r="Q293" i="21"/>
  <c r="R293" i="21" s="1"/>
  <c r="P293" i="21"/>
  <c r="O293" i="21"/>
  <c r="N293" i="21"/>
  <c r="M293" i="21"/>
  <c r="L293" i="21"/>
  <c r="K293" i="21"/>
  <c r="J293" i="21"/>
  <c r="I293" i="21"/>
  <c r="H293" i="21"/>
  <c r="G293" i="21"/>
  <c r="F293" i="21"/>
  <c r="E293" i="21"/>
  <c r="D293" i="21"/>
  <c r="C293" i="21"/>
  <c r="B293" i="21"/>
  <c r="A293" i="21"/>
  <c r="BG292" i="21"/>
  <c r="BH292" i="21" s="1"/>
  <c r="BE292" i="21"/>
  <c r="BF292" i="21" s="1"/>
  <c r="AW292" i="21"/>
  <c r="AX292" i="21" s="1"/>
  <c r="AU292" i="21"/>
  <c r="AS292" i="21"/>
  <c r="AT292" i="21" s="1"/>
  <c r="AQ292" i="21"/>
  <c r="AR292" i="21" s="1"/>
  <c r="AO292" i="21"/>
  <c r="AP292" i="21" s="1"/>
  <c r="AM292" i="21"/>
  <c r="AN292" i="21" s="1"/>
  <c r="AK292" i="21"/>
  <c r="AG292" i="21"/>
  <c r="AH292" i="21" s="1"/>
  <c r="AE292" i="21"/>
  <c r="AF292" i="21" s="1"/>
  <c r="AC292" i="21"/>
  <c r="AA292" i="21"/>
  <c r="AB292" i="21" s="1"/>
  <c r="W292" i="21"/>
  <c r="X292" i="21" s="1"/>
  <c r="U292" i="21"/>
  <c r="V292" i="21" s="1"/>
  <c r="S292" i="21"/>
  <c r="T292" i="21" s="1"/>
  <c r="Q292" i="21"/>
  <c r="R292" i="21" s="1"/>
  <c r="P292" i="21"/>
  <c r="O292" i="21"/>
  <c r="N292" i="21"/>
  <c r="M292" i="21"/>
  <c r="L292" i="21"/>
  <c r="K292" i="21"/>
  <c r="J292" i="21"/>
  <c r="I292" i="21"/>
  <c r="H292" i="21"/>
  <c r="G292" i="21"/>
  <c r="F292" i="21"/>
  <c r="E292" i="21"/>
  <c r="D292" i="21"/>
  <c r="C292" i="21"/>
  <c r="B292" i="21"/>
  <c r="A292" i="21"/>
  <c r="BG291" i="21"/>
  <c r="BH291" i="21" s="1"/>
  <c r="BE291" i="21"/>
  <c r="BF291" i="21" s="1"/>
  <c r="AW291" i="21"/>
  <c r="AX291" i="21" s="1"/>
  <c r="AU291" i="21"/>
  <c r="AV291" i="21" s="1"/>
  <c r="AS291" i="21"/>
  <c r="AT291" i="21" s="1"/>
  <c r="AQ291" i="21"/>
  <c r="AR291" i="21" s="1"/>
  <c r="AO291" i="21"/>
  <c r="AM291" i="21"/>
  <c r="AN291" i="21" s="1"/>
  <c r="AK291" i="21"/>
  <c r="AL291" i="21" s="1"/>
  <c r="AG291" i="21"/>
  <c r="AE291" i="21"/>
  <c r="AF291" i="21" s="1"/>
  <c r="AC291" i="21"/>
  <c r="AD291" i="21" s="1"/>
  <c r="AA291" i="21"/>
  <c r="AB291" i="21" s="1"/>
  <c r="W291" i="21"/>
  <c r="X291" i="21" s="1"/>
  <c r="U291" i="21"/>
  <c r="V291" i="21" s="1"/>
  <c r="S291" i="21"/>
  <c r="T291" i="21" s="1"/>
  <c r="Q291" i="21"/>
  <c r="R291" i="21" s="1"/>
  <c r="P291" i="21"/>
  <c r="O291" i="21"/>
  <c r="N291" i="21"/>
  <c r="M291" i="21"/>
  <c r="L291" i="21"/>
  <c r="K291" i="21"/>
  <c r="J291" i="21"/>
  <c r="I291" i="21"/>
  <c r="H291" i="21"/>
  <c r="G291" i="21"/>
  <c r="F291" i="21"/>
  <c r="E291" i="21"/>
  <c r="D291" i="21"/>
  <c r="C291" i="21"/>
  <c r="B291" i="21"/>
  <c r="A291" i="21"/>
  <c r="BG290" i="21"/>
  <c r="BE290" i="21"/>
  <c r="BF290" i="21" s="1"/>
  <c r="AW290" i="21"/>
  <c r="AX290" i="21" s="1"/>
  <c r="AU290" i="21"/>
  <c r="AV290" i="21" s="1"/>
  <c r="AS290" i="21"/>
  <c r="AQ290" i="21"/>
  <c r="AR290" i="21" s="1"/>
  <c r="AO290" i="21"/>
  <c r="AP290" i="21" s="1"/>
  <c r="AM290" i="21"/>
  <c r="AK290" i="21"/>
  <c r="AL290" i="21" s="1"/>
  <c r="AG290" i="21"/>
  <c r="AH290" i="21" s="1"/>
  <c r="AE290" i="21"/>
  <c r="AF290" i="21" s="1"/>
  <c r="AC290" i="21"/>
  <c r="AD290" i="21" s="1"/>
  <c r="AA290" i="21"/>
  <c r="AB290" i="21" s="1"/>
  <c r="W290" i="21"/>
  <c r="X290" i="21" s="1"/>
  <c r="U290" i="21"/>
  <c r="V290" i="21" s="1"/>
  <c r="S290" i="21"/>
  <c r="Q290" i="21"/>
  <c r="R290" i="21" s="1"/>
  <c r="P290" i="21"/>
  <c r="O290" i="21"/>
  <c r="N290" i="21"/>
  <c r="M290" i="21"/>
  <c r="L290" i="21"/>
  <c r="K290" i="21"/>
  <c r="J290" i="21"/>
  <c r="I290" i="21"/>
  <c r="H290" i="21"/>
  <c r="G290" i="21"/>
  <c r="F290" i="21"/>
  <c r="E290" i="21"/>
  <c r="D290" i="21"/>
  <c r="C290" i="21"/>
  <c r="B290" i="21"/>
  <c r="A290" i="21"/>
  <c r="BG289" i="21"/>
  <c r="BH289" i="21" s="1"/>
  <c r="BE289" i="21"/>
  <c r="BF289" i="21" s="1"/>
  <c r="AW289" i="21"/>
  <c r="AX289" i="21" s="1"/>
  <c r="AU289" i="21"/>
  <c r="AV289" i="21" s="1"/>
  <c r="AS289" i="21"/>
  <c r="AT289" i="21" s="1"/>
  <c r="AQ289" i="21"/>
  <c r="AO289" i="21"/>
  <c r="AP289" i="21" s="1"/>
  <c r="AM289" i="21"/>
  <c r="AN289" i="21" s="1"/>
  <c r="AK289" i="21"/>
  <c r="AL289" i="21" s="1"/>
  <c r="AG289" i="21"/>
  <c r="AH289" i="21" s="1"/>
  <c r="AE289" i="21"/>
  <c r="AF289" i="21" s="1"/>
  <c r="AC289" i="21"/>
  <c r="AD289" i="21" s="1"/>
  <c r="AA289" i="21"/>
  <c r="AB289" i="21" s="1"/>
  <c r="W289" i="21"/>
  <c r="U289" i="21"/>
  <c r="V289" i="21" s="1"/>
  <c r="S289" i="21"/>
  <c r="T289" i="21" s="1"/>
  <c r="Q289" i="21"/>
  <c r="R289" i="21" s="1"/>
  <c r="P289" i="21"/>
  <c r="O289" i="21"/>
  <c r="N289" i="21"/>
  <c r="M289" i="21"/>
  <c r="L289" i="21"/>
  <c r="K289" i="21"/>
  <c r="J289" i="21"/>
  <c r="I289" i="21"/>
  <c r="H289" i="21"/>
  <c r="G289" i="21"/>
  <c r="F289" i="21"/>
  <c r="E289" i="21"/>
  <c r="D289" i="21"/>
  <c r="C289" i="21"/>
  <c r="B289" i="21"/>
  <c r="A289" i="21"/>
  <c r="BG288" i="21"/>
  <c r="BH288" i="21" s="1"/>
  <c r="BE288" i="21"/>
  <c r="AW288" i="21"/>
  <c r="AX288" i="21" s="1"/>
  <c r="AU288" i="21"/>
  <c r="AS288" i="21"/>
  <c r="AT288" i="21" s="1"/>
  <c r="AQ288" i="21"/>
  <c r="AR288" i="21" s="1"/>
  <c r="AO288" i="21"/>
  <c r="AP288" i="21" s="1"/>
  <c r="AM288" i="21"/>
  <c r="AN288" i="21" s="1"/>
  <c r="AK288" i="21"/>
  <c r="AL288" i="21" s="1"/>
  <c r="AG288" i="21"/>
  <c r="AH288" i="21" s="1"/>
  <c r="AE288" i="21"/>
  <c r="AF288" i="21" s="1"/>
  <c r="AC288" i="21"/>
  <c r="AA288" i="21"/>
  <c r="AB288" i="21" s="1"/>
  <c r="W288" i="21"/>
  <c r="X288" i="21" s="1"/>
  <c r="U288" i="21"/>
  <c r="V288" i="21" s="1"/>
  <c r="S288" i="21"/>
  <c r="T288" i="21" s="1"/>
  <c r="Q288" i="21"/>
  <c r="R288" i="21" s="1"/>
  <c r="P288" i="21"/>
  <c r="O288" i="21"/>
  <c r="N288" i="21"/>
  <c r="M288" i="21"/>
  <c r="L288" i="21"/>
  <c r="K288" i="21"/>
  <c r="J288" i="21"/>
  <c r="I288" i="21"/>
  <c r="H288" i="21"/>
  <c r="G288" i="21"/>
  <c r="F288" i="21"/>
  <c r="E288" i="21"/>
  <c r="D288" i="21"/>
  <c r="C288" i="21"/>
  <c r="B288" i="21"/>
  <c r="A288" i="21"/>
  <c r="BG287" i="21"/>
  <c r="BH287" i="21" s="1"/>
  <c r="BE287" i="21"/>
  <c r="BF287" i="21" s="1"/>
  <c r="AW287" i="21"/>
  <c r="AX287" i="21" s="1"/>
  <c r="AU287" i="21"/>
  <c r="AV287" i="21" s="1"/>
  <c r="AS287" i="21"/>
  <c r="AT287" i="21" s="1"/>
  <c r="AQ287" i="21"/>
  <c r="AR287" i="21" s="1"/>
  <c r="AO287" i="21"/>
  <c r="AP287" i="21" s="1"/>
  <c r="AM287" i="21"/>
  <c r="AN287" i="21" s="1"/>
  <c r="AK287" i="21"/>
  <c r="AL287" i="21" s="1"/>
  <c r="AG287" i="21"/>
  <c r="AE287" i="21"/>
  <c r="AF287" i="21" s="1"/>
  <c r="AC287" i="21"/>
  <c r="AD287" i="21" s="1"/>
  <c r="AA287" i="21"/>
  <c r="AB287" i="21" s="1"/>
  <c r="W287" i="21"/>
  <c r="X287" i="21" s="1"/>
  <c r="U287" i="21"/>
  <c r="S287" i="21"/>
  <c r="T287" i="21" s="1"/>
  <c r="Q287" i="21"/>
  <c r="R287" i="21" s="1"/>
  <c r="P287" i="21"/>
  <c r="O287" i="21"/>
  <c r="N287" i="21"/>
  <c r="M287" i="21"/>
  <c r="L287" i="21"/>
  <c r="K287" i="21"/>
  <c r="J287" i="21"/>
  <c r="I287" i="21"/>
  <c r="H287" i="21"/>
  <c r="G287" i="21"/>
  <c r="F287" i="21"/>
  <c r="E287" i="21"/>
  <c r="D287" i="21"/>
  <c r="C287" i="21"/>
  <c r="B287" i="21"/>
  <c r="A287" i="21"/>
  <c r="BG286" i="21"/>
  <c r="BE286" i="21"/>
  <c r="BF286" i="21" s="1"/>
  <c r="AW286" i="21"/>
  <c r="AX286" i="21" s="1"/>
  <c r="AU286" i="21"/>
  <c r="AV286" i="21" s="1"/>
  <c r="AS286" i="21"/>
  <c r="AT286" i="21" s="1"/>
  <c r="AQ286" i="21"/>
  <c r="AO286" i="21"/>
  <c r="AP286" i="21" s="1"/>
  <c r="AM286" i="21"/>
  <c r="AN286" i="21" s="1"/>
  <c r="AK286" i="21"/>
  <c r="AL286" i="21" s="1"/>
  <c r="AG286" i="21"/>
  <c r="AH286" i="21" s="1"/>
  <c r="AE286" i="21"/>
  <c r="AC286" i="21"/>
  <c r="AD286" i="21" s="1"/>
  <c r="AA286" i="21"/>
  <c r="AB286" i="21" s="1"/>
  <c r="W286" i="21"/>
  <c r="U286" i="21"/>
  <c r="V286" i="21" s="1"/>
  <c r="S286" i="21"/>
  <c r="T286" i="21" s="1"/>
  <c r="Q286" i="21"/>
  <c r="R286" i="21" s="1"/>
  <c r="P286" i="21"/>
  <c r="O286" i="21"/>
  <c r="N286" i="21"/>
  <c r="M286" i="21"/>
  <c r="L286" i="21"/>
  <c r="K286" i="21"/>
  <c r="J286" i="21"/>
  <c r="I286" i="21"/>
  <c r="H286" i="21"/>
  <c r="G286" i="21"/>
  <c r="F286" i="21"/>
  <c r="E286" i="21"/>
  <c r="D286" i="21"/>
  <c r="C286" i="21"/>
  <c r="B286" i="21"/>
  <c r="A286" i="21"/>
  <c r="BG285" i="21"/>
  <c r="BH285" i="21" s="1"/>
  <c r="BE285" i="21"/>
  <c r="BF285" i="21" s="1"/>
  <c r="AW285" i="21"/>
  <c r="AX285" i="21" s="1"/>
  <c r="AU285" i="21"/>
  <c r="AS285" i="21"/>
  <c r="AT285" i="21" s="1"/>
  <c r="AQ285" i="21"/>
  <c r="AO285" i="21"/>
  <c r="AP285" i="21" s="1"/>
  <c r="AM285" i="21"/>
  <c r="AN285" i="21" s="1"/>
  <c r="AK285" i="21"/>
  <c r="AL285" i="21" s="1"/>
  <c r="AG285" i="21"/>
  <c r="AH285" i="21" s="1"/>
  <c r="AE285" i="21"/>
  <c r="AF285" i="21" s="1"/>
  <c r="AC285" i="21"/>
  <c r="AA285" i="21"/>
  <c r="AB285" i="21" s="1"/>
  <c r="W285" i="21"/>
  <c r="U285" i="21"/>
  <c r="V285" i="21" s="1"/>
  <c r="S285" i="21"/>
  <c r="T285" i="21" s="1"/>
  <c r="Q285" i="21"/>
  <c r="R285" i="21" s="1"/>
  <c r="P285" i="21"/>
  <c r="O285" i="21"/>
  <c r="N285" i="21"/>
  <c r="M285" i="21"/>
  <c r="L285" i="21"/>
  <c r="K285" i="21"/>
  <c r="J285" i="21"/>
  <c r="I285" i="21"/>
  <c r="H285" i="21"/>
  <c r="G285" i="21"/>
  <c r="F285" i="21"/>
  <c r="E285" i="21"/>
  <c r="D285" i="21"/>
  <c r="C285" i="21"/>
  <c r="B285" i="21"/>
  <c r="A285" i="21"/>
  <c r="BG284" i="21"/>
  <c r="BH284" i="21" s="1"/>
  <c r="BE284" i="21"/>
  <c r="BF284" i="21" s="1"/>
  <c r="AW284" i="21"/>
  <c r="AX284" i="21" s="1"/>
  <c r="AU284" i="21"/>
  <c r="AV284" i="21" s="1"/>
  <c r="AS284" i="21"/>
  <c r="AT284" i="21" s="1"/>
  <c r="AQ284" i="21"/>
  <c r="AR284" i="21" s="1"/>
  <c r="AO284" i="21"/>
  <c r="AP284" i="21" s="1"/>
  <c r="AM284" i="21"/>
  <c r="AN284" i="21" s="1"/>
  <c r="AK284" i="21"/>
  <c r="AL284" i="21" s="1"/>
  <c r="AG284" i="21"/>
  <c r="AE284" i="21"/>
  <c r="AF284" i="21" s="1"/>
  <c r="AC284" i="21"/>
  <c r="AD284" i="21" s="1"/>
  <c r="AA284" i="21"/>
  <c r="AB284" i="21" s="1"/>
  <c r="W284" i="21"/>
  <c r="X284" i="21" s="1"/>
  <c r="U284" i="21"/>
  <c r="S284" i="21"/>
  <c r="T284" i="21" s="1"/>
  <c r="Q284" i="21"/>
  <c r="R284" i="21" s="1"/>
  <c r="P284" i="21"/>
  <c r="O284" i="21"/>
  <c r="N284" i="21"/>
  <c r="M284" i="21"/>
  <c r="L284" i="21"/>
  <c r="K284" i="21"/>
  <c r="J284" i="21"/>
  <c r="I284" i="21"/>
  <c r="H284" i="21"/>
  <c r="G284" i="21"/>
  <c r="F284" i="21"/>
  <c r="E284" i="21"/>
  <c r="D284" i="21"/>
  <c r="C284" i="21"/>
  <c r="B284" i="21"/>
  <c r="A284" i="21"/>
  <c r="BG283" i="21"/>
  <c r="BE283" i="21"/>
  <c r="BF283" i="21" s="1"/>
  <c r="AW283" i="21"/>
  <c r="AX283" i="21" s="1"/>
  <c r="AU283" i="21"/>
  <c r="AV283" i="21" s="1"/>
  <c r="AS283" i="21"/>
  <c r="AQ283" i="21"/>
  <c r="AR283" i="21" s="1"/>
  <c r="AO283" i="21"/>
  <c r="AP283" i="21" s="1"/>
  <c r="AM283" i="21"/>
  <c r="AK283" i="21"/>
  <c r="AL283" i="21" s="1"/>
  <c r="AG283" i="21"/>
  <c r="AH283" i="21" s="1"/>
  <c r="AE283" i="21"/>
  <c r="AF283" i="21" s="1"/>
  <c r="AC283" i="21"/>
  <c r="AD283" i="21" s="1"/>
  <c r="AA283" i="21"/>
  <c r="W283" i="21"/>
  <c r="X283" i="21" s="1"/>
  <c r="U283" i="21"/>
  <c r="V283" i="21" s="1"/>
  <c r="S283" i="21"/>
  <c r="Q283" i="21"/>
  <c r="R283" i="21" s="1"/>
  <c r="P283" i="21"/>
  <c r="O283" i="21"/>
  <c r="N283" i="21"/>
  <c r="M283" i="21"/>
  <c r="L283" i="21"/>
  <c r="K283" i="21"/>
  <c r="J283" i="21"/>
  <c r="I283" i="21"/>
  <c r="H283" i="21"/>
  <c r="G283" i="21"/>
  <c r="F283" i="21"/>
  <c r="E283" i="21"/>
  <c r="D283" i="21"/>
  <c r="C283" i="21"/>
  <c r="B283" i="21"/>
  <c r="A283" i="21"/>
  <c r="BG282" i="21"/>
  <c r="BH282" i="21" s="1"/>
  <c r="BE282" i="21"/>
  <c r="BF282" i="21" s="1"/>
  <c r="AW282" i="21"/>
  <c r="AX282" i="21" s="1"/>
  <c r="AU282" i="21"/>
  <c r="AV282" i="21" s="1"/>
  <c r="AS282" i="21"/>
  <c r="AT282" i="21" s="1"/>
  <c r="AQ282" i="21"/>
  <c r="AO282" i="21"/>
  <c r="AP282" i="21" s="1"/>
  <c r="AM282" i="21"/>
  <c r="AN282" i="21" s="1"/>
  <c r="AK282" i="21"/>
  <c r="AL282" i="21" s="1"/>
  <c r="AG282" i="21"/>
  <c r="AH282" i="21" s="1"/>
  <c r="AE282" i="21"/>
  <c r="AF282" i="21" s="1"/>
  <c r="AC282" i="21"/>
  <c r="AD282" i="21" s="1"/>
  <c r="AA282" i="21"/>
  <c r="AB282" i="21" s="1"/>
  <c r="W282" i="21"/>
  <c r="U282" i="21"/>
  <c r="V282" i="21" s="1"/>
  <c r="S282" i="21"/>
  <c r="Q282" i="21"/>
  <c r="R282" i="21" s="1"/>
  <c r="P282" i="21"/>
  <c r="O282" i="21"/>
  <c r="N282" i="21"/>
  <c r="M282" i="21"/>
  <c r="L282" i="21"/>
  <c r="K282" i="21"/>
  <c r="J282" i="21"/>
  <c r="I282" i="21"/>
  <c r="H282" i="21"/>
  <c r="G282" i="21"/>
  <c r="F282" i="21"/>
  <c r="E282" i="21"/>
  <c r="D282" i="21"/>
  <c r="C282" i="21"/>
  <c r="B282" i="21"/>
  <c r="A282" i="21"/>
  <c r="BG281" i="21"/>
  <c r="BH281" i="21" s="1"/>
  <c r="BE281" i="21"/>
  <c r="BF281" i="21" s="1"/>
  <c r="AW281" i="21"/>
  <c r="AX281" i="21" s="1"/>
  <c r="AU281" i="21"/>
  <c r="AS281" i="21"/>
  <c r="AT281" i="21" s="1"/>
  <c r="AQ281" i="21"/>
  <c r="AO281" i="21"/>
  <c r="AP281" i="21" s="1"/>
  <c r="AM281" i="21"/>
  <c r="AN281" i="21" s="1"/>
  <c r="AK281" i="21"/>
  <c r="AL281" i="21" s="1"/>
  <c r="AG281" i="21"/>
  <c r="AH281" i="21" s="1"/>
  <c r="AE281" i="21"/>
  <c r="AF281" i="21" s="1"/>
  <c r="AC281" i="21"/>
  <c r="AA281" i="21"/>
  <c r="AB281" i="21" s="1"/>
  <c r="W281" i="21"/>
  <c r="X281" i="21" s="1"/>
  <c r="U281" i="21"/>
  <c r="V281" i="21" s="1"/>
  <c r="S281" i="21"/>
  <c r="T281" i="21" s="1"/>
  <c r="Q281" i="21"/>
  <c r="R281" i="21" s="1"/>
  <c r="P281" i="21"/>
  <c r="O281" i="21"/>
  <c r="N281" i="21"/>
  <c r="M281" i="21"/>
  <c r="L281" i="21"/>
  <c r="K281" i="21"/>
  <c r="J281" i="21"/>
  <c r="I281" i="21"/>
  <c r="H281" i="21"/>
  <c r="G281" i="21"/>
  <c r="F281" i="21"/>
  <c r="E281" i="21"/>
  <c r="D281" i="21"/>
  <c r="C281" i="21"/>
  <c r="B281" i="21"/>
  <c r="A281" i="21"/>
  <c r="BG280" i="21"/>
  <c r="BE280" i="21"/>
  <c r="BF280" i="21" s="1"/>
  <c r="AW280" i="21"/>
  <c r="AX280" i="21" s="1"/>
  <c r="AU280" i="21"/>
  <c r="AV280" i="21" s="1"/>
  <c r="AS280" i="21"/>
  <c r="AT280" i="21" s="1"/>
  <c r="AQ280" i="21"/>
  <c r="AR280" i="21" s="1"/>
  <c r="AO280" i="21"/>
  <c r="AM280" i="21"/>
  <c r="AN280" i="21" s="1"/>
  <c r="AK280" i="21"/>
  <c r="AL280" i="21" s="1"/>
  <c r="AG280" i="21"/>
  <c r="AE280" i="21"/>
  <c r="AF280" i="21" s="1"/>
  <c r="AC280" i="21"/>
  <c r="AA280" i="21"/>
  <c r="AB280" i="21" s="1"/>
  <c r="W280" i="21"/>
  <c r="X280" i="21" s="1"/>
  <c r="U280" i="21"/>
  <c r="S280" i="21"/>
  <c r="T280" i="21" s="1"/>
  <c r="Q280" i="21"/>
  <c r="R280" i="21" s="1"/>
  <c r="P280" i="21"/>
  <c r="O280" i="21"/>
  <c r="N280" i="21"/>
  <c r="M280" i="21"/>
  <c r="L280" i="21"/>
  <c r="K280" i="21"/>
  <c r="J280" i="21"/>
  <c r="I280" i="21"/>
  <c r="H280" i="21"/>
  <c r="G280" i="21"/>
  <c r="F280" i="21"/>
  <c r="E280" i="21"/>
  <c r="D280" i="21"/>
  <c r="C280" i="21"/>
  <c r="B280" i="21"/>
  <c r="A280" i="21"/>
  <c r="BG279" i="21"/>
  <c r="BE279" i="21"/>
  <c r="BF279" i="21" s="1"/>
  <c r="AW279" i="21"/>
  <c r="AX279" i="21" s="1"/>
  <c r="AU279" i="21"/>
  <c r="AV279" i="21" s="1"/>
  <c r="AS279" i="21"/>
  <c r="AQ279" i="21"/>
  <c r="AR279" i="21" s="1"/>
  <c r="AO279" i="21"/>
  <c r="AP279" i="21" s="1"/>
  <c r="AM279" i="21"/>
  <c r="AK279" i="21"/>
  <c r="AL279" i="21" s="1"/>
  <c r="AG279" i="21"/>
  <c r="AH279" i="21" s="1"/>
  <c r="AE279" i="21"/>
  <c r="AF279" i="21" s="1"/>
  <c r="AC279" i="21"/>
  <c r="AD279" i="21" s="1"/>
  <c r="AA279" i="21"/>
  <c r="W279" i="21"/>
  <c r="X279" i="21" s="1"/>
  <c r="U279" i="21"/>
  <c r="V279" i="21" s="1"/>
  <c r="S279" i="21"/>
  <c r="Q279" i="21"/>
  <c r="R279" i="21" s="1"/>
  <c r="P279" i="21"/>
  <c r="O279" i="21"/>
  <c r="N279" i="21"/>
  <c r="M279" i="21"/>
  <c r="L279" i="21"/>
  <c r="K279" i="21"/>
  <c r="J279" i="21"/>
  <c r="I279" i="21"/>
  <c r="H279" i="21"/>
  <c r="G279" i="21"/>
  <c r="F279" i="21"/>
  <c r="E279" i="21"/>
  <c r="D279" i="21"/>
  <c r="C279" i="21"/>
  <c r="B279" i="21"/>
  <c r="A279" i="21"/>
  <c r="BG278" i="21"/>
  <c r="BH278" i="21" s="1"/>
  <c r="BE278" i="21"/>
  <c r="BF278" i="21" s="1"/>
  <c r="AW278" i="21"/>
  <c r="AX278" i="21" s="1"/>
  <c r="AU278" i="21"/>
  <c r="AV278" i="21" s="1"/>
  <c r="AS278" i="21"/>
  <c r="AT278" i="21" s="1"/>
  <c r="AQ278" i="21"/>
  <c r="AO278" i="21"/>
  <c r="AP278" i="21" s="1"/>
  <c r="AM278" i="21"/>
  <c r="AK278" i="21"/>
  <c r="AL278" i="21" s="1"/>
  <c r="AG278" i="21"/>
  <c r="AH278" i="21" s="1"/>
  <c r="AE278" i="21"/>
  <c r="AF278" i="21" s="1"/>
  <c r="AC278" i="21"/>
  <c r="AD278" i="21" s="1"/>
  <c r="AA278" i="21"/>
  <c r="AB278" i="21" s="1"/>
  <c r="W278" i="21"/>
  <c r="U278" i="21"/>
  <c r="V278" i="21" s="1"/>
  <c r="S278" i="21"/>
  <c r="Q278" i="21"/>
  <c r="R278" i="21" s="1"/>
  <c r="P278" i="21"/>
  <c r="O278" i="21"/>
  <c r="N278" i="21"/>
  <c r="M278" i="21"/>
  <c r="L278" i="21"/>
  <c r="K278" i="21"/>
  <c r="J278" i="21"/>
  <c r="I278" i="21"/>
  <c r="H278" i="21"/>
  <c r="G278" i="21"/>
  <c r="F278" i="21"/>
  <c r="E278" i="21"/>
  <c r="D278" i="21"/>
  <c r="C278" i="21"/>
  <c r="B278" i="21"/>
  <c r="A278" i="21"/>
  <c r="BG277" i="21"/>
  <c r="BH277" i="21" s="1"/>
  <c r="BE277" i="21"/>
  <c r="BF277" i="21" s="1"/>
  <c r="AW277" i="21"/>
  <c r="AX277" i="21" s="1"/>
  <c r="AU277" i="21"/>
  <c r="AS277" i="21"/>
  <c r="AT277" i="21" s="1"/>
  <c r="AQ277" i="21"/>
  <c r="AR277" i="21" s="1"/>
  <c r="AO277" i="21"/>
  <c r="AP277" i="21" s="1"/>
  <c r="AM277" i="21"/>
  <c r="AN277" i="21" s="1"/>
  <c r="AK277" i="21"/>
  <c r="AL277" i="21" s="1"/>
  <c r="AG277" i="21"/>
  <c r="AH277" i="21" s="1"/>
  <c r="AE277" i="21"/>
  <c r="AF277" i="21" s="1"/>
  <c r="AC277" i="21"/>
  <c r="AA277" i="21"/>
  <c r="AB277" i="21" s="1"/>
  <c r="W277" i="21"/>
  <c r="U277" i="21"/>
  <c r="V277" i="21" s="1"/>
  <c r="S277" i="21"/>
  <c r="T277" i="21" s="1"/>
  <c r="Q277" i="21"/>
  <c r="P277" i="21"/>
  <c r="O277" i="21"/>
  <c r="N277" i="21"/>
  <c r="M277" i="21"/>
  <c r="L277" i="21"/>
  <c r="K277" i="21"/>
  <c r="J277" i="21"/>
  <c r="I277" i="21"/>
  <c r="H277" i="21"/>
  <c r="G277" i="21"/>
  <c r="F277" i="21"/>
  <c r="E277" i="21"/>
  <c r="D277" i="21"/>
  <c r="C277" i="21"/>
  <c r="B277" i="21"/>
  <c r="A277" i="21"/>
  <c r="BG276" i="21"/>
  <c r="BH276" i="21" s="1"/>
  <c r="BE276" i="21"/>
  <c r="BF276" i="21" s="1"/>
  <c r="AW276" i="21"/>
  <c r="AX276" i="21" s="1"/>
  <c r="AU276" i="21"/>
  <c r="AS276" i="21"/>
  <c r="AT276" i="21" s="1"/>
  <c r="AQ276" i="21"/>
  <c r="AR276" i="21" s="1"/>
  <c r="AO276" i="21"/>
  <c r="AM276" i="21"/>
  <c r="AN276" i="21" s="1"/>
  <c r="AK276" i="21"/>
  <c r="AL276" i="21" s="1"/>
  <c r="AG276" i="21"/>
  <c r="AE276" i="21"/>
  <c r="AF276" i="21" s="1"/>
  <c r="AC276" i="21"/>
  <c r="AD276" i="21" s="1"/>
  <c r="AA276" i="21"/>
  <c r="AB276" i="21" s="1"/>
  <c r="W276" i="21"/>
  <c r="X276" i="21" s="1"/>
  <c r="U276" i="21"/>
  <c r="S276" i="21"/>
  <c r="T276" i="21" s="1"/>
  <c r="Q276" i="21"/>
  <c r="R276" i="21" s="1"/>
  <c r="P276" i="21"/>
  <c r="O276" i="21"/>
  <c r="N276" i="21"/>
  <c r="M276" i="21"/>
  <c r="L276" i="21"/>
  <c r="K276" i="21"/>
  <c r="J276" i="21"/>
  <c r="I276" i="21"/>
  <c r="H276" i="21"/>
  <c r="G276" i="21"/>
  <c r="F276" i="21"/>
  <c r="E276" i="21"/>
  <c r="D276" i="21"/>
  <c r="C276" i="21"/>
  <c r="B276" i="21"/>
  <c r="A276" i="21"/>
  <c r="BG275" i="21"/>
  <c r="BE275" i="21"/>
  <c r="BF275" i="21" s="1"/>
  <c r="AW275" i="21"/>
  <c r="AX275" i="21" s="1"/>
  <c r="AU275" i="21"/>
  <c r="AV275" i="21" s="1"/>
  <c r="AS275" i="21"/>
  <c r="AQ275" i="21"/>
  <c r="AR275" i="21" s="1"/>
  <c r="AO275" i="21"/>
  <c r="AP275" i="21" s="1"/>
  <c r="AM275" i="21"/>
  <c r="AK275" i="21"/>
  <c r="AL275" i="21" s="1"/>
  <c r="AG275" i="21"/>
  <c r="AH275" i="21" s="1"/>
  <c r="AE275" i="21"/>
  <c r="AF275" i="21" s="1"/>
  <c r="AC275" i="21"/>
  <c r="AD275" i="21" s="1"/>
  <c r="AA275" i="21"/>
  <c r="AB275" i="21" s="1"/>
  <c r="W275" i="21"/>
  <c r="X275" i="21" s="1"/>
  <c r="U275" i="21"/>
  <c r="V275" i="21" s="1"/>
  <c r="S275" i="21"/>
  <c r="Q275" i="21"/>
  <c r="R275" i="21" s="1"/>
  <c r="P275" i="21"/>
  <c r="O275" i="21"/>
  <c r="N275" i="21"/>
  <c r="M275" i="21"/>
  <c r="L275" i="21"/>
  <c r="K275" i="21"/>
  <c r="J275" i="21"/>
  <c r="I275" i="21"/>
  <c r="H275" i="21"/>
  <c r="G275" i="21"/>
  <c r="F275" i="21"/>
  <c r="E275" i="21"/>
  <c r="D275" i="21"/>
  <c r="C275" i="21"/>
  <c r="B275" i="21"/>
  <c r="A275" i="21"/>
  <c r="BG274" i="21"/>
  <c r="BE274" i="21"/>
  <c r="BF274" i="21" s="1"/>
  <c r="AW274" i="21"/>
  <c r="AX274" i="21" s="1"/>
  <c r="AU274" i="21"/>
  <c r="AV274" i="21" s="1"/>
  <c r="AS274" i="21"/>
  <c r="AT274" i="21" s="1"/>
  <c r="AQ274" i="21"/>
  <c r="AO274" i="21"/>
  <c r="AP274" i="21" s="1"/>
  <c r="AM274" i="21"/>
  <c r="AK274" i="21"/>
  <c r="AL274" i="21" s="1"/>
  <c r="AG274" i="21"/>
  <c r="AH274" i="21" s="1"/>
  <c r="AE274" i="21"/>
  <c r="AF274" i="21" s="1"/>
  <c r="AC274" i="21"/>
  <c r="AD274" i="21" s="1"/>
  <c r="AA274" i="21"/>
  <c r="AB274" i="21" s="1"/>
  <c r="W274" i="21"/>
  <c r="U274" i="21"/>
  <c r="V274" i="21" s="1"/>
  <c r="S274" i="21"/>
  <c r="T274" i="21" s="1"/>
  <c r="Q274" i="21"/>
  <c r="R274" i="21" s="1"/>
  <c r="P274" i="21"/>
  <c r="O274" i="21"/>
  <c r="N274" i="21"/>
  <c r="M274" i="21"/>
  <c r="L274" i="21"/>
  <c r="K274" i="21"/>
  <c r="J274" i="21"/>
  <c r="I274" i="21"/>
  <c r="H274" i="21"/>
  <c r="G274" i="21"/>
  <c r="F274" i="21"/>
  <c r="E274" i="21"/>
  <c r="D274" i="21"/>
  <c r="C274" i="21"/>
  <c r="B274" i="21"/>
  <c r="A274" i="21"/>
  <c r="BG273" i="21"/>
  <c r="BH273" i="21" s="1"/>
  <c r="BE273" i="21"/>
  <c r="BF273" i="21" s="1"/>
  <c r="AW273" i="21"/>
  <c r="AX273" i="21" s="1"/>
  <c r="AU273" i="21"/>
  <c r="AS273" i="21"/>
  <c r="AT273" i="21" s="1"/>
  <c r="AQ273" i="21"/>
  <c r="AR273" i="21" s="1"/>
  <c r="AO273" i="21"/>
  <c r="AP273" i="21" s="1"/>
  <c r="AM273" i="21"/>
  <c r="AN273" i="21" s="1"/>
  <c r="AK273" i="21"/>
  <c r="AG273" i="21"/>
  <c r="AH273" i="21" s="1"/>
  <c r="AE273" i="21"/>
  <c r="AF273" i="21" s="1"/>
  <c r="AC273" i="21"/>
  <c r="AA273" i="21"/>
  <c r="AB273" i="21" s="1"/>
  <c r="W273" i="21"/>
  <c r="U273" i="21"/>
  <c r="V273" i="21" s="1"/>
  <c r="S273" i="21"/>
  <c r="T273" i="21" s="1"/>
  <c r="Q273" i="21"/>
  <c r="P273" i="21"/>
  <c r="O273" i="21"/>
  <c r="N273" i="21"/>
  <c r="M273" i="21"/>
  <c r="L273" i="21"/>
  <c r="K273" i="21"/>
  <c r="J273" i="21"/>
  <c r="I273" i="21"/>
  <c r="H273" i="21"/>
  <c r="G273" i="21"/>
  <c r="F273" i="21"/>
  <c r="E273" i="21"/>
  <c r="D273" i="21"/>
  <c r="C273" i="21"/>
  <c r="B273" i="21"/>
  <c r="A273" i="21"/>
  <c r="BG272" i="21"/>
  <c r="BH272" i="21" s="1"/>
  <c r="BE272" i="21"/>
  <c r="BF272" i="21" s="1"/>
  <c r="AW272" i="21"/>
  <c r="AX272" i="21" s="1"/>
  <c r="AU272" i="21"/>
  <c r="AV272" i="21" s="1"/>
  <c r="AS272" i="21"/>
  <c r="AT272" i="21" s="1"/>
  <c r="AQ272" i="21"/>
  <c r="AR272" i="21" s="1"/>
  <c r="AO272" i="21"/>
  <c r="AM272" i="21"/>
  <c r="AN272" i="21" s="1"/>
  <c r="AK272" i="21"/>
  <c r="AL272" i="21" s="1"/>
  <c r="AG272" i="21"/>
  <c r="AE272" i="21"/>
  <c r="AF272" i="21" s="1"/>
  <c r="AC272" i="21"/>
  <c r="AD272" i="21" s="1"/>
  <c r="AA272" i="21"/>
  <c r="AB272" i="21" s="1"/>
  <c r="W272" i="21"/>
  <c r="X272" i="21" s="1"/>
  <c r="U272" i="21"/>
  <c r="S272" i="21"/>
  <c r="T272" i="21" s="1"/>
  <c r="Q272" i="21"/>
  <c r="R272" i="21" s="1"/>
  <c r="P272" i="21"/>
  <c r="O272" i="21"/>
  <c r="N272" i="21"/>
  <c r="M272" i="21"/>
  <c r="L272" i="21"/>
  <c r="K272" i="21"/>
  <c r="J272" i="21"/>
  <c r="I272" i="21"/>
  <c r="H272" i="21"/>
  <c r="G272" i="21"/>
  <c r="F272" i="21"/>
  <c r="E272" i="21"/>
  <c r="D272" i="21"/>
  <c r="C272" i="21"/>
  <c r="B272" i="21"/>
  <c r="A272" i="21"/>
  <c r="BG271" i="21"/>
  <c r="BE271" i="21"/>
  <c r="BF271" i="21" s="1"/>
  <c r="AW271" i="21"/>
  <c r="AX271" i="21" s="1"/>
  <c r="AU271" i="21"/>
  <c r="AV271" i="21" s="1"/>
  <c r="AS271" i="21"/>
  <c r="AT271" i="21" s="1"/>
  <c r="AQ271" i="21"/>
  <c r="AR271" i="21" s="1"/>
  <c r="AO271" i="21"/>
  <c r="AP271" i="21" s="1"/>
  <c r="AM271" i="21"/>
  <c r="AK271" i="21"/>
  <c r="AL271" i="21" s="1"/>
  <c r="AG271" i="21"/>
  <c r="AE271" i="21"/>
  <c r="AF271" i="21" s="1"/>
  <c r="AC271" i="21"/>
  <c r="AD271" i="21" s="1"/>
  <c r="AA271" i="21"/>
  <c r="AB271" i="21" s="1"/>
  <c r="W271" i="21"/>
  <c r="X271" i="21" s="1"/>
  <c r="U271" i="21"/>
  <c r="V271" i="21" s="1"/>
  <c r="S271" i="21"/>
  <c r="Q271" i="21"/>
  <c r="R271" i="21" s="1"/>
  <c r="P271" i="21"/>
  <c r="O271" i="21"/>
  <c r="N271" i="21"/>
  <c r="M271" i="21"/>
  <c r="L271" i="21"/>
  <c r="K271" i="21"/>
  <c r="J271" i="21"/>
  <c r="I271" i="21"/>
  <c r="H271" i="21"/>
  <c r="G271" i="21"/>
  <c r="F271" i="21"/>
  <c r="E271" i="21"/>
  <c r="D271" i="21"/>
  <c r="C271" i="21"/>
  <c r="B271" i="21"/>
  <c r="A271" i="21"/>
  <c r="BG270" i="21"/>
  <c r="BE270" i="21"/>
  <c r="BF270" i="21" s="1"/>
  <c r="AW270" i="21"/>
  <c r="AX270" i="21" s="1"/>
  <c r="AU270" i="21"/>
  <c r="AV270" i="21" s="1"/>
  <c r="AS270" i="21"/>
  <c r="AT270" i="21" s="1"/>
  <c r="AQ270" i="21"/>
  <c r="AO270" i="21"/>
  <c r="AP270" i="21" s="1"/>
  <c r="AM270" i="21"/>
  <c r="AN270" i="21" s="1"/>
  <c r="AK270" i="21"/>
  <c r="AL270" i="21" s="1"/>
  <c r="AG270" i="21"/>
  <c r="AH270" i="21" s="1"/>
  <c r="AE270" i="21"/>
  <c r="AF270" i="21" s="1"/>
  <c r="AC270" i="21"/>
  <c r="AD270" i="21" s="1"/>
  <c r="AA270" i="21"/>
  <c r="AB270" i="21" s="1"/>
  <c r="W270" i="21"/>
  <c r="U270" i="21"/>
  <c r="V270" i="21" s="1"/>
  <c r="S270" i="21"/>
  <c r="T270" i="21" s="1"/>
  <c r="Q270" i="21"/>
  <c r="R270" i="21" s="1"/>
  <c r="P270" i="21"/>
  <c r="O270" i="21"/>
  <c r="N270" i="21"/>
  <c r="M270" i="21"/>
  <c r="L270" i="21"/>
  <c r="K270" i="21"/>
  <c r="J270" i="21"/>
  <c r="I270" i="21"/>
  <c r="H270" i="21"/>
  <c r="G270" i="21"/>
  <c r="F270" i="21"/>
  <c r="E270" i="21"/>
  <c r="D270" i="21"/>
  <c r="C270" i="21"/>
  <c r="B270" i="21"/>
  <c r="A270" i="21"/>
  <c r="BG269" i="21"/>
  <c r="BH269" i="21" s="1"/>
  <c r="BE269" i="21"/>
  <c r="AW269" i="21"/>
  <c r="AX269" i="21" s="1"/>
  <c r="AU269" i="21"/>
  <c r="AS269" i="21"/>
  <c r="AT269" i="21" s="1"/>
  <c r="AQ269" i="21"/>
  <c r="AO269" i="21"/>
  <c r="AP269" i="21" s="1"/>
  <c r="AM269" i="21"/>
  <c r="AN269" i="21" s="1"/>
  <c r="AK269" i="21"/>
  <c r="AG269" i="21"/>
  <c r="AH269" i="21" s="1"/>
  <c r="AE269" i="21"/>
  <c r="AF269" i="21" s="1"/>
  <c r="AC269" i="21"/>
  <c r="AA269" i="21"/>
  <c r="AB269" i="21" s="1"/>
  <c r="W269" i="21"/>
  <c r="X269" i="21" s="1"/>
  <c r="U269" i="21"/>
  <c r="V269" i="21" s="1"/>
  <c r="S269" i="21"/>
  <c r="T269" i="21" s="1"/>
  <c r="Q269" i="21"/>
  <c r="P269" i="21"/>
  <c r="O269" i="21"/>
  <c r="N269" i="21"/>
  <c r="M269" i="21"/>
  <c r="L269" i="21"/>
  <c r="K269" i="21"/>
  <c r="J269" i="21"/>
  <c r="I269" i="21"/>
  <c r="H269" i="21"/>
  <c r="G269" i="21"/>
  <c r="F269" i="21"/>
  <c r="E269" i="21"/>
  <c r="D269" i="21"/>
  <c r="C269" i="21"/>
  <c r="B269" i="21"/>
  <c r="A269" i="21"/>
  <c r="BG268" i="21"/>
  <c r="BH268" i="21" s="1"/>
  <c r="BE268" i="21"/>
  <c r="BF268" i="21" s="1"/>
  <c r="AW268" i="21"/>
  <c r="AX268" i="21" s="1"/>
  <c r="AU268" i="21"/>
  <c r="AV268" i="21" s="1"/>
  <c r="AS268" i="21"/>
  <c r="AT268" i="21" s="1"/>
  <c r="AQ268" i="21"/>
  <c r="AR268" i="21" s="1"/>
  <c r="AO268" i="21"/>
  <c r="AM268" i="21"/>
  <c r="AN268" i="21" s="1"/>
  <c r="AK268" i="21"/>
  <c r="AL268" i="21" s="1"/>
  <c r="AG268" i="21"/>
  <c r="AE268" i="21"/>
  <c r="AF268" i="21" s="1"/>
  <c r="AC268" i="21"/>
  <c r="AD268" i="21" s="1"/>
  <c r="AA268" i="21"/>
  <c r="AB268" i="21" s="1"/>
  <c r="W268" i="21"/>
  <c r="X268" i="21" s="1"/>
  <c r="U268" i="21"/>
  <c r="V268" i="21" s="1"/>
  <c r="S268" i="21"/>
  <c r="T268" i="21" s="1"/>
  <c r="Q268" i="21"/>
  <c r="R268" i="21" s="1"/>
  <c r="P268" i="21"/>
  <c r="O268" i="21"/>
  <c r="N268" i="21"/>
  <c r="M268" i="21"/>
  <c r="L268" i="21"/>
  <c r="K268" i="21"/>
  <c r="J268" i="21"/>
  <c r="I268" i="21"/>
  <c r="H268" i="21"/>
  <c r="G268" i="21"/>
  <c r="F268" i="21"/>
  <c r="E268" i="21"/>
  <c r="D268" i="21"/>
  <c r="C268" i="21"/>
  <c r="B268" i="21"/>
  <c r="A268" i="21"/>
  <c r="BG267" i="21"/>
  <c r="BE267" i="21"/>
  <c r="BF267" i="21" s="1"/>
  <c r="AW267" i="21"/>
  <c r="AX267" i="21" s="1"/>
  <c r="AU267" i="21"/>
  <c r="AV267" i="21" s="1"/>
  <c r="AS267" i="21"/>
  <c r="AT267" i="21" s="1"/>
  <c r="AQ267" i="21"/>
  <c r="AR267" i="21" s="1"/>
  <c r="AO267" i="21"/>
  <c r="AP267" i="21" s="1"/>
  <c r="AM267" i="21"/>
  <c r="AK267" i="21"/>
  <c r="AL267" i="21" s="1"/>
  <c r="AG267" i="21"/>
  <c r="AH267" i="21" s="1"/>
  <c r="AE267" i="21"/>
  <c r="AF267" i="21" s="1"/>
  <c r="AC267" i="21"/>
  <c r="AD267" i="21" s="1"/>
  <c r="AA267" i="21"/>
  <c r="AB267" i="21" s="1"/>
  <c r="W267" i="21"/>
  <c r="X267" i="21" s="1"/>
  <c r="U267" i="21"/>
  <c r="V267" i="21" s="1"/>
  <c r="S267" i="21"/>
  <c r="Q267" i="21"/>
  <c r="R267" i="21" s="1"/>
  <c r="P267" i="21"/>
  <c r="O267" i="21"/>
  <c r="N267" i="21"/>
  <c r="M267" i="21"/>
  <c r="L267" i="21"/>
  <c r="K267" i="21"/>
  <c r="J267" i="21"/>
  <c r="I267" i="21"/>
  <c r="H267" i="21"/>
  <c r="G267" i="21"/>
  <c r="F267" i="21"/>
  <c r="E267" i="21"/>
  <c r="D267" i="21"/>
  <c r="C267" i="21"/>
  <c r="B267" i="21"/>
  <c r="A267" i="21"/>
  <c r="BG266" i="21"/>
  <c r="BH266" i="21" s="1"/>
  <c r="BE266" i="21"/>
  <c r="BF266" i="21" s="1"/>
  <c r="AW266" i="21"/>
  <c r="AU266" i="21"/>
  <c r="AV266" i="21" s="1"/>
  <c r="AS266" i="21"/>
  <c r="AT266" i="21" s="1"/>
  <c r="AQ266" i="21"/>
  <c r="AO266" i="21"/>
  <c r="AP266" i="21" s="1"/>
  <c r="AM266" i="21"/>
  <c r="AN266" i="21" s="1"/>
  <c r="AK266" i="21"/>
  <c r="AL266" i="21" s="1"/>
  <c r="AG266" i="21"/>
  <c r="AH266" i="21" s="1"/>
  <c r="AE266" i="21"/>
  <c r="AF266" i="21" s="1"/>
  <c r="AC266" i="21"/>
  <c r="AD266" i="21" s="1"/>
  <c r="AA266" i="21"/>
  <c r="AB266" i="21" s="1"/>
  <c r="W266" i="21"/>
  <c r="U266" i="21"/>
  <c r="V266" i="21" s="1"/>
  <c r="S266" i="21"/>
  <c r="Q266" i="21"/>
  <c r="R266" i="21" s="1"/>
  <c r="P266" i="21"/>
  <c r="O266" i="21"/>
  <c r="N266" i="21"/>
  <c r="M266" i="21"/>
  <c r="L266" i="21"/>
  <c r="K266" i="21"/>
  <c r="J266" i="21"/>
  <c r="I266" i="21"/>
  <c r="H266" i="21"/>
  <c r="G266" i="21"/>
  <c r="F266" i="21"/>
  <c r="E266" i="21"/>
  <c r="D266" i="21"/>
  <c r="C266" i="21"/>
  <c r="B266" i="21"/>
  <c r="A266" i="21"/>
  <c r="BG265" i="21"/>
  <c r="BH265" i="21" s="1"/>
  <c r="BE265" i="21"/>
  <c r="AW265" i="21"/>
  <c r="AX265" i="21" s="1"/>
  <c r="AU265" i="21"/>
  <c r="AS265" i="21"/>
  <c r="AT265" i="21" s="1"/>
  <c r="AQ265" i="21"/>
  <c r="AR265" i="21" s="1"/>
  <c r="AO265" i="21"/>
  <c r="AP265" i="21" s="1"/>
  <c r="AM265" i="21"/>
  <c r="AN265" i="21" s="1"/>
  <c r="AK265" i="21"/>
  <c r="AG265" i="21"/>
  <c r="AH265" i="21" s="1"/>
  <c r="AE265" i="21"/>
  <c r="AF265" i="21" s="1"/>
  <c r="AC265" i="21"/>
  <c r="AD265" i="21" s="1"/>
  <c r="AA265" i="21"/>
  <c r="AB265" i="21" s="1"/>
  <c r="W265" i="21"/>
  <c r="X265" i="21" s="1"/>
  <c r="U265" i="21"/>
  <c r="V265" i="21" s="1"/>
  <c r="S265" i="21"/>
  <c r="T265" i="21" s="1"/>
  <c r="Q265" i="21"/>
  <c r="P265" i="21"/>
  <c r="O265" i="21"/>
  <c r="N265" i="21"/>
  <c r="M265" i="21"/>
  <c r="L265" i="21"/>
  <c r="K265" i="21"/>
  <c r="J265" i="21"/>
  <c r="I265" i="21"/>
  <c r="H265" i="21"/>
  <c r="G265" i="21"/>
  <c r="F265" i="21"/>
  <c r="E265" i="21"/>
  <c r="D265" i="21"/>
  <c r="C265" i="21"/>
  <c r="B265" i="21"/>
  <c r="A265" i="21"/>
  <c r="BG264" i="21"/>
  <c r="BH264" i="21" s="1"/>
  <c r="BE264" i="21"/>
  <c r="BF264" i="21" s="1"/>
  <c r="AW264" i="21"/>
  <c r="AX264" i="21" s="1"/>
  <c r="AU264" i="21"/>
  <c r="AV264" i="21" s="1"/>
  <c r="AS264" i="21"/>
  <c r="AT264" i="21" s="1"/>
  <c r="AQ264" i="21"/>
  <c r="AR264" i="21" s="1"/>
  <c r="AO264" i="21"/>
  <c r="AP264" i="21" s="1"/>
  <c r="AM264" i="21"/>
  <c r="AN264" i="21" s="1"/>
  <c r="AK264" i="21"/>
  <c r="AL264" i="21" s="1"/>
  <c r="AG264" i="21"/>
  <c r="AE264" i="21"/>
  <c r="AF264" i="21" s="1"/>
  <c r="AC264" i="21"/>
  <c r="AA264" i="21"/>
  <c r="AB264" i="21" s="1"/>
  <c r="W264" i="21"/>
  <c r="U264" i="21"/>
  <c r="V264" i="21" s="1"/>
  <c r="S264" i="21"/>
  <c r="T264" i="21" s="1"/>
  <c r="Q264" i="21"/>
  <c r="R264" i="21" s="1"/>
  <c r="P264" i="21"/>
  <c r="O264" i="21"/>
  <c r="N264" i="21"/>
  <c r="M264" i="21"/>
  <c r="L264" i="21"/>
  <c r="K264" i="21"/>
  <c r="J264" i="21"/>
  <c r="I264" i="21"/>
  <c r="H264" i="21"/>
  <c r="G264" i="21"/>
  <c r="F264" i="21"/>
  <c r="E264" i="21"/>
  <c r="D264" i="21"/>
  <c r="C264" i="21"/>
  <c r="B264" i="21"/>
  <c r="A264" i="21"/>
  <c r="BG263" i="21"/>
  <c r="BH263" i="21" s="1"/>
  <c r="BE263" i="21"/>
  <c r="BF263" i="21" s="1"/>
  <c r="AW263" i="21"/>
  <c r="AX263" i="21" s="1"/>
  <c r="AU263" i="21"/>
  <c r="AS263" i="21"/>
  <c r="AT263" i="21" s="1"/>
  <c r="AQ263" i="21"/>
  <c r="AR263" i="21" s="1"/>
  <c r="AO263" i="21"/>
  <c r="AP263" i="21" s="1"/>
  <c r="AM263" i="21"/>
  <c r="AN263" i="21" s="1"/>
  <c r="AK263" i="21"/>
  <c r="AG263" i="21"/>
  <c r="AH263" i="21" s="1"/>
  <c r="AE263" i="21"/>
  <c r="AF263" i="21" s="1"/>
  <c r="AC263" i="21"/>
  <c r="AA263" i="21"/>
  <c r="AB263" i="21" s="1"/>
  <c r="W263" i="21"/>
  <c r="X263" i="21" s="1"/>
  <c r="U263" i="21"/>
  <c r="V263" i="21" s="1"/>
  <c r="S263" i="21"/>
  <c r="T263" i="21" s="1"/>
  <c r="Q263" i="21"/>
  <c r="R263" i="21" s="1"/>
  <c r="P263" i="21"/>
  <c r="O263" i="21"/>
  <c r="N263" i="21"/>
  <c r="M263" i="21"/>
  <c r="L263" i="21"/>
  <c r="K263" i="21"/>
  <c r="J263" i="21"/>
  <c r="I263" i="21"/>
  <c r="H263" i="21"/>
  <c r="G263" i="21"/>
  <c r="F263" i="21"/>
  <c r="E263" i="21"/>
  <c r="D263" i="21"/>
  <c r="C263" i="21"/>
  <c r="B263" i="21"/>
  <c r="A263" i="21"/>
  <c r="BG262" i="21"/>
  <c r="BH262" i="21" s="1"/>
  <c r="BE262" i="21"/>
  <c r="BF262" i="21" s="1"/>
  <c r="AW262" i="21"/>
  <c r="AX262" i="21" s="1"/>
  <c r="AU262" i="21"/>
  <c r="AV262" i="21" s="1"/>
  <c r="AS262" i="21"/>
  <c r="AT262" i="21" s="1"/>
  <c r="AQ262" i="21"/>
  <c r="AR262" i="21" s="1"/>
  <c r="AO262" i="21"/>
  <c r="AM262" i="21"/>
  <c r="AN262" i="21" s="1"/>
  <c r="AK262" i="21"/>
  <c r="AL262" i="21" s="1"/>
  <c r="AG262" i="21"/>
  <c r="AE262" i="21"/>
  <c r="AF262" i="21" s="1"/>
  <c r="AC262" i="21"/>
  <c r="AD262" i="21" s="1"/>
  <c r="AA262" i="21"/>
  <c r="AB262" i="21" s="1"/>
  <c r="W262" i="21"/>
  <c r="X262" i="21" s="1"/>
  <c r="U262" i="21"/>
  <c r="V262" i="21" s="1"/>
  <c r="S262" i="21"/>
  <c r="T262" i="21" s="1"/>
  <c r="Q262" i="21"/>
  <c r="R262" i="21" s="1"/>
  <c r="P262" i="21"/>
  <c r="O262" i="21"/>
  <c r="N262" i="21"/>
  <c r="M262" i="21"/>
  <c r="L262" i="21"/>
  <c r="K262" i="21"/>
  <c r="J262" i="21"/>
  <c r="I262" i="21"/>
  <c r="H262" i="21"/>
  <c r="G262" i="21"/>
  <c r="F262" i="21"/>
  <c r="E262" i="21"/>
  <c r="D262" i="21"/>
  <c r="C262" i="21"/>
  <c r="B262" i="21"/>
  <c r="A262" i="21"/>
  <c r="BG261" i="21"/>
  <c r="BE261" i="21"/>
  <c r="BF261" i="21" s="1"/>
  <c r="AW261" i="21"/>
  <c r="AX261" i="21" s="1"/>
  <c r="AU261" i="21"/>
  <c r="AV261" i="21" s="1"/>
  <c r="AS261" i="21"/>
  <c r="AQ261" i="21"/>
  <c r="AR261" i="21" s="1"/>
  <c r="AO261" i="21"/>
  <c r="AP261" i="21" s="1"/>
  <c r="AM261" i="21"/>
  <c r="AK261" i="21"/>
  <c r="AL261" i="21" s="1"/>
  <c r="AG261" i="21"/>
  <c r="AH261" i="21" s="1"/>
  <c r="AE261" i="21"/>
  <c r="AF261" i="21" s="1"/>
  <c r="AC261" i="21"/>
  <c r="AD261" i="21" s="1"/>
  <c r="AA261" i="21"/>
  <c r="AB261" i="21" s="1"/>
  <c r="W261" i="21"/>
  <c r="X261" i="21" s="1"/>
  <c r="U261" i="21"/>
  <c r="V261" i="21" s="1"/>
  <c r="S261" i="21"/>
  <c r="Q261" i="21"/>
  <c r="R261" i="21" s="1"/>
  <c r="P261" i="21"/>
  <c r="O261" i="21"/>
  <c r="N261" i="21"/>
  <c r="M261" i="21"/>
  <c r="L261" i="21"/>
  <c r="K261" i="21"/>
  <c r="J261" i="21"/>
  <c r="I261" i="21"/>
  <c r="H261" i="21"/>
  <c r="G261" i="21"/>
  <c r="F261" i="21"/>
  <c r="E261" i="21"/>
  <c r="D261" i="21"/>
  <c r="C261" i="21"/>
  <c r="B261" i="21"/>
  <c r="A261" i="21"/>
  <c r="BG260" i="21"/>
  <c r="BH260" i="21" s="1"/>
  <c r="BE260" i="21"/>
  <c r="BF260" i="21" s="1"/>
  <c r="AW260" i="21"/>
  <c r="AU260" i="21"/>
  <c r="AV260" i="21" s="1"/>
  <c r="AS260" i="21"/>
  <c r="AT260" i="21" s="1"/>
  <c r="AQ260" i="21"/>
  <c r="AO260" i="21"/>
  <c r="AP260" i="21" s="1"/>
  <c r="AM260" i="21"/>
  <c r="AN260" i="21" s="1"/>
  <c r="AK260" i="21"/>
  <c r="AL260" i="21" s="1"/>
  <c r="AG260" i="21"/>
  <c r="AH260" i="21" s="1"/>
  <c r="AE260" i="21"/>
  <c r="AF260" i="21" s="1"/>
  <c r="AC260" i="21"/>
  <c r="AD260" i="21" s="1"/>
  <c r="AA260" i="21"/>
  <c r="AB260" i="21" s="1"/>
  <c r="W260" i="21"/>
  <c r="U260" i="21"/>
  <c r="V260" i="21" s="1"/>
  <c r="S260" i="21"/>
  <c r="T260" i="21" s="1"/>
  <c r="Q260" i="21"/>
  <c r="R260" i="21" s="1"/>
  <c r="P260" i="21"/>
  <c r="O260" i="21"/>
  <c r="N260" i="21"/>
  <c r="M260" i="21"/>
  <c r="L260" i="21"/>
  <c r="K260" i="21"/>
  <c r="J260" i="21"/>
  <c r="I260" i="21"/>
  <c r="H260" i="21"/>
  <c r="G260" i="21"/>
  <c r="F260" i="21"/>
  <c r="E260" i="21"/>
  <c r="D260" i="21"/>
  <c r="C260" i="21"/>
  <c r="B260" i="21"/>
  <c r="A260" i="21"/>
  <c r="BG259" i="21"/>
  <c r="BH259" i="21" s="1"/>
  <c r="BE259" i="21"/>
  <c r="AW259" i="21"/>
  <c r="AX259" i="21" s="1"/>
  <c r="AU259" i="21"/>
  <c r="AS259" i="21"/>
  <c r="AT259" i="21" s="1"/>
  <c r="AQ259" i="21"/>
  <c r="AR259" i="21" s="1"/>
  <c r="AO259" i="21"/>
  <c r="AP259" i="21" s="1"/>
  <c r="AM259" i="21"/>
  <c r="AN259" i="21" s="1"/>
  <c r="AK259" i="21"/>
  <c r="AL259" i="21" s="1"/>
  <c r="AG259" i="21"/>
  <c r="AH259" i="21" s="1"/>
  <c r="AE259" i="21"/>
  <c r="AF259" i="21" s="1"/>
  <c r="AC259" i="21"/>
  <c r="AA259" i="21"/>
  <c r="AB259" i="21" s="1"/>
  <c r="W259" i="21"/>
  <c r="X259" i="21" s="1"/>
  <c r="U259" i="21"/>
  <c r="V259" i="21" s="1"/>
  <c r="S259" i="21"/>
  <c r="T259" i="21" s="1"/>
  <c r="Q259" i="21"/>
  <c r="P259" i="21"/>
  <c r="O259" i="21"/>
  <c r="N259" i="21"/>
  <c r="M259" i="21"/>
  <c r="L259" i="21"/>
  <c r="K259" i="21"/>
  <c r="J259" i="21"/>
  <c r="I259" i="21"/>
  <c r="H259" i="21"/>
  <c r="G259" i="21"/>
  <c r="F259" i="21"/>
  <c r="E259" i="21"/>
  <c r="D259" i="21"/>
  <c r="C259" i="21"/>
  <c r="B259" i="21"/>
  <c r="A259" i="21"/>
  <c r="BG258" i="21"/>
  <c r="BH258" i="21" s="1"/>
  <c r="BE258" i="21"/>
  <c r="BF258" i="21" s="1"/>
  <c r="AW258" i="21"/>
  <c r="AX258" i="21" s="1"/>
  <c r="AU258" i="21"/>
  <c r="AV258" i="21" s="1"/>
  <c r="AS258" i="21"/>
  <c r="AT258" i="21" s="1"/>
  <c r="AQ258" i="21"/>
  <c r="AR258" i="21" s="1"/>
  <c r="AO258" i="21"/>
  <c r="AP258" i="21" s="1"/>
  <c r="AM258" i="21"/>
  <c r="AN258" i="21" s="1"/>
  <c r="AK258" i="21"/>
  <c r="AL258" i="21" s="1"/>
  <c r="AG258" i="21"/>
  <c r="AE258" i="21"/>
  <c r="AF258" i="21" s="1"/>
  <c r="AC258" i="21"/>
  <c r="AD258" i="21" s="1"/>
  <c r="AA258" i="21"/>
  <c r="AB258" i="21" s="1"/>
  <c r="W258" i="21"/>
  <c r="X258" i="21" s="1"/>
  <c r="U258" i="21"/>
  <c r="S258" i="21"/>
  <c r="T258" i="21" s="1"/>
  <c r="Q258" i="21"/>
  <c r="R258" i="21" s="1"/>
  <c r="P258" i="21"/>
  <c r="O258" i="21"/>
  <c r="N258" i="21"/>
  <c r="M258" i="21"/>
  <c r="L258" i="21"/>
  <c r="K258" i="21"/>
  <c r="J258" i="21"/>
  <c r="I258" i="21"/>
  <c r="H258" i="21"/>
  <c r="G258" i="21"/>
  <c r="F258" i="21"/>
  <c r="E258" i="21"/>
  <c r="D258" i="21"/>
  <c r="C258" i="21"/>
  <c r="B258" i="21"/>
  <c r="A258" i="21"/>
  <c r="BG257" i="21"/>
  <c r="BE257" i="21"/>
  <c r="BF257" i="21" s="1"/>
  <c r="AW257" i="21"/>
  <c r="AX257" i="21" s="1"/>
  <c r="AU257" i="21"/>
  <c r="AV257" i="21" s="1"/>
  <c r="AS257" i="21"/>
  <c r="AT257" i="21" s="1"/>
  <c r="AQ257" i="21"/>
  <c r="AR257" i="21" s="1"/>
  <c r="AO257" i="21"/>
  <c r="AP257" i="21" s="1"/>
  <c r="AM257" i="21"/>
  <c r="AK257" i="21"/>
  <c r="AL257" i="21" s="1"/>
  <c r="AG257" i="21"/>
  <c r="AH257" i="21" s="1"/>
  <c r="AE257" i="21"/>
  <c r="AF257" i="21" s="1"/>
  <c r="AC257" i="21"/>
  <c r="AD257" i="21" s="1"/>
  <c r="AA257" i="21"/>
  <c r="W257" i="21"/>
  <c r="X257" i="21" s="1"/>
  <c r="U257" i="21"/>
  <c r="V257" i="21" s="1"/>
  <c r="S257" i="21"/>
  <c r="Q257" i="21"/>
  <c r="R257" i="21" s="1"/>
  <c r="P257" i="21"/>
  <c r="O257" i="21"/>
  <c r="N257" i="21"/>
  <c r="M257" i="21"/>
  <c r="L257" i="21"/>
  <c r="K257" i="21"/>
  <c r="J257" i="21"/>
  <c r="I257" i="21"/>
  <c r="H257" i="21"/>
  <c r="G257" i="21"/>
  <c r="F257" i="21"/>
  <c r="E257" i="21"/>
  <c r="D257" i="21"/>
  <c r="C257" i="21"/>
  <c r="B257" i="21"/>
  <c r="A257" i="21"/>
  <c r="BG256" i="21"/>
  <c r="BH256" i="21" s="1"/>
  <c r="BE256" i="21"/>
  <c r="BF256" i="21" s="1"/>
  <c r="AW256" i="21"/>
  <c r="AX256" i="21" s="1"/>
  <c r="AU256" i="21"/>
  <c r="AV256" i="21" s="1"/>
  <c r="AS256" i="21"/>
  <c r="AT256" i="21" s="1"/>
  <c r="AQ256" i="21"/>
  <c r="AO256" i="21"/>
  <c r="AP256" i="21" s="1"/>
  <c r="AM256" i="21"/>
  <c r="AN256" i="21" s="1"/>
  <c r="AK256" i="21"/>
  <c r="AL256" i="21" s="1"/>
  <c r="AG256" i="21"/>
  <c r="AH256" i="21" s="1"/>
  <c r="AE256" i="21"/>
  <c r="AC256" i="21"/>
  <c r="AD256" i="21" s="1"/>
  <c r="AA256" i="21"/>
  <c r="AB256" i="21" s="1"/>
  <c r="W256" i="21"/>
  <c r="U256" i="21"/>
  <c r="V256" i="21" s="1"/>
  <c r="S256" i="21"/>
  <c r="T256" i="21" s="1"/>
  <c r="Q256" i="21"/>
  <c r="R256" i="21" s="1"/>
  <c r="P256" i="21"/>
  <c r="O256" i="21"/>
  <c r="N256" i="21"/>
  <c r="M256" i="21"/>
  <c r="L256" i="21"/>
  <c r="K256" i="21"/>
  <c r="J256" i="21"/>
  <c r="I256" i="21"/>
  <c r="H256" i="21"/>
  <c r="G256" i="21"/>
  <c r="F256" i="21"/>
  <c r="E256" i="21"/>
  <c r="D256" i="21"/>
  <c r="C256" i="21"/>
  <c r="B256" i="21"/>
  <c r="A256" i="21"/>
  <c r="BG255" i="21"/>
  <c r="BH255" i="21" s="1"/>
  <c r="BE255" i="21"/>
  <c r="BF255" i="21" s="1"/>
  <c r="AW255" i="21"/>
  <c r="AX255" i="21" s="1"/>
  <c r="AU255" i="21"/>
  <c r="AS255" i="21"/>
  <c r="AT255" i="21" s="1"/>
  <c r="AQ255" i="21"/>
  <c r="AR255" i="21" s="1"/>
  <c r="AO255" i="21"/>
  <c r="AP255" i="21" s="1"/>
  <c r="AM255" i="21"/>
  <c r="AN255" i="21" s="1"/>
  <c r="AK255" i="21"/>
  <c r="AG255" i="21"/>
  <c r="AH255" i="21" s="1"/>
  <c r="AE255" i="21"/>
  <c r="AF255" i="21" s="1"/>
  <c r="AC255" i="21"/>
  <c r="AA255" i="21"/>
  <c r="AB255" i="21" s="1"/>
  <c r="W255" i="21"/>
  <c r="X255" i="21" s="1"/>
  <c r="U255" i="21"/>
  <c r="V255" i="21" s="1"/>
  <c r="S255" i="21"/>
  <c r="T255" i="21" s="1"/>
  <c r="Q255" i="21"/>
  <c r="R255" i="21" s="1"/>
  <c r="P255" i="21"/>
  <c r="O255" i="21"/>
  <c r="N255" i="21"/>
  <c r="M255" i="21"/>
  <c r="L255" i="21"/>
  <c r="K255" i="21"/>
  <c r="J255" i="21"/>
  <c r="I255" i="21"/>
  <c r="H255" i="21"/>
  <c r="G255" i="21"/>
  <c r="F255" i="21"/>
  <c r="E255" i="21"/>
  <c r="D255" i="21"/>
  <c r="C255" i="21"/>
  <c r="B255" i="21"/>
  <c r="A255" i="21"/>
  <c r="BG254" i="21"/>
  <c r="BH254" i="21" s="1"/>
  <c r="BE254" i="21"/>
  <c r="BF254" i="21" s="1"/>
  <c r="AW254" i="21"/>
  <c r="AX254" i="21" s="1"/>
  <c r="AU254" i="21"/>
  <c r="AV254" i="21" s="1"/>
  <c r="AS254" i="21"/>
  <c r="AT254" i="21" s="1"/>
  <c r="AQ254" i="21"/>
  <c r="AR254" i="21" s="1"/>
  <c r="AO254" i="21"/>
  <c r="AM254" i="21"/>
  <c r="AN254" i="21" s="1"/>
  <c r="AK254" i="21"/>
  <c r="AL254" i="21" s="1"/>
  <c r="AG254" i="21"/>
  <c r="AE254" i="21"/>
  <c r="AF254" i="21" s="1"/>
  <c r="AC254" i="21"/>
  <c r="AD254" i="21" s="1"/>
  <c r="AA254" i="21"/>
  <c r="AB254" i="21" s="1"/>
  <c r="W254" i="21"/>
  <c r="X254" i="21" s="1"/>
  <c r="U254" i="21"/>
  <c r="V254" i="21" s="1"/>
  <c r="S254" i="21"/>
  <c r="T254" i="21" s="1"/>
  <c r="Q254" i="21"/>
  <c r="R254" i="21" s="1"/>
  <c r="P254" i="21"/>
  <c r="O254" i="21"/>
  <c r="N254" i="21"/>
  <c r="M254" i="21"/>
  <c r="L254" i="21"/>
  <c r="K254" i="21"/>
  <c r="J254" i="21"/>
  <c r="I254" i="21"/>
  <c r="H254" i="21"/>
  <c r="G254" i="21"/>
  <c r="F254" i="21"/>
  <c r="E254" i="21"/>
  <c r="D254" i="21"/>
  <c r="C254" i="21"/>
  <c r="B254" i="21"/>
  <c r="A254" i="21"/>
  <c r="BG253" i="21"/>
  <c r="BE253" i="21"/>
  <c r="BF253" i="21" s="1"/>
  <c r="AW253" i="21"/>
  <c r="AX253" i="21" s="1"/>
  <c r="AU253" i="21"/>
  <c r="AV253" i="21" s="1"/>
  <c r="AS253" i="21"/>
  <c r="AQ253" i="21"/>
  <c r="AR253" i="21" s="1"/>
  <c r="AO253" i="21"/>
  <c r="AP253" i="21" s="1"/>
  <c r="AM253" i="21"/>
  <c r="AK253" i="21"/>
  <c r="AL253" i="21" s="1"/>
  <c r="AG253" i="21"/>
  <c r="AH253" i="21" s="1"/>
  <c r="AE253" i="21"/>
  <c r="AF253" i="21" s="1"/>
  <c r="AC253" i="21"/>
  <c r="AD253" i="21" s="1"/>
  <c r="AA253" i="21"/>
  <c r="AB253" i="21" s="1"/>
  <c r="W253" i="21"/>
  <c r="X253" i="21" s="1"/>
  <c r="U253" i="21"/>
  <c r="V253" i="21" s="1"/>
  <c r="S253" i="21"/>
  <c r="Q253" i="21"/>
  <c r="R253" i="21" s="1"/>
  <c r="P253" i="21"/>
  <c r="O253" i="21"/>
  <c r="N253" i="21"/>
  <c r="M253" i="21"/>
  <c r="L253" i="21"/>
  <c r="K253" i="21"/>
  <c r="J253" i="21"/>
  <c r="I253" i="21"/>
  <c r="H253" i="21"/>
  <c r="G253" i="21"/>
  <c r="F253" i="21"/>
  <c r="E253" i="21"/>
  <c r="D253" i="21"/>
  <c r="C253" i="21"/>
  <c r="B253" i="21"/>
  <c r="A253" i="21"/>
  <c r="BG252" i="21"/>
  <c r="BH252" i="21" s="1"/>
  <c r="BE252" i="21"/>
  <c r="BF252" i="21" s="1"/>
  <c r="AW252" i="21"/>
  <c r="AU252" i="21"/>
  <c r="AV252" i="21" s="1"/>
  <c r="AS252" i="21"/>
  <c r="AT252" i="21" s="1"/>
  <c r="AQ252" i="21"/>
  <c r="AO252" i="21"/>
  <c r="AP252" i="21" s="1"/>
  <c r="AM252" i="21"/>
  <c r="AN252" i="21" s="1"/>
  <c r="AK252" i="21"/>
  <c r="AL252" i="21" s="1"/>
  <c r="AG252" i="21"/>
  <c r="AH252" i="21" s="1"/>
  <c r="AE252" i="21"/>
  <c r="AF252" i="21" s="1"/>
  <c r="AC252" i="21"/>
  <c r="AD252" i="21" s="1"/>
  <c r="AA252" i="21"/>
  <c r="AB252" i="21" s="1"/>
  <c r="W252" i="21"/>
  <c r="U252" i="21"/>
  <c r="V252" i="21" s="1"/>
  <c r="S252" i="21"/>
  <c r="T252" i="21" s="1"/>
  <c r="Q252" i="21"/>
  <c r="R252" i="21" s="1"/>
  <c r="P252" i="21"/>
  <c r="O252" i="21"/>
  <c r="N252" i="21"/>
  <c r="M252" i="21"/>
  <c r="L252" i="21"/>
  <c r="K252" i="21"/>
  <c r="J252" i="21"/>
  <c r="I252" i="21"/>
  <c r="H252" i="21"/>
  <c r="G252" i="21"/>
  <c r="F252" i="21"/>
  <c r="E252" i="21"/>
  <c r="D252" i="21"/>
  <c r="C252" i="21"/>
  <c r="B252" i="21"/>
  <c r="A252" i="21"/>
  <c r="BG251" i="21"/>
  <c r="BH251" i="21" s="1"/>
  <c r="BE251" i="21"/>
  <c r="AW251" i="21"/>
  <c r="AX251" i="21" s="1"/>
  <c r="AU251" i="21"/>
  <c r="AS251" i="21"/>
  <c r="AT251" i="21" s="1"/>
  <c r="AQ251" i="21"/>
  <c r="AR251" i="21" s="1"/>
  <c r="AO251" i="21"/>
  <c r="AP251" i="21" s="1"/>
  <c r="AM251" i="21"/>
  <c r="AN251" i="21" s="1"/>
  <c r="AK251" i="21"/>
  <c r="AL251" i="21" s="1"/>
  <c r="AG251" i="21"/>
  <c r="AH251" i="21" s="1"/>
  <c r="AE251" i="21"/>
  <c r="AF251" i="21" s="1"/>
  <c r="AC251" i="21"/>
  <c r="AA251" i="21"/>
  <c r="AB251" i="21" s="1"/>
  <c r="W251" i="21"/>
  <c r="X251" i="21" s="1"/>
  <c r="U251" i="21"/>
  <c r="V251" i="21" s="1"/>
  <c r="S251" i="21"/>
  <c r="T251" i="21" s="1"/>
  <c r="Q251" i="21"/>
  <c r="P251" i="21"/>
  <c r="O251" i="21"/>
  <c r="N251" i="21"/>
  <c r="M251" i="21"/>
  <c r="L251" i="21"/>
  <c r="K251" i="21"/>
  <c r="J251" i="21"/>
  <c r="I251" i="21"/>
  <c r="H251" i="21"/>
  <c r="G251" i="21"/>
  <c r="F251" i="21"/>
  <c r="E251" i="21"/>
  <c r="D251" i="21"/>
  <c r="C251" i="21"/>
  <c r="B251" i="21"/>
  <c r="A251" i="21"/>
  <c r="BG250" i="21"/>
  <c r="BH250" i="21" s="1"/>
  <c r="BE250" i="21"/>
  <c r="BF250" i="21" s="1"/>
  <c r="AW250" i="21"/>
  <c r="AX250" i="21" s="1"/>
  <c r="AU250" i="21"/>
  <c r="AV250" i="21" s="1"/>
  <c r="AS250" i="21"/>
  <c r="AT250" i="21" s="1"/>
  <c r="AQ250" i="21"/>
  <c r="AR250" i="21" s="1"/>
  <c r="AO250" i="21"/>
  <c r="AP250" i="21" s="1"/>
  <c r="AM250" i="21"/>
  <c r="AN250" i="21" s="1"/>
  <c r="AK250" i="21"/>
  <c r="AL250" i="21" s="1"/>
  <c r="AG250" i="21"/>
  <c r="AE250" i="21"/>
  <c r="AF250" i="21" s="1"/>
  <c r="AC250" i="21"/>
  <c r="AD250" i="21" s="1"/>
  <c r="AA250" i="21"/>
  <c r="AB250" i="21" s="1"/>
  <c r="W250" i="21"/>
  <c r="X250" i="21" s="1"/>
  <c r="U250" i="21"/>
  <c r="S250" i="21"/>
  <c r="T250" i="21" s="1"/>
  <c r="Q250" i="21"/>
  <c r="R250" i="21" s="1"/>
  <c r="P250" i="21"/>
  <c r="O250" i="21"/>
  <c r="N250" i="21"/>
  <c r="M250" i="21"/>
  <c r="L250" i="21"/>
  <c r="K250" i="21"/>
  <c r="J250" i="21"/>
  <c r="I250" i="21"/>
  <c r="H250" i="21"/>
  <c r="G250" i="21"/>
  <c r="F250" i="21"/>
  <c r="E250" i="21"/>
  <c r="D250" i="21"/>
  <c r="C250" i="21"/>
  <c r="B250" i="21"/>
  <c r="A250" i="21"/>
  <c r="BG249" i="21"/>
  <c r="BE249" i="21"/>
  <c r="BF249" i="21" s="1"/>
  <c r="AW249" i="21"/>
  <c r="AX249" i="21" s="1"/>
  <c r="AU249" i="21"/>
  <c r="AV249" i="21" s="1"/>
  <c r="AS249" i="21"/>
  <c r="AT249" i="21" s="1"/>
  <c r="AQ249" i="21"/>
  <c r="AR249" i="21" s="1"/>
  <c r="AO249" i="21"/>
  <c r="AP249" i="21" s="1"/>
  <c r="AM249" i="21"/>
  <c r="AK249" i="21"/>
  <c r="AL249" i="21" s="1"/>
  <c r="AG249" i="21"/>
  <c r="AH249" i="21" s="1"/>
  <c r="AE249" i="21"/>
  <c r="AF249" i="21" s="1"/>
  <c r="AC249" i="21"/>
  <c r="AD249" i="21" s="1"/>
  <c r="AA249" i="21"/>
  <c r="W249" i="21"/>
  <c r="X249" i="21" s="1"/>
  <c r="U249" i="21"/>
  <c r="V249" i="21" s="1"/>
  <c r="S249" i="21"/>
  <c r="Q249" i="21"/>
  <c r="R249" i="21" s="1"/>
  <c r="P249" i="21"/>
  <c r="O249" i="21"/>
  <c r="N249" i="21"/>
  <c r="M249" i="21"/>
  <c r="L249" i="21"/>
  <c r="K249" i="21"/>
  <c r="J249" i="21"/>
  <c r="I249" i="21"/>
  <c r="H249" i="21"/>
  <c r="G249" i="21"/>
  <c r="F249" i="21"/>
  <c r="E249" i="21"/>
  <c r="D249" i="21"/>
  <c r="C249" i="21"/>
  <c r="B249" i="21"/>
  <c r="A249" i="21"/>
  <c r="BG248" i="21"/>
  <c r="BH248" i="21" s="1"/>
  <c r="BE248" i="21"/>
  <c r="BF248" i="21" s="1"/>
  <c r="AW248" i="21"/>
  <c r="AX248" i="21" s="1"/>
  <c r="AU248" i="21"/>
  <c r="AV248" i="21" s="1"/>
  <c r="AS248" i="21"/>
  <c r="AT248" i="21" s="1"/>
  <c r="AQ248" i="21"/>
  <c r="AO248" i="21"/>
  <c r="AP248" i="21" s="1"/>
  <c r="AM248" i="21"/>
  <c r="AN248" i="21" s="1"/>
  <c r="AK248" i="21"/>
  <c r="AL248" i="21" s="1"/>
  <c r="AG248" i="21"/>
  <c r="AH248" i="21" s="1"/>
  <c r="AE248" i="21"/>
  <c r="AC248" i="21"/>
  <c r="AD248" i="21" s="1"/>
  <c r="AA248" i="21"/>
  <c r="AB248" i="21" s="1"/>
  <c r="W248" i="21"/>
  <c r="U248" i="21"/>
  <c r="V248" i="21" s="1"/>
  <c r="S248" i="21"/>
  <c r="T248" i="21" s="1"/>
  <c r="Q248" i="21"/>
  <c r="R248" i="21" s="1"/>
  <c r="P248" i="21"/>
  <c r="O248" i="21"/>
  <c r="N248" i="21"/>
  <c r="M248" i="21"/>
  <c r="L248" i="21"/>
  <c r="K248" i="21"/>
  <c r="J248" i="21"/>
  <c r="I248" i="21"/>
  <c r="H248" i="21"/>
  <c r="G248" i="21"/>
  <c r="F248" i="21"/>
  <c r="E248" i="21"/>
  <c r="D248" i="21"/>
  <c r="C248" i="21"/>
  <c r="B248" i="21"/>
  <c r="A248" i="21"/>
  <c r="BG247" i="21"/>
  <c r="BH247" i="21" s="1"/>
  <c r="BE247" i="21"/>
  <c r="BF247" i="21" s="1"/>
  <c r="AW247" i="21"/>
  <c r="AX247" i="21" s="1"/>
  <c r="AU247" i="21"/>
  <c r="AS247" i="21"/>
  <c r="AT247" i="21" s="1"/>
  <c r="AQ247" i="21"/>
  <c r="AR247" i="21" s="1"/>
  <c r="AO247" i="21"/>
  <c r="AP247" i="21" s="1"/>
  <c r="AM247" i="21"/>
  <c r="AN247" i="21" s="1"/>
  <c r="AK247" i="21"/>
  <c r="AG247" i="21"/>
  <c r="AH247" i="21" s="1"/>
  <c r="AE247" i="21"/>
  <c r="AF247" i="21" s="1"/>
  <c r="AC247" i="21"/>
  <c r="AA247" i="21"/>
  <c r="AB247" i="21" s="1"/>
  <c r="W247" i="21"/>
  <c r="X247" i="21" s="1"/>
  <c r="U247" i="21"/>
  <c r="V247" i="21" s="1"/>
  <c r="S247" i="21"/>
  <c r="T247" i="21" s="1"/>
  <c r="Q247" i="21"/>
  <c r="P247" i="21"/>
  <c r="O247" i="21"/>
  <c r="N247" i="21"/>
  <c r="M247" i="21"/>
  <c r="L247" i="21"/>
  <c r="K247" i="21"/>
  <c r="J247" i="21"/>
  <c r="I247" i="21"/>
  <c r="H247" i="21"/>
  <c r="G247" i="21"/>
  <c r="F247" i="21"/>
  <c r="E247" i="21"/>
  <c r="D247" i="21"/>
  <c r="C247" i="21"/>
  <c r="B247" i="21"/>
  <c r="A247" i="21"/>
  <c r="BG246" i="21"/>
  <c r="BH246" i="21" s="1"/>
  <c r="BE246" i="21"/>
  <c r="BF246" i="21" s="1"/>
  <c r="AW246" i="21"/>
  <c r="AX246" i="21" s="1"/>
  <c r="AU246" i="21"/>
  <c r="AV246" i="21" s="1"/>
  <c r="AS246" i="21"/>
  <c r="AT246" i="21" s="1"/>
  <c r="AQ246" i="21"/>
  <c r="AR246" i="21" s="1"/>
  <c r="AO246" i="21"/>
  <c r="AM246" i="21"/>
  <c r="AN246" i="21" s="1"/>
  <c r="AK246" i="21"/>
  <c r="AL246" i="21" s="1"/>
  <c r="AG246" i="21"/>
  <c r="AE246" i="21"/>
  <c r="AF246" i="21" s="1"/>
  <c r="AC246" i="21"/>
  <c r="AD246" i="21" s="1"/>
  <c r="AA246" i="21"/>
  <c r="AB246" i="21" s="1"/>
  <c r="W246" i="21"/>
  <c r="X246" i="21" s="1"/>
  <c r="U246" i="21"/>
  <c r="V246" i="21" s="1"/>
  <c r="S246" i="21"/>
  <c r="T246" i="21" s="1"/>
  <c r="Q246" i="21"/>
  <c r="R246" i="21" s="1"/>
  <c r="P246" i="21"/>
  <c r="O246" i="21"/>
  <c r="N246" i="21"/>
  <c r="M246" i="21"/>
  <c r="L246" i="21"/>
  <c r="K246" i="21"/>
  <c r="J246" i="21"/>
  <c r="I246" i="21"/>
  <c r="H246" i="21"/>
  <c r="G246" i="21"/>
  <c r="F246" i="21"/>
  <c r="E246" i="21"/>
  <c r="D246" i="21"/>
  <c r="C246" i="21"/>
  <c r="B246" i="21"/>
  <c r="A246" i="21"/>
  <c r="BG245" i="21"/>
  <c r="BE245" i="21"/>
  <c r="BF245" i="21" s="1"/>
  <c r="AW245" i="21"/>
  <c r="AX245" i="21" s="1"/>
  <c r="AU245" i="21"/>
  <c r="AV245" i="21" s="1"/>
  <c r="AS245" i="21"/>
  <c r="AQ245" i="21"/>
  <c r="AR245" i="21" s="1"/>
  <c r="AO245" i="21"/>
  <c r="AP245" i="21" s="1"/>
  <c r="AM245" i="21"/>
  <c r="AK245" i="21"/>
  <c r="AL245" i="21" s="1"/>
  <c r="AG245" i="21"/>
  <c r="AH245" i="21" s="1"/>
  <c r="AE245" i="21"/>
  <c r="AF245" i="21" s="1"/>
  <c r="AC245" i="21"/>
  <c r="AD245" i="21" s="1"/>
  <c r="AA245" i="21"/>
  <c r="AB245" i="21" s="1"/>
  <c r="W245" i="21"/>
  <c r="X245" i="21" s="1"/>
  <c r="U245" i="21"/>
  <c r="V245" i="21" s="1"/>
  <c r="S245" i="21"/>
  <c r="Q245" i="21"/>
  <c r="R245" i="21" s="1"/>
  <c r="P245" i="21"/>
  <c r="O245" i="21"/>
  <c r="N245" i="21"/>
  <c r="M245" i="21"/>
  <c r="L245" i="21"/>
  <c r="K245" i="21"/>
  <c r="J245" i="21"/>
  <c r="I245" i="21"/>
  <c r="H245" i="21"/>
  <c r="G245" i="21"/>
  <c r="F245" i="21"/>
  <c r="E245" i="21"/>
  <c r="D245" i="21"/>
  <c r="C245" i="21"/>
  <c r="B245" i="21"/>
  <c r="A245" i="21"/>
  <c r="BG244" i="21"/>
  <c r="BH244" i="21" s="1"/>
  <c r="BE244" i="21"/>
  <c r="BF244" i="21" s="1"/>
  <c r="AW244" i="21"/>
  <c r="AU244" i="21"/>
  <c r="AV244" i="21" s="1"/>
  <c r="AS244" i="21"/>
  <c r="AT244" i="21" s="1"/>
  <c r="AQ244" i="21"/>
  <c r="AO244" i="21"/>
  <c r="AP244" i="21" s="1"/>
  <c r="AM244" i="21"/>
  <c r="AN244" i="21" s="1"/>
  <c r="AK244" i="21"/>
  <c r="AL244" i="21" s="1"/>
  <c r="AG244" i="21"/>
  <c r="AH244" i="21" s="1"/>
  <c r="AE244" i="21"/>
  <c r="AF244" i="21" s="1"/>
  <c r="AC244" i="21"/>
  <c r="AD244" i="21" s="1"/>
  <c r="AA244" i="21"/>
  <c r="AB244" i="21" s="1"/>
  <c r="W244" i="21"/>
  <c r="U244" i="21"/>
  <c r="V244" i="21" s="1"/>
  <c r="S244" i="21"/>
  <c r="T244" i="21" s="1"/>
  <c r="Q244" i="21"/>
  <c r="R244" i="21" s="1"/>
  <c r="P244" i="21"/>
  <c r="O244" i="21"/>
  <c r="N244" i="21"/>
  <c r="M244" i="21"/>
  <c r="L244" i="21"/>
  <c r="K244" i="21"/>
  <c r="J244" i="21"/>
  <c r="I244" i="21"/>
  <c r="H244" i="21"/>
  <c r="G244" i="21"/>
  <c r="F244" i="21"/>
  <c r="E244" i="21"/>
  <c r="D244" i="21"/>
  <c r="C244" i="21"/>
  <c r="B244" i="21"/>
  <c r="A244" i="21"/>
  <c r="BG243" i="21"/>
  <c r="BH243" i="21" s="1"/>
  <c r="BE243" i="21"/>
  <c r="BF243" i="21" s="1"/>
  <c r="AW243" i="21"/>
  <c r="AX243" i="21" s="1"/>
  <c r="AU243" i="21"/>
  <c r="AV243" i="21" s="1"/>
  <c r="AS243" i="21"/>
  <c r="AT243" i="21" s="1"/>
  <c r="AQ243" i="21"/>
  <c r="AR243" i="21" s="1"/>
  <c r="AO243" i="21"/>
  <c r="AP243" i="21" s="1"/>
  <c r="AM243" i="21"/>
  <c r="AN243" i="21" s="1"/>
  <c r="BB243" i="21" s="1"/>
  <c r="AK243" i="21"/>
  <c r="AL243" i="21" s="1"/>
  <c r="AG243" i="21"/>
  <c r="AH243" i="21" s="1"/>
  <c r="AE243" i="21"/>
  <c r="AC243" i="21"/>
  <c r="AA243" i="21"/>
  <c r="AB243" i="21" s="1"/>
  <c r="W243" i="21"/>
  <c r="U243" i="21"/>
  <c r="V243" i="21" s="1"/>
  <c r="S243" i="21"/>
  <c r="T243" i="21" s="1"/>
  <c r="Q243" i="21"/>
  <c r="R243" i="21" s="1"/>
  <c r="P243" i="21"/>
  <c r="O243" i="21"/>
  <c r="N243" i="21"/>
  <c r="M243" i="21"/>
  <c r="L243" i="21"/>
  <c r="K243" i="21"/>
  <c r="J243" i="21"/>
  <c r="I243" i="21"/>
  <c r="H243" i="21"/>
  <c r="G243" i="21"/>
  <c r="F243" i="21"/>
  <c r="E243" i="21"/>
  <c r="D243" i="21"/>
  <c r="C243" i="21"/>
  <c r="B243" i="21"/>
  <c r="A243" i="21"/>
  <c r="BG242" i="21"/>
  <c r="BH242" i="21" s="1"/>
  <c r="BE242" i="21"/>
  <c r="BF242" i="21" s="1"/>
  <c r="AW242" i="21"/>
  <c r="AX242" i="21" s="1"/>
  <c r="AU242" i="21"/>
  <c r="AV242" i="21" s="1"/>
  <c r="AS242" i="21"/>
  <c r="AT242" i="21" s="1"/>
  <c r="AQ242" i="21"/>
  <c r="AR242" i="21" s="1"/>
  <c r="AO242" i="21"/>
  <c r="AP242" i="21" s="1"/>
  <c r="AM242" i="21"/>
  <c r="AN242" i="21" s="1"/>
  <c r="AK242" i="21"/>
  <c r="AL242" i="21" s="1"/>
  <c r="AG242" i="21"/>
  <c r="AE242" i="21"/>
  <c r="AF242" i="21" s="1"/>
  <c r="AC242" i="21"/>
  <c r="AA242" i="21"/>
  <c r="AB242" i="21" s="1"/>
  <c r="W242" i="21"/>
  <c r="X242" i="21" s="1"/>
  <c r="U242" i="21"/>
  <c r="V242" i="21" s="1"/>
  <c r="S242" i="21"/>
  <c r="T242" i="21" s="1"/>
  <c r="Q242" i="21"/>
  <c r="R242" i="21" s="1"/>
  <c r="P242" i="21"/>
  <c r="O242" i="21"/>
  <c r="N242" i="21"/>
  <c r="M242" i="21"/>
  <c r="L242" i="21"/>
  <c r="K242" i="21"/>
  <c r="J242" i="21"/>
  <c r="I242" i="21"/>
  <c r="H242" i="21"/>
  <c r="G242" i="21"/>
  <c r="F242" i="21"/>
  <c r="E242" i="21"/>
  <c r="D242" i="21"/>
  <c r="C242" i="21"/>
  <c r="B242" i="21"/>
  <c r="A242" i="21"/>
  <c r="BG241" i="21"/>
  <c r="BH241" i="21" s="1"/>
  <c r="BE241" i="21"/>
  <c r="BF241" i="21" s="1"/>
  <c r="AW241" i="21"/>
  <c r="AX241" i="21" s="1"/>
  <c r="AU241" i="21"/>
  <c r="AV241" i="21" s="1"/>
  <c r="AS241" i="21"/>
  <c r="AT241" i="21" s="1"/>
  <c r="AQ241" i="21"/>
  <c r="AR241" i="21" s="1"/>
  <c r="AO241" i="21"/>
  <c r="AP241" i="21" s="1"/>
  <c r="AM241" i="21"/>
  <c r="AK241" i="21"/>
  <c r="AL241" i="21" s="1"/>
  <c r="AG241" i="21"/>
  <c r="AE241" i="21"/>
  <c r="AF241" i="21" s="1"/>
  <c r="AC241" i="21"/>
  <c r="AD241" i="21" s="1"/>
  <c r="AA241" i="21"/>
  <c r="AB241" i="21" s="1"/>
  <c r="W241" i="21"/>
  <c r="X241" i="21" s="1"/>
  <c r="U241" i="21"/>
  <c r="S241" i="21"/>
  <c r="T241" i="21" s="1"/>
  <c r="Q241" i="21"/>
  <c r="R241" i="21" s="1"/>
  <c r="P241" i="21"/>
  <c r="O241" i="21"/>
  <c r="N241" i="21"/>
  <c r="M241" i="21"/>
  <c r="L241" i="21"/>
  <c r="K241" i="21"/>
  <c r="J241" i="21"/>
  <c r="I241" i="21"/>
  <c r="H241" i="21"/>
  <c r="G241" i="21"/>
  <c r="F241" i="21"/>
  <c r="E241" i="21"/>
  <c r="D241" i="21"/>
  <c r="C241" i="21"/>
  <c r="B241" i="21"/>
  <c r="A241" i="21"/>
  <c r="BG240" i="21"/>
  <c r="BE240" i="21"/>
  <c r="BF240" i="21" s="1"/>
  <c r="AW240" i="21"/>
  <c r="AU240" i="21"/>
  <c r="AV240" i="21" s="1"/>
  <c r="AS240" i="21"/>
  <c r="AQ240" i="21"/>
  <c r="AR240" i="21" s="1"/>
  <c r="AO240" i="21"/>
  <c r="AP240" i="21" s="1"/>
  <c r="AM240" i="21"/>
  <c r="AK240" i="21"/>
  <c r="AL240" i="21" s="1"/>
  <c r="AG240" i="21"/>
  <c r="AH240" i="21" s="1"/>
  <c r="AE240" i="21"/>
  <c r="AF240" i="21" s="1"/>
  <c r="AC240" i="21"/>
  <c r="AD240" i="21" s="1"/>
  <c r="AA240" i="21"/>
  <c r="W240" i="21"/>
  <c r="X240" i="21" s="1"/>
  <c r="U240" i="21"/>
  <c r="V240" i="21" s="1"/>
  <c r="S240" i="21"/>
  <c r="Q240" i="21"/>
  <c r="R240" i="21" s="1"/>
  <c r="P240" i="21"/>
  <c r="O240" i="21"/>
  <c r="N240" i="21"/>
  <c r="M240" i="21"/>
  <c r="L240" i="21"/>
  <c r="K240" i="21"/>
  <c r="J240" i="21"/>
  <c r="I240" i="21"/>
  <c r="H240" i="21"/>
  <c r="G240" i="21"/>
  <c r="F240" i="21"/>
  <c r="E240" i="21"/>
  <c r="D240" i="21"/>
  <c r="C240" i="21"/>
  <c r="B240" i="21"/>
  <c r="A240" i="21"/>
  <c r="BG239" i="21"/>
  <c r="BH239" i="21" s="1"/>
  <c r="BE239" i="21"/>
  <c r="BF239" i="21" s="1"/>
  <c r="AW239" i="21"/>
  <c r="AX239" i="21" s="1"/>
  <c r="AU239" i="21"/>
  <c r="AV239" i="21" s="1"/>
  <c r="AS239" i="21"/>
  <c r="AT239" i="21" s="1"/>
  <c r="AQ239" i="21"/>
  <c r="AO239" i="21"/>
  <c r="AP239" i="21" s="1"/>
  <c r="AM239" i="21"/>
  <c r="AN239" i="21" s="1"/>
  <c r="AK239" i="21"/>
  <c r="AL239" i="21" s="1"/>
  <c r="AG239" i="21"/>
  <c r="AH239" i="21" s="1"/>
  <c r="AE239" i="21"/>
  <c r="AC239" i="21"/>
  <c r="AD239" i="21" s="1"/>
  <c r="AA239" i="21"/>
  <c r="AB239" i="21" s="1"/>
  <c r="W239" i="21"/>
  <c r="U239" i="21"/>
  <c r="V239" i="21" s="1"/>
  <c r="S239" i="21"/>
  <c r="T239" i="21" s="1"/>
  <c r="Q239" i="21"/>
  <c r="R239" i="21" s="1"/>
  <c r="P239" i="21"/>
  <c r="O239" i="21"/>
  <c r="N239" i="21"/>
  <c r="M239" i="21"/>
  <c r="L239" i="21"/>
  <c r="K239" i="21"/>
  <c r="J239" i="21"/>
  <c r="I239" i="21"/>
  <c r="H239" i="21"/>
  <c r="G239" i="21"/>
  <c r="F239" i="21"/>
  <c r="E239" i="21"/>
  <c r="D239" i="21"/>
  <c r="C239" i="21"/>
  <c r="B239" i="21"/>
  <c r="A239" i="21"/>
  <c r="BG238" i="21"/>
  <c r="BH238" i="21" s="1"/>
  <c r="BE238" i="21"/>
  <c r="AW238" i="21"/>
  <c r="AX238" i="21" s="1"/>
  <c r="AU238" i="21"/>
  <c r="AS238" i="21"/>
  <c r="AT238" i="21" s="1"/>
  <c r="AQ238" i="21"/>
  <c r="AR238" i="21" s="1"/>
  <c r="AO238" i="21"/>
  <c r="AP238" i="21" s="1"/>
  <c r="AM238" i="21"/>
  <c r="AN238" i="21" s="1"/>
  <c r="AK238" i="21"/>
  <c r="AG238" i="21"/>
  <c r="AH238" i="21" s="1"/>
  <c r="AE238" i="21"/>
  <c r="AF238" i="21" s="1"/>
  <c r="AC238" i="21"/>
  <c r="AA238" i="21"/>
  <c r="AB238" i="21" s="1"/>
  <c r="W238" i="21"/>
  <c r="X238" i="21" s="1"/>
  <c r="U238" i="21"/>
  <c r="V238" i="21" s="1"/>
  <c r="S238" i="21"/>
  <c r="T238" i="21" s="1"/>
  <c r="Q238" i="21"/>
  <c r="P238" i="21"/>
  <c r="O238" i="21"/>
  <c r="N238" i="21"/>
  <c r="M238" i="21"/>
  <c r="L238" i="21"/>
  <c r="K238" i="21"/>
  <c r="J238" i="21"/>
  <c r="I238" i="21"/>
  <c r="H238" i="21"/>
  <c r="G238" i="21"/>
  <c r="F238" i="21"/>
  <c r="E238" i="21"/>
  <c r="D238" i="21"/>
  <c r="C238" i="21"/>
  <c r="B238" i="21"/>
  <c r="A238" i="21"/>
  <c r="BG237" i="21"/>
  <c r="BH237" i="21" s="1"/>
  <c r="BE237" i="21"/>
  <c r="BF237" i="21" s="1"/>
  <c r="AW237" i="21"/>
  <c r="AX237" i="21" s="1"/>
  <c r="AU237" i="21"/>
  <c r="AV237" i="21" s="1"/>
  <c r="AS237" i="21"/>
  <c r="AT237" i="21" s="1"/>
  <c r="AQ237" i="21"/>
  <c r="AR237" i="21" s="1"/>
  <c r="AO237" i="21"/>
  <c r="AM237" i="21"/>
  <c r="AN237" i="21" s="1"/>
  <c r="AK237" i="21"/>
  <c r="AL237" i="21" s="1"/>
  <c r="AG237" i="21"/>
  <c r="AE237" i="21"/>
  <c r="AF237" i="21" s="1"/>
  <c r="AC237" i="21"/>
  <c r="AD237" i="21" s="1"/>
  <c r="AA237" i="21"/>
  <c r="AB237" i="21" s="1"/>
  <c r="W237" i="21"/>
  <c r="X237" i="21" s="1"/>
  <c r="U237" i="21"/>
  <c r="S237" i="21"/>
  <c r="T237" i="21" s="1"/>
  <c r="Q237" i="21"/>
  <c r="R237" i="21" s="1"/>
  <c r="P237" i="21"/>
  <c r="O237" i="21"/>
  <c r="N237" i="21"/>
  <c r="M237" i="21"/>
  <c r="L237" i="21"/>
  <c r="K237" i="21"/>
  <c r="J237" i="21"/>
  <c r="I237" i="21"/>
  <c r="H237" i="21"/>
  <c r="G237" i="21"/>
  <c r="F237" i="21"/>
  <c r="E237" i="21"/>
  <c r="D237" i="21"/>
  <c r="C237" i="21"/>
  <c r="B237" i="21"/>
  <c r="A237" i="21"/>
  <c r="BG236" i="21"/>
  <c r="BE236" i="21"/>
  <c r="BF236" i="21" s="1"/>
  <c r="AW236" i="21"/>
  <c r="AX236" i="21" s="1"/>
  <c r="AU236" i="21"/>
  <c r="AV236" i="21" s="1"/>
  <c r="AS236" i="21"/>
  <c r="AQ236" i="21"/>
  <c r="AR236" i="21" s="1"/>
  <c r="AO236" i="21"/>
  <c r="AP236" i="21" s="1"/>
  <c r="AM236" i="21"/>
  <c r="AK236" i="21"/>
  <c r="AL236" i="21" s="1"/>
  <c r="AG236" i="21"/>
  <c r="AH236" i="21" s="1"/>
  <c r="AE236" i="21"/>
  <c r="AF236" i="21" s="1"/>
  <c r="AC236" i="21"/>
  <c r="AD236" i="21" s="1"/>
  <c r="AA236" i="21"/>
  <c r="W236" i="21"/>
  <c r="X236" i="21" s="1"/>
  <c r="U236" i="21"/>
  <c r="V236" i="21" s="1"/>
  <c r="S236" i="21"/>
  <c r="Q236" i="21"/>
  <c r="R236" i="21" s="1"/>
  <c r="P236" i="21"/>
  <c r="O236" i="21"/>
  <c r="N236" i="21"/>
  <c r="M236" i="21"/>
  <c r="L236" i="21"/>
  <c r="K236" i="21"/>
  <c r="J236" i="21"/>
  <c r="I236" i="21"/>
  <c r="H236" i="21"/>
  <c r="G236" i="21"/>
  <c r="F236" i="21"/>
  <c r="E236" i="21"/>
  <c r="D236" i="21"/>
  <c r="C236" i="21"/>
  <c r="B236" i="21"/>
  <c r="A236" i="21"/>
  <c r="BG235" i="21"/>
  <c r="BH235" i="21" s="1"/>
  <c r="BE235" i="21"/>
  <c r="BF235" i="21" s="1"/>
  <c r="AW235" i="21"/>
  <c r="AX235" i="21" s="1"/>
  <c r="AU235" i="21"/>
  <c r="AV235" i="21" s="1"/>
  <c r="AS235" i="21"/>
  <c r="AT235" i="21" s="1"/>
  <c r="AQ235" i="21"/>
  <c r="AO235" i="21"/>
  <c r="AP235" i="21" s="1"/>
  <c r="AM235" i="21"/>
  <c r="AN235" i="21" s="1"/>
  <c r="AK235" i="21"/>
  <c r="AL235" i="21" s="1"/>
  <c r="AG235" i="21"/>
  <c r="AH235" i="21" s="1"/>
  <c r="AE235" i="21"/>
  <c r="AC235" i="21"/>
  <c r="AD235" i="21" s="1"/>
  <c r="AA235" i="21"/>
  <c r="AB235" i="21" s="1"/>
  <c r="W235" i="21"/>
  <c r="U235" i="21"/>
  <c r="V235" i="21" s="1"/>
  <c r="S235" i="21"/>
  <c r="T235" i="21" s="1"/>
  <c r="Q235" i="21"/>
  <c r="R235" i="21" s="1"/>
  <c r="P235" i="21"/>
  <c r="O235" i="21"/>
  <c r="N235" i="21"/>
  <c r="M235" i="21"/>
  <c r="L235" i="21"/>
  <c r="K235" i="21"/>
  <c r="J235" i="21"/>
  <c r="I235" i="21"/>
  <c r="H235" i="21"/>
  <c r="G235" i="21"/>
  <c r="F235" i="21"/>
  <c r="E235" i="21"/>
  <c r="D235" i="21"/>
  <c r="C235" i="21"/>
  <c r="B235" i="21"/>
  <c r="A235" i="21"/>
  <c r="BG234" i="21"/>
  <c r="BH234" i="21" s="1"/>
  <c r="BE234" i="21"/>
  <c r="BF234" i="21" s="1"/>
  <c r="AW234" i="21"/>
  <c r="AX234" i="21" s="1"/>
  <c r="AU234" i="21"/>
  <c r="AS234" i="21"/>
  <c r="AT234" i="21" s="1"/>
  <c r="AQ234" i="21"/>
  <c r="AR234" i="21" s="1"/>
  <c r="AO234" i="21"/>
  <c r="AP234" i="21" s="1"/>
  <c r="AM234" i="21"/>
  <c r="AN234" i="21" s="1"/>
  <c r="AK234" i="21"/>
  <c r="AG234" i="21"/>
  <c r="AH234" i="21" s="1"/>
  <c r="AE234" i="21"/>
  <c r="AF234" i="21" s="1"/>
  <c r="AC234" i="21"/>
  <c r="AA234" i="21"/>
  <c r="AB234" i="21" s="1"/>
  <c r="W234" i="21"/>
  <c r="X234" i="21" s="1"/>
  <c r="U234" i="21"/>
  <c r="V234" i="21" s="1"/>
  <c r="S234" i="21"/>
  <c r="T234" i="21" s="1"/>
  <c r="Q234" i="21"/>
  <c r="P234" i="21"/>
  <c r="O234" i="21"/>
  <c r="N234" i="21"/>
  <c r="M234" i="21"/>
  <c r="L234" i="21"/>
  <c r="K234" i="21"/>
  <c r="J234" i="21"/>
  <c r="I234" i="21"/>
  <c r="H234" i="21"/>
  <c r="G234" i="21"/>
  <c r="F234" i="21"/>
  <c r="E234" i="21"/>
  <c r="D234" i="21"/>
  <c r="C234" i="21"/>
  <c r="B234" i="21"/>
  <c r="A234" i="21"/>
  <c r="BG233" i="21"/>
  <c r="BH233" i="21" s="1"/>
  <c r="BE233" i="21"/>
  <c r="BF233" i="21" s="1"/>
  <c r="AW233" i="21"/>
  <c r="AX233" i="21" s="1"/>
  <c r="AU233" i="21"/>
  <c r="AV233" i="21" s="1"/>
  <c r="AS233" i="21"/>
  <c r="AT233" i="21" s="1"/>
  <c r="AQ233" i="21"/>
  <c r="AR233" i="21" s="1"/>
  <c r="BB233" i="21" s="1"/>
  <c r="AO233" i="21"/>
  <c r="AM233" i="21"/>
  <c r="AN233" i="21" s="1"/>
  <c r="AK233" i="21"/>
  <c r="AL233" i="21" s="1"/>
  <c r="AG233" i="21"/>
  <c r="AE233" i="21"/>
  <c r="AF233" i="21" s="1"/>
  <c r="AC233" i="21"/>
  <c r="AD233" i="21" s="1"/>
  <c r="AA233" i="21"/>
  <c r="AB233" i="21" s="1"/>
  <c r="W233" i="21"/>
  <c r="X233" i="21" s="1"/>
  <c r="U233" i="21"/>
  <c r="S233" i="21"/>
  <c r="T233" i="21" s="1"/>
  <c r="Q233" i="21"/>
  <c r="R233" i="21" s="1"/>
  <c r="P233" i="21"/>
  <c r="O233" i="21"/>
  <c r="N233" i="21"/>
  <c r="M233" i="21"/>
  <c r="L233" i="21"/>
  <c r="K233" i="21"/>
  <c r="J233" i="21"/>
  <c r="I233" i="21"/>
  <c r="H233" i="21"/>
  <c r="G233" i="21"/>
  <c r="F233" i="21"/>
  <c r="E233" i="21"/>
  <c r="D233" i="21"/>
  <c r="C233" i="21"/>
  <c r="B233" i="21"/>
  <c r="A233" i="21"/>
  <c r="BG232" i="21"/>
  <c r="BE232" i="21"/>
  <c r="BF232" i="21" s="1"/>
  <c r="AW232" i="21"/>
  <c r="AX232" i="21" s="1"/>
  <c r="AU232" i="21"/>
  <c r="AV232" i="21" s="1"/>
  <c r="AS232" i="21"/>
  <c r="AQ232" i="21"/>
  <c r="AR232" i="21" s="1"/>
  <c r="AO232" i="21"/>
  <c r="AP232" i="21" s="1"/>
  <c r="AM232" i="21"/>
  <c r="AK232" i="21"/>
  <c r="AL232" i="21" s="1"/>
  <c r="AG232" i="21"/>
  <c r="AH232" i="21" s="1"/>
  <c r="AE232" i="21"/>
  <c r="AF232" i="21" s="1"/>
  <c r="AC232" i="21"/>
  <c r="AD232" i="21" s="1"/>
  <c r="AA232" i="21"/>
  <c r="AB232" i="21" s="1"/>
  <c r="W232" i="21"/>
  <c r="X232" i="21" s="1"/>
  <c r="U232" i="21"/>
  <c r="V232" i="21" s="1"/>
  <c r="S232" i="21"/>
  <c r="Q232" i="21"/>
  <c r="R232" i="21" s="1"/>
  <c r="P232" i="21"/>
  <c r="O232" i="21"/>
  <c r="N232" i="21"/>
  <c r="M232" i="21"/>
  <c r="L232" i="21"/>
  <c r="K232" i="21"/>
  <c r="J232" i="21"/>
  <c r="I232" i="21"/>
  <c r="H232" i="21"/>
  <c r="G232" i="21"/>
  <c r="F232" i="21"/>
  <c r="E232" i="21"/>
  <c r="D232" i="21"/>
  <c r="C232" i="21"/>
  <c r="B232" i="21"/>
  <c r="A232" i="21"/>
  <c r="BG231" i="21"/>
  <c r="BE231" i="21"/>
  <c r="BF231" i="21" s="1"/>
  <c r="AW231" i="21"/>
  <c r="AU231" i="21"/>
  <c r="AV231" i="21" s="1"/>
  <c r="AS231" i="21"/>
  <c r="AT231" i="21" s="1"/>
  <c r="AQ231" i="21"/>
  <c r="AO231" i="21"/>
  <c r="AP231" i="21" s="1"/>
  <c r="AM231" i="21"/>
  <c r="AN231" i="21" s="1"/>
  <c r="AK231" i="21"/>
  <c r="AL231" i="21" s="1"/>
  <c r="AG231" i="21"/>
  <c r="AH231" i="21" s="1"/>
  <c r="AE231" i="21"/>
  <c r="AF231" i="21" s="1"/>
  <c r="AC231" i="21"/>
  <c r="AD231" i="21" s="1"/>
  <c r="AA231" i="21"/>
  <c r="AB231" i="21" s="1"/>
  <c r="W231" i="21"/>
  <c r="U231" i="21"/>
  <c r="V231" i="21" s="1"/>
  <c r="S231" i="21"/>
  <c r="Q231" i="21"/>
  <c r="R231" i="21" s="1"/>
  <c r="P231" i="21"/>
  <c r="O231" i="21"/>
  <c r="N231" i="21"/>
  <c r="M231" i="21"/>
  <c r="L231" i="21"/>
  <c r="K231" i="21"/>
  <c r="J231" i="21"/>
  <c r="I231" i="21"/>
  <c r="H231" i="21"/>
  <c r="G231" i="21"/>
  <c r="F231" i="21"/>
  <c r="E231" i="21"/>
  <c r="D231" i="21"/>
  <c r="C231" i="21"/>
  <c r="B231" i="21"/>
  <c r="A231" i="21"/>
  <c r="BG230" i="21"/>
  <c r="BH230" i="21" s="1"/>
  <c r="BE230" i="21"/>
  <c r="AW230" i="21"/>
  <c r="AX230" i="21" s="1"/>
  <c r="AU230" i="21"/>
  <c r="AS230" i="21"/>
  <c r="AT230" i="21" s="1"/>
  <c r="AQ230" i="21"/>
  <c r="AR230" i="21" s="1"/>
  <c r="AO230" i="21"/>
  <c r="AM230" i="21"/>
  <c r="AN230" i="21" s="1"/>
  <c r="AK230" i="21"/>
  <c r="AL230" i="21" s="1"/>
  <c r="AG230" i="21"/>
  <c r="AH230" i="21" s="1"/>
  <c r="AE230" i="21"/>
  <c r="AF230" i="21" s="1"/>
  <c r="AC230" i="21"/>
  <c r="AA230" i="21"/>
  <c r="AB230" i="21" s="1"/>
  <c r="W230" i="21"/>
  <c r="X230" i="21" s="1"/>
  <c r="U230" i="21"/>
  <c r="V230" i="21" s="1"/>
  <c r="S230" i="21"/>
  <c r="T230" i="21" s="1"/>
  <c r="Q230" i="21"/>
  <c r="R230" i="21" s="1"/>
  <c r="P230" i="21"/>
  <c r="O230" i="21"/>
  <c r="N230" i="21"/>
  <c r="M230" i="21"/>
  <c r="L230" i="21"/>
  <c r="K230" i="21"/>
  <c r="J230" i="21"/>
  <c r="I230" i="21"/>
  <c r="H230" i="21"/>
  <c r="G230" i="21"/>
  <c r="F230" i="21"/>
  <c r="E230" i="21"/>
  <c r="D230" i="21"/>
  <c r="C230" i="21"/>
  <c r="B230" i="21"/>
  <c r="A230" i="21"/>
  <c r="BG229" i="21"/>
  <c r="BH229" i="21" s="1"/>
  <c r="BE229" i="21"/>
  <c r="BF229" i="21" s="1"/>
  <c r="AW229" i="21"/>
  <c r="AX229" i="21" s="1"/>
  <c r="AU229" i="21"/>
  <c r="AV229" i="21" s="1"/>
  <c r="AS229" i="21"/>
  <c r="AQ229" i="21"/>
  <c r="AR229" i="21" s="1"/>
  <c r="AO229" i="21"/>
  <c r="AM229" i="21"/>
  <c r="AK229" i="21"/>
  <c r="AL229" i="21" s="1"/>
  <c r="AG229" i="21"/>
  <c r="AE229" i="21"/>
  <c r="AF229" i="21" s="1"/>
  <c r="AC229" i="21"/>
  <c r="AA229" i="21"/>
  <c r="AB229" i="21" s="1"/>
  <c r="W229" i="21"/>
  <c r="X229" i="21" s="1"/>
  <c r="U229" i="21"/>
  <c r="S229" i="21"/>
  <c r="T229" i="21" s="1"/>
  <c r="Z229" i="21" s="1"/>
  <c r="Q229" i="21"/>
  <c r="R229" i="21" s="1"/>
  <c r="P229" i="21"/>
  <c r="O229" i="21"/>
  <c r="N229" i="21"/>
  <c r="M229" i="21"/>
  <c r="L229" i="21"/>
  <c r="K229" i="21"/>
  <c r="J229" i="21"/>
  <c r="I229" i="21"/>
  <c r="H229" i="21"/>
  <c r="G229" i="21"/>
  <c r="F229" i="21"/>
  <c r="E229" i="21"/>
  <c r="D229" i="21"/>
  <c r="C229" i="21"/>
  <c r="B229" i="21"/>
  <c r="A229" i="21"/>
  <c r="BG228" i="21"/>
  <c r="BE228" i="21"/>
  <c r="BF228" i="21" s="1"/>
  <c r="AW228" i="21"/>
  <c r="AU228" i="21"/>
  <c r="AV228" i="21" s="1"/>
  <c r="AS228" i="21"/>
  <c r="AQ228" i="21"/>
  <c r="AR228" i="21" s="1"/>
  <c r="AO228" i="21"/>
  <c r="AP228" i="21" s="1"/>
  <c r="AM228" i="21"/>
  <c r="AK228" i="21"/>
  <c r="AL228" i="21" s="1"/>
  <c r="AG228" i="21"/>
  <c r="AH228" i="21" s="1"/>
  <c r="AE228" i="21"/>
  <c r="AF228" i="21" s="1"/>
  <c r="AC228" i="21"/>
  <c r="AD228" i="21" s="1"/>
  <c r="AA228" i="21"/>
  <c r="AB228" i="21" s="1"/>
  <c r="W228" i="21"/>
  <c r="X228" i="21" s="1"/>
  <c r="U228" i="21"/>
  <c r="V228" i="21" s="1"/>
  <c r="S228" i="21"/>
  <c r="T228" i="21" s="1"/>
  <c r="Q228" i="21"/>
  <c r="P228" i="21"/>
  <c r="O228" i="21"/>
  <c r="N228" i="21"/>
  <c r="M228" i="21"/>
  <c r="L228" i="21"/>
  <c r="K228" i="21"/>
  <c r="J228" i="21"/>
  <c r="I228" i="21"/>
  <c r="H228" i="21"/>
  <c r="G228" i="21"/>
  <c r="F228" i="21"/>
  <c r="E228" i="21"/>
  <c r="D228" i="21"/>
  <c r="C228" i="21"/>
  <c r="B228" i="21"/>
  <c r="A228" i="21"/>
  <c r="BG227" i="21"/>
  <c r="BE227" i="21"/>
  <c r="BF227" i="21" s="1"/>
  <c r="AW227" i="21"/>
  <c r="AX227" i="21" s="1"/>
  <c r="AU227" i="21"/>
  <c r="AV227" i="21" s="1"/>
  <c r="AS227" i="21"/>
  <c r="AQ227" i="21"/>
  <c r="AR227" i="21" s="1"/>
  <c r="AO227" i="21"/>
  <c r="AM227" i="21"/>
  <c r="AK227" i="21"/>
  <c r="AL227" i="21" s="1"/>
  <c r="AG227" i="21"/>
  <c r="AE227" i="21"/>
  <c r="AF227" i="21" s="1"/>
  <c r="AC227" i="21"/>
  <c r="AD227" i="21" s="1"/>
  <c r="AA227" i="21"/>
  <c r="AB227" i="21" s="1"/>
  <c r="W227" i="21"/>
  <c r="X227" i="21" s="1"/>
  <c r="U227" i="21"/>
  <c r="S227" i="21"/>
  <c r="Q227" i="21"/>
  <c r="R227" i="21" s="1"/>
  <c r="P227" i="21"/>
  <c r="O227" i="21"/>
  <c r="N227" i="21"/>
  <c r="M227" i="21"/>
  <c r="L227" i="21"/>
  <c r="K227" i="21"/>
  <c r="J227" i="21"/>
  <c r="I227" i="21"/>
  <c r="H227" i="21"/>
  <c r="G227" i="21"/>
  <c r="F227" i="21"/>
  <c r="E227" i="21"/>
  <c r="D227" i="21"/>
  <c r="C227" i="21"/>
  <c r="B227" i="21"/>
  <c r="A227" i="21"/>
  <c r="BG226" i="21"/>
  <c r="BE226" i="21"/>
  <c r="BF226" i="21" s="1"/>
  <c r="AW226" i="21"/>
  <c r="AX226" i="21" s="1"/>
  <c r="AU226" i="21"/>
  <c r="AV226" i="21" s="1"/>
  <c r="AS226" i="21"/>
  <c r="AQ226" i="21"/>
  <c r="AO226" i="21"/>
  <c r="AP226" i="21" s="1"/>
  <c r="AM226" i="21"/>
  <c r="AK226" i="21"/>
  <c r="AL226" i="21" s="1"/>
  <c r="AG226" i="21"/>
  <c r="AH226" i="21" s="1"/>
  <c r="AE226" i="21"/>
  <c r="AF226" i="21" s="1"/>
  <c r="AC226" i="21"/>
  <c r="AD226" i="21" s="1"/>
  <c r="AA226" i="21"/>
  <c r="W226" i="21"/>
  <c r="U226" i="21"/>
  <c r="V226" i="21" s="1"/>
  <c r="S226" i="21"/>
  <c r="Q226" i="21"/>
  <c r="R226" i="21" s="1"/>
  <c r="P226" i="21"/>
  <c r="O226" i="21"/>
  <c r="N226" i="21"/>
  <c r="M226" i="21"/>
  <c r="L226" i="21"/>
  <c r="K226" i="21"/>
  <c r="J226" i="21"/>
  <c r="I226" i="21"/>
  <c r="H226" i="21"/>
  <c r="G226" i="21"/>
  <c r="F226" i="21"/>
  <c r="E226" i="21"/>
  <c r="D226" i="21"/>
  <c r="C226" i="21"/>
  <c r="B226" i="21"/>
  <c r="A226" i="21"/>
  <c r="BG225" i="21"/>
  <c r="BH225" i="21" s="1"/>
  <c r="BE225" i="21"/>
  <c r="BF225" i="21" s="1"/>
  <c r="AW225" i="21"/>
  <c r="AX225" i="21" s="1"/>
  <c r="AU225" i="21"/>
  <c r="AV225" i="21" s="1"/>
  <c r="AS225" i="21"/>
  <c r="AT225" i="21" s="1"/>
  <c r="AQ225" i="21"/>
  <c r="AO225" i="21"/>
  <c r="AP225" i="21" s="1"/>
  <c r="AM225" i="21"/>
  <c r="AN225" i="21" s="1"/>
  <c r="AK225" i="21"/>
  <c r="AL225" i="21" s="1"/>
  <c r="AG225" i="21"/>
  <c r="AH225" i="21" s="1"/>
  <c r="AE225" i="21"/>
  <c r="AC225" i="21"/>
  <c r="AD225" i="21" s="1"/>
  <c r="AJ225" i="21" s="1"/>
  <c r="AA225" i="21"/>
  <c r="AB225" i="21" s="1"/>
  <c r="W225" i="21"/>
  <c r="U225" i="21"/>
  <c r="V225" i="21" s="1"/>
  <c r="S225" i="21"/>
  <c r="T225" i="21" s="1"/>
  <c r="Q225" i="21"/>
  <c r="R225" i="21" s="1"/>
  <c r="P225" i="21"/>
  <c r="O225" i="21"/>
  <c r="N225" i="21"/>
  <c r="M225" i="21"/>
  <c r="L225" i="21"/>
  <c r="K225" i="21"/>
  <c r="J225" i="21"/>
  <c r="I225" i="21"/>
  <c r="H225" i="21"/>
  <c r="G225" i="21"/>
  <c r="F225" i="21"/>
  <c r="E225" i="21"/>
  <c r="D225" i="21"/>
  <c r="C225" i="21"/>
  <c r="B225" i="21"/>
  <c r="A225" i="21"/>
  <c r="BG224" i="21"/>
  <c r="BH224" i="21" s="1"/>
  <c r="BE224" i="21"/>
  <c r="AW224" i="21"/>
  <c r="AX224" i="21" s="1"/>
  <c r="AU224" i="21"/>
  <c r="AS224" i="21"/>
  <c r="AT224" i="21" s="1"/>
  <c r="AQ224" i="21"/>
  <c r="AR224" i="21" s="1"/>
  <c r="AO224" i="21"/>
  <c r="AP224" i="21" s="1"/>
  <c r="AM224" i="21"/>
  <c r="AN224" i="21" s="1"/>
  <c r="AK224" i="21"/>
  <c r="AG224" i="21"/>
  <c r="AH224" i="21" s="1"/>
  <c r="AE224" i="21"/>
  <c r="AF224" i="21" s="1"/>
  <c r="AC224" i="21"/>
  <c r="AA224" i="21"/>
  <c r="AB224" i="21" s="1"/>
  <c r="W224" i="21"/>
  <c r="X224" i="21" s="1"/>
  <c r="U224" i="21"/>
  <c r="V224" i="21" s="1"/>
  <c r="S224" i="21"/>
  <c r="T224" i="21" s="1"/>
  <c r="Q224" i="21"/>
  <c r="R224" i="21" s="1"/>
  <c r="P224" i="21"/>
  <c r="O224" i="21"/>
  <c r="N224" i="21"/>
  <c r="M224" i="21"/>
  <c r="L224" i="21"/>
  <c r="K224" i="21"/>
  <c r="J224" i="21"/>
  <c r="I224" i="21"/>
  <c r="H224" i="21"/>
  <c r="G224" i="21"/>
  <c r="F224" i="21"/>
  <c r="E224" i="21"/>
  <c r="D224" i="21"/>
  <c r="C224" i="21"/>
  <c r="B224" i="21"/>
  <c r="A224" i="21"/>
  <c r="BG223" i="21"/>
  <c r="BH223" i="21" s="1"/>
  <c r="BE223" i="21"/>
  <c r="BF223" i="21" s="1"/>
  <c r="AW223" i="21"/>
  <c r="AX223" i="21" s="1"/>
  <c r="AU223" i="21"/>
  <c r="AV223" i="21" s="1"/>
  <c r="AS223" i="21"/>
  <c r="AT223" i="21" s="1"/>
  <c r="AQ223" i="21"/>
  <c r="AR223" i="21" s="1"/>
  <c r="AO223" i="21"/>
  <c r="AP223" i="21" s="1"/>
  <c r="AM223" i="21"/>
  <c r="AN223" i="21" s="1"/>
  <c r="AK223" i="21"/>
  <c r="AL223" i="21" s="1"/>
  <c r="AG223" i="21"/>
  <c r="AE223" i="21"/>
  <c r="AF223" i="21" s="1"/>
  <c r="AC223" i="21"/>
  <c r="AD223" i="21" s="1"/>
  <c r="AA223" i="21"/>
  <c r="AB223" i="21" s="1"/>
  <c r="W223" i="21"/>
  <c r="X223" i="21" s="1"/>
  <c r="U223" i="21"/>
  <c r="V223" i="21" s="1"/>
  <c r="S223" i="21"/>
  <c r="T223" i="21" s="1"/>
  <c r="Q223" i="21"/>
  <c r="R223" i="21" s="1"/>
  <c r="P223" i="21"/>
  <c r="O223" i="21"/>
  <c r="N223" i="21"/>
  <c r="M223" i="21"/>
  <c r="L223" i="21"/>
  <c r="K223" i="21"/>
  <c r="J223" i="21"/>
  <c r="I223" i="21"/>
  <c r="H223" i="21"/>
  <c r="G223" i="21"/>
  <c r="F223" i="21"/>
  <c r="E223" i="21"/>
  <c r="D223" i="21"/>
  <c r="C223" i="21"/>
  <c r="B223" i="21"/>
  <c r="A223" i="21"/>
  <c r="BG222" i="21"/>
  <c r="BE222" i="21"/>
  <c r="BF222" i="21" s="1"/>
  <c r="AW222" i="21"/>
  <c r="AX222" i="21" s="1"/>
  <c r="AU222" i="21"/>
  <c r="AV222" i="21" s="1"/>
  <c r="AS222" i="21"/>
  <c r="AT222" i="21" s="1"/>
  <c r="AQ222" i="21"/>
  <c r="AR222" i="21" s="1"/>
  <c r="AO222" i="21"/>
  <c r="AP222" i="21" s="1"/>
  <c r="AM222" i="21"/>
  <c r="AK222" i="21"/>
  <c r="AL222" i="21" s="1"/>
  <c r="AG222" i="21"/>
  <c r="AH222" i="21" s="1"/>
  <c r="AE222" i="21"/>
  <c r="AF222" i="21" s="1"/>
  <c r="AC222" i="21"/>
  <c r="AD222" i="21" s="1"/>
  <c r="AA222" i="21"/>
  <c r="AB222" i="21" s="1"/>
  <c r="W222" i="21"/>
  <c r="X222" i="21" s="1"/>
  <c r="U222" i="21"/>
  <c r="V222" i="21" s="1"/>
  <c r="S222" i="21"/>
  <c r="T222" i="21" s="1"/>
  <c r="Q222" i="21"/>
  <c r="R222" i="21" s="1"/>
  <c r="P222" i="21"/>
  <c r="O222" i="21"/>
  <c r="N222" i="21"/>
  <c r="M222" i="21"/>
  <c r="L222" i="21"/>
  <c r="K222" i="21"/>
  <c r="J222" i="21"/>
  <c r="I222" i="21"/>
  <c r="H222" i="21"/>
  <c r="G222" i="21"/>
  <c r="F222" i="21"/>
  <c r="E222" i="21"/>
  <c r="D222" i="21"/>
  <c r="C222" i="21"/>
  <c r="B222" i="21"/>
  <c r="A222" i="21"/>
  <c r="BG221" i="21"/>
  <c r="BH221" i="21" s="1"/>
  <c r="BE221" i="21"/>
  <c r="BF221" i="21" s="1"/>
  <c r="AW221" i="21"/>
  <c r="AX221" i="21" s="1"/>
  <c r="AU221" i="21"/>
  <c r="AV221" i="21" s="1"/>
  <c r="AS221" i="21"/>
  <c r="AT221" i="21" s="1"/>
  <c r="AQ221" i="21"/>
  <c r="AO221" i="21"/>
  <c r="AP221" i="21" s="1"/>
  <c r="AM221" i="21"/>
  <c r="AN221" i="21" s="1"/>
  <c r="AK221" i="21"/>
  <c r="AL221" i="21" s="1"/>
  <c r="AG221" i="21"/>
  <c r="AH221" i="21" s="1"/>
  <c r="AE221" i="21"/>
  <c r="AF221" i="21" s="1"/>
  <c r="AC221" i="21"/>
  <c r="AD221" i="21" s="1"/>
  <c r="AA221" i="21"/>
  <c r="AB221" i="21" s="1"/>
  <c r="W221" i="21"/>
  <c r="U221" i="21"/>
  <c r="V221" i="21" s="1"/>
  <c r="S221" i="21"/>
  <c r="Q221" i="21"/>
  <c r="R221" i="21" s="1"/>
  <c r="P221" i="21"/>
  <c r="O221" i="21"/>
  <c r="N221" i="21"/>
  <c r="M221" i="21"/>
  <c r="L221" i="21"/>
  <c r="K221" i="21"/>
  <c r="J221" i="21"/>
  <c r="I221" i="21"/>
  <c r="H221" i="21"/>
  <c r="G221" i="21"/>
  <c r="F221" i="21"/>
  <c r="E221" i="21"/>
  <c r="D221" i="21"/>
  <c r="C221" i="21"/>
  <c r="B221" i="21"/>
  <c r="A221" i="21"/>
  <c r="BG220" i="21"/>
  <c r="BH220" i="21" s="1"/>
  <c r="BE220" i="21"/>
  <c r="BF220" i="21" s="1"/>
  <c r="AW220" i="21"/>
  <c r="AX220" i="21" s="1"/>
  <c r="AU220" i="21"/>
  <c r="AS220" i="21"/>
  <c r="AT220" i="21" s="1"/>
  <c r="AQ220" i="21"/>
  <c r="AO220" i="21"/>
  <c r="AP220" i="21" s="1"/>
  <c r="AM220" i="21"/>
  <c r="AN220" i="21" s="1"/>
  <c r="AK220" i="21"/>
  <c r="AL220" i="21" s="1"/>
  <c r="AG220" i="21"/>
  <c r="AH220" i="21" s="1"/>
  <c r="AE220" i="21"/>
  <c r="AF220" i="21" s="1"/>
  <c r="AC220" i="21"/>
  <c r="AA220" i="21"/>
  <c r="AB220" i="21" s="1"/>
  <c r="W220" i="21"/>
  <c r="X220" i="21" s="1"/>
  <c r="U220" i="21"/>
  <c r="V220" i="21" s="1"/>
  <c r="S220" i="21"/>
  <c r="T220" i="21" s="1"/>
  <c r="Q220" i="21"/>
  <c r="P220" i="21"/>
  <c r="O220" i="21"/>
  <c r="N220" i="21"/>
  <c r="M220" i="21"/>
  <c r="L220" i="21"/>
  <c r="K220" i="21"/>
  <c r="J220" i="21"/>
  <c r="I220" i="21"/>
  <c r="H220" i="21"/>
  <c r="G220" i="21"/>
  <c r="F220" i="21"/>
  <c r="E220" i="21"/>
  <c r="D220" i="21"/>
  <c r="C220" i="21"/>
  <c r="B220" i="21"/>
  <c r="A220" i="21"/>
  <c r="BG219" i="21"/>
  <c r="BH219" i="21" s="1"/>
  <c r="BE219" i="21"/>
  <c r="BF219" i="21" s="1"/>
  <c r="AW219" i="21"/>
  <c r="AX219" i="21" s="1"/>
  <c r="AU219" i="21"/>
  <c r="AV219" i="21" s="1"/>
  <c r="AS219" i="21"/>
  <c r="AT219" i="21" s="1"/>
  <c r="AQ219" i="21"/>
  <c r="AR219" i="21" s="1"/>
  <c r="AO219" i="21"/>
  <c r="AM219" i="21"/>
  <c r="AN219" i="21" s="1"/>
  <c r="AK219" i="21"/>
  <c r="AL219" i="21" s="1"/>
  <c r="AG219" i="21"/>
  <c r="AE219" i="21"/>
  <c r="AF219" i="21" s="1"/>
  <c r="AC219" i="21"/>
  <c r="AA219" i="21"/>
  <c r="AB219" i="21" s="1"/>
  <c r="W219" i="21"/>
  <c r="X219" i="21" s="1"/>
  <c r="U219" i="21"/>
  <c r="S219" i="21"/>
  <c r="T219" i="21" s="1"/>
  <c r="Q219" i="21"/>
  <c r="R219" i="21" s="1"/>
  <c r="P219" i="21"/>
  <c r="O219" i="21"/>
  <c r="N219" i="21"/>
  <c r="M219" i="21"/>
  <c r="L219" i="21"/>
  <c r="K219" i="21"/>
  <c r="J219" i="21"/>
  <c r="I219" i="21"/>
  <c r="H219" i="21"/>
  <c r="G219" i="21"/>
  <c r="F219" i="21"/>
  <c r="E219" i="21"/>
  <c r="D219" i="21"/>
  <c r="C219" i="21"/>
  <c r="B219" i="21"/>
  <c r="A219" i="21"/>
  <c r="BG218" i="21"/>
  <c r="BE218" i="21"/>
  <c r="BF218" i="21" s="1"/>
  <c r="AW218" i="21"/>
  <c r="AX218" i="21" s="1"/>
  <c r="AU218" i="21"/>
  <c r="AV218" i="21" s="1"/>
  <c r="AS218" i="21"/>
  <c r="AT218" i="21" s="1"/>
  <c r="AQ218" i="21"/>
  <c r="AR218" i="21" s="1"/>
  <c r="AO218" i="21"/>
  <c r="AP218" i="21" s="1"/>
  <c r="AM218" i="21"/>
  <c r="AK218" i="21"/>
  <c r="AL218" i="21" s="1"/>
  <c r="AG218" i="21"/>
  <c r="AH218" i="21" s="1"/>
  <c r="AE218" i="21"/>
  <c r="AF218" i="21" s="1"/>
  <c r="AC218" i="21"/>
  <c r="AD218" i="21" s="1"/>
  <c r="AA218" i="21"/>
  <c r="AB218" i="21" s="1"/>
  <c r="W218" i="21"/>
  <c r="X218" i="21" s="1"/>
  <c r="U218" i="21"/>
  <c r="V218" i="21" s="1"/>
  <c r="S218" i="21"/>
  <c r="Q218" i="21"/>
  <c r="R218" i="21" s="1"/>
  <c r="P218" i="21"/>
  <c r="O218" i="21"/>
  <c r="N218" i="21"/>
  <c r="M218" i="21"/>
  <c r="L218" i="21"/>
  <c r="K218" i="21"/>
  <c r="J218" i="21"/>
  <c r="I218" i="21"/>
  <c r="H218" i="21"/>
  <c r="G218" i="21"/>
  <c r="F218" i="21"/>
  <c r="E218" i="21"/>
  <c r="D218" i="21"/>
  <c r="C218" i="21"/>
  <c r="B218" i="21"/>
  <c r="A218" i="21"/>
  <c r="BG217" i="21"/>
  <c r="BH217" i="21" s="1"/>
  <c r="BE217" i="21"/>
  <c r="BF217" i="21" s="1"/>
  <c r="AW217" i="21"/>
  <c r="AX217" i="21" s="1"/>
  <c r="AU217" i="21"/>
  <c r="AV217" i="21" s="1"/>
  <c r="AS217" i="21"/>
  <c r="AT217" i="21" s="1"/>
  <c r="AQ217" i="21"/>
  <c r="AO217" i="21"/>
  <c r="AP217" i="21" s="1"/>
  <c r="AM217" i="21"/>
  <c r="AK217" i="21"/>
  <c r="AL217" i="21" s="1"/>
  <c r="AG217" i="21"/>
  <c r="AH217" i="21" s="1"/>
  <c r="AE217" i="21"/>
  <c r="AF217" i="21" s="1"/>
  <c r="AC217" i="21"/>
  <c r="AD217" i="21" s="1"/>
  <c r="AA217" i="21"/>
  <c r="AB217" i="21" s="1"/>
  <c r="W217" i="21"/>
  <c r="U217" i="21"/>
  <c r="V217" i="21" s="1"/>
  <c r="S217" i="21"/>
  <c r="Q217" i="21"/>
  <c r="R217" i="21" s="1"/>
  <c r="P217" i="21"/>
  <c r="O217" i="21"/>
  <c r="N217" i="21"/>
  <c r="M217" i="21"/>
  <c r="L217" i="21"/>
  <c r="K217" i="21"/>
  <c r="J217" i="21"/>
  <c r="I217" i="21"/>
  <c r="H217" i="21"/>
  <c r="G217" i="21"/>
  <c r="F217" i="21"/>
  <c r="E217" i="21"/>
  <c r="D217" i="21"/>
  <c r="C217" i="21"/>
  <c r="B217" i="21"/>
  <c r="A217" i="21"/>
  <c r="BG216" i="21"/>
  <c r="BH216" i="21" s="1"/>
  <c r="BE216" i="21"/>
  <c r="BF216" i="21" s="1"/>
  <c r="AW216" i="21"/>
  <c r="AX216" i="21" s="1"/>
  <c r="AU216" i="21"/>
  <c r="AS216" i="21"/>
  <c r="AT216" i="21" s="1"/>
  <c r="AQ216" i="21"/>
  <c r="AR216" i="21" s="1"/>
  <c r="AO216" i="21"/>
  <c r="AP216" i="21" s="1"/>
  <c r="AM216" i="21"/>
  <c r="AN216" i="21" s="1"/>
  <c r="AK216" i="21"/>
  <c r="AG216" i="21"/>
  <c r="AH216" i="21" s="1"/>
  <c r="AE216" i="21"/>
  <c r="AF216" i="21" s="1"/>
  <c r="AC216" i="21"/>
  <c r="AA216" i="21"/>
  <c r="AB216" i="21" s="1"/>
  <c r="W216" i="21"/>
  <c r="X216" i="21" s="1"/>
  <c r="U216" i="21"/>
  <c r="V216" i="21" s="1"/>
  <c r="S216" i="21"/>
  <c r="T216" i="21" s="1"/>
  <c r="Q216" i="21"/>
  <c r="P216" i="21"/>
  <c r="O216" i="21"/>
  <c r="N216" i="21"/>
  <c r="M216" i="21"/>
  <c r="L216" i="21"/>
  <c r="K216" i="21"/>
  <c r="J216" i="21"/>
  <c r="I216" i="21"/>
  <c r="H216" i="21"/>
  <c r="G216" i="21"/>
  <c r="F216" i="21"/>
  <c r="E216" i="21"/>
  <c r="D216" i="21"/>
  <c r="C216" i="21"/>
  <c r="B216" i="21"/>
  <c r="A216" i="21"/>
  <c r="BG215" i="21"/>
  <c r="BH215" i="21" s="1"/>
  <c r="BE215" i="21"/>
  <c r="BF215" i="21" s="1"/>
  <c r="AW215" i="21"/>
  <c r="AX215" i="21" s="1"/>
  <c r="AU215" i="21"/>
  <c r="AS215" i="21"/>
  <c r="AT215" i="21" s="1"/>
  <c r="AQ215" i="21"/>
  <c r="AR215" i="21" s="1"/>
  <c r="AO215" i="21"/>
  <c r="AM215" i="21"/>
  <c r="AN215" i="21" s="1"/>
  <c r="AK215" i="21"/>
  <c r="AL215" i="21" s="1"/>
  <c r="AG215" i="21"/>
  <c r="AE215" i="21"/>
  <c r="AF215" i="21" s="1"/>
  <c r="AC215" i="21"/>
  <c r="AD215" i="21" s="1"/>
  <c r="AA215" i="21"/>
  <c r="AB215" i="21" s="1"/>
  <c r="W215" i="21"/>
  <c r="X215" i="21" s="1"/>
  <c r="U215" i="21"/>
  <c r="V215" i="21" s="1"/>
  <c r="S215" i="21"/>
  <c r="T215" i="21" s="1"/>
  <c r="Q215" i="21"/>
  <c r="R215" i="21" s="1"/>
  <c r="P215" i="21"/>
  <c r="O215" i="21"/>
  <c r="N215" i="21"/>
  <c r="M215" i="21"/>
  <c r="L215" i="21"/>
  <c r="K215" i="21"/>
  <c r="J215" i="21"/>
  <c r="I215" i="21"/>
  <c r="H215" i="21"/>
  <c r="G215" i="21"/>
  <c r="F215" i="21"/>
  <c r="E215" i="21"/>
  <c r="D215" i="21"/>
  <c r="C215" i="21"/>
  <c r="B215" i="21"/>
  <c r="A215" i="21"/>
  <c r="BG214" i="21"/>
  <c r="BE214" i="21"/>
  <c r="BF214" i="21" s="1"/>
  <c r="AW214" i="21"/>
  <c r="AX214" i="21" s="1"/>
  <c r="AU214" i="21"/>
  <c r="AV214" i="21" s="1"/>
  <c r="AS214" i="21"/>
  <c r="AT214" i="21" s="1"/>
  <c r="AQ214" i="21"/>
  <c r="AR214" i="21" s="1"/>
  <c r="AO214" i="21"/>
  <c r="AP214" i="21" s="1"/>
  <c r="AM214" i="21"/>
  <c r="AK214" i="21"/>
  <c r="AL214" i="21" s="1"/>
  <c r="AG214" i="21"/>
  <c r="AH214" i="21" s="1"/>
  <c r="AE214" i="21"/>
  <c r="AF214" i="21" s="1"/>
  <c r="AC214" i="21"/>
  <c r="AD214" i="21" s="1"/>
  <c r="AA214" i="21"/>
  <c r="AB214" i="21" s="1"/>
  <c r="W214" i="21"/>
  <c r="X214" i="21" s="1"/>
  <c r="U214" i="21"/>
  <c r="V214" i="21" s="1"/>
  <c r="S214" i="21"/>
  <c r="Q214" i="21"/>
  <c r="R214" i="21" s="1"/>
  <c r="P214" i="21"/>
  <c r="O214" i="21"/>
  <c r="N214" i="21"/>
  <c r="M214" i="21"/>
  <c r="L214" i="21"/>
  <c r="K214" i="21"/>
  <c r="J214" i="21"/>
  <c r="I214" i="21"/>
  <c r="H214" i="21"/>
  <c r="G214" i="21"/>
  <c r="F214" i="21"/>
  <c r="E214" i="21"/>
  <c r="D214" i="21"/>
  <c r="C214" i="21"/>
  <c r="B214" i="21"/>
  <c r="A214" i="21"/>
  <c r="BG213" i="21"/>
  <c r="BE213" i="21"/>
  <c r="BF213" i="21" s="1"/>
  <c r="AW213" i="21"/>
  <c r="AX213" i="21" s="1"/>
  <c r="AU213" i="21"/>
  <c r="AV213" i="21" s="1"/>
  <c r="AS213" i="21"/>
  <c r="AT213" i="21" s="1"/>
  <c r="AQ213" i="21"/>
  <c r="AO213" i="21"/>
  <c r="AP213" i="21" s="1"/>
  <c r="AM213" i="21"/>
  <c r="AK213" i="21"/>
  <c r="AL213" i="21" s="1"/>
  <c r="AG213" i="21"/>
  <c r="AH213" i="21" s="1"/>
  <c r="AE213" i="21"/>
  <c r="AF213" i="21" s="1"/>
  <c r="AC213" i="21"/>
  <c r="AD213" i="21" s="1"/>
  <c r="AA213" i="21"/>
  <c r="AB213" i="21" s="1"/>
  <c r="W213" i="21"/>
  <c r="U213" i="21"/>
  <c r="V213" i="21" s="1"/>
  <c r="S213" i="21"/>
  <c r="T213" i="21" s="1"/>
  <c r="Q213" i="21"/>
  <c r="R213" i="21" s="1"/>
  <c r="P213" i="21"/>
  <c r="O213" i="21"/>
  <c r="N213" i="21"/>
  <c r="M213" i="21"/>
  <c r="L213" i="21"/>
  <c r="K213" i="21"/>
  <c r="J213" i="21"/>
  <c r="I213" i="21"/>
  <c r="H213" i="21"/>
  <c r="G213" i="21"/>
  <c r="F213" i="21"/>
  <c r="E213" i="21"/>
  <c r="D213" i="21"/>
  <c r="C213" i="21"/>
  <c r="B213" i="21"/>
  <c r="A213" i="21"/>
  <c r="BG212" i="21"/>
  <c r="BH212" i="21" s="1"/>
  <c r="BE212" i="21"/>
  <c r="AW212" i="21"/>
  <c r="AX212" i="21" s="1"/>
  <c r="AU212" i="21"/>
  <c r="AS212" i="21"/>
  <c r="AT212" i="21" s="1"/>
  <c r="AQ212" i="21"/>
  <c r="AR212" i="21" s="1"/>
  <c r="AO212" i="21"/>
  <c r="AP212" i="21" s="1"/>
  <c r="AM212" i="21"/>
  <c r="AN212" i="21" s="1"/>
  <c r="AK212" i="21"/>
  <c r="AG212" i="21"/>
  <c r="AH212" i="21" s="1"/>
  <c r="AE212" i="21"/>
  <c r="AF212" i="21" s="1"/>
  <c r="AC212" i="21"/>
  <c r="AA212" i="21"/>
  <c r="AB212" i="21" s="1"/>
  <c r="W212" i="21"/>
  <c r="U212" i="21"/>
  <c r="V212" i="21" s="1"/>
  <c r="S212" i="21"/>
  <c r="T212" i="21" s="1"/>
  <c r="Q212" i="21"/>
  <c r="P212" i="21"/>
  <c r="O212" i="21"/>
  <c r="N212" i="21"/>
  <c r="M212" i="21"/>
  <c r="L212" i="21"/>
  <c r="K212" i="21"/>
  <c r="J212" i="21"/>
  <c r="I212" i="21"/>
  <c r="H212" i="21"/>
  <c r="G212" i="21"/>
  <c r="F212" i="21"/>
  <c r="E212" i="21"/>
  <c r="D212" i="21"/>
  <c r="C212" i="21"/>
  <c r="B212" i="21"/>
  <c r="A212" i="21"/>
  <c r="BG211" i="21"/>
  <c r="BH211" i="21" s="1"/>
  <c r="BE211" i="21"/>
  <c r="BF211" i="21" s="1"/>
  <c r="AW211" i="21"/>
  <c r="AX211" i="21" s="1"/>
  <c r="AU211" i="21"/>
  <c r="AV211" i="21" s="1"/>
  <c r="AS211" i="21"/>
  <c r="AT211" i="21" s="1"/>
  <c r="AQ211" i="21"/>
  <c r="AR211" i="21" s="1"/>
  <c r="AO211" i="21"/>
  <c r="AP211" i="21" s="1"/>
  <c r="AM211" i="21"/>
  <c r="AN211" i="21" s="1"/>
  <c r="AK211" i="21"/>
  <c r="AL211" i="21" s="1"/>
  <c r="AG211" i="21"/>
  <c r="AE211" i="21"/>
  <c r="AF211" i="21" s="1"/>
  <c r="AC211" i="21"/>
  <c r="AD211" i="21" s="1"/>
  <c r="AA211" i="21"/>
  <c r="AB211" i="21" s="1"/>
  <c r="W211" i="21"/>
  <c r="X211" i="21" s="1"/>
  <c r="U211" i="21"/>
  <c r="V211" i="21" s="1"/>
  <c r="S211" i="21"/>
  <c r="T211" i="21" s="1"/>
  <c r="Q211" i="21"/>
  <c r="R211" i="21" s="1"/>
  <c r="P211" i="21"/>
  <c r="O211" i="21"/>
  <c r="N211" i="21"/>
  <c r="M211" i="21"/>
  <c r="L211" i="21"/>
  <c r="K211" i="21"/>
  <c r="J211" i="21"/>
  <c r="I211" i="21"/>
  <c r="H211" i="21"/>
  <c r="G211" i="21"/>
  <c r="F211" i="21"/>
  <c r="E211" i="21"/>
  <c r="D211" i="21"/>
  <c r="C211" i="21"/>
  <c r="B211" i="21"/>
  <c r="A211" i="21"/>
  <c r="BG210" i="21"/>
  <c r="BE210" i="21"/>
  <c r="BF210" i="21" s="1"/>
  <c r="AW210" i="21"/>
  <c r="AX210" i="21" s="1"/>
  <c r="AU210" i="21"/>
  <c r="AV210" i="21" s="1"/>
  <c r="AS210" i="21"/>
  <c r="AT210" i="21" s="1"/>
  <c r="AQ210" i="21"/>
  <c r="AR210" i="21" s="1"/>
  <c r="AO210" i="21"/>
  <c r="AP210" i="21" s="1"/>
  <c r="AM210" i="21"/>
  <c r="AK210" i="21"/>
  <c r="AL210" i="21" s="1"/>
  <c r="AG210" i="21"/>
  <c r="AE210" i="21"/>
  <c r="AF210" i="21" s="1"/>
  <c r="AC210" i="21"/>
  <c r="AD210" i="21" s="1"/>
  <c r="AA210" i="21"/>
  <c r="AB210" i="21" s="1"/>
  <c r="W210" i="21"/>
  <c r="X210" i="21" s="1"/>
  <c r="U210" i="21"/>
  <c r="V210" i="21" s="1"/>
  <c r="S210" i="21"/>
  <c r="Q210" i="21"/>
  <c r="R210" i="21" s="1"/>
  <c r="P210" i="21"/>
  <c r="O210" i="21"/>
  <c r="N210" i="21"/>
  <c r="M210" i="21"/>
  <c r="L210" i="21"/>
  <c r="K210" i="21"/>
  <c r="J210" i="21"/>
  <c r="I210" i="21"/>
  <c r="H210" i="21"/>
  <c r="G210" i="21"/>
  <c r="F210" i="21"/>
  <c r="E210" i="21"/>
  <c r="D210" i="21"/>
  <c r="C210" i="21"/>
  <c r="B210" i="21"/>
  <c r="A210" i="21"/>
  <c r="BG209" i="21"/>
  <c r="BE209" i="21"/>
  <c r="BF209" i="21" s="1"/>
  <c r="AW209" i="21"/>
  <c r="AX209" i="21" s="1"/>
  <c r="AU209" i="21"/>
  <c r="AV209" i="21" s="1"/>
  <c r="AS209" i="21"/>
  <c r="AT209" i="21" s="1"/>
  <c r="AQ209" i="21"/>
  <c r="AO209" i="21"/>
  <c r="AP209" i="21" s="1"/>
  <c r="AM209" i="21"/>
  <c r="AN209" i="21" s="1"/>
  <c r="AK209" i="21"/>
  <c r="AL209" i="21" s="1"/>
  <c r="AG209" i="21"/>
  <c r="AH209" i="21" s="1"/>
  <c r="AE209" i="21"/>
  <c r="AC209" i="21"/>
  <c r="AD209" i="21" s="1"/>
  <c r="AJ209" i="21" s="1"/>
  <c r="AA209" i="21"/>
  <c r="AB209" i="21" s="1"/>
  <c r="W209" i="21"/>
  <c r="U209" i="21"/>
  <c r="V209" i="21" s="1"/>
  <c r="S209" i="21"/>
  <c r="T209" i="21" s="1"/>
  <c r="Q209" i="21"/>
  <c r="R209" i="21" s="1"/>
  <c r="P209" i="21"/>
  <c r="O209" i="21"/>
  <c r="N209" i="21"/>
  <c r="M209" i="21"/>
  <c r="L209" i="21"/>
  <c r="K209" i="21"/>
  <c r="J209" i="21"/>
  <c r="I209" i="21"/>
  <c r="H209" i="21"/>
  <c r="G209" i="21"/>
  <c r="F209" i="21"/>
  <c r="E209" i="21"/>
  <c r="D209" i="21"/>
  <c r="C209" i="21"/>
  <c r="B209" i="21"/>
  <c r="A209" i="21"/>
  <c r="BG208" i="21"/>
  <c r="BH208" i="21" s="1"/>
  <c r="BE208" i="21"/>
  <c r="AW208" i="21"/>
  <c r="AX208" i="21" s="1"/>
  <c r="AU208" i="21"/>
  <c r="AS208" i="21"/>
  <c r="AT208" i="21" s="1"/>
  <c r="AQ208" i="21"/>
  <c r="AR208" i="21" s="1"/>
  <c r="AO208" i="21"/>
  <c r="AP208" i="21" s="1"/>
  <c r="AM208" i="21"/>
  <c r="AN208" i="21" s="1"/>
  <c r="AK208" i="21"/>
  <c r="AG208" i="21"/>
  <c r="AH208" i="21" s="1"/>
  <c r="AE208" i="21"/>
  <c r="AF208" i="21" s="1"/>
  <c r="AC208" i="21"/>
  <c r="AA208" i="21"/>
  <c r="AB208" i="21" s="1"/>
  <c r="W208" i="21"/>
  <c r="X208" i="21" s="1"/>
  <c r="U208" i="21"/>
  <c r="V208" i="21" s="1"/>
  <c r="S208" i="21"/>
  <c r="T208" i="21" s="1"/>
  <c r="Q208" i="21"/>
  <c r="R208" i="21" s="1"/>
  <c r="P208" i="21"/>
  <c r="O208" i="21"/>
  <c r="N208" i="21"/>
  <c r="M208" i="21"/>
  <c r="L208" i="21"/>
  <c r="K208" i="21"/>
  <c r="J208" i="21"/>
  <c r="I208" i="21"/>
  <c r="H208" i="21"/>
  <c r="G208" i="21"/>
  <c r="F208" i="21"/>
  <c r="E208" i="21"/>
  <c r="D208" i="21"/>
  <c r="C208" i="21"/>
  <c r="B208" i="21"/>
  <c r="A208" i="21"/>
  <c r="BG207" i="21"/>
  <c r="BH207" i="21" s="1"/>
  <c r="BE207" i="21"/>
  <c r="BF207" i="21" s="1"/>
  <c r="AW207" i="21"/>
  <c r="AX207" i="21" s="1"/>
  <c r="AU207" i="21"/>
  <c r="AV207" i="21" s="1"/>
  <c r="AS207" i="21"/>
  <c r="AT207" i="21" s="1"/>
  <c r="AQ207" i="21"/>
  <c r="AR207" i="21" s="1"/>
  <c r="AO207" i="21"/>
  <c r="AP207" i="21" s="1"/>
  <c r="AM207" i="21"/>
  <c r="AN207" i="21" s="1"/>
  <c r="AK207" i="21"/>
  <c r="AL207" i="21" s="1"/>
  <c r="AG207" i="21"/>
  <c r="AE207" i="21"/>
  <c r="AF207" i="21" s="1"/>
  <c r="AC207" i="21"/>
  <c r="AD207" i="21" s="1"/>
  <c r="AA207" i="21"/>
  <c r="AB207" i="21" s="1"/>
  <c r="W207" i="21"/>
  <c r="X207" i="21" s="1"/>
  <c r="U207" i="21"/>
  <c r="V207" i="21" s="1"/>
  <c r="S207" i="21"/>
  <c r="T207" i="21" s="1"/>
  <c r="Q207" i="21"/>
  <c r="R207" i="21" s="1"/>
  <c r="P207" i="21"/>
  <c r="O207" i="21"/>
  <c r="N207" i="21"/>
  <c r="M207" i="21"/>
  <c r="L207" i="21"/>
  <c r="K207" i="21"/>
  <c r="J207" i="21"/>
  <c r="I207" i="21"/>
  <c r="H207" i="21"/>
  <c r="G207" i="21"/>
  <c r="F207" i="21"/>
  <c r="E207" i="21"/>
  <c r="D207" i="21"/>
  <c r="C207" i="21"/>
  <c r="B207" i="21"/>
  <c r="A207" i="21"/>
  <c r="BG206" i="21"/>
  <c r="BE206" i="21"/>
  <c r="BF206" i="21" s="1"/>
  <c r="AW206" i="21"/>
  <c r="AX206" i="21" s="1"/>
  <c r="AU206" i="21"/>
  <c r="AV206" i="21" s="1"/>
  <c r="AS206" i="21"/>
  <c r="AT206" i="21" s="1"/>
  <c r="AQ206" i="21"/>
  <c r="AR206" i="21" s="1"/>
  <c r="AO206" i="21"/>
  <c r="AP206" i="21" s="1"/>
  <c r="AM206" i="21"/>
  <c r="AK206" i="21"/>
  <c r="AL206" i="21" s="1"/>
  <c r="AG206" i="21"/>
  <c r="AE206" i="21"/>
  <c r="AF206" i="21" s="1"/>
  <c r="AC206" i="21"/>
  <c r="AD206" i="21" s="1"/>
  <c r="AA206" i="21"/>
  <c r="AB206" i="21" s="1"/>
  <c r="W206" i="21"/>
  <c r="X206" i="21" s="1"/>
  <c r="U206" i="21"/>
  <c r="V206" i="21" s="1"/>
  <c r="S206" i="21"/>
  <c r="T206" i="21" s="1"/>
  <c r="Q206" i="21"/>
  <c r="R206" i="21" s="1"/>
  <c r="P206" i="21"/>
  <c r="O206" i="21"/>
  <c r="N206" i="21"/>
  <c r="M206" i="21"/>
  <c r="L206" i="21"/>
  <c r="K206" i="21"/>
  <c r="J206" i="21"/>
  <c r="I206" i="21"/>
  <c r="H206" i="21"/>
  <c r="G206" i="21"/>
  <c r="F206" i="21"/>
  <c r="E206" i="21"/>
  <c r="D206" i="21"/>
  <c r="C206" i="21"/>
  <c r="B206" i="21"/>
  <c r="A206" i="21"/>
  <c r="BG205" i="21"/>
  <c r="BH205" i="21" s="1"/>
  <c r="BE205" i="21"/>
  <c r="BF205" i="21" s="1"/>
  <c r="AW205" i="21"/>
  <c r="AU205" i="21"/>
  <c r="AV205" i="21" s="1"/>
  <c r="AS205" i="21"/>
  <c r="AT205" i="21" s="1"/>
  <c r="AQ205" i="21"/>
  <c r="AO205" i="21"/>
  <c r="AP205" i="21" s="1"/>
  <c r="AM205" i="21"/>
  <c r="AN205" i="21" s="1"/>
  <c r="AK205" i="21"/>
  <c r="AL205" i="21" s="1"/>
  <c r="AG205" i="21"/>
  <c r="AH205" i="21" s="1"/>
  <c r="AE205" i="21"/>
  <c r="AF205" i="21" s="1"/>
  <c r="AC205" i="21"/>
  <c r="AD205" i="21" s="1"/>
  <c r="AA205" i="21"/>
  <c r="AB205" i="21" s="1"/>
  <c r="W205" i="21"/>
  <c r="U205" i="21"/>
  <c r="V205" i="21" s="1"/>
  <c r="S205" i="21"/>
  <c r="T205" i="21" s="1"/>
  <c r="Q205" i="21"/>
  <c r="R205" i="21" s="1"/>
  <c r="P205" i="21"/>
  <c r="O205" i="21"/>
  <c r="N205" i="21"/>
  <c r="M205" i="21"/>
  <c r="L205" i="21"/>
  <c r="K205" i="21"/>
  <c r="J205" i="21"/>
  <c r="I205" i="21"/>
  <c r="H205" i="21"/>
  <c r="G205" i="21"/>
  <c r="F205" i="21"/>
  <c r="E205" i="21"/>
  <c r="D205" i="21"/>
  <c r="C205" i="21"/>
  <c r="B205" i="21"/>
  <c r="A205" i="21"/>
  <c r="BG204" i="21"/>
  <c r="BH204" i="21" s="1"/>
  <c r="BE204" i="21"/>
  <c r="AW204" i="21"/>
  <c r="AX204" i="21" s="1"/>
  <c r="AU204" i="21"/>
  <c r="AS204" i="21"/>
  <c r="AT204" i="21" s="1"/>
  <c r="AQ204" i="21"/>
  <c r="AR204" i="21" s="1"/>
  <c r="AO204" i="21"/>
  <c r="AP204" i="21" s="1"/>
  <c r="AM204" i="21"/>
  <c r="AN204" i="21" s="1"/>
  <c r="AK204" i="21"/>
  <c r="AL204" i="21" s="1"/>
  <c r="AG204" i="21"/>
  <c r="AH204" i="21" s="1"/>
  <c r="AE204" i="21"/>
  <c r="AF204" i="21" s="1"/>
  <c r="AC204" i="21"/>
  <c r="AA204" i="21"/>
  <c r="AB204" i="21" s="1"/>
  <c r="W204" i="21"/>
  <c r="X204" i="21" s="1"/>
  <c r="U204" i="21"/>
  <c r="V204" i="21" s="1"/>
  <c r="S204" i="21"/>
  <c r="T204" i="21" s="1"/>
  <c r="Q204" i="21"/>
  <c r="R204" i="21" s="1"/>
  <c r="P204" i="21"/>
  <c r="O204" i="21"/>
  <c r="N204" i="21"/>
  <c r="M204" i="21"/>
  <c r="L204" i="21"/>
  <c r="K204" i="21"/>
  <c r="J204" i="21"/>
  <c r="I204" i="21"/>
  <c r="H204" i="21"/>
  <c r="G204" i="21"/>
  <c r="F204" i="21"/>
  <c r="E204" i="21"/>
  <c r="D204" i="21"/>
  <c r="C204" i="21"/>
  <c r="B204" i="21"/>
  <c r="A204" i="21"/>
  <c r="BG203" i="21"/>
  <c r="BH203" i="21" s="1"/>
  <c r="BE203" i="21"/>
  <c r="BF203" i="21" s="1"/>
  <c r="AW203" i="21"/>
  <c r="AX203" i="21" s="1"/>
  <c r="AU203" i="21"/>
  <c r="AV203" i="21" s="1"/>
  <c r="AS203" i="21"/>
  <c r="AT203" i="21" s="1"/>
  <c r="AQ203" i="21"/>
  <c r="AR203" i="21" s="1"/>
  <c r="AO203" i="21"/>
  <c r="AP203" i="21" s="1"/>
  <c r="AM203" i="21"/>
  <c r="AN203" i="21" s="1"/>
  <c r="BB203" i="21" s="1"/>
  <c r="AK203" i="21"/>
  <c r="AL203" i="21" s="1"/>
  <c r="AG203" i="21"/>
  <c r="AE203" i="21"/>
  <c r="AF203" i="21" s="1"/>
  <c r="AC203" i="21"/>
  <c r="AA203" i="21"/>
  <c r="AB203" i="21" s="1"/>
  <c r="W203" i="21"/>
  <c r="X203" i="21" s="1"/>
  <c r="U203" i="21"/>
  <c r="V203" i="21" s="1"/>
  <c r="S203" i="21"/>
  <c r="T203" i="21" s="1"/>
  <c r="Q203" i="21"/>
  <c r="R203" i="21" s="1"/>
  <c r="P203" i="21"/>
  <c r="O203" i="21"/>
  <c r="N203" i="21"/>
  <c r="M203" i="21"/>
  <c r="L203" i="21"/>
  <c r="K203" i="21"/>
  <c r="J203" i="21"/>
  <c r="I203" i="21"/>
  <c r="H203" i="21"/>
  <c r="G203" i="21"/>
  <c r="F203" i="21"/>
  <c r="E203" i="21"/>
  <c r="D203" i="21"/>
  <c r="C203" i="21"/>
  <c r="B203" i="21"/>
  <c r="A203" i="21"/>
  <c r="BG202" i="21"/>
  <c r="BE202" i="21"/>
  <c r="BF202" i="21" s="1"/>
  <c r="AW202" i="21"/>
  <c r="AX202" i="21" s="1"/>
  <c r="AU202" i="21"/>
  <c r="AV202" i="21" s="1"/>
  <c r="AS202" i="21"/>
  <c r="AT202" i="21" s="1"/>
  <c r="AQ202" i="21"/>
  <c r="AR202" i="21" s="1"/>
  <c r="AO202" i="21"/>
  <c r="AP202" i="21" s="1"/>
  <c r="AM202" i="21"/>
  <c r="AK202" i="21"/>
  <c r="AL202" i="21" s="1"/>
  <c r="AG202" i="21"/>
  <c r="AH202" i="21" s="1"/>
  <c r="AE202" i="21"/>
  <c r="AF202" i="21" s="1"/>
  <c r="AC202" i="21"/>
  <c r="AD202" i="21" s="1"/>
  <c r="AA202" i="21"/>
  <c r="W202" i="21"/>
  <c r="X202" i="21" s="1"/>
  <c r="U202" i="21"/>
  <c r="V202" i="21" s="1"/>
  <c r="S202" i="21"/>
  <c r="Q202" i="21"/>
  <c r="R202" i="21" s="1"/>
  <c r="P202" i="21"/>
  <c r="O202" i="21"/>
  <c r="N202" i="21"/>
  <c r="M202" i="21"/>
  <c r="L202" i="21"/>
  <c r="K202" i="21"/>
  <c r="J202" i="21"/>
  <c r="I202" i="21"/>
  <c r="H202" i="21"/>
  <c r="G202" i="21"/>
  <c r="F202" i="21"/>
  <c r="E202" i="21"/>
  <c r="D202" i="21"/>
  <c r="C202" i="21"/>
  <c r="B202" i="21"/>
  <c r="A202" i="21"/>
  <c r="BG201" i="21"/>
  <c r="BH201" i="21" s="1"/>
  <c r="BE201" i="21"/>
  <c r="BF201" i="21" s="1"/>
  <c r="AW201" i="21"/>
  <c r="AX201" i="21" s="1"/>
  <c r="AU201" i="21"/>
  <c r="AV201" i="21" s="1"/>
  <c r="AS201" i="21"/>
  <c r="AT201" i="21" s="1"/>
  <c r="AQ201" i="21"/>
  <c r="AO201" i="21"/>
  <c r="AP201" i="21" s="1"/>
  <c r="AM201" i="21"/>
  <c r="AN201" i="21" s="1"/>
  <c r="AK201" i="21"/>
  <c r="AL201" i="21" s="1"/>
  <c r="AG201" i="21"/>
  <c r="AH201" i="21" s="1"/>
  <c r="AE201" i="21"/>
  <c r="AC201" i="21"/>
  <c r="AD201" i="21" s="1"/>
  <c r="AA201" i="21"/>
  <c r="AB201" i="21" s="1"/>
  <c r="W201" i="21"/>
  <c r="U201" i="21"/>
  <c r="V201" i="21" s="1"/>
  <c r="S201" i="21"/>
  <c r="T201" i="21" s="1"/>
  <c r="Q201" i="21"/>
  <c r="R201" i="21" s="1"/>
  <c r="P201" i="21"/>
  <c r="O201" i="21"/>
  <c r="N201" i="21"/>
  <c r="M201" i="21"/>
  <c r="L201" i="21"/>
  <c r="K201" i="21"/>
  <c r="J201" i="21"/>
  <c r="I201" i="21"/>
  <c r="H201" i="21"/>
  <c r="G201" i="21"/>
  <c r="F201" i="21"/>
  <c r="E201" i="21"/>
  <c r="D201" i="21"/>
  <c r="C201" i="21"/>
  <c r="B201" i="21"/>
  <c r="A201" i="21"/>
  <c r="BG200" i="21"/>
  <c r="BH200" i="21" s="1"/>
  <c r="BE200" i="21"/>
  <c r="BF200" i="21" s="1"/>
  <c r="AW200" i="21"/>
  <c r="AX200" i="21" s="1"/>
  <c r="AU200" i="21"/>
  <c r="AS200" i="21"/>
  <c r="AT200" i="21" s="1"/>
  <c r="AQ200" i="21"/>
  <c r="AR200" i="21" s="1"/>
  <c r="AO200" i="21"/>
  <c r="AP200" i="21" s="1"/>
  <c r="AM200" i="21"/>
  <c r="AN200" i="21" s="1"/>
  <c r="AK200" i="21"/>
  <c r="AL200" i="21" s="1"/>
  <c r="AG200" i="21"/>
  <c r="AH200" i="21" s="1"/>
  <c r="AE200" i="21"/>
  <c r="AF200" i="21" s="1"/>
  <c r="AC200" i="21"/>
  <c r="AA200" i="21"/>
  <c r="AB200" i="21" s="1"/>
  <c r="W200" i="21"/>
  <c r="X200" i="21" s="1"/>
  <c r="U200" i="21"/>
  <c r="V200" i="21" s="1"/>
  <c r="S200" i="21"/>
  <c r="T200" i="21" s="1"/>
  <c r="Q200" i="21"/>
  <c r="R200" i="21" s="1"/>
  <c r="P200" i="21"/>
  <c r="O200" i="21"/>
  <c r="N200" i="21"/>
  <c r="M200" i="21"/>
  <c r="L200" i="21"/>
  <c r="K200" i="21"/>
  <c r="J200" i="21"/>
  <c r="I200" i="21"/>
  <c r="H200" i="21"/>
  <c r="G200" i="21"/>
  <c r="F200" i="21"/>
  <c r="E200" i="21"/>
  <c r="D200" i="21"/>
  <c r="C200" i="21"/>
  <c r="B200" i="21"/>
  <c r="A200" i="21"/>
  <c r="BG199" i="21"/>
  <c r="BH199" i="21" s="1"/>
  <c r="BE199" i="21"/>
  <c r="BF199" i="21" s="1"/>
  <c r="AW199" i="21"/>
  <c r="AX199" i="21" s="1"/>
  <c r="AU199" i="21"/>
  <c r="AS199" i="21"/>
  <c r="AT199" i="21" s="1"/>
  <c r="AQ199" i="21"/>
  <c r="AR199" i="21" s="1"/>
  <c r="AO199" i="21"/>
  <c r="AP199" i="21" s="1"/>
  <c r="AM199" i="21"/>
  <c r="AN199" i="21" s="1"/>
  <c r="AK199" i="21"/>
  <c r="AL199" i="21" s="1"/>
  <c r="AG199" i="21"/>
  <c r="AE199" i="21"/>
  <c r="AF199" i="21" s="1"/>
  <c r="AC199" i="21"/>
  <c r="AA199" i="21"/>
  <c r="AB199" i="21" s="1"/>
  <c r="W199" i="21"/>
  <c r="X199" i="21" s="1"/>
  <c r="U199" i="21"/>
  <c r="V199" i="21" s="1"/>
  <c r="S199" i="21"/>
  <c r="T199" i="21" s="1"/>
  <c r="Q199" i="21"/>
  <c r="R199" i="21" s="1"/>
  <c r="P199" i="21"/>
  <c r="O199" i="21"/>
  <c r="N199" i="21"/>
  <c r="M199" i="21"/>
  <c r="L199" i="21"/>
  <c r="K199" i="21"/>
  <c r="J199" i="21"/>
  <c r="I199" i="21"/>
  <c r="H199" i="21"/>
  <c r="G199" i="21"/>
  <c r="F199" i="21"/>
  <c r="E199" i="21"/>
  <c r="D199" i="21"/>
  <c r="C199" i="21"/>
  <c r="B199" i="21"/>
  <c r="A199" i="21"/>
  <c r="BG198" i="21"/>
  <c r="BH198" i="21" s="1"/>
  <c r="BE198" i="21"/>
  <c r="BF198" i="21" s="1"/>
  <c r="AW198" i="21"/>
  <c r="AX198" i="21" s="1"/>
  <c r="AU198" i="21"/>
  <c r="AV198" i="21" s="1"/>
  <c r="AS198" i="21"/>
  <c r="AQ198" i="21"/>
  <c r="AR198" i="21" s="1"/>
  <c r="AO198" i="21"/>
  <c r="AP198" i="21" s="1"/>
  <c r="AM198" i="21"/>
  <c r="AK198" i="21"/>
  <c r="AL198" i="21" s="1"/>
  <c r="AG198" i="21"/>
  <c r="AH198" i="21" s="1"/>
  <c r="AE198" i="21"/>
  <c r="AF198" i="21" s="1"/>
  <c r="AC198" i="21"/>
  <c r="AD198" i="21" s="1"/>
  <c r="AA198" i="21"/>
  <c r="AB198" i="21" s="1"/>
  <c r="W198" i="21"/>
  <c r="X198" i="21" s="1"/>
  <c r="U198" i="21"/>
  <c r="V198" i="21" s="1"/>
  <c r="S198" i="21"/>
  <c r="Q198" i="21"/>
  <c r="R198" i="21" s="1"/>
  <c r="P198" i="21"/>
  <c r="O198" i="21"/>
  <c r="N198" i="21"/>
  <c r="M198" i="21"/>
  <c r="L198" i="21"/>
  <c r="K198" i="21"/>
  <c r="J198" i="21"/>
  <c r="I198" i="21"/>
  <c r="H198" i="21"/>
  <c r="G198" i="21"/>
  <c r="F198" i="21"/>
  <c r="E198" i="21"/>
  <c r="D198" i="21"/>
  <c r="C198" i="21"/>
  <c r="B198" i="21"/>
  <c r="A198" i="21"/>
  <c r="BG197" i="21"/>
  <c r="BH197" i="21" s="1"/>
  <c r="BE197" i="21"/>
  <c r="BF197" i="21" s="1"/>
  <c r="AW197" i="21"/>
  <c r="AU197" i="21"/>
  <c r="AV197" i="21" s="1"/>
  <c r="AS197" i="21"/>
  <c r="AT197" i="21" s="1"/>
  <c r="AQ197" i="21"/>
  <c r="AO197" i="21"/>
  <c r="AP197" i="21" s="1"/>
  <c r="AM197" i="21"/>
  <c r="AN197" i="21" s="1"/>
  <c r="AK197" i="21"/>
  <c r="AL197" i="21" s="1"/>
  <c r="AG197" i="21"/>
  <c r="AH197" i="21" s="1"/>
  <c r="AE197" i="21"/>
  <c r="AF197" i="21" s="1"/>
  <c r="AC197" i="21"/>
  <c r="AD197" i="21" s="1"/>
  <c r="AA197" i="21"/>
  <c r="AB197" i="21" s="1"/>
  <c r="W197" i="21"/>
  <c r="U197" i="21"/>
  <c r="V197" i="21" s="1"/>
  <c r="S197" i="21"/>
  <c r="T197" i="21" s="1"/>
  <c r="Q197" i="21"/>
  <c r="R197" i="21" s="1"/>
  <c r="P197" i="21"/>
  <c r="O197" i="21"/>
  <c r="N197" i="21"/>
  <c r="M197" i="21"/>
  <c r="L197" i="21"/>
  <c r="K197" i="21"/>
  <c r="J197" i="21"/>
  <c r="I197" i="21"/>
  <c r="H197" i="21"/>
  <c r="G197" i="21"/>
  <c r="F197" i="21"/>
  <c r="E197" i="21"/>
  <c r="D197" i="21"/>
  <c r="C197" i="21"/>
  <c r="B197" i="21"/>
  <c r="A197" i="21"/>
  <c r="BG196" i="21"/>
  <c r="BH196" i="21" s="1"/>
  <c r="BE196" i="21"/>
  <c r="BF196" i="21" s="1"/>
  <c r="AW196" i="21"/>
  <c r="AX196" i="21" s="1"/>
  <c r="AU196" i="21"/>
  <c r="AS196" i="21"/>
  <c r="AT196" i="21" s="1"/>
  <c r="AQ196" i="21"/>
  <c r="AR196" i="21" s="1"/>
  <c r="AO196" i="21"/>
  <c r="AP196" i="21" s="1"/>
  <c r="AM196" i="21"/>
  <c r="AN196" i="21" s="1"/>
  <c r="AK196" i="21"/>
  <c r="AL196" i="21" s="1"/>
  <c r="AG196" i="21"/>
  <c r="AH196" i="21" s="1"/>
  <c r="AE196" i="21"/>
  <c r="AF196" i="21" s="1"/>
  <c r="AC196" i="21"/>
  <c r="AA196" i="21"/>
  <c r="AB196" i="21" s="1"/>
  <c r="W196" i="21"/>
  <c r="U196" i="21"/>
  <c r="V196" i="21" s="1"/>
  <c r="S196" i="21"/>
  <c r="T196" i="21" s="1"/>
  <c r="Q196" i="21"/>
  <c r="R196" i="21" s="1"/>
  <c r="P196" i="21"/>
  <c r="O196" i="21"/>
  <c r="N196" i="21"/>
  <c r="M196" i="21"/>
  <c r="L196" i="21"/>
  <c r="K196" i="21"/>
  <c r="J196" i="21"/>
  <c r="I196" i="21"/>
  <c r="H196" i="21"/>
  <c r="G196" i="21"/>
  <c r="F196" i="21"/>
  <c r="E196" i="21"/>
  <c r="D196" i="21"/>
  <c r="C196" i="21"/>
  <c r="B196" i="21"/>
  <c r="A196" i="21"/>
  <c r="BG195" i="21"/>
  <c r="BH195" i="21" s="1"/>
  <c r="BE195" i="21"/>
  <c r="BF195" i="21" s="1"/>
  <c r="AW195" i="21"/>
  <c r="AX195" i="21" s="1"/>
  <c r="AU195" i="21"/>
  <c r="AS195" i="21"/>
  <c r="AT195" i="21" s="1"/>
  <c r="AQ195" i="21"/>
  <c r="AR195" i="21" s="1"/>
  <c r="AO195" i="21"/>
  <c r="AP195" i="21" s="1"/>
  <c r="AM195" i="21"/>
  <c r="AN195" i="21" s="1"/>
  <c r="AK195" i="21"/>
  <c r="AL195" i="21" s="1"/>
  <c r="AG195" i="21"/>
  <c r="AE195" i="21"/>
  <c r="AF195" i="21" s="1"/>
  <c r="AC195" i="21"/>
  <c r="AA195" i="21"/>
  <c r="AB195" i="21" s="1"/>
  <c r="W195" i="21"/>
  <c r="X195" i="21" s="1"/>
  <c r="U195" i="21"/>
  <c r="S195" i="21"/>
  <c r="T195" i="21" s="1"/>
  <c r="Q195" i="21"/>
  <c r="R195" i="21" s="1"/>
  <c r="P195" i="21"/>
  <c r="O195" i="21"/>
  <c r="N195" i="21"/>
  <c r="M195" i="21"/>
  <c r="L195" i="21"/>
  <c r="K195" i="21"/>
  <c r="J195" i="21"/>
  <c r="I195" i="21"/>
  <c r="H195" i="21"/>
  <c r="G195" i="21"/>
  <c r="F195" i="21"/>
  <c r="E195" i="21"/>
  <c r="D195" i="21"/>
  <c r="C195" i="21"/>
  <c r="B195" i="21"/>
  <c r="A195" i="21"/>
  <c r="BG194" i="21"/>
  <c r="BE194" i="21"/>
  <c r="BF194" i="21" s="1"/>
  <c r="AW194" i="21"/>
  <c r="AX194" i="21" s="1"/>
  <c r="AU194" i="21"/>
  <c r="AV194" i="21" s="1"/>
  <c r="AS194" i="21"/>
  <c r="AQ194" i="21"/>
  <c r="AR194" i="21" s="1"/>
  <c r="AO194" i="21"/>
  <c r="AP194" i="21" s="1"/>
  <c r="AM194" i="21"/>
  <c r="AK194" i="21"/>
  <c r="AL194" i="21" s="1"/>
  <c r="AG194" i="21"/>
  <c r="AH194" i="21" s="1"/>
  <c r="AE194" i="21"/>
  <c r="AF194" i="21" s="1"/>
  <c r="AC194" i="21"/>
  <c r="AD194" i="21" s="1"/>
  <c r="AA194" i="21"/>
  <c r="W194" i="21"/>
  <c r="X194" i="21" s="1"/>
  <c r="U194" i="21"/>
  <c r="V194" i="21" s="1"/>
  <c r="S194" i="21"/>
  <c r="Q194" i="21"/>
  <c r="R194" i="21" s="1"/>
  <c r="P194" i="21"/>
  <c r="O194" i="21"/>
  <c r="N194" i="21"/>
  <c r="M194" i="21"/>
  <c r="L194" i="21"/>
  <c r="K194" i="21"/>
  <c r="J194" i="21"/>
  <c r="I194" i="21"/>
  <c r="H194" i="21"/>
  <c r="G194" i="21"/>
  <c r="F194" i="21"/>
  <c r="E194" i="21"/>
  <c r="D194" i="21"/>
  <c r="C194" i="21"/>
  <c r="B194" i="21"/>
  <c r="A194" i="21"/>
  <c r="BG193" i="21"/>
  <c r="BH193" i="21" s="1"/>
  <c r="BE193" i="21"/>
  <c r="BF193" i="21" s="1"/>
  <c r="AW193" i="21"/>
  <c r="AX193" i="21" s="1"/>
  <c r="AU193" i="21"/>
  <c r="AV193" i="21" s="1"/>
  <c r="AS193" i="21"/>
  <c r="AT193" i="21" s="1"/>
  <c r="AQ193" i="21"/>
  <c r="AR193" i="21" s="1"/>
  <c r="AO193" i="21"/>
  <c r="AP193" i="21" s="1"/>
  <c r="AM193" i="21"/>
  <c r="AN193" i="21" s="1"/>
  <c r="AK193" i="21"/>
  <c r="AL193" i="21" s="1"/>
  <c r="AG193" i="21"/>
  <c r="AH193" i="21" s="1"/>
  <c r="AE193" i="21"/>
  <c r="AF193" i="21" s="1"/>
  <c r="AC193" i="21"/>
  <c r="AD193" i="21" s="1"/>
  <c r="AA193" i="21"/>
  <c r="AB193" i="21" s="1"/>
  <c r="W193" i="21"/>
  <c r="U193" i="21"/>
  <c r="V193" i="21" s="1"/>
  <c r="S193" i="21"/>
  <c r="T193" i="21" s="1"/>
  <c r="Q193" i="21"/>
  <c r="R193" i="21" s="1"/>
  <c r="P193" i="21"/>
  <c r="O193" i="21"/>
  <c r="N193" i="21"/>
  <c r="M193" i="21"/>
  <c r="L193" i="21"/>
  <c r="K193" i="21"/>
  <c r="J193" i="21"/>
  <c r="I193" i="21"/>
  <c r="H193" i="21"/>
  <c r="G193" i="21"/>
  <c r="F193" i="21"/>
  <c r="E193" i="21"/>
  <c r="D193" i="21"/>
  <c r="C193" i="21"/>
  <c r="B193" i="21"/>
  <c r="A193" i="21"/>
  <c r="BG192" i="21"/>
  <c r="BH192" i="21" s="1"/>
  <c r="BE192" i="21"/>
  <c r="BF192" i="21" s="1"/>
  <c r="AW192" i="21"/>
  <c r="AX192" i="21" s="1"/>
  <c r="AU192" i="21"/>
  <c r="AS192" i="21"/>
  <c r="AT192" i="21" s="1"/>
  <c r="AQ192" i="21"/>
  <c r="AO192" i="21"/>
  <c r="AP192" i="21" s="1"/>
  <c r="AM192" i="21"/>
  <c r="AN192" i="21" s="1"/>
  <c r="AK192" i="21"/>
  <c r="AL192" i="21" s="1"/>
  <c r="AG192" i="21"/>
  <c r="AH192" i="21" s="1"/>
  <c r="AE192" i="21"/>
  <c r="AF192" i="21" s="1"/>
  <c r="AC192" i="21"/>
  <c r="AA192" i="21"/>
  <c r="AB192" i="21" s="1"/>
  <c r="W192" i="21"/>
  <c r="X192" i="21" s="1"/>
  <c r="U192" i="21"/>
  <c r="V192" i="21" s="1"/>
  <c r="S192" i="21"/>
  <c r="T192" i="21" s="1"/>
  <c r="Q192" i="21"/>
  <c r="R192" i="21" s="1"/>
  <c r="P192" i="21"/>
  <c r="O192" i="21"/>
  <c r="N192" i="21"/>
  <c r="M192" i="21"/>
  <c r="L192" i="21"/>
  <c r="K192" i="21"/>
  <c r="J192" i="21"/>
  <c r="I192" i="21"/>
  <c r="H192" i="21"/>
  <c r="G192" i="21"/>
  <c r="F192" i="21"/>
  <c r="E192" i="21"/>
  <c r="D192" i="21"/>
  <c r="C192" i="21"/>
  <c r="B192" i="21"/>
  <c r="A192" i="21"/>
  <c r="BG191" i="21"/>
  <c r="BH191" i="21" s="1"/>
  <c r="BE191" i="21"/>
  <c r="BF191" i="21" s="1"/>
  <c r="AW191" i="21"/>
  <c r="AX191" i="21" s="1"/>
  <c r="AU191" i="21"/>
  <c r="AS191" i="21"/>
  <c r="AT191" i="21" s="1"/>
  <c r="AQ191" i="21"/>
  <c r="AR191" i="21" s="1"/>
  <c r="AO191" i="21"/>
  <c r="AM191" i="21"/>
  <c r="AN191" i="21" s="1"/>
  <c r="AK191" i="21"/>
  <c r="AL191" i="21" s="1"/>
  <c r="AG191" i="21"/>
  <c r="AE191" i="21"/>
  <c r="AF191" i="21" s="1"/>
  <c r="AC191" i="21"/>
  <c r="AD191" i="21" s="1"/>
  <c r="AA191" i="21"/>
  <c r="AB191" i="21" s="1"/>
  <c r="W191" i="21"/>
  <c r="X191" i="21" s="1"/>
  <c r="U191" i="21"/>
  <c r="V191" i="21" s="1"/>
  <c r="S191" i="21"/>
  <c r="T191" i="21" s="1"/>
  <c r="Q191" i="21"/>
  <c r="R191" i="21" s="1"/>
  <c r="P191" i="21"/>
  <c r="O191" i="21"/>
  <c r="N191" i="21"/>
  <c r="M191" i="21"/>
  <c r="L191" i="21"/>
  <c r="K191" i="21"/>
  <c r="J191" i="21"/>
  <c r="I191" i="21"/>
  <c r="H191" i="21"/>
  <c r="G191" i="21"/>
  <c r="F191" i="21"/>
  <c r="E191" i="21"/>
  <c r="D191" i="21"/>
  <c r="C191" i="21"/>
  <c r="B191" i="21"/>
  <c r="A191" i="21"/>
  <c r="BG190" i="21"/>
  <c r="BE190" i="21"/>
  <c r="BF190" i="21" s="1"/>
  <c r="AW190" i="21"/>
  <c r="AX190" i="21" s="1"/>
  <c r="AU190" i="21"/>
  <c r="AV190" i="21" s="1"/>
  <c r="AS190" i="21"/>
  <c r="AQ190" i="21"/>
  <c r="AR190" i="21" s="1"/>
  <c r="AO190" i="21"/>
  <c r="AP190" i="21" s="1"/>
  <c r="AM190" i="21"/>
  <c r="AK190" i="21"/>
  <c r="AL190" i="21" s="1"/>
  <c r="AG190" i="21"/>
  <c r="AH190" i="21" s="1"/>
  <c r="AE190" i="21"/>
  <c r="AF190" i="21" s="1"/>
  <c r="AC190" i="21"/>
  <c r="AD190" i="21" s="1"/>
  <c r="AA190" i="21"/>
  <c r="AB190" i="21" s="1"/>
  <c r="W190" i="21"/>
  <c r="X190" i="21" s="1"/>
  <c r="U190" i="21"/>
  <c r="V190" i="21" s="1"/>
  <c r="S190" i="21"/>
  <c r="T190" i="21" s="1"/>
  <c r="Q190" i="21"/>
  <c r="R190" i="21" s="1"/>
  <c r="P190" i="21"/>
  <c r="O190" i="21"/>
  <c r="N190" i="21"/>
  <c r="M190" i="21"/>
  <c r="L190" i="21"/>
  <c r="K190" i="21"/>
  <c r="J190" i="21"/>
  <c r="I190" i="21"/>
  <c r="H190" i="21"/>
  <c r="G190" i="21"/>
  <c r="F190" i="21"/>
  <c r="E190" i="21"/>
  <c r="D190" i="21"/>
  <c r="C190" i="21"/>
  <c r="B190" i="21"/>
  <c r="A190" i="21"/>
  <c r="BG189" i="21"/>
  <c r="BH189" i="21" s="1"/>
  <c r="BE189" i="21"/>
  <c r="BF189" i="21" s="1"/>
  <c r="AW189" i="21"/>
  <c r="AX189" i="21" s="1"/>
  <c r="AU189" i="21"/>
  <c r="AV189" i="21" s="1"/>
  <c r="AS189" i="21"/>
  <c r="AT189" i="21" s="1"/>
  <c r="AQ189" i="21"/>
  <c r="AO189" i="21"/>
  <c r="AP189" i="21" s="1"/>
  <c r="AM189" i="21"/>
  <c r="AN189" i="21" s="1"/>
  <c r="AK189" i="21"/>
  <c r="AL189" i="21" s="1"/>
  <c r="AG189" i="21"/>
  <c r="AH189" i="21" s="1"/>
  <c r="AE189" i="21"/>
  <c r="AF189" i="21" s="1"/>
  <c r="AC189" i="21"/>
  <c r="AD189" i="21" s="1"/>
  <c r="AA189" i="21"/>
  <c r="AB189" i="21" s="1"/>
  <c r="W189" i="21"/>
  <c r="U189" i="21"/>
  <c r="V189" i="21" s="1"/>
  <c r="S189" i="21"/>
  <c r="T189" i="21" s="1"/>
  <c r="Q189" i="21"/>
  <c r="R189" i="21" s="1"/>
  <c r="P189" i="21"/>
  <c r="O189" i="21"/>
  <c r="N189" i="21"/>
  <c r="M189" i="21"/>
  <c r="L189" i="21"/>
  <c r="K189" i="21"/>
  <c r="J189" i="21"/>
  <c r="I189" i="21"/>
  <c r="H189" i="21"/>
  <c r="G189" i="21"/>
  <c r="F189" i="21"/>
  <c r="E189" i="21"/>
  <c r="D189" i="21"/>
  <c r="C189" i="21"/>
  <c r="B189" i="21"/>
  <c r="A189" i="21"/>
  <c r="BG188" i="21"/>
  <c r="BH188" i="21" s="1"/>
  <c r="BE188" i="21"/>
  <c r="BF188" i="21" s="1"/>
  <c r="AW188" i="21"/>
  <c r="AX188" i="21" s="1"/>
  <c r="AU188" i="21"/>
  <c r="AS188" i="21"/>
  <c r="AT188" i="21" s="1"/>
  <c r="AQ188" i="21"/>
  <c r="AR188" i="21" s="1"/>
  <c r="AO188" i="21"/>
  <c r="AP188" i="21" s="1"/>
  <c r="AM188" i="21"/>
  <c r="AN188" i="21" s="1"/>
  <c r="AK188" i="21"/>
  <c r="AL188" i="21" s="1"/>
  <c r="AG188" i="21"/>
  <c r="AH188" i="21" s="1"/>
  <c r="AE188" i="21"/>
  <c r="AF188" i="21" s="1"/>
  <c r="AC188" i="21"/>
  <c r="AD188" i="21" s="1"/>
  <c r="AA188" i="21"/>
  <c r="AB188" i="21" s="1"/>
  <c r="W188" i="21"/>
  <c r="U188" i="21"/>
  <c r="V188" i="21" s="1"/>
  <c r="S188" i="21"/>
  <c r="T188" i="21" s="1"/>
  <c r="Q188" i="21"/>
  <c r="P188" i="21"/>
  <c r="O188" i="21"/>
  <c r="N188" i="21"/>
  <c r="M188" i="21"/>
  <c r="L188" i="21"/>
  <c r="K188" i="21"/>
  <c r="J188" i="21"/>
  <c r="I188" i="21"/>
  <c r="H188" i="21"/>
  <c r="G188" i="21"/>
  <c r="F188" i="21"/>
  <c r="E188" i="21"/>
  <c r="D188" i="21"/>
  <c r="C188" i="21"/>
  <c r="B188" i="21"/>
  <c r="A188" i="21"/>
  <c r="BG187" i="21"/>
  <c r="BH187" i="21" s="1"/>
  <c r="BE187" i="21"/>
  <c r="BF187" i="21" s="1"/>
  <c r="AW187" i="21"/>
  <c r="AX187" i="21" s="1"/>
  <c r="AU187" i="21"/>
  <c r="AV187" i="21" s="1"/>
  <c r="AS187" i="21"/>
  <c r="AT187" i="21" s="1"/>
  <c r="AQ187" i="21"/>
  <c r="AO187" i="21"/>
  <c r="AP187" i="21" s="1"/>
  <c r="AM187" i="21"/>
  <c r="AN187" i="21" s="1"/>
  <c r="AK187" i="21"/>
  <c r="AL187" i="21" s="1"/>
  <c r="AG187" i="21"/>
  <c r="AH187" i="21" s="1"/>
  <c r="AE187" i="21"/>
  <c r="AF187" i="21" s="1"/>
  <c r="AC187" i="21"/>
  <c r="AD187" i="21" s="1"/>
  <c r="AA187" i="21"/>
  <c r="AB187" i="21" s="1"/>
  <c r="W187" i="21"/>
  <c r="X187" i="21" s="1"/>
  <c r="U187" i="21"/>
  <c r="S187" i="21"/>
  <c r="T187" i="21" s="1"/>
  <c r="Q187" i="21"/>
  <c r="R187" i="21" s="1"/>
  <c r="P187" i="21"/>
  <c r="O187" i="21"/>
  <c r="N187" i="21"/>
  <c r="M187" i="21"/>
  <c r="L187" i="21"/>
  <c r="K187" i="21"/>
  <c r="J187" i="21"/>
  <c r="I187" i="21"/>
  <c r="H187" i="21"/>
  <c r="G187" i="21"/>
  <c r="F187" i="21"/>
  <c r="E187" i="21"/>
  <c r="D187" i="21"/>
  <c r="C187" i="21"/>
  <c r="B187" i="21"/>
  <c r="A187" i="21"/>
  <c r="BG186" i="21"/>
  <c r="BH186" i="21" s="1"/>
  <c r="BE186" i="21"/>
  <c r="BF186" i="21" s="1"/>
  <c r="AW186" i="21"/>
  <c r="AX186" i="21" s="1"/>
  <c r="AU186" i="21"/>
  <c r="AS186" i="21"/>
  <c r="AT186" i="21" s="1"/>
  <c r="AQ186" i="21"/>
  <c r="AR186" i="21" s="1"/>
  <c r="AO186" i="21"/>
  <c r="AP186" i="21" s="1"/>
  <c r="AM186" i="21"/>
  <c r="AN186" i="21" s="1"/>
  <c r="AK186" i="21"/>
  <c r="AL186" i="21" s="1"/>
  <c r="AG186" i="21"/>
  <c r="AH186" i="21" s="1"/>
  <c r="AE186" i="21"/>
  <c r="AF186" i="21" s="1"/>
  <c r="AC186" i="21"/>
  <c r="AD186" i="21" s="1"/>
  <c r="AA186" i="21"/>
  <c r="W186" i="21"/>
  <c r="X186" i="21" s="1"/>
  <c r="U186" i="21"/>
  <c r="V186" i="21" s="1"/>
  <c r="S186" i="21"/>
  <c r="Q186" i="21"/>
  <c r="R186" i="21" s="1"/>
  <c r="P186" i="21"/>
  <c r="O186" i="21"/>
  <c r="N186" i="21"/>
  <c r="M186" i="21"/>
  <c r="L186" i="21"/>
  <c r="K186" i="21"/>
  <c r="J186" i="21"/>
  <c r="I186" i="21"/>
  <c r="H186" i="21"/>
  <c r="G186" i="21"/>
  <c r="F186" i="21"/>
  <c r="E186" i="21"/>
  <c r="D186" i="21"/>
  <c r="C186" i="21"/>
  <c r="B186" i="21"/>
  <c r="A186" i="21"/>
  <c r="BG185" i="21"/>
  <c r="BH185" i="21" s="1"/>
  <c r="BE185" i="21"/>
  <c r="BF185" i="21" s="1"/>
  <c r="AW185" i="21"/>
  <c r="AX185" i="21" s="1"/>
  <c r="AU185" i="21"/>
  <c r="AV185" i="21" s="1"/>
  <c r="AS185" i="21"/>
  <c r="AT185" i="21" s="1"/>
  <c r="AQ185" i="21"/>
  <c r="AR185" i="21" s="1"/>
  <c r="AO185" i="21"/>
  <c r="AP185" i="21" s="1"/>
  <c r="AM185" i="21"/>
  <c r="AN185" i="21" s="1"/>
  <c r="AK185" i="21"/>
  <c r="AL185" i="21" s="1"/>
  <c r="AG185" i="21"/>
  <c r="AH185" i="21" s="1"/>
  <c r="AE185" i="21"/>
  <c r="AC185" i="21"/>
  <c r="AD185" i="21" s="1"/>
  <c r="AJ185" i="21" s="1"/>
  <c r="AA185" i="21"/>
  <c r="AB185" i="21" s="1"/>
  <c r="W185" i="21"/>
  <c r="U185" i="21"/>
  <c r="V185" i="21" s="1"/>
  <c r="S185" i="21"/>
  <c r="T185" i="21" s="1"/>
  <c r="Q185" i="21"/>
  <c r="R185" i="21" s="1"/>
  <c r="P185" i="21"/>
  <c r="O185" i="21"/>
  <c r="N185" i="21"/>
  <c r="M185" i="21"/>
  <c r="L185" i="21"/>
  <c r="K185" i="21"/>
  <c r="J185" i="21"/>
  <c r="I185" i="21"/>
  <c r="H185" i="21"/>
  <c r="G185" i="21"/>
  <c r="F185" i="21"/>
  <c r="E185" i="21"/>
  <c r="D185" i="21"/>
  <c r="C185" i="21"/>
  <c r="B185" i="21"/>
  <c r="A185" i="21"/>
  <c r="BG184" i="21"/>
  <c r="BE184" i="21"/>
  <c r="BF184" i="21" s="1"/>
  <c r="AW184" i="21"/>
  <c r="AU184" i="21"/>
  <c r="AV184" i="21" s="1"/>
  <c r="AS184" i="21"/>
  <c r="AT184" i="21" s="1"/>
  <c r="AQ184" i="21"/>
  <c r="AO184" i="21"/>
  <c r="AP184" i="21" s="1"/>
  <c r="AM184" i="21"/>
  <c r="AN184" i="21" s="1"/>
  <c r="AK184" i="21"/>
  <c r="AL184" i="21" s="1"/>
  <c r="AG184" i="21"/>
  <c r="AH184" i="21" s="1"/>
  <c r="AE184" i="21"/>
  <c r="AF184" i="21" s="1"/>
  <c r="AC184" i="21"/>
  <c r="AD184" i="21" s="1"/>
  <c r="AA184" i="21"/>
  <c r="AB184" i="21" s="1"/>
  <c r="W184" i="21"/>
  <c r="X184" i="21" s="1"/>
  <c r="U184" i="21"/>
  <c r="V184" i="21" s="1"/>
  <c r="S184" i="21"/>
  <c r="T184" i="21" s="1"/>
  <c r="Q184" i="21"/>
  <c r="R184" i="21" s="1"/>
  <c r="P184" i="21"/>
  <c r="O184" i="21"/>
  <c r="N184" i="21"/>
  <c r="M184" i="21"/>
  <c r="L184" i="21"/>
  <c r="K184" i="21"/>
  <c r="J184" i="21"/>
  <c r="I184" i="21"/>
  <c r="H184" i="21"/>
  <c r="G184" i="21"/>
  <c r="F184" i="21"/>
  <c r="E184" i="21"/>
  <c r="D184" i="21"/>
  <c r="C184" i="21"/>
  <c r="B184" i="21"/>
  <c r="A184" i="21"/>
  <c r="BG183" i="21"/>
  <c r="BH183" i="21" s="1"/>
  <c r="BE183" i="21"/>
  <c r="BF183" i="21" s="1"/>
  <c r="AW183" i="21"/>
  <c r="AX183" i="21" s="1"/>
  <c r="AU183" i="21"/>
  <c r="AS183" i="21"/>
  <c r="AT183" i="21" s="1"/>
  <c r="AQ183" i="21"/>
  <c r="AR183" i="21" s="1"/>
  <c r="AO183" i="21"/>
  <c r="AP183" i="21" s="1"/>
  <c r="AM183" i="21"/>
  <c r="AN183" i="21" s="1"/>
  <c r="AK183" i="21"/>
  <c r="AL183" i="21" s="1"/>
  <c r="AG183" i="21"/>
  <c r="AH183" i="21" s="1"/>
  <c r="AE183" i="21"/>
  <c r="AF183" i="21" s="1"/>
  <c r="AC183" i="21"/>
  <c r="AD183" i="21" s="1"/>
  <c r="AA183" i="21"/>
  <c r="AB183" i="21" s="1"/>
  <c r="W183" i="21"/>
  <c r="X183" i="21" s="1"/>
  <c r="U183" i="21"/>
  <c r="V183" i="21" s="1"/>
  <c r="S183" i="21"/>
  <c r="T183" i="21" s="1"/>
  <c r="Q183" i="21"/>
  <c r="R183" i="21" s="1"/>
  <c r="P183" i="21"/>
  <c r="O183" i="21"/>
  <c r="N183" i="21"/>
  <c r="M183" i="21"/>
  <c r="L183" i="21"/>
  <c r="K183" i="21"/>
  <c r="J183" i="21"/>
  <c r="I183" i="21"/>
  <c r="H183" i="21"/>
  <c r="G183" i="21"/>
  <c r="F183" i="21"/>
  <c r="E183" i="21"/>
  <c r="D183" i="21"/>
  <c r="C183" i="21"/>
  <c r="B183" i="21"/>
  <c r="A183" i="21"/>
  <c r="BG182" i="21"/>
  <c r="BH182" i="21" s="1"/>
  <c r="BE182" i="21"/>
  <c r="BF182" i="21" s="1"/>
  <c r="AW182" i="21"/>
  <c r="AX182" i="21" s="1"/>
  <c r="AU182" i="21"/>
  <c r="AV182" i="21" s="1"/>
  <c r="AS182" i="21"/>
  <c r="AT182" i="21" s="1"/>
  <c r="AQ182" i="21"/>
  <c r="AR182" i="21" s="1"/>
  <c r="AO182" i="21"/>
  <c r="AP182" i="21" s="1"/>
  <c r="AM182" i="21"/>
  <c r="AN182" i="21" s="1"/>
  <c r="AK182" i="21"/>
  <c r="AL182" i="21" s="1"/>
  <c r="AG182" i="21"/>
  <c r="AH182" i="21" s="1"/>
  <c r="AE182" i="21"/>
  <c r="AF182" i="21" s="1"/>
  <c r="AC182" i="21"/>
  <c r="AD182" i="21" s="1"/>
  <c r="AA182" i="21"/>
  <c r="AB182" i="21" s="1"/>
  <c r="W182" i="21"/>
  <c r="X182" i="21" s="1"/>
  <c r="U182" i="21"/>
  <c r="V182" i="21" s="1"/>
  <c r="S182" i="21"/>
  <c r="T182" i="21" s="1"/>
  <c r="Q182" i="21"/>
  <c r="R182" i="21" s="1"/>
  <c r="P182" i="21"/>
  <c r="O182" i="21"/>
  <c r="N182" i="21"/>
  <c r="M182" i="21"/>
  <c r="L182" i="21"/>
  <c r="K182" i="21"/>
  <c r="J182" i="21"/>
  <c r="I182" i="21"/>
  <c r="H182" i="21"/>
  <c r="G182" i="21"/>
  <c r="F182" i="21"/>
  <c r="E182" i="21"/>
  <c r="D182" i="21"/>
  <c r="C182" i="21"/>
  <c r="B182" i="21"/>
  <c r="A182" i="21"/>
  <c r="BG181" i="21"/>
  <c r="BE181" i="21"/>
  <c r="BF181" i="21" s="1"/>
  <c r="AW181" i="21"/>
  <c r="AX181" i="21" s="1"/>
  <c r="AU181" i="21"/>
  <c r="AV181" i="21" s="1"/>
  <c r="AS181" i="21"/>
  <c r="AT181" i="21" s="1"/>
  <c r="AQ181" i="21"/>
  <c r="AR181" i="21" s="1"/>
  <c r="AO181" i="21"/>
  <c r="AP181" i="21" s="1"/>
  <c r="AM181" i="21"/>
  <c r="AK181" i="21"/>
  <c r="AL181" i="21" s="1"/>
  <c r="AG181" i="21"/>
  <c r="AH181" i="21" s="1"/>
  <c r="AE181" i="21"/>
  <c r="AF181" i="21" s="1"/>
  <c r="AC181" i="21"/>
  <c r="AD181" i="21" s="1"/>
  <c r="AA181" i="21"/>
  <c r="AB181" i="21" s="1"/>
  <c r="W181" i="21"/>
  <c r="U181" i="21"/>
  <c r="V181" i="21" s="1"/>
  <c r="S181" i="21"/>
  <c r="Q181" i="21"/>
  <c r="R181" i="21" s="1"/>
  <c r="P181" i="21"/>
  <c r="O181" i="21"/>
  <c r="N181" i="21"/>
  <c r="M181" i="21"/>
  <c r="L181" i="21"/>
  <c r="K181" i="21"/>
  <c r="J181" i="21"/>
  <c r="I181" i="21"/>
  <c r="H181" i="21"/>
  <c r="G181" i="21"/>
  <c r="F181" i="21"/>
  <c r="E181" i="21"/>
  <c r="D181" i="21"/>
  <c r="C181" i="21"/>
  <c r="B181" i="21"/>
  <c r="A181" i="21"/>
  <c r="BG180" i="21"/>
  <c r="BH180" i="21" s="1"/>
  <c r="BE180" i="21"/>
  <c r="BF180" i="21" s="1"/>
  <c r="AW180" i="21"/>
  <c r="AX180" i="21" s="1"/>
  <c r="AU180" i="21"/>
  <c r="AV180" i="21" s="1"/>
  <c r="AS180" i="21"/>
  <c r="AT180" i="21" s="1"/>
  <c r="AQ180" i="21"/>
  <c r="AO180" i="21"/>
  <c r="AP180" i="21" s="1"/>
  <c r="AM180" i="21"/>
  <c r="AN180" i="21" s="1"/>
  <c r="AK180" i="21"/>
  <c r="AL180" i="21" s="1"/>
  <c r="AG180" i="21"/>
  <c r="AH180" i="21" s="1"/>
  <c r="AE180" i="21"/>
  <c r="AF180" i="21" s="1"/>
  <c r="AC180" i="21"/>
  <c r="AD180" i="21" s="1"/>
  <c r="AA180" i="21"/>
  <c r="AB180" i="21" s="1"/>
  <c r="W180" i="21"/>
  <c r="U180" i="21"/>
  <c r="V180" i="21" s="1"/>
  <c r="S180" i="21"/>
  <c r="T180" i="21" s="1"/>
  <c r="Q180" i="21"/>
  <c r="R180" i="21" s="1"/>
  <c r="P180" i="21"/>
  <c r="O180" i="21"/>
  <c r="N180" i="21"/>
  <c r="M180" i="21"/>
  <c r="L180" i="21"/>
  <c r="K180" i="21"/>
  <c r="J180" i="21"/>
  <c r="I180" i="21"/>
  <c r="H180" i="21"/>
  <c r="G180" i="21"/>
  <c r="F180" i="21"/>
  <c r="E180" i="21"/>
  <c r="D180" i="21"/>
  <c r="C180" i="21"/>
  <c r="B180" i="21"/>
  <c r="A180" i="21"/>
  <c r="BG179" i="21"/>
  <c r="BH179" i="21" s="1"/>
  <c r="BE179" i="21"/>
  <c r="BF179" i="21" s="1"/>
  <c r="AW179" i="21"/>
  <c r="AX179" i="21" s="1"/>
  <c r="AU179" i="21"/>
  <c r="AS179" i="21"/>
  <c r="AT179" i="21" s="1"/>
  <c r="AQ179" i="21"/>
  <c r="AR179" i="21" s="1"/>
  <c r="AO179" i="21"/>
  <c r="AP179" i="21" s="1"/>
  <c r="AM179" i="21"/>
  <c r="AN179" i="21" s="1"/>
  <c r="AK179" i="21"/>
  <c r="AG179" i="21"/>
  <c r="AH179" i="21" s="1"/>
  <c r="AE179" i="21"/>
  <c r="AF179" i="21" s="1"/>
  <c r="AC179" i="21"/>
  <c r="AA179" i="21"/>
  <c r="AB179" i="21" s="1"/>
  <c r="W179" i="21"/>
  <c r="X179" i="21" s="1"/>
  <c r="U179" i="21"/>
  <c r="V179" i="21" s="1"/>
  <c r="S179" i="21"/>
  <c r="T179" i="21" s="1"/>
  <c r="Q179" i="21"/>
  <c r="R179" i="21" s="1"/>
  <c r="P179" i="21"/>
  <c r="O179" i="21"/>
  <c r="N179" i="21"/>
  <c r="M179" i="21"/>
  <c r="L179" i="21"/>
  <c r="K179" i="21"/>
  <c r="J179" i="21"/>
  <c r="I179" i="21"/>
  <c r="H179" i="21"/>
  <c r="G179" i="21"/>
  <c r="F179" i="21"/>
  <c r="E179" i="21"/>
  <c r="D179" i="21"/>
  <c r="C179" i="21"/>
  <c r="B179" i="21"/>
  <c r="A179" i="21"/>
  <c r="BG178" i="21"/>
  <c r="BH178" i="21" s="1"/>
  <c r="BE178" i="21"/>
  <c r="BF178" i="21" s="1"/>
  <c r="AW178" i="21"/>
  <c r="AX178" i="21" s="1"/>
  <c r="AU178" i="21"/>
  <c r="AS178" i="21"/>
  <c r="AT178" i="21" s="1"/>
  <c r="AQ178" i="21"/>
  <c r="AR178" i="21" s="1"/>
  <c r="AO178" i="21"/>
  <c r="AM178" i="21"/>
  <c r="AN178" i="21" s="1"/>
  <c r="AK178" i="21"/>
  <c r="AL178" i="21" s="1"/>
  <c r="AG178" i="21"/>
  <c r="AE178" i="21"/>
  <c r="AF178" i="21" s="1"/>
  <c r="AC178" i="21"/>
  <c r="AD178" i="21" s="1"/>
  <c r="AA178" i="21"/>
  <c r="AB178" i="21" s="1"/>
  <c r="W178" i="21"/>
  <c r="X178" i="21" s="1"/>
  <c r="U178" i="21"/>
  <c r="V178" i="21" s="1"/>
  <c r="S178" i="21"/>
  <c r="T178" i="21" s="1"/>
  <c r="Q178" i="21"/>
  <c r="R178" i="21" s="1"/>
  <c r="P178" i="21"/>
  <c r="O178" i="21"/>
  <c r="N178" i="21"/>
  <c r="M178" i="21"/>
  <c r="L178" i="21"/>
  <c r="K178" i="21"/>
  <c r="J178" i="21"/>
  <c r="I178" i="21"/>
  <c r="H178" i="21"/>
  <c r="G178" i="21"/>
  <c r="F178" i="21"/>
  <c r="E178" i="21"/>
  <c r="D178" i="21"/>
  <c r="C178" i="21"/>
  <c r="B178" i="21"/>
  <c r="A178" i="21"/>
  <c r="BG177" i="21"/>
  <c r="BE177" i="21"/>
  <c r="BF177" i="21" s="1"/>
  <c r="AW177" i="21"/>
  <c r="AX177" i="21" s="1"/>
  <c r="AU177" i="21"/>
  <c r="AV177" i="21" s="1"/>
  <c r="AS177" i="21"/>
  <c r="AT177" i="21" s="1"/>
  <c r="AQ177" i="21"/>
  <c r="AR177" i="21" s="1"/>
  <c r="AO177" i="21"/>
  <c r="AP177" i="21" s="1"/>
  <c r="AM177" i="21"/>
  <c r="AK177" i="21"/>
  <c r="AL177" i="21" s="1"/>
  <c r="AG177" i="21"/>
  <c r="AH177" i="21" s="1"/>
  <c r="AE177" i="21"/>
  <c r="AF177" i="21" s="1"/>
  <c r="AC177" i="21"/>
  <c r="AD177" i="21" s="1"/>
  <c r="AJ177" i="21" s="1"/>
  <c r="AA177" i="21"/>
  <c r="AB177" i="21" s="1"/>
  <c r="W177" i="21"/>
  <c r="X177" i="21" s="1"/>
  <c r="U177" i="21"/>
  <c r="V177" i="21" s="1"/>
  <c r="S177" i="21"/>
  <c r="Q177" i="21"/>
  <c r="R177" i="21" s="1"/>
  <c r="P177" i="21"/>
  <c r="O177" i="21"/>
  <c r="N177" i="21"/>
  <c r="M177" i="21"/>
  <c r="L177" i="21"/>
  <c r="K177" i="21"/>
  <c r="J177" i="21"/>
  <c r="I177" i="21"/>
  <c r="H177" i="21"/>
  <c r="G177" i="21"/>
  <c r="F177" i="21"/>
  <c r="E177" i="21"/>
  <c r="D177" i="21"/>
  <c r="C177" i="21"/>
  <c r="B177" i="21"/>
  <c r="A177" i="21"/>
  <c r="BG176" i="21"/>
  <c r="BH176" i="21" s="1"/>
  <c r="BE176" i="21"/>
  <c r="BF176" i="21" s="1"/>
  <c r="AW176" i="21"/>
  <c r="AX176" i="21" s="1"/>
  <c r="AU176" i="21"/>
  <c r="AV176" i="21" s="1"/>
  <c r="AS176" i="21"/>
  <c r="AT176" i="21" s="1"/>
  <c r="AQ176" i="21"/>
  <c r="AR176" i="21" s="1"/>
  <c r="AO176" i="21"/>
  <c r="AP176" i="21" s="1"/>
  <c r="AM176" i="21"/>
  <c r="AN176" i="21" s="1"/>
  <c r="AK176" i="21"/>
  <c r="AL176" i="21" s="1"/>
  <c r="AG176" i="21"/>
  <c r="AH176" i="21" s="1"/>
  <c r="AE176" i="21"/>
  <c r="AC176" i="21"/>
  <c r="AA176" i="21"/>
  <c r="AB176" i="21" s="1"/>
  <c r="W176" i="21"/>
  <c r="X176" i="21" s="1"/>
  <c r="U176" i="21"/>
  <c r="V176" i="21" s="1"/>
  <c r="S176" i="21"/>
  <c r="Q176" i="21"/>
  <c r="R176" i="21" s="1"/>
  <c r="P176" i="21"/>
  <c r="O176" i="21"/>
  <c r="N176" i="21"/>
  <c r="M176" i="21"/>
  <c r="L176" i="21"/>
  <c r="K176" i="21"/>
  <c r="J176" i="21"/>
  <c r="I176" i="21"/>
  <c r="H176" i="21"/>
  <c r="G176" i="21"/>
  <c r="F176" i="21"/>
  <c r="E176" i="21"/>
  <c r="D176" i="21"/>
  <c r="C176" i="21"/>
  <c r="B176" i="21"/>
  <c r="A176" i="21"/>
  <c r="BG175" i="21"/>
  <c r="BH175" i="21" s="1"/>
  <c r="BE175" i="21"/>
  <c r="AW175" i="21"/>
  <c r="AX175" i="21" s="1"/>
  <c r="AU175" i="21"/>
  <c r="AS175" i="21"/>
  <c r="AT175" i="21" s="1"/>
  <c r="AQ175" i="21"/>
  <c r="AR175" i="21" s="1"/>
  <c r="AO175" i="21"/>
  <c r="AM175" i="21"/>
  <c r="AN175" i="21" s="1"/>
  <c r="AK175" i="21"/>
  <c r="AG175" i="21"/>
  <c r="AH175" i="21" s="1"/>
  <c r="AE175" i="21"/>
  <c r="AF175" i="21" s="1"/>
  <c r="AC175" i="21"/>
  <c r="AA175" i="21"/>
  <c r="AB175" i="21" s="1"/>
  <c r="W175" i="21"/>
  <c r="X175" i="21" s="1"/>
  <c r="U175" i="21"/>
  <c r="V175" i="21" s="1"/>
  <c r="S175" i="21"/>
  <c r="T175" i="21" s="1"/>
  <c r="Q175" i="21"/>
  <c r="R175" i="21" s="1"/>
  <c r="P175" i="21"/>
  <c r="O175" i="21"/>
  <c r="N175" i="21"/>
  <c r="M175" i="21"/>
  <c r="L175" i="21"/>
  <c r="K175" i="21"/>
  <c r="J175" i="21"/>
  <c r="I175" i="21"/>
  <c r="H175" i="21"/>
  <c r="G175" i="21"/>
  <c r="F175" i="21"/>
  <c r="E175" i="21"/>
  <c r="D175" i="21"/>
  <c r="C175" i="21"/>
  <c r="B175" i="21"/>
  <c r="A175" i="21"/>
  <c r="BG174" i="21"/>
  <c r="BH174" i="21" s="1"/>
  <c r="BE174" i="21"/>
  <c r="BF174" i="21" s="1"/>
  <c r="AW174" i="21"/>
  <c r="AX174" i="21" s="1"/>
  <c r="AU174" i="21"/>
  <c r="AV174" i="21" s="1"/>
  <c r="AS174" i="21"/>
  <c r="AQ174" i="21"/>
  <c r="AR174" i="21" s="1"/>
  <c r="AO174" i="21"/>
  <c r="AM174" i="21"/>
  <c r="AK174" i="21"/>
  <c r="AL174" i="21" s="1"/>
  <c r="AG174" i="21"/>
  <c r="AH174" i="21" s="1"/>
  <c r="AE174" i="21"/>
  <c r="AF174" i="21" s="1"/>
  <c r="AC174" i="21"/>
  <c r="AA174" i="21"/>
  <c r="AB174" i="21" s="1"/>
  <c r="W174" i="21"/>
  <c r="X174" i="21" s="1"/>
  <c r="U174" i="21"/>
  <c r="V174" i="21" s="1"/>
  <c r="S174" i="21"/>
  <c r="T174" i="21" s="1"/>
  <c r="Q174" i="21"/>
  <c r="R174" i="21" s="1"/>
  <c r="P174" i="21"/>
  <c r="O174" i="21"/>
  <c r="N174" i="21"/>
  <c r="M174" i="21"/>
  <c r="L174" i="21"/>
  <c r="K174" i="21"/>
  <c r="J174" i="21"/>
  <c r="I174" i="21"/>
  <c r="H174" i="21"/>
  <c r="G174" i="21"/>
  <c r="F174" i="21"/>
  <c r="E174" i="21"/>
  <c r="D174" i="21"/>
  <c r="C174" i="21"/>
  <c r="B174" i="21"/>
  <c r="A174" i="21"/>
  <c r="BG173" i="21"/>
  <c r="BE173" i="21"/>
  <c r="BF173" i="21" s="1"/>
  <c r="AW173" i="21"/>
  <c r="AX173" i="21" s="1"/>
  <c r="AU173" i="21"/>
  <c r="AV173" i="21" s="1"/>
  <c r="AS173" i="21"/>
  <c r="AQ173" i="21"/>
  <c r="AR173" i="21" s="1"/>
  <c r="AO173" i="21"/>
  <c r="AP173" i="21" s="1"/>
  <c r="AM173" i="21"/>
  <c r="AK173" i="21"/>
  <c r="AL173" i="21" s="1"/>
  <c r="AG173" i="21"/>
  <c r="AH173" i="21" s="1"/>
  <c r="AE173" i="21"/>
  <c r="AF173" i="21" s="1"/>
  <c r="AC173" i="21"/>
  <c r="AD173" i="21" s="1"/>
  <c r="AA173" i="21"/>
  <c r="AB173" i="21" s="1"/>
  <c r="W173" i="21"/>
  <c r="X173" i="21" s="1"/>
  <c r="U173" i="21"/>
  <c r="V173" i="21" s="1"/>
  <c r="S173" i="21"/>
  <c r="T173" i="21" s="1"/>
  <c r="Q173" i="21"/>
  <c r="R173" i="21" s="1"/>
  <c r="P173" i="21"/>
  <c r="O173" i="21"/>
  <c r="N173" i="21"/>
  <c r="M173" i="21"/>
  <c r="L173" i="21"/>
  <c r="K173" i="21"/>
  <c r="J173" i="21"/>
  <c r="I173" i="21"/>
  <c r="H173" i="21"/>
  <c r="G173" i="21"/>
  <c r="F173" i="21"/>
  <c r="E173" i="21"/>
  <c r="D173" i="21"/>
  <c r="C173" i="21"/>
  <c r="B173" i="21"/>
  <c r="A173" i="21"/>
  <c r="BG172" i="21"/>
  <c r="BH172" i="21" s="1"/>
  <c r="BE172" i="21"/>
  <c r="BF172" i="21" s="1"/>
  <c r="AW172" i="21"/>
  <c r="AU172" i="21"/>
  <c r="AS172" i="21"/>
  <c r="AT172" i="21" s="1"/>
  <c r="AQ172" i="21"/>
  <c r="AR172" i="21" s="1"/>
  <c r="AO172" i="21"/>
  <c r="AP172" i="21" s="1"/>
  <c r="AM172" i="21"/>
  <c r="AK172" i="21"/>
  <c r="AL172" i="21" s="1"/>
  <c r="AG172" i="21"/>
  <c r="AH172" i="21" s="1"/>
  <c r="AE172" i="21"/>
  <c r="AC172" i="21"/>
  <c r="AD172" i="21" s="1"/>
  <c r="AA172" i="21"/>
  <c r="AB172" i="21" s="1"/>
  <c r="W172" i="21"/>
  <c r="U172" i="21"/>
  <c r="V172" i="21" s="1"/>
  <c r="S172" i="21"/>
  <c r="T172" i="21" s="1"/>
  <c r="Q172" i="21"/>
  <c r="P172" i="21"/>
  <c r="O172" i="21"/>
  <c r="N172" i="21"/>
  <c r="M172" i="21"/>
  <c r="L172" i="21"/>
  <c r="K172" i="21"/>
  <c r="J172" i="21"/>
  <c r="I172" i="21"/>
  <c r="H172" i="21"/>
  <c r="G172" i="21"/>
  <c r="F172" i="21"/>
  <c r="E172" i="21"/>
  <c r="D172" i="21"/>
  <c r="C172" i="21"/>
  <c r="B172" i="21"/>
  <c r="A172" i="21"/>
  <c r="BG171" i="21"/>
  <c r="BH171" i="21" s="1"/>
  <c r="BE171" i="21"/>
  <c r="AW171" i="21"/>
  <c r="AX171" i="21" s="1"/>
  <c r="AU171" i="21"/>
  <c r="AS171" i="21"/>
  <c r="AT171" i="21" s="1"/>
  <c r="AQ171" i="21"/>
  <c r="AR171" i="21" s="1"/>
  <c r="AO171" i="21"/>
  <c r="AP171" i="21" s="1"/>
  <c r="AM171" i="21"/>
  <c r="AN171" i="21" s="1"/>
  <c r="AK171" i="21"/>
  <c r="AL171" i="21" s="1"/>
  <c r="AG171" i="21"/>
  <c r="AH171" i="21" s="1"/>
  <c r="AE171" i="21"/>
  <c r="AF171" i="21" s="1"/>
  <c r="AC171" i="21"/>
  <c r="AD171" i="21" s="1"/>
  <c r="AA171" i="21"/>
  <c r="AB171" i="21" s="1"/>
  <c r="W171" i="21"/>
  <c r="X171" i="21" s="1"/>
  <c r="U171" i="21"/>
  <c r="S171" i="21"/>
  <c r="T171" i="21" s="1"/>
  <c r="Q171" i="21"/>
  <c r="P171" i="21"/>
  <c r="O171" i="21"/>
  <c r="N171" i="21"/>
  <c r="M171" i="21"/>
  <c r="L171" i="21"/>
  <c r="K171" i="21"/>
  <c r="J171" i="21"/>
  <c r="I171" i="21"/>
  <c r="H171" i="21"/>
  <c r="G171" i="21"/>
  <c r="F171" i="21"/>
  <c r="E171" i="21"/>
  <c r="D171" i="21"/>
  <c r="C171" i="21"/>
  <c r="B171" i="21"/>
  <c r="A171" i="21"/>
  <c r="BG170" i="21"/>
  <c r="BE170" i="21"/>
  <c r="BF170" i="21" s="1"/>
  <c r="AW170" i="21"/>
  <c r="AX170" i="21" s="1"/>
  <c r="AU170" i="21"/>
  <c r="AS170" i="21"/>
  <c r="AT170" i="21" s="1"/>
  <c r="AQ170" i="21"/>
  <c r="AR170" i="21" s="1"/>
  <c r="AO170" i="21"/>
  <c r="AP170" i="21" s="1"/>
  <c r="AM170" i="21"/>
  <c r="AN170" i="21" s="1"/>
  <c r="AK170" i="21"/>
  <c r="AL170" i="21" s="1"/>
  <c r="AG170" i="21"/>
  <c r="AE170" i="21"/>
  <c r="AF170" i="21" s="1"/>
  <c r="AC170" i="21"/>
  <c r="AD170" i="21" s="1"/>
  <c r="AA170" i="21"/>
  <c r="AB170" i="21" s="1"/>
  <c r="W170" i="21"/>
  <c r="X170" i="21" s="1"/>
  <c r="U170" i="21"/>
  <c r="S170" i="21"/>
  <c r="T170" i="21" s="1"/>
  <c r="Q170" i="21"/>
  <c r="R170" i="21" s="1"/>
  <c r="P170" i="21"/>
  <c r="O170" i="21"/>
  <c r="N170" i="21"/>
  <c r="M170" i="21"/>
  <c r="L170" i="21"/>
  <c r="K170" i="21"/>
  <c r="J170" i="21"/>
  <c r="I170" i="21"/>
  <c r="H170" i="21"/>
  <c r="G170" i="21"/>
  <c r="F170" i="21"/>
  <c r="E170" i="21"/>
  <c r="D170" i="21"/>
  <c r="C170" i="21"/>
  <c r="B170" i="21"/>
  <c r="A170" i="21"/>
  <c r="BG169" i="21"/>
  <c r="BE169" i="21"/>
  <c r="BF169" i="21" s="1"/>
  <c r="AW169" i="21"/>
  <c r="AX169" i="21" s="1"/>
  <c r="AU169" i="21"/>
  <c r="AV169" i="21" s="1"/>
  <c r="AS169" i="21"/>
  <c r="AT169" i="21" s="1"/>
  <c r="AQ169" i="21"/>
  <c r="AR169" i="21" s="1"/>
  <c r="BB169" i="21" s="1"/>
  <c r="AO169" i="21"/>
  <c r="AP169" i="21" s="1"/>
  <c r="AM169" i="21"/>
  <c r="AN169" i="21" s="1"/>
  <c r="AK169" i="21"/>
  <c r="AL169" i="21" s="1"/>
  <c r="AG169" i="21"/>
  <c r="AH169" i="21" s="1"/>
  <c r="AE169" i="21"/>
  <c r="AF169" i="21" s="1"/>
  <c r="AC169" i="21"/>
  <c r="AD169" i="21" s="1"/>
  <c r="AA169" i="21"/>
  <c r="W169" i="21"/>
  <c r="U169" i="21"/>
  <c r="V169" i="21" s="1"/>
  <c r="S169" i="21"/>
  <c r="T169" i="21" s="1"/>
  <c r="Q169" i="21"/>
  <c r="R169" i="21" s="1"/>
  <c r="P169" i="21"/>
  <c r="O169" i="21"/>
  <c r="N169" i="21"/>
  <c r="M169" i="21"/>
  <c r="L169" i="21"/>
  <c r="K169" i="21"/>
  <c r="J169" i="21"/>
  <c r="I169" i="21"/>
  <c r="H169" i="21"/>
  <c r="G169" i="21"/>
  <c r="F169" i="21"/>
  <c r="E169" i="21"/>
  <c r="D169" i="21"/>
  <c r="C169" i="21"/>
  <c r="B169" i="21"/>
  <c r="A169" i="21"/>
  <c r="BG168" i="21"/>
  <c r="BE168" i="21"/>
  <c r="BF168" i="21" s="1"/>
  <c r="AW168" i="21"/>
  <c r="AU168" i="21"/>
  <c r="AV168" i="21" s="1"/>
  <c r="AS168" i="21"/>
  <c r="AT168" i="21" s="1"/>
  <c r="AQ168" i="21"/>
  <c r="AO168" i="21"/>
  <c r="AP168" i="21" s="1"/>
  <c r="AM168" i="21"/>
  <c r="AN168" i="21" s="1"/>
  <c r="AK168" i="21"/>
  <c r="AG168" i="21"/>
  <c r="AH168" i="21" s="1"/>
  <c r="AE168" i="21"/>
  <c r="AC168" i="21"/>
  <c r="AD168" i="21" s="1"/>
  <c r="AA168" i="21"/>
  <c r="AB168" i="21" s="1"/>
  <c r="W168" i="21"/>
  <c r="U168" i="21"/>
  <c r="V168" i="21" s="1"/>
  <c r="S168" i="21"/>
  <c r="T168" i="21" s="1"/>
  <c r="Q168" i="21"/>
  <c r="R168" i="21" s="1"/>
  <c r="P168" i="21"/>
  <c r="O168" i="21"/>
  <c r="N168" i="21"/>
  <c r="M168" i="21"/>
  <c r="L168" i="21"/>
  <c r="K168" i="21"/>
  <c r="J168" i="21"/>
  <c r="I168" i="21"/>
  <c r="H168" i="21"/>
  <c r="G168" i="21"/>
  <c r="F168" i="21"/>
  <c r="E168" i="21"/>
  <c r="D168" i="21"/>
  <c r="C168" i="21"/>
  <c r="B168" i="21"/>
  <c r="A168" i="21"/>
  <c r="BG167" i="21"/>
  <c r="BH167" i="21" s="1"/>
  <c r="BE167" i="21"/>
  <c r="BF167" i="21" s="1"/>
  <c r="AW167" i="21"/>
  <c r="AX167" i="21" s="1"/>
  <c r="AU167" i="21"/>
  <c r="AV167" i="21" s="1"/>
  <c r="AS167" i="21"/>
  <c r="AT167" i="21" s="1"/>
  <c r="AQ167" i="21"/>
  <c r="AR167" i="21" s="1"/>
  <c r="AO167" i="21"/>
  <c r="AM167" i="21"/>
  <c r="AN167" i="21" s="1"/>
  <c r="AK167" i="21"/>
  <c r="AG167" i="21"/>
  <c r="AE167" i="21"/>
  <c r="AF167" i="21" s="1"/>
  <c r="AC167" i="21"/>
  <c r="AD167" i="21" s="1"/>
  <c r="AA167" i="21"/>
  <c r="AB167" i="21" s="1"/>
  <c r="W167" i="21"/>
  <c r="U167" i="21"/>
  <c r="V167" i="21" s="1"/>
  <c r="S167" i="21"/>
  <c r="T167" i="21" s="1"/>
  <c r="Q167" i="21"/>
  <c r="R167" i="21" s="1"/>
  <c r="P167" i="21"/>
  <c r="O167" i="21"/>
  <c r="N167" i="21"/>
  <c r="M167" i="21"/>
  <c r="L167" i="21"/>
  <c r="K167" i="21"/>
  <c r="J167" i="21"/>
  <c r="I167" i="21"/>
  <c r="H167" i="21"/>
  <c r="G167" i="21"/>
  <c r="F167" i="21"/>
  <c r="E167" i="21"/>
  <c r="D167" i="21"/>
  <c r="C167" i="21"/>
  <c r="B167" i="21"/>
  <c r="A167" i="21"/>
  <c r="BG166" i="21"/>
  <c r="BH166" i="21" s="1"/>
  <c r="BE166" i="21"/>
  <c r="BF166" i="21" s="1"/>
  <c r="AW166" i="21"/>
  <c r="AX166" i="21" s="1"/>
  <c r="AU166" i="21"/>
  <c r="AV166" i="21" s="1"/>
  <c r="AS166" i="21"/>
  <c r="AT166" i="21" s="1"/>
  <c r="AQ166" i="21"/>
  <c r="AR166" i="21" s="1"/>
  <c r="AO166" i="21"/>
  <c r="AM166" i="21"/>
  <c r="AN166" i="21" s="1"/>
  <c r="AK166" i="21"/>
  <c r="AL166" i="21" s="1"/>
  <c r="AG166" i="21"/>
  <c r="AE166" i="21"/>
  <c r="AF166" i="21" s="1"/>
  <c r="AC166" i="21"/>
  <c r="AD166" i="21" s="1"/>
  <c r="AA166" i="21"/>
  <c r="AB166" i="21" s="1"/>
  <c r="W166" i="21"/>
  <c r="X166" i="21" s="1"/>
  <c r="U166" i="21"/>
  <c r="V166" i="21" s="1"/>
  <c r="S166" i="21"/>
  <c r="T166" i="21" s="1"/>
  <c r="Q166" i="21"/>
  <c r="R166" i="21" s="1"/>
  <c r="P166" i="21"/>
  <c r="O166" i="21"/>
  <c r="N166" i="21"/>
  <c r="M166" i="21"/>
  <c r="L166" i="21"/>
  <c r="K166" i="21"/>
  <c r="J166" i="21"/>
  <c r="I166" i="21"/>
  <c r="H166" i="21"/>
  <c r="G166" i="21"/>
  <c r="F166" i="21"/>
  <c r="E166" i="21"/>
  <c r="D166" i="21"/>
  <c r="C166" i="21"/>
  <c r="B166" i="21"/>
  <c r="A166" i="21"/>
  <c r="BG165" i="21"/>
  <c r="BH165" i="21" s="1"/>
  <c r="BE165" i="21"/>
  <c r="BF165" i="21" s="1"/>
  <c r="AW165" i="21"/>
  <c r="AX165" i="21" s="1"/>
  <c r="AU165" i="21"/>
  <c r="AV165" i="21" s="1"/>
  <c r="AS165" i="21"/>
  <c r="AQ165" i="21"/>
  <c r="AO165" i="21"/>
  <c r="AP165" i="21" s="1"/>
  <c r="AM165" i="21"/>
  <c r="AN165" i="21" s="1"/>
  <c r="AK165" i="21"/>
  <c r="AL165" i="21" s="1"/>
  <c r="AG165" i="21"/>
  <c r="AE165" i="21"/>
  <c r="AF165" i="21" s="1"/>
  <c r="AC165" i="21"/>
  <c r="AD165" i="21" s="1"/>
  <c r="AA165" i="21"/>
  <c r="W165" i="21"/>
  <c r="X165" i="21" s="1"/>
  <c r="U165" i="21"/>
  <c r="V165" i="21" s="1"/>
  <c r="S165" i="21"/>
  <c r="Q165" i="21"/>
  <c r="R165" i="21" s="1"/>
  <c r="P165" i="21"/>
  <c r="O165" i="21"/>
  <c r="N165" i="21"/>
  <c r="M165" i="21"/>
  <c r="L165" i="21"/>
  <c r="K165" i="21"/>
  <c r="J165" i="21"/>
  <c r="I165" i="21"/>
  <c r="H165" i="21"/>
  <c r="G165" i="21"/>
  <c r="F165" i="21"/>
  <c r="E165" i="21"/>
  <c r="D165" i="21"/>
  <c r="C165" i="21"/>
  <c r="B165" i="21"/>
  <c r="A165" i="21"/>
  <c r="BG164" i="21"/>
  <c r="BH164" i="21" s="1"/>
  <c r="BE164" i="21"/>
  <c r="AW164" i="21"/>
  <c r="AU164" i="21"/>
  <c r="AV164" i="21" s="1"/>
  <c r="AS164" i="21"/>
  <c r="AT164" i="21" s="1"/>
  <c r="AQ164" i="21"/>
  <c r="AO164" i="21"/>
  <c r="AP164" i="21" s="1"/>
  <c r="AM164" i="21"/>
  <c r="AN164" i="21" s="1"/>
  <c r="AK164" i="21"/>
  <c r="AL164" i="21" s="1"/>
  <c r="AG164" i="21"/>
  <c r="AH164" i="21" s="1"/>
  <c r="AE164" i="21"/>
  <c r="AF164" i="21" s="1"/>
  <c r="AC164" i="21"/>
  <c r="AD164" i="21" s="1"/>
  <c r="AA164" i="21"/>
  <c r="AB164" i="21" s="1"/>
  <c r="W164" i="21"/>
  <c r="X164" i="21" s="1"/>
  <c r="U164" i="21"/>
  <c r="V164" i="21" s="1"/>
  <c r="S164" i="21"/>
  <c r="T164" i="21" s="1"/>
  <c r="Q164" i="21"/>
  <c r="P164" i="21"/>
  <c r="O164" i="21"/>
  <c r="N164" i="21"/>
  <c r="M164" i="21"/>
  <c r="L164" i="21"/>
  <c r="K164" i="21"/>
  <c r="J164" i="21"/>
  <c r="I164" i="21"/>
  <c r="H164" i="21"/>
  <c r="G164" i="21"/>
  <c r="F164" i="21"/>
  <c r="E164" i="21"/>
  <c r="D164" i="21"/>
  <c r="C164" i="21"/>
  <c r="B164" i="21"/>
  <c r="A164" i="21"/>
  <c r="BG163" i="21"/>
  <c r="BH163" i="21" s="1"/>
  <c r="BE163" i="21"/>
  <c r="AW163" i="21"/>
  <c r="AX163" i="21" s="1"/>
  <c r="AU163" i="21"/>
  <c r="AV163" i="21" s="1"/>
  <c r="AS163" i="21"/>
  <c r="AT163" i="21" s="1"/>
  <c r="AQ163" i="21"/>
  <c r="AO163" i="21"/>
  <c r="AP163" i="21" s="1"/>
  <c r="AM163" i="21"/>
  <c r="AN163" i="21" s="1"/>
  <c r="AK163" i="21"/>
  <c r="AL163" i="21" s="1"/>
  <c r="AG163" i="21"/>
  <c r="AH163" i="21" s="1"/>
  <c r="AE163" i="21"/>
  <c r="AF163" i="21" s="1"/>
  <c r="AC163" i="21"/>
  <c r="AA163" i="21"/>
  <c r="AB163" i="21" s="1"/>
  <c r="W163" i="21"/>
  <c r="X163" i="21" s="1"/>
  <c r="U163" i="21"/>
  <c r="V163" i="21" s="1"/>
  <c r="S163" i="21"/>
  <c r="T163" i="21" s="1"/>
  <c r="Z163" i="21" s="1"/>
  <c r="Q163" i="21"/>
  <c r="P163" i="21"/>
  <c r="O163" i="21"/>
  <c r="N163" i="21"/>
  <c r="M163" i="21"/>
  <c r="L163" i="21"/>
  <c r="K163" i="21"/>
  <c r="J163" i="21"/>
  <c r="I163" i="21"/>
  <c r="H163" i="21"/>
  <c r="G163" i="21"/>
  <c r="F163" i="21"/>
  <c r="E163" i="21"/>
  <c r="D163" i="21"/>
  <c r="C163" i="21"/>
  <c r="B163" i="21"/>
  <c r="A163" i="21"/>
  <c r="BG162" i="21"/>
  <c r="BH162" i="21" s="1"/>
  <c r="BE162" i="21"/>
  <c r="BF162" i="21" s="1"/>
  <c r="AW162" i="21"/>
  <c r="AX162" i="21" s="1"/>
  <c r="AU162" i="21"/>
  <c r="AV162" i="21" s="1"/>
  <c r="AS162" i="21"/>
  <c r="AT162" i="21" s="1"/>
  <c r="AQ162" i="21"/>
  <c r="AR162" i="21" s="1"/>
  <c r="AO162" i="21"/>
  <c r="AP162" i="21" s="1"/>
  <c r="AM162" i="21"/>
  <c r="AN162" i="21" s="1"/>
  <c r="AK162" i="21"/>
  <c r="AL162" i="21" s="1"/>
  <c r="AG162" i="21"/>
  <c r="AH162" i="21" s="1"/>
  <c r="AE162" i="21"/>
  <c r="AF162" i="21" s="1"/>
  <c r="AC162" i="21"/>
  <c r="AD162" i="21" s="1"/>
  <c r="AA162" i="21"/>
  <c r="AB162" i="21" s="1"/>
  <c r="W162" i="21"/>
  <c r="X162" i="21" s="1"/>
  <c r="U162" i="21"/>
  <c r="V162" i="21" s="1"/>
  <c r="S162" i="21"/>
  <c r="Q162" i="21"/>
  <c r="R162" i="21" s="1"/>
  <c r="P162" i="21"/>
  <c r="O162" i="21"/>
  <c r="N162" i="21"/>
  <c r="M162" i="21"/>
  <c r="L162" i="21"/>
  <c r="K162" i="21"/>
  <c r="J162" i="21"/>
  <c r="I162" i="21"/>
  <c r="H162" i="21"/>
  <c r="G162" i="21"/>
  <c r="F162" i="21"/>
  <c r="E162" i="21"/>
  <c r="D162" i="21"/>
  <c r="C162" i="21"/>
  <c r="B162" i="21"/>
  <c r="A162" i="21"/>
  <c r="BG161" i="21"/>
  <c r="BE161" i="21"/>
  <c r="BF161" i="21" s="1"/>
  <c r="AW161" i="21"/>
  <c r="AX161" i="21" s="1"/>
  <c r="AU161" i="21"/>
  <c r="AV161" i="21" s="1"/>
  <c r="AS161" i="21"/>
  <c r="AT161" i="21" s="1"/>
  <c r="AQ161" i="21"/>
  <c r="AO161" i="21"/>
  <c r="AP161" i="21" s="1"/>
  <c r="AM161" i="21"/>
  <c r="AN161" i="21" s="1"/>
  <c r="AK161" i="21"/>
  <c r="AL161" i="21" s="1"/>
  <c r="AG161" i="21"/>
  <c r="AH161" i="21" s="1"/>
  <c r="AE161" i="21"/>
  <c r="AC161" i="21"/>
  <c r="AD161" i="21" s="1"/>
  <c r="AA161" i="21"/>
  <c r="W161" i="21"/>
  <c r="U161" i="21"/>
  <c r="V161" i="21" s="1"/>
  <c r="S161" i="21"/>
  <c r="Q161" i="21"/>
  <c r="R161" i="21" s="1"/>
  <c r="P161" i="21"/>
  <c r="O161" i="21"/>
  <c r="N161" i="21"/>
  <c r="M161" i="21"/>
  <c r="L161" i="21"/>
  <c r="K161" i="21"/>
  <c r="J161" i="21"/>
  <c r="I161" i="21"/>
  <c r="H161" i="21"/>
  <c r="G161" i="21"/>
  <c r="F161" i="21"/>
  <c r="E161" i="21"/>
  <c r="D161" i="21"/>
  <c r="C161" i="21"/>
  <c r="B161" i="21"/>
  <c r="A161" i="21"/>
  <c r="BG160" i="21"/>
  <c r="BH160" i="21" s="1"/>
  <c r="BE160" i="21"/>
  <c r="AW160" i="21"/>
  <c r="AX160" i="21" s="1"/>
  <c r="AU160" i="21"/>
  <c r="AS160" i="21"/>
  <c r="AT160" i="21" s="1"/>
  <c r="AQ160" i="21"/>
  <c r="AR160" i="21" s="1"/>
  <c r="AO160" i="21"/>
  <c r="AP160" i="21" s="1"/>
  <c r="AM160" i="21"/>
  <c r="AK160" i="21"/>
  <c r="AL160" i="21" s="1"/>
  <c r="AG160" i="21"/>
  <c r="AH160" i="21" s="1"/>
  <c r="AE160" i="21"/>
  <c r="AC160" i="21"/>
  <c r="AA160" i="21"/>
  <c r="AB160" i="21" s="1"/>
  <c r="W160" i="21"/>
  <c r="U160" i="21"/>
  <c r="V160" i="21" s="1"/>
  <c r="S160" i="21"/>
  <c r="Q160" i="21"/>
  <c r="R160" i="21" s="1"/>
  <c r="P160" i="21"/>
  <c r="O160" i="21"/>
  <c r="N160" i="21"/>
  <c r="M160" i="21"/>
  <c r="L160" i="21"/>
  <c r="K160" i="21"/>
  <c r="J160" i="21"/>
  <c r="I160" i="21"/>
  <c r="H160" i="21"/>
  <c r="G160" i="21"/>
  <c r="F160" i="21"/>
  <c r="E160" i="21"/>
  <c r="D160" i="21"/>
  <c r="C160" i="21"/>
  <c r="B160" i="21"/>
  <c r="A160" i="21"/>
  <c r="BG159" i="21"/>
  <c r="BH159" i="21" s="1"/>
  <c r="BE159" i="21"/>
  <c r="BF159" i="21" s="1"/>
  <c r="AW159" i="21"/>
  <c r="AU159" i="21"/>
  <c r="AV159" i="21" s="1"/>
  <c r="AS159" i="21"/>
  <c r="AT159" i="21" s="1"/>
  <c r="AQ159" i="21"/>
  <c r="AO159" i="21"/>
  <c r="AP159" i="21" s="1"/>
  <c r="AM159" i="21"/>
  <c r="AN159" i="21" s="1"/>
  <c r="AK159" i="21"/>
  <c r="AG159" i="21"/>
  <c r="AH159" i="21" s="1"/>
  <c r="AE159" i="21"/>
  <c r="AC159" i="21"/>
  <c r="AA159" i="21"/>
  <c r="AB159" i="21" s="1"/>
  <c r="W159" i="21"/>
  <c r="U159" i="21"/>
  <c r="V159" i="21" s="1"/>
  <c r="S159" i="21"/>
  <c r="T159" i="21" s="1"/>
  <c r="Q159" i="21"/>
  <c r="R159" i="21" s="1"/>
  <c r="P159" i="21"/>
  <c r="O159" i="21"/>
  <c r="N159" i="21"/>
  <c r="M159" i="21"/>
  <c r="L159" i="21"/>
  <c r="K159" i="21"/>
  <c r="J159" i="21"/>
  <c r="I159" i="21"/>
  <c r="H159" i="21"/>
  <c r="G159" i="21"/>
  <c r="F159" i="21"/>
  <c r="E159" i="21"/>
  <c r="D159" i="21"/>
  <c r="C159" i="21"/>
  <c r="B159" i="21"/>
  <c r="A159" i="21"/>
  <c r="BG158" i="21"/>
  <c r="BH158" i="21" s="1"/>
  <c r="BE158" i="21"/>
  <c r="AW158" i="21"/>
  <c r="AX158" i="21" s="1"/>
  <c r="AU158" i="21"/>
  <c r="AS158" i="21"/>
  <c r="AT158" i="21" s="1"/>
  <c r="AQ158" i="21"/>
  <c r="AR158" i="21" s="1"/>
  <c r="AO158" i="21"/>
  <c r="AM158" i="21"/>
  <c r="AN158" i="21" s="1"/>
  <c r="AK158" i="21"/>
  <c r="AG158" i="21"/>
  <c r="AE158" i="21"/>
  <c r="AF158" i="21" s="1"/>
  <c r="AC158" i="21"/>
  <c r="AA158" i="21"/>
  <c r="AB158" i="21" s="1"/>
  <c r="W158" i="21"/>
  <c r="X158" i="21" s="1"/>
  <c r="U158" i="21"/>
  <c r="V158" i="21" s="1"/>
  <c r="S158" i="21"/>
  <c r="T158" i="21" s="1"/>
  <c r="Q158" i="21"/>
  <c r="P158" i="21"/>
  <c r="O158" i="21"/>
  <c r="N158" i="21"/>
  <c r="M158" i="21"/>
  <c r="L158" i="21"/>
  <c r="K158" i="21"/>
  <c r="J158" i="21"/>
  <c r="I158" i="21"/>
  <c r="H158" i="21"/>
  <c r="G158" i="21"/>
  <c r="F158" i="21"/>
  <c r="E158" i="21"/>
  <c r="D158" i="21"/>
  <c r="C158" i="21"/>
  <c r="B158" i="21"/>
  <c r="A158" i="21"/>
  <c r="BG157" i="21"/>
  <c r="BH157" i="21" s="1"/>
  <c r="BE157" i="21"/>
  <c r="BF157" i="21" s="1"/>
  <c r="AW157" i="21"/>
  <c r="AX157" i="21" s="1"/>
  <c r="AU157" i="21"/>
  <c r="AV157" i="21" s="1"/>
  <c r="AS157" i="21"/>
  <c r="AQ157" i="21"/>
  <c r="AR157" i="21" s="1"/>
  <c r="AO157" i="21"/>
  <c r="AP157" i="21" s="1"/>
  <c r="AM157" i="21"/>
  <c r="AK157" i="21"/>
  <c r="AL157" i="21" s="1"/>
  <c r="AG157" i="21"/>
  <c r="AE157" i="21"/>
  <c r="AF157" i="21" s="1"/>
  <c r="AC157" i="21"/>
  <c r="AD157" i="21" s="1"/>
  <c r="AA157" i="21"/>
  <c r="AB157" i="21" s="1"/>
  <c r="W157" i="21"/>
  <c r="X157" i="21" s="1"/>
  <c r="U157" i="21"/>
  <c r="S157" i="21"/>
  <c r="T157" i="21" s="1"/>
  <c r="Q157" i="21"/>
  <c r="R157" i="21" s="1"/>
  <c r="P157" i="21"/>
  <c r="O157" i="21"/>
  <c r="N157" i="21"/>
  <c r="M157" i="21"/>
  <c r="L157" i="21"/>
  <c r="K157" i="21"/>
  <c r="J157" i="21"/>
  <c r="I157" i="21"/>
  <c r="H157" i="21"/>
  <c r="G157" i="21"/>
  <c r="F157" i="21"/>
  <c r="E157" i="21"/>
  <c r="D157" i="21"/>
  <c r="C157" i="21"/>
  <c r="B157" i="21"/>
  <c r="A157" i="21"/>
  <c r="BG156" i="21"/>
  <c r="BE156" i="21"/>
  <c r="BF156" i="21" s="1"/>
  <c r="AW156" i="21"/>
  <c r="AU156" i="21"/>
  <c r="AV156" i="21" s="1"/>
  <c r="AS156" i="21"/>
  <c r="AT156" i="21" s="1"/>
  <c r="AQ156" i="21"/>
  <c r="AO156" i="21"/>
  <c r="AP156" i="21" s="1"/>
  <c r="AM156" i="21"/>
  <c r="AK156" i="21"/>
  <c r="AL156" i="21" s="1"/>
  <c r="AG156" i="21"/>
  <c r="AH156" i="21" s="1"/>
  <c r="AE156" i="21"/>
  <c r="AF156" i="21" s="1"/>
  <c r="AC156" i="21"/>
  <c r="AD156" i="21" s="1"/>
  <c r="AA156" i="21"/>
  <c r="W156" i="21"/>
  <c r="X156" i="21" s="1"/>
  <c r="U156" i="21"/>
  <c r="V156" i="21" s="1"/>
  <c r="S156" i="21"/>
  <c r="Q156" i="21"/>
  <c r="R156" i="21" s="1"/>
  <c r="Y156" i="21" s="1"/>
  <c r="P156" i="21"/>
  <c r="O156" i="21"/>
  <c r="N156" i="21"/>
  <c r="M156" i="21"/>
  <c r="L156" i="21"/>
  <c r="K156" i="21"/>
  <c r="J156" i="21"/>
  <c r="I156" i="21"/>
  <c r="H156" i="21"/>
  <c r="G156" i="21"/>
  <c r="F156" i="21"/>
  <c r="E156" i="21"/>
  <c r="D156" i="21"/>
  <c r="C156" i="21"/>
  <c r="B156" i="21"/>
  <c r="A156" i="21"/>
  <c r="BG155" i="21"/>
  <c r="BH155" i="21" s="1"/>
  <c r="BE155" i="21"/>
  <c r="AW155" i="21"/>
  <c r="AX155" i="21" s="1"/>
  <c r="AU155" i="21"/>
  <c r="AS155" i="21"/>
  <c r="AT155" i="21" s="1"/>
  <c r="AQ155" i="21"/>
  <c r="AO155" i="21"/>
  <c r="AP155" i="21" s="1"/>
  <c r="AM155" i="21"/>
  <c r="AN155" i="21" s="1"/>
  <c r="AK155" i="21"/>
  <c r="AL155" i="21" s="1"/>
  <c r="AG155" i="21"/>
  <c r="AH155" i="21" s="1"/>
  <c r="AE155" i="21"/>
  <c r="AC155" i="21"/>
  <c r="AD155" i="21" s="1"/>
  <c r="AA155" i="21"/>
  <c r="AB155" i="21" s="1"/>
  <c r="W155" i="21"/>
  <c r="U155" i="21"/>
  <c r="V155" i="21" s="1"/>
  <c r="S155" i="21"/>
  <c r="T155" i="21" s="1"/>
  <c r="Q155" i="21"/>
  <c r="P155" i="21"/>
  <c r="O155" i="21"/>
  <c r="N155" i="21"/>
  <c r="M155" i="21"/>
  <c r="L155" i="21"/>
  <c r="K155" i="21"/>
  <c r="J155" i="21"/>
  <c r="I155" i="21"/>
  <c r="H155" i="21"/>
  <c r="G155" i="21"/>
  <c r="F155" i="21"/>
  <c r="E155" i="21"/>
  <c r="D155" i="21"/>
  <c r="C155" i="21"/>
  <c r="B155" i="21"/>
  <c r="A155" i="21"/>
  <c r="BG154" i="21"/>
  <c r="BH154" i="21" s="1"/>
  <c r="BE154" i="21"/>
  <c r="BF154" i="21" s="1"/>
  <c r="AW154" i="21"/>
  <c r="AX154" i="21" s="1"/>
  <c r="AU154" i="21"/>
  <c r="AS154" i="21"/>
  <c r="AT154" i="21" s="1"/>
  <c r="AQ154" i="21"/>
  <c r="AR154" i="21" s="1"/>
  <c r="AO154" i="21"/>
  <c r="AP154" i="21" s="1"/>
  <c r="AM154" i="21"/>
  <c r="AN154" i="21" s="1"/>
  <c r="AK154" i="21"/>
  <c r="AG154" i="21"/>
  <c r="AH154" i="21" s="1"/>
  <c r="AE154" i="21"/>
  <c r="AF154" i="21" s="1"/>
  <c r="AC154" i="21"/>
  <c r="AA154" i="21"/>
  <c r="AB154" i="21" s="1"/>
  <c r="W154" i="21"/>
  <c r="X154" i="21" s="1"/>
  <c r="U154" i="21"/>
  <c r="S154" i="21"/>
  <c r="T154" i="21" s="1"/>
  <c r="Q154" i="21"/>
  <c r="R154" i="21" s="1"/>
  <c r="P154" i="21"/>
  <c r="O154" i="21"/>
  <c r="N154" i="21"/>
  <c r="M154" i="21"/>
  <c r="L154" i="21"/>
  <c r="K154" i="21"/>
  <c r="J154" i="21"/>
  <c r="I154" i="21"/>
  <c r="H154" i="21"/>
  <c r="G154" i="21"/>
  <c r="F154" i="21"/>
  <c r="E154" i="21"/>
  <c r="D154" i="21"/>
  <c r="C154" i="21"/>
  <c r="B154" i="21"/>
  <c r="A154" i="21"/>
  <c r="BG153" i="21"/>
  <c r="BE153" i="21"/>
  <c r="BF153" i="21" s="1"/>
  <c r="AW153" i="21"/>
  <c r="AX153" i="21" s="1"/>
  <c r="AU153" i="21"/>
  <c r="AV153" i="21" s="1"/>
  <c r="AS153" i="21"/>
  <c r="AT153" i="21" s="1"/>
  <c r="AQ153" i="21"/>
  <c r="AR153" i="21" s="1"/>
  <c r="BB153" i="21" s="1"/>
  <c r="AO153" i="21"/>
  <c r="AM153" i="21"/>
  <c r="AN153" i="21" s="1"/>
  <c r="AK153" i="21"/>
  <c r="AL153" i="21" s="1"/>
  <c r="AG153" i="21"/>
  <c r="AE153" i="21"/>
  <c r="AF153" i="21" s="1"/>
  <c r="AC153" i="21"/>
  <c r="AD153" i="21" s="1"/>
  <c r="AA153" i="21"/>
  <c r="W153" i="21"/>
  <c r="X153" i="21" s="1"/>
  <c r="U153" i="21"/>
  <c r="V153" i="21" s="1"/>
  <c r="S153" i="21"/>
  <c r="Q153" i="21"/>
  <c r="R153" i="21" s="1"/>
  <c r="P153" i="21"/>
  <c r="O153" i="21"/>
  <c r="N153" i="21"/>
  <c r="M153" i="21"/>
  <c r="L153" i="21"/>
  <c r="K153" i="21"/>
  <c r="J153" i="21"/>
  <c r="I153" i="21"/>
  <c r="H153" i="21"/>
  <c r="G153" i="21"/>
  <c r="F153" i="21"/>
  <c r="E153" i="21"/>
  <c r="D153" i="21"/>
  <c r="C153" i="21"/>
  <c r="B153" i="21"/>
  <c r="A153" i="21"/>
  <c r="BG152" i="21"/>
  <c r="BE152" i="21"/>
  <c r="BF152" i="21" s="1"/>
  <c r="AW152" i="21"/>
  <c r="AX152" i="21" s="1"/>
  <c r="AU152" i="21"/>
  <c r="AV152" i="21" s="1"/>
  <c r="AS152" i="21"/>
  <c r="AQ152" i="21"/>
  <c r="AR152" i="21" s="1"/>
  <c r="AO152" i="21"/>
  <c r="AP152" i="21" s="1"/>
  <c r="AM152" i="21"/>
  <c r="AK152" i="21"/>
  <c r="AL152" i="21" s="1"/>
  <c r="AG152" i="21"/>
  <c r="AH152" i="21" s="1"/>
  <c r="AE152" i="21"/>
  <c r="AC152" i="21"/>
  <c r="AD152" i="21" s="1"/>
  <c r="AA152" i="21"/>
  <c r="AB152" i="21" s="1"/>
  <c r="W152" i="21"/>
  <c r="U152" i="21"/>
  <c r="V152" i="21" s="1"/>
  <c r="S152" i="21"/>
  <c r="Q152" i="21"/>
  <c r="R152" i="21" s="1"/>
  <c r="P152" i="21"/>
  <c r="O152" i="21"/>
  <c r="N152" i="21"/>
  <c r="M152" i="21"/>
  <c r="L152" i="21"/>
  <c r="K152" i="21"/>
  <c r="J152" i="21"/>
  <c r="I152" i="21"/>
  <c r="H152" i="21"/>
  <c r="G152" i="21"/>
  <c r="F152" i="21"/>
  <c r="E152" i="21"/>
  <c r="D152" i="21"/>
  <c r="C152" i="21"/>
  <c r="B152" i="21"/>
  <c r="A152" i="21"/>
  <c r="BG151" i="21"/>
  <c r="BH151" i="21" s="1"/>
  <c r="BE151" i="21"/>
  <c r="BF151" i="21" s="1"/>
  <c r="AW151" i="21"/>
  <c r="AU151" i="21"/>
  <c r="AV151" i="21" s="1"/>
  <c r="AS151" i="21"/>
  <c r="AT151" i="21" s="1"/>
  <c r="AQ151" i="21"/>
  <c r="AO151" i="21"/>
  <c r="AP151" i="21" s="1"/>
  <c r="AM151" i="21"/>
  <c r="AN151" i="21" s="1"/>
  <c r="AK151" i="21"/>
  <c r="AL151" i="21" s="1"/>
  <c r="AG151" i="21"/>
  <c r="AH151" i="21" s="1"/>
  <c r="AE151" i="21"/>
  <c r="AC151" i="21"/>
  <c r="AD151" i="21" s="1"/>
  <c r="AJ151" i="21" s="1"/>
  <c r="AA151" i="21"/>
  <c r="AB151" i="21" s="1"/>
  <c r="W151" i="21"/>
  <c r="U151" i="21"/>
  <c r="V151" i="21" s="1"/>
  <c r="S151" i="21"/>
  <c r="T151" i="21" s="1"/>
  <c r="Q151" i="21"/>
  <c r="R151" i="21" s="1"/>
  <c r="P151" i="21"/>
  <c r="O151" i="21"/>
  <c r="N151" i="21"/>
  <c r="M151" i="21"/>
  <c r="L151" i="21"/>
  <c r="K151" i="21"/>
  <c r="J151" i="21"/>
  <c r="I151" i="21"/>
  <c r="H151" i="21"/>
  <c r="G151" i="21"/>
  <c r="F151" i="21"/>
  <c r="E151" i="21"/>
  <c r="D151" i="21"/>
  <c r="C151" i="21"/>
  <c r="B151" i="21"/>
  <c r="A151" i="21"/>
  <c r="BG150" i="21"/>
  <c r="BH150" i="21" s="1"/>
  <c r="BE150" i="21"/>
  <c r="AW150" i="21"/>
  <c r="AX150" i="21" s="1"/>
  <c r="AU150" i="21"/>
  <c r="AS150" i="21"/>
  <c r="AT150" i="21" s="1"/>
  <c r="AQ150" i="21"/>
  <c r="AR150" i="21" s="1"/>
  <c r="AO150" i="21"/>
  <c r="AP150" i="21" s="1"/>
  <c r="AM150" i="21"/>
  <c r="AN150" i="21" s="1"/>
  <c r="AK150" i="21"/>
  <c r="AL150" i="21" s="1"/>
  <c r="AG150" i="21"/>
  <c r="AH150" i="21" s="1"/>
  <c r="AE150" i="21"/>
  <c r="AF150" i="21" s="1"/>
  <c r="AC150" i="21"/>
  <c r="AA150" i="21"/>
  <c r="AB150" i="21" s="1"/>
  <c r="W150" i="21"/>
  <c r="X150" i="21" s="1"/>
  <c r="U150" i="21"/>
  <c r="V150" i="21" s="1"/>
  <c r="S150" i="21"/>
  <c r="T150" i="21" s="1"/>
  <c r="Q150" i="21"/>
  <c r="P150" i="21"/>
  <c r="O150" i="21"/>
  <c r="N150" i="21"/>
  <c r="M150" i="21"/>
  <c r="L150" i="21"/>
  <c r="K150" i="21"/>
  <c r="J150" i="21"/>
  <c r="I150" i="21"/>
  <c r="H150" i="21"/>
  <c r="G150" i="21"/>
  <c r="F150" i="21"/>
  <c r="E150" i="21"/>
  <c r="D150" i="21"/>
  <c r="C150" i="21"/>
  <c r="B150" i="21"/>
  <c r="A150" i="21"/>
  <c r="BG149" i="21"/>
  <c r="BH149" i="21" s="1"/>
  <c r="BE149" i="21"/>
  <c r="BF149" i="21" s="1"/>
  <c r="AW149" i="21"/>
  <c r="AX149" i="21" s="1"/>
  <c r="AU149" i="21"/>
  <c r="AV149" i="21" s="1"/>
  <c r="AS149" i="21"/>
  <c r="AT149" i="21" s="1"/>
  <c r="AQ149" i="21"/>
  <c r="AR149" i="21" s="1"/>
  <c r="AO149" i="21"/>
  <c r="AP149" i="21" s="1"/>
  <c r="AM149" i="21"/>
  <c r="AN149" i="21" s="1"/>
  <c r="AK149" i="21"/>
  <c r="AL149" i="21" s="1"/>
  <c r="AG149" i="21"/>
  <c r="AE149" i="21"/>
  <c r="AF149" i="21" s="1"/>
  <c r="AC149" i="21"/>
  <c r="AD149" i="21" s="1"/>
  <c r="AA149" i="21"/>
  <c r="AB149" i="21" s="1"/>
  <c r="W149" i="21"/>
  <c r="X149" i="21" s="1"/>
  <c r="U149" i="21"/>
  <c r="S149" i="21"/>
  <c r="T149" i="21" s="1"/>
  <c r="Q149" i="21"/>
  <c r="R149" i="21" s="1"/>
  <c r="P149" i="21"/>
  <c r="O149" i="21"/>
  <c r="N149" i="21"/>
  <c r="M149" i="21"/>
  <c r="L149" i="21"/>
  <c r="K149" i="21"/>
  <c r="J149" i="21"/>
  <c r="I149" i="21"/>
  <c r="H149" i="21"/>
  <c r="G149" i="21"/>
  <c r="F149" i="21"/>
  <c r="E149" i="21"/>
  <c r="D149" i="21"/>
  <c r="C149" i="21"/>
  <c r="B149" i="21"/>
  <c r="A149" i="21"/>
  <c r="BG148" i="21"/>
  <c r="BE148" i="21"/>
  <c r="BF148" i="21" s="1"/>
  <c r="AW148" i="21"/>
  <c r="AX148" i="21" s="1"/>
  <c r="AU148" i="21"/>
  <c r="AV148" i="21" s="1"/>
  <c r="AS148" i="21"/>
  <c r="AT148" i="21" s="1"/>
  <c r="AQ148" i="21"/>
  <c r="AR148" i="21" s="1"/>
  <c r="AO148" i="21"/>
  <c r="AP148" i="21" s="1"/>
  <c r="AM148" i="21"/>
  <c r="AK148" i="21"/>
  <c r="AL148" i="21" s="1"/>
  <c r="AG148" i="21"/>
  <c r="AH148" i="21" s="1"/>
  <c r="AE148" i="21"/>
  <c r="AF148" i="21" s="1"/>
  <c r="AC148" i="21"/>
  <c r="AD148" i="21" s="1"/>
  <c r="AA148" i="21"/>
  <c r="W148" i="21"/>
  <c r="X148" i="21" s="1"/>
  <c r="U148" i="21"/>
  <c r="V148" i="21" s="1"/>
  <c r="S148" i="21"/>
  <c r="Q148" i="21"/>
  <c r="R148" i="21" s="1"/>
  <c r="P148" i="21"/>
  <c r="O148" i="21"/>
  <c r="N148" i="21"/>
  <c r="M148" i="21"/>
  <c r="L148" i="21"/>
  <c r="K148" i="21"/>
  <c r="J148" i="21"/>
  <c r="I148" i="21"/>
  <c r="H148" i="21"/>
  <c r="G148" i="21"/>
  <c r="F148" i="21"/>
  <c r="E148" i="21"/>
  <c r="D148" i="21"/>
  <c r="C148" i="21"/>
  <c r="B148" i="21"/>
  <c r="A148" i="21"/>
  <c r="BG147" i="21"/>
  <c r="BH147" i="21" s="1"/>
  <c r="BE147" i="21"/>
  <c r="BF147" i="21" s="1"/>
  <c r="AW147" i="21"/>
  <c r="AX147" i="21" s="1"/>
  <c r="AU147" i="21"/>
  <c r="AV147" i="21" s="1"/>
  <c r="AS147" i="21"/>
  <c r="AT147" i="21" s="1"/>
  <c r="AQ147" i="21"/>
  <c r="AO147" i="21"/>
  <c r="AP147" i="21" s="1"/>
  <c r="AM147" i="21"/>
  <c r="AN147" i="21" s="1"/>
  <c r="AK147" i="21"/>
  <c r="AL147" i="21" s="1"/>
  <c r="AG147" i="21"/>
  <c r="AH147" i="21" s="1"/>
  <c r="AE147" i="21"/>
  <c r="AC147" i="21"/>
  <c r="AD147" i="21" s="1"/>
  <c r="AA147" i="21"/>
  <c r="AB147" i="21" s="1"/>
  <c r="W147" i="21"/>
  <c r="U147" i="21"/>
  <c r="V147" i="21" s="1"/>
  <c r="S147" i="21"/>
  <c r="T147" i="21" s="1"/>
  <c r="Q147" i="21"/>
  <c r="R147" i="21" s="1"/>
  <c r="P147" i="21"/>
  <c r="O147" i="21"/>
  <c r="N147" i="21"/>
  <c r="M147" i="21"/>
  <c r="L147" i="21"/>
  <c r="K147" i="21"/>
  <c r="J147" i="21"/>
  <c r="I147" i="21"/>
  <c r="H147" i="21"/>
  <c r="G147" i="21"/>
  <c r="F147" i="21"/>
  <c r="E147" i="21"/>
  <c r="D147" i="21"/>
  <c r="C147" i="21"/>
  <c r="B147" i="21"/>
  <c r="A147" i="21"/>
  <c r="BG146" i="21"/>
  <c r="BH146" i="21" s="1"/>
  <c r="BE146" i="21"/>
  <c r="BF146" i="21" s="1"/>
  <c r="AW146" i="21"/>
  <c r="AX146" i="21" s="1"/>
  <c r="AU146" i="21"/>
  <c r="AS146" i="21"/>
  <c r="AT146" i="21" s="1"/>
  <c r="AQ146" i="21"/>
  <c r="AR146" i="21" s="1"/>
  <c r="AO146" i="21"/>
  <c r="AP146" i="21" s="1"/>
  <c r="AM146" i="21"/>
  <c r="AN146" i="21" s="1"/>
  <c r="AK146" i="21"/>
  <c r="AG146" i="21"/>
  <c r="AH146" i="21" s="1"/>
  <c r="AE146" i="21"/>
  <c r="AF146" i="21" s="1"/>
  <c r="AC146" i="21"/>
  <c r="AA146" i="21"/>
  <c r="AB146" i="21" s="1"/>
  <c r="W146" i="21"/>
  <c r="X146" i="21" s="1"/>
  <c r="U146" i="21"/>
  <c r="V146" i="21" s="1"/>
  <c r="S146" i="21"/>
  <c r="T146" i="21" s="1"/>
  <c r="Q146" i="21"/>
  <c r="R146" i="21" s="1"/>
  <c r="P146" i="21"/>
  <c r="O146" i="21"/>
  <c r="N146" i="21"/>
  <c r="M146" i="21"/>
  <c r="L146" i="21"/>
  <c r="K146" i="21"/>
  <c r="J146" i="21"/>
  <c r="I146" i="21"/>
  <c r="H146" i="21"/>
  <c r="G146" i="21"/>
  <c r="F146" i="21"/>
  <c r="E146" i="21"/>
  <c r="D146" i="21"/>
  <c r="C146" i="21"/>
  <c r="B146" i="21"/>
  <c r="A146" i="21"/>
  <c r="BG145" i="21"/>
  <c r="BH145" i="21" s="1"/>
  <c r="BE145" i="21"/>
  <c r="BF145" i="21" s="1"/>
  <c r="AW145" i="21"/>
  <c r="AX145" i="21" s="1"/>
  <c r="AU145" i="21"/>
  <c r="AV145" i="21" s="1"/>
  <c r="AS145" i="21"/>
  <c r="AT145" i="21" s="1"/>
  <c r="AQ145" i="21"/>
  <c r="AR145" i="21" s="1"/>
  <c r="AO145" i="21"/>
  <c r="AM145" i="21"/>
  <c r="AN145" i="21" s="1"/>
  <c r="AK145" i="21"/>
  <c r="AL145" i="21" s="1"/>
  <c r="AG145" i="21"/>
  <c r="AE145" i="21"/>
  <c r="AF145" i="21" s="1"/>
  <c r="AC145" i="21"/>
  <c r="AD145" i="21" s="1"/>
  <c r="AA145" i="21"/>
  <c r="AB145" i="21" s="1"/>
  <c r="W145" i="21"/>
  <c r="X145" i="21" s="1"/>
  <c r="U145" i="21"/>
  <c r="S145" i="21"/>
  <c r="T145" i="21" s="1"/>
  <c r="Q145" i="21"/>
  <c r="R145" i="21" s="1"/>
  <c r="P145" i="21"/>
  <c r="O145" i="21"/>
  <c r="N145" i="21"/>
  <c r="M145" i="21"/>
  <c r="L145" i="21"/>
  <c r="K145" i="21"/>
  <c r="J145" i="21"/>
  <c r="I145" i="21"/>
  <c r="H145" i="21"/>
  <c r="G145" i="21"/>
  <c r="F145" i="21"/>
  <c r="E145" i="21"/>
  <c r="D145" i="21"/>
  <c r="C145" i="21"/>
  <c r="B145" i="21"/>
  <c r="A145" i="21"/>
  <c r="BG144" i="21"/>
  <c r="BE144" i="21"/>
  <c r="BF144" i="21" s="1"/>
  <c r="AW144" i="21"/>
  <c r="AX144" i="21" s="1"/>
  <c r="AU144" i="21"/>
  <c r="AV144" i="21" s="1"/>
  <c r="AS144" i="21"/>
  <c r="AQ144" i="21"/>
  <c r="AR144" i="21" s="1"/>
  <c r="AO144" i="21"/>
  <c r="AP144" i="21" s="1"/>
  <c r="AM144" i="21"/>
  <c r="AK144" i="21"/>
  <c r="AL144" i="21" s="1"/>
  <c r="AG144" i="21"/>
  <c r="AH144" i="21" s="1"/>
  <c r="AE144" i="21"/>
  <c r="AF144" i="21" s="1"/>
  <c r="AC144" i="21"/>
  <c r="AD144" i="21" s="1"/>
  <c r="AA144" i="21"/>
  <c r="W144" i="21"/>
  <c r="X144" i="21" s="1"/>
  <c r="U144" i="21"/>
  <c r="V144" i="21" s="1"/>
  <c r="S144" i="21"/>
  <c r="Q144" i="21"/>
  <c r="R144" i="21" s="1"/>
  <c r="P144" i="21"/>
  <c r="O144" i="21"/>
  <c r="N144" i="21"/>
  <c r="M144" i="21"/>
  <c r="L144" i="21"/>
  <c r="K144" i="21"/>
  <c r="J144" i="21"/>
  <c r="I144" i="21"/>
  <c r="H144" i="21"/>
  <c r="G144" i="21"/>
  <c r="F144" i="21"/>
  <c r="E144" i="21"/>
  <c r="D144" i="21"/>
  <c r="C144" i="21"/>
  <c r="B144" i="21"/>
  <c r="A144" i="21"/>
  <c r="BG143" i="21"/>
  <c r="BH143" i="21" s="1"/>
  <c r="BE143" i="21"/>
  <c r="BF143" i="21" s="1"/>
  <c r="AW143" i="21"/>
  <c r="AU143" i="21"/>
  <c r="AV143" i="21" s="1"/>
  <c r="AS143" i="21"/>
  <c r="AT143" i="21" s="1"/>
  <c r="AQ143" i="21"/>
  <c r="AO143" i="21"/>
  <c r="AP143" i="21" s="1"/>
  <c r="AM143" i="21"/>
  <c r="AN143" i="21" s="1"/>
  <c r="AK143" i="21"/>
  <c r="AL143" i="21" s="1"/>
  <c r="AG143" i="21"/>
  <c r="AH143" i="21" s="1"/>
  <c r="AE143" i="21"/>
  <c r="AC143" i="21"/>
  <c r="AD143" i="21" s="1"/>
  <c r="AA143" i="21"/>
  <c r="AB143" i="21" s="1"/>
  <c r="W143" i="21"/>
  <c r="U143" i="21"/>
  <c r="V143" i="21" s="1"/>
  <c r="S143" i="21"/>
  <c r="T143" i="21" s="1"/>
  <c r="Q143" i="21"/>
  <c r="R143" i="21" s="1"/>
  <c r="P143" i="21"/>
  <c r="O143" i="21"/>
  <c r="N143" i="21"/>
  <c r="M143" i="21"/>
  <c r="L143" i="21"/>
  <c r="K143" i="21"/>
  <c r="J143" i="21"/>
  <c r="I143" i="21"/>
  <c r="H143" i="21"/>
  <c r="G143" i="21"/>
  <c r="F143" i="21"/>
  <c r="E143" i="21"/>
  <c r="D143" i="21"/>
  <c r="C143" i="21"/>
  <c r="B143" i="21"/>
  <c r="A143" i="21"/>
  <c r="BG142" i="21"/>
  <c r="BH142" i="21" s="1"/>
  <c r="BE142" i="21"/>
  <c r="AW142" i="21"/>
  <c r="AX142" i="21" s="1"/>
  <c r="AU142" i="21"/>
  <c r="AS142" i="21"/>
  <c r="AT142" i="21" s="1"/>
  <c r="AQ142" i="21"/>
  <c r="AR142" i="21" s="1"/>
  <c r="AO142" i="21"/>
  <c r="AP142" i="21" s="1"/>
  <c r="AM142" i="21"/>
  <c r="AN142" i="21" s="1"/>
  <c r="AK142" i="21"/>
  <c r="AG142" i="21"/>
  <c r="AH142" i="21" s="1"/>
  <c r="AE142" i="21"/>
  <c r="AF142" i="21" s="1"/>
  <c r="AC142" i="21"/>
  <c r="AA142" i="21"/>
  <c r="AB142" i="21" s="1"/>
  <c r="W142" i="21"/>
  <c r="X142" i="21" s="1"/>
  <c r="U142" i="21"/>
  <c r="V142" i="21" s="1"/>
  <c r="S142" i="21"/>
  <c r="T142" i="21" s="1"/>
  <c r="Q142" i="21"/>
  <c r="P142" i="21"/>
  <c r="O142" i="21"/>
  <c r="N142" i="21"/>
  <c r="M142" i="21"/>
  <c r="L142" i="21"/>
  <c r="K142" i="21"/>
  <c r="J142" i="21"/>
  <c r="I142" i="21"/>
  <c r="H142" i="21"/>
  <c r="G142" i="21"/>
  <c r="F142" i="21"/>
  <c r="E142" i="21"/>
  <c r="D142" i="21"/>
  <c r="C142" i="21"/>
  <c r="B142" i="21"/>
  <c r="A142" i="21"/>
  <c r="BG141" i="21"/>
  <c r="BH141" i="21" s="1"/>
  <c r="BE141" i="21"/>
  <c r="BF141" i="21" s="1"/>
  <c r="AW141" i="21"/>
  <c r="AX141" i="21" s="1"/>
  <c r="AU141" i="21"/>
  <c r="AV141" i="21" s="1"/>
  <c r="AS141" i="21"/>
  <c r="AT141" i="21" s="1"/>
  <c r="AQ141" i="21"/>
  <c r="AR141" i="21" s="1"/>
  <c r="AO141" i="21"/>
  <c r="AM141" i="21"/>
  <c r="AN141" i="21" s="1"/>
  <c r="AK141" i="21"/>
  <c r="AL141" i="21" s="1"/>
  <c r="AG141" i="21"/>
  <c r="AE141" i="21"/>
  <c r="AF141" i="21" s="1"/>
  <c r="AC141" i="21"/>
  <c r="AD141" i="21" s="1"/>
  <c r="AA141" i="21"/>
  <c r="AB141" i="21" s="1"/>
  <c r="W141" i="21"/>
  <c r="X141" i="21" s="1"/>
  <c r="U141" i="21"/>
  <c r="S141" i="21"/>
  <c r="T141" i="21" s="1"/>
  <c r="Q141" i="21"/>
  <c r="R141" i="21" s="1"/>
  <c r="P141" i="21"/>
  <c r="O141" i="21"/>
  <c r="N141" i="21"/>
  <c r="M141" i="21"/>
  <c r="L141" i="21"/>
  <c r="K141" i="21"/>
  <c r="J141" i="21"/>
  <c r="I141" i="21"/>
  <c r="H141" i="21"/>
  <c r="G141" i="21"/>
  <c r="F141" i="21"/>
  <c r="E141" i="21"/>
  <c r="D141" i="21"/>
  <c r="C141" i="21"/>
  <c r="B141" i="21"/>
  <c r="A141" i="21"/>
  <c r="BG140" i="21"/>
  <c r="BE140" i="21"/>
  <c r="BF140" i="21" s="1"/>
  <c r="AW140" i="21"/>
  <c r="AX140" i="21" s="1"/>
  <c r="AU140" i="21"/>
  <c r="AV140" i="21" s="1"/>
  <c r="AS140" i="21"/>
  <c r="AQ140" i="21"/>
  <c r="AR140" i="21" s="1"/>
  <c r="AO140" i="21"/>
  <c r="AP140" i="21" s="1"/>
  <c r="AM140" i="21"/>
  <c r="AK140" i="21"/>
  <c r="AL140" i="21" s="1"/>
  <c r="AG140" i="21"/>
  <c r="AH140" i="21" s="1"/>
  <c r="AE140" i="21"/>
  <c r="AF140" i="21" s="1"/>
  <c r="AC140" i="21"/>
  <c r="AD140" i="21" s="1"/>
  <c r="AA140" i="21"/>
  <c r="AB140" i="21" s="1"/>
  <c r="W140" i="21"/>
  <c r="X140" i="21" s="1"/>
  <c r="U140" i="21"/>
  <c r="V140" i="21" s="1"/>
  <c r="S140" i="21"/>
  <c r="Q140" i="21"/>
  <c r="R140" i="21" s="1"/>
  <c r="Y140" i="21" s="1"/>
  <c r="P140" i="21"/>
  <c r="O140" i="21"/>
  <c r="N140" i="21"/>
  <c r="M140" i="21"/>
  <c r="L140" i="21"/>
  <c r="K140" i="21"/>
  <c r="J140" i="21"/>
  <c r="I140" i="21"/>
  <c r="H140" i="21"/>
  <c r="G140" i="21"/>
  <c r="F140" i="21"/>
  <c r="E140" i="21"/>
  <c r="D140" i="21"/>
  <c r="C140" i="21"/>
  <c r="B140" i="21"/>
  <c r="A140" i="21"/>
  <c r="BG139" i="21"/>
  <c r="BH139" i="21" s="1"/>
  <c r="BE139" i="21"/>
  <c r="BF139" i="21" s="1"/>
  <c r="AW139" i="21"/>
  <c r="AU139" i="21"/>
  <c r="AV139" i="21" s="1"/>
  <c r="AS139" i="21"/>
  <c r="AT139" i="21" s="1"/>
  <c r="AQ139" i="21"/>
  <c r="AO139" i="21"/>
  <c r="AP139" i="21" s="1"/>
  <c r="AM139" i="21"/>
  <c r="AN139" i="21" s="1"/>
  <c r="AK139" i="21"/>
  <c r="AL139" i="21" s="1"/>
  <c r="AG139" i="21"/>
  <c r="AH139" i="21" s="1"/>
  <c r="AE139" i="21"/>
  <c r="AF139" i="21" s="1"/>
  <c r="AC139" i="21"/>
  <c r="AD139" i="21" s="1"/>
  <c r="AA139" i="21"/>
  <c r="AB139" i="21" s="1"/>
  <c r="W139" i="21"/>
  <c r="U139" i="21"/>
  <c r="V139" i="21" s="1"/>
  <c r="S139" i="21"/>
  <c r="T139" i="21" s="1"/>
  <c r="Q139" i="21"/>
  <c r="R139" i="21" s="1"/>
  <c r="P139" i="21"/>
  <c r="O139" i="21"/>
  <c r="N139" i="21"/>
  <c r="M139" i="21"/>
  <c r="L139" i="21"/>
  <c r="K139" i="21"/>
  <c r="J139" i="21"/>
  <c r="I139" i="21"/>
  <c r="H139" i="21"/>
  <c r="G139" i="21"/>
  <c r="F139" i="21"/>
  <c r="E139" i="21"/>
  <c r="D139" i="21"/>
  <c r="C139" i="21"/>
  <c r="B139" i="21"/>
  <c r="A139" i="21"/>
  <c r="BG138" i="21"/>
  <c r="BH138" i="21" s="1"/>
  <c r="BE138" i="21"/>
  <c r="AW138" i="21"/>
  <c r="AX138" i="21" s="1"/>
  <c r="AU138" i="21"/>
  <c r="AS138" i="21"/>
  <c r="AT138" i="21" s="1"/>
  <c r="AQ138" i="21"/>
  <c r="AR138" i="21" s="1"/>
  <c r="AO138" i="21"/>
  <c r="AP138" i="21" s="1"/>
  <c r="AM138" i="21"/>
  <c r="AN138" i="21" s="1"/>
  <c r="AK138" i="21"/>
  <c r="AL138" i="21" s="1"/>
  <c r="AG138" i="21"/>
  <c r="AH138" i="21" s="1"/>
  <c r="AE138" i="21"/>
  <c r="AF138" i="21" s="1"/>
  <c r="AC138" i="21"/>
  <c r="AA138" i="21"/>
  <c r="AB138" i="21" s="1"/>
  <c r="W138" i="21"/>
  <c r="X138" i="21" s="1"/>
  <c r="U138" i="21"/>
  <c r="V138" i="21" s="1"/>
  <c r="S138" i="21"/>
  <c r="T138" i="21" s="1"/>
  <c r="Q138" i="21"/>
  <c r="P138" i="21"/>
  <c r="O138" i="21"/>
  <c r="N138" i="21"/>
  <c r="M138" i="21"/>
  <c r="L138" i="21"/>
  <c r="K138" i="21"/>
  <c r="J138" i="21"/>
  <c r="I138" i="21"/>
  <c r="H138" i="21"/>
  <c r="G138" i="21"/>
  <c r="F138" i="21"/>
  <c r="E138" i="21"/>
  <c r="D138" i="21"/>
  <c r="C138" i="21"/>
  <c r="B138" i="21"/>
  <c r="A138" i="21"/>
  <c r="BG137" i="21"/>
  <c r="BH137" i="21" s="1"/>
  <c r="BE137" i="21"/>
  <c r="BF137" i="21" s="1"/>
  <c r="AW137" i="21"/>
  <c r="AX137" i="21" s="1"/>
  <c r="AU137" i="21"/>
  <c r="AV137" i="21" s="1"/>
  <c r="AS137" i="21"/>
  <c r="AT137" i="21" s="1"/>
  <c r="AQ137" i="21"/>
  <c r="AR137" i="21" s="1"/>
  <c r="AO137" i="21"/>
  <c r="AP137" i="21" s="1"/>
  <c r="AM137" i="21"/>
  <c r="AN137" i="21" s="1"/>
  <c r="AK137" i="21"/>
  <c r="AL137" i="21" s="1"/>
  <c r="AG137" i="21"/>
  <c r="AE137" i="21"/>
  <c r="AF137" i="21" s="1"/>
  <c r="AC137" i="21"/>
  <c r="AD137" i="21" s="1"/>
  <c r="AA137" i="21"/>
  <c r="AB137" i="21" s="1"/>
  <c r="W137" i="21"/>
  <c r="X137" i="21" s="1"/>
  <c r="U137" i="21"/>
  <c r="S137" i="21"/>
  <c r="T137" i="21" s="1"/>
  <c r="Q137" i="21"/>
  <c r="R137" i="21" s="1"/>
  <c r="P137" i="21"/>
  <c r="O137" i="21"/>
  <c r="N137" i="21"/>
  <c r="M137" i="21"/>
  <c r="L137" i="21"/>
  <c r="K137" i="21"/>
  <c r="J137" i="21"/>
  <c r="I137" i="21"/>
  <c r="H137" i="21"/>
  <c r="G137" i="21"/>
  <c r="F137" i="21"/>
  <c r="E137" i="21"/>
  <c r="D137" i="21"/>
  <c r="C137" i="21"/>
  <c r="B137" i="21"/>
  <c r="A137" i="21"/>
  <c r="BG136" i="21"/>
  <c r="BE136" i="21"/>
  <c r="BF136" i="21" s="1"/>
  <c r="AW136" i="21"/>
  <c r="AX136" i="21" s="1"/>
  <c r="AU136" i="21"/>
  <c r="AV136" i="21" s="1"/>
  <c r="AS136" i="21"/>
  <c r="AT136" i="21" s="1"/>
  <c r="AQ136" i="21"/>
  <c r="AR136" i="21" s="1"/>
  <c r="AO136" i="21"/>
  <c r="AP136" i="21" s="1"/>
  <c r="AM136" i="21"/>
  <c r="AK136" i="21"/>
  <c r="AL136" i="21" s="1"/>
  <c r="AG136" i="21"/>
  <c r="AH136" i="21" s="1"/>
  <c r="AE136" i="21"/>
  <c r="AF136" i="21" s="1"/>
  <c r="AC136" i="21"/>
  <c r="AD136" i="21" s="1"/>
  <c r="AA136" i="21"/>
  <c r="W136" i="21"/>
  <c r="X136" i="21" s="1"/>
  <c r="U136" i="21"/>
  <c r="V136" i="21" s="1"/>
  <c r="S136" i="21"/>
  <c r="Q136" i="21"/>
  <c r="R136" i="21" s="1"/>
  <c r="P136" i="21"/>
  <c r="O136" i="21"/>
  <c r="N136" i="21"/>
  <c r="M136" i="21"/>
  <c r="L136" i="21"/>
  <c r="K136" i="21"/>
  <c r="J136" i="21"/>
  <c r="I136" i="21"/>
  <c r="H136" i="21"/>
  <c r="G136" i="21"/>
  <c r="F136" i="21"/>
  <c r="E136" i="21"/>
  <c r="D136" i="21"/>
  <c r="C136" i="21"/>
  <c r="B136" i="21"/>
  <c r="A136" i="21"/>
  <c r="BG135" i="21"/>
  <c r="BH135" i="21" s="1"/>
  <c r="BE135" i="21"/>
  <c r="BF135" i="21" s="1"/>
  <c r="AW135" i="21"/>
  <c r="AX135" i="21" s="1"/>
  <c r="AU135" i="21"/>
  <c r="AV135" i="21" s="1"/>
  <c r="AS135" i="21"/>
  <c r="AT135" i="21" s="1"/>
  <c r="AQ135" i="21"/>
  <c r="AO135" i="21"/>
  <c r="AP135" i="21" s="1"/>
  <c r="AM135" i="21"/>
  <c r="AN135" i="21" s="1"/>
  <c r="AK135" i="21"/>
  <c r="AL135" i="21" s="1"/>
  <c r="AG135" i="21"/>
  <c r="AH135" i="21" s="1"/>
  <c r="AE135" i="21"/>
  <c r="AC135" i="21"/>
  <c r="AD135" i="21" s="1"/>
  <c r="AA135" i="21"/>
  <c r="AB135" i="21" s="1"/>
  <c r="W135" i="21"/>
  <c r="U135" i="21"/>
  <c r="V135" i="21" s="1"/>
  <c r="S135" i="21"/>
  <c r="T135" i="21" s="1"/>
  <c r="Q135" i="21"/>
  <c r="R135" i="21" s="1"/>
  <c r="P135" i="21"/>
  <c r="O135" i="21"/>
  <c r="N135" i="21"/>
  <c r="M135" i="21"/>
  <c r="L135" i="21"/>
  <c r="K135" i="21"/>
  <c r="J135" i="21"/>
  <c r="I135" i="21"/>
  <c r="H135" i="21"/>
  <c r="G135" i="21"/>
  <c r="F135" i="21"/>
  <c r="E135" i="21"/>
  <c r="D135" i="21"/>
  <c r="C135" i="21"/>
  <c r="B135" i="21"/>
  <c r="A135" i="21"/>
  <c r="BG134" i="21"/>
  <c r="BH134" i="21" s="1"/>
  <c r="BE134" i="21"/>
  <c r="BF134" i="21" s="1"/>
  <c r="AW134" i="21"/>
  <c r="AX134" i="21" s="1"/>
  <c r="AU134" i="21"/>
  <c r="AS134" i="21"/>
  <c r="AT134" i="21" s="1"/>
  <c r="AQ134" i="21"/>
  <c r="AR134" i="21" s="1"/>
  <c r="AO134" i="21"/>
  <c r="AP134" i="21" s="1"/>
  <c r="AM134" i="21"/>
  <c r="AN134" i="21" s="1"/>
  <c r="AK134" i="21"/>
  <c r="AG134" i="21"/>
  <c r="AH134" i="21" s="1"/>
  <c r="AE134" i="21"/>
  <c r="AF134" i="21" s="1"/>
  <c r="AC134" i="21"/>
  <c r="AA134" i="21"/>
  <c r="AB134" i="21" s="1"/>
  <c r="W134" i="21"/>
  <c r="X134" i="21" s="1"/>
  <c r="U134" i="21"/>
  <c r="V134" i="21" s="1"/>
  <c r="S134" i="21"/>
  <c r="T134" i="21" s="1"/>
  <c r="Q134" i="21"/>
  <c r="R134" i="21" s="1"/>
  <c r="P134" i="21"/>
  <c r="O134" i="21"/>
  <c r="N134" i="21"/>
  <c r="M134" i="21"/>
  <c r="L134" i="21"/>
  <c r="K134" i="21"/>
  <c r="J134" i="21"/>
  <c r="I134" i="21"/>
  <c r="H134" i="21"/>
  <c r="G134" i="21"/>
  <c r="F134" i="21"/>
  <c r="E134" i="21"/>
  <c r="D134" i="21"/>
  <c r="C134" i="21"/>
  <c r="B134" i="21"/>
  <c r="A134" i="21"/>
  <c r="BG133" i="21"/>
  <c r="BH133" i="21" s="1"/>
  <c r="BE133" i="21"/>
  <c r="BF133" i="21" s="1"/>
  <c r="AW133" i="21"/>
  <c r="AX133" i="21" s="1"/>
  <c r="AU133" i="21"/>
  <c r="AV133" i="21" s="1"/>
  <c r="AS133" i="21"/>
  <c r="AT133" i="21" s="1"/>
  <c r="AQ133" i="21"/>
  <c r="AR133" i="21" s="1"/>
  <c r="AO133" i="21"/>
  <c r="AM133" i="21"/>
  <c r="AN133" i="21" s="1"/>
  <c r="AK133" i="21"/>
  <c r="AL133" i="21" s="1"/>
  <c r="AG133" i="21"/>
  <c r="AE133" i="21"/>
  <c r="AF133" i="21" s="1"/>
  <c r="AC133" i="21"/>
  <c r="AD133" i="21" s="1"/>
  <c r="AA133" i="21"/>
  <c r="AB133" i="21" s="1"/>
  <c r="W133" i="21"/>
  <c r="X133" i="21" s="1"/>
  <c r="U133" i="21"/>
  <c r="V133" i="21" s="1"/>
  <c r="S133" i="21"/>
  <c r="T133" i="21" s="1"/>
  <c r="Q133" i="21"/>
  <c r="R133" i="21" s="1"/>
  <c r="P133" i="21"/>
  <c r="O133" i="21"/>
  <c r="N133" i="21"/>
  <c r="M133" i="21"/>
  <c r="L133" i="21"/>
  <c r="K133" i="21"/>
  <c r="J133" i="21"/>
  <c r="I133" i="21"/>
  <c r="H133" i="21"/>
  <c r="G133" i="21"/>
  <c r="F133" i="21"/>
  <c r="E133" i="21"/>
  <c r="D133" i="21"/>
  <c r="C133" i="21"/>
  <c r="B133" i="21"/>
  <c r="A133" i="21"/>
  <c r="BG132" i="21"/>
  <c r="BE132" i="21"/>
  <c r="BF132" i="21" s="1"/>
  <c r="AW132" i="21"/>
  <c r="AX132" i="21" s="1"/>
  <c r="AU132" i="21"/>
  <c r="AV132" i="21" s="1"/>
  <c r="AS132" i="21"/>
  <c r="AQ132" i="21"/>
  <c r="AR132" i="21" s="1"/>
  <c r="AO132" i="21"/>
  <c r="AP132" i="21" s="1"/>
  <c r="AM132" i="21"/>
  <c r="AK132" i="21"/>
  <c r="AL132" i="21" s="1"/>
  <c r="AG132" i="21"/>
  <c r="AH132" i="21" s="1"/>
  <c r="AE132" i="21"/>
  <c r="AF132" i="21" s="1"/>
  <c r="AC132" i="21"/>
  <c r="AD132" i="21" s="1"/>
  <c r="AA132" i="21"/>
  <c r="AB132" i="21" s="1"/>
  <c r="W132" i="21"/>
  <c r="X132" i="21" s="1"/>
  <c r="U132" i="21"/>
  <c r="V132" i="21" s="1"/>
  <c r="S132" i="21"/>
  <c r="Q132" i="21"/>
  <c r="R132" i="21" s="1"/>
  <c r="Y132" i="21" s="1"/>
  <c r="P132" i="21"/>
  <c r="O132" i="21"/>
  <c r="N132" i="21"/>
  <c r="M132" i="21"/>
  <c r="L132" i="21"/>
  <c r="K132" i="21"/>
  <c r="J132" i="21"/>
  <c r="I132" i="21"/>
  <c r="H132" i="21"/>
  <c r="G132" i="21"/>
  <c r="F132" i="21"/>
  <c r="E132" i="21"/>
  <c r="D132" i="21"/>
  <c r="C132" i="21"/>
  <c r="B132" i="21"/>
  <c r="A132" i="21"/>
  <c r="BG131" i="21"/>
  <c r="BH131" i="21" s="1"/>
  <c r="BE131" i="21"/>
  <c r="BF131" i="21" s="1"/>
  <c r="AW131" i="21"/>
  <c r="AU131" i="21"/>
  <c r="AV131" i="21" s="1"/>
  <c r="AS131" i="21"/>
  <c r="AT131" i="21" s="1"/>
  <c r="AQ131" i="21"/>
  <c r="AO131" i="21"/>
  <c r="AP131" i="21" s="1"/>
  <c r="AM131" i="21"/>
  <c r="AN131" i="21" s="1"/>
  <c r="AK131" i="21"/>
  <c r="AL131" i="21" s="1"/>
  <c r="AG131" i="21"/>
  <c r="AH131" i="21" s="1"/>
  <c r="AE131" i="21"/>
  <c r="AF131" i="21" s="1"/>
  <c r="AC131" i="21"/>
  <c r="AD131" i="21" s="1"/>
  <c r="AA131" i="21"/>
  <c r="AB131" i="21" s="1"/>
  <c r="W131" i="21"/>
  <c r="U131" i="21"/>
  <c r="V131" i="21" s="1"/>
  <c r="S131" i="21"/>
  <c r="T131" i="21" s="1"/>
  <c r="Q131" i="21"/>
  <c r="R131" i="21" s="1"/>
  <c r="P131" i="21"/>
  <c r="O131" i="21"/>
  <c r="N131" i="21"/>
  <c r="M131" i="21"/>
  <c r="L131" i="21"/>
  <c r="K131" i="21"/>
  <c r="J131" i="21"/>
  <c r="I131" i="21"/>
  <c r="H131" i="21"/>
  <c r="G131" i="21"/>
  <c r="F131" i="21"/>
  <c r="E131" i="21"/>
  <c r="D131" i="21"/>
  <c r="C131" i="21"/>
  <c r="B131" i="21"/>
  <c r="A131" i="21"/>
  <c r="BG130" i="21"/>
  <c r="BH130" i="21" s="1"/>
  <c r="BE130" i="21"/>
  <c r="AW130" i="21"/>
  <c r="AX130" i="21" s="1"/>
  <c r="AU130" i="21"/>
  <c r="AS130" i="21"/>
  <c r="AT130" i="21" s="1"/>
  <c r="AQ130" i="21"/>
  <c r="AR130" i="21" s="1"/>
  <c r="AO130" i="21"/>
  <c r="AP130" i="21" s="1"/>
  <c r="AM130" i="21"/>
  <c r="AN130" i="21" s="1"/>
  <c r="AK130" i="21"/>
  <c r="AL130" i="21" s="1"/>
  <c r="AG130" i="21"/>
  <c r="AH130" i="21" s="1"/>
  <c r="AE130" i="21"/>
  <c r="AF130" i="21" s="1"/>
  <c r="AC130" i="21"/>
  <c r="AA130" i="21"/>
  <c r="AB130" i="21" s="1"/>
  <c r="W130" i="21"/>
  <c r="X130" i="21" s="1"/>
  <c r="U130" i="21"/>
  <c r="V130" i="21" s="1"/>
  <c r="S130" i="21"/>
  <c r="T130" i="21" s="1"/>
  <c r="Q130" i="21"/>
  <c r="P130" i="21"/>
  <c r="O130" i="21"/>
  <c r="N130" i="21"/>
  <c r="M130" i="21"/>
  <c r="L130" i="21"/>
  <c r="K130" i="21"/>
  <c r="J130" i="21"/>
  <c r="I130" i="21"/>
  <c r="H130" i="21"/>
  <c r="G130" i="21"/>
  <c r="F130" i="21"/>
  <c r="E130" i="21"/>
  <c r="D130" i="21"/>
  <c r="C130" i="21"/>
  <c r="B130" i="21"/>
  <c r="A130" i="21"/>
  <c r="BG129" i="21"/>
  <c r="BH129" i="21" s="1"/>
  <c r="BE129" i="21"/>
  <c r="BF129" i="21" s="1"/>
  <c r="AW129" i="21"/>
  <c r="AX129" i="21" s="1"/>
  <c r="AU129" i="21"/>
  <c r="AV129" i="21" s="1"/>
  <c r="AS129" i="21"/>
  <c r="AT129" i="21" s="1"/>
  <c r="AQ129" i="21"/>
  <c r="AR129" i="21" s="1"/>
  <c r="AO129" i="21"/>
  <c r="AP129" i="21" s="1"/>
  <c r="AM129" i="21"/>
  <c r="AN129" i="21" s="1"/>
  <c r="AK129" i="21"/>
  <c r="AL129" i="21" s="1"/>
  <c r="AG129" i="21"/>
  <c r="AE129" i="21"/>
  <c r="AF129" i="21" s="1"/>
  <c r="AC129" i="21"/>
  <c r="AD129" i="21" s="1"/>
  <c r="AA129" i="21"/>
  <c r="AB129" i="21" s="1"/>
  <c r="W129" i="21"/>
  <c r="X129" i="21" s="1"/>
  <c r="U129" i="21"/>
  <c r="S129" i="21"/>
  <c r="T129" i="21" s="1"/>
  <c r="Q129" i="21"/>
  <c r="R129" i="21" s="1"/>
  <c r="P129" i="21"/>
  <c r="O129" i="21"/>
  <c r="N129" i="21"/>
  <c r="M129" i="21"/>
  <c r="L129" i="21"/>
  <c r="K129" i="21"/>
  <c r="J129" i="21"/>
  <c r="I129" i="21"/>
  <c r="H129" i="21"/>
  <c r="G129" i="21"/>
  <c r="F129" i="21"/>
  <c r="E129" i="21"/>
  <c r="D129" i="21"/>
  <c r="C129" i="21"/>
  <c r="B129" i="21"/>
  <c r="A129" i="21"/>
  <c r="BG128" i="21"/>
  <c r="BE128" i="21"/>
  <c r="BF128" i="21" s="1"/>
  <c r="AW128" i="21"/>
  <c r="AU128" i="21"/>
  <c r="AV128" i="21" s="1"/>
  <c r="AS128" i="21"/>
  <c r="AQ128" i="21"/>
  <c r="AR128" i="21" s="1"/>
  <c r="AO128" i="21"/>
  <c r="AP128" i="21" s="1"/>
  <c r="AM128" i="21"/>
  <c r="AK128" i="21"/>
  <c r="AL128" i="21" s="1"/>
  <c r="AG128" i="21"/>
  <c r="AH128" i="21" s="1"/>
  <c r="AE128" i="21"/>
  <c r="AF128" i="21" s="1"/>
  <c r="AC128" i="21"/>
  <c r="AD128" i="21" s="1"/>
  <c r="AA128" i="21"/>
  <c r="W128" i="21"/>
  <c r="X128" i="21" s="1"/>
  <c r="U128" i="21"/>
  <c r="V128" i="21" s="1"/>
  <c r="S128" i="21"/>
  <c r="Q128" i="21"/>
  <c r="R128" i="21" s="1"/>
  <c r="P128" i="21"/>
  <c r="O128" i="21"/>
  <c r="N128" i="21"/>
  <c r="M128" i="21"/>
  <c r="L128" i="21"/>
  <c r="K128" i="21"/>
  <c r="J128" i="21"/>
  <c r="I128" i="21"/>
  <c r="H128" i="21"/>
  <c r="G128" i="21"/>
  <c r="F128" i="21"/>
  <c r="E128" i="21"/>
  <c r="D128" i="21"/>
  <c r="C128" i="21"/>
  <c r="B128" i="21"/>
  <c r="A128" i="21"/>
  <c r="BG127" i="21"/>
  <c r="BH127" i="21" s="1"/>
  <c r="BE127" i="21"/>
  <c r="BF127" i="21" s="1"/>
  <c r="AW127" i="21"/>
  <c r="AU127" i="21"/>
  <c r="AV127" i="21" s="1"/>
  <c r="AS127" i="21"/>
  <c r="AT127" i="21" s="1"/>
  <c r="AQ127" i="21"/>
  <c r="AO127" i="21"/>
  <c r="AP127" i="21" s="1"/>
  <c r="AM127" i="21"/>
  <c r="AN127" i="21" s="1"/>
  <c r="AK127" i="21"/>
  <c r="AL127" i="21" s="1"/>
  <c r="AG127" i="21"/>
  <c r="AH127" i="21" s="1"/>
  <c r="AE127" i="21"/>
  <c r="AC127" i="21"/>
  <c r="AD127" i="21" s="1"/>
  <c r="AA127" i="21"/>
  <c r="AB127" i="21" s="1"/>
  <c r="W127" i="21"/>
  <c r="U127" i="21"/>
  <c r="V127" i="21" s="1"/>
  <c r="S127" i="21"/>
  <c r="T127" i="21" s="1"/>
  <c r="Q127" i="21"/>
  <c r="R127" i="21" s="1"/>
  <c r="P127" i="21"/>
  <c r="O127" i="21"/>
  <c r="N127" i="21"/>
  <c r="M127" i="21"/>
  <c r="L127" i="21"/>
  <c r="K127" i="21"/>
  <c r="J127" i="21"/>
  <c r="I127" i="21"/>
  <c r="H127" i="21"/>
  <c r="G127" i="21"/>
  <c r="F127" i="21"/>
  <c r="E127" i="21"/>
  <c r="D127" i="21"/>
  <c r="C127" i="21"/>
  <c r="B127" i="21"/>
  <c r="A127" i="21"/>
  <c r="BG126" i="21"/>
  <c r="BH126" i="21" s="1"/>
  <c r="BE126" i="21"/>
  <c r="AW126" i="21"/>
  <c r="AX126" i="21" s="1"/>
  <c r="AU126" i="21"/>
  <c r="AS126" i="21"/>
  <c r="AT126" i="21" s="1"/>
  <c r="AQ126" i="21"/>
  <c r="AR126" i="21" s="1"/>
  <c r="AO126" i="21"/>
  <c r="AP126" i="21" s="1"/>
  <c r="AM126" i="21"/>
  <c r="AN126" i="21" s="1"/>
  <c r="AK126" i="21"/>
  <c r="AG126" i="21"/>
  <c r="AH126" i="21" s="1"/>
  <c r="AE126" i="21"/>
  <c r="AF126" i="21" s="1"/>
  <c r="AC126" i="21"/>
  <c r="AA126" i="21"/>
  <c r="AB126" i="21" s="1"/>
  <c r="W126" i="21"/>
  <c r="X126" i="21" s="1"/>
  <c r="U126" i="21"/>
  <c r="V126" i="21" s="1"/>
  <c r="S126" i="21"/>
  <c r="T126" i="21" s="1"/>
  <c r="Q126" i="21"/>
  <c r="P126" i="21"/>
  <c r="O126" i="21"/>
  <c r="N126" i="21"/>
  <c r="M126" i="21"/>
  <c r="L126" i="21"/>
  <c r="K126" i="21"/>
  <c r="J126" i="21"/>
  <c r="I126" i="21"/>
  <c r="H126" i="21"/>
  <c r="G126" i="21"/>
  <c r="F126" i="21"/>
  <c r="E126" i="21"/>
  <c r="D126" i="21"/>
  <c r="C126" i="21"/>
  <c r="B126" i="21"/>
  <c r="A126" i="21"/>
  <c r="BG125" i="21"/>
  <c r="BH125" i="21" s="1"/>
  <c r="BE125" i="21"/>
  <c r="BF125" i="21" s="1"/>
  <c r="AW125" i="21"/>
  <c r="AX125" i="21" s="1"/>
  <c r="AU125" i="21"/>
  <c r="AV125" i="21" s="1"/>
  <c r="AS125" i="21"/>
  <c r="AT125" i="21" s="1"/>
  <c r="AQ125" i="21"/>
  <c r="AR125" i="21" s="1"/>
  <c r="AO125" i="21"/>
  <c r="AM125" i="21"/>
  <c r="AN125" i="21" s="1"/>
  <c r="AK125" i="21"/>
  <c r="AL125" i="21" s="1"/>
  <c r="AG125" i="21"/>
  <c r="AE125" i="21"/>
  <c r="AF125" i="21" s="1"/>
  <c r="AC125" i="21"/>
  <c r="AD125" i="21" s="1"/>
  <c r="AA125" i="21"/>
  <c r="AB125" i="21" s="1"/>
  <c r="W125" i="21"/>
  <c r="X125" i="21" s="1"/>
  <c r="U125" i="21"/>
  <c r="S125" i="21"/>
  <c r="T125" i="21" s="1"/>
  <c r="Q125" i="21"/>
  <c r="R125" i="21" s="1"/>
  <c r="P125" i="21"/>
  <c r="O125" i="21"/>
  <c r="N125" i="21"/>
  <c r="M125" i="21"/>
  <c r="L125" i="21"/>
  <c r="K125" i="21"/>
  <c r="J125" i="21"/>
  <c r="I125" i="21"/>
  <c r="H125" i="21"/>
  <c r="G125" i="21"/>
  <c r="F125" i="21"/>
  <c r="E125" i="21"/>
  <c r="D125" i="21"/>
  <c r="C125" i="21"/>
  <c r="B125" i="21"/>
  <c r="A125" i="21"/>
  <c r="BG124" i="21"/>
  <c r="BE124" i="21"/>
  <c r="BF124" i="21" s="1"/>
  <c r="AW124" i="21"/>
  <c r="AX124" i="21" s="1"/>
  <c r="AU124" i="21"/>
  <c r="AV124" i="21" s="1"/>
  <c r="AS124" i="21"/>
  <c r="AQ124" i="21"/>
  <c r="AR124" i="21" s="1"/>
  <c r="AO124" i="21"/>
  <c r="AP124" i="21" s="1"/>
  <c r="AM124" i="21"/>
  <c r="AK124" i="21"/>
  <c r="AL124" i="21" s="1"/>
  <c r="AG124" i="21"/>
  <c r="AH124" i="21" s="1"/>
  <c r="AE124" i="21"/>
  <c r="AF124" i="21" s="1"/>
  <c r="AC124" i="21"/>
  <c r="AD124" i="21" s="1"/>
  <c r="AA124" i="21"/>
  <c r="W124" i="21"/>
  <c r="X124" i="21" s="1"/>
  <c r="U124" i="21"/>
  <c r="V124" i="21" s="1"/>
  <c r="S124" i="21"/>
  <c r="Q124" i="21"/>
  <c r="R124" i="21" s="1"/>
  <c r="Y124" i="21" s="1"/>
  <c r="P124" i="21"/>
  <c r="O124" i="21"/>
  <c r="N124" i="21"/>
  <c r="M124" i="21"/>
  <c r="L124" i="21"/>
  <c r="K124" i="21"/>
  <c r="J124" i="21"/>
  <c r="I124" i="21"/>
  <c r="H124" i="21"/>
  <c r="G124" i="21"/>
  <c r="F124" i="21"/>
  <c r="E124" i="21"/>
  <c r="D124" i="21"/>
  <c r="C124" i="21"/>
  <c r="B124" i="21"/>
  <c r="A124" i="21"/>
  <c r="BG123" i="21"/>
  <c r="BH123" i="21" s="1"/>
  <c r="BE123" i="21"/>
  <c r="BF123" i="21" s="1"/>
  <c r="AW123" i="21"/>
  <c r="AU123" i="21"/>
  <c r="AV123" i="21" s="1"/>
  <c r="AS123" i="21"/>
  <c r="AT123" i="21" s="1"/>
  <c r="AQ123" i="21"/>
  <c r="AO123" i="21"/>
  <c r="AP123" i="21" s="1"/>
  <c r="AM123" i="21"/>
  <c r="AN123" i="21" s="1"/>
  <c r="AK123" i="21"/>
  <c r="AL123" i="21" s="1"/>
  <c r="AG123" i="21"/>
  <c r="AH123" i="21" s="1"/>
  <c r="AE123" i="21"/>
  <c r="AC123" i="21"/>
  <c r="AD123" i="21" s="1"/>
  <c r="AA123" i="21"/>
  <c r="AB123" i="21" s="1"/>
  <c r="W123" i="21"/>
  <c r="X123" i="21" s="1"/>
  <c r="U123" i="21"/>
  <c r="V123" i="21" s="1"/>
  <c r="S123" i="21"/>
  <c r="T123" i="21" s="1"/>
  <c r="Z123" i="21" s="1"/>
  <c r="Q123" i="21"/>
  <c r="R123" i="21" s="1"/>
  <c r="P123" i="21"/>
  <c r="O123" i="21"/>
  <c r="N123" i="21"/>
  <c r="M123" i="21"/>
  <c r="L123" i="21"/>
  <c r="K123" i="21"/>
  <c r="J123" i="21"/>
  <c r="I123" i="21"/>
  <c r="H123" i="21"/>
  <c r="G123" i="21"/>
  <c r="F123" i="21"/>
  <c r="E123" i="21"/>
  <c r="D123" i="21"/>
  <c r="C123" i="21"/>
  <c r="B123" i="21"/>
  <c r="A123" i="21"/>
  <c r="BG122" i="21"/>
  <c r="BH122" i="21" s="1"/>
  <c r="BE122" i="21"/>
  <c r="BF122" i="21" s="1"/>
  <c r="AW122" i="21"/>
  <c r="AX122" i="21" s="1"/>
  <c r="AU122" i="21"/>
  <c r="AV122" i="21" s="1"/>
  <c r="AS122" i="21"/>
  <c r="AT122" i="21" s="1"/>
  <c r="AQ122" i="21"/>
  <c r="AR122" i="21" s="1"/>
  <c r="AO122" i="21"/>
  <c r="AP122" i="21" s="1"/>
  <c r="AM122" i="21"/>
  <c r="AN122" i="21" s="1"/>
  <c r="AK122" i="21"/>
  <c r="AL122" i="21" s="1"/>
  <c r="AG122" i="21"/>
  <c r="AE122" i="21"/>
  <c r="AF122" i="21" s="1"/>
  <c r="AC122" i="21"/>
  <c r="AA122" i="21"/>
  <c r="AB122" i="21" s="1"/>
  <c r="W122" i="21"/>
  <c r="X122" i="21" s="1"/>
  <c r="U122" i="21"/>
  <c r="S122" i="21"/>
  <c r="T122" i="21" s="1"/>
  <c r="Q122" i="21"/>
  <c r="R122" i="21" s="1"/>
  <c r="P122" i="21"/>
  <c r="O122" i="21"/>
  <c r="N122" i="21"/>
  <c r="M122" i="21"/>
  <c r="L122" i="21"/>
  <c r="K122" i="21"/>
  <c r="J122" i="21"/>
  <c r="I122" i="21"/>
  <c r="H122" i="21"/>
  <c r="G122" i="21"/>
  <c r="F122" i="21"/>
  <c r="E122" i="21"/>
  <c r="D122" i="21"/>
  <c r="C122" i="21"/>
  <c r="B122" i="21"/>
  <c r="A122" i="21"/>
  <c r="BG121" i="21"/>
  <c r="BE121" i="21"/>
  <c r="BF121" i="21" s="1"/>
  <c r="AW121" i="21"/>
  <c r="AX121" i="21" s="1"/>
  <c r="AU121" i="21"/>
  <c r="AV121" i="21" s="1"/>
  <c r="AS121" i="21"/>
  <c r="AT121" i="21" s="1"/>
  <c r="AQ121" i="21"/>
  <c r="AR121" i="21" s="1"/>
  <c r="AO121" i="21"/>
  <c r="AP121" i="21" s="1"/>
  <c r="AM121" i="21"/>
  <c r="AK121" i="21"/>
  <c r="AL121" i="21" s="1"/>
  <c r="AG121" i="21"/>
  <c r="AH121" i="21" s="1"/>
  <c r="AE121" i="21"/>
  <c r="AF121" i="21" s="1"/>
  <c r="AC121" i="21"/>
  <c r="AD121" i="21" s="1"/>
  <c r="AA121" i="21"/>
  <c r="W121" i="21"/>
  <c r="X121" i="21" s="1"/>
  <c r="U121" i="21"/>
  <c r="S121" i="21"/>
  <c r="Q121" i="21"/>
  <c r="R121" i="21" s="1"/>
  <c r="P121" i="21"/>
  <c r="O121" i="21"/>
  <c r="N121" i="21"/>
  <c r="M121" i="21"/>
  <c r="L121" i="21"/>
  <c r="K121" i="21"/>
  <c r="J121" i="21"/>
  <c r="I121" i="21"/>
  <c r="H121" i="21"/>
  <c r="G121" i="21"/>
  <c r="F121" i="21"/>
  <c r="E121" i="21"/>
  <c r="D121" i="21"/>
  <c r="C121" i="21"/>
  <c r="B121" i="21"/>
  <c r="A121" i="21"/>
  <c r="BG120" i="21"/>
  <c r="BH120" i="21" s="1"/>
  <c r="BE120" i="21"/>
  <c r="BF120" i="21" s="1"/>
  <c r="AW120" i="21"/>
  <c r="AX120" i="21" s="1"/>
  <c r="AU120" i="21"/>
  <c r="AV120" i="21" s="1"/>
  <c r="AS120" i="21"/>
  <c r="AQ120" i="21"/>
  <c r="AO120" i="21"/>
  <c r="AP120" i="21" s="1"/>
  <c r="AM120" i="21"/>
  <c r="AK120" i="21"/>
  <c r="AL120" i="21" s="1"/>
  <c r="AG120" i="21"/>
  <c r="AH120" i="21" s="1"/>
  <c r="AE120" i="21"/>
  <c r="AF120" i="21" s="1"/>
  <c r="AC120" i="21"/>
  <c r="AD120" i="21" s="1"/>
  <c r="AA120" i="21"/>
  <c r="AB120" i="21" s="1"/>
  <c r="AI120" i="21" s="1"/>
  <c r="W120" i="21"/>
  <c r="U120" i="21"/>
  <c r="V120" i="21" s="1"/>
  <c r="S120" i="21"/>
  <c r="Q120" i="21"/>
  <c r="R120" i="21" s="1"/>
  <c r="P120" i="21"/>
  <c r="O120" i="21"/>
  <c r="N120" i="21"/>
  <c r="M120" i="21"/>
  <c r="L120" i="21"/>
  <c r="K120" i="21"/>
  <c r="J120" i="21"/>
  <c r="I120" i="21"/>
  <c r="H120" i="21"/>
  <c r="G120" i="21"/>
  <c r="F120" i="21"/>
  <c r="E120" i="21"/>
  <c r="D120" i="21"/>
  <c r="C120" i="21"/>
  <c r="B120" i="21"/>
  <c r="A120" i="21"/>
  <c r="BG119" i="21"/>
  <c r="BH119" i="21" s="1"/>
  <c r="BE119" i="21"/>
  <c r="AW119" i="21"/>
  <c r="AX119" i="21" s="1"/>
  <c r="AU119" i="21"/>
  <c r="AS119" i="21"/>
  <c r="AT119" i="21" s="1"/>
  <c r="AQ119" i="21"/>
  <c r="AR119" i="21" s="1"/>
  <c r="AO119" i="21"/>
  <c r="AP119" i="21" s="1"/>
  <c r="AM119" i="21"/>
  <c r="AN119" i="21" s="1"/>
  <c r="AK119" i="21"/>
  <c r="AG119" i="21"/>
  <c r="AH119" i="21" s="1"/>
  <c r="AE119" i="21"/>
  <c r="AF119" i="21" s="1"/>
  <c r="AC119" i="21"/>
  <c r="AA119" i="21"/>
  <c r="AB119" i="21" s="1"/>
  <c r="W119" i="21"/>
  <c r="X119" i="21" s="1"/>
  <c r="U119" i="21"/>
  <c r="V119" i="21" s="1"/>
  <c r="S119" i="21"/>
  <c r="T119" i="21" s="1"/>
  <c r="Q119" i="21"/>
  <c r="R119" i="21" s="1"/>
  <c r="P119" i="21"/>
  <c r="O119" i="21"/>
  <c r="N119" i="21"/>
  <c r="M119" i="21"/>
  <c r="L119" i="21"/>
  <c r="K119" i="21"/>
  <c r="J119" i="21"/>
  <c r="I119" i="21"/>
  <c r="H119" i="21"/>
  <c r="G119" i="21"/>
  <c r="F119" i="21"/>
  <c r="E119" i="21"/>
  <c r="D119" i="21"/>
  <c r="C119" i="21"/>
  <c r="B119" i="21"/>
  <c r="A119" i="21"/>
  <c r="BG118" i="21"/>
  <c r="BH118" i="21" s="1"/>
  <c r="BE118" i="21"/>
  <c r="BF118" i="21" s="1"/>
  <c r="AW118" i="21"/>
  <c r="AX118" i="21" s="1"/>
  <c r="AU118" i="21"/>
  <c r="AS118" i="21"/>
  <c r="AT118" i="21" s="1"/>
  <c r="AQ118" i="21"/>
  <c r="AR118" i="21" s="1"/>
  <c r="AO118" i="21"/>
  <c r="AM118" i="21"/>
  <c r="AN118" i="21" s="1"/>
  <c r="AK118" i="21"/>
  <c r="AL118" i="21" s="1"/>
  <c r="AG118" i="21"/>
  <c r="AE118" i="21"/>
  <c r="AF118" i="21" s="1"/>
  <c r="AC118" i="21"/>
  <c r="AA118" i="21"/>
  <c r="AB118" i="21" s="1"/>
  <c r="W118" i="21"/>
  <c r="X118" i="21" s="1"/>
  <c r="U118" i="21"/>
  <c r="V118" i="21" s="1"/>
  <c r="S118" i="21"/>
  <c r="T118" i="21" s="1"/>
  <c r="Q118" i="21"/>
  <c r="R118" i="21" s="1"/>
  <c r="P118" i="21"/>
  <c r="O118" i="21"/>
  <c r="N118" i="21"/>
  <c r="M118" i="21"/>
  <c r="L118" i="21"/>
  <c r="K118" i="21"/>
  <c r="J118" i="21"/>
  <c r="I118" i="21"/>
  <c r="H118" i="21"/>
  <c r="G118" i="21"/>
  <c r="F118" i="21"/>
  <c r="E118" i="21"/>
  <c r="D118" i="21"/>
  <c r="C118" i="21"/>
  <c r="B118" i="21"/>
  <c r="A118" i="21"/>
  <c r="BG117" i="21"/>
  <c r="BE117" i="21"/>
  <c r="BF117" i="21" s="1"/>
  <c r="AW117" i="21"/>
  <c r="AX117" i="21" s="1"/>
  <c r="AU117" i="21"/>
  <c r="AV117" i="21" s="1"/>
  <c r="AS117" i="21"/>
  <c r="AQ117" i="21"/>
  <c r="AR117" i="21" s="1"/>
  <c r="AO117" i="21"/>
  <c r="AM117" i="21"/>
  <c r="AK117" i="21"/>
  <c r="AL117" i="21" s="1"/>
  <c r="AG117" i="21"/>
  <c r="AH117" i="21" s="1"/>
  <c r="AE117" i="21"/>
  <c r="AF117" i="21" s="1"/>
  <c r="AC117" i="21"/>
  <c r="AD117" i="21" s="1"/>
  <c r="AA117" i="21"/>
  <c r="W117" i="21"/>
  <c r="X117" i="21" s="1"/>
  <c r="U117" i="21"/>
  <c r="S117" i="21"/>
  <c r="Q117" i="21"/>
  <c r="R117" i="21" s="1"/>
  <c r="P117" i="21"/>
  <c r="O117" i="21"/>
  <c r="N117" i="21"/>
  <c r="M117" i="21"/>
  <c r="L117" i="21"/>
  <c r="K117" i="21"/>
  <c r="J117" i="21"/>
  <c r="I117" i="21"/>
  <c r="H117" i="21"/>
  <c r="G117" i="21"/>
  <c r="F117" i="21"/>
  <c r="E117" i="21"/>
  <c r="D117" i="21"/>
  <c r="C117" i="21"/>
  <c r="B117" i="21"/>
  <c r="A117" i="21"/>
  <c r="BG116" i="21"/>
  <c r="BE116" i="21"/>
  <c r="BF116" i="21" s="1"/>
  <c r="AW116" i="21"/>
  <c r="AX116" i="21" s="1"/>
  <c r="AU116" i="21"/>
  <c r="AV116" i="21" s="1"/>
  <c r="AS116" i="21"/>
  <c r="AT116" i="21" s="1"/>
  <c r="AQ116" i="21"/>
  <c r="AO116" i="21"/>
  <c r="AP116" i="21" s="1"/>
  <c r="AM116" i="21"/>
  <c r="AK116" i="21"/>
  <c r="AL116" i="21" s="1"/>
  <c r="AG116" i="21"/>
  <c r="AH116" i="21" s="1"/>
  <c r="AE116" i="21"/>
  <c r="AC116" i="21"/>
  <c r="AD116" i="21" s="1"/>
  <c r="AA116" i="21"/>
  <c r="AB116" i="21" s="1"/>
  <c r="W116" i="21"/>
  <c r="U116" i="21"/>
  <c r="V116" i="21" s="1"/>
  <c r="S116" i="21"/>
  <c r="T116" i="21" s="1"/>
  <c r="Q116" i="21"/>
  <c r="R116" i="21" s="1"/>
  <c r="Y116" i="21" s="1"/>
  <c r="P116" i="21"/>
  <c r="O116" i="21"/>
  <c r="N116" i="21"/>
  <c r="M116" i="21"/>
  <c r="L116" i="21"/>
  <c r="K116" i="21"/>
  <c r="J116" i="21"/>
  <c r="I116" i="21"/>
  <c r="H116" i="21"/>
  <c r="G116" i="21"/>
  <c r="F116" i="21"/>
  <c r="E116" i="21"/>
  <c r="D116" i="21"/>
  <c r="C116" i="21"/>
  <c r="B116" i="21"/>
  <c r="A116" i="21"/>
  <c r="BG115" i="21"/>
  <c r="BH115" i="21" s="1"/>
  <c r="BE115" i="21"/>
  <c r="AW115" i="21"/>
  <c r="AX115" i="21" s="1"/>
  <c r="AU115" i="21"/>
  <c r="AS115" i="21"/>
  <c r="AT115" i="21" s="1"/>
  <c r="AQ115" i="21"/>
  <c r="AR115" i="21" s="1"/>
  <c r="AO115" i="21"/>
  <c r="AP115" i="21" s="1"/>
  <c r="AM115" i="21"/>
  <c r="AN115" i="21" s="1"/>
  <c r="AK115" i="21"/>
  <c r="AL115" i="21" s="1"/>
  <c r="AG115" i="21"/>
  <c r="AH115" i="21" s="1"/>
  <c r="AE115" i="21"/>
  <c r="AF115" i="21" s="1"/>
  <c r="AC115" i="21"/>
  <c r="AA115" i="21"/>
  <c r="AB115" i="21" s="1"/>
  <c r="W115" i="21"/>
  <c r="U115" i="21"/>
  <c r="V115" i="21" s="1"/>
  <c r="S115" i="21"/>
  <c r="T115" i="21" s="1"/>
  <c r="Q115" i="21"/>
  <c r="P115" i="21"/>
  <c r="O115" i="21"/>
  <c r="N115" i="21"/>
  <c r="M115" i="21"/>
  <c r="L115" i="21"/>
  <c r="K115" i="21"/>
  <c r="J115" i="21"/>
  <c r="I115" i="21"/>
  <c r="H115" i="21"/>
  <c r="G115" i="21"/>
  <c r="F115" i="21"/>
  <c r="E115" i="21"/>
  <c r="D115" i="21"/>
  <c r="C115" i="21"/>
  <c r="B115" i="21"/>
  <c r="A115" i="21"/>
  <c r="BG114" i="21"/>
  <c r="BH114" i="21" s="1"/>
  <c r="BE114" i="21"/>
  <c r="BF114" i="21" s="1"/>
  <c r="AW114" i="21"/>
  <c r="AX114" i="21" s="1"/>
  <c r="AU114" i="21"/>
  <c r="AS114" i="21"/>
  <c r="AT114" i="21" s="1"/>
  <c r="AQ114" i="21"/>
  <c r="AR114" i="21" s="1"/>
  <c r="AO114" i="21"/>
  <c r="AP114" i="21" s="1"/>
  <c r="AM114" i="21"/>
  <c r="AN114" i="21" s="1"/>
  <c r="AK114" i="21"/>
  <c r="AL114" i="21" s="1"/>
  <c r="AG114" i="21"/>
  <c r="AE114" i="21"/>
  <c r="AF114" i="21" s="1"/>
  <c r="AC114" i="21"/>
  <c r="AD114" i="21" s="1"/>
  <c r="AA114" i="21"/>
  <c r="AB114" i="21" s="1"/>
  <c r="W114" i="21"/>
  <c r="X114" i="21" s="1"/>
  <c r="U114" i="21"/>
  <c r="S114" i="21"/>
  <c r="T114" i="21" s="1"/>
  <c r="Q114" i="21"/>
  <c r="P114" i="21"/>
  <c r="O114" i="21"/>
  <c r="N114" i="21"/>
  <c r="M114" i="21"/>
  <c r="L114" i="21"/>
  <c r="K114" i="21"/>
  <c r="J114" i="21"/>
  <c r="I114" i="21"/>
  <c r="H114" i="21"/>
  <c r="G114" i="21"/>
  <c r="F114" i="21"/>
  <c r="E114" i="21"/>
  <c r="D114" i="21"/>
  <c r="C114" i="21"/>
  <c r="B114" i="21"/>
  <c r="A114" i="21"/>
  <c r="BG113" i="21"/>
  <c r="BE113" i="21"/>
  <c r="BF113" i="21" s="1"/>
  <c r="AW113" i="21"/>
  <c r="AX113" i="21" s="1"/>
  <c r="AU113" i="21"/>
  <c r="AV113" i="21" s="1"/>
  <c r="AS113" i="21"/>
  <c r="AQ113" i="21"/>
  <c r="AR113" i="21" s="1"/>
  <c r="AO113" i="21"/>
  <c r="AM113" i="21"/>
  <c r="AN113" i="21" s="1"/>
  <c r="AK113" i="21"/>
  <c r="AL113" i="21" s="1"/>
  <c r="AG113" i="21"/>
  <c r="AE113" i="21"/>
  <c r="AF113" i="21" s="1"/>
  <c r="AC113" i="21"/>
  <c r="AA113" i="21"/>
  <c r="AB113" i="21" s="1"/>
  <c r="W113" i="21"/>
  <c r="X113" i="21" s="1"/>
  <c r="U113" i="21"/>
  <c r="S113" i="21"/>
  <c r="T113" i="21" s="1"/>
  <c r="Q113" i="21"/>
  <c r="P113" i="21"/>
  <c r="O113" i="21"/>
  <c r="N113" i="21"/>
  <c r="M113" i="21"/>
  <c r="L113" i="21"/>
  <c r="K113" i="21"/>
  <c r="J113" i="21"/>
  <c r="I113" i="21"/>
  <c r="H113" i="21"/>
  <c r="G113" i="21"/>
  <c r="F113" i="21"/>
  <c r="E113" i="21"/>
  <c r="D113" i="21"/>
  <c r="C113" i="21"/>
  <c r="B113" i="21"/>
  <c r="A113" i="21"/>
  <c r="BG112" i="21"/>
  <c r="BE112" i="21"/>
  <c r="BF112" i="21" s="1"/>
  <c r="AW112" i="21"/>
  <c r="AX112" i="21" s="1"/>
  <c r="AU112" i="21"/>
  <c r="AV112" i="21" s="1"/>
  <c r="AS112" i="21"/>
  <c r="AQ112" i="21"/>
  <c r="AR112" i="21" s="1"/>
  <c r="AO112" i="21"/>
  <c r="AM112" i="21"/>
  <c r="AK112" i="21"/>
  <c r="AL112" i="21" s="1"/>
  <c r="AG112" i="21"/>
  <c r="AE112" i="21"/>
  <c r="AF112" i="21" s="1"/>
  <c r="AC112" i="21"/>
  <c r="AD112" i="21" s="1"/>
  <c r="AA112" i="21"/>
  <c r="W112" i="21"/>
  <c r="X112" i="21" s="1"/>
  <c r="U112" i="21"/>
  <c r="V112" i="21" s="1"/>
  <c r="S112" i="21"/>
  <c r="Q112" i="21"/>
  <c r="R112" i="21" s="1"/>
  <c r="P112" i="21"/>
  <c r="O112" i="21"/>
  <c r="N112" i="21"/>
  <c r="M112" i="21"/>
  <c r="L112" i="21"/>
  <c r="K112" i="21"/>
  <c r="J112" i="21"/>
  <c r="I112" i="21"/>
  <c r="H112" i="21"/>
  <c r="G112" i="21"/>
  <c r="F112" i="21"/>
  <c r="E112" i="21"/>
  <c r="D112" i="21"/>
  <c r="C112" i="21"/>
  <c r="B112" i="21"/>
  <c r="A112" i="21"/>
  <c r="BG111" i="21"/>
  <c r="BE111" i="21"/>
  <c r="BF111" i="21" s="1"/>
  <c r="AW111" i="21"/>
  <c r="AU111" i="21"/>
  <c r="AV111" i="21" s="1"/>
  <c r="AS111" i="21"/>
  <c r="AQ111" i="21"/>
  <c r="AO111" i="21"/>
  <c r="AP111" i="21" s="1"/>
  <c r="AM111" i="21"/>
  <c r="AK111" i="21"/>
  <c r="AL111" i="21" s="1"/>
  <c r="AG111" i="21"/>
  <c r="AH111" i="21" s="1"/>
  <c r="AE111" i="21"/>
  <c r="AC111" i="21"/>
  <c r="AD111" i="21" s="1"/>
  <c r="AA111" i="21"/>
  <c r="AB111" i="21" s="1"/>
  <c r="W111" i="21"/>
  <c r="U111" i="21"/>
  <c r="V111" i="21" s="1"/>
  <c r="S111" i="21"/>
  <c r="Q111" i="21"/>
  <c r="R111" i="21" s="1"/>
  <c r="P111" i="21"/>
  <c r="O111" i="21"/>
  <c r="N111" i="21"/>
  <c r="M111" i="21"/>
  <c r="L111" i="21"/>
  <c r="K111" i="21"/>
  <c r="J111" i="21"/>
  <c r="I111" i="21"/>
  <c r="H111" i="21"/>
  <c r="G111" i="21"/>
  <c r="F111" i="21"/>
  <c r="E111" i="21"/>
  <c r="D111" i="21"/>
  <c r="C111" i="21"/>
  <c r="B111" i="21"/>
  <c r="A111" i="21"/>
  <c r="BG110" i="21"/>
  <c r="BH110" i="21" s="1"/>
  <c r="BE110" i="21"/>
  <c r="AW110" i="21"/>
  <c r="AU110" i="21"/>
  <c r="AS110" i="21"/>
  <c r="AT110" i="21" s="1"/>
  <c r="AQ110" i="21"/>
  <c r="AO110" i="21"/>
  <c r="AP110" i="21" s="1"/>
  <c r="AM110" i="21"/>
  <c r="AN110" i="21" s="1"/>
  <c r="AK110" i="21"/>
  <c r="AG110" i="21"/>
  <c r="AH110" i="21" s="1"/>
  <c r="AE110" i="21"/>
  <c r="AF110" i="21" s="1"/>
  <c r="AC110" i="21"/>
  <c r="AA110" i="21"/>
  <c r="AB110" i="21" s="1"/>
  <c r="W110" i="21"/>
  <c r="U110" i="21"/>
  <c r="V110" i="21" s="1"/>
  <c r="S110" i="21"/>
  <c r="T110" i="21" s="1"/>
  <c r="Q110" i="21"/>
  <c r="P110" i="21"/>
  <c r="O110" i="21"/>
  <c r="N110" i="21"/>
  <c r="M110" i="21"/>
  <c r="L110" i="21"/>
  <c r="K110" i="21"/>
  <c r="J110" i="21"/>
  <c r="I110" i="21"/>
  <c r="H110" i="21"/>
  <c r="G110" i="21"/>
  <c r="F110" i="21"/>
  <c r="E110" i="21"/>
  <c r="D110" i="21"/>
  <c r="C110" i="21"/>
  <c r="B110" i="21"/>
  <c r="A110" i="21"/>
  <c r="BG109" i="21"/>
  <c r="BH109" i="21" s="1"/>
  <c r="BE109" i="21"/>
  <c r="AW109" i="21"/>
  <c r="AX109" i="21" s="1"/>
  <c r="AU109" i="21"/>
  <c r="AS109" i="21"/>
  <c r="AT109" i="21" s="1"/>
  <c r="AQ109" i="21"/>
  <c r="AR109" i="21" s="1"/>
  <c r="AO109" i="21"/>
  <c r="AM109" i="21"/>
  <c r="AN109" i="21" s="1"/>
  <c r="AK109" i="21"/>
  <c r="AL109" i="21" s="1"/>
  <c r="AG109" i="21"/>
  <c r="AE109" i="21"/>
  <c r="AF109" i="21" s="1"/>
  <c r="AC109" i="21"/>
  <c r="AA109" i="21"/>
  <c r="AB109" i="21" s="1"/>
  <c r="W109" i="21"/>
  <c r="X109" i="21" s="1"/>
  <c r="U109" i="21"/>
  <c r="S109" i="21"/>
  <c r="T109" i="21" s="1"/>
  <c r="Q109" i="21"/>
  <c r="P109" i="21"/>
  <c r="O109" i="21"/>
  <c r="N109" i="21"/>
  <c r="M109" i="21"/>
  <c r="L109" i="21"/>
  <c r="K109" i="21"/>
  <c r="J109" i="21"/>
  <c r="I109" i="21"/>
  <c r="H109" i="21"/>
  <c r="G109" i="21"/>
  <c r="F109" i="21"/>
  <c r="E109" i="21"/>
  <c r="D109" i="21"/>
  <c r="C109" i="21"/>
  <c r="B109" i="21"/>
  <c r="A109" i="21"/>
  <c r="BG108" i="21"/>
  <c r="BE108" i="21"/>
  <c r="BF108" i="21" s="1"/>
  <c r="AW108" i="21"/>
  <c r="AX108" i="21" s="1"/>
  <c r="AU108" i="21"/>
  <c r="AV108" i="21" s="1"/>
  <c r="AS108" i="21"/>
  <c r="AQ108" i="21"/>
  <c r="AR108" i="21" s="1"/>
  <c r="AO108" i="21"/>
  <c r="AP108" i="21" s="1"/>
  <c r="AM108" i="21"/>
  <c r="AK108" i="21"/>
  <c r="AL108" i="21" s="1"/>
  <c r="AG108" i="21"/>
  <c r="AE108" i="21"/>
  <c r="AF108" i="21" s="1"/>
  <c r="AC108" i="21"/>
  <c r="AD108" i="21" s="1"/>
  <c r="AA108" i="21"/>
  <c r="W108" i="21"/>
  <c r="X108" i="21" s="1"/>
  <c r="U108" i="21"/>
  <c r="S108" i="21"/>
  <c r="Q108" i="21"/>
  <c r="R108" i="21" s="1"/>
  <c r="P108" i="21"/>
  <c r="O108" i="21"/>
  <c r="N108" i="21"/>
  <c r="M108" i="21"/>
  <c r="L108" i="21"/>
  <c r="K108" i="21"/>
  <c r="J108" i="21"/>
  <c r="I108" i="21"/>
  <c r="H108" i="21"/>
  <c r="G108" i="21"/>
  <c r="F108" i="21"/>
  <c r="E108" i="21"/>
  <c r="D108" i="21"/>
  <c r="C108" i="21"/>
  <c r="B108" i="21"/>
  <c r="A108" i="21"/>
  <c r="BG107" i="21"/>
  <c r="BE107" i="21"/>
  <c r="BF107" i="21" s="1"/>
  <c r="AW107" i="21"/>
  <c r="AU107" i="21"/>
  <c r="AV107" i="21" s="1"/>
  <c r="AS107" i="21"/>
  <c r="AT107" i="21" s="1"/>
  <c r="AQ107" i="21"/>
  <c r="AO107" i="21"/>
  <c r="AP107" i="21" s="1"/>
  <c r="AM107" i="21"/>
  <c r="AK107" i="21"/>
  <c r="AL107" i="21" s="1"/>
  <c r="AG107" i="21"/>
  <c r="AH107" i="21" s="1"/>
  <c r="AE107" i="21"/>
  <c r="AC107" i="21"/>
  <c r="AD107" i="21" s="1"/>
  <c r="AA107" i="21"/>
  <c r="W107" i="21"/>
  <c r="U107" i="21"/>
  <c r="V107" i="21" s="1"/>
  <c r="S107" i="21"/>
  <c r="Q107" i="21"/>
  <c r="R107" i="21" s="1"/>
  <c r="P107" i="21"/>
  <c r="O107" i="21"/>
  <c r="N107" i="21"/>
  <c r="M107" i="21"/>
  <c r="L107" i="21"/>
  <c r="K107" i="21"/>
  <c r="J107" i="21"/>
  <c r="I107" i="21"/>
  <c r="H107" i="21"/>
  <c r="G107" i="21"/>
  <c r="F107" i="21"/>
  <c r="E107" i="21"/>
  <c r="D107" i="21"/>
  <c r="C107" i="21"/>
  <c r="B107" i="21"/>
  <c r="A107" i="21"/>
  <c r="BG106" i="21"/>
  <c r="BH106" i="21" s="1"/>
  <c r="BE106" i="21"/>
  <c r="AW106" i="21"/>
  <c r="AX106" i="21" s="1"/>
  <c r="AU106" i="21"/>
  <c r="AS106" i="21"/>
  <c r="AT106" i="21" s="1"/>
  <c r="AQ106" i="21"/>
  <c r="AO106" i="21"/>
  <c r="AP106" i="21" s="1"/>
  <c r="AM106" i="21"/>
  <c r="AN106" i="21" s="1"/>
  <c r="AK106" i="21"/>
  <c r="AG106" i="21"/>
  <c r="AH106" i="21" s="1"/>
  <c r="AE106" i="21"/>
  <c r="AC106" i="21"/>
  <c r="AA106" i="21"/>
  <c r="AB106" i="21" s="1"/>
  <c r="W106" i="21"/>
  <c r="U106" i="21"/>
  <c r="V106" i="21" s="1"/>
  <c r="S106" i="21"/>
  <c r="T106" i="21" s="1"/>
  <c r="Q106" i="21"/>
  <c r="P106" i="21"/>
  <c r="O106" i="21"/>
  <c r="N106" i="21"/>
  <c r="M106" i="21"/>
  <c r="L106" i="21"/>
  <c r="K106" i="21"/>
  <c r="J106" i="21"/>
  <c r="I106" i="21"/>
  <c r="H106" i="21"/>
  <c r="G106" i="21"/>
  <c r="F106" i="21"/>
  <c r="E106" i="21"/>
  <c r="D106" i="21"/>
  <c r="C106" i="21"/>
  <c r="B106" i="21"/>
  <c r="A106" i="21"/>
  <c r="BG105" i="21"/>
  <c r="BH105" i="21" s="1"/>
  <c r="BE105" i="21"/>
  <c r="BF105" i="21" s="1"/>
  <c r="AW105" i="21"/>
  <c r="AX105" i="21" s="1"/>
  <c r="AU105" i="21"/>
  <c r="AS105" i="21"/>
  <c r="AT105" i="21" s="1"/>
  <c r="AQ105" i="21"/>
  <c r="AR105" i="21" s="1"/>
  <c r="AO105" i="21"/>
  <c r="AM105" i="21"/>
  <c r="AN105" i="21" s="1"/>
  <c r="AK105" i="21"/>
  <c r="AG105" i="21"/>
  <c r="AE105" i="21"/>
  <c r="AF105" i="21" s="1"/>
  <c r="AC105" i="21"/>
  <c r="AA105" i="21"/>
  <c r="AB105" i="21" s="1"/>
  <c r="W105" i="21"/>
  <c r="X105" i="21" s="1"/>
  <c r="U105" i="21"/>
  <c r="S105" i="21"/>
  <c r="T105" i="21" s="1"/>
  <c r="Q105" i="21"/>
  <c r="R105" i="21" s="1"/>
  <c r="P105" i="21"/>
  <c r="O105" i="21"/>
  <c r="N105" i="21"/>
  <c r="M105" i="21"/>
  <c r="L105" i="21"/>
  <c r="K105" i="21"/>
  <c r="J105" i="21"/>
  <c r="I105" i="21"/>
  <c r="H105" i="21"/>
  <c r="G105" i="21"/>
  <c r="F105" i="21"/>
  <c r="E105" i="21"/>
  <c r="D105" i="21"/>
  <c r="C105" i="21"/>
  <c r="B105" i="21"/>
  <c r="A105" i="21"/>
  <c r="BG104" i="21"/>
  <c r="BE104" i="21"/>
  <c r="BF104" i="21" s="1"/>
  <c r="AW104" i="21"/>
  <c r="AU104" i="21"/>
  <c r="AV104" i="21" s="1"/>
  <c r="AS104" i="21"/>
  <c r="AQ104" i="21"/>
  <c r="AR104" i="21" s="1"/>
  <c r="AO104" i="21"/>
  <c r="AM104" i="21"/>
  <c r="AK104" i="21"/>
  <c r="AL104" i="21" s="1"/>
  <c r="AG104" i="21"/>
  <c r="AE104" i="21"/>
  <c r="AF104" i="21" s="1"/>
  <c r="AC104" i="21"/>
  <c r="AD104" i="21" s="1"/>
  <c r="AA104" i="21"/>
  <c r="W104" i="21"/>
  <c r="X104" i="21" s="1"/>
  <c r="U104" i="21"/>
  <c r="V104" i="21" s="1"/>
  <c r="S104" i="21"/>
  <c r="Q104" i="21"/>
  <c r="R104" i="21" s="1"/>
  <c r="P104" i="21"/>
  <c r="O104" i="21"/>
  <c r="N104" i="21"/>
  <c r="M104" i="21"/>
  <c r="L104" i="21"/>
  <c r="K104" i="21"/>
  <c r="J104" i="21"/>
  <c r="I104" i="21"/>
  <c r="H104" i="21"/>
  <c r="G104" i="21"/>
  <c r="F104" i="21"/>
  <c r="E104" i="21"/>
  <c r="D104" i="21"/>
  <c r="C104" i="21"/>
  <c r="B104" i="21"/>
  <c r="A104" i="21"/>
  <c r="BG103" i="21"/>
  <c r="BE103" i="21"/>
  <c r="BF103" i="21" s="1"/>
  <c r="AW103" i="21"/>
  <c r="AU103" i="21"/>
  <c r="AV103" i="21" s="1"/>
  <c r="AS103" i="21"/>
  <c r="AQ103" i="21"/>
  <c r="AO103" i="21"/>
  <c r="AP103" i="21" s="1"/>
  <c r="AM103" i="21"/>
  <c r="AK103" i="21"/>
  <c r="AL103" i="21" s="1"/>
  <c r="AG103" i="21"/>
  <c r="AH103" i="21" s="1"/>
  <c r="AE103" i="21"/>
  <c r="AC103" i="21"/>
  <c r="AD103" i="21" s="1"/>
  <c r="AJ103" i="21" s="1"/>
  <c r="AA103" i="21"/>
  <c r="AB103" i="21" s="1"/>
  <c r="W103" i="21"/>
  <c r="U103" i="21"/>
  <c r="V103" i="21" s="1"/>
  <c r="S103" i="21"/>
  <c r="Q103" i="21"/>
  <c r="R103" i="21" s="1"/>
  <c r="P103" i="21"/>
  <c r="O103" i="21"/>
  <c r="N103" i="21"/>
  <c r="M103" i="21"/>
  <c r="L103" i="21"/>
  <c r="K103" i="21"/>
  <c r="J103" i="21"/>
  <c r="I103" i="21"/>
  <c r="H103" i="21"/>
  <c r="G103" i="21"/>
  <c r="F103" i="21"/>
  <c r="E103" i="21"/>
  <c r="D103" i="21"/>
  <c r="C103" i="21"/>
  <c r="B103" i="21"/>
  <c r="A103" i="21"/>
  <c r="BG102" i="21"/>
  <c r="BH102" i="21" s="1"/>
  <c r="BE102" i="21"/>
  <c r="AW102" i="21"/>
  <c r="AU102" i="21"/>
  <c r="AS102" i="21"/>
  <c r="AT102" i="21" s="1"/>
  <c r="AQ102" i="21"/>
  <c r="AO102" i="21"/>
  <c r="AP102" i="21" s="1"/>
  <c r="AM102" i="21"/>
  <c r="AN102" i="21" s="1"/>
  <c r="AK102" i="21"/>
  <c r="AG102" i="21"/>
  <c r="AH102" i="21" s="1"/>
  <c r="AE102" i="21"/>
  <c r="AF102" i="21" s="1"/>
  <c r="AC102" i="21"/>
  <c r="AA102" i="21"/>
  <c r="AB102" i="21" s="1"/>
  <c r="W102" i="21"/>
  <c r="U102" i="21"/>
  <c r="V102" i="21" s="1"/>
  <c r="S102" i="21"/>
  <c r="T102" i="21" s="1"/>
  <c r="Q102" i="21"/>
  <c r="P102" i="21"/>
  <c r="O102" i="21"/>
  <c r="N102" i="21"/>
  <c r="M102" i="21"/>
  <c r="L102" i="21"/>
  <c r="K102" i="21"/>
  <c r="J102" i="21"/>
  <c r="I102" i="21"/>
  <c r="H102" i="21"/>
  <c r="G102" i="21"/>
  <c r="F102" i="21"/>
  <c r="E102" i="21"/>
  <c r="D102" i="21"/>
  <c r="C102" i="21"/>
  <c r="B102" i="21"/>
  <c r="A102" i="21"/>
  <c r="BG101" i="21"/>
  <c r="BH101" i="21" s="1"/>
  <c r="BE101" i="21"/>
  <c r="AW101" i="21"/>
  <c r="AX101" i="21" s="1"/>
  <c r="AU101" i="21"/>
  <c r="AS101" i="21"/>
  <c r="AT101" i="21" s="1"/>
  <c r="AQ101" i="21"/>
  <c r="AR101" i="21" s="1"/>
  <c r="AO101" i="21"/>
  <c r="AM101" i="21"/>
  <c r="AN101" i="21" s="1"/>
  <c r="AK101" i="21"/>
  <c r="AL101" i="21" s="1"/>
  <c r="AG101" i="21"/>
  <c r="AE101" i="21"/>
  <c r="AF101" i="21" s="1"/>
  <c r="AC101" i="21"/>
  <c r="AA101" i="21"/>
  <c r="AB101" i="21" s="1"/>
  <c r="W101" i="21"/>
  <c r="X101" i="21" s="1"/>
  <c r="U101" i="21"/>
  <c r="S101" i="21"/>
  <c r="T101" i="21" s="1"/>
  <c r="Q101" i="21"/>
  <c r="P101" i="21"/>
  <c r="O101" i="21"/>
  <c r="N101" i="21"/>
  <c r="M101" i="21"/>
  <c r="L101" i="21"/>
  <c r="K101" i="21"/>
  <c r="J101" i="21"/>
  <c r="I101" i="21"/>
  <c r="H101" i="21"/>
  <c r="G101" i="21"/>
  <c r="F101" i="21"/>
  <c r="E101" i="21"/>
  <c r="D101" i="21"/>
  <c r="C101" i="21"/>
  <c r="B101" i="21"/>
  <c r="A101" i="21"/>
  <c r="BG100" i="21"/>
  <c r="BE100" i="21"/>
  <c r="BF100" i="21" s="1"/>
  <c r="AW100" i="21"/>
  <c r="AX100" i="21" s="1"/>
  <c r="AU100" i="21"/>
  <c r="AV100" i="21" s="1"/>
  <c r="AS100" i="21"/>
  <c r="AQ100" i="21"/>
  <c r="AR100" i="21" s="1"/>
  <c r="AO100" i="21"/>
  <c r="AP100" i="21" s="1"/>
  <c r="AM100" i="21"/>
  <c r="AK100" i="21"/>
  <c r="AL100" i="21" s="1"/>
  <c r="AG100" i="21"/>
  <c r="AE100" i="21"/>
  <c r="AF100" i="21" s="1"/>
  <c r="AC100" i="21"/>
  <c r="AD100" i="21" s="1"/>
  <c r="AA100" i="21"/>
  <c r="W100" i="21"/>
  <c r="X100" i="21" s="1"/>
  <c r="U100" i="21"/>
  <c r="S100" i="21"/>
  <c r="Q100" i="21"/>
  <c r="R100" i="21" s="1"/>
  <c r="P100" i="21"/>
  <c r="O100" i="21"/>
  <c r="N100" i="21"/>
  <c r="M100" i="21"/>
  <c r="L100" i="21"/>
  <c r="K100" i="21"/>
  <c r="J100" i="21"/>
  <c r="I100" i="21"/>
  <c r="H100" i="21"/>
  <c r="G100" i="21"/>
  <c r="F100" i="21"/>
  <c r="E100" i="21"/>
  <c r="D100" i="21"/>
  <c r="C100" i="21"/>
  <c r="B100" i="21"/>
  <c r="A100" i="21"/>
  <c r="BG99" i="21"/>
  <c r="BE99" i="21"/>
  <c r="BF99" i="21" s="1"/>
  <c r="AW99" i="21"/>
  <c r="AU99" i="21"/>
  <c r="AV99" i="21" s="1"/>
  <c r="AS99" i="21"/>
  <c r="AT99" i="21" s="1"/>
  <c r="AQ99" i="21"/>
  <c r="AO99" i="21"/>
  <c r="AP99" i="21" s="1"/>
  <c r="AM99" i="21"/>
  <c r="AK99" i="21"/>
  <c r="AL99" i="21" s="1"/>
  <c r="AG99" i="21"/>
  <c r="AH99" i="21" s="1"/>
  <c r="AE99" i="21"/>
  <c r="AC99" i="21"/>
  <c r="AD99" i="21" s="1"/>
  <c r="AA99" i="21"/>
  <c r="W99" i="21"/>
  <c r="U99" i="21"/>
  <c r="V99" i="21" s="1"/>
  <c r="S99" i="21"/>
  <c r="Q99" i="21"/>
  <c r="R99" i="21" s="1"/>
  <c r="P99" i="21"/>
  <c r="O99" i="21"/>
  <c r="N99" i="21"/>
  <c r="M99" i="21"/>
  <c r="L99" i="21"/>
  <c r="K99" i="21"/>
  <c r="J99" i="21"/>
  <c r="I99" i="21"/>
  <c r="H99" i="21"/>
  <c r="G99" i="21"/>
  <c r="F99" i="21"/>
  <c r="E99" i="21"/>
  <c r="D99" i="21"/>
  <c r="C99" i="21"/>
  <c r="B99" i="21"/>
  <c r="A99" i="21"/>
  <c r="BG98" i="21"/>
  <c r="BH98" i="21" s="1"/>
  <c r="BE98" i="21"/>
  <c r="AW98" i="21"/>
  <c r="AU98" i="21"/>
  <c r="AS98" i="21"/>
  <c r="AT98" i="21" s="1"/>
  <c r="AQ98" i="21"/>
  <c r="AO98" i="21"/>
  <c r="AP98" i="21" s="1"/>
  <c r="AM98" i="21"/>
  <c r="AN98" i="21" s="1"/>
  <c r="AK98" i="21"/>
  <c r="AG98" i="21"/>
  <c r="AH98" i="21" s="1"/>
  <c r="AE98" i="21"/>
  <c r="AC98" i="21"/>
  <c r="AA98" i="21"/>
  <c r="AB98" i="21" s="1"/>
  <c r="W98" i="21"/>
  <c r="U98" i="21"/>
  <c r="V98" i="21" s="1"/>
  <c r="S98" i="21"/>
  <c r="T98" i="21" s="1"/>
  <c r="Q98" i="21"/>
  <c r="P98" i="21"/>
  <c r="O98" i="21"/>
  <c r="N98" i="21"/>
  <c r="M98" i="21"/>
  <c r="L98" i="21"/>
  <c r="K98" i="21"/>
  <c r="J98" i="21"/>
  <c r="I98" i="21"/>
  <c r="H98" i="21"/>
  <c r="G98" i="21"/>
  <c r="F98" i="21"/>
  <c r="E98" i="21"/>
  <c r="D98" i="21"/>
  <c r="C98" i="21"/>
  <c r="B98" i="21"/>
  <c r="A98" i="21"/>
  <c r="BG97" i="21"/>
  <c r="BH97" i="21" s="1"/>
  <c r="BE97" i="21"/>
  <c r="BF97" i="21" s="1"/>
  <c r="AW97" i="21"/>
  <c r="AX97" i="21" s="1"/>
  <c r="AU97" i="21"/>
  <c r="AS97" i="21"/>
  <c r="AT97" i="21" s="1"/>
  <c r="AQ97" i="21"/>
  <c r="AR97" i="21" s="1"/>
  <c r="AO97" i="21"/>
  <c r="AM97" i="21"/>
  <c r="AN97" i="21" s="1"/>
  <c r="AK97" i="21"/>
  <c r="AG97" i="21"/>
  <c r="AE97" i="21"/>
  <c r="AF97" i="21" s="1"/>
  <c r="AC97" i="21"/>
  <c r="AA97" i="21"/>
  <c r="AB97" i="21" s="1"/>
  <c r="W97" i="21"/>
  <c r="X97" i="21" s="1"/>
  <c r="U97" i="21"/>
  <c r="S97" i="21"/>
  <c r="T97" i="21" s="1"/>
  <c r="Q97" i="21"/>
  <c r="R97" i="21" s="1"/>
  <c r="P97" i="21"/>
  <c r="O97" i="21"/>
  <c r="N97" i="21"/>
  <c r="M97" i="21"/>
  <c r="L97" i="21"/>
  <c r="K97" i="21"/>
  <c r="J97" i="21"/>
  <c r="I97" i="21"/>
  <c r="H97" i="21"/>
  <c r="G97" i="21"/>
  <c r="F97" i="21"/>
  <c r="E97" i="21"/>
  <c r="D97" i="21"/>
  <c r="C97" i="21"/>
  <c r="B97" i="21"/>
  <c r="A97" i="21"/>
  <c r="BG96" i="21"/>
  <c r="BE96" i="21"/>
  <c r="BF96" i="21" s="1"/>
  <c r="AW96" i="21"/>
  <c r="AX96" i="21" s="1"/>
  <c r="AU96" i="21"/>
  <c r="AV96" i="21" s="1"/>
  <c r="AS96" i="21"/>
  <c r="AT96" i="21" s="1"/>
  <c r="AQ96" i="21"/>
  <c r="AR96" i="21" s="1"/>
  <c r="AO96" i="21"/>
  <c r="AM96" i="21"/>
  <c r="AK96" i="21"/>
  <c r="AL96" i="21" s="1"/>
  <c r="AG96" i="21"/>
  <c r="AE96" i="21"/>
  <c r="AF96" i="21" s="1"/>
  <c r="AC96" i="21"/>
  <c r="AD96" i="21" s="1"/>
  <c r="AA96" i="21"/>
  <c r="W96" i="21"/>
  <c r="X96" i="21" s="1"/>
  <c r="U96" i="21"/>
  <c r="V96" i="21" s="1"/>
  <c r="S96" i="21"/>
  <c r="Q96" i="21"/>
  <c r="R96" i="21" s="1"/>
  <c r="P96" i="21"/>
  <c r="O96" i="21"/>
  <c r="N96" i="21"/>
  <c r="M96" i="21"/>
  <c r="L96" i="21"/>
  <c r="K96" i="21"/>
  <c r="J96" i="21"/>
  <c r="I96" i="21"/>
  <c r="H96" i="21"/>
  <c r="G96" i="21"/>
  <c r="F96" i="21"/>
  <c r="E96" i="21"/>
  <c r="D96" i="21"/>
  <c r="C96" i="21"/>
  <c r="B96" i="21"/>
  <c r="A96" i="21"/>
  <c r="BG95" i="21"/>
  <c r="BE95" i="21"/>
  <c r="BF95" i="21" s="1"/>
  <c r="AW95" i="21"/>
  <c r="AX95" i="21" s="1"/>
  <c r="AU95" i="21"/>
  <c r="AV95" i="21" s="1"/>
  <c r="AS95" i="21"/>
  <c r="AQ95" i="21"/>
  <c r="AO95" i="21"/>
  <c r="AP95" i="21" s="1"/>
  <c r="AM95" i="21"/>
  <c r="AK95" i="21"/>
  <c r="AL95" i="21" s="1"/>
  <c r="AG95" i="21"/>
  <c r="AH95" i="21" s="1"/>
  <c r="AE95" i="21"/>
  <c r="AF95" i="21" s="1"/>
  <c r="AC95" i="21"/>
  <c r="AD95" i="21" s="1"/>
  <c r="AA95" i="21"/>
  <c r="AB95" i="21" s="1"/>
  <c r="W95" i="21"/>
  <c r="X95" i="21" s="1"/>
  <c r="U95" i="21"/>
  <c r="V95" i="21" s="1"/>
  <c r="S95" i="21"/>
  <c r="Q95" i="21"/>
  <c r="R95" i="21" s="1"/>
  <c r="P95" i="21"/>
  <c r="O95" i="21"/>
  <c r="N95" i="21"/>
  <c r="M95" i="21"/>
  <c r="L95" i="21"/>
  <c r="K95" i="21"/>
  <c r="J95" i="21"/>
  <c r="I95" i="21"/>
  <c r="H95" i="21"/>
  <c r="G95" i="21"/>
  <c r="F95" i="21"/>
  <c r="E95" i="21"/>
  <c r="D95" i="21"/>
  <c r="C95" i="21"/>
  <c r="B95" i="21"/>
  <c r="A95" i="21"/>
  <c r="BG94" i="21"/>
  <c r="BH94" i="21" s="1"/>
  <c r="BE94" i="21"/>
  <c r="BF94" i="21" s="1"/>
  <c r="AW94" i="21"/>
  <c r="AU94" i="21"/>
  <c r="AV94" i="21" s="1"/>
  <c r="AS94" i="21"/>
  <c r="AT94" i="21" s="1"/>
  <c r="AQ94" i="21"/>
  <c r="AO94" i="21"/>
  <c r="AP94" i="21" s="1"/>
  <c r="AM94" i="21"/>
  <c r="AN94" i="21" s="1"/>
  <c r="AK94" i="21"/>
  <c r="AL94" i="21" s="1"/>
  <c r="AG94" i="21"/>
  <c r="AH94" i="21" s="1"/>
  <c r="AE94" i="21"/>
  <c r="AF94" i="21" s="1"/>
  <c r="AC94" i="21"/>
  <c r="AD94" i="21" s="1"/>
  <c r="AA94" i="21"/>
  <c r="AB94" i="21" s="1"/>
  <c r="W94" i="21"/>
  <c r="U94" i="21"/>
  <c r="V94" i="21" s="1"/>
  <c r="S94" i="21"/>
  <c r="T94" i="21" s="1"/>
  <c r="Q94" i="21"/>
  <c r="R94" i="21" s="1"/>
  <c r="P94" i="21"/>
  <c r="O94" i="21"/>
  <c r="N94" i="21"/>
  <c r="M94" i="21"/>
  <c r="L94" i="21"/>
  <c r="K94" i="21"/>
  <c r="J94" i="21"/>
  <c r="I94" i="21"/>
  <c r="H94" i="21"/>
  <c r="G94" i="21"/>
  <c r="F94" i="21"/>
  <c r="E94" i="21"/>
  <c r="D94" i="21"/>
  <c r="C94" i="21"/>
  <c r="B94" i="21"/>
  <c r="A94" i="21"/>
  <c r="BG93" i="21"/>
  <c r="BH93" i="21" s="1"/>
  <c r="BE93" i="21"/>
  <c r="AW93" i="21"/>
  <c r="AX93" i="21" s="1"/>
  <c r="AU93" i="21"/>
  <c r="AS93" i="21"/>
  <c r="AT93" i="21" s="1"/>
  <c r="AQ93" i="21"/>
  <c r="AR93" i="21" s="1"/>
  <c r="AO93" i="21"/>
  <c r="AP93" i="21" s="1"/>
  <c r="AM93" i="21"/>
  <c r="AN93" i="21" s="1"/>
  <c r="AK93" i="21"/>
  <c r="AL93" i="21" s="1"/>
  <c r="AG93" i="21"/>
  <c r="AH93" i="21" s="1"/>
  <c r="AE93" i="21"/>
  <c r="AF93" i="21" s="1"/>
  <c r="AC93" i="21"/>
  <c r="AA93" i="21"/>
  <c r="AB93" i="21" s="1"/>
  <c r="W93" i="21"/>
  <c r="X93" i="21" s="1"/>
  <c r="U93" i="21"/>
  <c r="V93" i="21" s="1"/>
  <c r="S93" i="21"/>
  <c r="T93" i="21" s="1"/>
  <c r="Q93" i="21"/>
  <c r="P93" i="21"/>
  <c r="O93" i="21"/>
  <c r="N93" i="21"/>
  <c r="M93" i="21"/>
  <c r="L93" i="21"/>
  <c r="K93" i="21"/>
  <c r="J93" i="21"/>
  <c r="I93" i="21"/>
  <c r="H93" i="21"/>
  <c r="G93" i="21"/>
  <c r="F93" i="21"/>
  <c r="E93" i="21"/>
  <c r="D93" i="21"/>
  <c r="C93" i="21"/>
  <c r="B93" i="21"/>
  <c r="A93" i="21"/>
  <c r="BG92" i="21"/>
  <c r="BH92" i="21" s="1"/>
  <c r="BE92" i="21"/>
  <c r="BF92" i="21" s="1"/>
  <c r="AW92" i="21"/>
  <c r="AX92" i="21" s="1"/>
  <c r="AU92" i="21"/>
  <c r="AV92" i="21" s="1"/>
  <c r="AS92" i="21"/>
  <c r="AT92" i="21" s="1"/>
  <c r="AQ92" i="21"/>
  <c r="AR92" i="21" s="1"/>
  <c r="AO92" i="21"/>
  <c r="AP92" i="21" s="1"/>
  <c r="AM92" i="21"/>
  <c r="AN92" i="21" s="1"/>
  <c r="AK92" i="21"/>
  <c r="AL92" i="21" s="1"/>
  <c r="AG92" i="21"/>
  <c r="AE92" i="21"/>
  <c r="AF92" i="21" s="1"/>
  <c r="AC92" i="21"/>
  <c r="AD92" i="21" s="1"/>
  <c r="AA92" i="21"/>
  <c r="AB92" i="21" s="1"/>
  <c r="W92" i="21"/>
  <c r="X92" i="21" s="1"/>
  <c r="U92" i="21"/>
  <c r="S92" i="21"/>
  <c r="T92" i="21" s="1"/>
  <c r="Q92" i="21"/>
  <c r="R92" i="21" s="1"/>
  <c r="P92" i="21"/>
  <c r="O92" i="21"/>
  <c r="N92" i="21"/>
  <c r="M92" i="21"/>
  <c r="L92" i="21"/>
  <c r="K92" i="21"/>
  <c r="J92" i="21"/>
  <c r="I92" i="21"/>
  <c r="H92" i="21"/>
  <c r="G92" i="21"/>
  <c r="F92" i="21"/>
  <c r="E92" i="21"/>
  <c r="D92" i="21"/>
  <c r="C92" i="21"/>
  <c r="B92" i="21"/>
  <c r="A92" i="21"/>
  <c r="BG91" i="21"/>
  <c r="BE91" i="21"/>
  <c r="BF91" i="21" s="1"/>
  <c r="AW91" i="21"/>
  <c r="AX91" i="21" s="1"/>
  <c r="AU91" i="21"/>
  <c r="AV91" i="21" s="1"/>
  <c r="AS91" i="21"/>
  <c r="AT91" i="21" s="1"/>
  <c r="AQ91" i="21"/>
  <c r="AR91" i="21" s="1"/>
  <c r="AO91" i="21"/>
  <c r="AP91" i="21" s="1"/>
  <c r="AM91" i="21"/>
  <c r="AK91" i="21"/>
  <c r="AL91" i="21" s="1"/>
  <c r="AG91" i="21"/>
  <c r="AH91" i="21" s="1"/>
  <c r="AE91" i="21"/>
  <c r="AF91" i="21" s="1"/>
  <c r="AC91" i="21"/>
  <c r="AD91" i="21" s="1"/>
  <c r="AA91" i="21"/>
  <c r="W91" i="21"/>
  <c r="X91" i="21" s="1"/>
  <c r="U91" i="21"/>
  <c r="V91" i="21" s="1"/>
  <c r="S91" i="21"/>
  <c r="Q91" i="21"/>
  <c r="R91" i="21" s="1"/>
  <c r="P91" i="21"/>
  <c r="O91" i="21"/>
  <c r="N91" i="21"/>
  <c r="M91" i="21"/>
  <c r="L91" i="21"/>
  <c r="K91" i="21"/>
  <c r="J91" i="21"/>
  <c r="I91" i="21"/>
  <c r="H91" i="21"/>
  <c r="G91" i="21"/>
  <c r="F91" i="21"/>
  <c r="E91" i="21"/>
  <c r="D91" i="21"/>
  <c r="C91" i="21"/>
  <c r="B91" i="21"/>
  <c r="A91" i="21"/>
  <c r="BG90" i="21"/>
  <c r="BH90" i="21" s="1"/>
  <c r="BE90" i="21"/>
  <c r="BF90" i="21" s="1"/>
  <c r="AW90" i="21"/>
  <c r="AX90" i="21" s="1"/>
  <c r="AU90" i="21"/>
  <c r="AV90" i="21" s="1"/>
  <c r="AS90" i="21"/>
  <c r="AT90" i="21" s="1"/>
  <c r="AQ90" i="21"/>
  <c r="AO90" i="21"/>
  <c r="AP90" i="21" s="1"/>
  <c r="AM90" i="21"/>
  <c r="AN90" i="21" s="1"/>
  <c r="AK90" i="21"/>
  <c r="AL90" i="21" s="1"/>
  <c r="AG90" i="21"/>
  <c r="AH90" i="21" s="1"/>
  <c r="AE90" i="21"/>
  <c r="AC90" i="21"/>
  <c r="AD90" i="21" s="1"/>
  <c r="AA90" i="21"/>
  <c r="AB90" i="21" s="1"/>
  <c r="W90" i="21"/>
  <c r="U90" i="21"/>
  <c r="V90" i="21" s="1"/>
  <c r="S90" i="21"/>
  <c r="T90" i="21" s="1"/>
  <c r="Q90" i="21"/>
  <c r="R90" i="21" s="1"/>
  <c r="P90" i="21"/>
  <c r="O90" i="21"/>
  <c r="N90" i="21"/>
  <c r="M90" i="21"/>
  <c r="L90" i="21"/>
  <c r="K90" i="21"/>
  <c r="J90" i="21"/>
  <c r="I90" i="21"/>
  <c r="H90" i="21"/>
  <c r="G90" i="21"/>
  <c r="F90" i="21"/>
  <c r="E90" i="21"/>
  <c r="D90" i="21"/>
  <c r="C90" i="21"/>
  <c r="B90" i="21"/>
  <c r="A90" i="21"/>
  <c r="BG89" i="21"/>
  <c r="BH89" i="21" s="1"/>
  <c r="BE89" i="21"/>
  <c r="BF89" i="21" s="1"/>
  <c r="AW89" i="21"/>
  <c r="AX89" i="21" s="1"/>
  <c r="AU89" i="21"/>
  <c r="AS89" i="21"/>
  <c r="AT89" i="21" s="1"/>
  <c r="AQ89" i="21"/>
  <c r="AR89" i="21" s="1"/>
  <c r="AO89" i="21"/>
  <c r="AP89" i="21" s="1"/>
  <c r="AM89" i="21"/>
  <c r="AN89" i="21" s="1"/>
  <c r="AK89" i="21"/>
  <c r="AG89" i="21"/>
  <c r="AH89" i="21" s="1"/>
  <c r="AE89" i="21"/>
  <c r="AF89" i="21" s="1"/>
  <c r="AC89" i="21"/>
  <c r="AA89" i="21"/>
  <c r="AB89" i="21" s="1"/>
  <c r="W89" i="21"/>
  <c r="X89" i="21" s="1"/>
  <c r="U89" i="21"/>
  <c r="V89" i="21" s="1"/>
  <c r="S89" i="21"/>
  <c r="T89" i="21" s="1"/>
  <c r="Q89" i="21"/>
  <c r="R89" i="21" s="1"/>
  <c r="P89" i="21"/>
  <c r="O89" i="21"/>
  <c r="N89" i="21"/>
  <c r="M89" i="21"/>
  <c r="L89" i="21"/>
  <c r="K89" i="21"/>
  <c r="J89" i="21"/>
  <c r="I89" i="21"/>
  <c r="H89" i="21"/>
  <c r="G89" i="21"/>
  <c r="F89" i="21"/>
  <c r="E89" i="21"/>
  <c r="D89" i="21"/>
  <c r="C89" i="21"/>
  <c r="B89" i="21"/>
  <c r="A89" i="21"/>
  <c r="BG88" i="21"/>
  <c r="BH88" i="21" s="1"/>
  <c r="BE88" i="21"/>
  <c r="BF88" i="21" s="1"/>
  <c r="AW88" i="21"/>
  <c r="AU88" i="21"/>
  <c r="AV88" i="21" s="1"/>
  <c r="AS88" i="21"/>
  <c r="AT88" i="21" s="1"/>
  <c r="AQ88" i="21"/>
  <c r="AR88" i="21" s="1"/>
  <c r="AO88" i="21"/>
  <c r="AM88" i="21"/>
  <c r="AN88" i="21" s="1"/>
  <c r="AK88" i="21"/>
  <c r="AL88" i="21" s="1"/>
  <c r="AG88" i="21"/>
  <c r="AE88" i="21"/>
  <c r="AF88" i="21" s="1"/>
  <c r="AC88" i="21"/>
  <c r="AD88" i="21" s="1"/>
  <c r="AA88" i="21"/>
  <c r="AB88" i="21" s="1"/>
  <c r="W88" i="21"/>
  <c r="X88" i="21" s="1"/>
  <c r="U88" i="21"/>
  <c r="V88" i="21" s="1"/>
  <c r="S88" i="21"/>
  <c r="T88" i="21" s="1"/>
  <c r="Q88" i="21"/>
  <c r="R88" i="21" s="1"/>
  <c r="P88" i="21"/>
  <c r="O88" i="21"/>
  <c r="N88" i="21"/>
  <c r="M88" i="21"/>
  <c r="L88" i="21"/>
  <c r="K88" i="21"/>
  <c r="J88" i="21"/>
  <c r="I88" i="21"/>
  <c r="H88" i="21"/>
  <c r="G88" i="21"/>
  <c r="F88" i="21"/>
  <c r="E88" i="21"/>
  <c r="D88" i="21"/>
  <c r="C88" i="21"/>
  <c r="B88" i="21"/>
  <c r="A88" i="21"/>
  <c r="BG87" i="21"/>
  <c r="BE87" i="21"/>
  <c r="BF87" i="21" s="1"/>
  <c r="AW87" i="21"/>
  <c r="AX87" i="21" s="1"/>
  <c r="AU87" i="21"/>
  <c r="AV87" i="21" s="1"/>
  <c r="AS87" i="21"/>
  <c r="AQ87" i="21"/>
  <c r="AR87" i="21" s="1"/>
  <c r="AO87" i="21"/>
  <c r="AP87" i="21" s="1"/>
  <c r="AM87" i="21"/>
  <c r="AK87" i="21"/>
  <c r="AL87" i="21" s="1"/>
  <c r="AG87" i="21"/>
  <c r="AH87" i="21" s="1"/>
  <c r="AE87" i="21"/>
  <c r="AF87" i="21" s="1"/>
  <c r="AC87" i="21"/>
  <c r="AD87" i="21" s="1"/>
  <c r="AA87" i="21"/>
  <c r="AB87" i="21" s="1"/>
  <c r="W87" i="21"/>
  <c r="X87" i="21" s="1"/>
  <c r="U87" i="21"/>
  <c r="V87" i="21" s="1"/>
  <c r="S87" i="21"/>
  <c r="Q87" i="21"/>
  <c r="R87" i="21" s="1"/>
  <c r="P87" i="21"/>
  <c r="O87" i="21"/>
  <c r="N87" i="21"/>
  <c r="M87" i="21"/>
  <c r="L87" i="21"/>
  <c r="K87" i="21"/>
  <c r="J87" i="21"/>
  <c r="I87" i="21"/>
  <c r="H87" i="21"/>
  <c r="G87" i="21"/>
  <c r="F87" i="21"/>
  <c r="E87" i="21"/>
  <c r="D87" i="21"/>
  <c r="C87" i="21"/>
  <c r="B87" i="21"/>
  <c r="A87" i="21"/>
  <c r="BG86" i="21"/>
  <c r="BH86" i="21" s="1"/>
  <c r="BE86" i="21"/>
  <c r="BF86" i="21" s="1"/>
  <c r="AW86" i="21"/>
  <c r="AU86" i="21"/>
  <c r="AV86" i="21" s="1"/>
  <c r="AS86" i="21"/>
  <c r="AT86" i="21" s="1"/>
  <c r="AQ86" i="21"/>
  <c r="AO86" i="21"/>
  <c r="AP86" i="21" s="1"/>
  <c r="AM86" i="21"/>
  <c r="AN86" i="21" s="1"/>
  <c r="AK86" i="21"/>
  <c r="AL86" i="21" s="1"/>
  <c r="AG86" i="21"/>
  <c r="AH86" i="21" s="1"/>
  <c r="AE86" i="21"/>
  <c r="AF86" i="21" s="1"/>
  <c r="AC86" i="21"/>
  <c r="AD86" i="21" s="1"/>
  <c r="AA86" i="21"/>
  <c r="AB86" i="21" s="1"/>
  <c r="W86" i="21"/>
  <c r="U86" i="21"/>
  <c r="V86" i="21" s="1"/>
  <c r="S86" i="21"/>
  <c r="T86" i="21" s="1"/>
  <c r="Q86" i="21"/>
  <c r="R86" i="21" s="1"/>
  <c r="P86" i="21"/>
  <c r="O86" i="21"/>
  <c r="N86" i="21"/>
  <c r="M86" i="21"/>
  <c r="L86" i="21"/>
  <c r="K86" i="21"/>
  <c r="J86" i="21"/>
  <c r="I86" i="21"/>
  <c r="H86" i="21"/>
  <c r="G86" i="21"/>
  <c r="F86" i="21"/>
  <c r="E86" i="21"/>
  <c r="D86" i="21"/>
  <c r="C86" i="21"/>
  <c r="B86" i="21"/>
  <c r="A86" i="21"/>
  <c r="BG85" i="21"/>
  <c r="BH85" i="21" s="1"/>
  <c r="BE85" i="21"/>
  <c r="AW85" i="21"/>
  <c r="AX85" i="21" s="1"/>
  <c r="AU85" i="21"/>
  <c r="AS85" i="21"/>
  <c r="AT85" i="21" s="1"/>
  <c r="AQ85" i="21"/>
  <c r="AR85" i="21" s="1"/>
  <c r="AO85" i="21"/>
  <c r="AP85" i="21" s="1"/>
  <c r="AM85" i="21"/>
  <c r="AN85" i="21" s="1"/>
  <c r="AK85" i="21"/>
  <c r="AL85" i="21" s="1"/>
  <c r="AG85" i="21"/>
  <c r="AH85" i="21" s="1"/>
  <c r="AE85" i="21"/>
  <c r="AF85" i="21" s="1"/>
  <c r="AC85" i="21"/>
  <c r="AA85" i="21"/>
  <c r="AB85" i="21" s="1"/>
  <c r="W85" i="21"/>
  <c r="X85" i="21" s="1"/>
  <c r="U85" i="21"/>
  <c r="V85" i="21" s="1"/>
  <c r="S85" i="21"/>
  <c r="T85" i="21" s="1"/>
  <c r="Q85" i="21"/>
  <c r="P85" i="21"/>
  <c r="O85" i="21"/>
  <c r="N85" i="21"/>
  <c r="M85" i="21"/>
  <c r="L85" i="21"/>
  <c r="K85" i="21"/>
  <c r="J85" i="21"/>
  <c r="I85" i="21"/>
  <c r="H85" i="21"/>
  <c r="G85" i="21"/>
  <c r="F85" i="21"/>
  <c r="E85" i="21"/>
  <c r="D85" i="21"/>
  <c r="C85" i="21"/>
  <c r="B85" i="21"/>
  <c r="A85" i="21"/>
  <c r="BG84" i="21"/>
  <c r="BH84" i="21" s="1"/>
  <c r="BE84" i="21"/>
  <c r="BF84" i="21" s="1"/>
  <c r="AW84" i="21"/>
  <c r="AX84" i="21" s="1"/>
  <c r="AU84" i="21"/>
  <c r="AV84" i="21" s="1"/>
  <c r="AS84" i="21"/>
  <c r="AT84" i="21" s="1"/>
  <c r="AQ84" i="21"/>
  <c r="AR84" i="21" s="1"/>
  <c r="AO84" i="21"/>
  <c r="AP84" i="21" s="1"/>
  <c r="AM84" i="21"/>
  <c r="AN84" i="21" s="1"/>
  <c r="AK84" i="21"/>
  <c r="AL84" i="21" s="1"/>
  <c r="AG84" i="21"/>
  <c r="AE84" i="21"/>
  <c r="AF84" i="21" s="1"/>
  <c r="AC84" i="21"/>
  <c r="AD84" i="21" s="1"/>
  <c r="AA84" i="21"/>
  <c r="AB84" i="21" s="1"/>
  <c r="W84" i="21"/>
  <c r="X84" i="21" s="1"/>
  <c r="U84" i="21"/>
  <c r="S84" i="21"/>
  <c r="T84" i="21" s="1"/>
  <c r="Q84" i="21"/>
  <c r="R84" i="21" s="1"/>
  <c r="P84" i="21"/>
  <c r="O84" i="21"/>
  <c r="N84" i="21"/>
  <c r="M84" i="21"/>
  <c r="L84" i="21"/>
  <c r="K84" i="21"/>
  <c r="J84" i="21"/>
  <c r="I84" i="21"/>
  <c r="H84" i="21"/>
  <c r="G84" i="21"/>
  <c r="F84" i="21"/>
  <c r="E84" i="21"/>
  <c r="D84" i="21"/>
  <c r="C84" i="21"/>
  <c r="B84" i="21"/>
  <c r="A84" i="21"/>
  <c r="BG83" i="21"/>
  <c r="BE83" i="21"/>
  <c r="BF83" i="21" s="1"/>
  <c r="AW83" i="21"/>
  <c r="AX83" i="21" s="1"/>
  <c r="AU83" i="21"/>
  <c r="AV83" i="21" s="1"/>
  <c r="AS83" i="21"/>
  <c r="AT83" i="21" s="1"/>
  <c r="AQ83" i="21"/>
  <c r="AR83" i="21" s="1"/>
  <c r="AO83" i="21"/>
  <c r="AP83" i="21" s="1"/>
  <c r="AM83" i="21"/>
  <c r="AK83" i="21"/>
  <c r="AL83" i="21" s="1"/>
  <c r="AG83" i="21"/>
  <c r="AH83" i="21" s="1"/>
  <c r="AE83" i="21"/>
  <c r="AF83" i="21" s="1"/>
  <c r="AC83" i="21"/>
  <c r="AD83" i="21" s="1"/>
  <c r="AA83" i="21"/>
  <c r="W83" i="21"/>
  <c r="X83" i="21" s="1"/>
  <c r="U83" i="21"/>
  <c r="V83" i="21" s="1"/>
  <c r="S83" i="21"/>
  <c r="Q83" i="21"/>
  <c r="R83" i="21" s="1"/>
  <c r="P83" i="21"/>
  <c r="O83" i="21"/>
  <c r="N83" i="21"/>
  <c r="M83" i="21"/>
  <c r="L83" i="21"/>
  <c r="K83" i="21"/>
  <c r="J83" i="21"/>
  <c r="I83" i="21"/>
  <c r="H83" i="21"/>
  <c r="G83" i="21"/>
  <c r="F83" i="21"/>
  <c r="E83" i="21"/>
  <c r="D83" i="21"/>
  <c r="C83" i="21"/>
  <c r="B83" i="21"/>
  <c r="A83" i="21"/>
  <c r="BG82" i="21"/>
  <c r="BH82" i="21" s="1"/>
  <c r="BE82" i="21"/>
  <c r="BF82" i="21" s="1"/>
  <c r="AW82" i="21"/>
  <c r="AX82" i="21" s="1"/>
  <c r="AU82" i="21"/>
  <c r="AV82" i="21" s="1"/>
  <c r="AS82" i="21"/>
  <c r="AT82" i="21" s="1"/>
  <c r="AQ82" i="21"/>
  <c r="AO82" i="21"/>
  <c r="AP82" i="21" s="1"/>
  <c r="AM82" i="21"/>
  <c r="AN82" i="21" s="1"/>
  <c r="AK82" i="21"/>
  <c r="AL82" i="21" s="1"/>
  <c r="AG82" i="21"/>
  <c r="AH82" i="21" s="1"/>
  <c r="AE82" i="21"/>
  <c r="AC82" i="21"/>
  <c r="AD82" i="21" s="1"/>
  <c r="AA82" i="21"/>
  <c r="AB82" i="21" s="1"/>
  <c r="W82" i="21"/>
  <c r="U82" i="21"/>
  <c r="V82" i="21" s="1"/>
  <c r="S82" i="21"/>
  <c r="T82" i="21" s="1"/>
  <c r="Q82" i="21"/>
  <c r="R82" i="21" s="1"/>
  <c r="P82" i="21"/>
  <c r="O82" i="21"/>
  <c r="N82" i="21"/>
  <c r="M82" i="21"/>
  <c r="L82" i="21"/>
  <c r="K82" i="21"/>
  <c r="J82" i="21"/>
  <c r="I82" i="21"/>
  <c r="H82" i="21"/>
  <c r="G82" i="21"/>
  <c r="F82" i="21"/>
  <c r="E82" i="21"/>
  <c r="D82" i="21"/>
  <c r="C82" i="21"/>
  <c r="B82" i="21"/>
  <c r="A82" i="21"/>
  <c r="BG81" i="21"/>
  <c r="BH81" i="21" s="1"/>
  <c r="BE81" i="21"/>
  <c r="BF81" i="21" s="1"/>
  <c r="AW81" i="21"/>
  <c r="AX81" i="21" s="1"/>
  <c r="AU81" i="21"/>
  <c r="AS81" i="21"/>
  <c r="AT81" i="21" s="1"/>
  <c r="AQ81" i="21"/>
  <c r="AO81" i="21"/>
  <c r="AP81" i="21" s="1"/>
  <c r="AM81" i="21"/>
  <c r="AN81" i="21" s="1"/>
  <c r="AK81" i="21"/>
  <c r="AG81" i="21"/>
  <c r="AH81" i="21" s="1"/>
  <c r="AE81" i="21"/>
  <c r="AF81" i="21" s="1"/>
  <c r="AC81" i="21"/>
  <c r="AA81" i="21"/>
  <c r="AB81" i="21" s="1"/>
  <c r="W81" i="21"/>
  <c r="X81" i="21" s="1"/>
  <c r="U81" i="21"/>
  <c r="V81" i="21" s="1"/>
  <c r="S81" i="21"/>
  <c r="T81" i="21" s="1"/>
  <c r="Q81" i="21"/>
  <c r="R81" i="21" s="1"/>
  <c r="P81" i="21"/>
  <c r="O81" i="21"/>
  <c r="N81" i="21"/>
  <c r="M81" i="21"/>
  <c r="L81" i="21"/>
  <c r="K81" i="21"/>
  <c r="J81" i="21"/>
  <c r="I81" i="21"/>
  <c r="H81" i="21"/>
  <c r="G81" i="21"/>
  <c r="F81" i="21"/>
  <c r="E81" i="21"/>
  <c r="D81" i="21"/>
  <c r="C81" i="21"/>
  <c r="B81" i="21"/>
  <c r="A81" i="21"/>
  <c r="BG80" i="21"/>
  <c r="BH80" i="21" s="1"/>
  <c r="BE80" i="21"/>
  <c r="BF80" i="21" s="1"/>
  <c r="AW80" i="21"/>
  <c r="AU80" i="21"/>
  <c r="AV80" i="21" s="1"/>
  <c r="AS80" i="21"/>
  <c r="AT80" i="21" s="1"/>
  <c r="AQ80" i="21"/>
  <c r="AR80" i="21" s="1"/>
  <c r="AO80" i="21"/>
  <c r="AM80" i="21"/>
  <c r="AN80" i="21" s="1"/>
  <c r="AK80" i="21"/>
  <c r="AL80" i="21" s="1"/>
  <c r="AG80" i="21"/>
  <c r="AE80" i="21"/>
  <c r="AF80" i="21" s="1"/>
  <c r="AC80" i="21"/>
  <c r="AD80" i="21" s="1"/>
  <c r="AA80" i="21"/>
  <c r="AB80" i="21" s="1"/>
  <c r="AI80" i="21" s="1"/>
  <c r="W80" i="21"/>
  <c r="X80" i="21" s="1"/>
  <c r="U80" i="21"/>
  <c r="V80" i="21" s="1"/>
  <c r="S80" i="21"/>
  <c r="T80" i="21" s="1"/>
  <c r="Q80" i="21"/>
  <c r="R80" i="21" s="1"/>
  <c r="P80" i="21"/>
  <c r="O80" i="21"/>
  <c r="N80" i="21"/>
  <c r="M80" i="21"/>
  <c r="L80" i="21"/>
  <c r="K80" i="21"/>
  <c r="J80" i="21"/>
  <c r="I80" i="21"/>
  <c r="H80" i="21"/>
  <c r="G80" i="21"/>
  <c r="F80" i="21"/>
  <c r="E80" i="21"/>
  <c r="D80" i="21"/>
  <c r="C80" i="21"/>
  <c r="B80" i="21"/>
  <c r="A80" i="21"/>
  <c r="BG79" i="21"/>
  <c r="BE79" i="21"/>
  <c r="BF79" i="21" s="1"/>
  <c r="AW79" i="21"/>
  <c r="AX79" i="21" s="1"/>
  <c r="AU79" i="21"/>
  <c r="AV79" i="21" s="1"/>
  <c r="AS79" i="21"/>
  <c r="AQ79" i="21"/>
  <c r="AR79" i="21" s="1"/>
  <c r="AO79" i="21"/>
  <c r="AP79" i="21" s="1"/>
  <c r="AM79" i="21"/>
  <c r="AK79" i="21"/>
  <c r="AL79" i="21" s="1"/>
  <c r="AG79" i="21"/>
  <c r="AH79" i="21" s="1"/>
  <c r="AE79" i="21"/>
  <c r="AF79" i="21" s="1"/>
  <c r="AC79" i="21"/>
  <c r="AD79" i="21" s="1"/>
  <c r="AJ79" i="21" s="1"/>
  <c r="AA79" i="21"/>
  <c r="AB79" i="21" s="1"/>
  <c r="W79" i="21"/>
  <c r="X79" i="21" s="1"/>
  <c r="U79" i="21"/>
  <c r="V79" i="21" s="1"/>
  <c r="S79" i="21"/>
  <c r="Q79" i="21"/>
  <c r="R79" i="21" s="1"/>
  <c r="P79" i="21"/>
  <c r="O79" i="21"/>
  <c r="N79" i="21"/>
  <c r="M79" i="21"/>
  <c r="L79" i="21"/>
  <c r="K79" i="21"/>
  <c r="J79" i="21"/>
  <c r="I79" i="21"/>
  <c r="H79" i="21"/>
  <c r="G79" i="21"/>
  <c r="F79" i="21"/>
  <c r="E79" i="21"/>
  <c r="D79" i="21"/>
  <c r="C79" i="21"/>
  <c r="B79" i="21"/>
  <c r="A79" i="21"/>
  <c r="BG78" i="21"/>
  <c r="BH78" i="21" s="1"/>
  <c r="BE78" i="21"/>
  <c r="BF78" i="21" s="1"/>
  <c r="AW78" i="21"/>
  <c r="AU78" i="21"/>
  <c r="AV78" i="21" s="1"/>
  <c r="AS78" i="21"/>
  <c r="AT78" i="21" s="1"/>
  <c r="AQ78" i="21"/>
  <c r="AO78" i="21"/>
  <c r="AP78" i="21" s="1"/>
  <c r="AM78" i="21"/>
  <c r="AN78" i="21" s="1"/>
  <c r="AK78" i="21"/>
  <c r="AL78" i="21" s="1"/>
  <c r="AG78" i="21"/>
  <c r="AH78" i="21" s="1"/>
  <c r="AE78" i="21"/>
  <c r="AF78" i="21" s="1"/>
  <c r="AC78" i="21"/>
  <c r="AD78" i="21" s="1"/>
  <c r="AA78" i="21"/>
  <c r="W78" i="21"/>
  <c r="U78" i="21"/>
  <c r="V78" i="21" s="1"/>
  <c r="S78" i="21"/>
  <c r="Q78" i="21"/>
  <c r="R78" i="21" s="1"/>
  <c r="P78" i="21"/>
  <c r="O78" i="21"/>
  <c r="N78" i="21"/>
  <c r="M78" i="21"/>
  <c r="L78" i="21"/>
  <c r="K78" i="21"/>
  <c r="J78" i="21"/>
  <c r="I78" i="21"/>
  <c r="H78" i="21"/>
  <c r="G78" i="21"/>
  <c r="F78" i="21"/>
  <c r="E78" i="21"/>
  <c r="D78" i="21"/>
  <c r="C78" i="21"/>
  <c r="B78" i="21"/>
  <c r="A78" i="21"/>
  <c r="BG77" i="21"/>
  <c r="BH77" i="21" s="1"/>
  <c r="BE77" i="21"/>
  <c r="AW77" i="21"/>
  <c r="AX77" i="21" s="1"/>
  <c r="AU77" i="21"/>
  <c r="AS77" i="21"/>
  <c r="AT77" i="21" s="1"/>
  <c r="AQ77" i="21"/>
  <c r="AR77" i="21" s="1"/>
  <c r="AO77" i="21"/>
  <c r="AP77" i="21" s="1"/>
  <c r="AM77" i="21"/>
  <c r="AN77" i="21" s="1"/>
  <c r="AK77" i="21"/>
  <c r="AL77" i="21" s="1"/>
  <c r="AG77" i="21"/>
  <c r="AH77" i="21" s="1"/>
  <c r="AE77" i="21"/>
  <c r="AF77" i="21" s="1"/>
  <c r="AC77" i="21"/>
  <c r="AA77" i="21"/>
  <c r="AB77" i="21" s="1"/>
  <c r="W77" i="21"/>
  <c r="X77" i="21" s="1"/>
  <c r="U77" i="21"/>
  <c r="V77" i="21" s="1"/>
  <c r="S77" i="21"/>
  <c r="T77" i="21" s="1"/>
  <c r="Q77" i="21"/>
  <c r="P77" i="21"/>
  <c r="O77" i="21"/>
  <c r="N77" i="21"/>
  <c r="M77" i="21"/>
  <c r="L77" i="21"/>
  <c r="K77" i="21"/>
  <c r="J77" i="21"/>
  <c r="I77" i="21"/>
  <c r="H77" i="21"/>
  <c r="G77" i="21"/>
  <c r="F77" i="21"/>
  <c r="E77" i="21"/>
  <c r="D77" i="21"/>
  <c r="C77" i="21"/>
  <c r="B77" i="21"/>
  <c r="A77" i="21"/>
  <c r="BG76" i="21"/>
  <c r="BH76" i="21" s="1"/>
  <c r="BE76" i="21"/>
  <c r="BF76" i="21" s="1"/>
  <c r="AW76" i="21"/>
  <c r="AX76" i="21" s="1"/>
  <c r="AU76" i="21"/>
  <c r="AV76" i="21" s="1"/>
  <c r="AS76" i="21"/>
  <c r="AT76" i="21" s="1"/>
  <c r="AQ76" i="21"/>
  <c r="AR76" i="21" s="1"/>
  <c r="AO76" i="21"/>
  <c r="AP76" i="21" s="1"/>
  <c r="AM76" i="21"/>
  <c r="AN76" i="21" s="1"/>
  <c r="AK76" i="21"/>
  <c r="AL76" i="21" s="1"/>
  <c r="AG76" i="21"/>
  <c r="AE76" i="21"/>
  <c r="AF76" i="21" s="1"/>
  <c r="AC76" i="21"/>
  <c r="AD76" i="21" s="1"/>
  <c r="AA76" i="21"/>
  <c r="AB76" i="21" s="1"/>
  <c r="W76" i="21"/>
  <c r="X76" i="21" s="1"/>
  <c r="U76" i="21"/>
  <c r="S76" i="21"/>
  <c r="T76" i="21" s="1"/>
  <c r="Q76" i="21"/>
  <c r="R76" i="21" s="1"/>
  <c r="P76" i="21"/>
  <c r="O76" i="21"/>
  <c r="N76" i="21"/>
  <c r="M76" i="21"/>
  <c r="L76" i="21"/>
  <c r="K76" i="21"/>
  <c r="J76" i="21"/>
  <c r="I76" i="21"/>
  <c r="H76" i="21"/>
  <c r="G76" i="21"/>
  <c r="F76" i="21"/>
  <c r="E76" i="21"/>
  <c r="D76" i="21"/>
  <c r="C76" i="21"/>
  <c r="B76" i="21"/>
  <c r="A76" i="21"/>
  <c r="BG75" i="21"/>
  <c r="BE75" i="21"/>
  <c r="BF75" i="21" s="1"/>
  <c r="AW75" i="21"/>
  <c r="AX75" i="21" s="1"/>
  <c r="AU75" i="21"/>
  <c r="AV75" i="21" s="1"/>
  <c r="AS75" i="21"/>
  <c r="AT75" i="21" s="1"/>
  <c r="AQ75" i="21"/>
  <c r="AR75" i="21" s="1"/>
  <c r="AO75" i="21"/>
  <c r="AP75" i="21" s="1"/>
  <c r="AM75" i="21"/>
  <c r="AK75" i="21"/>
  <c r="AL75" i="21" s="1"/>
  <c r="AG75" i="21"/>
  <c r="AH75" i="21" s="1"/>
  <c r="AE75" i="21"/>
  <c r="AF75" i="21" s="1"/>
  <c r="AC75" i="21"/>
  <c r="AD75" i="21" s="1"/>
  <c r="AA75" i="21"/>
  <c r="W75" i="21"/>
  <c r="X75" i="21" s="1"/>
  <c r="U75" i="21"/>
  <c r="V75" i="21" s="1"/>
  <c r="S75" i="21"/>
  <c r="Q75" i="21"/>
  <c r="R75" i="21" s="1"/>
  <c r="P75" i="21"/>
  <c r="O75" i="21"/>
  <c r="N75" i="21"/>
  <c r="M75" i="21"/>
  <c r="L75" i="21"/>
  <c r="K75" i="21"/>
  <c r="J75" i="21"/>
  <c r="I75" i="21"/>
  <c r="H75" i="21"/>
  <c r="G75" i="21"/>
  <c r="F75" i="21"/>
  <c r="E75" i="21"/>
  <c r="D75" i="21"/>
  <c r="C75" i="21"/>
  <c r="B75" i="21"/>
  <c r="A75" i="21"/>
  <c r="BG74" i="21"/>
  <c r="BH74" i="21" s="1"/>
  <c r="BE74" i="21"/>
  <c r="BF74" i="21" s="1"/>
  <c r="AW74" i="21"/>
  <c r="AX74" i="21" s="1"/>
  <c r="AU74" i="21"/>
  <c r="AV74" i="21" s="1"/>
  <c r="AS74" i="21"/>
  <c r="AT74" i="21" s="1"/>
  <c r="AQ74" i="21"/>
  <c r="AO74" i="21"/>
  <c r="AP74" i="21" s="1"/>
  <c r="AM74" i="21"/>
  <c r="AK74" i="21"/>
  <c r="AL74" i="21" s="1"/>
  <c r="AG74" i="21"/>
  <c r="AH74" i="21" s="1"/>
  <c r="AE74" i="21"/>
  <c r="AC74" i="21"/>
  <c r="AD74" i="21" s="1"/>
  <c r="AA74" i="21"/>
  <c r="AB74" i="21" s="1"/>
  <c r="W74" i="21"/>
  <c r="U74" i="21"/>
  <c r="V74" i="21" s="1"/>
  <c r="S74" i="21"/>
  <c r="T74" i="21" s="1"/>
  <c r="Q74" i="21"/>
  <c r="R74" i="21" s="1"/>
  <c r="P74" i="21"/>
  <c r="O74" i="21"/>
  <c r="N74" i="21"/>
  <c r="M74" i="21"/>
  <c r="L74" i="21"/>
  <c r="K74" i="21"/>
  <c r="J74" i="21"/>
  <c r="I74" i="21"/>
  <c r="H74" i="21"/>
  <c r="G74" i="21"/>
  <c r="F74" i="21"/>
  <c r="E74" i="21"/>
  <c r="D74" i="21"/>
  <c r="C74" i="21"/>
  <c r="B74" i="21"/>
  <c r="A74" i="21"/>
  <c r="BG73" i="21"/>
  <c r="BH73" i="21" s="1"/>
  <c r="BE73" i="21"/>
  <c r="BF73" i="21" s="1"/>
  <c r="AW73" i="21"/>
  <c r="AX73" i="21" s="1"/>
  <c r="AU73" i="21"/>
  <c r="AS73" i="21"/>
  <c r="AT73" i="21" s="1"/>
  <c r="AQ73" i="21"/>
  <c r="AR73" i="21" s="1"/>
  <c r="AO73" i="21"/>
  <c r="AP73" i="21" s="1"/>
  <c r="AM73" i="21"/>
  <c r="AN73" i="21" s="1"/>
  <c r="AK73" i="21"/>
  <c r="AG73" i="21"/>
  <c r="AH73" i="21" s="1"/>
  <c r="AE73" i="21"/>
  <c r="AF73" i="21" s="1"/>
  <c r="AC73" i="21"/>
  <c r="AA73" i="21"/>
  <c r="AB73" i="21" s="1"/>
  <c r="W73" i="21"/>
  <c r="X73" i="21" s="1"/>
  <c r="U73" i="21"/>
  <c r="V73" i="21" s="1"/>
  <c r="S73" i="21"/>
  <c r="T73" i="21" s="1"/>
  <c r="Q73" i="21"/>
  <c r="R73" i="21" s="1"/>
  <c r="P73" i="21"/>
  <c r="O73" i="21"/>
  <c r="N73" i="21"/>
  <c r="M73" i="21"/>
  <c r="L73" i="21"/>
  <c r="K73" i="21"/>
  <c r="J73" i="21"/>
  <c r="I73" i="21"/>
  <c r="H73" i="21"/>
  <c r="G73" i="21"/>
  <c r="F73" i="21"/>
  <c r="E73" i="21"/>
  <c r="D73" i="21"/>
  <c r="C73" i="21"/>
  <c r="B73" i="21"/>
  <c r="A73" i="21"/>
  <c r="BG72" i="21"/>
  <c r="BH72" i="21" s="1"/>
  <c r="BE72" i="21"/>
  <c r="BF72" i="21" s="1"/>
  <c r="AW72" i="21"/>
  <c r="AX72" i="21" s="1"/>
  <c r="AU72" i="21"/>
  <c r="AV72" i="21" s="1"/>
  <c r="AS72" i="21"/>
  <c r="AT72" i="21" s="1"/>
  <c r="AQ72" i="21"/>
  <c r="AR72" i="21" s="1"/>
  <c r="AO72" i="21"/>
  <c r="AM72" i="21"/>
  <c r="AN72" i="21" s="1"/>
  <c r="AK72" i="21"/>
  <c r="AL72" i="21" s="1"/>
  <c r="AG72" i="21"/>
  <c r="AE72" i="21"/>
  <c r="AF72" i="21" s="1"/>
  <c r="AC72" i="21"/>
  <c r="AD72" i="21" s="1"/>
  <c r="AA72" i="21"/>
  <c r="AB72" i="21" s="1"/>
  <c r="AI72" i="21" s="1"/>
  <c r="W72" i="21"/>
  <c r="X72" i="21" s="1"/>
  <c r="U72" i="21"/>
  <c r="S72" i="21"/>
  <c r="T72" i="21" s="1"/>
  <c r="Q72" i="21"/>
  <c r="R72" i="21" s="1"/>
  <c r="P72" i="21"/>
  <c r="O72" i="21"/>
  <c r="N72" i="21"/>
  <c r="M72" i="21"/>
  <c r="L72" i="21"/>
  <c r="K72" i="21"/>
  <c r="J72" i="21"/>
  <c r="I72" i="21"/>
  <c r="H72" i="21"/>
  <c r="G72" i="21"/>
  <c r="F72" i="21"/>
  <c r="E72" i="21"/>
  <c r="D72" i="21"/>
  <c r="C72" i="21"/>
  <c r="B72" i="21"/>
  <c r="A72" i="21"/>
  <c r="BG71" i="21"/>
  <c r="BE71" i="21"/>
  <c r="BF71" i="21" s="1"/>
  <c r="AW71" i="21"/>
  <c r="AX71" i="21" s="1"/>
  <c r="AU71" i="21"/>
  <c r="AV71" i="21" s="1"/>
  <c r="AS71" i="21"/>
  <c r="AQ71" i="21"/>
  <c r="AR71" i="21" s="1"/>
  <c r="AO71" i="21"/>
  <c r="AP71" i="21" s="1"/>
  <c r="AM71" i="21"/>
  <c r="AK71" i="21"/>
  <c r="AL71" i="21" s="1"/>
  <c r="AG71" i="21"/>
  <c r="AH71" i="21" s="1"/>
  <c r="AE71" i="21"/>
  <c r="AF71" i="21" s="1"/>
  <c r="AC71" i="21"/>
  <c r="AD71" i="21" s="1"/>
  <c r="AJ71" i="21" s="1"/>
  <c r="AA71" i="21"/>
  <c r="AB71" i="21" s="1"/>
  <c r="W71" i="21"/>
  <c r="X71" i="21" s="1"/>
  <c r="U71" i="21"/>
  <c r="V71" i="21" s="1"/>
  <c r="S71" i="21"/>
  <c r="Q71" i="21"/>
  <c r="R71" i="21" s="1"/>
  <c r="P71" i="21"/>
  <c r="O71" i="21"/>
  <c r="N71" i="21"/>
  <c r="M71" i="21"/>
  <c r="L71" i="21"/>
  <c r="K71" i="21"/>
  <c r="J71" i="21"/>
  <c r="I71" i="21"/>
  <c r="H71" i="21"/>
  <c r="G71" i="21"/>
  <c r="F71" i="21"/>
  <c r="E71" i="21"/>
  <c r="D71" i="21"/>
  <c r="C71" i="21"/>
  <c r="B71" i="21"/>
  <c r="A71" i="21"/>
  <c r="BG70" i="21"/>
  <c r="BH70" i="21" s="1"/>
  <c r="BE70" i="21"/>
  <c r="BF70" i="21" s="1"/>
  <c r="AW70" i="21"/>
  <c r="AX70" i="21" s="1"/>
  <c r="AU70" i="21"/>
  <c r="AV70" i="21" s="1"/>
  <c r="AS70" i="21"/>
  <c r="AT70" i="21" s="1"/>
  <c r="AQ70" i="21"/>
  <c r="AO70" i="21"/>
  <c r="AP70" i="21" s="1"/>
  <c r="AM70" i="21"/>
  <c r="AK70" i="21"/>
  <c r="AL70" i="21" s="1"/>
  <c r="AG70" i="21"/>
  <c r="AH70" i="21" s="1"/>
  <c r="AE70" i="21"/>
  <c r="AF70" i="21" s="1"/>
  <c r="AC70" i="21"/>
  <c r="AD70" i="21" s="1"/>
  <c r="AA70" i="21"/>
  <c r="AB70" i="21" s="1"/>
  <c r="W70" i="21"/>
  <c r="U70" i="21"/>
  <c r="V70" i="21" s="1"/>
  <c r="S70" i="21"/>
  <c r="T70" i="21" s="1"/>
  <c r="Q70" i="21"/>
  <c r="R70" i="21" s="1"/>
  <c r="P70" i="21"/>
  <c r="O70" i="21"/>
  <c r="N70" i="21"/>
  <c r="M70" i="21"/>
  <c r="L70" i="21"/>
  <c r="K70" i="21"/>
  <c r="J70" i="21"/>
  <c r="I70" i="21"/>
  <c r="H70" i="21"/>
  <c r="G70" i="21"/>
  <c r="F70" i="21"/>
  <c r="E70" i="21"/>
  <c r="D70" i="21"/>
  <c r="C70" i="21"/>
  <c r="B70" i="21"/>
  <c r="A70" i="21"/>
  <c r="BG69" i="21"/>
  <c r="BH69" i="21" s="1"/>
  <c r="BE69" i="21"/>
  <c r="AW69" i="21"/>
  <c r="AX69" i="21" s="1"/>
  <c r="AU69" i="21"/>
  <c r="AS69" i="21"/>
  <c r="AT69" i="21" s="1"/>
  <c r="AQ69" i="21"/>
  <c r="AR69" i="21" s="1"/>
  <c r="AO69" i="21"/>
  <c r="AP69" i="21" s="1"/>
  <c r="AM69" i="21"/>
  <c r="AN69" i="21" s="1"/>
  <c r="AK69" i="21"/>
  <c r="AG69" i="21"/>
  <c r="AH69" i="21" s="1"/>
  <c r="AE69" i="21"/>
  <c r="AF69" i="21" s="1"/>
  <c r="AC69" i="21"/>
  <c r="AA69" i="21"/>
  <c r="AB69" i="21" s="1"/>
  <c r="W69" i="21"/>
  <c r="X69" i="21" s="1"/>
  <c r="U69" i="21"/>
  <c r="V69" i="21" s="1"/>
  <c r="S69" i="21"/>
  <c r="T69" i="21" s="1"/>
  <c r="Q69" i="21"/>
  <c r="R69" i="21" s="1"/>
  <c r="P69" i="21"/>
  <c r="O69" i="21"/>
  <c r="N69" i="21"/>
  <c r="M69" i="21"/>
  <c r="L69" i="21"/>
  <c r="K69" i="21"/>
  <c r="J69" i="21"/>
  <c r="I69" i="21"/>
  <c r="H69" i="21"/>
  <c r="G69" i="21"/>
  <c r="F69" i="21"/>
  <c r="E69" i="21"/>
  <c r="D69" i="21"/>
  <c r="C69" i="21"/>
  <c r="B69" i="21"/>
  <c r="A69" i="21"/>
  <c r="BG68" i="21"/>
  <c r="BH68" i="21" s="1"/>
  <c r="BE68" i="21"/>
  <c r="AW68" i="21"/>
  <c r="AX68" i="21" s="1"/>
  <c r="AU68" i="21"/>
  <c r="AV68" i="21" s="1"/>
  <c r="AS68" i="21"/>
  <c r="AT68" i="21" s="1"/>
  <c r="AQ68" i="21"/>
  <c r="AR68" i="21" s="1"/>
  <c r="AO68" i="21"/>
  <c r="AM68" i="21"/>
  <c r="AN68" i="21" s="1"/>
  <c r="AK68" i="21"/>
  <c r="AL68" i="21" s="1"/>
  <c r="AG68" i="21"/>
  <c r="AE68" i="21"/>
  <c r="AF68" i="21" s="1"/>
  <c r="AC68" i="21"/>
  <c r="AA68" i="21"/>
  <c r="AB68" i="21" s="1"/>
  <c r="W68" i="21"/>
  <c r="X68" i="21" s="1"/>
  <c r="U68" i="21"/>
  <c r="S68" i="21"/>
  <c r="T68" i="21" s="1"/>
  <c r="Q68" i="21"/>
  <c r="R68" i="21" s="1"/>
  <c r="P68" i="21"/>
  <c r="O68" i="21"/>
  <c r="N68" i="21"/>
  <c r="M68" i="21"/>
  <c r="L68" i="21"/>
  <c r="K68" i="21"/>
  <c r="J68" i="21"/>
  <c r="I68" i="21"/>
  <c r="H68" i="21"/>
  <c r="G68" i="21"/>
  <c r="F68" i="21"/>
  <c r="E68" i="21"/>
  <c r="D68" i="21"/>
  <c r="C68" i="21"/>
  <c r="B68" i="21"/>
  <c r="A68" i="21"/>
  <c r="BG67" i="21"/>
  <c r="BE67" i="21"/>
  <c r="BF67" i="21" s="1"/>
  <c r="AW67" i="21"/>
  <c r="AX67" i="21" s="1"/>
  <c r="AU67" i="21"/>
  <c r="AV67" i="21" s="1"/>
  <c r="AS67" i="21"/>
  <c r="AT67" i="21" s="1"/>
  <c r="AQ67" i="21"/>
  <c r="AR67" i="21" s="1"/>
  <c r="AO67" i="21"/>
  <c r="AP67" i="21" s="1"/>
  <c r="AM67" i="21"/>
  <c r="AK67" i="21"/>
  <c r="AL67" i="21" s="1"/>
  <c r="AG67" i="21"/>
  <c r="AH67" i="21" s="1"/>
  <c r="AE67" i="21"/>
  <c r="AF67" i="21" s="1"/>
  <c r="AC67" i="21"/>
  <c r="AD67" i="21" s="1"/>
  <c r="AA67" i="21"/>
  <c r="W67" i="21"/>
  <c r="X67" i="21" s="1"/>
  <c r="U67" i="21"/>
  <c r="V67" i="21" s="1"/>
  <c r="S67" i="21"/>
  <c r="Q67" i="21"/>
  <c r="R67" i="21" s="1"/>
  <c r="P67" i="21"/>
  <c r="O67" i="21"/>
  <c r="N67" i="21"/>
  <c r="M67" i="21"/>
  <c r="L67" i="21"/>
  <c r="K67" i="21"/>
  <c r="J67" i="21"/>
  <c r="I67" i="21"/>
  <c r="H67" i="21"/>
  <c r="G67" i="21"/>
  <c r="F67" i="21"/>
  <c r="E67" i="21"/>
  <c r="D67" i="21"/>
  <c r="C67" i="21"/>
  <c r="B67" i="21"/>
  <c r="A67" i="21"/>
  <c r="BG66" i="21"/>
  <c r="BE66" i="21"/>
  <c r="BF66" i="21" s="1"/>
  <c r="AW66" i="21"/>
  <c r="AX66" i="21" s="1"/>
  <c r="AU66" i="21"/>
  <c r="AV66" i="21" s="1"/>
  <c r="AS66" i="21"/>
  <c r="AT66" i="21" s="1"/>
  <c r="AQ66" i="21"/>
  <c r="AO66" i="21"/>
  <c r="AP66" i="21" s="1"/>
  <c r="AM66" i="21"/>
  <c r="AN66" i="21" s="1"/>
  <c r="AK66" i="21"/>
  <c r="AL66" i="21" s="1"/>
  <c r="AG66" i="21"/>
  <c r="AH66" i="21" s="1"/>
  <c r="AE66" i="21"/>
  <c r="AF66" i="21" s="1"/>
  <c r="AC66" i="21"/>
  <c r="AD66" i="21" s="1"/>
  <c r="AA66" i="21"/>
  <c r="AB66" i="21" s="1"/>
  <c r="W66" i="21"/>
  <c r="U66" i="21"/>
  <c r="V66" i="21" s="1"/>
  <c r="S66" i="21"/>
  <c r="Q66" i="21"/>
  <c r="R66" i="21" s="1"/>
  <c r="P66" i="21"/>
  <c r="O66" i="21"/>
  <c r="N66" i="21"/>
  <c r="M66" i="21"/>
  <c r="L66" i="21"/>
  <c r="K66" i="21"/>
  <c r="J66" i="21"/>
  <c r="I66" i="21"/>
  <c r="H66" i="21"/>
  <c r="G66" i="21"/>
  <c r="F66" i="21"/>
  <c r="E66" i="21"/>
  <c r="D66" i="21"/>
  <c r="C66" i="21"/>
  <c r="B66" i="21"/>
  <c r="A66" i="21"/>
  <c r="BG65" i="21"/>
  <c r="BH65" i="21" s="1"/>
  <c r="BE65" i="21"/>
  <c r="AW65" i="21"/>
  <c r="AX65" i="21" s="1"/>
  <c r="AU65" i="21"/>
  <c r="AS65" i="21"/>
  <c r="AT65" i="21" s="1"/>
  <c r="AQ65" i="21"/>
  <c r="AR65" i="21" s="1"/>
  <c r="AO65" i="21"/>
  <c r="AP65" i="21" s="1"/>
  <c r="AM65" i="21"/>
  <c r="AN65" i="21" s="1"/>
  <c r="AK65" i="21"/>
  <c r="AL65" i="21" s="1"/>
  <c r="AG65" i="21"/>
  <c r="AH65" i="21" s="1"/>
  <c r="AE65" i="21"/>
  <c r="AC65" i="21"/>
  <c r="AA65" i="21"/>
  <c r="AB65" i="21" s="1"/>
  <c r="W65" i="21"/>
  <c r="X65" i="21" s="1"/>
  <c r="U65" i="21"/>
  <c r="V65" i="21" s="1"/>
  <c r="S65" i="21"/>
  <c r="T65" i="21" s="1"/>
  <c r="Q65" i="21"/>
  <c r="P65" i="21"/>
  <c r="O65" i="21"/>
  <c r="N65" i="21"/>
  <c r="M65" i="21"/>
  <c r="L65" i="21"/>
  <c r="K65" i="21"/>
  <c r="J65" i="21"/>
  <c r="I65" i="21"/>
  <c r="H65" i="21"/>
  <c r="G65" i="21"/>
  <c r="F65" i="21"/>
  <c r="E65" i="21"/>
  <c r="D65" i="21"/>
  <c r="C65" i="21"/>
  <c r="B65" i="21"/>
  <c r="A65" i="21"/>
  <c r="BG64" i="21"/>
  <c r="BH64" i="21" s="1"/>
  <c r="BE64" i="21"/>
  <c r="BF64" i="21" s="1"/>
  <c r="AW64" i="21"/>
  <c r="AX64" i="21" s="1"/>
  <c r="AU64" i="21"/>
  <c r="AS64" i="21"/>
  <c r="AT64" i="21" s="1"/>
  <c r="AQ64" i="21"/>
  <c r="AR64" i="21" s="1"/>
  <c r="AO64" i="21"/>
  <c r="AM64" i="21"/>
  <c r="AN64" i="21" s="1"/>
  <c r="AK64" i="21"/>
  <c r="AL64" i="21" s="1"/>
  <c r="AG64" i="21"/>
  <c r="AE64" i="21"/>
  <c r="AF64" i="21" s="1"/>
  <c r="AC64" i="21"/>
  <c r="AA64" i="21"/>
  <c r="AB64" i="21" s="1"/>
  <c r="AI64" i="21" s="1"/>
  <c r="W64" i="21"/>
  <c r="X64" i="21" s="1"/>
  <c r="U64" i="21"/>
  <c r="V64" i="21" s="1"/>
  <c r="S64" i="21"/>
  <c r="T64" i="21" s="1"/>
  <c r="Q64" i="21"/>
  <c r="R64" i="21" s="1"/>
  <c r="P64" i="21"/>
  <c r="O64" i="21"/>
  <c r="N64" i="21"/>
  <c r="M64" i="21"/>
  <c r="L64" i="21"/>
  <c r="K64" i="21"/>
  <c r="J64" i="21"/>
  <c r="I64" i="21"/>
  <c r="H64" i="21"/>
  <c r="G64" i="21"/>
  <c r="F64" i="21"/>
  <c r="E64" i="21"/>
  <c r="D64" i="21"/>
  <c r="C64" i="21"/>
  <c r="B64" i="21"/>
  <c r="A64" i="21"/>
  <c r="BG63" i="21"/>
  <c r="BE63" i="21"/>
  <c r="BF63" i="21" s="1"/>
  <c r="AW63" i="21"/>
  <c r="AX63" i="21" s="1"/>
  <c r="AU63" i="21"/>
  <c r="AV63" i="21" s="1"/>
  <c r="AS63" i="21"/>
  <c r="AQ63" i="21"/>
  <c r="AR63" i="21" s="1"/>
  <c r="AO63" i="21"/>
  <c r="AP63" i="21" s="1"/>
  <c r="AM63" i="21"/>
  <c r="AK63" i="21"/>
  <c r="AL63" i="21" s="1"/>
  <c r="AG63" i="21"/>
  <c r="AH63" i="21" s="1"/>
  <c r="AE63" i="21"/>
  <c r="AF63" i="21" s="1"/>
  <c r="AC63" i="21"/>
  <c r="AD63" i="21" s="1"/>
  <c r="AJ63" i="21" s="1"/>
  <c r="AA63" i="21"/>
  <c r="W63" i="21"/>
  <c r="X63" i="21" s="1"/>
  <c r="U63" i="21"/>
  <c r="V63" i="21" s="1"/>
  <c r="S63" i="21"/>
  <c r="T63" i="21" s="1"/>
  <c r="Q63" i="21"/>
  <c r="R63" i="21" s="1"/>
  <c r="P63" i="21"/>
  <c r="O63" i="21"/>
  <c r="N63" i="21"/>
  <c r="M63" i="21"/>
  <c r="L63" i="21"/>
  <c r="K63" i="21"/>
  <c r="J63" i="21"/>
  <c r="I63" i="21"/>
  <c r="H63" i="21"/>
  <c r="G63" i="21"/>
  <c r="F63" i="21"/>
  <c r="E63" i="21"/>
  <c r="D63" i="21"/>
  <c r="C63" i="21"/>
  <c r="B63" i="21"/>
  <c r="A63" i="21"/>
  <c r="BG62" i="21"/>
  <c r="BH62" i="21" s="1"/>
  <c r="BE62" i="21"/>
  <c r="BF62" i="21" s="1"/>
  <c r="AW62" i="21"/>
  <c r="AX62" i="21" s="1"/>
  <c r="AU62" i="21"/>
  <c r="AV62" i="21" s="1"/>
  <c r="AS62" i="21"/>
  <c r="AT62" i="21" s="1"/>
  <c r="AQ62" i="21"/>
  <c r="AO62" i="21"/>
  <c r="AP62" i="21" s="1"/>
  <c r="AM62" i="21"/>
  <c r="AK62" i="21"/>
  <c r="AL62" i="21" s="1"/>
  <c r="AG62" i="21"/>
  <c r="AH62" i="21" s="1"/>
  <c r="AE62" i="21"/>
  <c r="AC62" i="21"/>
  <c r="AD62" i="21" s="1"/>
  <c r="AA62" i="21"/>
  <c r="AB62" i="21" s="1"/>
  <c r="W62" i="21"/>
  <c r="U62" i="21"/>
  <c r="V62" i="21" s="1"/>
  <c r="S62" i="21"/>
  <c r="T62" i="21" s="1"/>
  <c r="Q62" i="21"/>
  <c r="R62" i="21" s="1"/>
  <c r="P62" i="21"/>
  <c r="O62" i="21"/>
  <c r="N62" i="21"/>
  <c r="M62" i="21"/>
  <c r="L62" i="21"/>
  <c r="K62" i="21"/>
  <c r="J62" i="21"/>
  <c r="I62" i="21"/>
  <c r="H62" i="21"/>
  <c r="G62" i="21"/>
  <c r="F62" i="21"/>
  <c r="E62" i="21"/>
  <c r="D62" i="21"/>
  <c r="C62" i="21"/>
  <c r="B62" i="21"/>
  <c r="A62" i="21"/>
  <c r="BG61" i="21"/>
  <c r="BH61" i="21" s="1"/>
  <c r="BE61" i="21"/>
  <c r="BF61" i="21" s="1"/>
  <c r="AW61" i="21"/>
  <c r="AU61" i="21"/>
  <c r="AS61" i="21"/>
  <c r="AT61" i="21" s="1"/>
  <c r="AQ61" i="21"/>
  <c r="AR61" i="21" s="1"/>
  <c r="AO61" i="21"/>
  <c r="AP61" i="21" s="1"/>
  <c r="AM61" i="21"/>
  <c r="AN61" i="21" s="1"/>
  <c r="AK61" i="21"/>
  <c r="AG61" i="21"/>
  <c r="AH61" i="21" s="1"/>
  <c r="AE61" i="21"/>
  <c r="AF61" i="21" s="1"/>
  <c r="AC61" i="21"/>
  <c r="AA61" i="21"/>
  <c r="AB61" i="21" s="1"/>
  <c r="W61" i="21"/>
  <c r="U61" i="21"/>
  <c r="V61" i="21" s="1"/>
  <c r="S61" i="21"/>
  <c r="T61" i="21" s="1"/>
  <c r="Q61" i="21"/>
  <c r="P61" i="21"/>
  <c r="O61" i="21"/>
  <c r="N61" i="21"/>
  <c r="M61" i="21"/>
  <c r="L61" i="21"/>
  <c r="K61" i="21"/>
  <c r="J61" i="21"/>
  <c r="I61" i="21"/>
  <c r="H61" i="21"/>
  <c r="G61" i="21"/>
  <c r="F61" i="21"/>
  <c r="E61" i="21"/>
  <c r="D61" i="21"/>
  <c r="C61" i="21"/>
  <c r="B61" i="21"/>
  <c r="A61" i="21"/>
  <c r="BG60" i="21"/>
  <c r="BH60" i="21" s="1"/>
  <c r="BE60" i="21"/>
  <c r="BF60" i="21" s="1"/>
  <c r="AW60" i="21"/>
  <c r="AX60" i="21" s="1"/>
  <c r="AU60" i="21"/>
  <c r="AS60" i="21"/>
  <c r="AT60" i="21" s="1"/>
  <c r="AQ60" i="21"/>
  <c r="AR60" i="21" s="1"/>
  <c r="AO60" i="21"/>
  <c r="AP60" i="21" s="1"/>
  <c r="AM60" i="21"/>
  <c r="AN60" i="21" s="1"/>
  <c r="AK60" i="21"/>
  <c r="AL60" i="21" s="1"/>
  <c r="AG60" i="21"/>
  <c r="AE60" i="21"/>
  <c r="AF60" i="21" s="1"/>
  <c r="AC60" i="21"/>
  <c r="AD60" i="21" s="1"/>
  <c r="AA60" i="21"/>
  <c r="AB60" i="21" s="1"/>
  <c r="W60" i="21"/>
  <c r="X60" i="21" s="1"/>
  <c r="U60" i="21"/>
  <c r="S60" i="21"/>
  <c r="T60" i="21" s="1"/>
  <c r="Q60" i="21"/>
  <c r="R60" i="21" s="1"/>
  <c r="P60" i="21"/>
  <c r="O60" i="21"/>
  <c r="N60" i="21"/>
  <c r="M60" i="21"/>
  <c r="L60" i="21"/>
  <c r="K60" i="21"/>
  <c r="J60" i="21"/>
  <c r="I60" i="21"/>
  <c r="H60" i="21"/>
  <c r="G60" i="21"/>
  <c r="F60" i="21"/>
  <c r="E60" i="21"/>
  <c r="D60" i="21"/>
  <c r="C60" i="21"/>
  <c r="B60" i="21"/>
  <c r="A60" i="21"/>
  <c r="BG59" i="21"/>
  <c r="BE59" i="21"/>
  <c r="BF59" i="21" s="1"/>
  <c r="AW59" i="21"/>
  <c r="AX59" i="21" s="1"/>
  <c r="AU59" i="21"/>
  <c r="AV59" i="21" s="1"/>
  <c r="AS59" i="21"/>
  <c r="AQ59" i="21"/>
  <c r="AR59" i="21" s="1"/>
  <c r="AO59" i="21"/>
  <c r="AP59" i="21" s="1"/>
  <c r="AM59" i="21"/>
  <c r="AK59" i="21"/>
  <c r="AL59" i="21" s="1"/>
  <c r="AG59" i="21"/>
  <c r="AH59" i="21" s="1"/>
  <c r="AE59" i="21"/>
  <c r="AF59" i="21" s="1"/>
  <c r="AC59" i="21"/>
  <c r="AD59" i="21" s="1"/>
  <c r="AA59" i="21"/>
  <c r="W59" i="21"/>
  <c r="X59" i="21" s="1"/>
  <c r="U59" i="21"/>
  <c r="V59" i="21" s="1"/>
  <c r="S59" i="21"/>
  <c r="Q59" i="21"/>
  <c r="R59" i="21" s="1"/>
  <c r="P59" i="21"/>
  <c r="O59" i="21"/>
  <c r="N59" i="21"/>
  <c r="M59" i="21"/>
  <c r="L59" i="21"/>
  <c r="K59" i="21"/>
  <c r="J59" i="21"/>
  <c r="I59" i="21"/>
  <c r="H59" i="21"/>
  <c r="G59" i="21"/>
  <c r="F59" i="21"/>
  <c r="E59" i="21"/>
  <c r="D59" i="21"/>
  <c r="C59" i="21"/>
  <c r="B59" i="21"/>
  <c r="A59" i="21"/>
  <c r="BG58" i="21"/>
  <c r="BE58" i="21"/>
  <c r="BF58" i="21" s="1"/>
  <c r="AW58" i="21"/>
  <c r="AX58" i="21" s="1"/>
  <c r="AU58" i="21"/>
  <c r="AV58" i="21" s="1"/>
  <c r="AS58" i="21"/>
  <c r="AT58" i="21" s="1"/>
  <c r="AQ58" i="21"/>
  <c r="AO58" i="21"/>
  <c r="AP58" i="21" s="1"/>
  <c r="AM58" i="21"/>
  <c r="AN58" i="21" s="1"/>
  <c r="AK58" i="21"/>
  <c r="AL58" i="21" s="1"/>
  <c r="AG58" i="21"/>
  <c r="AH58" i="21" s="1"/>
  <c r="AE58" i="21"/>
  <c r="AF58" i="21" s="1"/>
  <c r="AC58" i="21"/>
  <c r="AD58" i="21" s="1"/>
  <c r="AA58" i="21"/>
  <c r="W58" i="21"/>
  <c r="U58" i="21"/>
  <c r="V58" i="21" s="1"/>
  <c r="S58" i="21"/>
  <c r="T58" i="21" s="1"/>
  <c r="Q58" i="21"/>
  <c r="R58" i="21" s="1"/>
  <c r="P58" i="21"/>
  <c r="O58" i="21"/>
  <c r="N58" i="21"/>
  <c r="M58" i="21"/>
  <c r="L58" i="21"/>
  <c r="K58" i="21"/>
  <c r="J58" i="21"/>
  <c r="I58" i="21"/>
  <c r="H58" i="21"/>
  <c r="G58" i="21"/>
  <c r="F58" i="21"/>
  <c r="E58" i="21"/>
  <c r="D58" i="21"/>
  <c r="C58" i="21"/>
  <c r="B58" i="21"/>
  <c r="A58" i="21"/>
  <c r="BG57" i="21"/>
  <c r="BH57" i="21" s="1"/>
  <c r="BE57" i="21"/>
  <c r="AW57" i="21"/>
  <c r="AX57" i="21" s="1"/>
  <c r="AU57" i="21"/>
  <c r="AS57" i="21"/>
  <c r="AT57" i="21" s="1"/>
  <c r="AQ57" i="21"/>
  <c r="AO57" i="21"/>
  <c r="AP57" i="21" s="1"/>
  <c r="AM57" i="21"/>
  <c r="AN57" i="21" s="1"/>
  <c r="AK57" i="21"/>
  <c r="AG57" i="21"/>
  <c r="AH57" i="21" s="1"/>
  <c r="AE57" i="21"/>
  <c r="AF57" i="21" s="1"/>
  <c r="AC57" i="21"/>
  <c r="AA57" i="21"/>
  <c r="AB57" i="21" s="1"/>
  <c r="W57" i="21"/>
  <c r="U57" i="21"/>
  <c r="V57" i="21" s="1"/>
  <c r="S57" i="21"/>
  <c r="T57" i="21" s="1"/>
  <c r="Q57" i="21"/>
  <c r="R57" i="21" s="1"/>
  <c r="P57" i="21"/>
  <c r="O57" i="21"/>
  <c r="N57" i="21"/>
  <c r="M57" i="21"/>
  <c r="L57" i="21"/>
  <c r="K57" i="21"/>
  <c r="J57" i="21"/>
  <c r="I57" i="21"/>
  <c r="H57" i="21"/>
  <c r="G57" i="21"/>
  <c r="F57" i="21"/>
  <c r="E57" i="21"/>
  <c r="D57" i="21"/>
  <c r="C57" i="21"/>
  <c r="B57" i="21"/>
  <c r="A57" i="21"/>
  <c r="BG56" i="21"/>
  <c r="BH56" i="21" s="1"/>
  <c r="BE56" i="21"/>
  <c r="BF56" i="21" s="1"/>
  <c r="AW56" i="21"/>
  <c r="AU56" i="21"/>
  <c r="AV56" i="21" s="1"/>
  <c r="AS56" i="21"/>
  <c r="AT56" i="21" s="1"/>
  <c r="AQ56" i="21"/>
  <c r="AR56" i="21" s="1"/>
  <c r="AO56" i="21"/>
  <c r="AM56" i="21"/>
  <c r="AN56" i="21" s="1"/>
  <c r="AK56" i="21"/>
  <c r="AG56" i="21"/>
  <c r="AH56" i="21" s="1"/>
  <c r="AE56" i="21"/>
  <c r="AF56" i="21" s="1"/>
  <c r="AC56" i="21"/>
  <c r="AD56" i="21" s="1"/>
  <c r="AA56" i="21"/>
  <c r="AB56" i="21" s="1"/>
  <c r="AI56" i="21" s="1"/>
  <c r="W56" i="21"/>
  <c r="U56" i="21"/>
  <c r="V56" i="21" s="1"/>
  <c r="S56" i="21"/>
  <c r="T56" i="21" s="1"/>
  <c r="Q56" i="21"/>
  <c r="R56" i="21" s="1"/>
  <c r="P56" i="21"/>
  <c r="O56" i="21"/>
  <c r="N56" i="21"/>
  <c r="M56" i="21"/>
  <c r="L56" i="21"/>
  <c r="K56" i="21"/>
  <c r="J56" i="21"/>
  <c r="I56" i="21"/>
  <c r="H56" i="21"/>
  <c r="G56" i="21"/>
  <c r="F56" i="21"/>
  <c r="E56" i="21"/>
  <c r="D56" i="21"/>
  <c r="C56" i="21"/>
  <c r="B56" i="21"/>
  <c r="A56" i="21"/>
  <c r="BG55" i="21"/>
  <c r="BE55" i="21"/>
  <c r="BF55" i="21" s="1"/>
  <c r="AW55" i="21"/>
  <c r="AX55" i="21" s="1"/>
  <c r="AU55" i="21"/>
  <c r="AV55" i="21" s="1"/>
  <c r="AS55" i="21"/>
  <c r="AQ55" i="21"/>
  <c r="AO55" i="21"/>
  <c r="AP55" i="21" s="1"/>
  <c r="AM55" i="21"/>
  <c r="AK55" i="21"/>
  <c r="AL55" i="21" s="1"/>
  <c r="AG55" i="21"/>
  <c r="AE55" i="21"/>
  <c r="AF55" i="21" s="1"/>
  <c r="AC55" i="21"/>
  <c r="AA55" i="21"/>
  <c r="AB55" i="21" s="1"/>
  <c r="W55" i="21"/>
  <c r="X55" i="21" s="1"/>
  <c r="U55" i="21"/>
  <c r="V55" i="21" s="1"/>
  <c r="S55" i="21"/>
  <c r="T55" i="21" s="1"/>
  <c r="Q55" i="21"/>
  <c r="R55" i="21" s="1"/>
  <c r="P55" i="21"/>
  <c r="O55" i="21"/>
  <c r="N55" i="21"/>
  <c r="M55" i="21"/>
  <c r="L55" i="21"/>
  <c r="K55" i="21"/>
  <c r="J55" i="21"/>
  <c r="I55" i="21"/>
  <c r="H55" i="21"/>
  <c r="G55" i="21"/>
  <c r="F55" i="21"/>
  <c r="E55" i="21"/>
  <c r="D55" i="21"/>
  <c r="C55" i="21"/>
  <c r="B55" i="21"/>
  <c r="A55" i="21"/>
  <c r="BG54" i="21"/>
  <c r="BH54" i="21" s="1"/>
  <c r="BE54" i="21"/>
  <c r="AW54" i="21"/>
  <c r="AU54" i="21"/>
  <c r="AS54" i="21"/>
  <c r="AT54" i="21" s="1"/>
  <c r="AQ54" i="21"/>
  <c r="AO54" i="21"/>
  <c r="AP54" i="21" s="1"/>
  <c r="AM54" i="21"/>
  <c r="AN54" i="21" s="1"/>
  <c r="AK54" i="21"/>
  <c r="AL54" i="21" s="1"/>
  <c r="AG54" i="21"/>
  <c r="AH54" i="21" s="1"/>
  <c r="AE54" i="21"/>
  <c r="AF54" i="21" s="1"/>
  <c r="AC54" i="21"/>
  <c r="AD54" i="21" s="1"/>
  <c r="AA54" i="21"/>
  <c r="W54" i="21"/>
  <c r="X54" i="21" s="1"/>
  <c r="U54" i="21"/>
  <c r="V54" i="21" s="1"/>
  <c r="S54" i="21"/>
  <c r="Q54" i="21"/>
  <c r="R54" i="21" s="1"/>
  <c r="P54" i="21"/>
  <c r="O54" i="21"/>
  <c r="N54" i="21"/>
  <c r="M54" i="21"/>
  <c r="L54" i="21"/>
  <c r="K54" i="21"/>
  <c r="J54" i="21"/>
  <c r="I54" i="21"/>
  <c r="H54" i="21"/>
  <c r="G54" i="21"/>
  <c r="F54" i="21"/>
  <c r="E54" i="21"/>
  <c r="D54" i="21"/>
  <c r="C54" i="21"/>
  <c r="B54" i="21"/>
  <c r="A54" i="21"/>
  <c r="BG53" i="21"/>
  <c r="BH53" i="21" s="1"/>
  <c r="BE53" i="21"/>
  <c r="AW53" i="21"/>
  <c r="AX53" i="21" s="1"/>
  <c r="AU53" i="21"/>
  <c r="AV53" i="21" s="1"/>
  <c r="AS53" i="21"/>
  <c r="AT53" i="21" s="1"/>
  <c r="AQ53" i="21"/>
  <c r="AR53" i="21" s="1"/>
  <c r="AO53" i="21"/>
  <c r="AP53" i="21" s="1"/>
  <c r="AM53" i="21"/>
  <c r="AN53" i="21" s="1"/>
  <c r="AK53" i="21"/>
  <c r="AG53" i="21"/>
  <c r="AH53" i="21" s="1"/>
  <c r="AE53" i="21"/>
  <c r="AF53" i="21" s="1"/>
  <c r="AC53" i="21"/>
  <c r="AA53" i="21"/>
  <c r="AB53" i="21" s="1"/>
  <c r="W53" i="21"/>
  <c r="X53" i="21" s="1"/>
  <c r="U53" i="21"/>
  <c r="V53" i="21" s="1"/>
  <c r="S53" i="21"/>
  <c r="T53" i="21" s="1"/>
  <c r="Q53" i="21"/>
  <c r="P53" i="21"/>
  <c r="O53" i="21"/>
  <c r="N53" i="21"/>
  <c r="M53" i="21"/>
  <c r="L53" i="21"/>
  <c r="K53" i="21"/>
  <c r="J53" i="21"/>
  <c r="I53" i="21"/>
  <c r="H53" i="21"/>
  <c r="G53" i="21"/>
  <c r="F53" i="21"/>
  <c r="E53" i="21"/>
  <c r="D53" i="21"/>
  <c r="C53" i="21"/>
  <c r="B53" i="21"/>
  <c r="A53" i="21"/>
  <c r="BG52" i="21"/>
  <c r="BE52" i="21"/>
  <c r="BF52" i="21" s="1"/>
  <c r="AW52" i="21"/>
  <c r="AX52" i="21" s="1"/>
  <c r="AU52" i="21"/>
  <c r="AV52" i="21" s="1"/>
  <c r="AS52" i="21"/>
  <c r="AT52" i="21" s="1"/>
  <c r="AQ52" i="21"/>
  <c r="AR52" i="21" s="1"/>
  <c r="AO52" i="21"/>
  <c r="AM52" i="21"/>
  <c r="AN52" i="21" s="1"/>
  <c r="AK52" i="21"/>
  <c r="AL52" i="21" s="1"/>
  <c r="AG52" i="21"/>
  <c r="AE52" i="21"/>
  <c r="AF52" i="21" s="1"/>
  <c r="AC52" i="21"/>
  <c r="AD52" i="21" s="1"/>
  <c r="AA52" i="21"/>
  <c r="AB52" i="21" s="1"/>
  <c r="W52" i="21"/>
  <c r="X52" i="21" s="1"/>
  <c r="U52" i="21"/>
  <c r="S52" i="21"/>
  <c r="Q52" i="21"/>
  <c r="R52" i="21" s="1"/>
  <c r="P52" i="21"/>
  <c r="O52" i="21"/>
  <c r="N52" i="21"/>
  <c r="M52" i="21"/>
  <c r="L52" i="21"/>
  <c r="K52" i="21"/>
  <c r="J52" i="21"/>
  <c r="I52" i="21"/>
  <c r="H52" i="21"/>
  <c r="G52" i="21"/>
  <c r="F52" i="21"/>
  <c r="E52" i="21"/>
  <c r="D52" i="21"/>
  <c r="C52" i="21"/>
  <c r="B52" i="21"/>
  <c r="A52" i="21"/>
  <c r="BG51" i="21"/>
  <c r="BE51" i="21"/>
  <c r="BF51" i="21" s="1"/>
  <c r="AW51" i="21"/>
  <c r="AX51" i="21" s="1"/>
  <c r="AU51" i="21"/>
  <c r="AV51" i="21" s="1"/>
  <c r="AS51" i="21"/>
  <c r="AQ51" i="21"/>
  <c r="AR51" i="21" s="1"/>
  <c r="AO51" i="21"/>
  <c r="AP51" i="21" s="1"/>
  <c r="AM51" i="21"/>
  <c r="AK51" i="21"/>
  <c r="AL51" i="21" s="1"/>
  <c r="AG51" i="21"/>
  <c r="AH51" i="21" s="1"/>
  <c r="AE51" i="21"/>
  <c r="AF51" i="21" s="1"/>
  <c r="AC51" i="21"/>
  <c r="AD51" i="21" s="1"/>
  <c r="AA51" i="21"/>
  <c r="W51" i="21"/>
  <c r="U51" i="21"/>
  <c r="V51" i="21" s="1"/>
  <c r="S51" i="21"/>
  <c r="Q51" i="21"/>
  <c r="R51" i="21" s="1"/>
  <c r="P51" i="21"/>
  <c r="O51" i="21"/>
  <c r="N51" i="21"/>
  <c r="M51" i="21"/>
  <c r="L51" i="21"/>
  <c r="K51" i="21"/>
  <c r="J51" i="21"/>
  <c r="I51" i="21"/>
  <c r="H51" i="21"/>
  <c r="G51" i="21"/>
  <c r="F51" i="21"/>
  <c r="E51" i="21"/>
  <c r="D51" i="21"/>
  <c r="C51" i="21"/>
  <c r="B51" i="21"/>
  <c r="A51" i="21"/>
  <c r="BG50" i="21"/>
  <c r="BH50" i="21" s="1"/>
  <c r="BE50" i="21"/>
  <c r="BF50" i="21" s="1"/>
  <c r="AW50" i="21"/>
  <c r="AX50" i="21" s="1"/>
  <c r="AU50" i="21"/>
  <c r="AV50" i="21" s="1"/>
  <c r="AS50" i="21"/>
  <c r="AT50" i="21" s="1"/>
  <c r="AQ50" i="21"/>
  <c r="AO50" i="21"/>
  <c r="AP50" i="21" s="1"/>
  <c r="AM50" i="21"/>
  <c r="AN50" i="21" s="1"/>
  <c r="AK50" i="21"/>
  <c r="AL50" i="21" s="1"/>
  <c r="AG50" i="21"/>
  <c r="AH50" i="21" s="1"/>
  <c r="AE50" i="21"/>
  <c r="AC50" i="21"/>
  <c r="AA50" i="21"/>
  <c r="AB50" i="21" s="1"/>
  <c r="W50" i="21"/>
  <c r="U50" i="21"/>
  <c r="V50" i="21" s="1"/>
  <c r="S50" i="21"/>
  <c r="T50" i="21" s="1"/>
  <c r="Q50" i="21"/>
  <c r="R50" i="21" s="1"/>
  <c r="P50" i="21"/>
  <c r="O50" i="21"/>
  <c r="N50" i="21"/>
  <c r="M50" i="21"/>
  <c r="L50" i="21"/>
  <c r="K50" i="21"/>
  <c r="J50" i="21"/>
  <c r="I50" i="21"/>
  <c r="H50" i="21"/>
  <c r="G50" i="21"/>
  <c r="F50" i="21"/>
  <c r="E50" i="21"/>
  <c r="D50" i="21"/>
  <c r="C50" i="21"/>
  <c r="B50" i="21"/>
  <c r="A50" i="21"/>
  <c r="BG49" i="21"/>
  <c r="BH49" i="21" s="1"/>
  <c r="BE49" i="21"/>
  <c r="AW49" i="21"/>
  <c r="AX49" i="21" s="1"/>
  <c r="AU49" i="21"/>
  <c r="AS49" i="21"/>
  <c r="AT49" i="21" s="1"/>
  <c r="AQ49" i="21"/>
  <c r="AR49" i="21" s="1"/>
  <c r="AO49" i="21"/>
  <c r="AP49" i="21" s="1"/>
  <c r="AM49" i="21"/>
  <c r="AN49" i="21" s="1"/>
  <c r="AK49" i="21"/>
  <c r="AG49" i="21"/>
  <c r="AE49" i="21"/>
  <c r="AF49" i="21" s="1"/>
  <c r="AC49" i="21"/>
  <c r="AA49" i="21"/>
  <c r="AB49" i="21" s="1"/>
  <c r="W49" i="21"/>
  <c r="X49" i="21" s="1"/>
  <c r="U49" i="21"/>
  <c r="V49" i="21" s="1"/>
  <c r="S49" i="21"/>
  <c r="T49" i="21" s="1"/>
  <c r="Q49" i="21"/>
  <c r="P49" i="21"/>
  <c r="O49" i="21"/>
  <c r="N49" i="21"/>
  <c r="M49" i="21"/>
  <c r="L49" i="21"/>
  <c r="K49" i="21"/>
  <c r="J49" i="21"/>
  <c r="I49" i="21"/>
  <c r="H49" i="21"/>
  <c r="G49" i="21"/>
  <c r="F49" i="21"/>
  <c r="E49" i="21"/>
  <c r="D49" i="21"/>
  <c r="C49" i="21"/>
  <c r="B49" i="21"/>
  <c r="A49" i="21"/>
  <c r="BG48" i="21"/>
  <c r="BH48" i="21" s="1"/>
  <c r="BE48" i="21"/>
  <c r="BF48" i="21" s="1"/>
  <c r="AW48" i="21"/>
  <c r="AU48" i="21"/>
  <c r="AV48" i="21" s="1"/>
  <c r="AS48" i="21"/>
  <c r="AT48" i="21" s="1"/>
  <c r="AQ48" i="21"/>
  <c r="AR48" i="21" s="1"/>
  <c r="AO48" i="21"/>
  <c r="AM48" i="21"/>
  <c r="AK48" i="21"/>
  <c r="AL48" i="21" s="1"/>
  <c r="AG48" i="21"/>
  <c r="AE48" i="21"/>
  <c r="AF48" i="21" s="1"/>
  <c r="AC48" i="21"/>
  <c r="AD48" i="21" s="1"/>
  <c r="AA48" i="21"/>
  <c r="AB48" i="21" s="1"/>
  <c r="AI48" i="21" s="1"/>
  <c r="W48" i="21"/>
  <c r="X48" i="21" s="1"/>
  <c r="U48" i="21"/>
  <c r="S48" i="21"/>
  <c r="T48" i="21" s="1"/>
  <c r="Q48" i="21"/>
  <c r="R48" i="21" s="1"/>
  <c r="P48" i="21"/>
  <c r="O48" i="21"/>
  <c r="N48" i="21"/>
  <c r="M48" i="21"/>
  <c r="L48" i="21"/>
  <c r="K48" i="21"/>
  <c r="J48" i="21"/>
  <c r="I48" i="21"/>
  <c r="H48" i="21"/>
  <c r="G48" i="21"/>
  <c r="F48" i="21"/>
  <c r="E48" i="21"/>
  <c r="D48" i="21"/>
  <c r="C48" i="21"/>
  <c r="B48" i="21"/>
  <c r="A48" i="21"/>
  <c r="BG47" i="21"/>
  <c r="BE47" i="21"/>
  <c r="BF47" i="21" s="1"/>
  <c r="AW47" i="21"/>
  <c r="AX47" i="21" s="1"/>
  <c r="AU47" i="21"/>
  <c r="AV47" i="21" s="1"/>
  <c r="AS47" i="21"/>
  <c r="AT47" i="21" s="1"/>
  <c r="AQ47" i="21"/>
  <c r="AO47" i="21"/>
  <c r="AP47" i="21" s="1"/>
  <c r="AM47" i="21"/>
  <c r="AK47" i="21"/>
  <c r="AL47" i="21" s="1"/>
  <c r="AG47" i="21"/>
  <c r="AH47" i="21" s="1"/>
  <c r="AE47" i="21"/>
  <c r="AF47" i="21" s="1"/>
  <c r="AC47" i="21"/>
  <c r="AD47" i="21" s="1"/>
  <c r="AJ47" i="21" s="1"/>
  <c r="AA47" i="21"/>
  <c r="W47" i="21"/>
  <c r="X47" i="21" s="1"/>
  <c r="U47" i="21"/>
  <c r="V47" i="21" s="1"/>
  <c r="S47" i="21"/>
  <c r="Q47" i="21"/>
  <c r="R47" i="21" s="1"/>
  <c r="P47" i="21"/>
  <c r="O47" i="21"/>
  <c r="N47" i="21"/>
  <c r="M47" i="21"/>
  <c r="L47" i="21"/>
  <c r="K47" i="21"/>
  <c r="J47" i="21"/>
  <c r="I47" i="21"/>
  <c r="H47" i="21"/>
  <c r="G47" i="21"/>
  <c r="F47" i="21"/>
  <c r="E47" i="21"/>
  <c r="D47" i="21"/>
  <c r="C47" i="21"/>
  <c r="B47" i="21"/>
  <c r="A47" i="21"/>
  <c r="BG46" i="21"/>
  <c r="BH46" i="21" s="1"/>
  <c r="BE46" i="21"/>
  <c r="BF46" i="21" s="1"/>
  <c r="AW46" i="21"/>
  <c r="AX46" i="21" s="1"/>
  <c r="AU46" i="21"/>
  <c r="AS46" i="21"/>
  <c r="AT46" i="21" s="1"/>
  <c r="AQ46" i="21"/>
  <c r="AO46" i="21"/>
  <c r="AP46" i="21" s="1"/>
  <c r="AM46" i="21"/>
  <c r="AN46" i="21" s="1"/>
  <c r="AK46" i="21"/>
  <c r="AL46" i="21" s="1"/>
  <c r="AG46" i="21"/>
  <c r="AH46" i="21" s="1"/>
  <c r="AE46" i="21"/>
  <c r="AC46" i="21"/>
  <c r="AD46" i="21" s="1"/>
  <c r="AA46" i="21"/>
  <c r="AB46" i="21" s="1"/>
  <c r="W46" i="21"/>
  <c r="U46" i="21"/>
  <c r="V46" i="21" s="1"/>
  <c r="S46" i="21"/>
  <c r="T46" i="21" s="1"/>
  <c r="Q46" i="21"/>
  <c r="R46" i="21" s="1"/>
  <c r="P46" i="21"/>
  <c r="O46" i="21"/>
  <c r="N46" i="21"/>
  <c r="M46" i="21"/>
  <c r="L46" i="21"/>
  <c r="K46" i="21"/>
  <c r="J46" i="21"/>
  <c r="I46" i="21"/>
  <c r="H46" i="21"/>
  <c r="G46" i="21"/>
  <c r="F46" i="21"/>
  <c r="E46" i="21"/>
  <c r="D46" i="21"/>
  <c r="C46" i="21"/>
  <c r="B46" i="21"/>
  <c r="A46" i="21"/>
  <c r="BG45" i="21"/>
  <c r="BH45" i="21" s="1"/>
  <c r="BE45" i="21"/>
  <c r="BF45" i="21" s="1"/>
  <c r="AW45" i="21"/>
  <c r="AX45" i="21" s="1"/>
  <c r="AU45" i="21"/>
  <c r="AS45" i="21"/>
  <c r="AT45" i="21" s="1"/>
  <c r="AQ45" i="21"/>
  <c r="AR45" i="21" s="1"/>
  <c r="AO45" i="21"/>
  <c r="AP45" i="21" s="1"/>
  <c r="AM45" i="21"/>
  <c r="AN45" i="21" s="1"/>
  <c r="AK45" i="21"/>
  <c r="AG45" i="21"/>
  <c r="AH45" i="21" s="1"/>
  <c r="AE45" i="21"/>
  <c r="AF45" i="21" s="1"/>
  <c r="AC45" i="21"/>
  <c r="AA45" i="21"/>
  <c r="AB45" i="21" s="1"/>
  <c r="W45" i="21"/>
  <c r="X45" i="21" s="1"/>
  <c r="U45" i="21"/>
  <c r="V45" i="21" s="1"/>
  <c r="S45" i="21"/>
  <c r="T45" i="21" s="1"/>
  <c r="Q45" i="21"/>
  <c r="P45" i="21"/>
  <c r="O45" i="21"/>
  <c r="N45" i="21"/>
  <c r="M45" i="21"/>
  <c r="L45" i="21"/>
  <c r="K45" i="21"/>
  <c r="J45" i="21"/>
  <c r="I45" i="21"/>
  <c r="H45" i="21"/>
  <c r="G45" i="21"/>
  <c r="F45" i="21"/>
  <c r="E45" i="21"/>
  <c r="D45" i="21"/>
  <c r="C45" i="21"/>
  <c r="B45" i="21"/>
  <c r="A45" i="21"/>
  <c r="BG44" i="21"/>
  <c r="BE44" i="21"/>
  <c r="BF44" i="21" s="1"/>
  <c r="AW44" i="21"/>
  <c r="AX44" i="21" s="1"/>
  <c r="AU44" i="21"/>
  <c r="AV44" i="21" s="1"/>
  <c r="AS44" i="21"/>
  <c r="AT44" i="21" s="1"/>
  <c r="AQ44" i="21"/>
  <c r="AR44" i="21" s="1"/>
  <c r="AO44" i="21"/>
  <c r="AM44" i="21"/>
  <c r="AN44" i="21" s="1"/>
  <c r="AK44" i="21"/>
  <c r="AL44" i="21" s="1"/>
  <c r="AG44" i="21"/>
  <c r="AE44" i="21"/>
  <c r="AF44" i="21" s="1"/>
  <c r="AC44" i="21"/>
  <c r="AD44" i="21" s="1"/>
  <c r="AA44" i="21"/>
  <c r="AB44" i="21" s="1"/>
  <c r="W44" i="21"/>
  <c r="X44" i="21" s="1"/>
  <c r="U44" i="21"/>
  <c r="S44" i="21"/>
  <c r="T44" i="21" s="1"/>
  <c r="Q44" i="21"/>
  <c r="R44" i="21" s="1"/>
  <c r="P44" i="21"/>
  <c r="O44" i="21"/>
  <c r="N44" i="21"/>
  <c r="M44" i="21"/>
  <c r="L44" i="21"/>
  <c r="K44" i="21"/>
  <c r="J44" i="21"/>
  <c r="I44" i="21"/>
  <c r="H44" i="21"/>
  <c r="G44" i="21"/>
  <c r="F44" i="21"/>
  <c r="E44" i="21"/>
  <c r="D44" i="21"/>
  <c r="C44" i="21"/>
  <c r="B44" i="21"/>
  <c r="A44" i="21"/>
  <c r="BG43" i="21"/>
  <c r="BE43" i="21"/>
  <c r="BF43" i="21" s="1"/>
  <c r="AW43" i="21"/>
  <c r="AX43" i="21" s="1"/>
  <c r="AU43" i="21"/>
  <c r="AV43" i="21" s="1"/>
  <c r="AS43" i="21"/>
  <c r="AQ43" i="21"/>
  <c r="AR43" i="21" s="1"/>
  <c r="AO43" i="21"/>
  <c r="AP43" i="21" s="1"/>
  <c r="AM43" i="21"/>
  <c r="AK43" i="21"/>
  <c r="AL43" i="21" s="1"/>
  <c r="AG43" i="21"/>
  <c r="AH43" i="21" s="1"/>
  <c r="AE43" i="21"/>
  <c r="AF43" i="21" s="1"/>
  <c r="AC43" i="21"/>
  <c r="AD43" i="21" s="1"/>
  <c r="AA43" i="21"/>
  <c r="W43" i="21"/>
  <c r="X43" i="21" s="1"/>
  <c r="U43" i="21"/>
  <c r="V43" i="21" s="1"/>
  <c r="S43" i="21"/>
  <c r="Q43" i="21"/>
  <c r="R43" i="21" s="1"/>
  <c r="P43" i="21"/>
  <c r="O43" i="21"/>
  <c r="N43" i="21"/>
  <c r="M43" i="21"/>
  <c r="L43" i="21"/>
  <c r="K43" i="21"/>
  <c r="J43" i="21"/>
  <c r="I43" i="21"/>
  <c r="H43" i="21"/>
  <c r="G43" i="21"/>
  <c r="F43" i="21"/>
  <c r="E43" i="21"/>
  <c r="D43" i="21"/>
  <c r="C43" i="21"/>
  <c r="B43" i="21"/>
  <c r="A43" i="21"/>
  <c r="BG42" i="21"/>
  <c r="BH42" i="21" s="1"/>
  <c r="BE42" i="21"/>
  <c r="BF42" i="21" s="1"/>
  <c r="AW42" i="21"/>
  <c r="AX42" i="21" s="1"/>
  <c r="AU42" i="21"/>
  <c r="AV42" i="21" s="1"/>
  <c r="AS42" i="21"/>
  <c r="AT42" i="21" s="1"/>
  <c r="AQ42" i="21"/>
  <c r="AO42" i="21"/>
  <c r="AP42" i="21" s="1"/>
  <c r="AM42" i="21"/>
  <c r="AN42" i="21" s="1"/>
  <c r="AK42" i="21"/>
  <c r="AL42" i="21" s="1"/>
  <c r="AG42" i="21"/>
  <c r="AH42" i="21" s="1"/>
  <c r="AE42" i="21"/>
  <c r="AC42" i="21"/>
  <c r="AD42" i="21" s="1"/>
  <c r="AA42" i="21"/>
  <c r="AB42" i="21" s="1"/>
  <c r="W42" i="21"/>
  <c r="U42" i="21"/>
  <c r="V42" i="21" s="1"/>
  <c r="S42" i="21"/>
  <c r="T42" i="21" s="1"/>
  <c r="Q42" i="21"/>
  <c r="R42" i="21" s="1"/>
  <c r="P42" i="21"/>
  <c r="O42" i="21"/>
  <c r="N42" i="21"/>
  <c r="M42" i="21"/>
  <c r="L42" i="21"/>
  <c r="K42" i="21"/>
  <c r="J42" i="21"/>
  <c r="I42" i="21"/>
  <c r="H42" i="21"/>
  <c r="G42" i="21"/>
  <c r="F42" i="21"/>
  <c r="E42" i="21"/>
  <c r="D42" i="21"/>
  <c r="C42" i="21"/>
  <c r="B42" i="21"/>
  <c r="A42" i="21"/>
  <c r="BG41" i="21"/>
  <c r="BH41" i="21" s="1"/>
  <c r="BE41" i="21"/>
  <c r="AW41" i="21"/>
  <c r="AX41" i="21" s="1"/>
  <c r="AU41" i="21"/>
  <c r="AS41" i="21"/>
  <c r="AT41" i="21" s="1"/>
  <c r="AQ41" i="21"/>
  <c r="AR41" i="21" s="1"/>
  <c r="AO41" i="21"/>
  <c r="AP41" i="21" s="1"/>
  <c r="AM41" i="21"/>
  <c r="AN41" i="21" s="1"/>
  <c r="AK41" i="21"/>
  <c r="AG41" i="21"/>
  <c r="AH41" i="21" s="1"/>
  <c r="AE41" i="21"/>
  <c r="AF41" i="21" s="1"/>
  <c r="AC41" i="21"/>
  <c r="AA41" i="21"/>
  <c r="AB41" i="21" s="1"/>
  <c r="W41" i="21"/>
  <c r="X41" i="21" s="1"/>
  <c r="U41" i="21"/>
  <c r="V41" i="21" s="1"/>
  <c r="S41" i="21"/>
  <c r="T41" i="21" s="1"/>
  <c r="Q41" i="21"/>
  <c r="P41" i="21"/>
  <c r="O41" i="21"/>
  <c r="N41" i="21"/>
  <c r="M41" i="21"/>
  <c r="L41" i="21"/>
  <c r="K41" i="21"/>
  <c r="J41" i="21"/>
  <c r="I41" i="21"/>
  <c r="H41" i="21"/>
  <c r="G41" i="21"/>
  <c r="F41" i="21"/>
  <c r="E41" i="21"/>
  <c r="D41" i="21"/>
  <c r="C41" i="21"/>
  <c r="B41" i="21"/>
  <c r="A41" i="21"/>
  <c r="BG40" i="21"/>
  <c r="BH40" i="21" s="1"/>
  <c r="BE40" i="21"/>
  <c r="BF40" i="21" s="1"/>
  <c r="AW40" i="21"/>
  <c r="AU40" i="21"/>
  <c r="AV40" i="21" s="1"/>
  <c r="AS40" i="21"/>
  <c r="AT40" i="21" s="1"/>
  <c r="AQ40" i="21"/>
  <c r="AR40" i="21" s="1"/>
  <c r="AO40" i="21"/>
  <c r="AM40" i="21"/>
  <c r="AN40" i="21" s="1"/>
  <c r="AK40" i="21"/>
  <c r="AL40" i="21" s="1"/>
  <c r="AG40" i="21"/>
  <c r="AE40" i="21"/>
  <c r="AF40" i="21" s="1"/>
  <c r="AC40" i="21"/>
  <c r="AD40" i="21" s="1"/>
  <c r="AA40" i="21"/>
  <c r="AB40" i="21" s="1"/>
  <c r="W40" i="21"/>
  <c r="X40" i="21" s="1"/>
  <c r="U40" i="21"/>
  <c r="S40" i="21"/>
  <c r="T40" i="21" s="1"/>
  <c r="Q40" i="21"/>
  <c r="R40" i="21" s="1"/>
  <c r="P40" i="21"/>
  <c r="O40" i="21"/>
  <c r="N40" i="21"/>
  <c r="M40" i="21"/>
  <c r="L40" i="21"/>
  <c r="K40" i="21"/>
  <c r="J40" i="21"/>
  <c r="I40" i="21"/>
  <c r="H40" i="21"/>
  <c r="G40" i="21"/>
  <c r="F40" i="21"/>
  <c r="E40" i="21"/>
  <c r="D40" i="21"/>
  <c r="C40" i="21"/>
  <c r="B40" i="21"/>
  <c r="A40" i="21"/>
  <c r="BG39" i="21"/>
  <c r="BE39" i="21"/>
  <c r="BF39" i="21" s="1"/>
  <c r="AW39" i="21"/>
  <c r="AX39" i="21" s="1"/>
  <c r="AU39" i="21"/>
  <c r="AV39" i="21" s="1"/>
  <c r="AS39" i="21"/>
  <c r="AT39" i="21" s="1"/>
  <c r="AQ39" i="21"/>
  <c r="AR39" i="21" s="1"/>
  <c r="AO39" i="21"/>
  <c r="AP39" i="21" s="1"/>
  <c r="AM39" i="21"/>
  <c r="AK39" i="21"/>
  <c r="AL39" i="21" s="1"/>
  <c r="AG39" i="21"/>
  <c r="AH39" i="21" s="1"/>
  <c r="AE39" i="21"/>
  <c r="AF39" i="21" s="1"/>
  <c r="AC39" i="21"/>
  <c r="AD39" i="21" s="1"/>
  <c r="AA39" i="21"/>
  <c r="AB39" i="21" s="1"/>
  <c r="W39" i="21"/>
  <c r="X39" i="21" s="1"/>
  <c r="U39" i="21"/>
  <c r="V39" i="21" s="1"/>
  <c r="S39" i="21"/>
  <c r="Q39" i="21"/>
  <c r="R39" i="21" s="1"/>
  <c r="P39" i="21"/>
  <c r="O39" i="21"/>
  <c r="N39" i="21"/>
  <c r="M39" i="21"/>
  <c r="L39" i="21"/>
  <c r="K39" i="21"/>
  <c r="J39" i="21"/>
  <c r="I39" i="21"/>
  <c r="H39" i="21"/>
  <c r="G39" i="21"/>
  <c r="F39" i="21"/>
  <c r="E39" i="21"/>
  <c r="D39" i="21"/>
  <c r="C39" i="21"/>
  <c r="B39" i="21"/>
  <c r="A39" i="21"/>
  <c r="BG38" i="21"/>
  <c r="BH38" i="21" s="1"/>
  <c r="BE38" i="21"/>
  <c r="BF38" i="21" s="1"/>
  <c r="AW38" i="21"/>
  <c r="AX38" i="21" s="1"/>
  <c r="AU38" i="21"/>
  <c r="AV38" i="21" s="1"/>
  <c r="AS38" i="21"/>
  <c r="AT38" i="21" s="1"/>
  <c r="AQ38" i="21"/>
  <c r="AO38" i="21"/>
  <c r="AP38" i="21" s="1"/>
  <c r="AM38" i="21"/>
  <c r="AN38" i="21" s="1"/>
  <c r="AK38" i="21"/>
  <c r="AL38" i="21" s="1"/>
  <c r="AG38" i="21"/>
  <c r="AH38" i="21" s="1"/>
  <c r="AE38" i="21"/>
  <c r="AC38" i="21"/>
  <c r="AD38" i="21" s="1"/>
  <c r="AA38" i="21"/>
  <c r="AB38" i="21" s="1"/>
  <c r="W38" i="21"/>
  <c r="U38" i="21"/>
  <c r="V38" i="21" s="1"/>
  <c r="S38" i="21"/>
  <c r="T38" i="21" s="1"/>
  <c r="Q38" i="21"/>
  <c r="R38" i="21" s="1"/>
  <c r="P38" i="21"/>
  <c r="O38" i="21"/>
  <c r="N38" i="21"/>
  <c r="M38" i="21"/>
  <c r="L38" i="21"/>
  <c r="K38" i="21"/>
  <c r="J38" i="21"/>
  <c r="I38" i="21"/>
  <c r="H38" i="21"/>
  <c r="G38" i="21"/>
  <c r="F38" i="21"/>
  <c r="E38" i="21"/>
  <c r="D38" i="21"/>
  <c r="C38" i="21"/>
  <c r="B38" i="21"/>
  <c r="A38" i="21"/>
  <c r="BG37" i="21"/>
  <c r="BH37" i="21" s="1"/>
  <c r="BE37" i="21"/>
  <c r="BF37" i="21" s="1"/>
  <c r="AW37" i="21"/>
  <c r="AX37" i="21" s="1"/>
  <c r="AU37" i="21"/>
  <c r="AS37" i="21"/>
  <c r="AT37" i="21" s="1"/>
  <c r="AQ37" i="21"/>
  <c r="AR37" i="21" s="1"/>
  <c r="AO37" i="21"/>
  <c r="AP37" i="21" s="1"/>
  <c r="AM37" i="21"/>
  <c r="AN37" i="21" s="1"/>
  <c r="AK37" i="21"/>
  <c r="AL37" i="21" s="1"/>
  <c r="AG37" i="21"/>
  <c r="AH37" i="21" s="1"/>
  <c r="AE37" i="21"/>
  <c r="AF37" i="21" s="1"/>
  <c r="AC37" i="21"/>
  <c r="AA37" i="21"/>
  <c r="AB37" i="21" s="1"/>
  <c r="W37" i="21"/>
  <c r="X37" i="21" s="1"/>
  <c r="U37" i="21"/>
  <c r="V37" i="21" s="1"/>
  <c r="S37" i="21"/>
  <c r="T37" i="21" s="1"/>
  <c r="Q37" i="21"/>
  <c r="R37" i="21" s="1"/>
  <c r="P37" i="21"/>
  <c r="O37" i="21"/>
  <c r="N37" i="21"/>
  <c r="M37" i="21"/>
  <c r="L37" i="21"/>
  <c r="K37" i="21"/>
  <c r="J37" i="21"/>
  <c r="I37" i="21"/>
  <c r="H37" i="21"/>
  <c r="G37" i="21"/>
  <c r="F37" i="21"/>
  <c r="E37" i="21"/>
  <c r="D37" i="21"/>
  <c r="C37" i="21"/>
  <c r="B37" i="21"/>
  <c r="A37" i="21"/>
  <c r="BG36" i="21"/>
  <c r="BH36" i="21" s="1"/>
  <c r="BE36" i="21"/>
  <c r="BF36" i="21" s="1"/>
  <c r="AW36" i="21"/>
  <c r="AX36" i="21" s="1"/>
  <c r="AU36" i="21"/>
  <c r="AV36" i="21" s="1"/>
  <c r="AS36" i="21"/>
  <c r="AT36" i="21" s="1"/>
  <c r="AQ36" i="21"/>
  <c r="AR36" i="21" s="1"/>
  <c r="AO36" i="21"/>
  <c r="AM36" i="21"/>
  <c r="AN36" i="21" s="1"/>
  <c r="AK36" i="21"/>
  <c r="AL36" i="21" s="1"/>
  <c r="AG36" i="21"/>
  <c r="AE36" i="21"/>
  <c r="AF36" i="21" s="1"/>
  <c r="AC36" i="21"/>
  <c r="AD36" i="21" s="1"/>
  <c r="AA36" i="21"/>
  <c r="AB36" i="21" s="1"/>
  <c r="W36" i="21"/>
  <c r="X36" i="21" s="1"/>
  <c r="U36" i="21"/>
  <c r="V36" i="21" s="1"/>
  <c r="S36" i="21"/>
  <c r="T36" i="21" s="1"/>
  <c r="Q36" i="21"/>
  <c r="R36" i="21" s="1"/>
  <c r="P36" i="21"/>
  <c r="O36" i="21"/>
  <c r="N36" i="21"/>
  <c r="M36" i="21"/>
  <c r="L36" i="21"/>
  <c r="K36" i="21"/>
  <c r="J36" i="21"/>
  <c r="I36" i="21"/>
  <c r="H36" i="21"/>
  <c r="G36" i="21"/>
  <c r="F36" i="21"/>
  <c r="E36" i="21"/>
  <c r="D36" i="21"/>
  <c r="C36" i="21"/>
  <c r="B36" i="21"/>
  <c r="A36" i="21"/>
  <c r="BG35" i="21"/>
  <c r="BE35" i="21"/>
  <c r="BF35" i="21" s="1"/>
  <c r="AW35" i="21"/>
  <c r="AX35" i="21" s="1"/>
  <c r="AU35" i="21"/>
  <c r="AV35" i="21" s="1"/>
  <c r="AS35" i="21"/>
  <c r="AT35" i="21" s="1"/>
  <c r="AQ35" i="21"/>
  <c r="AR35" i="21" s="1"/>
  <c r="AO35" i="21"/>
  <c r="AP35" i="21" s="1"/>
  <c r="AM35" i="21"/>
  <c r="AK35" i="21"/>
  <c r="AL35" i="21" s="1"/>
  <c r="AG35" i="21"/>
  <c r="AH35" i="21" s="1"/>
  <c r="AE35" i="21"/>
  <c r="AF35" i="21" s="1"/>
  <c r="AC35" i="21"/>
  <c r="AD35" i="21" s="1"/>
  <c r="AA35" i="21"/>
  <c r="AB35" i="21" s="1"/>
  <c r="W35" i="21"/>
  <c r="X35" i="21" s="1"/>
  <c r="U35" i="21"/>
  <c r="V35" i="21" s="1"/>
  <c r="S35" i="21"/>
  <c r="Q35" i="21"/>
  <c r="R35" i="21" s="1"/>
  <c r="P35" i="21"/>
  <c r="O35" i="21"/>
  <c r="N35" i="21"/>
  <c r="M35" i="21"/>
  <c r="L35" i="21"/>
  <c r="K35" i="21"/>
  <c r="J35" i="21"/>
  <c r="I35" i="21"/>
  <c r="H35" i="21"/>
  <c r="G35" i="21"/>
  <c r="F35" i="21"/>
  <c r="E35" i="21"/>
  <c r="D35" i="21"/>
  <c r="C35" i="21"/>
  <c r="B35" i="21"/>
  <c r="A35" i="21"/>
  <c r="BG34" i="21"/>
  <c r="BH34" i="21" s="1"/>
  <c r="BE34" i="21"/>
  <c r="BF34" i="21" s="1"/>
  <c r="AW34" i="21"/>
  <c r="AX34" i="21" s="1"/>
  <c r="AU34" i="21"/>
  <c r="AV34" i="21" s="1"/>
  <c r="AS34" i="21"/>
  <c r="AT34" i="21" s="1"/>
  <c r="AQ34" i="21"/>
  <c r="AO34" i="21"/>
  <c r="AP34" i="21" s="1"/>
  <c r="AM34" i="21"/>
  <c r="AN34" i="21" s="1"/>
  <c r="AK34" i="21"/>
  <c r="AL34" i="21" s="1"/>
  <c r="AG34" i="21"/>
  <c r="AH34" i="21" s="1"/>
  <c r="AE34" i="21"/>
  <c r="AF34" i="21" s="1"/>
  <c r="AC34" i="21"/>
  <c r="AD34" i="21" s="1"/>
  <c r="AA34" i="21"/>
  <c r="AB34" i="21" s="1"/>
  <c r="W34" i="21"/>
  <c r="U34" i="21"/>
  <c r="V34" i="21" s="1"/>
  <c r="S34" i="21"/>
  <c r="T34" i="21" s="1"/>
  <c r="Q34" i="21"/>
  <c r="R34" i="21" s="1"/>
  <c r="P34" i="21"/>
  <c r="O34" i="21"/>
  <c r="N34" i="21"/>
  <c r="M34" i="21"/>
  <c r="L34" i="21"/>
  <c r="K34" i="21"/>
  <c r="J34" i="21"/>
  <c r="I34" i="21"/>
  <c r="H34" i="21"/>
  <c r="G34" i="21"/>
  <c r="F34" i="21"/>
  <c r="E34" i="21"/>
  <c r="D34" i="21"/>
  <c r="C34" i="21"/>
  <c r="B34" i="21"/>
  <c r="A34" i="21"/>
  <c r="BG33" i="21"/>
  <c r="BH33" i="21" s="1"/>
  <c r="BE33" i="21"/>
  <c r="BF33" i="21" s="1"/>
  <c r="AW33" i="21"/>
  <c r="AX33" i="21" s="1"/>
  <c r="AU33" i="21"/>
  <c r="AS33" i="21"/>
  <c r="AT33" i="21" s="1"/>
  <c r="AQ33" i="21"/>
  <c r="AR33" i="21" s="1"/>
  <c r="AO33" i="21"/>
  <c r="AP33" i="21" s="1"/>
  <c r="AM33" i="21"/>
  <c r="AN33" i="21" s="1"/>
  <c r="AK33" i="21"/>
  <c r="AL33" i="21" s="1"/>
  <c r="AG33" i="21"/>
  <c r="AH33" i="21" s="1"/>
  <c r="AE33" i="21"/>
  <c r="AF33" i="21" s="1"/>
  <c r="AC33" i="21"/>
  <c r="AA33" i="21"/>
  <c r="AB33" i="21" s="1"/>
  <c r="W33" i="21"/>
  <c r="X33" i="21" s="1"/>
  <c r="U33" i="21"/>
  <c r="V33" i="21" s="1"/>
  <c r="S33" i="21"/>
  <c r="T33" i="21" s="1"/>
  <c r="Q33" i="21"/>
  <c r="P33" i="21"/>
  <c r="O33" i="21"/>
  <c r="N33" i="21"/>
  <c r="M33" i="21"/>
  <c r="L33" i="21"/>
  <c r="K33" i="21"/>
  <c r="J33" i="21"/>
  <c r="I33" i="21"/>
  <c r="H33" i="21"/>
  <c r="G33" i="21"/>
  <c r="F33" i="21"/>
  <c r="E33" i="21"/>
  <c r="D33" i="21"/>
  <c r="C33" i="21"/>
  <c r="B33" i="21"/>
  <c r="A33" i="21"/>
  <c r="BG32" i="21"/>
  <c r="BH32" i="21" s="1"/>
  <c r="BE32" i="21"/>
  <c r="BF32" i="21" s="1"/>
  <c r="AW32" i="21"/>
  <c r="AX32" i="21" s="1"/>
  <c r="AU32" i="21"/>
  <c r="AV32" i="21" s="1"/>
  <c r="AS32" i="21"/>
  <c r="AT32" i="21" s="1"/>
  <c r="AQ32" i="21"/>
  <c r="AR32" i="21" s="1"/>
  <c r="AO32" i="21"/>
  <c r="AP32" i="21" s="1"/>
  <c r="AM32" i="21"/>
  <c r="AN32" i="21" s="1"/>
  <c r="AK32" i="21"/>
  <c r="AL32" i="21" s="1"/>
  <c r="AG32" i="21"/>
  <c r="AE32" i="21"/>
  <c r="AF32" i="21" s="1"/>
  <c r="AC32" i="21"/>
  <c r="AD32" i="21" s="1"/>
  <c r="AA32" i="21"/>
  <c r="AB32" i="21" s="1"/>
  <c r="W32" i="21"/>
  <c r="X32" i="21" s="1"/>
  <c r="U32" i="21"/>
  <c r="V32" i="21" s="1"/>
  <c r="S32" i="21"/>
  <c r="T32" i="21" s="1"/>
  <c r="Q32" i="21"/>
  <c r="R32" i="21" s="1"/>
  <c r="P32" i="21"/>
  <c r="O32" i="21"/>
  <c r="N32" i="21"/>
  <c r="M32" i="21"/>
  <c r="L32" i="21"/>
  <c r="K32" i="21"/>
  <c r="J32" i="21"/>
  <c r="I32" i="21"/>
  <c r="H32" i="21"/>
  <c r="G32" i="21"/>
  <c r="F32" i="21"/>
  <c r="E32" i="21"/>
  <c r="D32" i="21"/>
  <c r="C32" i="21"/>
  <c r="B32" i="21"/>
  <c r="A32" i="21"/>
  <c r="BG31" i="21"/>
  <c r="BE31" i="21"/>
  <c r="BF31" i="21" s="1"/>
  <c r="AW31" i="21"/>
  <c r="AX31" i="21" s="1"/>
  <c r="AU31" i="21"/>
  <c r="AV31" i="21" s="1"/>
  <c r="AS31" i="21"/>
  <c r="AT31" i="21" s="1"/>
  <c r="AQ31" i="21"/>
  <c r="AR31" i="21" s="1"/>
  <c r="AO31" i="21"/>
  <c r="AP31" i="21" s="1"/>
  <c r="AM31" i="21"/>
  <c r="AK31" i="21"/>
  <c r="AL31" i="21" s="1"/>
  <c r="AG31" i="21"/>
  <c r="AH31" i="21" s="1"/>
  <c r="AE31" i="21"/>
  <c r="AF31" i="21" s="1"/>
  <c r="AC31" i="21"/>
  <c r="AD31" i="21" s="1"/>
  <c r="AA31" i="21"/>
  <c r="W31" i="21"/>
  <c r="X31" i="21" s="1"/>
  <c r="U31" i="21"/>
  <c r="V31" i="21" s="1"/>
  <c r="S31" i="21"/>
  <c r="Q31" i="21"/>
  <c r="R31" i="21" s="1"/>
  <c r="P31" i="21"/>
  <c r="O31" i="21"/>
  <c r="N31" i="21"/>
  <c r="M31" i="21"/>
  <c r="L31" i="21"/>
  <c r="K31" i="21"/>
  <c r="J31" i="21"/>
  <c r="I31" i="21"/>
  <c r="H31" i="21"/>
  <c r="G31" i="21"/>
  <c r="F31" i="21"/>
  <c r="E31" i="21"/>
  <c r="D31" i="21"/>
  <c r="C31" i="21"/>
  <c r="B31" i="21"/>
  <c r="A31" i="21"/>
  <c r="BG30" i="21"/>
  <c r="BH30" i="21" s="1"/>
  <c r="BE30" i="21"/>
  <c r="BF30" i="21" s="1"/>
  <c r="AW30" i="21"/>
  <c r="AX30" i="21" s="1"/>
  <c r="AU30" i="21"/>
  <c r="AV30" i="21" s="1"/>
  <c r="AS30" i="21"/>
  <c r="AT30" i="21" s="1"/>
  <c r="AQ30" i="21"/>
  <c r="AO30" i="21"/>
  <c r="AP30" i="21" s="1"/>
  <c r="AM30" i="21"/>
  <c r="AN30" i="21" s="1"/>
  <c r="AK30" i="21"/>
  <c r="AL30" i="21" s="1"/>
  <c r="AG30" i="21"/>
  <c r="AH30" i="21" s="1"/>
  <c r="AE30" i="21"/>
  <c r="AF30" i="21" s="1"/>
  <c r="AC30" i="21"/>
  <c r="AD30" i="21" s="1"/>
  <c r="AA30" i="21"/>
  <c r="AB30" i="21" s="1"/>
  <c r="W30" i="21"/>
  <c r="U30" i="21"/>
  <c r="V30" i="21" s="1"/>
  <c r="S30" i="21"/>
  <c r="T30" i="21" s="1"/>
  <c r="Q30" i="21"/>
  <c r="R30" i="21" s="1"/>
  <c r="P30" i="21"/>
  <c r="O30" i="21"/>
  <c r="N30" i="21"/>
  <c r="M30" i="21"/>
  <c r="L30" i="21"/>
  <c r="K30" i="21"/>
  <c r="J30" i="21"/>
  <c r="I30" i="21"/>
  <c r="H30" i="21"/>
  <c r="G30" i="21"/>
  <c r="F30" i="21"/>
  <c r="E30" i="21"/>
  <c r="D30" i="21"/>
  <c r="C30" i="21"/>
  <c r="B30" i="21"/>
  <c r="A30" i="21"/>
  <c r="BG29" i="21"/>
  <c r="BH29" i="21" s="1"/>
  <c r="BE29" i="21"/>
  <c r="BF29" i="21" s="1"/>
  <c r="AW29" i="21"/>
  <c r="AX29" i="21" s="1"/>
  <c r="AU29" i="21"/>
  <c r="AS29" i="21"/>
  <c r="AT29" i="21" s="1"/>
  <c r="AQ29" i="21"/>
  <c r="AR29" i="21" s="1"/>
  <c r="AO29" i="21"/>
  <c r="AP29" i="21" s="1"/>
  <c r="AM29" i="21"/>
  <c r="AN29" i="21" s="1"/>
  <c r="AK29" i="21"/>
  <c r="AG29" i="21"/>
  <c r="AH29" i="21" s="1"/>
  <c r="AE29" i="21"/>
  <c r="AF29" i="21" s="1"/>
  <c r="AC29" i="21"/>
  <c r="AA29" i="21"/>
  <c r="AB29" i="21" s="1"/>
  <c r="W29" i="21"/>
  <c r="X29" i="21" s="1"/>
  <c r="U29" i="21"/>
  <c r="V29" i="21" s="1"/>
  <c r="S29" i="21"/>
  <c r="T29" i="21" s="1"/>
  <c r="Q29" i="21"/>
  <c r="R29" i="21" s="1"/>
  <c r="P29" i="21"/>
  <c r="O29" i="21"/>
  <c r="N29" i="21"/>
  <c r="M29" i="21"/>
  <c r="L29" i="21"/>
  <c r="K29" i="21"/>
  <c r="J29" i="21"/>
  <c r="I29" i="21"/>
  <c r="H29" i="21"/>
  <c r="G29" i="21"/>
  <c r="F29" i="21"/>
  <c r="E29" i="21"/>
  <c r="D29" i="21"/>
  <c r="C29" i="21"/>
  <c r="B29" i="21"/>
  <c r="A29" i="21"/>
  <c r="BG28" i="21"/>
  <c r="BH28" i="21" s="1"/>
  <c r="BE28" i="21"/>
  <c r="BF28" i="21" s="1"/>
  <c r="AW28" i="21"/>
  <c r="AX28" i="21" s="1"/>
  <c r="AU28" i="21"/>
  <c r="AV28" i="21" s="1"/>
  <c r="AS28" i="21"/>
  <c r="AT28" i="21" s="1"/>
  <c r="AQ28" i="21"/>
  <c r="AR28" i="21" s="1"/>
  <c r="AO28" i="21"/>
  <c r="AP28" i="21" s="1"/>
  <c r="AM28" i="21"/>
  <c r="AN28" i="21" s="1"/>
  <c r="AK28" i="21"/>
  <c r="AL28" i="21" s="1"/>
  <c r="AG28" i="21"/>
  <c r="AE28" i="21"/>
  <c r="AF28" i="21" s="1"/>
  <c r="AC28" i="21"/>
  <c r="AD28" i="21" s="1"/>
  <c r="AA28" i="21"/>
  <c r="AB28" i="21" s="1"/>
  <c r="W28" i="21"/>
  <c r="X28" i="21" s="1"/>
  <c r="U28" i="21"/>
  <c r="V28" i="21" s="1"/>
  <c r="S28" i="21"/>
  <c r="T28" i="21" s="1"/>
  <c r="Q28" i="21"/>
  <c r="R28" i="21" s="1"/>
  <c r="P28" i="21"/>
  <c r="O28" i="21"/>
  <c r="N28" i="21"/>
  <c r="M28" i="21"/>
  <c r="L28" i="21"/>
  <c r="K28" i="21"/>
  <c r="J28" i="21"/>
  <c r="I28" i="21"/>
  <c r="H28" i="21"/>
  <c r="G28" i="21"/>
  <c r="F28" i="21"/>
  <c r="E28" i="21"/>
  <c r="D28" i="21"/>
  <c r="C28" i="21"/>
  <c r="B28" i="21"/>
  <c r="A28" i="21"/>
  <c r="BG27" i="21"/>
  <c r="BE27" i="21"/>
  <c r="BF27" i="21" s="1"/>
  <c r="AW27" i="21"/>
  <c r="AX27" i="21" s="1"/>
  <c r="AU27" i="21"/>
  <c r="AV27" i="21" s="1"/>
  <c r="AS27" i="21"/>
  <c r="AQ27" i="21"/>
  <c r="AR27" i="21" s="1"/>
  <c r="AO27" i="21"/>
  <c r="AP27" i="21" s="1"/>
  <c r="AM27" i="21"/>
  <c r="AK27" i="21"/>
  <c r="AL27" i="21" s="1"/>
  <c r="AG27" i="21"/>
  <c r="AH27" i="21" s="1"/>
  <c r="AE27" i="21"/>
  <c r="AF27" i="21" s="1"/>
  <c r="AC27" i="21"/>
  <c r="AD27" i="21" s="1"/>
  <c r="AA27" i="21"/>
  <c r="W27" i="21"/>
  <c r="X27" i="21" s="1"/>
  <c r="U27" i="21"/>
  <c r="V27" i="21" s="1"/>
  <c r="S27" i="21"/>
  <c r="Q27" i="21"/>
  <c r="R27" i="21" s="1"/>
  <c r="P27" i="21"/>
  <c r="O27" i="21"/>
  <c r="N27" i="21"/>
  <c r="M27" i="21"/>
  <c r="L27" i="21"/>
  <c r="K27" i="21"/>
  <c r="J27" i="21"/>
  <c r="I27" i="21"/>
  <c r="H27" i="21"/>
  <c r="G27" i="21"/>
  <c r="F27" i="21"/>
  <c r="E27" i="21"/>
  <c r="D27" i="21"/>
  <c r="C27" i="21"/>
  <c r="B27" i="21"/>
  <c r="A27" i="21"/>
  <c r="BG26" i="21"/>
  <c r="BH26" i="21" s="1"/>
  <c r="BE26" i="21"/>
  <c r="BF26" i="21" s="1"/>
  <c r="AW26" i="21"/>
  <c r="AX26" i="21" s="1"/>
  <c r="AU26" i="21"/>
  <c r="AV26" i="21" s="1"/>
  <c r="AS26" i="21"/>
  <c r="AT26" i="21" s="1"/>
  <c r="AQ26" i="21"/>
  <c r="AO26" i="21"/>
  <c r="AP26" i="21" s="1"/>
  <c r="AM26" i="21"/>
  <c r="AN26" i="21" s="1"/>
  <c r="AK26" i="21"/>
  <c r="AL26" i="21" s="1"/>
  <c r="AG26" i="21"/>
  <c r="AH26" i="21" s="1"/>
  <c r="AE26" i="21"/>
  <c r="AF26" i="21" s="1"/>
  <c r="AC26" i="21"/>
  <c r="AD26" i="21" s="1"/>
  <c r="AA26" i="21"/>
  <c r="AB26" i="21" s="1"/>
  <c r="W26" i="21"/>
  <c r="U26" i="21"/>
  <c r="V26" i="21" s="1"/>
  <c r="S26" i="21"/>
  <c r="T26" i="21" s="1"/>
  <c r="Q26" i="21"/>
  <c r="R26" i="21" s="1"/>
  <c r="P26" i="21"/>
  <c r="O26" i="21"/>
  <c r="N26" i="21"/>
  <c r="M26" i="21"/>
  <c r="L26" i="21"/>
  <c r="K26" i="21"/>
  <c r="J26" i="21"/>
  <c r="I26" i="21"/>
  <c r="H26" i="21"/>
  <c r="G26" i="21"/>
  <c r="F26" i="21"/>
  <c r="E26" i="21"/>
  <c r="D26" i="21"/>
  <c r="C26" i="21"/>
  <c r="B26" i="21"/>
  <c r="A26" i="21"/>
  <c r="BG25" i="21"/>
  <c r="BH25" i="21" s="1"/>
  <c r="BE25" i="21"/>
  <c r="AW25" i="21"/>
  <c r="AX25" i="21" s="1"/>
  <c r="AU25" i="21"/>
  <c r="AS25" i="21"/>
  <c r="AT25" i="21" s="1"/>
  <c r="AQ25" i="21"/>
  <c r="AR25" i="21" s="1"/>
  <c r="AO25" i="21"/>
  <c r="AP25" i="21" s="1"/>
  <c r="AM25" i="21"/>
  <c r="AN25" i="21" s="1"/>
  <c r="AK25" i="21"/>
  <c r="AG25" i="21"/>
  <c r="AH25" i="21" s="1"/>
  <c r="AE25" i="21"/>
  <c r="AF25" i="21" s="1"/>
  <c r="AC25" i="21"/>
  <c r="AA25" i="21"/>
  <c r="AB25" i="21" s="1"/>
  <c r="W25" i="21"/>
  <c r="X25" i="21" s="1"/>
  <c r="U25" i="21"/>
  <c r="V25" i="21" s="1"/>
  <c r="S25" i="21"/>
  <c r="T25" i="21" s="1"/>
  <c r="Q25" i="21"/>
  <c r="R25" i="21" s="1"/>
  <c r="P25" i="21"/>
  <c r="O25" i="21"/>
  <c r="N25" i="21"/>
  <c r="M25" i="21"/>
  <c r="L25" i="21"/>
  <c r="K25" i="21"/>
  <c r="J25" i="21"/>
  <c r="I25" i="21"/>
  <c r="H25" i="21"/>
  <c r="G25" i="21"/>
  <c r="F25" i="21"/>
  <c r="E25" i="21"/>
  <c r="D25" i="21"/>
  <c r="C25" i="21"/>
  <c r="B25" i="21"/>
  <c r="A25" i="21"/>
  <c r="BG24" i="21"/>
  <c r="BH24" i="21" s="1"/>
  <c r="BE24" i="21"/>
  <c r="BF24" i="21" s="1"/>
  <c r="AW24" i="21"/>
  <c r="AU24" i="21"/>
  <c r="AV24" i="21" s="1"/>
  <c r="AS24" i="21"/>
  <c r="AT24" i="21" s="1"/>
  <c r="AQ24" i="21"/>
  <c r="AR24" i="21" s="1"/>
  <c r="AO24" i="21"/>
  <c r="AP24" i="21" s="1"/>
  <c r="AM24" i="21"/>
  <c r="AN24" i="21" s="1"/>
  <c r="AK24" i="21"/>
  <c r="AL24" i="21" s="1"/>
  <c r="AG24" i="21"/>
  <c r="AE24" i="21"/>
  <c r="AF24" i="21" s="1"/>
  <c r="AC24" i="21"/>
  <c r="AD24" i="21" s="1"/>
  <c r="AA24" i="21"/>
  <c r="AB24" i="21" s="1"/>
  <c r="W24" i="21"/>
  <c r="X24" i="21" s="1"/>
  <c r="U24" i="21"/>
  <c r="S24" i="21"/>
  <c r="T24" i="21" s="1"/>
  <c r="Q24" i="21"/>
  <c r="R24" i="21" s="1"/>
  <c r="P24" i="21"/>
  <c r="O24" i="21"/>
  <c r="N24" i="21"/>
  <c r="M24" i="21"/>
  <c r="L24" i="21"/>
  <c r="K24" i="21"/>
  <c r="J24" i="21"/>
  <c r="I24" i="21"/>
  <c r="H24" i="21"/>
  <c r="G24" i="21"/>
  <c r="F24" i="21"/>
  <c r="E24" i="21"/>
  <c r="D24" i="21"/>
  <c r="C24" i="21"/>
  <c r="B24" i="21"/>
  <c r="A24" i="21"/>
  <c r="BG23" i="21"/>
  <c r="BE23" i="21"/>
  <c r="BF23" i="21" s="1"/>
  <c r="AW23" i="21"/>
  <c r="AX23" i="21" s="1"/>
  <c r="AU23" i="21"/>
  <c r="AV23" i="21" s="1"/>
  <c r="AS23" i="21"/>
  <c r="AQ23" i="21"/>
  <c r="AR23" i="21" s="1"/>
  <c r="AO23" i="21"/>
  <c r="AP23" i="21" s="1"/>
  <c r="AM23" i="21"/>
  <c r="AK23" i="21"/>
  <c r="AL23" i="21" s="1"/>
  <c r="AG23" i="21"/>
  <c r="AH23" i="21" s="1"/>
  <c r="AE23" i="21"/>
  <c r="AF23" i="21" s="1"/>
  <c r="AC23" i="21"/>
  <c r="AD23" i="21" s="1"/>
  <c r="AA23" i="21"/>
  <c r="AB23" i="21" s="1"/>
  <c r="W23" i="21"/>
  <c r="X23" i="21" s="1"/>
  <c r="U23" i="21"/>
  <c r="V23" i="21" s="1"/>
  <c r="S23" i="21"/>
  <c r="Q23" i="21"/>
  <c r="R23" i="21" s="1"/>
  <c r="P23" i="21"/>
  <c r="O23" i="21"/>
  <c r="N23" i="21"/>
  <c r="M23" i="21"/>
  <c r="L23" i="21"/>
  <c r="K23" i="21"/>
  <c r="J23" i="21"/>
  <c r="I23" i="21"/>
  <c r="H23" i="21"/>
  <c r="G23" i="21"/>
  <c r="F23" i="21"/>
  <c r="E23" i="21"/>
  <c r="D23" i="21"/>
  <c r="C23" i="21"/>
  <c r="B23" i="21"/>
  <c r="A23" i="21"/>
  <c r="BG22" i="21"/>
  <c r="BH22" i="21" s="1"/>
  <c r="BE22" i="21"/>
  <c r="BF22" i="21" s="1"/>
  <c r="AW22" i="21"/>
  <c r="AX22" i="21" s="1"/>
  <c r="AU22" i="21"/>
  <c r="AV22" i="21" s="1"/>
  <c r="AS22" i="21"/>
  <c r="AT22" i="21" s="1"/>
  <c r="AQ22" i="21"/>
  <c r="AO22" i="21"/>
  <c r="AP22" i="21" s="1"/>
  <c r="AM22" i="21"/>
  <c r="AN22" i="21" s="1"/>
  <c r="AK22" i="21"/>
  <c r="AL22" i="21" s="1"/>
  <c r="AG22" i="21"/>
  <c r="AH22" i="21" s="1"/>
  <c r="AE22" i="21"/>
  <c r="AC22" i="21"/>
  <c r="AD22" i="21" s="1"/>
  <c r="AA22" i="21"/>
  <c r="AB22" i="21" s="1"/>
  <c r="W22" i="21"/>
  <c r="U22" i="21"/>
  <c r="V22" i="21" s="1"/>
  <c r="S22" i="21"/>
  <c r="T22" i="21" s="1"/>
  <c r="Q22" i="21"/>
  <c r="R22" i="21" s="1"/>
  <c r="P22" i="21"/>
  <c r="O22" i="21"/>
  <c r="N22" i="21"/>
  <c r="M22" i="21"/>
  <c r="L22" i="21"/>
  <c r="K22" i="21"/>
  <c r="J22" i="21"/>
  <c r="I22" i="21"/>
  <c r="H22" i="21"/>
  <c r="G22" i="21"/>
  <c r="F22" i="21"/>
  <c r="E22" i="21"/>
  <c r="D22" i="21"/>
  <c r="C22" i="21"/>
  <c r="B22" i="21"/>
  <c r="A22" i="21"/>
  <c r="BG21" i="21"/>
  <c r="BH21" i="21" s="1"/>
  <c r="BE21" i="21"/>
  <c r="AW21" i="21"/>
  <c r="AX21" i="21" s="1"/>
  <c r="AU21" i="21"/>
  <c r="AS21" i="21"/>
  <c r="AT21" i="21" s="1"/>
  <c r="AQ21" i="21"/>
  <c r="AR21" i="21" s="1"/>
  <c r="AO21" i="21"/>
  <c r="AP21" i="21" s="1"/>
  <c r="AM21" i="21"/>
  <c r="AN21" i="21" s="1"/>
  <c r="AK21" i="21"/>
  <c r="AL21" i="21" s="1"/>
  <c r="AG21" i="21"/>
  <c r="AH21" i="21" s="1"/>
  <c r="AE21" i="21"/>
  <c r="AF21" i="21" s="1"/>
  <c r="AC21" i="21"/>
  <c r="AD21" i="21" s="1"/>
  <c r="AA21" i="21"/>
  <c r="AB21" i="21" s="1"/>
  <c r="W21" i="21"/>
  <c r="X21" i="21" s="1"/>
  <c r="U21" i="21"/>
  <c r="S21" i="21"/>
  <c r="T21" i="21" s="1"/>
  <c r="Q21" i="21"/>
  <c r="R21" i="21" s="1"/>
  <c r="P21" i="21"/>
  <c r="O21" i="21"/>
  <c r="N21" i="21"/>
  <c r="M21" i="21"/>
  <c r="L21" i="21"/>
  <c r="K21" i="21"/>
  <c r="J21" i="21"/>
  <c r="I21" i="21"/>
  <c r="H21" i="21"/>
  <c r="G21" i="21"/>
  <c r="F21" i="21"/>
  <c r="E21" i="21"/>
  <c r="D21" i="21"/>
  <c r="C21" i="21"/>
  <c r="B21" i="21"/>
  <c r="A21" i="21"/>
  <c r="BG20" i="21"/>
  <c r="BE20" i="21"/>
  <c r="BF20" i="21" s="1"/>
  <c r="AW20" i="21"/>
  <c r="AX20" i="21" s="1"/>
  <c r="AU20" i="21"/>
  <c r="AV20" i="21" s="1"/>
  <c r="AS20" i="21"/>
  <c r="AT20" i="21" s="1"/>
  <c r="AQ20" i="21"/>
  <c r="AR20" i="21" s="1"/>
  <c r="AO20" i="21"/>
  <c r="AP20" i="21" s="1"/>
  <c r="AM20" i="21"/>
  <c r="AK20" i="21"/>
  <c r="AL20" i="21" s="1"/>
  <c r="AG20" i="21"/>
  <c r="AE20" i="21"/>
  <c r="AF20" i="21" s="1"/>
  <c r="AC20" i="21"/>
  <c r="AD20" i="21" s="1"/>
  <c r="AA20" i="21"/>
  <c r="W20" i="21"/>
  <c r="X20" i="21" s="1"/>
  <c r="U20" i="21"/>
  <c r="V20" i="21" s="1"/>
  <c r="S20" i="21"/>
  <c r="Q20" i="21"/>
  <c r="R20" i="21" s="1"/>
  <c r="P20" i="21"/>
  <c r="O20" i="21"/>
  <c r="N20" i="21"/>
  <c r="M20" i="21"/>
  <c r="L20" i="21"/>
  <c r="K20" i="21"/>
  <c r="J20" i="21"/>
  <c r="I20" i="21"/>
  <c r="H20" i="21"/>
  <c r="G20" i="21"/>
  <c r="F20" i="21"/>
  <c r="E20" i="21"/>
  <c r="D20" i="21"/>
  <c r="C20" i="21"/>
  <c r="B20" i="21"/>
  <c r="A20" i="21"/>
  <c r="BG19" i="21"/>
  <c r="BH19" i="21" s="1"/>
  <c r="BE19" i="21"/>
  <c r="BF19" i="21" s="1"/>
  <c r="AW19" i="21"/>
  <c r="AX19" i="21" s="1"/>
  <c r="AU19" i="21"/>
  <c r="AV19" i="21" s="1"/>
  <c r="AS19" i="21"/>
  <c r="AT19" i="21" s="1"/>
  <c r="AQ19" i="21"/>
  <c r="AO19" i="21"/>
  <c r="AP19" i="21" s="1"/>
  <c r="AM19" i="21"/>
  <c r="AN19" i="21" s="1"/>
  <c r="AK19" i="21"/>
  <c r="AL19" i="21" s="1"/>
  <c r="AG19" i="21"/>
  <c r="AH19" i="21" s="1"/>
  <c r="AE19" i="21"/>
  <c r="AF19" i="21" s="1"/>
  <c r="AC19" i="21"/>
  <c r="AD19" i="21" s="1"/>
  <c r="AA19" i="21"/>
  <c r="AB19" i="21" s="1"/>
  <c r="W19" i="21"/>
  <c r="U19" i="21"/>
  <c r="V19" i="21" s="1"/>
  <c r="S19" i="21"/>
  <c r="T19" i="21" s="1"/>
  <c r="Q19" i="21"/>
  <c r="R19" i="21" s="1"/>
  <c r="P19" i="21"/>
  <c r="O19" i="21"/>
  <c r="N19" i="21"/>
  <c r="M19" i="21"/>
  <c r="L19" i="21"/>
  <c r="K19" i="21"/>
  <c r="J19" i="21"/>
  <c r="I19" i="21"/>
  <c r="H19" i="21"/>
  <c r="G19" i="21"/>
  <c r="F19" i="21"/>
  <c r="E19" i="21"/>
  <c r="D19" i="21"/>
  <c r="C19" i="21"/>
  <c r="B19" i="21"/>
  <c r="A19" i="21"/>
  <c r="BG18" i="21"/>
  <c r="BH18" i="21" s="1"/>
  <c r="BE18" i="21"/>
  <c r="BF18" i="21" s="1"/>
  <c r="AW18" i="21"/>
  <c r="AX18" i="21" s="1"/>
  <c r="AU18" i="21"/>
  <c r="AS18" i="21"/>
  <c r="AT18" i="21" s="1"/>
  <c r="AQ18" i="21"/>
  <c r="AO18" i="21"/>
  <c r="AP18" i="21" s="1"/>
  <c r="AM18" i="21"/>
  <c r="AN18" i="21" s="1"/>
  <c r="AK18" i="21"/>
  <c r="AL18" i="21" s="1"/>
  <c r="AG18" i="21"/>
  <c r="AH18" i="21" s="1"/>
  <c r="AE18" i="21"/>
  <c r="AF18" i="21" s="1"/>
  <c r="AC18" i="21"/>
  <c r="AA18" i="21"/>
  <c r="AB18" i="21" s="1"/>
  <c r="W18" i="21"/>
  <c r="U18" i="21"/>
  <c r="V18" i="21" s="1"/>
  <c r="S18" i="21"/>
  <c r="T18" i="21" s="1"/>
  <c r="Q18" i="21"/>
  <c r="R18" i="21" s="1"/>
  <c r="P18" i="21"/>
  <c r="O18" i="21"/>
  <c r="N18" i="21"/>
  <c r="M18" i="21"/>
  <c r="L18" i="21"/>
  <c r="K18" i="21"/>
  <c r="J18" i="21"/>
  <c r="I18" i="21"/>
  <c r="H18" i="21"/>
  <c r="G18" i="21"/>
  <c r="F18" i="21"/>
  <c r="E18" i="21"/>
  <c r="D18" i="21"/>
  <c r="C18" i="21"/>
  <c r="B18" i="21"/>
  <c r="A18" i="21"/>
  <c r="BG17" i="21"/>
  <c r="BH17" i="21" s="1"/>
  <c r="BE17" i="21"/>
  <c r="BF17" i="21" s="1"/>
  <c r="AW17" i="21"/>
  <c r="AX17" i="21" s="1"/>
  <c r="AU17" i="21"/>
  <c r="AV17" i="21" s="1"/>
  <c r="AS17" i="21"/>
  <c r="AT17" i="21" s="1"/>
  <c r="AQ17" i="21"/>
  <c r="AR17" i="21" s="1"/>
  <c r="AO17" i="21"/>
  <c r="AM17" i="21"/>
  <c r="AN17" i="21" s="1"/>
  <c r="AK17" i="21"/>
  <c r="AL17" i="21" s="1"/>
  <c r="AG17" i="21"/>
  <c r="AE17" i="21"/>
  <c r="AF17" i="21" s="1"/>
  <c r="AC17" i="21"/>
  <c r="AD17" i="21" s="1"/>
  <c r="AA17" i="21"/>
  <c r="AB17" i="21" s="1"/>
  <c r="W17" i="21"/>
  <c r="X17" i="21" s="1"/>
  <c r="U17" i="21"/>
  <c r="V17" i="21" s="1"/>
  <c r="S17" i="21"/>
  <c r="T17" i="21" s="1"/>
  <c r="Q17" i="21"/>
  <c r="R17" i="21" s="1"/>
  <c r="P17" i="21"/>
  <c r="O17" i="21"/>
  <c r="N17" i="21"/>
  <c r="M17" i="21"/>
  <c r="L17" i="21"/>
  <c r="K17" i="21"/>
  <c r="J17" i="21"/>
  <c r="I17" i="21"/>
  <c r="H17" i="21"/>
  <c r="G17" i="21"/>
  <c r="F17" i="21"/>
  <c r="E17" i="21"/>
  <c r="D17" i="21"/>
  <c r="C17" i="21"/>
  <c r="B17" i="21"/>
  <c r="A17" i="21"/>
  <c r="BG16" i="21"/>
  <c r="BE16" i="21"/>
  <c r="BF16" i="21" s="1"/>
  <c r="AW16" i="21"/>
  <c r="AX16" i="21" s="1"/>
  <c r="AU16" i="21"/>
  <c r="AV16" i="21" s="1"/>
  <c r="AS16" i="21"/>
  <c r="AQ16" i="21"/>
  <c r="AR16" i="21" s="1"/>
  <c r="AO16" i="21"/>
  <c r="AP16" i="21" s="1"/>
  <c r="AM16" i="21"/>
  <c r="AK16" i="21"/>
  <c r="AL16" i="21" s="1"/>
  <c r="AG16" i="21"/>
  <c r="AH16" i="21" s="1"/>
  <c r="AE16" i="21"/>
  <c r="AF16" i="21" s="1"/>
  <c r="AC16" i="21"/>
  <c r="AD16" i="21" s="1"/>
  <c r="AA16" i="21"/>
  <c r="AB16" i="21" s="1"/>
  <c r="W16" i="21"/>
  <c r="X16" i="21" s="1"/>
  <c r="U16" i="21"/>
  <c r="V16" i="21" s="1"/>
  <c r="S16" i="21"/>
  <c r="Q16" i="21"/>
  <c r="R16" i="21" s="1"/>
  <c r="P16" i="21"/>
  <c r="O16" i="21"/>
  <c r="N16" i="21"/>
  <c r="M16" i="21"/>
  <c r="L16" i="21"/>
  <c r="K16" i="21"/>
  <c r="J16" i="21"/>
  <c r="I16" i="21"/>
  <c r="H16" i="21"/>
  <c r="G16" i="21"/>
  <c r="F16" i="21"/>
  <c r="E16" i="21"/>
  <c r="D16" i="21"/>
  <c r="C16" i="21"/>
  <c r="B16" i="21"/>
  <c r="A16" i="21"/>
  <c r="BG15" i="21"/>
  <c r="BH15" i="21" s="1"/>
  <c r="BE15" i="21"/>
  <c r="BF15" i="21" s="1"/>
  <c r="AW15" i="21"/>
  <c r="AU15" i="21"/>
  <c r="AV15" i="21" s="1"/>
  <c r="AS15" i="21"/>
  <c r="AT15" i="21" s="1"/>
  <c r="AQ15" i="21"/>
  <c r="AO15" i="21"/>
  <c r="AP15" i="21" s="1"/>
  <c r="AM15" i="21"/>
  <c r="AN15" i="21" s="1"/>
  <c r="AK15" i="21"/>
  <c r="AL15" i="21" s="1"/>
  <c r="AG15" i="21"/>
  <c r="AH15" i="21" s="1"/>
  <c r="AE15" i="21"/>
  <c r="AF15" i="21" s="1"/>
  <c r="AC15" i="21"/>
  <c r="AD15" i="21" s="1"/>
  <c r="AA15" i="21"/>
  <c r="AB15" i="21" s="1"/>
  <c r="W15" i="21"/>
  <c r="U15" i="21"/>
  <c r="V15" i="21" s="1"/>
  <c r="S15" i="21"/>
  <c r="Q15" i="21"/>
  <c r="R15" i="21" s="1"/>
  <c r="P15" i="21"/>
  <c r="O15" i="21"/>
  <c r="N15" i="21"/>
  <c r="M15" i="21"/>
  <c r="L15" i="21"/>
  <c r="K15" i="21"/>
  <c r="J15" i="21"/>
  <c r="I15" i="21"/>
  <c r="H15" i="21"/>
  <c r="G15" i="21"/>
  <c r="F15" i="21"/>
  <c r="E15" i="21"/>
  <c r="D15" i="21"/>
  <c r="C15" i="21"/>
  <c r="B15" i="21"/>
  <c r="A15" i="21"/>
  <c r="BG14" i="21"/>
  <c r="BH14" i="21" s="1"/>
  <c r="BE14" i="21"/>
  <c r="BF14" i="21" s="1"/>
  <c r="AW14" i="21"/>
  <c r="AX14" i="21" s="1"/>
  <c r="AU14" i="21"/>
  <c r="AS14" i="21"/>
  <c r="AT14" i="21" s="1"/>
  <c r="AQ14" i="21"/>
  <c r="AO14" i="21"/>
  <c r="AP14" i="21" s="1"/>
  <c r="AM14" i="21"/>
  <c r="AN14" i="21" s="1"/>
  <c r="AK14" i="21"/>
  <c r="AL14" i="21" s="1"/>
  <c r="AG14" i="21"/>
  <c r="AH14" i="21" s="1"/>
  <c r="AE14" i="21"/>
  <c r="AF14" i="21" s="1"/>
  <c r="AC14" i="21"/>
  <c r="AA14" i="21"/>
  <c r="AB14" i="21" s="1"/>
  <c r="W14" i="21"/>
  <c r="X14" i="21" s="1"/>
  <c r="U14" i="21"/>
  <c r="V14" i="21" s="1"/>
  <c r="S14" i="21"/>
  <c r="T14" i="21" s="1"/>
  <c r="Q14" i="21"/>
  <c r="P14" i="21"/>
  <c r="O14" i="21"/>
  <c r="N14" i="21"/>
  <c r="M14" i="21"/>
  <c r="L14" i="21"/>
  <c r="K14" i="21"/>
  <c r="J14" i="21"/>
  <c r="I14" i="21"/>
  <c r="H14" i="21"/>
  <c r="G14" i="21"/>
  <c r="F14" i="21"/>
  <c r="E14" i="21"/>
  <c r="D14" i="21"/>
  <c r="C14" i="21"/>
  <c r="B14" i="21"/>
  <c r="A14" i="21"/>
  <c r="BG13" i="21"/>
  <c r="BH13" i="21" s="1"/>
  <c r="BE13" i="21"/>
  <c r="BF13" i="21" s="1"/>
  <c r="AW13" i="21"/>
  <c r="AX13" i="21" s="1"/>
  <c r="AU13" i="21"/>
  <c r="AV13" i="21" s="1"/>
  <c r="AS13" i="21"/>
  <c r="AT13" i="21" s="1"/>
  <c r="AQ13" i="21"/>
  <c r="AR13" i="21" s="1"/>
  <c r="AO13" i="21"/>
  <c r="AP13" i="21" s="1"/>
  <c r="AM13" i="21"/>
  <c r="AN13" i="21" s="1"/>
  <c r="AK13" i="21"/>
  <c r="AL13" i="21" s="1"/>
  <c r="AG13" i="21"/>
  <c r="AE13" i="21"/>
  <c r="AF13" i="21" s="1"/>
  <c r="AC13" i="21"/>
  <c r="AA13" i="21"/>
  <c r="AB13" i="21" s="1"/>
  <c r="W13" i="21"/>
  <c r="X13" i="21" s="1"/>
  <c r="U13" i="21"/>
  <c r="S13" i="21"/>
  <c r="T13" i="21" s="1"/>
  <c r="Q13" i="21"/>
  <c r="R13" i="21" s="1"/>
  <c r="P13" i="21"/>
  <c r="O13" i="21"/>
  <c r="N13" i="21"/>
  <c r="M13" i="21"/>
  <c r="L13" i="21"/>
  <c r="K13" i="21"/>
  <c r="J13" i="21"/>
  <c r="I13" i="21"/>
  <c r="H13" i="21"/>
  <c r="G13" i="21"/>
  <c r="F13" i="21"/>
  <c r="E13" i="21"/>
  <c r="D13" i="21"/>
  <c r="C13" i="21"/>
  <c r="B13" i="21"/>
  <c r="A13" i="21"/>
  <c r="BG12" i="21"/>
  <c r="BE12" i="21"/>
  <c r="BF12" i="21" s="1"/>
  <c r="AW12" i="21"/>
  <c r="AX12" i="21" s="1"/>
  <c r="AU12" i="21"/>
  <c r="AV12" i="21" s="1"/>
  <c r="AS12" i="21"/>
  <c r="AT12" i="21" s="1"/>
  <c r="AQ12" i="21"/>
  <c r="AR12" i="21" s="1"/>
  <c r="AO12" i="21"/>
  <c r="AP12" i="21" s="1"/>
  <c r="AM12" i="21"/>
  <c r="AK12" i="21"/>
  <c r="AL12" i="21" s="1"/>
  <c r="AG12" i="21"/>
  <c r="AH12" i="21" s="1"/>
  <c r="AE12" i="21"/>
  <c r="AF12" i="21" s="1"/>
  <c r="AC12" i="21"/>
  <c r="AD12" i="21" s="1"/>
  <c r="AA12" i="21"/>
  <c r="W12" i="21"/>
  <c r="X12" i="21" s="1"/>
  <c r="U12" i="21"/>
  <c r="V12" i="21" s="1"/>
  <c r="S12" i="21"/>
  <c r="Q12" i="21"/>
  <c r="R12" i="21" s="1"/>
  <c r="P12" i="21"/>
  <c r="O12" i="21"/>
  <c r="N12" i="21"/>
  <c r="M12" i="21"/>
  <c r="L12" i="21"/>
  <c r="K12" i="21"/>
  <c r="J12" i="21"/>
  <c r="I12" i="21"/>
  <c r="H12" i="21"/>
  <c r="G12" i="21"/>
  <c r="F12" i="21"/>
  <c r="E12" i="21"/>
  <c r="D12" i="21"/>
  <c r="C12" i="21"/>
  <c r="B12" i="21"/>
  <c r="A12" i="21"/>
  <c r="BG11" i="21"/>
  <c r="BH11" i="21" s="1"/>
  <c r="BE11" i="21"/>
  <c r="BF11" i="21" s="1"/>
  <c r="AW11" i="21"/>
  <c r="AX11" i="21" s="1"/>
  <c r="AU11" i="21"/>
  <c r="AV11" i="21" s="1"/>
  <c r="AS11" i="21"/>
  <c r="AT11" i="21" s="1"/>
  <c r="AQ11" i="21"/>
  <c r="AO11" i="21"/>
  <c r="AP11" i="21" s="1"/>
  <c r="AM11" i="21"/>
  <c r="AK11" i="21"/>
  <c r="AL11" i="21" s="1"/>
  <c r="AG11" i="21"/>
  <c r="AH11" i="21" s="1"/>
  <c r="AE11" i="21"/>
  <c r="AF11" i="21" s="1"/>
  <c r="AC11" i="21"/>
  <c r="AD11" i="21" s="1"/>
  <c r="AA11" i="21"/>
  <c r="AB11" i="21" s="1"/>
  <c r="W11" i="21"/>
  <c r="U11" i="21"/>
  <c r="V11" i="21" s="1"/>
  <c r="S11" i="21"/>
  <c r="Q11" i="21"/>
  <c r="R11" i="21" s="1"/>
  <c r="P11" i="21"/>
  <c r="O11" i="21"/>
  <c r="N11" i="21"/>
  <c r="M11" i="21"/>
  <c r="L11" i="21"/>
  <c r="K11" i="21"/>
  <c r="J11" i="21"/>
  <c r="I11" i="21"/>
  <c r="H11" i="21"/>
  <c r="G11" i="21"/>
  <c r="F11" i="21"/>
  <c r="E11" i="21"/>
  <c r="D11" i="21"/>
  <c r="C11" i="21"/>
  <c r="B11" i="21"/>
  <c r="A11" i="21"/>
  <c r="BG10" i="21"/>
  <c r="BH10" i="21" s="1"/>
  <c r="BE10" i="21"/>
  <c r="BF10" i="21" s="1"/>
  <c r="AW10" i="21"/>
  <c r="AX10" i="21" s="1"/>
  <c r="AU10" i="21"/>
  <c r="AS10" i="21"/>
  <c r="AT10" i="21" s="1"/>
  <c r="AQ10" i="21"/>
  <c r="AR10" i="21" s="1"/>
  <c r="AO10" i="21"/>
  <c r="AP10" i="21" s="1"/>
  <c r="AM10" i="21"/>
  <c r="AN10" i="21" s="1"/>
  <c r="AK10" i="21"/>
  <c r="AL10" i="21" s="1"/>
  <c r="AG10" i="21"/>
  <c r="AH10" i="21" s="1"/>
  <c r="AE10" i="21"/>
  <c r="AF10" i="21" s="1"/>
  <c r="AC10" i="21"/>
  <c r="AA10" i="21"/>
  <c r="AB10" i="21" s="1"/>
  <c r="W10" i="21"/>
  <c r="X10" i="21" s="1"/>
  <c r="U10" i="21"/>
  <c r="V10" i="21" s="1"/>
  <c r="S10" i="21"/>
  <c r="T10" i="21" s="1"/>
  <c r="Q10" i="21"/>
  <c r="R10" i="21" s="1"/>
  <c r="P10" i="21"/>
  <c r="O10" i="21"/>
  <c r="N10" i="21"/>
  <c r="M10" i="21"/>
  <c r="L10" i="21"/>
  <c r="K10" i="21"/>
  <c r="J10" i="21"/>
  <c r="I10" i="21"/>
  <c r="H10" i="21"/>
  <c r="G10" i="21"/>
  <c r="F10" i="21"/>
  <c r="E10" i="21"/>
  <c r="D10" i="21"/>
  <c r="C10" i="21"/>
  <c r="B10" i="21"/>
  <c r="A10" i="21"/>
  <c r="BG9" i="21"/>
  <c r="BH9" i="21" s="1"/>
  <c r="BE9" i="21"/>
  <c r="BF9" i="21" s="1"/>
  <c r="AW9" i="21"/>
  <c r="AX9" i="21" s="1"/>
  <c r="AU9" i="21"/>
  <c r="AS9" i="21"/>
  <c r="AT9" i="21" s="1"/>
  <c r="AQ9" i="21"/>
  <c r="AR9" i="21" s="1"/>
  <c r="AO9" i="21"/>
  <c r="AM9" i="21"/>
  <c r="AN9" i="21" s="1"/>
  <c r="AK9" i="21"/>
  <c r="AL9" i="21" s="1"/>
  <c r="AG9" i="21"/>
  <c r="AE9" i="21"/>
  <c r="AF9" i="21" s="1"/>
  <c r="AC9" i="21"/>
  <c r="AD9" i="21" s="1"/>
  <c r="AA9" i="21"/>
  <c r="AB9" i="21" s="1"/>
  <c r="W9" i="21"/>
  <c r="X9" i="21" s="1"/>
  <c r="U9" i="21"/>
  <c r="V9" i="21" s="1"/>
  <c r="S9" i="21"/>
  <c r="T9" i="21" s="1"/>
  <c r="Q9" i="21"/>
  <c r="R9" i="21" s="1"/>
  <c r="P9" i="21"/>
  <c r="O9" i="21"/>
  <c r="N9" i="21"/>
  <c r="M9" i="21"/>
  <c r="L9" i="21"/>
  <c r="K9" i="21"/>
  <c r="J9" i="21"/>
  <c r="I9" i="21"/>
  <c r="H9" i="21"/>
  <c r="G9" i="21"/>
  <c r="F9" i="21"/>
  <c r="E9" i="21"/>
  <c r="D9" i="21"/>
  <c r="C9" i="21"/>
  <c r="B9" i="21"/>
  <c r="A9" i="21"/>
  <c r="BG8" i="21"/>
  <c r="BE8" i="21"/>
  <c r="BF8" i="21" s="1"/>
  <c r="AW8" i="21"/>
  <c r="AX8" i="21" s="1"/>
  <c r="AU8" i="21"/>
  <c r="AV8" i="21" s="1"/>
  <c r="AS8" i="21"/>
  <c r="AQ8" i="21"/>
  <c r="AR8" i="21" s="1"/>
  <c r="AO8" i="21"/>
  <c r="AP8" i="21" s="1"/>
  <c r="AM8" i="21"/>
  <c r="AK8" i="21"/>
  <c r="AL8" i="21" s="1"/>
  <c r="AG8" i="21"/>
  <c r="AH8" i="21" s="1"/>
  <c r="AE8" i="21"/>
  <c r="AF8" i="21" s="1"/>
  <c r="AC8" i="21"/>
  <c r="AD8" i="21" s="1"/>
  <c r="AA8" i="21"/>
  <c r="AB8" i="21" s="1"/>
  <c r="W8" i="21"/>
  <c r="X8" i="21" s="1"/>
  <c r="U8" i="21"/>
  <c r="V8" i="21" s="1"/>
  <c r="S8" i="21"/>
  <c r="Q8" i="21"/>
  <c r="R8" i="21" s="1"/>
  <c r="P8" i="21"/>
  <c r="O8" i="21"/>
  <c r="N8" i="21"/>
  <c r="M8" i="21"/>
  <c r="L8" i="21"/>
  <c r="K8" i="21"/>
  <c r="J8" i="21"/>
  <c r="I8" i="21"/>
  <c r="H8" i="21"/>
  <c r="G8" i="21"/>
  <c r="F8" i="21"/>
  <c r="E8" i="21"/>
  <c r="D8" i="21"/>
  <c r="C8" i="21"/>
  <c r="B8" i="21"/>
  <c r="A8" i="21"/>
  <c r="BG7" i="21"/>
  <c r="BE7" i="21"/>
  <c r="BF7" i="21" s="1"/>
  <c r="AW7" i="21"/>
  <c r="AX7" i="21" s="1"/>
  <c r="AU7" i="21"/>
  <c r="AV7" i="21" s="1"/>
  <c r="AS7" i="21"/>
  <c r="AT7" i="21" s="1"/>
  <c r="AQ7" i="21"/>
  <c r="AO7" i="21"/>
  <c r="AP7" i="21" s="1"/>
  <c r="AM7" i="21"/>
  <c r="AK7" i="21"/>
  <c r="AL7" i="21" s="1"/>
  <c r="AG7" i="21"/>
  <c r="AH7" i="21" s="1"/>
  <c r="AE7" i="21"/>
  <c r="AF7" i="21" s="1"/>
  <c r="AC7" i="21"/>
  <c r="AD7" i="21" s="1"/>
  <c r="AA7" i="21"/>
  <c r="AB7" i="21" s="1"/>
  <c r="W7" i="21"/>
  <c r="U7" i="21"/>
  <c r="V7" i="21" s="1"/>
  <c r="S7" i="21"/>
  <c r="T7" i="21" s="1"/>
  <c r="Q7" i="21"/>
  <c r="R7" i="21" s="1"/>
  <c r="P7" i="21"/>
  <c r="O7" i="21"/>
  <c r="N7" i="21"/>
  <c r="M7" i="21"/>
  <c r="L7" i="21"/>
  <c r="K7" i="21"/>
  <c r="J7" i="21"/>
  <c r="I7" i="21"/>
  <c r="H7" i="21"/>
  <c r="G7" i="21"/>
  <c r="F7" i="21"/>
  <c r="E7" i="21"/>
  <c r="D7" i="21"/>
  <c r="C7" i="21"/>
  <c r="B7" i="21"/>
  <c r="A7" i="21"/>
  <c r="BG6" i="21"/>
  <c r="BH6" i="21" s="1"/>
  <c r="BE6" i="21"/>
  <c r="BF6" i="21" s="1"/>
  <c r="AW6" i="21"/>
  <c r="AX6" i="21" s="1"/>
  <c r="AU6" i="21"/>
  <c r="AS6" i="21"/>
  <c r="AT6" i="21" s="1"/>
  <c r="AQ6" i="21"/>
  <c r="AR6" i="21" s="1"/>
  <c r="AO6" i="21"/>
  <c r="AP6" i="21" s="1"/>
  <c r="AM6" i="21"/>
  <c r="AN6" i="21" s="1"/>
  <c r="AK6" i="21"/>
  <c r="AG6" i="21"/>
  <c r="AH6" i="21" s="1"/>
  <c r="AE6" i="21"/>
  <c r="AF6" i="21" s="1"/>
  <c r="AC6" i="21"/>
  <c r="AA6" i="21"/>
  <c r="AB6" i="21" s="1"/>
  <c r="W6" i="21"/>
  <c r="U6" i="21"/>
  <c r="V6" i="21" s="1"/>
  <c r="S6" i="21"/>
  <c r="T6" i="21" s="1"/>
  <c r="Q6" i="21"/>
  <c r="P6" i="21"/>
  <c r="O6" i="21"/>
  <c r="N6" i="21"/>
  <c r="M6" i="21"/>
  <c r="L6" i="21"/>
  <c r="K6" i="21"/>
  <c r="J6" i="21"/>
  <c r="I6" i="21"/>
  <c r="H6" i="21"/>
  <c r="G6" i="21"/>
  <c r="F6" i="21"/>
  <c r="E6" i="21"/>
  <c r="D6" i="21"/>
  <c r="C6" i="21"/>
  <c r="B6" i="21"/>
  <c r="A6" i="21"/>
  <c r="BG5" i="21"/>
  <c r="BH5" i="21" s="1"/>
  <c r="BE5" i="21"/>
  <c r="BF5" i="21" s="1"/>
  <c r="AW5" i="21"/>
  <c r="AX5" i="21" s="1"/>
  <c r="AU5" i="21"/>
  <c r="AS5" i="21"/>
  <c r="AT5" i="21" s="1"/>
  <c r="AQ5" i="21"/>
  <c r="AR5" i="21" s="1"/>
  <c r="AO5" i="21"/>
  <c r="AP5" i="21" s="1"/>
  <c r="AM5" i="21"/>
  <c r="AN5" i="21" s="1"/>
  <c r="AK5" i="21"/>
  <c r="AL5" i="21" s="1"/>
  <c r="AG5" i="21"/>
  <c r="AE5" i="21"/>
  <c r="AF5" i="21" s="1"/>
  <c r="AC5" i="21"/>
  <c r="AD5" i="21" s="1"/>
  <c r="AA5" i="21"/>
  <c r="AB5" i="21" s="1"/>
  <c r="W5" i="21"/>
  <c r="X5" i="21" s="1"/>
  <c r="U5" i="21"/>
  <c r="S5" i="21"/>
  <c r="T5" i="21" s="1"/>
  <c r="Q5" i="21"/>
  <c r="R5" i="21" s="1"/>
  <c r="P5" i="21"/>
  <c r="O5" i="21"/>
  <c r="N5" i="21"/>
  <c r="M5" i="21"/>
  <c r="L5" i="21"/>
  <c r="K5" i="21"/>
  <c r="J5" i="21"/>
  <c r="I5" i="21"/>
  <c r="H5" i="21"/>
  <c r="G5" i="21"/>
  <c r="F5" i="21"/>
  <c r="E5" i="21"/>
  <c r="D5" i="21"/>
  <c r="C5" i="21"/>
  <c r="B5" i="21"/>
  <c r="A5" i="21"/>
  <c r="BG4" i="21"/>
  <c r="BE4" i="21"/>
  <c r="BF4" i="21" s="1"/>
  <c r="AW4" i="21"/>
  <c r="AX4" i="21" s="1"/>
  <c r="AU4" i="21"/>
  <c r="AV4" i="21" s="1"/>
  <c r="AS4" i="21"/>
  <c r="AT4" i="21" s="1"/>
  <c r="AQ4" i="21"/>
  <c r="AR4" i="21" s="1"/>
  <c r="AO4" i="21"/>
  <c r="AP4" i="21" s="1"/>
  <c r="AM4" i="21"/>
  <c r="AK4" i="21"/>
  <c r="AL4" i="21" s="1"/>
  <c r="AG4" i="21"/>
  <c r="AE4" i="21"/>
  <c r="AF4" i="21" s="1"/>
  <c r="AC4" i="21"/>
  <c r="AD4" i="21" s="1"/>
  <c r="AA4" i="21"/>
  <c r="AB4" i="21" s="1"/>
  <c r="W4" i="21"/>
  <c r="X4" i="21" s="1"/>
  <c r="U4" i="21"/>
  <c r="V4" i="21" s="1"/>
  <c r="S4" i="21"/>
  <c r="Q4" i="21"/>
  <c r="R4" i="21" s="1"/>
  <c r="P4" i="21"/>
  <c r="O4" i="21"/>
  <c r="N4" i="21"/>
  <c r="M4" i="21"/>
  <c r="L4" i="21"/>
  <c r="K4" i="21"/>
  <c r="J4" i="21"/>
  <c r="I4" i="21"/>
  <c r="H4" i="21"/>
  <c r="G4" i="21"/>
  <c r="F4" i="21"/>
  <c r="E4" i="21"/>
  <c r="D4" i="21"/>
  <c r="C4" i="21"/>
  <c r="B4" i="21"/>
  <c r="A4" i="21"/>
  <c r="BG3" i="21"/>
  <c r="BE3" i="21"/>
  <c r="BF3" i="21" s="1"/>
  <c r="AW3" i="21"/>
  <c r="AX3" i="21" s="1"/>
  <c r="AU3" i="21"/>
  <c r="AV3" i="21" s="1"/>
  <c r="AS3" i="21"/>
  <c r="AT3" i="21" s="1"/>
  <c r="AQ3" i="21"/>
  <c r="AO3" i="21"/>
  <c r="AP3" i="21" s="1"/>
  <c r="AM3" i="21"/>
  <c r="AN3" i="21" s="1"/>
  <c r="AK3" i="21"/>
  <c r="AL3" i="21" s="1"/>
  <c r="AG3" i="21"/>
  <c r="AH3" i="21" s="1"/>
  <c r="AE3" i="21"/>
  <c r="AC3" i="21"/>
  <c r="AD3" i="21" s="1"/>
  <c r="AA3" i="21"/>
  <c r="AB3" i="21" s="1"/>
  <c r="W3" i="21"/>
  <c r="U3" i="21"/>
  <c r="V3" i="21" s="1"/>
  <c r="S3" i="21"/>
  <c r="T3" i="21" s="1"/>
  <c r="Q3" i="21"/>
  <c r="R3" i="21" s="1"/>
  <c r="P3" i="21"/>
  <c r="O3" i="21"/>
  <c r="N3" i="21"/>
  <c r="M3" i="21"/>
  <c r="L3" i="21"/>
  <c r="K3" i="21"/>
  <c r="J3" i="21"/>
  <c r="I3" i="21"/>
  <c r="H3" i="21"/>
  <c r="G3" i="21"/>
  <c r="F3" i="21"/>
  <c r="E3" i="21"/>
  <c r="D3" i="21"/>
  <c r="C3" i="21"/>
  <c r="B3" i="21"/>
  <c r="A3" i="21"/>
  <c r="BG2" i="21"/>
  <c r="BH2" i="21" s="1"/>
  <c r="BE2" i="21"/>
  <c r="BF2" i="21" s="1"/>
  <c r="AY2" i="21"/>
  <c r="AZ2" i="21" s="1"/>
  <c r="AW2" i="21"/>
  <c r="AX2" i="21" s="1"/>
  <c r="AU2" i="21"/>
  <c r="AS2" i="21"/>
  <c r="AT2" i="21" s="1"/>
  <c r="AQ2" i="21"/>
  <c r="AO2" i="21"/>
  <c r="AP2" i="21" s="1"/>
  <c r="AM2" i="21"/>
  <c r="AN2" i="21" s="1"/>
  <c r="AK2" i="21"/>
  <c r="AG2" i="21"/>
  <c r="AH2" i="21" s="1"/>
  <c r="AE2" i="21"/>
  <c r="AF2" i="21" s="1"/>
  <c r="AC2" i="21"/>
  <c r="AA2" i="21"/>
  <c r="AB2" i="21" s="1"/>
  <c r="W2" i="21"/>
  <c r="X2" i="21" s="1"/>
  <c r="U2" i="21"/>
  <c r="V2" i="21" s="1"/>
  <c r="S2" i="21"/>
  <c r="T2" i="21" s="1"/>
  <c r="Q2" i="21"/>
  <c r="R2" i="21" s="1"/>
  <c r="P2" i="21"/>
  <c r="O2" i="21"/>
  <c r="N2" i="21"/>
  <c r="M2" i="21"/>
  <c r="L2" i="21"/>
  <c r="K2" i="21"/>
  <c r="J2" i="21"/>
  <c r="I2" i="21"/>
  <c r="H2" i="21"/>
  <c r="G2" i="21"/>
  <c r="F2" i="21"/>
  <c r="E2" i="21"/>
  <c r="D2" i="21"/>
  <c r="C2" i="21"/>
  <c r="B2" i="21"/>
  <c r="A2" i="21"/>
  <c r="BA92" i="21" l="1"/>
  <c r="BA116" i="21"/>
  <c r="BA148" i="21"/>
  <c r="BA188" i="21"/>
  <c r="BA196" i="21"/>
  <c r="BA204" i="21"/>
  <c r="BA278" i="21"/>
  <c r="BA284" i="21"/>
  <c r="BA286" i="21"/>
  <c r="BA300" i="21"/>
  <c r="BA312" i="21"/>
  <c r="BA316" i="21"/>
  <c r="Y174" i="21"/>
  <c r="AI178" i="21"/>
  <c r="Y182" i="21"/>
  <c r="Y214" i="21"/>
  <c r="Y230" i="21"/>
  <c r="BA4" i="21"/>
  <c r="BA20" i="21"/>
  <c r="BA28" i="21"/>
  <c r="AJ95" i="21"/>
  <c r="AJ111" i="21"/>
  <c r="AJ135" i="21"/>
  <c r="BB211" i="21"/>
  <c r="BB219" i="21"/>
  <c r="BA220" i="21"/>
  <c r="BA270" i="21"/>
  <c r="BA288" i="21"/>
  <c r="BA296" i="21"/>
  <c r="BA320" i="21"/>
  <c r="AJ351" i="21"/>
  <c r="AI69" i="21"/>
  <c r="Z72" i="21"/>
  <c r="Y73" i="21"/>
  <c r="Z80" i="21"/>
  <c r="Y81" i="21"/>
  <c r="AI85" i="21"/>
  <c r="Z88" i="21"/>
  <c r="Y89" i="21"/>
  <c r="AI93" i="21"/>
  <c r="AI101" i="21"/>
  <c r="AI109" i="21"/>
  <c r="AJ116" i="21"/>
  <c r="AJ124" i="21"/>
  <c r="AI125" i="21"/>
  <c r="BB176" i="21"/>
  <c r="AJ252" i="21"/>
  <c r="AJ260" i="21"/>
  <c r="AI261" i="21"/>
  <c r="AI269" i="21"/>
  <c r="Z272" i="21"/>
  <c r="AI277" i="21"/>
  <c r="Z280" i="21"/>
  <c r="Y281" i="21"/>
  <c r="AI285" i="21"/>
  <c r="Z288" i="21"/>
  <c r="Y289" i="21"/>
  <c r="Y297" i="21"/>
  <c r="AJ300" i="21"/>
  <c r="AJ324" i="21"/>
  <c r="Y385" i="21"/>
  <c r="BA206" i="21"/>
  <c r="AJ217" i="21"/>
  <c r="BA400" i="21"/>
  <c r="BB258" i="21"/>
  <c r="BB322" i="21"/>
  <c r="BA12" i="21"/>
  <c r="AJ127" i="21"/>
  <c r="BA180" i="21"/>
  <c r="BB291" i="21"/>
  <c r="BB339" i="21"/>
  <c r="BA344" i="21"/>
  <c r="BA348" i="21"/>
  <c r="BA350" i="21"/>
  <c r="BA360" i="21"/>
  <c r="BA364" i="21"/>
  <c r="BA376" i="21"/>
  <c r="BB379" i="21"/>
  <c r="BA382" i="21"/>
  <c r="BA384" i="21"/>
  <c r="BA388" i="21"/>
  <c r="BA392" i="21"/>
  <c r="AJ240" i="21"/>
  <c r="AJ320" i="21"/>
  <c r="Y333" i="21"/>
  <c r="AI337" i="21"/>
  <c r="AI345" i="21"/>
  <c r="Y349" i="21"/>
  <c r="AI353" i="21"/>
  <c r="Y357" i="21"/>
  <c r="Y365" i="21"/>
  <c r="AI385" i="21"/>
  <c r="Z388" i="21"/>
  <c r="AJ392" i="21"/>
  <c r="AI393" i="21"/>
  <c r="Z396" i="21"/>
  <c r="Y397" i="21"/>
  <c r="Z404" i="21"/>
  <c r="Y286" i="21"/>
  <c r="AJ289" i="21"/>
  <c r="AJ297" i="21"/>
  <c r="AI298" i="21"/>
  <c r="AI306" i="21"/>
  <c r="Y310" i="21"/>
  <c r="BA310" i="21"/>
  <c r="AI314" i="21"/>
  <c r="AJ321" i="21"/>
  <c r="AI322" i="21"/>
  <c r="BA334" i="21"/>
  <c r="BA342" i="21"/>
  <c r="BA366" i="21"/>
  <c r="BB125" i="21"/>
  <c r="BB133" i="21"/>
  <c r="BB149" i="21"/>
  <c r="AJ169" i="21"/>
  <c r="AJ193" i="21"/>
  <c r="AI210" i="21"/>
  <c r="AI218" i="21"/>
  <c r="Y222" i="21"/>
  <c r="AI282" i="21"/>
  <c r="AI290" i="21"/>
  <c r="AJ401" i="21"/>
  <c r="BA367" i="21"/>
  <c r="BA399" i="21"/>
  <c r="AJ75" i="21"/>
  <c r="AI76" i="21"/>
  <c r="Y80" i="21"/>
  <c r="AJ83" i="21"/>
  <c r="AI84" i="21"/>
  <c r="Y88" i="21"/>
  <c r="AJ91" i="21"/>
  <c r="AI92" i="21"/>
  <c r="Y96" i="21"/>
  <c r="AJ99" i="21"/>
  <c r="Y104" i="21"/>
  <c r="AJ107" i="21"/>
  <c r="BB72" i="21"/>
  <c r="BB80" i="21"/>
  <c r="BB88" i="21"/>
  <c r="BA121" i="21"/>
  <c r="BA129" i="21"/>
  <c r="BA137" i="21"/>
  <c r="BA161" i="21"/>
  <c r="BA169" i="21"/>
  <c r="BA177" i="21"/>
  <c r="BA185" i="21"/>
  <c r="BA193" i="21"/>
  <c r="BA201" i="21"/>
  <c r="BA209" i="21"/>
  <c r="BA217" i="21"/>
  <c r="Z224" i="21"/>
  <c r="Y225" i="21"/>
  <c r="BA225" i="21"/>
  <c r="AI229" i="21"/>
  <c r="AJ236" i="21"/>
  <c r="AI237" i="21"/>
  <c r="BA241" i="21"/>
  <c r="AI245" i="21"/>
  <c r="BA249" i="21"/>
  <c r="BA257" i="21"/>
  <c r="BB264" i="21"/>
  <c r="BB272" i="21"/>
  <c r="BA277" i="21"/>
  <c r="BB280" i="21"/>
  <c r="BA281" i="21"/>
  <c r="BA285" i="21"/>
  <c r="BA289" i="21"/>
  <c r="BA293" i="21"/>
  <c r="BA301" i="21"/>
  <c r="BA305" i="21"/>
  <c r="AJ308" i="21"/>
  <c r="AI309" i="21"/>
  <c r="BA309" i="21"/>
  <c r="BA313" i="21"/>
  <c r="BA321" i="21"/>
  <c r="BA329" i="21"/>
  <c r="BA333" i="21"/>
  <c r="BA341" i="21"/>
  <c r="BA345" i="21"/>
  <c r="BA353" i="21"/>
  <c r="BA357" i="21"/>
  <c r="BB360" i="21"/>
  <c r="BA361" i="21"/>
  <c r="BB368" i="21"/>
  <c r="BA369" i="21"/>
  <c r="BA377" i="21"/>
  <c r="BA381" i="21"/>
  <c r="BB384" i="21"/>
  <c r="BA385" i="21"/>
  <c r="BA389" i="21"/>
  <c r="BB392" i="21"/>
  <c r="BA393" i="21"/>
  <c r="BA401" i="21"/>
  <c r="BA222" i="21"/>
  <c r="BA402" i="21"/>
  <c r="Y3" i="21"/>
  <c r="BA3" i="21"/>
  <c r="AI7" i="21"/>
  <c r="Z10" i="21"/>
  <c r="Y11" i="21"/>
  <c r="BA11" i="21"/>
  <c r="AI15" i="21"/>
  <c r="Y19" i="21"/>
  <c r="BA19" i="21"/>
  <c r="BA35" i="21"/>
  <c r="Y59" i="21"/>
  <c r="AJ62" i="21"/>
  <c r="AJ70" i="21"/>
  <c r="Y75" i="21"/>
  <c r="AJ78" i="21"/>
  <c r="AI79" i="21"/>
  <c r="Y83" i="21"/>
  <c r="AJ86" i="21"/>
  <c r="AI87" i="21"/>
  <c r="AJ94" i="21"/>
  <c r="Y99" i="21"/>
  <c r="Y107" i="21"/>
  <c r="Z114" i="21"/>
  <c r="Z122" i="21"/>
  <c r="Y123" i="21"/>
  <c r="Z130" i="21"/>
  <c r="Y131" i="21"/>
  <c r="Z138" i="21"/>
  <c r="Y139" i="21"/>
  <c r="Z146" i="21"/>
  <c r="Y147" i="21"/>
  <c r="BB162" i="21"/>
  <c r="AI167" i="21"/>
  <c r="Z170" i="21"/>
  <c r="Z178" i="21"/>
  <c r="Y179" i="21"/>
  <c r="AJ182" i="21"/>
  <c r="AI183" i="21"/>
  <c r="AJ190" i="21"/>
  <c r="AI191" i="21"/>
  <c r="AJ198" i="21"/>
  <c r="AI199" i="21"/>
  <c r="Y203" i="21"/>
  <c r="Y211" i="21"/>
  <c r="AJ214" i="21"/>
  <c r="AJ222" i="21"/>
  <c r="BB242" i="21"/>
  <c r="BB298" i="21"/>
  <c r="BB314" i="21"/>
  <c r="BB330" i="21"/>
  <c r="BA60" i="21"/>
  <c r="BA76" i="21"/>
  <c r="BB13" i="21"/>
  <c r="BA14" i="21"/>
  <c r="BA22" i="21"/>
  <c r="BA30" i="21"/>
  <c r="BA38" i="21"/>
  <c r="BA46" i="21"/>
  <c r="BB53" i="21"/>
  <c r="BA62" i="21"/>
  <c r="BA70" i="21"/>
  <c r="BA84" i="21"/>
  <c r="BA7" i="21"/>
  <c r="BA31" i="21"/>
  <c r="BA39" i="21"/>
  <c r="BA47" i="21"/>
  <c r="Z118" i="21"/>
  <c r="Y119" i="21"/>
  <c r="Z126" i="21"/>
  <c r="Y127" i="21"/>
  <c r="AI131" i="21"/>
  <c r="Z134" i="21"/>
  <c r="Y135" i="21"/>
  <c r="BA135" i="21"/>
  <c r="AI139" i="21"/>
  <c r="Z142" i="21"/>
  <c r="Y143" i="21"/>
  <c r="Z150" i="21"/>
  <c r="Y151" i="21"/>
  <c r="Z158" i="21"/>
  <c r="Y159" i="21"/>
  <c r="BB166" i="21"/>
  <c r="AI171" i="21"/>
  <c r="Y175" i="21"/>
  <c r="Z182" i="21"/>
  <c r="BB182" i="21"/>
  <c r="Y183" i="21"/>
  <c r="BA183" i="21"/>
  <c r="AJ186" i="21"/>
  <c r="AI187" i="21"/>
  <c r="Z190" i="21"/>
  <c r="Y191" i="21"/>
  <c r="BA287" i="21"/>
  <c r="BA295" i="21"/>
  <c r="BA335" i="21"/>
  <c r="BB32" i="21"/>
  <c r="Z48" i="21"/>
  <c r="AI53" i="21"/>
  <c r="Y57" i="21"/>
  <c r="Z64" i="21"/>
  <c r="BA65" i="21"/>
  <c r="BB24" i="21"/>
  <c r="BA33" i="21"/>
  <c r="BB40" i="21"/>
  <c r="BB56" i="21"/>
  <c r="AI61" i="21"/>
  <c r="Z2" i="21"/>
  <c r="AI6" i="21"/>
  <c r="Z9" i="21"/>
  <c r="BA10" i="21"/>
  <c r="AI14" i="21"/>
  <c r="Z17" i="21"/>
  <c r="BB17" i="21"/>
  <c r="Y18" i="21"/>
  <c r="BA18" i="21"/>
  <c r="AJ21" i="21"/>
  <c r="Z25" i="21"/>
  <c r="Y26" i="21"/>
  <c r="BA26" i="21"/>
  <c r="AI30" i="21"/>
  <c r="Z33" i="21"/>
  <c r="Y34" i="21"/>
  <c r="BA34" i="21"/>
  <c r="BA42" i="21"/>
  <c r="BA50" i="21"/>
  <c r="BA32" i="21"/>
  <c r="BA67" i="21"/>
  <c r="BA75" i="21"/>
  <c r="BA83" i="21"/>
  <c r="BA91" i="21"/>
  <c r="BA115" i="21"/>
  <c r="BA147" i="21"/>
  <c r="BA155" i="21"/>
  <c r="BA163" i="21"/>
  <c r="BA171" i="21"/>
  <c r="BA187" i="21"/>
  <c r="BA195" i="21"/>
  <c r="BA203" i="21"/>
  <c r="BA211" i="21"/>
  <c r="BA58" i="21"/>
  <c r="Z65" i="21"/>
  <c r="Y66" i="21"/>
  <c r="BA66" i="21"/>
  <c r="AI70" i="21"/>
  <c r="Z73" i="21"/>
  <c r="Y74" i="21"/>
  <c r="BA74" i="21"/>
  <c r="BA82" i="21"/>
  <c r="BA90" i="21"/>
  <c r="BB113" i="21"/>
  <c r="BA114" i="21"/>
  <c r="BA122" i="21"/>
  <c r="BB129" i="21"/>
  <c r="BA130" i="21"/>
  <c r="BB137" i="21"/>
  <c r="BA138" i="21"/>
  <c r="BB145" i="21"/>
  <c r="BA162" i="21"/>
  <c r="BA170" i="21"/>
  <c r="BB185" i="21"/>
  <c r="Y186" i="21"/>
  <c r="BA186" i="21"/>
  <c r="AJ189" i="21"/>
  <c r="AI190" i="21"/>
  <c r="BB193" i="21"/>
  <c r="Y194" i="21"/>
  <c r="AJ197" i="21"/>
  <c r="AI198" i="21"/>
  <c r="BA202" i="21"/>
  <c r="AJ205" i="21"/>
  <c r="AI206" i="21"/>
  <c r="BA210" i="21"/>
  <c r="AJ213" i="21"/>
  <c r="AI214" i="21"/>
  <c r="Y218" i="21"/>
  <c r="BA218" i="21"/>
  <c r="AI222" i="21"/>
  <c r="Y226" i="21"/>
  <c r="BA274" i="21"/>
  <c r="BA282" i="21"/>
  <c r="BB305" i="21"/>
  <c r="BA306" i="21"/>
  <c r="BB313" i="21"/>
  <c r="BA314" i="21"/>
  <c r="BA322" i="21"/>
  <c r="BA338" i="21"/>
  <c r="BB353" i="21"/>
  <c r="BA354" i="21"/>
  <c r="BA362" i="21"/>
  <c r="BB385" i="21"/>
  <c r="BA386" i="21"/>
  <c r="BA394" i="21"/>
  <c r="BA235" i="21"/>
  <c r="BA243" i="21"/>
  <c r="BA251" i="21"/>
  <c r="BA259" i="21"/>
  <c r="BA267" i="21"/>
  <c r="BA323" i="21"/>
  <c r="BA331" i="21"/>
  <c r="BA355" i="21"/>
  <c r="BA363" i="21"/>
  <c r="BA387" i="21"/>
  <c r="BA5" i="21"/>
  <c r="BA13" i="21"/>
  <c r="BA21" i="21"/>
  <c r="AI25" i="21"/>
  <c r="Z28" i="21"/>
  <c r="BB28" i="21"/>
  <c r="Y29" i="21"/>
  <c r="Z36" i="21"/>
  <c r="BB36" i="21"/>
  <c r="Y37" i="21"/>
  <c r="BA37" i="21"/>
  <c r="BB44" i="21"/>
  <c r="BB52" i="21"/>
  <c r="AJ56" i="21"/>
  <c r="AI57" i="21"/>
  <c r="BA77" i="21"/>
  <c r="BA85" i="21"/>
  <c r="BA93" i="21"/>
  <c r="BA149" i="21"/>
  <c r="BA181" i="21"/>
  <c r="BA189" i="21"/>
  <c r="BA213" i="21"/>
  <c r="BA221" i="21"/>
  <c r="BB141" i="21"/>
  <c r="BA150" i="21"/>
  <c r="BA182" i="21"/>
  <c r="BA214" i="21"/>
  <c r="BA242" i="21"/>
  <c r="BA250" i="21"/>
  <c r="BA258" i="21"/>
  <c r="Z68" i="21"/>
  <c r="BB68" i="21"/>
  <c r="Y69" i="21"/>
  <c r="BB76" i="21"/>
  <c r="BB84" i="21"/>
  <c r="BB92" i="21"/>
  <c r="BB268" i="21"/>
  <c r="BB284" i="21"/>
  <c r="BB300" i="21"/>
  <c r="Y309" i="21"/>
  <c r="AJ312" i="21"/>
  <c r="Y317" i="21"/>
  <c r="BB372" i="21"/>
  <c r="BB380" i="21"/>
  <c r="Y198" i="21"/>
  <c r="AJ201" i="21"/>
  <c r="Z237" i="21"/>
  <c r="BB237" i="21"/>
  <c r="BB397" i="21"/>
  <c r="AJ194" i="21"/>
  <c r="AI195" i="21"/>
  <c r="Y199" i="21"/>
  <c r="BA199" i="21"/>
  <c r="AJ202" i="21"/>
  <c r="AI203" i="21"/>
  <c r="BA207" i="21"/>
  <c r="AI211" i="21"/>
  <c r="Y215" i="21"/>
  <c r="AJ218" i="21"/>
  <c r="BA223" i="21"/>
  <c r="BA239" i="21"/>
  <c r="BB246" i="21"/>
  <c r="BB254" i="21"/>
  <c r="AI259" i="21"/>
  <c r="Z262" i="21"/>
  <c r="BB262" i="21"/>
  <c r="Y263" i="21"/>
  <c r="AJ266" i="21"/>
  <c r="BA271" i="21"/>
  <c r="BB302" i="21"/>
  <c r="BB318" i="21"/>
  <c r="BB326" i="21"/>
  <c r="BB350" i="21"/>
  <c r="BB358" i="21"/>
  <c r="BB374" i="21"/>
  <c r="BB382" i="21"/>
  <c r="BB390" i="21"/>
  <c r="BB398" i="21"/>
  <c r="Y399" i="21"/>
  <c r="AJ402" i="21"/>
  <c r="AI403" i="21"/>
  <c r="Y112" i="21"/>
  <c r="Z119" i="21"/>
  <c r="Y120" i="21"/>
  <c r="Y128" i="21"/>
  <c r="BA136" i="21"/>
  <c r="BA160" i="21"/>
  <c r="BB167" i="21"/>
  <c r="Z175" i="21"/>
  <c r="Y176" i="21"/>
  <c r="BA176" i="21"/>
  <c r="Z183" i="21"/>
  <c r="AJ187" i="21"/>
  <c r="BA192" i="21"/>
  <c r="BA200" i="21"/>
  <c r="BB223" i="21"/>
  <c r="Y240" i="21"/>
  <c r="AI244" i="21"/>
  <c r="Z247" i="21"/>
  <c r="Y248" i="21"/>
  <c r="BA248" i="21"/>
  <c r="AI252" i="21"/>
  <c r="Z255" i="21"/>
  <c r="Y256" i="21"/>
  <c r="BA256" i="21"/>
  <c r="AI260" i="21"/>
  <c r="Z263" i="21"/>
  <c r="BA264" i="21"/>
  <c r="AJ267" i="21"/>
  <c r="BB287" i="21"/>
  <c r="BB303" i="21"/>
  <c r="Y328" i="21"/>
  <c r="BB343" i="21"/>
  <c r="BB359" i="21"/>
  <c r="Y360" i="21"/>
  <c r="AJ363" i="21"/>
  <c r="BB367" i="21"/>
  <c r="AI372" i="21"/>
  <c r="BB383" i="21"/>
  <c r="Z41" i="21"/>
  <c r="Y42" i="21"/>
  <c r="AI77" i="21"/>
  <c r="AI267" i="21"/>
  <c r="Y271" i="21"/>
  <c r="AJ274" i="21"/>
  <c r="AI275" i="21"/>
  <c r="Y279" i="21"/>
  <c r="AJ282" i="21"/>
  <c r="AJ290" i="21"/>
  <c r="AI291" i="21"/>
  <c r="Y303" i="21"/>
  <c r="Y311" i="21"/>
  <c r="AJ314" i="21"/>
  <c r="AI315" i="21"/>
  <c r="Y319" i="21"/>
  <c r="AI330" i="21"/>
  <c r="AJ337" i="21"/>
  <c r="AI338" i="21"/>
  <c r="AJ345" i="21"/>
  <c r="AJ361" i="21"/>
  <c r="AI362" i="21"/>
  <c r="Y366" i="21"/>
  <c r="AJ369" i="21"/>
  <c r="AI370" i="21"/>
  <c r="Y374" i="21"/>
  <c r="AJ377" i="21"/>
  <c r="AI378" i="21"/>
  <c r="Y382" i="21"/>
  <c r="AI386" i="21"/>
  <c r="AJ393" i="21"/>
  <c r="AI394" i="21"/>
  <c r="Y398" i="21"/>
  <c r="AJ54" i="21"/>
  <c r="Z81" i="21"/>
  <c r="Y82" i="21"/>
  <c r="AI86" i="21"/>
  <c r="Z89" i="21"/>
  <c r="Y90" i="21"/>
  <c r="AI94" i="21"/>
  <c r="Z97" i="21"/>
  <c r="AI102" i="21"/>
  <c r="Z105" i="21"/>
  <c r="AI110" i="21"/>
  <c r="Z113" i="21"/>
  <c r="AJ117" i="21"/>
  <c r="Z208" i="21"/>
  <c r="AI213" i="21"/>
  <c r="Z216" i="21"/>
  <c r="Y217" i="21"/>
  <c r="AI221" i="21"/>
  <c r="AI268" i="21"/>
  <c r="AJ275" i="21"/>
  <c r="AI276" i="21"/>
  <c r="AJ283" i="21"/>
  <c r="AI284" i="21"/>
  <c r="Z287" i="21"/>
  <c r="Y288" i="21"/>
  <c r="AI292" i="21"/>
  <c r="Z295" i="21"/>
  <c r="Y296" i="21"/>
  <c r="Y304" i="21"/>
  <c r="AJ307" i="21"/>
  <c r="AI308" i="21"/>
  <c r="Y312" i="21"/>
  <c r="AJ315" i="21"/>
  <c r="AI316" i="21"/>
  <c r="Z319" i="21"/>
  <c r="Y320" i="21"/>
  <c r="AI324" i="21"/>
  <c r="Z326" i="21"/>
  <c r="Y327" i="21"/>
  <c r="AI331" i="21"/>
  <c r="AI339" i="21"/>
  <c r="Y343" i="21"/>
  <c r="AJ346" i="21"/>
  <c r="AI347" i="21"/>
  <c r="Y351" i="21"/>
  <c r="AJ354" i="21"/>
  <c r="AI355" i="21"/>
  <c r="Z358" i="21"/>
  <c r="Y359" i="21"/>
  <c r="AJ362" i="21"/>
  <c r="Z366" i="21"/>
  <c r="Y367" i="21"/>
  <c r="AJ370" i="21"/>
  <c r="AI371" i="21"/>
  <c r="Z374" i="21"/>
  <c r="Y375" i="21"/>
  <c r="AJ378" i="21"/>
  <c r="AI379" i="21"/>
  <c r="Z390" i="21"/>
  <c r="AJ394" i="21"/>
  <c r="Z154" i="21"/>
  <c r="AI166" i="21"/>
  <c r="AJ173" i="21"/>
  <c r="AI174" i="21"/>
  <c r="Y178" i="21"/>
  <c r="AJ181" i="21"/>
  <c r="AI182" i="21"/>
  <c r="Y202" i="21"/>
  <c r="AI230" i="21"/>
  <c r="Z233" i="21"/>
  <c r="AI238" i="21"/>
  <c r="AI253" i="21"/>
  <c r="Y257" i="21"/>
  <c r="AI2" i="21"/>
  <c r="AJ8" i="21"/>
  <c r="AI9" i="21"/>
  <c r="AJ16" i="21"/>
  <c r="AI17" i="21"/>
  <c r="AI33" i="21"/>
  <c r="AI41" i="21"/>
  <c r="Z44" i="21"/>
  <c r="AI223" i="21"/>
  <c r="AI231" i="21"/>
  <c r="Z234" i="21"/>
  <c r="Y235" i="21"/>
  <c r="Z241" i="21"/>
  <c r="AJ245" i="21"/>
  <c r="AI246" i="21"/>
  <c r="AJ253" i="21"/>
  <c r="AI254" i="21"/>
  <c r="AJ261" i="21"/>
  <c r="AI262" i="21"/>
  <c r="Z265" i="21"/>
  <c r="Y266" i="21"/>
  <c r="AI270" i="21"/>
  <c r="Y274" i="21"/>
  <c r="AI278" i="21"/>
  <c r="Z281" i="21"/>
  <c r="Y282" i="21"/>
  <c r="AI389" i="21"/>
  <c r="AI397" i="21"/>
  <c r="Z84" i="21"/>
  <c r="Z92" i="21"/>
  <c r="AI97" i="21"/>
  <c r="AJ120" i="21"/>
  <c r="AJ128" i="21"/>
  <c r="AI129" i="21"/>
  <c r="Y133" i="21"/>
  <c r="AJ136" i="21"/>
  <c r="AI137" i="21"/>
  <c r="AJ144" i="21"/>
  <c r="AI145" i="21"/>
  <c r="AJ152" i="21"/>
  <c r="Z164" i="21"/>
  <c r="Y165" i="21"/>
  <c r="Z179" i="21"/>
  <c r="Y180" i="21"/>
  <c r="AI184" i="21"/>
  <c r="Z187" i="21"/>
  <c r="AI192" i="21"/>
  <c r="Z195" i="21"/>
  <c r="Z203" i="21"/>
  <c r="Y204" i="21"/>
  <c r="Z242" i="21"/>
  <c r="Y243" i="21"/>
  <c r="Y267" i="21"/>
  <c r="AJ270" i="21"/>
  <c r="AJ278" i="21"/>
  <c r="BI310" i="21"/>
  <c r="AJ121" i="21"/>
  <c r="Z133" i="21"/>
  <c r="Y134" i="21"/>
  <c r="Z204" i="21"/>
  <c r="Y213" i="21"/>
  <c r="Z220" i="21"/>
  <c r="Z228" i="21"/>
  <c r="AJ232" i="21"/>
  <c r="AI233" i="21"/>
  <c r="Y244" i="21"/>
  <c r="AJ382" i="21"/>
  <c r="BH280" i="21"/>
  <c r="BI280" i="21"/>
  <c r="AI89" i="21"/>
  <c r="AI113" i="21"/>
  <c r="AJ3" i="21"/>
  <c r="AI4" i="21"/>
  <c r="Y16" i="21"/>
  <c r="AJ19" i="21"/>
  <c r="AJ27" i="21"/>
  <c r="AI28" i="21"/>
  <c r="Y32" i="21"/>
  <c r="AJ35" i="21"/>
  <c r="AI36" i="21"/>
  <c r="AJ43" i="21"/>
  <c r="AI44" i="21"/>
  <c r="Y47" i="21"/>
  <c r="AJ58" i="21"/>
  <c r="Y63" i="21"/>
  <c r="AJ66" i="21"/>
  <c r="Y71" i="21"/>
  <c r="Z77" i="21"/>
  <c r="Y78" i="21"/>
  <c r="Z85" i="21"/>
  <c r="Y86" i="21"/>
  <c r="Z93" i="21"/>
  <c r="Y94" i="21"/>
  <c r="AI114" i="21"/>
  <c r="Y8" i="21"/>
  <c r="AJ11" i="21"/>
  <c r="Y2" i="21"/>
  <c r="AI5" i="21"/>
  <c r="Y9" i="21"/>
  <c r="AJ12" i="21"/>
  <c r="AI13" i="21"/>
  <c r="Y17" i="21"/>
  <c r="AI21" i="21"/>
  <c r="Z24" i="21"/>
  <c r="Y25" i="21"/>
  <c r="AI29" i="21"/>
  <c r="Z32" i="21"/>
  <c r="AI37" i="21"/>
  <c r="Z40" i="21"/>
  <c r="AI45" i="21"/>
  <c r="AJ51" i="21"/>
  <c r="AI52" i="21"/>
  <c r="Z55" i="21"/>
  <c r="Y56" i="21"/>
  <c r="AJ59" i="21"/>
  <c r="AI60" i="21"/>
  <c r="Z63" i="21"/>
  <c r="AJ67" i="21"/>
  <c r="AI68" i="21"/>
  <c r="AJ74" i="21"/>
  <c r="Y79" i="21"/>
  <c r="AJ82" i="21"/>
  <c r="AJ90" i="21"/>
  <c r="Y95" i="21"/>
  <c r="Y103" i="21"/>
  <c r="Y111" i="21"/>
  <c r="AI115" i="21"/>
  <c r="AI200" i="21"/>
  <c r="AI215" i="21"/>
  <c r="AI307" i="21"/>
  <c r="AI323" i="21"/>
  <c r="AI354" i="21"/>
  <c r="Y389" i="21"/>
  <c r="AI401" i="21"/>
  <c r="AI130" i="21"/>
  <c r="AI138" i="21"/>
  <c r="Z141" i="21"/>
  <c r="AI146" i="21"/>
  <c r="Z149" i="21"/>
  <c r="AJ161" i="21"/>
  <c r="AI162" i="21"/>
  <c r="AJ168" i="21"/>
  <c r="Y173" i="21"/>
  <c r="AI177" i="21"/>
  <c r="Y181" i="21"/>
  <c r="AJ184" i="21"/>
  <c r="Y189" i="21"/>
  <c r="AI193" i="21"/>
  <c r="Y197" i="21"/>
  <c r="Y205" i="21"/>
  <c r="AI208" i="21"/>
  <c r="Z211" i="21"/>
  <c r="AI216" i="21"/>
  <c r="Z219" i="21"/>
  <c r="AJ231" i="21"/>
  <c r="Y236" i="21"/>
  <c r="AI247" i="21"/>
  <c r="AJ162" i="21"/>
  <c r="Y190" i="21"/>
  <c r="Y206" i="21"/>
  <c r="AI217" i="21"/>
  <c r="Y221" i="21"/>
  <c r="Z250" i="21"/>
  <c r="AI255" i="21"/>
  <c r="Z258" i="21"/>
  <c r="AI263" i="21"/>
  <c r="AI271" i="21"/>
  <c r="Y275" i="21"/>
  <c r="Y290" i="21"/>
  <c r="AJ293" i="21"/>
  <c r="Z297" i="21"/>
  <c r="Y298" i="21"/>
  <c r="AJ301" i="21"/>
  <c r="Y313" i="21"/>
  <c r="AI317" i="21"/>
  <c r="Y321" i="21"/>
  <c r="AI325" i="21"/>
  <c r="AI332" i="21"/>
  <c r="Z335" i="21"/>
  <c r="AI340" i="21"/>
  <c r="Z343" i="21"/>
  <c r="AI348" i="21"/>
  <c r="Y352" i="21"/>
  <c r="AJ355" i="21"/>
  <c r="AI356" i="21"/>
  <c r="AI364" i="21"/>
  <c r="AI380" i="21"/>
  <c r="Y383" i="21"/>
  <c r="AI387" i="21"/>
  <c r="Y391" i="21"/>
  <c r="AI395" i="21"/>
  <c r="AJ131" i="21"/>
  <c r="AI132" i="21"/>
  <c r="Y136" i="21"/>
  <c r="AJ139" i="21"/>
  <c r="AI140" i="21"/>
  <c r="Y144" i="21"/>
  <c r="Y152" i="21"/>
  <c r="AJ155" i="21"/>
  <c r="Y160" i="21"/>
  <c r="AI164" i="21"/>
  <c r="Z166" i="21"/>
  <c r="Y167" i="21"/>
  <c r="AI179" i="21"/>
  <c r="AI234" i="21"/>
  <c r="AI241" i="21"/>
  <c r="Y245" i="21"/>
  <c r="Z251" i="21"/>
  <c r="Y252" i="21"/>
  <c r="Z259" i="21"/>
  <c r="Y260" i="21"/>
  <c r="AI264" i="21"/>
  <c r="Y268" i="21"/>
  <c r="AI272" i="21"/>
  <c r="AI280" i="21"/>
  <c r="AI287" i="21"/>
  <c r="AI302" i="21"/>
  <c r="AI310" i="21"/>
  <c r="AI318" i="21"/>
  <c r="AI333" i="21"/>
  <c r="AI357" i="21"/>
  <c r="AI365" i="21"/>
  <c r="Z368" i="21"/>
  <c r="Y369" i="21"/>
  <c r="Y377" i="21"/>
  <c r="AI388" i="21"/>
  <c r="Y392" i="21"/>
  <c r="AI396" i="21"/>
  <c r="Y400" i="21"/>
  <c r="AI404" i="21"/>
  <c r="AJ132" i="21"/>
  <c r="AI133" i="21"/>
  <c r="AJ140" i="21"/>
  <c r="AI141" i="21"/>
  <c r="AJ148" i="21"/>
  <c r="AI149" i="21"/>
  <c r="Y153" i="21"/>
  <c r="AJ156" i="21"/>
  <c r="AI157" i="21"/>
  <c r="Y161" i="21"/>
  <c r="AJ164" i="21"/>
  <c r="Y168" i="21"/>
  <c r="AJ171" i="21"/>
  <c r="AI180" i="21"/>
  <c r="Y184" i="21"/>
  <c r="AI188" i="21"/>
  <c r="Z191" i="21"/>
  <c r="Y192" i="21"/>
  <c r="AI196" i="21"/>
  <c r="Y200" i="21"/>
  <c r="AI204" i="21"/>
  <c r="Z207" i="21"/>
  <c r="AI219" i="21"/>
  <c r="Z222" i="21"/>
  <c r="Y223" i="21"/>
  <c r="AJ226" i="21"/>
  <c r="Z230" i="21"/>
  <c r="Y231" i="21"/>
  <c r="Z238" i="21"/>
  <c r="AI242" i="21"/>
  <c r="Y246" i="21"/>
  <c r="Y253" i="21"/>
  <c r="AJ256" i="21"/>
  <c r="Y261" i="21"/>
  <c r="AI265" i="21"/>
  <c r="AI273" i="21"/>
  <c r="Z276" i="21"/>
  <c r="AI288" i="21"/>
  <c r="Z291" i="21"/>
  <c r="AI296" i="21"/>
  <c r="Z299" i="21"/>
  <c r="Y300" i="21"/>
  <c r="AI303" i="21"/>
  <c r="Z322" i="21"/>
  <c r="AI326" i="21"/>
  <c r="AI334" i="21"/>
  <c r="AJ341" i="21"/>
  <c r="AI342" i="21"/>
  <c r="Y346" i="21"/>
  <c r="AJ349" i="21"/>
  <c r="AJ357" i="21"/>
  <c r="AI358" i="21"/>
  <c r="Y362" i="21"/>
  <c r="AI366" i="21"/>
  <c r="Y370" i="21"/>
  <c r="AJ373" i="21"/>
  <c r="AJ381" i="21"/>
  <c r="Z392" i="21"/>
  <c r="AI118" i="21"/>
  <c r="AI126" i="21"/>
  <c r="Z129" i="21"/>
  <c r="AI134" i="21"/>
  <c r="Z137" i="21"/>
  <c r="AI142" i="21"/>
  <c r="Z145" i="21"/>
  <c r="Y146" i="21"/>
  <c r="AI150" i="21"/>
  <c r="AI158" i="21"/>
  <c r="Y162" i="21"/>
  <c r="Y169" i="21"/>
  <c r="AJ172" i="21"/>
  <c r="AI173" i="21"/>
  <c r="AJ180" i="21"/>
  <c r="AI181" i="21"/>
  <c r="Z184" i="21"/>
  <c r="Y185" i="21"/>
  <c r="AI189" i="21"/>
  <c r="Z192" i="21"/>
  <c r="Y193" i="21"/>
  <c r="AI197" i="21"/>
  <c r="Z200" i="21"/>
  <c r="Y201" i="21"/>
  <c r="AI205" i="21"/>
  <c r="Y208" i="21"/>
  <c r="Z215" i="21"/>
  <c r="AI220" i="21"/>
  <c r="Z223" i="21"/>
  <c r="AI228" i="21"/>
  <c r="Y232" i="21"/>
  <c r="AJ235" i="21"/>
  <c r="Z246" i="21"/>
  <c r="AJ249" i="21"/>
  <c r="AI250" i="21"/>
  <c r="AJ257" i="21"/>
  <c r="AI258" i="21"/>
  <c r="Y262" i="21"/>
  <c r="AJ265" i="21"/>
  <c r="AI266" i="21"/>
  <c r="Z269" i="21"/>
  <c r="Y270" i="21"/>
  <c r="AI274" i="21"/>
  <c r="Y278" i="21"/>
  <c r="AI281" i="21"/>
  <c r="Z284" i="21"/>
  <c r="Y285" i="21"/>
  <c r="AI289" i="21"/>
  <c r="Z292" i="21"/>
  <c r="Y293" i="21"/>
  <c r="AI297" i="21"/>
  <c r="Y301" i="21"/>
  <c r="Z307" i="21"/>
  <c r="Y308" i="21"/>
  <c r="Z315" i="21"/>
  <c r="Y316" i="21"/>
  <c r="Z323" i="21"/>
  <c r="Y324" i="21"/>
  <c r="AI327" i="21"/>
  <c r="Z330" i="21"/>
  <c r="AJ334" i="21"/>
  <c r="AI335" i="21"/>
  <c r="Y339" i="21"/>
  <c r="AI343" i="21"/>
  <c r="AJ350" i="21"/>
  <c r="AI351" i="21"/>
  <c r="Y355" i="21"/>
  <c r="AI359" i="21"/>
  <c r="Z362" i="21"/>
  <c r="AI367" i="21"/>
  <c r="Y371" i="21"/>
  <c r="AI375" i="21"/>
  <c r="Y379" i="21"/>
  <c r="Y386" i="21"/>
  <c r="AI390" i="21"/>
  <c r="Z393" i="21"/>
  <c r="AI398" i="21"/>
  <c r="Z401" i="21"/>
  <c r="Y402" i="21"/>
  <c r="AJ22" i="21"/>
  <c r="AI23" i="21"/>
  <c r="Y27" i="21"/>
  <c r="AJ30" i="21"/>
  <c r="Y35" i="21"/>
  <c r="AJ38" i="21"/>
  <c r="AI39" i="21"/>
  <c r="Y43" i="21"/>
  <c r="AJ46" i="21"/>
  <c r="Z49" i="21"/>
  <c r="Y50" i="21"/>
  <c r="Y4" i="21"/>
  <c r="AJ7" i="21"/>
  <c r="AI8" i="21"/>
  <c r="Y12" i="21"/>
  <c r="AJ15" i="21"/>
  <c r="AI16" i="21"/>
  <c r="Y20" i="21"/>
  <c r="AJ23" i="21"/>
  <c r="AI24" i="21"/>
  <c r="Y28" i="21"/>
  <c r="AJ31" i="21"/>
  <c r="AI32" i="21"/>
  <c r="Y36" i="21"/>
  <c r="AJ39" i="21"/>
  <c r="AI40" i="21"/>
  <c r="Y51" i="21"/>
  <c r="AI18" i="21"/>
  <c r="AI49" i="21"/>
  <c r="AI10" i="21"/>
  <c r="Z21" i="21"/>
  <c r="Y22" i="21"/>
  <c r="AI26" i="21"/>
  <c r="Z29" i="21"/>
  <c r="Y30" i="21"/>
  <c r="AI34" i="21"/>
  <c r="Z37" i="21"/>
  <c r="Y38" i="21"/>
  <c r="Z45" i="21"/>
  <c r="Y46" i="21"/>
  <c r="Y7" i="21"/>
  <c r="AI11" i="21"/>
  <c r="Z14" i="21"/>
  <c r="Y15" i="21"/>
  <c r="AI19" i="21"/>
  <c r="Y23" i="21"/>
  <c r="AJ26" i="21"/>
  <c r="Y31" i="21"/>
  <c r="AJ34" i="21"/>
  <c r="AI35" i="21"/>
  <c r="Y39" i="21"/>
  <c r="AJ42" i="21"/>
  <c r="Z53" i="21"/>
  <c r="Z60" i="21"/>
  <c r="AI95" i="21"/>
  <c r="AI119" i="21"/>
  <c r="Y177" i="21"/>
  <c r="AJ188" i="21"/>
  <c r="AI212" i="21"/>
  <c r="AJ316" i="21"/>
  <c r="Y54" i="21"/>
  <c r="Y62" i="21"/>
  <c r="AI66" i="21"/>
  <c r="Z69" i="21"/>
  <c r="Y70" i="21"/>
  <c r="AI73" i="21"/>
  <c r="Z76" i="21"/>
  <c r="AI81" i="21"/>
  <c r="AJ87" i="21"/>
  <c r="AI88" i="21"/>
  <c r="Y209" i="21"/>
  <c r="AI227" i="21"/>
  <c r="Y239" i="21"/>
  <c r="AJ279" i="21"/>
  <c r="Y283" i="21"/>
  <c r="AJ286" i="21"/>
  <c r="Y291" i="21"/>
  <c r="AJ294" i="21"/>
  <c r="Y306" i="21"/>
  <c r="AJ325" i="21"/>
  <c r="Y329" i="21"/>
  <c r="AJ332" i="21"/>
  <c r="Z336" i="21"/>
  <c r="Y337" i="21"/>
  <c r="Y345" i="21"/>
  <c r="Y353" i="21"/>
  <c r="AJ356" i="21"/>
  <c r="Y361" i="21"/>
  <c r="Y368" i="21"/>
  <c r="BI382" i="21"/>
  <c r="Z389" i="21"/>
  <c r="Y390" i="21"/>
  <c r="Y55" i="21"/>
  <c r="AI105" i="21"/>
  <c r="AJ143" i="21"/>
  <c r="Y148" i="21"/>
  <c r="AI175" i="21"/>
  <c r="AI207" i="21"/>
  <c r="Y210" i="21"/>
  <c r="AJ248" i="21"/>
  <c r="Y292" i="21"/>
  <c r="Z306" i="21"/>
  <c r="Y338" i="21"/>
  <c r="Z109" i="21"/>
  <c r="Y118" i="21"/>
  <c r="AI122" i="21"/>
  <c r="Z171" i="21"/>
  <c r="AJ183" i="21"/>
  <c r="Y196" i="21"/>
  <c r="AJ228" i="21"/>
  <c r="Y254" i="21"/>
  <c r="Y87" i="21"/>
  <c r="AI154" i="21"/>
  <c r="AJ221" i="21"/>
  <c r="AJ244" i="21"/>
  <c r="AI251" i="21"/>
  <c r="Z254" i="21"/>
  <c r="Y255" i="21"/>
  <c r="Y294" i="21"/>
  <c r="AJ304" i="21"/>
  <c r="Y325" i="21"/>
  <c r="Z378" i="21"/>
  <c r="Z384" i="21"/>
  <c r="Y58" i="21"/>
  <c r="AJ123" i="21"/>
  <c r="AI163" i="21"/>
  <c r="Y166" i="21"/>
  <c r="AI170" i="21"/>
  <c r="Y242" i="21"/>
  <c r="Y264" i="21"/>
  <c r="Y318" i="21"/>
  <c r="AJ328" i="21"/>
  <c r="Z340" i="21"/>
  <c r="Y341" i="21"/>
  <c r="AI55" i="21"/>
  <c r="AI71" i="21"/>
  <c r="BI81" i="21"/>
  <c r="AJ147" i="21"/>
  <c r="Y207" i="21"/>
  <c r="AI224" i="21"/>
  <c r="AI232" i="21"/>
  <c r="AJ239" i="21"/>
  <c r="Y249" i="21"/>
  <c r="AJ299" i="21"/>
  <c r="Z310" i="21"/>
  <c r="Y326" i="21"/>
  <c r="Y342" i="21"/>
  <c r="Y350" i="21"/>
  <c r="Z357" i="21"/>
  <c r="Y358" i="21"/>
  <c r="Y373" i="21"/>
  <c r="AJ376" i="21"/>
  <c r="Y381" i="21"/>
  <c r="Z386" i="21"/>
  <c r="Y387" i="21"/>
  <c r="AJ390" i="21"/>
  <c r="Z394" i="21"/>
  <c r="Y395" i="21"/>
  <c r="Z402" i="21"/>
  <c r="Y403" i="21"/>
  <c r="BI403" i="21"/>
  <c r="Y67" i="21"/>
  <c r="Z174" i="21"/>
  <c r="Z206" i="21"/>
  <c r="Z5" i="21"/>
  <c r="Z13" i="21"/>
  <c r="Y91" i="21"/>
  <c r="Z199" i="21"/>
  <c r="Z308" i="21"/>
  <c r="BI400" i="21"/>
  <c r="Z309" i="21"/>
  <c r="Z317" i="21"/>
  <c r="Z380" i="21"/>
  <c r="Z375" i="21"/>
  <c r="Y64" i="21"/>
  <c r="Z101" i="21"/>
  <c r="Z125" i="21"/>
  <c r="Y224" i="21"/>
  <c r="Z268" i="21"/>
  <c r="Z311" i="21"/>
  <c r="BI350" i="21"/>
  <c r="BI356" i="21"/>
  <c r="Y10" i="21"/>
  <c r="Z157" i="21"/>
  <c r="Z173" i="21"/>
  <c r="BI281" i="21"/>
  <c r="AZ361" i="21"/>
  <c r="BB361" i="21" s="1"/>
  <c r="BI217" i="21"/>
  <c r="BI402" i="21"/>
  <c r="BI200" i="21"/>
  <c r="BI38" i="21"/>
  <c r="BI56" i="21"/>
  <c r="BI134" i="21"/>
  <c r="BI263" i="21"/>
  <c r="BI266" i="21"/>
  <c r="BI339" i="21"/>
  <c r="BI359" i="21"/>
  <c r="BI380" i="21"/>
  <c r="X379" i="21"/>
  <c r="Z379" i="21" s="1"/>
  <c r="AZ295" i="21"/>
  <c r="BI76" i="21"/>
  <c r="BI179" i="21"/>
  <c r="BI182" i="21"/>
  <c r="BI201" i="21"/>
  <c r="BI293" i="21"/>
  <c r="R344" i="21"/>
  <c r="Y344" i="21" s="1"/>
  <c r="AZ207" i="21"/>
  <c r="BB207" i="21" s="1"/>
  <c r="AZ95" i="21"/>
  <c r="AZ79" i="21"/>
  <c r="BI97" i="21"/>
  <c r="BI247" i="21"/>
  <c r="BI343" i="21"/>
  <c r="T373" i="21"/>
  <c r="Z373" i="21" s="1"/>
  <c r="X277" i="21"/>
  <c r="Z277" i="21" s="1"/>
  <c r="AZ263" i="21"/>
  <c r="BI127" i="21"/>
  <c r="BI166" i="21"/>
  <c r="BI357" i="21"/>
  <c r="T364" i="21"/>
  <c r="Z364" i="21" s="1"/>
  <c r="T301" i="21"/>
  <c r="AZ47" i="21"/>
  <c r="BI11" i="21"/>
  <c r="BI88" i="21"/>
  <c r="BI180" i="21"/>
  <c r="BI192" i="21"/>
  <c r="BI220" i="21"/>
  <c r="BI370" i="21"/>
  <c r="BI379" i="21"/>
  <c r="V384" i="21"/>
  <c r="Y384" i="21" s="1"/>
  <c r="AZ375" i="21"/>
  <c r="AX339" i="21"/>
  <c r="BI154" i="21"/>
  <c r="BI203" i="21"/>
  <c r="BI264" i="21"/>
  <c r="BI299" i="21"/>
  <c r="AX324" i="21"/>
  <c r="BA324" i="21" s="1"/>
  <c r="BI189" i="21"/>
  <c r="BI390" i="21"/>
  <c r="R247" i="21"/>
  <c r="Y247" i="21" s="1"/>
  <c r="T351" i="21"/>
  <c r="Z351" i="21" s="1"/>
  <c r="AV381" i="21"/>
  <c r="BB381" i="21" s="1"/>
  <c r="AP9" i="21"/>
  <c r="BA9" i="21" s="1"/>
  <c r="AD6" i="21"/>
  <c r="AJ6" i="21" s="1"/>
  <c r="AB12" i="21"/>
  <c r="AI12" i="21" s="1"/>
  <c r="AV14" i="21"/>
  <c r="AV18" i="21"/>
  <c r="V21" i="21"/>
  <c r="Y21" i="21" s="1"/>
  <c r="AL29" i="21"/>
  <c r="BA29" i="21" s="1"/>
  <c r="AD37" i="21"/>
  <c r="AJ37" i="21" s="1"/>
  <c r="AV46" i="21"/>
  <c r="AX48" i="21"/>
  <c r="X50" i="21"/>
  <c r="Z50" i="21" s="1"/>
  <c r="T51" i="21"/>
  <c r="BI57" i="21"/>
  <c r="BF57" i="21"/>
  <c r="AD61" i="21"/>
  <c r="AJ61" i="21" s="1"/>
  <c r="X62" i="21"/>
  <c r="Z62" i="21" s="1"/>
  <c r="BI68" i="21"/>
  <c r="BF68" i="21"/>
  <c r="X78" i="21"/>
  <c r="AB83" i="21"/>
  <c r="AI83" i="21" s="1"/>
  <c r="AH88" i="21"/>
  <c r="AJ88" i="21" s="1"/>
  <c r="AV93" i="21"/>
  <c r="BB93" i="21" s="1"/>
  <c r="BI98" i="21"/>
  <c r="BF98" i="21"/>
  <c r="AB100" i="21"/>
  <c r="AI100" i="21" s="1"/>
  <c r="BI101" i="21"/>
  <c r="BF101" i="21"/>
  <c r="X107" i="21"/>
  <c r="T111" i="21"/>
  <c r="AV142" i="21"/>
  <c r="BB142" i="21" s="1"/>
  <c r="AR143" i="21"/>
  <c r="BB143" i="21" s="1"/>
  <c r="AN144" i="21"/>
  <c r="BB144" i="21" s="1"/>
  <c r="AH145" i="21"/>
  <c r="AJ145" i="21" s="1"/>
  <c r="AH165" i="21"/>
  <c r="AJ165" i="21" s="1"/>
  <c r="AH167" i="21"/>
  <c r="AJ167" i="21" s="1"/>
  <c r="BI169" i="21"/>
  <c r="BH169" i="21"/>
  <c r="AV170" i="21"/>
  <c r="BB170" i="21" s="1"/>
  <c r="T181" i="21"/>
  <c r="AV183" i="21"/>
  <c r="BB183" i="21" s="1"/>
  <c r="BI184" i="21"/>
  <c r="BH184" i="21"/>
  <c r="AF185" i="21"/>
  <c r="AI185" i="21" s="1"/>
  <c r="AR189" i="21"/>
  <c r="BB189" i="21" s="1"/>
  <c r="AH195" i="21"/>
  <c r="AB202" i="21"/>
  <c r="AI202" i="21" s="1"/>
  <c r="AX205" i="21"/>
  <c r="BA205" i="21" s="1"/>
  <c r="BI213" i="21"/>
  <c r="BH213" i="21"/>
  <c r="AN217" i="21"/>
  <c r="AX228" i="21"/>
  <c r="AT229" i="21"/>
  <c r="AR231" i="21"/>
  <c r="BB231" i="21" s="1"/>
  <c r="BI232" i="21"/>
  <c r="BH232" i="21"/>
  <c r="AH233" i="21"/>
  <c r="AJ233" i="21" s="1"/>
  <c r="AD234" i="21"/>
  <c r="AJ234" i="21" s="1"/>
  <c r="AV234" i="21"/>
  <c r="BB234" i="21" s="1"/>
  <c r="X235" i="21"/>
  <c r="Z235" i="21" s="1"/>
  <c r="AR235" i="21"/>
  <c r="BB235" i="21" s="1"/>
  <c r="BI236" i="21"/>
  <c r="BH236" i="21"/>
  <c r="AH237" i="21"/>
  <c r="AJ237" i="21" s="1"/>
  <c r="AD238" i="21"/>
  <c r="AJ238" i="21" s="1"/>
  <c r="AV238" i="21"/>
  <c r="BB238" i="21" s="1"/>
  <c r="X239" i="21"/>
  <c r="Z239" i="21" s="1"/>
  <c r="AR239" i="21"/>
  <c r="BB239" i="21" s="1"/>
  <c r="T240" i="21"/>
  <c r="Z240" i="21" s="1"/>
  <c r="AN240" i="21"/>
  <c r="BB240" i="21" s="1"/>
  <c r="AF248" i="21"/>
  <c r="AI248" i="21" s="1"/>
  <c r="AV251" i="21"/>
  <c r="BB251" i="21" s="1"/>
  <c r="X252" i="21"/>
  <c r="Z252" i="21" s="1"/>
  <c r="AR256" i="21"/>
  <c r="BB256" i="21" s="1"/>
  <c r="AT261" i="21"/>
  <c r="BA261" i="21" s="1"/>
  <c r="AD263" i="21"/>
  <c r="AJ263" i="21" s="1"/>
  <c r="AV263" i="21"/>
  <c r="X266" i="21"/>
  <c r="AD269" i="21"/>
  <c r="AJ269" i="21" s="1"/>
  <c r="AV269" i="21"/>
  <c r="X270" i="21"/>
  <c r="Z270" i="21" s="1"/>
  <c r="X274" i="21"/>
  <c r="Z274" i="21" s="1"/>
  <c r="T275" i="21"/>
  <c r="Z275" i="21" s="1"/>
  <c r="AR278" i="21"/>
  <c r="AD280" i="21"/>
  <c r="AR282" i="21"/>
  <c r="BB282" i="21" s="1"/>
  <c r="X286" i="21"/>
  <c r="Z286" i="21" s="1"/>
  <c r="BI286" i="21"/>
  <c r="BH286" i="21"/>
  <c r="AH287" i="21"/>
  <c r="AJ287" i="21" s="1"/>
  <c r="AR295" i="21"/>
  <c r="AF300" i="21"/>
  <c r="AI300" i="21" s="1"/>
  <c r="X301" i="21"/>
  <c r="AV310" i="21"/>
  <c r="BB310" i="21" s="1"/>
  <c r="AD323" i="21"/>
  <c r="AJ323" i="21" s="1"/>
  <c r="AR329" i="21"/>
  <c r="V334" i="21"/>
  <c r="Y334" i="21" s="1"/>
  <c r="AN334" i="21"/>
  <c r="BB334" i="21" s="1"/>
  <c r="AV336" i="21"/>
  <c r="BB336" i="21" s="1"/>
  <c r="AR337" i="21"/>
  <c r="T338" i="21"/>
  <c r="Z338" i="21" s="1"/>
  <c r="AH342" i="21"/>
  <c r="AJ342" i="21" s="1"/>
  <c r="AB350" i="21"/>
  <c r="AI350" i="21" s="1"/>
  <c r="AN354" i="21"/>
  <c r="AF361" i="21"/>
  <c r="BI369" i="21"/>
  <c r="BH369" i="21"/>
  <c r="AH374" i="21"/>
  <c r="AJ374" i="21" s="1"/>
  <c r="AF391" i="21"/>
  <c r="AI391" i="21" s="1"/>
  <c r="V401" i="21"/>
  <c r="Y401" i="21" s="1"/>
  <c r="X181" i="21"/>
  <c r="X3" i="21"/>
  <c r="Z3" i="21" s="1"/>
  <c r="V5" i="21"/>
  <c r="Y5" i="21" s="1"/>
  <c r="V13" i="21"/>
  <c r="Y13" i="21" s="1"/>
  <c r="AD14" i="21"/>
  <c r="AJ14" i="21" s="1"/>
  <c r="AV37" i="21"/>
  <c r="BB37" i="21" s="1"/>
  <c r="BI47" i="21"/>
  <c r="BH47" i="21"/>
  <c r="AH48" i="21"/>
  <c r="AJ48" i="21" s="1"/>
  <c r="AD49" i="21"/>
  <c r="BI51" i="21"/>
  <c r="BH51" i="21"/>
  <c r="AD55" i="21"/>
  <c r="X56" i="21"/>
  <c r="Z56" i="21" s="1"/>
  <c r="V60" i="21"/>
  <c r="Y60" i="21" s="1"/>
  <c r="AV61" i="21"/>
  <c r="BB61" i="21" s="1"/>
  <c r="AD69" i="21"/>
  <c r="AJ69" i="21" s="1"/>
  <c r="AN70" i="21"/>
  <c r="AD73" i="21"/>
  <c r="AJ73" i="21" s="1"/>
  <c r="R77" i="21"/>
  <c r="Y77" i="21" s="1"/>
  <c r="T79" i="21"/>
  <c r="Z79" i="21" s="1"/>
  <c r="AH84" i="21"/>
  <c r="AJ84" i="21" s="1"/>
  <c r="T95" i="21"/>
  <c r="Z95" i="21" s="1"/>
  <c r="AF99" i="21"/>
  <c r="AV102" i="21"/>
  <c r="AR103" i="21"/>
  <c r="AN104" i="21"/>
  <c r="BB104" i="21" s="1"/>
  <c r="AH105" i="21"/>
  <c r="AR107" i="21"/>
  <c r="AN108" i="21"/>
  <c r="BB108" i="21" s="1"/>
  <c r="AV109" i="21"/>
  <c r="BB109" i="21" s="1"/>
  <c r="X110" i="21"/>
  <c r="Z110" i="21" s="1"/>
  <c r="BI111" i="21"/>
  <c r="BH111" i="21"/>
  <c r="V114" i="21"/>
  <c r="AN116" i="21"/>
  <c r="BI116" i="21"/>
  <c r="BH116" i="21"/>
  <c r="AR120" i="21"/>
  <c r="V121" i="21"/>
  <c r="Y121" i="21" s="1"/>
  <c r="AN121" i="21"/>
  <c r="BB121" i="21" s="1"/>
  <c r="BI124" i="21"/>
  <c r="BH124" i="21"/>
  <c r="AH125" i="21"/>
  <c r="AJ125" i="21" s="1"/>
  <c r="AD126" i="21"/>
  <c r="AJ126" i="21" s="1"/>
  <c r="AV126" i="21"/>
  <c r="BB126" i="21" s="1"/>
  <c r="X131" i="21"/>
  <c r="Z131" i="21" s="1"/>
  <c r="T136" i="21"/>
  <c r="Z136" i="21" s="1"/>
  <c r="AN136" i="21"/>
  <c r="BB136" i="21" s="1"/>
  <c r="AD142" i="21"/>
  <c r="AJ142" i="21" s="1"/>
  <c r="T144" i="21"/>
  <c r="Z144" i="21" s="1"/>
  <c r="V149" i="21"/>
  <c r="Y149" i="21" s="1"/>
  <c r="AD150" i="21"/>
  <c r="AJ150" i="21" s="1"/>
  <c r="T152" i="21"/>
  <c r="BI152" i="21"/>
  <c r="BH152" i="21"/>
  <c r="BI160" i="21"/>
  <c r="BF160" i="21"/>
  <c r="AF161" i="21"/>
  <c r="AP174" i="21"/>
  <c r="AD176" i="21"/>
  <c r="AJ176" i="21" s="1"/>
  <c r="AX197" i="21"/>
  <c r="BA197" i="21" s="1"/>
  <c r="AD212" i="21"/>
  <c r="AJ212" i="21" s="1"/>
  <c r="AN213" i="21"/>
  <c r="AD216" i="21"/>
  <c r="AJ216" i="21" s="1"/>
  <c r="V219" i="21"/>
  <c r="Y219" i="21" s="1"/>
  <c r="AP219" i="21"/>
  <c r="BA219" i="21" s="1"/>
  <c r="AD220" i="21"/>
  <c r="AJ220" i="21" s="1"/>
  <c r="AD2" i="21"/>
  <c r="AJ2" i="21" s="1"/>
  <c r="AV2" i="21"/>
  <c r="BI3" i="21"/>
  <c r="BH3" i="21"/>
  <c r="AV6" i="21"/>
  <c r="BB6" i="21" s="1"/>
  <c r="AN7" i="21"/>
  <c r="X11" i="21"/>
  <c r="AN11" i="21"/>
  <c r="BI13" i="21"/>
  <c r="X15" i="21"/>
  <c r="AP17" i="21"/>
  <c r="BA17" i="21" s="1"/>
  <c r="X19" i="21"/>
  <c r="Z19" i="21" s="1"/>
  <c r="AH20" i="21"/>
  <c r="AJ20" i="21" s="1"/>
  <c r="BI29" i="21"/>
  <c r="AB31" i="21"/>
  <c r="AI31" i="21" s="1"/>
  <c r="AD33" i="21"/>
  <c r="AJ33" i="21" s="1"/>
  <c r="AP36" i="21"/>
  <c r="BA36" i="21" s="1"/>
  <c r="X38" i="21"/>
  <c r="Z38" i="21" s="1"/>
  <c r="AR38" i="21"/>
  <c r="BB38" i="21" s="1"/>
  <c r="BI42" i="21"/>
  <c r="BI45" i="21"/>
  <c r="AF46" i="21"/>
  <c r="AI46" i="21" s="1"/>
  <c r="AR47" i="21"/>
  <c r="AV49" i="21"/>
  <c r="BB49" i="21" s="1"/>
  <c r="AR50" i="21"/>
  <c r="BB50" i="21" s="1"/>
  <c r="AN51" i="21"/>
  <c r="BB51" i="21" s="1"/>
  <c r="AH52" i="21"/>
  <c r="AJ52" i="21" s="1"/>
  <c r="AL57" i="21"/>
  <c r="BA57" i="21" s="1"/>
  <c r="AB59" i="21"/>
  <c r="AI59" i="21" s="1"/>
  <c r="AT59" i="21"/>
  <c r="BA59" i="21" s="1"/>
  <c r="AX61" i="21"/>
  <c r="AR62" i="21"/>
  <c r="AN63" i="21"/>
  <c r="BB63" i="21" s="1"/>
  <c r="BI63" i="21"/>
  <c r="BH63" i="21"/>
  <c r="AD64" i="21"/>
  <c r="AV64" i="21"/>
  <c r="BB64" i="21" s="1"/>
  <c r="X70" i="21"/>
  <c r="Z70" i="21" s="1"/>
  <c r="BI70" i="21"/>
  <c r="AT71" i="21"/>
  <c r="BA71" i="21" s="1"/>
  <c r="AP72" i="21"/>
  <c r="BA72" i="21" s="1"/>
  <c r="AN74" i="21"/>
  <c r="AV77" i="21"/>
  <c r="BB77" i="21" s="1"/>
  <c r="AB78" i="21"/>
  <c r="AI78" i="21" s="1"/>
  <c r="AR78" i="21"/>
  <c r="BB78" i="21" s="1"/>
  <c r="AN79" i="21"/>
  <c r="BI79" i="21"/>
  <c r="BH79" i="21"/>
  <c r="AL81" i="21"/>
  <c r="BA81" i="21" s="1"/>
  <c r="AF82" i="21"/>
  <c r="AI82" i="21" s="1"/>
  <c r="AX86" i="21"/>
  <c r="BA86" i="21" s="1"/>
  <c r="AD89" i="21"/>
  <c r="AJ89" i="21" s="1"/>
  <c r="AR94" i="21"/>
  <c r="BB94" i="21" s="1"/>
  <c r="AN95" i="21"/>
  <c r="BI95" i="21"/>
  <c r="BH95" i="21"/>
  <c r="V97" i="21"/>
  <c r="Y97" i="21" s="1"/>
  <c r="AP97" i="21"/>
  <c r="R98" i="21"/>
  <c r="Y98" i="21" s="1"/>
  <c r="AL98" i="21"/>
  <c r="AX99" i="21"/>
  <c r="BA99" i="21" s="1"/>
  <c r="AT100" i="21"/>
  <c r="BA100" i="21" s="1"/>
  <c r="V101" i="21"/>
  <c r="AX102" i="21"/>
  <c r="AT103" i="21"/>
  <c r="AP104" i="21"/>
  <c r="AL105" i="21"/>
  <c r="AD106" i="21"/>
  <c r="AJ106" i="21" s="1"/>
  <c r="AV106" i="21"/>
  <c r="AB107" i="21"/>
  <c r="V108" i="21"/>
  <c r="Y108" i="21" s="1"/>
  <c r="BI108" i="21"/>
  <c r="BH108" i="21"/>
  <c r="AH109" i="21"/>
  <c r="AR110" i="21"/>
  <c r="AN111" i="21"/>
  <c r="AH112" i="21"/>
  <c r="AJ112" i="21" s="1"/>
  <c r="AT113" i="21"/>
  <c r="AV115" i="21"/>
  <c r="BB115" i="21" s="1"/>
  <c r="X116" i="21"/>
  <c r="Z116" i="21" s="1"/>
  <c r="AL119" i="21"/>
  <c r="BA119" i="21" s="1"/>
  <c r="AT120" i="21"/>
  <c r="BA120" i="21" s="1"/>
  <c r="BI121" i="21"/>
  <c r="BH121" i="21"/>
  <c r="AH122" i="21"/>
  <c r="T124" i="21"/>
  <c r="Z124" i="21" s="1"/>
  <c r="AN124" i="21"/>
  <c r="BB124" i="21" s="1"/>
  <c r="V129" i="21"/>
  <c r="Y129" i="21" s="1"/>
  <c r="AV130" i="21"/>
  <c r="BB130" i="21" s="1"/>
  <c r="AL134" i="21"/>
  <c r="BA134" i="21" s="1"/>
  <c r="BI136" i="21"/>
  <c r="BH136" i="21"/>
  <c r="AH137" i="21"/>
  <c r="AJ137" i="21" s="1"/>
  <c r="AX139" i="21"/>
  <c r="BA139" i="21" s="1"/>
  <c r="V141" i="21"/>
  <c r="Y141" i="21" s="1"/>
  <c r="AP141" i="21"/>
  <c r="BA141" i="21" s="1"/>
  <c r="AD146" i="21"/>
  <c r="AJ146" i="21" s="1"/>
  <c r="BI147" i="21"/>
  <c r="X151" i="21"/>
  <c r="Z151" i="21" s="1"/>
  <c r="AR151" i="21"/>
  <c r="BB151" i="21" s="1"/>
  <c r="AN152" i="21"/>
  <c r="BB152" i="21" s="1"/>
  <c r="AH153" i="21"/>
  <c r="AJ153" i="21" s="1"/>
  <c r="AD154" i="21"/>
  <c r="AJ154" i="21" s="1"/>
  <c r="AV154" i="21"/>
  <c r="BB154" i="21" s="1"/>
  <c r="AR155" i="21"/>
  <c r="T156" i="21"/>
  <c r="Z156" i="21" s="1"/>
  <c r="AN156" i="21"/>
  <c r="BI156" i="21"/>
  <c r="BH156" i="21"/>
  <c r="AH157" i="21"/>
  <c r="AJ157" i="21" s="1"/>
  <c r="X159" i="21"/>
  <c r="Z159" i="21" s="1"/>
  <c r="AR159" i="21"/>
  <c r="BB159" i="21" s="1"/>
  <c r="T160" i="21"/>
  <c r="AN160" i="21"/>
  <c r="R163" i="21"/>
  <c r="Y163" i="21" s="1"/>
  <c r="T165" i="21"/>
  <c r="Z165" i="21" s="1"/>
  <c r="AL167" i="21"/>
  <c r="X169" i="21"/>
  <c r="Z169" i="21" s="1"/>
  <c r="AH170" i="21"/>
  <c r="AJ170" i="21" s="1"/>
  <c r="AN172" i="21"/>
  <c r="AL175" i="21"/>
  <c r="BI175" i="21"/>
  <c r="BF175" i="21"/>
  <c r="AF176" i="21"/>
  <c r="AI176" i="21" s="1"/>
  <c r="AN177" i="21"/>
  <c r="BB177" i="21" s="1"/>
  <c r="AD196" i="21"/>
  <c r="AJ196" i="21" s="1"/>
  <c r="AD200" i="21"/>
  <c r="AJ200" i="21" s="1"/>
  <c r="AV212" i="21"/>
  <c r="BB212" i="21" s="1"/>
  <c r="X217" i="21"/>
  <c r="BI219" i="21"/>
  <c r="AV220" i="21"/>
  <c r="X221" i="21"/>
  <c r="AN222" i="21"/>
  <c r="BB222" i="21" s="1"/>
  <c r="BI222" i="21"/>
  <c r="BH222" i="21"/>
  <c r="AT227" i="21"/>
  <c r="AD229" i="21"/>
  <c r="AN232" i="21"/>
  <c r="BB232" i="21" s="1"/>
  <c r="T236" i="21"/>
  <c r="Z236" i="21" s="1"/>
  <c r="AN236" i="21"/>
  <c r="BB236" i="21" s="1"/>
  <c r="AN241" i="21"/>
  <c r="BB241" i="21" s="1"/>
  <c r="AD242" i="21"/>
  <c r="AN245" i="21"/>
  <c r="BB245" i="21" s="1"/>
  <c r="BI245" i="21"/>
  <c r="BH245" i="21"/>
  <c r="AB249" i="21"/>
  <c r="AI249" i="21" s="1"/>
  <c r="V250" i="21"/>
  <c r="Y250" i="21" s="1"/>
  <c r="R251" i="21"/>
  <c r="Y251" i="21" s="1"/>
  <c r="AL255" i="21"/>
  <c r="BA255" i="21" s="1"/>
  <c r="AD259" i="21"/>
  <c r="AJ259" i="21" s="1"/>
  <c r="AP262" i="21"/>
  <c r="BA262" i="21" s="1"/>
  <c r="BI262" i="21"/>
  <c r="X264" i="21"/>
  <c r="Z264" i="21" s="1"/>
  <c r="AV265" i="21"/>
  <c r="BB265" i="21" s="1"/>
  <c r="AR266" i="21"/>
  <c r="BI270" i="21"/>
  <c r="BH270" i="21"/>
  <c r="V272" i="21"/>
  <c r="Y272" i="21" s="1"/>
  <c r="R273" i="21"/>
  <c r="Y273" i="21" s="1"/>
  <c r="AL273" i="21"/>
  <c r="BA273" i="21" s="1"/>
  <c r="AR274" i="21"/>
  <c r="AV276" i="21"/>
  <c r="BB276" i="21" s="1"/>
  <c r="T279" i="21"/>
  <c r="Z279" i="21" s="1"/>
  <c r="T283" i="21"/>
  <c r="Z283" i="21" s="1"/>
  <c r="AN283" i="21"/>
  <c r="BB283" i="21" s="1"/>
  <c r="BI283" i="21"/>
  <c r="BH283" i="21"/>
  <c r="AT290" i="21"/>
  <c r="BA290" i="21" s="1"/>
  <c r="AB295" i="21"/>
  <c r="AI295" i="21" s="1"/>
  <c r="AD298" i="21"/>
  <c r="AJ298" i="21" s="1"/>
  <c r="AR299" i="21"/>
  <c r="BB299" i="21" s="1"/>
  <c r="V302" i="21"/>
  <c r="Y302" i="21" s="1"/>
  <c r="AT304" i="21"/>
  <c r="BA304" i="21" s="1"/>
  <c r="AT308" i="21"/>
  <c r="BA308" i="21" s="1"/>
  <c r="AH310" i="21"/>
  <c r="AN320" i="21"/>
  <c r="BB320" i="21" s="1"/>
  <c r="BI321" i="21"/>
  <c r="BH321" i="21"/>
  <c r="AH322" i="21"/>
  <c r="AV328" i="21"/>
  <c r="AX336" i="21"/>
  <c r="AD343" i="21"/>
  <c r="AF349" i="21"/>
  <c r="AI349" i="21" s="1"/>
  <c r="V354" i="21"/>
  <c r="Y354" i="21" s="1"/>
  <c r="AD364" i="21"/>
  <c r="AJ364" i="21" s="1"/>
  <c r="T369" i="21"/>
  <c r="AN369" i="21"/>
  <c r="AN373" i="21"/>
  <c r="BB373" i="21" s="1"/>
  <c r="AX391" i="21"/>
  <c r="BA391" i="21" s="1"/>
  <c r="AV394" i="21"/>
  <c r="BB394" i="21" s="1"/>
  <c r="BF396" i="21"/>
  <c r="BI396" i="21"/>
  <c r="AH400" i="21"/>
  <c r="AJ400" i="21" s="1"/>
  <c r="R376" i="21"/>
  <c r="Y376" i="21" s="1"/>
  <c r="R216" i="21"/>
  <c r="Y216" i="21" s="1"/>
  <c r="R113" i="21"/>
  <c r="T316" i="21"/>
  <c r="Z316" i="21" s="1"/>
  <c r="T132" i="21"/>
  <c r="Z132" i="21" s="1"/>
  <c r="X155" i="21"/>
  <c r="Z155" i="21" s="1"/>
  <c r="AD50" i="21"/>
  <c r="AJ50" i="21" s="1"/>
  <c r="V68" i="21"/>
  <c r="Y68" i="21" s="1"/>
  <c r="AN75" i="21"/>
  <c r="BB75" i="21" s="1"/>
  <c r="AH80" i="21"/>
  <c r="AJ80" i="21" s="1"/>
  <c r="BI93" i="21"/>
  <c r="BF93" i="21"/>
  <c r="AP101" i="21"/>
  <c r="BA101" i="21" s="1"/>
  <c r="R115" i="21"/>
  <c r="Y115" i="21" s="1"/>
  <c r="AR116" i="21"/>
  <c r="BI119" i="21"/>
  <c r="BF119" i="21"/>
  <c r="AB121" i="21"/>
  <c r="AI121" i="21" s="1"/>
  <c r="AT128" i="21"/>
  <c r="AV146" i="21"/>
  <c r="BB146" i="21" s="1"/>
  <c r="AR147" i="21"/>
  <c r="BB147" i="21" s="1"/>
  <c r="T153" i="21"/>
  <c r="Z153" i="21" s="1"/>
  <c r="BI153" i="21"/>
  <c r="BH153" i="21"/>
  <c r="AR164" i="21"/>
  <c r="BB164" i="21" s="1"/>
  <c r="BI177" i="21"/>
  <c r="BH177" i="21"/>
  <c r="AV178" i="21"/>
  <c r="BB178" i="21" s="1"/>
  <c r="R188" i="21"/>
  <c r="Y188" i="21" s="1"/>
  <c r="AT198" i="21"/>
  <c r="BA198" i="21" s="1"/>
  <c r="X205" i="21"/>
  <c r="Z205" i="21" s="1"/>
  <c r="BI209" i="21"/>
  <c r="BH209" i="21"/>
  <c r="AR213" i="21"/>
  <c r="T214" i="21"/>
  <c r="Z214" i="21" s="1"/>
  <c r="AP215" i="21"/>
  <c r="BA215" i="21" s="1"/>
  <c r="AR217" i="21"/>
  <c r="R234" i="21"/>
  <c r="Y234" i="21" s="1"/>
  <c r="BI238" i="21"/>
  <c r="BF238" i="21"/>
  <c r="AR252" i="21"/>
  <c r="BB252" i="21" s="1"/>
  <c r="AB257" i="21"/>
  <c r="AI257" i="21" s="1"/>
  <c r="AP268" i="21"/>
  <c r="BA268" i="21" s="1"/>
  <c r="BI269" i="21"/>
  <c r="BF269" i="21"/>
  <c r="AH271" i="21"/>
  <c r="AJ271" i="21" s="1"/>
  <c r="BI279" i="21"/>
  <c r="BH279" i="21"/>
  <c r="AH284" i="21"/>
  <c r="AJ284" i="21" s="1"/>
  <c r="AP291" i="21"/>
  <c r="BA291" i="21" s="1"/>
  <c r="AN296" i="21"/>
  <c r="BB296" i="21" s="1"/>
  <c r="T303" i="21"/>
  <c r="BI307" i="21"/>
  <c r="BF307" i="21"/>
  <c r="AR309" i="21"/>
  <c r="AN321" i="21"/>
  <c r="BB321" i="21" s="1"/>
  <c r="BF327" i="21"/>
  <c r="BI327" i="21"/>
  <c r="AX332" i="21"/>
  <c r="BA332" i="21" s="1"/>
  <c r="AD333" i="21"/>
  <c r="AJ333" i="21" s="1"/>
  <c r="AV340" i="21"/>
  <c r="AR341" i="21"/>
  <c r="BB341" i="21" s="1"/>
  <c r="T342" i="21"/>
  <c r="Z342" i="21" s="1"/>
  <c r="X345" i="21"/>
  <c r="Z345" i="21" s="1"/>
  <c r="BH348" i="21"/>
  <c r="BI348" i="21"/>
  <c r="X360" i="21"/>
  <c r="Z360" i="21" s="1"/>
  <c r="BI363" i="21"/>
  <c r="BF363" i="21"/>
  <c r="AP373" i="21"/>
  <c r="AR395" i="21"/>
  <c r="BB395" i="21" s="1"/>
  <c r="BH404" i="21"/>
  <c r="BI404" i="21"/>
  <c r="AH4" i="21"/>
  <c r="AJ4" i="21" s="1"/>
  <c r="R6" i="21"/>
  <c r="Y6" i="21" s="1"/>
  <c r="AL6" i="21"/>
  <c r="BA6" i="21" s="1"/>
  <c r="X7" i="21"/>
  <c r="Z7" i="21" s="1"/>
  <c r="AR7" i="21"/>
  <c r="AR11" i="21"/>
  <c r="AD13" i="21"/>
  <c r="AR15" i="21"/>
  <c r="BB15" i="21" s="1"/>
  <c r="T16" i="21"/>
  <c r="Z16" i="21" s="1"/>
  <c r="AR19" i="21"/>
  <c r="BB19" i="21" s="1"/>
  <c r="T20" i="21"/>
  <c r="Z20" i="21" s="1"/>
  <c r="AN20" i="21"/>
  <c r="BB20" i="21" s="1"/>
  <c r="AV21" i="21"/>
  <c r="BB21" i="21" s="1"/>
  <c r="X22" i="21"/>
  <c r="Z22" i="21" s="1"/>
  <c r="AR22" i="21"/>
  <c r="BB22" i="21" s="1"/>
  <c r="AN23" i="21"/>
  <c r="BB23" i="21" s="1"/>
  <c r="BI23" i="21"/>
  <c r="BH23" i="21"/>
  <c r="AH24" i="21"/>
  <c r="AJ24" i="21" s="1"/>
  <c r="AX24" i="21"/>
  <c r="BA24" i="21" s="1"/>
  <c r="AD25" i="21"/>
  <c r="AJ25" i="21" s="1"/>
  <c r="X26" i="21"/>
  <c r="Z26" i="21" s="1"/>
  <c r="T27" i="21"/>
  <c r="Z27" i="21" s="1"/>
  <c r="BI27" i="21"/>
  <c r="BH27" i="21"/>
  <c r="AV33" i="21"/>
  <c r="BB33" i="21" s="1"/>
  <c r="T35" i="21"/>
  <c r="Z35" i="21" s="1"/>
  <c r="BI39" i="21"/>
  <c r="BH39" i="21"/>
  <c r="AH40" i="21"/>
  <c r="AJ40" i="21" s="1"/>
  <c r="AD41" i="21"/>
  <c r="AJ41" i="21" s="1"/>
  <c r="X42" i="21"/>
  <c r="Z42" i="21" s="1"/>
  <c r="AR42" i="21"/>
  <c r="BB42" i="21" s="1"/>
  <c r="T43" i="21"/>
  <c r="Z43" i="21" s="1"/>
  <c r="BI43" i="21"/>
  <c r="BH43" i="21"/>
  <c r="AH44" i="21"/>
  <c r="AJ44" i="21" s="1"/>
  <c r="V48" i="21"/>
  <c r="Y48" i="21" s="1"/>
  <c r="AP48" i="21"/>
  <c r="BA48" i="21" s="1"/>
  <c r="AL49" i="21"/>
  <c r="BA49" i="21" s="1"/>
  <c r="BI49" i="21"/>
  <c r="BF49" i="21"/>
  <c r="AF50" i="21"/>
  <c r="AI50" i="21" s="1"/>
  <c r="AB51" i="21"/>
  <c r="AI51" i="21" s="1"/>
  <c r="V52" i="21"/>
  <c r="Y52" i="21" s="1"/>
  <c r="BI52" i="21"/>
  <c r="BH52" i="21"/>
  <c r="AB54" i="21"/>
  <c r="AI54" i="21" s="1"/>
  <c r="AR54" i="21"/>
  <c r="R61" i="21"/>
  <c r="Y61" i="21" s="1"/>
  <c r="AL61" i="21"/>
  <c r="AH64" i="21"/>
  <c r="AD65" i="21"/>
  <c r="AJ65" i="21" s="1"/>
  <c r="T71" i="21"/>
  <c r="Z71" i="21" s="1"/>
  <c r="X74" i="21"/>
  <c r="Z74" i="21" s="1"/>
  <c r="AR74" i="21"/>
  <c r="AH76" i="21"/>
  <c r="AJ76" i="21" s="1"/>
  <c r="BI77" i="21"/>
  <c r="BF77" i="21"/>
  <c r="AX80" i="21"/>
  <c r="AD85" i="21"/>
  <c r="AJ85" i="21" s="1"/>
  <c r="AP88" i="21"/>
  <c r="AN91" i="21"/>
  <c r="BB91" i="21" s="1"/>
  <c r="BI91" i="21"/>
  <c r="BH91" i="21"/>
  <c r="AH92" i="21"/>
  <c r="AJ92" i="21" s="1"/>
  <c r="AR95" i="21"/>
  <c r="T96" i="21"/>
  <c r="Z96" i="21" s="1"/>
  <c r="T99" i="21"/>
  <c r="AN99" i="21"/>
  <c r="BI99" i="21"/>
  <c r="BH99" i="21"/>
  <c r="AH100" i="21"/>
  <c r="AJ100" i="21" s="1"/>
  <c r="AL102" i="21"/>
  <c r="AF103" i="21"/>
  <c r="AI103" i="21" s="1"/>
  <c r="AX103" i="21"/>
  <c r="AB104" i="21"/>
  <c r="AI104" i="21" s="1"/>
  <c r="AT104" i="21"/>
  <c r="V105" i="21"/>
  <c r="Y105" i="21" s="1"/>
  <c r="AP105" i="21"/>
  <c r="BI105" i="21"/>
  <c r="BI106" i="21"/>
  <c r="BF106" i="21"/>
  <c r="AF107" i="21"/>
  <c r="AB108" i="21"/>
  <c r="AI108" i="21" s="1"/>
  <c r="BI109" i="21"/>
  <c r="BF109" i="21"/>
  <c r="AV110" i="21"/>
  <c r="AR111" i="21"/>
  <c r="AN112" i="21"/>
  <c r="BB112" i="21" s="1"/>
  <c r="BI112" i="21"/>
  <c r="BH112" i="21"/>
  <c r="BI115" i="21"/>
  <c r="BF115" i="21"/>
  <c r="V117" i="21"/>
  <c r="Y117" i="21" s="1"/>
  <c r="AP117" i="21"/>
  <c r="V125" i="21"/>
  <c r="Y125" i="21" s="1"/>
  <c r="AP125" i="21"/>
  <c r="BA125" i="21" s="1"/>
  <c r="R126" i="21"/>
  <c r="Y126" i="21" s="1"/>
  <c r="AL126" i="21"/>
  <c r="BA126" i="21" s="1"/>
  <c r="BI130" i="21"/>
  <c r="BF130" i="21"/>
  <c r="AN132" i="21"/>
  <c r="BB132" i="21" s="1"/>
  <c r="AB136" i="21"/>
  <c r="AI136" i="21" s="1"/>
  <c r="AD138" i="21"/>
  <c r="AJ138" i="21" s="1"/>
  <c r="AL142" i="21"/>
  <c r="BA142" i="21" s="1"/>
  <c r="AX143" i="21"/>
  <c r="BA143" i="21" s="1"/>
  <c r="AB144" i="21"/>
  <c r="AI144" i="21" s="1"/>
  <c r="AT144" i="21"/>
  <c r="BA144" i="21" s="1"/>
  <c r="AP145" i="21"/>
  <c r="BA145" i="21" s="1"/>
  <c r="T148" i="21"/>
  <c r="Z148" i="21" s="1"/>
  <c r="AV155" i="21"/>
  <c r="AR156" i="21"/>
  <c r="AN157" i="21"/>
  <c r="BB157" i="21" s="1"/>
  <c r="AD159" i="21"/>
  <c r="AJ159" i="21" s="1"/>
  <c r="X160" i="21"/>
  <c r="T161" i="21"/>
  <c r="BI163" i="21"/>
  <c r="BF163" i="21"/>
  <c r="BI165" i="21"/>
  <c r="AP167" i="21"/>
  <c r="AX168" i="21"/>
  <c r="V170" i="21"/>
  <c r="Y170" i="21" s="1"/>
  <c r="BI170" i="21"/>
  <c r="BH170" i="21"/>
  <c r="AV171" i="21"/>
  <c r="BB171" i="21" s="1"/>
  <c r="AD174" i="21"/>
  <c r="AJ174" i="21" s="1"/>
  <c r="AP175" i="21"/>
  <c r="AH178" i="21"/>
  <c r="AJ178" i="21" s="1"/>
  <c r="AN181" i="21"/>
  <c r="BB181" i="21" s="1"/>
  <c r="BI188" i="21"/>
  <c r="AN190" i="21"/>
  <c r="BB190" i="21" s="1"/>
  <c r="AH191" i="21"/>
  <c r="AJ191" i="21" s="1"/>
  <c r="AD192" i="21"/>
  <c r="AJ192" i="21" s="1"/>
  <c r="V195" i="21"/>
  <c r="Y195" i="21" s="1"/>
  <c r="AV204" i="21"/>
  <c r="BB204" i="21" s="1"/>
  <c r="BI205" i="21"/>
  <c r="AH206" i="21"/>
  <c r="AJ206" i="21" s="1"/>
  <c r="AD208" i="21"/>
  <c r="AJ208" i="21" s="1"/>
  <c r="AV208" i="21"/>
  <c r="BB208" i="21" s="1"/>
  <c r="X209" i="21"/>
  <c r="Z209" i="21" s="1"/>
  <c r="AH210" i="21"/>
  <c r="AJ210" i="21" s="1"/>
  <c r="R212" i="21"/>
  <c r="Y212" i="21" s="1"/>
  <c r="AL212" i="21"/>
  <c r="BA212" i="21" s="1"/>
  <c r="AD219" i="21"/>
  <c r="X225" i="21"/>
  <c r="Z225" i="21" s="1"/>
  <c r="T226" i="21"/>
  <c r="BI226" i="21"/>
  <c r="BH226" i="21"/>
  <c r="AN228" i="21"/>
  <c r="BB228" i="21" s="1"/>
  <c r="AH229" i="21"/>
  <c r="AX231" i="21"/>
  <c r="BA231" i="21" s="1"/>
  <c r="V233" i="21"/>
  <c r="Y233" i="21" s="1"/>
  <c r="AP233" i="21"/>
  <c r="BA233" i="21" s="1"/>
  <c r="AL234" i="21"/>
  <c r="BA234" i="21" s="1"/>
  <c r="AF235" i="21"/>
  <c r="AI235" i="21" s="1"/>
  <c r="V237" i="21"/>
  <c r="Y237" i="21" s="1"/>
  <c r="AP237" i="21"/>
  <c r="BA237" i="21" s="1"/>
  <c r="R238" i="21"/>
  <c r="Y238" i="21" s="1"/>
  <c r="AL238" i="21"/>
  <c r="BA238" i="21" s="1"/>
  <c r="AF239" i="21"/>
  <c r="AI239" i="21" s="1"/>
  <c r="AB240" i="21"/>
  <c r="AI240" i="21" s="1"/>
  <c r="AT240" i="21"/>
  <c r="AH242" i="21"/>
  <c r="X243" i="21"/>
  <c r="Z243" i="21" s="1"/>
  <c r="AX244" i="21"/>
  <c r="BA244" i="21" s="1"/>
  <c r="AD247" i="21"/>
  <c r="AJ247" i="21" s="1"/>
  <c r="AV247" i="21"/>
  <c r="BB247" i="21" s="1"/>
  <c r="BI251" i="21"/>
  <c r="BF251" i="21"/>
  <c r="AN253" i="21"/>
  <c r="BB253" i="21" s="1"/>
  <c r="AH254" i="21"/>
  <c r="AJ254" i="21" s="1"/>
  <c r="BI255" i="21"/>
  <c r="AF256" i="21"/>
  <c r="AI256" i="21" s="1"/>
  <c r="BI258" i="21"/>
  <c r="AV259" i="21"/>
  <c r="BB259" i="21" s="1"/>
  <c r="T261" i="21"/>
  <c r="Z261" i="21" s="1"/>
  <c r="AL263" i="21"/>
  <c r="BA263" i="21" s="1"/>
  <c r="AD264" i="21"/>
  <c r="R265" i="21"/>
  <c r="Y265" i="21" s="1"/>
  <c r="BI265" i="21"/>
  <c r="BF265" i="21"/>
  <c r="AN267" i="21"/>
  <c r="BB267" i="21" s="1"/>
  <c r="R269" i="21"/>
  <c r="Y269" i="21" s="1"/>
  <c r="AL269" i="21"/>
  <c r="BA269" i="21" s="1"/>
  <c r="AR270" i="21"/>
  <c r="BB270" i="21" s="1"/>
  <c r="T271" i="21"/>
  <c r="Z271" i="21" s="1"/>
  <c r="BI273" i="21"/>
  <c r="BI275" i="21"/>
  <c r="BH275" i="21"/>
  <c r="AH276" i="21"/>
  <c r="AJ276" i="21" s="1"/>
  <c r="BI277" i="21"/>
  <c r="AN279" i="21"/>
  <c r="BB279" i="21" s="1"/>
  <c r="BI285" i="21"/>
  <c r="V287" i="21"/>
  <c r="Y287" i="21" s="1"/>
  <c r="X289" i="21"/>
  <c r="Z289" i="21" s="1"/>
  <c r="AV292" i="21"/>
  <c r="BB292" i="21" s="1"/>
  <c r="X293" i="21"/>
  <c r="Z293" i="21" s="1"/>
  <c r="AR293" i="21"/>
  <c r="BB293" i="21" s="1"/>
  <c r="X296" i="21"/>
  <c r="AF301" i="21"/>
  <c r="AI301" i="21" s="1"/>
  <c r="AF304" i="21"/>
  <c r="AL307" i="21"/>
  <c r="BA307" i="21" s="1"/>
  <c r="X320" i="21"/>
  <c r="BF332" i="21"/>
  <c r="BI332" i="21"/>
  <c r="AV344" i="21"/>
  <c r="AR345" i="21"/>
  <c r="AN346" i="21"/>
  <c r="BB346" i="21" s="1"/>
  <c r="BI346" i="21"/>
  <c r="BH346" i="21"/>
  <c r="AN348" i="21"/>
  <c r="AH353" i="21"/>
  <c r="AJ353" i="21" s="1"/>
  <c r="AX359" i="21"/>
  <c r="BI385" i="21"/>
  <c r="BF385" i="21"/>
  <c r="BI388" i="21"/>
  <c r="AT390" i="21"/>
  <c r="BA390" i="21" s="1"/>
  <c r="AN404" i="21"/>
  <c r="BB404" i="21" s="1"/>
  <c r="R336" i="21"/>
  <c r="Y336" i="21" s="1"/>
  <c r="T302" i="21"/>
  <c r="Z302" i="21" s="1"/>
  <c r="T23" i="21"/>
  <c r="Z23" i="21" s="1"/>
  <c r="AH118" i="21"/>
  <c r="V122" i="21"/>
  <c r="Y122" i="21" s="1"/>
  <c r="AB124" i="21"/>
  <c r="AI124" i="21" s="1"/>
  <c r="AT124" i="21"/>
  <c r="BA124" i="21" s="1"/>
  <c r="AX128" i="21"/>
  <c r="AH133" i="21"/>
  <c r="AJ133" i="21" s="1"/>
  <c r="V137" i="21"/>
  <c r="Y137" i="21" s="1"/>
  <c r="X139" i="21"/>
  <c r="Z139" i="21" s="1"/>
  <c r="AL146" i="21"/>
  <c r="BA146" i="21" s="1"/>
  <c r="AN148" i="21"/>
  <c r="BB148" i="21" s="1"/>
  <c r="BI150" i="21"/>
  <c r="BF150" i="21"/>
  <c r="AF151" i="21"/>
  <c r="AI151" i="21" s="1"/>
  <c r="AX151" i="21"/>
  <c r="BA151" i="21" s="1"/>
  <c r="AT152" i="21"/>
  <c r="BA152" i="21" s="1"/>
  <c r="AP153" i="21"/>
  <c r="BA153" i="21" s="1"/>
  <c r="AL154" i="21"/>
  <c r="BA154" i="21" s="1"/>
  <c r="AF155" i="21"/>
  <c r="AI155" i="21" s="1"/>
  <c r="AB156" i="21"/>
  <c r="AI156" i="21" s="1"/>
  <c r="V157" i="21"/>
  <c r="Y157" i="21" s="1"/>
  <c r="AH158" i="21"/>
  <c r="BI158" i="21"/>
  <c r="BF158" i="21"/>
  <c r="AF159" i="21"/>
  <c r="AI159" i="21" s="1"/>
  <c r="AX159" i="21"/>
  <c r="BI161" i="21"/>
  <c r="BH161" i="21"/>
  <c r="AR165" i="21"/>
  <c r="BB165" i="21" s="1"/>
  <c r="AH166" i="21"/>
  <c r="AJ166" i="21" s="1"/>
  <c r="X167" i="21"/>
  <c r="Z167" i="21" s="1"/>
  <c r="AL168" i="21"/>
  <c r="BA168" i="21" s="1"/>
  <c r="R171" i="21"/>
  <c r="AN173" i="21"/>
  <c r="BB173" i="21" s="1"/>
  <c r="BI173" i="21"/>
  <c r="BH173" i="21"/>
  <c r="T176" i="21"/>
  <c r="Z176" i="21" s="1"/>
  <c r="AD179" i="21"/>
  <c r="AJ179" i="21" s="1"/>
  <c r="AV179" i="21"/>
  <c r="BB179" i="21" s="1"/>
  <c r="X185" i="21"/>
  <c r="Z185" i="21" s="1"/>
  <c r="AV186" i="21"/>
  <c r="BB186" i="21" s="1"/>
  <c r="AR187" i="21"/>
  <c r="BB187" i="21" s="1"/>
  <c r="AV192" i="21"/>
  <c r="X197" i="21"/>
  <c r="Z197" i="21" s="1"/>
  <c r="T198" i="21"/>
  <c r="Z198" i="21" s="1"/>
  <c r="AV200" i="21"/>
  <c r="BB200" i="21" s="1"/>
  <c r="X201" i="21"/>
  <c r="Z201" i="21" s="1"/>
  <c r="AR201" i="21"/>
  <c r="BB201" i="21" s="1"/>
  <c r="T202" i="21"/>
  <c r="Z202" i="21" s="1"/>
  <c r="AD203" i="21"/>
  <c r="AR205" i="21"/>
  <c r="BB205" i="21" s="1"/>
  <c r="T210" i="21"/>
  <c r="Z210" i="21" s="1"/>
  <c r="BI210" i="21"/>
  <c r="BH210" i="21"/>
  <c r="BI212" i="21"/>
  <c r="BF212" i="21"/>
  <c r="AN214" i="21"/>
  <c r="BB214" i="21" s="1"/>
  <c r="AL216" i="21"/>
  <c r="BA216" i="21" s="1"/>
  <c r="AD224" i="21"/>
  <c r="AJ224" i="21" s="1"/>
  <c r="AV224" i="21"/>
  <c r="BB224" i="21" s="1"/>
  <c r="AR225" i="21"/>
  <c r="BB225" i="21" s="1"/>
  <c r="AN226" i="21"/>
  <c r="AH227" i="21"/>
  <c r="AJ227" i="21" s="1"/>
  <c r="AP230" i="21"/>
  <c r="BA230" i="21" s="1"/>
  <c r="AT232" i="21"/>
  <c r="BA232" i="21" s="1"/>
  <c r="BI234" i="21"/>
  <c r="AB236" i="21"/>
  <c r="AI236" i="21" s="1"/>
  <c r="AT236" i="21"/>
  <c r="BA236" i="21" s="1"/>
  <c r="X248" i="21"/>
  <c r="Z248" i="21" s="1"/>
  <c r="R259" i="21"/>
  <c r="Y259" i="21" s="1"/>
  <c r="AR260" i="21"/>
  <c r="BB260" i="21" s="1"/>
  <c r="BI261" i="21"/>
  <c r="BH261" i="21"/>
  <c r="AL265" i="21"/>
  <c r="BA265" i="21" s="1"/>
  <c r="BI267" i="21"/>
  <c r="BH267" i="21"/>
  <c r="AN271" i="21"/>
  <c r="BB271" i="21" s="1"/>
  <c r="X273" i="21"/>
  <c r="Z273" i="21" s="1"/>
  <c r="AD277" i="21"/>
  <c r="AJ277" i="21" s="1"/>
  <c r="AR281" i="21"/>
  <c r="T282" i="21"/>
  <c r="AB283" i="21"/>
  <c r="AI283" i="21" s="1"/>
  <c r="AT283" i="21"/>
  <c r="BA283" i="21" s="1"/>
  <c r="V284" i="21"/>
  <c r="Y284" i="21" s="1"/>
  <c r="X285" i="21"/>
  <c r="Z285" i="21" s="1"/>
  <c r="AF286" i="21"/>
  <c r="AI286" i="21" s="1"/>
  <c r="AV288" i="21"/>
  <c r="BB288" i="21" s="1"/>
  <c r="T290" i="21"/>
  <c r="Z290" i="21" s="1"/>
  <c r="T294" i="21"/>
  <c r="Z294" i="21" s="1"/>
  <c r="AN294" i="21"/>
  <c r="BB294" i="21" s="1"/>
  <c r="BI294" i="21"/>
  <c r="BH294" i="21"/>
  <c r="AH295" i="21"/>
  <c r="AJ295" i="21" s="1"/>
  <c r="AN297" i="21"/>
  <c r="AL298" i="21"/>
  <c r="AF299" i="21"/>
  <c r="AI299" i="21" s="1"/>
  <c r="BI300" i="21"/>
  <c r="BH300" i="21"/>
  <c r="BH303" i="21"/>
  <c r="BI303" i="21"/>
  <c r="V307" i="21"/>
  <c r="Y307" i="21" s="1"/>
  <c r="AX311" i="21"/>
  <c r="BA311" i="21" s="1"/>
  <c r="T314" i="21"/>
  <c r="Z314" i="21" s="1"/>
  <c r="AH318" i="21"/>
  <c r="AJ318" i="21" s="1"/>
  <c r="AR331" i="21"/>
  <c r="R340" i="21"/>
  <c r="Y340" i="21" s="1"/>
  <c r="AH340" i="21"/>
  <c r="AV362" i="21"/>
  <c r="BB362" i="21" s="1"/>
  <c r="AH367" i="21"/>
  <c r="AR370" i="21"/>
  <c r="BB370" i="21" s="1"/>
  <c r="AN371" i="21"/>
  <c r="BB371" i="21" s="1"/>
  <c r="AH372" i="21"/>
  <c r="AJ372" i="21" s="1"/>
  <c r="AX372" i="21"/>
  <c r="AF376" i="21"/>
  <c r="AI376" i="21" s="1"/>
  <c r="AV376" i="21"/>
  <c r="BB376" i="21" s="1"/>
  <c r="T385" i="21"/>
  <c r="Z385" i="21" s="1"/>
  <c r="AR388" i="21"/>
  <c r="BB388" i="21" s="1"/>
  <c r="AR393" i="21"/>
  <c r="BB393" i="21" s="1"/>
  <c r="V394" i="21"/>
  <c r="Y394" i="21" s="1"/>
  <c r="AD399" i="21"/>
  <c r="AJ399" i="21" s="1"/>
  <c r="AP404" i="21"/>
  <c r="BA404" i="21" s="1"/>
  <c r="R102" i="21"/>
  <c r="Y102" i="21" s="1"/>
  <c r="T108" i="21"/>
  <c r="Z108" i="21" s="1"/>
  <c r="BI7" i="21"/>
  <c r="BH7" i="21"/>
  <c r="AV10" i="21"/>
  <c r="BB10" i="21" s="1"/>
  <c r="X34" i="21"/>
  <c r="Z34" i="21" s="1"/>
  <c r="AX40" i="21"/>
  <c r="X51" i="21"/>
  <c r="AH55" i="21"/>
  <c r="AP68" i="21"/>
  <c r="BA68" i="21" s="1"/>
  <c r="AV73" i="21"/>
  <c r="BB73" i="21" s="1"/>
  <c r="T75" i="21"/>
  <c r="Z75" i="21" s="1"/>
  <c r="V84" i="21"/>
  <c r="Y84" i="21" s="1"/>
  <c r="AT87" i="21"/>
  <c r="BA87" i="21" s="1"/>
  <c r="AV89" i="21"/>
  <c r="BB89" i="21" s="1"/>
  <c r="AR90" i="21"/>
  <c r="BB90" i="21" s="1"/>
  <c r="T91" i="21"/>
  <c r="Z91" i="21" s="1"/>
  <c r="AF106" i="21"/>
  <c r="AI106" i="21" s="1"/>
  <c r="R109" i="21"/>
  <c r="T112" i="21"/>
  <c r="Z112" i="21" s="1"/>
  <c r="AD113" i="21"/>
  <c r="T117" i="21"/>
  <c r="Z117" i="21" s="1"/>
  <c r="BI117" i="21"/>
  <c r="BH117" i="21"/>
  <c r="BI126" i="21"/>
  <c r="BF126" i="21"/>
  <c r="AX127" i="21"/>
  <c r="BA127" i="21" s="1"/>
  <c r="BI132" i="21"/>
  <c r="BH132" i="21"/>
  <c r="AT140" i="21"/>
  <c r="BA140" i="21" s="1"/>
  <c r="R142" i="21"/>
  <c r="Y142" i="21" s="1"/>
  <c r="AF143" i="21"/>
  <c r="AI143" i="21" s="1"/>
  <c r="V145" i="21"/>
  <c r="Y145" i="21" s="1"/>
  <c r="R150" i="21"/>
  <c r="Y150" i="21" s="1"/>
  <c r="AD158" i="21"/>
  <c r="AF168" i="21"/>
  <c r="AI168" i="21" s="1"/>
  <c r="AB169" i="21"/>
  <c r="AI169" i="21" s="1"/>
  <c r="X172" i="21"/>
  <c r="Z172" i="21" s="1"/>
  <c r="BI181" i="21"/>
  <c r="BH181" i="21"/>
  <c r="AB186" i="21"/>
  <c r="AI186" i="21" s="1"/>
  <c r="AR399" i="21"/>
  <c r="BB399" i="21" s="1"/>
  <c r="V258" i="21"/>
  <c r="Y258" i="21" s="1"/>
  <c r="AR3" i="21"/>
  <c r="BB3" i="21" s="1"/>
  <c r="T8" i="21"/>
  <c r="Z8" i="21" s="1"/>
  <c r="T12" i="21"/>
  <c r="Z12" i="21" s="1"/>
  <c r="BI20" i="21"/>
  <c r="BH20" i="21"/>
  <c r="AR26" i="21"/>
  <c r="BB26" i="21" s="1"/>
  <c r="R33" i="21"/>
  <c r="Y33" i="21" s="1"/>
  <c r="AR34" i="21"/>
  <c r="BB34" i="21" s="1"/>
  <c r="AV41" i="21"/>
  <c r="BB41" i="21" s="1"/>
  <c r="AN43" i="21"/>
  <c r="BB43" i="21" s="1"/>
  <c r="AT51" i="21"/>
  <c r="BA51" i="21" s="1"/>
  <c r="AR57" i="21"/>
  <c r="BI58" i="21"/>
  <c r="BH58" i="21"/>
  <c r="AF62" i="21"/>
  <c r="AI62" i="21" s="1"/>
  <c r="AB63" i="21"/>
  <c r="AI63" i="21" s="1"/>
  <c r="AF65" i="21"/>
  <c r="AI65" i="21" s="1"/>
  <c r="T67" i="21"/>
  <c r="Z67" i="21" s="1"/>
  <c r="AL73" i="21"/>
  <c r="BA73" i="21" s="1"/>
  <c r="AT79" i="21"/>
  <c r="BA79" i="21" s="1"/>
  <c r="AL89" i="21"/>
  <c r="BA89" i="21" s="1"/>
  <c r="AT95" i="21"/>
  <c r="BA95" i="21" s="1"/>
  <c r="AD97" i="21"/>
  <c r="AV97" i="21"/>
  <c r="BB97" i="21" s="1"/>
  <c r="X98" i="21"/>
  <c r="Z98" i="21" s="1"/>
  <c r="AR98" i="21"/>
  <c r="AD101" i="21"/>
  <c r="R106" i="21"/>
  <c r="Y106" i="21" s="1"/>
  <c r="AX107" i="21"/>
  <c r="BA107" i="21" s="1"/>
  <c r="AT111" i="21"/>
  <c r="AP112" i="21"/>
  <c r="AH113" i="21"/>
  <c r="AN4" i="21"/>
  <c r="BB4" i="21" s="1"/>
  <c r="AV9" i="21"/>
  <c r="BB9" i="21" s="1"/>
  <c r="AN12" i="21"/>
  <c r="BB12" i="21" s="1"/>
  <c r="BI12" i="21"/>
  <c r="BH12" i="21"/>
  <c r="AH13" i="21"/>
  <c r="BI14" i="21"/>
  <c r="AH17" i="21"/>
  <c r="AJ17" i="21" s="1"/>
  <c r="BI21" i="21"/>
  <c r="BF21" i="21"/>
  <c r="AD29" i="21"/>
  <c r="AJ29" i="21" s="1"/>
  <c r="AV29" i="21"/>
  <c r="BB29" i="21" s="1"/>
  <c r="X30" i="21"/>
  <c r="Z30" i="21" s="1"/>
  <c r="AR30" i="21"/>
  <c r="BB30" i="21" s="1"/>
  <c r="AN35" i="21"/>
  <c r="BB35" i="21" s="1"/>
  <c r="R41" i="21"/>
  <c r="Y41" i="21" s="1"/>
  <c r="BI44" i="21"/>
  <c r="BH44" i="21"/>
  <c r="BI46" i="21"/>
  <c r="AL53" i="21"/>
  <c r="BA53" i="21" s="1"/>
  <c r="AV54" i="21"/>
  <c r="AL56" i="21"/>
  <c r="X58" i="21"/>
  <c r="Z58" i="21" s="1"/>
  <c r="BI59" i="21"/>
  <c r="BH59" i="21"/>
  <c r="AR66" i="21"/>
  <c r="BB66" i="21" s="1"/>
  <c r="AN67" i="21"/>
  <c r="BB67" i="21" s="1"/>
  <c r="AD68" i="21"/>
  <c r="AB75" i="21"/>
  <c r="AI75" i="21" s="1"/>
  <c r="V76" i="21"/>
  <c r="Y76" i="21" s="1"/>
  <c r="T83" i="21"/>
  <c r="Z83" i="21" s="1"/>
  <c r="AV85" i="21"/>
  <c r="BB85" i="21" s="1"/>
  <c r="X86" i="21"/>
  <c r="Z86" i="21" s="1"/>
  <c r="AF90" i="21"/>
  <c r="AI90" i="21" s="1"/>
  <c r="AB91" i="21"/>
  <c r="AI91" i="21" s="1"/>
  <c r="AP96" i="21"/>
  <c r="BA96" i="21" s="1"/>
  <c r="BI96" i="21"/>
  <c r="BH96" i="21"/>
  <c r="X99" i="21"/>
  <c r="AR99" i="21"/>
  <c r="T100" i="21"/>
  <c r="Z100" i="21" s="1"/>
  <c r="AN100" i="21"/>
  <c r="BB100" i="21" s="1"/>
  <c r="AV101" i="21"/>
  <c r="BB101" i="21" s="1"/>
  <c r="X102" i="21"/>
  <c r="Z102" i="21" s="1"/>
  <c r="T103" i="21"/>
  <c r="BI103" i="21"/>
  <c r="BH103" i="21"/>
  <c r="AX104" i="21"/>
  <c r="AP109" i="21"/>
  <c r="BA109" i="21" s="1"/>
  <c r="R110" i="21"/>
  <c r="Y110" i="21" s="1"/>
  <c r="BI110" i="21"/>
  <c r="BF110" i="21"/>
  <c r="BI113" i="21"/>
  <c r="BH113" i="21"/>
  <c r="X115" i="21"/>
  <c r="Z115" i="21" s="1"/>
  <c r="AF116" i="21"/>
  <c r="AI116" i="21" s="1"/>
  <c r="AB117" i="21"/>
  <c r="AI117" i="21" s="1"/>
  <c r="AT117" i="21"/>
  <c r="T120" i="21"/>
  <c r="AF123" i="21"/>
  <c r="AI123" i="21" s="1"/>
  <c r="AX123" i="21"/>
  <c r="BA123" i="21" s="1"/>
  <c r="AX131" i="21"/>
  <c r="BA131" i="21" s="1"/>
  <c r="AV138" i="21"/>
  <c r="BB138" i="21" s="1"/>
  <c r="T140" i="21"/>
  <c r="Z140" i="21" s="1"/>
  <c r="AF147" i="21"/>
  <c r="AI147" i="21" s="1"/>
  <c r="BI148" i="21"/>
  <c r="BH148" i="21"/>
  <c r="AL158" i="21"/>
  <c r="AD160" i="21"/>
  <c r="AJ160" i="21" s="1"/>
  <c r="AV160" i="21"/>
  <c r="X161" i="21"/>
  <c r="AR161" i="21"/>
  <c r="BB161" i="21" s="1"/>
  <c r="R164" i="21"/>
  <c r="Y164" i="21" s="1"/>
  <c r="AX164" i="21"/>
  <c r="BA164" i="21" s="1"/>
  <c r="AB165" i="21"/>
  <c r="AI165" i="21" s="1"/>
  <c r="AT165" i="21"/>
  <c r="BA165" i="21" s="1"/>
  <c r="BI168" i="21"/>
  <c r="BH168" i="21"/>
  <c r="BI171" i="21"/>
  <c r="BF171" i="21"/>
  <c r="AV172" i="21"/>
  <c r="BI176" i="21"/>
  <c r="X180" i="21"/>
  <c r="Z180" i="21" s="1"/>
  <c r="BI183" i="21"/>
  <c r="X188" i="21"/>
  <c r="Z188" i="21" s="1"/>
  <c r="X193" i="21"/>
  <c r="Z193" i="21" s="1"/>
  <c r="AR197" i="21"/>
  <c r="BB197" i="21" s="1"/>
  <c r="AD199" i="21"/>
  <c r="BI202" i="21"/>
  <c r="BH202" i="21"/>
  <c r="BI204" i="21"/>
  <c r="BF204" i="21"/>
  <c r="AN206" i="21"/>
  <c r="BB206" i="21" s="1"/>
  <c r="BI208" i="21"/>
  <c r="BF208" i="21"/>
  <c r="AR209" i="21"/>
  <c r="BB209" i="21" s="1"/>
  <c r="AN210" i="21"/>
  <c r="BB210" i="21" s="1"/>
  <c r="AV215" i="21"/>
  <c r="BB215" i="21" s="1"/>
  <c r="AN218" i="21"/>
  <c r="BB218" i="21" s="1"/>
  <c r="BI218" i="21"/>
  <c r="BH218" i="21"/>
  <c r="AH219" i="21"/>
  <c r="X226" i="21"/>
  <c r="T227" i="21"/>
  <c r="Z227" i="21" s="1"/>
  <c r="AN229" i="21"/>
  <c r="BB229" i="21" s="1"/>
  <c r="T231" i="21"/>
  <c r="BI231" i="21"/>
  <c r="BH231" i="21"/>
  <c r="AX240" i="21"/>
  <c r="AD243" i="21"/>
  <c r="AJ243" i="21" s="1"/>
  <c r="X244" i="21"/>
  <c r="Z244" i="21" s="1"/>
  <c r="AT245" i="21"/>
  <c r="BA245" i="21" s="1"/>
  <c r="AP246" i="21"/>
  <c r="BA246" i="21" s="1"/>
  <c r="AR248" i="21"/>
  <c r="BB248" i="21" s="1"/>
  <c r="T249" i="21"/>
  <c r="Z249" i="21" s="1"/>
  <c r="AD255" i="21"/>
  <c r="AJ255" i="21" s="1"/>
  <c r="BI259" i="21"/>
  <c r="BF259" i="21"/>
  <c r="AN261" i="21"/>
  <c r="BB261" i="21" s="1"/>
  <c r="AH264" i="21"/>
  <c r="AX266" i="21"/>
  <c r="BA266" i="21" s="1"/>
  <c r="BI271" i="21"/>
  <c r="BH271" i="21"/>
  <c r="T278" i="21"/>
  <c r="AB279" i="21"/>
  <c r="AI279" i="21" s="1"/>
  <c r="V280" i="21"/>
  <c r="Y280" i="21" s="1"/>
  <c r="AP280" i="21"/>
  <c r="BA280" i="21" s="1"/>
  <c r="AD281" i="21"/>
  <c r="AJ281" i="21" s="1"/>
  <c r="AR285" i="21"/>
  <c r="AR289" i="21"/>
  <c r="BB289" i="21" s="1"/>
  <c r="BI290" i="21"/>
  <c r="BH290" i="21"/>
  <c r="AL292" i="21"/>
  <c r="BA292" i="21" s="1"/>
  <c r="R299" i="21"/>
  <c r="Y299" i="21" s="1"/>
  <c r="AX299" i="21"/>
  <c r="AP303" i="21"/>
  <c r="BA303" i="21" s="1"/>
  <c r="AH305" i="21"/>
  <c r="AJ305" i="21" s="1"/>
  <c r="AD306" i="21"/>
  <c r="AJ306" i="21" s="1"/>
  <c r="AF312" i="21"/>
  <c r="AB313" i="21"/>
  <c r="AI313" i="21" s="1"/>
  <c r="T318" i="21"/>
  <c r="Z318" i="21" s="1"/>
  <c r="AT339" i="21"/>
  <c r="X352" i="21"/>
  <c r="Z352" i="21" s="1"/>
  <c r="AR352" i="21"/>
  <c r="BB352" i="21" s="1"/>
  <c r="AB363" i="21"/>
  <c r="AI363" i="21" s="1"/>
  <c r="AH365" i="21"/>
  <c r="AJ365" i="21" s="1"/>
  <c r="AT370" i="21"/>
  <c r="BA370" i="21" s="1"/>
  <c r="AP371" i="21"/>
  <c r="BA371" i="21" s="1"/>
  <c r="AB377" i="21"/>
  <c r="AI377" i="21" s="1"/>
  <c r="AR377" i="21"/>
  <c r="BB377" i="21" s="1"/>
  <c r="AH387" i="21"/>
  <c r="AJ387" i="21" s="1"/>
  <c r="AL398" i="21"/>
  <c r="BA398" i="21" s="1"/>
  <c r="AX403" i="21"/>
  <c r="BA403" i="21" s="1"/>
  <c r="T87" i="21"/>
  <c r="Z87" i="21" s="1"/>
  <c r="T4" i="21"/>
  <c r="Z4" i="21" s="1"/>
  <c r="V72" i="21"/>
  <c r="Y72" i="21" s="1"/>
  <c r="AT8" i="21"/>
  <c r="BA8" i="21" s="1"/>
  <c r="T39" i="21"/>
  <c r="Z39" i="21" s="1"/>
  <c r="AB47" i="21"/>
  <c r="AI47" i="21" s="1"/>
  <c r="AH49" i="21"/>
  <c r="BI75" i="21"/>
  <c r="BH75" i="21"/>
  <c r="X90" i="21"/>
  <c r="Z90" i="21" s="1"/>
  <c r="AH96" i="21"/>
  <c r="AJ96" i="21" s="1"/>
  <c r="AN117" i="21"/>
  <c r="BB117" i="21" s="1"/>
  <c r="AD118" i="21"/>
  <c r="AJ118" i="21" s="1"/>
  <c r="AV118" i="21"/>
  <c r="BB118" i="21" s="1"/>
  <c r="AR123" i="21"/>
  <c r="BB123" i="21" s="1"/>
  <c r="AF135" i="21"/>
  <c r="AI135" i="21" s="1"/>
  <c r="AR184" i="21"/>
  <c r="BB184" i="21" s="1"/>
  <c r="V187" i="21"/>
  <c r="Y187" i="21" s="1"/>
  <c r="BI190" i="21"/>
  <c r="BH190" i="21"/>
  <c r="AR192" i="21"/>
  <c r="BB192" i="21" s="1"/>
  <c r="AB194" i="21"/>
  <c r="AI194" i="21" s="1"/>
  <c r="AD204" i="21"/>
  <c r="AJ204" i="21" s="1"/>
  <c r="AV216" i="21"/>
  <c r="BB216" i="21" s="1"/>
  <c r="BI228" i="21"/>
  <c r="BH228" i="21"/>
  <c r="BI230" i="21"/>
  <c r="BF230" i="21"/>
  <c r="X260" i="21"/>
  <c r="Z260" i="21" s="1"/>
  <c r="T267" i="21"/>
  <c r="Z267" i="21" s="1"/>
  <c r="AP272" i="21"/>
  <c r="BA272" i="21" s="1"/>
  <c r="AN275" i="21"/>
  <c r="BB275" i="21" s="1"/>
  <c r="AH280" i="21"/>
  <c r="AR286" i="21"/>
  <c r="BB286" i="21" s="1"/>
  <c r="AD288" i="21"/>
  <c r="AJ288" i="21" s="1"/>
  <c r="AX294" i="21"/>
  <c r="BA294" i="21" s="1"/>
  <c r="AV301" i="21"/>
  <c r="AR319" i="21"/>
  <c r="BB319" i="21" s="1"/>
  <c r="AL327" i="21"/>
  <c r="BA327" i="21" s="1"/>
  <c r="AB341" i="21"/>
  <c r="AI341" i="21" s="1"/>
  <c r="AD386" i="21"/>
  <c r="AJ386" i="21" s="1"/>
  <c r="AN396" i="21"/>
  <c r="BB396" i="21" s="1"/>
  <c r="AL2" i="21"/>
  <c r="BA2" i="21" s="1"/>
  <c r="AN16" i="21"/>
  <c r="BB16" i="21" s="1"/>
  <c r="BI16" i="21"/>
  <c r="BH16" i="21"/>
  <c r="X18" i="21"/>
  <c r="Z18" i="21" s="1"/>
  <c r="BI18" i="21"/>
  <c r="AN27" i="21"/>
  <c r="BB27" i="21" s="1"/>
  <c r="BI30" i="21"/>
  <c r="BI37" i="21"/>
  <c r="AV45" i="21"/>
  <c r="BB45" i="21" s="1"/>
  <c r="AN55" i="21"/>
  <c r="AT63" i="21"/>
  <c r="BA63" i="21" s="1"/>
  <c r="AV65" i="21"/>
  <c r="BB65" i="21" s="1"/>
  <c r="AR81" i="21"/>
  <c r="AX94" i="21"/>
  <c r="BA94" i="21" s="1"/>
  <c r="AL106" i="21"/>
  <c r="BA106" i="21" s="1"/>
  <c r="AT108" i="21"/>
  <c r="BA108" i="21" s="1"/>
  <c r="V109" i="21"/>
  <c r="AF3" i="21"/>
  <c r="AI3" i="21" s="1"/>
  <c r="BI4" i="21"/>
  <c r="BH4" i="21"/>
  <c r="AV5" i="21"/>
  <c r="BB5" i="21" s="1"/>
  <c r="X6" i="21"/>
  <c r="Z6" i="21" s="1"/>
  <c r="BI6" i="21"/>
  <c r="AN8" i="21"/>
  <c r="BB8" i="21" s="1"/>
  <c r="BI8" i="21"/>
  <c r="BH8" i="21"/>
  <c r="AR14" i="21"/>
  <c r="AD18" i="21"/>
  <c r="AJ18" i="21" s="1"/>
  <c r="AR18" i="21"/>
  <c r="BB18" i="21" s="1"/>
  <c r="AB20" i="21"/>
  <c r="AI20" i="21" s="1"/>
  <c r="AF22" i="21"/>
  <c r="AI22" i="21" s="1"/>
  <c r="AT23" i="21"/>
  <c r="BA23" i="21" s="1"/>
  <c r="V24" i="21"/>
  <c r="Y24" i="21" s="1"/>
  <c r="AL25" i="21"/>
  <c r="BA25" i="21" s="1"/>
  <c r="BI25" i="21"/>
  <c r="BF25" i="21"/>
  <c r="AB27" i="21"/>
  <c r="AI27" i="21" s="1"/>
  <c r="T31" i="21"/>
  <c r="Z31" i="21" s="1"/>
  <c r="AN31" i="21"/>
  <c r="BB31" i="21" s="1"/>
  <c r="AH36" i="21"/>
  <c r="AJ36" i="21" s="1"/>
  <c r="AP40" i="21"/>
  <c r="AL41" i="21"/>
  <c r="BA41" i="21" s="1"/>
  <c r="BI41" i="21"/>
  <c r="BF41" i="21"/>
  <c r="AF42" i="21"/>
  <c r="AI42" i="21" s="1"/>
  <c r="AB43" i="21"/>
  <c r="AI43" i="21" s="1"/>
  <c r="V44" i="21"/>
  <c r="Y44" i="21" s="1"/>
  <c r="AP44" i="21"/>
  <c r="BA44" i="21" s="1"/>
  <c r="R45" i="21"/>
  <c r="Y45" i="21" s="1"/>
  <c r="X46" i="21"/>
  <c r="Z46" i="21" s="1"/>
  <c r="AR46" i="21"/>
  <c r="AX54" i="21"/>
  <c r="BA54" i="21" s="1"/>
  <c r="AR55" i="21"/>
  <c r="AD57" i="21"/>
  <c r="AJ57" i="21" s="1"/>
  <c r="AV57" i="21"/>
  <c r="AB58" i="21"/>
  <c r="AI58" i="21" s="1"/>
  <c r="AR58" i="21"/>
  <c r="BB58" i="21" s="1"/>
  <c r="T59" i="21"/>
  <c r="Z59" i="21" s="1"/>
  <c r="AN59" i="21"/>
  <c r="BB59" i="21" s="1"/>
  <c r="AH60" i="21"/>
  <c r="AJ60" i="21" s="1"/>
  <c r="AV60" i="21"/>
  <c r="BB60" i="21" s="1"/>
  <c r="X61" i="21"/>
  <c r="Z61" i="21" s="1"/>
  <c r="AP64" i="21"/>
  <c r="BA64" i="21" s="1"/>
  <c r="R65" i="21"/>
  <c r="Y65" i="21" s="1"/>
  <c r="AN71" i="21"/>
  <c r="BB71" i="21" s="1"/>
  <c r="BI71" i="21"/>
  <c r="BH71" i="21"/>
  <c r="AH72" i="21"/>
  <c r="AJ72" i="21" s="1"/>
  <c r="BI73" i="21"/>
  <c r="AF74" i="21"/>
  <c r="AI74" i="21" s="1"/>
  <c r="AD77" i="21"/>
  <c r="AJ77" i="21" s="1"/>
  <c r="T78" i="21"/>
  <c r="BI78" i="21"/>
  <c r="AP80" i="21"/>
  <c r="BI80" i="21"/>
  <c r="AD81" i="21"/>
  <c r="AJ81" i="21" s="1"/>
  <c r="AV81" i="21"/>
  <c r="X82" i="21"/>
  <c r="Z82" i="21" s="1"/>
  <c r="AR82" i="21"/>
  <c r="BB82" i="21" s="1"/>
  <c r="AN83" i="21"/>
  <c r="BB83" i="21" s="1"/>
  <c r="BI83" i="21"/>
  <c r="BH83" i="21"/>
  <c r="AR86" i="21"/>
  <c r="BB86" i="21" s="1"/>
  <c r="BI89" i="21"/>
  <c r="V92" i="21"/>
  <c r="Y92" i="21" s="1"/>
  <c r="AD93" i="21"/>
  <c r="AJ93" i="21" s="1"/>
  <c r="AH97" i="21"/>
  <c r="AD98" i="21"/>
  <c r="AJ98" i="21" s="1"/>
  <c r="AV98" i="21"/>
  <c r="AB99" i="21"/>
  <c r="AI99" i="21" s="1"/>
  <c r="V100" i="21"/>
  <c r="Y100" i="21" s="1"/>
  <c r="BI100" i="21"/>
  <c r="BH100" i="21"/>
  <c r="AH101" i="21"/>
  <c r="AR102" i="21"/>
  <c r="AN103" i="21"/>
  <c r="BB103" i="21" s="1"/>
  <c r="AH104" i="21"/>
  <c r="AJ104" i="21" s="1"/>
  <c r="AD105" i="21"/>
  <c r="AV105" i="21"/>
  <c r="BB105" i="21" s="1"/>
  <c r="T107" i="21"/>
  <c r="Z107" i="21" s="1"/>
  <c r="AN107" i="21"/>
  <c r="BB107" i="21" s="1"/>
  <c r="BI107" i="21"/>
  <c r="BH107" i="21"/>
  <c r="AH108" i="21"/>
  <c r="AJ108" i="21" s="1"/>
  <c r="AL110" i="21"/>
  <c r="AF111" i="21"/>
  <c r="AI111" i="21" s="1"/>
  <c r="AX111" i="21"/>
  <c r="AB112" i="21"/>
  <c r="AI112" i="21" s="1"/>
  <c r="AT112" i="21"/>
  <c r="R114" i="21"/>
  <c r="AH114" i="21"/>
  <c r="AJ114" i="21" s="1"/>
  <c r="AV114" i="21"/>
  <c r="AD119" i="21"/>
  <c r="AJ119" i="21" s="1"/>
  <c r="AN120" i="21"/>
  <c r="BI128" i="21"/>
  <c r="BH128" i="21"/>
  <c r="AH129" i="21"/>
  <c r="AJ129" i="21" s="1"/>
  <c r="AT132" i="21"/>
  <c r="BA132" i="21" s="1"/>
  <c r="AD134" i="21"/>
  <c r="AJ134" i="21" s="1"/>
  <c r="AV134" i="21"/>
  <c r="BB134" i="21" s="1"/>
  <c r="BI135" i="21"/>
  <c r="R138" i="21"/>
  <c r="Y138" i="21" s="1"/>
  <c r="AR139" i="21"/>
  <c r="BB139" i="21" s="1"/>
  <c r="BI140" i="21"/>
  <c r="BH140" i="21"/>
  <c r="AH141" i="21"/>
  <c r="AJ141" i="21" s="1"/>
  <c r="BI143" i="21"/>
  <c r="BI146" i="21"/>
  <c r="AB148" i="21"/>
  <c r="AI148" i="21" s="1"/>
  <c r="AH149" i="21"/>
  <c r="AJ149" i="21" s="1"/>
  <c r="AF152" i="21"/>
  <c r="AI152" i="21" s="1"/>
  <c r="AB153" i="21"/>
  <c r="AI153" i="21" s="1"/>
  <c r="V154" i="21"/>
  <c r="Y154" i="21" s="1"/>
  <c r="R155" i="21"/>
  <c r="Y155" i="21" s="1"/>
  <c r="BI155" i="21"/>
  <c r="BF155" i="21"/>
  <c r="AL159" i="21"/>
  <c r="BA159" i="21" s="1"/>
  <c r="AF160" i="21"/>
  <c r="AI160" i="21" s="1"/>
  <c r="AB161" i="21"/>
  <c r="T162" i="21"/>
  <c r="Z162" i="21" s="1"/>
  <c r="AR163" i="21"/>
  <c r="BB163" i="21" s="1"/>
  <c r="BI164" i="21"/>
  <c r="BF164" i="21"/>
  <c r="V171" i="21"/>
  <c r="AF172" i="21"/>
  <c r="AI172" i="21" s="1"/>
  <c r="AX172" i="21"/>
  <c r="BA172" i="21" s="1"/>
  <c r="AD175" i="21"/>
  <c r="AJ175" i="21" s="1"/>
  <c r="AV175" i="21"/>
  <c r="BB175" i="21" s="1"/>
  <c r="AX184" i="21"/>
  <c r="BA184" i="21" s="1"/>
  <c r="T186" i="21"/>
  <c r="Z186" i="21" s="1"/>
  <c r="AT190" i="21"/>
  <c r="BA190" i="21" s="1"/>
  <c r="AD195" i="21"/>
  <c r="AJ195" i="21" s="1"/>
  <c r="AV195" i="21"/>
  <c r="BB195" i="21" s="1"/>
  <c r="AN198" i="21"/>
  <c r="BB198" i="21" s="1"/>
  <c r="AV199" i="21"/>
  <c r="BB199" i="21" s="1"/>
  <c r="AN202" i="21"/>
  <c r="AH203" i="21"/>
  <c r="BI206" i="21"/>
  <c r="BH206" i="21"/>
  <c r="AL208" i="21"/>
  <c r="BA208" i="21" s="1"/>
  <c r="X212" i="21"/>
  <c r="Z212" i="21" s="1"/>
  <c r="BI214" i="21"/>
  <c r="BH214" i="21"/>
  <c r="BI224" i="21"/>
  <c r="AF225" i="21"/>
  <c r="AI225" i="21" s="1"/>
  <c r="AB226" i="21"/>
  <c r="AI226" i="21" s="1"/>
  <c r="AR226" i="21"/>
  <c r="V227" i="21"/>
  <c r="Y227" i="21" s="1"/>
  <c r="AN227" i="21"/>
  <c r="BB227" i="21" s="1"/>
  <c r="BI227" i="21"/>
  <c r="BH227" i="21"/>
  <c r="AT228" i="21"/>
  <c r="BA228" i="21" s="1"/>
  <c r="V229" i="21"/>
  <c r="Y229" i="21" s="1"/>
  <c r="AP229" i="21"/>
  <c r="BI229" i="21"/>
  <c r="AD230" i="21"/>
  <c r="AJ230" i="21" s="1"/>
  <c r="AF243" i="21"/>
  <c r="AI243" i="21" s="1"/>
  <c r="AL247" i="21"/>
  <c r="BA247" i="21" s="1"/>
  <c r="AN249" i="21"/>
  <c r="BB249" i="21" s="1"/>
  <c r="BI249" i="21"/>
  <c r="BH249" i="21"/>
  <c r="AH250" i="21"/>
  <c r="AJ250" i="21" s="1"/>
  <c r="AD251" i="21"/>
  <c r="AJ251" i="21" s="1"/>
  <c r="AX252" i="21"/>
  <c r="BA252" i="21" s="1"/>
  <c r="AT253" i="21"/>
  <c r="BA253" i="21" s="1"/>
  <c r="AP254" i="21"/>
  <c r="BA254" i="21" s="1"/>
  <c r="BI254" i="21"/>
  <c r="AV255" i="21"/>
  <c r="BB255" i="21" s="1"/>
  <c r="AH262" i="21"/>
  <c r="AJ262" i="21" s="1"/>
  <c r="T266" i="21"/>
  <c r="Z266" i="21" s="1"/>
  <c r="AH268" i="21"/>
  <c r="AJ268" i="21" s="1"/>
  <c r="AR269" i="21"/>
  <c r="BB269" i="21" s="1"/>
  <c r="AD273" i="21"/>
  <c r="AJ273" i="21" s="1"/>
  <c r="BI274" i="21"/>
  <c r="BH274" i="21"/>
  <c r="AT275" i="21"/>
  <c r="BA275" i="21" s="1"/>
  <c r="V276" i="21"/>
  <c r="Y276" i="21" s="1"/>
  <c r="AP276" i="21"/>
  <c r="BA276" i="21" s="1"/>
  <c r="R277" i="21"/>
  <c r="Y277" i="21" s="1"/>
  <c r="AN278" i="21"/>
  <c r="BB278" i="21" s="1"/>
  <c r="AT279" i="21"/>
  <c r="BA279" i="21" s="1"/>
  <c r="AV281" i="21"/>
  <c r="X282" i="21"/>
  <c r="AD285" i="21"/>
  <c r="AJ285" i="21" s="1"/>
  <c r="BI288" i="21"/>
  <c r="BF288" i="21"/>
  <c r="AN290" i="21"/>
  <c r="BB290" i="21" s="1"/>
  <c r="AF293" i="21"/>
  <c r="AI293" i="21" s="1"/>
  <c r="AN304" i="21"/>
  <c r="BB304" i="21" s="1"/>
  <c r="AN311" i="21"/>
  <c r="BB311" i="21" s="1"/>
  <c r="AT317" i="21"/>
  <c r="BA317" i="21" s="1"/>
  <c r="T325" i="21"/>
  <c r="Z325" i="21" s="1"/>
  <c r="BI329" i="21"/>
  <c r="BH329" i="21"/>
  <c r="AH330" i="21"/>
  <c r="AD335" i="21"/>
  <c r="AJ335" i="21" s="1"/>
  <c r="AV335" i="21"/>
  <c r="BB335" i="21" s="1"/>
  <c r="AH338" i="21"/>
  <c r="AJ338" i="21" s="1"/>
  <c r="AP343" i="21"/>
  <c r="BA343" i="21" s="1"/>
  <c r="T365" i="21"/>
  <c r="Z365" i="21" s="1"/>
  <c r="AX383" i="21"/>
  <c r="BA383" i="21" s="1"/>
  <c r="T398" i="21"/>
  <c r="Z398" i="21" s="1"/>
  <c r="T403" i="21"/>
  <c r="Z403" i="21" s="1"/>
  <c r="R130" i="21"/>
  <c r="Y130" i="21" s="1"/>
  <c r="R93" i="21"/>
  <c r="Y93" i="21" s="1"/>
  <c r="X341" i="21"/>
  <c r="Z341" i="21" s="1"/>
  <c r="X213" i="21"/>
  <c r="Z213" i="21" s="1"/>
  <c r="R14" i="21"/>
  <c r="Y14" i="21" s="1"/>
  <c r="AN39" i="21"/>
  <c r="BB39" i="21" s="1"/>
  <c r="AN48" i="21"/>
  <c r="BB48" i="21" s="1"/>
  <c r="T52" i="21"/>
  <c r="Z52" i="21" s="1"/>
  <c r="AD53" i="21"/>
  <c r="AJ53" i="21" s="1"/>
  <c r="T66" i="21"/>
  <c r="BI66" i="21"/>
  <c r="BH66" i="21"/>
  <c r="AV69" i="21"/>
  <c r="BB69" i="21" s="1"/>
  <c r="AR70" i="21"/>
  <c r="BI102" i="21"/>
  <c r="BF102" i="21"/>
  <c r="AD110" i="21"/>
  <c r="AJ110" i="21" s="1"/>
  <c r="X111" i="21"/>
  <c r="AF127" i="21"/>
  <c r="AI127" i="21" s="1"/>
  <c r="AB128" i="21"/>
  <c r="AI128" i="21" s="1"/>
  <c r="AR131" i="21"/>
  <c r="BB131" i="21" s="1"/>
  <c r="BI142" i="21"/>
  <c r="BF142" i="21"/>
  <c r="X147" i="21"/>
  <c r="Z147" i="21" s="1"/>
  <c r="AV150" i="21"/>
  <c r="BB150" i="21" s="1"/>
  <c r="X152" i="21"/>
  <c r="AV158" i="21"/>
  <c r="BB158" i="21" s="1"/>
  <c r="AT174" i="21"/>
  <c r="AV191" i="21"/>
  <c r="BB191" i="21" s="1"/>
  <c r="AT194" i="21"/>
  <c r="BA194" i="21" s="1"/>
  <c r="AV196" i="21"/>
  <c r="BB196" i="21" s="1"/>
  <c r="T218" i="21"/>
  <c r="Z218" i="21" s="1"/>
  <c r="R220" i="21"/>
  <c r="Y220" i="21" s="1"/>
  <c r="AR221" i="21"/>
  <c r="BB221" i="21" s="1"/>
  <c r="AH223" i="21"/>
  <c r="AJ223" i="21" s="1"/>
  <c r="V241" i="21"/>
  <c r="Y241" i="21" s="1"/>
  <c r="AH246" i="21"/>
  <c r="AJ246" i="21" s="1"/>
  <c r="T253" i="21"/>
  <c r="Z253" i="21" s="1"/>
  <c r="BI253" i="21"/>
  <c r="BH253" i="21"/>
  <c r="AD292" i="21"/>
  <c r="AJ292" i="21" s="1"/>
  <c r="T321" i="21"/>
  <c r="Z321" i="21" s="1"/>
  <c r="T346" i="21"/>
  <c r="Z346" i="21" s="1"/>
  <c r="AV25" i="21"/>
  <c r="BB25" i="21" s="1"/>
  <c r="AH28" i="21"/>
  <c r="AJ28" i="21" s="1"/>
  <c r="BI35" i="21"/>
  <c r="BH35" i="21"/>
  <c r="AF38" i="21"/>
  <c r="AI38" i="21" s="1"/>
  <c r="AD45" i="21"/>
  <c r="AJ45" i="21" s="1"/>
  <c r="AP52" i="21"/>
  <c r="BA52" i="21" s="1"/>
  <c r="R53" i="21"/>
  <c r="Y53" i="21" s="1"/>
  <c r="BI53" i="21"/>
  <c r="BF53" i="21"/>
  <c r="BI55" i="21"/>
  <c r="BH55" i="21"/>
  <c r="AX56" i="21"/>
  <c r="X57" i="21"/>
  <c r="Z57" i="21" s="1"/>
  <c r="X66" i="21"/>
  <c r="AL69" i="21"/>
  <c r="BA69" i="21" s="1"/>
  <c r="BI69" i="21"/>
  <c r="BF69" i="21"/>
  <c r="AX78" i="21"/>
  <c r="BA78" i="21" s="1"/>
  <c r="AN96" i="21"/>
  <c r="BB96" i="21" s="1"/>
  <c r="AX110" i="21"/>
  <c r="AR2" i="21"/>
  <c r="BB2" i="21" s="1"/>
  <c r="AH5" i="21"/>
  <c r="AJ5" i="21" s="1"/>
  <c r="AH9" i="21"/>
  <c r="AJ9" i="21" s="1"/>
  <c r="AD10" i="21"/>
  <c r="AJ10" i="21" s="1"/>
  <c r="T11" i="21"/>
  <c r="T15" i="21"/>
  <c r="Z15" i="21" s="1"/>
  <c r="AX15" i="21"/>
  <c r="BA15" i="21" s="1"/>
  <c r="AT16" i="21"/>
  <c r="BA16" i="21" s="1"/>
  <c r="AT27" i="21"/>
  <c r="BA27" i="21" s="1"/>
  <c r="BI31" i="21"/>
  <c r="BH31" i="21"/>
  <c r="AH32" i="21"/>
  <c r="AJ32" i="21" s="1"/>
  <c r="AT43" i="21"/>
  <c r="BA43" i="21" s="1"/>
  <c r="AL45" i="21"/>
  <c r="BA45" i="21" s="1"/>
  <c r="T47" i="21"/>
  <c r="Z47" i="21" s="1"/>
  <c r="AN47" i="21"/>
  <c r="T54" i="21"/>
  <c r="Z54" i="21" s="1"/>
  <c r="BI54" i="21"/>
  <c r="BF54" i="21"/>
  <c r="AT55" i="21"/>
  <c r="BA55" i="21" s="1"/>
  <c r="AP56" i="21"/>
  <c r="AN62" i="21"/>
  <c r="BI65" i="21"/>
  <c r="BF65" i="21"/>
  <c r="AB67" i="21"/>
  <c r="AI67" i="21" s="1"/>
  <c r="BI67" i="21"/>
  <c r="BH67" i="21"/>
  <c r="AH68" i="21"/>
  <c r="BI85" i="21"/>
  <c r="BF85" i="21"/>
  <c r="AN87" i="21"/>
  <c r="BB87" i="21" s="1"/>
  <c r="BI87" i="21"/>
  <c r="BH87" i="21"/>
  <c r="AX88" i="21"/>
  <c r="X94" i="21"/>
  <c r="Z94" i="21" s="1"/>
  <c r="AB96" i="21"/>
  <c r="AI96" i="21" s="1"/>
  <c r="AL97" i="21"/>
  <c r="BA97" i="21" s="1"/>
  <c r="AF98" i="21"/>
  <c r="AI98" i="21" s="1"/>
  <c r="AX98" i="21"/>
  <c r="R101" i="21"/>
  <c r="AD102" i="21"/>
  <c r="AJ102" i="21" s="1"/>
  <c r="X103" i="21"/>
  <c r="T104" i="21"/>
  <c r="Z104" i="21" s="1"/>
  <c r="BI104" i="21"/>
  <c r="BH104" i="21"/>
  <c r="X106" i="21"/>
  <c r="Z106" i="21" s="1"/>
  <c r="AR106" i="21"/>
  <c r="BB106" i="21" s="1"/>
  <c r="AD109" i="21"/>
  <c r="V113" i="21"/>
  <c r="AP113" i="21"/>
  <c r="AD115" i="21"/>
  <c r="AJ115" i="21" s="1"/>
  <c r="AP118" i="21"/>
  <c r="BA118" i="21" s="1"/>
  <c r="BI118" i="21"/>
  <c r="AV119" i="21"/>
  <c r="BB119" i="21" s="1"/>
  <c r="X120" i="21"/>
  <c r="T121" i="21"/>
  <c r="Z121" i="21" s="1"/>
  <c r="AD122" i="21"/>
  <c r="X127" i="21"/>
  <c r="Z127" i="21" s="1"/>
  <c r="AR127" i="21"/>
  <c r="BB127" i="21" s="1"/>
  <c r="T128" i="21"/>
  <c r="Z128" i="21" s="1"/>
  <c r="AN128" i="21"/>
  <c r="BB128" i="21" s="1"/>
  <c r="AD130" i="21"/>
  <c r="AJ130" i="21" s="1"/>
  <c r="AP133" i="21"/>
  <c r="BA133" i="21" s="1"/>
  <c r="X135" i="21"/>
  <c r="Z135" i="21" s="1"/>
  <c r="AR135" i="21"/>
  <c r="BB135" i="21" s="1"/>
  <c r="BI138" i="21"/>
  <c r="BF138" i="21"/>
  <c r="AN140" i="21"/>
  <c r="BB140" i="21" s="1"/>
  <c r="X143" i="21"/>
  <c r="Z143" i="21" s="1"/>
  <c r="BI144" i="21"/>
  <c r="BH144" i="21"/>
  <c r="AX156" i="21"/>
  <c r="BA156" i="21" s="1"/>
  <c r="AT157" i="21"/>
  <c r="BA157" i="21" s="1"/>
  <c r="AP158" i="21"/>
  <c r="BI159" i="21"/>
  <c r="AD163" i="21"/>
  <c r="AJ163" i="21" s="1"/>
  <c r="AP166" i="21"/>
  <c r="BA166" i="21" s="1"/>
  <c r="X168" i="21"/>
  <c r="Z168" i="21" s="1"/>
  <c r="AR168" i="21"/>
  <c r="BB168" i="21" s="1"/>
  <c r="R172" i="21"/>
  <c r="Y172" i="21" s="1"/>
  <c r="AT173" i="21"/>
  <c r="BA173" i="21" s="1"/>
  <c r="AN174" i="21"/>
  <c r="BB174" i="21" s="1"/>
  <c r="T177" i="21"/>
  <c r="Z177" i="21" s="1"/>
  <c r="AP178" i="21"/>
  <c r="BA178" i="21" s="1"/>
  <c r="AL179" i="21"/>
  <c r="BA179" i="21" s="1"/>
  <c r="AR180" i="21"/>
  <c r="BB180" i="21" s="1"/>
  <c r="AV188" i="21"/>
  <c r="BB188" i="21" s="1"/>
  <c r="X189" i="21"/>
  <c r="Z189" i="21" s="1"/>
  <c r="AP191" i="21"/>
  <c r="BA191" i="21" s="1"/>
  <c r="T194" i="21"/>
  <c r="Z194" i="21" s="1"/>
  <c r="AN194" i="21"/>
  <c r="BB194" i="21" s="1"/>
  <c r="BI194" i="21"/>
  <c r="BH194" i="21"/>
  <c r="X196" i="21"/>
  <c r="Z196" i="21" s="1"/>
  <c r="BI196" i="21"/>
  <c r="BI198" i="21"/>
  <c r="AH199" i="21"/>
  <c r="AF201" i="21"/>
  <c r="AI201" i="21" s="1"/>
  <c r="AH207" i="21"/>
  <c r="AJ207" i="21" s="1"/>
  <c r="AF209" i="21"/>
  <c r="AI209" i="21" s="1"/>
  <c r="AH211" i="21"/>
  <c r="AJ211" i="21" s="1"/>
  <c r="AH215" i="21"/>
  <c r="AJ215" i="21" s="1"/>
  <c r="T217" i="21"/>
  <c r="Z217" i="21" s="1"/>
  <c r="AR220" i="21"/>
  <c r="T221" i="21"/>
  <c r="Z221" i="21" s="1"/>
  <c r="AL224" i="21"/>
  <c r="BA224" i="21" s="1"/>
  <c r="AT226" i="21"/>
  <c r="BA226" i="21" s="1"/>
  <c r="AP227" i="21"/>
  <c r="R228" i="21"/>
  <c r="Y228" i="21" s="1"/>
  <c r="AV230" i="21"/>
  <c r="BB230" i="21" s="1"/>
  <c r="X231" i="21"/>
  <c r="T232" i="21"/>
  <c r="Z232" i="21" s="1"/>
  <c r="BI235" i="21"/>
  <c r="BI240" i="21"/>
  <c r="BH240" i="21"/>
  <c r="AH241" i="21"/>
  <c r="AJ241" i="21" s="1"/>
  <c r="BI242" i="21"/>
  <c r="AR244" i="21"/>
  <c r="BB244" i="21" s="1"/>
  <c r="T245" i="21"/>
  <c r="Z245" i="21" s="1"/>
  <c r="X256" i="21"/>
  <c r="Z256" i="21" s="1"/>
  <c r="T257" i="21"/>
  <c r="Z257" i="21" s="1"/>
  <c r="AN257" i="21"/>
  <c r="BB257" i="21" s="1"/>
  <c r="BI257" i="21"/>
  <c r="BH257" i="21"/>
  <c r="AH258" i="21"/>
  <c r="AJ258" i="21" s="1"/>
  <c r="AX260" i="21"/>
  <c r="BA260" i="21" s="1"/>
  <c r="AH272" i="21"/>
  <c r="AJ272" i="21" s="1"/>
  <c r="AV273" i="21"/>
  <c r="BB273" i="21" s="1"/>
  <c r="AN274" i="21"/>
  <c r="BB274" i="21" s="1"/>
  <c r="AV277" i="21"/>
  <c r="BB277" i="21" s="1"/>
  <c r="X278" i="21"/>
  <c r="BI278" i="21"/>
  <c r="BI282" i="21"/>
  <c r="AV285" i="21"/>
  <c r="AH291" i="21"/>
  <c r="AJ291" i="21" s="1"/>
  <c r="BI292" i="21"/>
  <c r="AB294" i="21"/>
  <c r="AI294" i="21" s="1"/>
  <c r="V295" i="21"/>
  <c r="Y295" i="21" s="1"/>
  <c r="AL302" i="21"/>
  <c r="BA302" i="21" s="1"/>
  <c r="AN316" i="21"/>
  <c r="X324" i="21"/>
  <c r="AL330" i="21"/>
  <c r="BA330" i="21" s="1"/>
  <c r="T334" i="21"/>
  <c r="Z334" i="21" s="1"/>
  <c r="X337" i="21"/>
  <c r="AR364" i="21"/>
  <c r="AR375" i="21"/>
  <c r="BB375" i="21" s="1"/>
  <c r="AB382" i="21"/>
  <c r="AI382" i="21" s="1"/>
  <c r="T387" i="21"/>
  <c r="Z387" i="21" s="1"/>
  <c r="X397" i="21"/>
  <c r="Z397" i="21" s="1"/>
  <c r="AB402" i="21"/>
  <c r="AI402" i="21" s="1"/>
  <c r="R158" i="21"/>
  <c r="Y158" i="21" s="1"/>
  <c r="R85" i="21"/>
  <c r="Y85" i="21" s="1"/>
  <c r="R49" i="21"/>
  <c r="Y49" i="21" s="1"/>
  <c r="T327" i="21"/>
  <c r="Z327" i="21" s="1"/>
  <c r="V40" i="21"/>
  <c r="Y40" i="21" s="1"/>
  <c r="BF224" i="21"/>
  <c r="AR297" i="21"/>
  <c r="AP298" i="21"/>
  <c r="AL299" i="21"/>
  <c r="X300" i="21"/>
  <c r="Z300" i="21" s="1"/>
  <c r="AD302" i="21"/>
  <c r="X304" i="21"/>
  <c r="Z304" i="21" s="1"/>
  <c r="BI305" i="21"/>
  <c r="BH305" i="21"/>
  <c r="AV306" i="21"/>
  <c r="BB306" i="21" s="1"/>
  <c r="AL318" i="21"/>
  <c r="BA318" i="21" s="1"/>
  <c r="AD319" i="21"/>
  <c r="AJ319" i="21" s="1"/>
  <c r="AV323" i="21"/>
  <c r="BB323" i="21" s="1"/>
  <c r="AR324" i="21"/>
  <c r="BB324" i="21" s="1"/>
  <c r="AN325" i="21"/>
  <c r="BB325" i="21" s="1"/>
  <c r="BI325" i="21"/>
  <c r="BH325" i="21"/>
  <c r="AF328" i="21"/>
  <c r="AI328" i="21" s="1"/>
  <c r="AB329" i="21"/>
  <c r="AI329" i="21" s="1"/>
  <c r="AD331" i="21"/>
  <c r="AJ331" i="21" s="1"/>
  <c r="AN332" i="21"/>
  <c r="BI334" i="21"/>
  <c r="BH334" i="21"/>
  <c r="AL336" i="21"/>
  <c r="AT337" i="21"/>
  <c r="BA337" i="21" s="1"/>
  <c r="AN338" i="21"/>
  <c r="BB338" i="21" s="1"/>
  <c r="BI338" i="21"/>
  <c r="BH338" i="21"/>
  <c r="AN342" i="21"/>
  <c r="BB342" i="21" s="1"/>
  <c r="BI342" i="21"/>
  <c r="BH342" i="21"/>
  <c r="AV347" i="21"/>
  <c r="BB347" i="21" s="1"/>
  <c r="AX349" i="21"/>
  <c r="BA349" i="21" s="1"/>
  <c r="AV351" i="21"/>
  <c r="BB351" i="21" s="1"/>
  <c r="AP358" i="21"/>
  <c r="BA358" i="21" s="1"/>
  <c r="AL359" i="21"/>
  <c r="AV364" i="21"/>
  <c r="AD368" i="21"/>
  <c r="AJ368" i="21" s="1"/>
  <c r="X369" i="21"/>
  <c r="AL372" i="21"/>
  <c r="AD375" i="21"/>
  <c r="AJ375" i="21" s="1"/>
  <c r="BI376" i="21"/>
  <c r="BF376" i="21"/>
  <c r="AN378" i="21"/>
  <c r="BB378" i="21" s="1"/>
  <c r="AL380" i="21"/>
  <c r="BA380" i="21" s="1"/>
  <c r="AB392" i="21"/>
  <c r="AI392" i="21" s="1"/>
  <c r="BI394" i="21"/>
  <c r="BF394" i="21"/>
  <c r="AV400" i="21"/>
  <c r="BB400" i="21" s="1"/>
  <c r="AH403" i="21"/>
  <c r="AJ403" i="21" s="1"/>
  <c r="T382" i="21"/>
  <c r="Z382" i="21" s="1"/>
  <c r="T372" i="21"/>
  <c r="Z372" i="21" s="1"/>
  <c r="T350" i="21"/>
  <c r="Z350" i="21" s="1"/>
  <c r="V378" i="21"/>
  <c r="Y378" i="21" s="1"/>
  <c r="V314" i="21"/>
  <c r="Y314" i="21" s="1"/>
  <c r="X371" i="21"/>
  <c r="Z371" i="21" s="1"/>
  <c r="BH400" i="21"/>
  <c r="AH296" i="21"/>
  <c r="AJ296" i="21" s="1"/>
  <c r="AT297" i="21"/>
  <c r="BA297" i="21" s="1"/>
  <c r="X298" i="21"/>
  <c r="Z298" i="21" s="1"/>
  <c r="AN301" i="21"/>
  <c r="BB301" i="21" s="1"/>
  <c r="AB304" i="21"/>
  <c r="AI304" i="21" s="1"/>
  <c r="T305" i="21"/>
  <c r="Z305" i="21" s="1"/>
  <c r="BI312" i="21"/>
  <c r="BH312" i="21"/>
  <c r="AV315" i="21"/>
  <c r="BB315" i="21" s="1"/>
  <c r="AR316" i="21"/>
  <c r="AH317" i="21"/>
  <c r="AJ317" i="21" s="1"/>
  <c r="BI318" i="21"/>
  <c r="BF318" i="21"/>
  <c r="AF319" i="21"/>
  <c r="AI319" i="21" s="1"/>
  <c r="AX328" i="21"/>
  <c r="BA328" i="21" s="1"/>
  <c r="AV331" i="21"/>
  <c r="X332" i="21"/>
  <c r="Z332" i="21" s="1"/>
  <c r="BI336" i="21"/>
  <c r="BF336" i="21"/>
  <c r="AH339" i="21"/>
  <c r="AJ339" i="21" s="1"/>
  <c r="AL340" i="21"/>
  <c r="BA340" i="21" s="1"/>
  <c r="AB346" i="21"/>
  <c r="AI346" i="21" s="1"/>
  <c r="AH347" i="21"/>
  <c r="AJ347" i="21" s="1"/>
  <c r="X348" i="21"/>
  <c r="Z348" i="21" s="1"/>
  <c r="AD352" i="21"/>
  <c r="AJ352" i="21" s="1"/>
  <c r="AD360" i="21"/>
  <c r="AJ360" i="21" s="1"/>
  <c r="AN365" i="21"/>
  <c r="AF368" i="21"/>
  <c r="AI368" i="21" s="1"/>
  <c r="AB369" i="21"/>
  <c r="AI369" i="21" s="1"/>
  <c r="BI378" i="21"/>
  <c r="AV386" i="21"/>
  <c r="BB386" i="21" s="1"/>
  <c r="AN391" i="21"/>
  <c r="BB391" i="21" s="1"/>
  <c r="BI398" i="21"/>
  <c r="BH398" i="21"/>
  <c r="AF399" i="21"/>
  <c r="AI399" i="21" s="1"/>
  <c r="T370" i="21"/>
  <c r="Z370" i="21" s="1"/>
  <c r="T324" i="21"/>
  <c r="T296" i="21"/>
  <c r="V335" i="21"/>
  <c r="Y335" i="21" s="1"/>
  <c r="AH302" i="21"/>
  <c r="X303" i="21"/>
  <c r="V305" i="21"/>
  <c r="Y305" i="21" s="1"/>
  <c r="AH313" i="21"/>
  <c r="AJ313" i="21" s="1"/>
  <c r="AX315" i="21"/>
  <c r="BA315" i="21" s="1"/>
  <c r="AB321" i="21"/>
  <c r="AI321" i="21" s="1"/>
  <c r="BI323" i="21"/>
  <c r="BF323" i="21"/>
  <c r="AH326" i="21"/>
  <c r="AJ326" i="21" s="1"/>
  <c r="AR327" i="21"/>
  <c r="AR332" i="21"/>
  <c r="BI340" i="21"/>
  <c r="AH343" i="21"/>
  <c r="BI344" i="21"/>
  <c r="AL351" i="21"/>
  <c r="BA351" i="21" s="1"/>
  <c r="AF352" i="21"/>
  <c r="AI352" i="21" s="1"/>
  <c r="X353" i="21"/>
  <c r="Z353" i="21" s="1"/>
  <c r="BI355" i="21"/>
  <c r="AV356" i="21"/>
  <c r="BB356" i="21" s="1"/>
  <c r="AN357" i="21"/>
  <c r="T361" i="21"/>
  <c r="AH366" i="21"/>
  <c r="AJ366" i="21" s="1"/>
  <c r="X367" i="21"/>
  <c r="Z367" i="21" s="1"/>
  <c r="BI367" i="21"/>
  <c r="AX368" i="21"/>
  <c r="BA368" i="21" s="1"/>
  <c r="AT373" i="21"/>
  <c r="BI374" i="21"/>
  <c r="BH374" i="21"/>
  <c r="X376" i="21"/>
  <c r="Z376" i="21" s="1"/>
  <c r="AH379" i="21"/>
  <c r="AJ379" i="21" s="1"/>
  <c r="X383" i="21"/>
  <c r="Z383" i="21" s="1"/>
  <c r="AR387" i="21"/>
  <c r="BB387" i="21" s="1"/>
  <c r="BI387" i="21"/>
  <c r="X391" i="21"/>
  <c r="Z391" i="21" s="1"/>
  <c r="AX395" i="21"/>
  <c r="BA395" i="21" s="1"/>
  <c r="AH397" i="21"/>
  <c r="AJ397" i="21" s="1"/>
  <c r="AD398" i="21"/>
  <c r="AJ398" i="21" s="1"/>
  <c r="AD404" i="21"/>
  <c r="AJ404" i="21" s="1"/>
  <c r="T400" i="21"/>
  <c r="Z400" i="21" s="1"/>
  <c r="T320" i="21"/>
  <c r="Z320" i="21" s="1"/>
  <c r="V330" i="21"/>
  <c r="Y330" i="21" s="1"/>
  <c r="BI308" i="21"/>
  <c r="BH308" i="21"/>
  <c r="AH309" i="21"/>
  <c r="AJ309" i="21" s="1"/>
  <c r="AD311" i="21"/>
  <c r="AJ311" i="21" s="1"/>
  <c r="T313" i="21"/>
  <c r="Z313" i="21" s="1"/>
  <c r="AN317" i="21"/>
  <c r="BB317" i="21" s="1"/>
  <c r="AL319" i="21"/>
  <c r="BA319" i="21" s="1"/>
  <c r="AF320" i="21"/>
  <c r="AI320" i="21" s="1"/>
  <c r="AT325" i="21"/>
  <c r="BA325" i="21" s="1"/>
  <c r="AN328" i="21"/>
  <c r="AH329" i="21"/>
  <c r="AJ329" i="21" s="1"/>
  <c r="X344" i="21"/>
  <c r="Z344" i="21" s="1"/>
  <c r="AT346" i="21"/>
  <c r="BA346" i="21" s="1"/>
  <c r="V347" i="21"/>
  <c r="Y347" i="21" s="1"/>
  <c r="AD348" i="21"/>
  <c r="AJ348" i="21" s="1"/>
  <c r="BI353" i="21"/>
  <c r="BH353" i="21"/>
  <c r="AX356" i="21"/>
  <c r="BA356" i="21" s="1"/>
  <c r="AD358" i="21"/>
  <c r="X359" i="21"/>
  <c r="Z359" i="21" s="1"/>
  <c r="AV363" i="21"/>
  <c r="BB363" i="21" s="1"/>
  <c r="AR365" i="21"/>
  <c r="AF373" i="21"/>
  <c r="AI373" i="21" s="1"/>
  <c r="AP374" i="21"/>
  <c r="BA374" i="21" s="1"/>
  <c r="T377" i="21"/>
  <c r="Z377" i="21" s="1"/>
  <c r="AF381" i="21"/>
  <c r="AI381" i="21" s="1"/>
  <c r="AB383" i="21"/>
  <c r="AI383" i="21" s="1"/>
  <c r="AH388" i="21"/>
  <c r="AJ388" i="21" s="1"/>
  <c r="V393" i="21"/>
  <c r="Y393" i="21" s="1"/>
  <c r="AH395" i="21"/>
  <c r="AJ395" i="21" s="1"/>
  <c r="AD396" i="21"/>
  <c r="AJ396" i="21" s="1"/>
  <c r="AT396" i="21"/>
  <c r="BA396" i="21" s="1"/>
  <c r="AR401" i="21"/>
  <c r="BB401" i="21" s="1"/>
  <c r="R363" i="21"/>
  <c r="Y363" i="21" s="1"/>
  <c r="R331" i="21"/>
  <c r="Y331" i="21" s="1"/>
  <c r="R323" i="21"/>
  <c r="Y323" i="21" s="1"/>
  <c r="R315" i="21"/>
  <c r="Y315" i="21" s="1"/>
  <c r="T333" i="21"/>
  <c r="Z333" i="21" s="1"/>
  <c r="BH310" i="21"/>
  <c r="BI302" i="21"/>
  <c r="BF302" i="21"/>
  <c r="AD303" i="21"/>
  <c r="AJ303" i="21" s="1"/>
  <c r="AB305" i="21"/>
  <c r="AI305" i="21" s="1"/>
  <c r="BI306" i="21"/>
  <c r="AF311" i="21"/>
  <c r="AI311" i="21" s="1"/>
  <c r="X312" i="21"/>
  <c r="Z312" i="21" s="1"/>
  <c r="AD327" i="21"/>
  <c r="AJ327" i="21" s="1"/>
  <c r="AV327" i="21"/>
  <c r="AD330" i="21"/>
  <c r="BI331" i="21"/>
  <c r="BF331" i="21"/>
  <c r="AN333" i="21"/>
  <c r="BB333" i="21" s="1"/>
  <c r="AD336" i="21"/>
  <c r="AJ336" i="21" s="1"/>
  <c r="T337" i="21"/>
  <c r="AR340" i="21"/>
  <c r="AR344" i="21"/>
  <c r="BB344" i="21" s="1"/>
  <c r="BI345" i="21"/>
  <c r="BH345" i="21"/>
  <c r="AV348" i="21"/>
  <c r="AL352" i="21"/>
  <c r="BA352" i="21" s="1"/>
  <c r="AV354" i="21"/>
  <c r="AR355" i="21"/>
  <c r="BB355" i="21" s="1"/>
  <c r="AR357" i="21"/>
  <c r="X361" i="21"/>
  <c r="AN364" i="21"/>
  <c r="AT365" i="21"/>
  <c r="BA365" i="21" s="1"/>
  <c r="AN366" i="21"/>
  <c r="BB366" i="21" s="1"/>
  <c r="AD367" i="21"/>
  <c r="AJ367" i="21" s="1"/>
  <c r="BI368" i="21"/>
  <c r="BH368" i="21"/>
  <c r="AV369" i="21"/>
  <c r="AH371" i="21"/>
  <c r="AJ371" i="21" s="1"/>
  <c r="AB374" i="21"/>
  <c r="AI374" i="21" s="1"/>
  <c r="AL375" i="21"/>
  <c r="BA375" i="21" s="1"/>
  <c r="BI377" i="21"/>
  <c r="BH377" i="21"/>
  <c r="AT378" i="21"/>
  <c r="BA378" i="21" s="1"/>
  <c r="AH384" i="21"/>
  <c r="AJ384" i="21" s="1"/>
  <c r="AD385" i="21"/>
  <c r="AJ385" i="21" s="1"/>
  <c r="AB400" i="21"/>
  <c r="AI400" i="21" s="1"/>
  <c r="AR403" i="21"/>
  <c r="BB403" i="21" s="1"/>
  <c r="T356" i="21"/>
  <c r="Z356" i="21" s="1"/>
  <c r="AN312" i="21"/>
  <c r="BB312" i="21" s="1"/>
  <c r="AV307" i="21"/>
  <c r="BB307" i="21" s="1"/>
  <c r="AR308" i="21"/>
  <c r="BB308" i="21" s="1"/>
  <c r="AN309" i="21"/>
  <c r="BB309" i="21" s="1"/>
  <c r="AD310" i="21"/>
  <c r="AB312" i="21"/>
  <c r="BI313" i="21"/>
  <c r="BH313" i="21"/>
  <c r="BI315" i="21"/>
  <c r="AD322" i="21"/>
  <c r="AP326" i="21"/>
  <c r="BA326" i="21" s="1"/>
  <c r="BI326" i="21"/>
  <c r="X328" i="21"/>
  <c r="Z328" i="21" s="1"/>
  <c r="AR328" i="21"/>
  <c r="T329" i="21"/>
  <c r="Z329" i="21" s="1"/>
  <c r="AN329" i="21"/>
  <c r="BI335" i="21"/>
  <c r="AN337" i="21"/>
  <c r="BB337" i="21" s="1"/>
  <c r="AP339" i="21"/>
  <c r="AD340" i="21"/>
  <c r="AJ340" i="21" s="1"/>
  <c r="BI341" i="21"/>
  <c r="BH341" i="21"/>
  <c r="AD344" i="21"/>
  <c r="AJ344" i="21" s="1"/>
  <c r="AN345" i="21"/>
  <c r="BB345" i="21" s="1"/>
  <c r="AP347" i="21"/>
  <c r="BA347" i="21" s="1"/>
  <c r="AR349" i="21"/>
  <c r="BB349" i="21" s="1"/>
  <c r="AH358" i="21"/>
  <c r="AB361" i="21"/>
  <c r="BI361" i="21"/>
  <c r="BH361" i="21"/>
  <c r="BI364" i="21"/>
  <c r="AP379" i="21"/>
  <c r="BA379" i="21" s="1"/>
  <c r="AD380" i="21"/>
  <c r="AJ380" i="21" s="1"/>
  <c r="BI386" i="21"/>
  <c r="AD389" i="21"/>
  <c r="AJ389" i="21" s="1"/>
  <c r="AV389" i="21"/>
  <c r="BB389" i="21" s="1"/>
  <c r="AP397" i="21"/>
  <c r="BA397" i="21" s="1"/>
  <c r="X399" i="21"/>
  <c r="Z399" i="21" s="1"/>
  <c r="AN402" i="21"/>
  <c r="BB402" i="21" s="1"/>
  <c r="T354" i="21"/>
  <c r="Z354" i="21" s="1"/>
  <c r="V322" i="21"/>
  <c r="Y322" i="21" s="1"/>
  <c r="X381" i="21"/>
  <c r="Z381" i="21" s="1"/>
  <c r="X349" i="21"/>
  <c r="Z349" i="21" s="1"/>
  <c r="AZ114" i="21"/>
  <c r="AZ354" i="21"/>
  <c r="AZ266" i="21"/>
  <c r="AZ250" i="21"/>
  <c r="BB250" i="21" s="1"/>
  <c r="AZ202" i="21"/>
  <c r="AZ122" i="21"/>
  <c r="BB122" i="21" s="1"/>
  <c r="AZ98" i="21"/>
  <c r="BI2" i="21"/>
  <c r="BI5" i="21"/>
  <c r="BI10" i="21"/>
  <c r="BI19" i="21"/>
  <c r="BI9" i="21"/>
  <c r="BI32" i="21"/>
  <c r="BI33" i="21"/>
  <c r="BI34" i="21"/>
  <c r="BI17" i="21"/>
  <c r="BI28" i="21"/>
  <c r="BI40" i="21"/>
  <c r="BI24" i="21"/>
  <c r="BI26" i="21"/>
  <c r="BI15" i="21"/>
  <c r="BI22" i="21"/>
  <c r="BI36" i="21"/>
  <c r="BI48" i="21"/>
  <c r="BI62" i="21"/>
  <c r="BI82" i="21"/>
  <c r="BI74" i="21"/>
  <c r="BI86" i="21"/>
  <c r="BI90" i="21"/>
  <c r="BI50" i="21"/>
  <c r="BI61" i="21"/>
  <c r="BI60" i="21"/>
  <c r="BI72" i="21"/>
  <c r="BI92" i="21"/>
  <c r="BI64" i="21"/>
  <c r="BI84" i="21"/>
  <c r="BI94" i="21"/>
  <c r="BI114" i="21"/>
  <c r="BI129" i="21"/>
  <c r="BI131" i="21"/>
  <c r="BI141" i="21"/>
  <c r="BI122" i="21"/>
  <c r="BI125" i="21"/>
  <c r="BI123" i="21"/>
  <c r="BI137" i="21"/>
  <c r="BI139" i="21"/>
  <c r="BI145" i="21"/>
  <c r="BI120" i="21"/>
  <c r="BI133" i="21"/>
  <c r="BI149" i="21"/>
  <c r="BI157" i="21"/>
  <c r="BI185" i="21"/>
  <c r="BI162" i="21"/>
  <c r="BI187" i="21"/>
  <c r="BI151" i="21"/>
  <c r="BI172" i="21"/>
  <c r="BI167" i="21"/>
  <c r="BI191" i="21"/>
  <c r="BI186" i="21"/>
  <c r="BI193" i="21"/>
  <c r="BI174" i="21"/>
  <c r="BI178" i="21"/>
  <c r="BI211" i="21"/>
  <c r="BI216" i="21"/>
  <c r="BI225" i="21"/>
  <c r="BI197" i="21"/>
  <c r="BI215" i="21"/>
  <c r="BI195" i="21"/>
  <c r="BI199" i="21"/>
  <c r="BI223" i="21"/>
  <c r="BI221" i="21"/>
  <c r="BI207" i="21"/>
  <c r="BI244" i="21"/>
  <c r="BI248" i="21"/>
  <c r="BI237" i="21"/>
  <c r="BI239" i="21"/>
  <c r="BI246" i="21"/>
  <c r="BI250" i="21"/>
  <c r="BI243" i="21"/>
  <c r="BI233" i="21"/>
  <c r="BI241" i="21"/>
  <c r="BI252" i="21"/>
  <c r="BI256" i="21"/>
  <c r="BI260" i="21"/>
  <c r="BI272" i="21"/>
  <c r="BI276" i="21"/>
  <c r="BI296" i="21"/>
  <c r="BI291" i="21"/>
  <c r="BI284" i="21"/>
  <c r="BI295" i="21"/>
  <c r="BI287" i="21"/>
  <c r="BI289" i="21"/>
  <c r="BI268" i="21"/>
  <c r="BI297" i="21"/>
  <c r="BI316" i="21"/>
  <c r="BI319" i="21"/>
  <c r="BI322" i="21"/>
  <c r="BI324" i="21"/>
  <c r="BI298" i="21"/>
  <c r="BI311" i="21"/>
  <c r="BI314" i="21"/>
  <c r="BI320" i="21"/>
  <c r="BI317" i="21"/>
  <c r="BI304" i="21"/>
  <c r="BI309" i="21"/>
  <c r="BI301" i="21"/>
  <c r="BI330" i="21"/>
  <c r="BI328" i="21"/>
  <c r="BI333" i="21"/>
  <c r="BI347" i="21"/>
  <c r="BI351" i="21"/>
  <c r="BI349" i="21"/>
  <c r="BI337" i="21"/>
  <c r="BI358" i="21"/>
  <c r="BI362" i="21"/>
  <c r="BI354" i="21"/>
  <c r="BI360" i="21"/>
  <c r="BI373" i="21"/>
  <c r="BI352" i="21"/>
  <c r="BI365" i="21"/>
  <c r="BI372" i="21"/>
  <c r="BI366" i="21"/>
  <c r="BI375" i="21"/>
  <c r="BI381" i="21"/>
  <c r="BI393" i="21"/>
  <c r="BI389" i="21"/>
  <c r="BI395" i="21"/>
  <c r="BI371" i="21"/>
  <c r="BI397" i="21"/>
  <c r="BI399" i="21"/>
  <c r="BI384" i="21"/>
  <c r="BI392" i="21"/>
  <c r="BI401" i="21"/>
  <c r="BI383" i="21"/>
  <c r="BI391" i="21"/>
  <c r="AA404" i="19"/>
  <c r="AA403" i="19"/>
  <c r="AA402" i="19"/>
  <c r="AA401" i="19"/>
  <c r="AA400" i="19"/>
  <c r="AA399" i="19"/>
  <c r="AA398" i="19"/>
  <c r="AA397" i="19"/>
  <c r="AA396" i="19"/>
  <c r="AA395" i="19"/>
  <c r="AA394" i="19"/>
  <c r="AA393" i="19"/>
  <c r="AA392" i="19"/>
  <c r="AA391" i="19"/>
  <c r="AA390" i="19"/>
  <c r="AA389" i="19"/>
  <c r="AA388" i="19"/>
  <c r="AA387" i="19"/>
  <c r="AA386" i="19"/>
  <c r="AA385" i="19"/>
  <c r="AA384" i="19"/>
  <c r="AA383" i="19"/>
  <c r="AA382" i="19"/>
  <c r="AA381" i="19"/>
  <c r="AA380" i="19"/>
  <c r="AA379" i="19"/>
  <c r="AA378" i="19"/>
  <c r="AA377" i="19"/>
  <c r="AA376" i="19"/>
  <c r="AA375" i="19"/>
  <c r="AA374" i="19"/>
  <c r="AA373" i="19"/>
  <c r="AA372" i="19"/>
  <c r="AA371" i="19"/>
  <c r="AA370" i="19"/>
  <c r="AA369" i="19"/>
  <c r="AA368" i="19"/>
  <c r="AA367" i="19"/>
  <c r="AA366" i="19"/>
  <c r="AA365" i="19"/>
  <c r="AA364" i="19"/>
  <c r="AA363" i="19"/>
  <c r="AA362" i="19"/>
  <c r="AA361" i="19"/>
  <c r="AA360" i="19"/>
  <c r="AA359" i="19"/>
  <c r="AA358" i="19"/>
  <c r="AA357" i="19"/>
  <c r="AA356" i="19"/>
  <c r="AA355" i="19"/>
  <c r="AA354" i="19"/>
  <c r="AA353" i="19"/>
  <c r="AA352" i="19"/>
  <c r="AA351" i="19"/>
  <c r="AA350" i="19"/>
  <c r="AA349" i="19"/>
  <c r="AA348" i="19"/>
  <c r="AA347" i="19"/>
  <c r="AA346" i="19"/>
  <c r="AA345" i="19"/>
  <c r="AA344" i="19"/>
  <c r="AA343" i="19"/>
  <c r="AA342" i="19"/>
  <c r="AA341" i="19"/>
  <c r="AA340" i="19"/>
  <c r="AA339" i="19"/>
  <c r="AA338" i="19"/>
  <c r="AA337" i="19"/>
  <c r="AA336" i="19"/>
  <c r="AA335" i="19"/>
  <c r="AA334" i="19"/>
  <c r="AA333" i="19"/>
  <c r="AA332" i="19"/>
  <c r="AA331" i="19"/>
  <c r="AA330" i="19"/>
  <c r="AA329" i="19"/>
  <c r="AA328" i="19"/>
  <c r="AA327" i="19"/>
  <c r="AA326" i="19"/>
  <c r="AA325" i="19"/>
  <c r="AA324" i="19"/>
  <c r="AA323" i="19"/>
  <c r="AA322" i="19"/>
  <c r="AA321" i="19"/>
  <c r="AA320" i="19"/>
  <c r="AA319" i="19"/>
  <c r="AA318" i="19"/>
  <c r="AA317" i="19"/>
  <c r="AA316" i="19"/>
  <c r="AA315" i="19"/>
  <c r="AA314" i="19"/>
  <c r="AA313" i="19"/>
  <c r="AA312" i="19"/>
  <c r="AA311" i="19"/>
  <c r="AA310" i="19"/>
  <c r="AA309" i="19"/>
  <c r="AA308" i="19"/>
  <c r="AA307" i="19"/>
  <c r="AA306" i="19"/>
  <c r="AA305" i="19"/>
  <c r="AA304" i="19"/>
  <c r="AA303" i="19"/>
  <c r="AA302" i="19"/>
  <c r="AA301" i="19"/>
  <c r="AA300" i="19"/>
  <c r="AA299" i="19"/>
  <c r="AA298" i="19"/>
  <c r="AA297" i="19"/>
  <c r="AA296" i="19"/>
  <c r="AA295" i="19"/>
  <c r="AA294" i="19"/>
  <c r="AA293" i="19"/>
  <c r="AA292" i="19"/>
  <c r="AA291" i="19"/>
  <c r="AA290" i="19"/>
  <c r="AA289" i="19"/>
  <c r="AA288" i="19"/>
  <c r="AA287" i="19"/>
  <c r="AA286" i="19"/>
  <c r="AA285" i="19"/>
  <c r="AA284" i="19"/>
  <c r="AA283" i="19"/>
  <c r="AA282" i="19"/>
  <c r="AA281" i="19"/>
  <c r="AA280" i="19"/>
  <c r="AA279" i="19"/>
  <c r="AA278" i="19"/>
  <c r="AA277" i="19"/>
  <c r="AA276" i="19"/>
  <c r="AA275" i="19"/>
  <c r="AA274" i="19"/>
  <c r="AA273" i="19"/>
  <c r="AA272" i="19"/>
  <c r="AA271" i="19"/>
  <c r="AA270" i="19"/>
  <c r="AA269" i="19"/>
  <c r="AA268" i="19"/>
  <c r="AA267" i="19"/>
  <c r="AA266" i="19"/>
  <c r="AA265" i="19"/>
  <c r="AA264" i="19"/>
  <c r="AA263" i="19"/>
  <c r="AA262" i="19"/>
  <c r="AA261" i="19"/>
  <c r="AA260" i="19"/>
  <c r="AA259" i="19"/>
  <c r="AA258" i="19"/>
  <c r="AA257" i="19"/>
  <c r="AA256" i="19"/>
  <c r="AA255" i="19"/>
  <c r="AA254" i="19"/>
  <c r="AA253" i="19"/>
  <c r="AA252" i="19"/>
  <c r="AA251" i="19"/>
  <c r="AA250" i="19"/>
  <c r="AA249" i="19"/>
  <c r="AA248" i="19"/>
  <c r="AA247" i="19"/>
  <c r="AA246" i="19"/>
  <c r="AA245" i="19"/>
  <c r="AA244" i="19"/>
  <c r="AA243" i="19"/>
  <c r="AA242" i="19"/>
  <c r="AA241" i="19"/>
  <c r="AA240" i="19"/>
  <c r="AA239" i="19"/>
  <c r="AA238" i="19"/>
  <c r="AA237" i="19"/>
  <c r="AA236" i="19"/>
  <c r="AA235" i="19"/>
  <c r="AA234" i="19"/>
  <c r="AA233" i="19"/>
  <c r="AA232" i="19"/>
  <c r="AA231" i="19"/>
  <c r="AA230" i="19"/>
  <c r="AA229" i="19"/>
  <c r="AA228" i="19"/>
  <c r="AA227" i="19"/>
  <c r="AA226" i="19"/>
  <c r="AA225" i="19"/>
  <c r="AA224" i="19"/>
  <c r="AA223" i="19"/>
  <c r="AA222" i="19"/>
  <c r="AA221" i="19"/>
  <c r="AA220" i="19"/>
  <c r="AA219" i="19"/>
  <c r="AA218" i="19"/>
  <c r="AA217" i="19"/>
  <c r="AA216" i="19"/>
  <c r="AA215" i="19"/>
  <c r="AA214" i="19"/>
  <c r="AA213" i="19"/>
  <c r="AA212" i="19"/>
  <c r="AA211" i="19"/>
  <c r="AA210" i="19"/>
  <c r="AA209" i="19"/>
  <c r="AA208" i="19"/>
  <c r="AA207" i="19"/>
  <c r="AA206" i="19"/>
  <c r="AA205" i="19"/>
  <c r="AA204" i="19"/>
  <c r="AA203" i="19"/>
  <c r="AA202" i="19"/>
  <c r="AA201" i="19"/>
  <c r="AA200" i="19"/>
  <c r="AA199" i="19"/>
  <c r="AA198" i="19"/>
  <c r="AA197" i="19"/>
  <c r="AA196" i="19"/>
  <c r="AA195" i="19"/>
  <c r="AA194" i="19"/>
  <c r="AA193" i="19"/>
  <c r="AA192" i="19"/>
  <c r="AA191" i="19"/>
  <c r="AA190" i="19"/>
  <c r="AA189" i="19"/>
  <c r="AA188" i="19"/>
  <c r="AA187" i="19"/>
  <c r="AA186" i="19"/>
  <c r="AA185" i="19"/>
  <c r="AA184" i="19"/>
  <c r="AA183" i="19"/>
  <c r="AA182" i="19"/>
  <c r="AA181" i="19"/>
  <c r="AA180" i="19"/>
  <c r="AA179" i="19"/>
  <c r="AA178" i="19"/>
  <c r="AA177" i="19"/>
  <c r="AA176" i="19"/>
  <c r="AA175" i="19"/>
  <c r="AA174" i="19"/>
  <c r="AA173" i="19"/>
  <c r="AA172" i="19"/>
  <c r="AA171" i="19"/>
  <c r="AA170" i="19"/>
  <c r="AA169"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A143" i="19"/>
  <c r="AA142" i="19"/>
  <c r="AA141" i="19"/>
  <c r="AA140" i="19"/>
  <c r="AA139" i="19"/>
  <c r="AA138" i="19"/>
  <c r="AA137" i="19"/>
  <c r="AA136" i="19"/>
  <c r="AA135" i="19"/>
  <c r="AA134" i="19"/>
  <c r="AA133" i="19"/>
  <c r="AA132" i="19"/>
  <c r="AA131" i="19"/>
  <c r="AA130" i="19"/>
  <c r="AA129" i="19"/>
  <c r="AA128" i="19"/>
  <c r="AA127" i="19"/>
  <c r="AA126" i="19"/>
  <c r="AA125" i="19"/>
  <c r="AA124" i="19"/>
  <c r="AA123" i="19"/>
  <c r="AA122" i="19"/>
  <c r="AA121" i="19"/>
  <c r="AA120" i="19"/>
  <c r="AA119" i="19"/>
  <c r="AA118" i="19"/>
  <c r="AA117" i="19"/>
  <c r="AA116" i="19"/>
  <c r="AA115" i="19"/>
  <c r="AA114" i="19"/>
  <c r="AA113" i="19"/>
  <c r="AA112" i="19"/>
  <c r="AA111" i="19"/>
  <c r="AA110" i="19"/>
  <c r="AA109" i="19"/>
  <c r="AA108" i="19"/>
  <c r="AA107" i="19"/>
  <c r="AA106" i="19"/>
  <c r="AA105" i="19"/>
  <c r="AA104" i="19"/>
  <c r="AA103" i="19"/>
  <c r="AA102" i="19"/>
  <c r="AA101" i="19"/>
  <c r="AA100" i="19"/>
  <c r="AA99" i="19"/>
  <c r="AA98" i="19"/>
  <c r="AA97" i="19"/>
  <c r="AA96" i="19"/>
  <c r="AA95" i="19"/>
  <c r="AA94" i="19"/>
  <c r="AA93" i="19"/>
  <c r="AA92" i="19"/>
  <c r="AA91" i="19"/>
  <c r="AA90" i="19"/>
  <c r="AA89" i="19"/>
  <c r="AA88" i="19"/>
  <c r="AA87" i="19"/>
  <c r="AA86" i="19"/>
  <c r="AA85" i="19"/>
  <c r="AA84" i="19"/>
  <c r="AA83" i="19"/>
  <c r="AA82"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A56" i="19"/>
  <c r="AA55" i="19"/>
  <c r="AA54" i="19"/>
  <c r="AA53" i="19"/>
  <c r="AA52" i="19"/>
  <c r="AA51" i="19"/>
  <c r="AA50" i="19"/>
  <c r="AA49" i="19"/>
  <c r="AA48" i="19"/>
  <c r="AA47" i="19"/>
  <c r="AA46" i="19"/>
  <c r="AA45" i="19"/>
  <c r="AA44" i="19"/>
  <c r="AA43" i="19"/>
  <c r="AA42" i="19"/>
  <c r="AA41" i="19"/>
  <c r="AA40" i="19"/>
  <c r="AA39" i="19"/>
  <c r="AA38" i="19"/>
  <c r="AA37" i="19"/>
  <c r="AA36" i="19"/>
  <c r="AA35" i="19"/>
  <c r="AA34" i="19"/>
  <c r="AA33" i="19"/>
  <c r="AA32" i="19"/>
  <c r="AA31" i="19"/>
  <c r="AA30" i="19"/>
  <c r="AA29" i="19"/>
  <c r="AA28" i="19"/>
  <c r="AA27" i="19"/>
  <c r="AA26" i="19"/>
  <c r="AA25" i="19"/>
  <c r="AA24" i="19"/>
  <c r="AA23" i="19"/>
  <c r="AA22" i="19"/>
  <c r="AA21" i="19"/>
  <c r="AA20" i="19"/>
  <c r="AA19" i="19"/>
  <c r="AA18" i="19"/>
  <c r="AA17" i="19"/>
  <c r="AA16" i="19"/>
  <c r="AA15" i="19"/>
  <c r="AA14" i="19"/>
  <c r="AA13" i="19"/>
  <c r="AA12" i="19"/>
  <c r="AA11" i="19"/>
  <c r="AA10" i="19"/>
  <c r="AA9" i="19"/>
  <c r="AA8" i="19"/>
  <c r="AA7" i="19"/>
  <c r="AA6" i="19"/>
  <c r="AA5" i="19"/>
  <c r="AA4" i="19"/>
  <c r="AA3" i="19"/>
  <c r="AA2" i="19"/>
  <c r="X404" i="19"/>
  <c r="X403" i="19"/>
  <c r="X402" i="19"/>
  <c r="X401" i="19"/>
  <c r="X400" i="19"/>
  <c r="X399" i="19"/>
  <c r="X398" i="19"/>
  <c r="X397" i="19"/>
  <c r="X396" i="19"/>
  <c r="X395" i="19"/>
  <c r="X394" i="19"/>
  <c r="X393" i="19"/>
  <c r="X392" i="19"/>
  <c r="X391" i="19"/>
  <c r="X390" i="19"/>
  <c r="X389" i="19"/>
  <c r="X388" i="19"/>
  <c r="X387" i="19"/>
  <c r="X386" i="19"/>
  <c r="X385" i="19"/>
  <c r="X384" i="19"/>
  <c r="X383" i="19"/>
  <c r="X382" i="19"/>
  <c r="X381" i="19"/>
  <c r="X380" i="19"/>
  <c r="X379" i="19"/>
  <c r="X378" i="19"/>
  <c r="X377" i="19"/>
  <c r="X376" i="19"/>
  <c r="X375" i="19"/>
  <c r="X374" i="19"/>
  <c r="X373" i="19"/>
  <c r="X372" i="19"/>
  <c r="X371" i="19"/>
  <c r="X370" i="19"/>
  <c r="X369" i="19"/>
  <c r="X368" i="19"/>
  <c r="X367" i="19"/>
  <c r="X366" i="19"/>
  <c r="X365" i="19"/>
  <c r="X364" i="19"/>
  <c r="X363" i="19"/>
  <c r="X362" i="19"/>
  <c r="X361" i="19"/>
  <c r="X360" i="19"/>
  <c r="X359" i="19"/>
  <c r="X358" i="19"/>
  <c r="X357" i="19"/>
  <c r="X356" i="19"/>
  <c r="X355" i="19"/>
  <c r="X354" i="19"/>
  <c r="X353" i="19"/>
  <c r="X352" i="19"/>
  <c r="X351" i="19"/>
  <c r="X350" i="19"/>
  <c r="X349" i="19"/>
  <c r="X348" i="19"/>
  <c r="X347" i="19"/>
  <c r="X346" i="19"/>
  <c r="X345" i="19"/>
  <c r="X344" i="19"/>
  <c r="X343" i="19"/>
  <c r="X342" i="19"/>
  <c r="X341" i="19"/>
  <c r="X340" i="19"/>
  <c r="X339" i="19"/>
  <c r="X338" i="19"/>
  <c r="X337" i="19"/>
  <c r="X336" i="19"/>
  <c r="X335" i="19"/>
  <c r="X334" i="19"/>
  <c r="X333" i="19"/>
  <c r="X332" i="19"/>
  <c r="X331" i="19"/>
  <c r="X330" i="19"/>
  <c r="X329" i="19"/>
  <c r="X328" i="19"/>
  <c r="X327" i="19"/>
  <c r="X326" i="19"/>
  <c r="X325" i="19"/>
  <c r="X324" i="19"/>
  <c r="X323" i="19"/>
  <c r="X322" i="19"/>
  <c r="X321" i="19"/>
  <c r="X320" i="19"/>
  <c r="X319" i="19"/>
  <c r="X318" i="19"/>
  <c r="X317" i="19"/>
  <c r="X316" i="19"/>
  <c r="X315" i="19"/>
  <c r="X314" i="19"/>
  <c r="X313" i="19"/>
  <c r="X312" i="19"/>
  <c r="X311" i="19"/>
  <c r="X310" i="19"/>
  <c r="X309" i="19"/>
  <c r="X308" i="19"/>
  <c r="X307" i="19"/>
  <c r="X306" i="19"/>
  <c r="X305" i="19"/>
  <c r="X304" i="19"/>
  <c r="X303" i="19"/>
  <c r="X302" i="19"/>
  <c r="X301" i="19"/>
  <c r="X300" i="19"/>
  <c r="X299" i="19"/>
  <c r="X298" i="19"/>
  <c r="X297" i="19"/>
  <c r="X296" i="19"/>
  <c r="X295" i="19"/>
  <c r="X294" i="19"/>
  <c r="X293" i="19"/>
  <c r="X292" i="19"/>
  <c r="X291" i="19"/>
  <c r="X290" i="19"/>
  <c r="X289" i="19"/>
  <c r="X288" i="19"/>
  <c r="X287" i="19"/>
  <c r="X286" i="19"/>
  <c r="X285" i="19"/>
  <c r="X284" i="19"/>
  <c r="X283" i="19"/>
  <c r="X282" i="19"/>
  <c r="X281" i="19"/>
  <c r="X280" i="19"/>
  <c r="X279" i="19"/>
  <c r="X278" i="19"/>
  <c r="X277" i="19"/>
  <c r="X276" i="19"/>
  <c r="X275" i="19"/>
  <c r="X274" i="19"/>
  <c r="X273" i="19"/>
  <c r="X272" i="19"/>
  <c r="X271" i="19"/>
  <c r="X270" i="19"/>
  <c r="X269" i="19"/>
  <c r="X268" i="19"/>
  <c r="X267" i="19"/>
  <c r="X266" i="19"/>
  <c r="X265" i="19"/>
  <c r="X264" i="19"/>
  <c r="X263" i="19"/>
  <c r="X262" i="19"/>
  <c r="X261" i="19"/>
  <c r="X260" i="19"/>
  <c r="X259" i="19"/>
  <c r="X258" i="19"/>
  <c r="X257" i="19"/>
  <c r="X256" i="19"/>
  <c r="X255" i="19"/>
  <c r="X254" i="19"/>
  <c r="X253" i="19"/>
  <c r="X252" i="19"/>
  <c r="X251" i="19"/>
  <c r="X250" i="19"/>
  <c r="X249" i="19"/>
  <c r="X248" i="19"/>
  <c r="X247" i="19"/>
  <c r="X246" i="19"/>
  <c r="X245" i="19"/>
  <c r="X244" i="19"/>
  <c r="X243" i="19"/>
  <c r="X242" i="19"/>
  <c r="X241" i="19"/>
  <c r="X240" i="19"/>
  <c r="X239" i="19"/>
  <c r="X238" i="19"/>
  <c r="X237" i="19"/>
  <c r="X236" i="19"/>
  <c r="X235" i="19"/>
  <c r="X234" i="19"/>
  <c r="X233" i="19"/>
  <c r="X232" i="19"/>
  <c r="X231" i="19"/>
  <c r="X230" i="19"/>
  <c r="X229" i="19"/>
  <c r="X228" i="19"/>
  <c r="X227" i="19"/>
  <c r="X226" i="19"/>
  <c r="X225" i="19"/>
  <c r="X224" i="19"/>
  <c r="X223" i="19"/>
  <c r="X222" i="19"/>
  <c r="X221" i="19"/>
  <c r="X220" i="19"/>
  <c r="X219" i="19"/>
  <c r="X218" i="19"/>
  <c r="X217" i="19"/>
  <c r="X216" i="19"/>
  <c r="X215" i="19"/>
  <c r="X214" i="19"/>
  <c r="X213" i="19"/>
  <c r="X212" i="19"/>
  <c r="X211" i="19"/>
  <c r="X210" i="19"/>
  <c r="X209" i="19"/>
  <c r="X208" i="19"/>
  <c r="X207" i="19"/>
  <c r="X206" i="19"/>
  <c r="X205" i="19"/>
  <c r="X204" i="19"/>
  <c r="X203" i="19"/>
  <c r="X202" i="19"/>
  <c r="X201" i="19"/>
  <c r="X200" i="19"/>
  <c r="X199" i="19"/>
  <c r="X198" i="19"/>
  <c r="X197" i="19"/>
  <c r="X196" i="19"/>
  <c r="X195" i="19"/>
  <c r="X194" i="19"/>
  <c r="X193" i="19"/>
  <c r="X192" i="19"/>
  <c r="X191" i="19"/>
  <c r="X190" i="19"/>
  <c r="X189" i="19"/>
  <c r="X188" i="19"/>
  <c r="X187" i="19"/>
  <c r="X186" i="19"/>
  <c r="X185" i="19"/>
  <c r="X184" i="19"/>
  <c r="X183" i="19"/>
  <c r="X182" i="19"/>
  <c r="X181" i="19"/>
  <c r="X180" i="19"/>
  <c r="X179" i="19"/>
  <c r="X178" i="19"/>
  <c r="X177" i="19"/>
  <c r="X176" i="19"/>
  <c r="X175" i="19"/>
  <c r="X174" i="19"/>
  <c r="X173" i="19"/>
  <c r="X172" i="19"/>
  <c r="X171" i="19"/>
  <c r="X170" i="19"/>
  <c r="X169" i="19"/>
  <c r="X168" i="19"/>
  <c r="X167" i="19"/>
  <c r="X166" i="19"/>
  <c r="X165" i="19"/>
  <c r="X164" i="19"/>
  <c r="X163" i="19"/>
  <c r="X162" i="19"/>
  <c r="X161" i="19"/>
  <c r="X160" i="19"/>
  <c r="X159" i="19"/>
  <c r="X158" i="19"/>
  <c r="X157" i="19"/>
  <c r="X156" i="19"/>
  <c r="X155" i="19"/>
  <c r="X154" i="19"/>
  <c r="X153" i="19"/>
  <c r="X152" i="19"/>
  <c r="X151" i="19"/>
  <c r="X150" i="19"/>
  <c r="X149" i="19"/>
  <c r="X148" i="19"/>
  <c r="X147" i="19"/>
  <c r="X146" i="19"/>
  <c r="X145" i="19"/>
  <c r="X144" i="19"/>
  <c r="X143" i="19"/>
  <c r="X142" i="19"/>
  <c r="X141" i="19"/>
  <c r="X140" i="19"/>
  <c r="X139" i="19"/>
  <c r="X138" i="19"/>
  <c r="X137" i="19"/>
  <c r="X136" i="19"/>
  <c r="X135" i="19"/>
  <c r="X134" i="19"/>
  <c r="X133" i="19"/>
  <c r="X132" i="19"/>
  <c r="X131" i="19"/>
  <c r="X130" i="19"/>
  <c r="X129" i="19"/>
  <c r="X128" i="19"/>
  <c r="X127" i="19"/>
  <c r="X126" i="19"/>
  <c r="X125" i="19"/>
  <c r="X124" i="19"/>
  <c r="X123" i="19"/>
  <c r="X122" i="19"/>
  <c r="X121" i="19"/>
  <c r="X120" i="19"/>
  <c r="X119" i="19"/>
  <c r="X118" i="19"/>
  <c r="X117" i="19"/>
  <c r="X116" i="19"/>
  <c r="X115" i="19"/>
  <c r="X114" i="19"/>
  <c r="X113" i="19"/>
  <c r="X112" i="19"/>
  <c r="X111"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85" i="19"/>
  <c r="X84" i="19"/>
  <c r="X83" i="19"/>
  <c r="X82" i="19"/>
  <c r="X81" i="19"/>
  <c r="X80" i="19"/>
  <c r="X79" i="19"/>
  <c r="X78" i="19"/>
  <c r="X77" i="19"/>
  <c r="X76" i="19"/>
  <c r="X75" i="19"/>
  <c r="X74" i="19"/>
  <c r="X73" i="19"/>
  <c r="X72" i="19"/>
  <c r="X71" i="19"/>
  <c r="X70" i="19"/>
  <c r="X69" i="19"/>
  <c r="X68" i="19"/>
  <c r="X67" i="19"/>
  <c r="X66" i="19"/>
  <c r="X65" i="19"/>
  <c r="X64" i="19"/>
  <c r="X63" i="19"/>
  <c r="X62" i="19"/>
  <c r="X61" i="19"/>
  <c r="X60" i="19"/>
  <c r="X59" i="19"/>
  <c r="X58" i="19"/>
  <c r="X57" i="19"/>
  <c r="X56" i="19"/>
  <c r="X55" i="19"/>
  <c r="X54" i="19"/>
  <c r="X53" i="19"/>
  <c r="X52" i="19"/>
  <c r="X51" i="19"/>
  <c r="X50" i="19"/>
  <c r="X49" i="19"/>
  <c r="X48" i="19"/>
  <c r="X47" i="19"/>
  <c r="X46" i="19"/>
  <c r="X45" i="19"/>
  <c r="X44" i="19"/>
  <c r="X43" i="19"/>
  <c r="X42" i="19"/>
  <c r="X41" i="19"/>
  <c r="X40" i="19"/>
  <c r="X39" i="19"/>
  <c r="X38" i="19"/>
  <c r="X37" i="19"/>
  <c r="X36" i="19"/>
  <c r="X35" i="19"/>
  <c r="X34" i="19"/>
  <c r="X33" i="19"/>
  <c r="X32" i="19"/>
  <c r="X31" i="19"/>
  <c r="X30" i="19"/>
  <c r="X29" i="19"/>
  <c r="X28" i="19"/>
  <c r="X27" i="19"/>
  <c r="X26" i="19"/>
  <c r="X25" i="19"/>
  <c r="X24" i="19"/>
  <c r="X23" i="19"/>
  <c r="X22" i="19"/>
  <c r="X21" i="19"/>
  <c r="X20" i="19"/>
  <c r="X19" i="19"/>
  <c r="X18" i="19"/>
  <c r="X17" i="19"/>
  <c r="X16" i="19"/>
  <c r="X15" i="19"/>
  <c r="X14" i="19"/>
  <c r="X13" i="19"/>
  <c r="X12" i="19"/>
  <c r="X11" i="19"/>
  <c r="X10" i="19"/>
  <c r="X9" i="19"/>
  <c r="X8" i="19"/>
  <c r="X7" i="19"/>
  <c r="X6" i="19"/>
  <c r="X5" i="19"/>
  <c r="X4" i="19"/>
  <c r="X3" i="19"/>
  <c r="X2"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5" i="19"/>
  <c r="U4" i="19"/>
  <c r="U3" i="19"/>
  <c r="U2" i="19"/>
  <c r="R404" i="19"/>
  <c r="R403" i="19"/>
  <c r="R402" i="19"/>
  <c r="R401" i="19"/>
  <c r="R400" i="19"/>
  <c r="R399" i="19"/>
  <c r="R398" i="19"/>
  <c r="R397" i="19"/>
  <c r="R396" i="19"/>
  <c r="R395" i="19"/>
  <c r="R394" i="19"/>
  <c r="R393" i="19"/>
  <c r="R392" i="19"/>
  <c r="R391" i="19"/>
  <c r="R390" i="19"/>
  <c r="R389" i="19"/>
  <c r="R388" i="19"/>
  <c r="R387" i="19"/>
  <c r="R386" i="19"/>
  <c r="R385" i="19"/>
  <c r="R384" i="19"/>
  <c r="R383" i="19"/>
  <c r="R382" i="19"/>
  <c r="R381" i="19"/>
  <c r="R380" i="19"/>
  <c r="R379" i="19"/>
  <c r="R378" i="19"/>
  <c r="R377" i="19"/>
  <c r="R376" i="19"/>
  <c r="R375" i="19"/>
  <c r="R374" i="19"/>
  <c r="R373" i="19"/>
  <c r="R372" i="19"/>
  <c r="R371" i="19"/>
  <c r="R370" i="19"/>
  <c r="R369" i="19"/>
  <c r="R368" i="19"/>
  <c r="R367" i="19"/>
  <c r="R366" i="19"/>
  <c r="R365" i="19"/>
  <c r="R364" i="19"/>
  <c r="R363" i="19"/>
  <c r="R362" i="19"/>
  <c r="R361" i="19"/>
  <c r="R360" i="19"/>
  <c r="R359" i="19"/>
  <c r="R358" i="19"/>
  <c r="R357" i="19"/>
  <c r="R356" i="19"/>
  <c r="R355" i="19"/>
  <c r="R354" i="19"/>
  <c r="R353" i="19"/>
  <c r="R352" i="19"/>
  <c r="R351" i="19"/>
  <c r="R350" i="19"/>
  <c r="R349" i="19"/>
  <c r="R348" i="19"/>
  <c r="R347" i="19"/>
  <c r="R346" i="19"/>
  <c r="R345" i="19"/>
  <c r="R344" i="19"/>
  <c r="R343" i="19"/>
  <c r="R342" i="19"/>
  <c r="R341" i="19"/>
  <c r="R340" i="19"/>
  <c r="R339" i="19"/>
  <c r="R338" i="19"/>
  <c r="R337" i="19"/>
  <c r="R336" i="19"/>
  <c r="R335" i="19"/>
  <c r="R334" i="19"/>
  <c r="R333" i="19"/>
  <c r="R332" i="19"/>
  <c r="R331" i="19"/>
  <c r="R330" i="19"/>
  <c r="R329" i="19"/>
  <c r="R328" i="19"/>
  <c r="R327" i="19"/>
  <c r="R326" i="19"/>
  <c r="R325" i="19"/>
  <c r="R324" i="19"/>
  <c r="R323" i="19"/>
  <c r="R322" i="19"/>
  <c r="R321" i="19"/>
  <c r="R320" i="19"/>
  <c r="R319" i="19"/>
  <c r="R318" i="19"/>
  <c r="R317" i="19"/>
  <c r="R316" i="19"/>
  <c r="R315" i="19"/>
  <c r="R314" i="19"/>
  <c r="R313" i="19"/>
  <c r="R312" i="19"/>
  <c r="R311" i="19"/>
  <c r="R310" i="19"/>
  <c r="R309" i="19"/>
  <c r="R308" i="19"/>
  <c r="R307" i="19"/>
  <c r="R306" i="19"/>
  <c r="R305" i="19"/>
  <c r="R304" i="19"/>
  <c r="R303" i="19"/>
  <c r="R302" i="19"/>
  <c r="R301" i="19"/>
  <c r="R300" i="19"/>
  <c r="R299" i="19"/>
  <c r="R298" i="19"/>
  <c r="R297" i="19"/>
  <c r="R296" i="19"/>
  <c r="R295" i="19"/>
  <c r="R294" i="19"/>
  <c r="R293" i="19"/>
  <c r="R292" i="19"/>
  <c r="R291" i="19"/>
  <c r="R290" i="19"/>
  <c r="R289" i="19"/>
  <c r="R288" i="19"/>
  <c r="R287" i="19"/>
  <c r="R286" i="19"/>
  <c r="R285" i="19"/>
  <c r="R284" i="19"/>
  <c r="R283" i="19"/>
  <c r="R282" i="19"/>
  <c r="R281" i="19"/>
  <c r="R280" i="19"/>
  <c r="R279" i="19"/>
  <c r="R278" i="19"/>
  <c r="R277" i="19"/>
  <c r="R276" i="19"/>
  <c r="R275" i="19"/>
  <c r="R274" i="19"/>
  <c r="R273" i="19"/>
  <c r="R272" i="19"/>
  <c r="R271" i="19"/>
  <c r="R270" i="19"/>
  <c r="R269" i="19"/>
  <c r="R268" i="19"/>
  <c r="R267" i="19"/>
  <c r="R266" i="19"/>
  <c r="R265" i="19"/>
  <c r="R264" i="19"/>
  <c r="R263" i="19"/>
  <c r="R262" i="19"/>
  <c r="R261" i="19"/>
  <c r="R260" i="19"/>
  <c r="R259" i="19"/>
  <c r="R258" i="19"/>
  <c r="R257" i="19"/>
  <c r="R256" i="19"/>
  <c r="R255" i="19"/>
  <c r="R254" i="19"/>
  <c r="R253" i="19"/>
  <c r="R252" i="19"/>
  <c r="R251" i="19"/>
  <c r="R250" i="19"/>
  <c r="R249" i="19"/>
  <c r="R248" i="19"/>
  <c r="R247" i="19"/>
  <c r="R246" i="19"/>
  <c r="R245" i="19"/>
  <c r="R244" i="19"/>
  <c r="R243" i="19"/>
  <c r="R242" i="19"/>
  <c r="R241" i="19"/>
  <c r="R240" i="19"/>
  <c r="R239" i="19"/>
  <c r="R238" i="19"/>
  <c r="R237" i="19"/>
  <c r="R236" i="19"/>
  <c r="R235" i="19"/>
  <c r="R234" i="19"/>
  <c r="R233" i="19"/>
  <c r="R232" i="19"/>
  <c r="R231" i="19"/>
  <c r="R230" i="19"/>
  <c r="R229" i="19"/>
  <c r="R228" i="19"/>
  <c r="R227" i="19"/>
  <c r="R226" i="19"/>
  <c r="R225" i="19"/>
  <c r="R224" i="19"/>
  <c r="R223" i="19"/>
  <c r="R222" i="19"/>
  <c r="R221" i="19"/>
  <c r="R220" i="19"/>
  <c r="R219" i="19"/>
  <c r="R218" i="19"/>
  <c r="R217" i="19"/>
  <c r="R216" i="19"/>
  <c r="R215" i="19"/>
  <c r="R214" i="19"/>
  <c r="R213" i="19"/>
  <c r="R212" i="19"/>
  <c r="R211" i="19"/>
  <c r="R210" i="19"/>
  <c r="R209" i="19"/>
  <c r="R208" i="19"/>
  <c r="R207" i="19"/>
  <c r="R206" i="19"/>
  <c r="R205" i="19"/>
  <c r="R204" i="19"/>
  <c r="R203" i="19"/>
  <c r="R202" i="19"/>
  <c r="R201" i="19"/>
  <c r="R200" i="19"/>
  <c r="R199" i="19"/>
  <c r="R198" i="19"/>
  <c r="R197" i="19"/>
  <c r="R196" i="19"/>
  <c r="R195" i="19"/>
  <c r="R194" i="19"/>
  <c r="R193" i="19"/>
  <c r="R192" i="19"/>
  <c r="R191" i="19"/>
  <c r="R190" i="19"/>
  <c r="R189" i="19"/>
  <c r="R188" i="19"/>
  <c r="R187" i="19"/>
  <c r="R186" i="19"/>
  <c r="R185" i="19"/>
  <c r="R184" i="19"/>
  <c r="R183" i="19"/>
  <c r="R182" i="19"/>
  <c r="R181" i="19"/>
  <c r="R180" i="19"/>
  <c r="R179" i="19"/>
  <c r="R178" i="19"/>
  <c r="R177" i="19"/>
  <c r="R176" i="19"/>
  <c r="R175" i="19"/>
  <c r="R174" i="19"/>
  <c r="R173" i="19"/>
  <c r="R172" i="19"/>
  <c r="R171" i="19"/>
  <c r="R170" i="19"/>
  <c r="R169" i="19"/>
  <c r="R168" i="19"/>
  <c r="R167" i="19"/>
  <c r="R166" i="19"/>
  <c r="R165" i="19"/>
  <c r="R164" i="19"/>
  <c r="R163" i="19"/>
  <c r="R162" i="19"/>
  <c r="R161" i="19"/>
  <c r="R160" i="19"/>
  <c r="R159" i="19"/>
  <c r="R158" i="19"/>
  <c r="R157" i="19"/>
  <c r="R156" i="19"/>
  <c r="R155" i="19"/>
  <c r="R154" i="19"/>
  <c r="R153" i="19"/>
  <c r="R152" i="19"/>
  <c r="R151" i="19"/>
  <c r="R150" i="19"/>
  <c r="R149" i="19"/>
  <c r="R148" i="19"/>
  <c r="R147" i="19"/>
  <c r="R146" i="19"/>
  <c r="R145" i="19"/>
  <c r="R144" i="19"/>
  <c r="R143" i="19"/>
  <c r="R142" i="19"/>
  <c r="R141" i="19"/>
  <c r="R140"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R114" i="19"/>
  <c r="R113" i="19"/>
  <c r="R112" i="19"/>
  <c r="R111" i="19"/>
  <c r="R110" i="19"/>
  <c r="R109" i="19"/>
  <c r="R108" i="19"/>
  <c r="R107" i="19"/>
  <c r="R106" i="19"/>
  <c r="R105" i="19"/>
  <c r="R104" i="19"/>
  <c r="R103" i="19"/>
  <c r="R102" i="19"/>
  <c r="R101" i="19"/>
  <c r="R100" i="19"/>
  <c r="R99" i="19"/>
  <c r="R98" i="19"/>
  <c r="R97" i="19"/>
  <c r="R96" i="19"/>
  <c r="R95" i="19"/>
  <c r="R94" i="19"/>
  <c r="R93" i="19"/>
  <c r="R92" i="19"/>
  <c r="R91" i="19"/>
  <c r="R90" i="19"/>
  <c r="R89" i="19"/>
  <c r="R88" i="19"/>
  <c r="R87" i="19"/>
  <c r="R86" i="19"/>
  <c r="R85" i="19"/>
  <c r="R84" i="19"/>
  <c r="R83" i="19"/>
  <c r="R82" i="19"/>
  <c r="R81" i="19"/>
  <c r="R80" i="19"/>
  <c r="R79" i="19"/>
  <c r="R78" i="19"/>
  <c r="R77" i="19"/>
  <c r="R76" i="19"/>
  <c r="R75" i="19"/>
  <c r="R74" i="19"/>
  <c r="R73" i="19"/>
  <c r="R72" i="19"/>
  <c r="R71" i="19"/>
  <c r="R70" i="19"/>
  <c r="R69" i="19"/>
  <c r="R68" i="19"/>
  <c r="R67" i="19"/>
  <c r="R66" i="19"/>
  <c r="R65" i="19"/>
  <c r="R64" i="19"/>
  <c r="R63" i="19"/>
  <c r="R62" i="19"/>
  <c r="R61" i="19"/>
  <c r="R60" i="19"/>
  <c r="R59" i="19"/>
  <c r="R58" i="19"/>
  <c r="R57" i="19"/>
  <c r="R56" i="19"/>
  <c r="R55" i="19"/>
  <c r="R54" i="19"/>
  <c r="R53" i="19"/>
  <c r="R52" i="19"/>
  <c r="R51" i="19"/>
  <c r="R50" i="19"/>
  <c r="R49" i="19"/>
  <c r="R48" i="19"/>
  <c r="R47" i="19"/>
  <c r="R46" i="19"/>
  <c r="R45" i="19"/>
  <c r="R44" i="19"/>
  <c r="R43" i="19"/>
  <c r="R42" i="19"/>
  <c r="R41" i="19"/>
  <c r="R40" i="19"/>
  <c r="R39" i="19"/>
  <c r="R38" i="19"/>
  <c r="R37" i="19"/>
  <c r="R36" i="19"/>
  <c r="R35" i="19"/>
  <c r="R34" i="19"/>
  <c r="R33" i="19"/>
  <c r="R32" i="19"/>
  <c r="R31" i="19"/>
  <c r="R30" i="19"/>
  <c r="R29" i="19"/>
  <c r="R28" i="19"/>
  <c r="R27" i="19"/>
  <c r="R26" i="19"/>
  <c r="R25" i="19"/>
  <c r="R24" i="19"/>
  <c r="R23" i="19"/>
  <c r="R22" i="19"/>
  <c r="R21" i="19"/>
  <c r="R20" i="19"/>
  <c r="R19" i="19"/>
  <c r="R18" i="19"/>
  <c r="R17" i="19"/>
  <c r="R16" i="19"/>
  <c r="R15" i="19"/>
  <c r="R14" i="19"/>
  <c r="R13" i="19"/>
  <c r="R12" i="19"/>
  <c r="R11" i="19"/>
  <c r="R10" i="19"/>
  <c r="R9" i="19"/>
  <c r="R8" i="19"/>
  <c r="R7" i="19"/>
  <c r="R6" i="19"/>
  <c r="R5" i="19"/>
  <c r="R4" i="19"/>
  <c r="R3" i="19"/>
  <c r="R2"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L305" i="19"/>
  <c r="L304" i="19"/>
  <c r="L303" i="19"/>
  <c r="L302" i="19"/>
  <c r="L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L8" i="19"/>
  <c r="L7" i="19"/>
  <c r="L6" i="19"/>
  <c r="L5" i="19"/>
  <c r="L4" i="19"/>
  <c r="L3" i="19"/>
  <c r="L2" i="19"/>
  <c r="I404" i="19"/>
  <c r="I403" i="19"/>
  <c r="I402" i="19"/>
  <c r="I401" i="19"/>
  <c r="I400" i="19"/>
  <c r="I399" i="19"/>
  <c r="I398" i="19"/>
  <c r="I397" i="19"/>
  <c r="I396" i="19"/>
  <c r="I395" i="19"/>
  <c r="I394" i="19"/>
  <c r="I393" i="19"/>
  <c r="I392" i="19"/>
  <c r="I391" i="19"/>
  <c r="I390" i="19"/>
  <c r="I389" i="19"/>
  <c r="I388" i="19"/>
  <c r="I387" i="19"/>
  <c r="I386" i="19"/>
  <c r="I385" i="19"/>
  <c r="I384" i="19"/>
  <c r="I383" i="19"/>
  <c r="I382" i="19"/>
  <c r="I381" i="19"/>
  <c r="I380" i="19"/>
  <c r="I379" i="19"/>
  <c r="I378" i="19"/>
  <c r="I377" i="19"/>
  <c r="I376" i="19"/>
  <c r="I375" i="19"/>
  <c r="I374" i="19"/>
  <c r="I373" i="19"/>
  <c r="I372" i="19"/>
  <c r="I371" i="19"/>
  <c r="I370" i="19"/>
  <c r="I369" i="19"/>
  <c r="I368" i="19"/>
  <c r="I367" i="19"/>
  <c r="I366" i="19"/>
  <c r="I365" i="19"/>
  <c r="I364" i="19"/>
  <c r="I363" i="19"/>
  <c r="I362" i="19"/>
  <c r="I361" i="19"/>
  <c r="I360" i="19"/>
  <c r="I359" i="19"/>
  <c r="I358" i="19"/>
  <c r="I357" i="19"/>
  <c r="I356" i="19"/>
  <c r="I355" i="19"/>
  <c r="I354" i="19"/>
  <c r="I353" i="19"/>
  <c r="I352" i="19"/>
  <c r="I351" i="19"/>
  <c r="I350" i="19"/>
  <c r="I349" i="19"/>
  <c r="I348" i="19"/>
  <c r="I347" i="19"/>
  <c r="I346" i="19"/>
  <c r="I345" i="19"/>
  <c r="I344" i="19"/>
  <c r="I343" i="19"/>
  <c r="I342" i="19"/>
  <c r="I341" i="19"/>
  <c r="I340" i="19"/>
  <c r="I339" i="19"/>
  <c r="I338" i="19"/>
  <c r="I337" i="19"/>
  <c r="I336" i="19"/>
  <c r="I335" i="19"/>
  <c r="I334" i="19"/>
  <c r="I333" i="19"/>
  <c r="I332" i="19"/>
  <c r="I331" i="19"/>
  <c r="I330" i="19"/>
  <c r="I329" i="19"/>
  <c r="I328" i="19"/>
  <c r="I327" i="19"/>
  <c r="I326" i="19"/>
  <c r="I325" i="19"/>
  <c r="I324" i="19"/>
  <c r="I323" i="19"/>
  <c r="I322" i="19"/>
  <c r="I321" i="19"/>
  <c r="I320" i="19"/>
  <c r="I319" i="19"/>
  <c r="I318" i="19"/>
  <c r="I317" i="19"/>
  <c r="I316" i="19"/>
  <c r="I315" i="19"/>
  <c r="I314" i="19"/>
  <c r="I313" i="19"/>
  <c r="I312" i="19"/>
  <c r="I311" i="19"/>
  <c r="I310" i="19"/>
  <c r="I309" i="19"/>
  <c r="I308" i="19"/>
  <c r="I307" i="19"/>
  <c r="I306" i="19"/>
  <c r="I305" i="19"/>
  <c r="I304" i="19"/>
  <c r="I303" i="19"/>
  <c r="I302" i="19"/>
  <c r="I301" i="19"/>
  <c r="I300" i="19"/>
  <c r="I299" i="19"/>
  <c r="I298" i="19"/>
  <c r="I297" i="19"/>
  <c r="I296" i="19"/>
  <c r="I295" i="19"/>
  <c r="I294" i="19"/>
  <c r="I293" i="19"/>
  <c r="I292" i="19"/>
  <c r="I291" i="19"/>
  <c r="I290" i="19"/>
  <c r="I289" i="19"/>
  <c r="I288" i="19"/>
  <c r="I287" i="19"/>
  <c r="I286" i="19"/>
  <c r="I285" i="19"/>
  <c r="I284" i="19"/>
  <c r="I283" i="19"/>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F404" i="19"/>
  <c r="F403" i="19"/>
  <c r="F402" i="19"/>
  <c r="F401" i="19"/>
  <c r="F400" i="19"/>
  <c r="F399" i="19"/>
  <c r="F398" i="19"/>
  <c r="F397" i="19"/>
  <c r="F396" i="19"/>
  <c r="F395" i="19"/>
  <c r="F394" i="19"/>
  <c r="F393" i="19"/>
  <c r="F392" i="19"/>
  <c r="F391" i="19"/>
  <c r="F390" i="19"/>
  <c r="F389" i="19"/>
  <c r="F388" i="19"/>
  <c r="F387" i="19"/>
  <c r="F386" i="19"/>
  <c r="F385" i="19"/>
  <c r="F384" i="19"/>
  <c r="F383" i="19"/>
  <c r="F382" i="19"/>
  <c r="F381" i="19"/>
  <c r="F380" i="19"/>
  <c r="F379" i="19"/>
  <c r="F378" i="19"/>
  <c r="F377" i="19"/>
  <c r="F376" i="19"/>
  <c r="F375" i="19"/>
  <c r="F374" i="19"/>
  <c r="F373" i="19"/>
  <c r="F372" i="19"/>
  <c r="F371" i="19"/>
  <c r="F370" i="19"/>
  <c r="F369" i="19"/>
  <c r="F368" i="19"/>
  <c r="F367" i="19"/>
  <c r="F366" i="19"/>
  <c r="F365" i="19"/>
  <c r="F364" i="19"/>
  <c r="F363" i="19"/>
  <c r="F362" i="19"/>
  <c r="F361" i="19"/>
  <c r="F360" i="19"/>
  <c r="F359" i="19"/>
  <c r="F358" i="19"/>
  <c r="F357" i="19"/>
  <c r="F356" i="19"/>
  <c r="F355" i="19"/>
  <c r="F354" i="19"/>
  <c r="F353" i="19"/>
  <c r="F352" i="19"/>
  <c r="F351" i="19"/>
  <c r="F350" i="19"/>
  <c r="F349" i="19"/>
  <c r="F348" i="19"/>
  <c r="F347" i="19"/>
  <c r="F346" i="19"/>
  <c r="F345" i="19"/>
  <c r="F344" i="19"/>
  <c r="F343" i="19"/>
  <c r="F342" i="19"/>
  <c r="F341" i="19"/>
  <c r="F340" i="19"/>
  <c r="F339" i="19"/>
  <c r="F338" i="19"/>
  <c r="F337" i="19"/>
  <c r="F336" i="19"/>
  <c r="F335" i="19"/>
  <c r="F334" i="19"/>
  <c r="F333" i="19"/>
  <c r="F332" i="19"/>
  <c r="F331" i="19"/>
  <c r="F330" i="19"/>
  <c r="F329" i="19"/>
  <c r="F328" i="19"/>
  <c r="F327" i="19"/>
  <c r="F326" i="19"/>
  <c r="F325" i="19"/>
  <c r="F324" i="19"/>
  <c r="F323" i="19"/>
  <c r="F322" i="19"/>
  <c r="F321" i="19"/>
  <c r="F320" i="19"/>
  <c r="F319" i="19"/>
  <c r="F318" i="19"/>
  <c r="F317" i="19"/>
  <c r="F316" i="19"/>
  <c r="F315" i="19"/>
  <c r="F314" i="19"/>
  <c r="F313" i="19"/>
  <c r="F312" i="19"/>
  <c r="F311" i="19"/>
  <c r="F310" i="19"/>
  <c r="F309" i="19"/>
  <c r="F308" i="19"/>
  <c r="F307" i="19"/>
  <c r="F306" i="19"/>
  <c r="F305" i="19"/>
  <c r="F304" i="19"/>
  <c r="F303" i="19"/>
  <c r="F302" i="19"/>
  <c r="F301" i="19"/>
  <c r="F300" i="19"/>
  <c r="F299" i="19"/>
  <c r="F298" i="19"/>
  <c r="F297" i="19"/>
  <c r="F296" i="19"/>
  <c r="F295" i="19"/>
  <c r="F294" i="19"/>
  <c r="F293" i="19"/>
  <c r="F292" i="19"/>
  <c r="F291" i="19"/>
  <c r="F290" i="19"/>
  <c r="F289" i="19"/>
  <c r="F288" i="19"/>
  <c r="F287" i="19"/>
  <c r="F286" i="19"/>
  <c r="F285" i="19"/>
  <c r="F284" i="19"/>
  <c r="F283" i="19"/>
  <c r="F282" i="19"/>
  <c r="F281" i="19"/>
  <c r="F280" i="19"/>
  <c r="F279" i="19"/>
  <c r="F278" i="19"/>
  <c r="F277" i="19"/>
  <c r="F276" i="19"/>
  <c r="F275" i="19"/>
  <c r="F274" i="19"/>
  <c r="F273" i="19"/>
  <c r="F272" i="19"/>
  <c r="F271" i="19"/>
  <c r="F270" i="19"/>
  <c r="F269" i="19"/>
  <c r="F268" i="19"/>
  <c r="F267" i="19"/>
  <c r="F266" i="19"/>
  <c r="F265" i="19"/>
  <c r="F264" i="19"/>
  <c r="F263" i="19"/>
  <c r="F262" i="19"/>
  <c r="F261" i="19"/>
  <c r="F260" i="19"/>
  <c r="F259" i="19"/>
  <c r="F258" i="19"/>
  <c r="F257" i="19"/>
  <c r="F256" i="19"/>
  <c r="F255" i="19"/>
  <c r="F254" i="19"/>
  <c r="F253" i="19"/>
  <c r="F252" i="19"/>
  <c r="F251" i="19"/>
  <c r="F250" i="19"/>
  <c r="F249" i="19"/>
  <c r="F248" i="19"/>
  <c r="F247" i="19"/>
  <c r="F246" i="19"/>
  <c r="F245" i="19"/>
  <c r="F244" i="19"/>
  <c r="F243" i="19"/>
  <c r="F242" i="19"/>
  <c r="F241" i="19"/>
  <c r="F240" i="19"/>
  <c r="F239" i="19"/>
  <c r="F238" i="19"/>
  <c r="F237" i="19"/>
  <c r="F236" i="19"/>
  <c r="F235" i="19"/>
  <c r="F234" i="19"/>
  <c r="F233" i="19"/>
  <c r="F232" i="19"/>
  <c r="F231" i="19"/>
  <c r="F230" i="19"/>
  <c r="F229" i="19"/>
  <c r="F228" i="19"/>
  <c r="F227" i="19"/>
  <c r="F226" i="19"/>
  <c r="F225" i="19"/>
  <c r="F224" i="19"/>
  <c r="F223" i="19"/>
  <c r="F222" i="19"/>
  <c r="F221" i="19"/>
  <c r="F220" i="19"/>
  <c r="F219" i="19"/>
  <c r="F218" i="19"/>
  <c r="F217" i="19"/>
  <c r="F216" i="19"/>
  <c r="F215" i="19"/>
  <c r="F214" i="19"/>
  <c r="F213" i="19"/>
  <c r="F212" i="19"/>
  <c r="F211" i="19"/>
  <c r="F210" i="19"/>
  <c r="F209" i="19"/>
  <c r="F208" i="19"/>
  <c r="F207" i="19"/>
  <c r="F206" i="19"/>
  <c r="F205" i="19"/>
  <c r="F204" i="19"/>
  <c r="F203" i="19"/>
  <c r="F202" i="19"/>
  <c r="F201" i="19"/>
  <c r="F200" i="19"/>
  <c r="F199" i="19"/>
  <c r="F198" i="19"/>
  <c r="F197" i="19"/>
  <c r="F196" i="19"/>
  <c r="F195" i="19"/>
  <c r="F194" i="19"/>
  <c r="F193" i="19"/>
  <c r="F192" i="19"/>
  <c r="F191" i="19"/>
  <c r="F190" i="19"/>
  <c r="F189" i="19"/>
  <c r="F188" i="19"/>
  <c r="F187" i="19"/>
  <c r="F186" i="19"/>
  <c r="F185" i="19"/>
  <c r="F184" i="19"/>
  <c r="F183" i="19"/>
  <c r="F182" i="19"/>
  <c r="F181" i="19"/>
  <c r="F180" i="19"/>
  <c r="F179" i="19"/>
  <c r="F178" i="19"/>
  <c r="F177" i="19"/>
  <c r="F176" i="19"/>
  <c r="F175" i="19"/>
  <c r="F174" i="19"/>
  <c r="F173" i="19"/>
  <c r="F172" i="19"/>
  <c r="F171" i="19"/>
  <c r="F170" i="19"/>
  <c r="F169" i="19"/>
  <c r="F168" i="19"/>
  <c r="F167" i="19"/>
  <c r="F166" i="19"/>
  <c r="F165" i="19"/>
  <c r="F164" i="19"/>
  <c r="F163" i="19"/>
  <c r="F162" i="19"/>
  <c r="F161" i="19"/>
  <c r="F160" i="19"/>
  <c r="F159" i="19"/>
  <c r="F158" i="19"/>
  <c r="F157" i="19"/>
  <c r="F156" i="19"/>
  <c r="F155" i="19"/>
  <c r="F154" i="19"/>
  <c r="F153" i="19"/>
  <c r="F152" i="19"/>
  <c r="F151" i="19"/>
  <c r="F150" i="19"/>
  <c r="F149" i="19"/>
  <c r="F148" i="19"/>
  <c r="F147" i="19"/>
  <c r="F146" i="19"/>
  <c r="F145" i="19"/>
  <c r="F144" i="19"/>
  <c r="F143" i="19"/>
  <c r="F142" i="19"/>
  <c r="F141" i="19"/>
  <c r="F140" i="19"/>
  <c r="F139" i="19"/>
  <c r="F138" i="19"/>
  <c r="F137" i="19"/>
  <c r="F136" i="19"/>
  <c r="F135" i="19"/>
  <c r="F134" i="19"/>
  <c r="F133" i="19"/>
  <c r="F132" i="19"/>
  <c r="F131" i="19"/>
  <c r="F130" i="19"/>
  <c r="F129" i="19"/>
  <c r="F128" i="19"/>
  <c r="F127" i="19"/>
  <c r="F126" i="19"/>
  <c r="F125" i="19"/>
  <c r="F124" i="19"/>
  <c r="F123" i="19"/>
  <c r="F122" i="19"/>
  <c r="F121" i="19"/>
  <c r="F120" i="19"/>
  <c r="F119" i="19"/>
  <c r="F118" i="19"/>
  <c r="F117" i="19"/>
  <c r="F116" i="19"/>
  <c r="F115" i="19"/>
  <c r="F114" i="19"/>
  <c r="F113" i="19"/>
  <c r="F112" i="19"/>
  <c r="F111" i="19"/>
  <c r="F110" i="19"/>
  <c r="F109" i="19"/>
  <c r="F108" i="19"/>
  <c r="F107" i="19"/>
  <c r="F106" i="19"/>
  <c r="F105" i="19"/>
  <c r="F104" i="19"/>
  <c r="F103" i="19"/>
  <c r="F102" i="19"/>
  <c r="F101" i="19"/>
  <c r="F100" i="19"/>
  <c r="F99" i="19"/>
  <c r="F98" i="19"/>
  <c r="F97" i="19"/>
  <c r="F96" i="19"/>
  <c r="F95" i="19"/>
  <c r="F94" i="19"/>
  <c r="F93" i="19"/>
  <c r="F92" i="19"/>
  <c r="F91" i="19"/>
  <c r="F90" i="19"/>
  <c r="F89" i="19"/>
  <c r="F88" i="19"/>
  <c r="F87" i="19"/>
  <c r="F86" i="19"/>
  <c r="F85" i="19"/>
  <c r="F84" i="19"/>
  <c r="F83" i="19"/>
  <c r="F82" i="19"/>
  <c r="F81" i="19"/>
  <c r="F80" i="19"/>
  <c r="F79" i="19"/>
  <c r="F78" i="19"/>
  <c r="F77" i="19"/>
  <c r="F76" i="19"/>
  <c r="F75" i="19"/>
  <c r="F74" i="19"/>
  <c r="F73" i="19"/>
  <c r="F72" i="19"/>
  <c r="F71" i="19"/>
  <c r="F70" i="19"/>
  <c r="F69" i="19"/>
  <c r="F68" i="19"/>
  <c r="F67" i="19"/>
  <c r="F66" i="19"/>
  <c r="F65" i="19"/>
  <c r="F64"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C3" i="19"/>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283" i="19"/>
  <c r="C284" i="19"/>
  <c r="C285" i="19"/>
  <c r="C286" i="19"/>
  <c r="C287" i="19"/>
  <c r="C288" i="19"/>
  <c r="C289"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315" i="19"/>
  <c r="C316" i="19"/>
  <c r="C317" i="19"/>
  <c r="C318" i="19"/>
  <c r="C319" i="19"/>
  <c r="C320" i="19"/>
  <c r="C321" i="19"/>
  <c r="C322" i="19"/>
  <c r="C323" i="19"/>
  <c r="C324" i="19"/>
  <c r="C325" i="19"/>
  <c r="C326" i="19"/>
  <c r="C327" i="19"/>
  <c r="C328" i="19"/>
  <c r="C329" i="19"/>
  <c r="C330" i="19"/>
  <c r="C331" i="19"/>
  <c r="C332" i="19"/>
  <c r="C333" i="19"/>
  <c r="C334" i="19"/>
  <c r="C335" i="19"/>
  <c r="C336" i="19"/>
  <c r="C337" i="19"/>
  <c r="C338" i="19"/>
  <c r="C339" i="19"/>
  <c r="C340" i="19"/>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72" i="19"/>
  <c r="C373" i="19"/>
  <c r="C374" i="19"/>
  <c r="C375" i="19"/>
  <c r="C376" i="19"/>
  <c r="C377" i="19"/>
  <c r="C378" i="19"/>
  <c r="C379" i="19"/>
  <c r="C380" i="19"/>
  <c r="C381" i="19"/>
  <c r="C382" i="19"/>
  <c r="C383" i="19"/>
  <c r="C384" i="19"/>
  <c r="C385" i="19"/>
  <c r="C386" i="19"/>
  <c r="C387" i="19"/>
  <c r="C388" i="19"/>
  <c r="C389" i="19"/>
  <c r="C390" i="19"/>
  <c r="C391" i="19"/>
  <c r="C392" i="19"/>
  <c r="C393" i="19"/>
  <c r="C394" i="19"/>
  <c r="C395" i="19"/>
  <c r="C396" i="19"/>
  <c r="C397" i="19"/>
  <c r="C398" i="19"/>
  <c r="C399" i="19"/>
  <c r="C400" i="19"/>
  <c r="C401" i="19"/>
  <c r="C402" i="19"/>
  <c r="C403" i="19"/>
  <c r="C404" i="19"/>
  <c r="C2" i="19"/>
  <c r="I10" i="10"/>
  <c r="H10" i="10"/>
  <c r="G10" i="10"/>
  <c r="I9" i="10"/>
  <c r="H9" i="10"/>
  <c r="G9" i="10"/>
  <c r="I8" i="10"/>
  <c r="H8" i="10"/>
  <c r="G8" i="10"/>
  <c r="I7" i="10"/>
  <c r="H7" i="10"/>
  <c r="G7" i="10"/>
  <c r="I6" i="10"/>
  <c r="H6" i="10"/>
  <c r="G6" i="10"/>
  <c r="I5" i="10"/>
  <c r="H5" i="10"/>
  <c r="G5" i="10"/>
  <c r="I4" i="10"/>
  <c r="H4" i="10"/>
  <c r="G4" i="10"/>
  <c r="I3" i="10"/>
  <c r="H3" i="10"/>
  <c r="G3" i="10"/>
  <c r="I2" i="10"/>
  <c r="H2" i="10"/>
  <c r="G2" i="10"/>
  <c r="BH408" i="12"/>
  <c r="BH407" i="12"/>
  <c r="BH406" i="12"/>
  <c r="BC408" i="12"/>
  <c r="BC407" i="12"/>
  <c r="BC406" i="12"/>
  <c r="AX408" i="12"/>
  <c r="AX407" i="12"/>
  <c r="AX406" i="12"/>
  <c r="AS408" i="12"/>
  <c r="AS407" i="12"/>
  <c r="AS406" i="12"/>
  <c r="AN408" i="12"/>
  <c r="AN407" i="12"/>
  <c r="AN406" i="12"/>
  <c r="AI408" i="12"/>
  <c r="AI407" i="12"/>
  <c r="AI406" i="12"/>
  <c r="AD408" i="12"/>
  <c r="AD407" i="12"/>
  <c r="AD406" i="12"/>
  <c r="Y408" i="12"/>
  <c r="Y407" i="12"/>
  <c r="Y406" i="12"/>
  <c r="BH409" i="12"/>
  <c r="BC409" i="12"/>
  <c r="T408" i="12"/>
  <c r="T407" i="12"/>
  <c r="T406" i="12"/>
  <c r="BH192" i="12"/>
  <c r="BH193" i="12"/>
  <c r="BH194" i="12"/>
  <c r="BH195" i="12"/>
  <c r="BH196" i="12"/>
  <c r="BH197" i="12"/>
  <c r="BH198" i="12"/>
  <c r="BH199" i="12"/>
  <c r="BH200" i="12"/>
  <c r="BH201" i="12"/>
  <c r="BH202" i="12"/>
  <c r="BH203" i="12"/>
  <c r="BH204" i="12"/>
  <c r="BH205" i="12"/>
  <c r="BH206" i="12"/>
  <c r="BH207" i="12"/>
  <c r="BH208" i="12"/>
  <c r="BH209" i="12"/>
  <c r="BH210" i="12"/>
  <c r="BH211" i="12"/>
  <c r="BH212" i="12"/>
  <c r="BH213" i="12"/>
  <c r="BH214" i="12"/>
  <c r="BH215" i="12"/>
  <c r="BH216" i="12"/>
  <c r="BH217" i="12"/>
  <c r="BH218" i="12"/>
  <c r="BH219" i="12"/>
  <c r="BH220" i="12"/>
  <c r="BH221" i="12"/>
  <c r="BH222" i="12"/>
  <c r="BH223" i="12"/>
  <c r="BH224" i="12"/>
  <c r="BH225" i="12"/>
  <c r="BH226" i="12"/>
  <c r="BH227" i="12"/>
  <c r="BH228" i="12"/>
  <c r="BH229" i="12"/>
  <c r="BH230" i="12"/>
  <c r="BH231" i="12"/>
  <c r="BH232" i="12"/>
  <c r="BH233" i="12"/>
  <c r="BH234" i="12"/>
  <c r="BH235" i="12"/>
  <c r="BH236" i="12"/>
  <c r="BH237" i="12"/>
  <c r="BH238" i="12"/>
  <c r="BH239" i="12"/>
  <c r="BH240" i="12"/>
  <c r="BH241" i="12"/>
  <c r="BH242" i="12"/>
  <c r="BH243" i="12"/>
  <c r="BH244" i="12"/>
  <c r="BH245" i="12"/>
  <c r="BH246" i="12"/>
  <c r="BH247" i="12"/>
  <c r="BH248" i="12"/>
  <c r="BH249" i="12"/>
  <c r="BH250" i="12"/>
  <c r="BH251" i="12"/>
  <c r="BH252" i="12"/>
  <c r="BH253" i="12"/>
  <c r="BH254" i="12"/>
  <c r="BH255" i="12"/>
  <c r="BH256" i="12"/>
  <c r="BH257" i="12"/>
  <c r="BH258" i="12"/>
  <c r="BH259" i="12"/>
  <c r="BH260" i="12"/>
  <c r="BH261" i="12"/>
  <c r="BH262" i="12"/>
  <c r="BH263" i="12"/>
  <c r="BH264" i="12"/>
  <c r="BH265" i="12"/>
  <c r="BH266" i="12"/>
  <c r="BH267" i="12"/>
  <c r="BH268" i="12"/>
  <c r="BH269" i="12"/>
  <c r="BH270" i="12"/>
  <c r="BH271" i="12"/>
  <c r="BH272" i="12"/>
  <c r="BH273" i="12"/>
  <c r="BH274" i="12"/>
  <c r="BH275" i="12"/>
  <c r="BH276" i="12"/>
  <c r="BH277" i="12"/>
  <c r="BH278" i="12"/>
  <c r="BH279" i="12"/>
  <c r="BH280" i="12"/>
  <c r="BH281" i="12"/>
  <c r="BH282" i="12"/>
  <c r="BH283" i="12"/>
  <c r="BH284" i="12"/>
  <c r="BH285" i="12"/>
  <c r="BH286" i="12"/>
  <c r="BH287" i="12"/>
  <c r="BH288" i="12"/>
  <c r="BH289" i="12"/>
  <c r="BH290" i="12"/>
  <c r="BH291" i="12"/>
  <c r="BH292" i="12"/>
  <c r="BH293" i="12"/>
  <c r="BH294" i="12"/>
  <c r="BH295" i="12"/>
  <c r="BH296" i="12"/>
  <c r="BH297" i="12"/>
  <c r="BH298" i="12"/>
  <c r="BH299" i="12"/>
  <c r="BH300" i="12"/>
  <c r="BH301" i="12"/>
  <c r="BH302" i="12"/>
  <c r="BH303" i="12"/>
  <c r="BH304" i="12"/>
  <c r="BH305" i="12"/>
  <c r="BH306" i="12"/>
  <c r="BH307" i="12"/>
  <c r="BH308" i="12"/>
  <c r="BH309" i="12"/>
  <c r="BH310" i="12"/>
  <c r="BH311" i="12"/>
  <c r="BH312" i="12"/>
  <c r="BH313" i="12"/>
  <c r="BH314" i="12"/>
  <c r="BH315" i="12"/>
  <c r="BH316" i="12"/>
  <c r="BH317" i="12"/>
  <c r="BH318" i="12"/>
  <c r="BH319" i="12"/>
  <c r="BH320" i="12"/>
  <c r="BH321" i="12"/>
  <c r="BH322" i="12"/>
  <c r="BH323" i="12"/>
  <c r="BH324" i="12"/>
  <c r="BH325" i="12"/>
  <c r="BH326" i="12"/>
  <c r="BH327" i="12"/>
  <c r="BH328" i="12"/>
  <c r="BH329" i="12"/>
  <c r="BH330" i="12"/>
  <c r="BH331" i="12"/>
  <c r="BH332" i="12"/>
  <c r="BH333" i="12"/>
  <c r="BH334" i="12"/>
  <c r="BH335" i="12"/>
  <c r="BH336" i="12"/>
  <c r="BH337" i="12"/>
  <c r="BH338" i="12"/>
  <c r="BH339" i="12"/>
  <c r="BH340" i="12"/>
  <c r="BH341" i="12"/>
  <c r="BH342" i="12"/>
  <c r="BH343" i="12"/>
  <c r="BH344" i="12"/>
  <c r="BH345" i="12"/>
  <c r="BH346" i="12"/>
  <c r="BH347" i="12"/>
  <c r="BH348" i="12"/>
  <c r="BH349" i="12"/>
  <c r="BH350" i="12"/>
  <c r="BH351" i="12"/>
  <c r="BH352" i="12"/>
  <c r="BH353" i="12"/>
  <c r="BH354" i="12"/>
  <c r="BH355" i="12"/>
  <c r="BH356" i="12"/>
  <c r="BH357" i="12"/>
  <c r="BH358" i="12"/>
  <c r="BH359" i="12"/>
  <c r="BH360" i="12"/>
  <c r="BH361" i="12"/>
  <c r="BH362" i="12"/>
  <c r="BH363" i="12"/>
  <c r="BH364" i="12"/>
  <c r="BH365" i="12"/>
  <c r="BH366" i="12"/>
  <c r="BH367" i="12"/>
  <c r="BH368" i="12"/>
  <c r="BH369" i="12"/>
  <c r="BH370" i="12"/>
  <c r="BH371" i="12"/>
  <c r="BH372" i="12"/>
  <c r="BH373" i="12"/>
  <c r="BH374" i="12"/>
  <c r="BH375" i="12"/>
  <c r="BH376" i="12"/>
  <c r="BH377" i="12"/>
  <c r="BH378" i="12"/>
  <c r="BH379" i="12"/>
  <c r="BH380" i="12"/>
  <c r="BH381" i="12"/>
  <c r="BH382" i="12"/>
  <c r="BH383" i="12"/>
  <c r="BH384" i="12"/>
  <c r="BH385" i="12"/>
  <c r="BH386" i="12"/>
  <c r="BH387" i="12"/>
  <c r="BH388" i="12"/>
  <c r="BH389" i="12"/>
  <c r="BH390" i="12"/>
  <c r="BH391" i="12"/>
  <c r="BH392" i="12"/>
  <c r="BH393" i="12"/>
  <c r="BH394" i="12"/>
  <c r="BH395" i="12"/>
  <c r="BH396" i="12"/>
  <c r="BH397" i="12"/>
  <c r="BH398" i="12"/>
  <c r="BH399" i="12"/>
  <c r="BH400" i="12"/>
  <c r="BH401" i="12"/>
  <c r="BH402" i="12"/>
  <c r="BH403" i="12"/>
  <c r="BH404" i="12"/>
  <c r="BG192" i="12"/>
  <c r="BG193" i="12"/>
  <c r="BG194" i="12"/>
  <c r="BG195" i="12"/>
  <c r="BG196" i="12"/>
  <c r="BG197" i="12"/>
  <c r="BG198" i="12"/>
  <c r="BG199" i="12"/>
  <c r="BG200" i="12"/>
  <c r="BG201" i="12"/>
  <c r="BG202" i="12"/>
  <c r="BG203" i="12"/>
  <c r="BG204" i="12"/>
  <c r="BG205" i="12"/>
  <c r="BG206" i="12"/>
  <c r="BG207" i="12"/>
  <c r="BG208" i="12"/>
  <c r="BG209" i="12"/>
  <c r="BG210" i="12"/>
  <c r="BG211" i="12"/>
  <c r="BG212" i="12"/>
  <c r="BG213" i="12"/>
  <c r="BG214" i="12"/>
  <c r="BG215" i="12"/>
  <c r="BG216" i="12"/>
  <c r="BG217" i="12"/>
  <c r="BG218" i="12"/>
  <c r="BG219" i="12"/>
  <c r="BG220" i="12"/>
  <c r="BG221" i="12"/>
  <c r="BG222" i="12"/>
  <c r="BG223" i="12"/>
  <c r="BG224" i="12"/>
  <c r="BG225" i="12"/>
  <c r="BG226" i="12"/>
  <c r="BG227" i="12"/>
  <c r="BG228" i="12"/>
  <c r="BG229" i="12"/>
  <c r="BG230" i="12"/>
  <c r="BG231" i="12"/>
  <c r="BG232" i="12"/>
  <c r="BG233" i="12"/>
  <c r="BG234" i="12"/>
  <c r="BG235" i="12"/>
  <c r="BG236" i="12"/>
  <c r="BG237" i="12"/>
  <c r="BG238" i="12"/>
  <c r="BG239" i="12"/>
  <c r="BG240" i="12"/>
  <c r="BG241" i="12"/>
  <c r="BG242" i="12"/>
  <c r="BG243" i="12"/>
  <c r="BG244" i="12"/>
  <c r="BG245" i="12"/>
  <c r="BG246" i="12"/>
  <c r="BG247" i="12"/>
  <c r="BG248" i="12"/>
  <c r="BG249" i="12"/>
  <c r="BG250" i="12"/>
  <c r="BG251" i="12"/>
  <c r="BG252" i="12"/>
  <c r="BG253" i="12"/>
  <c r="BG254" i="12"/>
  <c r="BG255" i="12"/>
  <c r="BG256" i="12"/>
  <c r="BG257" i="12"/>
  <c r="BG258" i="12"/>
  <c r="BG259" i="12"/>
  <c r="BG260" i="12"/>
  <c r="BG261" i="12"/>
  <c r="BG262" i="12"/>
  <c r="BG263" i="12"/>
  <c r="BG264" i="12"/>
  <c r="BG265" i="12"/>
  <c r="BG266" i="12"/>
  <c r="BG267" i="12"/>
  <c r="BG268" i="12"/>
  <c r="BG269" i="12"/>
  <c r="BG270" i="12"/>
  <c r="BG271" i="12"/>
  <c r="BG272" i="12"/>
  <c r="BG273" i="12"/>
  <c r="BG274" i="12"/>
  <c r="BG275" i="12"/>
  <c r="BG276" i="12"/>
  <c r="BG277" i="12"/>
  <c r="BG278" i="12"/>
  <c r="BG279" i="12"/>
  <c r="BG280" i="12"/>
  <c r="BG281" i="12"/>
  <c r="BG282" i="12"/>
  <c r="BG283" i="12"/>
  <c r="BG284" i="12"/>
  <c r="BG285" i="12"/>
  <c r="BG286" i="12"/>
  <c r="BG287" i="12"/>
  <c r="BG288" i="12"/>
  <c r="BG289" i="12"/>
  <c r="BG290" i="12"/>
  <c r="BG291" i="12"/>
  <c r="BG292" i="12"/>
  <c r="BG293" i="12"/>
  <c r="BG294" i="12"/>
  <c r="BG295" i="12"/>
  <c r="BG296" i="12"/>
  <c r="BG297" i="12"/>
  <c r="BG298" i="12"/>
  <c r="BG299" i="12"/>
  <c r="BG300" i="12"/>
  <c r="BG301" i="12"/>
  <c r="BG302" i="12"/>
  <c r="BG303" i="12"/>
  <c r="BG304" i="12"/>
  <c r="BG305" i="12"/>
  <c r="BG306" i="12"/>
  <c r="BG307" i="12"/>
  <c r="BG308" i="12"/>
  <c r="BG309" i="12"/>
  <c r="BG310" i="12"/>
  <c r="BG311" i="12"/>
  <c r="BG312" i="12"/>
  <c r="BG313" i="12"/>
  <c r="BG314" i="12"/>
  <c r="BG315" i="12"/>
  <c r="BG316" i="12"/>
  <c r="BG317" i="12"/>
  <c r="BG318" i="12"/>
  <c r="BG319" i="12"/>
  <c r="BG320" i="12"/>
  <c r="BG321" i="12"/>
  <c r="BG322" i="12"/>
  <c r="BG323" i="12"/>
  <c r="BG324" i="12"/>
  <c r="BG325" i="12"/>
  <c r="BG326" i="12"/>
  <c r="BG327" i="12"/>
  <c r="BG328" i="12"/>
  <c r="BG329" i="12"/>
  <c r="BG330" i="12"/>
  <c r="BG331" i="12"/>
  <c r="BG332" i="12"/>
  <c r="BG333" i="12"/>
  <c r="BG334" i="12"/>
  <c r="BG335" i="12"/>
  <c r="BG336" i="12"/>
  <c r="BG337" i="12"/>
  <c r="BG338" i="12"/>
  <c r="BG339" i="12"/>
  <c r="BG340" i="12"/>
  <c r="BG341" i="12"/>
  <c r="BG342" i="12"/>
  <c r="BG343" i="12"/>
  <c r="BG344" i="12"/>
  <c r="BG345" i="12"/>
  <c r="BG346" i="12"/>
  <c r="BG347" i="12"/>
  <c r="BG348" i="12"/>
  <c r="BG349" i="12"/>
  <c r="BG350" i="12"/>
  <c r="BG351" i="12"/>
  <c r="BG352" i="12"/>
  <c r="BG353" i="12"/>
  <c r="BG354" i="12"/>
  <c r="BG355" i="12"/>
  <c r="BG356" i="12"/>
  <c r="BG357" i="12"/>
  <c r="BG358" i="12"/>
  <c r="BG359" i="12"/>
  <c r="BG360" i="12"/>
  <c r="BG361" i="12"/>
  <c r="BG362" i="12"/>
  <c r="BG363" i="12"/>
  <c r="BG364" i="12"/>
  <c r="BG365" i="12"/>
  <c r="BG366" i="12"/>
  <c r="BG367" i="12"/>
  <c r="BG368" i="12"/>
  <c r="BG369" i="12"/>
  <c r="BG370" i="12"/>
  <c r="BG371" i="12"/>
  <c r="BG372" i="12"/>
  <c r="BG373" i="12"/>
  <c r="BG374" i="12"/>
  <c r="BG375" i="12"/>
  <c r="BG376" i="12"/>
  <c r="BG377" i="12"/>
  <c r="BG378" i="12"/>
  <c r="BG379" i="12"/>
  <c r="BG380" i="12"/>
  <c r="BG381" i="12"/>
  <c r="BG382" i="12"/>
  <c r="BG383" i="12"/>
  <c r="BG384" i="12"/>
  <c r="BG385" i="12"/>
  <c r="BG386" i="12"/>
  <c r="BG387" i="12"/>
  <c r="BG388" i="12"/>
  <c r="BG389" i="12"/>
  <c r="BG390" i="12"/>
  <c r="BG391" i="12"/>
  <c r="BG392" i="12"/>
  <c r="BG393" i="12"/>
  <c r="BG394" i="12"/>
  <c r="BG395" i="12"/>
  <c r="BG396" i="12"/>
  <c r="BG397" i="12"/>
  <c r="BG398" i="12"/>
  <c r="BG399" i="12"/>
  <c r="BG400" i="12"/>
  <c r="BG401" i="12"/>
  <c r="BG402" i="12"/>
  <c r="BG403" i="12"/>
  <c r="BG404" i="12"/>
  <c r="BE192" i="12"/>
  <c r="BF192" i="12" s="1"/>
  <c r="BE193" i="12"/>
  <c r="BE194" i="12"/>
  <c r="BF194" i="12" s="1"/>
  <c r="BE195" i="12"/>
  <c r="BF195" i="12" s="1"/>
  <c r="BE196" i="12"/>
  <c r="BE197" i="12"/>
  <c r="BF197" i="12" s="1"/>
  <c r="BE198" i="12"/>
  <c r="BF198" i="12" s="1"/>
  <c r="BE199" i="12"/>
  <c r="BF199" i="12" s="1"/>
  <c r="BE200" i="12"/>
  <c r="BF200" i="12" s="1"/>
  <c r="BE201" i="12"/>
  <c r="BE202" i="12"/>
  <c r="BF202" i="12" s="1"/>
  <c r="BE203" i="12"/>
  <c r="BF203" i="12" s="1"/>
  <c r="BE204" i="12"/>
  <c r="BE205" i="12"/>
  <c r="BF205" i="12" s="1"/>
  <c r="BE206" i="12"/>
  <c r="BF206" i="12" s="1"/>
  <c r="BE207" i="12"/>
  <c r="BF207" i="12" s="1"/>
  <c r="BE208" i="12"/>
  <c r="BF208" i="12" s="1"/>
  <c r="BE209" i="12"/>
  <c r="BE210" i="12"/>
  <c r="BF210" i="12" s="1"/>
  <c r="BE211" i="12"/>
  <c r="BF211" i="12" s="1"/>
  <c r="BE212" i="12"/>
  <c r="BE213" i="12"/>
  <c r="BF213" i="12" s="1"/>
  <c r="BE214" i="12"/>
  <c r="BF214" i="12" s="1"/>
  <c r="BE215" i="12"/>
  <c r="BF215" i="12" s="1"/>
  <c r="BE216" i="12"/>
  <c r="BF216" i="12" s="1"/>
  <c r="BE217" i="12"/>
  <c r="BE218" i="12"/>
  <c r="BF218" i="12" s="1"/>
  <c r="BE219" i="12"/>
  <c r="BF219" i="12" s="1"/>
  <c r="BE220" i="12"/>
  <c r="BE221" i="12"/>
  <c r="BF221" i="12" s="1"/>
  <c r="BE222" i="12"/>
  <c r="BF222" i="12" s="1"/>
  <c r="BE223" i="12"/>
  <c r="BF223" i="12" s="1"/>
  <c r="BE224" i="12"/>
  <c r="BF224" i="12" s="1"/>
  <c r="BE225" i="12"/>
  <c r="BI225" i="12" s="1"/>
  <c r="BE226" i="12"/>
  <c r="BF226" i="12" s="1"/>
  <c r="BE227" i="12"/>
  <c r="BF227" i="12" s="1"/>
  <c r="BE228" i="12"/>
  <c r="BE229" i="12"/>
  <c r="BF229" i="12" s="1"/>
  <c r="BE230" i="12"/>
  <c r="BF230" i="12" s="1"/>
  <c r="BE231" i="12"/>
  <c r="BF231" i="12" s="1"/>
  <c r="BE232" i="12"/>
  <c r="BF232" i="12" s="1"/>
  <c r="BE233" i="12"/>
  <c r="BE234" i="12"/>
  <c r="BF234" i="12" s="1"/>
  <c r="BE235" i="12"/>
  <c r="BF235" i="12" s="1"/>
  <c r="BE236" i="12"/>
  <c r="BE237" i="12"/>
  <c r="BF237" i="12" s="1"/>
  <c r="BE238" i="12"/>
  <c r="BF238" i="12" s="1"/>
  <c r="BE239" i="12"/>
  <c r="BF239" i="12" s="1"/>
  <c r="BE240" i="12"/>
  <c r="BF240" i="12" s="1"/>
  <c r="BE241" i="12"/>
  <c r="BE242" i="12"/>
  <c r="BF242" i="12" s="1"/>
  <c r="BE243" i="12"/>
  <c r="BF243" i="12" s="1"/>
  <c r="BE244" i="12"/>
  <c r="BE245" i="12"/>
  <c r="BF245" i="12" s="1"/>
  <c r="BE246" i="12"/>
  <c r="BF246" i="12" s="1"/>
  <c r="BE247" i="12"/>
  <c r="BF247" i="12" s="1"/>
  <c r="BE248" i="12"/>
  <c r="BF248" i="12" s="1"/>
  <c r="BE249" i="12"/>
  <c r="BE250" i="12"/>
  <c r="BF250" i="12" s="1"/>
  <c r="BE251" i="12"/>
  <c r="BF251" i="12" s="1"/>
  <c r="BE252" i="12"/>
  <c r="BE253" i="12"/>
  <c r="BF253" i="12" s="1"/>
  <c r="BE254" i="12"/>
  <c r="BF254" i="12" s="1"/>
  <c r="BE255" i="12"/>
  <c r="BF255" i="12" s="1"/>
  <c r="BE256" i="12"/>
  <c r="BF256" i="12" s="1"/>
  <c r="BE257" i="12"/>
  <c r="BE258" i="12"/>
  <c r="BF258" i="12" s="1"/>
  <c r="BE259" i="12"/>
  <c r="BF259" i="12" s="1"/>
  <c r="BE260" i="12"/>
  <c r="BE261" i="12"/>
  <c r="BF261" i="12" s="1"/>
  <c r="BE262" i="12"/>
  <c r="BF262" i="12" s="1"/>
  <c r="BE263" i="12"/>
  <c r="BF263" i="12" s="1"/>
  <c r="BE264" i="12"/>
  <c r="BF264" i="12" s="1"/>
  <c r="BE265" i="12"/>
  <c r="BE266" i="12"/>
  <c r="BF266" i="12" s="1"/>
  <c r="BE267" i="12"/>
  <c r="BF267" i="12" s="1"/>
  <c r="BE268" i="12"/>
  <c r="BE269" i="12"/>
  <c r="BF269" i="12" s="1"/>
  <c r="BE270" i="12"/>
  <c r="BF270" i="12" s="1"/>
  <c r="BE271" i="12"/>
  <c r="BF271" i="12" s="1"/>
  <c r="BE272" i="12"/>
  <c r="BF272" i="12" s="1"/>
  <c r="BE273" i="12"/>
  <c r="BE274" i="12"/>
  <c r="BF274" i="12" s="1"/>
  <c r="BE275" i="12"/>
  <c r="BF275" i="12" s="1"/>
  <c r="BE276" i="12"/>
  <c r="BE277" i="12"/>
  <c r="BF277" i="12" s="1"/>
  <c r="BE278" i="12"/>
  <c r="BF278" i="12" s="1"/>
  <c r="BE279" i="12"/>
  <c r="BF279" i="12" s="1"/>
  <c r="BE280" i="12"/>
  <c r="BF280" i="12" s="1"/>
  <c r="BE281" i="12"/>
  <c r="BE282" i="12"/>
  <c r="BF282" i="12" s="1"/>
  <c r="BE283" i="12"/>
  <c r="BF283" i="12" s="1"/>
  <c r="BE284" i="12"/>
  <c r="BE285" i="12"/>
  <c r="BF285" i="12" s="1"/>
  <c r="BE286" i="12"/>
  <c r="BF286" i="12" s="1"/>
  <c r="BE287" i="12"/>
  <c r="BF287" i="12" s="1"/>
  <c r="BE288" i="12"/>
  <c r="BF288" i="12" s="1"/>
  <c r="BE289" i="12"/>
  <c r="BI289" i="12" s="1"/>
  <c r="BE290" i="12"/>
  <c r="BF290" i="12" s="1"/>
  <c r="BE291" i="12"/>
  <c r="BF291" i="12" s="1"/>
  <c r="BE292" i="12"/>
  <c r="BE293" i="12"/>
  <c r="BF293" i="12" s="1"/>
  <c r="BE294" i="12"/>
  <c r="BF294" i="12" s="1"/>
  <c r="BE295" i="12"/>
  <c r="BF295" i="12" s="1"/>
  <c r="BE296" i="12"/>
  <c r="BF296" i="12" s="1"/>
  <c r="BE297" i="12"/>
  <c r="BE298" i="12"/>
  <c r="BF298" i="12" s="1"/>
  <c r="BE299" i="12"/>
  <c r="BF299" i="12" s="1"/>
  <c r="BE300" i="12"/>
  <c r="BE301" i="12"/>
  <c r="BF301" i="12" s="1"/>
  <c r="BE302" i="12"/>
  <c r="BF302" i="12" s="1"/>
  <c r="BE303" i="12"/>
  <c r="BF303" i="12" s="1"/>
  <c r="BE304" i="12"/>
  <c r="BF304" i="12" s="1"/>
  <c r="BE305" i="12"/>
  <c r="BE306" i="12"/>
  <c r="BF306" i="12" s="1"/>
  <c r="BE307" i="12"/>
  <c r="BF307" i="12" s="1"/>
  <c r="BE308" i="12"/>
  <c r="BE309" i="12"/>
  <c r="BF309" i="12" s="1"/>
  <c r="BE310" i="12"/>
  <c r="BF310" i="12" s="1"/>
  <c r="BE311" i="12"/>
  <c r="BF311" i="12" s="1"/>
  <c r="BE312" i="12"/>
  <c r="BF312" i="12" s="1"/>
  <c r="BE313" i="12"/>
  <c r="BE314" i="12"/>
  <c r="BF314" i="12" s="1"/>
  <c r="BE315" i="12"/>
  <c r="BF315" i="12" s="1"/>
  <c r="BE316" i="12"/>
  <c r="BE317" i="12"/>
  <c r="BF317" i="12" s="1"/>
  <c r="BE318" i="12"/>
  <c r="BF318" i="12" s="1"/>
  <c r="BE319" i="12"/>
  <c r="BF319" i="12" s="1"/>
  <c r="BE320" i="12"/>
  <c r="BF320" i="12" s="1"/>
  <c r="BE321" i="12"/>
  <c r="BE322" i="12"/>
  <c r="BF322" i="12" s="1"/>
  <c r="BE323" i="12"/>
  <c r="BF323" i="12" s="1"/>
  <c r="BE324" i="12"/>
  <c r="BE325" i="12"/>
  <c r="BF325" i="12" s="1"/>
  <c r="BE326" i="12"/>
  <c r="BF326" i="12" s="1"/>
  <c r="BE327" i="12"/>
  <c r="BF327" i="12" s="1"/>
  <c r="BE328" i="12"/>
  <c r="BF328" i="12" s="1"/>
  <c r="BE329" i="12"/>
  <c r="BE330" i="12"/>
  <c r="BF330" i="12" s="1"/>
  <c r="BE331" i="12"/>
  <c r="BF331" i="12" s="1"/>
  <c r="BE332" i="12"/>
  <c r="BE333" i="12"/>
  <c r="BF333" i="12" s="1"/>
  <c r="BE334" i="12"/>
  <c r="BF334" i="12" s="1"/>
  <c r="BE335" i="12"/>
  <c r="BF335" i="12" s="1"/>
  <c r="BE336" i="12"/>
  <c r="BF336" i="12" s="1"/>
  <c r="BE337" i="12"/>
  <c r="BE338" i="12"/>
  <c r="BF338" i="12" s="1"/>
  <c r="BE339" i="12"/>
  <c r="BF339" i="12" s="1"/>
  <c r="BE340" i="12"/>
  <c r="BE341" i="12"/>
  <c r="BF341" i="12" s="1"/>
  <c r="BE342" i="12"/>
  <c r="BF342" i="12" s="1"/>
  <c r="BE343" i="12"/>
  <c r="BF343" i="12" s="1"/>
  <c r="BE344" i="12"/>
  <c r="BF344" i="12" s="1"/>
  <c r="BE345" i="12"/>
  <c r="BE346" i="12"/>
  <c r="BF346" i="12" s="1"/>
  <c r="BE347" i="12"/>
  <c r="BF347" i="12" s="1"/>
  <c r="BE348" i="12"/>
  <c r="BE349" i="12"/>
  <c r="BF349" i="12" s="1"/>
  <c r="BE350" i="12"/>
  <c r="BF350" i="12" s="1"/>
  <c r="BE351" i="12"/>
  <c r="BF351" i="12" s="1"/>
  <c r="BE352" i="12"/>
  <c r="BF352" i="12" s="1"/>
  <c r="BE353" i="12"/>
  <c r="BI353" i="12" s="1"/>
  <c r="BE354" i="12"/>
  <c r="BF354" i="12" s="1"/>
  <c r="BE355" i="12"/>
  <c r="BF355" i="12" s="1"/>
  <c r="BE356" i="12"/>
  <c r="BE357" i="12"/>
  <c r="BF357" i="12" s="1"/>
  <c r="BE358" i="12"/>
  <c r="BF358" i="12" s="1"/>
  <c r="BE359" i="12"/>
  <c r="BF359" i="12" s="1"/>
  <c r="BE360" i="12"/>
  <c r="BF360" i="12" s="1"/>
  <c r="BE361" i="12"/>
  <c r="BE362" i="12"/>
  <c r="BF362" i="12" s="1"/>
  <c r="BE363" i="12"/>
  <c r="BF363" i="12" s="1"/>
  <c r="BE364" i="12"/>
  <c r="BE365" i="12"/>
  <c r="BF365" i="12" s="1"/>
  <c r="BE366" i="12"/>
  <c r="BF366" i="12" s="1"/>
  <c r="BE367" i="12"/>
  <c r="BF367" i="12" s="1"/>
  <c r="BE368" i="12"/>
  <c r="BF368" i="12" s="1"/>
  <c r="BE369" i="12"/>
  <c r="BE370" i="12"/>
  <c r="BF370" i="12" s="1"/>
  <c r="BE371" i="12"/>
  <c r="BF371" i="12" s="1"/>
  <c r="BE372" i="12"/>
  <c r="BE373" i="12"/>
  <c r="BF373" i="12" s="1"/>
  <c r="BE374" i="12"/>
  <c r="BF374" i="12" s="1"/>
  <c r="BE375" i="12"/>
  <c r="BF375" i="12" s="1"/>
  <c r="BE376" i="12"/>
  <c r="BF376" i="12" s="1"/>
  <c r="BE377" i="12"/>
  <c r="BE378" i="12"/>
  <c r="BF378" i="12" s="1"/>
  <c r="BE379" i="12"/>
  <c r="BF379" i="12" s="1"/>
  <c r="BE380" i="12"/>
  <c r="BE381" i="12"/>
  <c r="BF381" i="12" s="1"/>
  <c r="BE382" i="12"/>
  <c r="BF382" i="12" s="1"/>
  <c r="BE383" i="12"/>
  <c r="BF383" i="12" s="1"/>
  <c r="BE384" i="12"/>
  <c r="BF384" i="12" s="1"/>
  <c r="BE385" i="12"/>
  <c r="BE386" i="12"/>
  <c r="BF386" i="12" s="1"/>
  <c r="BE387" i="12"/>
  <c r="BF387" i="12" s="1"/>
  <c r="BE388" i="12"/>
  <c r="BE389" i="12"/>
  <c r="BF389" i="12" s="1"/>
  <c r="BE390" i="12"/>
  <c r="BF390" i="12" s="1"/>
  <c r="BE391" i="12"/>
  <c r="BF391" i="12" s="1"/>
  <c r="BE392" i="12"/>
  <c r="BF392" i="12" s="1"/>
  <c r="BE393" i="12"/>
  <c r="BE394" i="12"/>
  <c r="BF394" i="12" s="1"/>
  <c r="BE395" i="12"/>
  <c r="BF395" i="12" s="1"/>
  <c r="BE396" i="12"/>
  <c r="BE397" i="12"/>
  <c r="BF397" i="12" s="1"/>
  <c r="BE398" i="12"/>
  <c r="BF398" i="12" s="1"/>
  <c r="BE399" i="12"/>
  <c r="BF399" i="12" s="1"/>
  <c r="BE400" i="12"/>
  <c r="BF400" i="12" s="1"/>
  <c r="BE401" i="12"/>
  <c r="BE402" i="12"/>
  <c r="BF402" i="12" s="1"/>
  <c r="BE403" i="12"/>
  <c r="BF403" i="12" s="1"/>
  <c r="BE404" i="12"/>
  <c r="BE3" i="12"/>
  <c r="BE4" i="12"/>
  <c r="BE5" i="12"/>
  <c r="BE6" i="12"/>
  <c r="BE7" i="12"/>
  <c r="BE8" i="12"/>
  <c r="BE9" i="12"/>
  <c r="BE10" i="12"/>
  <c r="BE11" i="12"/>
  <c r="BE12" i="12"/>
  <c r="BE13" i="12"/>
  <c r="BE14" i="12"/>
  <c r="BE15" i="12"/>
  <c r="BE16" i="12"/>
  <c r="BE17" i="12"/>
  <c r="BE18" i="12"/>
  <c r="BE19" i="12"/>
  <c r="BE20" i="12"/>
  <c r="BE21" i="12"/>
  <c r="BE22" i="12"/>
  <c r="BE23" i="12"/>
  <c r="BE24" i="12"/>
  <c r="BE25" i="12"/>
  <c r="BE26" i="12"/>
  <c r="BE27" i="12"/>
  <c r="BE28" i="12"/>
  <c r="BE29" i="12"/>
  <c r="BE30" i="12"/>
  <c r="BE31" i="12"/>
  <c r="BE32" i="12"/>
  <c r="BE33" i="12"/>
  <c r="BE34" i="12"/>
  <c r="BE35" i="12"/>
  <c r="BE36" i="12"/>
  <c r="BE37" i="12"/>
  <c r="BE38" i="12"/>
  <c r="BE39" i="12"/>
  <c r="BE40" i="12"/>
  <c r="BE41" i="12"/>
  <c r="BE42" i="12"/>
  <c r="BE43" i="12"/>
  <c r="BE44" i="12"/>
  <c r="BE45" i="12"/>
  <c r="BE46" i="12"/>
  <c r="BE47" i="12"/>
  <c r="BE48" i="12"/>
  <c r="BE49" i="12"/>
  <c r="BE50" i="12"/>
  <c r="BE51" i="12"/>
  <c r="BE52" i="12"/>
  <c r="BE53" i="12"/>
  <c r="BE54" i="12"/>
  <c r="BE55" i="12"/>
  <c r="BE56" i="12"/>
  <c r="BE57" i="12"/>
  <c r="BE58" i="12"/>
  <c r="BE59" i="12"/>
  <c r="BE60" i="12"/>
  <c r="BE61" i="12"/>
  <c r="BE62" i="12"/>
  <c r="BE63" i="12"/>
  <c r="BE64" i="12"/>
  <c r="BE65" i="12"/>
  <c r="BE66" i="12"/>
  <c r="BE67" i="12"/>
  <c r="BE68" i="12"/>
  <c r="BE69" i="12"/>
  <c r="BE70" i="12"/>
  <c r="BE71" i="12"/>
  <c r="BE72" i="12"/>
  <c r="BE73" i="12"/>
  <c r="BE74" i="12"/>
  <c r="BE75" i="12"/>
  <c r="BE76" i="12"/>
  <c r="BE77" i="12"/>
  <c r="BE78" i="12"/>
  <c r="BE79" i="12"/>
  <c r="BE80" i="12"/>
  <c r="BE81" i="12"/>
  <c r="BE82" i="12"/>
  <c r="BE83" i="12"/>
  <c r="BE84" i="12"/>
  <c r="BE85" i="12"/>
  <c r="BE86" i="12"/>
  <c r="BE87" i="12"/>
  <c r="BE88" i="12"/>
  <c r="BE89" i="12"/>
  <c r="BE90" i="12"/>
  <c r="BE91" i="12"/>
  <c r="BE92" i="12"/>
  <c r="BE93" i="12"/>
  <c r="BE94" i="12"/>
  <c r="BE95" i="12"/>
  <c r="BE96" i="12"/>
  <c r="BE97" i="12"/>
  <c r="BE98" i="12"/>
  <c r="BE99" i="12"/>
  <c r="BE100" i="12"/>
  <c r="BE101" i="12"/>
  <c r="BE102" i="12"/>
  <c r="BE103" i="12"/>
  <c r="BE104" i="12"/>
  <c r="BE105" i="12"/>
  <c r="BE106" i="12"/>
  <c r="BE107" i="12"/>
  <c r="BE108" i="12"/>
  <c r="BE109" i="12"/>
  <c r="BE110" i="12"/>
  <c r="BE111" i="12"/>
  <c r="BE112" i="12"/>
  <c r="BE113" i="12"/>
  <c r="BE114" i="12"/>
  <c r="BE115" i="12"/>
  <c r="BE116" i="12"/>
  <c r="BE117" i="12"/>
  <c r="BE118" i="12"/>
  <c r="BE119" i="12"/>
  <c r="BE120" i="12"/>
  <c r="BE121" i="12"/>
  <c r="BE122" i="12"/>
  <c r="BE123" i="12"/>
  <c r="BE124" i="12"/>
  <c r="BE125" i="12"/>
  <c r="BE126" i="12"/>
  <c r="BE127" i="12"/>
  <c r="BE128" i="12"/>
  <c r="BE129" i="12"/>
  <c r="BE130" i="12"/>
  <c r="BE131" i="12"/>
  <c r="BE132" i="12"/>
  <c r="BE133" i="12"/>
  <c r="BE134" i="12"/>
  <c r="BE135" i="12"/>
  <c r="BE136" i="12"/>
  <c r="BE137" i="12"/>
  <c r="BE138" i="12"/>
  <c r="BE139" i="12"/>
  <c r="BE140" i="12"/>
  <c r="BE141" i="12"/>
  <c r="BE142" i="12"/>
  <c r="BE143" i="12"/>
  <c r="BE144" i="12"/>
  <c r="BE145" i="12"/>
  <c r="BE146" i="12"/>
  <c r="BE147" i="12"/>
  <c r="BE148" i="12"/>
  <c r="BE149" i="12"/>
  <c r="BE150" i="12"/>
  <c r="BE151" i="12"/>
  <c r="BE152" i="12"/>
  <c r="BE153" i="12"/>
  <c r="BE154" i="12"/>
  <c r="BE155" i="12"/>
  <c r="BE156" i="12"/>
  <c r="BE157" i="12"/>
  <c r="BE158" i="12"/>
  <c r="BE159" i="12"/>
  <c r="BE160" i="12"/>
  <c r="BE161" i="12"/>
  <c r="BE162" i="12"/>
  <c r="BE163" i="12"/>
  <c r="BE164" i="12"/>
  <c r="BE165" i="12"/>
  <c r="BE166" i="12"/>
  <c r="BE167" i="12"/>
  <c r="BE168" i="12"/>
  <c r="BE169" i="12"/>
  <c r="BE170" i="12"/>
  <c r="BE171" i="12"/>
  <c r="BE172" i="12"/>
  <c r="BE173" i="12"/>
  <c r="BE174" i="12"/>
  <c r="BE175" i="12"/>
  <c r="BE176" i="12"/>
  <c r="BE177" i="12"/>
  <c r="BE178" i="12"/>
  <c r="BE179" i="12"/>
  <c r="BE180" i="12"/>
  <c r="BE181" i="12"/>
  <c r="BE182" i="12"/>
  <c r="BE183" i="12"/>
  <c r="BE184" i="12"/>
  <c r="BE185" i="12"/>
  <c r="BE186" i="12"/>
  <c r="BE187" i="12"/>
  <c r="BE188" i="12"/>
  <c r="BE189" i="12"/>
  <c r="BE190" i="12"/>
  <c r="BE191" i="12"/>
  <c r="BE2" i="12"/>
  <c r="BC192" i="12"/>
  <c r="BC193" i="12"/>
  <c r="BC194" i="12"/>
  <c r="BC195" i="12"/>
  <c r="BC196" i="12"/>
  <c r="BC197" i="12"/>
  <c r="BC198" i="12"/>
  <c r="BC199" i="12"/>
  <c r="BC200" i="12"/>
  <c r="BC201" i="12"/>
  <c r="BC202" i="12"/>
  <c r="BC203" i="12"/>
  <c r="BC204" i="12"/>
  <c r="BC205" i="12"/>
  <c r="BC206" i="12"/>
  <c r="BC207" i="12"/>
  <c r="BC208" i="12"/>
  <c r="BC209" i="12"/>
  <c r="BC210" i="12"/>
  <c r="BC211" i="12"/>
  <c r="BC212" i="12"/>
  <c r="BC213" i="12"/>
  <c r="BC214" i="12"/>
  <c r="BC215" i="12"/>
  <c r="BC216" i="12"/>
  <c r="BC217" i="12"/>
  <c r="BC218" i="12"/>
  <c r="BC219" i="12"/>
  <c r="BC220" i="12"/>
  <c r="BC221" i="12"/>
  <c r="BC222" i="12"/>
  <c r="BC223" i="12"/>
  <c r="BC224" i="12"/>
  <c r="BC225" i="12"/>
  <c r="BC226" i="12"/>
  <c r="BC227" i="12"/>
  <c r="BC228" i="12"/>
  <c r="BC229" i="12"/>
  <c r="BC230" i="12"/>
  <c r="BC231" i="12"/>
  <c r="BC232" i="12"/>
  <c r="BC233" i="12"/>
  <c r="BC234" i="12"/>
  <c r="BC235" i="12"/>
  <c r="BC236" i="12"/>
  <c r="BC237" i="12"/>
  <c r="BC238" i="12"/>
  <c r="BC239" i="12"/>
  <c r="BC240" i="12"/>
  <c r="BC241" i="12"/>
  <c r="BC242" i="12"/>
  <c r="BC243" i="12"/>
  <c r="BC244" i="12"/>
  <c r="BC245" i="12"/>
  <c r="BC246" i="12"/>
  <c r="BC247" i="12"/>
  <c r="BC248" i="12"/>
  <c r="BC249" i="12"/>
  <c r="BC250" i="12"/>
  <c r="BC251" i="12"/>
  <c r="BC252" i="12"/>
  <c r="BC253" i="12"/>
  <c r="BC254" i="12"/>
  <c r="BC255" i="12"/>
  <c r="BC256" i="12"/>
  <c r="BC257" i="12"/>
  <c r="BC258" i="12"/>
  <c r="BC259" i="12"/>
  <c r="BC260" i="12"/>
  <c r="BC261" i="12"/>
  <c r="BC262" i="12"/>
  <c r="BC263" i="12"/>
  <c r="BC264" i="12"/>
  <c r="BC265" i="12"/>
  <c r="BC266" i="12"/>
  <c r="BC267" i="12"/>
  <c r="BC268" i="12"/>
  <c r="BC269" i="12"/>
  <c r="BC270" i="12"/>
  <c r="BC271" i="12"/>
  <c r="BC272" i="12"/>
  <c r="BC273" i="12"/>
  <c r="BC274" i="12"/>
  <c r="BC275" i="12"/>
  <c r="BC276" i="12"/>
  <c r="BC277" i="12"/>
  <c r="BC278" i="12"/>
  <c r="BC279" i="12"/>
  <c r="BC280" i="12"/>
  <c r="BC281" i="12"/>
  <c r="BC282" i="12"/>
  <c r="BC283" i="12"/>
  <c r="BC284" i="12"/>
  <c r="BC285" i="12"/>
  <c r="BC286" i="12"/>
  <c r="BC287" i="12"/>
  <c r="BC288" i="12"/>
  <c r="BC289" i="12"/>
  <c r="BC290" i="12"/>
  <c r="BC291" i="12"/>
  <c r="BC292" i="12"/>
  <c r="BC293" i="12"/>
  <c r="BC294" i="12"/>
  <c r="BC295" i="12"/>
  <c r="BC296" i="12"/>
  <c r="BC297" i="12"/>
  <c r="BC298" i="12"/>
  <c r="BC299" i="12"/>
  <c r="BC300" i="12"/>
  <c r="BC301" i="12"/>
  <c r="BC302" i="12"/>
  <c r="BC303" i="12"/>
  <c r="BC304" i="12"/>
  <c r="BC305" i="12"/>
  <c r="BC306" i="12"/>
  <c r="BC307" i="12"/>
  <c r="BC308" i="12"/>
  <c r="BC309" i="12"/>
  <c r="BC310" i="12"/>
  <c r="BC311" i="12"/>
  <c r="BC312" i="12"/>
  <c r="BC313" i="12"/>
  <c r="BC314" i="12"/>
  <c r="BC315" i="12"/>
  <c r="BC316" i="12"/>
  <c r="BC317" i="12"/>
  <c r="BC318" i="12"/>
  <c r="BC319" i="12"/>
  <c r="BC320" i="12"/>
  <c r="BC321" i="12"/>
  <c r="BC322" i="12"/>
  <c r="BC323" i="12"/>
  <c r="BC324" i="12"/>
  <c r="BC325" i="12"/>
  <c r="BC326" i="12"/>
  <c r="BC327" i="12"/>
  <c r="BC328" i="12"/>
  <c r="BC329" i="12"/>
  <c r="BC330" i="12"/>
  <c r="BC331" i="12"/>
  <c r="BC332" i="12"/>
  <c r="BC333" i="12"/>
  <c r="BC334" i="12"/>
  <c r="BC335" i="12"/>
  <c r="BC336" i="12"/>
  <c r="BC337" i="12"/>
  <c r="BC338" i="12"/>
  <c r="BC339" i="12"/>
  <c r="BC340" i="12"/>
  <c r="BC341" i="12"/>
  <c r="BC342" i="12"/>
  <c r="BC343" i="12"/>
  <c r="BC344" i="12"/>
  <c r="BC345" i="12"/>
  <c r="BC346" i="12"/>
  <c r="BC347" i="12"/>
  <c r="BC348" i="12"/>
  <c r="BC349" i="12"/>
  <c r="BC350" i="12"/>
  <c r="BC351" i="12"/>
  <c r="BC352" i="12"/>
  <c r="BC353" i="12"/>
  <c r="BC354" i="12"/>
  <c r="BC355" i="12"/>
  <c r="BC356" i="12"/>
  <c r="BC357" i="12"/>
  <c r="BC358" i="12"/>
  <c r="BC359" i="12"/>
  <c r="BC360" i="12"/>
  <c r="BC361" i="12"/>
  <c r="BC362" i="12"/>
  <c r="BC363" i="12"/>
  <c r="BC364" i="12"/>
  <c r="BC365" i="12"/>
  <c r="BC366" i="12"/>
  <c r="BC367" i="12"/>
  <c r="BC368" i="12"/>
  <c r="BC369" i="12"/>
  <c r="BC370" i="12"/>
  <c r="BC371" i="12"/>
  <c r="BC372" i="12"/>
  <c r="BC373" i="12"/>
  <c r="BC374" i="12"/>
  <c r="BC375" i="12"/>
  <c r="BC376" i="12"/>
  <c r="BC377" i="12"/>
  <c r="BC378" i="12"/>
  <c r="BC379" i="12"/>
  <c r="BC380" i="12"/>
  <c r="BC381" i="12"/>
  <c r="BC382" i="12"/>
  <c r="BC383" i="12"/>
  <c r="BC384" i="12"/>
  <c r="BC385" i="12"/>
  <c r="BC386" i="12"/>
  <c r="BC387" i="12"/>
  <c r="BC388" i="12"/>
  <c r="BC389" i="12"/>
  <c r="BC390" i="12"/>
  <c r="BC391" i="12"/>
  <c r="BC392" i="12"/>
  <c r="BC393" i="12"/>
  <c r="BC394" i="12"/>
  <c r="BC395" i="12"/>
  <c r="BC396" i="12"/>
  <c r="BC397" i="12"/>
  <c r="BC398" i="12"/>
  <c r="BC399" i="12"/>
  <c r="BC400" i="12"/>
  <c r="BC401" i="12"/>
  <c r="BC402" i="12"/>
  <c r="BC403" i="12"/>
  <c r="BC404" i="12"/>
  <c r="BB192" i="12"/>
  <c r="BB193" i="12"/>
  <c r="BB194" i="12"/>
  <c r="BB195" i="12"/>
  <c r="BB196" i="12"/>
  <c r="BB197" i="12"/>
  <c r="BB198" i="12"/>
  <c r="BB199" i="12"/>
  <c r="BB200" i="12"/>
  <c r="BB201" i="12"/>
  <c r="BB202" i="12"/>
  <c r="BB203" i="12"/>
  <c r="BB204" i="12"/>
  <c r="BB205" i="12"/>
  <c r="BB206" i="12"/>
  <c r="BB207" i="12"/>
  <c r="BB208" i="12"/>
  <c r="BB209" i="12"/>
  <c r="BB210" i="12"/>
  <c r="BB211" i="12"/>
  <c r="BB212" i="12"/>
  <c r="BB213" i="12"/>
  <c r="BB214" i="12"/>
  <c r="BB215" i="12"/>
  <c r="BB216" i="12"/>
  <c r="BB217" i="12"/>
  <c r="BB218" i="12"/>
  <c r="BB219" i="12"/>
  <c r="BB220" i="12"/>
  <c r="BB221" i="12"/>
  <c r="BB222" i="12"/>
  <c r="BB223" i="12"/>
  <c r="BB224" i="12"/>
  <c r="BB225" i="12"/>
  <c r="BB226" i="12"/>
  <c r="BB227" i="12"/>
  <c r="BB228" i="12"/>
  <c r="BB229" i="12"/>
  <c r="BB230" i="12"/>
  <c r="BB231" i="12"/>
  <c r="BB232" i="12"/>
  <c r="BB233" i="12"/>
  <c r="BB234" i="12"/>
  <c r="BB235" i="12"/>
  <c r="BB236" i="12"/>
  <c r="BB237" i="12"/>
  <c r="BB238" i="12"/>
  <c r="BB239" i="12"/>
  <c r="BB240" i="12"/>
  <c r="BB241" i="12"/>
  <c r="BB242" i="12"/>
  <c r="BB243" i="12"/>
  <c r="BB244" i="12"/>
  <c r="BB245" i="12"/>
  <c r="BB246" i="12"/>
  <c r="BB247" i="12"/>
  <c r="BB248" i="12"/>
  <c r="BB249" i="12"/>
  <c r="BB250" i="12"/>
  <c r="BB251" i="12"/>
  <c r="BB252" i="12"/>
  <c r="BB253" i="12"/>
  <c r="BB254" i="12"/>
  <c r="BB255" i="12"/>
  <c r="BB256" i="12"/>
  <c r="BB257" i="12"/>
  <c r="BB258" i="12"/>
  <c r="BB259" i="12"/>
  <c r="BB260" i="12"/>
  <c r="BB261" i="12"/>
  <c r="BB262" i="12"/>
  <c r="BB263" i="12"/>
  <c r="BB264" i="12"/>
  <c r="BB265" i="12"/>
  <c r="BB266" i="12"/>
  <c r="BB267" i="12"/>
  <c r="BB268" i="12"/>
  <c r="BB269" i="12"/>
  <c r="BB270" i="12"/>
  <c r="BB271" i="12"/>
  <c r="BB272" i="12"/>
  <c r="BB273" i="12"/>
  <c r="BB274" i="12"/>
  <c r="BB275" i="12"/>
  <c r="BB276" i="12"/>
  <c r="BB277" i="12"/>
  <c r="BB278" i="12"/>
  <c r="BB279" i="12"/>
  <c r="BB280" i="12"/>
  <c r="BB281" i="12"/>
  <c r="BB282" i="12"/>
  <c r="BB283" i="12"/>
  <c r="BB284" i="12"/>
  <c r="BB285" i="12"/>
  <c r="BB286" i="12"/>
  <c r="BB287" i="12"/>
  <c r="BB288" i="12"/>
  <c r="BB289" i="12"/>
  <c r="BB290" i="12"/>
  <c r="BB291" i="12"/>
  <c r="BB292" i="12"/>
  <c r="BB293" i="12"/>
  <c r="BB294" i="12"/>
  <c r="BB295" i="12"/>
  <c r="BB296" i="12"/>
  <c r="BB297" i="12"/>
  <c r="BB298" i="12"/>
  <c r="BB299" i="12"/>
  <c r="BB300" i="12"/>
  <c r="BB301" i="12"/>
  <c r="BB302" i="12"/>
  <c r="BB303" i="12"/>
  <c r="BB304" i="12"/>
  <c r="BB305" i="12"/>
  <c r="BB306" i="12"/>
  <c r="BB307" i="12"/>
  <c r="BB308" i="12"/>
  <c r="BB309" i="12"/>
  <c r="BB310" i="12"/>
  <c r="BB311" i="12"/>
  <c r="BB312" i="12"/>
  <c r="BB313" i="12"/>
  <c r="BB314" i="12"/>
  <c r="BB315" i="12"/>
  <c r="BB316" i="12"/>
  <c r="BB317" i="12"/>
  <c r="BB318" i="12"/>
  <c r="BB319" i="12"/>
  <c r="BB320" i="12"/>
  <c r="BB321" i="12"/>
  <c r="BB322" i="12"/>
  <c r="BB323" i="12"/>
  <c r="BB324" i="12"/>
  <c r="BB325" i="12"/>
  <c r="BB326" i="12"/>
  <c r="BB327" i="12"/>
  <c r="BB328" i="12"/>
  <c r="BB329" i="12"/>
  <c r="BB330" i="12"/>
  <c r="BB331" i="12"/>
  <c r="BB332" i="12"/>
  <c r="BB333" i="12"/>
  <c r="BB334" i="12"/>
  <c r="BB335" i="12"/>
  <c r="BB336" i="12"/>
  <c r="BB337" i="12"/>
  <c r="BB338" i="12"/>
  <c r="BB339" i="12"/>
  <c r="BB340" i="12"/>
  <c r="BB341" i="12"/>
  <c r="BB342" i="12"/>
  <c r="BB343" i="12"/>
  <c r="BB344" i="12"/>
  <c r="BB345" i="12"/>
  <c r="BB346" i="12"/>
  <c r="BB347" i="12"/>
  <c r="BB348" i="12"/>
  <c r="BB349" i="12"/>
  <c r="BB350" i="12"/>
  <c r="BB351" i="12"/>
  <c r="BB352" i="12"/>
  <c r="BB353" i="12"/>
  <c r="BB354" i="12"/>
  <c r="BB355" i="12"/>
  <c r="BB356" i="12"/>
  <c r="BB357" i="12"/>
  <c r="BB358" i="12"/>
  <c r="BB359" i="12"/>
  <c r="BB360" i="12"/>
  <c r="BB361" i="12"/>
  <c r="BB362" i="12"/>
  <c r="BB363" i="12"/>
  <c r="BB364" i="12"/>
  <c r="BB365" i="12"/>
  <c r="BB366" i="12"/>
  <c r="BB367" i="12"/>
  <c r="BB368" i="12"/>
  <c r="BB369" i="12"/>
  <c r="BB370" i="12"/>
  <c r="BB371" i="12"/>
  <c r="BB372" i="12"/>
  <c r="BB373" i="12"/>
  <c r="BB374" i="12"/>
  <c r="BB375" i="12"/>
  <c r="BB376" i="12"/>
  <c r="BB377" i="12"/>
  <c r="BB378" i="12"/>
  <c r="BB379" i="12"/>
  <c r="BB380" i="12"/>
  <c r="BB381" i="12"/>
  <c r="BB382" i="12"/>
  <c r="BB383" i="12"/>
  <c r="BB384" i="12"/>
  <c r="BB385" i="12"/>
  <c r="BB386" i="12"/>
  <c r="BB387" i="12"/>
  <c r="BB388" i="12"/>
  <c r="BB389" i="12"/>
  <c r="BB390" i="12"/>
  <c r="BB391" i="12"/>
  <c r="BB392" i="12"/>
  <c r="BB393" i="12"/>
  <c r="BB394" i="12"/>
  <c r="BB395" i="12"/>
  <c r="BB396" i="12"/>
  <c r="BB397" i="12"/>
  <c r="BB398" i="12"/>
  <c r="BB399" i="12"/>
  <c r="BB400" i="12"/>
  <c r="BB401" i="12"/>
  <c r="BB402" i="12"/>
  <c r="BB403" i="12"/>
  <c r="BB404" i="12"/>
  <c r="AZ192" i="12"/>
  <c r="BD192" i="12" s="1"/>
  <c r="AZ193" i="12"/>
  <c r="BD193" i="12" s="1"/>
  <c r="AZ194" i="12"/>
  <c r="AZ195" i="12"/>
  <c r="BD195" i="12" s="1"/>
  <c r="AZ196" i="12"/>
  <c r="BD196" i="12" s="1"/>
  <c r="AZ197" i="12"/>
  <c r="BD197" i="12" s="1"/>
  <c r="AZ198" i="12"/>
  <c r="BD198" i="12" s="1"/>
  <c r="AZ199" i="12"/>
  <c r="BD199" i="12" s="1"/>
  <c r="AZ200" i="12"/>
  <c r="BD200" i="12" s="1"/>
  <c r="AZ201" i="12"/>
  <c r="BD201" i="12" s="1"/>
  <c r="AZ202" i="12"/>
  <c r="AZ203" i="12"/>
  <c r="BD203" i="12" s="1"/>
  <c r="AZ204" i="12"/>
  <c r="BD204" i="12" s="1"/>
  <c r="AZ205" i="12"/>
  <c r="BD205" i="12" s="1"/>
  <c r="AZ206" i="12"/>
  <c r="BD206" i="12" s="1"/>
  <c r="AZ207" i="12"/>
  <c r="BD207" i="12" s="1"/>
  <c r="AZ208" i="12"/>
  <c r="BD208" i="12" s="1"/>
  <c r="AZ209" i="12"/>
  <c r="BD209" i="12" s="1"/>
  <c r="AZ210" i="12"/>
  <c r="AZ211" i="12"/>
  <c r="BD211" i="12" s="1"/>
  <c r="AZ212" i="12"/>
  <c r="BD212" i="12" s="1"/>
  <c r="AZ213" i="12"/>
  <c r="BD213" i="12" s="1"/>
  <c r="AZ214" i="12"/>
  <c r="BD214" i="12" s="1"/>
  <c r="AZ215" i="12"/>
  <c r="BD215" i="12" s="1"/>
  <c r="AZ216" i="12"/>
  <c r="BD216" i="12" s="1"/>
  <c r="AZ217" i="12"/>
  <c r="BD217" i="12" s="1"/>
  <c r="AZ218" i="12"/>
  <c r="AZ219" i="12"/>
  <c r="BD219" i="12" s="1"/>
  <c r="AZ220" i="12"/>
  <c r="BD220" i="12" s="1"/>
  <c r="AZ221" i="12"/>
  <c r="BD221" i="12" s="1"/>
  <c r="AZ222" i="12"/>
  <c r="BD222" i="12" s="1"/>
  <c r="AZ223" i="12"/>
  <c r="BD223" i="12" s="1"/>
  <c r="AZ224" i="12"/>
  <c r="BD224" i="12" s="1"/>
  <c r="AZ225" i="12"/>
  <c r="BD225" i="12" s="1"/>
  <c r="AZ226" i="12"/>
  <c r="AZ227" i="12"/>
  <c r="BD227" i="12" s="1"/>
  <c r="AZ228" i="12"/>
  <c r="BD228" i="12" s="1"/>
  <c r="AZ229" i="12"/>
  <c r="BD229" i="12" s="1"/>
  <c r="AZ230" i="12"/>
  <c r="BD230" i="12" s="1"/>
  <c r="AZ231" i="12"/>
  <c r="BD231" i="12" s="1"/>
  <c r="AZ232" i="12"/>
  <c r="BD232" i="12" s="1"/>
  <c r="AZ233" i="12"/>
  <c r="BD233" i="12" s="1"/>
  <c r="AZ234" i="12"/>
  <c r="AZ235" i="12"/>
  <c r="BD235" i="12" s="1"/>
  <c r="AZ236" i="12"/>
  <c r="BD236" i="12" s="1"/>
  <c r="AZ237" i="12"/>
  <c r="BD237" i="12" s="1"/>
  <c r="AZ238" i="12"/>
  <c r="BD238" i="12" s="1"/>
  <c r="AZ239" i="12"/>
  <c r="BD239" i="12" s="1"/>
  <c r="AZ240" i="12"/>
  <c r="BD240" i="12" s="1"/>
  <c r="AZ241" i="12"/>
  <c r="BD241" i="12" s="1"/>
  <c r="AZ242" i="12"/>
  <c r="AZ243" i="12"/>
  <c r="BD243" i="12" s="1"/>
  <c r="AZ244" i="12"/>
  <c r="BD244" i="12" s="1"/>
  <c r="AZ245" i="12"/>
  <c r="BD245" i="12" s="1"/>
  <c r="AZ246" i="12"/>
  <c r="BD246" i="12" s="1"/>
  <c r="AZ247" i="12"/>
  <c r="BD247" i="12" s="1"/>
  <c r="AZ248" i="12"/>
  <c r="BD248" i="12" s="1"/>
  <c r="AZ249" i="12"/>
  <c r="BD249" i="12" s="1"/>
  <c r="AZ250" i="12"/>
  <c r="AZ251" i="12"/>
  <c r="BD251" i="12" s="1"/>
  <c r="AZ252" i="12"/>
  <c r="BD252" i="12" s="1"/>
  <c r="AZ253" i="12"/>
  <c r="BD253" i="12" s="1"/>
  <c r="AZ254" i="12"/>
  <c r="BD254" i="12" s="1"/>
  <c r="AZ255" i="12"/>
  <c r="BD255" i="12" s="1"/>
  <c r="AZ256" i="12"/>
  <c r="BD256" i="12" s="1"/>
  <c r="AZ257" i="12"/>
  <c r="BD257" i="12" s="1"/>
  <c r="AZ258" i="12"/>
  <c r="AZ259" i="12"/>
  <c r="BD259" i="12" s="1"/>
  <c r="AZ260" i="12"/>
  <c r="BD260" i="12" s="1"/>
  <c r="AZ261" i="12"/>
  <c r="BD261" i="12" s="1"/>
  <c r="AZ262" i="12"/>
  <c r="BD262" i="12" s="1"/>
  <c r="AZ263" i="12"/>
  <c r="BD263" i="12" s="1"/>
  <c r="AZ264" i="12"/>
  <c r="BD264" i="12" s="1"/>
  <c r="AZ265" i="12"/>
  <c r="BD265" i="12" s="1"/>
  <c r="AZ266" i="12"/>
  <c r="AZ267" i="12"/>
  <c r="BD267" i="12" s="1"/>
  <c r="AZ268" i="12"/>
  <c r="BD268" i="12" s="1"/>
  <c r="AZ269" i="12"/>
  <c r="BD269" i="12" s="1"/>
  <c r="AZ270" i="12"/>
  <c r="BD270" i="12" s="1"/>
  <c r="AZ271" i="12"/>
  <c r="BD271" i="12" s="1"/>
  <c r="AZ272" i="12"/>
  <c r="BD272" i="12" s="1"/>
  <c r="AZ273" i="12"/>
  <c r="BD273" i="12" s="1"/>
  <c r="AZ274" i="12"/>
  <c r="AZ275" i="12"/>
  <c r="BD275" i="12" s="1"/>
  <c r="AZ276" i="12"/>
  <c r="BA276" i="12" s="1"/>
  <c r="AZ277" i="12"/>
  <c r="BA277" i="12" s="1"/>
  <c r="AZ278" i="12"/>
  <c r="BA278" i="12" s="1"/>
  <c r="AZ279" i="12"/>
  <c r="BD279" i="12" s="1"/>
  <c r="AZ280" i="12"/>
  <c r="BA280" i="12" s="1"/>
  <c r="AZ281" i="12"/>
  <c r="BD281" i="12" s="1"/>
  <c r="AZ282" i="12"/>
  <c r="AZ283" i="12"/>
  <c r="BD283" i="12" s="1"/>
  <c r="AZ284" i="12"/>
  <c r="BA284" i="12" s="1"/>
  <c r="AZ285" i="12"/>
  <c r="BA285" i="12" s="1"/>
  <c r="AZ286" i="12"/>
  <c r="BA286" i="12" s="1"/>
  <c r="AZ287" i="12"/>
  <c r="BD287" i="12" s="1"/>
  <c r="AZ288" i="12"/>
  <c r="BA288" i="12" s="1"/>
  <c r="AZ289" i="12"/>
  <c r="BD289" i="12" s="1"/>
  <c r="AZ290" i="12"/>
  <c r="AZ291" i="12"/>
  <c r="BD291" i="12" s="1"/>
  <c r="AZ292" i="12"/>
  <c r="BA292" i="12" s="1"/>
  <c r="AZ293" i="12"/>
  <c r="BA293" i="12" s="1"/>
  <c r="AZ294" i="12"/>
  <c r="BA294" i="12" s="1"/>
  <c r="AZ295" i="12"/>
  <c r="BD295" i="12" s="1"/>
  <c r="AZ296" i="12"/>
  <c r="BA296" i="12" s="1"/>
  <c r="AZ297" i="12"/>
  <c r="BD297" i="12" s="1"/>
  <c r="AZ298" i="12"/>
  <c r="AZ299" i="12"/>
  <c r="BD299" i="12" s="1"/>
  <c r="AZ300" i="12"/>
  <c r="BA300" i="12" s="1"/>
  <c r="AZ301" i="12"/>
  <c r="BA301" i="12" s="1"/>
  <c r="AZ302" i="12"/>
  <c r="BA302" i="12" s="1"/>
  <c r="AZ303" i="12"/>
  <c r="BD303" i="12" s="1"/>
  <c r="AZ304" i="12"/>
  <c r="BA304" i="12" s="1"/>
  <c r="AZ305" i="12"/>
  <c r="BD305" i="12" s="1"/>
  <c r="AZ306" i="12"/>
  <c r="AZ307" i="12"/>
  <c r="BD307" i="12" s="1"/>
  <c r="AZ308" i="12"/>
  <c r="BA308" i="12" s="1"/>
  <c r="AZ309" i="12"/>
  <c r="BA309" i="12" s="1"/>
  <c r="AZ310" i="12"/>
  <c r="BA310" i="12" s="1"/>
  <c r="AZ311" i="12"/>
  <c r="BD311" i="12" s="1"/>
  <c r="AZ312" i="12"/>
  <c r="BA312" i="12" s="1"/>
  <c r="AZ313" i="12"/>
  <c r="BD313" i="12" s="1"/>
  <c r="AZ314" i="12"/>
  <c r="AZ315" i="12"/>
  <c r="BD315" i="12" s="1"/>
  <c r="AZ316" i="12"/>
  <c r="BA316" i="12" s="1"/>
  <c r="AZ317" i="12"/>
  <c r="BA317" i="12" s="1"/>
  <c r="AZ318" i="12"/>
  <c r="BA318" i="12" s="1"/>
  <c r="AZ319" i="12"/>
  <c r="BD319" i="12" s="1"/>
  <c r="AZ320" i="12"/>
  <c r="BA320" i="12" s="1"/>
  <c r="AZ321" i="12"/>
  <c r="BD321" i="12" s="1"/>
  <c r="AZ322" i="12"/>
  <c r="AZ323" i="12"/>
  <c r="BD323" i="12" s="1"/>
  <c r="AZ324" i="12"/>
  <c r="BA324" i="12" s="1"/>
  <c r="AZ325" i="12"/>
  <c r="BA325" i="12" s="1"/>
  <c r="AZ326" i="12"/>
  <c r="BA326" i="12" s="1"/>
  <c r="AZ327" i="12"/>
  <c r="BD327" i="12" s="1"/>
  <c r="AZ328" i="12"/>
  <c r="BA328" i="12" s="1"/>
  <c r="AZ329" i="12"/>
  <c r="BD329" i="12" s="1"/>
  <c r="AZ330" i="12"/>
  <c r="AZ331" i="12"/>
  <c r="BD331" i="12" s="1"/>
  <c r="AZ332" i="12"/>
  <c r="BA332" i="12" s="1"/>
  <c r="AZ333" i="12"/>
  <c r="BA333" i="12" s="1"/>
  <c r="AZ334" i="12"/>
  <c r="BA334" i="12" s="1"/>
  <c r="AZ335" i="12"/>
  <c r="BD335" i="12" s="1"/>
  <c r="AZ336" i="12"/>
  <c r="BA336" i="12" s="1"/>
  <c r="AZ337" i="12"/>
  <c r="BD337" i="12" s="1"/>
  <c r="AZ338" i="12"/>
  <c r="AZ339" i="12"/>
  <c r="BD339" i="12" s="1"/>
  <c r="AZ340" i="12"/>
  <c r="BA340" i="12" s="1"/>
  <c r="AZ341" i="12"/>
  <c r="BA341" i="12" s="1"/>
  <c r="AZ342" i="12"/>
  <c r="BA342" i="12" s="1"/>
  <c r="AZ343" i="12"/>
  <c r="BD343" i="12" s="1"/>
  <c r="AZ344" i="12"/>
  <c r="BA344" i="12" s="1"/>
  <c r="AZ345" i="12"/>
  <c r="BD345" i="12" s="1"/>
  <c r="AZ346" i="12"/>
  <c r="AZ347" i="12"/>
  <c r="BD347" i="12" s="1"/>
  <c r="AZ348" i="12"/>
  <c r="BA348" i="12" s="1"/>
  <c r="AZ349" i="12"/>
  <c r="BA349" i="12" s="1"/>
  <c r="AZ350" i="12"/>
  <c r="BA350" i="12" s="1"/>
  <c r="AZ351" i="12"/>
  <c r="BD351" i="12" s="1"/>
  <c r="AZ352" i="12"/>
  <c r="BA352" i="12" s="1"/>
  <c r="AZ353" i="12"/>
  <c r="BD353" i="12" s="1"/>
  <c r="AZ354" i="12"/>
  <c r="AZ355" i="12"/>
  <c r="BD355" i="12" s="1"/>
  <c r="AZ356" i="12"/>
  <c r="BA356" i="12" s="1"/>
  <c r="AZ357" i="12"/>
  <c r="BA357" i="12" s="1"/>
  <c r="AZ358" i="12"/>
  <c r="BA358" i="12" s="1"/>
  <c r="AZ359" i="12"/>
  <c r="BD359" i="12" s="1"/>
  <c r="AZ360" i="12"/>
  <c r="BA360" i="12" s="1"/>
  <c r="AZ361" i="12"/>
  <c r="BD361" i="12" s="1"/>
  <c r="AZ362" i="12"/>
  <c r="AZ363" i="12"/>
  <c r="BD363" i="12" s="1"/>
  <c r="AZ364" i="12"/>
  <c r="BA364" i="12" s="1"/>
  <c r="AZ365" i="12"/>
  <c r="BA365" i="12" s="1"/>
  <c r="AZ366" i="12"/>
  <c r="BA366" i="12" s="1"/>
  <c r="AZ367" i="12"/>
  <c r="BD367" i="12" s="1"/>
  <c r="AZ368" i="12"/>
  <c r="BA368" i="12" s="1"/>
  <c r="AZ369" i="12"/>
  <c r="BD369" i="12" s="1"/>
  <c r="AZ370" i="12"/>
  <c r="AZ371" i="12"/>
  <c r="BD371" i="12" s="1"/>
  <c r="AZ372" i="12"/>
  <c r="BA372" i="12" s="1"/>
  <c r="AZ373" i="12"/>
  <c r="BA373" i="12" s="1"/>
  <c r="AZ374" i="12"/>
  <c r="BA374" i="12" s="1"/>
  <c r="AZ375" i="12"/>
  <c r="BD375" i="12" s="1"/>
  <c r="AZ376" i="12"/>
  <c r="BA376" i="12" s="1"/>
  <c r="AZ377" i="12"/>
  <c r="BD377" i="12" s="1"/>
  <c r="AZ378" i="12"/>
  <c r="AZ379" i="12"/>
  <c r="BD379" i="12" s="1"/>
  <c r="AZ380" i="12"/>
  <c r="BA380" i="12" s="1"/>
  <c r="AZ381" i="12"/>
  <c r="BA381" i="12" s="1"/>
  <c r="AZ382" i="12"/>
  <c r="BA382" i="12" s="1"/>
  <c r="AZ383" i="12"/>
  <c r="BD383" i="12" s="1"/>
  <c r="AZ384" i="12"/>
  <c r="BA384" i="12" s="1"/>
  <c r="AZ385" i="12"/>
  <c r="BD385" i="12" s="1"/>
  <c r="AZ386" i="12"/>
  <c r="AZ387" i="12"/>
  <c r="BD387" i="12" s="1"/>
  <c r="AZ388" i="12"/>
  <c r="BA388" i="12" s="1"/>
  <c r="AZ389" i="12"/>
  <c r="BA389" i="12" s="1"/>
  <c r="AZ390" i="12"/>
  <c r="BA390" i="12" s="1"/>
  <c r="AZ391" i="12"/>
  <c r="BD391" i="12" s="1"/>
  <c r="AZ392" i="12"/>
  <c r="BA392" i="12" s="1"/>
  <c r="AZ393" i="12"/>
  <c r="BD393" i="12" s="1"/>
  <c r="AZ394" i="12"/>
  <c r="AZ395" i="12"/>
  <c r="BD395" i="12" s="1"/>
  <c r="AZ396" i="12"/>
  <c r="BA396" i="12" s="1"/>
  <c r="AZ397" i="12"/>
  <c r="BA397" i="12" s="1"/>
  <c r="AZ398" i="12"/>
  <c r="BA398" i="12" s="1"/>
  <c r="AZ399" i="12"/>
  <c r="BD399" i="12" s="1"/>
  <c r="AZ400" i="12"/>
  <c r="BA400" i="12" s="1"/>
  <c r="AZ401" i="12"/>
  <c r="BD401" i="12" s="1"/>
  <c r="AZ402" i="12"/>
  <c r="AZ403" i="12"/>
  <c r="BD403" i="12" s="1"/>
  <c r="AZ404" i="12"/>
  <c r="BA404" i="12" s="1"/>
  <c r="AZ3" i="12"/>
  <c r="AZ4" i="12"/>
  <c r="AZ5" i="12"/>
  <c r="AZ6" i="12"/>
  <c r="AZ7" i="12"/>
  <c r="AZ8" i="12"/>
  <c r="AZ9" i="12"/>
  <c r="AZ10" i="12"/>
  <c r="AZ11" i="12"/>
  <c r="AZ12" i="12"/>
  <c r="AZ13" i="12"/>
  <c r="AZ14" i="12"/>
  <c r="AZ15" i="12"/>
  <c r="AZ16" i="12"/>
  <c r="AZ17" i="12"/>
  <c r="AZ18" i="12"/>
  <c r="AZ19" i="12"/>
  <c r="AZ20" i="12"/>
  <c r="AZ21" i="12"/>
  <c r="AZ22" i="12"/>
  <c r="AZ23" i="12"/>
  <c r="AZ24" i="12"/>
  <c r="AZ25" i="12"/>
  <c r="AZ26" i="12"/>
  <c r="AZ27" i="12"/>
  <c r="AZ28" i="12"/>
  <c r="AZ29" i="12"/>
  <c r="AZ30" i="12"/>
  <c r="AZ31" i="12"/>
  <c r="AZ32" i="12"/>
  <c r="AZ33" i="12"/>
  <c r="AZ34" i="12"/>
  <c r="AZ35" i="12"/>
  <c r="AZ36" i="12"/>
  <c r="AZ37" i="12"/>
  <c r="AZ38" i="12"/>
  <c r="AZ39" i="12"/>
  <c r="AZ40" i="12"/>
  <c r="AZ41" i="12"/>
  <c r="AZ42" i="12"/>
  <c r="AZ43" i="12"/>
  <c r="AZ44" i="12"/>
  <c r="AZ45" i="12"/>
  <c r="AZ46" i="12"/>
  <c r="AZ47" i="12"/>
  <c r="AZ48" i="12"/>
  <c r="AZ49" i="12"/>
  <c r="AZ50" i="12"/>
  <c r="AZ51" i="12"/>
  <c r="AZ52" i="12"/>
  <c r="AZ53" i="12"/>
  <c r="AZ54" i="12"/>
  <c r="AZ55" i="12"/>
  <c r="AZ56" i="12"/>
  <c r="AZ57" i="12"/>
  <c r="AZ58" i="12"/>
  <c r="AZ59" i="12"/>
  <c r="AZ60" i="12"/>
  <c r="AZ61" i="12"/>
  <c r="AZ62" i="12"/>
  <c r="AZ63" i="12"/>
  <c r="AZ64" i="12"/>
  <c r="AZ65" i="12"/>
  <c r="AZ66" i="12"/>
  <c r="AZ67" i="12"/>
  <c r="AZ68" i="12"/>
  <c r="AZ69" i="12"/>
  <c r="AZ70" i="12"/>
  <c r="AZ71" i="12"/>
  <c r="AZ72" i="12"/>
  <c r="AZ73" i="12"/>
  <c r="AZ74" i="12"/>
  <c r="AZ75" i="12"/>
  <c r="AZ76" i="12"/>
  <c r="AZ77" i="12"/>
  <c r="AZ78" i="12"/>
  <c r="AZ79" i="12"/>
  <c r="AZ80" i="12"/>
  <c r="AZ81" i="12"/>
  <c r="AZ82" i="12"/>
  <c r="AZ83" i="12"/>
  <c r="AZ84" i="12"/>
  <c r="AZ85" i="12"/>
  <c r="AZ86" i="12"/>
  <c r="AZ87" i="12"/>
  <c r="AZ88" i="12"/>
  <c r="AZ89" i="12"/>
  <c r="AZ90" i="12"/>
  <c r="AZ91" i="12"/>
  <c r="AZ92" i="12"/>
  <c r="AZ93" i="12"/>
  <c r="AZ94" i="12"/>
  <c r="AZ95" i="12"/>
  <c r="AZ96" i="12"/>
  <c r="AZ97" i="12"/>
  <c r="AZ98" i="12"/>
  <c r="AZ99" i="12"/>
  <c r="AZ100" i="12"/>
  <c r="AZ101" i="12"/>
  <c r="AZ102" i="12"/>
  <c r="AZ103" i="12"/>
  <c r="AZ104" i="12"/>
  <c r="AZ105" i="12"/>
  <c r="AZ106" i="12"/>
  <c r="AZ107" i="12"/>
  <c r="AZ108" i="12"/>
  <c r="AZ109" i="12"/>
  <c r="AZ110" i="12"/>
  <c r="AZ111" i="12"/>
  <c r="AZ112" i="12"/>
  <c r="AZ113" i="12"/>
  <c r="AZ114" i="12"/>
  <c r="AZ115" i="12"/>
  <c r="AZ116" i="12"/>
  <c r="AZ117" i="12"/>
  <c r="AZ118" i="12"/>
  <c r="AZ119" i="12"/>
  <c r="AZ120" i="12"/>
  <c r="AZ121" i="12"/>
  <c r="AZ122" i="12"/>
  <c r="AZ123" i="12"/>
  <c r="AZ124" i="12"/>
  <c r="AZ125" i="12"/>
  <c r="AZ126" i="12"/>
  <c r="AZ127" i="12"/>
  <c r="AZ128" i="12"/>
  <c r="AZ129" i="12"/>
  <c r="AZ130" i="12"/>
  <c r="AZ131" i="12"/>
  <c r="AZ132" i="12"/>
  <c r="AZ133" i="12"/>
  <c r="AZ134" i="12"/>
  <c r="AZ135" i="12"/>
  <c r="AZ136" i="12"/>
  <c r="AZ137" i="12"/>
  <c r="AZ138" i="12"/>
  <c r="AZ139" i="12"/>
  <c r="AZ140" i="12"/>
  <c r="AZ141" i="12"/>
  <c r="AZ142" i="12"/>
  <c r="AZ143" i="12"/>
  <c r="AZ144" i="12"/>
  <c r="AZ145" i="12"/>
  <c r="AZ146" i="12"/>
  <c r="AZ147" i="12"/>
  <c r="AZ148" i="12"/>
  <c r="AZ149" i="12"/>
  <c r="AZ150" i="12"/>
  <c r="AZ151" i="12"/>
  <c r="AZ152" i="12"/>
  <c r="AZ153" i="12"/>
  <c r="AZ154" i="12"/>
  <c r="AZ155" i="12"/>
  <c r="AZ156" i="12"/>
  <c r="AZ157" i="12"/>
  <c r="AZ158" i="12"/>
  <c r="AZ159" i="12"/>
  <c r="AZ160" i="12"/>
  <c r="AZ161" i="12"/>
  <c r="AZ162" i="12"/>
  <c r="AZ163" i="12"/>
  <c r="AZ164" i="12"/>
  <c r="AZ165" i="12"/>
  <c r="AZ166" i="12"/>
  <c r="AZ167" i="12"/>
  <c r="AZ168" i="12"/>
  <c r="AZ169" i="12"/>
  <c r="AZ170" i="12"/>
  <c r="AZ171" i="12"/>
  <c r="AZ172" i="12"/>
  <c r="AZ173" i="12"/>
  <c r="AZ174" i="12"/>
  <c r="AZ175" i="12"/>
  <c r="AZ176" i="12"/>
  <c r="AZ177" i="12"/>
  <c r="AZ178" i="12"/>
  <c r="AZ179" i="12"/>
  <c r="AZ180" i="12"/>
  <c r="AZ181" i="12"/>
  <c r="AZ182" i="12"/>
  <c r="AZ183" i="12"/>
  <c r="AZ184" i="12"/>
  <c r="AZ185" i="12"/>
  <c r="AZ186" i="12"/>
  <c r="AZ187" i="12"/>
  <c r="AZ188" i="12"/>
  <c r="AZ189" i="12"/>
  <c r="AZ190" i="12"/>
  <c r="AZ191" i="12"/>
  <c r="AZ2" i="12"/>
  <c r="AX192" i="12"/>
  <c r="AX193" i="12"/>
  <c r="AX194" i="12"/>
  <c r="AX195" i="12"/>
  <c r="AX196" i="12"/>
  <c r="AX197" i="12"/>
  <c r="AX198" i="12"/>
  <c r="AX199" i="12"/>
  <c r="AX200" i="12"/>
  <c r="AX201" i="12"/>
  <c r="AX202" i="12"/>
  <c r="AX203" i="12"/>
  <c r="AX204" i="12"/>
  <c r="AX205" i="12"/>
  <c r="AX206" i="12"/>
  <c r="AX207" i="12"/>
  <c r="AX208" i="12"/>
  <c r="AX209" i="12"/>
  <c r="AX210" i="12"/>
  <c r="AX211" i="12"/>
  <c r="AX212" i="12"/>
  <c r="AX213" i="12"/>
  <c r="AX214" i="12"/>
  <c r="AX215" i="12"/>
  <c r="AX216" i="12"/>
  <c r="AX217" i="12"/>
  <c r="AX218" i="12"/>
  <c r="AX219" i="12"/>
  <c r="AX220" i="12"/>
  <c r="AX221" i="12"/>
  <c r="AX222" i="12"/>
  <c r="AX223" i="12"/>
  <c r="AX224" i="12"/>
  <c r="AX225" i="12"/>
  <c r="AX226" i="12"/>
  <c r="AX227" i="12"/>
  <c r="AX228" i="12"/>
  <c r="AX229" i="12"/>
  <c r="AX230" i="12"/>
  <c r="AX231" i="12"/>
  <c r="AX232" i="12"/>
  <c r="AX233" i="12"/>
  <c r="AX234" i="12"/>
  <c r="AX235" i="12"/>
  <c r="AX236" i="12"/>
  <c r="AX237" i="12"/>
  <c r="AX238" i="12"/>
  <c r="AX239" i="12"/>
  <c r="AX240" i="12"/>
  <c r="AX241" i="12"/>
  <c r="AX242" i="12"/>
  <c r="AX243" i="12"/>
  <c r="AX244" i="12"/>
  <c r="AX245" i="12"/>
  <c r="AX246" i="12"/>
  <c r="AX247" i="12"/>
  <c r="AX248" i="12"/>
  <c r="AX249" i="12"/>
  <c r="AX250" i="12"/>
  <c r="AX251" i="12"/>
  <c r="AX252" i="12"/>
  <c r="AX253" i="12"/>
  <c r="AX254" i="12"/>
  <c r="AX255" i="12"/>
  <c r="AX256" i="12"/>
  <c r="AX257" i="12"/>
  <c r="AX258" i="12"/>
  <c r="AX259" i="12"/>
  <c r="AX260" i="12"/>
  <c r="AX261" i="12"/>
  <c r="AX262" i="12"/>
  <c r="AX263" i="12"/>
  <c r="AX264" i="12"/>
  <c r="AX265" i="12"/>
  <c r="AX266" i="12"/>
  <c r="AX267" i="12"/>
  <c r="AX268" i="12"/>
  <c r="AX269" i="12"/>
  <c r="AX270" i="12"/>
  <c r="AX271" i="12"/>
  <c r="AX272" i="12"/>
  <c r="AX273" i="12"/>
  <c r="AX274" i="12"/>
  <c r="AX275" i="12"/>
  <c r="AX276" i="12"/>
  <c r="AX277" i="12"/>
  <c r="AX278" i="12"/>
  <c r="AX279" i="12"/>
  <c r="AX280" i="12"/>
  <c r="AX281" i="12"/>
  <c r="AX282" i="12"/>
  <c r="AX283" i="12"/>
  <c r="AX284" i="12"/>
  <c r="AX285" i="12"/>
  <c r="AX286" i="12"/>
  <c r="AX287" i="12"/>
  <c r="AX288" i="12"/>
  <c r="AX289" i="12"/>
  <c r="AX290" i="12"/>
  <c r="AX291" i="12"/>
  <c r="AX292" i="12"/>
  <c r="AX293" i="12"/>
  <c r="AX294" i="12"/>
  <c r="AX295" i="12"/>
  <c r="AX296" i="12"/>
  <c r="AX297" i="12"/>
  <c r="AX298" i="12"/>
  <c r="AX299" i="12"/>
  <c r="AX300" i="12"/>
  <c r="AX301" i="12"/>
  <c r="AX302" i="12"/>
  <c r="AX303" i="12"/>
  <c r="AX304" i="12"/>
  <c r="AX305" i="12"/>
  <c r="AX306" i="12"/>
  <c r="AX307" i="12"/>
  <c r="AX308" i="12"/>
  <c r="AX309" i="12"/>
  <c r="AX310" i="12"/>
  <c r="AX311" i="12"/>
  <c r="AX312" i="12"/>
  <c r="AX313" i="12"/>
  <c r="AX314" i="12"/>
  <c r="AX315" i="12"/>
  <c r="AX316" i="12"/>
  <c r="AX317" i="12"/>
  <c r="AX318" i="12"/>
  <c r="AX319" i="12"/>
  <c r="AX320" i="12"/>
  <c r="AX321" i="12"/>
  <c r="AX322" i="12"/>
  <c r="AX323" i="12"/>
  <c r="AX324" i="12"/>
  <c r="AX325" i="12"/>
  <c r="AX326" i="12"/>
  <c r="AX327" i="12"/>
  <c r="AX328" i="12"/>
  <c r="AX329" i="12"/>
  <c r="AX330" i="12"/>
  <c r="AX331" i="12"/>
  <c r="AX332" i="12"/>
  <c r="AX333" i="12"/>
  <c r="AX334" i="12"/>
  <c r="AX335" i="12"/>
  <c r="AX336" i="12"/>
  <c r="AX337" i="12"/>
  <c r="AX338" i="12"/>
  <c r="AX339" i="12"/>
  <c r="AX340" i="12"/>
  <c r="AX341" i="12"/>
  <c r="AX342" i="12"/>
  <c r="AX343" i="12"/>
  <c r="AX344" i="12"/>
  <c r="AX345" i="12"/>
  <c r="AX346" i="12"/>
  <c r="AX347" i="12"/>
  <c r="AX348" i="12"/>
  <c r="AX349" i="12"/>
  <c r="AX350" i="12"/>
  <c r="AX351" i="12"/>
  <c r="AX352" i="12"/>
  <c r="AX353" i="12"/>
  <c r="AX354" i="12"/>
  <c r="AX355" i="12"/>
  <c r="AX356" i="12"/>
  <c r="AX357" i="12"/>
  <c r="AX358" i="12"/>
  <c r="AX359" i="12"/>
  <c r="AX360" i="12"/>
  <c r="AX361" i="12"/>
  <c r="AX362" i="12"/>
  <c r="AX363" i="12"/>
  <c r="AX364" i="12"/>
  <c r="AX365" i="12"/>
  <c r="AX366" i="12"/>
  <c r="AX367" i="12"/>
  <c r="AX368" i="12"/>
  <c r="AX369" i="12"/>
  <c r="AX370" i="12"/>
  <c r="AX371" i="12"/>
  <c r="AX372" i="12"/>
  <c r="AX373" i="12"/>
  <c r="AX374" i="12"/>
  <c r="AX375" i="12"/>
  <c r="AX376" i="12"/>
  <c r="AX377" i="12"/>
  <c r="AX378" i="12"/>
  <c r="AX379" i="12"/>
  <c r="AX380" i="12"/>
  <c r="AX381" i="12"/>
  <c r="AX382" i="12"/>
  <c r="AX383" i="12"/>
  <c r="AX384" i="12"/>
  <c r="AX385" i="12"/>
  <c r="AX386" i="12"/>
  <c r="AX387" i="12"/>
  <c r="AX388" i="12"/>
  <c r="AX389" i="12"/>
  <c r="AX390" i="12"/>
  <c r="AX391" i="12"/>
  <c r="AX392" i="12"/>
  <c r="AX393" i="12"/>
  <c r="AX394" i="12"/>
  <c r="AX395" i="12"/>
  <c r="AX396" i="12"/>
  <c r="AX397" i="12"/>
  <c r="AX398" i="12"/>
  <c r="AX399" i="12"/>
  <c r="AX400" i="12"/>
  <c r="AX401" i="12"/>
  <c r="AX402" i="12"/>
  <c r="AX403" i="12"/>
  <c r="AX404" i="12"/>
  <c r="AW192" i="12"/>
  <c r="AW193" i="12"/>
  <c r="AW194" i="12"/>
  <c r="AW195" i="12"/>
  <c r="AW196" i="12"/>
  <c r="AW197" i="12"/>
  <c r="AW198" i="12"/>
  <c r="AW199" i="12"/>
  <c r="AW200" i="12"/>
  <c r="AW201" i="12"/>
  <c r="AW202" i="12"/>
  <c r="AW203" i="12"/>
  <c r="AW204" i="12"/>
  <c r="AW205" i="12"/>
  <c r="AW206" i="12"/>
  <c r="AW207" i="12"/>
  <c r="AW208" i="12"/>
  <c r="AW209" i="12"/>
  <c r="AW210" i="12"/>
  <c r="AW211" i="12"/>
  <c r="AW212" i="12"/>
  <c r="AW213" i="12"/>
  <c r="AW214" i="12"/>
  <c r="AW215" i="12"/>
  <c r="AW216" i="12"/>
  <c r="AW217" i="12"/>
  <c r="AW218" i="12"/>
  <c r="AW219" i="12"/>
  <c r="AW220" i="12"/>
  <c r="AW221" i="12"/>
  <c r="AW222" i="12"/>
  <c r="AW223" i="12"/>
  <c r="AW224" i="12"/>
  <c r="AW225" i="12"/>
  <c r="AW226" i="12"/>
  <c r="AW227" i="12"/>
  <c r="AW228" i="12"/>
  <c r="AW229" i="12"/>
  <c r="AW230" i="12"/>
  <c r="AW231" i="12"/>
  <c r="AW232" i="12"/>
  <c r="AW233" i="12"/>
  <c r="AW234" i="12"/>
  <c r="AW235" i="12"/>
  <c r="AW236" i="12"/>
  <c r="AW237" i="12"/>
  <c r="AW238" i="12"/>
  <c r="AW239" i="12"/>
  <c r="AW240" i="12"/>
  <c r="AW241" i="12"/>
  <c r="AW242" i="12"/>
  <c r="AW243" i="12"/>
  <c r="AW244" i="12"/>
  <c r="AW245" i="12"/>
  <c r="AW246" i="12"/>
  <c r="AW247" i="12"/>
  <c r="AW248" i="12"/>
  <c r="AW249" i="12"/>
  <c r="AW250" i="12"/>
  <c r="AW251" i="12"/>
  <c r="AW252" i="12"/>
  <c r="AW253" i="12"/>
  <c r="AW254" i="12"/>
  <c r="AW255" i="12"/>
  <c r="AW256" i="12"/>
  <c r="AW257" i="12"/>
  <c r="AW258" i="12"/>
  <c r="AW259" i="12"/>
  <c r="AW260" i="12"/>
  <c r="AW261" i="12"/>
  <c r="AW262" i="12"/>
  <c r="AW263" i="12"/>
  <c r="AW264" i="12"/>
  <c r="AW265" i="12"/>
  <c r="AW266" i="12"/>
  <c r="AW267" i="12"/>
  <c r="AW268" i="12"/>
  <c r="AW269" i="12"/>
  <c r="AW270" i="12"/>
  <c r="AW271" i="12"/>
  <c r="AW272" i="12"/>
  <c r="AW273" i="12"/>
  <c r="AW274" i="12"/>
  <c r="AW275" i="12"/>
  <c r="AW276" i="12"/>
  <c r="AW277" i="12"/>
  <c r="AW278" i="12"/>
  <c r="AW279" i="12"/>
  <c r="AW280" i="12"/>
  <c r="AW281" i="12"/>
  <c r="AW282" i="12"/>
  <c r="AW283" i="12"/>
  <c r="AW284" i="12"/>
  <c r="AW285" i="12"/>
  <c r="AW286" i="12"/>
  <c r="AW287" i="12"/>
  <c r="AW288" i="12"/>
  <c r="AW289" i="12"/>
  <c r="AW290" i="12"/>
  <c r="AW291" i="12"/>
  <c r="AW292" i="12"/>
  <c r="AW293" i="12"/>
  <c r="AW294" i="12"/>
  <c r="AW295" i="12"/>
  <c r="AW296" i="12"/>
  <c r="AW297" i="12"/>
  <c r="AW298" i="12"/>
  <c r="AW299" i="12"/>
  <c r="AW300" i="12"/>
  <c r="AW301" i="12"/>
  <c r="AW302" i="12"/>
  <c r="AW303" i="12"/>
  <c r="AW304" i="12"/>
  <c r="AW305" i="12"/>
  <c r="AW306" i="12"/>
  <c r="AW307" i="12"/>
  <c r="AW308" i="12"/>
  <c r="AW309" i="12"/>
  <c r="AW310" i="12"/>
  <c r="AW311" i="12"/>
  <c r="AW312" i="12"/>
  <c r="AW313" i="12"/>
  <c r="AW314" i="12"/>
  <c r="AW315" i="12"/>
  <c r="AW316" i="12"/>
  <c r="AW317" i="12"/>
  <c r="AW318" i="12"/>
  <c r="AW319" i="12"/>
  <c r="AW320" i="12"/>
  <c r="AW321" i="12"/>
  <c r="AW322" i="12"/>
  <c r="AW323" i="12"/>
  <c r="AW324" i="12"/>
  <c r="AW325" i="12"/>
  <c r="AW326" i="12"/>
  <c r="AW327" i="12"/>
  <c r="AW328" i="12"/>
  <c r="AW329" i="12"/>
  <c r="AW330" i="12"/>
  <c r="AW331" i="12"/>
  <c r="AW332" i="12"/>
  <c r="AW333" i="12"/>
  <c r="AW334" i="12"/>
  <c r="AW335" i="12"/>
  <c r="AW336" i="12"/>
  <c r="AW337" i="12"/>
  <c r="AW338" i="12"/>
  <c r="AW339" i="12"/>
  <c r="AW340" i="12"/>
  <c r="AW341" i="12"/>
  <c r="AW342" i="12"/>
  <c r="AW343" i="12"/>
  <c r="AW344" i="12"/>
  <c r="AW345" i="12"/>
  <c r="AW346" i="12"/>
  <c r="AW347" i="12"/>
  <c r="AW348" i="12"/>
  <c r="AW349" i="12"/>
  <c r="AW350" i="12"/>
  <c r="AW351" i="12"/>
  <c r="AW352" i="12"/>
  <c r="AW353" i="12"/>
  <c r="AW354" i="12"/>
  <c r="AW355" i="12"/>
  <c r="AW356" i="12"/>
  <c r="AW357" i="12"/>
  <c r="AW358" i="12"/>
  <c r="AW359" i="12"/>
  <c r="AW360" i="12"/>
  <c r="AW361" i="12"/>
  <c r="AW362" i="12"/>
  <c r="AW363" i="12"/>
  <c r="AW364" i="12"/>
  <c r="AW365" i="12"/>
  <c r="AW366" i="12"/>
  <c r="AW367" i="12"/>
  <c r="AW368" i="12"/>
  <c r="AW369" i="12"/>
  <c r="AW370" i="12"/>
  <c r="AW371" i="12"/>
  <c r="AW372" i="12"/>
  <c r="AW373" i="12"/>
  <c r="AW374" i="12"/>
  <c r="AW375" i="12"/>
  <c r="AW376" i="12"/>
  <c r="AW377" i="12"/>
  <c r="AW378" i="12"/>
  <c r="AW379" i="12"/>
  <c r="AW380" i="12"/>
  <c r="AW381" i="12"/>
  <c r="AW382" i="12"/>
  <c r="AW383" i="12"/>
  <c r="AW384" i="12"/>
  <c r="AW385" i="12"/>
  <c r="AW386" i="12"/>
  <c r="AW387" i="12"/>
  <c r="AW388" i="12"/>
  <c r="AW389" i="12"/>
  <c r="AW390" i="12"/>
  <c r="AW391" i="12"/>
  <c r="AW392" i="12"/>
  <c r="AW393" i="12"/>
  <c r="AW394" i="12"/>
  <c r="AW395" i="12"/>
  <c r="AW396" i="12"/>
  <c r="AW397" i="12"/>
  <c r="AW398" i="12"/>
  <c r="AW399" i="12"/>
  <c r="AW400" i="12"/>
  <c r="AW401" i="12"/>
  <c r="AW402" i="12"/>
  <c r="AW403" i="12"/>
  <c r="AW404" i="12"/>
  <c r="AU192" i="12"/>
  <c r="AY192" i="12" s="1"/>
  <c r="AU193" i="12"/>
  <c r="AV193" i="12" s="1"/>
  <c r="AU194" i="12"/>
  <c r="AY194" i="12" s="1"/>
  <c r="AU195" i="12"/>
  <c r="AU196" i="12"/>
  <c r="AY196" i="12" s="1"/>
  <c r="AU197" i="12"/>
  <c r="AU198" i="12"/>
  <c r="AU199" i="12"/>
  <c r="AU200" i="12"/>
  <c r="AY200" i="12" s="1"/>
  <c r="AU201" i="12"/>
  <c r="AV201" i="12" s="1"/>
  <c r="AU202" i="12"/>
  <c r="AY202" i="12" s="1"/>
  <c r="AU203" i="12"/>
  <c r="AU204" i="12"/>
  <c r="AY204" i="12" s="1"/>
  <c r="AU205" i="12"/>
  <c r="AU206" i="12"/>
  <c r="AU207" i="12"/>
  <c r="AV207" i="12" s="1"/>
  <c r="AU208" i="12"/>
  <c r="AY208" i="12" s="1"/>
  <c r="AU209" i="12"/>
  <c r="AV209" i="12" s="1"/>
  <c r="AU210" i="12"/>
  <c r="AY210" i="12" s="1"/>
  <c r="AU211" i="12"/>
  <c r="AU212" i="12"/>
  <c r="AY212" i="12" s="1"/>
  <c r="AU213" i="12"/>
  <c r="AU214" i="12"/>
  <c r="AU215" i="12"/>
  <c r="AU216" i="12"/>
  <c r="AY216" i="12" s="1"/>
  <c r="AU217" i="12"/>
  <c r="AV217" i="12" s="1"/>
  <c r="AU218" i="12"/>
  <c r="AY218" i="12" s="1"/>
  <c r="AU219" i="12"/>
  <c r="AU220" i="12"/>
  <c r="AY220" i="12" s="1"/>
  <c r="AU221" i="12"/>
  <c r="AU222" i="12"/>
  <c r="AU223" i="12"/>
  <c r="AU224" i="12"/>
  <c r="AY224" i="12" s="1"/>
  <c r="AU225" i="12"/>
  <c r="AV225" i="12" s="1"/>
  <c r="AU226" i="12"/>
  <c r="AY226" i="12" s="1"/>
  <c r="AU227" i="12"/>
  <c r="AU228" i="12"/>
  <c r="AY228" i="12" s="1"/>
  <c r="AU229" i="12"/>
  <c r="AU230" i="12"/>
  <c r="AU231" i="12"/>
  <c r="AU232" i="12"/>
  <c r="AY232" i="12" s="1"/>
  <c r="AU233" i="12"/>
  <c r="AV233" i="12" s="1"/>
  <c r="AU234" i="12"/>
  <c r="AY234" i="12" s="1"/>
  <c r="AU235" i="12"/>
  <c r="AU236" i="12"/>
  <c r="AY236" i="12" s="1"/>
  <c r="AU237" i="12"/>
  <c r="AU238" i="12"/>
  <c r="AU239" i="12"/>
  <c r="AV239" i="12" s="1"/>
  <c r="AU240" i="12"/>
  <c r="AY240" i="12" s="1"/>
  <c r="AU241" i="12"/>
  <c r="AV241" i="12" s="1"/>
  <c r="AU242" i="12"/>
  <c r="AY242" i="12" s="1"/>
  <c r="AU243" i="12"/>
  <c r="AU244" i="12"/>
  <c r="AY244" i="12" s="1"/>
  <c r="AU245" i="12"/>
  <c r="AU246" i="12"/>
  <c r="AU247" i="12"/>
  <c r="AU248" i="12"/>
  <c r="AY248" i="12" s="1"/>
  <c r="AU249" i="12"/>
  <c r="AV249" i="12" s="1"/>
  <c r="AU250" i="12"/>
  <c r="AY250" i="12" s="1"/>
  <c r="AU251" i="12"/>
  <c r="AU252" i="12"/>
  <c r="AY252" i="12" s="1"/>
  <c r="AU253" i="12"/>
  <c r="AU254" i="12"/>
  <c r="AU255" i="12"/>
  <c r="AU256" i="12"/>
  <c r="AY256" i="12" s="1"/>
  <c r="AU257" i="12"/>
  <c r="AV257" i="12" s="1"/>
  <c r="AU258" i="12"/>
  <c r="AY258" i="12" s="1"/>
  <c r="AU259" i="12"/>
  <c r="AU260" i="12"/>
  <c r="AY260" i="12" s="1"/>
  <c r="AU261" i="12"/>
  <c r="AU262" i="12"/>
  <c r="AU263" i="12"/>
  <c r="AU264" i="12"/>
  <c r="AY264" i="12" s="1"/>
  <c r="AU265" i="12"/>
  <c r="AV265" i="12" s="1"/>
  <c r="AU266" i="12"/>
  <c r="AY266" i="12" s="1"/>
  <c r="AU267" i="12"/>
  <c r="AU268" i="12"/>
  <c r="AY268" i="12" s="1"/>
  <c r="AU269" i="12"/>
  <c r="AU270" i="12"/>
  <c r="AU271" i="12"/>
  <c r="AV271" i="12" s="1"/>
  <c r="AU272" i="12"/>
  <c r="AY272" i="12" s="1"/>
  <c r="AU273" i="12"/>
  <c r="AV273" i="12" s="1"/>
  <c r="AU274" i="12"/>
  <c r="AY274" i="12" s="1"/>
  <c r="AU275" i="12"/>
  <c r="AU276" i="12"/>
  <c r="AY276" i="12" s="1"/>
  <c r="AU277" i="12"/>
  <c r="AU278" i="12"/>
  <c r="AU279" i="12"/>
  <c r="AU280" i="12"/>
  <c r="AY280" i="12" s="1"/>
  <c r="AU281" i="12"/>
  <c r="AV281" i="12" s="1"/>
  <c r="AU282" i="12"/>
  <c r="AY282" i="12" s="1"/>
  <c r="AU283" i="12"/>
  <c r="AY283" i="12" s="1"/>
  <c r="AU284" i="12"/>
  <c r="AY284" i="12" s="1"/>
  <c r="AU285" i="12"/>
  <c r="AU286" i="12"/>
  <c r="AU287" i="12"/>
  <c r="AU288" i="12"/>
  <c r="AY288" i="12" s="1"/>
  <c r="AU289" i="12"/>
  <c r="AY289" i="12" s="1"/>
  <c r="AU290" i="12"/>
  <c r="AY290" i="12" s="1"/>
  <c r="AU291" i="12"/>
  <c r="AY291" i="12" s="1"/>
  <c r="AU292" i="12"/>
  <c r="AY292" i="12" s="1"/>
  <c r="AU293" i="12"/>
  <c r="AY293" i="12" s="1"/>
  <c r="AU294" i="12"/>
  <c r="AU295" i="12"/>
  <c r="AU296" i="12"/>
  <c r="AY296" i="12" s="1"/>
  <c r="AU297" i="12"/>
  <c r="AV297" i="12" s="1"/>
  <c r="AU298" i="12"/>
  <c r="AY298" i="12" s="1"/>
  <c r="AU299" i="12"/>
  <c r="AY299" i="12" s="1"/>
  <c r="AU300" i="12"/>
  <c r="AY300" i="12" s="1"/>
  <c r="AU301" i="12"/>
  <c r="AY301" i="12" s="1"/>
  <c r="AU302" i="12"/>
  <c r="AU303" i="12"/>
  <c r="AV303" i="12" s="1"/>
  <c r="AU304" i="12"/>
  <c r="AY304" i="12" s="1"/>
  <c r="AU305" i="12"/>
  <c r="AV305" i="12" s="1"/>
  <c r="AU306" i="12"/>
  <c r="AY306" i="12" s="1"/>
  <c r="AU307" i="12"/>
  <c r="AY307" i="12" s="1"/>
  <c r="AU308" i="12"/>
  <c r="AY308" i="12" s="1"/>
  <c r="AU309" i="12"/>
  <c r="AY309" i="12" s="1"/>
  <c r="AU310" i="12"/>
  <c r="AU311" i="12"/>
  <c r="AU312" i="12"/>
  <c r="AY312" i="12" s="1"/>
  <c r="AU313" i="12"/>
  <c r="AY313" i="12" s="1"/>
  <c r="AU314" i="12"/>
  <c r="AY314" i="12" s="1"/>
  <c r="AU315" i="12"/>
  <c r="AY315" i="12" s="1"/>
  <c r="AU316" i="12"/>
  <c r="AY316" i="12" s="1"/>
  <c r="AU317" i="12"/>
  <c r="AY317" i="12" s="1"/>
  <c r="AU318" i="12"/>
  <c r="AU319" i="12"/>
  <c r="AU320" i="12"/>
  <c r="AY320" i="12" s="1"/>
  <c r="AU321" i="12"/>
  <c r="AY321" i="12" s="1"/>
  <c r="AU322" i="12"/>
  <c r="AY322" i="12" s="1"/>
  <c r="AU323" i="12"/>
  <c r="AY323" i="12" s="1"/>
  <c r="AU324" i="12"/>
  <c r="AY324" i="12" s="1"/>
  <c r="AU325" i="12"/>
  <c r="AY325" i="12" s="1"/>
  <c r="AU326" i="12"/>
  <c r="AU327" i="12"/>
  <c r="AU328" i="12"/>
  <c r="AY328" i="12" s="1"/>
  <c r="AU329" i="12"/>
  <c r="AV329" i="12" s="1"/>
  <c r="AU330" i="12"/>
  <c r="AY330" i="12" s="1"/>
  <c r="AU331" i="12"/>
  <c r="AY331" i="12" s="1"/>
  <c r="AU332" i="12"/>
  <c r="AY332" i="12" s="1"/>
  <c r="AU333" i="12"/>
  <c r="AY333" i="12" s="1"/>
  <c r="AU334" i="12"/>
  <c r="AU335" i="12"/>
  <c r="AV335" i="12" s="1"/>
  <c r="AU336" i="12"/>
  <c r="AY336" i="12" s="1"/>
  <c r="AU337" i="12"/>
  <c r="AV337" i="12" s="1"/>
  <c r="AU338" i="12"/>
  <c r="AY338" i="12" s="1"/>
  <c r="AU339" i="12"/>
  <c r="AY339" i="12" s="1"/>
  <c r="AU340" i="12"/>
  <c r="AY340" i="12" s="1"/>
  <c r="AU341" i="12"/>
  <c r="AY341" i="12" s="1"/>
  <c r="AU342" i="12"/>
  <c r="AU343" i="12"/>
  <c r="AU344" i="12"/>
  <c r="AY344" i="12" s="1"/>
  <c r="AU345" i="12"/>
  <c r="AY345" i="12" s="1"/>
  <c r="AU346" i="12"/>
  <c r="AY346" i="12" s="1"/>
  <c r="AU347" i="12"/>
  <c r="AY347" i="12" s="1"/>
  <c r="AU348" i="12"/>
  <c r="AY348" i="12" s="1"/>
  <c r="AU349" i="12"/>
  <c r="AY349" i="12" s="1"/>
  <c r="AU350" i="12"/>
  <c r="AU351" i="12"/>
  <c r="AU352" i="12"/>
  <c r="AY352" i="12" s="1"/>
  <c r="AU353" i="12"/>
  <c r="AV353" i="12" s="1"/>
  <c r="AU354" i="12"/>
  <c r="AY354" i="12" s="1"/>
  <c r="AU355" i="12"/>
  <c r="AV355" i="12" s="1"/>
  <c r="AU356" i="12"/>
  <c r="AY356" i="12" s="1"/>
  <c r="AU357" i="12"/>
  <c r="AY357" i="12" s="1"/>
  <c r="AU358" i="12"/>
  <c r="AU359" i="12"/>
  <c r="AU360" i="12"/>
  <c r="AY360" i="12" s="1"/>
  <c r="AU361" i="12"/>
  <c r="AY361" i="12" s="1"/>
  <c r="AU362" i="12"/>
  <c r="AY362" i="12" s="1"/>
  <c r="AU363" i="12"/>
  <c r="AY363" i="12" s="1"/>
  <c r="AU364" i="12"/>
  <c r="AY364" i="12" s="1"/>
  <c r="AU365" i="12"/>
  <c r="AY365" i="12" s="1"/>
  <c r="AU366" i="12"/>
  <c r="AU367" i="12"/>
  <c r="AU368" i="12"/>
  <c r="AY368" i="12" s="1"/>
  <c r="AU369" i="12"/>
  <c r="AY369" i="12" s="1"/>
  <c r="AU370" i="12"/>
  <c r="AY370" i="12" s="1"/>
  <c r="AU371" i="12"/>
  <c r="AY371" i="12" s="1"/>
  <c r="AU372" i="12"/>
  <c r="AY372" i="12" s="1"/>
  <c r="AU373" i="12"/>
  <c r="AY373" i="12" s="1"/>
  <c r="AU374" i="12"/>
  <c r="AU375" i="12"/>
  <c r="AU376" i="12"/>
  <c r="AY376" i="12" s="1"/>
  <c r="AU377" i="12"/>
  <c r="AV377" i="12" s="1"/>
  <c r="AU378" i="12"/>
  <c r="AY378" i="12" s="1"/>
  <c r="AU379" i="12"/>
  <c r="AV379" i="12" s="1"/>
  <c r="AU380" i="12"/>
  <c r="AY380" i="12" s="1"/>
  <c r="AU381" i="12"/>
  <c r="AY381" i="12" s="1"/>
  <c r="AU382" i="12"/>
  <c r="AU383" i="12"/>
  <c r="AU384" i="12"/>
  <c r="AY384" i="12" s="1"/>
  <c r="AU385" i="12"/>
  <c r="AY385" i="12" s="1"/>
  <c r="AU386" i="12"/>
  <c r="AY386" i="12" s="1"/>
  <c r="AU387" i="12"/>
  <c r="AY387" i="12" s="1"/>
  <c r="AU388" i="12"/>
  <c r="AY388" i="12" s="1"/>
  <c r="AU389" i="12"/>
  <c r="AY389" i="12" s="1"/>
  <c r="AU390" i="12"/>
  <c r="AU391" i="12"/>
  <c r="AU392" i="12"/>
  <c r="AY392" i="12" s="1"/>
  <c r="AU393" i="12"/>
  <c r="AV393" i="12" s="1"/>
  <c r="AU394" i="12"/>
  <c r="AY394" i="12" s="1"/>
  <c r="AU395" i="12"/>
  <c r="AY395" i="12" s="1"/>
  <c r="AU396" i="12"/>
  <c r="AY396" i="12" s="1"/>
  <c r="AU397" i="12"/>
  <c r="AY397" i="12" s="1"/>
  <c r="AU398" i="12"/>
  <c r="AU399" i="12"/>
  <c r="AV399" i="12" s="1"/>
  <c r="AU400" i="12"/>
  <c r="AY400" i="12" s="1"/>
  <c r="AU401" i="12"/>
  <c r="AV401" i="12" s="1"/>
  <c r="AU402" i="12"/>
  <c r="AY402" i="12" s="1"/>
  <c r="AU403" i="12"/>
  <c r="AY403" i="12" s="1"/>
  <c r="AU404" i="12"/>
  <c r="AY404" i="12" s="1"/>
  <c r="AU3" i="12"/>
  <c r="AU4" i="12"/>
  <c r="AU5" i="12"/>
  <c r="AU6" i="12"/>
  <c r="AU7" i="12"/>
  <c r="AU8" i="12"/>
  <c r="AU9" i="12"/>
  <c r="AU10" i="12"/>
  <c r="AU11" i="12"/>
  <c r="AU12" i="12"/>
  <c r="AU13" i="12"/>
  <c r="AU14" i="12"/>
  <c r="AU15" i="12"/>
  <c r="AU16" i="12"/>
  <c r="AU17" i="12"/>
  <c r="AU18" i="12"/>
  <c r="AU19" i="12"/>
  <c r="AU20" i="12"/>
  <c r="AU21" i="12"/>
  <c r="AU22" i="12"/>
  <c r="AU23" i="12"/>
  <c r="AU24" i="12"/>
  <c r="AU25" i="12"/>
  <c r="AU26" i="12"/>
  <c r="AU27" i="12"/>
  <c r="AU28" i="12"/>
  <c r="AU29" i="12"/>
  <c r="AU30" i="12"/>
  <c r="AU31" i="12"/>
  <c r="AU32" i="12"/>
  <c r="AU33" i="12"/>
  <c r="AU34" i="12"/>
  <c r="AU35" i="12"/>
  <c r="AU36" i="12"/>
  <c r="AU37" i="12"/>
  <c r="AU38" i="12"/>
  <c r="AU39" i="12"/>
  <c r="AU40" i="12"/>
  <c r="AU41" i="12"/>
  <c r="AU42" i="12"/>
  <c r="AU43" i="12"/>
  <c r="AU44" i="12"/>
  <c r="AU45" i="12"/>
  <c r="AU46" i="12"/>
  <c r="AU47" i="12"/>
  <c r="AU48" i="12"/>
  <c r="AU49" i="12"/>
  <c r="AU50" i="12"/>
  <c r="AU51" i="12"/>
  <c r="AU52" i="12"/>
  <c r="AU53" i="12"/>
  <c r="AU54" i="12"/>
  <c r="AU55" i="12"/>
  <c r="AU56" i="12"/>
  <c r="AU57" i="12"/>
  <c r="AU58" i="12"/>
  <c r="AU59" i="12"/>
  <c r="AU60" i="12"/>
  <c r="AU61" i="12"/>
  <c r="AU62" i="12"/>
  <c r="AU63" i="12"/>
  <c r="AU64" i="12"/>
  <c r="AU65" i="12"/>
  <c r="AU66" i="12"/>
  <c r="AU67" i="12"/>
  <c r="AU68" i="12"/>
  <c r="AU69" i="12"/>
  <c r="AU70" i="12"/>
  <c r="AU71" i="12"/>
  <c r="AU72" i="12"/>
  <c r="AU73" i="12"/>
  <c r="AU74" i="12"/>
  <c r="AU75" i="12"/>
  <c r="AU76" i="12"/>
  <c r="AU77" i="12"/>
  <c r="AU78" i="12"/>
  <c r="AU79" i="12"/>
  <c r="AU80" i="12"/>
  <c r="AU81" i="12"/>
  <c r="AU82" i="12"/>
  <c r="AU83" i="12"/>
  <c r="AU84" i="12"/>
  <c r="AU85" i="12"/>
  <c r="AU86" i="12"/>
  <c r="AU87" i="12"/>
  <c r="AU88" i="12"/>
  <c r="AU89" i="12"/>
  <c r="AU90" i="12"/>
  <c r="AU91" i="12"/>
  <c r="AU92" i="12"/>
  <c r="AU93" i="12"/>
  <c r="AU94" i="12"/>
  <c r="AU95" i="12"/>
  <c r="AU96" i="12"/>
  <c r="AU97" i="12"/>
  <c r="AU98" i="12"/>
  <c r="AU99" i="12"/>
  <c r="AU100" i="12"/>
  <c r="AU101" i="12"/>
  <c r="AU102" i="12"/>
  <c r="AU103" i="12"/>
  <c r="AU104" i="12"/>
  <c r="AU105" i="12"/>
  <c r="AU106" i="12"/>
  <c r="AU107" i="12"/>
  <c r="AU108" i="12"/>
  <c r="AU109" i="12"/>
  <c r="AU110" i="12"/>
  <c r="AU111" i="12"/>
  <c r="AU112" i="12"/>
  <c r="AU113" i="12"/>
  <c r="AU114" i="12"/>
  <c r="AU115" i="12"/>
  <c r="AU116" i="12"/>
  <c r="AU117" i="12"/>
  <c r="AU118" i="12"/>
  <c r="AU119" i="12"/>
  <c r="AU120" i="12"/>
  <c r="AU121" i="12"/>
  <c r="AU122" i="12"/>
  <c r="AU123" i="12"/>
  <c r="AU124" i="12"/>
  <c r="AU125" i="12"/>
  <c r="AU126" i="12"/>
  <c r="AU127" i="12"/>
  <c r="AU128" i="12"/>
  <c r="AU129" i="12"/>
  <c r="AU130" i="12"/>
  <c r="AU131" i="12"/>
  <c r="AU132" i="12"/>
  <c r="AU133" i="12"/>
  <c r="AU134" i="12"/>
  <c r="AU135" i="12"/>
  <c r="AU136" i="12"/>
  <c r="AU137" i="12"/>
  <c r="AU138" i="12"/>
  <c r="AU139" i="12"/>
  <c r="AU140" i="12"/>
  <c r="AU141" i="12"/>
  <c r="AU142" i="12"/>
  <c r="AU143" i="12"/>
  <c r="AU144" i="12"/>
  <c r="AU145" i="12"/>
  <c r="AU146" i="12"/>
  <c r="AU147" i="12"/>
  <c r="AU148" i="12"/>
  <c r="AU149" i="12"/>
  <c r="AU150" i="12"/>
  <c r="AU151" i="12"/>
  <c r="AU152" i="12"/>
  <c r="AU153" i="12"/>
  <c r="AU154" i="12"/>
  <c r="AU155" i="12"/>
  <c r="AU156" i="12"/>
  <c r="AU157" i="12"/>
  <c r="AU158" i="12"/>
  <c r="AU159" i="12"/>
  <c r="AU160" i="12"/>
  <c r="AU161" i="12"/>
  <c r="AU162" i="12"/>
  <c r="AU163" i="12"/>
  <c r="AU164" i="12"/>
  <c r="AU165" i="12"/>
  <c r="AU166" i="12"/>
  <c r="AU167" i="12"/>
  <c r="AU168" i="12"/>
  <c r="AU169" i="12"/>
  <c r="AU170" i="12"/>
  <c r="AU171" i="12"/>
  <c r="AU172" i="12"/>
  <c r="AU173" i="12"/>
  <c r="AU174" i="12"/>
  <c r="AU175" i="12"/>
  <c r="AU176" i="12"/>
  <c r="AU177" i="12"/>
  <c r="AU178" i="12"/>
  <c r="AU179" i="12"/>
  <c r="AU180" i="12"/>
  <c r="AU181" i="12"/>
  <c r="AU182" i="12"/>
  <c r="AU183" i="12"/>
  <c r="AU184" i="12"/>
  <c r="AU185" i="12"/>
  <c r="AU186" i="12"/>
  <c r="AU187" i="12"/>
  <c r="AU188" i="12"/>
  <c r="AU189" i="12"/>
  <c r="AU190" i="12"/>
  <c r="AU191" i="12"/>
  <c r="AU2" i="12"/>
  <c r="AS192" i="12"/>
  <c r="AS193" i="12"/>
  <c r="AS194" i="12"/>
  <c r="AS195" i="12"/>
  <c r="AS196" i="12"/>
  <c r="AS197" i="12"/>
  <c r="AS198" i="12"/>
  <c r="AS199" i="12"/>
  <c r="AS200" i="12"/>
  <c r="AS201" i="12"/>
  <c r="AS202" i="12"/>
  <c r="AS203" i="12"/>
  <c r="AS204" i="12"/>
  <c r="AS205" i="12"/>
  <c r="AS206" i="12"/>
  <c r="AS207" i="12"/>
  <c r="AS208" i="12"/>
  <c r="AS209" i="12"/>
  <c r="AS210" i="12"/>
  <c r="AS211" i="12"/>
  <c r="AS212" i="12"/>
  <c r="AS213" i="12"/>
  <c r="AS214" i="12"/>
  <c r="AS215" i="12"/>
  <c r="AS216" i="12"/>
  <c r="AS217" i="12"/>
  <c r="AS218" i="12"/>
  <c r="AS219" i="12"/>
  <c r="AS220" i="12"/>
  <c r="AS221" i="12"/>
  <c r="AS222" i="12"/>
  <c r="AS223" i="12"/>
  <c r="AS224" i="12"/>
  <c r="AS225" i="12"/>
  <c r="AS226" i="12"/>
  <c r="AS227" i="12"/>
  <c r="AS228" i="12"/>
  <c r="AS229" i="12"/>
  <c r="AS230" i="12"/>
  <c r="AS231" i="12"/>
  <c r="AS232" i="12"/>
  <c r="AS233" i="12"/>
  <c r="AS234" i="12"/>
  <c r="AS235" i="12"/>
  <c r="AS236" i="12"/>
  <c r="AS237" i="12"/>
  <c r="AS238" i="12"/>
  <c r="AS239" i="12"/>
  <c r="AS240" i="12"/>
  <c r="AS241" i="12"/>
  <c r="AS242" i="12"/>
  <c r="AS243" i="12"/>
  <c r="AS244" i="12"/>
  <c r="AS245" i="12"/>
  <c r="AS246" i="12"/>
  <c r="AS247" i="12"/>
  <c r="AS248" i="12"/>
  <c r="AS249" i="12"/>
  <c r="AS250" i="12"/>
  <c r="AS251" i="12"/>
  <c r="AS252" i="12"/>
  <c r="AS253" i="12"/>
  <c r="AS254" i="12"/>
  <c r="AS255" i="12"/>
  <c r="AS256" i="12"/>
  <c r="AS257" i="12"/>
  <c r="AS258" i="12"/>
  <c r="AS259" i="12"/>
  <c r="AS260" i="12"/>
  <c r="AS261" i="12"/>
  <c r="AS262" i="12"/>
  <c r="AS263" i="12"/>
  <c r="AS264" i="12"/>
  <c r="AS265" i="12"/>
  <c r="AS266" i="12"/>
  <c r="AS267" i="12"/>
  <c r="AS268" i="12"/>
  <c r="AS269" i="12"/>
  <c r="AS270" i="12"/>
  <c r="AS271" i="12"/>
  <c r="AS272" i="12"/>
  <c r="AS273" i="12"/>
  <c r="AS274" i="12"/>
  <c r="AS275" i="12"/>
  <c r="AS276" i="12"/>
  <c r="AS277" i="12"/>
  <c r="AS278" i="12"/>
  <c r="AS279" i="12"/>
  <c r="AS280" i="12"/>
  <c r="AS281" i="12"/>
  <c r="AS282" i="12"/>
  <c r="AS283" i="12"/>
  <c r="AS284" i="12"/>
  <c r="AS285" i="12"/>
  <c r="AS286" i="12"/>
  <c r="AS287" i="12"/>
  <c r="AS288" i="12"/>
  <c r="AS289" i="12"/>
  <c r="AS290" i="12"/>
  <c r="AS291" i="12"/>
  <c r="AS292" i="12"/>
  <c r="AS293" i="12"/>
  <c r="AS294" i="12"/>
  <c r="AS295" i="12"/>
  <c r="AS296" i="12"/>
  <c r="AS297" i="12"/>
  <c r="AS298" i="12"/>
  <c r="AS299" i="12"/>
  <c r="AS300" i="12"/>
  <c r="AS301" i="12"/>
  <c r="AS302" i="12"/>
  <c r="AS303" i="12"/>
  <c r="AS304" i="12"/>
  <c r="AS305" i="12"/>
  <c r="AS306" i="12"/>
  <c r="AS307" i="12"/>
  <c r="AS308" i="12"/>
  <c r="AS309" i="12"/>
  <c r="AS310" i="12"/>
  <c r="AS311" i="12"/>
  <c r="AS312" i="12"/>
  <c r="AS313" i="12"/>
  <c r="AS314" i="12"/>
  <c r="AS315" i="12"/>
  <c r="AS316" i="12"/>
  <c r="AS317" i="12"/>
  <c r="AS318" i="12"/>
  <c r="AS319" i="12"/>
  <c r="AS320" i="12"/>
  <c r="AS321" i="12"/>
  <c r="AS322" i="12"/>
  <c r="AS323" i="12"/>
  <c r="AS324" i="12"/>
  <c r="AS325" i="12"/>
  <c r="AS326" i="12"/>
  <c r="AS327" i="12"/>
  <c r="AS328" i="12"/>
  <c r="AS329" i="12"/>
  <c r="AS330" i="12"/>
  <c r="AS331" i="12"/>
  <c r="AS332" i="12"/>
  <c r="AS333" i="12"/>
  <c r="AS334" i="12"/>
  <c r="AS335" i="12"/>
  <c r="AS336" i="12"/>
  <c r="AS337" i="12"/>
  <c r="AS338" i="12"/>
  <c r="AS339" i="12"/>
  <c r="AS340" i="12"/>
  <c r="AS341" i="12"/>
  <c r="AS342" i="12"/>
  <c r="AS343" i="12"/>
  <c r="AS344" i="12"/>
  <c r="AS345" i="12"/>
  <c r="AS346" i="12"/>
  <c r="AS347" i="12"/>
  <c r="AS348" i="12"/>
  <c r="AS349" i="12"/>
  <c r="AS350" i="12"/>
  <c r="AS351" i="12"/>
  <c r="AS352" i="12"/>
  <c r="AS353" i="12"/>
  <c r="AS354" i="12"/>
  <c r="AS355" i="12"/>
  <c r="AS356" i="12"/>
  <c r="AS357" i="12"/>
  <c r="AS358" i="12"/>
  <c r="AS359" i="12"/>
  <c r="AS360" i="12"/>
  <c r="AS361" i="12"/>
  <c r="AS362" i="12"/>
  <c r="AS363" i="12"/>
  <c r="AS364" i="12"/>
  <c r="AS365" i="12"/>
  <c r="AS366" i="12"/>
  <c r="AS367" i="12"/>
  <c r="AS368" i="12"/>
  <c r="AS369" i="12"/>
  <c r="AS370" i="12"/>
  <c r="AS371" i="12"/>
  <c r="AS372" i="12"/>
  <c r="AS373" i="12"/>
  <c r="AS374" i="12"/>
  <c r="AS375" i="12"/>
  <c r="AS376" i="12"/>
  <c r="AS377" i="12"/>
  <c r="AS378" i="12"/>
  <c r="AS379" i="12"/>
  <c r="AS380" i="12"/>
  <c r="AS381" i="12"/>
  <c r="AS382" i="12"/>
  <c r="AS383" i="12"/>
  <c r="AS384" i="12"/>
  <c r="AS385" i="12"/>
  <c r="AS386" i="12"/>
  <c r="AS387" i="12"/>
  <c r="AS388" i="12"/>
  <c r="AS389" i="12"/>
  <c r="AS390" i="12"/>
  <c r="AS391" i="12"/>
  <c r="AS392" i="12"/>
  <c r="AS393" i="12"/>
  <c r="AS394" i="12"/>
  <c r="AS395" i="12"/>
  <c r="AS396" i="12"/>
  <c r="AS397" i="12"/>
  <c r="AS398" i="12"/>
  <c r="AS399" i="12"/>
  <c r="AS400" i="12"/>
  <c r="AS401" i="12"/>
  <c r="AS402" i="12"/>
  <c r="AS403" i="12"/>
  <c r="AS404" i="12"/>
  <c r="AR192" i="12"/>
  <c r="AR193" i="12"/>
  <c r="AR194" i="12"/>
  <c r="AR195" i="12"/>
  <c r="AR196" i="12"/>
  <c r="AR197" i="12"/>
  <c r="AR198" i="12"/>
  <c r="AR199" i="12"/>
  <c r="AR200" i="12"/>
  <c r="AR201" i="12"/>
  <c r="AR202" i="12"/>
  <c r="AR203" i="12"/>
  <c r="AR204" i="12"/>
  <c r="AR205" i="12"/>
  <c r="AR206" i="12"/>
  <c r="AR207" i="12"/>
  <c r="AR208" i="12"/>
  <c r="AR209" i="12"/>
  <c r="AR210" i="12"/>
  <c r="AR211" i="12"/>
  <c r="AR212" i="12"/>
  <c r="AR213" i="12"/>
  <c r="AR214" i="12"/>
  <c r="AR215" i="12"/>
  <c r="AR216" i="12"/>
  <c r="AR217" i="12"/>
  <c r="AR218" i="12"/>
  <c r="AR219" i="12"/>
  <c r="AR220" i="12"/>
  <c r="AR221" i="12"/>
  <c r="AR222" i="12"/>
  <c r="AR223" i="12"/>
  <c r="AR224" i="12"/>
  <c r="AR225" i="12"/>
  <c r="AR226" i="12"/>
  <c r="AR227" i="12"/>
  <c r="AR228" i="12"/>
  <c r="AR229" i="12"/>
  <c r="AR230" i="12"/>
  <c r="AR231" i="12"/>
  <c r="AR232" i="12"/>
  <c r="AR233" i="12"/>
  <c r="AR234" i="12"/>
  <c r="AR235" i="12"/>
  <c r="AR236" i="12"/>
  <c r="AR237" i="12"/>
  <c r="AR238" i="12"/>
  <c r="AR239" i="12"/>
  <c r="AR240" i="12"/>
  <c r="AR241" i="12"/>
  <c r="AR242" i="12"/>
  <c r="AR243" i="12"/>
  <c r="AR244" i="12"/>
  <c r="AR245" i="12"/>
  <c r="AR246" i="12"/>
  <c r="AR247" i="12"/>
  <c r="AR248" i="12"/>
  <c r="AR249" i="12"/>
  <c r="AR250" i="12"/>
  <c r="AR251" i="12"/>
  <c r="AR252" i="12"/>
  <c r="AR253" i="12"/>
  <c r="AR254" i="12"/>
  <c r="AR255" i="12"/>
  <c r="AR256" i="12"/>
  <c r="AR257" i="12"/>
  <c r="AR258" i="12"/>
  <c r="AR259" i="12"/>
  <c r="AR260" i="12"/>
  <c r="AR261" i="12"/>
  <c r="AR262" i="12"/>
  <c r="AR263" i="12"/>
  <c r="AR264" i="12"/>
  <c r="AR265" i="12"/>
  <c r="AR266" i="12"/>
  <c r="AR267" i="12"/>
  <c r="AR268" i="12"/>
  <c r="AR269" i="12"/>
  <c r="AR270" i="12"/>
  <c r="AR271" i="12"/>
  <c r="AR272" i="12"/>
  <c r="AR273" i="12"/>
  <c r="AR274" i="12"/>
  <c r="AR275" i="12"/>
  <c r="AR276" i="12"/>
  <c r="AR277" i="12"/>
  <c r="AR278" i="12"/>
  <c r="AR279" i="12"/>
  <c r="AR280" i="12"/>
  <c r="AR281" i="12"/>
  <c r="AR282" i="12"/>
  <c r="AR283" i="12"/>
  <c r="AR284" i="12"/>
  <c r="AR285" i="12"/>
  <c r="AR286" i="12"/>
  <c r="AR287" i="12"/>
  <c r="AR288" i="12"/>
  <c r="AR289" i="12"/>
  <c r="AR290" i="12"/>
  <c r="AR291" i="12"/>
  <c r="AR292" i="12"/>
  <c r="AR293" i="12"/>
  <c r="AR294" i="12"/>
  <c r="AR295" i="12"/>
  <c r="AR296" i="12"/>
  <c r="AR297" i="12"/>
  <c r="AR298" i="12"/>
  <c r="AR299" i="12"/>
  <c r="AR300" i="12"/>
  <c r="AR301" i="12"/>
  <c r="AR302" i="12"/>
  <c r="AR303" i="12"/>
  <c r="AR304" i="12"/>
  <c r="AR305" i="12"/>
  <c r="AR306" i="12"/>
  <c r="AR307" i="12"/>
  <c r="AR308" i="12"/>
  <c r="AR309" i="12"/>
  <c r="AR310" i="12"/>
  <c r="AR311" i="12"/>
  <c r="AR312" i="12"/>
  <c r="AR313" i="12"/>
  <c r="AR314" i="12"/>
  <c r="AR315" i="12"/>
  <c r="AR316" i="12"/>
  <c r="AR317" i="12"/>
  <c r="AR318" i="12"/>
  <c r="AR319" i="12"/>
  <c r="AR320" i="12"/>
  <c r="AR321" i="12"/>
  <c r="AR322" i="12"/>
  <c r="AR323" i="12"/>
  <c r="AR324" i="12"/>
  <c r="AR325" i="12"/>
  <c r="AR326" i="12"/>
  <c r="AR327" i="12"/>
  <c r="AR328" i="12"/>
  <c r="AR329" i="12"/>
  <c r="AR330" i="12"/>
  <c r="AR331" i="12"/>
  <c r="AR332" i="12"/>
  <c r="AR333" i="12"/>
  <c r="AR334" i="12"/>
  <c r="AR335" i="12"/>
  <c r="AR336" i="12"/>
  <c r="AR337" i="12"/>
  <c r="AR338" i="12"/>
  <c r="AR339" i="12"/>
  <c r="AR340" i="12"/>
  <c r="AR341" i="12"/>
  <c r="AR342" i="12"/>
  <c r="AR343" i="12"/>
  <c r="AR344" i="12"/>
  <c r="AR345" i="12"/>
  <c r="AR346" i="12"/>
  <c r="AR347" i="12"/>
  <c r="AR348" i="12"/>
  <c r="AR349" i="12"/>
  <c r="AR350" i="12"/>
  <c r="AR351" i="12"/>
  <c r="AR352" i="12"/>
  <c r="AR353" i="12"/>
  <c r="AR354" i="12"/>
  <c r="AR355" i="12"/>
  <c r="AR356" i="12"/>
  <c r="AR357" i="12"/>
  <c r="AR358" i="12"/>
  <c r="AR359" i="12"/>
  <c r="AR360" i="12"/>
  <c r="AR361" i="12"/>
  <c r="AR362" i="12"/>
  <c r="AR363" i="12"/>
  <c r="AR364" i="12"/>
  <c r="AR365" i="12"/>
  <c r="AR366" i="12"/>
  <c r="AR367" i="12"/>
  <c r="AR368" i="12"/>
  <c r="AR369" i="12"/>
  <c r="AR370" i="12"/>
  <c r="AR371" i="12"/>
  <c r="AR372" i="12"/>
  <c r="AR373" i="12"/>
  <c r="AR374" i="12"/>
  <c r="AR375" i="12"/>
  <c r="AR376" i="12"/>
  <c r="AR377" i="12"/>
  <c r="AR378" i="12"/>
  <c r="AR379" i="12"/>
  <c r="AR380" i="12"/>
  <c r="AR381" i="12"/>
  <c r="AR382" i="12"/>
  <c r="AR383" i="12"/>
  <c r="AR384" i="12"/>
  <c r="AR385" i="12"/>
  <c r="AR386" i="12"/>
  <c r="AR387" i="12"/>
  <c r="AR388" i="12"/>
  <c r="AR389" i="12"/>
  <c r="AR390" i="12"/>
  <c r="AR391" i="12"/>
  <c r="AR392" i="12"/>
  <c r="AR393" i="12"/>
  <c r="AR394" i="12"/>
  <c r="AR395" i="12"/>
  <c r="AR396" i="12"/>
  <c r="AR397" i="12"/>
  <c r="AR398" i="12"/>
  <c r="AR399" i="12"/>
  <c r="AR400" i="12"/>
  <c r="AR401" i="12"/>
  <c r="AR402" i="12"/>
  <c r="AR403" i="12"/>
  <c r="AR404" i="12"/>
  <c r="AP192" i="12"/>
  <c r="AP193" i="12"/>
  <c r="AT193" i="12" s="1"/>
  <c r="AP194" i="12"/>
  <c r="AP195" i="12"/>
  <c r="AT195" i="12" s="1"/>
  <c r="AP196" i="12"/>
  <c r="AP197" i="12"/>
  <c r="AT197" i="12" s="1"/>
  <c r="AP198" i="12"/>
  <c r="AP199" i="12"/>
  <c r="AT199" i="12" s="1"/>
  <c r="AP200" i="12"/>
  <c r="AP201" i="12"/>
  <c r="AT201" i="12" s="1"/>
  <c r="AP202" i="12"/>
  <c r="AP203" i="12"/>
  <c r="AT203" i="12" s="1"/>
  <c r="AP204" i="12"/>
  <c r="AP205" i="12"/>
  <c r="AT205" i="12" s="1"/>
  <c r="AP206" i="12"/>
  <c r="AP207" i="12"/>
  <c r="AT207" i="12" s="1"/>
  <c r="AP208" i="12"/>
  <c r="AP209" i="12"/>
  <c r="AT209" i="12" s="1"/>
  <c r="AP210" i="12"/>
  <c r="AP211" i="12"/>
  <c r="AT211" i="12" s="1"/>
  <c r="AP212" i="12"/>
  <c r="AP213" i="12"/>
  <c r="AT213" i="12" s="1"/>
  <c r="AP214" i="12"/>
  <c r="AP215" i="12"/>
  <c r="AT215" i="12" s="1"/>
  <c r="AP216" i="12"/>
  <c r="AP217" i="12"/>
  <c r="AT217" i="12" s="1"/>
  <c r="AP218" i="12"/>
  <c r="AP219" i="12"/>
  <c r="AT219" i="12" s="1"/>
  <c r="AP220" i="12"/>
  <c r="AQ220" i="12" s="1"/>
  <c r="AP221" i="12"/>
  <c r="AT221" i="12" s="1"/>
  <c r="AP222" i="12"/>
  <c r="AP223" i="12"/>
  <c r="AT223" i="12" s="1"/>
  <c r="AP224" i="12"/>
  <c r="AP225" i="12"/>
  <c r="AT225" i="12" s="1"/>
  <c r="AP226" i="12"/>
  <c r="AP227" i="12"/>
  <c r="AT227" i="12" s="1"/>
  <c r="AP228" i="12"/>
  <c r="AQ228" i="12" s="1"/>
  <c r="AP229" i="12"/>
  <c r="AT229" i="12" s="1"/>
  <c r="AP230" i="12"/>
  <c r="AP231" i="12"/>
  <c r="AT231" i="12" s="1"/>
  <c r="AP232" i="12"/>
  <c r="AP233" i="12"/>
  <c r="AT233" i="12" s="1"/>
  <c r="AP234" i="12"/>
  <c r="AP235" i="12"/>
  <c r="AT235" i="12" s="1"/>
  <c r="AP236" i="12"/>
  <c r="AP237" i="12"/>
  <c r="AT237" i="12" s="1"/>
  <c r="AP238" i="12"/>
  <c r="AP239" i="12"/>
  <c r="AT239" i="12" s="1"/>
  <c r="AP240" i="12"/>
  <c r="AP241" i="12"/>
  <c r="AT241" i="12" s="1"/>
  <c r="AP242" i="12"/>
  <c r="AP243" i="12"/>
  <c r="AT243" i="12" s="1"/>
  <c r="AP244" i="12"/>
  <c r="AQ244" i="12" s="1"/>
  <c r="AP245" i="12"/>
  <c r="AT245" i="12" s="1"/>
  <c r="AP246" i="12"/>
  <c r="AP247" i="12"/>
  <c r="AT247" i="12" s="1"/>
  <c r="AP248" i="12"/>
  <c r="AP249" i="12"/>
  <c r="AT249" i="12" s="1"/>
  <c r="AP250" i="12"/>
  <c r="AP251" i="12"/>
  <c r="AT251" i="12" s="1"/>
  <c r="AP252" i="12"/>
  <c r="AP253" i="12"/>
  <c r="AT253" i="12" s="1"/>
  <c r="AP254" i="12"/>
  <c r="AP255" i="12"/>
  <c r="AT255" i="12" s="1"/>
  <c r="AP256" i="12"/>
  <c r="AP257" i="12"/>
  <c r="AT257" i="12" s="1"/>
  <c r="AP258" i="12"/>
  <c r="AP259" i="12"/>
  <c r="AT259" i="12" s="1"/>
  <c r="AP260" i="12"/>
  <c r="AP261" i="12"/>
  <c r="AT261" i="12" s="1"/>
  <c r="AP262" i="12"/>
  <c r="AP263" i="12"/>
  <c r="AT263" i="12" s="1"/>
  <c r="AP264" i="12"/>
  <c r="AP265" i="12"/>
  <c r="AT265" i="12" s="1"/>
  <c r="AP266" i="12"/>
  <c r="AP267" i="12"/>
  <c r="AT267" i="12" s="1"/>
  <c r="AP268" i="12"/>
  <c r="AQ268" i="12" s="1"/>
  <c r="AP269" i="12"/>
  <c r="AT269" i="12" s="1"/>
  <c r="AP270" i="12"/>
  <c r="AP271" i="12"/>
  <c r="AT271" i="12" s="1"/>
  <c r="AP272" i="12"/>
  <c r="AP273" i="12"/>
  <c r="AT273" i="12" s="1"/>
  <c r="AP274" i="12"/>
  <c r="AP275" i="12"/>
  <c r="AT275" i="12" s="1"/>
  <c r="AP276" i="12"/>
  <c r="AP277" i="12"/>
  <c r="AT277" i="12" s="1"/>
  <c r="AP278" i="12"/>
  <c r="AP279" i="12"/>
  <c r="AT279" i="12" s="1"/>
  <c r="AP280" i="12"/>
  <c r="AP281" i="12"/>
  <c r="AT281" i="12" s="1"/>
  <c r="AP282" i="12"/>
  <c r="AP283" i="12"/>
  <c r="AT283" i="12" s="1"/>
  <c r="AP284" i="12"/>
  <c r="AQ284" i="12" s="1"/>
  <c r="AP285" i="12"/>
  <c r="AT285" i="12" s="1"/>
  <c r="AP286" i="12"/>
  <c r="AP287" i="12"/>
  <c r="AT287" i="12" s="1"/>
  <c r="AP288" i="12"/>
  <c r="AP289" i="12"/>
  <c r="AT289" i="12" s="1"/>
  <c r="AP290" i="12"/>
  <c r="AP291" i="12"/>
  <c r="AT291" i="12" s="1"/>
  <c r="AP292" i="12"/>
  <c r="AQ292" i="12" s="1"/>
  <c r="AP293" i="12"/>
  <c r="AT293" i="12" s="1"/>
  <c r="AP294" i="12"/>
  <c r="AP295" i="12"/>
  <c r="AT295" i="12" s="1"/>
  <c r="AP296" i="12"/>
  <c r="AP297" i="12"/>
  <c r="AT297" i="12" s="1"/>
  <c r="AP298" i="12"/>
  <c r="AP299" i="12"/>
  <c r="AT299" i="12" s="1"/>
  <c r="AP300" i="12"/>
  <c r="AQ300" i="12" s="1"/>
  <c r="AP301" i="12"/>
  <c r="AT301" i="12" s="1"/>
  <c r="AP302" i="12"/>
  <c r="AP303" i="12"/>
  <c r="AT303" i="12" s="1"/>
  <c r="AP304" i="12"/>
  <c r="AP305" i="12"/>
  <c r="AT305" i="12" s="1"/>
  <c r="AP306" i="12"/>
  <c r="AP307" i="12"/>
  <c r="AT307" i="12" s="1"/>
  <c r="AP308" i="12"/>
  <c r="AQ308" i="12" s="1"/>
  <c r="AP309" i="12"/>
  <c r="AT309" i="12" s="1"/>
  <c r="AP310" i="12"/>
  <c r="AP311" i="12"/>
  <c r="AT311" i="12" s="1"/>
  <c r="AP312" i="12"/>
  <c r="AP313" i="12"/>
  <c r="AT313" i="12" s="1"/>
  <c r="AP314" i="12"/>
  <c r="AP315" i="12"/>
  <c r="AT315" i="12" s="1"/>
  <c r="AP316" i="12"/>
  <c r="AP317" i="12"/>
  <c r="AT317" i="12" s="1"/>
  <c r="AP318" i="12"/>
  <c r="AP319" i="12"/>
  <c r="AT319" i="12" s="1"/>
  <c r="AP320" i="12"/>
  <c r="AP321" i="12"/>
  <c r="AT321" i="12" s="1"/>
  <c r="AP322" i="12"/>
  <c r="AP323" i="12"/>
  <c r="AT323" i="12" s="1"/>
  <c r="AP324" i="12"/>
  <c r="AP325" i="12"/>
  <c r="AT325" i="12" s="1"/>
  <c r="AP326" i="12"/>
  <c r="AP327" i="12"/>
  <c r="AT327" i="12" s="1"/>
  <c r="AP328" i="12"/>
  <c r="AP329" i="12"/>
  <c r="AT329" i="12" s="1"/>
  <c r="AP330" i="12"/>
  <c r="AP331" i="12"/>
  <c r="AT331" i="12" s="1"/>
  <c r="AP332" i="12"/>
  <c r="AQ332" i="12" s="1"/>
  <c r="AP333" i="12"/>
  <c r="AT333" i="12" s="1"/>
  <c r="AP334" i="12"/>
  <c r="AP335" i="12"/>
  <c r="AT335" i="12" s="1"/>
  <c r="AP336" i="12"/>
  <c r="AP337" i="12"/>
  <c r="AT337" i="12" s="1"/>
  <c r="AP338" i="12"/>
  <c r="AP339" i="12"/>
  <c r="AT339" i="12" s="1"/>
  <c r="AP340" i="12"/>
  <c r="AQ340" i="12" s="1"/>
  <c r="AP341" i="12"/>
  <c r="AT341" i="12" s="1"/>
  <c r="AP342" i="12"/>
  <c r="AP343" i="12"/>
  <c r="AT343" i="12" s="1"/>
  <c r="AP344" i="12"/>
  <c r="AP345" i="12"/>
  <c r="AT345" i="12" s="1"/>
  <c r="AP346" i="12"/>
  <c r="AP347" i="12"/>
  <c r="AT347" i="12" s="1"/>
  <c r="AP348" i="12"/>
  <c r="AQ348" i="12" s="1"/>
  <c r="AP349" i="12"/>
  <c r="AT349" i="12" s="1"/>
  <c r="AP350" i="12"/>
  <c r="AP351" i="12"/>
  <c r="AT351" i="12" s="1"/>
  <c r="AP352" i="12"/>
  <c r="AP353" i="12"/>
  <c r="AT353" i="12" s="1"/>
  <c r="AP354" i="12"/>
  <c r="AP355" i="12"/>
  <c r="AT355" i="12" s="1"/>
  <c r="AP356" i="12"/>
  <c r="AQ356" i="12" s="1"/>
  <c r="AP357" i="12"/>
  <c r="AT357" i="12" s="1"/>
  <c r="AP358" i="12"/>
  <c r="AP359" i="12"/>
  <c r="AT359" i="12" s="1"/>
  <c r="AP360" i="12"/>
  <c r="AP361" i="12"/>
  <c r="AT361" i="12" s="1"/>
  <c r="AP362" i="12"/>
  <c r="AP363" i="12"/>
  <c r="AT363" i="12" s="1"/>
  <c r="AP364" i="12"/>
  <c r="AQ364" i="12" s="1"/>
  <c r="AP365" i="12"/>
  <c r="AT365" i="12" s="1"/>
  <c r="AP366" i="12"/>
  <c r="AP367" i="12"/>
  <c r="AT367" i="12" s="1"/>
  <c r="AP368" i="12"/>
  <c r="AP369" i="12"/>
  <c r="AT369" i="12" s="1"/>
  <c r="AP370" i="12"/>
  <c r="AP371" i="12"/>
  <c r="AT371" i="12" s="1"/>
  <c r="AP372" i="12"/>
  <c r="AQ372" i="12" s="1"/>
  <c r="AP373" i="12"/>
  <c r="AT373" i="12" s="1"/>
  <c r="AP374" i="12"/>
  <c r="AP375" i="12"/>
  <c r="AT375" i="12" s="1"/>
  <c r="AP376" i="12"/>
  <c r="AP377" i="12"/>
  <c r="AT377" i="12" s="1"/>
  <c r="AP378" i="12"/>
  <c r="AP379" i="12"/>
  <c r="AT379" i="12" s="1"/>
  <c r="AP380" i="12"/>
  <c r="AQ380" i="12" s="1"/>
  <c r="AP381" i="12"/>
  <c r="AT381" i="12" s="1"/>
  <c r="AP382" i="12"/>
  <c r="AP383" i="12"/>
  <c r="AT383" i="12" s="1"/>
  <c r="AP384" i="12"/>
  <c r="AP385" i="12"/>
  <c r="AT385" i="12" s="1"/>
  <c r="AP386" i="12"/>
  <c r="AP387" i="12"/>
  <c r="AT387" i="12" s="1"/>
  <c r="AP388" i="12"/>
  <c r="AP389" i="12"/>
  <c r="AT389" i="12" s="1"/>
  <c r="AP390" i="12"/>
  <c r="AP391" i="12"/>
  <c r="AT391" i="12" s="1"/>
  <c r="AP392" i="12"/>
  <c r="AP393" i="12"/>
  <c r="AT393" i="12" s="1"/>
  <c r="AP394" i="12"/>
  <c r="AP395" i="12"/>
  <c r="AT395" i="12" s="1"/>
  <c r="AP396" i="12"/>
  <c r="AQ396" i="12" s="1"/>
  <c r="AP397" i="12"/>
  <c r="AT397" i="12" s="1"/>
  <c r="AP398" i="12"/>
  <c r="AP399" i="12"/>
  <c r="AT399" i="12" s="1"/>
  <c r="AP400" i="12"/>
  <c r="AP401" i="12"/>
  <c r="AT401" i="12" s="1"/>
  <c r="AP402" i="12"/>
  <c r="AP403" i="12"/>
  <c r="AT403" i="12" s="1"/>
  <c r="AP404" i="12"/>
  <c r="AQ404" i="12" s="1"/>
  <c r="AP3" i="12"/>
  <c r="AP4" i="12"/>
  <c r="AP5" i="12"/>
  <c r="AP6" i="12"/>
  <c r="AP7" i="12"/>
  <c r="AP8" i="12"/>
  <c r="AP9" i="12"/>
  <c r="AP10" i="12"/>
  <c r="AP11" i="12"/>
  <c r="AP12" i="12"/>
  <c r="AP13" i="12"/>
  <c r="AP14" i="12"/>
  <c r="AP15" i="12"/>
  <c r="AP16" i="12"/>
  <c r="AP17" i="12"/>
  <c r="AP18" i="12"/>
  <c r="AP19" i="12"/>
  <c r="AP20" i="12"/>
  <c r="AP21" i="12"/>
  <c r="AP22" i="12"/>
  <c r="AP23" i="12"/>
  <c r="AP24" i="12"/>
  <c r="AP25" i="12"/>
  <c r="AP26" i="12"/>
  <c r="AP27" i="12"/>
  <c r="AP28" i="12"/>
  <c r="AP29" i="12"/>
  <c r="AP30" i="12"/>
  <c r="AP31" i="12"/>
  <c r="AP32" i="12"/>
  <c r="AP33" i="12"/>
  <c r="AP34" i="12"/>
  <c r="AP35" i="12"/>
  <c r="AP36" i="12"/>
  <c r="AP37" i="12"/>
  <c r="AP38" i="12"/>
  <c r="AP39" i="12"/>
  <c r="AP40" i="12"/>
  <c r="AP41" i="12"/>
  <c r="AP42" i="12"/>
  <c r="AP43" i="12"/>
  <c r="AP44" i="12"/>
  <c r="AP45" i="12"/>
  <c r="AP46" i="12"/>
  <c r="AP47" i="12"/>
  <c r="AP48" i="12"/>
  <c r="AP49" i="12"/>
  <c r="AP50" i="12"/>
  <c r="AP51" i="12"/>
  <c r="AP52" i="12"/>
  <c r="AP53" i="12"/>
  <c r="AP54" i="12"/>
  <c r="AP55" i="12"/>
  <c r="AP56" i="12"/>
  <c r="AP57" i="12"/>
  <c r="AP58" i="12"/>
  <c r="AP59" i="12"/>
  <c r="AP60" i="12"/>
  <c r="AP61" i="12"/>
  <c r="AP62" i="12"/>
  <c r="AP63" i="12"/>
  <c r="AP64" i="12"/>
  <c r="AP65" i="12"/>
  <c r="AP66" i="12"/>
  <c r="AP67" i="12"/>
  <c r="AP68" i="12"/>
  <c r="AP69" i="12"/>
  <c r="AP70" i="12"/>
  <c r="AP71" i="12"/>
  <c r="AP72" i="12"/>
  <c r="AP73" i="12"/>
  <c r="AP74" i="12"/>
  <c r="AP75" i="12"/>
  <c r="AP76" i="12"/>
  <c r="AP77" i="12"/>
  <c r="AP78" i="12"/>
  <c r="AP79" i="12"/>
  <c r="AP80" i="12"/>
  <c r="AP81" i="12"/>
  <c r="AP82" i="12"/>
  <c r="AP83" i="12"/>
  <c r="AP84" i="12"/>
  <c r="AP85" i="12"/>
  <c r="AP86" i="12"/>
  <c r="AP87" i="12"/>
  <c r="AP88" i="12"/>
  <c r="AP89" i="12"/>
  <c r="AP90" i="12"/>
  <c r="AP91" i="12"/>
  <c r="AP92" i="12"/>
  <c r="AP93" i="12"/>
  <c r="AP94" i="12"/>
  <c r="AP95" i="12"/>
  <c r="AP96" i="12"/>
  <c r="AP97" i="12"/>
  <c r="AP98" i="12"/>
  <c r="AP99" i="12"/>
  <c r="AP100" i="12"/>
  <c r="AP101" i="12"/>
  <c r="AP102" i="12"/>
  <c r="AP103" i="12"/>
  <c r="AP104" i="12"/>
  <c r="AP105" i="12"/>
  <c r="AP106" i="12"/>
  <c r="AP107" i="12"/>
  <c r="AP108" i="12"/>
  <c r="AP109" i="12"/>
  <c r="AP110" i="12"/>
  <c r="AP111" i="12"/>
  <c r="AP112" i="12"/>
  <c r="AP113" i="12"/>
  <c r="AP114" i="12"/>
  <c r="AP115" i="12"/>
  <c r="AP116" i="12"/>
  <c r="AP117" i="12"/>
  <c r="AP118" i="12"/>
  <c r="AP119" i="12"/>
  <c r="AP120" i="12"/>
  <c r="AP121" i="12"/>
  <c r="AP122" i="12"/>
  <c r="AP123" i="12"/>
  <c r="AP124" i="12"/>
  <c r="AP125" i="12"/>
  <c r="AP126" i="12"/>
  <c r="AP127" i="12"/>
  <c r="AP128" i="12"/>
  <c r="AP129" i="12"/>
  <c r="AP130" i="12"/>
  <c r="AP131" i="12"/>
  <c r="AP132" i="12"/>
  <c r="AP133" i="12"/>
  <c r="AP134" i="12"/>
  <c r="AP135" i="12"/>
  <c r="AP136" i="12"/>
  <c r="AP137" i="12"/>
  <c r="AP138" i="12"/>
  <c r="AP139" i="12"/>
  <c r="AP140" i="12"/>
  <c r="AP141" i="12"/>
  <c r="AP142" i="12"/>
  <c r="AP143" i="12"/>
  <c r="AP144" i="12"/>
  <c r="AP145" i="12"/>
  <c r="AP146" i="12"/>
  <c r="AP147" i="12"/>
  <c r="AP148" i="12"/>
  <c r="AP149" i="12"/>
  <c r="AP150" i="12"/>
  <c r="AP151" i="12"/>
  <c r="AP152" i="12"/>
  <c r="AP153" i="12"/>
  <c r="AP154" i="12"/>
  <c r="AP155" i="12"/>
  <c r="AP156" i="12"/>
  <c r="AP157" i="12"/>
  <c r="AP158" i="12"/>
  <c r="AP159" i="12"/>
  <c r="AP160" i="12"/>
  <c r="AP161" i="12"/>
  <c r="AP162" i="12"/>
  <c r="AP163" i="12"/>
  <c r="AP164" i="12"/>
  <c r="AP165" i="12"/>
  <c r="AP166" i="12"/>
  <c r="AP167" i="12"/>
  <c r="AP168" i="12"/>
  <c r="AP169" i="12"/>
  <c r="AP170" i="12"/>
  <c r="AP171" i="12"/>
  <c r="AP172" i="12"/>
  <c r="AP173" i="12"/>
  <c r="AP174" i="12"/>
  <c r="AP175" i="12"/>
  <c r="AP176" i="12"/>
  <c r="AP177" i="12"/>
  <c r="AP178" i="12"/>
  <c r="AP179" i="12"/>
  <c r="AP180" i="12"/>
  <c r="AP181" i="12"/>
  <c r="AP182" i="12"/>
  <c r="AP183" i="12"/>
  <c r="AP184" i="12"/>
  <c r="AP185" i="12"/>
  <c r="AP186" i="12"/>
  <c r="AP187" i="12"/>
  <c r="AP188" i="12"/>
  <c r="AP189" i="12"/>
  <c r="AP190" i="12"/>
  <c r="AP191" i="12"/>
  <c r="AP2" i="12"/>
  <c r="AN192" i="12"/>
  <c r="AN193" i="12"/>
  <c r="AN194" i="12"/>
  <c r="AN195" i="12"/>
  <c r="AN196" i="12"/>
  <c r="AN197" i="12"/>
  <c r="AN198" i="12"/>
  <c r="AN199" i="12"/>
  <c r="AN200" i="12"/>
  <c r="AN201" i="12"/>
  <c r="AN202" i="12"/>
  <c r="AN203" i="12"/>
  <c r="AN204" i="12"/>
  <c r="AN205" i="12"/>
  <c r="AN206" i="12"/>
  <c r="AN207" i="12"/>
  <c r="AN208" i="12"/>
  <c r="AN209" i="12"/>
  <c r="AN210" i="12"/>
  <c r="AN211" i="12"/>
  <c r="AN212" i="12"/>
  <c r="AN213" i="12"/>
  <c r="AN214" i="12"/>
  <c r="AN215" i="12"/>
  <c r="AN216" i="12"/>
  <c r="AN217" i="12"/>
  <c r="AN218" i="12"/>
  <c r="AN219" i="12"/>
  <c r="AN220" i="12"/>
  <c r="AN221" i="12"/>
  <c r="AN222" i="12"/>
  <c r="AN223" i="12"/>
  <c r="AN224" i="12"/>
  <c r="AN225" i="12"/>
  <c r="AN226" i="12"/>
  <c r="AN227" i="12"/>
  <c r="AN228" i="12"/>
  <c r="AN229" i="12"/>
  <c r="AN230" i="12"/>
  <c r="AN231" i="12"/>
  <c r="AN232" i="12"/>
  <c r="AN233" i="12"/>
  <c r="AN234" i="12"/>
  <c r="AN235" i="12"/>
  <c r="AN236" i="12"/>
  <c r="AN237" i="12"/>
  <c r="AN238" i="12"/>
  <c r="AN239" i="12"/>
  <c r="AN240" i="12"/>
  <c r="AN241" i="12"/>
  <c r="AN242" i="12"/>
  <c r="AN243" i="12"/>
  <c r="AN244" i="12"/>
  <c r="AN245" i="12"/>
  <c r="AN246" i="12"/>
  <c r="AN247" i="12"/>
  <c r="AN248" i="12"/>
  <c r="AN249" i="12"/>
  <c r="AN250" i="12"/>
  <c r="AN251" i="12"/>
  <c r="AN252" i="12"/>
  <c r="AN253" i="12"/>
  <c r="AN254" i="12"/>
  <c r="AN255" i="12"/>
  <c r="AN256" i="12"/>
  <c r="AN257" i="12"/>
  <c r="AN258" i="12"/>
  <c r="AN259" i="12"/>
  <c r="AN260" i="12"/>
  <c r="AN261" i="12"/>
  <c r="AN262" i="12"/>
  <c r="AN263" i="12"/>
  <c r="AN264" i="12"/>
  <c r="AN265" i="12"/>
  <c r="AN266" i="12"/>
  <c r="AN267" i="12"/>
  <c r="AN268" i="12"/>
  <c r="AN269" i="12"/>
  <c r="AN270" i="12"/>
  <c r="AN271" i="12"/>
  <c r="AN272" i="12"/>
  <c r="AN273" i="12"/>
  <c r="AN274" i="12"/>
  <c r="AN275" i="12"/>
  <c r="AN276" i="12"/>
  <c r="AN277" i="12"/>
  <c r="AN278" i="12"/>
  <c r="AN279" i="12"/>
  <c r="AN280" i="12"/>
  <c r="AN281" i="12"/>
  <c r="AN282" i="12"/>
  <c r="AN283" i="12"/>
  <c r="AN284" i="12"/>
  <c r="AN285" i="12"/>
  <c r="AN286" i="12"/>
  <c r="AN287" i="12"/>
  <c r="AN288" i="12"/>
  <c r="AN289" i="12"/>
  <c r="AN290" i="12"/>
  <c r="AN291" i="12"/>
  <c r="AN292" i="12"/>
  <c r="AN293" i="12"/>
  <c r="AN294" i="12"/>
  <c r="AN295" i="12"/>
  <c r="AN296" i="12"/>
  <c r="AN297" i="12"/>
  <c r="AN298" i="12"/>
  <c r="AN299" i="12"/>
  <c r="AN300" i="12"/>
  <c r="AN301" i="12"/>
  <c r="AN302" i="12"/>
  <c r="AN303" i="12"/>
  <c r="AN304" i="12"/>
  <c r="AN305" i="12"/>
  <c r="AN306" i="12"/>
  <c r="AN307" i="12"/>
  <c r="AN308" i="12"/>
  <c r="AN309" i="12"/>
  <c r="AN310" i="12"/>
  <c r="AN311" i="12"/>
  <c r="AN312" i="12"/>
  <c r="AN313" i="12"/>
  <c r="AN314" i="12"/>
  <c r="AN315" i="12"/>
  <c r="AN316" i="12"/>
  <c r="AN317" i="12"/>
  <c r="AN318" i="12"/>
  <c r="AN319" i="12"/>
  <c r="AN320" i="12"/>
  <c r="AN321" i="12"/>
  <c r="AN322" i="12"/>
  <c r="AN323" i="12"/>
  <c r="AN324" i="12"/>
  <c r="AN325" i="12"/>
  <c r="AN326" i="12"/>
  <c r="AN327" i="12"/>
  <c r="AN328" i="12"/>
  <c r="AN329" i="12"/>
  <c r="AN330" i="12"/>
  <c r="AN331" i="12"/>
  <c r="AN332" i="12"/>
  <c r="AN333" i="12"/>
  <c r="AN334" i="12"/>
  <c r="AN335" i="12"/>
  <c r="AN336" i="12"/>
  <c r="AN337" i="12"/>
  <c r="AN338" i="12"/>
  <c r="AN339" i="12"/>
  <c r="AN340" i="12"/>
  <c r="AN341" i="12"/>
  <c r="AN342" i="12"/>
  <c r="AN343" i="12"/>
  <c r="AN344" i="12"/>
  <c r="AN345" i="12"/>
  <c r="AN346" i="12"/>
  <c r="AN347" i="12"/>
  <c r="AN348" i="12"/>
  <c r="AN349" i="12"/>
  <c r="AN350" i="12"/>
  <c r="AN351" i="12"/>
  <c r="AN352" i="12"/>
  <c r="AN353" i="12"/>
  <c r="AN354" i="12"/>
  <c r="AN355" i="12"/>
  <c r="AN356" i="12"/>
  <c r="AN357" i="12"/>
  <c r="AN358" i="12"/>
  <c r="AN359" i="12"/>
  <c r="AN360" i="12"/>
  <c r="AN361" i="12"/>
  <c r="AN362" i="12"/>
  <c r="AN363" i="12"/>
  <c r="AN364" i="12"/>
  <c r="AN365" i="12"/>
  <c r="AN366" i="12"/>
  <c r="AN367" i="12"/>
  <c r="AN368" i="12"/>
  <c r="AN369" i="12"/>
  <c r="AN370" i="12"/>
  <c r="AN371" i="12"/>
  <c r="AN372" i="12"/>
  <c r="AN373" i="12"/>
  <c r="AN374" i="12"/>
  <c r="AN375" i="12"/>
  <c r="AN376" i="12"/>
  <c r="AN377" i="12"/>
  <c r="AN378" i="12"/>
  <c r="AN379" i="12"/>
  <c r="AN380" i="12"/>
  <c r="AN381" i="12"/>
  <c r="AN382" i="12"/>
  <c r="AN383" i="12"/>
  <c r="AN384" i="12"/>
  <c r="AN385" i="12"/>
  <c r="AN386" i="12"/>
  <c r="AN387" i="12"/>
  <c r="AN388" i="12"/>
  <c r="AN389" i="12"/>
  <c r="AN390" i="12"/>
  <c r="AN391" i="12"/>
  <c r="AN392" i="12"/>
  <c r="AN393" i="12"/>
  <c r="AN394" i="12"/>
  <c r="AN395" i="12"/>
  <c r="AN396" i="12"/>
  <c r="AN397" i="12"/>
  <c r="AN398" i="12"/>
  <c r="AN399" i="12"/>
  <c r="AN400" i="12"/>
  <c r="AN401" i="12"/>
  <c r="AN402" i="12"/>
  <c r="AN403" i="12"/>
  <c r="AN404" i="12"/>
  <c r="AM192" i="12"/>
  <c r="AM193" i="12"/>
  <c r="AM194" i="12"/>
  <c r="AM195" i="12"/>
  <c r="AM196" i="12"/>
  <c r="AM197" i="12"/>
  <c r="AM198" i="12"/>
  <c r="AM199" i="12"/>
  <c r="AM200" i="12"/>
  <c r="AM201" i="12"/>
  <c r="AM202" i="12"/>
  <c r="AM203" i="12"/>
  <c r="AM204" i="12"/>
  <c r="AM205" i="12"/>
  <c r="AM206" i="12"/>
  <c r="AM207" i="12"/>
  <c r="AM208" i="12"/>
  <c r="AM209" i="12"/>
  <c r="AM210" i="12"/>
  <c r="AM211" i="12"/>
  <c r="AM212" i="12"/>
  <c r="AM213" i="12"/>
  <c r="AM214" i="12"/>
  <c r="AM215" i="12"/>
  <c r="AM216" i="12"/>
  <c r="AM217" i="12"/>
  <c r="AM218" i="12"/>
  <c r="AM219" i="12"/>
  <c r="AM220" i="12"/>
  <c r="AM221" i="12"/>
  <c r="AM222" i="12"/>
  <c r="AM223" i="12"/>
  <c r="AM224" i="12"/>
  <c r="AM225" i="12"/>
  <c r="AM226" i="12"/>
  <c r="AM227" i="12"/>
  <c r="AM228" i="12"/>
  <c r="AM229" i="12"/>
  <c r="AM230" i="12"/>
  <c r="AM231" i="12"/>
  <c r="AM232" i="12"/>
  <c r="AM233" i="12"/>
  <c r="AM234" i="12"/>
  <c r="AM235" i="12"/>
  <c r="AM236" i="12"/>
  <c r="AM237" i="12"/>
  <c r="AM238" i="12"/>
  <c r="AM239" i="12"/>
  <c r="AM240" i="12"/>
  <c r="AM241" i="12"/>
  <c r="AM242" i="12"/>
  <c r="AM243" i="12"/>
  <c r="AM244" i="12"/>
  <c r="AM245" i="12"/>
  <c r="AM246" i="12"/>
  <c r="AM247" i="12"/>
  <c r="AM248" i="12"/>
  <c r="AM249" i="12"/>
  <c r="AM250" i="12"/>
  <c r="AM251" i="12"/>
  <c r="AM252" i="12"/>
  <c r="AM253" i="12"/>
  <c r="AM254" i="12"/>
  <c r="AM255" i="12"/>
  <c r="AM256" i="12"/>
  <c r="AM257" i="12"/>
  <c r="AM258" i="12"/>
  <c r="AM259" i="12"/>
  <c r="AM260" i="12"/>
  <c r="AM261" i="12"/>
  <c r="AM262" i="12"/>
  <c r="AM263" i="12"/>
  <c r="AM264" i="12"/>
  <c r="AM265" i="12"/>
  <c r="AM266" i="12"/>
  <c r="AM267" i="12"/>
  <c r="AM268" i="12"/>
  <c r="AM269" i="12"/>
  <c r="AM270" i="12"/>
  <c r="AM271" i="12"/>
  <c r="AM272" i="12"/>
  <c r="AM273" i="12"/>
  <c r="AM274" i="12"/>
  <c r="AM275" i="12"/>
  <c r="AM276" i="12"/>
  <c r="AM277" i="12"/>
  <c r="AM278" i="12"/>
  <c r="AM279" i="12"/>
  <c r="AM280" i="12"/>
  <c r="AM281" i="12"/>
  <c r="AM282" i="12"/>
  <c r="AM283" i="12"/>
  <c r="AM284" i="12"/>
  <c r="AM285" i="12"/>
  <c r="AM286" i="12"/>
  <c r="AM287" i="12"/>
  <c r="AM288" i="12"/>
  <c r="AM289" i="12"/>
  <c r="AM290" i="12"/>
  <c r="AM291" i="12"/>
  <c r="AM292" i="12"/>
  <c r="AM293" i="12"/>
  <c r="AM294" i="12"/>
  <c r="AM295" i="12"/>
  <c r="AM296" i="12"/>
  <c r="AM297" i="12"/>
  <c r="AM298" i="12"/>
  <c r="AM299" i="12"/>
  <c r="AM300" i="12"/>
  <c r="AM301" i="12"/>
  <c r="AM302" i="12"/>
  <c r="AM303" i="12"/>
  <c r="AM304" i="12"/>
  <c r="AM305" i="12"/>
  <c r="AM306" i="12"/>
  <c r="AM307" i="12"/>
  <c r="AM308" i="12"/>
  <c r="AM309" i="12"/>
  <c r="AM310" i="12"/>
  <c r="AM311" i="12"/>
  <c r="AM312" i="12"/>
  <c r="AM313" i="12"/>
  <c r="AM314" i="12"/>
  <c r="AM315" i="12"/>
  <c r="AM316" i="12"/>
  <c r="AM317" i="12"/>
  <c r="AM318" i="12"/>
  <c r="AM319" i="12"/>
  <c r="AM320" i="12"/>
  <c r="AM321" i="12"/>
  <c r="AM322" i="12"/>
  <c r="AM323" i="12"/>
  <c r="AM324" i="12"/>
  <c r="AM325" i="12"/>
  <c r="AM326" i="12"/>
  <c r="AM327" i="12"/>
  <c r="AM328" i="12"/>
  <c r="AM329" i="12"/>
  <c r="AM330" i="12"/>
  <c r="AM331" i="12"/>
  <c r="AM332" i="12"/>
  <c r="AM333" i="12"/>
  <c r="AM334" i="12"/>
  <c r="AM335" i="12"/>
  <c r="AM336" i="12"/>
  <c r="AM337" i="12"/>
  <c r="AM338" i="12"/>
  <c r="AM339" i="12"/>
  <c r="AM340" i="12"/>
  <c r="AM341" i="12"/>
  <c r="AM342" i="12"/>
  <c r="AM343" i="12"/>
  <c r="AM344" i="12"/>
  <c r="AM345" i="12"/>
  <c r="AM346" i="12"/>
  <c r="AM347" i="12"/>
  <c r="AM348" i="12"/>
  <c r="AM349" i="12"/>
  <c r="AM350" i="12"/>
  <c r="AM351" i="12"/>
  <c r="AM352" i="12"/>
  <c r="AM353" i="12"/>
  <c r="AM354" i="12"/>
  <c r="AM355" i="12"/>
  <c r="AM356" i="12"/>
  <c r="AM357" i="12"/>
  <c r="AM358" i="12"/>
  <c r="AM359" i="12"/>
  <c r="AM360" i="12"/>
  <c r="AM361" i="12"/>
  <c r="AM362" i="12"/>
  <c r="AM363" i="12"/>
  <c r="AM364" i="12"/>
  <c r="AM365" i="12"/>
  <c r="AM366" i="12"/>
  <c r="AM367" i="12"/>
  <c r="AM368" i="12"/>
  <c r="AM369" i="12"/>
  <c r="AM370" i="12"/>
  <c r="AM371" i="12"/>
  <c r="AM372" i="12"/>
  <c r="AM373" i="12"/>
  <c r="AM374" i="12"/>
  <c r="AM375" i="12"/>
  <c r="AM376" i="12"/>
  <c r="AM377" i="12"/>
  <c r="AM378" i="12"/>
  <c r="AM379" i="12"/>
  <c r="AM380" i="12"/>
  <c r="AM381" i="12"/>
  <c r="AM382" i="12"/>
  <c r="AM383" i="12"/>
  <c r="AM384" i="12"/>
  <c r="AM385" i="12"/>
  <c r="AM386" i="12"/>
  <c r="AM387" i="12"/>
  <c r="AM388" i="12"/>
  <c r="AM389" i="12"/>
  <c r="AM390" i="12"/>
  <c r="AM391" i="12"/>
  <c r="AM392" i="12"/>
  <c r="AM393" i="12"/>
  <c r="AM394" i="12"/>
  <c r="AM395" i="12"/>
  <c r="AM396" i="12"/>
  <c r="AM397" i="12"/>
  <c r="AM398" i="12"/>
  <c r="AM399" i="12"/>
  <c r="AM400" i="12"/>
  <c r="AM401" i="12"/>
  <c r="AM402" i="12"/>
  <c r="AM403" i="12"/>
  <c r="AM404" i="12"/>
  <c r="AK192" i="12"/>
  <c r="AO192" i="12" s="1"/>
  <c r="AK193" i="12"/>
  <c r="AO193" i="12" s="1"/>
  <c r="AK194" i="12"/>
  <c r="AO194" i="12" s="1"/>
  <c r="AK195" i="12"/>
  <c r="AO195" i="12" s="1"/>
  <c r="AK196" i="12"/>
  <c r="AL196" i="12" s="1"/>
  <c r="AK197" i="12"/>
  <c r="AL197" i="12" s="1"/>
  <c r="AK198" i="12"/>
  <c r="AK199" i="12"/>
  <c r="AL199" i="12" s="1"/>
  <c r="AK200" i="12"/>
  <c r="AL200" i="12" s="1"/>
  <c r="AK201" i="12"/>
  <c r="AO201" i="12" s="1"/>
  <c r="AK202" i="12"/>
  <c r="AO202" i="12" s="1"/>
  <c r="AK203" i="12"/>
  <c r="AO203" i="12" s="1"/>
  <c r="AK204" i="12"/>
  <c r="AL204" i="12" s="1"/>
  <c r="AK205" i="12"/>
  <c r="AL205" i="12" s="1"/>
  <c r="AK206" i="12"/>
  <c r="AK207" i="12"/>
  <c r="AL207" i="12" s="1"/>
  <c r="AK208" i="12"/>
  <c r="AL208" i="12" s="1"/>
  <c r="AK209" i="12"/>
  <c r="AL209" i="12" s="1"/>
  <c r="AK210" i="12"/>
  <c r="AL210" i="12" s="1"/>
  <c r="AK211" i="12"/>
  <c r="AO211" i="12" s="1"/>
  <c r="AK212" i="12"/>
  <c r="AL212" i="12" s="1"/>
  <c r="AK213" i="12"/>
  <c r="AL213" i="12" s="1"/>
  <c r="AK214" i="12"/>
  <c r="AK215" i="12"/>
  <c r="AL215" i="12" s="1"/>
  <c r="AK216" i="12"/>
  <c r="AL216" i="12" s="1"/>
  <c r="AK217" i="12"/>
  <c r="AL217" i="12" s="1"/>
  <c r="AK218" i="12"/>
  <c r="AO218" i="12" s="1"/>
  <c r="AK219" i="12"/>
  <c r="AO219" i="12" s="1"/>
  <c r="AK220" i="12"/>
  <c r="AL220" i="12" s="1"/>
  <c r="AK221" i="12"/>
  <c r="AL221" i="12" s="1"/>
  <c r="AK222" i="12"/>
  <c r="AK223" i="12"/>
  <c r="AL223" i="12" s="1"/>
  <c r="AK224" i="12"/>
  <c r="AL224" i="12" s="1"/>
  <c r="AK225" i="12"/>
  <c r="AL225" i="12" s="1"/>
  <c r="AK226" i="12"/>
  <c r="AL226" i="12" s="1"/>
  <c r="AK227" i="12"/>
  <c r="AO227" i="12" s="1"/>
  <c r="AK228" i="12"/>
  <c r="AL228" i="12" s="1"/>
  <c r="AK229" i="12"/>
  <c r="AL229" i="12" s="1"/>
  <c r="AK230" i="12"/>
  <c r="AK231" i="12"/>
  <c r="AL231" i="12" s="1"/>
  <c r="AK232" i="12"/>
  <c r="AL232" i="12" s="1"/>
  <c r="AK233" i="12"/>
  <c r="AL233" i="12" s="1"/>
  <c r="AK234" i="12"/>
  <c r="AO234" i="12" s="1"/>
  <c r="AK235" i="12"/>
  <c r="AO235" i="12" s="1"/>
  <c r="AK236" i="12"/>
  <c r="AL236" i="12" s="1"/>
  <c r="AK237" i="12"/>
  <c r="AL237" i="12" s="1"/>
  <c r="AK238" i="12"/>
  <c r="AK239" i="12"/>
  <c r="AL239" i="12" s="1"/>
  <c r="AK240" i="12"/>
  <c r="AL240" i="12" s="1"/>
  <c r="AK241" i="12"/>
  <c r="AL241" i="12" s="1"/>
  <c r="AK242" i="12"/>
  <c r="AO242" i="12" s="1"/>
  <c r="AK243" i="12"/>
  <c r="AO243" i="12" s="1"/>
  <c r="AK244" i="12"/>
  <c r="AL244" i="12" s="1"/>
  <c r="AK245" i="12"/>
  <c r="AL245" i="12" s="1"/>
  <c r="AK246" i="12"/>
  <c r="AK247" i="12"/>
  <c r="AL247" i="12" s="1"/>
  <c r="AK248" i="12"/>
  <c r="AL248" i="12" s="1"/>
  <c r="AK249" i="12"/>
  <c r="AL249" i="12" s="1"/>
  <c r="AK250" i="12"/>
  <c r="AL250" i="12" s="1"/>
  <c r="AK251" i="12"/>
  <c r="AO251" i="12" s="1"/>
  <c r="AK252" i="12"/>
  <c r="AL252" i="12" s="1"/>
  <c r="AK253" i="12"/>
  <c r="AL253" i="12" s="1"/>
  <c r="AK254" i="12"/>
  <c r="AK255" i="12"/>
  <c r="AL255" i="12" s="1"/>
  <c r="AK256" i="12"/>
  <c r="AL256" i="12" s="1"/>
  <c r="AK257" i="12"/>
  <c r="AL257" i="12" s="1"/>
  <c r="AK258" i="12"/>
  <c r="AL258" i="12" s="1"/>
  <c r="AK259" i="12"/>
  <c r="AO259" i="12" s="1"/>
  <c r="AK260" i="12"/>
  <c r="AL260" i="12" s="1"/>
  <c r="AK261" i="12"/>
  <c r="AL261" i="12" s="1"/>
  <c r="AK262" i="12"/>
  <c r="AK263" i="12"/>
  <c r="AL263" i="12" s="1"/>
  <c r="AK264" i="12"/>
  <c r="AL264" i="12" s="1"/>
  <c r="AK265" i="12"/>
  <c r="AL265" i="12" s="1"/>
  <c r="AK266" i="12"/>
  <c r="AO266" i="12" s="1"/>
  <c r="AK267" i="12"/>
  <c r="AO267" i="12" s="1"/>
  <c r="AK268" i="12"/>
  <c r="AL268" i="12" s="1"/>
  <c r="AK269" i="12"/>
  <c r="AL269" i="12" s="1"/>
  <c r="AK270" i="12"/>
  <c r="AK271" i="12"/>
  <c r="AL271" i="12" s="1"/>
  <c r="AK272" i="12"/>
  <c r="AL272" i="12" s="1"/>
  <c r="AK273" i="12"/>
  <c r="AL273" i="12" s="1"/>
  <c r="AK274" i="12"/>
  <c r="AL274" i="12" s="1"/>
  <c r="AK275" i="12"/>
  <c r="AO275" i="12" s="1"/>
  <c r="AK276" i="12"/>
  <c r="AL276" i="12" s="1"/>
  <c r="AK277" i="12"/>
  <c r="AL277" i="12" s="1"/>
  <c r="AK278" i="12"/>
  <c r="AK279" i="12"/>
  <c r="AL279" i="12" s="1"/>
  <c r="AK280" i="12"/>
  <c r="AL280" i="12" s="1"/>
  <c r="AK281" i="12"/>
  <c r="AL281" i="12" s="1"/>
  <c r="AK282" i="12"/>
  <c r="AO282" i="12" s="1"/>
  <c r="AK283" i="12"/>
  <c r="AO283" i="12" s="1"/>
  <c r="AK284" i="12"/>
  <c r="AL284" i="12" s="1"/>
  <c r="AK285" i="12"/>
  <c r="AL285" i="12" s="1"/>
  <c r="AK286" i="12"/>
  <c r="AK287" i="12"/>
  <c r="AL287" i="12" s="1"/>
  <c r="AK288" i="12"/>
  <c r="AL288" i="12" s="1"/>
  <c r="AK289" i="12"/>
  <c r="AL289" i="12" s="1"/>
  <c r="AK290" i="12"/>
  <c r="AL290" i="12" s="1"/>
  <c r="AK291" i="12"/>
  <c r="AO291" i="12" s="1"/>
  <c r="AK292" i="12"/>
  <c r="AL292" i="12" s="1"/>
  <c r="AK293" i="12"/>
  <c r="AL293" i="12" s="1"/>
  <c r="AK294" i="12"/>
  <c r="AK295" i="12"/>
  <c r="AL295" i="12" s="1"/>
  <c r="AK296" i="12"/>
  <c r="AL296" i="12" s="1"/>
  <c r="AK297" i="12"/>
  <c r="AL297" i="12" s="1"/>
  <c r="AK298" i="12"/>
  <c r="AO298" i="12" s="1"/>
  <c r="AK299" i="12"/>
  <c r="AO299" i="12" s="1"/>
  <c r="AK300" i="12"/>
  <c r="AL300" i="12" s="1"/>
  <c r="AK301" i="12"/>
  <c r="AL301" i="12" s="1"/>
  <c r="AK302" i="12"/>
  <c r="AK303" i="12"/>
  <c r="AL303" i="12" s="1"/>
  <c r="AK304" i="12"/>
  <c r="AL304" i="12" s="1"/>
  <c r="AK305" i="12"/>
  <c r="AL305" i="12" s="1"/>
  <c r="AK306" i="12"/>
  <c r="AO306" i="12" s="1"/>
  <c r="AK307" i="12"/>
  <c r="AO307" i="12" s="1"/>
  <c r="AK308" i="12"/>
  <c r="AL308" i="12" s="1"/>
  <c r="AK309" i="12"/>
  <c r="AL309" i="12" s="1"/>
  <c r="AK310" i="12"/>
  <c r="AK311" i="12"/>
  <c r="AL311" i="12" s="1"/>
  <c r="AK312" i="12"/>
  <c r="AL312" i="12" s="1"/>
  <c r="AK313" i="12"/>
  <c r="AL313" i="12" s="1"/>
  <c r="AK314" i="12"/>
  <c r="AL314" i="12" s="1"/>
  <c r="AK315" i="12"/>
  <c r="AO315" i="12" s="1"/>
  <c r="AK316" i="12"/>
  <c r="AL316" i="12" s="1"/>
  <c r="AK317" i="12"/>
  <c r="AL317" i="12" s="1"/>
  <c r="AK318" i="12"/>
  <c r="AK319" i="12"/>
  <c r="AL319" i="12" s="1"/>
  <c r="AK320" i="12"/>
  <c r="AL320" i="12" s="1"/>
  <c r="AK321" i="12"/>
  <c r="AL321" i="12" s="1"/>
  <c r="AK322" i="12"/>
  <c r="AL322" i="12" s="1"/>
  <c r="AK323" i="12"/>
  <c r="AO323" i="12" s="1"/>
  <c r="AK324" i="12"/>
  <c r="AL324" i="12" s="1"/>
  <c r="AK325" i="12"/>
  <c r="AL325" i="12" s="1"/>
  <c r="AK326" i="12"/>
  <c r="AK327" i="12"/>
  <c r="AL327" i="12" s="1"/>
  <c r="AK328" i="12"/>
  <c r="AL328" i="12" s="1"/>
  <c r="AK329" i="12"/>
  <c r="AL329" i="12" s="1"/>
  <c r="AK330" i="12"/>
  <c r="AO330" i="12" s="1"/>
  <c r="AK331" i="12"/>
  <c r="AO331" i="12" s="1"/>
  <c r="AK332" i="12"/>
  <c r="AL332" i="12" s="1"/>
  <c r="AK333" i="12"/>
  <c r="AL333" i="12" s="1"/>
  <c r="AK334" i="12"/>
  <c r="AK335" i="12"/>
  <c r="AL335" i="12" s="1"/>
  <c r="AK336" i="12"/>
  <c r="AL336" i="12" s="1"/>
  <c r="AK337" i="12"/>
  <c r="AL337" i="12" s="1"/>
  <c r="AK338" i="12"/>
  <c r="AL338" i="12" s="1"/>
  <c r="AK339" i="12"/>
  <c r="AO339" i="12" s="1"/>
  <c r="AK340" i="12"/>
  <c r="AL340" i="12" s="1"/>
  <c r="AK341" i="12"/>
  <c r="AL341" i="12" s="1"/>
  <c r="AK342" i="12"/>
  <c r="AK343" i="12"/>
  <c r="AL343" i="12" s="1"/>
  <c r="AK344" i="12"/>
  <c r="AL344" i="12" s="1"/>
  <c r="AK345" i="12"/>
  <c r="AL345" i="12" s="1"/>
  <c r="AK346" i="12"/>
  <c r="AO346" i="12" s="1"/>
  <c r="AK347" i="12"/>
  <c r="AO347" i="12" s="1"/>
  <c r="AK348" i="12"/>
  <c r="AL348" i="12" s="1"/>
  <c r="AK349" i="12"/>
  <c r="AL349" i="12" s="1"/>
  <c r="AK350" i="12"/>
  <c r="AK351" i="12"/>
  <c r="AL351" i="12" s="1"/>
  <c r="AK352" i="12"/>
  <c r="AL352" i="12" s="1"/>
  <c r="AK353" i="12"/>
  <c r="AL353" i="12" s="1"/>
  <c r="AK354" i="12"/>
  <c r="AO354" i="12" s="1"/>
  <c r="AK355" i="12"/>
  <c r="AO355" i="12" s="1"/>
  <c r="AK356" i="12"/>
  <c r="AL356" i="12" s="1"/>
  <c r="AK357" i="12"/>
  <c r="AL357" i="12" s="1"/>
  <c r="AK358" i="12"/>
  <c r="AK359" i="12"/>
  <c r="AL359" i="12" s="1"/>
  <c r="AK360" i="12"/>
  <c r="AL360" i="12" s="1"/>
  <c r="AK361" i="12"/>
  <c r="AL361" i="12" s="1"/>
  <c r="AK362" i="12"/>
  <c r="AO362" i="12" s="1"/>
  <c r="AK363" i="12"/>
  <c r="AO363" i="12" s="1"/>
  <c r="AK364" i="12"/>
  <c r="AL364" i="12" s="1"/>
  <c r="AK365" i="12"/>
  <c r="AL365" i="12" s="1"/>
  <c r="AK366" i="12"/>
  <c r="AK367" i="12"/>
  <c r="AL367" i="12" s="1"/>
  <c r="AK368" i="12"/>
  <c r="AL368" i="12" s="1"/>
  <c r="AK369" i="12"/>
  <c r="AL369" i="12" s="1"/>
  <c r="AK370" i="12"/>
  <c r="AO370" i="12" s="1"/>
  <c r="AK371" i="12"/>
  <c r="AO371" i="12" s="1"/>
  <c r="AK372" i="12"/>
  <c r="AL372" i="12" s="1"/>
  <c r="AK373" i="12"/>
  <c r="AL373" i="12" s="1"/>
  <c r="AK374" i="12"/>
  <c r="AK375" i="12"/>
  <c r="AL375" i="12" s="1"/>
  <c r="AK376" i="12"/>
  <c r="AL376" i="12" s="1"/>
  <c r="AK377" i="12"/>
  <c r="AL377" i="12" s="1"/>
  <c r="AK378" i="12"/>
  <c r="AL378" i="12" s="1"/>
  <c r="AK379" i="12"/>
  <c r="AO379" i="12" s="1"/>
  <c r="AK380" i="12"/>
  <c r="AL380" i="12" s="1"/>
  <c r="AK381" i="12"/>
  <c r="AL381" i="12" s="1"/>
  <c r="AK382" i="12"/>
  <c r="AK383" i="12"/>
  <c r="AL383" i="12" s="1"/>
  <c r="AK384" i="12"/>
  <c r="AL384" i="12" s="1"/>
  <c r="AK385" i="12"/>
  <c r="AL385" i="12" s="1"/>
  <c r="AK386" i="12"/>
  <c r="AL386" i="12" s="1"/>
  <c r="AK387" i="12"/>
  <c r="AO387" i="12" s="1"/>
  <c r="AK388" i="12"/>
  <c r="AL388" i="12" s="1"/>
  <c r="AK389" i="12"/>
  <c r="AL389" i="12" s="1"/>
  <c r="AK390" i="12"/>
  <c r="AK391" i="12"/>
  <c r="AL391" i="12" s="1"/>
  <c r="AK392" i="12"/>
  <c r="AL392" i="12" s="1"/>
  <c r="AK393" i="12"/>
  <c r="AL393" i="12" s="1"/>
  <c r="AK394" i="12"/>
  <c r="AO394" i="12" s="1"/>
  <c r="AK395" i="12"/>
  <c r="AO395" i="12" s="1"/>
  <c r="AK396" i="12"/>
  <c r="AL396" i="12" s="1"/>
  <c r="AK397" i="12"/>
  <c r="AL397" i="12" s="1"/>
  <c r="AK398" i="12"/>
  <c r="AK399" i="12"/>
  <c r="AL399" i="12" s="1"/>
  <c r="AK400" i="12"/>
  <c r="AL400" i="12" s="1"/>
  <c r="AK401" i="12"/>
  <c r="AL401" i="12" s="1"/>
  <c r="AK402" i="12"/>
  <c r="AL402" i="12" s="1"/>
  <c r="AK403" i="12"/>
  <c r="AO403" i="12" s="1"/>
  <c r="AK404" i="12"/>
  <c r="AL404" i="12" s="1"/>
  <c r="AK3" i="12"/>
  <c r="AK4" i="12"/>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K55" i="12"/>
  <c r="AK56" i="12"/>
  <c r="AK57" i="12"/>
  <c r="AK58" i="12"/>
  <c r="AK59" i="12"/>
  <c r="AK60" i="12"/>
  <c r="AK61" i="12"/>
  <c r="AK62" i="12"/>
  <c r="AK63" i="12"/>
  <c r="AK64" i="12"/>
  <c r="AK65" i="12"/>
  <c r="AK66" i="12"/>
  <c r="AK67" i="12"/>
  <c r="AK68" i="12"/>
  <c r="AK69" i="12"/>
  <c r="AK70" i="12"/>
  <c r="AK71" i="12"/>
  <c r="AK72" i="12"/>
  <c r="AK73" i="12"/>
  <c r="AK74" i="12"/>
  <c r="AK75" i="12"/>
  <c r="AK76" i="12"/>
  <c r="AK77" i="12"/>
  <c r="AK78" i="12"/>
  <c r="AK79" i="12"/>
  <c r="AK80" i="12"/>
  <c r="AK81" i="12"/>
  <c r="AK82" i="12"/>
  <c r="AK83" i="12"/>
  <c r="AK84" i="12"/>
  <c r="AK85" i="12"/>
  <c r="AK86" i="12"/>
  <c r="AK87" i="12"/>
  <c r="AK88" i="12"/>
  <c r="AK89" i="12"/>
  <c r="AK90" i="12"/>
  <c r="AK91" i="12"/>
  <c r="AK92" i="12"/>
  <c r="AK93" i="12"/>
  <c r="AK94" i="12"/>
  <c r="AK95" i="12"/>
  <c r="AK96" i="12"/>
  <c r="AK97" i="12"/>
  <c r="AK98" i="12"/>
  <c r="AK99" i="12"/>
  <c r="AK100" i="12"/>
  <c r="AK101" i="12"/>
  <c r="AK102" i="12"/>
  <c r="AK103" i="12"/>
  <c r="AK104" i="12"/>
  <c r="AK105" i="12"/>
  <c r="AK106" i="12"/>
  <c r="AK107" i="12"/>
  <c r="AK108" i="12"/>
  <c r="AK109" i="12"/>
  <c r="AK110" i="12"/>
  <c r="AK111" i="12"/>
  <c r="AK112" i="12"/>
  <c r="AK113" i="12"/>
  <c r="AK114" i="12"/>
  <c r="AK115" i="12"/>
  <c r="AK116" i="12"/>
  <c r="AK117" i="12"/>
  <c r="AK118" i="12"/>
  <c r="AK119" i="12"/>
  <c r="AK120" i="12"/>
  <c r="AK121" i="12"/>
  <c r="AK122" i="12"/>
  <c r="AK123" i="12"/>
  <c r="AK124" i="12"/>
  <c r="AK125" i="12"/>
  <c r="AK126" i="12"/>
  <c r="AK127" i="12"/>
  <c r="AK128" i="12"/>
  <c r="AK129" i="12"/>
  <c r="AK130" i="12"/>
  <c r="AK131" i="12"/>
  <c r="AK132" i="12"/>
  <c r="AK133" i="12"/>
  <c r="AK134" i="12"/>
  <c r="AK135" i="12"/>
  <c r="AK136" i="12"/>
  <c r="AK137" i="12"/>
  <c r="AK138" i="12"/>
  <c r="AK139" i="12"/>
  <c r="AK140" i="12"/>
  <c r="AK141" i="12"/>
  <c r="AK142" i="12"/>
  <c r="AK143" i="12"/>
  <c r="AK144" i="12"/>
  <c r="AK145" i="12"/>
  <c r="AK146" i="12"/>
  <c r="AK147" i="12"/>
  <c r="AK148" i="12"/>
  <c r="AK149" i="12"/>
  <c r="AK150" i="12"/>
  <c r="AK151" i="12"/>
  <c r="AK152" i="12"/>
  <c r="AK153" i="12"/>
  <c r="AK154" i="12"/>
  <c r="AK155" i="12"/>
  <c r="AK156" i="12"/>
  <c r="AK157" i="12"/>
  <c r="AK158" i="12"/>
  <c r="AK159" i="12"/>
  <c r="AK160" i="12"/>
  <c r="AK161" i="12"/>
  <c r="AK162" i="12"/>
  <c r="AK163" i="12"/>
  <c r="AK164" i="12"/>
  <c r="AK165" i="12"/>
  <c r="AK166" i="12"/>
  <c r="AK167" i="12"/>
  <c r="AK168" i="12"/>
  <c r="AK169" i="12"/>
  <c r="AK170" i="12"/>
  <c r="AK171" i="12"/>
  <c r="AK172" i="12"/>
  <c r="AK173" i="12"/>
  <c r="AK174" i="12"/>
  <c r="AK175" i="12"/>
  <c r="AK176" i="12"/>
  <c r="AK177" i="12"/>
  <c r="AK178" i="12"/>
  <c r="AK179" i="12"/>
  <c r="AK180" i="12"/>
  <c r="AK181" i="12"/>
  <c r="AK182" i="12"/>
  <c r="AK183" i="12"/>
  <c r="AK184" i="12"/>
  <c r="AK185" i="12"/>
  <c r="AK186" i="12"/>
  <c r="AK187" i="12"/>
  <c r="AK188" i="12"/>
  <c r="AK189" i="12"/>
  <c r="AK190" i="12"/>
  <c r="AK191" i="12"/>
  <c r="AK2" i="12"/>
  <c r="AI192" i="12"/>
  <c r="AI193" i="12"/>
  <c r="AI194" i="12"/>
  <c r="AI195" i="12"/>
  <c r="AI196" i="12"/>
  <c r="AI197" i="12"/>
  <c r="AI198" i="12"/>
  <c r="AI199" i="12"/>
  <c r="AI200" i="12"/>
  <c r="AI201" i="12"/>
  <c r="AI202" i="12"/>
  <c r="AI203" i="12"/>
  <c r="AI204" i="12"/>
  <c r="AI205" i="12"/>
  <c r="AI206" i="12"/>
  <c r="AI207" i="12"/>
  <c r="AI208" i="12"/>
  <c r="AI209" i="12"/>
  <c r="AI210" i="12"/>
  <c r="AI211" i="12"/>
  <c r="AI212" i="12"/>
  <c r="AI213" i="12"/>
  <c r="AI214" i="12"/>
  <c r="AI215" i="12"/>
  <c r="AI216" i="12"/>
  <c r="AI217" i="12"/>
  <c r="AI218" i="12"/>
  <c r="AI219" i="12"/>
  <c r="AI220" i="12"/>
  <c r="AI221" i="12"/>
  <c r="AI222" i="12"/>
  <c r="AI223" i="12"/>
  <c r="AI224" i="12"/>
  <c r="AI225" i="12"/>
  <c r="AI226" i="12"/>
  <c r="AI227" i="12"/>
  <c r="AI228" i="12"/>
  <c r="AI229" i="12"/>
  <c r="AI230" i="12"/>
  <c r="AI231" i="12"/>
  <c r="AI232" i="12"/>
  <c r="AI233" i="12"/>
  <c r="AI234" i="12"/>
  <c r="AI235" i="12"/>
  <c r="AI236" i="12"/>
  <c r="AI237" i="12"/>
  <c r="AI238" i="12"/>
  <c r="AI239" i="12"/>
  <c r="AI240" i="12"/>
  <c r="AI241" i="12"/>
  <c r="AI242" i="12"/>
  <c r="AI243" i="12"/>
  <c r="AI244" i="12"/>
  <c r="AI245" i="12"/>
  <c r="AI246" i="12"/>
  <c r="AI247" i="12"/>
  <c r="AI248" i="12"/>
  <c r="AI249" i="12"/>
  <c r="AI250" i="12"/>
  <c r="AI251" i="12"/>
  <c r="AI252" i="12"/>
  <c r="AI253" i="12"/>
  <c r="AI254" i="12"/>
  <c r="AI255" i="12"/>
  <c r="AI256" i="12"/>
  <c r="AI257" i="12"/>
  <c r="AI258" i="12"/>
  <c r="AI259" i="12"/>
  <c r="AI260" i="12"/>
  <c r="AI261" i="12"/>
  <c r="AI262" i="12"/>
  <c r="AI263" i="12"/>
  <c r="AI264" i="12"/>
  <c r="AI265" i="12"/>
  <c r="AI266" i="12"/>
  <c r="AI267" i="12"/>
  <c r="AI268" i="12"/>
  <c r="AI269" i="12"/>
  <c r="AI270" i="12"/>
  <c r="AI271" i="12"/>
  <c r="AI272" i="12"/>
  <c r="AI273" i="12"/>
  <c r="AI274" i="12"/>
  <c r="AI275" i="12"/>
  <c r="AI276" i="12"/>
  <c r="AI277" i="12"/>
  <c r="AI278" i="12"/>
  <c r="AI279" i="12"/>
  <c r="AI280" i="12"/>
  <c r="AI281" i="12"/>
  <c r="AI282" i="12"/>
  <c r="AI283" i="12"/>
  <c r="AI284" i="12"/>
  <c r="AI285" i="12"/>
  <c r="AI286" i="12"/>
  <c r="AI287" i="12"/>
  <c r="AI288" i="12"/>
  <c r="AI289" i="12"/>
  <c r="AI290" i="12"/>
  <c r="AI291" i="12"/>
  <c r="AI292" i="12"/>
  <c r="AI293" i="12"/>
  <c r="AI294" i="12"/>
  <c r="AI295" i="12"/>
  <c r="AI296" i="12"/>
  <c r="AI297" i="12"/>
  <c r="AI298" i="12"/>
  <c r="AI299" i="12"/>
  <c r="AI300" i="12"/>
  <c r="AI301" i="12"/>
  <c r="AI302" i="12"/>
  <c r="AI303" i="12"/>
  <c r="AI304" i="12"/>
  <c r="AI305" i="12"/>
  <c r="AI306" i="12"/>
  <c r="AI307" i="12"/>
  <c r="AI308" i="12"/>
  <c r="AI309" i="12"/>
  <c r="AI310" i="12"/>
  <c r="AI311" i="12"/>
  <c r="AI312" i="12"/>
  <c r="AI313" i="12"/>
  <c r="AI314" i="12"/>
  <c r="AI315" i="12"/>
  <c r="AI316" i="12"/>
  <c r="AI317" i="12"/>
  <c r="AI318" i="12"/>
  <c r="AI319" i="12"/>
  <c r="AI320" i="12"/>
  <c r="AI321" i="12"/>
  <c r="AI322" i="12"/>
  <c r="AI323" i="12"/>
  <c r="AI324" i="12"/>
  <c r="AI325" i="12"/>
  <c r="AI326" i="12"/>
  <c r="AI327" i="12"/>
  <c r="AI328" i="12"/>
  <c r="AI329" i="12"/>
  <c r="AI330" i="12"/>
  <c r="AI331" i="12"/>
  <c r="AI332" i="12"/>
  <c r="AI333" i="12"/>
  <c r="AI334" i="12"/>
  <c r="AI335" i="12"/>
  <c r="AI336" i="12"/>
  <c r="AI337" i="12"/>
  <c r="AI338" i="12"/>
  <c r="AI339" i="12"/>
  <c r="AI340" i="12"/>
  <c r="AI341" i="12"/>
  <c r="AI342" i="12"/>
  <c r="AI343" i="12"/>
  <c r="AI344" i="12"/>
  <c r="AI345" i="12"/>
  <c r="AI346" i="12"/>
  <c r="AI347" i="12"/>
  <c r="AI348" i="12"/>
  <c r="AI349" i="12"/>
  <c r="AI350" i="12"/>
  <c r="AI351" i="12"/>
  <c r="AI352" i="12"/>
  <c r="AI353" i="12"/>
  <c r="AI354" i="12"/>
  <c r="AI355" i="12"/>
  <c r="AI356" i="12"/>
  <c r="AI357" i="12"/>
  <c r="AI358" i="12"/>
  <c r="AI359" i="12"/>
  <c r="AI360" i="12"/>
  <c r="AI361" i="12"/>
  <c r="AI362" i="12"/>
  <c r="AI363" i="12"/>
  <c r="AI364" i="12"/>
  <c r="AI365" i="12"/>
  <c r="AI366" i="12"/>
  <c r="AI367" i="12"/>
  <c r="AI368" i="12"/>
  <c r="AI369" i="12"/>
  <c r="AI370" i="12"/>
  <c r="AI371" i="12"/>
  <c r="AI372" i="12"/>
  <c r="AI373" i="12"/>
  <c r="AI374" i="12"/>
  <c r="AI375" i="12"/>
  <c r="AI376" i="12"/>
  <c r="AI377" i="12"/>
  <c r="AI378" i="12"/>
  <c r="AI379" i="12"/>
  <c r="AI380" i="12"/>
  <c r="AI381" i="12"/>
  <c r="AI382" i="12"/>
  <c r="AI383" i="12"/>
  <c r="AI384" i="12"/>
  <c r="AI385" i="12"/>
  <c r="AI386" i="12"/>
  <c r="AI387" i="12"/>
  <c r="AI388" i="12"/>
  <c r="AI389" i="12"/>
  <c r="AI390" i="12"/>
  <c r="AI391" i="12"/>
  <c r="AI392" i="12"/>
  <c r="AI393" i="12"/>
  <c r="AI394" i="12"/>
  <c r="AI395" i="12"/>
  <c r="AI396" i="12"/>
  <c r="AI397" i="12"/>
  <c r="AI398" i="12"/>
  <c r="AI399" i="12"/>
  <c r="AI400" i="12"/>
  <c r="AI401" i="12"/>
  <c r="AI402" i="12"/>
  <c r="AI403" i="12"/>
  <c r="AI404"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F192" i="12"/>
  <c r="AJ192" i="12" s="1"/>
  <c r="AF193" i="12"/>
  <c r="AJ193" i="12" s="1"/>
  <c r="AF194" i="12"/>
  <c r="AF195" i="12"/>
  <c r="AG195" i="12" s="1"/>
  <c r="AF196" i="12"/>
  <c r="AJ196" i="12" s="1"/>
  <c r="AF197" i="12"/>
  <c r="AJ197" i="12" s="1"/>
  <c r="AF198" i="12"/>
  <c r="AG198" i="12" s="1"/>
  <c r="AF199" i="12"/>
  <c r="AJ199" i="12" s="1"/>
  <c r="AF200" i="12"/>
  <c r="AJ200" i="12" s="1"/>
  <c r="AF201" i="12"/>
  <c r="AJ201" i="12" s="1"/>
  <c r="AF202" i="12"/>
  <c r="AG202" i="12" s="1"/>
  <c r="AF203" i="12"/>
  <c r="AG203" i="12" s="1"/>
  <c r="AF204" i="12"/>
  <c r="AJ204" i="12" s="1"/>
  <c r="AF205" i="12"/>
  <c r="AJ205" i="12" s="1"/>
  <c r="AF206" i="12"/>
  <c r="AJ206" i="12" s="1"/>
  <c r="AF207" i="12"/>
  <c r="AJ207" i="12" s="1"/>
  <c r="AF208" i="12"/>
  <c r="AJ208" i="12" s="1"/>
  <c r="AF209" i="12"/>
  <c r="AJ209" i="12" s="1"/>
  <c r="AF210" i="12"/>
  <c r="AF211" i="12"/>
  <c r="AJ211" i="12" s="1"/>
  <c r="AF212" i="12"/>
  <c r="AJ212" i="12" s="1"/>
  <c r="AF213" i="12"/>
  <c r="AJ213" i="12" s="1"/>
  <c r="AF214" i="12"/>
  <c r="AJ214" i="12" s="1"/>
  <c r="AF215" i="12"/>
  <c r="AJ215" i="12" s="1"/>
  <c r="AF216" i="12"/>
  <c r="AJ216" i="12" s="1"/>
  <c r="AF217" i="12"/>
  <c r="AJ217" i="12" s="1"/>
  <c r="AF218" i="12"/>
  <c r="AF219" i="12"/>
  <c r="AF220" i="12"/>
  <c r="AJ220" i="12" s="1"/>
  <c r="AF221" i="12"/>
  <c r="AJ221" i="12" s="1"/>
  <c r="AF222" i="12"/>
  <c r="AJ222" i="12" s="1"/>
  <c r="AF223" i="12"/>
  <c r="AJ223" i="12" s="1"/>
  <c r="AF224" i="12"/>
  <c r="AJ224" i="12" s="1"/>
  <c r="AF225" i="12"/>
  <c r="AJ225" i="12" s="1"/>
  <c r="AF226" i="12"/>
  <c r="AF227" i="12"/>
  <c r="AJ227" i="12" s="1"/>
  <c r="AF228" i="12"/>
  <c r="AJ228" i="12" s="1"/>
  <c r="AF229" i="12"/>
  <c r="AJ229" i="12" s="1"/>
  <c r="AF230" i="12"/>
  <c r="AG230" i="12" s="1"/>
  <c r="AF231" i="12"/>
  <c r="AJ231" i="12" s="1"/>
  <c r="AF232" i="12"/>
  <c r="AJ232" i="12" s="1"/>
  <c r="AF233" i="12"/>
  <c r="AJ233" i="12" s="1"/>
  <c r="AF234" i="12"/>
  <c r="AF235" i="12"/>
  <c r="AG235" i="12" s="1"/>
  <c r="AF236" i="12"/>
  <c r="AJ236" i="12" s="1"/>
  <c r="AF237" i="12"/>
  <c r="AJ237" i="12" s="1"/>
  <c r="AF238" i="12"/>
  <c r="AJ238" i="12" s="1"/>
  <c r="AF239" i="12"/>
  <c r="AJ239" i="12" s="1"/>
  <c r="AF240" i="12"/>
  <c r="AJ240" i="12" s="1"/>
  <c r="AF241" i="12"/>
  <c r="AJ241" i="12" s="1"/>
  <c r="AF242" i="12"/>
  <c r="AF243" i="12"/>
  <c r="AG243" i="12" s="1"/>
  <c r="AF244" i="12"/>
  <c r="AJ244" i="12" s="1"/>
  <c r="AF245" i="12"/>
  <c r="AJ245" i="12" s="1"/>
  <c r="AF246" i="12"/>
  <c r="AJ246" i="12" s="1"/>
  <c r="AF247" i="12"/>
  <c r="AJ247" i="12" s="1"/>
  <c r="AF248" i="12"/>
  <c r="AJ248" i="12" s="1"/>
  <c r="AF249" i="12"/>
  <c r="AJ249" i="12" s="1"/>
  <c r="AF250" i="12"/>
  <c r="AF251" i="12"/>
  <c r="AF252" i="12"/>
  <c r="AJ252" i="12" s="1"/>
  <c r="AF253" i="12"/>
  <c r="AJ253" i="12" s="1"/>
  <c r="AF254" i="12"/>
  <c r="AJ254" i="12" s="1"/>
  <c r="AF255" i="12"/>
  <c r="AJ255" i="12" s="1"/>
  <c r="AF256" i="12"/>
  <c r="AJ256" i="12" s="1"/>
  <c r="AF257" i="12"/>
  <c r="AJ257" i="12" s="1"/>
  <c r="AF258" i="12"/>
  <c r="AF259" i="12"/>
  <c r="AG259" i="12" s="1"/>
  <c r="AF260" i="12"/>
  <c r="AJ260" i="12" s="1"/>
  <c r="AF261" i="12"/>
  <c r="AJ261" i="12" s="1"/>
  <c r="AF262" i="12"/>
  <c r="AG262" i="12" s="1"/>
  <c r="AF263" i="12"/>
  <c r="AJ263" i="12" s="1"/>
  <c r="AF264" i="12"/>
  <c r="AJ264" i="12" s="1"/>
  <c r="AF265" i="12"/>
  <c r="AJ265" i="12" s="1"/>
  <c r="AF266" i="12"/>
  <c r="AG266" i="12" s="1"/>
  <c r="AF267" i="12"/>
  <c r="AG267" i="12" s="1"/>
  <c r="AF268" i="12"/>
  <c r="AJ268" i="12" s="1"/>
  <c r="AF269" i="12"/>
  <c r="AJ269" i="12" s="1"/>
  <c r="AF270" i="12"/>
  <c r="AJ270" i="12" s="1"/>
  <c r="AF271" i="12"/>
  <c r="AJ271" i="12" s="1"/>
  <c r="AF272" i="12"/>
  <c r="AJ272" i="12" s="1"/>
  <c r="AF273" i="12"/>
  <c r="AJ273" i="12" s="1"/>
  <c r="AF274" i="12"/>
  <c r="AF275" i="12"/>
  <c r="AJ275" i="12" s="1"/>
  <c r="AF276" i="12"/>
  <c r="AJ276" i="12" s="1"/>
  <c r="AF277" i="12"/>
  <c r="AJ277" i="12" s="1"/>
  <c r="AF278" i="12"/>
  <c r="AJ278" i="12" s="1"/>
  <c r="AF279" i="12"/>
  <c r="AJ279" i="12" s="1"/>
  <c r="AF280" i="12"/>
  <c r="AJ280" i="12" s="1"/>
  <c r="AF281" i="12"/>
  <c r="AJ281" i="12" s="1"/>
  <c r="AF282" i="12"/>
  <c r="AF283" i="12"/>
  <c r="AF284" i="12"/>
  <c r="AJ284" i="12" s="1"/>
  <c r="AF285" i="12"/>
  <c r="AJ285" i="12" s="1"/>
  <c r="AF286" i="12"/>
  <c r="AG286" i="12" s="1"/>
  <c r="AF287" i="12"/>
  <c r="AJ287" i="12" s="1"/>
  <c r="AF288" i="12"/>
  <c r="AJ288" i="12" s="1"/>
  <c r="AF289" i="12"/>
  <c r="AJ289" i="12" s="1"/>
  <c r="AF290" i="12"/>
  <c r="AF291" i="12"/>
  <c r="AJ291" i="12" s="1"/>
  <c r="AF292" i="12"/>
  <c r="AJ292" i="12" s="1"/>
  <c r="AF293" i="12"/>
  <c r="AJ293" i="12" s="1"/>
  <c r="AF294" i="12"/>
  <c r="AJ294" i="12" s="1"/>
  <c r="AF295" i="12"/>
  <c r="AJ295" i="12" s="1"/>
  <c r="AF296" i="12"/>
  <c r="AJ296" i="12" s="1"/>
  <c r="AF297" i="12"/>
  <c r="AJ297" i="12" s="1"/>
  <c r="AF298" i="12"/>
  <c r="AF299" i="12"/>
  <c r="AG299" i="12" s="1"/>
  <c r="AF300" i="12"/>
  <c r="AJ300" i="12" s="1"/>
  <c r="AF301" i="12"/>
  <c r="AJ301" i="12" s="1"/>
  <c r="AF302" i="12"/>
  <c r="AJ302" i="12" s="1"/>
  <c r="AF303" i="12"/>
  <c r="AJ303" i="12" s="1"/>
  <c r="AF304" i="12"/>
  <c r="AJ304" i="12" s="1"/>
  <c r="AF305" i="12"/>
  <c r="AJ305" i="12" s="1"/>
  <c r="AF306" i="12"/>
  <c r="AF307" i="12"/>
  <c r="AF308" i="12"/>
  <c r="AJ308" i="12" s="1"/>
  <c r="AF309" i="12"/>
  <c r="AJ309" i="12" s="1"/>
  <c r="AF310" i="12"/>
  <c r="AJ310" i="12" s="1"/>
  <c r="AF311" i="12"/>
  <c r="AJ311" i="12" s="1"/>
  <c r="AF312" i="12"/>
  <c r="AJ312" i="12" s="1"/>
  <c r="AF313" i="12"/>
  <c r="AJ313" i="12" s="1"/>
  <c r="AF314" i="12"/>
  <c r="AF315" i="12"/>
  <c r="AF316" i="12"/>
  <c r="AJ316" i="12" s="1"/>
  <c r="AF317" i="12"/>
  <c r="AJ317" i="12" s="1"/>
  <c r="AF318" i="12"/>
  <c r="AJ318" i="12" s="1"/>
  <c r="AF319" i="12"/>
  <c r="AJ319" i="12" s="1"/>
  <c r="AF320" i="12"/>
  <c r="AJ320" i="12" s="1"/>
  <c r="AF321" i="12"/>
  <c r="AJ321" i="12" s="1"/>
  <c r="AF322" i="12"/>
  <c r="AF323" i="12"/>
  <c r="AG323" i="12" s="1"/>
  <c r="AF324" i="12"/>
  <c r="AJ324" i="12" s="1"/>
  <c r="AF325" i="12"/>
  <c r="AJ325" i="12" s="1"/>
  <c r="AF326" i="12"/>
  <c r="AJ326" i="12" s="1"/>
  <c r="AF327" i="12"/>
  <c r="AJ327" i="12" s="1"/>
  <c r="AF328" i="12"/>
  <c r="AJ328" i="12" s="1"/>
  <c r="AF329" i="12"/>
  <c r="AJ329" i="12" s="1"/>
  <c r="AF330" i="12"/>
  <c r="AG330" i="12" s="1"/>
  <c r="AF331" i="12"/>
  <c r="AG331" i="12" s="1"/>
  <c r="AF332" i="12"/>
  <c r="AJ332" i="12" s="1"/>
  <c r="AF333" i="12"/>
  <c r="AJ333" i="12" s="1"/>
  <c r="AF334" i="12"/>
  <c r="AJ334" i="12" s="1"/>
  <c r="AF335" i="12"/>
  <c r="AJ335" i="12" s="1"/>
  <c r="AF336" i="12"/>
  <c r="AJ336" i="12" s="1"/>
  <c r="AF337" i="12"/>
  <c r="AJ337" i="12" s="1"/>
  <c r="AF338" i="12"/>
  <c r="AF339" i="12"/>
  <c r="AJ339" i="12" s="1"/>
  <c r="AF340" i="12"/>
  <c r="AJ340" i="12" s="1"/>
  <c r="AF341" i="12"/>
  <c r="AJ341" i="12" s="1"/>
  <c r="AF342" i="12"/>
  <c r="AJ342" i="12" s="1"/>
  <c r="AF343" i="12"/>
  <c r="AJ343" i="12" s="1"/>
  <c r="AF344" i="12"/>
  <c r="AJ344" i="12" s="1"/>
  <c r="AF345" i="12"/>
  <c r="AJ345" i="12" s="1"/>
  <c r="AF346" i="12"/>
  <c r="AF347" i="12"/>
  <c r="AF348" i="12"/>
  <c r="AJ348" i="12" s="1"/>
  <c r="AF349" i="12"/>
  <c r="AG349" i="12" s="1"/>
  <c r="AF350" i="12"/>
  <c r="AJ350" i="12" s="1"/>
  <c r="AF351" i="12"/>
  <c r="AJ351" i="12" s="1"/>
  <c r="AF352" i="12"/>
  <c r="AG352" i="12" s="1"/>
  <c r="AF353" i="12"/>
  <c r="AG353" i="12" s="1"/>
  <c r="AF354" i="12"/>
  <c r="AF355" i="12"/>
  <c r="AG355" i="12" s="1"/>
  <c r="AF356" i="12"/>
  <c r="AG356" i="12" s="1"/>
  <c r="AF357" i="12"/>
  <c r="AG357" i="12" s="1"/>
  <c r="AF358" i="12"/>
  <c r="AJ358" i="12" s="1"/>
  <c r="AF359" i="12"/>
  <c r="AJ359" i="12" s="1"/>
  <c r="AF360" i="12"/>
  <c r="AG360" i="12" s="1"/>
  <c r="AF361" i="12"/>
  <c r="AG361" i="12" s="1"/>
  <c r="AF362" i="12"/>
  <c r="AF363" i="12"/>
  <c r="AG363" i="12" s="1"/>
  <c r="AF364" i="12"/>
  <c r="AG364" i="12" s="1"/>
  <c r="AF365" i="12"/>
  <c r="AG365" i="12" s="1"/>
  <c r="AF366" i="12"/>
  <c r="AJ366" i="12" s="1"/>
  <c r="AF367" i="12"/>
  <c r="AJ367" i="12" s="1"/>
  <c r="AF368" i="12"/>
  <c r="AG368" i="12" s="1"/>
  <c r="AF369" i="12"/>
  <c r="AG369" i="12" s="1"/>
  <c r="AF370" i="12"/>
  <c r="AF371" i="12"/>
  <c r="AG371" i="12" s="1"/>
  <c r="AF372" i="12"/>
  <c r="AG372" i="12" s="1"/>
  <c r="AF373" i="12"/>
  <c r="AG373" i="12" s="1"/>
  <c r="AF374" i="12"/>
  <c r="AJ374" i="12" s="1"/>
  <c r="AF375" i="12"/>
  <c r="AJ375" i="12" s="1"/>
  <c r="AF376" i="12"/>
  <c r="AG376" i="12" s="1"/>
  <c r="AF377" i="12"/>
  <c r="AF378" i="12"/>
  <c r="AF379" i="12"/>
  <c r="AG379" i="12" s="1"/>
  <c r="AF380" i="12"/>
  <c r="AG380" i="12" s="1"/>
  <c r="AF381" i="12"/>
  <c r="AG381" i="12" s="1"/>
  <c r="AF382" i="12"/>
  <c r="AJ382" i="12" s="1"/>
  <c r="AF383" i="12"/>
  <c r="AJ383" i="12" s="1"/>
  <c r="AF384" i="12"/>
  <c r="AG384" i="12" s="1"/>
  <c r="AF385" i="12"/>
  <c r="AF386" i="12"/>
  <c r="AF387" i="12"/>
  <c r="AG387" i="12" s="1"/>
  <c r="AF388" i="12"/>
  <c r="AG388" i="12" s="1"/>
  <c r="AF389" i="12"/>
  <c r="AG389" i="12" s="1"/>
  <c r="AF390" i="12"/>
  <c r="AJ390" i="12" s="1"/>
  <c r="AF391" i="12"/>
  <c r="AJ391" i="12" s="1"/>
  <c r="AF392" i="12"/>
  <c r="AG392" i="12" s="1"/>
  <c r="AF393" i="12"/>
  <c r="AF394" i="12"/>
  <c r="AF395" i="12"/>
  <c r="AG395" i="12" s="1"/>
  <c r="AF396" i="12"/>
  <c r="AG396" i="12" s="1"/>
  <c r="AF397" i="12"/>
  <c r="AG397" i="12" s="1"/>
  <c r="AF398" i="12"/>
  <c r="AJ398" i="12" s="1"/>
  <c r="AF399" i="12"/>
  <c r="AJ399" i="12" s="1"/>
  <c r="AF400" i="12"/>
  <c r="AG400" i="12" s="1"/>
  <c r="AF401" i="12"/>
  <c r="AF402" i="12"/>
  <c r="AF403" i="12"/>
  <c r="AG403" i="12" s="1"/>
  <c r="AF404" i="12"/>
  <c r="AJ404" i="12" s="1"/>
  <c r="AF3" i="12"/>
  <c r="AF4" i="12"/>
  <c r="AF5" i="12"/>
  <c r="AF6" i="12"/>
  <c r="AF7" i="12"/>
  <c r="AF8" i="12"/>
  <c r="AF9" i="12"/>
  <c r="AF10" i="12"/>
  <c r="AF11" i="12"/>
  <c r="AF12" i="12"/>
  <c r="AF13" i="12"/>
  <c r="AF14" i="12"/>
  <c r="AF15" i="12"/>
  <c r="AF16" i="12"/>
  <c r="AF17" i="12"/>
  <c r="AF18" i="12"/>
  <c r="AF19" i="12"/>
  <c r="AF20" i="12"/>
  <c r="AF21" i="12"/>
  <c r="AF22" i="12"/>
  <c r="AF23" i="12"/>
  <c r="AF24" i="12"/>
  <c r="AF25" i="12"/>
  <c r="AF26" i="12"/>
  <c r="AF27" i="12"/>
  <c r="AF28" i="12"/>
  <c r="AF29" i="12"/>
  <c r="AF30" i="12"/>
  <c r="AF31" i="12"/>
  <c r="AF32" i="12"/>
  <c r="AF33" i="12"/>
  <c r="AF34" i="12"/>
  <c r="AF35" i="12"/>
  <c r="AF36" i="12"/>
  <c r="AF37" i="12"/>
  <c r="AF38" i="12"/>
  <c r="AF39" i="12"/>
  <c r="AF40" i="12"/>
  <c r="AF41" i="12"/>
  <c r="AF42" i="12"/>
  <c r="AF43" i="12"/>
  <c r="AF44" i="12"/>
  <c r="AF45" i="12"/>
  <c r="AF46" i="12"/>
  <c r="AF47" i="12"/>
  <c r="AF48" i="12"/>
  <c r="AF49" i="12"/>
  <c r="AF50" i="12"/>
  <c r="AF51" i="12"/>
  <c r="AF52" i="12"/>
  <c r="AF53" i="12"/>
  <c r="AF54" i="12"/>
  <c r="AF55" i="12"/>
  <c r="AF56" i="12"/>
  <c r="AF57" i="12"/>
  <c r="AF58" i="12"/>
  <c r="AF59" i="12"/>
  <c r="AF60" i="12"/>
  <c r="AF61" i="12"/>
  <c r="AF62" i="12"/>
  <c r="AF63" i="12"/>
  <c r="AF64" i="12"/>
  <c r="AF65" i="12"/>
  <c r="AF66" i="12"/>
  <c r="AF67" i="12"/>
  <c r="AF68" i="12"/>
  <c r="AF69" i="12"/>
  <c r="AF70" i="12"/>
  <c r="AF71" i="12"/>
  <c r="AF72" i="12"/>
  <c r="AF73" i="12"/>
  <c r="AF74" i="12"/>
  <c r="AF75" i="12"/>
  <c r="AF76" i="12"/>
  <c r="AF77" i="12"/>
  <c r="AF78" i="12"/>
  <c r="AF79" i="12"/>
  <c r="AF80" i="12"/>
  <c r="AF81" i="12"/>
  <c r="AF82" i="12"/>
  <c r="AF83" i="12"/>
  <c r="AF84" i="12"/>
  <c r="AF85" i="12"/>
  <c r="AF86" i="12"/>
  <c r="AF87" i="12"/>
  <c r="AF88" i="12"/>
  <c r="AF89" i="12"/>
  <c r="AF90" i="12"/>
  <c r="AF91" i="12"/>
  <c r="AF92" i="12"/>
  <c r="AF93" i="12"/>
  <c r="AF94" i="12"/>
  <c r="AF95" i="12"/>
  <c r="AF96" i="12"/>
  <c r="AF97" i="12"/>
  <c r="AF98" i="12"/>
  <c r="AF99" i="12"/>
  <c r="AF100" i="12"/>
  <c r="AF101" i="12"/>
  <c r="AF102" i="12"/>
  <c r="AF103" i="12"/>
  <c r="AF104" i="12"/>
  <c r="AF105" i="12"/>
  <c r="AF106" i="12"/>
  <c r="AF107" i="12"/>
  <c r="AF108" i="12"/>
  <c r="AF109" i="12"/>
  <c r="AF110" i="12"/>
  <c r="AF111" i="12"/>
  <c r="AF112" i="12"/>
  <c r="AF113" i="12"/>
  <c r="AF114" i="12"/>
  <c r="AF115" i="12"/>
  <c r="AF116" i="12"/>
  <c r="AF117" i="12"/>
  <c r="AF118" i="12"/>
  <c r="AF119" i="12"/>
  <c r="AF120" i="12"/>
  <c r="AF121" i="12"/>
  <c r="AF122" i="12"/>
  <c r="AF123" i="12"/>
  <c r="AF124" i="12"/>
  <c r="AF125" i="12"/>
  <c r="AF126" i="12"/>
  <c r="AF127" i="12"/>
  <c r="AF128" i="12"/>
  <c r="AF129" i="12"/>
  <c r="AF130" i="12"/>
  <c r="AF131" i="12"/>
  <c r="AF132" i="12"/>
  <c r="AF133" i="12"/>
  <c r="AF134" i="12"/>
  <c r="AF135" i="12"/>
  <c r="AF136" i="12"/>
  <c r="AF137" i="12"/>
  <c r="AF138" i="12"/>
  <c r="AF139" i="12"/>
  <c r="AF140" i="12"/>
  <c r="AF141" i="12"/>
  <c r="AF142" i="12"/>
  <c r="AF143" i="12"/>
  <c r="AF144" i="12"/>
  <c r="AF145" i="12"/>
  <c r="AF146" i="12"/>
  <c r="AF147" i="12"/>
  <c r="AF148" i="12"/>
  <c r="AF149" i="12"/>
  <c r="AF150" i="12"/>
  <c r="AF151" i="12"/>
  <c r="AF152" i="12"/>
  <c r="AF153" i="12"/>
  <c r="AF154" i="12"/>
  <c r="AF155" i="12"/>
  <c r="AF156" i="12"/>
  <c r="AF157" i="12"/>
  <c r="AF158" i="12"/>
  <c r="AF159" i="12"/>
  <c r="AF160" i="12"/>
  <c r="AF161" i="12"/>
  <c r="AF162" i="12"/>
  <c r="AF163" i="12"/>
  <c r="AF164" i="12"/>
  <c r="AF165" i="12"/>
  <c r="AF166" i="12"/>
  <c r="AF167" i="12"/>
  <c r="AF168" i="12"/>
  <c r="AF169" i="12"/>
  <c r="AF170" i="12"/>
  <c r="AF171" i="12"/>
  <c r="AF172" i="12"/>
  <c r="AF173" i="12"/>
  <c r="AF174" i="12"/>
  <c r="AF175" i="12"/>
  <c r="AF176" i="12"/>
  <c r="AF177" i="12"/>
  <c r="AF178" i="12"/>
  <c r="AF179" i="12"/>
  <c r="AF180" i="12"/>
  <c r="AF181" i="12"/>
  <c r="AF182" i="12"/>
  <c r="AF183" i="12"/>
  <c r="AF184" i="12"/>
  <c r="AF185" i="12"/>
  <c r="AF186" i="12"/>
  <c r="AF187" i="12"/>
  <c r="AF188" i="12"/>
  <c r="AF189" i="12"/>
  <c r="AF190" i="12"/>
  <c r="AF191" i="12"/>
  <c r="AF2" i="12"/>
  <c r="AD192" i="12"/>
  <c r="AD193" i="12"/>
  <c r="AD194" i="12"/>
  <c r="AD195" i="12"/>
  <c r="AD196" i="12"/>
  <c r="AD197" i="12"/>
  <c r="AD198" i="12"/>
  <c r="AD199" i="12"/>
  <c r="AD200" i="12"/>
  <c r="AD201" i="12"/>
  <c r="AD202" i="12"/>
  <c r="AD203" i="12"/>
  <c r="AD204" i="12"/>
  <c r="AD205" i="12"/>
  <c r="AD206" i="12"/>
  <c r="AD207" i="12"/>
  <c r="AD208" i="12"/>
  <c r="AD209" i="12"/>
  <c r="AD210" i="12"/>
  <c r="AD211" i="12"/>
  <c r="AD212" i="12"/>
  <c r="AD213" i="12"/>
  <c r="AD214" i="12"/>
  <c r="AD215" i="12"/>
  <c r="AD216" i="12"/>
  <c r="AD217" i="12"/>
  <c r="AD218" i="12"/>
  <c r="AD219" i="12"/>
  <c r="AD220" i="12"/>
  <c r="AD221" i="12"/>
  <c r="AD222" i="12"/>
  <c r="AD223" i="12"/>
  <c r="AD224" i="12"/>
  <c r="AD225" i="12"/>
  <c r="AD226" i="12"/>
  <c r="AD227" i="12"/>
  <c r="AD228" i="12"/>
  <c r="AD229" i="12"/>
  <c r="AD230" i="12"/>
  <c r="AD231" i="12"/>
  <c r="AD232" i="12"/>
  <c r="AD233" i="12"/>
  <c r="AD234" i="12"/>
  <c r="AD235" i="12"/>
  <c r="AD236" i="12"/>
  <c r="AD237" i="12"/>
  <c r="AD238" i="12"/>
  <c r="AD239" i="12"/>
  <c r="AD240" i="12"/>
  <c r="AD241" i="12"/>
  <c r="AD242" i="12"/>
  <c r="AD243" i="12"/>
  <c r="AD244" i="12"/>
  <c r="AD245" i="12"/>
  <c r="AD246" i="12"/>
  <c r="AD247" i="12"/>
  <c r="AD248" i="12"/>
  <c r="AD249" i="12"/>
  <c r="AD250" i="12"/>
  <c r="AD251" i="12"/>
  <c r="AD252" i="12"/>
  <c r="AD253" i="12"/>
  <c r="AD254" i="12"/>
  <c r="AD255" i="12"/>
  <c r="AD256" i="12"/>
  <c r="AD257" i="12"/>
  <c r="AD258" i="12"/>
  <c r="AD259" i="12"/>
  <c r="AD260" i="12"/>
  <c r="AD261" i="12"/>
  <c r="AD262" i="12"/>
  <c r="AD263" i="12"/>
  <c r="AD264" i="12"/>
  <c r="AD265" i="12"/>
  <c r="AD266" i="12"/>
  <c r="AD267" i="12"/>
  <c r="AD268" i="12"/>
  <c r="AD269" i="12"/>
  <c r="AD270" i="12"/>
  <c r="AD271" i="12"/>
  <c r="AD272" i="12"/>
  <c r="AD273" i="12"/>
  <c r="AD274" i="12"/>
  <c r="AD275" i="12"/>
  <c r="AD276" i="12"/>
  <c r="AD277" i="12"/>
  <c r="AD278" i="12"/>
  <c r="AD279" i="12"/>
  <c r="AD280" i="12"/>
  <c r="AD281" i="12"/>
  <c r="AD282" i="12"/>
  <c r="AD283" i="12"/>
  <c r="AD284" i="12"/>
  <c r="AD285" i="12"/>
  <c r="AD286" i="12"/>
  <c r="AD287" i="12"/>
  <c r="AD288" i="12"/>
  <c r="AD289" i="12"/>
  <c r="AD290" i="12"/>
  <c r="AD291" i="12"/>
  <c r="AD292" i="12"/>
  <c r="AD293" i="12"/>
  <c r="AD294" i="12"/>
  <c r="AD295" i="12"/>
  <c r="AD296" i="12"/>
  <c r="AD297" i="12"/>
  <c r="AD298" i="12"/>
  <c r="AD299" i="12"/>
  <c r="AD300" i="12"/>
  <c r="AD301" i="12"/>
  <c r="AD302" i="12"/>
  <c r="AD303" i="12"/>
  <c r="AD304" i="12"/>
  <c r="AD305" i="12"/>
  <c r="AD306" i="12"/>
  <c r="AD307" i="12"/>
  <c r="AD308" i="12"/>
  <c r="AD309" i="12"/>
  <c r="AD310" i="12"/>
  <c r="AD311" i="12"/>
  <c r="AD312" i="12"/>
  <c r="AD313" i="12"/>
  <c r="AD314" i="12"/>
  <c r="AD315" i="12"/>
  <c r="AD316" i="12"/>
  <c r="AD317" i="12"/>
  <c r="AD318" i="12"/>
  <c r="AD319" i="12"/>
  <c r="AD320" i="12"/>
  <c r="AD321" i="12"/>
  <c r="AD322" i="12"/>
  <c r="AD323" i="12"/>
  <c r="AD324" i="12"/>
  <c r="AD325" i="12"/>
  <c r="AD326" i="12"/>
  <c r="AD327" i="12"/>
  <c r="AD328" i="12"/>
  <c r="AD329" i="12"/>
  <c r="AD330" i="12"/>
  <c r="AD331" i="12"/>
  <c r="AD332" i="12"/>
  <c r="AD333" i="12"/>
  <c r="AD334" i="12"/>
  <c r="AD335" i="12"/>
  <c r="AD336" i="12"/>
  <c r="AD337" i="12"/>
  <c r="AD338" i="12"/>
  <c r="AD339" i="12"/>
  <c r="AD340" i="12"/>
  <c r="AD341" i="12"/>
  <c r="AD342" i="12"/>
  <c r="AD343" i="12"/>
  <c r="AD344" i="12"/>
  <c r="AD345" i="12"/>
  <c r="AD346" i="12"/>
  <c r="AD347" i="12"/>
  <c r="AD348" i="12"/>
  <c r="AD349" i="12"/>
  <c r="AD350" i="12"/>
  <c r="AD351" i="12"/>
  <c r="AD352" i="12"/>
  <c r="AD353" i="12"/>
  <c r="AD354" i="12"/>
  <c r="AD355" i="12"/>
  <c r="AD356" i="12"/>
  <c r="AD357" i="12"/>
  <c r="AD358" i="12"/>
  <c r="AD359" i="12"/>
  <c r="AD360" i="12"/>
  <c r="AD361" i="12"/>
  <c r="AD362" i="12"/>
  <c r="AD363" i="12"/>
  <c r="AD364" i="12"/>
  <c r="AD365" i="12"/>
  <c r="AD366" i="12"/>
  <c r="AD367" i="12"/>
  <c r="AD368" i="12"/>
  <c r="AD369" i="12"/>
  <c r="AD370" i="12"/>
  <c r="AD371" i="12"/>
  <c r="AD372" i="12"/>
  <c r="AD373" i="12"/>
  <c r="AD374" i="12"/>
  <c r="AD375" i="12"/>
  <c r="AD376" i="12"/>
  <c r="AD377" i="12"/>
  <c r="AD378" i="12"/>
  <c r="AD379" i="12"/>
  <c r="AD380" i="12"/>
  <c r="AD381" i="12"/>
  <c r="AD382" i="12"/>
  <c r="AD383" i="12"/>
  <c r="AD384" i="12"/>
  <c r="AD385" i="12"/>
  <c r="AD386" i="12"/>
  <c r="AD387" i="12"/>
  <c r="AD388" i="12"/>
  <c r="AD389" i="12"/>
  <c r="AD390" i="12"/>
  <c r="AD391" i="12"/>
  <c r="AD392" i="12"/>
  <c r="AD393" i="12"/>
  <c r="AD394" i="12"/>
  <c r="AD395" i="12"/>
  <c r="AD396" i="12"/>
  <c r="AD397" i="12"/>
  <c r="AD398" i="12"/>
  <c r="AD399" i="12"/>
  <c r="AD400" i="12"/>
  <c r="AD401" i="12"/>
  <c r="AD402" i="12"/>
  <c r="AD403" i="12"/>
  <c r="AD404" i="12"/>
  <c r="AC192" i="12"/>
  <c r="AC193" i="12"/>
  <c r="AC194" i="12"/>
  <c r="AC195" i="12"/>
  <c r="AC196" i="12"/>
  <c r="AC197" i="12"/>
  <c r="AC198" i="12"/>
  <c r="AC199" i="12"/>
  <c r="AC200" i="12"/>
  <c r="AC201" i="12"/>
  <c r="AC202" i="12"/>
  <c r="AC203" i="12"/>
  <c r="AC204" i="12"/>
  <c r="AC205" i="12"/>
  <c r="AC206" i="12"/>
  <c r="AC207" i="12"/>
  <c r="AC208" i="12"/>
  <c r="AC209" i="12"/>
  <c r="AC210" i="12"/>
  <c r="AC211" i="12"/>
  <c r="AC212" i="12"/>
  <c r="AC213" i="12"/>
  <c r="AC214" i="12"/>
  <c r="AC215" i="12"/>
  <c r="AC216" i="12"/>
  <c r="AC217" i="12"/>
  <c r="AC218" i="12"/>
  <c r="AC219" i="12"/>
  <c r="AC220" i="12"/>
  <c r="AC221" i="12"/>
  <c r="AC222" i="12"/>
  <c r="AC223" i="12"/>
  <c r="AC224" i="12"/>
  <c r="AC225" i="12"/>
  <c r="AC226" i="12"/>
  <c r="AC227" i="12"/>
  <c r="AC228" i="12"/>
  <c r="AC229" i="12"/>
  <c r="AC230" i="12"/>
  <c r="AC231" i="12"/>
  <c r="AC232" i="12"/>
  <c r="AC233" i="12"/>
  <c r="AC234" i="12"/>
  <c r="AC235" i="12"/>
  <c r="AC236" i="12"/>
  <c r="AC237" i="12"/>
  <c r="AC238" i="12"/>
  <c r="AC239" i="12"/>
  <c r="AC240" i="12"/>
  <c r="AC241" i="12"/>
  <c r="AC242" i="12"/>
  <c r="AC243" i="12"/>
  <c r="AC244" i="12"/>
  <c r="AC245" i="12"/>
  <c r="AC246" i="12"/>
  <c r="AC247" i="12"/>
  <c r="AC248" i="12"/>
  <c r="AC249" i="12"/>
  <c r="AC250" i="12"/>
  <c r="AC251" i="12"/>
  <c r="AC252" i="12"/>
  <c r="AC253" i="12"/>
  <c r="AC254" i="12"/>
  <c r="AC255" i="12"/>
  <c r="AC256" i="12"/>
  <c r="AC257" i="12"/>
  <c r="AC258" i="12"/>
  <c r="AC259" i="12"/>
  <c r="AC260" i="12"/>
  <c r="AC261" i="12"/>
  <c r="AC262" i="12"/>
  <c r="AC263" i="12"/>
  <c r="AC264" i="12"/>
  <c r="AC265" i="12"/>
  <c r="AC266" i="12"/>
  <c r="AC267" i="12"/>
  <c r="AC268" i="12"/>
  <c r="AC269" i="12"/>
  <c r="AC270" i="12"/>
  <c r="AC271" i="12"/>
  <c r="AC272" i="12"/>
  <c r="AC273" i="12"/>
  <c r="AC274" i="12"/>
  <c r="AC275" i="12"/>
  <c r="AC276" i="12"/>
  <c r="AC277" i="12"/>
  <c r="AC278" i="12"/>
  <c r="AC279" i="12"/>
  <c r="AC280" i="12"/>
  <c r="AC281" i="12"/>
  <c r="AC282" i="12"/>
  <c r="AC283" i="12"/>
  <c r="AC284" i="12"/>
  <c r="AC285" i="12"/>
  <c r="AC286" i="12"/>
  <c r="AC287" i="12"/>
  <c r="AC288" i="12"/>
  <c r="AC289" i="12"/>
  <c r="AC290" i="12"/>
  <c r="AC291" i="12"/>
  <c r="AC292" i="12"/>
  <c r="AC293" i="12"/>
  <c r="AC294" i="12"/>
  <c r="AC295" i="12"/>
  <c r="AC296" i="12"/>
  <c r="AC297" i="12"/>
  <c r="AC298" i="12"/>
  <c r="AC299" i="12"/>
  <c r="AC300" i="12"/>
  <c r="AC301" i="12"/>
  <c r="AC302" i="12"/>
  <c r="AC303" i="12"/>
  <c r="AC304" i="12"/>
  <c r="AC305" i="12"/>
  <c r="AC306" i="12"/>
  <c r="AC307" i="12"/>
  <c r="AC308" i="12"/>
  <c r="AC309" i="12"/>
  <c r="AC310" i="12"/>
  <c r="AC311" i="12"/>
  <c r="AC312" i="12"/>
  <c r="AC313" i="12"/>
  <c r="AC314" i="12"/>
  <c r="AC315" i="12"/>
  <c r="AC316" i="12"/>
  <c r="AC317" i="12"/>
  <c r="AC318" i="12"/>
  <c r="AC319" i="12"/>
  <c r="AC320" i="12"/>
  <c r="AC321" i="12"/>
  <c r="AC322" i="12"/>
  <c r="AC323" i="12"/>
  <c r="AC324" i="12"/>
  <c r="AC325" i="12"/>
  <c r="AC326" i="12"/>
  <c r="AC327" i="12"/>
  <c r="AC328" i="12"/>
  <c r="AC329" i="12"/>
  <c r="AC330" i="12"/>
  <c r="AC331" i="12"/>
  <c r="AC332" i="12"/>
  <c r="AC333" i="12"/>
  <c r="AC334" i="12"/>
  <c r="AC335" i="12"/>
  <c r="AC336" i="12"/>
  <c r="AC337" i="12"/>
  <c r="AC338" i="12"/>
  <c r="AC339" i="12"/>
  <c r="AC340" i="12"/>
  <c r="AC341" i="12"/>
  <c r="AC342" i="12"/>
  <c r="AC343" i="12"/>
  <c r="AC344" i="12"/>
  <c r="AC345" i="12"/>
  <c r="AC346" i="12"/>
  <c r="AC347" i="12"/>
  <c r="AC348" i="12"/>
  <c r="AC349" i="12"/>
  <c r="AC350" i="12"/>
  <c r="AC351" i="12"/>
  <c r="AC352" i="12"/>
  <c r="AC353" i="12"/>
  <c r="AC354" i="12"/>
  <c r="AC355" i="12"/>
  <c r="AC356" i="12"/>
  <c r="AC357" i="12"/>
  <c r="AC358" i="12"/>
  <c r="AC359" i="12"/>
  <c r="AC360" i="12"/>
  <c r="AC361" i="12"/>
  <c r="AC362" i="12"/>
  <c r="AC363" i="12"/>
  <c r="AC364" i="12"/>
  <c r="AC365" i="12"/>
  <c r="AC366" i="12"/>
  <c r="AC367" i="12"/>
  <c r="AC368" i="12"/>
  <c r="AC369" i="12"/>
  <c r="AC370" i="12"/>
  <c r="AC371" i="12"/>
  <c r="AC372" i="12"/>
  <c r="AC373" i="12"/>
  <c r="AC374" i="12"/>
  <c r="AC375" i="12"/>
  <c r="AC376" i="12"/>
  <c r="AC377" i="12"/>
  <c r="AC378" i="12"/>
  <c r="AC379" i="12"/>
  <c r="AC380" i="12"/>
  <c r="AC381" i="12"/>
  <c r="AC382" i="12"/>
  <c r="AC383" i="12"/>
  <c r="AC384" i="12"/>
  <c r="AC385" i="12"/>
  <c r="AC386" i="12"/>
  <c r="AC387" i="12"/>
  <c r="AC388" i="12"/>
  <c r="AC389" i="12"/>
  <c r="AC390" i="12"/>
  <c r="AC391" i="12"/>
  <c r="AC392" i="12"/>
  <c r="AC393" i="12"/>
  <c r="AC394" i="12"/>
  <c r="AC395" i="12"/>
  <c r="AC396" i="12"/>
  <c r="AC397" i="12"/>
  <c r="AC398" i="12"/>
  <c r="AC399" i="12"/>
  <c r="AC400" i="12"/>
  <c r="AC401" i="12"/>
  <c r="AC402" i="12"/>
  <c r="AC403" i="12"/>
  <c r="AC404" i="12"/>
  <c r="AA192" i="12"/>
  <c r="AE192" i="12" s="1"/>
  <c r="AA193" i="12"/>
  <c r="AE193" i="12" s="1"/>
  <c r="AA194" i="12"/>
  <c r="AA195" i="12"/>
  <c r="AA196" i="12"/>
  <c r="AA197" i="12"/>
  <c r="AB197" i="12" s="1"/>
  <c r="AA198" i="12"/>
  <c r="AB198" i="12" s="1"/>
  <c r="AA199" i="12"/>
  <c r="AE199" i="12" s="1"/>
  <c r="AA200" i="12"/>
  <c r="AE200" i="12" s="1"/>
  <c r="AA201" i="12"/>
  <c r="AA202" i="12"/>
  <c r="AA203" i="12"/>
  <c r="AA204" i="12"/>
  <c r="AA205" i="12"/>
  <c r="AA206" i="12"/>
  <c r="AB206" i="12" s="1"/>
  <c r="AA207" i="12"/>
  <c r="AB207" i="12" s="1"/>
  <c r="AA208" i="12"/>
  <c r="AE208" i="12" s="1"/>
  <c r="AA209" i="12"/>
  <c r="AA210" i="12"/>
  <c r="AA211" i="12"/>
  <c r="AA212" i="12"/>
  <c r="AA213" i="12"/>
  <c r="AA214" i="12"/>
  <c r="AB214" i="12" s="1"/>
  <c r="AA215" i="12"/>
  <c r="AB215" i="12" s="1"/>
  <c r="AA216" i="12"/>
  <c r="AE216" i="12" s="1"/>
  <c r="AA217" i="12"/>
  <c r="AA218" i="12"/>
  <c r="AA219" i="12"/>
  <c r="AA220" i="12"/>
  <c r="AA221" i="12"/>
  <c r="AA222" i="12"/>
  <c r="AB222" i="12" s="1"/>
  <c r="AA223" i="12"/>
  <c r="AB223" i="12" s="1"/>
  <c r="AA224" i="12"/>
  <c r="AE224" i="12" s="1"/>
  <c r="AA225" i="12"/>
  <c r="AA226" i="12"/>
  <c r="AA227" i="12"/>
  <c r="AA228" i="12"/>
  <c r="AA229" i="12"/>
  <c r="AA230" i="12"/>
  <c r="AB230" i="12" s="1"/>
  <c r="AA231" i="12"/>
  <c r="AE231" i="12" s="1"/>
  <c r="AA232" i="12"/>
  <c r="AE232" i="12" s="1"/>
  <c r="AA233" i="12"/>
  <c r="AA234" i="12"/>
  <c r="AA235" i="12"/>
  <c r="AA236" i="12"/>
  <c r="AA237" i="12"/>
  <c r="AA238" i="12"/>
  <c r="AB238" i="12" s="1"/>
  <c r="AA239" i="12"/>
  <c r="AB239" i="12" s="1"/>
  <c r="AA240" i="12"/>
  <c r="AE240" i="12" s="1"/>
  <c r="AA241" i="12"/>
  <c r="AA242" i="12"/>
  <c r="AA243" i="12"/>
  <c r="AA244" i="12"/>
  <c r="AA245" i="12"/>
  <c r="AA246" i="12"/>
  <c r="AB246" i="12" s="1"/>
  <c r="AA247" i="12"/>
  <c r="AB247" i="12" s="1"/>
  <c r="AA248" i="12"/>
  <c r="AE248" i="12" s="1"/>
  <c r="AA249" i="12"/>
  <c r="AA250" i="12"/>
  <c r="AA251" i="12"/>
  <c r="AA252" i="12"/>
  <c r="AA253" i="12"/>
  <c r="AA254" i="12"/>
  <c r="AB254" i="12" s="1"/>
  <c r="AA255" i="12"/>
  <c r="AB255" i="12" s="1"/>
  <c r="AA256" i="12"/>
  <c r="AE256" i="12" s="1"/>
  <c r="AA257" i="12"/>
  <c r="AA258" i="12"/>
  <c r="AA259" i="12"/>
  <c r="AA260" i="12"/>
  <c r="AA261" i="12"/>
  <c r="AA262" i="12"/>
  <c r="AB262" i="12" s="1"/>
  <c r="AA263" i="12"/>
  <c r="AE263" i="12" s="1"/>
  <c r="AA264" i="12"/>
  <c r="AE264" i="12" s="1"/>
  <c r="AA265" i="12"/>
  <c r="AA266" i="12"/>
  <c r="AA267" i="12"/>
  <c r="AA268" i="12"/>
  <c r="AA269" i="12"/>
  <c r="AA270" i="12"/>
  <c r="AB270" i="12" s="1"/>
  <c r="AA271" i="12"/>
  <c r="AB271" i="12" s="1"/>
  <c r="AA272" i="12"/>
  <c r="AE272" i="12" s="1"/>
  <c r="AA273" i="12"/>
  <c r="AA274" i="12"/>
  <c r="AA275" i="12"/>
  <c r="AA276" i="12"/>
  <c r="AA277" i="12"/>
  <c r="AA278" i="12"/>
  <c r="AB278" i="12" s="1"/>
  <c r="AA279" i="12"/>
  <c r="AB279" i="12" s="1"/>
  <c r="AA280" i="12"/>
  <c r="AE280" i="12" s="1"/>
  <c r="AA281" i="12"/>
  <c r="AA282" i="12"/>
  <c r="AA283" i="12"/>
  <c r="AA284" i="12"/>
  <c r="AA285" i="12"/>
  <c r="AA286" i="12"/>
  <c r="AB286" i="12" s="1"/>
  <c r="AA287" i="12"/>
  <c r="AB287" i="12" s="1"/>
  <c r="AA288" i="12"/>
  <c r="AE288" i="12" s="1"/>
  <c r="AA289" i="12"/>
  <c r="AA290" i="12"/>
  <c r="AA291" i="12"/>
  <c r="AA292" i="12"/>
  <c r="AA293" i="12"/>
  <c r="AA294" i="12"/>
  <c r="AB294" i="12" s="1"/>
  <c r="AA295" i="12"/>
  <c r="AE295" i="12" s="1"/>
  <c r="AA296" i="12"/>
  <c r="AE296" i="12" s="1"/>
  <c r="AA297" i="12"/>
  <c r="AA298" i="12"/>
  <c r="AA299" i="12"/>
  <c r="AA300" i="12"/>
  <c r="AA301" i="12"/>
  <c r="AA302" i="12"/>
  <c r="AB302" i="12" s="1"/>
  <c r="AA303" i="12"/>
  <c r="AB303" i="12" s="1"/>
  <c r="AA304" i="12"/>
  <c r="AE304" i="12" s="1"/>
  <c r="AA305" i="12"/>
  <c r="AA306" i="12"/>
  <c r="AA307" i="12"/>
  <c r="AA308" i="12"/>
  <c r="AA309" i="12"/>
  <c r="AA310" i="12"/>
  <c r="AB310" i="12" s="1"/>
  <c r="AA311" i="12"/>
  <c r="AB311" i="12" s="1"/>
  <c r="AA312" i="12"/>
  <c r="AE312" i="12" s="1"/>
  <c r="AA313" i="12"/>
  <c r="AA314" i="12"/>
  <c r="AA315" i="12"/>
  <c r="AA316" i="12"/>
  <c r="AA317" i="12"/>
  <c r="AA318" i="12"/>
  <c r="AB318" i="12" s="1"/>
  <c r="AA319" i="12"/>
  <c r="AB319" i="12" s="1"/>
  <c r="AA320" i="12"/>
  <c r="AE320" i="12" s="1"/>
  <c r="AA321" i="12"/>
  <c r="AA322" i="12"/>
  <c r="AA323" i="12"/>
  <c r="AA324" i="12"/>
  <c r="AA325" i="12"/>
  <c r="AA326" i="12"/>
  <c r="AB326" i="12" s="1"/>
  <c r="AA327" i="12"/>
  <c r="AE327" i="12" s="1"/>
  <c r="AA328" i="12"/>
  <c r="AE328" i="12" s="1"/>
  <c r="AA329" i="12"/>
  <c r="AA330" i="12"/>
  <c r="AA331" i="12"/>
  <c r="AA332" i="12"/>
  <c r="AA333" i="12"/>
  <c r="AA334" i="12"/>
  <c r="AB334" i="12" s="1"/>
  <c r="AA335" i="12"/>
  <c r="AB335" i="12" s="1"/>
  <c r="AA336" i="12"/>
  <c r="AE336" i="12" s="1"/>
  <c r="AA337" i="12"/>
  <c r="AA338" i="12"/>
  <c r="AA339" i="12"/>
  <c r="AA340" i="12"/>
  <c r="AA341" i="12"/>
  <c r="AA342" i="12"/>
  <c r="AB342" i="12" s="1"/>
  <c r="AA343" i="12"/>
  <c r="AB343" i="12" s="1"/>
  <c r="AA344" i="12"/>
  <c r="AE344" i="12" s="1"/>
  <c r="AA345" i="12"/>
  <c r="AA346" i="12"/>
  <c r="AA347" i="12"/>
  <c r="AA348" i="12"/>
  <c r="AA349" i="12"/>
  <c r="AA350" i="12"/>
  <c r="AB350" i="12" s="1"/>
  <c r="AA351" i="12"/>
  <c r="AB351" i="12" s="1"/>
  <c r="AA352" i="12"/>
  <c r="AE352" i="12" s="1"/>
  <c r="AA353" i="12"/>
  <c r="AA354" i="12"/>
  <c r="AA355" i="12"/>
  <c r="AA356" i="12"/>
  <c r="AA357" i="12"/>
  <c r="AA358" i="12"/>
  <c r="AB358" i="12" s="1"/>
  <c r="AA359" i="12"/>
  <c r="AE359" i="12" s="1"/>
  <c r="AA360" i="12"/>
  <c r="AE360" i="12" s="1"/>
  <c r="AA361" i="12"/>
  <c r="AA362" i="12"/>
  <c r="AA363" i="12"/>
  <c r="AA364" i="12"/>
  <c r="AA365" i="12"/>
  <c r="AA366" i="12"/>
  <c r="AB366" i="12" s="1"/>
  <c r="AA367" i="12"/>
  <c r="AB367" i="12" s="1"/>
  <c r="AA368" i="12"/>
  <c r="AE368" i="12" s="1"/>
  <c r="AA369" i="12"/>
  <c r="AA370" i="12"/>
  <c r="AA371" i="12"/>
  <c r="AA372" i="12"/>
  <c r="AA373" i="12"/>
  <c r="AA374" i="12"/>
  <c r="AB374" i="12" s="1"/>
  <c r="AA375" i="12"/>
  <c r="AB375" i="12" s="1"/>
  <c r="AA376" i="12"/>
  <c r="AE376" i="12" s="1"/>
  <c r="AA377" i="12"/>
  <c r="AA378" i="12"/>
  <c r="AA379" i="12"/>
  <c r="AA380" i="12"/>
  <c r="AA381" i="12"/>
  <c r="AA382" i="12"/>
  <c r="AB382" i="12" s="1"/>
  <c r="AA383" i="12"/>
  <c r="AB383" i="12" s="1"/>
  <c r="AA384" i="12"/>
  <c r="AE384" i="12" s="1"/>
  <c r="AA385" i="12"/>
  <c r="AA386" i="12"/>
  <c r="AA387" i="12"/>
  <c r="AA388" i="12"/>
  <c r="AA389" i="12"/>
  <c r="AA390" i="12"/>
  <c r="AB390" i="12" s="1"/>
  <c r="AA391" i="12"/>
  <c r="AE391" i="12" s="1"/>
  <c r="AA392" i="12"/>
  <c r="AE392" i="12" s="1"/>
  <c r="AA393" i="12"/>
  <c r="AA394" i="12"/>
  <c r="AA395" i="12"/>
  <c r="AA396" i="12"/>
  <c r="AA397" i="12"/>
  <c r="AA398" i="12"/>
  <c r="AB398" i="12" s="1"/>
  <c r="AA399" i="12"/>
  <c r="AB399" i="12" s="1"/>
  <c r="AA400" i="12"/>
  <c r="AE400" i="12" s="1"/>
  <c r="AA401" i="12"/>
  <c r="AA402" i="12"/>
  <c r="AA403" i="12"/>
  <c r="AA404" i="12"/>
  <c r="AA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76" i="12"/>
  <c r="AA77" i="12"/>
  <c r="AA78" i="12"/>
  <c r="AA79" i="12"/>
  <c r="AA80" i="12"/>
  <c r="AA81" i="12"/>
  <c r="AA82" i="12"/>
  <c r="AA83" i="12"/>
  <c r="AA84" i="12"/>
  <c r="AA85" i="12"/>
  <c r="AA86" i="12"/>
  <c r="AA87" i="12"/>
  <c r="AA88" i="12"/>
  <c r="AA89" i="12"/>
  <c r="AA90" i="12"/>
  <c r="AA91" i="12"/>
  <c r="AA92" i="12"/>
  <c r="AA93" i="12"/>
  <c r="AA94" i="12"/>
  <c r="AA95" i="12"/>
  <c r="AA96" i="12"/>
  <c r="AA97" i="12"/>
  <c r="AA98" i="12"/>
  <c r="AA99" i="12"/>
  <c r="AA100" i="12"/>
  <c r="AA101" i="12"/>
  <c r="AA102" i="12"/>
  <c r="AA103" i="12"/>
  <c r="AA104" i="12"/>
  <c r="AA105" i="12"/>
  <c r="AA106" i="12"/>
  <c r="AA107" i="12"/>
  <c r="AA108" i="12"/>
  <c r="AA109" i="12"/>
  <c r="AA110" i="12"/>
  <c r="AA111" i="12"/>
  <c r="AA112" i="12"/>
  <c r="AA113" i="12"/>
  <c r="AA114" i="12"/>
  <c r="AA115" i="12"/>
  <c r="AA116" i="12"/>
  <c r="AA117" i="12"/>
  <c r="AA118" i="12"/>
  <c r="AA119" i="12"/>
  <c r="AA120" i="12"/>
  <c r="AA121" i="12"/>
  <c r="AA122" i="12"/>
  <c r="AA123" i="12"/>
  <c r="AA124" i="12"/>
  <c r="AA125" i="12"/>
  <c r="AA126" i="12"/>
  <c r="AA127" i="12"/>
  <c r="AA128" i="12"/>
  <c r="AA129" i="12"/>
  <c r="AA130" i="12"/>
  <c r="AA131" i="12"/>
  <c r="AA132" i="12"/>
  <c r="AA133" i="12"/>
  <c r="AA134" i="12"/>
  <c r="AA135" i="12"/>
  <c r="AA136" i="12"/>
  <c r="AA137" i="12"/>
  <c r="AA138" i="12"/>
  <c r="AA139" i="12"/>
  <c r="AA140" i="12"/>
  <c r="AA141" i="12"/>
  <c r="AA142" i="12"/>
  <c r="AA143" i="12"/>
  <c r="AA144" i="12"/>
  <c r="AA145" i="12"/>
  <c r="AA146" i="12"/>
  <c r="AA147" i="12"/>
  <c r="AA148" i="12"/>
  <c r="AA149" i="12"/>
  <c r="AA150" i="12"/>
  <c r="AA151" i="12"/>
  <c r="AA152" i="12"/>
  <c r="AA153" i="12"/>
  <c r="AA154" i="12"/>
  <c r="AA155" i="12"/>
  <c r="AA156" i="12"/>
  <c r="AA157" i="12"/>
  <c r="AA158" i="12"/>
  <c r="AA159" i="12"/>
  <c r="AA160" i="12"/>
  <c r="AA161" i="12"/>
  <c r="AA162" i="12"/>
  <c r="AA163" i="12"/>
  <c r="AA164" i="12"/>
  <c r="AA165" i="12"/>
  <c r="AA166" i="12"/>
  <c r="AA167" i="12"/>
  <c r="AA168" i="12"/>
  <c r="AA169" i="12"/>
  <c r="AA170" i="12"/>
  <c r="AA171" i="12"/>
  <c r="AA172" i="12"/>
  <c r="AA173" i="12"/>
  <c r="AA174" i="12"/>
  <c r="AA175" i="12"/>
  <c r="AA176" i="12"/>
  <c r="AA177" i="12"/>
  <c r="AA178" i="12"/>
  <c r="AA179" i="12"/>
  <c r="AA180" i="12"/>
  <c r="AA181" i="12"/>
  <c r="AA182" i="12"/>
  <c r="AA183" i="12"/>
  <c r="AA184" i="12"/>
  <c r="AA185" i="12"/>
  <c r="AA186" i="12"/>
  <c r="AA187" i="12"/>
  <c r="AA188" i="12"/>
  <c r="AA189" i="12"/>
  <c r="AA190" i="12"/>
  <c r="AA191" i="12"/>
  <c r="AA2" i="12"/>
  <c r="Y192" i="12"/>
  <c r="Y193" i="12"/>
  <c r="Y194" i="12"/>
  <c r="Y195" i="12"/>
  <c r="Y196" i="12"/>
  <c r="Y197" i="12"/>
  <c r="Y198" i="12"/>
  <c r="Y199" i="12"/>
  <c r="Y200" i="12"/>
  <c r="Y201" i="12"/>
  <c r="Y202" i="12"/>
  <c r="Y203" i="12"/>
  <c r="Y204" i="12"/>
  <c r="Y205" i="12"/>
  <c r="Y206" i="12"/>
  <c r="Y207" i="12"/>
  <c r="Y208" i="12"/>
  <c r="Y209" i="12"/>
  <c r="Y210" i="12"/>
  <c r="Y211" i="12"/>
  <c r="Y212" i="12"/>
  <c r="Y213" i="12"/>
  <c r="Y214" i="12"/>
  <c r="Y215" i="12"/>
  <c r="Y216" i="12"/>
  <c r="Y217" i="12"/>
  <c r="Y218" i="12"/>
  <c r="Y219" i="12"/>
  <c r="Y220" i="12"/>
  <c r="Y221" i="12"/>
  <c r="Y222" i="12"/>
  <c r="Y223" i="12"/>
  <c r="Y224" i="12"/>
  <c r="Y225" i="12"/>
  <c r="Y226" i="12"/>
  <c r="Y227" i="12"/>
  <c r="Y228" i="12"/>
  <c r="Y229" i="12"/>
  <c r="Y230" i="12"/>
  <c r="Y231" i="12"/>
  <c r="Y232" i="12"/>
  <c r="Y233" i="12"/>
  <c r="Y234" i="12"/>
  <c r="Y235" i="12"/>
  <c r="Y236" i="12"/>
  <c r="Y237" i="12"/>
  <c r="Y238" i="12"/>
  <c r="Y239" i="12"/>
  <c r="Y240" i="12"/>
  <c r="Y241" i="12"/>
  <c r="Y242" i="12"/>
  <c r="Y243" i="12"/>
  <c r="Y244" i="12"/>
  <c r="Y245" i="12"/>
  <c r="Y246" i="12"/>
  <c r="Y247" i="12"/>
  <c r="Y248" i="12"/>
  <c r="Y249" i="12"/>
  <c r="Y250" i="12"/>
  <c r="Y251" i="12"/>
  <c r="Y252" i="12"/>
  <c r="Y253" i="12"/>
  <c r="Y254" i="12"/>
  <c r="Y255" i="12"/>
  <c r="Y256" i="12"/>
  <c r="Y257" i="12"/>
  <c r="Y258" i="12"/>
  <c r="Y259" i="12"/>
  <c r="Y260" i="12"/>
  <c r="Y261" i="12"/>
  <c r="Y262" i="12"/>
  <c r="Y263" i="12"/>
  <c r="Y264" i="12"/>
  <c r="Y265" i="12"/>
  <c r="Y266" i="12"/>
  <c r="Y267" i="12"/>
  <c r="Y268" i="12"/>
  <c r="Y269" i="12"/>
  <c r="Y270" i="12"/>
  <c r="Y271" i="12"/>
  <c r="Y272" i="12"/>
  <c r="Y273" i="12"/>
  <c r="Y274" i="12"/>
  <c r="Y275" i="12"/>
  <c r="Y276" i="12"/>
  <c r="Y277" i="12"/>
  <c r="Y278" i="12"/>
  <c r="Y279" i="12"/>
  <c r="Y280" i="12"/>
  <c r="Y281" i="12"/>
  <c r="Y282" i="12"/>
  <c r="Y283" i="12"/>
  <c r="Y284" i="12"/>
  <c r="Y285" i="12"/>
  <c r="Y286" i="12"/>
  <c r="Y287" i="12"/>
  <c r="Y288" i="12"/>
  <c r="Y289" i="12"/>
  <c r="Y290" i="12"/>
  <c r="Y291" i="12"/>
  <c r="Y292" i="12"/>
  <c r="Y293" i="12"/>
  <c r="Y294" i="12"/>
  <c r="Y295" i="12"/>
  <c r="Y296" i="12"/>
  <c r="Y297" i="12"/>
  <c r="Y298" i="12"/>
  <c r="Y299" i="12"/>
  <c r="Y300" i="12"/>
  <c r="Y301" i="12"/>
  <c r="Y302" i="12"/>
  <c r="Y303" i="12"/>
  <c r="Y304" i="12"/>
  <c r="Y305" i="12"/>
  <c r="Y306" i="12"/>
  <c r="Y307" i="12"/>
  <c r="Y308" i="12"/>
  <c r="Y309" i="12"/>
  <c r="Y310" i="12"/>
  <c r="Y311" i="12"/>
  <c r="Y312" i="12"/>
  <c r="Y313" i="12"/>
  <c r="Y314" i="12"/>
  <c r="Y315" i="12"/>
  <c r="Y316" i="12"/>
  <c r="Y317" i="12"/>
  <c r="Y318" i="12"/>
  <c r="Y319" i="12"/>
  <c r="Y320" i="12"/>
  <c r="Y321" i="12"/>
  <c r="Y322" i="12"/>
  <c r="Y323" i="12"/>
  <c r="Y324" i="12"/>
  <c r="Y325" i="12"/>
  <c r="Y326" i="12"/>
  <c r="Y327" i="12"/>
  <c r="Y328" i="12"/>
  <c r="Y329" i="12"/>
  <c r="Y330" i="12"/>
  <c r="Y331" i="12"/>
  <c r="Y332" i="12"/>
  <c r="Y333" i="12"/>
  <c r="Y334" i="12"/>
  <c r="Y335" i="12"/>
  <c r="Y336" i="12"/>
  <c r="Y337" i="12"/>
  <c r="Y338" i="12"/>
  <c r="Y339" i="12"/>
  <c r="Y340" i="12"/>
  <c r="Y341" i="12"/>
  <c r="Y342" i="12"/>
  <c r="Y343" i="12"/>
  <c r="Y344" i="12"/>
  <c r="Y345" i="12"/>
  <c r="Y346" i="12"/>
  <c r="Y347" i="12"/>
  <c r="Y348" i="12"/>
  <c r="Y349" i="12"/>
  <c r="Y350" i="12"/>
  <c r="Y351" i="12"/>
  <c r="Y352" i="12"/>
  <c r="Y353" i="12"/>
  <c r="Y354" i="12"/>
  <c r="Y355" i="12"/>
  <c r="Y356" i="12"/>
  <c r="Y357" i="12"/>
  <c r="Y358" i="12"/>
  <c r="Y359" i="12"/>
  <c r="Y360" i="12"/>
  <c r="Y361" i="12"/>
  <c r="Y362" i="12"/>
  <c r="Y363" i="12"/>
  <c r="Y364" i="12"/>
  <c r="Y365" i="12"/>
  <c r="Y366" i="12"/>
  <c r="Y367" i="12"/>
  <c r="Y368" i="12"/>
  <c r="Y369" i="12"/>
  <c r="Y370" i="12"/>
  <c r="Y371" i="12"/>
  <c r="Y372" i="12"/>
  <c r="Y373" i="12"/>
  <c r="Y374" i="12"/>
  <c r="Y375" i="12"/>
  <c r="Y376" i="12"/>
  <c r="Y377" i="12"/>
  <c r="Y378" i="12"/>
  <c r="Y379" i="12"/>
  <c r="Y380" i="12"/>
  <c r="Y381" i="12"/>
  <c r="Y382" i="12"/>
  <c r="Y383" i="12"/>
  <c r="Y384" i="12"/>
  <c r="Y385" i="12"/>
  <c r="Y386" i="12"/>
  <c r="Y387" i="12"/>
  <c r="Y388" i="12"/>
  <c r="Y389" i="12"/>
  <c r="Y390" i="12"/>
  <c r="Y391" i="12"/>
  <c r="Y392" i="12"/>
  <c r="Y393" i="12"/>
  <c r="Y394" i="12"/>
  <c r="Y395" i="12"/>
  <c r="Y396" i="12"/>
  <c r="Y397" i="12"/>
  <c r="Y398" i="12"/>
  <c r="Y399" i="12"/>
  <c r="Y400" i="12"/>
  <c r="Y401" i="12"/>
  <c r="Y402" i="12"/>
  <c r="Y403" i="12"/>
  <c r="Y404" i="12"/>
  <c r="X192" i="12"/>
  <c r="X193" i="12"/>
  <c r="X194" i="12"/>
  <c r="X195" i="12"/>
  <c r="X196" i="12"/>
  <c r="X197" i="12"/>
  <c r="X198" i="12"/>
  <c r="X199" i="12"/>
  <c r="X200" i="12"/>
  <c r="X201" i="12"/>
  <c r="X202" i="12"/>
  <c r="X203" i="12"/>
  <c r="X204" i="12"/>
  <c r="X205" i="12"/>
  <c r="X206" i="12"/>
  <c r="X207" i="12"/>
  <c r="X208" i="12"/>
  <c r="X209" i="12"/>
  <c r="X210" i="12"/>
  <c r="X211" i="12"/>
  <c r="X212" i="12"/>
  <c r="X213" i="12"/>
  <c r="X214" i="12"/>
  <c r="X215" i="12"/>
  <c r="X216" i="12"/>
  <c r="X217" i="12"/>
  <c r="X218" i="12"/>
  <c r="X219" i="12"/>
  <c r="X220" i="12"/>
  <c r="X221" i="12"/>
  <c r="X222" i="12"/>
  <c r="X223" i="12"/>
  <c r="X224" i="12"/>
  <c r="X225" i="12"/>
  <c r="X226" i="12"/>
  <c r="X227" i="12"/>
  <c r="X228" i="12"/>
  <c r="X229" i="12"/>
  <c r="X230" i="12"/>
  <c r="X231" i="12"/>
  <c r="X232" i="12"/>
  <c r="X233" i="12"/>
  <c r="X234" i="12"/>
  <c r="X235" i="12"/>
  <c r="X236" i="12"/>
  <c r="X237" i="12"/>
  <c r="X238" i="12"/>
  <c r="X239" i="12"/>
  <c r="X240" i="12"/>
  <c r="X241" i="12"/>
  <c r="X242" i="12"/>
  <c r="X243" i="12"/>
  <c r="X244" i="12"/>
  <c r="X245" i="12"/>
  <c r="X246" i="12"/>
  <c r="X247" i="12"/>
  <c r="X248" i="12"/>
  <c r="X249" i="12"/>
  <c r="X250" i="12"/>
  <c r="X251" i="12"/>
  <c r="X252" i="12"/>
  <c r="X253" i="12"/>
  <c r="X254" i="12"/>
  <c r="X255" i="12"/>
  <c r="X256" i="12"/>
  <c r="X257" i="12"/>
  <c r="X258" i="12"/>
  <c r="X259" i="12"/>
  <c r="X260" i="12"/>
  <c r="X261" i="12"/>
  <c r="X262" i="12"/>
  <c r="X263" i="12"/>
  <c r="X264" i="12"/>
  <c r="X265" i="12"/>
  <c r="X266" i="12"/>
  <c r="X267" i="12"/>
  <c r="X268" i="12"/>
  <c r="X269" i="12"/>
  <c r="X270" i="12"/>
  <c r="X271" i="12"/>
  <c r="X272" i="12"/>
  <c r="X273" i="12"/>
  <c r="X274" i="12"/>
  <c r="X275" i="12"/>
  <c r="X276" i="12"/>
  <c r="X277" i="12"/>
  <c r="X278" i="12"/>
  <c r="X279" i="12"/>
  <c r="X280" i="12"/>
  <c r="X281" i="12"/>
  <c r="X282" i="12"/>
  <c r="X283" i="12"/>
  <c r="X284" i="12"/>
  <c r="X285" i="12"/>
  <c r="X286" i="12"/>
  <c r="X287" i="12"/>
  <c r="X288" i="12"/>
  <c r="X289" i="12"/>
  <c r="X290" i="12"/>
  <c r="X291" i="12"/>
  <c r="X292" i="12"/>
  <c r="X293" i="12"/>
  <c r="X294" i="12"/>
  <c r="X295" i="12"/>
  <c r="X296" i="12"/>
  <c r="X297" i="12"/>
  <c r="X298" i="12"/>
  <c r="X299" i="12"/>
  <c r="X300" i="12"/>
  <c r="X301" i="12"/>
  <c r="X302" i="12"/>
  <c r="X303" i="12"/>
  <c r="X304" i="12"/>
  <c r="X305" i="12"/>
  <c r="X306" i="12"/>
  <c r="X307" i="12"/>
  <c r="X308" i="12"/>
  <c r="X309" i="12"/>
  <c r="X310" i="12"/>
  <c r="X311" i="12"/>
  <c r="X312" i="12"/>
  <c r="X313" i="12"/>
  <c r="X314" i="12"/>
  <c r="X315" i="12"/>
  <c r="X316" i="12"/>
  <c r="X317" i="12"/>
  <c r="X318" i="12"/>
  <c r="X319" i="12"/>
  <c r="X320" i="12"/>
  <c r="X321" i="12"/>
  <c r="X322" i="12"/>
  <c r="X323" i="12"/>
  <c r="X324" i="12"/>
  <c r="X325" i="12"/>
  <c r="X326" i="12"/>
  <c r="X327" i="12"/>
  <c r="X328" i="12"/>
  <c r="X329" i="12"/>
  <c r="X330" i="12"/>
  <c r="X331" i="12"/>
  <c r="X332" i="12"/>
  <c r="X333" i="12"/>
  <c r="X334" i="12"/>
  <c r="X335" i="12"/>
  <c r="X336" i="12"/>
  <c r="X337" i="12"/>
  <c r="X338" i="12"/>
  <c r="X339" i="12"/>
  <c r="X340" i="12"/>
  <c r="X341" i="12"/>
  <c r="X342" i="12"/>
  <c r="X343" i="12"/>
  <c r="X344" i="12"/>
  <c r="X345" i="12"/>
  <c r="X346" i="12"/>
  <c r="X347" i="12"/>
  <c r="X348" i="12"/>
  <c r="X349" i="12"/>
  <c r="X350" i="12"/>
  <c r="X351" i="12"/>
  <c r="X352" i="12"/>
  <c r="X353" i="12"/>
  <c r="X354" i="12"/>
  <c r="X355" i="12"/>
  <c r="X356" i="12"/>
  <c r="X357" i="12"/>
  <c r="X358" i="12"/>
  <c r="X359" i="12"/>
  <c r="X360" i="12"/>
  <c r="X361" i="12"/>
  <c r="X362" i="12"/>
  <c r="X363" i="12"/>
  <c r="X364" i="12"/>
  <c r="X365" i="12"/>
  <c r="X366" i="12"/>
  <c r="X367" i="12"/>
  <c r="X368" i="12"/>
  <c r="X369" i="12"/>
  <c r="X370" i="12"/>
  <c r="X371" i="12"/>
  <c r="X372" i="12"/>
  <c r="X373" i="12"/>
  <c r="X374" i="12"/>
  <c r="X375" i="12"/>
  <c r="X376" i="12"/>
  <c r="X377" i="12"/>
  <c r="X378" i="12"/>
  <c r="X379" i="12"/>
  <c r="X380" i="12"/>
  <c r="X381" i="12"/>
  <c r="X382" i="12"/>
  <c r="X383" i="12"/>
  <c r="X384" i="12"/>
  <c r="X385" i="12"/>
  <c r="X386" i="12"/>
  <c r="X387" i="12"/>
  <c r="X388" i="12"/>
  <c r="X389" i="12"/>
  <c r="X390" i="12"/>
  <c r="X391" i="12"/>
  <c r="X392" i="12"/>
  <c r="X393" i="12"/>
  <c r="X394" i="12"/>
  <c r="X395" i="12"/>
  <c r="X396" i="12"/>
  <c r="X397" i="12"/>
  <c r="X398" i="12"/>
  <c r="X399" i="12"/>
  <c r="X400" i="12"/>
  <c r="X401" i="12"/>
  <c r="X402" i="12"/>
  <c r="X403" i="12"/>
  <c r="X404" i="12"/>
  <c r="V192" i="12"/>
  <c r="W192" i="12" s="1"/>
  <c r="V193" i="12"/>
  <c r="V194" i="12"/>
  <c r="V195" i="12"/>
  <c r="V196" i="12"/>
  <c r="V197" i="12"/>
  <c r="Z197" i="12" s="1"/>
  <c r="V198" i="12"/>
  <c r="V199" i="12"/>
  <c r="W199" i="12" s="1"/>
  <c r="V200" i="12"/>
  <c r="W200" i="12" s="1"/>
  <c r="V201" i="12"/>
  <c r="V202" i="12"/>
  <c r="V203" i="12"/>
  <c r="W203" i="12" s="1"/>
  <c r="V204" i="12"/>
  <c r="V205" i="12"/>
  <c r="V206" i="12"/>
  <c r="V207" i="12"/>
  <c r="W207" i="12" s="1"/>
  <c r="V208" i="12"/>
  <c r="W208" i="12" s="1"/>
  <c r="V209" i="12"/>
  <c r="V210" i="12"/>
  <c r="V211" i="12"/>
  <c r="V212" i="12"/>
  <c r="V213" i="12"/>
  <c r="V214" i="12"/>
  <c r="V215" i="12"/>
  <c r="W215" i="12" s="1"/>
  <c r="V216" i="12"/>
  <c r="W216" i="12" s="1"/>
  <c r="V217" i="12"/>
  <c r="V218" i="12"/>
  <c r="V219" i="12"/>
  <c r="Z219" i="12" s="1"/>
  <c r="V220" i="12"/>
  <c r="V221" i="12"/>
  <c r="V222" i="12"/>
  <c r="V223" i="12"/>
  <c r="W223" i="12" s="1"/>
  <c r="V224" i="12"/>
  <c r="W224" i="12" s="1"/>
  <c r="V225" i="12"/>
  <c r="V226" i="12"/>
  <c r="W226" i="12" s="1"/>
  <c r="V227" i="12"/>
  <c r="V228" i="12"/>
  <c r="V229" i="12"/>
  <c r="V230" i="12"/>
  <c r="V231" i="12"/>
  <c r="W231" i="12" s="1"/>
  <c r="V232" i="12"/>
  <c r="W232" i="12" s="1"/>
  <c r="V233" i="12"/>
  <c r="V234" i="12"/>
  <c r="V235" i="12"/>
  <c r="V236" i="12"/>
  <c r="V237" i="12"/>
  <c r="V238" i="12"/>
  <c r="V239" i="12"/>
  <c r="V240" i="12"/>
  <c r="W240" i="12" s="1"/>
  <c r="V241" i="12"/>
  <c r="Z241" i="12" s="1"/>
  <c r="V242" i="12"/>
  <c r="V243" i="12"/>
  <c r="V244" i="12"/>
  <c r="V245" i="12"/>
  <c r="W245" i="12" s="1"/>
  <c r="V246" i="12"/>
  <c r="V247" i="12"/>
  <c r="V248" i="12"/>
  <c r="W248" i="12" s="1"/>
  <c r="V249" i="12"/>
  <c r="V250" i="12"/>
  <c r="V251" i="12"/>
  <c r="V252" i="12"/>
  <c r="V253" i="12"/>
  <c r="V254" i="12"/>
  <c r="V255" i="12"/>
  <c r="V256" i="12"/>
  <c r="W256" i="12" s="1"/>
  <c r="V257" i="12"/>
  <c r="V258" i="12"/>
  <c r="V259" i="12"/>
  <c r="V260" i="12"/>
  <c r="V261" i="12"/>
  <c r="Z261" i="12" s="1"/>
  <c r="V262" i="12"/>
  <c r="V263" i="12"/>
  <c r="V264" i="12"/>
  <c r="W264" i="12" s="1"/>
  <c r="V265" i="12"/>
  <c r="V266" i="12"/>
  <c r="V267" i="12"/>
  <c r="W267" i="12" s="1"/>
  <c r="V268" i="12"/>
  <c r="V269" i="12"/>
  <c r="V270" i="12"/>
  <c r="V271" i="12"/>
  <c r="V272" i="12"/>
  <c r="W272" i="12" s="1"/>
  <c r="V273" i="12"/>
  <c r="V274" i="12"/>
  <c r="V275" i="12"/>
  <c r="V276" i="12"/>
  <c r="V277" i="12"/>
  <c r="V278" i="12"/>
  <c r="V279" i="12"/>
  <c r="V280" i="12"/>
  <c r="W280" i="12" s="1"/>
  <c r="V281" i="12"/>
  <c r="V282" i="12"/>
  <c r="V283" i="12"/>
  <c r="Z283" i="12" s="1"/>
  <c r="V284" i="12"/>
  <c r="V285" i="12"/>
  <c r="V286" i="12"/>
  <c r="V287" i="12"/>
  <c r="V288" i="12"/>
  <c r="W288" i="12" s="1"/>
  <c r="V289" i="12"/>
  <c r="V290" i="12"/>
  <c r="W290" i="12" s="1"/>
  <c r="V291" i="12"/>
  <c r="V292" i="12"/>
  <c r="V293" i="12"/>
  <c r="Z293" i="12" s="1"/>
  <c r="V294" i="12"/>
  <c r="V295" i="12"/>
  <c r="V296" i="12"/>
  <c r="W296" i="12" s="1"/>
  <c r="V297" i="12"/>
  <c r="V298" i="12"/>
  <c r="V299" i="12"/>
  <c r="Z299" i="12" s="1"/>
  <c r="V300" i="12"/>
  <c r="V301" i="12"/>
  <c r="Z301" i="12" s="1"/>
  <c r="V302" i="12"/>
  <c r="V303" i="12"/>
  <c r="V304" i="12"/>
  <c r="W304" i="12" s="1"/>
  <c r="V305" i="12"/>
  <c r="Z305" i="12" s="1"/>
  <c r="V306" i="12"/>
  <c r="V307" i="12"/>
  <c r="V308" i="12"/>
  <c r="V309" i="12"/>
  <c r="Z309" i="12" s="1"/>
  <c r="V310" i="12"/>
  <c r="V311" i="12"/>
  <c r="V312" i="12"/>
  <c r="W312" i="12" s="1"/>
  <c r="V313" i="12"/>
  <c r="Z313" i="12" s="1"/>
  <c r="V314" i="12"/>
  <c r="V315" i="12"/>
  <c r="Z315" i="12" s="1"/>
  <c r="V316" i="12"/>
  <c r="V317" i="12"/>
  <c r="Z317" i="12" s="1"/>
  <c r="V318" i="12"/>
  <c r="V319" i="12"/>
  <c r="V320" i="12"/>
  <c r="W320" i="12" s="1"/>
  <c r="V321" i="12"/>
  <c r="Z321" i="12" s="1"/>
  <c r="V322" i="12"/>
  <c r="V323" i="12"/>
  <c r="Z323" i="12" s="1"/>
  <c r="V324" i="12"/>
  <c r="V325" i="12"/>
  <c r="Z325" i="12" s="1"/>
  <c r="V326" i="12"/>
  <c r="V327" i="12"/>
  <c r="V328" i="12"/>
  <c r="W328" i="12" s="1"/>
  <c r="V329" i="12"/>
  <c r="Z329" i="12" s="1"/>
  <c r="V330" i="12"/>
  <c r="V331" i="12"/>
  <c r="W331" i="12" s="1"/>
  <c r="V332" i="12"/>
  <c r="V333" i="12"/>
  <c r="Z333" i="12" s="1"/>
  <c r="V334" i="12"/>
  <c r="V335" i="12"/>
  <c r="V336" i="12"/>
  <c r="W336" i="12" s="1"/>
  <c r="V337" i="12"/>
  <c r="Z337" i="12" s="1"/>
  <c r="V338" i="12"/>
  <c r="V339" i="12"/>
  <c r="Z339" i="12" s="1"/>
  <c r="V340" i="12"/>
  <c r="V341" i="12"/>
  <c r="Z341" i="12" s="1"/>
  <c r="V342" i="12"/>
  <c r="V343" i="12"/>
  <c r="V344" i="12"/>
  <c r="W344" i="12" s="1"/>
  <c r="V345" i="12"/>
  <c r="Z345" i="12" s="1"/>
  <c r="V346" i="12"/>
  <c r="V347" i="12"/>
  <c r="Z347" i="12" s="1"/>
  <c r="V348" i="12"/>
  <c r="V349" i="12"/>
  <c r="Z349" i="12" s="1"/>
  <c r="V350" i="12"/>
  <c r="V351" i="12"/>
  <c r="V352" i="12"/>
  <c r="W352" i="12" s="1"/>
  <c r="V353" i="12"/>
  <c r="Z353" i="12" s="1"/>
  <c r="V354" i="12"/>
  <c r="W354" i="12" s="1"/>
  <c r="V355" i="12"/>
  <c r="Z355" i="12" s="1"/>
  <c r="V356" i="12"/>
  <c r="V357" i="12"/>
  <c r="Z357" i="12" s="1"/>
  <c r="V358" i="12"/>
  <c r="V359" i="12"/>
  <c r="V360" i="12"/>
  <c r="W360" i="12" s="1"/>
  <c r="V361" i="12"/>
  <c r="Z361" i="12" s="1"/>
  <c r="V362" i="12"/>
  <c r="V363" i="12"/>
  <c r="Z363" i="12" s="1"/>
  <c r="V364" i="12"/>
  <c r="V365" i="12"/>
  <c r="Z365" i="12" s="1"/>
  <c r="V366" i="12"/>
  <c r="V367" i="12"/>
  <c r="V368" i="12"/>
  <c r="W368" i="12" s="1"/>
  <c r="V369" i="12"/>
  <c r="Z369" i="12" s="1"/>
  <c r="V370" i="12"/>
  <c r="V371" i="12"/>
  <c r="Z371" i="12" s="1"/>
  <c r="V372" i="12"/>
  <c r="V373" i="12"/>
  <c r="W373" i="12" s="1"/>
  <c r="V374" i="12"/>
  <c r="V375" i="12"/>
  <c r="V376" i="12"/>
  <c r="W376" i="12" s="1"/>
  <c r="V377" i="12"/>
  <c r="Z377" i="12" s="1"/>
  <c r="V378" i="12"/>
  <c r="V379" i="12"/>
  <c r="Z379" i="12" s="1"/>
  <c r="V380" i="12"/>
  <c r="V381" i="12"/>
  <c r="Z381" i="12" s="1"/>
  <c r="V382" i="12"/>
  <c r="V383" i="12"/>
  <c r="V384" i="12"/>
  <c r="W384" i="12" s="1"/>
  <c r="V385" i="12"/>
  <c r="Z385" i="12" s="1"/>
  <c r="V386" i="12"/>
  <c r="V387" i="12"/>
  <c r="Z387" i="12" s="1"/>
  <c r="V388" i="12"/>
  <c r="V389" i="12"/>
  <c r="Z389" i="12" s="1"/>
  <c r="V390" i="12"/>
  <c r="V391" i="12"/>
  <c r="V392" i="12"/>
  <c r="W392" i="12" s="1"/>
  <c r="V393" i="12"/>
  <c r="Z393" i="12" s="1"/>
  <c r="V394" i="12"/>
  <c r="V395" i="12"/>
  <c r="W395" i="12" s="1"/>
  <c r="V396" i="12"/>
  <c r="V397" i="12"/>
  <c r="Z397" i="12" s="1"/>
  <c r="V398" i="12"/>
  <c r="V399" i="12"/>
  <c r="V400" i="12"/>
  <c r="W400" i="12" s="1"/>
  <c r="V401" i="12"/>
  <c r="Z401" i="12" s="1"/>
  <c r="V402" i="12"/>
  <c r="V403" i="12"/>
  <c r="Z403" i="12" s="1"/>
  <c r="V404" i="1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68" i="12"/>
  <c r="V69" i="12"/>
  <c r="V70" i="12"/>
  <c r="V71" i="12"/>
  <c r="V72" i="12"/>
  <c r="V73" i="12"/>
  <c r="V74" i="12"/>
  <c r="V75" i="12"/>
  <c r="V76" i="12"/>
  <c r="V77" i="12"/>
  <c r="V78" i="12"/>
  <c r="V79" i="12"/>
  <c r="V80" i="12"/>
  <c r="V81" i="12"/>
  <c r="V82" i="12"/>
  <c r="V83" i="12"/>
  <c r="V84" i="12"/>
  <c r="V85" i="12"/>
  <c r="V86" i="12"/>
  <c r="V87" i="12"/>
  <c r="V88" i="12"/>
  <c r="V89" i="12"/>
  <c r="V90" i="12"/>
  <c r="V91" i="12"/>
  <c r="V92" i="12"/>
  <c r="V93" i="12"/>
  <c r="V94" i="12"/>
  <c r="V95" i="12"/>
  <c r="V96" i="12"/>
  <c r="V97" i="12"/>
  <c r="V98" i="12"/>
  <c r="V99" i="12"/>
  <c r="V100" i="12"/>
  <c r="V101" i="12"/>
  <c r="V102" i="12"/>
  <c r="V103" i="12"/>
  <c r="V104" i="12"/>
  <c r="V105" i="12"/>
  <c r="V106" i="12"/>
  <c r="V107" i="12"/>
  <c r="V108" i="12"/>
  <c r="V109" i="12"/>
  <c r="V110" i="12"/>
  <c r="V111" i="12"/>
  <c r="V112" i="12"/>
  <c r="V113" i="12"/>
  <c r="V114" i="12"/>
  <c r="V115" i="12"/>
  <c r="V116" i="12"/>
  <c r="V117" i="12"/>
  <c r="V118" i="12"/>
  <c r="V119" i="12"/>
  <c r="V120" i="12"/>
  <c r="V121" i="12"/>
  <c r="V122" i="12"/>
  <c r="V123" i="12"/>
  <c r="V124" i="12"/>
  <c r="V125" i="12"/>
  <c r="V126" i="12"/>
  <c r="V127" i="12"/>
  <c r="V128" i="12"/>
  <c r="V129" i="12"/>
  <c r="V130" i="12"/>
  <c r="V131" i="12"/>
  <c r="V132" i="12"/>
  <c r="V133" i="12"/>
  <c r="V134" i="12"/>
  <c r="V135" i="12"/>
  <c r="V136" i="12"/>
  <c r="V137" i="12"/>
  <c r="V138" i="12"/>
  <c r="V139" i="12"/>
  <c r="V140" i="12"/>
  <c r="V141" i="12"/>
  <c r="V142" i="12"/>
  <c r="V143" i="12"/>
  <c r="V144" i="12"/>
  <c r="V145" i="12"/>
  <c r="V146" i="12"/>
  <c r="V147" i="12"/>
  <c r="V148" i="12"/>
  <c r="V149" i="12"/>
  <c r="V150" i="12"/>
  <c r="V151" i="12"/>
  <c r="V152" i="12"/>
  <c r="V153" i="12"/>
  <c r="V154" i="12"/>
  <c r="V155" i="12"/>
  <c r="V156" i="12"/>
  <c r="V157" i="12"/>
  <c r="V158" i="12"/>
  <c r="V159" i="12"/>
  <c r="V160" i="12"/>
  <c r="V161" i="12"/>
  <c r="V162" i="12"/>
  <c r="V163" i="12"/>
  <c r="V164" i="12"/>
  <c r="V165" i="12"/>
  <c r="V166" i="12"/>
  <c r="V167" i="12"/>
  <c r="V168" i="12"/>
  <c r="V169" i="12"/>
  <c r="V170" i="12"/>
  <c r="V171" i="12"/>
  <c r="V172" i="12"/>
  <c r="V173" i="12"/>
  <c r="V174" i="12"/>
  <c r="V175" i="12"/>
  <c r="V176" i="12"/>
  <c r="V177" i="12"/>
  <c r="V178" i="12"/>
  <c r="V179" i="12"/>
  <c r="V180" i="12"/>
  <c r="V181" i="12"/>
  <c r="V182" i="12"/>
  <c r="V183" i="12"/>
  <c r="V184" i="12"/>
  <c r="V185" i="12"/>
  <c r="V186" i="12"/>
  <c r="V187" i="12"/>
  <c r="V188" i="12"/>
  <c r="V189" i="12"/>
  <c r="V190" i="12"/>
  <c r="V191" i="12"/>
  <c r="V2"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76" i="12"/>
  <c r="S77" i="12"/>
  <c r="S78" i="12"/>
  <c r="S79" i="12"/>
  <c r="S80" i="12"/>
  <c r="S81" i="12"/>
  <c r="S82" i="12"/>
  <c r="S83" i="12"/>
  <c r="S84" i="12"/>
  <c r="S85" i="12"/>
  <c r="S86" i="12"/>
  <c r="S87" i="12"/>
  <c r="S88" i="12"/>
  <c r="S89" i="12"/>
  <c r="S90" i="12"/>
  <c r="S91" i="12"/>
  <c r="S92" i="12"/>
  <c r="S93" i="12"/>
  <c r="S94" i="12"/>
  <c r="S95" i="12"/>
  <c r="S96" i="12"/>
  <c r="S97" i="12"/>
  <c r="S98" i="12"/>
  <c r="S99" i="12"/>
  <c r="S100" i="12"/>
  <c r="S101" i="12"/>
  <c r="S102" i="12"/>
  <c r="S103" i="12"/>
  <c r="S104" i="12"/>
  <c r="S105" i="12"/>
  <c r="S106" i="12"/>
  <c r="S107" i="12"/>
  <c r="S108" i="12"/>
  <c r="S109" i="12"/>
  <c r="S110" i="12"/>
  <c r="S111" i="12"/>
  <c r="S112" i="12"/>
  <c r="S113" i="12"/>
  <c r="S114" i="12"/>
  <c r="S115" i="12"/>
  <c r="S116" i="12"/>
  <c r="S117" i="12"/>
  <c r="S118" i="12"/>
  <c r="S119" i="12"/>
  <c r="S120" i="12"/>
  <c r="S121" i="12"/>
  <c r="S122" i="12"/>
  <c r="S123" i="12"/>
  <c r="S124" i="12"/>
  <c r="S125" i="12"/>
  <c r="S126" i="12"/>
  <c r="S127" i="12"/>
  <c r="S128" i="12"/>
  <c r="S129" i="12"/>
  <c r="S130" i="12"/>
  <c r="S131" i="12"/>
  <c r="S132" i="12"/>
  <c r="S133" i="12"/>
  <c r="S134" i="12"/>
  <c r="S135" i="12"/>
  <c r="S136" i="12"/>
  <c r="S137" i="12"/>
  <c r="S138" i="12"/>
  <c r="S139" i="12"/>
  <c r="S140" i="12"/>
  <c r="S141" i="12"/>
  <c r="S142" i="12"/>
  <c r="S143" i="12"/>
  <c r="S144" i="12"/>
  <c r="S145" i="12"/>
  <c r="S146" i="12"/>
  <c r="S147" i="12"/>
  <c r="S148" i="12"/>
  <c r="S149" i="12"/>
  <c r="S150" i="12"/>
  <c r="S151" i="12"/>
  <c r="S152" i="12"/>
  <c r="S153" i="12"/>
  <c r="S154" i="12"/>
  <c r="S155" i="12"/>
  <c r="S156" i="12"/>
  <c r="S157" i="12"/>
  <c r="S158"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Q192" i="12"/>
  <c r="U192" i="12" s="1"/>
  <c r="Q193" i="12"/>
  <c r="U193" i="12" s="1"/>
  <c r="Q194" i="12"/>
  <c r="U194" i="12" s="1"/>
  <c r="Q195" i="12"/>
  <c r="U195" i="12" s="1"/>
  <c r="Q196" i="12"/>
  <c r="R196" i="12" s="1"/>
  <c r="Q197" i="12"/>
  <c r="R197" i="12" s="1"/>
  <c r="Q198" i="12"/>
  <c r="R198" i="12" s="1"/>
  <c r="Q199" i="12"/>
  <c r="U199" i="12" s="1"/>
  <c r="Q200" i="12"/>
  <c r="U200" i="12" s="1"/>
  <c r="Q201" i="12"/>
  <c r="U201" i="12" s="1"/>
  <c r="Q202" i="12"/>
  <c r="U202" i="12" s="1"/>
  <c r="Q203" i="12"/>
  <c r="U203" i="12" s="1"/>
  <c r="Q204" i="12"/>
  <c r="U204" i="12" s="1"/>
  <c r="Q205" i="12"/>
  <c r="U205" i="12" s="1"/>
  <c r="Q206" i="12"/>
  <c r="U206" i="12" s="1"/>
  <c r="Q207" i="12"/>
  <c r="U207" i="12" s="1"/>
  <c r="Q208" i="12"/>
  <c r="U208" i="12" s="1"/>
  <c r="Q209" i="12"/>
  <c r="U209" i="12" s="1"/>
  <c r="Q210" i="12"/>
  <c r="U210" i="12" s="1"/>
  <c r="Q211" i="12"/>
  <c r="U211" i="12" s="1"/>
  <c r="Q212" i="12"/>
  <c r="R212" i="12" s="1"/>
  <c r="Q213" i="12"/>
  <c r="R213" i="12" s="1"/>
  <c r="Q214" i="12"/>
  <c r="U214" i="12" s="1"/>
  <c r="Q215" i="12"/>
  <c r="U215" i="12" s="1"/>
  <c r="Q216" i="12"/>
  <c r="U216" i="12" s="1"/>
  <c r="Q217" i="12"/>
  <c r="R217" i="12" s="1"/>
  <c r="Q218" i="12"/>
  <c r="U218" i="12" s="1"/>
  <c r="Q219" i="12"/>
  <c r="R219" i="12" s="1"/>
  <c r="Q220" i="12"/>
  <c r="R220" i="12" s="1"/>
  <c r="Q221" i="12"/>
  <c r="R221" i="12" s="1"/>
  <c r="Q222" i="12"/>
  <c r="R222" i="12" s="1"/>
  <c r="Q223" i="12"/>
  <c r="U223" i="12" s="1"/>
  <c r="Q224" i="12"/>
  <c r="U224" i="12" s="1"/>
  <c r="Q225" i="12"/>
  <c r="U225" i="12" s="1"/>
  <c r="Q226" i="12"/>
  <c r="U226" i="12" s="1"/>
  <c r="Q227" i="12"/>
  <c r="U227" i="12" s="1"/>
  <c r="Q228" i="12"/>
  <c r="U228" i="12" s="1"/>
  <c r="Q229" i="12"/>
  <c r="U229" i="12" s="1"/>
  <c r="Q230" i="12"/>
  <c r="U230" i="12" s="1"/>
  <c r="Q231" i="12"/>
  <c r="U231" i="12" s="1"/>
  <c r="Q232" i="12"/>
  <c r="U232" i="12" s="1"/>
  <c r="Q233" i="12"/>
  <c r="U233" i="12" s="1"/>
  <c r="Q234" i="12"/>
  <c r="U234" i="12" s="1"/>
  <c r="Q235" i="12"/>
  <c r="R235" i="12" s="1"/>
  <c r="Q236" i="12"/>
  <c r="R236" i="12" s="1"/>
  <c r="Q237" i="12"/>
  <c r="R237" i="12" s="1"/>
  <c r="Q238" i="12"/>
  <c r="U238" i="12" s="1"/>
  <c r="Q239" i="12"/>
  <c r="U239" i="12" s="1"/>
  <c r="Q240" i="12"/>
  <c r="U240" i="12" s="1"/>
  <c r="Q241" i="12"/>
  <c r="U241" i="12" s="1"/>
  <c r="Q242" i="12"/>
  <c r="U242" i="12" s="1"/>
  <c r="Q243" i="12"/>
  <c r="U243" i="12" s="1"/>
  <c r="Q244" i="12"/>
  <c r="U244" i="12" s="1"/>
  <c r="Q245" i="12"/>
  <c r="U245" i="12" s="1"/>
  <c r="Q246" i="12"/>
  <c r="U246" i="12" s="1"/>
  <c r="Q247" i="12"/>
  <c r="U247" i="12" s="1"/>
  <c r="Q248" i="12"/>
  <c r="U248" i="12" s="1"/>
  <c r="Q249" i="12"/>
  <c r="U249" i="12" s="1"/>
  <c r="Q250" i="12"/>
  <c r="U250" i="12" s="1"/>
  <c r="Q251" i="12"/>
  <c r="U251" i="12" s="1"/>
  <c r="Q252" i="12"/>
  <c r="U252" i="12" s="1"/>
  <c r="Q253" i="12"/>
  <c r="U253" i="12" s="1"/>
  <c r="Q254" i="12"/>
  <c r="U254" i="12" s="1"/>
  <c r="Q255" i="12"/>
  <c r="U255" i="12" s="1"/>
  <c r="Q256" i="12"/>
  <c r="U256" i="12" s="1"/>
  <c r="Q257" i="12"/>
  <c r="U257" i="12" s="1"/>
  <c r="Q258" i="12"/>
  <c r="U258" i="12" s="1"/>
  <c r="Q259" i="12"/>
  <c r="U259" i="12" s="1"/>
  <c r="Q260" i="12"/>
  <c r="R260" i="12" s="1"/>
  <c r="Q261" i="12"/>
  <c r="R261" i="12" s="1"/>
  <c r="Q262" i="12"/>
  <c r="R262" i="12" s="1"/>
  <c r="Q263" i="12"/>
  <c r="U263" i="12" s="1"/>
  <c r="Q264" i="12"/>
  <c r="U264" i="12" s="1"/>
  <c r="Q265" i="12"/>
  <c r="R265" i="12" s="1"/>
  <c r="Q266" i="12"/>
  <c r="U266" i="12" s="1"/>
  <c r="Q267" i="12"/>
  <c r="R267" i="12" s="1"/>
  <c r="Q268" i="12"/>
  <c r="U268" i="12" s="1"/>
  <c r="Q269" i="12"/>
  <c r="U269" i="12" s="1"/>
  <c r="Q270" i="12"/>
  <c r="U270" i="12" s="1"/>
  <c r="Q271" i="12"/>
  <c r="U271" i="12" s="1"/>
  <c r="Q272" i="12"/>
  <c r="U272" i="12" s="1"/>
  <c r="Q273" i="12"/>
  <c r="U273" i="12" s="1"/>
  <c r="Q274" i="12"/>
  <c r="U274" i="12" s="1"/>
  <c r="Q275" i="12"/>
  <c r="U275" i="12" s="1"/>
  <c r="Q276" i="12"/>
  <c r="R276" i="12" s="1"/>
  <c r="Q277" i="12"/>
  <c r="R277" i="12" s="1"/>
  <c r="Q278" i="12"/>
  <c r="U278" i="12" s="1"/>
  <c r="Q279" i="12"/>
  <c r="U279" i="12" s="1"/>
  <c r="Q280" i="12"/>
  <c r="R280" i="12" s="1"/>
  <c r="Q281" i="12"/>
  <c r="U281" i="12" s="1"/>
  <c r="Q282" i="12"/>
  <c r="U282" i="12" s="1"/>
  <c r="Q283" i="12"/>
  <c r="U283" i="12" s="1"/>
  <c r="Q284" i="12"/>
  <c r="R284" i="12" s="1"/>
  <c r="Q285" i="12"/>
  <c r="R285" i="12" s="1"/>
  <c r="Q286" i="12"/>
  <c r="R286" i="12" s="1"/>
  <c r="Q287" i="12"/>
  <c r="U287" i="12" s="1"/>
  <c r="Q288" i="12"/>
  <c r="R288" i="12" s="1"/>
  <c r="Q289" i="12"/>
  <c r="U289" i="12" s="1"/>
  <c r="Q290" i="12"/>
  <c r="U290" i="12" s="1"/>
  <c r="Q291" i="12"/>
  <c r="U291" i="12" s="1"/>
  <c r="Q292" i="12"/>
  <c r="U292" i="12" s="1"/>
  <c r="Q293" i="12"/>
  <c r="U293" i="12" s="1"/>
  <c r="Q294" i="12"/>
  <c r="U294" i="12" s="1"/>
  <c r="Q295" i="12"/>
  <c r="U295" i="12" s="1"/>
  <c r="Q296" i="12"/>
  <c r="R296" i="12" s="1"/>
  <c r="Q297" i="12"/>
  <c r="U297" i="12" s="1"/>
  <c r="Q298" i="12"/>
  <c r="U298" i="12" s="1"/>
  <c r="Q299" i="12"/>
  <c r="R299" i="12" s="1"/>
  <c r="Q300" i="12"/>
  <c r="U300" i="12" s="1"/>
  <c r="Q301" i="12"/>
  <c r="U301" i="12" s="1"/>
  <c r="Q302" i="12"/>
  <c r="U302" i="12" s="1"/>
  <c r="Q303" i="12"/>
  <c r="U303" i="12" s="1"/>
  <c r="Q304" i="12"/>
  <c r="U304" i="12" s="1"/>
  <c r="Q305" i="12"/>
  <c r="U305" i="12" s="1"/>
  <c r="Q306" i="12"/>
  <c r="U306" i="12" s="1"/>
  <c r="Q307" i="12"/>
  <c r="U307" i="12" s="1"/>
  <c r="Q308" i="12"/>
  <c r="R308" i="12" s="1"/>
  <c r="Q309" i="12"/>
  <c r="R309" i="12" s="1"/>
  <c r="Q310" i="12"/>
  <c r="U310" i="12" s="1"/>
  <c r="Q311" i="12"/>
  <c r="U311" i="12" s="1"/>
  <c r="Q312" i="12"/>
  <c r="R312" i="12" s="1"/>
  <c r="Q313" i="12"/>
  <c r="U313" i="12" s="1"/>
  <c r="Q314" i="12"/>
  <c r="U314" i="12" s="1"/>
  <c r="Q315" i="12"/>
  <c r="U315" i="12" s="1"/>
  <c r="Q316" i="12"/>
  <c r="R316" i="12" s="1"/>
  <c r="Q317" i="12"/>
  <c r="R317" i="12" s="1"/>
  <c r="Q318" i="12"/>
  <c r="R318" i="12" s="1"/>
  <c r="Q319" i="12"/>
  <c r="U319" i="12" s="1"/>
  <c r="Q320" i="12"/>
  <c r="R320" i="12" s="1"/>
  <c r="Q321" i="12"/>
  <c r="U321" i="12" s="1"/>
  <c r="Q322" i="12"/>
  <c r="U322" i="12" s="1"/>
  <c r="Q323" i="12"/>
  <c r="R323" i="12" s="1"/>
  <c r="Q324" i="12"/>
  <c r="U324" i="12" s="1"/>
  <c r="Q325" i="12"/>
  <c r="U325" i="12" s="1"/>
  <c r="Q326" i="12"/>
  <c r="U326" i="12" s="1"/>
  <c r="Q327" i="12"/>
  <c r="U327" i="12" s="1"/>
  <c r="Q328" i="12"/>
  <c r="R328" i="12" s="1"/>
  <c r="Q329" i="12"/>
  <c r="U329" i="12" s="1"/>
  <c r="Q330" i="12"/>
  <c r="U330" i="12" s="1"/>
  <c r="Q331" i="12"/>
  <c r="R331" i="12" s="1"/>
  <c r="Q332" i="12"/>
  <c r="U332" i="12" s="1"/>
  <c r="Q333" i="12"/>
  <c r="U333" i="12" s="1"/>
  <c r="Q334" i="12"/>
  <c r="U334" i="12" s="1"/>
  <c r="Q335" i="12"/>
  <c r="U335" i="12" s="1"/>
  <c r="Q336" i="12"/>
  <c r="U336" i="12" s="1"/>
  <c r="Q337" i="12"/>
  <c r="U337" i="12" s="1"/>
  <c r="Q338" i="12"/>
  <c r="U338" i="12" s="1"/>
  <c r="Q339" i="12"/>
  <c r="U339" i="12" s="1"/>
  <c r="Q340" i="12"/>
  <c r="R340" i="12" s="1"/>
  <c r="Q341" i="12"/>
  <c r="R341" i="12" s="1"/>
  <c r="Q342" i="12"/>
  <c r="U342" i="12" s="1"/>
  <c r="Q343" i="12"/>
  <c r="U343" i="12" s="1"/>
  <c r="Q344" i="12"/>
  <c r="R344" i="12" s="1"/>
  <c r="Q345" i="12"/>
  <c r="U345" i="12" s="1"/>
  <c r="Q346" i="12"/>
  <c r="U346" i="12" s="1"/>
  <c r="Q347" i="12"/>
  <c r="U347" i="12" s="1"/>
  <c r="Q348" i="12"/>
  <c r="R348" i="12" s="1"/>
  <c r="Q349" i="12"/>
  <c r="R349" i="12" s="1"/>
  <c r="Q350" i="12"/>
  <c r="R350" i="12" s="1"/>
  <c r="Q351" i="12"/>
  <c r="U351" i="12" s="1"/>
  <c r="Q352" i="12"/>
  <c r="R352" i="12" s="1"/>
  <c r="Q353" i="12"/>
  <c r="U353" i="12" s="1"/>
  <c r="Q354" i="12"/>
  <c r="U354" i="12" s="1"/>
  <c r="Q355" i="12"/>
  <c r="U355" i="12" s="1"/>
  <c r="Q356" i="12"/>
  <c r="U356" i="12" s="1"/>
  <c r="Q357" i="12"/>
  <c r="U357" i="12" s="1"/>
  <c r="Q358" i="12"/>
  <c r="U358" i="12" s="1"/>
  <c r="Q359" i="12"/>
  <c r="U359" i="12" s="1"/>
  <c r="Q360" i="12"/>
  <c r="R360" i="12" s="1"/>
  <c r="Q361" i="12"/>
  <c r="U361" i="12" s="1"/>
  <c r="Q362" i="12"/>
  <c r="U362" i="12" s="1"/>
  <c r="Q363" i="12"/>
  <c r="R363" i="12" s="1"/>
  <c r="Q364" i="12"/>
  <c r="U364" i="12" s="1"/>
  <c r="Q365" i="12"/>
  <c r="U365" i="12" s="1"/>
  <c r="Q366" i="12"/>
  <c r="U366" i="12" s="1"/>
  <c r="Q367" i="12"/>
  <c r="U367" i="12" s="1"/>
  <c r="Q368" i="12"/>
  <c r="U368" i="12" s="1"/>
  <c r="Q369" i="12"/>
  <c r="U369" i="12" s="1"/>
  <c r="Q370" i="12"/>
  <c r="U370" i="12" s="1"/>
  <c r="Q371" i="12"/>
  <c r="U371" i="12" s="1"/>
  <c r="Q372" i="12"/>
  <c r="R372" i="12" s="1"/>
  <c r="Q373" i="12"/>
  <c r="R373" i="12" s="1"/>
  <c r="Q374" i="12"/>
  <c r="U374" i="12" s="1"/>
  <c r="Q375" i="12"/>
  <c r="U375" i="12" s="1"/>
  <c r="Q376" i="12"/>
  <c r="R376" i="12" s="1"/>
  <c r="Q377" i="12"/>
  <c r="U377" i="12" s="1"/>
  <c r="Q378" i="12"/>
  <c r="U378" i="12" s="1"/>
  <c r="Q379" i="12"/>
  <c r="U379" i="12" s="1"/>
  <c r="Q380" i="12"/>
  <c r="R380" i="12" s="1"/>
  <c r="Q381" i="12"/>
  <c r="R381" i="12" s="1"/>
  <c r="Q382" i="12"/>
  <c r="R382" i="12" s="1"/>
  <c r="Q383" i="12"/>
  <c r="U383" i="12" s="1"/>
  <c r="Q384" i="12"/>
  <c r="R384" i="12" s="1"/>
  <c r="Q385" i="12"/>
  <c r="U385" i="12" s="1"/>
  <c r="Q386" i="12"/>
  <c r="U386" i="12" s="1"/>
  <c r="Q387" i="12"/>
  <c r="R387" i="12" s="1"/>
  <c r="Q388" i="12"/>
  <c r="U388" i="12" s="1"/>
  <c r="Q389" i="12"/>
  <c r="U389" i="12" s="1"/>
  <c r="Q390" i="12"/>
  <c r="U390" i="12" s="1"/>
  <c r="Q391" i="12"/>
  <c r="U391" i="12" s="1"/>
  <c r="Q392" i="12"/>
  <c r="R392" i="12" s="1"/>
  <c r="Q393" i="12"/>
  <c r="U393" i="12" s="1"/>
  <c r="Q394" i="12"/>
  <c r="U394" i="12" s="1"/>
  <c r="Q395" i="12"/>
  <c r="R395" i="12" s="1"/>
  <c r="Q396" i="12"/>
  <c r="U396" i="12" s="1"/>
  <c r="Q397" i="12"/>
  <c r="U397" i="12" s="1"/>
  <c r="Q398" i="12"/>
  <c r="U398" i="12" s="1"/>
  <c r="Q399" i="12"/>
  <c r="U399" i="12" s="1"/>
  <c r="Q400" i="12"/>
  <c r="U400" i="12" s="1"/>
  <c r="Q401" i="12"/>
  <c r="U401" i="12" s="1"/>
  <c r="Q402" i="12"/>
  <c r="U402" i="12" s="1"/>
  <c r="Q403" i="12"/>
  <c r="U403" i="12" s="1"/>
  <c r="Q404" i="12"/>
  <c r="R404" i="12" s="1"/>
  <c r="Q3" i="12"/>
  <c r="Q4" i="12"/>
  <c r="Q5" i="12"/>
  <c r="Q6" i="12"/>
  <c r="Q7" i="12"/>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2"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2"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2"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299" i="12"/>
  <c r="L300" i="12"/>
  <c r="L301" i="12"/>
  <c r="L302"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2"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2"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2"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2"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2"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2"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3" i="12"/>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2" i="12"/>
  <c r="G57" i="10"/>
  <c r="G45" i="10"/>
  <c r="G31" i="10"/>
  <c r="G44" i="10"/>
  <c r="G30" i="10"/>
  <c r="G55" i="10"/>
  <c r="G25" i="10"/>
  <c r="G24" i="10"/>
  <c r="G37" i="10"/>
  <c r="G56" i="10"/>
  <c r="G67" i="10"/>
  <c r="G66" i="10"/>
  <c r="G64" i="10"/>
  <c r="G52" i="10"/>
  <c r="G36" i="10"/>
  <c r="G22" i="10"/>
  <c r="G63" i="10"/>
  <c r="G51" i="10"/>
  <c r="G15" i="10"/>
  <c r="G21" i="10"/>
  <c r="G54" i="10"/>
  <c r="G53" i="10"/>
  <c r="G58" i="10"/>
  <c r="G46" i="10"/>
  <c r="G14" i="10"/>
  <c r="G20" i="10"/>
  <c r="G39" i="10"/>
  <c r="G38" i="10"/>
  <c r="G65" i="10"/>
  <c r="G23" i="10"/>
  <c r="BA299" i="21" l="1"/>
  <c r="R361" i="12"/>
  <c r="AV228" i="12"/>
  <c r="BA199" i="12"/>
  <c r="AQ327" i="12"/>
  <c r="AL362" i="12"/>
  <c r="BF405" i="21"/>
  <c r="BA275" i="12"/>
  <c r="AJ262" i="12"/>
  <c r="AV396" i="12"/>
  <c r="BA267" i="12"/>
  <c r="AG310" i="12"/>
  <c r="AO250" i="12"/>
  <c r="AV322" i="12"/>
  <c r="BA347" i="12"/>
  <c r="BD358" i="12"/>
  <c r="AJ310" i="21"/>
  <c r="BB340" i="21"/>
  <c r="BA80" i="21"/>
  <c r="AG231" i="12"/>
  <c r="AL371" i="12"/>
  <c r="AV236" i="12"/>
  <c r="BA339" i="12"/>
  <c r="AI361" i="21"/>
  <c r="BA113" i="21"/>
  <c r="BA40" i="21"/>
  <c r="W369" i="12"/>
  <c r="AE350" i="12"/>
  <c r="AL283" i="12"/>
  <c r="AJ286" i="12"/>
  <c r="AL202" i="12"/>
  <c r="AQ391" i="12"/>
  <c r="BA203" i="12"/>
  <c r="BB329" i="21"/>
  <c r="R339" i="12"/>
  <c r="U299" i="12"/>
  <c r="AQ263" i="12"/>
  <c r="AV386" i="12"/>
  <c r="BI264" i="12"/>
  <c r="AJ330" i="21"/>
  <c r="U267" i="12"/>
  <c r="AG319" i="12"/>
  <c r="AO274" i="12"/>
  <c r="AQ199" i="12"/>
  <c r="AV332" i="12"/>
  <c r="BI200" i="12"/>
  <c r="AI312" i="21"/>
  <c r="BA229" i="21"/>
  <c r="BB14" i="21"/>
  <c r="BB120" i="21"/>
  <c r="BA174" i="21"/>
  <c r="Z324" i="21"/>
  <c r="BB220" i="21"/>
  <c r="Y101" i="21"/>
  <c r="BB47" i="21"/>
  <c r="BB357" i="21"/>
  <c r="BB365" i="21"/>
  <c r="BA359" i="21"/>
  <c r="BB62" i="21"/>
  <c r="BB364" i="21"/>
  <c r="Z11" i="21"/>
  <c r="BA227" i="21"/>
  <c r="BA372" i="21"/>
  <c r="AJ105" i="21"/>
  <c r="BB79" i="21"/>
  <c r="BB98" i="21"/>
  <c r="BB297" i="21"/>
  <c r="BB226" i="21"/>
  <c r="BA240" i="21"/>
  <c r="BA61" i="21"/>
  <c r="BA167" i="21"/>
  <c r="BB102" i="21"/>
  <c r="BA102" i="21"/>
  <c r="AI161" i="21"/>
  <c r="BB46" i="21"/>
  <c r="BB155" i="21"/>
  <c r="BA339" i="21"/>
  <c r="BB114" i="21"/>
  <c r="BB57" i="21"/>
  <c r="BB81" i="21"/>
  <c r="BB285" i="21"/>
  <c r="BA128" i="21"/>
  <c r="BB327" i="21"/>
  <c r="BB54" i="21"/>
  <c r="BB266" i="21"/>
  <c r="BB110" i="21"/>
  <c r="BB263" i="21"/>
  <c r="BA112" i="21"/>
  <c r="BA117" i="21"/>
  <c r="BA104" i="21"/>
  <c r="BB55" i="21"/>
  <c r="BA56" i="21"/>
  <c r="BA111" i="21"/>
  <c r="BA175" i="21"/>
  <c r="BA103" i="21"/>
  <c r="BB295" i="21"/>
  <c r="BB217" i="21"/>
  <c r="BB331" i="21"/>
  <c r="BA88" i="21"/>
  <c r="BB328" i="21"/>
  <c r="BB111" i="21"/>
  <c r="BA98" i="21"/>
  <c r="BB213" i="21"/>
  <c r="BB202" i="21"/>
  <c r="BB369" i="21"/>
  <c r="BB156" i="21"/>
  <c r="BA105" i="21"/>
  <c r="BB316" i="21"/>
  <c r="BB160" i="21"/>
  <c r="BB74" i="21"/>
  <c r="BA336" i="21"/>
  <c r="BA110" i="21"/>
  <c r="BB99" i="21"/>
  <c r="BB172" i="21"/>
  <c r="BB11" i="21"/>
  <c r="BB116" i="21"/>
  <c r="AJ122" i="21"/>
  <c r="BA158" i="21"/>
  <c r="BB281" i="21"/>
  <c r="BA373" i="21"/>
  <c r="BB332" i="21"/>
  <c r="BA298" i="21"/>
  <c r="BB348" i="21"/>
  <c r="BB95" i="21"/>
  <c r="BB7" i="21"/>
  <c r="BB70" i="21"/>
  <c r="BB354" i="21"/>
  <c r="Z337" i="21"/>
  <c r="AJ322" i="21"/>
  <c r="AJ68" i="21"/>
  <c r="AJ302" i="21"/>
  <c r="Z66" i="21"/>
  <c r="AJ203" i="21"/>
  <c r="AJ199" i="21"/>
  <c r="AJ229" i="21"/>
  <c r="AJ109" i="21"/>
  <c r="Y114" i="21"/>
  <c r="AJ97" i="21"/>
  <c r="AJ219" i="21"/>
  <c r="AJ13" i="21"/>
  <c r="Y113" i="21"/>
  <c r="AJ49" i="21"/>
  <c r="AJ358" i="21"/>
  <c r="Z361" i="21"/>
  <c r="AJ101" i="21"/>
  <c r="Z161" i="21"/>
  <c r="AJ343" i="21"/>
  <c r="AJ242" i="21"/>
  <c r="AI107" i="21"/>
  <c r="Z181" i="21"/>
  <c r="AJ264" i="21"/>
  <c r="AJ280" i="21"/>
  <c r="Z226" i="21"/>
  <c r="AJ55" i="21"/>
  <c r="AJ158" i="21"/>
  <c r="AJ113" i="21"/>
  <c r="Z99" i="21"/>
  <c r="AJ64" i="21"/>
  <c r="Z231" i="21"/>
  <c r="Z303" i="21"/>
  <c r="Z51" i="21"/>
  <c r="Z78" i="21"/>
  <c r="Z111" i="21"/>
  <c r="Z301" i="21"/>
  <c r="Y171" i="21"/>
  <c r="Z160" i="21"/>
  <c r="Z369" i="21"/>
  <c r="Z296" i="21"/>
  <c r="Z278" i="21"/>
  <c r="Z103" i="21"/>
  <c r="Z282" i="21"/>
  <c r="Z152" i="21"/>
  <c r="Z120" i="21"/>
  <c r="Y109" i="21"/>
  <c r="AG391" i="12"/>
  <c r="AQ253" i="12"/>
  <c r="R297" i="12"/>
  <c r="U222" i="12"/>
  <c r="W349" i="12"/>
  <c r="W261" i="12"/>
  <c r="AE262" i="12"/>
  <c r="AG383" i="12"/>
  <c r="AG295" i="12"/>
  <c r="AG214" i="12"/>
  <c r="AL347" i="12"/>
  <c r="AL266" i="12"/>
  <c r="AO226" i="12"/>
  <c r="AQ375" i="12"/>
  <c r="AQ311" i="12"/>
  <c r="AQ247" i="12"/>
  <c r="AV380" i="12"/>
  <c r="AV316" i="12"/>
  <c r="AV194" i="12"/>
  <c r="BA403" i="12"/>
  <c r="BA331" i="12"/>
  <c r="BA263" i="12"/>
  <c r="BD334" i="12"/>
  <c r="W365" i="12"/>
  <c r="AL275" i="12"/>
  <c r="R275" i="12"/>
  <c r="W347" i="12"/>
  <c r="W197" i="12"/>
  <c r="AB400" i="12"/>
  <c r="AE222" i="12"/>
  <c r="AG374" i="12"/>
  <c r="AG287" i="12"/>
  <c r="AG199" i="12"/>
  <c r="AL339" i="12"/>
  <c r="AL251" i="12"/>
  <c r="AO402" i="12"/>
  <c r="AO210" i="12"/>
  <c r="AQ365" i="12"/>
  <c r="AQ301" i="12"/>
  <c r="AQ237" i="12"/>
  <c r="AT228" i="12"/>
  <c r="AV370" i="12"/>
  <c r="AV306" i="12"/>
  <c r="BA395" i="12"/>
  <c r="BA327" i="12"/>
  <c r="BA241" i="12"/>
  <c r="BD326" i="12"/>
  <c r="R233" i="12"/>
  <c r="W341" i="12"/>
  <c r="AB320" i="12"/>
  <c r="AE206" i="12"/>
  <c r="AG359" i="12"/>
  <c r="AG278" i="12"/>
  <c r="AL330" i="12"/>
  <c r="AL243" i="12"/>
  <c r="AO378" i="12"/>
  <c r="AQ359" i="12"/>
  <c r="AQ295" i="12"/>
  <c r="AQ231" i="12"/>
  <c r="AV364" i="12"/>
  <c r="AV300" i="12"/>
  <c r="BA391" i="12"/>
  <c r="BA305" i="12"/>
  <c r="BA233" i="12"/>
  <c r="BD398" i="12"/>
  <c r="BD312" i="12"/>
  <c r="W293" i="12"/>
  <c r="AG223" i="12"/>
  <c r="AQ381" i="12"/>
  <c r="R211" i="12"/>
  <c r="U395" i="12"/>
  <c r="W329" i="12"/>
  <c r="AB232" i="12"/>
  <c r="AE198" i="12"/>
  <c r="AG351" i="12"/>
  <c r="AG263" i="12"/>
  <c r="AL403" i="12"/>
  <c r="AL315" i="12"/>
  <c r="AL234" i="12"/>
  <c r="AO338" i="12"/>
  <c r="AQ349" i="12"/>
  <c r="AQ285" i="12"/>
  <c r="AQ221" i="12"/>
  <c r="AV354" i="12"/>
  <c r="AV290" i="12"/>
  <c r="AY399" i="12"/>
  <c r="BA369" i="12"/>
  <c r="BA297" i="12"/>
  <c r="BA225" i="12"/>
  <c r="BD390" i="12"/>
  <c r="BD302" i="12"/>
  <c r="BD344" i="12"/>
  <c r="U363" i="12"/>
  <c r="W393" i="12"/>
  <c r="W325" i="12"/>
  <c r="Z267" i="12"/>
  <c r="AB200" i="12"/>
  <c r="AG342" i="12"/>
  <c r="AG255" i="12"/>
  <c r="AJ376" i="12"/>
  <c r="AL394" i="12"/>
  <c r="AL307" i="12"/>
  <c r="AL219" i="12"/>
  <c r="AO314" i="12"/>
  <c r="AQ343" i="12"/>
  <c r="AQ279" i="12"/>
  <c r="AQ215" i="12"/>
  <c r="AV348" i="12"/>
  <c r="AV268" i="12"/>
  <c r="AY239" i="12"/>
  <c r="BA361" i="12"/>
  <c r="BA289" i="12"/>
  <c r="BA219" i="12"/>
  <c r="BD376" i="12"/>
  <c r="BD294" i="12"/>
  <c r="BI392" i="12"/>
  <c r="W301" i="12"/>
  <c r="AQ317" i="12"/>
  <c r="R403" i="12"/>
  <c r="U331" i="12"/>
  <c r="W389" i="12"/>
  <c r="W305" i="12"/>
  <c r="Z245" i="12"/>
  <c r="AG327" i="12"/>
  <c r="AG246" i="12"/>
  <c r="AJ330" i="12"/>
  <c r="AL379" i="12"/>
  <c r="AL298" i="12"/>
  <c r="AL211" i="12"/>
  <c r="AO290" i="12"/>
  <c r="AQ397" i="12"/>
  <c r="AQ333" i="12"/>
  <c r="AQ269" i="12"/>
  <c r="AQ205" i="12"/>
  <c r="AV402" i="12"/>
  <c r="AV338" i="12"/>
  <c r="AV260" i="12"/>
  <c r="BA353" i="12"/>
  <c r="BA283" i="12"/>
  <c r="BA211" i="12"/>
  <c r="BD366" i="12"/>
  <c r="BD280" i="12"/>
  <c r="BI328" i="12"/>
  <c r="R401" i="12"/>
  <c r="R379" i="12"/>
  <c r="R359" i="12"/>
  <c r="R337" i="12"/>
  <c r="R315" i="12"/>
  <c r="R295" i="12"/>
  <c r="R273" i="12"/>
  <c r="R251" i="12"/>
  <c r="R231" i="12"/>
  <c r="R209" i="12"/>
  <c r="U392" i="12"/>
  <c r="U360" i="12"/>
  <c r="U328" i="12"/>
  <c r="U296" i="12"/>
  <c r="U265" i="12"/>
  <c r="U219" i="12"/>
  <c r="Z297" i="12"/>
  <c r="W297" i="12"/>
  <c r="Z289" i="12"/>
  <c r="W289" i="12"/>
  <c r="Z281" i="12"/>
  <c r="W281" i="12"/>
  <c r="Z273" i="12"/>
  <c r="W273" i="12"/>
  <c r="Z265" i="12"/>
  <c r="W265" i="12"/>
  <c r="Z257" i="12"/>
  <c r="W257" i="12"/>
  <c r="Z249" i="12"/>
  <c r="W249" i="12"/>
  <c r="Z233" i="12"/>
  <c r="W233" i="12"/>
  <c r="Z225" i="12"/>
  <c r="W225" i="12"/>
  <c r="Z217" i="12"/>
  <c r="W217" i="12"/>
  <c r="Z209" i="12"/>
  <c r="W209" i="12"/>
  <c r="Z201" i="12"/>
  <c r="W201" i="12"/>
  <c r="Z193" i="12"/>
  <c r="W193" i="12"/>
  <c r="W387" i="12"/>
  <c r="W345" i="12"/>
  <c r="W323" i="12"/>
  <c r="W299" i="12"/>
  <c r="AG347" i="12"/>
  <c r="AJ347" i="12"/>
  <c r="AG315" i="12"/>
  <c r="AJ315" i="12"/>
  <c r="AG307" i="12"/>
  <c r="AJ307" i="12"/>
  <c r="AG283" i="12"/>
  <c r="AJ283" i="12"/>
  <c r="AG251" i="12"/>
  <c r="AJ251" i="12"/>
  <c r="AG219" i="12"/>
  <c r="AJ219" i="12"/>
  <c r="BF353" i="12"/>
  <c r="W402" i="12"/>
  <c r="Z402" i="12"/>
  <c r="W386" i="12"/>
  <c r="Z386" i="12"/>
  <c r="W362" i="12"/>
  <c r="Z362" i="12"/>
  <c r="W346" i="12"/>
  <c r="Z346" i="12"/>
  <c r="W330" i="12"/>
  <c r="Z330" i="12"/>
  <c r="W274" i="12"/>
  <c r="Z274" i="12"/>
  <c r="W258" i="12"/>
  <c r="Z258" i="12"/>
  <c r="W210" i="12"/>
  <c r="Z210" i="12"/>
  <c r="W202" i="12"/>
  <c r="Z202" i="12"/>
  <c r="W194" i="12"/>
  <c r="Z194" i="12"/>
  <c r="R399" i="12"/>
  <c r="R377" i="12"/>
  <c r="R355" i="12"/>
  <c r="R335" i="12"/>
  <c r="R313" i="12"/>
  <c r="R291" i="12"/>
  <c r="R271" i="12"/>
  <c r="R249" i="12"/>
  <c r="R227" i="12"/>
  <c r="R207" i="12"/>
  <c r="U387" i="12"/>
  <c r="U323" i="12"/>
  <c r="U261" i="12"/>
  <c r="U217" i="12"/>
  <c r="W385" i="12"/>
  <c r="W363" i="12"/>
  <c r="W321" i="12"/>
  <c r="Z395" i="12"/>
  <c r="Z226" i="12"/>
  <c r="BF289" i="12"/>
  <c r="R375" i="12"/>
  <c r="R353" i="12"/>
  <c r="R311" i="12"/>
  <c r="R289" i="12"/>
  <c r="R247" i="12"/>
  <c r="R225" i="12"/>
  <c r="R203" i="12"/>
  <c r="U384" i="12"/>
  <c r="U352" i="12"/>
  <c r="U320" i="12"/>
  <c r="U288" i="12"/>
  <c r="U213" i="12"/>
  <c r="W403" i="12"/>
  <c r="W381" i="12"/>
  <c r="W361" i="12"/>
  <c r="W339" i="12"/>
  <c r="W317" i="12"/>
  <c r="W283" i="12"/>
  <c r="Z373" i="12"/>
  <c r="Z203" i="12"/>
  <c r="BF225" i="12"/>
  <c r="R255" i="12"/>
  <c r="W378" i="12"/>
  <c r="Z378" i="12"/>
  <c r="R393" i="12"/>
  <c r="R371" i="12"/>
  <c r="R351" i="12"/>
  <c r="R329" i="12"/>
  <c r="R307" i="12"/>
  <c r="R287" i="12"/>
  <c r="R243" i="12"/>
  <c r="R223" i="12"/>
  <c r="R201" i="12"/>
  <c r="U381" i="12"/>
  <c r="U349" i="12"/>
  <c r="U317" i="12"/>
  <c r="U285" i="12"/>
  <c r="W401" i="12"/>
  <c r="W379" i="12"/>
  <c r="W357" i="12"/>
  <c r="W337" i="12"/>
  <c r="W315" i="12"/>
  <c r="Z354" i="12"/>
  <c r="R391" i="12"/>
  <c r="R369" i="12"/>
  <c r="R347" i="12"/>
  <c r="R327" i="12"/>
  <c r="R305" i="12"/>
  <c r="R283" i="12"/>
  <c r="R263" i="12"/>
  <c r="R241" i="12"/>
  <c r="R199" i="12"/>
  <c r="U376" i="12"/>
  <c r="U344" i="12"/>
  <c r="U312" i="12"/>
  <c r="U280" i="12"/>
  <c r="U236" i="12"/>
  <c r="W285" i="12"/>
  <c r="Z285" i="12"/>
  <c r="Z277" i="12"/>
  <c r="W277" i="12"/>
  <c r="Z269" i="12"/>
  <c r="W269" i="12"/>
  <c r="Z253" i="12"/>
  <c r="W253" i="12"/>
  <c r="Z237" i="12"/>
  <c r="W237" i="12"/>
  <c r="Z229" i="12"/>
  <c r="W229" i="12"/>
  <c r="W221" i="12"/>
  <c r="Z221" i="12"/>
  <c r="Z213" i="12"/>
  <c r="W213" i="12"/>
  <c r="Z205" i="12"/>
  <c r="W205" i="12"/>
  <c r="W397" i="12"/>
  <c r="W377" i="12"/>
  <c r="W355" i="12"/>
  <c r="W333" i="12"/>
  <c r="W313" i="12"/>
  <c r="W241" i="12"/>
  <c r="Z331" i="12"/>
  <c r="AY398" i="12"/>
  <c r="AV398" i="12"/>
  <c r="AY390" i="12"/>
  <c r="AV390" i="12"/>
  <c r="AY382" i="12"/>
  <c r="AV382" i="12"/>
  <c r="AY374" i="12"/>
  <c r="AV374" i="12"/>
  <c r="AY366" i="12"/>
  <c r="AV366" i="12"/>
  <c r="AY358" i="12"/>
  <c r="AV358" i="12"/>
  <c r="AY350" i="12"/>
  <c r="AV350" i="12"/>
  <c r="AY342" i="12"/>
  <c r="AV342" i="12"/>
  <c r="AY334" i="12"/>
  <c r="AV334" i="12"/>
  <c r="AY326" i="12"/>
  <c r="AV326" i="12"/>
  <c r="AY318" i="12"/>
  <c r="AV318" i="12"/>
  <c r="AY310" i="12"/>
  <c r="AV310" i="12"/>
  <c r="AY302" i="12"/>
  <c r="AV302" i="12"/>
  <c r="AY294" i="12"/>
  <c r="AV294" i="12"/>
  <c r="AY286" i="12"/>
  <c r="AV286" i="12"/>
  <c r="R319" i="12"/>
  <c r="W394" i="12"/>
  <c r="Z394" i="12"/>
  <c r="W370" i="12"/>
  <c r="Z370" i="12"/>
  <c r="W338" i="12"/>
  <c r="Z338" i="12"/>
  <c r="W322" i="12"/>
  <c r="Z322" i="12"/>
  <c r="W314" i="12"/>
  <c r="Z314" i="12"/>
  <c r="W306" i="12"/>
  <c r="Z306" i="12"/>
  <c r="W298" i="12"/>
  <c r="Z298" i="12"/>
  <c r="W282" i="12"/>
  <c r="Z282" i="12"/>
  <c r="W266" i="12"/>
  <c r="Z266" i="12"/>
  <c r="W250" i="12"/>
  <c r="Z250" i="12"/>
  <c r="W242" i="12"/>
  <c r="Z242" i="12"/>
  <c r="W234" i="12"/>
  <c r="Z234" i="12"/>
  <c r="W218" i="12"/>
  <c r="Z218" i="12"/>
  <c r="R367" i="12"/>
  <c r="R345" i="12"/>
  <c r="R303" i="12"/>
  <c r="R281" i="12"/>
  <c r="R259" i="12"/>
  <c r="R239" i="12"/>
  <c r="R195" i="12"/>
  <c r="U373" i="12"/>
  <c r="U341" i="12"/>
  <c r="U309" i="12"/>
  <c r="U277" i="12"/>
  <c r="U235" i="12"/>
  <c r="W353" i="12"/>
  <c r="W309" i="12"/>
  <c r="W219" i="12"/>
  <c r="AJ243" i="12"/>
  <c r="R383" i="12"/>
  <c r="R385" i="12"/>
  <c r="R343" i="12"/>
  <c r="R321" i="12"/>
  <c r="R279" i="12"/>
  <c r="R257" i="12"/>
  <c r="R215" i="12"/>
  <c r="R193" i="12"/>
  <c r="U197" i="12"/>
  <c r="W307" i="12"/>
  <c r="Z307" i="12"/>
  <c r="Z291" i="12"/>
  <c r="W291" i="12"/>
  <c r="Z275" i="12"/>
  <c r="W275" i="12"/>
  <c r="Z259" i="12"/>
  <c r="W259" i="12"/>
  <c r="Z251" i="12"/>
  <c r="W251" i="12"/>
  <c r="W243" i="12"/>
  <c r="Z243" i="12"/>
  <c r="Z235" i="12"/>
  <c r="W235" i="12"/>
  <c r="Z227" i="12"/>
  <c r="W227" i="12"/>
  <c r="Z211" i="12"/>
  <c r="W211" i="12"/>
  <c r="Z195" i="12"/>
  <c r="W195" i="12"/>
  <c r="W371" i="12"/>
  <c r="Z290" i="12"/>
  <c r="AQ388" i="12"/>
  <c r="AT388" i="12"/>
  <c r="AQ324" i="12"/>
  <c r="AT324" i="12"/>
  <c r="AQ316" i="12"/>
  <c r="AT316" i="12"/>
  <c r="AQ276" i="12"/>
  <c r="AT276" i="12"/>
  <c r="AQ260" i="12"/>
  <c r="AT260" i="12"/>
  <c r="AQ252" i="12"/>
  <c r="AT252" i="12"/>
  <c r="AQ236" i="12"/>
  <c r="AT236" i="12"/>
  <c r="AQ212" i="12"/>
  <c r="AT212" i="12"/>
  <c r="AQ204" i="12"/>
  <c r="AT204" i="12"/>
  <c r="AQ196" i="12"/>
  <c r="AT196" i="12"/>
  <c r="BI401" i="12"/>
  <c r="BF401" i="12"/>
  <c r="BI393" i="12"/>
  <c r="BF393" i="12"/>
  <c r="BI385" i="12"/>
  <c r="BF385" i="12"/>
  <c r="BI377" i="12"/>
  <c r="BF377" i="12"/>
  <c r="BI369" i="12"/>
  <c r="BF369" i="12"/>
  <c r="BI361" i="12"/>
  <c r="BF361" i="12"/>
  <c r="BI345" i="12"/>
  <c r="BF345" i="12"/>
  <c r="BI337" i="12"/>
  <c r="BF337" i="12"/>
  <c r="BI329" i="12"/>
  <c r="BF329" i="12"/>
  <c r="BI321" i="12"/>
  <c r="BF321" i="12"/>
  <c r="BI313" i="12"/>
  <c r="BF313" i="12"/>
  <c r="BI305" i="12"/>
  <c r="BF305" i="12"/>
  <c r="BI297" i="12"/>
  <c r="BF297" i="12"/>
  <c r="BI281" i="12"/>
  <c r="BF281" i="12"/>
  <c r="BI273" i="12"/>
  <c r="BF273" i="12"/>
  <c r="BI265" i="12"/>
  <c r="BF265" i="12"/>
  <c r="BI257" i="12"/>
  <c r="BF257" i="12"/>
  <c r="BI249" i="12"/>
  <c r="BF249" i="12"/>
  <c r="BI241" i="12"/>
  <c r="BF241" i="12"/>
  <c r="BI233" i="12"/>
  <c r="BF233" i="12"/>
  <c r="BI217" i="12"/>
  <c r="BF217" i="12"/>
  <c r="BI209" i="12"/>
  <c r="BF209" i="12"/>
  <c r="BI201" i="12"/>
  <c r="BF201" i="12"/>
  <c r="BI193" i="12"/>
  <c r="BF193" i="12"/>
  <c r="AB392" i="12"/>
  <c r="AB304" i="12"/>
  <c r="AB224" i="12"/>
  <c r="AE318" i="12"/>
  <c r="AG382" i="12"/>
  <c r="AG350" i="12"/>
  <c r="AG318" i="12"/>
  <c r="AG254" i="12"/>
  <c r="AG222" i="12"/>
  <c r="AJ373" i="12"/>
  <c r="AJ230" i="12"/>
  <c r="AL370" i="12"/>
  <c r="AL306" i="12"/>
  <c r="AL242" i="12"/>
  <c r="AO200" i="12"/>
  <c r="AQ395" i="12"/>
  <c r="AQ379" i="12"/>
  <c r="AQ363" i="12"/>
  <c r="AQ347" i="12"/>
  <c r="AQ331" i="12"/>
  <c r="AQ315" i="12"/>
  <c r="AQ299" i="12"/>
  <c r="AQ283" i="12"/>
  <c r="AQ267" i="12"/>
  <c r="AQ251" i="12"/>
  <c r="AQ235" i="12"/>
  <c r="AQ219" i="12"/>
  <c r="AQ203" i="12"/>
  <c r="AV400" i="12"/>
  <c r="AV384" i="12"/>
  <c r="AV368" i="12"/>
  <c r="AV352" i="12"/>
  <c r="AV336" i="12"/>
  <c r="AV320" i="12"/>
  <c r="AV304" i="12"/>
  <c r="AV288" i="12"/>
  <c r="AV258" i="12"/>
  <c r="AV226" i="12"/>
  <c r="BA387" i="12"/>
  <c r="BA367" i="12"/>
  <c r="BA345" i="12"/>
  <c r="BA323" i="12"/>
  <c r="BA303" i="12"/>
  <c r="BA281" i="12"/>
  <c r="BA259" i="12"/>
  <c r="BA239" i="12"/>
  <c r="BA217" i="12"/>
  <c r="BA195" i="12"/>
  <c r="BD384" i="12"/>
  <c r="BD352" i="12"/>
  <c r="BD320" i="12"/>
  <c r="BD288" i="12"/>
  <c r="BI384" i="12"/>
  <c r="BI320" i="12"/>
  <c r="BI256" i="12"/>
  <c r="BI192" i="12"/>
  <c r="AB384" i="12"/>
  <c r="AB296" i="12"/>
  <c r="AB208" i="12"/>
  <c r="AE286" i="12"/>
  <c r="AG375" i="12"/>
  <c r="AG343" i="12"/>
  <c r="AG311" i="12"/>
  <c r="AG279" i="12"/>
  <c r="AG247" i="12"/>
  <c r="AG215" i="12"/>
  <c r="AJ400" i="12"/>
  <c r="AJ368" i="12"/>
  <c r="AL395" i="12"/>
  <c r="AL363" i="12"/>
  <c r="AL331" i="12"/>
  <c r="AL299" i="12"/>
  <c r="AL267" i="12"/>
  <c r="AL235" i="12"/>
  <c r="AL203" i="12"/>
  <c r="AO386" i="12"/>
  <c r="AO322" i="12"/>
  <c r="AO258" i="12"/>
  <c r="AQ393" i="12"/>
  <c r="AQ377" i="12"/>
  <c r="AQ361" i="12"/>
  <c r="AQ345" i="12"/>
  <c r="AQ329" i="12"/>
  <c r="AQ313" i="12"/>
  <c r="AQ297" i="12"/>
  <c r="AQ281" i="12"/>
  <c r="AQ265" i="12"/>
  <c r="AQ249" i="12"/>
  <c r="AQ233" i="12"/>
  <c r="AQ217" i="12"/>
  <c r="AQ201" i="12"/>
  <c r="AV252" i="12"/>
  <c r="AV220" i="12"/>
  <c r="BA385" i="12"/>
  <c r="BA363" i="12"/>
  <c r="BA343" i="12"/>
  <c r="BA321" i="12"/>
  <c r="BA299" i="12"/>
  <c r="BA279" i="12"/>
  <c r="BA257" i="12"/>
  <c r="BA235" i="12"/>
  <c r="BA215" i="12"/>
  <c r="BA193" i="12"/>
  <c r="BD382" i="12"/>
  <c r="BD350" i="12"/>
  <c r="BD318" i="12"/>
  <c r="BD286" i="12"/>
  <c r="BI376" i="12"/>
  <c r="BI312" i="12"/>
  <c r="BI248" i="12"/>
  <c r="AB368" i="12"/>
  <c r="AB288" i="12"/>
  <c r="AJ397" i="12"/>
  <c r="AJ365" i="12"/>
  <c r="AV283" i="12"/>
  <c r="AV248" i="12"/>
  <c r="AV216" i="12"/>
  <c r="BA383" i="12"/>
  <c r="BA319" i="12"/>
  <c r="BA255" i="12"/>
  <c r="BI368" i="12"/>
  <c r="BI304" i="12"/>
  <c r="BI240" i="12"/>
  <c r="AB360" i="12"/>
  <c r="AB272" i="12"/>
  <c r="AB192" i="12"/>
  <c r="AE254" i="12"/>
  <c r="AG399" i="12"/>
  <c r="AG367" i="12"/>
  <c r="AG335" i="12"/>
  <c r="AG303" i="12"/>
  <c r="AG271" i="12"/>
  <c r="AG239" i="12"/>
  <c r="AG207" i="12"/>
  <c r="AJ392" i="12"/>
  <c r="AJ360" i="12"/>
  <c r="AJ198" i="12"/>
  <c r="AL387" i="12"/>
  <c r="AL355" i="12"/>
  <c r="AL323" i="12"/>
  <c r="AL291" i="12"/>
  <c r="AL259" i="12"/>
  <c r="AL227" i="12"/>
  <c r="AL195" i="12"/>
  <c r="AQ389" i="12"/>
  <c r="AQ373" i="12"/>
  <c r="AQ357" i="12"/>
  <c r="AQ341" i="12"/>
  <c r="AQ325" i="12"/>
  <c r="AQ309" i="12"/>
  <c r="AQ293" i="12"/>
  <c r="AQ277" i="12"/>
  <c r="AQ261" i="12"/>
  <c r="AQ245" i="12"/>
  <c r="AQ229" i="12"/>
  <c r="AQ213" i="12"/>
  <c r="AQ197" i="12"/>
  <c r="AV394" i="12"/>
  <c r="AV378" i="12"/>
  <c r="AV362" i="12"/>
  <c r="AV346" i="12"/>
  <c r="AV330" i="12"/>
  <c r="AV314" i="12"/>
  <c r="AV298" i="12"/>
  <c r="AV280" i="12"/>
  <c r="AV242" i="12"/>
  <c r="AV208" i="12"/>
  <c r="AY377" i="12"/>
  <c r="BA401" i="12"/>
  <c r="BA379" i="12"/>
  <c r="BA359" i="12"/>
  <c r="BA337" i="12"/>
  <c r="BA315" i="12"/>
  <c r="BA295" i="12"/>
  <c r="BA273" i="12"/>
  <c r="BA251" i="12"/>
  <c r="BA231" i="12"/>
  <c r="BA209" i="12"/>
  <c r="BD374" i="12"/>
  <c r="BD342" i="12"/>
  <c r="BD310" i="12"/>
  <c r="BD278" i="12"/>
  <c r="BI360" i="12"/>
  <c r="BI296" i="12"/>
  <c r="BI232" i="12"/>
  <c r="AB352" i="12"/>
  <c r="AB264" i="12"/>
  <c r="AE230" i="12"/>
  <c r="AG398" i="12"/>
  <c r="AG366" i="12"/>
  <c r="AG334" i="12"/>
  <c r="AG302" i="12"/>
  <c r="AG270" i="12"/>
  <c r="AG238" i="12"/>
  <c r="AG206" i="12"/>
  <c r="AJ389" i="12"/>
  <c r="AJ357" i="12"/>
  <c r="AJ266" i="12"/>
  <c r="AL354" i="12"/>
  <c r="AL194" i="12"/>
  <c r="AQ403" i="12"/>
  <c r="AQ387" i="12"/>
  <c r="AQ371" i="12"/>
  <c r="AQ355" i="12"/>
  <c r="AQ339" i="12"/>
  <c r="AQ323" i="12"/>
  <c r="AQ307" i="12"/>
  <c r="AQ291" i="12"/>
  <c r="AQ275" i="12"/>
  <c r="AQ259" i="12"/>
  <c r="AQ243" i="12"/>
  <c r="AQ227" i="12"/>
  <c r="AQ211" i="12"/>
  <c r="AQ195" i="12"/>
  <c r="AV392" i="12"/>
  <c r="AV376" i="12"/>
  <c r="AV360" i="12"/>
  <c r="AV344" i="12"/>
  <c r="AV328" i="12"/>
  <c r="AV312" i="12"/>
  <c r="AV296" i="12"/>
  <c r="AV272" i="12"/>
  <c r="AV240" i="12"/>
  <c r="AV204" i="12"/>
  <c r="AY355" i="12"/>
  <c r="BA399" i="12"/>
  <c r="BA377" i="12"/>
  <c r="BA355" i="12"/>
  <c r="BA335" i="12"/>
  <c r="BA313" i="12"/>
  <c r="BA291" i="12"/>
  <c r="BA271" i="12"/>
  <c r="BA249" i="12"/>
  <c r="BA227" i="12"/>
  <c r="BA207" i="12"/>
  <c r="BD400" i="12"/>
  <c r="BD368" i="12"/>
  <c r="BD336" i="12"/>
  <c r="BD304" i="12"/>
  <c r="BI352" i="12"/>
  <c r="BI288" i="12"/>
  <c r="BI224" i="12"/>
  <c r="AB336" i="12"/>
  <c r="AB256" i="12"/>
  <c r="AJ384" i="12"/>
  <c r="AJ352" i="12"/>
  <c r="AQ401" i="12"/>
  <c r="AQ385" i="12"/>
  <c r="AQ369" i="12"/>
  <c r="AQ353" i="12"/>
  <c r="AQ337" i="12"/>
  <c r="AQ321" i="12"/>
  <c r="AQ305" i="12"/>
  <c r="AQ289" i="12"/>
  <c r="AQ273" i="12"/>
  <c r="AQ257" i="12"/>
  <c r="AQ241" i="12"/>
  <c r="AQ225" i="12"/>
  <c r="AQ209" i="12"/>
  <c r="AQ193" i="12"/>
  <c r="AV200" i="12"/>
  <c r="BA375" i="12"/>
  <c r="BA311" i="12"/>
  <c r="BA247" i="12"/>
  <c r="BI344" i="12"/>
  <c r="BI280" i="12"/>
  <c r="BI216" i="12"/>
  <c r="AB328" i="12"/>
  <c r="AB240" i="12"/>
  <c r="AE382" i="12"/>
  <c r="AG390" i="12"/>
  <c r="AG358" i="12"/>
  <c r="AG326" i="12"/>
  <c r="AG294" i="12"/>
  <c r="AJ381" i="12"/>
  <c r="AL346" i="12"/>
  <c r="AL282" i="12"/>
  <c r="AL218" i="12"/>
  <c r="AQ399" i="12"/>
  <c r="AQ383" i="12"/>
  <c r="AQ367" i="12"/>
  <c r="AQ351" i="12"/>
  <c r="AQ335" i="12"/>
  <c r="AQ319" i="12"/>
  <c r="AQ303" i="12"/>
  <c r="AQ287" i="12"/>
  <c r="AQ271" i="12"/>
  <c r="AQ255" i="12"/>
  <c r="AQ239" i="12"/>
  <c r="AQ223" i="12"/>
  <c r="AQ207" i="12"/>
  <c r="AV404" i="12"/>
  <c r="AV388" i="12"/>
  <c r="AV372" i="12"/>
  <c r="AV356" i="12"/>
  <c r="AV340" i="12"/>
  <c r="AV324" i="12"/>
  <c r="AV308" i="12"/>
  <c r="AV292" i="12"/>
  <c r="AV264" i="12"/>
  <c r="AV232" i="12"/>
  <c r="AV196" i="12"/>
  <c r="AY207" i="12"/>
  <c r="BA393" i="12"/>
  <c r="BA371" i="12"/>
  <c r="BA351" i="12"/>
  <c r="BA329" i="12"/>
  <c r="BA307" i="12"/>
  <c r="BA287" i="12"/>
  <c r="BA265" i="12"/>
  <c r="BA243" i="12"/>
  <c r="BA223" i="12"/>
  <c r="BA201" i="12"/>
  <c r="BD392" i="12"/>
  <c r="BD360" i="12"/>
  <c r="BD328" i="12"/>
  <c r="BD296" i="12"/>
  <c r="BI400" i="12"/>
  <c r="BI336" i="12"/>
  <c r="BI272" i="12"/>
  <c r="BI208" i="12"/>
  <c r="R400" i="12"/>
  <c r="R368" i="12"/>
  <c r="R336" i="12"/>
  <c r="R304" i="12"/>
  <c r="R272" i="12"/>
  <c r="R264" i="12"/>
  <c r="R256" i="12"/>
  <c r="R248" i="12"/>
  <c r="R240" i="12"/>
  <c r="R232" i="12"/>
  <c r="R224" i="12"/>
  <c r="R216" i="12"/>
  <c r="R208" i="12"/>
  <c r="R200" i="12"/>
  <c r="R192" i="12"/>
  <c r="U404" i="12"/>
  <c r="U382" i="12"/>
  <c r="U372" i="12"/>
  <c r="U350" i="12"/>
  <c r="U340" i="12"/>
  <c r="U318" i="12"/>
  <c r="U308" i="12"/>
  <c r="U286" i="12"/>
  <c r="U276" i="12"/>
  <c r="U262" i="12"/>
  <c r="U237" i="12"/>
  <c r="U212" i="12"/>
  <c r="U198" i="12"/>
  <c r="W399" i="12"/>
  <c r="Z399" i="12"/>
  <c r="W391" i="12"/>
  <c r="Z391" i="12"/>
  <c r="W383" i="12"/>
  <c r="Z383" i="12"/>
  <c r="W375" i="12"/>
  <c r="Z375" i="12"/>
  <c r="W367" i="12"/>
  <c r="Z367" i="12"/>
  <c r="W359" i="12"/>
  <c r="Z359" i="12"/>
  <c r="W351" i="12"/>
  <c r="Z351" i="12"/>
  <c r="W343" i="12"/>
  <c r="Z343" i="12"/>
  <c r="W335" i="12"/>
  <c r="Z335" i="12"/>
  <c r="W327" i="12"/>
  <c r="Z327" i="12"/>
  <c r="W319" i="12"/>
  <c r="Z319" i="12"/>
  <c r="W311" i="12"/>
  <c r="Z311" i="12"/>
  <c r="W303" i="12"/>
  <c r="Z303" i="12"/>
  <c r="W295" i="12"/>
  <c r="Z295" i="12"/>
  <c r="W287" i="12"/>
  <c r="Z287" i="12"/>
  <c r="W279" i="12"/>
  <c r="Z279" i="12"/>
  <c r="W271" i="12"/>
  <c r="Z271" i="12"/>
  <c r="W263" i="12"/>
  <c r="Z263" i="12"/>
  <c r="W255" i="12"/>
  <c r="Z255" i="12"/>
  <c r="W247" i="12"/>
  <c r="Z247" i="12"/>
  <c r="W239" i="12"/>
  <c r="Z239" i="12"/>
  <c r="Z392" i="12"/>
  <c r="Z376" i="12"/>
  <c r="Z360" i="12"/>
  <c r="Z344" i="12"/>
  <c r="Z328" i="12"/>
  <c r="Z312" i="12"/>
  <c r="Z296" i="12"/>
  <c r="Z280" i="12"/>
  <c r="Z264" i="12"/>
  <c r="Z248" i="12"/>
  <c r="Z232" i="12"/>
  <c r="Z216" i="12"/>
  <c r="Z200" i="12"/>
  <c r="R398" i="12"/>
  <c r="R390" i="12"/>
  <c r="R374" i="12"/>
  <c r="R366" i="12"/>
  <c r="R358" i="12"/>
  <c r="R342" i="12"/>
  <c r="R334" i="12"/>
  <c r="R326" i="12"/>
  <c r="R310" i="12"/>
  <c r="R302" i="12"/>
  <c r="R294" i="12"/>
  <c r="R278" i="12"/>
  <c r="R270" i="12"/>
  <c r="R254" i="12"/>
  <c r="R246" i="12"/>
  <c r="R238" i="12"/>
  <c r="R230" i="12"/>
  <c r="R214" i="12"/>
  <c r="R206" i="12"/>
  <c r="U380" i="12"/>
  <c r="U348" i="12"/>
  <c r="U316" i="12"/>
  <c r="U284" i="12"/>
  <c r="U260" i="12"/>
  <c r="U221" i="12"/>
  <c r="U196" i="12"/>
  <c r="AG401" i="12"/>
  <c r="AJ401" i="12"/>
  <c r="AG393" i="12"/>
  <c r="AJ393" i="12"/>
  <c r="AG385" i="12"/>
  <c r="AJ385" i="12"/>
  <c r="AG377" i="12"/>
  <c r="AJ377" i="12"/>
  <c r="W198" i="12"/>
  <c r="Z198" i="12"/>
  <c r="R397" i="12"/>
  <c r="R389" i="12"/>
  <c r="R365" i="12"/>
  <c r="R357" i="12"/>
  <c r="R333" i="12"/>
  <c r="R325" i="12"/>
  <c r="R301" i="12"/>
  <c r="R293" i="12"/>
  <c r="R269" i="12"/>
  <c r="R253" i="12"/>
  <c r="R245" i="12"/>
  <c r="R229" i="12"/>
  <c r="R205" i="12"/>
  <c r="U220" i="12"/>
  <c r="W404" i="12"/>
  <c r="Z404" i="12"/>
  <c r="W396" i="12"/>
  <c r="Z396" i="12"/>
  <c r="W388" i="12"/>
  <c r="Z388" i="12"/>
  <c r="W380" i="12"/>
  <c r="Z380" i="12"/>
  <c r="W372" i="12"/>
  <c r="Z372" i="12"/>
  <c r="W364" i="12"/>
  <c r="Z364" i="12"/>
  <c r="W356" i="12"/>
  <c r="Z356" i="12"/>
  <c r="W348" i="12"/>
  <c r="Z348" i="12"/>
  <c r="W340" i="12"/>
  <c r="Z340" i="12"/>
  <c r="W332" i="12"/>
  <c r="Z332" i="12"/>
  <c r="W324" i="12"/>
  <c r="Z324" i="12"/>
  <c r="W316" i="12"/>
  <c r="Z316" i="12"/>
  <c r="W308" i="12"/>
  <c r="Z308" i="12"/>
  <c r="W300" i="12"/>
  <c r="Z300" i="12"/>
  <c r="W292" i="12"/>
  <c r="Z292" i="12"/>
  <c r="W284" i="12"/>
  <c r="Z284" i="12"/>
  <c r="W276" i="12"/>
  <c r="Z276" i="12"/>
  <c r="W268" i="12"/>
  <c r="Z268" i="12"/>
  <c r="W260" i="12"/>
  <c r="Z260" i="12"/>
  <c r="W252" i="12"/>
  <c r="Z252" i="12"/>
  <c r="W244" i="12"/>
  <c r="Z244" i="12"/>
  <c r="W236" i="12"/>
  <c r="Z236" i="12"/>
  <c r="W228" i="12"/>
  <c r="Z228" i="12"/>
  <c r="W220" i="12"/>
  <c r="Z220" i="12"/>
  <c r="W212" i="12"/>
  <c r="Z212" i="12"/>
  <c r="W204" i="12"/>
  <c r="Z204" i="12"/>
  <c r="W196" i="12"/>
  <c r="Z196" i="12"/>
  <c r="R396" i="12"/>
  <c r="R388" i="12"/>
  <c r="R364" i="12"/>
  <c r="R356" i="12"/>
  <c r="R332" i="12"/>
  <c r="R324" i="12"/>
  <c r="R300" i="12"/>
  <c r="R292" i="12"/>
  <c r="R268" i="12"/>
  <c r="R252" i="12"/>
  <c r="R244" i="12"/>
  <c r="R228" i="12"/>
  <c r="R204" i="12"/>
  <c r="Z400" i="12"/>
  <c r="Z384" i="12"/>
  <c r="Z368" i="12"/>
  <c r="Z352" i="12"/>
  <c r="Z336" i="12"/>
  <c r="Z320" i="12"/>
  <c r="Z304" i="12"/>
  <c r="Z288" i="12"/>
  <c r="Z272" i="12"/>
  <c r="Z256" i="12"/>
  <c r="Z240" i="12"/>
  <c r="Z224" i="12"/>
  <c r="Z208" i="12"/>
  <c r="Z192" i="12"/>
  <c r="AB403" i="12"/>
  <c r="AE403" i="12"/>
  <c r="AB395" i="12"/>
  <c r="AE395" i="12"/>
  <c r="AB387" i="12"/>
  <c r="AE387" i="12"/>
  <c r="AB379" i="12"/>
  <c r="AE379" i="12"/>
  <c r="AB371" i="12"/>
  <c r="AE371" i="12"/>
  <c r="AB363" i="12"/>
  <c r="AE363" i="12"/>
  <c r="AB355" i="12"/>
  <c r="AE355" i="12"/>
  <c r="AB347" i="12"/>
  <c r="AE347" i="12"/>
  <c r="AB339" i="12"/>
  <c r="AE339" i="12"/>
  <c r="AB331" i="12"/>
  <c r="AE331" i="12"/>
  <c r="AB323" i="12"/>
  <c r="AE323" i="12"/>
  <c r="AB315" i="12"/>
  <c r="AE315" i="12"/>
  <c r="AB307" i="12"/>
  <c r="AE307" i="12"/>
  <c r="AB299" i="12"/>
  <c r="AE299" i="12"/>
  <c r="AB291" i="12"/>
  <c r="AE291" i="12"/>
  <c r="AB283" i="12"/>
  <c r="AE283" i="12"/>
  <c r="AB275" i="12"/>
  <c r="AE275" i="12"/>
  <c r="AB267" i="12"/>
  <c r="AE267" i="12"/>
  <c r="AB259" i="12"/>
  <c r="AE259" i="12"/>
  <c r="AB251" i="12"/>
  <c r="AE251" i="12"/>
  <c r="AB243" i="12"/>
  <c r="AE243" i="12"/>
  <c r="AB235" i="12"/>
  <c r="AE235" i="12"/>
  <c r="AB227" i="12"/>
  <c r="AE227" i="12"/>
  <c r="AB219" i="12"/>
  <c r="AE219" i="12"/>
  <c r="AB211" i="12"/>
  <c r="AE211" i="12"/>
  <c r="AB203" i="12"/>
  <c r="AE203" i="12"/>
  <c r="AB195" i="12"/>
  <c r="AE195" i="12"/>
  <c r="W398" i="12"/>
  <c r="Z398" i="12"/>
  <c r="W382" i="12"/>
  <c r="Z382" i="12"/>
  <c r="W366" i="12"/>
  <c r="Z366" i="12"/>
  <c r="W350" i="12"/>
  <c r="Z350" i="12"/>
  <c r="W334" i="12"/>
  <c r="Z334" i="12"/>
  <c r="W318" i="12"/>
  <c r="Z318" i="12"/>
  <c r="W302" i="12"/>
  <c r="Z302" i="12"/>
  <c r="W286" i="12"/>
  <c r="Z286" i="12"/>
  <c r="W270" i="12"/>
  <c r="Z270" i="12"/>
  <c r="W254" i="12"/>
  <c r="Z254" i="12"/>
  <c r="W238" i="12"/>
  <c r="Z238" i="12"/>
  <c r="W222" i="12"/>
  <c r="Z222" i="12"/>
  <c r="W206" i="12"/>
  <c r="Z206" i="12"/>
  <c r="AL390" i="12"/>
  <c r="AO390" i="12"/>
  <c r="AL374" i="12"/>
  <c r="AO374" i="12"/>
  <c r="AL358" i="12"/>
  <c r="AO358" i="12"/>
  <c r="AL342" i="12"/>
  <c r="AO342" i="12"/>
  <c r="AL326" i="12"/>
  <c r="AO326" i="12"/>
  <c r="AL310" i="12"/>
  <c r="AO310" i="12"/>
  <c r="AL294" i="12"/>
  <c r="AO294" i="12"/>
  <c r="AL278" i="12"/>
  <c r="AO278" i="12"/>
  <c r="AL262" i="12"/>
  <c r="AO262" i="12"/>
  <c r="AL246" i="12"/>
  <c r="AO246" i="12"/>
  <c r="AL230" i="12"/>
  <c r="AO230" i="12"/>
  <c r="AL222" i="12"/>
  <c r="AO222" i="12"/>
  <c r="AO198" i="12"/>
  <c r="AL198" i="12"/>
  <c r="R402" i="12"/>
  <c r="R394" i="12"/>
  <c r="R386" i="12"/>
  <c r="R378" i="12"/>
  <c r="R370" i="12"/>
  <c r="R362" i="12"/>
  <c r="R354" i="12"/>
  <c r="R346" i="12"/>
  <c r="R338" i="12"/>
  <c r="R330" i="12"/>
  <c r="R322" i="12"/>
  <c r="R314" i="12"/>
  <c r="R306" i="12"/>
  <c r="R298" i="12"/>
  <c r="R290" i="12"/>
  <c r="R282" i="12"/>
  <c r="R274" i="12"/>
  <c r="R266" i="12"/>
  <c r="R258" i="12"/>
  <c r="R250" i="12"/>
  <c r="R242" i="12"/>
  <c r="R234" i="12"/>
  <c r="R226" i="12"/>
  <c r="R218" i="12"/>
  <c r="R210" i="12"/>
  <c r="R202" i="12"/>
  <c r="R194" i="12"/>
  <c r="W390" i="12"/>
  <c r="Z390" i="12"/>
  <c r="W374" i="12"/>
  <c r="Z374" i="12"/>
  <c r="W358" i="12"/>
  <c r="Z358" i="12"/>
  <c r="W342" i="12"/>
  <c r="Z342" i="12"/>
  <c r="W326" i="12"/>
  <c r="Z326" i="12"/>
  <c r="W310" i="12"/>
  <c r="Z310" i="12"/>
  <c r="W294" i="12"/>
  <c r="Z294" i="12"/>
  <c r="W278" i="12"/>
  <c r="Z278" i="12"/>
  <c r="W262" i="12"/>
  <c r="Z262" i="12"/>
  <c r="W246" i="12"/>
  <c r="Z246" i="12"/>
  <c r="W230" i="12"/>
  <c r="Z230" i="12"/>
  <c r="W214" i="12"/>
  <c r="Z214" i="12"/>
  <c r="AL398" i="12"/>
  <c r="AO398" i="12"/>
  <c r="AL382" i="12"/>
  <c r="AO382" i="12"/>
  <c r="AL366" i="12"/>
  <c r="AO366" i="12"/>
  <c r="AL350" i="12"/>
  <c r="AO350" i="12"/>
  <c r="AL334" i="12"/>
  <c r="AO334" i="12"/>
  <c r="AL318" i="12"/>
  <c r="AO318" i="12"/>
  <c r="AL302" i="12"/>
  <c r="AO302" i="12"/>
  <c r="AL286" i="12"/>
  <c r="AO286" i="12"/>
  <c r="AL270" i="12"/>
  <c r="AO270" i="12"/>
  <c r="AL254" i="12"/>
  <c r="AO254" i="12"/>
  <c r="AL238" i="12"/>
  <c r="AO238" i="12"/>
  <c r="AL214" i="12"/>
  <c r="AO214" i="12"/>
  <c r="AO206" i="12"/>
  <c r="AL206" i="12"/>
  <c r="AB404" i="12"/>
  <c r="AE404" i="12"/>
  <c r="AB396" i="12"/>
  <c r="AE396" i="12"/>
  <c r="AB388" i="12"/>
  <c r="AE388" i="12"/>
  <c r="AB380" i="12"/>
  <c r="AE380" i="12"/>
  <c r="AB372" i="12"/>
  <c r="AE372" i="12"/>
  <c r="AB364" i="12"/>
  <c r="AE364" i="12"/>
  <c r="AB356" i="12"/>
  <c r="AE356" i="12"/>
  <c r="AB348" i="12"/>
  <c r="AE348" i="12"/>
  <c r="AB340" i="12"/>
  <c r="AE340" i="12"/>
  <c r="AB332" i="12"/>
  <c r="AE332" i="12"/>
  <c r="AB324" i="12"/>
  <c r="AE324" i="12"/>
  <c r="AB316" i="12"/>
  <c r="AE316" i="12"/>
  <c r="AB308" i="12"/>
  <c r="AE308" i="12"/>
  <c r="AB300" i="12"/>
  <c r="AE300" i="12"/>
  <c r="AB292" i="12"/>
  <c r="AE292" i="12"/>
  <c r="AB284" i="12"/>
  <c r="AE284" i="12"/>
  <c r="AB276" i="12"/>
  <c r="AE276" i="12"/>
  <c r="AB268" i="12"/>
  <c r="AE268" i="12"/>
  <c r="AB260" i="12"/>
  <c r="AE260" i="12"/>
  <c r="AB252" i="12"/>
  <c r="AE252" i="12"/>
  <c r="AB244" i="12"/>
  <c r="AE244" i="12"/>
  <c r="AB236" i="12"/>
  <c r="AE236" i="12"/>
  <c r="AB228" i="12"/>
  <c r="AE228" i="12"/>
  <c r="AB220" i="12"/>
  <c r="AE220" i="12"/>
  <c r="AB212" i="12"/>
  <c r="AE212" i="12"/>
  <c r="AB204" i="12"/>
  <c r="AE204" i="12"/>
  <c r="AB196" i="12"/>
  <c r="AE196" i="12"/>
  <c r="AB391" i="12"/>
  <c r="AB359" i="12"/>
  <c r="AB327" i="12"/>
  <c r="AB295" i="12"/>
  <c r="AB263" i="12"/>
  <c r="AB231" i="12"/>
  <c r="AB199" i="12"/>
  <c r="AE383" i="12"/>
  <c r="AE351" i="12"/>
  <c r="AE319" i="12"/>
  <c r="AE287" i="12"/>
  <c r="AE255" i="12"/>
  <c r="AE223" i="12"/>
  <c r="AG402" i="12"/>
  <c r="AJ402" i="12"/>
  <c r="AG394" i="12"/>
  <c r="AJ394" i="12"/>
  <c r="AG386" i="12"/>
  <c r="AJ386" i="12"/>
  <c r="AG378" i="12"/>
  <c r="AJ378" i="12"/>
  <c r="AG370" i="12"/>
  <c r="AJ370" i="12"/>
  <c r="AG362" i="12"/>
  <c r="AJ362" i="12"/>
  <c r="AG354" i="12"/>
  <c r="AJ354" i="12"/>
  <c r="AG346" i="12"/>
  <c r="AJ346" i="12"/>
  <c r="AJ338" i="12"/>
  <c r="AG338" i="12"/>
  <c r="AG322" i="12"/>
  <c r="AJ322" i="12"/>
  <c r="AJ314" i="12"/>
  <c r="AG314" i="12"/>
  <c r="AG306" i="12"/>
  <c r="AJ306" i="12"/>
  <c r="AG298" i="12"/>
  <c r="AJ298" i="12"/>
  <c r="AG290" i="12"/>
  <c r="AJ290" i="12"/>
  <c r="AG282" i="12"/>
  <c r="AJ282" i="12"/>
  <c r="AJ274" i="12"/>
  <c r="AG274" i="12"/>
  <c r="AG258" i="12"/>
  <c r="AJ258" i="12"/>
  <c r="AJ250" i="12"/>
  <c r="AG250" i="12"/>
  <c r="AG242" i="12"/>
  <c r="AJ242" i="12"/>
  <c r="AG234" i="12"/>
  <c r="AJ234" i="12"/>
  <c r="AG226" i="12"/>
  <c r="AJ226" i="12"/>
  <c r="AG218" i="12"/>
  <c r="AJ218" i="12"/>
  <c r="AJ210" i="12"/>
  <c r="AG210" i="12"/>
  <c r="AG194" i="12"/>
  <c r="AJ194" i="12"/>
  <c r="Z231" i="12"/>
  <c r="Z223" i="12"/>
  <c r="Z215" i="12"/>
  <c r="Z207" i="12"/>
  <c r="Z199" i="12"/>
  <c r="AB402" i="12"/>
  <c r="AE402" i="12"/>
  <c r="AB394" i="12"/>
  <c r="AE394" i="12"/>
  <c r="AB386" i="12"/>
  <c r="AE386" i="12"/>
  <c r="AB378" i="12"/>
  <c r="AE378" i="12"/>
  <c r="AB370" i="12"/>
  <c r="AE370" i="12"/>
  <c r="AB362" i="12"/>
  <c r="AE362" i="12"/>
  <c r="AB354" i="12"/>
  <c r="AE354" i="12"/>
  <c r="AB346" i="12"/>
  <c r="AE346" i="12"/>
  <c r="AB338" i="12"/>
  <c r="AE338" i="12"/>
  <c r="AB330" i="12"/>
  <c r="AE330" i="12"/>
  <c r="AB322" i="12"/>
  <c r="AE322" i="12"/>
  <c r="AB314" i="12"/>
  <c r="AE314" i="12"/>
  <c r="AB306" i="12"/>
  <c r="AE306" i="12"/>
  <c r="AB298" i="12"/>
  <c r="AE298" i="12"/>
  <c r="AB290" i="12"/>
  <c r="AE290" i="12"/>
  <c r="AB282" i="12"/>
  <c r="AE282" i="12"/>
  <c r="AB274" i="12"/>
  <c r="AE274" i="12"/>
  <c r="AB266" i="12"/>
  <c r="AE266" i="12"/>
  <c r="AB258" i="12"/>
  <c r="AE258" i="12"/>
  <c r="AB250" i="12"/>
  <c r="AE250" i="12"/>
  <c r="AB242" i="12"/>
  <c r="AE242" i="12"/>
  <c r="AB234" i="12"/>
  <c r="AE234" i="12"/>
  <c r="AB226" i="12"/>
  <c r="AE226" i="12"/>
  <c r="AB218" i="12"/>
  <c r="AE218" i="12"/>
  <c r="AB210" i="12"/>
  <c r="AE210" i="12"/>
  <c r="AB202" i="12"/>
  <c r="AE202" i="12"/>
  <c r="AB194" i="12"/>
  <c r="AE194" i="12"/>
  <c r="AE375" i="12"/>
  <c r="AE343" i="12"/>
  <c r="AE311" i="12"/>
  <c r="AE279" i="12"/>
  <c r="AE247" i="12"/>
  <c r="AE215" i="12"/>
  <c r="AE401" i="12"/>
  <c r="AB401" i="12"/>
  <c r="AE393" i="12"/>
  <c r="AB393" i="12"/>
  <c r="AE385" i="12"/>
  <c r="AB385" i="12"/>
  <c r="AE377" i="12"/>
  <c r="AB377" i="12"/>
  <c r="AE369" i="12"/>
  <c r="AB369" i="12"/>
  <c r="AE361" i="12"/>
  <c r="AB361" i="12"/>
  <c r="AE353" i="12"/>
  <c r="AB353" i="12"/>
  <c r="AE345" i="12"/>
  <c r="AB345" i="12"/>
  <c r="AE337" i="12"/>
  <c r="AB337" i="12"/>
  <c r="AE329" i="12"/>
  <c r="AB329" i="12"/>
  <c r="AE321" i="12"/>
  <c r="AB321" i="12"/>
  <c r="AE313" i="12"/>
  <c r="AB313" i="12"/>
  <c r="AE305" i="12"/>
  <c r="AB305" i="12"/>
  <c r="AE297" i="12"/>
  <c r="AB297" i="12"/>
  <c r="AE289" i="12"/>
  <c r="AB289" i="12"/>
  <c r="AE281" i="12"/>
  <c r="AB281" i="12"/>
  <c r="AE273" i="12"/>
  <c r="AB273" i="12"/>
  <c r="AE265" i="12"/>
  <c r="AB265" i="12"/>
  <c r="AE257" i="12"/>
  <c r="AB257" i="12"/>
  <c r="AE249" i="12"/>
  <c r="AB249" i="12"/>
  <c r="AE241" i="12"/>
  <c r="AB241" i="12"/>
  <c r="AE233" i="12"/>
  <c r="AB233" i="12"/>
  <c r="AE225" i="12"/>
  <c r="AB225" i="12"/>
  <c r="AE217" i="12"/>
  <c r="AB217" i="12"/>
  <c r="AE209" i="12"/>
  <c r="AB209" i="12"/>
  <c r="AE201" i="12"/>
  <c r="AB201" i="12"/>
  <c r="AB376" i="12"/>
  <c r="AB344" i="12"/>
  <c r="AB312" i="12"/>
  <c r="AB280" i="12"/>
  <c r="AB248" i="12"/>
  <c r="AB216" i="12"/>
  <c r="AE374" i="12"/>
  <c r="AE342" i="12"/>
  <c r="AE310" i="12"/>
  <c r="AE278" i="12"/>
  <c r="AE246" i="12"/>
  <c r="AE214" i="12"/>
  <c r="AJ202" i="12"/>
  <c r="AE399" i="12"/>
  <c r="AE367" i="12"/>
  <c r="AE335" i="12"/>
  <c r="AE303" i="12"/>
  <c r="AE271" i="12"/>
  <c r="AE239" i="12"/>
  <c r="AE207" i="12"/>
  <c r="AE398" i="12"/>
  <c r="AE366" i="12"/>
  <c r="AE334" i="12"/>
  <c r="AE302" i="12"/>
  <c r="AE270" i="12"/>
  <c r="AE238" i="12"/>
  <c r="AB397" i="12"/>
  <c r="AE397" i="12"/>
  <c r="AB389" i="12"/>
  <c r="AE389" i="12"/>
  <c r="AB381" i="12"/>
  <c r="AE381" i="12"/>
  <c r="AB373" i="12"/>
  <c r="AE373" i="12"/>
  <c r="AB365" i="12"/>
  <c r="AE365" i="12"/>
  <c r="AB357" i="12"/>
  <c r="AE357" i="12"/>
  <c r="AB349" i="12"/>
  <c r="AE349" i="12"/>
  <c r="AB341" i="12"/>
  <c r="AE341" i="12"/>
  <c r="AB333" i="12"/>
  <c r="AE333" i="12"/>
  <c r="AB325" i="12"/>
  <c r="AE325" i="12"/>
  <c r="AB317" i="12"/>
  <c r="AE317" i="12"/>
  <c r="AB309" i="12"/>
  <c r="AE309" i="12"/>
  <c r="AB301" i="12"/>
  <c r="AE301" i="12"/>
  <c r="AB293" i="12"/>
  <c r="AE293" i="12"/>
  <c r="AB285" i="12"/>
  <c r="AE285" i="12"/>
  <c r="AB277" i="12"/>
  <c r="AE277" i="12"/>
  <c r="AB269" i="12"/>
  <c r="AE269" i="12"/>
  <c r="AB261" i="12"/>
  <c r="AE261" i="12"/>
  <c r="AB253" i="12"/>
  <c r="AE253" i="12"/>
  <c r="AB245" i="12"/>
  <c r="AE245" i="12"/>
  <c r="AB237" i="12"/>
  <c r="AE237" i="12"/>
  <c r="AB229" i="12"/>
  <c r="AE229" i="12"/>
  <c r="AB221" i="12"/>
  <c r="AE221" i="12"/>
  <c r="AB213" i="12"/>
  <c r="AE213" i="12"/>
  <c r="AB205" i="12"/>
  <c r="AE205" i="12"/>
  <c r="AE390" i="12"/>
  <c r="AE358" i="12"/>
  <c r="AE326" i="12"/>
  <c r="AE294" i="12"/>
  <c r="AB193" i="12"/>
  <c r="AG344" i="12"/>
  <c r="AG336" i="12"/>
  <c r="AG328" i="12"/>
  <c r="AG320" i="12"/>
  <c r="AG312" i="12"/>
  <c r="AG304" i="12"/>
  <c r="AG296" i="12"/>
  <c r="AG288" i="12"/>
  <c r="AG280" i="12"/>
  <c r="AG272" i="12"/>
  <c r="AG264" i="12"/>
  <c r="AG256" i="12"/>
  <c r="AG248" i="12"/>
  <c r="AG240" i="12"/>
  <c r="AG232" i="12"/>
  <c r="AG224" i="12"/>
  <c r="AG216" i="12"/>
  <c r="AG208" i="12"/>
  <c r="AG200" i="12"/>
  <c r="AG192" i="12"/>
  <c r="AJ349" i="12"/>
  <c r="AJ331" i="12"/>
  <c r="AJ267" i="12"/>
  <c r="AJ203" i="12"/>
  <c r="AJ396" i="12"/>
  <c r="AJ388" i="12"/>
  <c r="AJ380" i="12"/>
  <c r="AJ372" i="12"/>
  <c r="AJ364" i="12"/>
  <c r="AJ356" i="12"/>
  <c r="AE197" i="12"/>
  <c r="AG341" i="12"/>
  <c r="AG333" i="12"/>
  <c r="AG325" i="12"/>
  <c r="AG317" i="12"/>
  <c r="AG309" i="12"/>
  <c r="AG301" i="12"/>
  <c r="AG293" i="12"/>
  <c r="AG285" i="12"/>
  <c r="AG277" i="12"/>
  <c r="AG269" i="12"/>
  <c r="AG261" i="12"/>
  <c r="AG253" i="12"/>
  <c r="AG245" i="12"/>
  <c r="AG237" i="12"/>
  <c r="AG229" i="12"/>
  <c r="AG221" i="12"/>
  <c r="AG213" i="12"/>
  <c r="AG205" i="12"/>
  <c r="AG197" i="12"/>
  <c r="AJ403" i="12"/>
  <c r="AJ395" i="12"/>
  <c r="AJ387" i="12"/>
  <c r="AJ379" i="12"/>
  <c r="AJ371" i="12"/>
  <c r="AJ363" i="12"/>
  <c r="AJ355" i="12"/>
  <c r="AJ323" i="12"/>
  <c r="AJ259" i="12"/>
  <c r="AJ195" i="12"/>
  <c r="AG404" i="12"/>
  <c r="AG348" i="12"/>
  <c r="AG340" i="12"/>
  <c r="AG332" i="12"/>
  <c r="AG324" i="12"/>
  <c r="AG316" i="12"/>
  <c r="AG308" i="12"/>
  <c r="AG300" i="12"/>
  <c r="AG292" i="12"/>
  <c r="AG284" i="12"/>
  <c r="AG276" i="12"/>
  <c r="AG268" i="12"/>
  <c r="AG260" i="12"/>
  <c r="AG252" i="12"/>
  <c r="AG244" i="12"/>
  <c r="AG236" i="12"/>
  <c r="AG228" i="12"/>
  <c r="AG220" i="12"/>
  <c r="AG212" i="12"/>
  <c r="AG204" i="12"/>
  <c r="AG196" i="12"/>
  <c r="AJ299" i="12"/>
  <c r="AJ235" i="12"/>
  <c r="AG339" i="12"/>
  <c r="AG291" i="12"/>
  <c r="AG275" i="12"/>
  <c r="AG227" i="12"/>
  <c r="AG211" i="12"/>
  <c r="AJ369" i="12"/>
  <c r="AJ361" i="12"/>
  <c r="AJ353" i="12"/>
  <c r="AG345" i="12"/>
  <c r="AG337" i="12"/>
  <c r="AG329" i="12"/>
  <c r="AG321" i="12"/>
  <c r="AG313" i="12"/>
  <c r="AG305" i="12"/>
  <c r="AG297" i="12"/>
  <c r="AG289" i="12"/>
  <c r="AG281" i="12"/>
  <c r="AG273" i="12"/>
  <c r="AG265" i="12"/>
  <c r="AG257" i="12"/>
  <c r="AG249" i="12"/>
  <c r="AG241" i="12"/>
  <c r="AG233" i="12"/>
  <c r="AG225" i="12"/>
  <c r="AG217" i="12"/>
  <c r="AG209" i="12"/>
  <c r="AG201" i="12"/>
  <c r="AG193" i="12"/>
  <c r="AO401" i="12"/>
  <c r="AO393" i="12"/>
  <c r="AO385" i="12"/>
  <c r="AO377" i="12"/>
  <c r="AO369" i="12"/>
  <c r="AO361" i="12"/>
  <c r="AO353" i="12"/>
  <c r="AO345" i="12"/>
  <c r="AO337" i="12"/>
  <c r="AO329" i="12"/>
  <c r="AO321" i="12"/>
  <c r="AO313" i="12"/>
  <c r="AO305" i="12"/>
  <c r="AO297" i="12"/>
  <c r="AO289" i="12"/>
  <c r="AO281" i="12"/>
  <c r="AO273" i="12"/>
  <c r="AO265" i="12"/>
  <c r="AO257" i="12"/>
  <c r="AO249" i="12"/>
  <c r="AO241" i="12"/>
  <c r="AO233" i="12"/>
  <c r="AO225" i="12"/>
  <c r="AO217" i="12"/>
  <c r="AO209" i="12"/>
  <c r="AO199" i="12"/>
  <c r="AQ400" i="12"/>
  <c r="AT400" i="12"/>
  <c r="AQ392" i="12"/>
  <c r="AT392" i="12"/>
  <c r="AQ384" i="12"/>
  <c r="AT384" i="12"/>
  <c r="AQ376" i="12"/>
  <c r="AT376" i="12"/>
  <c r="AQ368" i="12"/>
  <c r="AT368" i="12"/>
  <c r="AQ360" i="12"/>
  <c r="AT360" i="12"/>
  <c r="AQ352" i="12"/>
  <c r="AT352" i="12"/>
  <c r="AQ344" i="12"/>
  <c r="AT344" i="12"/>
  <c r="AQ336" i="12"/>
  <c r="AT336" i="12"/>
  <c r="AQ328" i="12"/>
  <c r="AT328" i="12"/>
  <c r="AQ320" i="12"/>
  <c r="AT320" i="12"/>
  <c r="AQ312" i="12"/>
  <c r="AT312" i="12"/>
  <c r="AQ304" i="12"/>
  <c r="AT304" i="12"/>
  <c r="AQ296" i="12"/>
  <c r="AT296" i="12"/>
  <c r="AQ288" i="12"/>
  <c r="AT288" i="12"/>
  <c r="AQ280" i="12"/>
  <c r="AT280" i="12"/>
  <c r="AQ272" i="12"/>
  <c r="AT272" i="12"/>
  <c r="AQ264" i="12"/>
  <c r="AT264" i="12"/>
  <c r="AQ256" i="12"/>
  <c r="AT256" i="12"/>
  <c r="AQ248" i="12"/>
  <c r="AT248" i="12"/>
  <c r="AQ240" i="12"/>
  <c r="AT240" i="12"/>
  <c r="AQ232" i="12"/>
  <c r="AT232" i="12"/>
  <c r="AQ224" i="12"/>
  <c r="AT224" i="12"/>
  <c r="AQ216" i="12"/>
  <c r="AT216" i="12"/>
  <c r="AQ208" i="12"/>
  <c r="AT208" i="12"/>
  <c r="AQ200" i="12"/>
  <c r="AT200" i="12"/>
  <c r="AQ192" i="12"/>
  <c r="AT192" i="12"/>
  <c r="AT380" i="12"/>
  <c r="AL201" i="12"/>
  <c r="AL193" i="12"/>
  <c r="AO400" i="12"/>
  <c r="AO392" i="12"/>
  <c r="AO384" i="12"/>
  <c r="AO376" i="12"/>
  <c r="AO368" i="12"/>
  <c r="AO360" i="12"/>
  <c r="AO352" i="12"/>
  <c r="AO344" i="12"/>
  <c r="AO336" i="12"/>
  <c r="AO328" i="12"/>
  <c r="AO320" i="12"/>
  <c r="AO312" i="12"/>
  <c r="AO304" i="12"/>
  <c r="AO296" i="12"/>
  <c r="AO288" i="12"/>
  <c r="AO280" i="12"/>
  <c r="AO272" i="12"/>
  <c r="AO264" i="12"/>
  <c r="AO256" i="12"/>
  <c r="AO248" i="12"/>
  <c r="AO240" i="12"/>
  <c r="AO232" i="12"/>
  <c r="AO224" i="12"/>
  <c r="AO216" i="12"/>
  <c r="AO208" i="12"/>
  <c r="AO197" i="12"/>
  <c r="AT372" i="12"/>
  <c r="AT308" i="12"/>
  <c r="AT244" i="12"/>
  <c r="AL192" i="12"/>
  <c r="AO399" i="12"/>
  <c r="AO391" i="12"/>
  <c r="AO383" i="12"/>
  <c r="AO375" i="12"/>
  <c r="AO367" i="12"/>
  <c r="AO359" i="12"/>
  <c r="AO351" i="12"/>
  <c r="AO343" i="12"/>
  <c r="AO335" i="12"/>
  <c r="AO327" i="12"/>
  <c r="AO319" i="12"/>
  <c r="AO311" i="12"/>
  <c r="AO303" i="12"/>
  <c r="AO295" i="12"/>
  <c r="AO287" i="12"/>
  <c r="AO279" i="12"/>
  <c r="AO271" i="12"/>
  <c r="AO263" i="12"/>
  <c r="AO255" i="12"/>
  <c r="AO247" i="12"/>
  <c r="AO239" i="12"/>
  <c r="AO231" i="12"/>
  <c r="AO223" i="12"/>
  <c r="AO215" i="12"/>
  <c r="AO207" i="12"/>
  <c r="AO196" i="12"/>
  <c r="AT398" i="12"/>
  <c r="AQ398" i="12"/>
  <c r="AT390" i="12"/>
  <c r="AQ390" i="12"/>
  <c r="AT382" i="12"/>
  <c r="AQ382" i="12"/>
  <c r="AT374" i="12"/>
  <c r="AQ374" i="12"/>
  <c r="AT366" i="12"/>
  <c r="AQ366" i="12"/>
  <c r="AT358" i="12"/>
  <c r="AQ358" i="12"/>
  <c r="AT350" i="12"/>
  <c r="AQ350" i="12"/>
  <c r="AT342" i="12"/>
  <c r="AQ342" i="12"/>
  <c r="AT334" i="12"/>
  <c r="AQ334" i="12"/>
  <c r="AT326" i="12"/>
  <c r="AQ326" i="12"/>
  <c r="AT318" i="12"/>
  <c r="AQ318" i="12"/>
  <c r="AT310" i="12"/>
  <c r="AQ310" i="12"/>
  <c r="AT302" i="12"/>
  <c r="AQ302" i="12"/>
  <c r="AT294" i="12"/>
  <c r="AQ294" i="12"/>
  <c r="AT286" i="12"/>
  <c r="AQ286" i="12"/>
  <c r="AT278" i="12"/>
  <c r="AQ278" i="12"/>
  <c r="AT270" i="12"/>
  <c r="AQ270" i="12"/>
  <c r="AT262" i="12"/>
  <c r="AQ262" i="12"/>
  <c r="AT254" i="12"/>
  <c r="AQ254" i="12"/>
  <c r="AT246" i="12"/>
  <c r="AQ246" i="12"/>
  <c r="AT238" i="12"/>
  <c r="AQ238" i="12"/>
  <c r="AT230" i="12"/>
  <c r="AQ230" i="12"/>
  <c r="AT222" i="12"/>
  <c r="AQ222" i="12"/>
  <c r="AT214" i="12"/>
  <c r="AQ214" i="12"/>
  <c r="AT206" i="12"/>
  <c r="AQ206" i="12"/>
  <c r="AT198" i="12"/>
  <c r="AQ198" i="12"/>
  <c r="AT364" i="12"/>
  <c r="AT300" i="12"/>
  <c r="AY335" i="12"/>
  <c r="AO205" i="12"/>
  <c r="AT356" i="12"/>
  <c r="AT292" i="12"/>
  <c r="AV391" i="12"/>
  <c r="AY391" i="12"/>
  <c r="AY383" i="12"/>
  <c r="AV383" i="12"/>
  <c r="AV375" i="12"/>
  <c r="AY375" i="12"/>
  <c r="AV367" i="12"/>
  <c r="AY367" i="12"/>
  <c r="AV359" i="12"/>
  <c r="AY359" i="12"/>
  <c r="AV351" i="12"/>
  <c r="AY351" i="12"/>
  <c r="AY343" i="12"/>
  <c r="AV343" i="12"/>
  <c r="AV327" i="12"/>
  <c r="AY327" i="12"/>
  <c r="AV319" i="12"/>
  <c r="AY319" i="12"/>
  <c r="AY311" i="12"/>
  <c r="AV311" i="12"/>
  <c r="AV295" i="12"/>
  <c r="AY295" i="12"/>
  <c r="AV287" i="12"/>
  <c r="AY287" i="12"/>
  <c r="AV279" i="12"/>
  <c r="AY279" i="12"/>
  <c r="AV263" i="12"/>
  <c r="AY263" i="12"/>
  <c r="AV255" i="12"/>
  <c r="AY255" i="12"/>
  <c r="AV247" i="12"/>
  <c r="AY247" i="12"/>
  <c r="AV231" i="12"/>
  <c r="AY231" i="12"/>
  <c r="AV223" i="12"/>
  <c r="AY223" i="12"/>
  <c r="AV215" i="12"/>
  <c r="AY215" i="12"/>
  <c r="AV199" i="12"/>
  <c r="AY199" i="12"/>
  <c r="AY303" i="12"/>
  <c r="AO397" i="12"/>
  <c r="AO389" i="12"/>
  <c r="AO381" i="12"/>
  <c r="AO373" i="12"/>
  <c r="AO365" i="12"/>
  <c r="AO357" i="12"/>
  <c r="AO349" i="12"/>
  <c r="AO341" i="12"/>
  <c r="AO333" i="12"/>
  <c r="AO325" i="12"/>
  <c r="AO317" i="12"/>
  <c r="AO309" i="12"/>
  <c r="AO301" i="12"/>
  <c r="AO293" i="12"/>
  <c r="AO285" i="12"/>
  <c r="AO277" i="12"/>
  <c r="AO269" i="12"/>
  <c r="AO261" i="12"/>
  <c r="AO253" i="12"/>
  <c r="AO245" i="12"/>
  <c r="AO237" i="12"/>
  <c r="AO229" i="12"/>
  <c r="AO221" i="12"/>
  <c r="AO213" i="12"/>
  <c r="AO204" i="12"/>
  <c r="AT348" i="12"/>
  <c r="AT284" i="12"/>
  <c r="AT220" i="12"/>
  <c r="AY271" i="12"/>
  <c r="AO404" i="12"/>
  <c r="AO396" i="12"/>
  <c r="AO388" i="12"/>
  <c r="AO380" i="12"/>
  <c r="AO372" i="12"/>
  <c r="AO364" i="12"/>
  <c r="AO356" i="12"/>
  <c r="AO348" i="12"/>
  <c r="AO340" i="12"/>
  <c r="AO332" i="12"/>
  <c r="AO324" i="12"/>
  <c r="AO316" i="12"/>
  <c r="AO308" i="12"/>
  <c r="AO300" i="12"/>
  <c r="AO292" i="12"/>
  <c r="AO284" i="12"/>
  <c r="AO276" i="12"/>
  <c r="AO268" i="12"/>
  <c r="AO260" i="12"/>
  <c r="AO252" i="12"/>
  <c r="AO244" i="12"/>
  <c r="AO236" i="12"/>
  <c r="AO228" i="12"/>
  <c r="AO220" i="12"/>
  <c r="AO212" i="12"/>
  <c r="AT404" i="12"/>
  <c r="AT340" i="12"/>
  <c r="AQ402" i="12"/>
  <c r="AT402" i="12"/>
  <c r="AQ394" i="12"/>
  <c r="AT394" i="12"/>
  <c r="AQ386" i="12"/>
  <c r="AT386" i="12"/>
  <c r="AQ378" i="12"/>
  <c r="AT378" i="12"/>
  <c r="AQ370" i="12"/>
  <c r="AT370" i="12"/>
  <c r="AQ362" i="12"/>
  <c r="AT362" i="12"/>
  <c r="AQ354" i="12"/>
  <c r="AT354" i="12"/>
  <c r="AQ346" i="12"/>
  <c r="AT346" i="12"/>
  <c r="AQ338" i="12"/>
  <c r="AT338" i="12"/>
  <c r="AQ330" i="12"/>
  <c r="AT330" i="12"/>
  <c r="AQ322" i="12"/>
  <c r="AT322" i="12"/>
  <c r="AQ314" i="12"/>
  <c r="AT314" i="12"/>
  <c r="AQ306" i="12"/>
  <c r="AT306" i="12"/>
  <c r="AQ298" i="12"/>
  <c r="AT298" i="12"/>
  <c r="AQ290" i="12"/>
  <c r="AT290" i="12"/>
  <c r="AQ282" i="12"/>
  <c r="AT282" i="12"/>
  <c r="AQ274" i="12"/>
  <c r="AT274" i="12"/>
  <c r="AQ266" i="12"/>
  <c r="AT266" i="12"/>
  <c r="AQ258" i="12"/>
  <c r="AT258" i="12"/>
  <c r="AQ250" i="12"/>
  <c r="AT250" i="12"/>
  <c r="AQ242" i="12"/>
  <c r="AT242" i="12"/>
  <c r="AQ234" i="12"/>
  <c r="AT234" i="12"/>
  <c r="AQ226" i="12"/>
  <c r="AT226" i="12"/>
  <c r="AQ218" i="12"/>
  <c r="AT218" i="12"/>
  <c r="AQ210" i="12"/>
  <c r="AT210" i="12"/>
  <c r="AQ202" i="12"/>
  <c r="AT202" i="12"/>
  <c r="AQ194" i="12"/>
  <c r="AT194" i="12"/>
  <c r="AT396" i="12"/>
  <c r="AT332" i="12"/>
  <c r="AT268" i="12"/>
  <c r="AV397" i="12"/>
  <c r="AV389" i="12"/>
  <c r="AV381" i="12"/>
  <c r="AV373" i="12"/>
  <c r="AV365" i="12"/>
  <c r="AV357" i="12"/>
  <c r="AV349" i="12"/>
  <c r="AV341" i="12"/>
  <c r="AV333" i="12"/>
  <c r="AV325" i="12"/>
  <c r="AV317" i="12"/>
  <c r="AV309" i="12"/>
  <c r="AV301" i="12"/>
  <c r="AV293" i="12"/>
  <c r="AV284" i="12"/>
  <c r="AV266" i="12"/>
  <c r="AV244" i="12"/>
  <c r="AV224" i="12"/>
  <c r="AV202" i="12"/>
  <c r="AY401" i="12"/>
  <c r="AY379" i="12"/>
  <c r="AY337" i="12"/>
  <c r="AY305" i="12"/>
  <c r="AY273" i="12"/>
  <c r="AY241" i="12"/>
  <c r="AY209" i="12"/>
  <c r="AV278" i="12"/>
  <c r="AY278" i="12"/>
  <c r="AV270" i="12"/>
  <c r="AY270" i="12"/>
  <c r="AV262" i="12"/>
  <c r="AY262" i="12"/>
  <c r="AV254" i="12"/>
  <c r="AY254" i="12"/>
  <c r="AV246" i="12"/>
  <c r="AY246" i="12"/>
  <c r="AV238" i="12"/>
  <c r="AY238" i="12"/>
  <c r="AV230" i="12"/>
  <c r="AY230" i="12"/>
  <c r="AV222" i="12"/>
  <c r="AY222" i="12"/>
  <c r="AV214" i="12"/>
  <c r="AY214" i="12"/>
  <c r="AV206" i="12"/>
  <c r="AY206" i="12"/>
  <c r="AV198" i="12"/>
  <c r="AY198" i="12"/>
  <c r="AV403" i="12"/>
  <c r="AV395" i="12"/>
  <c r="AV387" i="12"/>
  <c r="AV371" i="12"/>
  <c r="AV363" i="12"/>
  <c r="AV347" i="12"/>
  <c r="AV339" i="12"/>
  <c r="AV331" i="12"/>
  <c r="AV323" i="12"/>
  <c r="AV315" i="12"/>
  <c r="AV307" i="12"/>
  <c r="AV299" i="12"/>
  <c r="AV291" i="12"/>
  <c r="AV282" i="12"/>
  <c r="AV218" i="12"/>
  <c r="AY353" i="12"/>
  <c r="AY329" i="12"/>
  <c r="AY297" i="12"/>
  <c r="AY265" i="12"/>
  <c r="AY233" i="12"/>
  <c r="AY201" i="12"/>
  <c r="AV285" i="12"/>
  <c r="AY285" i="12"/>
  <c r="AV277" i="12"/>
  <c r="AY277" i="12"/>
  <c r="AV269" i="12"/>
  <c r="AY269" i="12"/>
  <c r="AV261" i="12"/>
  <c r="AY261" i="12"/>
  <c r="AV253" i="12"/>
  <c r="AY253" i="12"/>
  <c r="AV245" i="12"/>
  <c r="AY245" i="12"/>
  <c r="AV237" i="12"/>
  <c r="AY237" i="12"/>
  <c r="AV229" i="12"/>
  <c r="AY229" i="12"/>
  <c r="AV221" i="12"/>
  <c r="AY221" i="12"/>
  <c r="AV213" i="12"/>
  <c r="AY213" i="12"/>
  <c r="AV205" i="12"/>
  <c r="AY205" i="12"/>
  <c r="AV197" i="12"/>
  <c r="AY197" i="12"/>
  <c r="AY393" i="12"/>
  <c r="AV385" i="12"/>
  <c r="AV369" i="12"/>
  <c r="AV361" i="12"/>
  <c r="AV345" i="12"/>
  <c r="AV321" i="12"/>
  <c r="AV313" i="12"/>
  <c r="AV289" i="12"/>
  <c r="AV276" i="12"/>
  <c r="AV256" i="12"/>
  <c r="AV234" i="12"/>
  <c r="AV212" i="12"/>
  <c r="AV192" i="12"/>
  <c r="AY257" i="12"/>
  <c r="AY225" i="12"/>
  <c r="AY193" i="12"/>
  <c r="AV275" i="12"/>
  <c r="AY275" i="12"/>
  <c r="AV267" i="12"/>
  <c r="AY267" i="12"/>
  <c r="AV259" i="12"/>
  <c r="AY259" i="12"/>
  <c r="AV251" i="12"/>
  <c r="AY251" i="12"/>
  <c r="AV243" i="12"/>
  <c r="AY243" i="12"/>
  <c r="AV235" i="12"/>
  <c r="AY235" i="12"/>
  <c r="AV227" i="12"/>
  <c r="AY227" i="12"/>
  <c r="AV219" i="12"/>
  <c r="AY219" i="12"/>
  <c r="AV211" i="12"/>
  <c r="AY211" i="12"/>
  <c r="AV203" i="12"/>
  <c r="AY203" i="12"/>
  <c r="AV195" i="12"/>
  <c r="AY195" i="12"/>
  <c r="AV274" i="12"/>
  <c r="AV210" i="12"/>
  <c r="BA402" i="12"/>
  <c r="BD402" i="12"/>
  <c r="BA394" i="12"/>
  <c r="BD394" i="12"/>
  <c r="BA386" i="12"/>
  <c r="BD386" i="12"/>
  <c r="BA378" i="12"/>
  <c r="BD378" i="12"/>
  <c r="BA370" i="12"/>
  <c r="BD370" i="12"/>
  <c r="BA362" i="12"/>
  <c r="BD362" i="12"/>
  <c r="BA354" i="12"/>
  <c r="BD354" i="12"/>
  <c r="BA346" i="12"/>
  <c r="BD346" i="12"/>
  <c r="BA338" i="12"/>
  <c r="BD338" i="12"/>
  <c r="BA330" i="12"/>
  <c r="BD330" i="12"/>
  <c r="BA322" i="12"/>
  <c r="BD322" i="12"/>
  <c r="BA314" i="12"/>
  <c r="BD314" i="12"/>
  <c r="BA306" i="12"/>
  <c r="BD306" i="12"/>
  <c r="BA298" i="12"/>
  <c r="BD298" i="12"/>
  <c r="BA290" i="12"/>
  <c r="BD290" i="12"/>
  <c r="BA282" i="12"/>
  <c r="BD282" i="12"/>
  <c r="BD274" i="12"/>
  <c r="BA274" i="12"/>
  <c r="BD266" i="12"/>
  <c r="BA266" i="12"/>
  <c r="BD258" i="12"/>
  <c r="BA258" i="12"/>
  <c r="BD250" i="12"/>
  <c r="BA250" i="12"/>
  <c r="BD242" i="12"/>
  <c r="BA242" i="12"/>
  <c r="BD234" i="12"/>
  <c r="BA234" i="12"/>
  <c r="BD226" i="12"/>
  <c r="BA226" i="12"/>
  <c r="BD218" i="12"/>
  <c r="BA218" i="12"/>
  <c r="BD210" i="12"/>
  <c r="BA210" i="12"/>
  <c r="BD202" i="12"/>
  <c r="BA202" i="12"/>
  <c r="BD194" i="12"/>
  <c r="BA194" i="12"/>
  <c r="AV250" i="12"/>
  <c r="AY281" i="12"/>
  <c r="AY249" i="12"/>
  <c r="AY217" i="12"/>
  <c r="BA270" i="12"/>
  <c r="BA262" i="12"/>
  <c r="BA254" i="12"/>
  <c r="BA246" i="12"/>
  <c r="BA238" i="12"/>
  <c r="BA230" i="12"/>
  <c r="BA222" i="12"/>
  <c r="BA214" i="12"/>
  <c r="BA206" i="12"/>
  <c r="BA198" i="12"/>
  <c r="BD397" i="12"/>
  <c r="BD389" i="12"/>
  <c r="BD381" i="12"/>
  <c r="BD373" i="12"/>
  <c r="BD365" i="12"/>
  <c r="BD357" i="12"/>
  <c r="BD349" i="12"/>
  <c r="BD341" i="12"/>
  <c r="BD333" i="12"/>
  <c r="BD325" i="12"/>
  <c r="BD317" i="12"/>
  <c r="BD309" i="12"/>
  <c r="BD301" i="12"/>
  <c r="BD293" i="12"/>
  <c r="BD285" i="12"/>
  <c r="BD277" i="12"/>
  <c r="BA269" i="12"/>
  <c r="BA261" i="12"/>
  <c r="BA253" i="12"/>
  <c r="BA245" i="12"/>
  <c r="BA237" i="12"/>
  <c r="BA229" i="12"/>
  <c r="BA221" i="12"/>
  <c r="BA213" i="12"/>
  <c r="BA205" i="12"/>
  <c r="BA197" i="12"/>
  <c r="BD404" i="12"/>
  <c r="BD396" i="12"/>
  <c r="BD388" i="12"/>
  <c r="BD380" i="12"/>
  <c r="BD372" i="12"/>
  <c r="BD364" i="12"/>
  <c r="BD356" i="12"/>
  <c r="BD348" i="12"/>
  <c r="BD340" i="12"/>
  <c r="BD332" i="12"/>
  <c r="BD324" i="12"/>
  <c r="BD316" i="12"/>
  <c r="BD308" i="12"/>
  <c r="BD300" i="12"/>
  <c r="BD292" i="12"/>
  <c r="BD284" i="12"/>
  <c r="BD276" i="12"/>
  <c r="BA268" i="12"/>
  <c r="BA260" i="12"/>
  <c r="BA252" i="12"/>
  <c r="BA244" i="12"/>
  <c r="BA236" i="12"/>
  <c r="BA228" i="12"/>
  <c r="BA220" i="12"/>
  <c r="BA212" i="12"/>
  <c r="BA204" i="12"/>
  <c r="BA196" i="12"/>
  <c r="BI404" i="12"/>
  <c r="BF404" i="12"/>
  <c r="BI396" i="12"/>
  <c r="BF396" i="12"/>
  <c r="BI388" i="12"/>
  <c r="BF388" i="12"/>
  <c r="BI380" i="12"/>
  <c r="BF380" i="12"/>
  <c r="BI372" i="12"/>
  <c r="BF372" i="12"/>
  <c r="BI364" i="12"/>
  <c r="BF364" i="12"/>
  <c r="BI356" i="12"/>
  <c r="BF356" i="12"/>
  <c r="BI348" i="12"/>
  <c r="BF348" i="12"/>
  <c r="BI340" i="12"/>
  <c r="BF340" i="12"/>
  <c r="BI332" i="12"/>
  <c r="BF332" i="12"/>
  <c r="BI324" i="12"/>
  <c r="BF324" i="12"/>
  <c r="BI316" i="12"/>
  <c r="BF316" i="12"/>
  <c r="BI308" i="12"/>
  <c r="BF308" i="12"/>
  <c r="BI300" i="12"/>
  <c r="BF300" i="12"/>
  <c r="BI292" i="12"/>
  <c r="BF292" i="12"/>
  <c r="BI284" i="12"/>
  <c r="BF284" i="12"/>
  <c r="BI276" i="12"/>
  <c r="BF276" i="12"/>
  <c r="BI268" i="12"/>
  <c r="BF268" i="12"/>
  <c r="BI260" i="12"/>
  <c r="BF260" i="12"/>
  <c r="BI252" i="12"/>
  <c r="BF252" i="12"/>
  <c r="BI244" i="12"/>
  <c r="BF244" i="12"/>
  <c r="BI236" i="12"/>
  <c r="BF236" i="12"/>
  <c r="BI228" i="12"/>
  <c r="BF228" i="12"/>
  <c r="BI220" i="12"/>
  <c r="BF220" i="12"/>
  <c r="BI212" i="12"/>
  <c r="BF212" i="12"/>
  <c r="BI204" i="12"/>
  <c r="BF204" i="12"/>
  <c r="BI196" i="12"/>
  <c r="BF196" i="12"/>
  <c r="BA272" i="12"/>
  <c r="BA264" i="12"/>
  <c r="BA256" i="12"/>
  <c r="BA248" i="12"/>
  <c r="BA240" i="12"/>
  <c r="BA232" i="12"/>
  <c r="BA224" i="12"/>
  <c r="BA216" i="12"/>
  <c r="BA208" i="12"/>
  <c r="BA200" i="12"/>
  <c r="BA192" i="12"/>
  <c r="BI403" i="12"/>
  <c r="BI395" i="12"/>
  <c r="BI387" i="12"/>
  <c r="BI379" i="12"/>
  <c r="BI371" i="12"/>
  <c r="BI363" i="12"/>
  <c r="BI355" i="12"/>
  <c r="BI347" i="12"/>
  <c r="BI339" i="12"/>
  <c r="BI331" i="12"/>
  <c r="BI323" i="12"/>
  <c r="BI315" i="12"/>
  <c r="BI307" i="12"/>
  <c r="BI299" i="12"/>
  <c r="BI291" i="12"/>
  <c r="BI283" i="12"/>
  <c r="BI275" i="12"/>
  <c r="BI267" i="12"/>
  <c r="BI259" i="12"/>
  <c r="BI251" i="12"/>
  <c r="BI243" i="12"/>
  <c r="BI235" i="12"/>
  <c r="BI227" i="12"/>
  <c r="BI219" i="12"/>
  <c r="BI211" i="12"/>
  <c r="BI203" i="12"/>
  <c r="BI195" i="12"/>
  <c r="BI402" i="12"/>
  <c r="BI394" i="12"/>
  <c r="BI386" i="12"/>
  <c r="BI378" i="12"/>
  <c r="BI370" i="12"/>
  <c r="BI362" i="12"/>
  <c r="BI354" i="12"/>
  <c r="BI346" i="12"/>
  <c r="BI338" i="12"/>
  <c r="BI330" i="12"/>
  <c r="BI322" i="12"/>
  <c r="BI314" i="12"/>
  <c r="BI306" i="12"/>
  <c r="BI298" i="12"/>
  <c r="BI290" i="12"/>
  <c r="BI282" i="12"/>
  <c r="BI274" i="12"/>
  <c r="BI266" i="12"/>
  <c r="BI258" i="12"/>
  <c r="BI250" i="12"/>
  <c r="BI242" i="12"/>
  <c r="BI234" i="12"/>
  <c r="BI226" i="12"/>
  <c r="BI218" i="12"/>
  <c r="BI210" i="12"/>
  <c r="BI202" i="12"/>
  <c r="BI194" i="12"/>
  <c r="BI399" i="12"/>
  <c r="BI391" i="12"/>
  <c r="BI383" i="12"/>
  <c r="BI375" i="12"/>
  <c r="BI367" i="12"/>
  <c r="BI359" i="12"/>
  <c r="BI351" i="12"/>
  <c r="BI343" i="12"/>
  <c r="BI335" i="12"/>
  <c r="BI327" i="12"/>
  <c r="BI319" i="12"/>
  <c r="BI311" i="12"/>
  <c r="BI303" i="12"/>
  <c r="BI295" i="12"/>
  <c r="BI287" i="12"/>
  <c r="BI279" i="12"/>
  <c r="BI271" i="12"/>
  <c r="BI263" i="12"/>
  <c r="BI255" i="12"/>
  <c r="BI247" i="12"/>
  <c r="BI239" i="12"/>
  <c r="BI231" i="12"/>
  <c r="BI223" i="12"/>
  <c r="BI215" i="12"/>
  <c r="BI207" i="12"/>
  <c r="BI199" i="12"/>
  <c r="BI398" i="12"/>
  <c r="BI390" i="12"/>
  <c r="BI382" i="12"/>
  <c r="BI374" i="12"/>
  <c r="BI366" i="12"/>
  <c r="BI358" i="12"/>
  <c r="BI350" i="12"/>
  <c r="BI342" i="12"/>
  <c r="BI334" i="12"/>
  <c r="BI326" i="12"/>
  <c r="BI318" i="12"/>
  <c r="BI310" i="12"/>
  <c r="BI302" i="12"/>
  <c r="BI294" i="12"/>
  <c r="BI286" i="12"/>
  <c r="BI278" i="12"/>
  <c r="BI270" i="12"/>
  <c r="BI262" i="12"/>
  <c r="BI254" i="12"/>
  <c r="BI246" i="12"/>
  <c r="BI238" i="12"/>
  <c r="BI230" i="12"/>
  <c r="BI222" i="12"/>
  <c r="BI214" i="12"/>
  <c r="BI206" i="12"/>
  <c r="BI198" i="12"/>
  <c r="BI397" i="12"/>
  <c r="BI389" i="12"/>
  <c r="BI381" i="12"/>
  <c r="BI373" i="12"/>
  <c r="BI365" i="12"/>
  <c r="BI357" i="12"/>
  <c r="BI349" i="12"/>
  <c r="BI341" i="12"/>
  <c r="BI333" i="12"/>
  <c r="BI325" i="12"/>
  <c r="BI317" i="12"/>
  <c r="BI309" i="12"/>
  <c r="BI301" i="12"/>
  <c r="BI293" i="12"/>
  <c r="BI285" i="12"/>
  <c r="BI277" i="12"/>
  <c r="BI269" i="12"/>
  <c r="BI261" i="12"/>
  <c r="BI253" i="12"/>
  <c r="BI245" i="12"/>
  <c r="BI237" i="12"/>
  <c r="BI229" i="12"/>
  <c r="BI221" i="12"/>
  <c r="BI213" i="12"/>
  <c r="BI205" i="12"/>
  <c r="BI197" i="12"/>
  <c r="G68" i="10"/>
  <c r="G59" i="10"/>
  <c r="G47" i="10"/>
  <c r="G40" i="10"/>
  <c r="G26" i="10"/>
  <c r="G32" i="10"/>
  <c r="AA405" i="19"/>
  <c r="F10" i="10" s="1"/>
  <c r="X405" i="19"/>
  <c r="F9" i="10" s="1"/>
  <c r="U405" i="19"/>
  <c r="F8" i="10" s="1"/>
  <c r="R405" i="19"/>
  <c r="F7" i="10" s="1"/>
  <c r="O405" i="19"/>
  <c r="F6" i="10" s="1"/>
  <c r="L405" i="19"/>
  <c r="F5" i="10" s="1"/>
  <c r="I405" i="19"/>
  <c r="F4" i="10" s="1"/>
  <c r="C405" i="19"/>
  <c r="F2" i="10" s="1"/>
  <c r="F405" i="19"/>
  <c r="F3" i="10" s="1"/>
  <c r="AX409" i="12"/>
  <c r="AS409" i="12"/>
  <c r="AN409" i="12"/>
  <c r="AI409" i="12"/>
  <c r="AD409" i="12"/>
  <c r="Y409" i="12"/>
  <c r="T409" i="12"/>
  <c r="BH160" i="12"/>
  <c r="BG27" i="12"/>
  <c r="BG28" i="12"/>
  <c r="BG29" i="12"/>
  <c r="BG30" i="12"/>
  <c r="BG31" i="12"/>
  <c r="BG32" i="12"/>
  <c r="BH32" i="12" s="1"/>
  <c r="BG33" i="12"/>
  <c r="BH33" i="12" s="1"/>
  <c r="BG34" i="12"/>
  <c r="BH34" i="12" s="1"/>
  <c r="BG35" i="12"/>
  <c r="BG36" i="12"/>
  <c r="BG37" i="12"/>
  <c r="BG38" i="12"/>
  <c r="BG39" i="12"/>
  <c r="BG40" i="12"/>
  <c r="BH40" i="12" s="1"/>
  <c r="BG41" i="12"/>
  <c r="BH41" i="12" s="1"/>
  <c r="BG42" i="12"/>
  <c r="BH42" i="12" s="1"/>
  <c r="BG43" i="12"/>
  <c r="BG44" i="12"/>
  <c r="BG45" i="12"/>
  <c r="BG46" i="12"/>
  <c r="BG47" i="12"/>
  <c r="BG48" i="12"/>
  <c r="BH48" i="12" s="1"/>
  <c r="BG49" i="12"/>
  <c r="BH49" i="12" s="1"/>
  <c r="BG50" i="12"/>
  <c r="BH50" i="12" s="1"/>
  <c r="BG51" i="12"/>
  <c r="BG52" i="12"/>
  <c r="BG53" i="12"/>
  <c r="BG54" i="12"/>
  <c r="BG55" i="12"/>
  <c r="BG56" i="12"/>
  <c r="BH56" i="12" s="1"/>
  <c r="BG57" i="12"/>
  <c r="BH57" i="12" s="1"/>
  <c r="BG58" i="12"/>
  <c r="BH58" i="12" s="1"/>
  <c r="BG59" i="12"/>
  <c r="BG60" i="12"/>
  <c r="BG61" i="12"/>
  <c r="BG62" i="12"/>
  <c r="BG63" i="12"/>
  <c r="BG64" i="12"/>
  <c r="BH64" i="12" s="1"/>
  <c r="BG65" i="12"/>
  <c r="BH65" i="12" s="1"/>
  <c r="BG66" i="12"/>
  <c r="BH66" i="12" s="1"/>
  <c r="BG67" i="12"/>
  <c r="BG68" i="12"/>
  <c r="BG69" i="12"/>
  <c r="BG70" i="12"/>
  <c r="BG71" i="12"/>
  <c r="BG72" i="12"/>
  <c r="BH72" i="12" s="1"/>
  <c r="BG73" i="12"/>
  <c r="BH73" i="12" s="1"/>
  <c r="BG74" i="12"/>
  <c r="BH74" i="12" s="1"/>
  <c r="BG75" i="12"/>
  <c r="BG76" i="12"/>
  <c r="BG77" i="12"/>
  <c r="BG78" i="12"/>
  <c r="BG79" i="12"/>
  <c r="BG80" i="12"/>
  <c r="BH80" i="12" s="1"/>
  <c r="BG81" i="12"/>
  <c r="BH81" i="12" s="1"/>
  <c r="BG82" i="12"/>
  <c r="BH82" i="12" s="1"/>
  <c r="BG83" i="12"/>
  <c r="BG84" i="12"/>
  <c r="BG85" i="12"/>
  <c r="BG86" i="12"/>
  <c r="BG87" i="12"/>
  <c r="BG88" i="12"/>
  <c r="BH88" i="12" s="1"/>
  <c r="BG89" i="12"/>
  <c r="BH89" i="12" s="1"/>
  <c r="BG90" i="12"/>
  <c r="BH90" i="12" s="1"/>
  <c r="BG91" i="12"/>
  <c r="BG92" i="12"/>
  <c r="BG93" i="12"/>
  <c r="BG94" i="12"/>
  <c r="BG95" i="12"/>
  <c r="BG96" i="12"/>
  <c r="BH96" i="12" s="1"/>
  <c r="BG97" i="12"/>
  <c r="BH97" i="12" s="1"/>
  <c r="BG98" i="12"/>
  <c r="BH98" i="12" s="1"/>
  <c r="BG99" i="12"/>
  <c r="BG100" i="12"/>
  <c r="BG101" i="12"/>
  <c r="BG102" i="12"/>
  <c r="BG103" i="12"/>
  <c r="BG104" i="12"/>
  <c r="BH104" i="12" s="1"/>
  <c r="BG105" i="12"/>
  <c r="BH105" i="12" s="1"/>
  <c r="BG106" i="12"/>
  <c r="BH106" i="12" s="1"/>
  <c r="BG107" i="12"/>
  <c r="BG108" i="12"/>
  <c r="BG109" i="12"/>
  <c r="BG110" i="12"/>
  <c r="BG111" i="12"/>
  <c r="BG112" i="12"/>
  <c r="BH112" i="12" s="1"/>
  <c r="BG113" i="12"/>
  <c r="BH113" i="12" s="1"/>
  <c r="BG114" i="12"/>
  <c r="BH114" i="12" s="1"/>
  <c r="BG115" i="12"/>
  <c r="BG116" i="12"/>
  <c r="BG117" i="12"/>
  <c r="BG118" i="12"/>
  <c r="BG119" i="12"/>
  <c r="BG120" i="12"/>
  <c r="BH120" i="12" s="1"/>
  <c r="BG121" i="12"/>
  <c r="BH121" i="12" s="1"/>
  <c r="BG122" i="12"/>
  <c r="BH122" i="12" s="1"/>
  <c r="BG123" i="12"/>
  <c r="BG124" i="12"/>
  <c r="BG125" i="12"/>
  <c r="BG126" i="12"/>
  <c r="BG127" i="12"/>
  <c r="BG128" i="12"/>
  <c r="BH128" i="12" s="1"/>
  <c r="BG129" i="12"/>
  <c r="BH129" i="12" s="1"/>
  <c r="BG130" i="12"/>
  <c r="BH130" i="12" s="1"/>
  <c r="BG131" i="12"/>
  <c r="BG132" i="12"/>
  <c r="BG133" i="12"/>
  <c r="BG134" i="12"/>
  <c r="BG135" i="12"/>
  <c r="BG136" i="12"/>
  <c r="BH136" i="12" s="1"/>
  <c r="BG137" i="12"/>
  <c r="BH137" i="12" s="1"/>
  <c r="BG138" i="12"/>
  <c r="BH138" i="12" s="1"/>
  <c r="BG139" i="12"/>
  <c r="BG140" i="12"/>
  <c r="BG141" i="12"/>
  <c r="BG142" i="12"/>
  <c r="BG143" i="12"/>
  <c r="BG144" i="12"/>
  <c r="BH144" i="12" s="1"/>
  <c r="BG145" i="12"/>
  <c r="BH145" i="12" s="1"/>
  <c r="BG146" i="12"/>
  <c r="BH146" i="12" s="1"/>
  <c r="BG147" i="12"/>
  <c r="BG148" i="12"/>
  <c r="BG149" i="12"/>
  <c r="BG150" i="12"/>
  <c r="BG151" i="12"/>
  <c r="BG152" i="12"/>
  <c r="BH152" i="12" s="1"/>
  <c r="BG153" i="12"/>
  <c r="BH153" i="12" s="1"/>
  <c r="BG154" i="12"/>
  <c r="BH154" i="12" s="1"/>
  <c r="BG155" i="12"/>
  <c r="BG156" i="12"/>
  <c r="BG157" i="12"/>
  <c r="BG158" i="12"/>
  <c r="BG159" i="12"/>
  <c r="BG160" i="12"/>
  <c r="BG161" i="12"/>
  <c r="BH161" i="12" s="1"/>
  <c r="BG162" i="12"/>
  <c r="BH162" i="12" s="1"/>
  <c r="BG163" i="12"/>
  <c r="BG164" i="12"/>
  <c r="BG165" i="12"/>
  <c r="BG166" i="12"/>
  <c r="BG167" i="12"/>
  <c r="BG168" i="12"/>
  <c r="BH168" i="12" s="1"/>
  <c r="BG169" i="12"/>
  <c r="BH169" i="12" s="1"/>
  <c r="BG170" i="12"/>
  <c r="BH170" i="12" s="1"/>
  <c r="BG171" i="12"/>
  <c r="BG172" i="12"/>
  <c r="BG173" i="12"/>
  <c r="BG174" i="12"/>
  <c r="BG175" i="12"/>
  <c r="BG176" i="12"/>
  <c r="BH176" i="12" s="1"/>
  <c r="BG177" i="12"/>
  <c r="BH177" i="12" s="1"/>
  <c r="BG178" i="12"/>
  <c r="BH178" i="12" s="1"/>
  <c r="BG179" i="12"/>
  <c r="BG180" i="12"/>
  <c r="BG181" i="12"/>
  <c r="BG182" i="12"/>
  <c r="BG183" i="12"/>
  <c r="BG184" i="12"/>
  <c r="BH184" i="12" s="1"/>
  <c r="BG185" i="12"/>
  <c r="BH185" i="12" s="1"/>
  <c r="BG186" i="12"/>
  <c r="BH186" i="12" s="1"/>
  <c r="BG187" i="12"/>
  <c r="BG188" i="12"/>
  <c r="BG189" i="12"/>
  <c r="BG190" i="12"/>
  <c r="BG191" i="12"/>
  <c r="BG3" i="12"/>
  <c r="BH3" i="12" s="1"/>
  <c r="BG4" i="12"/>
  <c r="BG5" i="12"/>
  <c r="BG6" i="12"/>
  <c r="BH6" i="12" s="1"/>
  <c r="BG7" i="12"/>
  <c r="BG8" i="12"/>
  <c r="BG9" i="12"/>
  <c r="BG10" i="12"/>
  <c r="BH10" i="12" s="1"/>
  <c r="BG11" i="12"/>
  <c r="BH11" i="12" s="1"/>
  <c r="BG12" i="12"/>
  <c r="BG13" i="12"/>
  <c r="BH13" i="12" s="1"/>
  <c r="BG14" i="12"/>
  <c r="BH14" i="12" s="1"/>
  <c r="BG15" i="12"/>
  <c r="BG16" i="12"/>
  <c r="BG17" i="12"/>
  <c r="BG18" i="12"/>
  <c r="BG19" i="12"/>
  <c r="BH19" i="12" s="1"/>
  <c r="BG20" i="12"/>
  <c r="BG21" i="12"/>
  <c r="BH21" i="12" s="1"/>
  <c r="BG22" i="12"/>
  <c r="BH22" i="12" s="1"/>
  <c r="BG23" i="12"/>
  <c r="BG24" i="12"/>
  <c r="BG25" i="12"/>
  <c r="BG26" i="12"/>
  <c r="BH26" i="12" s="1"/>
  <c r="BG2" i="12"/>
  <c r="BH2" i="12" s="1"/>
  <c r="BF41" i="12"/>
  <c r="BF80" i="12"/>
  <c r="BF81" i="12"/>
  <c r="BF137" i="12"/>
  <c r="BF144" i="12"/>
  <c r="BF27" i="12"/>
  <c r="BF28" i="12"/>
  <c r="BF29" i="12"/>
  <c r="BF30" i="12"/>
  <c r="BF31" i="12"/>
  <c r="BF32" i="12"/>
  <c r="BF33" i="12"/>
  <c r="BF34" i="12"/>
  <c r="BF35" i="12"/>
  <c r="BF36" i="12"/>
  <c r="BF37" i="12"/>
  <c r="BF38" i="12"/>
  <c r="BF39" i="12"/>
  <c r="BF40" i="12"/>
  <c r="BF42" i="12"/>
  <c r="BF43" i="12"/>
  <c r="BF44" i="12"/>
  <c r="BF45" i="12"/>
  <c r="BF46" i="12"/>
  <c r="BF47" i="12"/>
  <c r="BF48" i="12"/>
  <c r="BF49" i="12"/>
  <c r="BF50" i="12"/>
  <c r="BF51" i="12"/>
  <c r="BF52" i="12"/>
  <c r="BF53" i="12"/>
  <c r="BF54" i="12"/>
  <c r="BF55" i="12"/>
  <c r="BF56" i="12"/>
  <c r="BF57" i="12"/>
  <c r="BF58" i="12"/>
  <c r="BF59" i="12"/>
  <c r="BF60" i="12"/>
  <c r="BF61" i="12"/>
  <c r="BF62" i="12"/>
  <c r="BF63" i="12"/>
  <c r="BF64" i="12"/>
  <c r="BF65" i="12"/>
  <c r="BF66" i="12"/>
  <c r="BF67" i="12"/>
  <c r="BF68" i="12"/>
  <c r="BF69" i="12"/>
  <c r="BF70" i="12"/>
  <c r="BF71" i="12"/>
  <c r="BF72" i="12"/>
  <c r="BF73" i="12"/>
  <c r="BF74" i="12"/>
  <c r="BF75" i="12"/>
  <c r="BF76" i="12"/>
  <c r="BF77" i="12"/>
  <c r="BF78" i="12"/>
  <c r="BF79" i="12"/>
  <c r="BF82" i="12"/>
  <c r="BF83" i="12"/>
  <c r="BF84" i="12"/>
  <c r="BF85" i="12"/>
  <c r="BF86" i="12"/>
  <c r="BF87" i="12"/>
  <c r="BF88" i="12"/>
  <c r="BF89" i="12"/>
  <c r="BF90" i="12"/>
  <c r="BF91" i="12"/>
  <c r="BF92" i="12"/>
  <c r="BF93" i="12"/>
  <c r="BF94" i="12"/>
  <c r="BF95" i="12"/>
  <c r="BF96" i="12"/>
  <c r="BF97" i="12"/>
  <c r="BF98" i="12"/>
  <c r="BF99" i="12"/>
  <c r="BF100" i="12"/>
  <c r="BF101" i="12"/>
  <c r="BF102" i="12"/>
  <c r="BF103" i="12"/>
  <c r="BF104" i="12"/>
  <c r="BF105" i="12"/>
  <c r="BF106" i="12"/>
  <c r="BF107" i="12"/>
  <c r="BF108" i="12"/>
  <c r="BF109" i="12"/>
  <c r="BF110" i="12"/>
  <c r="BF111" i="12"/>
  <c r="BF112" i="12"/>
  <c r="BF113" i="12"/>
  <c r="BF114" i="12"/>
  <c r="BF115" i="12"/>
  <c r="BF116" i="12"/>
  <c r="BF117" i="12"/>
  <c r="BF118" i="12"/>
  <c r="BF119" i="12"/>
  <c r="BF120" i="12"/>
  <c r="BF121" i="12"/>
  <c r="BF122" i="12"/>
  <c r="BF123" i="12"/>
  <c r="BF124" i="12"/>
  <c r="BF125" i="12"/>
  <c r="BF126" i="12"/>
  <c r="BF127" i="12"/>
  <c r="BF128" i="12"/>
  <c r="BF129" i="12"/>
  <c r="BF130" i="12"/>
  <c r="BF131" i="12"/>
  <c r="BF132" i="12"/>
  <c r="BF133" i="12"/>
  <c r="BF134" i="12"/>
  <c r="BF135" i="12"/>
  <c r="BF136" i="12"/>
  <c r="BF138" i="12"/>
  <c r="BF139" i="12"/>
  <c r="BF140" i="12"/>
  <c r="BF141" i="12"/>
  <c r="BF142" i="12"/>
  <c r="BF143" i="12"/>
  <c r="BF145" i="12"/>
  <c r="BF146" i="12"/>
  <c r="BF147" i="12"/>
  <c r="BF148" i="12"/>
  <c r="BF149" i="12"/>
  <c r="BF150" i="12"/>
  <c r="BF151" i="12"/>
  <c r="BF152" i="12"/>
  <c r="BF153" i="12"/>
  <c r="BF154" i="12"/>
  <c r="BF155" i="12"/>
  <c r="BF156" i="12"/>
  <c r="BF157" i="12"/>
  <c r="BF158" i="12"/>
  <c r="BF159" i="12"/>
  <c r="BF160" i="12"/>
  <c r="BF161" i="12"/>
  <c r="BF162" i="12"/>
  <c r="BF163" i="12"/>
  <c r="BF164" i="12"/>
  <c r="BF165" i="12"/>
  <c r="BF166" i="12"/>
  <c r="BF167" i="12"/>
  <c r="BF168" i="12"/>
  <c r="BF169" i="12"/>
  <c r="BF170" i="12"/>
  <c r="BF171" i="12"/>
  <c r="BF172" i="12"/>
  <c r="BF173" i="12"/>
  <c r="BF174" i="12"/>
  <c r="BF175" i="12"/>
  <c r="BF176" i="12"/>
  <c r="BF177" i="12"/>
  <c r="BF178" i="12"/>
  <c r="BF179" i="12"/>
  <c r="BF180" i="12"/>
  <c r="BF181" i="12"/>
  <c r="BF182" i="12"/>
  <c r="BF183" i="12"/>
  <c r="BF184" i="12"/>
  <c r="BF185" i="12"/>
  <c r="BF186" i="12"/>
  <c r="BF187" i="12"/>
  <c r="BF188" i="12"/>
  <c r="BF189" i="12"/>
  <c r="BF190" i="12"/>
  <c r="BF191" i="12"/>
  <c r="BF15" i="12"/>
  <c r="BC84" i="12"/>
  <c r="BC165" i="12"/>
  <c r="BB27" i="12"/>
  <c r="BB28" i="12"/>
  <c r="BC28" i="12" s="1"/>
  <c r="BB29" i="12"/>
  <c r="BC29" i="12" s="1"/>
  <c r="BB30" i="12"/>
  <c r="BC30" i="12" s="1"/>
  <c r="BB31" i="12"/>
  <c r="BB32" i="12"/>
  <c r="BB33" i="12"/>
  <c r="BC33" i="12" s="1"/>
  <c r="BB34" i="12"/>
  <c r="BC34" i="12" s="1"/>
  <c r="BB35" i="12"/>
  <c r="BC35" i="12" s="1"/>
  <c r="BB36" i="12"/>
  <c r="BC36" i="12" s="1"/>
  <c r="BB37" i="12"/>
  <c r="BC37" i="12" s="1"/>
  <c r="BB38" i="12"/>
  <c r="BC38" i="12" s="1"/>
  <c r="BB39" i="12"/>
  <c r="BB40" i="12"/>
  <c r="BB41" i="12"/>
  <c r="BC41" i="12" s="1"/>
  <c r="BB42" i="12"/>
  <c r="BC42" i="12" s="1"/>
  <c r="BB43" i="12"/>
  <c r="BC43" i="12" s="1"/>
  <c r="BB44" i="12"/>
  <c r="BC44" i="12" s="1"/>
  <c r="BB45" i="12"/>
  <c r="BC45" i="12" s="1"/>
  <c r="BB46" i="12"/>
  <c r="BC46" i="12" s="1"/>
  <c r="BB47" i="12"/>
  <c r="BB48" i="12"/>
  <c r="BB49" i="12"/>
  <c r="BC49" i="12" s="1"/>
  <c r="BB50" i="12"/>
  <c r="BC50" i="12" s="1"/>
  <c r="BB51" i="12"/>
  <c r="BC51" i="12" s="1"/>
  <c r="BB52" i="12"/>
  <c r="BC52" i="12" s="1"/>
  <c r="BB53" i="12"/>
  <c r="BC53" i="12" s="1"/>
  <c r="BB54" i="12"/>
  <c r="BC54" i="12" s="1"/>
  <c r="BB55" i="12"/>
  <c r="BB56" i="12"/>
  <c r="BB57" i="12"/>
  <c r="BC57" i="12" s="1"/>
  <c r="BB58" i="12"/>
  <c r="BC58" i="12" s="1"/>
  <c r="BB59" i="12"/>
  <c r="BC59" i="12" s="1"/>
  <c r="BB60" i="12"/>
  <c r="BC60" i="12" s="1"/>
  <c r="BB61" i="12"/>
  <c r="BC61" i="12" s="1"/>
  <c r="BB62" i="12"/>
  <c r="BC62" i="12" s="1"/>
  <c r="BB63" i="12"/>
  <c r="BB64" i="12"/>
  <c r="BB65" i="12"/>
  <c r="BC65" i="12" s="1"/>
  <c r="BB66" i="12"/>
  <c r="BC66" i="12" s="1"/>
  <c r="BB67" i="12"/>
  <c r="BC67" i="12" s="1"/>
  <c r="BB68" i="12"/>
  <c r="BC68" i="12" s="1"/>
  <c r="BB69" i="12"/>
  <c r="BC69" i="12" s="1"/>
  <c r="BB70" i="12"/>
  <c r="BC70" i="12" s="1"/>
  <c r="BB71" i="12"/>
  <c r="BB72" i="12"/>
  <c r="BB73" i="12"/>
  <c r="BC73" i="12" s="1"/>
  <c r="BB74" i="12"/>
  <c r="BC74" i="12" s="1"/>
  <c r="BB75" i="12"/>
  <c r="BC75" i="12" s="1"/>
  <c r="BB76" i="12"/>
  <c r="BC76" i="12" s="1"/>
  <c r="BB77" i="12"/>
  <c r="BC77" i="12" s="1"/>
  <c r="BB78" i="12"/>
  <c r="BC78" i="12" s="1"/>
  <c r="BB79" i="12"/>
  <c r="BB80" i="12"/>
  <c r="BB81" i="12"/>
  <c r="BC81" i="12" s="1"/>
  <c r="BB82" i="12"/>
  <c r="BC82" i="12" s="1"/>
  <c r="BB83" i="12"/>
  <c r="BC83" i="12" s="1"/>
  <c r="BB84" i="12"/>
  <c r="BB85" i="12"/>
  <c r="BC85" i="12" s="1"/>
  <c r="BB86" i="12"/>
  <c r="BC86" i="12" s="1"/>
  <c r="BB87" i="12"/>
  <c r="BB88" i="12"/>
  <c r="BB89" i="12"/>
  <c r="BC89" i="12" s="1"/>
  <c r="BB90" i="12"/>
  <c r="BC90" i="12" s="1"/>
  <c r="BB91" i="12"/>
  <c r="BC91" i="12" s="1"/>
  <c r="BB92" i="12"/>
  <c r="BC92" i="12" s="1"/>
  <c r="BB93" i="12"/>
  <c r="BC93" i="12" s="1"/>
  <c r="BB94" i="12"/>
  <c r="BC94" i="12" s="1"/>
  <c r="BB95" i="12"/>
  <c r="BB96" i="12"/>
  <c r="BB97" i="12"/>
  <c r="BC97" i="12" s="1"/>
  <c r="BB98" i="12"/>
  <c r="BC98" i="12" s="1"/>
  <c r="BB99" i="12"/>
  <c r="BC99" i="12" s="1"/>
  <c r="BB100" i="12"/>
  <c r="BC100" i="12" s="1"/>
  <c r="BB101" i="12"/>
  <c r="BC101" i="12" s="1"/>
  <c r="BB102" i="12"/>
  <c r="BC102" i="12" s="1"/>
  <c r="BB103" i="12"/>
  <c r="BB104" i="12"/>
  <c r="BB105" i="12"/>
  <c r="BC105" i="12" s="1"/>
  <c r="BB106" i="12"/>
  <c r="BC106" i="12" s="1"/>
  <c r="BB107" i="12"/>
  <c r="BC107" i="12" s="1"/>
  <c r="BB108" i="12"/>
  <c r="BC108" i="12" s="1"/>
  <c r="BB109" i="12"/>
  <c r="BC109" i="12" s="1"/>
  <c r="BB110" i="12"/>
  <c r="BC110" i="12" s="1"/>
  <c r="BB111" i="12"/>
  <c r="BB112" i="12"/>
  <c r="BB113" i="12"/>
  <c r="BC113" i="12" s="1"/>
  <c r="BB114" i="12"/>
  <c r="BC114" i="12" s="1"/>
  <c r="BB115" i="12"/>
  <c r="BC115" i="12" s="1"/>
  <c r="BB116" i="12"/>
  <c r="BC116" i="12" s="1"/>
  <c r="BB117" i="12"/>
  <c r="BC117" i="12" s="1"/>
  <c r="BB118" i="12"/>
  <c r="BC118" i="12" s="1"/>
  <c r="BB119" i="12"/>
  <c r="BB120" i="12"/>
  <c r="BB121" i="12"/>
  <c r="BC121" i="12" s="1"/>
  <c r="BB122" i="12"/>
  <c r="BC122" i="12" s="1"/>
  <c r="BB123" i="12"/>
  <c r="BC123" i="12" s="1"/>
  <c r="BB124" i="12"/>
  <c r="BC124" i="12" s="1"/>
  <c r="BB125" i="12"/>
  <c r="BC125" i="12" s="1"/>
  <c r="BB126" i="12"/>
  <c r="BC126" i="12" s="1"/>
  <c r="BB127" i="12"/>
  <c r="BB128" i="12"/>
  <c r="BB129" i="12"/>
  <c r="BC129" i="12" s="1"/>
  <c r="BB130" i="12"/>
  <c r="BC130" i="12" s="1"/>
  <c r="BB131" i="12"/>
  <c r="BC131" i="12" s="1"/>
  <c r="BB132" i="12"/>
  <c r="BC132" i="12" s="1"/>
  <c r="BB133" i="12"/>
  <c r="BC133" i="12" s="1"/>
  <c r="BB134" i="12"/>
  <c r="BC134" i="12" s="1"/>
  <c r="BB135" i="12"/>
  <c r="BB136" i="12"/>
  <c r="BB137" i="12"/>
  <c r="BC137" i="12" s="1"/>
  <c r="BB138" i="12"/>
  <c r="BC138" i="12" s="1"/>
  <c r="BB139" i="12"/>
  <c r="BC139" i="12" s="1"/>
  <c r="BB140" i="12"/>
  <c r="BC140" i="12" s="1"/>
  <c r="BB141" i="12"/>
  <c r="BC141" i="12" s="1"/>
  <c r="BB142" i="12"/>
  <c r="BC142" i="12" s="1"/>
  <c r="BB143" i="12"/>
  <c r="BB144" i="12"/>
  <c r="BB145" i="12"/>
  <c r="BC145" i="12" s="1"/>
  <c r="BB146" i="12"/>
  <c r="BC146" i="12" s="1"/>
  <c r="BB147" i="12"/>
  <c r="BC147" i="12" s="1"/>
  <c r="BB148" i="12"/>
  <c r="BC148" i="12" s="1"/>
  <c r="BB149" i="12"/>
  <c r="BC149" i="12" s="1"/>
  <c r="BB150" i="12"/>
  <c r="BC150" i="12" s="1"/>
  <c r="BB151" i="12"/>
  <c r="BB152" i="12"/>
  <c r="BB153" i="12"/>
  <c r="BC153" i="12" s="1"/>
  <c r="BB154" i="12"/>
  <c r="BC154" i="12" s="1"/>
  <c r="BB155" i="12"/>
  <c r="BC155" i="12" s="1"/>
  <c r="BB156" i="12"/>
  <c r="BC156" i="12" s="1"/>
  <c r="BB157" i="12"/>
  <c r="BC157" i="12" s="1"/>
  <c r="BB158" i="12"/>
  <c r="BC158" i="12" s="1"/>
  <c r="BB159" i="12"/>
  <c r="BB160" i="12"/>
  <c r="BB161" i="12"/>
  <c r="BC161" i="12" s="1"/>
  <c r="BB162" i="12"/>
  <c r="BC162" i="12" s="1"/>
  <c r="BB163" i="12"/>
  <c r="BC163" i="12" s="1"/>
  <c r="BB164" i="12"/>
  <c r="BC164" i="12" s="1"/>
  <c r="BB165" i="12"/>
  <c r="BB166" i="12"/>
  <c r="BC166" i="12" s="1"/>
  <c r="BB167" i="12"/>
  <c r="BB168" i="12"/>
  <c r="BB169" i="12"/>
  <c r="BC169" i="12" s="1"/>
  <c r="BB170" i="12"/>
  <c r="BC170" i="12" s="1"/>
  <c r="BB171" i="12"/>
  <c r="BC171" i="12" s="1"/>
  <c r="BB172" i="12"/>
  <c r="BC172" i="12" s="1"/>
  <c r="BB173" i="12"/>
  <c r="BC173" i="12" s="1"/>
  <c r="BB174" i="12"/>
  <c r="BC174" i="12" s="1"/>
  <c r="BB175" i="12"/>
  <c r="BB176" i="12"/>
  <c r="BB177" i="12"/>
  <c r="BC177" i="12" s="1"/>
  <c r="BB178" i="12"/>
  <c r="BC178" i="12" s="1"/>
  <c r="BB179" i="12"/>
  <c r="BC179" i="12" s="1"/>
  <c r="BB180" i="12"/>
  <c r="BC180" i="12" s="1"/>
  <c r="BB181" i="12"/>
  <c r="BC181" i="12" s="1"/>
  <c r="BB182" i="12"/>
  <c r="BC182" i="12" s="1"/>
  <c r="BB183" i="12"/>
  <c r="BB184" i="12"/>
  <c r="BB185" i="12"/>
  <c r="BC185" i="12" s="1"/>
  <c r="BB186" i="12"/>
  <c r="BC186" i="12" s="1"/>
  <c r="BB187" i="12"/>
  <c r="BC187" i="12" s="1"/>
  <c r="BB188" i="12"/>
  <c r="BC188" i="12" s="1"/>
  <c r="BB189" i="12"/>
  <c r="BC189" i="12" s="1"/>
  <c r="BB190" i="12"/>
  <c r="BC190" i="12" s="1"/>
  <c r="BB191" i="12"/>
  <c r="BB3" i="12"/>
  <c r="BB4" i="12"/>
  <c r="BC4" i="12" s="1"/>
  <c r="BB5" i="12"/>
  <c r="BB6" i="12"/>
  <c r="BB7" i="12"/>
  <c r="BB8" i="12"/>
  <c r="BC8" i="12" s="1"/>
  <c r="BB9" i="12"/>
  <c r="BC9" i="12" s="1"/>
  <c r="BB10" i="12"/>
  <c r="BB11" i="12"/>
  <c r="BB12" i="12"/>
  <c r="BB13" i="12"/>
  <c r="BB14" i="12"/>
  <c r="BB15" i="12"/>
  <c r="BB16" i="12"/>
  <c r="BC16" i="12" s="1"/>
  <c r="BB17" i="12"/>
  <c r="BB18" i="12"/>
  <c r="BB19" i="12"/>
  <c r="BB20" i="12"/>
  <c r="BC20" i="12" s="1"/>
  <c r="BB21" i="12"/>
  <c r="BB22" i="12"/>
  <c r="BB23" i="12"/>
  <c r="BB24" i="12"/>
  <c r="BC24" i="12" s="1"/>
  <c r="BB25" i="12"/>
  <c r="BC25" i="12" s="1"/>
  <c r="BB26" i="12"/>
  <c r="BB2" i="12"/>
  <c r="BA66" i="12"/>
  <c r="BA27" i="12"/>
  <c r="BA28" i="12"/>
  <c r="BA29" i="12"/>
  <c r="BA30" i="12"/>
  <c r="BA31" i="12"/>
  <c r="BA32" i="12"/>
  <c r="BA33" i="12"/>
  <c r="BA34" i="12"/>
  <c r="BA35" i="12"/>
  <c r="BA36" i="12"/>
  <c r="BA37" i="12"/>
  <c r="BA38" i="12"/>
  <c r="BA39" i="12"/>
  <c r="BA40" i="12"/>
  <c r="BA41" i="12"/>
  <c r="BA42" i="12"/>
  <c r="BA43" i="12"/>
  <c r="BA44" i="12"/>
  <c r="BA45" i="12"/>
  <c r="BA46" i="12"/>
  <c r="BA47" i="12"/>
  <c r="BA48" i="12"/>
  <c r="BA49" i="12"/>
  <c r="BA50" i="12"/>
  <c r="BA51" i="12"/>
  <c r="BA52" i="12"/>
  <c r="BA53" i="12"/>
  <c r="BA54" i="12"/>
  <c r="BA55" i="12"/>
  <c r="BA56" i="12"/>
  <c r="BA57" i="12"/>
  <c r="BD58" i="12"/>
  <c r="BA59" i="12"/>
  <c r="BA60" i="12"/>
  <c r="BA61" i="12"/>
  <c r="BA62" i="12"/>
  <c r="BA63" i="12"/>
  <c r="BA64" i="12"/>
  <c r="BA65" i="12"/>
  <c r="BA67" i="12"/>
  <c r="BA68" i="12"/>
  <c r="BA69" i="12"/>
  <c r="BA70" i="12"/>
  <c r="BA71" i="12"/>
  <c r="BA72" i="12"/>
  <c r="BA73" i="12"/>
  <c r="BA74" i="12"/>
  <c r="BA75" i="12"/>
  <c r="BA76" i="12"/>
  <c r="BA77" i="12"/>
  <c r="BA78" i="12"/>
  <c r="BA79" i="12"/>
  <c r="BA80" i="12"/>
  <c r="BA81" i="12"/>
  <c r="BA82" i="12"/>
  <c r="BA83" i="12"/>
  <c r="BA84" i="12"/>
  <c r="BA85" i="12"/>
  <c r="BA86" i="12"/>
  <c r="BA87" i="12"/>
  <c r="BA88" i="12"/>
  <c r="BA89" i="12"/>
  <c r="BA90" i="12"/>
  <c r="BA91" i="12"/>
  <c r="BA92" i="12"/>
  <c r="BA93" i="12"/>
  <c r="BA94" i="12"/>
  <c r="BA95" i="12"/>
  <c r="BA96" i="12"/>
  <c r="BA97" i="12"/>
  <c r="BA98" i="12"/>
  <c r="BA99" i="12"/>
  <c r="BA100" i="12"/>
  <c r="BA101" i="12"/>
  <c r="BA102" i="12"/>
  <c r="BA103" i="12"/>
  <c r="BA104" i="12"/>
  <c r="BA105" i="12"/>
  <c r="BA106" i="12"/>
  <c r="BA107" i="12"/>
  <c r="BA108" i="12"/>
  <c r="BA109" i="12"/>
  <c r="BA110" i="12"/>
  <c r="BA111" i="12"/>
  <c r="BA112" i="12"/>
  <c r="BA113" i="12"/>
  <c r="BA114" i="12"/>
  <c r="BA115" i="12"/>
  <c r="BA116" i="12"/>
  <c r="BA117" i="12"/>
  <c r="BA118" i="12"/>
  <c r="BA119" i="12"/>
  <c r="BA120" i="12"/>
  <c r="BA121" i="12"/>
  <c r="BA122" i="12"/>
  <c r="BA123" i="12"/>
  <c r="BA124" i="12"/>
  <c r="BA125" i="12"/>
  <c r="BA126" i="12"/>
  <c r="BA127" i="12"/>
  <c r="BA128" i="12"/>
  <c r="BA129" i="12"/>
  <c r="BA130" i="12"/>
  <c r="BA131" i="12"/>
  <c r="BA132" i="12"/>
  <c r="BA133" i="12"/>
  <c r="BA134" i="12"/>
  <c r="BA135" i="12"/>
  <c r="BA136" i="12"/>
  <c r="BA137" i="12"/>
  <c r="BA138" i="12"/>
  <c r="BA139" i="12"/>
  <c r="BA140" i="12"/>
  <c r="BA141" i="12"/>
  <c r="BA142" i="12"/>
  <c r="BA143" i="12"/>
  <c r="BA144" i="12"/>
  <c r="BA145" i="12"/>
  <c r="BA146" i="12"/>
  <c r="BA147" i="12"/>
  <c r="BA148" i="12"/>
  <c r="BA149" i="12"/>
  <c r="BA150" i="12"/>
  <c r="BA151" i="12"/>
  <c r="BA152" i="12"/>
  <c r="BA153" i="12"/>
  <c r="BA154" i="12"/>
  <c r="BA155" i="12"/>
  <c r="BA156" i="12"/>
  <c r="BA157" i="12"/>
  <c r="BA158" i="12"/>
  <c r="BA159" i="12"/>
  <c r="BA160" i="12"/>
  <c r="BA161" i="12"/>
  <c r="BA162" i="12"/>
  <c r="BA163" i="12"/>
  <c r="BA164" i="12"/>
  <c r="BA165" i="12"/>
  <c r="BA166" i="12"/>
  <c r="BA167" i="12"/>
  <c r="BA168" i="12"/>
  <c r="BA169" i="12"/>
  <c r="BA170" i="12"/>
  <c r="BA171" i="12"/>
  <c r="BA172" i="12"/>
  <c r="BA173" i="12"/>
  <c r="BA174" i="12"/>
  <c r="BA175" i="12"/>
  <c r="BA176" i="12"/>
  <c r="BA177" i="12"/>
  <c r="BA178" i="12"/>
  <c r="BA179" i="12"/>
  <c r="BA180" i="12"/>
  <c r="BA181" i="12"/>
  <c r="BA182" i="12"/>
  <c r="BA183" i="12"/>
  <c r="BA184" i="12"/>
  <c r="BA185" i="12"/>
  <c r="BA186" i="12"/>
  <c r="BA187" i="12"/>
  <c r="BA188" i="12"/>
  <c r="BA189" i="12"/>
  <c r="BA190" i="12"/>
  <c r="BA191" i="12"/>
  <c r="BA3" i="12"/>
  <c r="BD6" i="12"/>
  <c r="BA9" i="12"/>
  <c r="BA10" i="12"/>
  <c r="BA11" i="12"/>
  <c r="BD13" i="12"/>
  <c r="BD14" i="12"/>
  <c r="BA17" i="12"/>
  <c r="BA18" i="12"/>
  <c r="BA19" i="12"/>
  <c r="BD21" i="12"/>
  <c r="BD22" i="12"/>
  <c r="BA25" i="12"/>
  <c r="BA26" i="12"/>
  <c r="BA2" i="12"/>
  <c r="AW27" i="12"/>
  <c r="AX27" i="12" s="1"/>
  <c r="AW28" i="12"/>
  <c r="AX28" i="12" s="1"/>
  <c r="AW29" i="12"/>
  <c r="AW30" i="12"/>
  <c r="AX30" i="12" s="1"/>
  <c r="AW31" i="12"/>
  <c r="AW32" i="12"/>
  <c r="AX32" i="12" s="1"/>
  <c r="AW33" i="12"/>
  <c r="AX33" i="12" s="1"/>
  <c r="AW34" i="12"/>
  <c r="AX34" i="12" s="1"/>
  <c r="AW35" i="12"/>
  <c r="AX35" i="12" s="1"/>
  <c r="AW36" i="12"/>
  <c r="AX36" i="12" s="1"/>
  <c r="AW37" i="12"/>
  <c r="AW38" i="12"/>
  <c r="AX38" i="12" s="1"/>
  <c r="AW39" i="12"/>
  <c r="AW40" i="12"/>
  <c r="AX40" i="12" s="1"/>
  <c r="AW41" i="12"/>
  <c r="AX41" i="12" s="1"/>
  <c r="AW42" i="12"/>
  <c r="AX42" i="12" s="1"/>
  <c r="AW43" i="12"/>
  <c r="AX43" i="12" s="1"/>
  <c r="AW44" i="12"/>
  <c r="AX44" i="12" s="1"/>
  <c r="AW45" i="12"/>
  <c r="AW46" i="12"/>
  <c r="AX46" i="12" s="1"/>
  <c r="AW47" i="12"/>
  <c r="AW48" i="12"/>
  <c r="AX48" i="12" s="1"/>
  <c r="AW49" i="12"/>
  <c r="AX49" i="12" s="1"/>
  <c r="AW50" i="12"/>
  <c r="AX50" i="12" s="1"/>
  <c r="AW51" i="12"/>
  <c r="AX51" i="12" s="1"/>
  <c r="AW52" i="12"/>
  <c r="AX52" i="12" s="1"/>
  <c r="AW53" i="12"/>
  <c r="AW54" i="12"/>
  <c r="AX54" i="12" s="1"/>
  <c r="AW55" i="12"/>
  <c r="AW56" i="12"/>
  <c r="AX56" i="12" s="1"/>
  <c r="AW57" i="12"/>
  <c r="AX57" i="12" s="1"/>
  <c r="AW58" i="12"/>
  <c r="AX58" i="12" s="1"/>
  <c r="AW59" i="12"/>
  <c r="AX59" i="12" s="1"/>
  <c r="AW60" i="12"/>
  <c r="AX60" i="12" s="1"/>
  <c r="AW61" i="12"/>
  <c r="AW62" i="12"/>
  <c r="AX62" i="12" s="1"/>
  <c r="AW63" i="12"/>
  <c r="AW64" i="12"/>
  <c r="AX64" i="12" s="1"/>
  <c r="AW65" i="12"/>
  <c r="AX65" i="12" s="1"/>
  <c r="AW66" i="12"/>
  <c r="AX66" i="12" s="1"/>
  <c r="AW67" i="12"/>
  <c r="AX67" i="12" s="1"/>
  <c r="AW68" i="12"/>
  <c r="AX68" i="12" s="1"/>
  <c r="AW69" i="12"/>
  <c r="AW70" i="12"/>
  <c r="AX70" i="12" s="1"/>
  <c r="AW71" i="12"/>
  <c r="AW72" i="12"/>
  <c r="AX72" i="12" s="1"/>
  <c r="AW73" i="12"/>
  <c r="AX73" i="12" s="1"/>
  <c r="AW74" i="12"/>
  <c r="AX74" i="12" s="1"/>
  <c r="AW75" i="12"/>
  <c r="AW76" i="12"/>
  <c r="AX76" i="12" s="1"/>
  <c r="AW77" i="12"/>
  <c r="AW78" i="12"/>
  <c r="AX78" i="12" s="1"/>
  <c r="AW79" i="12"/>
  <c r="AW80" i="12"/>
  <c r="AW81" i="12"/>
  <c r="AX81" i="12" s="1"/>
  <c r="AW82" i="12"/>
  <c r="AX82" i="12" s="1"/>
  <c r="AW83" i="12"/>
  <c r="AW84" i="12"/>
  <c r="AX84" i="12" s="1"/>
  <c r="AW85" i="12"/>
  <c r="AW86" i="12"/>
  <c r="AX86" i="12" s="1"/>
  <c r="AW87" i="12"/>
  <c r="AW88" i="12"/>
  <c r="AX88" i="12" s="1"/>
  <c r="AW89" i="12"/>
  <c r="AX89" i="12" s="1"/>
  <c r="AW90" i="12"/>
  <c r="AX90" i="12" s="1"/>
  <c r="AW91" i="12"/>
  <c r="AW92" i="12"/>
  <c r="AX92" i="12" s="1"/>
  <c r="AW93" i="12"/>
  <c r="AW94" i="12"/>
  <c r="AX94" i="12" s="1"/>
  <c r="AW95" i="12"/>
  <c r="AW96" i="12"/>
  <c r="AX96" i="12" s="1"/>
  <c r="AW97" i="12"/>
  <c r="AX97" i="12" s="1"/>
  <c r="AW98" i="12"/>
  <c r="AX98" i="12" s="1"/>
  <c r="AW99" i="12"/>
  <c r="AX99" i="12" s="1"/>
  <c r="AW100" i="12"/>
  <c r="AX100" i="12" s="1"/>
  <c r="AW101" i="12"/>
  <c r="AW102" i="12"/>
  <c r="AX102" i="12" s="1"/>
  <c r="AW103" i="12"/>
  <c r="AW104" i="12"/>
  <c r="AX104" i="12" s="1"/>
  <c r="AW105" i="12"/>
  <c r="AX105" i="12" s="1"/>
  <c r="AW106" i="12"/>
  <c r="AX106" i="12" s="1"/>
  <c r="AW107" i="12"/>
  <c r="AX107" i="12" s="1"/>
  <c r="AW108" i="12"/>
  <c r="AX108" i="12" s="1"/>
  <c r="AW109" i="12"/>
  <c r="AW110" i="12"/>
  <c r="AX110" i="12" s="1"/>
  <c r="AW111" i="12"/>
  <c r="AW112" i="12"/>
  <c r="AX112" i="12" s="1"/>
  <c r="AW113" i="12"/>
  <c r="AX113" i="12" s="1"/>
  <c r="AW114" i="12"/>
  <c r="AX114" i="12" s="1"/>
  <c r="AW115" i="12"/>
  <c r="AX115" i="12" s="1"/>
  <c r="AW116" i="12"/>
  <c r="AX116" i="12" s="1"/>
  <c r="AW117" i="12"/>
  <c r="AW118" i="12"/>
  <c r="AX118" i="12" s="1"/>
  <c r="AW119" i="12"/>
  <c r="AW120" i="12"/>
  <c r="AX120" i="12" s="1"/>
  <c r="AW121" i="12"/>
  <c r="AX121" i="12" s="1"/>
  <c r="AW122" i="12"/>
  <c r="AX122" i="12" s="1"/>
  <c r="AW123" i="12"/>
  <c r="AW124" i="12"/>
  <c r="AX124" i="12" s="1"/>
  <c r="AW125" i="12"/>
  <c r="AW126" i="12"/>
  <c r="AX126" i="12" s="1"/>
  <c r="AW127" i="12"/>
  <c r="AW128" i="12"/>
  <c r="AX128" i="12" s="1"/>
  <c r="AW129" i="12"/>
  <c r="AX129" i="12" s="1"/>
  <c r="AW130" i="12"/>
  <c r="AX130" i="12" s="1"/>
  <c r="AW131" i="12"/>
  <c r="AW132" i="12"/>
  <c r="AX132" i="12" s="1"/>
  <c r="AW133" i="12"/>
  <c r="AW134" i="12"/>
  <c r="AX134" i="12" s="1"/>
  <c r="AW135" i="12"/>
  <c r="AW136" i="12"/>
  <c r="AX136" i="12" s="1"/>
  <c r="AW137" i="12"/>
  <c r="AX137" i="12" s="1"/>
  <c r="AW138" i="12"/>
  <c r="AX138" i="12" s="1"/>
  <c r="AW139" i="12"/>
  <c r="AW140" i="12"/>
  <c r="AX140" i="12" s="1"/>
  <c r="AW141" i="12"/>
  <c r="AW142" i="12"/>
  <c r="AX142" i="12" s="1"/>
  <c r="AW143" i="12"/>
  <c r="AW144" i="12"/>
  <c r="AW145" i="12"/>
  <c r="AX145" i="12" s="1"/>
  <c r="AW146" i="12"/>
  <c r="AX146" i="12" s="1"/>
  <c r="AW147" i="12"/>
  <c r="AX147" i="12" s="1"/>
  <c r="AW148" i="12"/>
  <c r="AX148" i="12" s="1"/>
  <c r="AW149" i="12"/>
  <c r="AW150" i="12"/>
  <c r="AX150" i="12" s="1"/>
  <c r="AW151" i="12"/>
  <c r="AW152" i="12"/>
  <c r="AX152" i="12" s="1"/>
  <c r="AW153" i="12"/>
  <c r="AX153" i="12" s="1"/>
  <c r="AW154" i="12"/>
  <c r="AX154" i="12" s="1"/>
  <c r="AW155" i="12"/>
  <c r="AX155" i="12" s="1"/>
  <c r="AW156" i="12"/>
  <c r="AX156" i="12" s="1"/>
  <c r="AW157" i="12"/>
  <c r="AW158" i="12"/>
  <c r="AX158" i="12" s="1"/>
  <c r="AW159" i="12"/>
  <c r="AW160" i="12"/>
  <c r="AX160" i="12" s="1"/>
  <c r="AW161" i="12"/>
  <c r="AX161" i="12" s="1"/>
  <c r="AW162" i="12"/>
  <c r="AX162" i="12" s="1"/>
  <c r="AW163" i="12"/>
  <c r="AX163" i="12" s="1"/>
  <c r="AW164" i="12"/>
  <c r="AX164" i="12" s="1"/>
  <c r="AW165" i="12"/>
  <c r="AW166" i="12"/>
  <c r="AX166" i="12" s="1"/>
  <c r="AW167" i="12"/>
  <c r="AW168" i="12"/>
  <c r="AX168" i="12" s="1"/>
  <c r="AW169" i="12"/>
  <c r="AX169" i="12" s="1"/>
  <c r="AW170" i="12"/>
  <c r="AX170" i="12" s="1"/>
  <c r="AW171" i="12"/>
  <c r="AX171" i="12" s="1"/>
  <c r="AW172" i="12"/>
  <c r="AX172" i="12" s="1"/>
  <c r="AW173" i="12"/>
  <c r="AW174" i="12"/>
  <c r="AX174" i="12" s="1"/>
  <c r="AW175" i="12"/>
  <c r="AW176" i="12"/>
  <c r="AW177" i="12"/>
  <c r="AX177" i="12" s="1"/>
  <c r="AW178" i="12"/>
  <c r="AX178" i="12" s="1"/>
  <c r="AW179" i="12"/>
  <c r="AW180" i="12"/>
  <c r="AX180" i="12" s="1"/>
  <c r="AW181" i="12"/>
  <c r="AW182" i="12"/>
  <c r="AX182" i="12" s="1"/>
  <c r="AW183" i="12"/>
  <c r="AW184" i="12"/>
  <c r="AX184" i="12" s="1"/>
  <c r="AW185" i="12"/>
  <c r="AX185" i="12" s="1"/>
  <c r="AW186" i="12"/>
  <c r="AX186" i="12" s="1"/>
  <c r="AW187" i="12"/>
  <c r="AW188" i="12"/>
  <c r="AX188" i="12" s="1"/>
  <c r="AW189" i="12"/>
  <c r="AW190" i="12"/>
  <c r="AX190" i="12" s="1"/>
  <c r="AW191" i="12"/>
  <c r="AW3" i="12"/>
  <c r="AX3" i="12" s="1"/>
  <c r="AW4" i="12"/>
  <c r="AW5" i="12"/>
  <c r="AW6" i="12"/>
  <c r="AW7" i="12"/>
  <c r="AW8" i="12"/>
  <c r="AW9" i="12"/>
  <c r="AW10" i="12"/>
  <c r="AW11" i="12"/>
  <c r="AW12" i="12"/>
  <c r="AW13" i="12"/>
  <c r="AX13" i="12" s="1"/>
  <c r="AW14" i="12"/>
  <c r="AW15" i="12"/>
  <c r="AW16" i="12"/>
  <c r="AW17" i="12"/>
  <c r="AW18" i="12"/>
  <c r="AW19" i="12"/>
  <c r="AW20" i="12"/>
  <c r="AX20" i="12" s="1"/>
  <c r="AW21" i="12"/>
  <c r="AX21" i="12" s="1"/>
  <c r="AW22" i="12"/>
  <c r="AW23" i="12"/>
  <c r="AW24" i="12"/>
  <c r="AW25" i="12"/>
  <c r="AW26" i="12"/>
  <c r="AW2" i="12"/>
  <c r="AV27" i="12"/>
  <c r="AV28" i="12"/>
  <c r="AV29" i="12"/>
  <c r="AV30" i="12"/>
  <c r="AV31" i="12"/>
  <c r="AV32" i="12"/>
  <c r="AV33" i="12"/>
  <c r="AV35" i="12"/>
  <c r="AV36" i="12"/>
  <c r="AV37" i="12"/>
  <c r="AV38" i="12"/>
  <c r="AV39" i="12"/>
  <c r="AV40" i="12"/>
  <c r="AV41" i="12"/>
  <c r="AV43" i="12"/>
  <c r="AV44" i="12"/>
  <c r="AV45" i="12"/>
  <c r="AV46" i="12"/>
  <c r="AV47" i="12"/>
  <c r="AV48" i="12"/>
  <c r="AV49" i="12"/>
  <c r="AV51" i="12"/>
  <c r="AV52" i="12"/>
  <c r="AV53" i="12"/>
  <c r="AV54" i="12"/>
  <c r="AV55" i="12"/>
  <c r="AV56" i="12"/>
  <c r="AV57" i="12"/>
  <c r="AV59" i="12"/>
  <c r="AV60" i="12"/>
  <c r="AV61" i="12"/>
  <c r="AV62" i="12"/>
  <c r="AV63" i="12"/>
  <c r="AV64" i="12"/>
  <c r="AV65" i="12"/>
  <c r="AV67" i="12"/>
  <c r="AV68" i="12"/>
  <c r="AV69" i="12"/>
  <c r="AV70" i="12"/>
  <c r="AV71" i="12"/>
  <c r="AV72" i="12"/>
  <c r="AV73" i="12"/>
  <c r="AV75" i="12"/>
  <c r="AV76" i="12"/>
  <c r="AV77" i="12"/>
  <c r="AV78" i="12"/>
  <c r="AV79" i="12"/>
  <c r="AV80" i="12"/>
  <c r="AV81" i="12"/>
  <c r="AV83" i="12"/>
  <c r="AV84" i="12"/>
  <c r="AV85" i="12"/>
  <c r="AV86" i="12"/>
  <c r="AV87" i="12"/>
  <c r="AV88" i="12"/>
  <c r="AV89" i="12"/>
  <c r="AV91" i="12"/>
  <c r="AV92" i="12"/>
  <c r="AV93" i="12"/>
  <c r="AV94" i="12"/>
  <c r="AV95" i="12"/>
  <c r="AV96" i="12"/>
  <c r="AV97" i="12"/>
  <c r="AV99" i="12"/>
  <c r="AV100" i="12"/>
  <c r="AV101" i="12"/>
  <c r="AV102" i="12"/>
  <c r="AV103" i="12"/>
  <c r="AV104" i="12"/>
  <c r="AV105" i="12"/>
  <c r="AV107" i="12"/>
  <c r="AV108" i="12"/>
  <c r="AV109" i="12"/>
  <c r="AV110" i="12"/>
  <c r="AV111" i="12"/>
  <c r="AV112" i="12"/>
  <c r="AV113" i="12"/>
  <c r="AV115" i="12"/>
  <c r="AV116" i="12"/>
  <c r="AV117" i="12"/>
  <c r="AV118" i="12"/>
  <c r="AV119" i="12"/>
  <c r="AV120" i="12"/>
  <c r="AV121" i="12"/>
  <c r="AV123" i="12"/>
  <c r="AV124" i="12"/>
  <c r="AV125" i="12"/>
  <c r="AV126" i="12"/>
  <c r="AV127" i="12"/>
  <c r="AV128" i="12"/>
  <c r="AV129" i="12"/>
  <c r="AV131" i="12"/>
  <c r="AV132" i="12"/>
  <c r="AV133" i="12"/>
  <c r="AV134" i="12"/>
  <c r="AV135" i="12"/>
  <c r="AV136" i="12"/>
  <c r="AV137" i="12"/>
  <c r="AV139" i="12"/>
  <c r="AV140" i="12"/>
  <c r="AV141" i="12"/>
  <c r="AV142" i="12"/>
  <c r="AV143" i="12"/>
  <c r="AV144" i="12"/>
  <c r="AV145" i="12"/>
  <c r="AV147" i="12"/>
  <c r="AV148" i="12"/>
  <c r="AV149" i="12"/>
  <c r="AV150" i="12"/>
  <c r="AV151" i="12"/>
  <c r="AV152" i="12"/>
  <c r="AV153" i="12"/>
  <c r="AV155" i="12"/>
  <c r="AV156" i="12"/>
  <c r="AV157" i="12"/>
  <c r="AV158" i="12"/>
  <c r="AV159" i="12"/>
  <c r="AV160" i="12"/>
  <c r="AV161" i="12"/>
  <c r="AV163" i="12"/>
  <c r="AV164" i="12"/>
  <c r="AV165" i="12"/>
  <c r="AV166" i="12"/>
  <c r="AV167" i="12"/>
  <c r="AV168" i="12"/>
  <c r="AV169" i="12"/>
  <c r="AV171" i="12"/>
  <c r="AV172" i="12"/>
  <c r="AV173" i="12"/>
  <c r="AV174" i="12"/>
  <c r="AV175" i="12"/>
  <c r="AV176" i="12"/>
  <c r="AV177" i="12"/>
  <c r="AV179" i="12"/>
  <c r="AV180" i="12"/>
  <c r="AV181" i="12"/>
  <c r="AV182" i="12"/>
  <c r="AV183" i="12"/>
  <c r="AV184" i="12"/>
  <c r="AV185" i="12"/>
  <c r="AV187" i="12"/>
  <c r="AV188" i="12"/>
  <c r="AV189" i="12"/>
  <c r="AV190" i="12"/>
  <c r="AV191" i="12"/>
  <c r="AV8" i="12"/>
  <c r="AV9" i="12"/>
  <c r="AV10" i="12"/>
  <c r="AV16" i="12"/>
  <c r="AV17" i="12"/>
  <c r="AV18" i="12"/>
  <c r="AV24" i="12"/>
  <c r="AV25" i="12"/>
  <c r="AV26" i="12"/>
  <c r="AR27" i="12"/>
  <c r="AS27" i="12" s="1"/>
  <c r="AR28" i="12"/>
  <c r="AS28" i="12" s="1"/>
  <c r="AR29" i="12"/>
  <c r="AS29" i="12" s="1"/>
  <c r="AR30" i="12"/>
  <c r="AR31" i="12"/>
  <c r="AR32" i="12"/>
  <c r="AR33" i="12"/>
  <c r="AS33" i="12" s="1"/>
  <c r="AR34" i="12"/>
  <c r="AS34" i="12" s="1"/>
  <c r="AR35" i="12"/>
  <c r="AS35" i="12" s="1"/>
  <c r="AR36" i="12"/>
  <c r="AS36" i="12" s="1"/>
  <c r="AR37" i="12"/>
  <c r="AS37" i="12" s="1"/>
  <c r="AR38" i="12"/>
  <c r="AR39" i="12"/>
  <c r="AR40" i="12"/>
  <c r="AR41" i="12"/>
  <c r="AS41" i="12" s="1"/>
  <c r="AR42" i="12"/>
  <c r="AS42" i="12" s="1"/>
  <c r="AR43" i="12"/>
  <c r="AS43" i="12" s="1"/>
  <c r="AR44" i="12"/>
  <c r="AS44" i="12" s="1"/>
  <c r="AR45" i="12"/>
  <c r="AS45" i="12" s="1"/>
  <c r="AR46" i="12"/>
  <c r="AR47" i="12"/>
  <c r="AR48" i="12"/>
  <c r="AR49" i="12"/>
  <c r="AS49" i="12" s="1"/>
  <c r="AR50" i="12"/>
  <c r="AS50" i="12" s="1"/>
  <c r="AR51" i="12"/>
  <c r="AS51" i="12" s="1"/>
  <c r="AR52" i="12"/>
  <c r="AS52" i="12" s="1"/>
  <c r="AR53" i="12"/>
  <c r="AS53" i="12" s="1"/>
  <c r="AR54" i="12"/>
  <c r="AR55" i="12"/>
  <c r="AR56" i="12"/>
  <c r="AR57" i="12"/>
  <c r="AS57" i="12" s="1"/>
  <c r="AR58" i="12"/>
  <c r="AS58" i="12" s="1"/>
  <c r="AR59" i="12"/>
  <c r="AS59" i="12" s="1"/>
  <c r="AR60" i="12"/>
  <c r="AS60" i="12" s="1"/>
  <c r="AR61" i="12"/>
  <c r="AS61" i="12" s="1"/>
  <c r="AR62" i="12"/>
  <c r="AR63" i="12"/>
  <c r="AR64" i="12"/>
  <c r="AR65" i="12"/>
  <c r="AS65" i="12" s="1"/>
  <c r="AR66" i="12"/>
  <c r="AS66" i="12" s="1"/>
  <c r="AR67" i="12"/>
  <c r="AS67" i="12" s="1"/>
  <c r="AR68" i="12"/>
  <c r="AS68" i="12" s="1"/>
  <c r="AR69" i="12"/>
  <c r="AS69" i="12" s="1"/>
  <c r="AR70" i="12"/>
  <c r="AR71" i="12"/>
  <c r="AR72" i="12"/>
  <c r="AR73" i="12"/>
  <c r="AS73" i="12" s="1"/>
  <c r="AR74" i="12"/>
  <c r="AS74" i="12" s="1"/>
  <c r="AR75" i="12"/>
  <c r="AS75" i="12" s="1"/>
  <c r="AR76" i="12"/>
  <c r="AS76" i="12" s="1"/>
  <c r="AR77" i="12"/>
  <c r="AS77" i="12" s="1"/>
  <c r="AR78" i="12"/>
  <c r="AR79" i="12"/>
  <c r="AR80" i="12"/>
  <c r="AR81" i="12"/>
  <c r="AS81" i="12" s="1"/>
  <c r="AR82" i="12"/>
  <c r="AS82" i="12" s="1"/>
  <c r="AR83" i="12"/>
  <c r="AS83" i="12" s="1"/>
  <c r="AR84" i="12"/>
  <c r="AS84" i="12" s="1"/>
  <c r="AR85" i="12"/>
  <c r="AS85" i="12" s="1"/>
  <c r="AR86" i="12"/>
  <c r="AR87" i="12"/>
  <c r="AR88" i="12"/>
  <c r="AR89" i="12"/>
  <c r="AS89" i="12" s="1"/>
  <c r="AR90" i="12"/>
  <c r="AS90" i="12" s="1"/>
  <c r="AR91" i="12"/>
  <c r="AS91" i="12" s="1"/>
  <c r="AR92" i="12"/>
  <c r="AS92" i="12" s="1"/>
  <c r="AR93" i="12"/>
  <c r="AS93" i="12" s="1"/>
  <c r="AR94" i="12"/>
  <c r="AR95" i="12"/>
  <c r="AR96" i="12"/>
  <c r="AR97" i="12"/>
  <c r="AS97" i="12" s="1"/>
  <c r="AR98" i="12"/>
  <c r="AS98" i="12" s="1"/>
  <c r="AR99" i="12"/>
  <c r="AS99" i="12" s="1"/>
  <c r="AR100" i="12"/>
  <c r="AS100" i="12" s="1"/>
  <c r="AR101" i="12"/>
  <c r="AS101" i="12" s="1"/>
  <c r="AR102" i="12"/>
  <c r="AR103" i="12"/>
  <c r="AR104" i="12"/>
  <c r="AR105" i="12"/>
  <c r="AS105" i="12" s="1"/>
  <c r="AR106" i="12"/>
  <c r="AS106" i="12" s="1"/>
  <c r="AR107" i="12"/>
  <c r="AS107" i="12" s="1"/>
  <c r="AR108" i="12"/>
  <c r="AS108" i="12" s="1"/>
  <c r="AR109" i="12"/>
  <c r="AS109" i="12" s="1"/>
  <c r="AR110" i="12"/>
  <c r="AR111" i="12"/>
  <c r="AR112" i="12"/>
  <c r="AR113" i="12"/>
  <c r="AS113" i="12" s="1"/>
  <c r="AR114" i="12"/>
  <c r="AS114" i="12" s="1"/>
  <c r="AR115" i="12"/>
  <c r="AS115" i="12" s="1"/>
  <c r="AR116" i="12"/>
  <c r="AS116" i="12" s="1"/>
  <c r="AR117" i="12"/>
  <c r="AS117" i="12" s="1"/>
  <c r="AR118" i="12"/>
  <c r="AR119" i="12"/>
  <c r="AR120" i="12"/>
  <c r="AR121" i="12"/>
  <c r="AS121" i="12" s="1"/>
  <c r="AR122" i="12"/>
  <c r="AS122" i="12" s="1"/>
  <c r="AR123" i="12"/>
  <c r="AS123" i="12" s="1"/>
  <c r="AR124" i="12"/>
  <c r="AS124" i="12" s="1"/>
  <c r="AR125" i="12"/>
  <c r="AS125" i="12" s="1"/>
  <c r="AR126" i="12"/>
  <c r="AR127" i="12"/>
  <c r="AR128" i="12"/>
  <c r="AR129" i="12"/>
  <c r="AS129" i="12" s="1"/>
  <c r="AR130" i="12"/>
  <c r="AS130" i="12" s="1"/>
  <c r="AR131" i="12"/>
  <c r="AS131" i="12" s="1"/>
  <c r="AR132" i="12"/>
  <c r="AS132" i="12" s="1"/>
  <c r="AR133" i="12"/>
  <c r="AS133" i="12" s="1"/>
  <c r="AR134" i="12"/>
  <c r="AR135" i="12"/>
  <c r="AR136" i="12"/>
  <c r="AR137" i="12"/>
  <c r="AS137" i="12" s="1"/>
  <c r="AR138" i="12"/>
  <c r="AS138" i="12" s="1"/>
  <c r="AR139" i="12"/>
  <c r="AS139" i="12" s="1"/>
  <c r="AR140" i="12"/>
  <c r="AS140" i="12" s="1"/>
  <c r="AR141" i="12"/>
  <c r="AS141" i="12" s="1"/>
  <c r="AR142" i="12"/>
  <c r="AR143" i="12"/>
  <c r="AR144" i="12"/>
  <c r="AR145" i="12"/>
  <c r="AS145" i="12" s="1"/>
  <c r="AR146" i="12"/>
  <c r="AR147" i="12"/>
  <c r="AS147" i="12" s="1"/>
  <c r="AR148" i="12"/>
  <c r="AS148" i="12" s="1"/>
  <c r="AR149" i="12"/>
  <c r="AS149" i="12" s="1"/>
  <c r="AR150" i="12"/>
  <c r="AR151" i="12"/>
  <c r="AR152" i="12"/>
  <c r="AR153" i="12"/>
  <c r="AS153" i="12" s="1"/>
  <c r="AR154" i="12"/>
  <c r="AS154" i="12" s="1"/>
  <c r="AR155" i="12"/>
  <c r="AS155" i="12" s="1"/>
  <c r="AR156" i="12"/>
  <c r="AS156" i="12" s="1"/>
  <c r="AR157" i="12"/>
  <c r="AS157" i="12" s="1"/>
  <c r="AR158" i="12"/>
  <c r="AR159" i="12"/>
  <c r="AR160" i="12"/>
  <c r="AR161" i="12"/>
  <c r="AS161" i="12" s="1"/>
  <c r="AR162" i="12"/>
  <c r="AS162" i="12" s="1"/>
  <c r="AR163" i="12"/>
  <c r="AS163" i="12" s="1"/>
  <c r="AR164" i="12"/>
  <c r="AS164" i="12" s="1"/>
  <c r="AR165" i="12"/>
  <c r="AS165" i="12" s="1"/>
  <c r="AR166" i="12"/>
  <c r="AR167" i="12"/>
  <c r="AR168" i="12"/>
  <c r="AR169" i="12"/>
  <c r="AS169" i="12" s="1"/>
  <c r="AR170" i="12"/>
  <c r="AS170" i="12" s="1"/>
  <c r="AR171" i="12"/>
  <c r="AS171" i="12" s="1"/>
  <c r="AR172" i="12"/>
  <c r="AS172" i="12" s="1"/>
  <c r="AR173" i="12"/>
  <c r="AS173" i="12" s="1"/>
  <c r="AR174" i="12"/>
  <c r="AR175" i="12"/>
  <c r="AR176" i="12"/>
  <c r="AR177" i="12"/>
  <c r="AS177" i="12" s="1"/>
  <c r="AR178" i="12"/>
  <c r="AS178" i="12" s="1"/>
  <c r="AR179" i="12"/>
  <c r="AS179" i="12" s="1"/>
  <c r="AR180" i="12"/>
  <c r="AS180" i="12" s="1"/>
  <c r="AR181" i="12"/>
  <c r="AS181" i="12" s="1"/>
  <c r="AR182" i="12"/>
  <c r="AR183" i="12"/>
  <c r="AR184" i="12"/>
  <c r="AR185" i="12"/>
  <c r="AS185" i="12" s="1"/>
  <c r="AR186" i="12"/>
  <c r="AS186" i="12" s="1"/>
  <c r="AR187" i="12"/>
  <c r="AS187" i="12" s="1"/>
  <c r="AR188" i="12"/>
  <c r="AS188" i="12" s="1"/>
  <c r="AR189" i="12"/>
  <c r="AS189" i="12" s="1"/>
  <c r="AR190" i="12"/>
  <c r="AR191" i="12"/>
  <c r="AR3" i="12"/>
  <c r="AR4" i="12"/>
  <c r="AR5" i="12"/>
  <c r="AR6" i="12"/>
  <c r="AR7" i="12"/>
  <c r="AR8" i="12"/>
  <c r="AS8" i="12" s="1"/>
  <c r="AR9" i="12"/>
  <c r="AR10" i="12"/>
  <c r="AR11" i="12"/>
  <c r="AR12" i="12"/>
  <c r="AS12" i="12" s="1"/>
  <c r="AR13" i="12"/>
  <c r="AR14" i="12"/>
  <c r="AR15" i="12"/>
  <c r="AR16" i="12"/>
  <c r="AS16" i="12" s="1"/>
  <c r="AR17" i="12"/>
  <c r="AR18" i="12"/>
  <c r="AR19" i="12"/>
  <c r="AR20" i="12"/>
  <c r="AR21" i="12"/>
  <c r="AR22" i="12"/>
  <c r="AR23" i="12"/>
  <c r="AR24" i="12"/>
  <c r="AS24" i="12" s="1"/>
  <c r="AR25" i="12"/>
  <c r="AR26" i="12"/>
  <c r="AR2" i="12"/>
  <c r="AS2" i="12" s="1"/>
  <c r="AQ28" i="12"/>
  <c r="AQ29" i="12"/>
  <c r="AQ30" i="12"/>
  <c r="AQ31" i="12"/>
  <c r="AQ32" i="12"/>
  <c r="AT34" i="12"/>
  <c r="AQ35" i="12"/>
  <c r="AQ36" i="12"/>
  <c r="AQ37" i="12"/>
  <c r="AQ38" i="12"/>
  <c r="AQ39" i="12"/>
  <c r="AQ40" i="12"/>
  <c r="AQ41" i="12"/>
  <c r="AT42" i="12"/>
  <c r="AQ43" i="12"/>
  <c r="AQ44" i="12"/>
  <c r="AQ45" i="12"/>
  <c r="AQ46" i="12"/>
  <c r="AQ47" i="12"/>
  <c r="AQ48" i="12"/>
  <c r="AQ49" i="12"/>
  <c r="AQ50" i="12"/>
  <c r="AQ51" i="12"/>
  <c r="AQ52" i="12"/>
  <c r="AQ53" i="12"/>
  <c r="AQ54" i="12"/>
  <c r="AQ55" i="12"/>
  <c r="AQ56" i="12"/>
  <c r="AT58" i="12"/>
  <c r="AQ59" i="12"/>
  <c r="AQ60" i="12"/>
  <c r="AQ61" i="12"/>
  <c r="AQ62" i="12"/>
  <c r="AQ63" i="12"/>
  <c r="AQ64" i="12"/>
  <c r="AT66" i="12"/>
  <c r="AQ67" i="12"/>
  <c r="AQ68" i="12"/>
  <c r="AQ69" i="12"/>
  <c r="AQ70" i="12"/>
  <c r="AQ71" i="12"/>
  <c r="AQ72" i="12"/>
  <c r="AT74" i="12"/>
  <c r="AQ75" i="12"/>
  <c r="AQ76" i="12"/>
  <c r="AQ77" i="12"/>
  <c r="AQ78" i="12"/>
  <c r="AQ79" i="12"/>
  <c r="AQ80" i="12"/>
  <c r="AQ82" i="12"/>
  <c r="AQ83" i="12"/>
  <c r="AQ84" i="12"/>
  <c r="AQ85" i="12"/>
  <c r="AQ86" i="12"/>
  <c r="AQ87" i="12"/>
  <c r="AQ88" i="12"/>
  <c r="AQ89" i="12"/>
  <c r="AT90" i="12"/>
  <c r="AQ91" i="12"/>
  <c r="AQ92" i="12"/>
  <c r="AQ93" i="12"/>
  <c r="AQ94" i="12"/>
  <c r="AQ95" i="12"/>
  <c r="AQ96" i="12"/>
  <c r="AT98" i="12"/>
  <c r="AQ99" i="12"/>
  <c r="AQ100" i="12"/>
  <c r="AQ101" i="12"/>
  <c r="AQ102" i="12"/>
  <c r="AQ103" i="12"/>
  <c r="AQ104" i="12"/>
  <c r="AQ105" i="12"/>
  <c r="AT106" i="12"/>
  <c r="AQ107" i="12"/>
  <c r="AQ108" i="12"/>
  <c r="AQ109" i="12"/>
  <c r="AQ110" i="12"/>
  <c r="AQ111" i="12"/>
  <c r="AQ112" i="12"/>
  <c r="AQ113" i="12"/>
  <c r="AQ114" i="12"/>
  <c r="AQ115" i="12"/>
  <c r="AQ116" i="12"/>
  <c r="AQ117" i="12"/>
  <c r="AQ118" i="12"/>
  <c r="AQ119" i="12"/>
  <c r="AQ120" i="12"/>
  <c r="AT122" i="12"/>
  <c r="AQ123" i="12"/>
  <c r="AQ124" i="12"/>
  <c r="AQ125" i="12"/>
  <c r="AQ126" i="12"/>
  <c r="AQ127" i="12"/>
  <c r="AQ128" i="12"/>
  <c r="AT130" i="12"/>
  <c r="AQ131" i="12"/>
  <c r="AQ132" i="12"/>
  <c r="AQ133" i="12"/>
  <c r="AQ134" i="12"/>
  <c r="AQ135" i="12"/>
  <c r="AQ136" i="12"/>
  <c r="AT138" i="12"/>
  <c r="AQ139" i="12"/>
  <c r="AQ140" i="12"/>
  <c r="AQ141" i="12"/>
  <c r="AQ142" i="12"/>
  <c r="AQ143" i="12"/>
  <c r="AQ144" i="12"/>
  <c r="AQ146" i="12"/>
  <c r="AQ147" i="12"/>
  <c r="AQ148" i="12"/>
  <c r="AQ149" i="12"/>
  <c r="AQ150" i="12"/>
  <c r="AQ151" i="12"/>
  <c r="AQ152" i="12"/>
  <c r="AQ153" i="12"/>
  <c r="AT154" i="12"/>
  <c r="AQ155" i="12"/>
  <c r="AQ156" i="12"/>
  <c r="AQ157" i="12"/>
  <c r="AQ158" i="12"/>
  <c r="AQ159" i="12"/>
  <c r="AQ160" i="12"/>
  <c r="AT162" i="12"/>
  <c r="AQ163" i="12"/>
  <c r="AQ164" i="12"/>
  <c r="AQ165" i="12"/>
  <c r="AQ166" i="12"/>
  <c r="AQ167" i="12"/>
  <c r="AQ168" i="12"/>
  <c r="AQ169" i="12"/>
  <c r="AT170" i="12"/>
  <c r="AQ171" i="12"/>
  <c r="AQ172" i="12"/>
  <c r="AQ173" i="12"/>
  <c r="AQ174" i="12"/>
  <c r="AQ175" i="12"/>
  <c r="AQ176" i="12"/>
  <c r="AQ178" i="12"/>
  <c r="AQ179" i="12"/>
  <c r="AQ180" i="12"/>
  <c r="AQ181" i="12"/>
  <c r="AQ182" i="12"/>
  <c r="AQ183" i="12"/>
  <c r="AQ184" i="12"/>
  <c r="AT186" i="12"/>
  <c r="AQ187" i="12"/>
  <c r="AQ188" i="12"/>
  <c r="AQ189" i="12"/>
  <c r="AQ190" i="12"/>
  <c r="AQ191" i="12"/>
  <c r="AQ3" i="12"/>
  <c r="AT5" i="12"/>
  <c r="AT6" i="12"/>
  <c r="AQ7" i="12"/>
  <c r="AQ9" i="12"/>
  <c r="AQ10" i="12"/>
  <c r="AQ11" i="12"/>
  <c r="AT13" i="12"/>
  <c r="AT14" i="12"/>
  <c r="AQ15" i="12"/>
  <c r="AQ17" i="12"/>
  <c r="AQ18" i="12"/>
  <c r="AQ19" i="12"/>
  <c r="AT22" i="12"/>
  <c r="AQ23" i="12"/>
  <c r="AQ25" i="12"/>
  <c r="AQ26" i="12"/>
  <c r="AQ2" i="12"/>
  <c r="AM27" i="12"/>
  <c r="AM28" i="12"/>
  <c r="AN28" i="12" s="1"/>
  <c r="AM29" i="12"/>
  <c r="AM30" i="12"/>
  <c r="AN30" i="12" s="1"/>
  <c r="AM31" i="12"/>
  <c r="AM32" i="12"/>
  <c r="AN32" i="12" s="1"/>
  <c r="AM33" i="12"/>
  <c r="AN33" i="12" s="1"/>
  <c r="AM34" i="12"/>
  <c r="AN34" i="12" s="1"/>
  <c r="AM35" i="12"/>
  <c r="AN35" i="12" s="1"/>
  <c r="AM36" i="12"/>
  <c r="AN36" i="12" s="1"/>
  <c r="AM37" i="12"/>
  <c r="AM38" i="12"/>
  <c r="AN38" i="12" s="1"/>
  <c r="AM39" i="12"/>
  <c r="AM40" i="12"/>
  <c r="AN40" i="12" s="1"/>
  <c r="AM41" i="12"/>
  <c r="AN41" i="12" s="1"/>
  <c r="AM42" i="12"/>
  <c r="AN42" i="12" s="1"/>
  <c r="AM43" i="12"/>
  <c r="AN43" i="12" s="1"/>
  <c r="AM44" i="12"/>
  <c r="AN44" i="12" s="1"/>
  <c r="AM45" i="12"/>
  <c r="AM46" i="12"/>
  <c r="AN46" i="12" s="1"/>
  <c r="AM47" i="12"/>
  <c r="AM48" i="12"/>
  <c r="AN48" i="12" s="1"/>
  <c r="AM49" i="12"/>
  <c r="AN49" i="12" s="1"/>
  <c r="AM50" i="12"/>
  <c r="AN50" i="12" s="1"/>
  <c r="AM51" i="12"/>
  <c r="AN51" i="12" s="1"/>
  <c r="AM52" i="12"/>
  <c r="AN52" i="12" s="1"/>
  <c r="AM53" i="12"/>
  <c r="AM54" i="12"/>
  <c r="AN54" i="12" s="1"/>
  <c r="AM55" i="12"/>
  <c r="AM56" i="12"/>
  <c r="AN56" i="12" s="1"/>
  <c r="AM57" i="12"/>
  <c r="AN57" i="12" s="1"/>
  <c r="AM58" i="12"/>
  <c r="AN58" i="12" s="1"/>
  <c r="AM59" i="12"/>
  <c r="AN59" i="12" s="1"/>
  <c r="AM60" i="12"/>
  <c r="AN60" i="12" s="1"/>
  <c r="AM61" i="12"/>
  <c r="AM62" i="12"/>
  <c r="AN62" i="12" s="1"/>
  <c r="AM63" i="12"/>
  <c r="AM64" i="12"/>
  <c r="AN64" i="12" s="1"/>
  <c r="AM65" i="12"/>
  <c r="AN65" i="12" s="1"/>
  <c r="AM66" i="12"/>
  <c r="AN66" i="12" s="1"/>
  <c r="AM67" i="12"/>
  <c r="AN67" i="12" s="1"/>
  <c r="AM68" i="12"/>
  <c r="AN68" i="12" s="1"/>
  <c r="AM69" i="12"/>
  <c r="AN69" i="12" s="1"/>
  <c r="AM70" i="12"/>
  <c r="AN70" i="12" s="1"/>
  <c r="AM71" i="12"/>
  <c r="AM72" i="12"/>
  <c r="AN72" i="12" s="1"/>
  <c r="AM73" i="12"/>
  <c r="AN73" i="12" s="1"/>
  <c r="AM74" i="12"/>
  <c r="AN74" i="12" s="1"/>
  <c r="AM75" i="12"/>
  <c r="AN75" i="12" s="1"/>
  <c r="AM76" i="12"/>
  <c r="AN76" i="12" s="1"/>
  <c r="AM77" i="12"/>
  <c r="AM78" i="12"/>
  <c r="AN78" i="12" s="1"/>
  <c r="AM79" i="12"/>
  <c r="AM80" i="12"/>
  <c r="AN80" i="12" s="1"/>
  <c r="AM81" i="12"/>
  <c r="AN81" i="12" s="1"/>
  <c r="AM82" i="12"/>
  <c r="AN82" i="12" s="1"/>
  <c r="AM83" i="12"/>
  <c r="AN83" i="12" s="1"/>
  <c r="AM84" i="12"/>
  <c r="AN84" i="12" s="1"/>
  <c r="AM85" i="12"/>
  <c r="AN85" i="12" s="1"/>
  <c r="AM86" i="12"/>
  <c r="AN86" i="12" s="1"/>
  <c r="AM87" i="12"/>
  <c r="AM88" i="12"/>
  <c r="AN88" i="12" s="1"/>
  <c r="AM89" i="12"/>
  <c r="AN89" i="12" s="1"/>
  <c r="AM90" i="12"/>
  <c r="AN90" i="12" s="1"/>
  <c r="AM91" i="12"/>
  <c r="AN91" i="12" s="1"/>
  <c r="AM92" i="12"/>
  <c r="AN92" i="12" s="1"/>
  <c r="AM93" i="12"/>
  <c r="AM94" i="12"/>
  <c r="AN94" i="12" s="1"/>
  <c r="AM95" i="12"/>
  <c r="AM96" i="12"/>
  <c r="AN96" i="12" s="1"/>
  <c r="AM97" i="12"/>
  <c r="AN97" i="12" s="1"/>
  <c r="AM98" i="12"/>
  <c r="AN98" i="12" s="1"/>
  <c r="AM99" i="12"/>
  <c r="AN99" i="12" s="1"/>
  <c r="AM100" i="12"/>
  <c r="AN100" i="12" s="1"/>
  <c r="AM101" i="12"/>
  <c r="AN101" i="12" s="1"/>
  <c r="AM102" i="12"/>
  <c r="AN102" i="12" s="1"/>
  <c r="AM103" i="12"/>
  <c r="AM104" i="12"/>
  <c r="AN104" i="12" s="1"/>
  <c r="AM105" i="12"/>
  <c r="AN105" i="12" s="1"/>
  <c r="AM106" i="12"/>
  <c r="AN106" i="12" s="1"/>
  <c r="AM107" i="12"/>
  <c r="AN107" i="12" s="1"/>
  <c r="AM108" i="12"/>
  <c r="AN108" i="12" s="1"/>
  <c r="AM109" i="12"/>
  <c r="AM110" i="12"/>
  <c r="AN110" i="12" s="1"/>
  <c r="AM111" i="12"/>
  <c r="AM112" i="12"/>
  <c r="AN112" i="12" s="1"/>
  <c r="AM113" i="12"/>
  <c r="AN113" i="12" s="1"/>
  <c r="AM114" i="12"/>
  <c r="AN114" i="12" s="1"/>
  <c r="AM115" i="12"/>
  <c r="AN115" i="12" s="1"/>
  <c r="AM116" i="12"/>
  <c r="AN116" i="12" s="1"/>
  <c r="AM117" i="12"/>
  <c r="AN117" i="12" s="1"/>
  <c r="AM118" i="12"/>
  <c r="AN118" i="12" s="1"/>
  <c r="AM119" i="12"/>
  <c r="AM120" i="12"/>
  <c r="AN120" i="12" s="1"/>
  <c r="AM121" i="12"/>
  <c r="AN121" i="12" s="1"/>
  <c r="AM122" i="12"/>
  <c r="AN122" i="12" s="1"/>
  <c r="AM123" i="12"/>
  <c r="AN123" i="12" s="1"/>
  <c r="AM124" i="12"/>
  <c r="AN124" i="12" s="1"/>
  <c r="AM125" i="12"/>
  <c r="AM126" i="12"/>
  <c r="AN126" i="12" s="1"/>
  <c r="AM127" i="12"/>
  <c r="AM128" i="12"/>
  <c r="AN128" i="12" s="1"/>
  <c r="AM129" i="12"/>
  <c r="AN129" i="12" s="1"/>
  <c r="AM130" i="12"/>
  <c r="AN130" i="12" s="1"/>
  <c r="AM131" i="12"/>
  <c r="AN131" i="12" s="1"/>
  <c r="AM132" i="12"/>
  <c r="AN132" i="12" s="1"/>
  <c r="AM133" i="12"/>
  <c r="AN133" i="12" s="1"/>
  <c r="AM134" i="12"/>
  <c r="AN134" i="12" s="1"/>
  <c r="AM135" i="12"/>
  <c r="AM136" i="12"/>
  <c r="AN136" i="12" s="1"/>
  <c r="AM137" i="12"/>
  <c r="AN137" i="12" s="1"/>
  <c r="AM138" i="12"/>
  <c r="AN138" i="12" s="1"/>
  <c r="AM139" i="12"/>
  <c r="AN139" i="12" s="1"/>
  <c r="AM140" i="12"/>
  <c r="AN140" i="12" s="1"/>
  <c r="AM141" i="12"/>
  <c r="AM142" i="12"/>
  <c r="AN142" i="12" s="1"/>
  <c r="AM143" i="12"/>
  <c r="AM144" i="12"/>
  <c r="AN144" i="12" s="1"/>
  <c r="AM145" i="12"/>
  <c r="AN145" i="12" s="1"/>
  <c r="AM146" i="12"/>
  <c r="AN146" i="12" s="1"/>
  <c r="AM147" i="12"/>
  <c r="AN147" i="12" s="1"/>
  <c r="AM148" i="12"/>
  <c r="AN148" i="12" s="1"/>
  <c r="AM149" i="12"/>
  <c r="AN149" i="12" s="1"/>
  <c r="AM150" i="12"/>
  <c r="AN150" i="12" s="1"/>
  <c r="AM151" i="12"/>
  <c r="AM152" i="12"/>
  <c r="AN152" i="12" s="1"/>
  <c r="AM153" i="12"/>
  <c r="AN153" i="12" s="1"/>
  <c r="AM154" i="12"/>
  <c r="AN154" i="12" s="1"/>
  <c r="AM155" i="12"/>
  <c r="AM156" i="12"/>
  <c r="AN156" i="12" s="1"/>
  <c r="AM157" i="12"/>
  <c r="AM158" i="12"/>
  <c r="AN158" i="12" s="1"/>
  <c r="AM159" i="12"/>
  <c r="AM160" i="12"/>
  <c r="AN160" i="12" s="1"/>
  <c r="AM161" i="12"/>
  <c r="AN161" i="12" s="1"/>
  <c r="AM162" i="12"/>
  <c r="AN162" i="12" s="1"/>
  <c r="AM163" i="12"/>
  <c r="AN163" i="12" s="1"/>
  <c r="AM164" i="12"/>
  <c r="AN164" i="12" s="1"/>
  <c r="AM165" i="12"/>
  <c r="AN165" i="12" s="1"/>
  <c r="AM166" i="12"/>
  <c r="AN166" i="12" s="1"/>
  <c r="AM167" i="12"/>
  <c r="AM168" i="12"/>
  <c r="AN168" i="12" s="1"/>
  <c r="AM169" i="12"/>
  <c r="AN169" i="12" s="1"/>
  <c r="AM170" i="12"/>
  <c r="AN170" i="12" s="1"/>
  <c r="AM171" i="12"/>
  <c r="AN171" i="12" s="1"/>
  <c r="AM172" i="12"/>
  <c r="AN172" i="12" s="1"/>
  <c r="AM173" i="12"/>
  <c r="AM174" i="12"/>
  <c r="AN174" i="12" s="1"/>
  <c r="AM175" i="12"/>
  <c r="AM176" i="12"/>
  <c r="AN176" i="12" s="1"/>
  <c r="AM177" i="12"/>
  <c r="AN177" i="12" s="1"/>
  <c r="AM178" i="12"/>
  <c r="AN178" i="12" s="1"/>
  <c r="AM179" i="12"/>
  <c r="AN179" i="12" s="1"/>
  <c r="AM180" i="12"/>
  <c r="AN180" i="12" s="1"/>
  <c r="AM181" i="12"/>
  <c r="AN181" i="12" s="1"/>
  <c r="AM182" i="12"/>
  <c r="AN182" i="12" s="1"/>
  <c r="AM183" i="12"/>
  <c r="AM184" i="12"/>
  <c r="AN184" i="12" s="1"/>
  <c r="AM185" i="12"/>
  <c r="AN185" i="12" s="1"/>
  <c r="AM186" i="12"/>
  <c r="AN186" i="12" s="1"/>
  <c r="AM187" i="12"/>
  <c r="AN187" i="12" s="1"/>
  <c r="AM188" i="12"/>
  <c r="AN188" i="12" s="1"/>
  <c r="AM189" i="12"/>
  <c r="AM190" i="12"/>
  <c r="AN190" i="12" s="1"/>
  <c r="AM191" i="12"/>
  <c r="AM3" i="12"/>
  <c r="AM4" i="12"/>
  <c r="AM5" i="12"/>
  <c r="AM6" i="12"/>
  <c r="AM7" i="12"/>
  <c r="AN7" i="12" s="1"/>
  <c r="AM8" i="12"/>
  <c r="AN8" i="12" s="1"/>
  <c r="AM9" i="12"/>
  <c r="AN9" i="12" s="1"/>
  <c r="AM10" i="12"/>
  <c r="AM11" i="12"/>
  <c r="AM12" i="12"/>
  <c r="AN12" i="12" s="1"/>
  <c r="AM13" i="12"/>
  <c r="AM14" i="12"/>
  <c r="AM15" i="12"/>
  <c r="AM16" i="12"/>
  <c r="AM17" i="12"/>
  <c r="AM18" i="12"/>
  <c r="AM19" i="12"/>
  <c r="AM20" i="12"/>
  <c r="AN20" i="12" s="1"/>
  <c r="AM21" i="12"/>
  <c r="AM22" i="12"/>
  <c r="AM23" i="12"/>
  <c r="AM24" i="12"/>
  <c r="AM25" i="12"/>
  <c r="AM26" i="12"/>
  <c r="AM2" i="12"/>
  <c r="AL27" i="12"/>
  <c r="AL28" i="12"/>
  <c r="AL29" i="12"/>
  <c r="AL30" i="12"/>
  <c r="AL31" i="12"/>
  <c r="AL32" i="12"/>
  <c r="AL33" i="12"/>
  <c r="AL35" i="12"/>
  <c r="AL36" i="12"/>
  <c r="AL37" i="12"/>
  <c r="AL38" i="12"/>
  <c r="AL39" i="12"/>
  <c r="AL40" i="12"/>
  <c r="AL41" i="12"/>
  <c r="AL43" i="12"/>
  <c r="AL44" i="12"/>
  <c r="AL45" i="12"/>
  <c r="AL46" i="12"/>
  <c r="AL47" i="12"/>
  <c r="AL48" i="12"/>
  <c r="AL49" i="12"/>
  <c r="AL50" i="12"/>
  <c r="AL51" i="12"/>
  <c r="AL52" i="12"/>
  <c r="AL53" i="12"/>
  <c r="AL54" i="12"/>
  <c r="AL55" i="12"/>
  <c r="AL56" i="12"/>
  <c r="AL57" i="12"/>
  <c r="AL59" i="12"/>
  <c r="AL60" i="12"/>
  <c r="AL61" i="12"/>
  <c r="AL62" i="12"/>
  <c r="AL63" i="12"/>
  <c r="AL64" i="12"/>
  <c r="AL65" i="12"/>
  <c r="AL66" i="12"/>
  <c r="AL67" i="12"/>
  <c r="AL68" i="12"/>
  <c r="AL69" i="12"/>
  <c r="AL70" i="12"/>
  <c r="AL71" i="12"/>
  <c r="AL72" i="12"/>
  <c r="AL73" i="12"/>
  <c r="AL75" i="12"/>
  <c r="AL76" i="12"/>
  <c r="AL77" i="12"/>
  <c r="AL78" i="12"/>
  <c r="AL79" i="12"/>
  <c r="AL80" i="12"/>
  <c r="AL81" i="12"/>
  <c r="AL82" i="12"/>
  <c r="AL83" i="12"/>
  <c r="AL84" i="12"/>
  <c r="AL85" i="12"/>
  <c r="AL86" i="12"/>
  <c r="AL87" i="12"/>
  <c r="AL88" i="12"/>
  <c r="AL89" i="12"/>
  <c r="AL91" i="12"/>
  <c r="AL92" i="12"/>
  <c r="AL93" i="12"/>
  <c r="AL94" i="12"/>
  <c r="AL95" i="12"/>
  <c r="AL96" i="12"/>
  <c r="AL97" i="12"/>
  <c r="AL99" i="12"/>
  <c r="AL100" i="12"/>
  <c r="AL101" i="12"/>
  <c r="AL102" i="12"/>
  <c r="AL103" i="12"/>
  <c r="AL104" i="12"/>
  <c r="AL105" i="12"/>
  <c r="AL107" i="12"/>
  <c r="AL108" i="12"/>
  <c r="AL109" i="12"/>
  <c r="AL110" i="12"/>
  <c r="AL111" i="12"/>
  <c r="AL112" i="12"/>
  <c r="AL113" i="12"/>
  <c r="AL114" i="12"/>
  <c r="AL115" i="12"/>
  <c r="AL116" i="12"/>
  <c r="AL117" i="12"/>
  <c r="AL118" i="12"/>
  <c r="AL119" i="12"/>
  <c r="AL120" i="12"/>
  <c r="AL121" i="12"/>
  <c r="AL123" i="12"/>
  <c r="AL124" i="12"/>
  <c r="AL125" i="12"/>
  <c r="AL126" i="12"/>
  <c r="AL127" i="12"/>
  <c r="AL128" i="12"/>
  <c r="AL129" i="12"/>
  <c r="AL130" i="12"/>
  <c r="AL131" i="12"/>
  <c r="AL132" i="12"/>
  <c r="AL133" i="12"/>
  <c r="AL134" i="12"/>
  <c r="AL135" i="12"/>
  <c r="AL136" i="12"/>
  <c r="AL137" i="12"/>
  <c r="AL139" i="12"/>
  <c r="AL140" i="12"/>
  <c r="AL141" i="12"/>
  <c r="AL142" i="12"/>
  <c r="AL143" i="12"/>
  <c r="AL144" i="12"/>
  <c r="AL145" i="12"/>
  <c r="AL146" i="12"/>
  <c r="AL147" i="12"/>
  <c r="AL148" i="12"/>
  <c r="AL149" i="12"/>
  <c r="AL150" i="12"/>
  <c r="AL151" i="12"/>
  <c r="AL152" i="12"/>
  <c r="AL153" i="12"/>
  <c r="AL155" i="12"/>
  <c r="AL156" i="12"/>
  <c r="AL157" i="12"/>
  <c r="AL158" i="12"/>
  <c r="AL159" i="12"/>
  <c r="AL160" i="12"/>
  <c r="AL161" i="12"/>
  <c r="AL163" i="12"/>
  <c r="AL164" i="12"/>
  <c r="AL165" i="12"/>
  <c r="AL166" i="12"/>
  <c r="AL167" i="12"/>
  <c r="AL168" i="12"/>
  <c r="AL169" i="12"/>
  <c r="AL171" i="12"/>
  <c r="AL172" i="12"/>
  <c r="AL173" i="12"/>
  <c r="AL174" i="12"/>
  <c r="AL175" i="12"/>
  <c r="AL176" i="12"/>
  <c r="AL177" i="12"/>
  <c r="AL178" i="12"/>
  <c r="AL179" i="12"/>
  <c r="AL180" i="12"/>
  <c r="AL181" i="12"/>
  <c r="AL182" i="12"/>
  <c r="AL183" i="12"/>
  <c r="AL184" i="12"/>
  <c r="AL185" i="12"/>
  <c r="AL187" i="12"/>
  <c r="AL188" i="12"/>
  <c r="AL189" i="12"/>
  <c r="AL190" i="12"/>
  <c r="AL191" i="12"/>
  <c r="AL3" i="12"/>
  <c r="AL4" i="12"/>
  <c r="AL6" i="12"/>
  <c r="AL7" i="12"/>
  <c r="AL8" i="12"/>
  <c r="AL9" i="12"/>
  <c r="AL10" i="12"/>
  <c r="AL11" i="12"/>
  <c r="AL12" i="12"/>
  <c r="AL14" i="12"/>
  <c r="AL15" i="12"/>
  <c r="AL16" i="12"/>
  <c r="AL17" i="12"/>
  <c r="AL18" i="12"/>
  <c r="AL19" i="12"/>
  <c r="AL22" i="12"/>
  <c r="AL23" i="12"/>
  <c r="AL24" i="12"/>
  <c r="AL25" i="12"/>
  <c r="AL26" i="12"/>
  <c r="AL2" i="12"/>
  <c r="AH27" i="12"/>
  <c r="AI27" i="12" s="1"/>
  <c r="AH28" i="12"/>
  <c r="AI28" i="12" s="1"/>
  <c r="AH29" i="12"/>
  <c r="AI29" i="12" s="1"/>
  <c r="AH30" i="12"/>
  <c r="AI30" i="12" s="1"/>
  <c r="AH31" i="12"/>
  <c r="AH32" i="12"/>
  <c r="AH33" i="12"/>
  <c r="AI33" i="12" s="1"/>
  <c r="AH34" i="12"/>
  <c r="AI34" i="12" s="1"/>
  <c r="AH35" i="12"/>
  <c r="AI35" i="12" s="1"/>
  <c r="AH36" i="12"/>
  <c r="AI36" i="12" s="1"/>
  <c r="AH37" i="12"/>
  <c r="AI37" i="12" s="1"/>
  <c r="AH38" i="12"/>
  <c r="AI38" i="12" s="1"/>
  <c r="AH39" i="12"/>
  <c r="AI39" i="12" s="1"/>
  <c r="AH40" i="12"/>
  <c r="AI40" i="12" s="1"/>
  <c r="AH41" i="12"/>
  <c r="AI41" i="12" s="1"/>
  <c r="AH42" i="12"/>
  <c r="AI42" i="12" s="1"/>
  <c r="AH43" i="12"/>
  <c r="AI43" i="12" s="1"/>
  <c r="AH44" i="12"/>
  <c r="AI44" i="12" s="1"/>
  <c r="AH45" i="12"/>
  <c r="AI45" i="12" s="1"/>
  <c r="AH46" i="12"/>
  <c r="AI46" i="12" s="1"/>
  <c r="AH47" i="12"/>
  <c r="AH48" i="12"/>
  <c r="AI48" i="12" s="1"/>
  <c r="AH49" i="12"/>
  <c r="AI49" i="12" s="1"/>
  <c r="AH50" i="12"/>
  <c r="AI50" i="12" s="1"/>
  <c r="AH51" i="12"/>
  <c r="AI51" i="12" s="1"/>
  <c r="AH52" i="12"/>
  <c r="AH53" i="12"/>
  <c r="AH54" i="12"/>
  <c r="AI54" i="12" s="1"/>
  <c r="AH55" i="12"/>
  <c r="AI55" i="12" s="1"/>
  <c r="AH56" i="12"/>
  <c r="AI56" i="12" s="1"/>
  <c r="AH57" i="12"/>
  <c r="AI57" i="12" s="1"/>
  <c r="AH58" i="12"/>
  <c r="AI58" i="12" s="1"/>
  <c r="AH59" i="12"/>
  <c r="AI59" i="12" s="1"/>
  <c r="AH60" i="12"/>
  <c r="AI60" i="12" s="1"/>
  <c r="AH61" i="12"/>
  <c r="AI61" i="12" s="1"/>
  <c r="AH62" i="12"/>
  <c r="AI62" i="12" s="1"/>
  <c r="AH63" i="12"/>
  <c r="AH64" i="12"/>
  <c r="AI64" i="12" s="1"/>
  <c r="AH65" i="12"/>
  <c r="AI65" i="12" s="1"/>
  <c r="AH66" i="12"/>
  <c r="AI66" i="12" s="1"/>
  <c r="AH67" i="12"/>
  <c r="AI67" i="12" s="1"/>
  <c r="AH68" i="12"/>
  <c r="AI68" i="12" s="1"/>
  <c r="AH69" i="12"/>
  <c r="AI69" i="12" s="1"/>
  <c r="AH70" i="12"/>
  <c r="AI70" i="12" s="1"/>
  <c r="AH71" i="12"/>
  <c r="AI71" i="12" s="1"/>
  <c r="AH72" i="12"/>
  <c r="AI72" i="12" s="1"/>
  <c r="AH73" i="12"/>
  <c r="AI73" i="12" s="1"/>
  <c r="AH74" i="12"/>
  <c r="AI74" i="12" s="1"/>
  <c r="AH75" i="12"/>
  <c r="AI75" i="12" s="1"/>
  <c r="AH76" i="12"/>
  <c r="AI76" i="12" s="1"/>
  <c r="AH77" i="12"/>
  <c r="AH78" i="12"/>
  <c r="AI78" i="12" s="1"/>
  <c r="AH79" i="12"/>
  <c r="AH80" i="12"/>
  <c r="AI80" i="12" s="1"/>
  <c r="AH81" i="12"/>
  <c r="AI81" i="12" s="1"/>
  <c r="AH82" i="12"/>
  <c r="AI82" i="12" s="1"/>
  <c r="AH83" i="12"/>
  <c r="AI83" i="12" s="1"/>
  <c r="AH84" i="12"/>
  <c r="AI84" i="12" s="1"/>
  <c r="AH85" i="12"/>
  <c r="AI85" i="12" s="1"/>
  <c r="AH86" i="12"/>
  <c r="AH87" i="12"/>
  <c r="AI87" i="12" s="1"/>
  <c r="AH88" i="12"/>
  <c r="AI88" i="12" s="1"/>
  <c r="AH89" i="12"/>
  <c r="AI89" i="12" s="1"/>
  <c r="AH90" i="12"/>
  <c r="AI90" i="12" s="1"/>
  <c r="AH91" i="12"/>
  <c r="AI91" i="12" s="1"/>
  <c r="AH92" i="12"/>
  <c r="AI92" i="12" s="1"/>
  <c r="AH93" i="12"/>
  <c r="AI93" i="12" s="1"/>
  <c r="AH94" i="12"/>
  <c r="AH95" i="12"/>
  <c r="AH96" i="12"/>
  <c r="AI96" i="12" s="1"/>
  <c r="AH97" i="12"/>
  <c r="AI97" i="12" s="1"/>
  <c r="AH98" i="12"/>
  <c r="AI98" i="12" s="1"/>
  <c r="AH99" i="12"/>
  <c r="AI99" i="12" s="1"/>
  <c r="AH100" i="12"/>
  <c r="AI100" i="12" s="1"/>
  <c r="AH101" i="12"/>
  <c r="AI101" i="12" s="1"/>
  <c r="AH102" i="12"/>
  <c r="AH103" i="12"/>
  <c r="AI103" i="12" s="1"/>
  <c r="AH104" i="12"/>
  <c r="AI104" i="12" s="1"/>
  <c r="AH105" i="12"/>
  <c r="AI105" i="12" s="1"/>
  <c r="AH106" i="12"/>
  <c r="AI106" i="12" s="1"/>
  <c r="AH107" i="12"/>
  <c r="AI107" i="12" s="1"/>
  <c r="AH108" i="12"/>
  <c r="AI108" i="12" s="1"/>
  <c r="AH109" i="12"/>
  <c r="AI109" i="12" s="1"/>
  <c r="AH110" i="12"/>
  <c r="AH111" i="12"/>
  <c r="AH112" i="12"/>
  <c r="AI112" i="12" s="1"/>
  <c r="AH113" i="12"/>
  <c r="AI113" i="12" s="1"/>
  <c r="AH114" i="12"/>
  <c r="AI114" i="12" s="1"/>
  <c r="AH115" i="12"/>
  <c r="AI115" i="12" s="1"/>
  <c r="AH116" i="12"/>
  <c r="AH117" i="12"/>
  <c r="AH118" i="12"/>
  <c r="AH119" i="12"/>
  <c r="AI119" i="12" s="1"/>
  <c r="AH120" i="12"/>
  <c r="AI120" i="12" s="1"/>
  <c r="AH121" i="12"/>
  <c r="AI121" i="12" s="1"/>
  <c r="AH122" i="12"/>
  <c r="AI122" i="12" s="1"/>
  <c r="AH123" i="12"/>
  <c r="AI123" i="12" s="1"/>
  <c r="AH124" i="12"/>
  <c r="AI124" i="12" s="1"/>
  <c r="AH125" i="12"/>
  <c r="AI125" i="12" s="1"/>
  <c r="AH126" i="12"/>
  <c r="AH127" i="12"/>
  <c r="AI127" i="12" s="1"/>
  <c r="AH128" i="12"/>
  <c r="AI128" i="12" s="1"/>
  <c r="AH129" i="12"/>
  <c r="AI129" i="12" s="1"/>
  <c r="AH130" i="12"/>
  <c r="AI130" i="12" s="1"/>
  <c r="AH131" i="12"/>
  <c r="AI131" i="12" s="1"/>
  <c r="AH132" i="12"/>
  <c r="AI132" i="12" s="1"/>
  <c r="AH133" i="12"/>
  <c r="AI133" i="12" s="1"/>
  <c r="AH134" i="12"/>
  <c r="AH135" i="12"/>
  <c r="AI135" i="12" s="1"/>
  <c r="AH136" i="12"/>
  <c r="AI136" i="12" s="1"/>
  <c r="AH137" i="12"/>
  <c r="AI137" i="12" s="1"/>
  <c r="AH138" i="12"/>
  <c r="AI138" i="12" s="1"/>
  <c r="AH139" i="12"/>
  <c r="AI139" i="12" s="1"/>
  <c r="AH140" i="12"/>
  <c r="AI140" i="12" s="1"/>
  <c r="AH141" i="12"/>
  <c r="AH142" i="12"/>
  <c r="AH143" i="12"/>
  <c r="AI143" i="12" s="1"/>
  <c r="AH144" i="12"/>
  <c r="AI144" i="12" s="1"/>
  <c r="AH145" i="12"/>
  <c r="AI145" i="12" s="1"/>
  <c r="AH146" i="12"/>
  <c r="AI146" i="12" s="1"/>
  <c r="AH147" i="12"/>
  <c r="AI147" i="12" s="1"/>
  <c r="AH148" i="12"/>
  <c r="AI148" i="12" s="1"/>
  <c r="AH149" i="12"/>
  <c r="AI149" i="12" s="1"/>
  <c r="AH150" i="12"/>
  <c r="AH151" i="12"/>
  <c r="AI151" i="12" s="1"/>
  <c r="AH152" i="12"/>
  <c r="AI152" i="12" s="1"/>
  <c r="AH153" i="12"/>
  <c r="AI153" i="12" s="1"/>
  <c r="AH154" i="12"/>
  <c r="AI154" i="12" s="1"/>
  <c r="AH155" i="12"/>
  <c r="AI155" i="12" s="1"/>
  <c r="AH156" i="12"/>
  <c r="AI156" i="12" s="1"/>
  <c r="AH157" i="12"/>
  <c r="AI157" i="12" s="1"/>
  <c r="AH158" i="12"/>
  <c r="AH159" i="12"/>
  <c r="AI159" i="12" s="1"/>
  <c r="AH160" i="12"/>
  <c r="AI160" i="12" s="1"/>
  <c r="AH161" i="12"/>
  <c r="AI161" i="12" s="1"/>
  <c r="AH162" i="12"/>
  <c r="AI162" i="12" s="1"/>
  <c r="AH163" i="12"/>
  <c r="AI163" i="12" s="1"/>
  <c r="AH164" i="12"/>
  <c r="AI164" i="12" s="1"/>
  <c r="AH165" i="12"/>
  <c r="AI165" i="12" s="1"/>
  <c r="AH166" i="12"/>
  <c r="AH167" i="12"/>
  <c r="AI167" i="12" s="1"/>
  <c r="AH168" i="12"/>
  <c r="AI168" i="12" s="1"/>
  <c r="AH169" i="12"/>
  <c r="AI169" i="12" s="1"/>
  <c r="AH170" i="12"/>
  <c r="AI170" i="12" s="1"/>
  <c r="AH171" i="12"/>
  <c r="AI171" i="12" s="1"/>
  <c r="AH172" i="12"/>
  <c r="AI172" i="12" s="1"/>
  <c r="AH173" i="12"/>
  <c r="AI173" i="12" s="1"/>
  <c r="AH174" i="12"/>
  <c r="AH175" i="12"/>
  <c r="AI175" i="12" s="1"/>
  <c r="AH176" i="12"/>
  <c r="AI176" i="12" s="1"/>
  <c r="AH177" i="12"/>
  <c r="AI177" i="12" s="1"/>
  <c r="AH178" i="12"/>
  <c r="AI178" i="12" s="1"/>
  <c r="AH179" i="12"/>
  <c r="AI179" i="12" s="1"/>
  <c r="AH180" i="12"/>
  <c r="AH181" i="12"/>
  <c r="AH182" i="12"/>
  <c r="AH183" i="12"/>
  <c r="AI183" i="12" s="1"/>
  <c r="AH184" i="12"/>
  <c r="AI184" i="12" s="1"/>
  <c r="AH185" i="12"/>
  <c r="AI185" i="12" s="1"/>
  <c r="AH186" i="12"/>
  <c r="AI186" i="12" s="1"/>
  <c r="AH187" i="12"/>
  <c r="AI187" i="12" s="1"/>
  <c r="AH188" i="12"/>
  <c r="AI188" i="12" s="1"/>
  <c r="AH189" i="12"/>
  <c r="AI189" i="12" s="1"/>
  <c r="AH190" i="12"/>
  <c r="AH191" i="12"/>
  <c r="AH3" i="12"/>
  <c r="AH4" i="12"/>
  <c r="AH5" i="12"/>
  <c r="AI5" i="12" s="1"/>
  <c r="AH6" i="12"/>
  <c r="AH7" i="12"/>
  <c r="AH8" i="12"/>
  <c r="AI8" i="12" s="1"/>
  <c r="AH9" i="12"/>
  <c r="AH10" i="12"/>
  <c r="AH11" i="12"/>
  <c r="AH12" i="12"/>
  <c r="AH13" i="12"/>
  <c r="AH14" i="12"/>
  <c r="AH15" i="12"/>
  <c r="AI15" i="12" s="1"/>
  <c r="AH16" i="12"/>
  <c r="AI16" i="12" s="1"/>
  <c r="AH17" i="12"/>
  <c r="AH18" i="12"/>
  <c r="AH19" i="12"/>
  <c r="AH20" i="12"/>
  <c r="AH21" i="12"/>
  <c r="AH22" i="12"/>
  <c r="AH23" i="12"/>
  <c r="AH24" i="12"/>
  <c r="AI24" i="12" s="1"/>
  <c r="AH25" i="12"/>
  <c r="AH26" i="12"/>
  <c r="AH2" i="12"/>
  <c r="AG27" i="12"/>
  <c r="AG28" i="12"/>
  <c r="AG29" i="12"/>
  <c r="AG30" i="12"/>
  <c r="AG31" i="12"/>
  <c r="AG32" i="12"/>
  <c r="AG35" i="12"/>
  <c r="AG36" i="12"/>
  <c r="AG37" i="12"/>
  <c r="AG38" i="12"/>
  <c r="AG39" i="12"/>
  <c r="AG40" i="12"/>
  <c r="AG43" i="12"/>
  <c r="AG44" i="12"/>
  <c r="AG45" i="12"/>
  <c r="AG46" i="12"/>
  <c r="AG47" i="12"/>
  <c r="AG48" i="12"/>
  <c r="AG51" i="12"/>
  <c r="AG52" i="12"/>
  <c r="AG53" i="12"/>
  <c r="AG54" i="12"/>
  <c r="AG55" i="12"/>
  <c r="AG56" i="12"/>
  <c r="AG58" i="12"/>
  <c r="AG59" i="12"/>
  <c r="AG60" i="12"/>
  <c r="AG61" i="12"/>
  <c r="AG62" i="12"/>
  <c r="AG63" i="12"/>
  <c r="AG64" i="12"/>
  <c r="AG67" i="12"/>
  <c r="AG68" i="12"/>
  <c r="AG69" i="12"/>
  <c r="AG70" i="12"/>
  <c r="AG71" i="12"/>
  <c r="AG72" i="12"/>
  <c r="AG74" i="12"/>
  <c r="AG75" i="12"/>
  <c r="AG76" i="12"/>
  <c r="AG77" i="12"/>
  <c r="AG78" i="12"/>
  <c r="AG79" i="12"/>
  <c r="AG80" i="12"/>
  <c r="AG81" i="12"/>
  <c r="AG82" i="12"/>
  <c r="AG83" i="12"/>
  <c r="AG84" i="12"/>
  <c r="AG85" i="12"/>
  <c r="AG86" i="12"/>
  <c r="AG87" i="12"/>
  <c r="AG88" i="12"/>
  <c r="AG89" i="12"/>
  <c r="AG91" i="12"/>
  <c r="AG92" i="12"/>
  <c r="AG93" i="12"/>
  <c r="AG94" i="12"/>
  <c r="AG95" i="12"/>
  <c r="AG96" i="12"/>
  <c r="AG99" i="12"/>
  <c r="AG100" i="12"/>
  <c r="AG101" i="12"/>
  <c r="AG102" i="12"/>
  <c r="AG103" i="12"/>
  <c r="AG104" i="12"/>
  <c r="AG107" i="12"/>
  <c r="AG108" i="12"/>
  <c r="AG109" i="12"/>
  <c r="AG110" i="12"/>
  <c r="AG111" i="12"/>
  <c r="AG112" i="12"/>
  <c r="AG115" i="12"/>
  <c r="AG116" i="12"/>
  <c r="AG117" i="12"/>
  <c r="AG118" i="12"/>
  <c r="AG119" i="12"/>
  <c r="AG120" i="12"/>
  <c r="AG122" i="12"/>
  <c r="AG123" i="12"/>
  <c r="AG124" i="12"/>
  <c r="AG125" i="12"/>
  <c r="AG126" i="12"/>
  <c r="AG127" i="12"/>
  <c r="AG128" i="12"/>
  <c r="AG131" i="12"/>
  <c r="AG132" i="12"/>
  <c r="AG133" i="12"/>
  <c r="AG134" i="12"/>
  <c r="AG135" i="12"/>
  <c r="AG136" i="12"/>
  <c r="AG138" i="12"/>
  <c r="AG139" i="12"/>
  <c r="AG140" i="12"/>
  <c r="AG141" i="12"/>
  <c r="AG142" i="12"/>
  <c r="AG143" i="12"/>
  <c r="AG144" i="12"/>
  <c r="AG145" i="12"/>
  <c r="AG146" i="12"/>
  <c r="AG147" i="12"/>
  <c r="AG148" i="12"/>
  <c r="AG149" i="12"/>
  <c r="AG150" i="12"/>
  <c r="AG151" i="12"/>
  <c r="AG152" i="12"/>
  <c r="AG153" i="12"/>
  <c r="AG155" i="12"/>
  <c r="AG156" i="12"/>
  <c r="AG157" i="12"/>
  <c r="AG158" i="12"/>
  <c r="AG159" i="12"/>
  <c r="AG160" i="12"/>
  <c r="AG163" i="12"/>
  <c r="AG164" i="12"/>
  <c r="AG165" i="12"/>
  <c r="AG166" i="12"/>
  <c r="AG167" i="12"/>
  <c r="AG168" i="12"/>
  <c r="AG171" i="12"/>
  <c r="AG172" i="12"/>
  <c r="AG173" i="12"/>
  <c r="AG174" i="12"/>
  <c r="AG175" i="12"/>
  <c r="AG176" i="12"/>
  <c r="AG179" i="12"/>
  <c r="AG180" i="12"/>
  <c r="AG181" i="12"/>
  <c r="AG182" i="12"/>
  <c r="AG183" i="12"/>
  <c r="AG184" i="12"/>
  <c r="AG186" i="12"/>
  <c r="AG187" i="12"/>
  <c r="AG188" i="12"/>
  <c r="AG189" i="12"/>
  <c r="AG190" i="12"/>
  <c r="AG191" i="12"/>
  <c r="AG3" i="12"/>
  <c r="AG4" i="12"/>
  <c r="AG6" i="12"/>
  <c r="AG9" i="12"/>
  <c r="AG10" i="12"/>
  <c r="AG11" i="12"/>
  <c r="AG12" i="12"/>
  <c r="AG14" i="12"/>
  <c r="AG17" i="12"/>
  <c r="AG18" i="12"/>
  <c r="AG19" i="12"/>
  <c r="AG20" i="12"/>
  <c r="AG22" i="12"/>
  <c r="AG23" i="12"/>
  <c r="AG25" i="12"/>
  <c r="AG26" i="12"/>
  <c r="AG2" i="12"/>
  <c r="AC27" i="12"/>
  <c r="AC28" i="12"/>
  <c r="AD28" i="12" s="1"/>
  <c r="AC29" i="12"/>
  <c r="AD29" i="12" s="1"/>
  <c r="AC30" i="12"/>
  <c r="AD30" i="12" s="1"/>
  <c r="AC31" i="12"/>
  <c r="AC32" i="12"/>
  <c r="AC33" i="12"/>
  <c r="AD33" i="12" s="1"/>
  <c r="AC34" i="12"/>
  <c r="AD34" i="12" s="1"/>
  <c r="AC35" i="12"/>
  <c r="AD35" i="12" s="1"/>
  <c r="AC36" i="12"/>
  <c r="AD36" i="12" s="1"/>
  <c r="AC37" i="12"/>
  <c r="AD37" i="12" s="1"/>
  <c r="AC38" i="12"/>
  <c r="AD38" i="12" s="1"/>
  <c r="AC39" i="12"/>
  <c r="AC40" i="12"/>
  <c r="AC41" i="12"/>
  <c r="AD41" i="12" s="1"/>
  <c r="AC42" i="12"/>
  <c r="AD42" i="12" s="1"/>
  <c r="AC43" i="12"/>
  <c r="AD43" i="12" s="1"/>
  <c r="AC44" i="12"/>
  <c r="AD44" i="12" s="1"/>
  <c r="AC45" i="12"/>
  <c r="AD45" i="12" s="1"/>
  <c r="AC46" i="12"/>
  <c r="AD46" i="12" s="1"/>
  <c r="AC47" i="12"/>
  <c r="AC48" i="12"/>
  <c r="AC49" i="12"/>
  <c r="AD49" i="12" s="1"/>
  <c r="AC50" i="12"/>
  <c r="AD50" i="12" s="1"/>
  <c r="AC51" i="12"/>
  <c r="AD51" i="12" s="1"/>
  <c r="AC52" i="12"/>
  <c r="AD52" i="12" s="1"/>
  <c r="AC53" i="12"/>
  <c r="AD53" i="12" s="1"/>
  <c r="AC54" i="12"/>
  <c r="AD54" i="12" s="1"/>
  <c r="AC55" i="12"/>
  <c r="AC56" i="12"/>
  <c r="AC57" i="12"/>
  <c r="AD57" i="12" s="1"/>
  <c r="AC58" i="12"/>
  <c r="AD58" i="12" s="1"/>
  <c r="AC59" i="12"/>
  <c r="AD59" i="12" s="1"/>
  <c r="AC60" i="12"/>
  <c r="AD60" i="12" s="1"/>
  <c r="AC61" i="12"/>
  <c r="AD61" i="12" s="1"/>
  <c r="AC62" i="12"/>
  <c r="AD62" i="12" s="1"/>
  <c r="AC63" i="12"/>
  <c r="AC64" i="12"/>
  <c r="AC65" i="12"/>
  <c r="AD65" i="12" s="1"/>
  <c r="AC66" i="12"/>
  <c r="AC67" i="12"/>
  <c r="AD67" i="12" s="1"/>
  <c r="AC68" i="12"/>
  <c r="AC69" i="12"/>
  <c r="AD69" i="12" s="1"/>
  <c r="AC70" i="12"/>
  <c r="AD70" i="12" s="1"/>
  <c r="AC71" i="12"/>
  <c r="AC72" i="12"/>
  <c r="AC73" i="12"/>
  <c r="AD73" i="12" s="1"/>
  <c r="AC74" i="12"/>
  <c r="AC75" i="12"/>
  <c r="AD75" i="12" s="1"/>
  <c r="AC76" i="12"/>
  <c r="AD76" i="12" s="1"/>
  <c r="AC77" i="12"/>
  <c r="AD77" i="12" s="1"/>
  <c r="AC78" i="12"/>
  <c r="AD78" i="12" s="1"/>
  <c r="AC79" i="12"/>
  <c r="AC80" i="12"/>
  <c r="AC81" i="12"/>
  <c r="AD81" i="12" s="1"/>
  <c r="AC82" i="12"/>
  <c r="AC83" i="12"/>
  <c r="AD83" i="12" s="1"/>
  <c r="AC84" i="12"/>
  <c r="AD84" i="12" s="1"/>
  <c r="AC85" i="12"/>
  <c r="AD85" i="12" s="1"/>
  <c r="AC86" i="12"/>
  <c r="AD86" i="12" s="1"/>
  <c r="AC87" i="12"/>
  <c r="AC88" i="12"/>
  <c r="AC89" i="12"/>
  <c r="AD89" i="12" s="1"/>
  <c r="AC90" i="12"/>
  <c r="AD90" i="12" s="1"/>
  <c r="AC91" i="12"/>
  <c r="AD91" i="12" s="1"/>
  <c r="AC92" i="12"/>
  <c r="AD92" i="12" s="1"/>
  <c r="AC93" i="12"/>
  <c r="AD93" i="12" s="1"/>
  <c r="AC94" i="12"/>
  <c r="AD94" i="12" s="1"/>
  <c r="AC95" i="12"/>
  <c r="AC96" i="12"/>
  <c r="AC97" i="12"/>
  <c r="AD97" i="12" s="1"/>
  <c r="AC98" i="12"/>
  <c r="AD98" i="12" s="1"/>
  <c r="AC99" i="12"/>
  <c r="AD99" i="12" s="1"/>
  <c r="AC100" i="12"/>
  <c r="AD100" i="12" s="1"/>
  <c r="AC101" i="12"/>
  <c r="AD101" i="12" s="1"/>
  <c r="AC102" i="12"/>
  <c r="AD102" i="12" s="1"/>
  <c r="AC103" i="12"/>
  <c r="AC104" i="12"/>
  <c r="AC105" i="12"/>
  <c r="AD105" i="12" s="1"/>
  <c r="AC106" i="12"/>
  <c r="AD106" i="12" s="1"/>
  <c r="AC107" i="12"/>
  <c r="AD107" i="12" s="1"/>
  <c r="AC108" i="12"/>
  <c r="AD108" i="12" s="1"/>
  <c r="AC109" i="12"/>
  <c r="AD109" i="12" s="1"/>
  <c r="AC110" i="12"/>
  <c r="AD110" i="12" s="1"/>
  <c r="AC111" i="12"/>
  <c r="AC112" i="12"/>
  <c r="AC113" i="12"/>
  <c r="AD113" i="12" s="1"/>
  <c r="AC114" i="12"/>
  <c r="AD114" i="12" s="1"/>
  <c r="AC115" i="12"/>
  <c r="AC116" i="12"/>
  <c r="AC117" i="12"/>
  <c r="AD117" i="12" s="1"/>
  <c r="AC118" i="12"/>
  <c r="AD118" i="12" s="1"/>
  <c r="AC119" i="12"/>
  <c r="AC120" i="12"/>
  <c r="AC121" i="12"/>
  <c r="AD121" i="12" s="1"/>
  <c r="AC122" i="12"/>
  <c r="AC123" i="12"/>
  <c r="AD123" i="12" s="1"/>
  <c r="AC124" i="12"/>
  <c r="AD124" i="12" s="1"/>
  <c r="AC125" i="12"/>
  <c r="AD125" i="12" s="1"/>
  <c r="AC126" i="12"/>
  <c r="AD126" i="12" s="1"/>
  <c r="AC127" i="12"/>
  <c r="AC128" i="12"/>
  <c r="AC129" i="12"/>
  <c r="AD129" i="12" s="1"/>
  <c r="AC130" i="12"/>
  <c r="AC131" i="12"/>
  <c r="AD131" i="12" s="1"/>
  <c r="AC132" i="12"/>
  <c r="AC133" i="12"/>
  <c r="AD133" i="12" s="1"/>
  <c r="AC134" i="12"/>
  <c r="AD134" i="12" s="1"/>
  <c r="AC135" i="12"/>
  <c r="AC136" i="12"/>
  <c r="AC137" i="12"/>
  <c r="AD137" i="12" s="1"/>
  <c r="AC138" i="12"/>
  <c r="AD138" i="12" s="1"/>
  <c r="AC139" i="12"/>
  <c r="AD139" i="12" s="1"/>
  <c r="AC140" i="12"/>
  <c r="AD140" i="12" s="1"/>
  <c r="AC141" i="12"/>
  <c r="AD141" i="12" s="1"/>
  <c r="AC142" i="12"/>
  <c r="AD142" i="12" s="1"/>
  <c r="AC143" i="12"/>
  <c r="AC144" i="12"/>
  <c r="AC145" i="12"/>
  <c r="AD145" i="12" s="1"/>
  <c r="AC146" i="12"/>
  <c r="AD146" i="12" s="1"/>
  <c r="AC147" i="12"/>
  <c r="AD147" i="12" s="1"/>
  <c r="AC148" i="12"/>
  <c r="AC149" i="12"/>
  <c r="AD149" i="12" s="1"/>
  <c r="AC150" i="12"/>
  <c r="AD150" i="12" s="1"/>
  <c r="AC151" i="12"/>
  <c r="AC152" i="12"/>
  <c r="AC153" i="12"/>
  <c r="AD153" i="12" s="1"/>
  <c r="AC154" i="12"/>
  <c r="AD154" i="12" s="1"/>
  <c r="AC155" i="12"/>
  <c r="AD155" i="12" s="1"/>
  <c r="AC156" i="12"/>
  <c r="AC157" i="12"/>
  <c r="AD157" i="12" s="1"/>
  <c r="AC158" i="12"/>
  <c r="AD158" i="12" s="1"/>
  <c r="AC159" i="12"/>
  <c r="AC160" i="12"/>
  <c r="AC161" i="12"/>
  <c r="AD161" i="12" s="1"/>
  <c r="AC162" i="12"/>
  <c r="AD162" i="12" s="1"/>
  <c r="AC163" i="12"/>
  <c r="AD163" i="12" s="1"/>
  <c r="AC164" i="12"/>
  <c r="AD164" i="12" s="1"/>
  <c r="AC165" i="12"/>
  <c r="AD165" i="12" s="1"/>
  <c r="AC166" i="12"/>
  <c r="AD166" i="12" s="1"/>
  <c r="AC167" i="12"/>
  <c r="AC168" i="12"/>
  <c r="AC169" i="12"/>
  <c r="AD169" i="12" s="1"/>
  <c r="AC170" i="12"/>
  <c r="AC171" i="12"/>
  <c r="AD171" i="12" s="1"/>
  <c r="AC172" i="12"/>
  <c r="AC173" i="12"/>
  <c r="AD173" i="12" s="1"/>
  <c r="AC174" i="12"/>
  <c r="AD174" i="12" s="1"/>
  <c r="AC175" i="12"/>
  <c r="AC176" i="12"/>
  <c r="AC177" i="12"/>
  <c r="AD177" i="12" s="1"/>
  <c r="AC178" i="12"/>
  <c r="AC179" i="12"/>
  <c r="AC180" i="12"/>
  <c r="AC181" i="12"/>
  <c r="AD181" i="12" s="1"/>
  <c r="AC182" i="12"/>
  <c r="AD182" i="12" s="1"/>
  <c r="AC183" i="12"/>
  <c r="AC184" i="12"/>
  <c r="AC185" i="12"/>
  <c r="AD185" i="12" s="1"/>
  <c r="AC186" i="12"/>
  <c r="AD186" i="12" s="1"/>
  <c r="AC187" i="12"/>
  <c r="AD187" i="12" s="1"/>
  <c r="AC188" i="12"/>
  <c r="AC189" i="12"/>
  <c r="AD189" i="12" s="1"/>
  <c r="AC190" i="12"/>
  <c r="AD190" i="12" s="1"/>
  <c r="AC191" i="12"/>
  <c r="AC3" i="12"/>
  <c r="AC4" i="12"/>
  <c r="AD4" i="12" s="1"/>
  <c r="AC5" i="12"/>
  <c r="AD5" i="12" s="1"/>
  <c r="AC6" i="12"/>
  <c r="AD6" i="12" s="1"/>
  <c r="AC7" i="12"/>
  <c r="AC8" i="12"/>
  <c r="AC9" i="12"/>
  <c r="AC10" i="12"/>
  <c r="AC11" i="12"/>
  <c r="AC12" i="12"/>
  <c r="AD12" i="12" s="1"/>
  <c r="AC13" i="12"/>
  <c r="AC14" i="12"/>
  <c r="AD14" i="12" s="1"/>
  <c r="AC15" i="12"/>
  <c r="AD15" i="12" s="1"/>
  <c r="AC16" i="12"/>
  <c r="AC17" i="12"/>
  <c r="AC18" i="12"/>
  <c r="AC19" i="12"/>
  <c r="AD19" i="12" s="1"/>
  <c r="AC20" i="12"/>
  <c r="AC21" i="12"/>
  <c r="AC22" i="12"/>
  <c r="AD22" i="12" s="1"/>
  <c r="AC23" i="12"/>
  <c r="AD23" i="12" s="1"/>
  <c r="AC24" i="12"/>
  <c r="AD24" i="12" s="1"/>
  <c r="AC25" i="12"/>
  <c r="AC26" i="12"/>
  <c r="AC2" i="12"/>
  <c r="AB27" i="12"/>
  <c r="AB28" i="12"/>
  <c r="AB29" i="12"/>
  <c r="AB30" i="12"/>
  <c r="AB31" i="12"/>
  <c r="AB32" i="12"/>
  <c r="AB34" i="12"/>
  <c r="AB35" i="12"/>
  <c r="AB36" i="12"/>
  <c r="AB37" i="12"/>
  <c r="AB38" i="12"/>
  <c r="AB39" i="12"/>
  <c r="AB40" i="12"/>
  <c r="AB41" i="12"/>
  <c r="AB42" i="12"/>
  <c r="AB43" i="12"/>
  <c r="AB44" i="12"/>
  <c r="AB45" i="12"/>
  <c r="AB46" i="12"/>
  <c r="AB47" i="12"/>
  <c r="AB48" i="12"/>
  <c r="AB50" i="12"/>
  <c r="AB51" i="12"/>
  <c r="AB52" i="12"/>
  <c r="AB53" i="12"/>
  <c r="AB54" i="12"/>
  <c r="AB55" i="12"/>
  <c r="AB56" i="12"/>
  <c r="AB58" i="12"/>
  <c r="AB59" i="12"/>
  <c r="AB60" i="12"/>
  <c r="AB61" i="12"/>
  <c r="AB62" i="12"/>
  <c r="AB63" i="12"/>
  <c r="AB64" i="12"/>
  <c r="AB66" i="12"/>
  <c r="AB67" i="12"/>
  <c r="AB68" i="12"/>
  <c r="AB69" i="12"/>
  <c r="AB70" i="12"/>
  <c r="AB71" i="12"/>
  <c r="AB72" i="12"/>
  <c r="AB74" i="12"/>
  <c r="AB75" i="12"/>
  <c r="AB76" i="12"/>
  <c r="AB77" i="12"/>
  <c r="AB78" i="12"/>
  <c r="AB79" i="12"/>
  <c r="AB80" i="12"/>
  <c r="AB82" i="12"/>
  <c r="AB83" i="12"/>
  <c r="AB84" i="12"/>
  <c r="AB85" i="12"/>
  <c r="AB86" i="12"/>
  <c r="AB87" i="12"/>
  <c r="AB88" i="12"/>
  <c r="AB90" i="12"/>
  <c r="AB91" i="12"/>
  <c r="AB92" i="12"/>
  <c r="AB93" i="12"/>
  <c r="AB94" i="12"/>
  <c r="AB95" i="12"/>
  <c r="AB96" i="12"/>
  <c r="AB98" i="12"/>
  <c r="AB99" i="12"/>
  <c r="AB100" i="12"/>
  <c r="AB101" i="12"/>
  <c r="AB102" i="12"/>
  <c r="AB103" i="12"/>
  <c r="AB104" i="12"/>
  <c r="AB106" i="12"/>
  <c r="AB107" i="12"/>
  <c r="AB108" i="12"/>
  <c r="AB109" i="12"/>
  <c r="AB110" i="12"/>
  <c r="AB111" i="12"/>
  <c r="AB112" i="12"/>
  <c r="AB114" i="12"/>
  <c r="AB115" i="12"/>
  <c r="AB116" i="12"/>
  <c r="AB117" i="12"/>
  <c r="AB118" i="12"/>
  <c r="AB119" i="12"/>
  <c r="AB120" i="12"/>
  <c r="AB122" i="12"/>
  <c r="AB123" i="12"/>
  <c r="AB124" i="12"/>
  <c r="AB125" i="12"/>
  <c r="AB126" i="12"/>
  <c r="AB127" i="12"/>
  <c r="AB128" i="12"/>
  <c r="AB130" i="12"/>
  <c r="AB131" i="12"/>
  <c r="AB132" i="12"/>
  <c r="AB133" i="12"/>
  <c r="AB134" i="12"/>
  <c r="AB135" i="12"/>
  <c r="AB136" i="12"/>
  <c r="AB138" i="12"/>
  <c r="AB139" i="12"/>
  <c r="AB140" i="12"/>
  <c r="AB141" i="12"/>
  <c r="AB142" i="12"/>
  <c r="AB143" i="12"/>
  <c r="AB144" i="12"/>
  <c r="AB146" i="12"/>
  <c r="AB147" i="12"/>
  <c r="AB148" i="12"/>
  <c r="AB149" i="12"/>
  <c r="AB150" i="12"/>
  <c r="AB151" i="12"/>
  <c r="AB152" i="12"/>
  <c r="AB154" i="12"/>
  <c r="AB155" i="12"/>
  <c r="AB156" i="12"/>
  <c r="AB157" i="12"/>
  <c r="AB158" i="12"/>
  <c r="AB159" i="12"/>
  <c r="AB160" i="12"/>
  <c r="AB162" i="12"/>
  <c r="AB163" i="12"/>
  <c r="AB164" i="12"/>
  <c r="AB165" i="12"/>
  <c r="AB166" i="12"/>
  <c r="AB167" i="12"/>
  <c r="AB168" i="12"/>
  <c r="AB170" i="12"/>
  <c r="AB171" i="12"/>
  <c r="AB172" i="12"/>
  <c r="AB173" i="12"/>
  <c r="AB174" i="12"/>
  <c r="AB175" i="12"/>
  <c r="AB176" i="12"/>
  <c r="AB178" i="12"/>
  <c r="AB179" i="12"/>
  <c r="AB180" i="12"/>
  <c r="AB181" i="12"/>
  <c r="AB182" i="12"/>
  <c r="AB183" i="12"/>
  <c r="AB184" i="12"/>
  <c r="AB186" i="12"/>
  <c r="AB187" i="12"/>
  <c r="AB188" i="12"/>
  <c r="AB189" i="12"/>
  <c r="AB190" i="12"/>
  <c r="AB191" i="12"/>
  <c r="AB3" i="12"/>
  <c r="AB5" i="12"/>
  <c r="AB7" i="12"/>
  <c r="AB9" i="12"/>
  <c r="AB10" i="12"/>
  <c r="AB11" i="12"/>
  <c r="AB13" i="12"/>
  <c r="AB17" i="12"/>
  <c r="AB19" i="12"/>
  <c r="AB21" i="12"/>
  <c r="AB22" i="12"/>
  <c r="AB23" i="12"/>
  <c r="AB24" i="12"/>
  <c r="AB25" i="12"/>
  <c r="AB2" i="12"/>
  <c r="X27" i="12"/>
  <c r="X28" i="12"/>
  <c r="Y28" i="12" s="1"/>
  <c r="X29" i="12"/>
  <c r="Y29" i="12" s="1"/>
  <c r="X30" i="12"/>
  <c r="X31" i="12"/>
  <c r="X32" i="12"/>
  <c r="Y32" i="12" s="1"/>
  <c r="X33" i="12"/>
  <c r="Y33" i="12" s="1"/>
  <c r="X34" i="12"/>
  <c r="Y34" i="12" s="1"/>
  <c r="X35" i="12"/>
  <c r="X36" i="12"/>
  <c r="Y36" i="12" s="1"/>
  <c r="X37" i="12"/>
  <c r="Y37" i="12" s="1"/>
  <c r="X38" i="12"/>
  <c r="X39" i="12"/>
  <c r="X40" i="12"/>
  <c r="X41" i="12"/>
  <c r="Y41" i="12" s="1"/>
  <c r="X42" i="12"/>
  <c r="Y42" i="12" s="1"/>
  <c r="X43" i="12"/>
  <c r="Y43" i="12" s="1"/>
  <c r="X44" i="12"/>
  <c r="Y44" i="12" s="1"/>
  <c r="X45" i="12"/>
  <c r="X46" i="12"/>
  <c r="X47" i="12"/>
  <c r="X48" i="12"/>
  <c r="Y48" i="12" s="1"/>
  <c r="X49" i="12"/>
  <c r="Y49" i="12" s="1"/>
  <c r="X50" i="12"/>
  <c r="Y50" i="12" s="1"/>
  <c r="X51" i="12"/>
  <c r="Y51" i="12" s="1"/>
  <c r="X52" i="12"/>
  <c r="Y52" i="12" s="1"/>
  <c r="X53" i="12"/>
  <c r="Y53" i="12" s="1"/>
  <c r="X54" i="12"/>
  <c r="Y54" i="12" s="1"/>
  <c r="X55" i="12"/>
  <c r="X56" i="12"/>
  <c r="X57" i="12"/>
  <c r="Y57" i="12" s="1"/>
  <c r="X58" i="12"/>
  <c r="Y58" i="12" s="1"/>
  <c r="X59" i="12"/>
  <c r="Y59" i="12" s="1"/>
  <c r="X60" i="12"/>
  <c r="Y60" i="12" s="1"/>
  <c r="X61" i="12"/>
  <c r="X62" i="12"/>
  <c r="X63" i="12"/>
  <c r="X64" i="12"/>
  <c r="X65" i="12"/>
  <c r="Y65" i="12" s="1"/>
  <c r="X66" i="12"/>
  <c r="X67" i="12"/>
  <c r="Y67" i="12" s="1"/>
  <c r="X68" i="12"/>
  <c r="Y68" i="12" s="1"/>
  <c r="X69" i="12"/>
  <c r="X70" i="12"/>
  <c r="X71" i="12"/>
  <c r="X72" i="12"/>
  <c r="Y72" i="12" s="1"/>
  <c r="X73" i="12"/>
  <c r="Y73" i="12" s="1"/>
  <c r="X74" i="12"/>
  <c r="Y74" i="12" s="1"/>
  <c r="X75" i="12"/>
  <c r="Y75" i="12" s="1"/>
  <c r="X76" i="12"/>
  <c r="Y76" i="12" s="1"/>
  <c r="X77" i="12"/>
  <c r="Y77" i="12" s="1"/>
  <c r="X78" i="12"/>
  <c r="X79" i="12"/>
  <c r="X80" i="12"/>
  <c r="Y80" i="12" s="1"/>
  <c r="X81" i="12"/>
  <c r="Y81" i="12" s="1"/>
  <c r="X82" i="12"/>
  <c r="Y82" i="12" s="1"/>
  <c r="X83" i="12"/>
  <c r="Y83" i="12" s="1"/>
  <c r="X84" i="12"/>
  <c r="Y84" i="12" s="1"/>
  <c r="X85" i="12"/>
  <c r="X86" i="12"/>
  <c r="X87" i="12"/>
  <c r="X88" i="12"/>
  <c r="Y88" i="12" s="1"/>
  <c r="X89" i="12"/>
  <c r="Y89" i="12" s="1"/>
  <c r="X90" i="12"/>
  <c r="X91" i="12"/>
  <c r="Y91" i="12" s="1"/>
  <c r="X92" i="12"/>
  <c r="Y92" i="12" s="1"/>
  <c r="X93" i="12"/>
  <c r="Y93" i="12" s="1"/>
  <c r="X94" i="12"/>
  <c r="X95" i="12"/>
  <c r="X96" i="12"/>
  <c r="Y96" i="12" s="1"/>
  <c r="X97" i="12"/>
  <c r="Y97" i="12" s="1"/>
  <c r="X98" i="12"/>
  <c r="Y98" i="12" s="1"/>
  <c r="X99" i="12"/>
  <c r="X100" i="12"/>
  <c r="Y100" i="12" s="1"/>
  <c r="X101" i="12"/>
  <c r="Y101" i="12" s="1"/>
  <c r="X102" i="12"/>
  <c r="X103" i="12"/>
  <c r="X104" i="12"/>
  <c r="X105" i="12"/>
  <c r="Y105" i="12" s="1"/>
  <c r="X106" i="12"/>
  <c r="X107" i="12"/>
  <c r="X108" i="12"/>
  <c r="Y108" i="12" s="1"/>
  <c r="X109" i="12"/>
  <c r="X110" i="12"/>
  <c r="X111" i="12"/>
  <c r="X112" i="12"/>
  <c r="Y112" i="12" s="1"/>
  <c r="X113" i="12"/>
  <c r="Y113" i="12" s="1"/>
  <c r="X114" i="12"/>
  <c r="Y114" i="12" s="1"/>
  <c r="X115" i="12"/>
  <c r="Y115" i="12" s="1"/>
  <c r="X116" i="12"/>
  <c r="Y116" i="12" s="1"/>
  <c r="X117" i="12"/>
  <c r="X118" i="12"/>
  <c r="X119" i="12"/>
  <c r="X120" i="12"/>
  <c r="X121" i="12"/>
  <c r="Y121" i="12" s="1"/>
  <c r="X122" i="12"/>
  <c r="Y122" i="12" s="1"/>
  <c r="X123" i="12"/>
  <c r="Y123" i="12" s="1"/>
  <c r="X124" i="12"/>
  <c r="Y124" i="12" s="1"/>
  <c r="X125" i="12"/>
  <c r="Y125" i="12" s="1"/>
  <c r="X126" i="12"/>
  <c r="X127" i="12"/>
  <c r="X128" i="12"/>
  <c r="X129" i="12"/>
  <c r="Y129" i="12" s="1"/>
  <c r="X130" i="12"/>
  <c r="Y130" i="12" s="1"/>
  <c r="X131" i="12"/>
  <c r="X132" i="12"/>
  <c r="Y132" i="12" s="1"/>
  <c r="X133" i="12"/>
  <c r="X134" i="12"/>
  <c r="X135" i="12"/>
  <c r="X136" i="12"/>
  <c r="Y136" i="12" s="1"/>
  <c r="X137" i="12"/>
  <c r="Y137" i="12" s="1"/>
  <c r="X138" i="12"/>
  <c r="Y138" i="12" s="1"/>
  <c r="X139" i="12"/>
  <c r="Y139" i="12" s="1"/>
  <c r="X140" i="12"/>
  <c r="Y140" i="12" s="1"/>
  <c r="X141" i="12"/>
  <c r="Y141" i="12" s="1"/>
  <c r="X142" i="12"/>
  <c r="X143" i="12"/>
  <c r="X144" i="12"/>
  <c r="Y144" i="12" s="1"/>
  <c r="X145" i="12"/>
  <c r="Y145" i="12" s="1"/>
  <c r="X146" i="12"/>
  <c r="Y146" i="12" s="1"/>
  <c r="X147" i="12"/>
  <c r="Y147" i="12" s="1"/>
  <c r="X148" i="12"/>
  <c r="Y148" i="12" s="1"/>
  <c r="X149" i="12"/>
  <c r="X150" i="12"/>
  <c r="X151" i="12"/>
  <c r="X152" i="12"/>
  <c r="X153" i="12"/>
  <c r="X154" i="12"/>
  <c r="Y154" i="12" s="1"/>
  <c r="X155" i="12"/>
  <c r="Y155" i="12" s="1"/>
  <c r="X156" i="12"/>
  <c r="Y156" i="12" s="1"/>
  <c r="X157" i="12"/>
  <c r="Y157" i="12" s="1"/>
  <c r="X158" i="12"/>
  <c r="X159" i="12"/>
  <c r="X160" i="12"/>
  <c r="Y160" i="12" s="1"/>
  <c r="X161" i="12"/>
  <c r="X162" i="12"/>
  <c r="Y162" i="12" s="1"/>
  <c r="X163" i="12"/>
  <c r="X164" i="12"/>
  <c r="Y164" i="12" s="1"/>
  <c r="X165" i="12"/>
  <c r="X166" i="12"/>
  <c r="X167" i="12"/>
  <c r="X168" i="12"/>
  <c r="Y168" i="12" s="1"/>
  <c r="X169" i="12"/>
  <c r="Y169" i="12" s="1"/>
  <c r="X170" i="12"/>
  <c r="Y170" i="12" s="1"/>
  <c r="X171" i="12"/>
  <c r="Y171" i="12" s="1"/>
  <c r="X172" i="12"/>
  <c r="Y172" i="12" s="1"/>
  <c r="X173" i="12"/>
  <c r="Y173" i="12" s="1"/>
  <c r="X174" i="12"/>
  <c r="X175" i="12"/>
  <c r="X176" i="12"/>
  <c r="Y176" i="12" s="1"/>
  <c r="X177" i="12"/>
  <c r="Y177" i="12" s="1"/>
  <c r="X178" i="12"/>
  <c r="Y178" i="12" s="1"/>
  <c r="X179" i="12"/>
  <c r="X180" i="12"/>
  <c r="Y180" i="12" s="1"/>
  <c r="X181" i="12"/>
  <c r="X182" i="12"/>
  <c r="X183" i="12"/>
  <c r="X184" i="12"/>
  <c r="X185" i="12"/>
  <c r="X186" i="12"/>
  <c r="Y186" i="12" s="1"/>
  <c r="X187" i="12"/>
  <c r="Y187" i="12" s="1"/>
  <c r="X188" i="12"/>
  <c r="Y188" i="12" s="1"/>
  <c r="X189" i="12"/>
  <c r="Y189" i="12" s="1"/>
  <c r="X190" i="12"/>
  <c r="X191" i="12"/>
  <c r="X3" i="12"/>
  <c r="X4" i="12"/>
  <c r="X5" i="12"/>
  <c r="X6" i="12"/>
  <c r="X7" i="12"/>
  <c r="Y7" i="12" s="1"/>
  <c r="X8" i="12"/>
  <c r="X9" i="12"/>
  <c r="X10" i="12"/>
  <c r="X11" i="12"/>
  <c r="X12" i="12"/>
  <c r="Y12" i="12" s="1"/>
  <c r="X13" i="12"/>
  <c r="Y13" i="12" s="1"/>
  <c r="X14" i="12"/>
  <c r="X15" i="12"/>
  <c r="X16" i="12"/>
  <c r="X17" i="12"/>
  <c r="X18" i="12"/>
  <c r="X19" i="12"/>
  <c r="Y19" i="12" s="1"/>
  <c r="X20" i="12"/>
  <c r="Y20" i="12" s="1"/>
  <c r="X21" i="12"/>
  <c r="X22" i="12"/>
  <c r="X23" i="12"/>
  <c r="X24" i="12"/>
  <c r="X25" i="12"/>
  <c r="X26" i="12"/>
  <c r="X2" i="12"/>
  <c r="W27" i="12"/>
  <c r="W28" i="12"/>
  <c r="W29" i="12"/>
  <c r="W30" i="12"/>
  <c r="W31" i="12"/>
  <c r="W32" i="12"/>
  <c r="W33"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5" i="12"/>
  <c r="W76" i="12"/>
  <c r="W77" i="12"/>
  <c r="W78" i="12"/>
  <c r="W79" i="12"/>
  <c r="W80" i="12"/>
  <c r="W81" i="12"/>
  <c r="W82" i="12"/>
  <c r="W83" i="12"/>
  <c r="W84" i="12"/>
  <c r="W85" i="12"/>
  <c r="W86" i="12"/>
  <c r="W87" i="12"/>
  <c r="W88" i="12"/>
  <c r="W89" i="12"/>
  <c r="W90" i="12"/>
  <c r="W91" i="12"/>
  <c r="W92" i="12"/>
  <c r="W93" i="12"/>
  <c r="W94" i="12"/>
  <c r="W95" i="12"/>
  <c r="W96" i="12"/>
  <c r="W97" i="12"/>
  <c r="W98" i="12"/>
  <c r="W99" i="12"/>
  <c r="W100" i="12"/>
  <c r="W101" i="12"/>
  <c r="W102" i="12"/>
  <c r="W103" i="12"/>
  <c r="W104" i="12"/>
  <c r="W105" i="12"/>
  <c r="W106" i="12"/>
  <c r="W107" i="12"/>
  <c r="W108" i="12"/>
  <c r="W109" i="12"/>
  <c r="W110" i="12"/>
  <c r="W111" i="12"/>
  <c r="W112" i="12"/>
  <c r="W113" i="12"/>
  <c r="W114" i="12"/>
  <c r="W115" i="12"/>
  <c r="W116" i="12"/>
  <c r="W117" i="12"/>
  <c r="W118" i="12"/>
  <c r="W119" i="12"/>
  <c r="W120" i="12"/>
  <c r="W121" i="12"/>
  <c r="W122" i="12"/>
  <c r="W123" i="12"/>
  <c r="W124" i="12"/>
  <c r="W125" i="12"/>
  <c r="W126" i="12"/>
  <c r="W127" i="12"/>
  <c r="W128" i="12"/>
  <c r="W129" i="12"/>
  <c r="W130" i="12"/>
  <c r="W131" i="12"/>
  <c r="W132" i="12"/>
  <c r="W133" i="12"/>
  <c r="W134" i="12"/>
  <c r="W135" i="12"/>
  <c r="W136" i="12"/>
  <c r="W137" i="12"/>
  <c r="W139" i="12"/>
  <c r="W140" i="12"/>
  <c r="W141" i="12"/>
  <c r="W142" i="12"/>
  <c r="W143" i="12"/>
  <c r="W144" i="12"/>
  <c r="W145" i="12"/>
  <c r="W146" i="12"/>
  <c r="W147" i="12"/>
  <c r="W148" i="12"/>
  <c r="W149" i="12"/>
  <c r="W150" i="12"/>
  <c r="W151" i="12"/>
  <c r="W152" i="12"/>
  <c r="W153" i="12"/>
  <c r="W154" i="12"/>
  <c r="W155" i="12"/>
  <c r="W156" i="12"/>
  <c r="W157" i="12"/>
  <c r="W158" i="12"/>
  <c r="W159" i="12"/>
  <c r="W160" i="12"/>
  <c r="W161" i="12"/>
  <c r="W162" i="12"/>
  <c r="W163" i="12"/>
  <c r="W164" i="12"/>
  <c r="W165" i="12"/>
  <c r="W166" i="12"/>
  <c r="W167" i="12"/>
  <c r="W168" i="12"/>
  <c r="W169" i="12"/>
  <c r="W170" i="12"/>
  <c r="W171" i="12"/>
  <c r="W172" i="12"/>
  <c r="W173" i="12"/>
  <c r="W174" i="12"/>
  <c r="W175" i="12"/>
  <c r="W176" i="12"/>
  <c r="W177" i="12"/>
  <c r="W178" i="12"/>
  <c r="W179" i="12"/>
  <c r="W180" i="12"/>
  <c r="W181" i="12"/>
  <c r="W182" i="12"/>
  <c r="W183" i="12"/>
  <c r="W184" i="12"/>
  <c r="W185" i="12"/>
  <c r="W186" i="12"/>
  <c r="W187" i="12"/>
  <c r="W188" i="12"/>
  <c r="W189" i="12"/>
  <c r="W190" i="12"/>
  <c r="W191" i="12"/>
  <c r="W4" i="12"/>
  <c r="W5" i="12"/>
  <c r="W6" i="12"/>
  <c r="W7" i="12"/>
  <c r="W8" i="12"/>
  <c r="W9" i="12"/>
  <c r="W10" i="12"/>
  <c r="W12" i="12"/>
  <c r="W15" i="12"/>
  <c r="W16" i="12"/>
  <c r="W17" i="12"/>
  <c r="W18" i="12"/>
  <c r="W20" i="12"/>
  <c r="W22" i="12"/>
  <c r="W23" i="12"/>
  <c r="W24" i="12"/>
  <c r="W25" i="12"/>
  <c r="W26" i="12"/>
  <c r="T28" i="12"/>
  <c r="T30" i="12"/>
  <c r="T31" i="12"/>
  <c r="T32" i="12"/>
  <c r="T34" i="12"/>
  <c r="T35" i="12"/>
  <c r="T36" i="12"/>
  <c r="T37" i="12"/>
  <c r="T38" i="12"/>
  <c r="T39" i="12"/>
  <c r="T40" i="12"/>
  <c r="T41" i="12"/>
  <c r="T42" i="12"/>
  <c r="T44" i="12"/>
  <c r="T46" i="12"/>
  <c r="T47" i="12"/>
  <c r="T48" i="12"/>
  <c r="T49" i="12"/>
  <c r="T50" i="12"/>
  <c r="T54" i="12"/>
  <c r="T55" i="12"/>
  <c r="T56" i="12"/>
  <c r="T57" i="12"/>
  <c r="T58" i="12"/>
  <c r="T59" i="12"/>
  <c r="T61" i="12"/>
  <c r="T62" i="12"/>
  <c r="T63" i="12"/>
  <c r="T64" i="12"/>
  <c r="T65" i="12"/>
  <c r="T69" i="12"/>
  <c r="T70" i="12"/>
  <c r="T71" i="12"/>
  <c r="T72" i="12"/>
  <c r="T73" i="12"/>
  <c r="T77" i="12"/>
  <c r="T78" i="12"/>
  <c r="T79" i="12"/>
  <c r="T80" i="12"/>
  <c r="T81" i="12"/>
  <c r="T82" i="12"/>
  <c r="T86" i="12"/>
  <c r="T87" i="12"/>
  <c r="T88" i="12"/>
  <c r="T90" i="12"/>
  <c r="T93" i="12"/>
  <c r="T94" i="12"/>
  <c r="T95" i="12"/>
  <c r="T96" i="12"/>
  <c r="T98" i="12"/>
  <c r="T101" i="12"/>
  <c r="T102" i="12"/>
  <c r="T103" i="12"/>
  <c r="T104" i="12"/>
  <c r="T105" i="12"/>
  <c r="T106" i="12"/>
  <c r="T110" i="12"/>
  <c r="T111" i="12"/>
  <c r="T112" i="12"/>
  <c r="T113" i="12"/>
  <c r="T114" i="12"/>
  <c r="T115" i="12"/>
  <c r="T118" i="12"/>
  <c r="T119" i="12"/>
  <c r="T120" i="12"/>
  <c r="T121" i="12"/>
  <c r="T122" i="12"/>
  <c r="T125" i="12"/>
  <c r="T126" i="12"/>
  <c r="T127" i="12"/>
  <c r="T128" i="12"/>
  <c r="T129" i="12"/>
  <c r="T131" i="12"/>
  <c r="T133" i="12"/>
  <c r="T134" i="12"/>
  <c r="T135" i="12"/>
  <c r="T136" i="12"/>
  <c r="T137" i="12"/>
  <c r="T141" i="12"/>
  <c r="T142" i="12"/>
  <c r="T143" i="12"/>
  <c r="T144" i="12"/>
  <c r="T145" i="12"/>
  <c r="T146" i="12"/>
  <c r="T149" i="12"/>
  <c r="T150" i="12"/>
  <c r="T151" i="12"/>
  <c r="T152" i="12"/>
  <c r="T154" i="12"/>
  <c r="T157" i="12"/>
  <c r="T158" i="12"/>
  <c r="T159" i="12"/>
  <c r="T160" i="12"/>
  <c r="T162" i="12"/>
  <c r="T165" i="12"/>
  <c r="T166" i="12"/>
  <c r="T167" i="12"/>
  <c r="T168" i="12"/>
  <c r="T169" i="12"/>
  <c r="T170" i="12"/>
  <c r="T171" i="12"/>
  <c r="T174" i="12"/>
  <c r="T175" i="12"/>
  <c r="T176" i="12"/>
  <c r="T177" i="12"/>
  <c r="T178" i="12"/>
  <c r="T182" i="12"/>
  <c r="T183" i="12"/>
  <c r="T184" i="12"/>
  <c r="T185" i="12"/>
  <c r="T186" i="12"/>
  <c r="T187" i="12"/>
  <c r="T189" i="12"/>
  <c r="T190" i="12"/>
  <c r="T191" i="12"/>
  <c r="T8" i="12"/>
  <c r="T9" i="12"/>
  <c r="T10" i="12"/>
  <c r="T16" i="12"/>
  <c r="T18" i="12"/>
  <c r="T22" i="12"/>
  <c r="T24" i="12"/>
  <c r="T25" i="12"/>
  <c r="T26" i="12"/>
  <c r="S2" i="12"/>
  <c r="R27" i="12"/>
  <c r="R28" i="12"/>
  <c r="R29" i="12"/>
  <c r="R30" i="12"/>
  <c r="R31" i="12"/>
  <c r="R32" i="12"/>
  <c r="R33" i="12"/>
  <c r="R34" i="12"/>
  <c r="R35" i="12"/>
  <c r="R36" i="12"/>
  <c r="R37" i="12"/>
  <c r="R38" i="12"/>
  <c r="R39" i="12"/>
  <c r="R40" i="12"/>
  <c r="R43" i="12"/>
  <c r="R44" i="12"/>
  <c r="R45" i="12"/>
  <c r="R46" i="12"/>
  <c r="R47" i="12"/>
  <c r="R48" i="12"/>
  <c r="R49" i="12"/>
  <c r="R50" i="12"/>
  <c r="R51" i="12"/>
  <c r="R52" i="12"/>
  <c r="R53" i="12"/>
  <c r="R54" i="12"/>
  <c r="R55" i="12"/>
  <c r="R56" i="12"/>
  <c r="R57" i="12"/>
  <c r="R58" i="12"/>
  <c r="R59" i="12"/>
  <c r="R60" i="12"/>
  <c r="R61" i="12"/>
  <c r="R62" i="12"/>
  <c r="R63" i="12"/>
  <c r="R64" i="12"/>
  <c r="R65" i="12"/>
  <c r="R66" i="12"/>
  <c r="R67" i="12"/>
  <c r="R68" i="12"/>
  <c r="R69" i="12"/>
  <c r="R70" i="12"/>
  <c r="R71" i="12"/>
  <c r="R72"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R126" i="12"/>
  <c r="R127" i="12"/>
  <c r="R128" i="12"/>
  <c r="R130" i="12"/>
  <c r="R131" i="12"/>
  <c r="R132" i="12"/>
  <c r="R133" i="12"/>
  <c r="R134" i="12"/>
  <c r="R135" i="12"/>
  <c r="R136" i="12"/>
  <c r="R137" i="12"/>
  <c r="R138" i="12"/>
  <c r="R139" i="12"/>
  <c r="R140" i="12"/>
  <c r="R141" i="12"/>
  <c r="R142" i="12"/>
  <c r="R143" i="12"/>
  <c r="R144" i="12"/>
  <c r="R145" i="12"/>
  <c r="R146" i="12"/>
  <c r="R147" i="12"/>
  <c r="R148" i="12"/>
  <c r="R149" i="12"/>
  <c r="R150" i="12"/>
  <c r="R151" i="12"/>
  <c r="R152" i="12"/>
  <c r="R153" i="12"/>
  <c r="R154" i="12"/>
  <c r="R155" i="12"/>
  <c r="R156" i="12"/>
  <c r="R157" i="12"/>
  <c r="R158" i="12"/>
  <c r="R159" i="12"/>
  <c r="R160" i="12"/>
  <c r="R161" i="12"/>
  <c r="R163" i="12"/>
  <c r="R164" i="12"/>
  <c r="R165" i="12"/>
  <c r="R166" i="12"/>
  <c r="R167" i="12"/>
  <c r="R168" i="12"/>
  <c r="R169" i="12"/>
  <c r="R170" i="12"/>
  <c r="R171" i="12"/>
  <c r="R172" i="12"/>
  <c r="R173" i="12"/>
  <c r="R174" i="12"/>
  <c r="R175" i="12"/>
  <c r="R176" i="12"/>
  <c r="R177" i="12"/>
  <c r="R178" i="12"/>
  <c r="R179" i="12"/>
  <c r="R180" i="12"/>
  <c r="R181" i="12"/>
  <c r="R182" i="12"/>
  <c r="R183" i="12"/>
  <c r="R184" i="12"/>
  <c r="R187" i="12"/>
  <c r="R188" i="12"/>
  <c r="R189" i="12"/>
  <c r="R190" i="12"/>
  <c r="R191" i="12"/>
  <c r="R3" i="12"/>
  <c r="R4" i="12"/>
  <c r="R5" i="12"/>
  <c r="R6" i="12"/>
  <c r="R7" i="12"/>
  <c r="R9" i="12"/>
  <c r="R10" i="12"/>
  <c r="R11" i="12"/>
  <c r="R12" i="12"/>
  <c r="R13" i="12"/>
  <c r="R14" i="12"/>
  <c r="R15" i="12"/>
  <c r="R17" i="12"/>
  <c r="R18" i="12"/>
  <c r="R19" i="12"/>
  <c r="R20" i="12"/>
  <c r="R21" i="12"/>
  <c r="R22" i="12"/>
  <c r="R23" i="12"/>
  <c r="R24" i="12"/>
  <c r="R25" i="12"/>
  <c r="R26" i="12"/>
  <c r="R2" i="12"/>
  <c r="P2" i="12"/>
  <c r="N2" i="12"/>
  <c r="L2" i="12"/>
  <c r="J2" i="12"/>
  <c r="H2" i="12"/>
  <c r="F2" i="12"/>
  <c r="BH4" i="12"/>
  <c r="BH5" i="12"/>
  <c r="BH7" i="12"/>
  <c r="BH8" i="12"/>
  <c r="BH9" i="12"/>
  <c r="BH12" i="12"/>
  <c r="BH15" i="12"/>
  <c r="BH16" i="12"/>
  <c r="BH17" i="12"/>
  <c r="BH18" i="12"/>
  <c r="BH20" i="12"/>
  <c r="BH23" i="12"/>
  <c r="BH24" i="12"/>
  <c r="BH25" i="12"/>
  <c r="BF4" i="12"/>
  <c r="BF12" i="12"/>
  <c r="BF13" i="12"/>
  <c r="BF20" i="12"/>
  <c r="BC7" i="12"/>
  <c r="BC15" i="12"/>
  <c r="BC23" i="12"/>
  <c r="BA4" i="12"/>
  <c r="BA5" i="12"/>
  <c r="BA6" i="12"/>
  <c r="BA7" i="12"/>
  <c r="BA8" i="12"/>
  <c r="BA12" i="12"/>
  <c r="BA13" i="12"/>
  <c r="BA14" i="12"/>
  <c r="BA15" i="12"/>
  <c r="BA16" i="12"/>
  <c r="BA20" i="12"/>
  <c r="BA21" i="12"/>
  <c r="BA22" i="12"/>
  <c r="BA23" i="12"/>
  <c r="BA24" i="12"/>
  <c r="AX4" i="12"/>
  <c r="AX5" i="12"/>
  <c r="AX19" i="12"/>
  <c r="AX2" i="12"/>
  <c r="AV3" i="12"/>
  <c r="AV4" i="12"/>
  <c r="AV6" i="12"/>
  <c r="AV7" i="12"/>
  <c r="AV11" i="12"/>
  <c r="AV12" i="12"/>
  <c r="AV14" i="12"/>
  <c r="AV15" i="12"/>
  <c r="AV19" i="12"/>
  <c r="AV20" i="12"/>
  <c r="AV22" i="12"/>
  <c r="AV23" i="12"/>
  <c r="AV2" i="12"/>
  <c r="AQ4" i="12"/>
  <c r="AQ5" i="12"/>
  <c r="AQ8" i="12"/>
  <c r="AQ12" i="12"/>
  <c r="AQ16" i="12"/>
  <c r="AQ20" i="12"/>
  <c r="AQ21" i="12"/>
  <c r="AQ24" i="12"/>
  <c r="AN13" i="12"/>
  <c r="AN15" i="12"/>
  <c r="AN16" i="12"/>
  <c r="AN23" i="12"/>
  <c r="AI6" i="12"/>
  <c r="AI13" i="12"/>
  <c r="AI14" i="12"/>
  <c r="AI21" i="12"/>
  <c r="AI22" i="12"/>
  <c r="AI23" i="12"/>
  <c r="AG7" i="12"/>
  <c r="AG15" i="12"/>
  <c r="AD7" i="12"/>
  <c r="AD8" i="12"/>
  <c r="AD2" i="12"/>
  <c r="AB4" i="12"/>
  <c r="AB8" i="12"/>
  <c r="AB15" i="12"/>
  <c r="AB16" i="12"/>
  <c r="AB18" i="12"/>
  <c r="AB20" i="12"/>
  <c r="AB26" i="12"/>
  <c r="Y6" i="12"/>
  <c r="Y22" i="12"/>
  <c r="W3" i="12"/>
  <c r="W11" i="12"/>
  <c r="W14" i="12"/>
  <c r="W19" i="12"/>
  <c r="W21" i="12"/>
  <c r="W2" i="12"/>
  <c r="T21" i="12"/>
  <c r="BC405" i="21" l="1"/>
  <c r="BD405" i="21"/>
  <c r="B3" i="1"/>
  <c r="B2" i="1"/>
  <c r="B4" i="1"/>
  <c r="B2" i="2"/>
  <c r="B4" i="2"/>
  <c r="B3" i="2"/>
  <c r="BI189" i="12"/>
  <c r="BI181" i="12"/>
  <c r="BI173" i="12"/>
  <c r="BI165" i="12"/>
  <c r="BI157" i="12"/>
  <c r="BI149" i="12"/>
  <c r="BI141" i="12"/>
  <c r="BI133" i="12"/>
  <c r="BI125" i="12"/>
  <c r="BI117" i="12"/>
  <c r="BI109" i="12"/>
  <c r="BI101" i="12"/>
  <c r="BI93" i="12"/>
  <c r="BI85" i="12"/>
  <c r="BI77" i="12"/>
  <c r="BI69" i="12"/>
  <c r="BI61" i="12"/>
  <c r="BI53" i="12"/>
  <c r="BI45" i="12"/>
  <c r="BI37" i="12"/>
  <c r="BI29" i="12"/>
  <c r="BD155" i="12"/>
  <c r="BI34" i="12"/>
  <c r="BD19" i="12"/>
  <c r="BD11" i="12"/>
  <c r="BD3" i="12"/>
  <c r="AY9" i="12"/>
  <c r="BD26" i="12"/>
  <c r="BD18" i="12"/>
  <c r="BD10" i="12"/>
  <c r="BI188" i="12"/>
  <c r="BI180" i="12"/>
  <c r="BI172" i="12"/>
  <c r="BI164" i="12"/>
  <c r="BI156" i="12"/>
  <c r="BI148" i="12"/>
  <c r="BI140" i="12"/>
  <c r="BI132" i="12"/>
  <c r="BI124" i="12"/>
  <c r="BI116" i="12"/>
  <c r="BI108" i="12"/>
  <c r="BI100" i="12"/>
  <c r="BI92" i="12"/>
  <c r="BI84" i="12"/>
  <c r="BI76" i="12"/>
  <c r="BI68" i="12"/>
  <c r="BI60" i="12"/>
  <c r="BI52" i="12"/>
  <c r="BI44" i="12"/>
  <c r="BI36" i="12"/>
  <c r="BI28" i="12"/>
  <c r="AY22" i="12"/>
  <c r="AY14" i="12"/>
  <c r="BD82" i="12"/>
  <c r="BI187" i="12"/>
  <c r="BI179" i="12"/>
  <c r="BI171" i="12"/>
  <c r="BI163" i="12"/>
  <c r="BI155" i="12"/>
  <c r="BI147" i="12"/>
  <c r="BI139" i="12"/>
  <c r="BI131" i="12"/>
  <c r="BI123" i="12"/>
  <c r="BI115" i="12"/>
  <c r="BI107" i="12"/>
  <c r="BI99" i="12"/>
  <c r="BI91" i="12"/>
  <c r="BI83" i="12"/>
  <c r="BI75" i="12"/>
  <c r="BI67" i="12"/>
  <c r="BI59" i="12"/>
  <c r="BI51" i="12"/>
  <c r="BI43" i="12"/>
  <c r="BI35" i="12"/>
  <c r="BI27" i="12"/>
  <c r="BD50" i="12"/>
  <c r="BH116" i="12"/>
  <c r="BH84" i="12"/>
  <c r="BI186" i="12"/>
  <c r="BI154" i="12"/>
  <c r="BI122" i="12"/>
  <c r="BI90" i="12"/>
  <c r="BI58" i="12"/>
  <c r="BD154" i="12"/>
  <c r="BH172" i="12"/>
  <c r="BH140" i="12"/>
  <c r="BH52" i="12"/>
  <c r="BI185" i="12"/>
  <c r="BI153" i="12"/>
  <c r="BI121" i="12"/>
  <c r="BI89" i="12"/>
  <c r="BI57" i="12"/>
  <c r="BD130" i="12"/>
  <c r="BH108" i="12"/>
  <c r="BH76" i="12"/>
  <c r="BI178" i="12"/>
  <c r="BI146" i="12"/>
  <c r="BI114" i="12"/>
  <c r="BI82" i="12"/>
  <c r="BI50" i="12"/>
  <c r="BD98" i="12"/>
  <c r="BH164" i="12"/>
  <c r="BH132" i="12"/>
  <c r="BH44" i="12"/>
  <c r="BI177" i="12"/>
  <c r="BI145" i="12"/>
  <c r="BI113" i="12"/>
  <c r="BI81" i="12"/>
  <c r="BI49" i="12"/>
  <c r="BH131" i="12"/>
  <c r="BH100" i="12"/>
  <c r="BH68" i="12"/>
  <c r="BI170" i="12"/>
  <c r="BI138" i="12"/>
  <c r="BI106" i="12"/>
  <c r="BI74" i="12"/>
  <c r="BI42" i="12"/>
  <c r="BH188" i="12"/>
  <c r="BH156" i="12"/>
  <c r="BH67" i="12"/>
  <c r="BH36" i="12"/>
  <c r="BI169" i="12"/>
  <c r="BI137" i="12"/>
  <c r="BI105" i="12"/>
  <c r="BI73" i="12"/>
  <c r="BI41" i="12"/>
  <c r="AY21" i="12"/>
  <c r="AY13" i="12"/>
  <c r="AY5" i="12"/>
  <c r="AY186" i="12"/>
  <c r="AY178" i="12"/>
  <c r="AY170" i="12"/>
  <c r="AY162" i="12"/>
  <c r="AY154" i="12"/>
  <c r="AY146" i="12"/>
  <c r="AY138" i="12"/>
  <c r="AY130" i="12"/>
  <c r="AY122" i="12"/>
  <c r="AY114" i="12"/>
  <c r="AY106" i="12"/>
  <c r="AY98" i="12"/>
  <c r="AY90" i="12"/>
  <c r="AY82" i="12"/>
  <c r="AY74" i="12"/>
  <c r="AY27" i="12"/>
  <c r="BH124" i="12"/>
  <c r="BH92" i="12"/>
  <c r="BI162" i="12"/>
  <c r="BI130" i="12"/>
  <c r="BI98" i="12"/>
  <c r="BI66" i="12"/>
  <c r="BD186" i="12"/>
  <c r="BH180" i="12"/>
  <c r="BH148" i="12"/>
  <c r="BH60" i="12"/>
  <c r="BH28" i="12"/>
  <c r="BI161" i="12"/>
  <c r="BI129" i="12"/>
  <c r="BI97" i="12"/>
  <c r="BI65" i="12"/>
  <c r="BI33" i="12"/>
  <c r="AE6" i="12"/>
  <c r="BH147" i="12"/>
  <c r="BH83" i="12"/>
  <c r="AE14" i="12"/>
  <c r="BH171" i="12"/>
  <c r="BH107" i="12"/>
  <c r="BH43" i="12"/>
  <c r="BH187" i="12"/>
  <c r="BH123" i="12"/>
  <c r="BH59" i="12"/>
  <c r="BA58" i="12"/>
  <c r="D3" i="8" s="1"/>
  <c r="BD106" i="12"/>
  <c r="BI184" i="12"/>
  <c r="BI176" i="12"/>
  <c r="BI168" i="12"/>
  <c r="BI160" i="12"/>
  <c r="BI152" i="12"/>
  <c r="BI144" i="12"/>
  <c r="BI136" i="12"/>
  <c r="BI128" i="12"/>
  <c r="BI120" i="12"/>
  <c r="BI112" i="12"/>
  <c r="BI104" i="12"/>
  <c r="BI96" i="12"/>
  <c r="BI88" i="12"/>
  <c r="BI80" i="12"/>
  <c r="BI72" i="12"/>
  <c r="BI64" i="12"/>
  <c r="BI56" i="12"/>
  <c r="BI48" i="12"/>
  <c r="BI40" i="12"/>
  <c r="BI32" i="12"/>
  <c r="BH163" i="12"/>
  <c r="BH99" i="12"/>
  <c r="BH35" i="12"/>
  <c r="BH191" i="12"/>
  <c r="BI191" i="12"/>
  <c r="BH183" i="12"/>
  <c r="BI183" i="12"/>
  <c r="BH175" i="12"/>
  <c r="BI175" i="12"/>
  <c r="BH167" i="12"/>
  <c r="BI167" i="12"/>
  <c r="BH159" i="12"/>
  <c r="BI159" i="12"/>
  <c r="BH151" i="12"/>
  <c r="BI151" i="12"/>
  <c r="BH143" i="12"/>
  <c r="BI143" i="12"/>
  <c r="BH135" i="12"/>
  <c r="BI135" i="12"/>
  <c r="BH127" i="12"/>
  <c r="BI127" i="12"/>
  <c r="BH119" i="12"/>
  <c r="BI119" i="12"/>
  <c r="BH111" i="12"/>
  <c r="BI111" i="12"/>
  <c r="BH103" i="12"/>
  <c r="BI103" i="12"/>
  <c r="BH95" i="12"/>
  <c r="BI95" i="12"/>
  <c r="BH87" i="12"/>
  <c r="BI87" i="12"/>
  <c r="BH79" i="12"/>
  <c r="BI79" i="12"/>
  <c r="BH71" i="12"/>
  <c r="BI71" i="12"/>
  <c r="BH63" i="12"/>
  <c r="BI63" i="12"/>
  <c r="BH55" i="12"/>
  <c r="BI55" i="12"/>
  <c r="BH47" i="12"/>
  <c r="BI47" i="12"/>
  <c r="BH39" i="12"/>
  <c r="BI39" i="12"/>
  <c r="BH31" i="12"/>
  <c r="BI31" i="12"/>
  <c r="BH139" i="12"/>
  <c r="BH75" i="12"/>
  <c r="AY25" i="12"/>
  <c r="BH190" i="12"/>
  <c r="BI190" i="12"/>
  <c r="BH182" i="12"/>
  <c r="BI182" i="12"/>
  <c r="BH174" i="12"/>
  <c r="BI174" i="12"/>
  <c r="BH166" i="12"/>
  <c r="BI166" i="12"/>
  <c r="BH158" i="12"/>
  <c r="BI158" i="12"/>
  <c r="BH150" i="12"/>
  <c r="BI150" i="12"/>
  <c r="BH142" i="12"/>
  <c r="BI142" i="12"/>
  <c r="BH134" i="12"/>
  <c r="BI134" i="12"/>
  <c r="BH126" i="12"/>
  <c r="BI126" i="12"/>
  <c r="BH118" i="12"/>
  <c r="BI118" i="12"/>
  <c r="BH110" i="12"/>
  <c r="BI110" i="12"/>
  <c r="BH102" i="12"/>
  <c r="BI102" i="12"/>
  <c r="BH94" i="12"/>
  <c r="BI94" i="12"/>
  <c r="BH86" i="12"/>
  <c r="BI86" i="12"/>
  <c r="BH78" i="12"/>
  <c r="BI78" i="12"/>
  <c r="BH70" i="12"/>
  <c r="BI70" i="12"/>
  <c r="BH62" i="12"/>
  <c r="BI62" i="12"/>
  <c r="BH54" i="12"/>
  <c r="BI54" i="12"/>
  <c r="BH46" i="12"/>
  <c r="BI46" i="12"/>
  <c r="BH38" i="12"/>
  <c r="BI38" i="12"/>
  <c r="BH30" i="12"/>
  <c r="BI30" i="12"/>
  <c r="BH179" i="12"/>
  <c r="BH115" i="12"/>
  <c r="BH51" i="12"/>
  <c r="AY17" i="12"/>
  <c r="BD5" i="12"/>
  <c r="BH155" i="12"/>
  <c r="BH91" i="12"/>
  <c r="BH27" i="12"/>
  <c r="AY66" i="12"/>
  <c r="AY58" i="12"/>
  <c r="AY50" i="12"/>
  <c r="AY42" i="12"/>
  <c r="AY34" i="12"/>
  <c r="BD20" i="12"/>
  <c r="BD12" i="12"/>
  <c r="BD4" i="12"/>
  <c r="BD162" i="12"/>
  <c r="BD114" i="12"/>
  <c r="BD59" i="12"/>
  <c r="BH189" i="12"/>
  <c r="BH181" i="12"/>
  <c r="BH173" i="12"/>
  <c r="BH165" i="12"/>
  <c r="BH157" i="12"/>
  <c r="BH149" i="12"/>
  <c r="BH141" i="12"/>
  <c r="BH133" i="12"/>
  <c r="BH125" i="12"/>
  <c r="BH117" i="12"/>
  <c r="BH109" i="12"/>
  <c r="BH101" i="12"/>
  <c r="BH93" i="12"/>
  <c r="BH85" i="12"/>
  <c r="BH77" i="12"/>
  <c r="BH69" i="12"/>
  <c r="BH61" i="12"/>
  <c r="BH53" i="12"/>
  <c r="BH45" i="12"/>
  <c r="BH37" i="12"/>
  <c r="BH29" i="12"/>
  <c r="AY19" i="12"/>
  <c r="AY11" i="12"/>
  <c r="BD146" i="12"/>
  <c r="BD91" i="12"/>
  <c r="BD42" i="12"/>
  <c r="BD187" i="12"/>
  <c r="BD138" i="12"/>
  <c r="BD90" i="12"/>
  <c r="BD34" i="12"/>
  <c r="AY115" i="12"/>
  <c r="BD178" i="12"/>
  <c r="BD123" i="12"/>
  <c r="BD74" i="12"/>
  <c r="BD170" i="12"/>
  <c r="BD122" i="12"/>
  <c r="BD66" i="12"/>
  <c r="AT19" i="12"/>
  <c r="AT11" i="12"/>
  <c r="AT3" i="12"/>
  <c r="AY24" i="12"/>
  <c r="AY16" i="12"/>
  <c r="AY8" i="12"/>
  <c r="AY189" i="12"/>
  <c r="AY181" i="12"/>
  <c r="AY173" i="12"/>
  <c r="AY165" i="12"/>
  <c r="AY157" i="12"/>
  <c r="AY149" i="12"/>
  <c r="AY141" i="12"/>
  <c r="AY133" i="12"/>
  <c r="AY125" i="12"/>
  <c r="AY117" i="12"/>
  <c r="AY112" i="12"/>
  <c r="AY107" i="12"/>
  <c r="BC184" i="12"/>
  <c r="BD184" i="12"/>
  <c r="BC176" i="12"/>
  <c r="BD176" i="12"/>
  <c r="BC168" i="12"/>
  <c r="BD168" i="12"/>
  <c r="BC160" i="12"/>
  <c r="BD160" i="12"/>
  <c r="BC152" i="12"/>
  <c r="BD152" i="12"/>
  <c r="BC144" i="12"/>
  <c r="BD144" i="12"/>
  <c r="BC136" i="12"/>
  <c r="BD136" i="12"/>
  <c r="BC128" i="12"/>
  <c r="BD128" i="12"/>
  <c r="BC120" i="12"/>
  <c r="BD120" i="12"/>
  <c r="BC112" i="12"/>
  <c r="BD112" i="12"/>
  <c r="BC104" i="12"/>
  <c r="BD104" i="12"/>
  <c r="BC96" i="12"/>
  <c r="BD96" i="12"/>
  <c r="BC88" i="12"/>
  <c r="BD88" i="12"/>
  <c r="BC80" i="12"/>
  <c r="BD80" i="12"/>
  <c r="BC72" i="12"/>
  <c r="BD72" i="12"/>
  <c r="BC64" i="12"/>
  <c r="BD64" i="12"/>
  <c r="BC56" i="12"/>
  <c r="BD56" i="12"/>
  <c r="BC48" i="12"/>
  <c r="BD48" i="12"/>
  <c r="BC40" i="12"/>
  <c r="BD40" i="12"/>
  <c r="BC32" i="12"/>
  <c r="BD32" i="12"/>
  <c r="BD179" i="12"/>
  <c r="BD147" i="12"/>
  <c r="BD115" i="12"/>
  <c r="BD83" i="12"/>
  <c r="BD51" i="12"/>
  <c r="AY6" i="12"/>
  <c r="AX187" i="12"/>
  <c r="AY187" i="12"/>
  <c r="AX179" i="12"/>
  <c r="AY179" i="12"/>
  <c r="AX139" i="12"/>
  <c r="AY139" i="12"/>
  <c r="AX131" i="12"/>
  <c r="AY131" i="12"/>
  <c r="AX123" i="12"/>
  <c r="AY123" i="12"/>
  <c r="AX91" i="12"/>
  <c r="AY91" i="12"/>
  <c r="AX83" i="12"/>
  <c r="AY83" i="12"/>
  <c r="AX75" i="12"/>
  <c r="AY75" i="12"/>
  <c r="AY99" i="12"/>
  <c r="BC191" i="12"/>
  <c r="BD191" i="12"/>
  <c r="BC183" i="12"/>
  <c r="BD183" i="12"/>
  <c r="BC175" i="12"/>
  <c r="BD175" i="12"/>
  <c r="BC167" i="12"/>
  <c r="BD167" i="12"/>
  <c r="BC159" i="12"/>
  <c r="BD159" i="12"/>
  <c r="BC151" i="12"/>
  <c r="BD151" i="12"/>
  <c r="BC143" i="12"/>
  <c r="BD143" i="12"/>
  <c r="BC135" i="12"/>
  <c r="BD135" i="12"/>
  <c r="BC127" i="12"/>
  <c r="BD127" i="12"/>
  <c r="BC119" i="12"/>
  <c r="BD119" i="12"/>
  <c r="BC111" i="12"/>
  <c r="BD111" i="12"/>
  <c r="BC103" i="12"/>
  <c r="BD103" i="12"/>
  <c r="BC95" i="12"/>
  <c r="BD95" i="12"/>
  <c r="BC87" i="12"/>
  <c r="BD87" i="12"/>
  <c r="BC79" i="12"/>
  <c r="BD79" i="12"/>
  <c r="BC71" i="12"/>
  <c r="BD71" i="12"/>
  <c r="BC63" i="12"/>
  <c r="BD63" i="12"/>
  <c r="BC55" i="12"/>
  <c r="BD55" i="12"/>
  <c r="BC47" i="12"/>
  <c r="BD47" i="12"/>
  <c r="BC39" i="12"/>
  <c r="BD39" i="12"/>
  <c r="BC31" i="12"/>
  <c r="BD31" i="12"/>
  <c r="U185" i="12"/>
  <c r="AY171" i="12"/>
  <c r="AY67" i="12"/>
  <c r="BD17" i="12"/>
  <c r="BD171" i="12"/>
  <c r="BD139" i="12"/>
  <c r="BD107" i="12"/>
  <c r="BD75" i="12"/>
  <c r="BD43" i="12"/>
  <c r="AE97" i="12"/>
  <c r="AE89" i="12"/>
  <c r="AE81" i="12"/>
  <c r="AE73" i="12"/>
  <c r="AE65" i="12"/>
  <c r="AE57" i="12"/>
  <c r="AE49" i="12"/>
  <c r="AE41" i="12"/>
  <c r="AE33" i="12"/>
  <c r="AY20" i="12"/>
  <c r="AY12" i="12"/>
  <c r="AY4" i="12"/>
  <c r="AY163" i="12"/>
  <c r="AY59" i="12"/>
  <c r="BD16" i="12"/>
  <c r="BD189" i="12"/>
  <c r="BD181" i="12"/>
  <c r="BD173" i="12"/>
  <c r="BD165" i="12"/>
  <c r="BD157" i="12"/>
  <c r="BD149" i="12"/>
  <c r="BD141" i="12"/>
  <c r="BD133" i="12"/>
  <c r="BD125" i="12"/>
  <c r="BD117" i="12"/>
  <c r="BD109" i="12"/>
  <c r="BD101" i="12"/>
  <c r="BD93" i="12"/>
  <c r="BD85" i="12"/>
  <c r="BD77" i="12"/>
  <c r="BD69" i="12"/>
  <c r="BD61" i="12"/>
  <c r="BD53" i="12"/>
  <c r="BD45" i="12"/>
  <c r="BD37" i="12"/>
  <c r="BD29" i="12"/>
  <c r="AT21" i="12"/>
  <c r="AT146" i="12"/>
  <c r="AT114" i="12"/>
  <c r="AX176" i="12"/>
  <c r="AY176" i="12"/>
  <c r="AX144" i="12"/>
  <c r="AY144" i="12"/>
  <c r="AX80" i="12"/>
  <c r="AY80" i="12"/>
  <c r="AY155" i="12"/>
  <c r="AY51" i="12"/>
  <c r="BD23" i="12"/>
  <c r="BD15" i="12"/>
  <c r="BD7" i="12"/>
  <c r="BD188" i="12"/>
  <c r="BD180" i="12"/>
  <c r="BD172" i="12"/>
  <c r="BD164" i="12"/>
  <c r="BD156" i="12"/>
  <c r="BD148" i="12"/>
  <c r="BD140" i="12"/>
  <c r="BD132" i="12"/>
  <c r="BD124" i="12"/>
  <c r="BD116" i="12"/>
  <c r="BD108" i="12"/>
  <c r="BD100" i="12"/>
  <c r="BD92" i="12"/>
  <c r="BD84" i="12"/>
  <c r="BD76" i="12"/>
  <c r="BD68" i="12"/>
  <c r="BD60" i="12"/>
  <c r="BD52" i="12"/>
  <c r="BD44" i="12"/>
  <c r="BD36" i="12"/>
  <c r="BD28" i="12"/>
  <c r="BD163" i="12"/>
  <c r="BD131" i="12"/>
  <c r="BD99" i="12"/>
  <c r="BD67" i="12"/>
  <c r="BD35" i="12"/>
  <c r="AY26" i="12"/>
  <c r="AY10" i="12"/>
  <c r="AY147" i="12"/>
  <c r="AY48" i="12"/>
  <c r="BD27" i="12"/>
  <c r="BC27" i="12"/>
  <c r="BD185" i="12"/>
  <c r="BD177" i="12"/>
  <c r="BD169" i="12"/>
  <c r="BD161" i="12"/>
  <c r="BD153" i="12"/>
  <c r="BD145" i="12"/>
  <c r="BD137" i="12"/>
  <c r="BD129" i="12"/>
  <c r="BD121" i="12"/>
  <c r="BD113" i="12"/>
  <c r="BD105" i="12"/>
  <c r="BD97" i="12"/>
  <c r="BD89" i="12"/>
  <c r="BD81" i="12"/>
  <c r="BD73" i="12"/>
  <c r="BD65" i="12"/>
  <c r="BD57" i="12"/>
  <c r="BD49" i="12"/>
  <c r="BD41" i="12"/>
  <c r="BD33" i="12"/>
  <c r="AY109" i="12"/>
  <c r="AY101" i="12"/>
  <c r="AY93" i="12"/>
  <c r="AY85" i="12"/>
  <c r="AY77" i="12"/>
  <c r="AY69" i="12"/>
  <c r="AY61" i="12"/>
  <c r="AY53" i="12"/>
  <c r="AY45" i="12"/>
  <c r="AY37" i="12"/>
  <c r="AY29" i="12"/>
  <c r="AY43" i="12"/>
  <c r="AY35" i="12"/>
  <c r="BD25" i="12"/>
  <c r="BD9" i="12"/>
  <c r="BD190" i="12"/>
  <c r="BD182" i="12"/>
  <c r="BD174" i="12"/>
  <c r="BD166" i="12"/>
  <c r="BD158" i="12"/>
  <c r="BD150" i="12"/>
  <c r="BD142" i="12"/>
  <c r="BD134" i="12"/>
  <c r="BD126" i="12"/>
  <c r="BD118" i="12"/>
  <c r="BD110" i="12"/>
  <c r="BD102" i="12"/>
  <c r="BD94" i="12"/>
  <c r="BD86" i="12"/>
  <c r="BD78" i="12"/>
  <c r="BD70" i="12"/>
  <c r="BD62" i="12"/>
  <c r="BD54" i="12"/>
  <c r="BD46" i="12"/>
  <c r="BD38" i="12"/>
  <c r="BD30" i="12"/>
  <c r="BD24" i="12"/>
  <c r="BD8" i="12"/>
  <c r="AV146" i="12"/>
  <c r="AV82" i="12"/>
  <c r="AX133" i="12"/>
  <c r="AQ22" i="12"/>
  <c r="AJ178" i="12"/>
  <c r="AJ170" i="12"/>
  <c r="AJ162" i="12"/>
  <c r="AJ154" i="12"/>
  <c r="AJ130" i="12"/>
  <c r="AJ114" i="12"/>
  <c r="AJ106" i="12"/>
  <c r="AJ98" i="12"/>
  <c r="AJ90" i="12"/>
  <c r="AJ66" i="12"/>
  <c r="AJ42" i="12"/>
  <c r="AJ34" i="12"/>
  <c r="AO22" i="12"/>
  <c r="AO18" i="12"/>
  <c r="AT59" i="12"/>
  <c r="AV186" i="12"/>
  <c r="AV122" i="12"/>
  <c r="AV58" i="12"/>
  <c r="AY23" i="12"/>
  <c r="AY15" i="12"/>
  <c r="AY7" i="12"/>
  <c r="AY188" i="12"/>
  <c r="AY180" i="12"/>
  <c r="AY172" i="12"/>
  <c r="AY164" i="12"/>
  <c r="AY156" i="12"/>
  <c r="AY148" i="12"/>
  <c r="AY140" i="12"/>
  <c r="AY132" i="12"/>
  <c r="AY124" i="12"/>
  <c r="AY116" i="12"/>
  <c r="AY108" i="12"/>
  <c r="AY100" i="12"/>
  <c r="AY92" i="12"/>
  <c r="AY84" i="12"/>
  <c r="AY76" i="12"/>
  <c r="AY68" i="12"/>
  <c r="AY60" i="12"/>
  <c r="AY52" i="12"/>
  <c r="AY44" i="12"/>
  <c r="AY36" i="12"/>
  <c r="AY28" i="12"/>
  <c r="AX173" i="12"/>
  <c r="AX109" i="12"/>
  <c r="AX45" i="12"/>
  <c r="AY184" i="12"/>
  <c r="AY152" i="12"/>
  <c r="AY120" i="12"/>
  <c r="AY88" i="12"/>
  <c r="AY56" i="12"/>
  <c r="AT91" i="12"/>
  <c r="AX69" i="12"/>
  <c r="AE20" i="12"/>
  <c r="AE12" i="12"/>
  <c r="AE4" i="12"/>
  <c r="AE185" i="12"/>
  <c r="AE177" i="12"/>
  <c r="AE169" i="12"/>
  <c r="AE161" i="12"/>
  <c r="AE153" i="12"/>
  <c r="AE145" i="12"/>
  <c r="AE137" i="12"/>
  <c r="AE129" i="12"/>
  <c r="AE121" i="12"/>
  <c r="AE113" i="12"/>
  <c r="AE105" i="12"/>
  <c r="AO21" i="12"/>
  <c r="AO13" i="12"/>
  <c r="AO5" i="12"/>
  <c r="AO186" i="12"/>
  <c r="AO170" i="12"/>
  <c r="AO162" i="12"/>
  <c r="AO154" i="12"/>
  <c r="AO138" i="12"/>
  <c r="AO122" i="12"/>
  <c r="AO106" i="12"/>
  <c r="AO98" i="12"/>
  <c r="AO90" i="12"/>
  <c r="AO74" i="12"/>
  <c r="AO58" i="12"/>
  <c r="AO42" i="12"/>
  <c r="AO34" i="12"/>
  <c r="AT20" i="12"/>
  <c r="AT12" i="12"/>
  <c r="AT4" i="12"/>
  <c r="AT185" i="12"/>
  <c r="AQ185" i="12"/>
  <c r="AT177" i="12"/>
  <c r="AT169" i="12"/>
  <c r="AT161" i="12"/>
  <c r="AQ161" i="12"/>
  <c r="AT153" i="12"/>
  <c r="AT145" i="12"/>
  <c r="AQ145" i="12"/>
  <c r="AT137" i="12"/>
  <c r="AQ137" i="12"/>
  <c r="AT129" i="12"/>
  <c r="AQ129" i="12"/>
  <c r="AT121" i="12"/>
  <c r="AQ121" i="12"/>
  <c r="AT113" i="12"/>
  <c r="AT105" i="12"/>
  <c r="AT97" i="12"/>
  <c r="AQ97" i="12"/>
  <c r="AT89" i="12"/>
  <c r="AT81" i="12"/>
  <c r="AQ81" i="12"/>
  <c r="AT73" i="12"/>
  <c r="AQ73" i="12"/>
  <c r="AT65" i="12"/>
  <c r="AQ65" i="12"/>
  <c r="AT57" i="12"/>
  <c r="AQ57" i="12"/>
  <c r="AT49" i="12"/>
  <c r="AT41" i="12"/>
  <c r="AT33" i="12"/>
  <c r="AQ33" i="12"/>
  <c r="AQ177" i="12"/>
  <c r="AT25" i="12"/>
  <c r="AT17" i="12"/>
  <c r="AT9" i="12"/>
  <c r="AV162" i="12"/>
  <c r="AV98" i="12"/>
  <c r="AV34" i="12"/>
  <c r="AX149" i="12"/>
  <c r="AX85" i="12"/>
  <c r="AV74" i="12"/>
  <c r="AX189" i="12"/>
  <c r="AX61" i="12"/>
  <c r="AV178" i="12"/>
  <c r="AV114" i="12"/>
  <c r="AV50" i="12"/>
  <c r="AX165" i="12"/>
  <c r="AX101" i="12"/>
  <c r="AX37" i="12"/>
  <c r="AX125" i="12"/>
  <c r="AV21" i="12"/>
  <c r="AT155" i="12"/>
  <c r="AT123" i="12"/>
  <c r="AV154" i="12"/>
  <c r="AV90" i="12"/>
  <c r="AX141" i="12"/>
  <c r="AX77" i="12"/>
  <c r="AY168" i="12"/>
  <c r="AY136" i="12"/>
  <c r="AY104" i="12"/>
  <c r="AY72" i="12"/>
  <c r="AY40" i="12"/>
  <c r="AV138" i="12"/>
  <c r="AQ6" i="12"/>
  <c r="AS11" i="12"/>
  <c r="AV13" i="12"/>
  <c r="AV5" i="12"/>
  <c r="AT187" i="12"/>
  <c r="AV130" i="12"/>
  <c r="AV66" i="12"/>
  <c r="AX18" i="12"/>
  <c r="AY18" i="12"/>
  <c r="AX191" i="12"/>
  <c r="AY191" i="12"/>
  <c r="AX183" i="12"/>
  <c r="AY183" i="12"/>
  <c r="AX175" i="12"/>
  <c r="AY175" i="12"/>
  <c r="AX167" i="12"/>
  <c r="AY167" i="12"/>
  <c r="AX159" i="12"/>
  <c r="AY159" i="12"/>
  <c r="AX151" i="12"/>
  <c r="AY151" i="12"/>
  <c r="AX143" i="12"/>
  <c r="AY143" i="12"/>
  <c r="AX135" i="12"/>
  <c r="AY135" i="12"/>
  <c r="AX127" i="12"/>
  <c r="AY127" i="12"/>
  <c r="AX119" i="12"/>
  <c r="AY119" i="12"/>
  <c r="AX111" i="12"/>
  <c r="AY111" i="12"/>
  <c r="AX103" i="12"/>
  <c r="AY103" i="12"/>
  <c r="AX95" i="12"/>
  <c r="AY95" i="12"/>
  <c r="AX87" i="12"/>
  <c r="AY87" i="12"/>
  <c r="AX79" i="12"/>
  <c r="AY79" i="12"/>
  <c r="AX71" i="12"/>
  <c r="AY71" i="12"/>
  <c r="AX63" i="12"/>
  <c r="AY63" i="12"/>
  <c r="AX55" i="12"/>
  <c r="AY55" i="12"/>
  <c r="AX47" i="12"/>
  <c r="AY47" i="12"/>
  <c r="AX39" i="12"/>
  <c r="AY39" i="12"/>
  <c r="AX31" i="12"/>
  <c r="AY31" i="12"/>
  <c r="AX181" i="12"/>
  <c r="AX117" i="12"/>
  <c r="AX53" i="12"/>
  <c r="AQ14" i="12"/>
  <c r="AO20" i="12"/>
  <c r="AO12" i="12"/>
  <c r="AO4" i="12"/>
  <c r="AV170" i="12"/>
  <c r="AV106" i="12"/>
  <c r="AV42" i="12"/>
  <c r="AX157" i="12"/>
  <c r="AX93" i="12"/>
  <c r="AX29" i="12"/>
  <c r="AY3" i="12"/>
  <c r="AY160" i="12"/>
  <c r="AY128" i="12"/>
  <c r="AY96" i="12"/>
  <c r="AY64" i="12"/>
  <c r="AY32" i="12"/>
  <c r="AT26" i="12"/>
  <c r="AT10" i="12"/>
  <c r="AT82" i="12"/>
  <c r="AY185" i="12"/>
  <c r="AY177" i="12"/>
  <c r="AY169" i="12"/>
  <c r="AY161" i="12"/>
  <c r="AY153" i="12"/>
  <c r="AY145" i="12"/>
  <c r="AY137" i="12"/>
  <c r="AY129" i="12"/>
  <c r="AY121" i="12"/>
  <c r="AY113" i="12"/>
  <c r="AY105" i="12"/>
  <c r="AY97" i="12"/>
  <c r="AY89" i="12"/>
  <c r="AY81" i="12"/>
  <c r="AY73" i="12"/>
  <c r="AY65" i="12"/>
  <c r="AY57" i="12"/>
  <c r="AY49" i="12"/>
  <c r="AY41" i="12"/>
  <c r="AY33" i="12"/>
  <c r="AT178" i="12"/>
  <c r="AT50" i="12"/>
  <c r="AY190" i="12"/>
  <c r="AY182" i="12"/>
  <c r="AY174" i="12"/>
  <c r="AY166" i="12"/>
  <c r="AY158" i="12"/>
  <c r="AY150" i="12"/>
  <c r="AY142" i="12"/>
  <c r="AY134" i="12"/>
  <c r="AY126" i="12"/>
  <c r="AY118" i="12"/>
  <c r="AY110" i="12"/>
  <c r="AY102" i="12"/>
  <c r="AY94" i="12"/>
  <c r="AY86" i="12"/>
  <c r="AY78" i="12"/>
  <c r="AY70" i="12"/>
  <c r="AY62" i="12"/>
  <c r="AY54" i="12"/>
  <c r="AY46" i="12"/>
  <c r="AY38" i="12"/>
  <c r="AY30" i="12"/>
  <c r="AS146" i="12"/>
  <c r="AO25" i="12"/>
  <c r="AO17" i="12"/>
  <c r="AO43" i="12"/>
  <c r="AQ186" i="12"/>
  <c r="AQ170" i="12"/>
  <c r="AQ154" i="12"/>
  <c r="AQ138" i="12"/>
  <c r="AQ122" i="12"/>
  <c r="AQ106" i="12"/>
  <c r="AQ90" i="12"/>
  <c r="AQ74" i="12"/>
  <c r="AQ58" i="12"/>
  <c r="AQ42" i="12"/>
  <c r="AS184" i="12"/>
  <c r="AT184" i="12"/>
  <c r="AS176" i="12"/>
  <c r="AT176" i="12"/>
  <c r="AS168" i="12"/>
  <c r="AT168" i="12"/>
  <c r="AS160" i="12"/>
  <c r="AT160" i="12"/>
  <c r="AS152" i="12"/>
  <c r="AT152" i="12"/>
  <c r="AS144" i="12"/>
  <c r="AT144" i="12"/>
  <c r="AS136" i="12"/>
  <c r="AT136" i="12"/>
  <c r="AS128" i="12"/>
  <c r="AT128" i="12"/>
  <c r="AS120" i="12"/>
  <c r="AT120" i="12"/>
  <c r="AS112" i="12"/>
  <c r="AT112" i="12"/>
  <c r="AS104" i="12"/>
  <c r="AT104" i="12"/>
  <c r="AS96" i="12"/>
  <c r="AT96" i="12"/>
  <c r="AS88" i="12"/>
  <c r="AT88" i="12"/>
  <c r="AS80" i="12"/>
  <c r="AT80" i="12"/>
  <c r="AS72" i="12"/>
  <c r="AT72" i="12"/>
  <c r="AS64" i="12"/>
  <c r="AT64" i="12"/>
  <c r="AS56" i="12"/>
  <c r="AT56" i="12"/>
  <c r="AS48" i="12"/>
  <c r="AT48" i="12"/>
  <c r="AS40" i="12"/>
  <c r="AT40" i="12"/>
  <c r="AS32" i="12"/>
  <c r="AT32" i="12"/>
  <c r="AO72" i="12"/>
  <c r="AQ13" i="12"/>
  <c r="AS18" i="12"/>
  <c r="AT18" i="12"/>
  <c r="AS191" i="12"/>
  <c r="AT191" i="12"/>
  <c r="AS183" i="12"/>
  <c r="AT183" i="12"/>
  <c r="AS175" i="12"/>
  <c r="AT175" i="12"/>
  <c r="AS167" i="12"/>
  <c r="AT167" i="12"/>
  <c r="AS159" i="12"/>
  <c r="AT159" i="12"/>
  <c r="AS151" i="12"/>
  <c r="AT151" i="12"/>
  <c r="AS143" i="12"/>
  <c r="AT143" i="12"/>
  <c r="AS135" i="12"/>
  <c r="AT135" i="12"/>
  <c r="AS127" i="12"/>
  <c r="AT127" i="12"/>
  <c r="AS119" i="12"/>
  <c r="AT119" i="12"/>
  <c r="AS111" i="12"/>
  <c r="AT111" i="12"/>
  <c r="AS103" i="12"/>
  <c r="AT103" i="12"/>
  <c r="AS95" i="12"/>
  <c r="AT95" i="12"/>
  <c r="AS87" i="12"/>
  <c r="AT87" i="12"/>
  <c r="AS79" i="12"/>
  <c r="AT79" i="12"/>
  <c r="AS71" i="12"/>
  <c r="AT71" i="12"/>
  <c r="AS63" i="12"/>
  <c r="AT63" i="12"/>
  <c r="AS55" i="12"/>
  <c r="AT55" i="12"/>
  <c r="AS47" i="12"/>
  <c r="AT47" i="12"/>
  <c r="AS39" i="12"/>
  <c r="AT39" i="12"/>
  <c r="AS31" i="12"/>
  <c r="AT31" i="12"/>
  <c r="AT179" i="12"/>
  <c r="AT147" i="12"/>
  <c r="AT115" i="12"/>
  <c r="AT83" i="12"/>
  <c r="AT51" i="12"/>
  <c r="AS190" i="12"/>
  <c r="AT190" i="12"/>
  <c r="AS174" i="12"/>
  <c r="AT174" i="12"/>
  <c r="AS158" i="12"/>
  <c r="AT158" i="12"/>
  <c r="AS102" i="12"/>
  <c r="AT102" i="12"/>
  <c r="AO155" i="12"/>
  <c r="AN155" i="12"/>
  <c r="AO35" i="12"/>
  <c r="AO27" i="12"/>
  <c r="AN27" i="12"/>
  <c r="AT24" i="12"/>
  <c r="AT16" i="12"/>
  <c r="AT8" i="12"/>
  <c r="AT189" i="12"/>
  <c r="AT181" i="12"/>
  <c r="AT173" i="12"/>
  <c r="AT165" i="12"/>
  <c r="AT157" i="12"/>
  <c r="AT149" i="12"/>
  <c r="AT141" i="12"/>
  <c r="AT133" i="12"/>
  <c r="AT125" i="12"/>
  <c r="AT117" i="12"/>
  <c r="AT109" i="12"/>
  <c r="AT101" i="12"/>
  <c r="AT93" i="12"/>
  <c r="AT85" i="12"/>
  <c r="AT77" i="12"/>
  <c r="AT69" i="12"/>
  <c r="AT61" i="12"/>
  <c r="AT53" i="12"/>
  <c r="AT45" i="12"/>
  <c r="AT37" i="12"/>
  <c r="AT29" i="12"/>
  <c r="AT171" i="12"/>
  <c r="AT139" i="12"/>
  <c r="AT107" i="12"/>
  <c r="AT75" i="12"/>
  <c r="AT43" i="12"/>
  <c r="AS182" i="12"/>
  <c r="AT182" i="12"/>
  <c r="AS166" i="12"/>
  <c r="AT166" i="12"/>
  <c r="AS150" i="12"/>
  <c r="AT150" i="12"/>
  <c r="AS142" i="12"/>
  <c r="AT142" i="12"/>
  <c r="AS134" i="12"/>
  <c r="AT134" i="12"/>
  <c r="AS126" i="12"/>
  <c r="AT126" i="12"/>
  <c r="AS118" i="12"/>
  <c r="AT118" i="12"/>
  <c r="AS110" i="12"/>
  <c r="AT110" i="12"/>
  <c r="AS94" i="12"/>
  <c r="AT94" i="12"/>
  <c r="AS86" i="12"/>
  <c r="AT86" i="12"/>
  <c r="AS78" i="12"/>
  <c r="AT78" i="12"/>
  <c r="AS70" i="12"/>
  <c r="AT70" i="12"/>
  <c r="AS62" i="12"/>
  <c r="AT62" i="12"/>
  <c r="AS54" i="12"/>
  <c r="AT54" i="12"/>
  <c r="AS46" i="12"/>
  <c r="AT46" i="12"/>
  <c r="AS38" i="12"/>
  <c r="AT38" i="12"/>
  <c r="AS30" i="12"/>
  <c r="AT30" i="12"/>
  <c r="AS17" i="12"/>
  <c r="AI47" i="12"/>
  <c r="AJ47" i="12"/>
  <c r="AQ162" i="12"/>
  <c r="AQ130" i="12"/>
  <c r="AQ98" i="12"/>
  <c r="AQ66" i="12"/>
  <c r="AQ34" i="12"/>
  <c r="AT23" i="12"/>
  <c r="AT15" i="12"/>
  <c r="AT7" i="12"/>
  <c r="AT188" i="12"/>
  <c r="AT180" i="12"/>
  <c r="AT172" i="12"/>
  <c r="AT164" i="12"/>
  <c r="AT156" i="12"/>
  <c r="AT148" i="12"/>
  <c r="AT140" i="12"/>
  <c r="AT132" i="12"/>
  <c r="AT124" i="12"/>
  <c r="AT116" i="12"/>
  <c r="AT108" i="12"/>
  <c r="AT100" i="12"/>
  <c r="AT92" i="12"/>
  <c r="AT84" i="12"/>
  <c r="AT76" i="12"/>
  <c r="AT68" i="12"/>
  <c r="AT60" i="12"/>
  <c r="AT52" i="12"/>
  <c r="AT44" i="12"/>
  <c r="AT36" i="12"/>
  <c r="AT28" i="12"/>
  <c r="U186" i="12"/>
  <c r="U162" i="12"/>
  <c r="Z5" i="12"/>
  <c r="Z90" i="12"/>
  <c r="Z66" i="12"/>
  <c r="AO136" i="12"/>
  <c r="AT163" i="12"/>
  <c r="AT131" i="12"/>
  <c r="AT99" i="12"/>
  <c r="AT67" i="12"/>
  <c r="AT35" i="12"/>
  <c r="Z145" i="12"/>
  <c r="AB105" i="12"/>
  <c r="AJ185" i="12"/>
  <c r="AJ177" i="12"/>
  <c r="AJ169" i="12"/>
  <c r="AJ161" i="12"/>
  <c r="AJ153" i="12"/>
  <c r="AJ145" i="12"/>
  <c r="AJ137" i="12"/>
  <c r="AJ129" i="12"/>
  <c r="AJ121" i="12"/>
  <c r="AJ113" i="12"/>
  <c r="AJ105" i="12"/>
  <c r="AJ97" i="12"/>
  <c r="AJ89" i="12"/>
  <c r="AJ81" i="12"/>
  <c r="AJ73" i="12"/>
  <c r="AJ65" i="12"/>
  <c r="AJ57" i="12"/>
  <c r="AJ49" i="12"/>
  <c r="AJ41" i="12"/>
  <c r="AJ33" i="12"/>
  <c r="AO19" i="12"/>
  <c r="AO11" i="12"/>
  <c r="AO3" i="12"/>
  <c r="AO91" i="12"/>
  <c r="AQ27" i="12"/>
  <c r="AT27" i="12"/>
  <c r="AO53" i="12"/>
  <c r="AO45" i="12"/>
  <c r="AO37" i="12"/>
  <c r="AO29" i="12"/>
  <c r="AO178" i="12"/>
  <c r="AO50" i="12"/>
  <c r="Y5" i="12"/>
  <c r="AL5" i="12"/>
  <c r="Z20" i="12"/>
  <c r="Z12" i="12"/>
  <c r="Z4" i="12"/>
  <c r="Z81" i="12"/>
  <c r="AB169" i="12"/>
  <c r="AB33" i="12"/>
  <c r="AJ50" i="12"/>
  <c r="AG50" i="12"/>
  <c r="AI191" i="12"/>
  <c r="AJ191" i="12"/>
  <c r="AI111" i="12"/>
  <c r="AJ111" i="12"/>
  <c r="AI95" i="12"/>
  <c r="AJ95" i="12"/>
  <c r="AI79" i="12"/>
  <c r="AJ79" i="12"/>
  <c r="AI63" i="12"/>
  <c r="AJ63" i="12"/>
  <c r="AJ40" i="12"/>
  <c r="AL186" i="12"/>
  <c r="AL170" i="12"/>
  <c r="AL154" i="12"/>
  <c r="AL138" i="12"/>
  <c r="AL122" i="12"/>
  <c r="B3" i="5" s="1"/>
  <c r="AL106" i="12"/>
  <c r="AL90" i="12"/>
  <c r="AL74" i="12"/>
  <c r="AL58" i="12"/>
  <c r="AL42" i="12"/>
  <c r="AO6" i="12"/>
  <c r="AO176" i="12"/>
  <c r="AO131" i="12"/>
  <c r="AO112" i="12"/>
  <c r="AO67" i="12"/>
  <c r="AO48" i="12"/>
  <c r="AE13" i="12"/>
  <c r="AO114" i="12"/>
  <c r="Z11" i="12"/>
  <c r="Z3" i="12"/>
  <c r="Z128" i="12"/>
  <c r="Z120" i="12"/>
  <c r="Z40" i="12"/>
  <c r="AB97" i="12"/>
  <c r="AE154" i="12"/>
  <c r="AG170" i="12"/>
  <c r="AG65" i="12"/>
  <c r="AJ175" i="12"/>
  <c r="AN26" i="12"/>
  <c r="AO26" i="12"/>
  <c r="AN10" i="12"/>
  <c r="AO10" i="12"/>
  <c r="AN191" i="12"/>
  <c r="AO191" i="12"/>
  <c r="AN183" i="12"/>
  <c r="AO183" i="12"/>
  <c r="AN175" i="12"/>
  <c r="AO175" i="12"/>
  <c r="AN167" i="12"/>
  <c r="AO167" i="12"/>
  <c r="AN159" i="12"/>
  <c r="AO159" i="12"/>
  <c r="AN151" i="12"/>
  <c r="AO151" i="12"/>
  <c r="AN143" i="12"/>
  <c r="AO143" i="12"/>
  <c r="AN135" i="12"/>
  <c r="AO135" i="12"/>
  <c r="AN127" i="12"/>
  <c r="AO127" i="12"/>
  <c r="AN119" i="12"/>
  <c r="AO119" i="12"/>
  <c r="AN111" i="12"/>
  <c r="AO111" i="12"/>
  <c r="AN103" i="12"/>
  <c r="AO103" i="12"/>
  <c r="AN95" i="12"/>
  <c r="AO95" i="12"/>
  <c r="AN87" i="12"/>
  <c r="AO87" i="12"/>
  <c r="AN79" i="12"/>
  <c r="AO79" i="12"/>
  <c r="AN71" i="12"/>
  <c r="AO71" i="12"/>
  <c r="AN63" i="12"/>
  <c r="AO63" i="12"/>
  <c r="AN55" i="12"/>
  <c r="AO55" i="12"/>
  <c r="AN47" i="12"/>
  <c r="AO47" i="12"/>
  <c r="AN39" i="12"/>
  <c r="AO39" i="12"/>
  <c r="AN31" i="12"/>
  <c r="AO31" i="12"/>
  <c r="AO171" i="12"/>
  <c r="AO152" i="12"/>
  <c r="AO130" i="12"/>
  <c r="AO107" i="12"/>
  <c r="AO88" i="12"/>
  <c r="AO66" i="12"/>
  <c r="AB161" i="12"/>
  <c r="AG106" i="12"/>
  <c r="AG42" i="12"/>
  <c r="AJ159" i="12"/>
  <c r="AN53" i="12"/>
  <c r="AN37" i="12"/>
  <c r="AO147" i="12"/>
  <c r="AO128" i="12"/>
  <c r="AO83" i="12"/>
  <c r="AO64" i="12"/>
  <c r="AL21" i="12"/>
  <c r="AJ143" i="12"/>
  <c r="AO24" i="12"/>
  <c r="AO16" i="12"/>
  <c r="AO8" i="12"/>
  <c r="AO189" i="12"/>
  <c r="AO181" i="12"/>
  <c r="AO173" i="12"/>
  <c r="AO165" i="12"/>
  <c r="AO157" i="12"/>
  <c r="AO149" i="12"/>
  <c r="AO141" i="12"/>
  <c r="AO133" i="12"/>
  <c r="AO125" i="12"/>
  <c r="AO117" i="12"/>
  <c r="AO109" i="12"/>
  <c r="AO101" i="12"/>
  <c r="AO93" i="12"/>
  <c r="AO85" i="12"/>
  <c r="AO77" i="12"/>
  <c r="AO69" i="12"/>
  <c r="AO61" i="12"/>
  <c r="AO187" i="12"/>
  <c r="AO168" i="12"/>
  <c r="AO146" i="12"/>
  <c r="AO123" i="12"/>
  <c r="AO104" i="12"/>
  <c r="AO82" i="12"/>
  <c r="AO59" i="12"/>
  <c r="AO40" i="12"/>
  <c r="AJ127" i="12"/>
  <c r="AL162" i="12"/>
  <c r="AL98" i="12"/>
  <c r="AL34" i="12"/>
  <c r="AO23" i="12"/>
  <c r="AO15" i="12"/>
  <c r="AO7" i="12"/>
  <c r="AO188" i="12"/>
  <c r="AO180" i="12"/>
  <c r="AO172" i="12"/>
  <c r="AO164" i="12"/>
  <c r="AO156" i="12"/>
  <c r="AO148" i="12"/>
  <c r="AO140" i="12"/>
  <c r="AO132" i="12"/>
  <c r="AO124" i="12"/>
  <c r="AO116" i="12"/>
  <c r="AO108" i="12"/>
  <c r="AO100" i="12"/>
  <c r="AO92" i="12"/>
  <c r="AO84" i="12"/>
  <c r="AO76" i="12"/>
  <c r="AO68" i="12"/>
  <c r="AO60" i="12"/>
  <c r="AO52" i="12"/>
  <c r="AO44" i="12"/>
  <c r="AO36" i="12"/>
  <c r="AO28" i="12"/>
  <c r="AO163" i="12"/>
  <c r="AO144" i="12"/>
  <c r="AO99" i="12"/>
  <c r="AO80" i="12"/>
  <c r="AI32" i="12"/>
  <c r="AJ32" i="12"/>
  <c r="AL13" i="12"/>
  <c r="AG178" i="12"/>
  <c r="AJ56" i="12"/>
  <c r="AO14" i="12"/>
  <c r="AO184" i="12"/>
  <c r="AO139" i="12"/>
  <c r="AO120" i="12"/>
  <c r="AO75" i="12"/>
  <c r="AO56" i="12"/>
  <c r="AE21" i="12"/>
  <c r="AE22" i="12"/>
  <c r="AG114" i="12"/>
  <c r="AJ48" i="12"/>
  <c r="AN189" i="12"/>
  <c r="AN173" i="12"/>
  <c r="AN157" i="12"/>
  <c r="AN141" i="12"/>
  <c r="AN125" i="12"/>
  <c r="AN109" i="12"/>
  <c r="AN93" i="12"/>
  <c r="AN77" i="12"/>
  <c r="AN61" i="12"/>
  <c r="AN45" i="12"/>
  <c r="AN29" i="12"/>
  <c r="AO179" i="12"/>
  <c r="AO160" i="12"/>
  <c r="AO115" i="12"/>
  <c r="AO96" i="12"/>
  <c r="AO51" i="12"/>
  <c r="AO32" i="12"/>
  <c r="AO185" i="12"/>
  <c r="AO177" i="12"/>
  <c r="AO169" i="12"/>
  <c r="AO161" i="12"/>
  <c r="AO153" i="12"/>
  <c r="AO145" i="12"/>
  <c r="AO137" i="12"/>
  <c r="AO129" i="12"/>
  <c r="AO121" i="12"/>
  <c r="AO113" i="12"/>
  <c r="AO105" i="12"/>
  <c r="AO97" i="12"/>
  <c r="AO89" i="12"/>
  <c r="AO81" i="12"/>
  <c r="AO73" i="12"/>
  <c r="AO65" i="12"/>
  <c r="AO57" i="12"/>
  <c r="AO49" i="12"/>
  <c r="AO41" i="12"/>
  <c r="AO33" i="12"/>
  <c r="AO9" i="12"/>
  <c r="AO190" i="12"/>
  <c r="AO182" i="12"/>
  <c r="AO174" i="12"/>
  <c r="AO166" i="12"/>
  <c r="AO158" i="12"/>
  <c r="AO150" i="12"/>
  <c r="AO142" i="12"/>
  <c r="AO134" i="12"/>
  <c r="AO126" i="12"/>
  <c r="AO118" i="12"/>
  <c r="AO110" i="12"/>
  <c r="AO102" i="12"/>
  <c r="AO94" i="12"/>
  <c r="AO86" i="12"/>
  <c r="AO78" i="12"/>
  <c r="AO70" i="12"/>
  <c r="AO62" i="12"/>
  <c r="AO54" i="12"/>
  <c r="AO46" i="12"/>
  <c r="AO38" i="12"/>
  <c r="AO30" i="12"/>
  <c r="AE83" i="12"/>
  <c r="AB14" i="12"/>
  <c r="AD13" i="12"/>
  <c r="Z49" i="12"/>
  <c r="AB145" i="12"/>
  <c r="AB81" i="12"/>
  <c r="AE15" i="12"/>
  <c r="AE7" i="12"/>
  <c r="AE188" i="12"/>
  <c r="AE180" i="12"/>
  <c r="AD180" i="12"/>
  <c r="AE172" i="12"/>
  <c r="AE164" i="12"/>
  <c r="AE156" i="12"/>
  <c r="AD156" i="12"/>
  <c r="AE148" i="12"/>
  <c r="AE140" i="12"/>
  <c r="AE132" i="12"/>
  <c r="AD132" i="12"/>
  <c r="AE124" i="12"/>
  <c r="AE116" i="12"/>
  <c r="AD116" i="12"/>
  <c r="AE147" i="12"/>
  <c r="AE58" i="12"/>
  <c r="AG169" i="12"/>
  <c r="AG130" i="12"/>
  <c r="AG105" i="12"/>
  <c r="AG66" i="12"/>
  <c r="AG41" i="12"/>
  <c r="AJ187" i="12"/>
  <c r="AJ171" i="12"/>
  <c r="AJ155" i="12"/>
  <c r="AJ139" i="12"/>
  <c r="AJ123" i="12"/>
  <c r="AJ107" i="12"/>
  <c r="AJ91" i="12"/>
  <c r="AJ75" i="12"/>
  <c r="AJ59" i="12"/>
  <c r="AJ43" i="12"/>
  <c r="Z41" i="12"/>
  <c r="AB185" i="12"/>
  <c r="AB121" i="12"/>
  <c r="AB57" i="12"/>
  <c r="AD179" i="12"/>
  <c r="AE179" i="12"/>
  <c r="AE115" i="12"/>
  <c r="AD115" i="12"/>
  <c r="AE27" i="12"/>
  <c r="AD27" i="12"/>
  <c r="AE146" i="12"/>
  <c r="AE51" i="12"/>
  <c r="AG154" i="12"/>
  <c r="AG129" i="12"/>
  <c r="AG90" i="12"/>
  <c r="AJ186" i="12"/>
  <c r="AJ138" i="12"/>
  <c r="AJ122" i="12"/>
  <c r="AJ74" i="12"/>
  <c r="AJ58" i="12"/>
  <c r="AI31" i="12"/>
  <c r="AJ31" i="12"/>
  <c r="AJ184" i="12"/>
  <c r="AJ168" i="12"/>
  <c r="AJ152" i="12"/>
  <c r="AJ136" i="12"/>
  <c r="AJ120" i="12"/>
  <c r="AJ104" i="12"/>
  <c r="AJ88" i="12"/>
  <c r="AJ72" i="12"/>
  <c r="AD170" i="12"/>
  <c r="AE170" i="12"/>
  <c r="AD122" i="12"/>
  <c r="AE122" i="12"/>
  <c r="AD66" i="12"/>
  <c r="AE66" i="12"/>
  <c r="AE138" i="12"/>
  <c r="Z13" i="12"/>
  <c r="Z138" i="12"/>
  <c r="Z74" i="12"/>
  <c r="Z137" i="12"/>
  <c r="AB137" i="12"/>
  <c r="AB73" i="12"/>
  <c r="AD188" i="12"/>
  <c r="AE114" i="12"/>
  <c r="AE42" i="12"/>
  <c r="AG177" i="12"/>
  <c r="AG113" i="12"/>
  <c r="AG49" i="12"/>
  <c r="AI190" i="12"/>
  <c r="AJ190" i="12"/>
  <c r="AI182" i="12"/>
  <c r="AJ182" i="12"/>
  <c r="AI174" i="12"/>
  <c r="AJ174" i="12"/>
  <c r="AI166" i="12"/>
  <c r="AJ166" i="12"/>
  <c r="AI158" i="12"/>
  <c r="AJ158" i="12"/>
  <c r="AI150" i="12"/>
  <c r="AJ150" i="12"/>
  <c r="AI142" i="12"/>
  <c r="AJ142" i="12"/>
  <c r="AI134" i="12"/>
  <c r="AJ134" i="12"/>
  <c r="AI126" i="12"/>
  <c r="AJ126" i="12"/>
  <c r="AI118" i="12"/>
  <c r="AJ118" i="12"/>
  <c r="AI110" i="12"/>
  <c r="AJ110" i="12"/>
  <c r="AI102" i="12"/>
  <c r="AJ102" i="12"/>
  <c r="AI94" i="12"/>
  <c r="AJ94" i="12"/>
  <c r="AI86" i="12"/>
  <c r="AJ86" i="12"/>
  <c r="AJ183" i="12"/>
  <c r="AJ167" i="12"/>
  <c r="AJ151" i="12"/>
  <c r="AJ135" i="12"/>
  <c r="AJ119" i="12"/>
  <c r="AJ103" i="12"/>
  <c r="AJ87" i="12"/>
  <c r="AJ71" i="12"/>
  <c r="AJ55" i="12"/>
  <c r="AJ39" i="12"/>
  <c r="AD21" i="12"/>
  <c r="Z115" i="12"/>
  <c r="AB177" i="12"/>
  <c r="AB113" i="12"/>
  <c r="AB49" i="12"/>
  <c r="AE19" i="12"/>
  <c r="AE11" i="12"/>
  <c r="AE3" i="12"/>
  <c r="AD148" i="12"/>
  <c r="AE5" i="12"/>
  <c r="AE106" i="12"/>
  <c r="AE34" i="12"/>
  <c r="AG162" i="12"/>
  <c r="AG137" i="12"/>
  <c r="AG98" i="12"/>
  <c r="AG73" i="12"/>
  <c r="AG34" i="12"/>
  <c r="AJ189" i="12"/>
  <c r="AJ181" i="12"/>
  <c r="AJ173" i="12"/>
  <c r="AJ165" i="12"/>
  <c r="AJ157" i="12"/>
  <c r="AJ149" i="12"/>
  <c r="AJ141" i="12"/>
  <c r="AJ133" i="12"/>
  <c r="AJ125" i="12"/>
  <c r="AJ117" i="12"/>
  <c r="AJ109" i="12"/>
  <c r="AJ101" i="12"/>
  <c r="AJ93" i="12"/>
  <c r="AJ85" i="12"/>
  <c r="AJ77" i="12"/>
  <c r="AJ69" i="12"/>
  <c r="AJ61" i="12"/>
  <c r="AJ53" i="12"/>
  <c r="AJ45" i="12"/>
  <c r="AJ37" i="12"/>
  <c r="AJ29" i="12"/>
  <c r="AI181" i="12"/>
  <c r="AI117" i="12"/>
  <c r="AI53" i="12"/>
  <c r="AJ179" i="12"/>
  <c r="AJ163" i="12"/>
  <c r="AJ147" i="12"/>
  <c r="AJ131" i="12"/>
  <c r="AJ115" i="12"/>
  <c r="AJ99" i="12"/>
  <c r="AJ83" i="12"/>
  <c r="AJ67" i="12"/>
  <c r="AJ51" i="12"/>
  <c r="AJ35" i="12"/>
  <c r="AD178" i="12"/>
  <c r="AE178" i="12"/>
  <c r="AD130" i="12"/>
  <c r="AE130" i="12"/>
  <c r="AD82" i="12"/>
  <c r="AE82" i="12"/>
  <c r="AE50" i="12"/>
  <c r="Z113" i="12"/>
  <c r="AB153" i="12"/>
  <c r="AB89" i="12"/>
  <c r="AE186" i="12"/>
  <c r="AE98" i="12"/>
  <c r="AG161" i="12"/>
  <c r="AG97" i="12"/>
  <c r="AG33" i="12"/>
  <c r="AJ188" i="12"/>
  <c r="AJ180" i="12"/>
  <c r="AJ172" i="12"/>
  <c r="AJ164" i="12"/>
  <c r="AJ156" i="12"/>
  <c r="AJ148" i="12"/>
  <c r="AJ140" i="12"/>
  <c r="AJ132" i="12"/>
  <c r="AJ124" i="12"/>
  <c r="AJ116" i="12"/>
  <c r="AJ108" i="12"/>
  <c r="AJ100" i="12"/>
  <c r="AJ92" i="12"/>
  <c r="AJ84" i="12"/>
  <c r="AJ76" i="12"/>
  <c r="AJ68" i="12"/>
  <c r="AJ60" i="12"/>
  <c r="AJ52" i="12"/>
  <c r="AJ44" i="12"/>
  <c r="AJ36" i="12"/>
  <c r="AJ28" i="12"/>
  <c r="AI180" i="12"/>
  <c r="AI141" i="12"/>
  <c r="AI116" i="12"/>
  <c r="AI77" i="12"/>
  <c r="AI52" i="12"/>
  <c r="AJ146" i="12"/>
  <c r="AJ82" i="12"/>
  <c r="AD74" i="12"/>
  <c r="AE74" i="12"/>
  <c r="AB6" i="12"/>
  <c r="Y66" i="12"/>
  <c r="Z105" i="12"/>
  <c r="AB129" i="12"/>
  <c r="AB65" i="12"/>
  <c r="AE25" i="12"/>
  <c r="AE17" i="12"/>
  <c r="AE9" i="12"/>
  <c r="AD172" i="12"/>
  <c r="AE162" i="12"/>
  <c r="AE90" i="12"/>
  <c r="AG185" i="12"/>
  <c r="AG121" i="12"/>
  <c r="AG57" i="12"/>
  <c r="AJ27" i="12"/>
  <c r="AJ176" i="12"/>
  <c r="AJ160" i="12"/>
  <c r="AJ144" i="12"/>
  <c r="AJ128" i="12"/>
  <c r="AJ112" i="12"/>
  <c r="AJ96" i="12"/>
  <c r="AJ80" i="12"/>
  <c r="AJ64" i="12"/>
  <c r="AJ78" i="12"/>
  <c r="AJ70" i="12"/>
  <c r="AJ62" i="12"/>
  <c r="AJ54" i="12"/>
  <c r="AJ46" i="12"/>
  <c r="AJ38" i="12"/>
  <c r="AJ30" i="12"/>
  <c r="AE108" i="12"/>
  <c r="AE100" i="12"/>
  <c r="AE92" i="12"/>
  <c r="AE84" i="12"/>
  <c r="AE76" i="12"/>
  <c r="AE68" i="12"/>
  <c r="AE60" i="12"/>
  <c r="AE52" i="12"/>
  <c r="AE44" i="12"/>
  <c r="AE36" i="12"/>
  <c r="AE28" i="12"/>
  <c r="AD68" i="12"/>
  <c r="Y104" i="12"/>
  <c r="Z104" i="12"/>
  <c r="Y185" i="12"/>
  <c r="Z185" i="12"/>
  <c r="Y161" i="12"/>
  <c r="Z161" i="12"/>
  <c r="Y153" i="12"/>
  <c r="Z153" i="12"/>
  <c r="Y40" i="12"/>
  <c r="Z144" i="12"/>
  <c r="Z51" i="12"/>
  <c r="AE16" i="12"/>
  <c r="AE8" i="12"/>
  <c r="AE189" i="12"/>
  <c r="AE181" i="12"/>
  <c r="AE173" i="12"/>
  <c r="AE165" i="12"/>
  <c r="AE157" i="12"/>
  <c r="AE149" i="12"/>
  <c r="AE141" i="12"/>
  <c r="AE133" i="12"/>
  <c r="AE125" i="12"/>
  <c r="AE117" i="12"/>
  <c r="AE109" i="12"/>
  <c r="AE101" i="12"/>
  <c r="AE93" i="12"/>
  <c r="AE85" i="12"/>
  <c r="AE77" i="12"/>
  <c r="AE69" i="12"/>
  <c r="AE61" i="12"/>
  <c r="AE53" i="12"/>
  <c r="AE45" i="12"/>
  <c r="AE37" i="12"/>
  <c r="AE29" i="12"/>
  <c r="AE187" i="12"/>
  <c r="AE155" i="12"/>
  <c r="AE123" i="12"/>
  <c r="AE91" i="12"/>
  <c r="AE59" i="12"/>
  <c r="Y11" i="12"/>
  <c r="Z25" i="12"/>
  <c r="Z17" i="12"/>
  <c r="Z9" i="12"/>
  <c r="Y182" i="12"/>
  <c r="Z182" i="12"/>
  <c r="Y118" i="12"/>
  <c r="Z118" i="12"/>
  <c r="Z177" i="12"/>
  <c r="AE171" i="12"/>
  <c r="AE139" i="12"/>
  <c r="AE107" i="12"/>
  <c r="AE75" i="12"/>
  <c r="AE43" i="12"/>
  <c r="U15" i="12"/>
  <c r="U84" i="12"/>
  <c r="Z34" i="12"/>
  <c r="W34" i="12"/>
  <c r="Y128" i="12"/>
  <c r="Z169" i="12"/>
  <c r="Z88" i="12"/>
  <c r="AD184" i="12"/>
  <c r="AE184" i="12"/>
  <c r="AD176" i="12"/>
  <c r="AE176" i="12"/>
  <c r="AD168" i="12"/>
  <c r="AE168" i="12"/>
  <c r="AD160" i="12"/>
  <c r="AE160" i="12"/>
  <c r="AD152" i="12"/>
  <c r="AE152" i="12"/>
  <c r="AD144" i="12"/>
  <c r="AE144" i="12"/>
  <c r="AD136" i="12"/>
  <c r="AE136" i="12"/>
  <c r="AD128" i="12"/>
  <c r="AE128" i="12"/>
  <c r="AD120" i="12"/>
  <c r="AE120" i="12"/>
  <c r="AD112" i="12"/>
  <c r="AE112" i="12"/>
  <c r="AD104" i="12"/>
  <c r="AE104" i="12"/>
  <c r="AD96" i="12"/>
  <c r="AE96" i="12"/>
  <c r="AD88" i="12"/>
  <c r="AE88" i="12"/>
  <c r="AD80" i="12"/>
  <c r="AE80" i="12"/>
  <c r="AD72" i="12"/>
  <c r="AE72" i="12"/>
  <c r="AD64" i="12"/>
  <c r="AE64" i="12"/>
  <c r="AD56" i="12"/>
  <c r="AE56" i="12"/>
  <c r="AD48" i="12"/>
  <c r="AE48" i="12"/>
  <c r="AD40" i="12"/>
  <c r="AE40" i="12"/>
  <c r="AD32" i="12"/>
  <c r="AE32" i="12"/>
  <c r="Z184" i="12"/>
  <c r="Y184" i="12"/>
  <c r="Z64" i="12"/>
  <c r="Y64" i="12"/>
  <c r="Y3" i="12"/>
  <c r="U22" i="12"/>
  <c r="U14" i="12"/>
  <c r="U171" i="12"/>
  <c r="U115" i="12"/>
  <c r="T75" i="12"/>
  <c r="U75" i="12"/>
  <c r="U59" i="12"/>
  <c r="U51" i="12"/>
  <c r="U43" i="12"/>
  <c r="U131" i="12"/>
  <c r="Z22" i="12"/>
  <c r="Z14" i="12"/>
  <c r="Z6" i="12"/>
  <c r="Y179" i="12"/>
  <c r="Z179" i="12"/>
  <c r="Z171" i="12"/>
  <c r="Z163" i="12"/>
  <c r="Z168" i="12"/>
  <c r="AD26" i="12"/>
  <c r="AE26" i="12"/>
  <c r="AD18" i="12"/>
  <c r="AE18" i="12"/>
  <c r="AD10" i="12"/>
  <c r="AE10" i="12"/>
  <c r="AD191" i="12"/>
  <c r="AE191" i="12"/>
  <c r="AD183" i="12"/>
  <c r="AE183" i="12"/>
  <c r="AD175" i="12"/>
  <c r="AE175" i="12"/>
  <c r="AD167" i="12"/>
  <c r="AE167" i="12"/>
  <c r="AD159" i="12"/>
  <c r="AE159" i="12"/>
  <c r="AD151" i="12"/>
  <c r="AE151" i="12"/>
  <c r="AD143" i="12"/>
  <c r="AE143" i="12"/>
  <c r="AD135" i="12"/>
  <c r="AE135" i="12"/>
  <c r="AD127" i="12"/>
  <c r="AE127" i="12"/>
  <c r="AD119" i="12"/>
  <c r="AE119" i="12"/>
  <c r="AD111" i="12"/>
  <c r="AE111" i="12"/>
  <c r="AD103" i="12"/>
  <c r="AE103" i="12"/>
  <c r="AD95" i="12"/>
  <c r="AE95" i="12"/>
  <c r="AD87" i="12"/>
  <c r="AE87" i="12"/>
  <c r="AD79" i="12"/>
  <c r="AE79" i="12"/>
  <c r="AD71" i="12"/>
  <c r="AE71" i="12"/>
  <c r="AD63" i="12"/>
  <c r="AE63" i="12"/>
  <c r="AD55" i="12"/>
  <c r="AE55" i="12"/>
  <c r="AD47" i="12"/>
  <c r="AE47" i="12"/>
  <c r="AD39" i="12"/>
  <c r="AE39" i="12"/>
  <c r="AD31" i="12"/>
  <c r="AE31" i="12"/>
  <c r="AE163" i="12"/>
  <c r="AE131" i="12"/>
  <c r="AE99" i="12"/>
  <c r="AE67" i="12"/>
  <c r="AE35" i="12"/>
  <c r="Y152" i="12"/>
  <c r="Z152" i="12"/>
  <c r="Z56" i="12"/>
  <c r="Y56" i="12"/>
  <c r="Z19" i="12"/>
  <c r="Z21" i="12"/>
  <c r="Z154" i="12"/>
  <c r="Y120" i="12"/>
  <c r="Z80" i="12"/>
  <c r="Y90" i="12"/>
  <c r="Z130" i="12"/>
  <c r="Z73" i="12"/>
  <c r="Z155" i="12"/>
  <c r="Z129" i="12"/>
  <c r="Z97" i="12"/>
  <c r="Z33" i="12"/>
  <c r="Z131" i="12"/>
  <c r="Z107" i="12"/>
  <c r="Z99" i="12"/>
  <c r="Z67" i="12"/>
  <c r="Z43" i="12"/>
  <c r="Z35" i="12"/>
  <c r="Z27" i="12"/>
  <c r="Y107" i="12"/>
  <c r="Z91" i="12"/>
  <c r="Z65" i="12"/>
  <c r="AE190" i="12"/>
  <c r="AE182" i="12"/>
  <c r="AE174" i="12"/>
  <c r="AE166" i="12"/>
  <c r="AE158" i="12"/>
  <c r="AE150" i="12"/>
  <c r="AE142" i="12"/>
  <c r="AE134" i="12"/>
  <c r="AE126" i="12"/>
  <c r="AE118" i="12"/>
  <c r="AE110" i="12"/>
  <c r="AE102" i="12"/>
  <c r="AE94" i="12"/>
  <c r="AE86" i="12"/>
  <c r="AE78" i="12"/>
  <c r="AE70" i="12"/>
  <c r="AE62" i="12"/>
  <c r="AE54" i="12"/>
  <c r="AE46" i="12"/>
  <c r="AE38" i="12"/>
  <c r="AE30" i="12"/>
  <c r="Z170" i="12"/>
  <c r="Z146" i="12"/>
  <c r="Z106" i="12"/>
  <c r="Z82" i="12"/>
  <c r="Z42" i="12"/>
  <c r="Y131" i="12"/>
  <c r="Y106" i="12"/>
  <c r="Z121" i="12"/>
  <c r="AE24" i="12"/>
  <c r="Z89" i="12"/>
  <c r="Z57" i="12"/>
  <c r="AE23" i="12"/>
  <c r="R186" i="12"/>
  <c r="U105" i="12"/>
  <c r="Z54" i="12"/>
  <c r="R162" i="12"/>
  <c r="U49" i="12"/>
  <c r="R42" i="12"/>
  <c r="U42" i="12"/>
  <c r="R41" i="12"/>
  <c r="U41" i="12"/>
  <c r="U188" i="12"/>
  <c r="T188" i="12"/>
  <c r="U156" i="12"/>
  <c r="T156" i="12"/>
  <c r="U124" i="12"/>
  <c r="T124" i="12"/>
  <c r="U92" i="12"/>
  <c r="T92" i="12"/>
  <c r="Y174" i="12"/>
  <c r="Z174" i="12"/>
  <c r="U172" i="12"/>
  <c r="T172" i="12"/>
  <c r="U140" i="12"/>
  <c r="T140" i="12"/>
  <c r="U100" i="12"/>
  <c r="T100" i="12"/>
  <c r="Y158" i="12"/>
  <c r="Z158" i="12"/>
  <c r="T163" i="12"/>
  <c r="U163" i="12"/>
  <c r="T155" i="12"/>
  <c r="U155" i="12"/>
  <c r="T147" i="12"/>
  <c r="U147" i="12"/>
  <c r="T123" i="12"/>
  <c r="U123" i="12"/>
  <c r="U107" i="12"/>
  <c r="T107" i="12"/>
  <c r="T99" i="12"/>
  <c r="U99" i="12"/>
  <c r="T91" i="12"/>
  <c r="U91" i="12"/>
  <c r="U83" i="12"/>
  <c r="T83" i="12"/>
  <c r="T67" i="12"/>
  <c r="U67" i="12"/>
  <c r="U129" i="12"/>
  <c r="R129" i="12"/>
  <c r="R73" i="12"/>
  <c r="U73" i="12"/>
  <c r="R185" i="12"/>
  <c r="U7" i="12"/>
  <c r="T7" i="12"/>
  <c r="U164" i="12"/>
  <c r="T164" i="12"/>
  <c r="U132" i="12"/>
  <c r="T132" i="12"/>
  <c r="U108" i="12"/>
  <c r="T108" i="12"/>
  <c r="U60" i="12"/>
  <c r="T60" i="12"/>
  <c r="Y190" i="12"/>
  <c r="Z190" i="12"/>
  <c r="Y102" i="12"/>
  <c r="Z102" i="12"/>
  <c r="Y86" i="12"/>
  <c r="Z86" i="12"/>
  <c r="Y78" i="12"/>
  <c r="Z78" i="12"/>
  <c r="Y70" i="12"/>
  <c r="Z70" i="12"/>
  <c r="Y62" i="12"/>
  <c r="Z62" i="12"/>
  <c r="Y38" i="12"/>
  <c r="Z38" i="12"/>
  <c r="U6" i="12"/>
  <c r="T6" i="12"/>
  <c r="U179" i="12"/>
  <c r="T179" i="12"/>
  <c r="T139" i="12"/>
  <c r="U139" i="12"/>
  <c r="U21" i="12"/>
  <c r="U187" i="12"/>
  <c r="U23" i="12"/>
  <c r="T23" i="12"/>
  <c r="U180" i="12"/>
  <c r="T180" i="12"/>
  <c r="U148" i="12"/>
  <c r="T148" i="12"/>
  <c r="U116" i="12"/>
  <c r="T116" i="12"/>
  <c r="U76" i="12"/>
  <c r="T76" i="12"/>
  <c r="U68" i="12"/>
  <c r="T68" i="12"/>
  <c r="U52" i="12"/>
  <c r="T52" i="12"/>
  <c r="Y166" i="12"/>
  <c r="Z166" i="12"/>
  <c r="Y150" i="12"/>
  <c r="Z150" i="12"/>
  <c r="Y142" i="12"/>
  <c r="Z142" i="12"/>
  <c r="Y134" i="12"/>
  <c r="Z134" i="12"/>
  <c r="Y126" i="12"/>
  <c r="Z126" i="12"/>
  <c r="Y110" i="12"/>
  <c r="Z110" i="12"/>
  <c r="Y94" i="12"/>
  <c r="Z94" i="12"/>
  <c r="Y46" i="12"/>
  <c r="Z46" i="12"/>
  <c r="Y30" i="12"/>
  <c r="Z30" i="12"/>
  <c r="U20" i="12"/>
  <c r="U12" i="12"/>
  <c r="U4" i="12"/>
  <c r="T84" i="12"/>
  <c r="Z16" i="12"/>
  <c r="Z109" i="12"/>
  <c r="U13" i="12"/>
  <c r="U5" i="12"/>
  <c r="T138" i="12"/>
  <c r="U138" i="12"/>
  <c r="T130" i="12"/>
  <c r="U130" i="12"/>
  <c r="T74" i="12"/>
  <c r="U74" i="12"/>
  <c r="T66" i="12"/>
  <c r="U66" i="12"/>
  <c r="T51" i="12"/>
  <c r="U154" i="12"/>
  <c r="U98" i="12"/>
  <c r="W138" i="12"/>
  <c r="W74" i="12"/>
  <c r="C4" i="2" s="1"/>
  <c r="Z23" i="12"/>
  <c r="Z15" i="12"/>
  <c r="Z7" i="12"/>
  <c r="Z188" i="12"/>
  <c r="Z180" i="12"/>
  <c r="Z172" i="12"/>
  <c r="Z164" i="12"/>
  <c r="Z156" i="12"/>
  <c r="Z148" i="12"/>
  <c r="Z140" i="12"/>
  <c r="Z132" i="12"/>
  <c r="Z124" i="12"/>
  <c r="Z116" i="12"/>
  <c r="Z108" i="12"/>
  <c r="Z100" i="12"/>
  <c r="Z92" i="12"/>
  <c r="Z84" i="12"/>
  <c r="Z76" i="12"/>
  <c r="Z68" i="12"/>
  <c r="Z60" i="12"/>
  <c r="Z52" i="12"/>
  <c r="Z44" i="12"/>
  <c r="Z36" i="12"/>
  <c r="Z28" i="12"/>
  <c r="Y27" i="12"/>
  <c r="Z178" i="12"/>
  <c r="Z139" i="12"/>
  <c r="Z114" i="12"/>
  <c r="Z75" i="12"/>
  <c r="Z50" i="12"/>
  <c r="U27" i="12"/>
  <c r="T27" i="12"/>
  <c r="Z8" i="12"/>
  <c r="Z165" i="12"/>
  <c r="Z133" i="12"/>
  <c r="Z93" i="12"/>
  <c r="Z61" i="12"/>
  <c r="Z29" i="12"/>
  <c r="T161" i="12"/>
  <c r="U161" i="12"/>
  <c r="U35" i="12"/>
  <c r="Y165" i="12"/>
  <c r="U19" i="12"/>
  <c r="U11" i="12"/>
  <c r="U3" i="12"/>
  <c r="T43" i="12"/>
  <c r="U177" i="12"/>
  <c r="U146" i="12"/>
  <c r="U121" i="12"/>
  <c r="U90" i="12"/>
  <c r="U34" i="12"/>
  <c r="Y61" i="12"/>
  <c r="Z187" i="12"/>
  <c r="Z176" i="12"/>
  <c r="Z162" i="12"/>
  <c r="Z123" i="12"/>
  <c r="Z112" i="12"/>
  <c r="Z98" i="12"/>
  <c r="Z59" i="12"/>
  <c r="Z48" i="12"/>
  <c r="Z181" i="12"/>
  <c r="Z149" i="12"/>
  <c r="Z117" i="12"/>
  <c r="Z85" i="12"/>
  <c r="Z53" i="12"/>
  <c r="Y117" i="12"/>
  <c r="T89" i="12"/>
  <c r="U89" i="12"/>
  <c r="T33" i="12"/>
  <c r="U33" i="12"/>
  <c r="U178" i="12"/>
  <c r="U65" i="12"/>
  <c r="U170" i="12"/>
  <c r="U145" i="12"/>
  <c r="U114" i="12"/>
  <c r="U58" i="12"/>
  <c r="Y163" i="12"/>
  <c r="Y149" i="12"/>
  <c r="Y99" i="12"/>
  <c r="Y85" i="12"/>
  <c r="Y35" i="12"/>
  <c r="Z186" i="12"/>
  <c r="Z147" i="12"/>
  <c r="Z136" i="12"/>
  <c r="Z122" i="12"/>
  <c r="Z83" i="12"/>
  <c r="Z72" i="12"/>
  <c r="Z58" i="12"/>
  <c r="Z189" i="12"/>
  <c r="Z157" i="12"/>
  <c r="Z125" i="12"/>
  <c r="Z77" i="12"/>
  <c r="Z45" i="12"/>
  <c r="Y181" i="12"/>
  <c r="T153" i="12"/>
  <c r="U153" i="12"/>
  <c r="T5" i="12"/>
  <c r="U17" i="12"/>
  <c r="U169" i="12"/>
  <c r="U113" i="12"/>
  <c r="U82" i="12"/>
  <c r="U57" i="12"/>
  <c r="Y109" i="12"/>
  <c r="Y45" i="12"/>
  <c r="Z160" i="12"/>
  <c r="Z96" i="12"/>
  <c r="Z32" i="12"/>
  <c r="Z24" i="12"/>
  <c r="Z173" i="12"/>
  <c r="Z141" i="12"/>
  <c r="Z101" i="12"/>
  <c r="Z69" i="12"/>
  <c r="Z37" i="12"/>
  <c r="T97" i="12"/>
  <c r="U97" i="12"/>
  <c r="U122" i="12"/>
  <c r="BI24" i="12"/>
  <c r="BI16" i="12"/>
  <c r="U24" i="12"/>
  <c r="U16" i="12"/>
  <c r="U8" i="12"/>
  <c r="U189" i="12"/>
  <c r="U181" i="12"/>
  <c r="T181" i="12"/>
  <c r="U173" i="12"/>
  <c r="T173" i="12"/>
  <c r="U165" i="12"/>
  <c r="U157" i="12"/>
  <c r="U149" i="12"/>
  <c r="U141" i="12"/>
  <c r="U133" i="12"/>
  <c r="U125" i="12"/>
  <c r="U117" i="12"/>
  <c r="T117" i="12"/>
  <c r="U109" i="12"/>
  <c r="T109" i="12"/>
  <c r="U101" i="12"/>
  <c r="U93" i="12"/>
  <c r="U85" i="12"/>
  <c r="U77" i="12"/>
  <c r="U69" i="12"/>
  <c r="U61" i="12"/>
  <c r="U53" i="12"/>
  <c r="T53" i="12"/>
  <c r="U45" i="12"/>
  <c r="T45" i="12"/>
  <c r="U37" i="12"/>
  <c r="U29" i="12"/>
  <c r="T85" i="12"/>
  <c r="T29" i="12"/>
  <c r="U137" i="12"/>
  <c r="U106" i="12"/>
  <c r="U81" i="12"/>
  <c r="U50" i="12"/>
  <c r="Z26" i="12"/>
  <c r="Z18" i="12"/>
  <c r="Z10" i="12"/>
  <c r="Y191" i="12"/>
  <c r="Z191" i="12"/>
  <c r="Y183" i="12"/>
  <c r="Z183" i="12"/>
  <c r="Y175" i="12"/>
  <c r="Z175" i="12"/>
  <c r="Y167" i="12"/>
  <c r="Z167" i="12"/>
  <c r="Y159" i="12"/>
  <c r="Z159" i="12"/>
  <c r="Y151" i="12"/>
  <c r="Z151" i="12"/>
  <c r="Y143" i="12"/>
  <c r="Z143" i="12"/>
  <c r="Y135" i="12"/>
  <c r="Z135" i="12"/>
  <c r="Y127" i="12"/>
  <c r="Z127" i="12"/>
  <c r="Y119" i="12"/>
  <c r="Z119" i="12"/>
  <c r="Y111" i="12"/>
  <c r="Z111" i="12"/>
  <c r="Y103" i="12"/>
  <c r="Z103" i="12"/>
  <c r="Y95" i="12"/>
  <c r="Z95" i="12"/>
  <c r="Y87" i="12"/>
  <c r="Z87" i="12"/>
  <c r="Y79" i="12"/>
  <c r="Z79" i="12"/>
  <c r="Y71" i="12"/>
  <c r="Z71" i="12"/>
  <c r="Y63" i="12"/>
  <c r="Z63" i="12"/>
  <c r="Y55" i="12"/>
  <c r="Z55" i="12"/>
  <c r="Y47" i="12"/>
  <c r="Z47" i="12"/>
  <c r="Y39" i="12"/>
  <c r="Z39" i="12"/>
  <c r="Y31" i="12"/>
  <c r="Z31" i="12"/>
  <c r="Y133" i="12"/>
  <c r="Y69" i="12"/>
  <c r="U44" i="12"/>
  <c r="U36" i="12"/>
  <c r="U28" i="12"/>
  <c r="T17" i="12"/>
  <c r="U184" i="12"/>
  <c r="U176" i="12"/>
  <c r="U168" i="12"/>
  <c r="U160" i="12"/>
  <c r="U152" i="12"/>
  <c r="U144" i="12"/>
  <c r="U136" i="12"/>
  <c r="U128" i="12"/>
  <c r="U120" i="12"/>
  <c r="U112" i="12"/>
  <c r="U104" i="12"/>
  <c r="U96" i="12"/>
  <c r="U88" i="12"/>
  <c r="U80" i="12"/>
  <c r="U72" i="12"/>
  <c r="U64" i="12"/>
  <c r="U56" i="12"/>
  <c r="U48" i="12"/>
  <c r="U40" i="12"/>
  <c r="U32" i="12"/>
  <c r="U26" i="12"/>
  <c r="U18" i="12"/>
  <c r="U10" i="12"/>
  <c r="U191" i="12"/>
  <c r="U183" i="12"/>
  <c r="U175" i="12"/>
  <c r="U167" i="12"/>
  <c r="U159" i="12"/>
  <c r="U151" i="12"/>
  <c r="U143" i="12"/>
  <c r="U135" i="12"/>
  <c r="U127" i="12"/>
  <c r="U119" i="12"/>
  <c r="U111" i="12"/>
  <c r="U103" i="12"/>
  <c r="U95" i="12"/>
  <c r="U87" i="12"/>
  <c r="U79" i="12"/>
  <c r="U71" i="12"/>
  <c r="U63" i="12"/>
  <c r="U55" i="12"/>
  <c r="U47" i="12"/>
  <c r="U39" i="12"/>
  <c r="U31" i="12"/>
  <c r="U25" i="12"/>
  <c r="U9" i="12"/>
  <c r="U190" i="12"/>
  <c r="U182" i="12"/>
  <c r="U174" i="12"/>
  <c r="U166" i="12"/>
  <c r="U158" i="12"/>
  <c r="U150" i="12"/>
  <c r="U142" i="12"/>
  <c r="U134" i="12"/>
  <c r="U126" i="12"/>
  <c r="U118" i="12"/>
  <c r="U110" i="12"/>
  <c r="U102" i="12"/>
  <c r="U94" i="12"/>
  <c r="U86" i="12"/>
  <c r="U78" i="12"/>
  <c r="U70" i="12"/>
  <c r="U62" i="12"/>
  <c r="U54" i="12"/>
  <c r="U46" i="12"/>
  <c r="U38" i="12"/>
  <c r="U30" i="12"/>
  <c r="BI2" i="12"/>
  <c r="BI19" i="12"/>
  <c r="BI11" i="12"/>
  <c r="BI3" i="12"/>
  <c r="BI26" i="12"/>
  <c r="BI18" i="12"/>
  <c r="BI10" i="12"/>
  <c r="BI25" i="12"/>
  <c r="BI17" i="12"/>
  <c r="BI9" i="12"/>
  <c r="BI8" i="12"/>
  <c r="BI23" i="12"/>
  <c r="BI7" i="12"/>
  <c r="AJ24" i="12"/>
  <c r="AJ16" i="12"/>
  <c r="AJ8" i="12"/>
  <c r="BI22" i="12"/>
  <c r="BI14" i="12"/>
  <c r="BI6" i="12"/>
  <c r="BI21" i="12"/>
  <c r="BI5" i="12"/>
  <c r="G16" i="10"/>
  <c r="BF11" i="12"/>
  <c r="BF19" i="12"/>
  <c r="BI13" i="12"/>
  <c r="BF2" i="12"/>
  <c r="BI15" i="12"/>
  <c r="BF3" i="12"/>
  <c r="BF21" i="12"/>
  <c r="BF23" i="12"/>
  <c r="BF5" i="12"/>
  <c r="BF7" i="12"/>
  <c r="BF6" i="12"/>
  <c r="BF14" i="12"/>
  <c r="BF22" i="12"/>
  <c r="BI4" i="12"/>
  <c r="BI12" i="12"/>
  <c r="BI20" i="12"/>
  <c r="BF8" i="12"/>
  <c r="BF16" i="12"/>
  <c r="BF24" i="12"/>
  <c r="BF9" i="12"/>
  <c r="BF17" i="12"/>
  <c r="BF25" i="12"/>
  <c r="BF10" i="12"/>
  <c r="BF18" i="12"/>
  <c r="BF26" i="12"/>
  <c r="BC13" i="12"/>
  <c r="BC5" i="12"/>
  <c r="BC21" i="12"/>
  <c r="BD2" i="12"/>
  <c r="BC12" i="12"/>
  <c r="BC17" i="12"/>
  <c r="BC2" i="12"/>
  <c r="BC10" i="12"/>
  <c r="BC18" i="12"/>
  <c r="BC26" i="12"/>
  <c r="BC3" i="12"/>
  <c r="BC11" i="12"/>
  <c r="BC19" i="12"/>
  <c r="AX12" i="12"/>
  <c r="BC6" i="12"/>
  <c r="BC14" i="12"/>
  <c r="BC22" i="12"/>
  <c r="AX26" i="12"/>
  <c r="AX10" i="12"/>
  <c r="AX11" i="12"/>
  <c r="AY2" i="12"/>
  <c r="AS19" i="12"/>
  <c r="AS21" i="12"/>
  <c r="AX6" i="12"/>
  <c r="AX14" i="12"/>
  <c r="AX22" i="12"/>
  <c r="AX7" i="12"/>
  <c r="AX15" i="12"/>
  <c r="AX23" i="12"/>
  <c r="AX8" i="12"/>
  <c r="AX16" i="12"/>
  <c r="AX24" i="12"/>
  <c r="AX9" i="12"/>
  <c r="AX17" i="12"/>
  <c r="AX25" i="12"/>
  <c r="AS5" i="12"/>
  <c r="AS3" i="12"/>
  <c r="AS4" i="12"/>
  <c r="AS20" i="12"/>
  <c r="AT2" i="12"/>
  <c r="AS9" i="12"/>
  <c r="AS25" i="12"/>
  <c r="AS13" i="12"/>
  <c r="AS10" i="12"/>
  <c r="AS26" i="12"/>
  <c r="AS6" i="12"/>
  <c r="AS14" i="12"/>
  <c r="AS22" i="12"/>
  <c r="AL20" i="12"/>
  <c r="AS7" i="12"/>
  <c r="AS15" i="12"/>
  <c r="AS23" i="12"/>
  <c r="AN4" i="12"/>
  <c r="AJ21" i="12"/>
  <c r="AJ13" i="12"/>
  <c r="AJ5" i="12"/>
  <c r="AN21" i="12"/>
  <c r="AN17" i="12"/>
  <c r="AN24" i="12"/>
  <c r="AN5" i="12"/>
  <c r="AN25" i="12"/>
  <c r="AJ15" i="12"/>
  <c r="AO2" i="12"/>
  <c r="AJ12" i="12"/>
  <c r="AN2" i="12"/>
  <c r="AN18" i="12"/>
  <c r="AJ14" i="12"/>
  <c r="AN3" i="12"/>
  <c r="AN11" i="12"/>
  <c r="AN19" i="12"/>
  <c r="AJ4" i="12"/>
  <c r="AG16" i="12"/>
  <c r="AJ23" i="12"/>
  <c r="AN6" i="12"/>
  <c r="AN14" i="12"/>
  <c r="AN22" i="12"/>
  <c r="AJ20" i="12"/>
  <c r="AJ22" i="12"/>
  <c r="AJ7" i="12"/>
  <c r="AI12" i="12"/>
  <c r="AJ2" i="12"/>
  <c r="AJ19" i="12"/>
  <c r="AJ3" i="12"/>
  <c r="AJ10" i="12"/>
  <c r="AJ17" i="12"/>
  <c r="AI20" i="12"/>
  <c r="AG24" i="12"/>
  <c r="AI4" i="12"/>
  <c r="AJ11" i="12"/>
  <c r="AJ26" i="12"/>
  <c r="AJ18" i="12"/>
  <c r="AJ25" i="12"/>
  <c r="AJ9" i="12"/>
  <c r="AD20" i="12"/>
  <c r="AG8" i="12"/>
  <c r="AI7" i="12"/>
  <c r="AJ6" i="12"/>
  <c r="AI9" i="12"/>
  <c r="AI17" i="12"/>
  <c r="AI25" i="12"/>
  <c r="AB12" i="12"/>
  <c r="AI2" i="12"/>
  <c r="AI10" i="12"/>
  <c r="AI18" i="12"/>
  <c r="AI26" i="12"/>
  <c r="AI3" i="12"/>
  <c r="AI11" i="12"/>
  <c r="AI19" i="12"/>
  <c r="AG21" i="12"/>
  <c r="AG5" i="12"/>
  <c r="AG13" i="12"/>
  <c r="AE2" i="12"/>
  <c r="AD11" i="12"/>
  <c r="AD16" i="12"/>
  <c r="AD3" i="12"/>
  <c r="Y4" i="12"/>
  <c r="AD17" i="12"/>
  <c r="AD9" i="12"/>
  <c r="AD25" i="12"/>
  <c r="Z2" i="12"/>
  <c r="W13" i="12"/>
  <c r="D3" i="2" s="1"/>
  <c r="Y23" i="12"/>
  <c r="Y14" i="12"/>
  <c r="Y15" i="12"/>
  <c r="Y21" i="12"/>
  <c r="Y8" i="12"/>
  <c r="Y16" i="12"/>
  <c r="Y24" i="12"/>
  <c r="Y9" i="12"/>
  <c r="Y17" i="12"/>
  <c r="Y25" i="12"/>
  <c r="Y2" i="12"/>
  <c r="Y10" i="12"/>
  <c r="Y18" i="12"/>
  <c r="Y26" i="12"/>
  <c r="U2" i="12"/>
  <c r="R8" i="12"/>
  <c r="T15" i="12"/>
  <c r="T14" i="12"/>
  <c r="T13" i="12"/>
  <c r="T20" i="12"/>
  <c r="T12" i="12"/>
  <c r="T4" i="12"/>
  <c r="T2" i="12"/>
  <c r="T19" i="12"/>
  <c r="T11" i="12"/>
  <c r="T3" i="12"/>
  <c r="R16" i="12"/>
  <c r="C4" i="3" l="1"/>
  <c r="R407" i="12"/>
  <c r="B3" i="7"/>
  <c r="D4" i="6"/>
  <c r="B2" i="9"/>
  <c r="C81" i="11" s="1"/>
  <c r="C3" i="5"/>
  <c r="C3" i="4"/>
  <c r="AT405" i="12"/>
  <c r="B7" i="10" s="1"/>
  <c r="D2" i="3"/>
  <c r="E22" i="11" s="1"/>
  <c r="C3" i="6"/>
  <c r="D2" i="7"/>
  <c r="D4" i="4"/>
  <c r="B4" i="4"/>
  <c r="C2" i="7"/>
  <c r="B4" i="3"/>
  <c r="AY405" i="12"/>
  <c r="B8" i="10" s="1"/>
  <c r="BD405" i="12"/>
  <c r="B9" i="10" s="1"/>
  <c r="B3" i="6"/>
  <c r="D2" i="6"/>
  <c r="D4" i="1"/>
  <c r="D3" i="5"/>
  <c r="W407" i="12"/>
  <c r="D3" i="6"/>
  <c r="C2" i="1"/>
  <c r="D3" i="11" s="1"/>
  <c r="B3" i="3"/>
  <c r="C4" i="8"/>
  <c r="AB407" i="12"/>
  <c r="C4" i="7"/>
  <c r="D3" i="4"/>
  <c r="C2" i="2"/>
  <c r="D4" i="5"/>
  <c r="D3" i="3"/>
  <c r="E23" i="11" s="1"/>
  <c r="R408" i="12"/>
  <c r="AJ405" i="12"/>
  <c r="B5" i="10" s="1"/>
  <c r="C2" i="9"/>
  <c r="C4" i="9"/>
  <c r="C3" i="9"/>
  <c r="BI405" i="12"/>
  <c r="B10" i="10" s="1"/>
  <c r="D4" i="2"/>
  <c r="AQ406" i="12"/>
  <c r="C3" i="1"/>
  <c r="D4" i="11" s="1"/>
  <c r="B2" i="3"/>
  <c r="B2" i="8"/>
  <c r="C2" i="3"/>
  <c r="C3" i="7"/>
  <c r="AG408" i="12"/>
  <c r="C3" i="2"/>
  <c r="AL406" i="12"/>
  <c r="D2" i="1"/>
  <c r="U405" i="12"/>
  <c r="B2" i="10" s="1"/>
  <c r="Z405" i="12"/>
  <c r="B3" i="10" s="1"/>
  <c r="AE405" i="12"/>
  <c r="B4" i="10" s="1"/>
  <c r="W406" i="12"/>
  <c r="AQ408" i="12"/>
  <c r="AV406" i="12"/>
  <c r="D4" i="8"/>
  <c r="E73" i="11" s="1"/>
  <c r="AB408" i="12"/>
  <c r="C4" i="4"/>
  <c r="B3" i="9"/>
  <c r="C82" i="11" s="1"/>
  <c r="D2" i="5"/>
  <c r="D3" i="1"/>
  <c r="AO405" i="12"/>
  <c r="B6" i="10" s="1"/>
  <c r="W408" i="12"/>
  <c r="AV407" i="12"/>
  <c r="B4" i="8"/>
  <c r="C73" i="11" s="1"/>
  <c r="BA406" i="12"/>
  <c r="C3" i="3"/>
  <c r="C2" i="5"/>
  <c r="D42" i="11" s="1"/>
  <c r="C2" i="4"/>
  <c r="D32" i="11" s="1"/>
  <c r="B4" i="9"/>
  <c r="AL407" i="12"/>
  <c r="D2" i="2"/>
  <c r="E12" i="11" s="1"/>
  <c r="B4" i="5"/>
  <c r="D3" i="7"/>
  <c r="BA408" i="12"/>
  <c r="C2" i="8"/>
  <c r="D71" i="11" s="1"/>
  <c r="C4" i="5"/>
  <c r="D44" i="11" s="1"/>
  <c r="AL408" i="12"/>
  <c r="B2" i="4"/>
  <c r="R406" i="12"/>
  <c r="B2" i="5"/>
  <c r="C42" i="11" s="1"/>
  <c r="AV408" i="12"/>
  <c r="B3" i="8"/>
  <c r="C72" i="11" s="1"/>
  <c r="BA407" i="12"/>
  <c r="B2" i="6"/>
  <c r="C52" i="11" s="1"/>
  <c r="AG406" i="12"/>
  <c r="C4" i="6"/>
  <c r="D54" i="11" s="1"/>
  <c r="B3" i="4"/>
  <c r="C33" i="11" s="1"/>
  <c r="B4" i="7"/>
  <c r="C64" i="11" s="1"/>
  <c r="C71" i="11"/>
  <c r="AQ407" i="12"/>
  <c r="D4" i="7"/>
  <c r="E64" i="11" s="1"/>
  <c r="C3" i="8"/>
  <c r="D72" i="11" s="1"/>
  <c r="D2" i="8"/>
  <c r="B4" i="6"/>
  <c r="C54" i="11" s="1"/>
  <c r="D2" i="4"/>
  <c r="E32" i="11" s="1"/>
  <c r="AG407" i="12"/>
  <c r="C2" i="6"/>
  <c r="D4" i="3"/>
  <c r="E24" i="11" s="1"/>
  <c r="B2" i="7"/>
  <c r="C62" i="11" s="1"/>
  <c r="D4" i="9"/>
  <c r="E83" i="11" s="1"/>
  <c r="BF408" i="12"/>
  <c r="BF407" i="12"/>
  <c r="BF406" i="12"/>
  <c r="D3" i="9"/>
  <c r="E82" i="11" s="1"/>
  <c r="D2" i="9"/>
  <c r="E81" i="11" s="1"/>
  <c r="C4" i="1"/>
  <c r="D5" i="11" s="1"/>
  <c r="AB406" i="12"/>
  <c r="C83" i="11"/>
  <c r="D73" i="11"/>
  <c r="E72" i="11"/>
  <c r="E13" i="11"/>
  <c r="C5" i="11"/>
  <c r="C23" i="11"/>
  <c r="D53" i="11"/>
  <c r="E71" i="11"/>
  <c r="E63" i="11"/>
  <c r="C24" i="11"/>
  <c r="E54" i="11"/>
  <c r="E14" i="11"/>
  <c r="E44" i="11"/>
  <c r="D64" i="11"/>
  <c r="C53" i="11"/>
  <c r="E42" i="11"/>
  <c r="C14" i="11"/>
  <c r="C13" i="11"/>
  <c r="C12" i="11"/>
  <c r="D63" i="11"/>
  <c r="E43" i="11"/>
  <c r="D52" i="11"/>
  <c r="E3" i="11"/>
  <c r="C34" i="11"/>
  <c r="C63" i="11"/>
  <c r="E53" i="11"/>
  <c r="C32" i="11"/>
  <c r="E52" i="11"/>
  <c r="C22" i="11"/>
  <c r="C4" i="11"/>
  <c r="C44" i="11"/>
  <c r="C3" i="11"/>
  <c r="D43" i="11"/>
  <c r="E62" i="11"/>
  <c r="D62" i="11"/>
  <c r="D14" i="11"/>
  <c r="C43" i="11"/>
  <c r="D34" i="11"/>
  <c r="E4" i="11"/>
  <c r="E34" i="11"/>
  <c r="E5" i="11"/>
  <c r="D24" i="11"/>
  <c r="E33" i="11"/>
  <c r="D33" i="11"/>
  <c r="D23" i="11"/>
  <c r="D13" i="11"/>
  <c r="D22" i="11"/>
  <c r="D12" i="11"/>
  <c r="D83" i="11"/>
  <c r="D82" i="11"/>
  <c r="D81" i="11"/>
  <c r="BA409" i="12" l="1"/>
  <c r="L9" i="10" s="1"/>
  <c r="BF409" i="12"/>
  <c r="K10" i="10" s="1"/>
  <c r="R409" i="12"/>
  <c r="K2" i="10" s="1"/>
  <c r="AL409" i="12"/>
  <c r="J6" i="10" s="1"/>
  <c r="AQ409" i="12"/>
  <c r="K7" i="10" s="1"/>
  <c r="AV409" i="12"/>
  <c r="K8" i="10" s="1"/>
  <c r="AG409" i="12"/>
  <c r="L5" i="10" s="1"/>
  <c r="W409" i="12"/>
  <c r="L3" i="10" s="1"/>
  <c r="AB409" i="12"/>
  <c r="K4" i="10" s="1"/>
  <c r="C84" i="11"/>
  <c r="F71" i="11"/>
  <c r="D65" i="11"/>
  <c r="G65" i="11"/>
  <c r="F64" i="11"/>
  <c r="F73" i="11"/>
  <c r="F54" i="11"/>
  <c r="E74" i="11"/>
  <c r="F63" i="11"/>
  <c r="G74" i="11"/>
  <c r="D45" i="11"/>
  <c r="F12" i="11"/>
  <c r="F44" i="11"/>
  <c r="C35" i="11"/>
  <c r="F72" i="11"/>
  <c r="F42" i="11"/>
  <c r="E65" i="11"/>
  <c r="C74" i="11"/>
  <c r="C6" i="11"/>
  <c r="E55" i="11"/>
  <c r="E15" i="11"/>
  <c r="F14" i="11"/>
  <c r="D55" i="11"/>
  <c r="E45" i="11"/>
  <c r="E25" i="11"/>
  <c r="C65" i="11"/>
  <c r="F62" i="11"/>
  <c r="F4" i="11"/>
  <c r="F3" i="11"/>
  <c r="G45" i="11"/>
  <c r="F24" i="11"/>
  <c r="G55" i="11"/>
  <c r="F43" i="11"/>
  <c r="C25" i="11"/>
  <c r="F53" i="11"/>
  <c r="C55" i="11"/>
  <c r="D74" i="11"/>
  <c r="F52" i="11"/>
  <c r="C15" i="11"/>
  <c r="F34" i="11"/>
  <c r="F5" i="11"/>
  <c r="C45" i="11"/>
  <c r="E84" i="11"/>
  <c r="E35" i="11"/>
  <c r="E6" i="11"/>
  <c r="F83" i="11"/>
  <c r="G6" i="11"/>
  <c r="F81" i="11"/>
  <c r="D84" i="11"/>
  <c r="D35" i="11"/>
  <c r="F32" i="11"/>
  <c r="D25" i="11"/>
  <c r="F22" i="11"/>
  <c r="F23" i="11"/>
  <c r="G25" i="11"/>
  <c r="D6" i="11"/>
  <c r="F33" i="11"/>
  <c r="G35" i="11"/>
  <c r="G84" i="11"/>
  <c r="F82" i="11"/>
  <c r="F13" i="11"/>
  <c r="G15" i="11"/>
  <c r="D15" i="11"/>
  <c r="L6" i="10" l="1"/>
  <c r="K3" i="10"/>
  <c r="K6" i="10"/>
  <c r="J9" i="10"/>
  <c r="K9" i="10"/>
  <c r="L2" i="10"/>
  <c r="J2" i="10"/>
  <c r="L8" i="10"/>
  <c r="J4" i="10"/>
  <c r="J5" i="10"/>
  <c r="J10" i="10"/>
  <c r="L10" i="10"/>
  <c r="J7" i="10"/>
  <c r="J3" i="10"/>
  <c r="L4" i="10"/>
  <c r="K5" i="10"/>
  <c r="J8" i="10"/>
  <c r="L7" i="10"/>
  <c r="J65" i="11"/>
  <c r="J74" i="11"/>
  <c r="J45" i="11"/>
  <c r="I65" i="11"/>
  <c r="I55" i="11"/>
  <c r="J6" i="11"/>
  <c r="H65" i="11"/>
  <c r="F65" i="11"/>
  <c r="E66" i="11" s="1"/>
  <c r="C8" i="10" s="1"/>
  <c r="J15" i="11"/>
  <c r="H74" i="11"/>
  <c r="J55" i="11"/>
  <c r="F55" i="11"/>
  <c r="E56" i="11" s="1"/>
  <c r="C7" i="10" s="1"/>
  <c r="I74" i="11"/>
  <c r="F74" i="11"/>
  <c r="E75" i="11" s="1"/>
  <c r="C9" i="10" s="1"/>
  <c r="H55" i="11"/>
  <c r="F45" i="11"/>
  <c r="E46" i="11" s="1"/>
  <c r="C6" i="10" s="1"/>
  <c r="I45" i="11"/>
  <c r="H45" i="11"/>
  <c r="H6" i="11"/>
  <c r="I6" i="11"/>
  <c r="F6" i="11"/>
  <c r="E7" i="11" s="1"/>
  <c r="C2" i="10" s="1"/>
  <c r="J35" i="11"/>
  <c r="H35" i="11"/>
  <c r="I15" i="11"/>
  <c r="F15" i="11"/>
  <c r="E16" i="11" s="1"/>
  <c r="C3" i="10" s="1"/>
  <c r="F35" i="11"/>
  <c r="E36" i="11" s="1"/>
  <c r="C5" i="10" s="1"/>
  <c r="I35" i="11"/>
  <c r="H15" i="11"/>
  <c r="J25" i="11"/>
  <c r="H25" i="11"/>
  <c r="F25" i="11"/>
  <c r="E26" i="11" s="1"/>
  <c r="C4" i="10" s="1"/>
  <c r="I25" i="11"/>
  <c r="I84" i="11"/>
  <c r="F84" i="11"/>
  <c r="E85" i="11" s="1"/>
  <c r="C10" i="10" s="1"/>
  <c r="J84" i="11"/>
  <c r="H84" i="11"/>
  <c r="M6" i="10" l="1"/>
  <c r="E9" i="10"/>
  <c r="M9" i="10"/>
  <c r="M2" i="10"/>
  <c r="E6" i="10"/>
  <c r="E2" i="10"/>
  <c r="E8" i="10"/>
  <c r="M8" i="10"/>
  <c r="E3" i="10"/>
  <c r="M3" i="10"/>
  <c r="M7" i="10"/>
  <c r="E7" i="10"/>
  <c r="M4" i="10"/>
  <c r="E4" i="10"/>
  <c r="E10" i="10"/>
  <c r="M10" i="10"/>
  <c r="E5" i="10"/>
  <c r="M5" i="10"/>
  <c r="E67" i="11"/>
  <c r="D8" i="10" s="1"/>
  <c r="E57" i="11"/>
  <c r="D7" i="10" s="1"/>
  <c r="E76" i="11"/>
  <c r="D9" i="10" s="1"/>
  <c r="E86" i="11"/>
  <c r="D10" i="10" s="1"/>
  <c r="E37" i="11"/>
  <c r="D5" i="10" s="1"/>
  <c r="E17" i="11"/>
  <c r="D3" i="10" s="1"/>
  <c r="E27" i="11"/>
  <c r="D4" i="10" s="1"/>
  <c r="E47" i="11"/>
  <c r="D6" i="10" s="1"/>
  <c r="E8" i="11"/>
  <c r="D2"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D9B0B4-4D97-45AD-9987-311FC05C933D}" keepAlive="1" name="Query - interview_responses" description="Connection to the 'interview_responses' query in the workbook." type="5" refreshedVersion="8" background="1" saveData="1">
    <dbPr connection="Provider=Microsoft.Mashup.OleDb.1;Data Source=$Workbook$;Location=interview_responses;Extended Properties=&quot;&quot;" command="SELECT * FROM [interview_responses]"/>
  </connection>
  <connection id="2" xr16:uid="{D0345BBE-78E8-4375-9EB2-3905412D32D4}" keepAlive="1" name="Query - step2_raw_simulation" description="Connection to the 'step2_raw_simulation' query in the workbook." type="5" refreshedVersion="8" background="1" saveData="1">
    <dbPr connection="Provider=Microsoft.Mashup.OleDb.1;Data Source=$Workbook$;Location=step2_raw_simulation;Extended Properties=&quot;&quot;" command="SELECT * FROM [step2_raw_simulation]"/>
  </connection>
  <connection id="3" xr16:uid="{59800C96-21D8-47A3-B294-5457B01DAA7D}" keepAlive="1" name="Query - step2_raw_simulation (2)" description="Connection to the 'step2_raw_simulation (2)' query in the workbook." type="5" refreshedVersion="0" background="1" saveData="1">
    <dbPr connection="Provider=Microsoft.Mashup.OleDb.1;Data Source=$Workbook$;Location=&quot;step2_raw_simulation (2)&quot;;Extended Properties=&quot;&quot;" command="SELECT * FROM [step2_raw_simulation (2)]"/>
  </connection>
  <connection id="4" xr16:uid="{CD2CBEC7-DD68-4DE4-9807-64F4D1652185}" keepAlive="1" name="Query - step3_survey_simulation_results" description="Connection to the 'step3_survey_simulation_results' query in the workbook." type="5" refreshedVersion="8" background="1" saveData="1">
    <dbPr connection="Provider=Microsoft.Mashup.OleDb.1;Data Source=$Workbook$;Location=step3_survey_simulation_results;Extended Properties=&quot;&quot;" command="SELECT * FROM [step3_survey_simulation_results]"/>
  </connection>
  <connection id="5" xr16:uid="{68518907-6C44-4E2F-B44A-369417B2F34F}" keepAlive="1" name="Query - step3_validation" description="Connection to the 'step3_validation' query in the workbook." type="5" refreshedVersion="8" background="1" saveData="1">
    <dbPr connection="Provider=Microsoft.Mashup.OleDb.1;Data Source=$Workbook$;Location=step3_validation;Extended Properties=&quot;&quot;" command="SELECT * FROM [step3_validation]"/>
  </connection>
  <connection id="6" xr16:uid="{087CA380-0F42-4DAE-9364-8A6A73D4D6A8}" keepAlive="1" name="Query - step3_validation (2)" description="Connection to the 'step3_validation (2)' query in the workbook." type="5" refreshedVersion="8" background="1" saveData="1">
    <dbPr connection="Provider=Microsoft.Mashup.OleDb.1;Data Source=$Workbook$;Location=&quot;step3_validation (2)&quot;;Extended Properties=&quot;&quot;" command="SELECT * FROM [step3_validation (2)]"/>
  </connection>
  <connection id="7" xr16:uid="{76288996-789D-46B7-B1F3-F67C7AA1DC2E}" keepAlive="1" name="Query - step3_validation (3)" description="Connection to the 'step3_validation (3)' query in the workbook." type="5" refreshedVersion="0" background="1" saveData="1">
    <dbPr connection="Provider=Microsoft.Mashup.OleDb.1;Data Source=$Workbook$;Location=&quot;step3_validation (3)&quot;;Extended Properties=&quot;&quot;" command="SELECT * FROM [step3_validation (3)]"/>
  </connection>
  <connection id="8" xr16:uid="{F7EC4F26-98E3-4CD2-958A-1E8005FC2274}" keepAlive="1" name="Query - step3_validation (4)" description="Connection to the 'step3_validation (4)' query in the workbook." type="5" refreshedVersion="8" background="1" saveData="1">
    <dbPr connection="Provider=Microsoft.Mashup.OleDb.1;Data Source=$Workbook$;Location=&quot;step3_validation (4)&quot;;Extended Properties=&quot;&quot;" command="SELECT * FROM [step3_validation (4)]"/>
  </connection>
  <connection id="9" xr16:uid="{14EA6238-7AB9-4BDA-8602-510C19C4330E}" keepAlive="1" name="Query - step3_validation (5)" description="Connection to the 'step3_validation (5)' query in the workbook." type="5" refreshedVersion="0" background="1" saveData="1">
    <dbPr connection="Provider=Microsoft.Mashup.OleDb.1;Data Source=$Workbook$;Location=&quot;step3_validation (5)&quot;;Extended Properties=&quot;&quot;" command="SELECT * FROM [step3_validation (5)]"/>
  </connection>
  <connection id="10" xr16:uid="{69974143-1415-4598-B7BE-D9C39939331A}" keepAlive="1" name="Query - step3_validation (6)" description="Connection to the 'step3_validation (6)' query in the workbook." type="5" refreshedVersion="0" background="1" saveData="1">
    <dbPr connection="Provider=Microsoft.Mashup.OleDb.1;Data Source=$Workbook$;Location=&quot;step3_validation (6)&quot;;Extended Properties=&quot;&quot;" command="SELECT * FROM [step3_validation (6)]"/>
  </connection>
  <connection id="11" xr16:uid="{42764D90-ECE8-41B8-992D-D15F127A969A}" keepAlive="1" name="Query - step3_validation (7)" description="Connection to the 'step3_validation (7)' query in the workbook." type="5" refreshedVersion="0" background="1" saveData="1">
    <dbPr connection="Provider=Microsoft.Mashup.OleDb.1;Data Source=$Workbook$;Location=&quot;step3_validation (7)&quot;;Extended Properties=&quot;&quot;" command="SELECT * FROM [step3_validation (7)]"/>
  </connection>
  <connection id="12" xr16:uid="{DAEC1F68-1E9D-4222-B067-E0F3B46134B0}" keepAlive="1" name="Query - step3_validation (8)" description="Connection to the 'step3_validation (8)' query in the workbook." type="5" refreshedVersion="8" background="1" saveData="1">
    <dbPr connection="Provider=Microsoft.Mashup.OleDb.1;Data Source=$Workbook$;Location=&quot;step3_validation (8)&quot;;Extended Properties=&quot;&quot;" command="SELECT * FROM [step3_validation (8)]"/>
  </connection>
  <connection id="13" xr16:uid="{781260F2-8821-459B-8B0C-CB0287CC0612}" keepAlive="1" name="Query - step3_validation (9)" description="Connection to the 'step3_validation (9)' query in the workbook." type="5" refreshedVersion="0" background="1" saveData="1">
    <dbPr connection="Provider=Microsoft.Mashup.OleDb.1;Data Source=$Workbook$;Location=&quot;step3_validation (9)&quot;;Extended Properties=&quot;&quot;" command="SELECT * FROM [step3_validation (9)]"/>
  </connection>
  <connection id="14" xr16:uid="{F572EC63-C73E-4F9E-BAC2-A805F8AF7CF6}" keepAlive="1" name="Query - survey_responses" description="Connection to the 'survey_responses' query in the workbook." type="5" refreshedVersion="8" background="1" saveData="1">
    <dbPr connection="Provider=Microsoft.Mashup.OleDb.1;Data Source=$Workbook$;Location=survey_responses;Extended Properties=&quot;&quot;" command="SELECT * FROM [survey_responses]"/>
  </connection>
  <connection id="15" xr16:uid="{6ACD503F-7304-41B4-8BFB-2AC6A26B719C}" keepAlive="1" name="Query - survey_responses (2)" description="Connection to the 'survey_responses (2)' query in the workbook." type="5" refreshedVersion="0" background="1" saveData="1">
    <dbPr connection="Provider=Microsoft.Mashup.OleDb.1;Data Source=$Workbook$;Location=&quot;survey_responses (2)&quot;;Extended Properties=&quot;&quot;" command="SELECT * FROM [survey_responses (2)]"/>
  </connection>
</connections>
</file>

<file path=xl/sharedStrings.xml><?xml version="1.0" encoding="utf-8"?>
<sst xmlns="http://schemas.openxmlformats.org/spreadsheetml/2006/main" count="9222" uniqueCount="3811">
  <si>
    <t>HUMAN</t>
  </si>
  <si>
    <t>Oppose</t>
  </si>
  <si>
    <t>Neutral</t>
  </si>
  <si>
    <t>Support</t>
  </si>
  <si>
    <t>Metric</t>
  </si>
  <si>
    <t>MAE (Intensity)</t>
  </si>
  <si>
    <t>Agreement Rate (%)</t>
  </si>
  <si>
    <t>Human_Oppose (%)</t>
  </si>
  <si>
    <t>Human_Neutral (%)</t>
  </si>
  <si>
    <t>Human_Support (%)</t>
  </si>
  <si>
    <t>AI_Oppose (%)</t>
  </si>
  <si>
    <t>AI_Neutral (%)</t>
  </si>
  <si>
    <t>AI_Support (%)</t>
  </si>
  <si>
    <t>ENF1</t>
  </si>
  <si>
    <t>ENF2</t>
  </si>
  <si>
    <t>FAC1</t>
  </si>
  <si>
    <t>FAC2</t>
  </si>
  <si>
    <t>TRU1</t>
  </si>
  <si>
    <t>TRU2</t>
  </si>
  <si>
    <t>TRU3</t>
  </si>
  <si>
    <t>TRU4</t>
  </si>
  <si>
    <t>OUT1</t>
  </si>
  <si>
    <t>Confusion Matrix_ENF1</t>
  </si>
  <si>
    <t>Human</t>
  </si>
  <si>
    <t>AI</t>
  </si>
  <si>
    <t>Agreement rate (%)</t>
  </si>
  <si>
    <t>Confusion Matrix_ENF2</t>
  </si>
  <si>
    <t>Confusion Matrix_FAC1</t>
  </si>
  <si>
    <t>Confusion Matrix_FAC2</t>
  </si>
  <si>
    <t>Confusion Matrix_TRU1</t>
  </si>
  <si>
    <t>Confusion Matrix_TRU2</t>
  </si>
  <si>
    <t>Confusion Matrix_TRU3</t>
  </si>
  <si>
    <t>Confusion Matrix_TRU4</t>
  </si>
  <si>
    <t>Confusion Matrix_OUT1</t>
  </si>
  <si>
    <t>Total</t>
  </si>
  <si>
    <t>MCC</t>
  </si>
  <si>
    <t>c</t>
  </si>
  <si>
    <t>Persona_ID</t>
  </si>
  <si>
    <t>Gender</t>
  </si>
  <si>
    <t>Age</t>
  </si>
  <si>
    <t>Region</t>
  </si>
  <si>
    <t>Education</t>
  </si>
  <si>
    <t>Employment</t>
  </si>
  <si>
    <t>Income_Mil</t>
  </si>
  <si>
    <t>Dependents</t>
  </si>
  <si>
    <t>AI_ENF1_Score</t>
  </si>
  <si>
    <t>Human_ENF1</t>
  </si>
  <si>
    <t>AI_ENF1_Reason</t>
  </si>
  <si>
    <t>AI_ENF2_Score</t>
  </si>
  <si>
    <t>Human_ENF2</t>
  </si>
  <si>
    <t>AI_ENF2_Reason</t>
  </si>
  <si>
    <t>AI_FAC1_Score</t>
  </si>
  <si>
    <t>Human_FAC1</t>
  </si>
  <si>
    <t>AI_FAC1_Reason</t>
  </si>
  <si>
    <t>AI_FAC2_Score</t>
  </si>
  <si>
    <t>Human_FAC2</t>
  </si>
  <si>
    <t>AI_FAC2_Reason</t>
  </si>
  <si>
    <t>AI_TRU1_Score</t>
  </si>
  <si>
    <t>Human_TRU1</t>
  </si>
  <si>
    <t>AI_TRU1_Reason</t>
  </si>
  <si>
    <t>AI_TRU2_Score</t>
  </si>
  <si>
    <t>Human_TRU2</t>
  </si>
  <si>
    <t>AI_TRU2_Reason</t>
  </si>
  <si>
    <t>AI_TRU3_Score</t>
  </si>
  <si>
    <t>Human_TRU3</t>
  </si>
  <si>
    <t>AI_TRU3_Reason</t>
  </si>
  <si>
    <t>AI_TRU4_Score</t>
  </si>
  <si>
    <t>Human_TRU4</t>
  </si>
  <si>
    <t>AI_TRU4_Reason</t>
  </si>
  <si>
    <t>AI_OUT1_Score</t>
  </si>
  <si>
    <t>Human_OUT1</t>
  </si>
  <si>
    <t>AI_OUT1_Reason</t>
  </si>
  <si>
    <t>Nữ</t>
  </si>
  <si>
    <t>30 - 39</t>
  </si>
  <si>
    <t>Thành thị</t>
  </si>
  <si>
    <t>Sau Đại học</t>
  </si>
  <si>
    <t>Chính thức</t>
  </si>
  <si>
    <t>Đại học</t>
  </si>
  <si>
    <t>Nam</t>
  </si>
  <si>
    <t>40 - 49</t>
  </si>
  <si>
    <t>Nông thôn</t>
  </si>
  <si>
    <t>25 - 29</t>
  </si>
  <si>
    <t>Tôi tin rằng số tiền thuế đóng sẽ được sử dụng hiệu quả để cải thiện dịch vụ công</t>
  </si>
  <si>
    <t>Timestamp</t>
  </si>
  <si>
    <t>Giới tính của bạn:</t>
  </si>
  <si>
    <t>Độ tuổi của bạn:</t>
  </si>
  <si>
    <t>Khu vực bạn đang sinh sống:</t>
  </si>
  <si>
    <t>Trình độ học vấn cao nhất:</t>
  </si>
  <si>
    <t>Tình trạng việc làm chính:</t>
  </si>
  <si>
    <t>Thu nhập bình quân tháng theo Hợp đồng lao động của bạn là bao nhiêu? (Vui lòng điền tổng thu nhập trước khi khấu trừ các loại Bảo hiểm (BHXH, BHYT, BHTN) và Thuế TNCN)</t>
  </si>
  <si>
    <t>Số người phụ thuộc (con nhỏ, cha mẹ già...) đủ điều kiện giảm trừ gia cảnh:</t>
  </si>
  <si>
    <t>Tôi tin rằng với các quy định quản lý thuế hiện nay, hành vi gian lận hoặc trốn thuế sẽ dễ dàng bị phát hiện và xử lý nghiêm. - HUMAN-ENF1</t>
  </si>
  <si>
    <t>Tôi tin rằng Nhà nước, cơ quan thuế có đủ khả năng và công nghệ để phát hiện, xử lý nghiêm các hành vi trốn thuế. - HUMAN-ENF2</t>
  </si>
  <si>
    <t>Các thủ tục khai báo thuế VÀ/HOẶC quy trình làm việc với cơ quan thuế đơn giản, tiện lợi, nhanh chóng hơn so với trước đây. - HUMAN-FAC1</t>
  </si>
  <si>
    <t>So với trước đây, tôi thấy cách tính thuế và các bậc thuế trong phương án mới đơn giản, dễ hiểu và dễ thực hiện hơn. - HUMAN-FAC2</t>
  </si>
  <si>
    <t>Tôi tin rằng Nhà nước, cơ quan thuế sẽ thực thi chính sách mới một cách khách quan, công tâm và đối xử bình đẳng với mọi người nộp thuế.  - HUMAN-TRU1</t>
  </si>
  <si>
    <t>Tôi thấy mức thuế tôi phải đóng theo phương án mới là công bằng (người thu nhập như tôi đóng mức này là hợp lý). - HUMAN-TRU2</t>
  </si>
  <si>
    <t>Tôi tin tưởng số tiền thuế tôi đóng sẽ được Nhà nước sử dụng hiệu quả để cải thiện dịch vụ công (y tế, đường xá...). - HUMAN-TRU3</t>
  </si>
  <si>
    <t>Tôi thấy Nhà nước đã giải thích rõ ràng, minh bạch về lý do và mục tiêu của việc sửa đổi thuế lần này. - HUMAN-TRU4</t>
  </si>
  <si>
    <t>Sau khi xem xét các quyền lợi và nghĩa vụ, bạn có ủng hộ và tuân thủ chính sách mới hiện nay? - HUMAN-OUT1</t>
  </si>
  <si>
    <t>Khu vực chính thức (Có Hợp đồng lao động, đóng BHXH)</t>
  </si>
  <si>
    <t>Từ 23 - 32 triệu VNĐ</t>
  </si>
  <si>
    <t>1 người</t>
  </si>
  <si>
    <t>Khu vực phi chính thức (Lao động tự do, không có HĐLĐ)</t>
  </si>
  <si>
    <t>Từ 12 - 18 triệu VNĐ</t>
  </si>
  <si>
    <t>2 người</t>
  </si>
  <si>
    <t>3 người</t>
  </si>
  <si>
    <t>Từ 70 - 102 triệu VNĐ</t>
  </si>
  <si>
    <t>Trên 102 triệu VNĐ</t>
  </si>
  <si>
    <t>Từ 32 - 48 triệu VNĐ</t>
  </si>
  <si>
    <t>0 người</t>
  </si>
  <si>
    <t>Từ 48 - 70 triệu VNĐ</t>
  </si>
  <si>
    <t>AI_Gender</t>
  </si>
  <si>
    <t>Human_Gender</t>
  </si>
  <si>
    <t>AI_Age</t>
  </si>
  <si>
    <t>Human_Age</t>
  </si>
  <si>
    <t>AI_Region</t>
  </si>
  <si>
    <t>Human_Region</t>
  </si>
  <si>
    <t>AI_Education</t>
  </si>
  <si>
    <t>Human_Education</t>
  </si>
  <si>
    <t>AI_Employment</t>
  </si>
  <si>
    <t>Human_Employment</t>
  </si>
  <si>
    <t>AI_Income_Mil</t>
  </si>
  <si>
    <t>Human_Income_Mil</t>
  </si>
  <si>
    <t>AI_Dependents</t>
  </si>
  <si>
    <t>Human_Dependents</t>
  </si>
  <si>
    <t>Human_ENF1_Score</t>
  </si>
  <si>
    <t>AI_ENF1_Category</t>
  </si>
  <si>
    <t>Human_ENF1_Category</t>
  </si>
  <si>
    <t>MAE_ENF1</t>
  </si>
  <si>
    <t>AI_ENF2_Category</t>
  </si>
  <si>
    <t>Human_ENF2_Score</t>
  </si>
  <si>
    <t>Human_ENF2_Category</t>
  </si>
  <si>
    <t>MAE_ENF2</t>
  </si>
  <si>
    <t>AI_FAC1_Category</t>
  </si>
  <si>
    <t>Human_FAC1_Score</t>
  </si>
  <si>
    <t>Human_FAC1_Category</t>
  </si>
  <si>
    <t>MAE_FAC1</t>
  </si>
  <si>
    <t>AI_FAC2_Category</t>
  </si>
  <si>
    <t>Human_FAC2_Score</t>
  </si>
  <si>
    <t>Human_FAC2_Category</t>
  </si>
  <si>
    <t>MAE_FAC2</t>
  </si>
  <si>
    <t>AI_TRU1_Category</t>
  </si>
  <si>
    <t>Human_TRU1_Score</t>
  </si>
  <si>
    <t>Human_TRU1_Category</t>
  </si>
  <si>
    <t>MAE_TRU1</t>
  </si>
  <si>
    <t>AI_TRU2_Category</t>
  </si>
  <si>
    <t>Human_TRU2_Score</t>
  </si>
  <si>
    <t>Human_TRU2_Category</t>
  </si>
  <si>
    <t>MAE_TRU2</t>
  </si>
  <si>
    <t>AI_TRU3_Category</t>
  </si>
  <si>
    <t>Human_TRU3_Score</t>
  </si>
  <si>
    <t>Human_TRU3_Category</t>
  </si>
  <si>
    <t>MAE_TRU3</t>
  </si>
  <si>
    <t>AI_TRU4_Category</t>
  </si>
  <si>
    <t>Human_TRU4_Score</t>
  </si>
  <si>
    <t>Human_TRU4_Category</t>
  </si>
  <si>
    <t>MAE_TRU4</t>
  </si>
  <si>
    <t>AI_OUT1_Category</t>
  </si>
  <si>
    <t>Human_OUT1_Score</t>
  </si>
  <si>
    <t>Human_OUT1_Category</t>
  </si>
  <si>
    <t>MAE_OUT1</t>
  </si>
  <si>
    <t>Phi chính thức</t>
  </si>
  <si>
    <t>tk</t>
  </si>
  <si>
    <t>pk</t>
  </si>
  <si>
    <t>tk x pk</t>
  </si>
  <si>
    <t>Male</t>
  </si>
  <si>
    <t>Female</t>
  </si>
  <si>
    <t>Number of participants</t>
  </si>
  <si>
    <t>Rate (%)</t>
  </si>
  <si>
    <t>Age_Group</t>
  </si>
  <si>
    <t>AI_ENF1</t>
  </si>
  <si>
    <t>d_ENF1</t>
  </si>
  <si>
    <t>AI_ENF2</t>
  </si>
  <si>
    <t>d_ENF2</t>
  </si>
  <si>
    <t>AI_FAC1</t>
  </si>
  <si>
    <t>d_FAC1</t>
  </si>
  <si>
    <t>AI_FAC2</t>
  </si>
  <si>
    <t>d_FAC2</t>
  </si>
  <si>
    <t>AI_TRU1</t>
  </si>
  <si>
    <t>d_TRU1</t>
  </si>
  <si>
    <t>AI_TRU2</t>
  </si>
  <si>
    <t>d_TRU2</t>
  </si>
  <si>
    <t>AI_TRU3</t>
  </si>
  <si>
    <t>d_TRU3</t>
  </si>
  <si>
    <t>AI_TRU4</t>
  </si>
  <si>
    <t>d_TRU4</t>
  </si>
  <si>
    <t>AI_OUT1</t>
  </si>
  <si>
    <t>d_OUT1</t>
  </si>
  <si>
    <t>18 - 24</t>
  </si>
  <si>
    <t>Cao đẳng</t>
  </si>
  <si>
    <t>50 - 54</t>
  </si>
  <si>
    <t>Trung học phổ thông</t>
  </si>
  <si>
    <t>55 - 64</t>
  </si>
  <si>
    <t>Dưới 12 triệu VNĐ</t>
  </si>
  <si>
    <t>4 người trở lên</t>
  </si>
  <si>
    <t>Từ 18 - 23 triệu VNĐ</t>
  </si>
  <si>
    <t>Khác (Về hưu, nội trợ, sinh viên)</t>
  </si>
  <si>
    <t>Used_Seed</t>
  </si>
  <si>
    <t>Tôi tin rằng Nhà nước sẽ thực thi chính sách một cách công bằng đối với mọi người nộp thuế.</t>
  </si>
  <si>
    <t>Tôi tin rằng Nhà nước sẽ thực thi chính sách một cách công bằng và khách quan đối với mọi người nộp thuế.</t>
  </si>
  <si>
    <t>Nhà nước đã giải thích rõ ràng về mục tiêu và lý do của việc sửa đổi thuế, tạo niềm tin cho người dân.</t>
  </si>
  <si>
    <t/>
  </si>
  <si>
    <t>Nhà nước đã giải thích rõ ràng về mục tiêu của việc sửa đổi thuế lần này</t>
  </si>
  <si>
    <t>EMD</t>
  </si>
  <si>
    <t>TVD</t>
  </si>
  <si>
    <t>EMD_ENF1</t>
  </si>
  <si>
    <t>EMD_ENF2</t>
  </si>
  <si>
    <t>EMD_FAC1</t>
  </si>
  <si>
    <t>EMD_FAC2</t>
  </si>
  <si>
    <t>EMD_TRU1</t>
  </si>
  <si>
    <t>EMD_TRU2</t>
  </si>
  <si>
    <t>EMD_TRU3</t>
  </si>
  <si>
    <t>EMD_TRU4</t>
  </si>
  <si>
    <t>EMD_OUT1</t>
  </si>
  <si>
    <t>Count of Độ tuổi của bạn:</t>
  </si>
  <si>
    <t>Count of Khu vực bạn đang sinh sống:</t>
  </si>
  <si>
    <t>Count of Trình độ học vấn cao nhất:</t>
  </si>
  <si>
    <t>Count of Tình trạng việc làm chính:</t>
  </si>
  <si>
    <t>Count of Thu nhập bình quân tháng theo Hợp đồng lao động của bạn là bao nhiêu? (Vui lòng điền tổng thu nhập trước khi khấu trừ các loại Bảo hiểm (BHXH, BHYT, BHTN) và Thuế TNCN)</t>
  </si>
  <si>
    <t>Income</t>
  </si>
  <si>
    <t>Count of Số người phụ thuộc (con nhỏ, cha mẹ già...) đủ điều kiện giảm trừ gia cảnh:</t>
  </si>
  <si>
    <t>Biểu thuế mới có ít bậc hơn, dễ hiểu và thực hiện nhanh chóng hơn so với trước đây.</t>
  </si>
  <si>
    <t>Tôi tin rằng Nhà nước sẽ thực thi chính sách một cách công bằng, nhưng cần thêm thời gian để chứng minh</t>
  </si>
  <si>
    <t>Với mức thu nhập của tôi, việc không phải đóng thuế là hợp lý và công bằng.</t>
  </si>
  <si>
    <t>Việc tăng mức giảm trừ gia cảnh và đơn giản hóa biểu thuế có thể làm giảm khả năng phát hiện hành vi gian lận hoặc trốn thuế.</t>
  </si>
  <si>
    <t>Nhà nước đã cải cách thuế một cách công bằng, giảm gánh nặng cho người dân.</t>
  </si>
  <si>
    <t>AI_ENF1_Norm</t>
  </si>
  <si>
    <t>Human_ENF1_Norm</t>
  </si>
  <si>
    <t>AI_ENF2_Norm</t>
  </si>
  <si>
    <t>Human_ENF2_Norm</t>
  </si>
  <si>
    <t>AI_FAC1_Norm</t>
  </si>
  <si>
    <t>Human_FAC1_Norm</t>
  </si>
  <si>
    <t>AI_FAC2_Norm</t>
  </si>
  <si>
    <t>Human_FAC2_Norm</t>
  </si>
  <si>
    <t>AI_TRU1_Norm</t>
  </si>
  <si>
    <t>Human_TRU1_Norm</t>
  </si>
  <si>
    <t>AI_TRU2_Norm</t>
  </si>
  <si>
    <t>Human_TRU2_Norm</t>
  </si>
  <si>
    <t>AI_TRU3_Norm</t>
  </si>
  <si>
    <t>Human_TRU3_Norm</t>
  </si>
  <si>
    <t>AI_TRU4_Norm</t>
  </si>
  <si>
    <t>AI_OUT1_Norm</t>
  </si>
  <si>
    <t>Human_OUT1_Norm</t>
  </si>
  <si>
    <t>AI_ENF</t>
  </si>
  <si>
    <t>Human_ENF</t>
  </si>
  <si>
    <t>AI_FAC</t>
  </si>
  <si>
    <t>Human_FAC</t>
  </si>
  <si>
    <t>AI_TRU</t>
  </si>
  <si>
    <t>Human_TRU</t>
  </si>
  <si>
    <t>AI_AIx</t>
  </si>
  <si>
    <t>Human_AIx</t>
  </si>
  <si>
    <t>Nhà nước đã giải thích rõ ràng về mục tiêu và lý do của việc sửa đổi luật thuế lần này.</t>
  </si>
  <si>
    <t>Tôi tin rằng số tiền thuế đóng sẽ được sử dụng hiệu quả để cải thiện các dịch vụ công.</t>
  </si>
  <si>
    <t>Nhà nước đã giải thích rõ ràng về mục tiêu và lý do của việc sửa đổi thuế lần này.</t>
  </si>
  <si>
    <t>Biểu thuế mới đơn giản hóa các bậc thuế, dễ hiểu và dễ thực hiện hơn so với trước đây.</t>
  </si>
  <si>
    <t>Tôi tin rằng số tiền thuế đóng sẽ được sử dụng hiệu quả để cải thiện dịch vụ công, nhưng cần thêm thông tin về cách sử dụng cụ thể.</t>
  </si>
  <si>
    <t>Mức thuế mới phù hợp với thu nhập của tôi, do đó tôi thấy nó là công bằng.</t>
  </si>
  <si>
    <t>Nhà nước đã giải thích rõ ràng về mục tiêu và lý do của việc sửa đổi chính sách thuế lần này</t>
  </si>
  <si>
    <t>Sau khi xem xét, tôi ủng hộ và sẽ tuân thủ chính sách mới vì lợi ích cá nhân và cộng đồng.</t>
  </si>
  <si>
    <t>Biểu thuế mới rõ ràng, dễ hiểu hơn so với trước đây.</t>
  </si>
  <si>
    <t>Nhà nước đã giải thích rõ ràng về mục tiêu của việc sửa đổi thuế, tạo niềm tin cho người dân.</t>
  </si>
  <si>
    <t>Nhà nước đã giải thích rõ ràng về mục tiêu và lý do của việc sửa đổi chính sách thuế, tạo niềm tin cho người dân.</t>
  </si>
  <si>
    <t>Tôi tin rằng số tiền thuế đóng sẽ được sử dụng hiệu quả để cải thiện các dịch vụ công, như y tế và giao thông.</t>
  </si>
  <si>
    <t>Quy trình khai báo và làm việc với cơ quan thuế đơn giản hơn, thuận tiện cho người dân.</t>
  </si>
  <si>
    <t>Nhà nước đã đầu tư nhiều vào các dịch vụ công như y tế và giao thông, số tiền thuế đóng góp sẽ được sử dụng hiệu quả.</t>
  </si>
  <si>
    <t>Tôi ủng hộ và tuân thủ chính sách mới vì nó mang lại nhiều lợi ích cho tôi và gia đình.</t>
  </si>
  <si>
    <t>Tôi tin rằng Nhà nước sẽ thực thi chính sách một cách công bằng, nhưng cần thêm thời gian để kiểm chứng.</t>
  </si>
  <si>
    <t>Tôi tin rằng cơ quan thuế sẽ công bằng trong việc áp dụng chính sách mới, nhưng cần thêm thời gian để kiểm chứng.</t>
  </si>
  <si>
    <t>Nhà nước đã giải thích rõ ràng về mục tiêu của chính sách mới, tạo niềm tin cho người dân.</t>
  </si>
  <si>
    <t>Mức thuế mới giảm đáng kể so với trước đây, tạo cảm giác công bằng và phù hợp với thu nhập của tôi.</t>
  </si>
  <si>
    <t>Tôi tin rằng Nhà nước sẽ công tâm trong việc áp dụng chính sách mới, nhưng vẫn cần thêm thời gian để kiểm chứng.</t>
  </si>
  <si>
    <t>Cơ quan thuế có công nghệ hiện đại nhưng mức thu nhập thấp nên việc phát hiện gian lận khó xảy ra.</t>
  </si>
  <si>
    <t>Khả năng phát hiện và xử lý nghiêm của cơ quan thuế là tốt, nhưng với mức thu nhập không cao, gian lận khó diễn ra.</t>
  </si>
  <si>
    <t>Thủ tục đơn giản hơn trước, dễ thực hiện hơn</t>
  </si>
  <si>
    <t>Bậc thuế giảm từ 7 xuống 5, dễ hiểu và dễ thực hiện hơn</t>
  </si>
  <si>
    <t>Niềm tin vào công bằng của cơ quan thuế còn thấp vì không rõ cách tính thuế cụ thể.</t>
  </si>
  <si>
    <t>Mức thuế mới phù hợp với thu nhập hiện tại, cảm thấy công bằng</t>
  </si>
  <si>
    <t>Công nhận số tiền đóng thuế sẽ được sử dụng hiệu quả cho dịch vụ công</t>
  </si>
  <si>
    <t>Chưa có thông tin rõ ràng về mục tiêu của việc sửa đổi thuế lần này.</t>
  </si>
  <si>
    <t>Đồng ý với chính sách mới, vì nó đơn giản hơn và phù hợp với thu nhập hiện tại</t>
  </si>
  <si>
    <t>Thuế mới đã đơn giản hóa nhiều, giảm ngưỡng chịu thuế và số bậc thuế, nên khả năng phát hiện trốn thuế sẽ không còn hiệu quả như trước.</t>
  </si>
  <si>
    <t>Công nghệ và nguồn lực của cơ quan thuế được cải thiện nhưng vẫn chưa đủ mạnh để phát hiện toàn bộ hành vi gian lận hoặc trốn thuế.</t>
  </si>
  <si>
    <t>Quy trình khai báo và làm việc với cơ quan thuế đã trở nên đơn giản hơn, giảm bớt nhiều thủ tục rườm rà trước đây.</t>
  </si>
  <si>
    <t>Bậc thuế mới đơn giản hóa quy trình tính thuế, dễ dàng thực hiện và hiểu hơn so với biểu thuế cũ.</t>
  </si>
  <si>
    <t>Có sự công bằng trong việc giảm trừ gia cảnh và thay đổi bậc thuế, nhưng vẫn có nghi ngờ về cách nhà nước thực thi chính sách mới.</t>
  </si>
  <si>
    <t>Thuế mới phù hợp với thu nhập của tôi, do mức thu nhập không cao nên việc đóng thuế theo quy định mới là công bằng.</t>
  </si>
  <si>
    <t>Niềm tin vào sử dụng hiệu quả số tiền thuế đóng còn thấp vì chưa rõ ràng về chi tiêu cụ thể của Nhà nước.</t>
  </si>
  <si>
    <t>Đã có giải thích minh bạch về mục đích và lý do sửa đổi thuế nhưng vẫn cần thêm thông tin chi tiết.</t>
  </si>
  <si>
    <t>Sau xem xét, tôi ủng hộ chính sách mới vì nó đơn giản hóa quy trình và giảm gánh nặng về thuế cho người dân.</t>
  </si>
  <si>
    <t>Dù có công nghệ hỗ trợ, tôi vẫn nghi ngờ về khả năng phát hiện trốn thuế của cơ quan thuế.</t>
  </si>
  <si>
    <t>Việc cải cách thuế đã giảm bớt hành vi gian lận một phần nhưng chưa đủ để đảm bảo mọi gian lận đều bị phát hiện.</t>
  </si>
  <si>
    <t>Các quy trình làm việc với cơ quan thuế trở nên đơn giản hơn, thủ tục khai báo thuế cũng thuận tiện hơn.</t>
  </si>
  <si>
    <t>Với số bậc thuế ít đi và mức giảm trừ gia cảnh tăng lên, cách tính thuế dễ hiểu và thực hiện hơn nhiều so với trước đây.</t>
  </si>
  <si>
    <t>Tôi tin rằng nhà nước sẽ thực thi chính sách một cách khách quan nhưng vẫn có sự nghi ngờ về việc công tâm đối xử giữa các loại hình doanh nghiệp.</t>
  </si>
  <si>
    <t>Dựa trên tác động tài chính, mức thuế mới phù hợp với thu nhập của tôi và tạo cảm giác công bằng.</t>
  </si>
  <si>
    <t>Tôi tin rằng số tiền thuế đóng sẽ được sử dụng hiệu quả cho các dịch vụ công</t>
  </si>
  <si>
    <t>Nhà nước đã giải thích rõ ràng về mục tiêu cải cách và lý do thay đổi, tạo cảm giác trách nhiệm.</t>
  </si>
  <si>
    <t>Dựa trên tác động tài chính tích cực và sự đơn giản hóa quy trình thuế, tôi ủng hộ và tuân thủ chính sách mới.</t>
  </si>
  <si>
    <t>Hiện nay, mặc dù cơ quan thuế có công nghệ hiện đại nhưng thực tế việc phát hiện hành vi gian lận hoặc trốn thuế vẫn còn gặp nhiều khó khăn. Tuy nhiên, với các quy định quản lý thuế mới, việc xử lý nghiêm minh các hành vi vi phạm sẽ được tăng cường.</t>
  </si>
  <si>
    <t>Nhà nước và cơ quan thuế có đủ khả năng phát hiện, xử lý hành vi trốn thuế nhưng cần cải thiện trong việc công khai thông tin để tạo sự minh bạch hơn.</t>
  </si>
  <si>
    <t>So với trước đây, thủ tục khai báo thuế và quy trình làm việc với cơ quan thuế trở nên đơn giản hơn. Tuy nhiên, vẫn cần thêm thời gian để người dân quen thuộc với các thay đổi mới.</t>
  </si>
  <si>
    <t>Cách tính thuế và các bậc thuế trong phương án mới đã đơn giản, dễ hiểu và thực hiện hơn. Điều này giúp cho quá trình khai báo thuế trở nên thuận tiện hơn.</t>
  </si>
  <si>
    <t>Tôi tin rằng Nhà nước sẽ thực thi chính sách một cách khách quan, công tâm nhưng cần thêm thời gian để mọi người hiểu và chấp nhận những thay đổi mới.</t>
  </si>
  <si>
    <t>Mức thuế tôi phải đóng theo phương án mới là công bằng. Việc tăng giảm trừ gia cảnh giúp mức thu nhập thực tế của tôi không thay đổi nhiều so với trước đây.</t>
  </si>
  <si>
    <t>Tôi tin rằng số tiền thuế tôi đóng sẽ được sử dụng hiệu quả để cải thiện các dịch vụ công. Tuy nhiên, cần thêm thông tin về cách sử dụng nguồn thu thuế mới để tăng niềm tin.</t>
  </si>
  <si>
    <t>Nhà nước đã giải thích rõ ràng về mục tiêu của việc sửa đổi thuế nhưng cần cải thiện trong việc cung cấp thông tin chi tiết hơn về quy trình thực hiện.</t>
  </si>
  <si>
    <t>Dù có một số thay đổi, tôi vẫn ủng hộ và tuân thủ chính sách mới. Việc giảm trừ gia cảnh và đơn giản hóa các bậc thuế tạo ra lợi ích cho người dân như tôi.</t>
  </si>
  <si>
    <t>Dù có công nghệ phát hiện gian lận, nhưng quy định quản lý thuế vẫn còn phức tạp và khó kiểm soát.</t>
  </si>
  <si>
    <t>Cơ quan thuế đã cải thiện khả năng phát hiện gian lận, nhưng sự thực thi cần thêm thời gian để chứng minh hiệu quả.</t>
  </si>
  <si>
    <t>Quy trình khai báo thuế và làm việc với cơ quan thuế trở nên đơn giản hơn so với trước đây.</t>
  </si>
  <si>
    <t>Biểu thuế mới đơn giản hóa bậc thuế, dễ hiểu và thực hiện hơn so với trước đây.</t>
  </si>
  <si>
    <t>Tôi tin rằng cơ quan thuế sẽ thực thi chính sách một cách công tâm, nhưng cần thêm thời gian để kiểm chứng.</t>
  </si>
  <si>
    <t>Đối với thu nhập của tôi, mức thuế mới là hợp lý và công bằng.</t>
  </si>
  <si>
    <t>Số tiền thuế đóng sẽ được sử dụng hiệu quả để cải thiện dịch vụ công, nhưng cần thêm thông tin cụ thể về việc này.</t>
  </si>
  <si>
    <t>Nhà nước đã giải thích rõ ràng mục tiêu của chính sách mới, nhưng cần thêm minh bạch về cách sử dụng tiền thuế.</t>
  </si>
  <si>
    <t>Tôi ủng hộ và tuân thủ chính sách mới vì giảm trừ gia cảnh tăng lên và biểu thuế đơn giản hơn.</t>
  </si>
  <si>
    <t>Dù có công nghệ hiện đại, nhưng với nhiều bậc thuế và mức thu nhập cao như tôi, vẫn còn khả năng trốn thuế.</t>
  </si>
  <si>
    <t>Cơ quan thuế đã sử dụng công nghệ tốt hơn để phát hiện hành vi gian lận, tăng cường quản lý.</t>
  </si>
  <si>
    <t>Quy trình khai báo và làm việc với cơ quan thuế trở nên đơn giản hơn, tiết kiệm thời gian.</t>
  </si>
  <si>
    <t>Niềm tin vào sự công bằng của chính sách mới là hợp lý khi mức giảm trừ gia cảnh tăng đáng kể.</t>
  </si>
  <si>
    <t>Thuế tôi phải đóng theo phương án mới được xem xét kỹ lưỡng và phù hợp với thu nhập hiện tại.</t>
  </si>
  <si>
    <t>Dự kiến số tiền thuế đóng sẽ được sử dụng hiệu quả để cải thiện các dịch vụ công, tăng niềm tin vào Nhà nước.</t>
  </si>
  <si>
    <t>Đã có giải thích rõ ràng về mục tiêu và lý do của việc sửa đổi thuế lần này.</t>
  </si>
  <si>
    <t>Dựa trên các lợi ích tài chính và sự đơn giản hóa, tôi sẽ ủng hộ và tuân thủ chính sách mới.</t>
  </si>
  <si>
    <t>Với mức giảm trừ gia cảnh cao, tôi không tin rằng hành vi gian lận hoặc trốn thuế sẽ dễ dàng bị phát hiện. Cơ quan thuế vẫn cần có hệ thống quản lý hiệu quả để theo dõi.</t>
  </si>
  <si>
    <t>Nhà nước đã cải thiện công nghệ và nguồn lực trong việc quản lý thuế, tuy nhiên, tôi không chắc chắn về khả năng phát hiện trốn thuế hoàn toàn.</t>
  </si>
  <si>
    <t>Quy trình khai báo thuế trở nên đơn giản hơn với mức giảm trừ gia cảnh cao. Tuy nhiên, việc phải làm nhiều giấy tờ vẫn còn là gánh nặng.</t>
  </si>
  <si>
    <t>Biểu thuế đơn giản hóa giúp dễ dàng tính toán và hiểu rõ hơn về mức thuế nên đóng. Mặc dù vậy, các bước thực hiện vẫn có thể cải thiện.</t>
  </si>
  <si>
    <t>Tôi tin rằng Nhà nước sẽ thực thi chính sách một cách công bằng nhưng không chắc chắn về việc xử lý từng trường hợp cụ thể.</t>
  </si>
  <si>
    <t>Mức thuế tôi phải đóng phù hợp với thu nhập hiện tại và giảm trừ gia cảnh cao, nên cảm thấy công bằng</t>
  </si>
  <si>
    <t>Tôi tin rằng số tiền thuế đóng sẽ được sử dụng hiệu quả cho các dịch vụ công, mặc dù không hoàn toàn rõ ràng về cách sử dụng cụ thể.</t>
  </si>
  <si>
    <t>Nhà nước đã giải thích một cách tổng quan về mục tiêu của việc cải cách thuế nhưng chưa chi tiết về từng quy định</t>
  </si>
  <si>
    <t>Tôi ủng hộ chính sách mới vì mức giảm trừ gia cảnh cao và các bậc thuế đơn giản hơn giúp tôi dễ dàng tuân thủ.</t>
  </si>
  <si>
    <t>Dù không phải đóng thuế, nhưng các quy định quản lý thuế mới có thể giúp phát hiện trốn thuế hiệu quả hơn.</t>
  </si>
  <si>
    <t>Cơ quan thuế có khả năng cao với công nghệ hiện đại, tuy nhiên vẫn cần thời gian để triển khai và thực thi.</t>
  </si>
  <si>
    <t>Quy trình đơn giản hơn nhưng việc không phải khai báo thuế thường xuyên có thể làm giảm tiện lợi cho người dân.</t>
  </si>
  <si>
    <t>Bậc thuế ít hơn và quy định rõ ràng, dễ hiểu hơn so với trước đây.</t>
  </si>
  <si>
    <t>Quy định giảm trừ gia cảnh cao khiến tôi cảm thấy được đối xử công bằng.</t>
  </si>
  <si>
    <t>Mức thuế mới phù hợp với thu nhập của tôi, cho thấy tính công bằng trong việc đánh thuế.</t>
  </si>
  <si>
    <t>Thuế đóng góp vào các dịch vụ công quan trọng như y tế và hạ tầng, tăng niềm tin vào Nhà nước.</t>
  </si>
  <si>
    <t>Đã có giải thích rõ ràng về mục tiêu cải cách thuế, tạo sự minh bạch.</t>
  </si>
  <si>
    <t>Chính sách mới tăng giảm trừ gia cảnh và đơn giản hóa quy trình làm cho tôi ủng hộ và tuân thủ.</t>
  </si>
  <si>
    <t>Thuế không ảnh hưởng đến tôi do thu nhập dưới ngưỡng chịu thuế nên tôi tin rằng việc quản lý thuế không liên quan trực tiếp đến mình.</t>
  </si>
  <si>
    <t>Công nghệ ngày càng phát triển, nhưng với mức thu nhập của tôi thì cơ quan thuế có thể vẫn chưa cần thiết phải tập trung vào giám sát tôi.</t>
  </si>
  <si>
    <t>Việc đơn giản hóa quy trình khai thuế giúp tiết kiệm thời gian và công sức, đặc biệt với thu nhập thấp như của tôi.</t>
  </si>
  <si>
    <t>Bậc thuế giảm đi từ 7 xuống còn 5 và mức giảm trừ gia cảnh tăng khiến việc tính thuế trở nên dễ dàng hơn cho người dân bình thường.</t>
  </si>
  <si>
    <t>Tôi tin rằng với thu nhập của mình, tôi không bị áp lực phải đóng thuế nên cơ quan thuế sẽ công bằng khi thực thi chính sách.</t>
  </si>
  <si>
    <t>Mức thuế hiện nay phù hợp với thu nhập của tôi và tôi thấy nó là một sự công bằng đối với người dân có mức lương tương tự như tôi.</t>
  </si>
  <si>
    <t>Tuy không đóng thuế, nhưng tôi tin rằng số tiền thuế khác sẽ được sử dụng hiệu quả để cải thiện dịch vụ công</t>
  </si>
  <si>
    <t>Dù chưa rõ ràng về mục tiêu cụ thể, nhưng cơ quan thuế đã giải thích các thay đổi này một cách khách quan.</t>
  </si>
  <si>
    <t>Tôi ủng hộ chính sách mới vì nó đơn giản hóa quy trình và giảm gánh nặng cho người dân có thu nhập thấp.</t>
  </si>
  <si>
    <t>Dù các quy định quản lý thuế đã được cải thiện, nhưng với mức thu nhập cao hiện nay và việc áp dụng các biện pháp trốn thuế tinh vi, tôi vẫn lo ngại về khả năng phát hiện.</t>
  </si>
  <si>
    <t>Cơ quan thuế có công nghệ để theo dõi nhưng sự hiệu quả trong thực thi còn phụ thuộc vào năng lực và quyết tâm của họ.</t>
  </si>
  <si>
    <t>Quy trình khai báo đã đơn giản hơn, nhưng vẫn cần thời gian để quen với các thay đổi mới.</t>
  </si>
  <si>
    <t>Biểu thuế mới rõ ràng hơn và dễ hiểu, giảm bớt sự phức tạp so với trước đây.</t>
  </si>
  <si>
    <t>Tôi tin rằng cơ quan thuế sẽ thực hiện chính sách một cách công bằng nhưng vẫn có lo ngại về khả năng thực thi.</t>
  </si>
  <si>
    <t>Mức giảm trừ gia cảnh và bậc thuế mới giúp tôi tiết kiệm, cho thấy mức thuế là hợp lý đối với thu nhập của mình.</t>
  </si>
  <si>
    <t>Thuế được sử dụng để cải thiện các dịch vụ công nên tôi tin rằng nó sẽ mang lại lợi ích cho cộng đồng</t>
  </si>
  <si>
    <t>Nhà nước đã giải thích rõ ràng về mục tiêu của chính sách mới, làm tăng niềm tin vào quyết định này.</t>
  </si>
  <si>
    <t>Tôi ủng hộ và tuân thủ chính sách mới vì nó mang lại lợi ích tài chính và giảm bớt sự phức tạp.</t>
  </si>
  <si>
    <t>Dù cơ quan thuế có công nghệ phát hiện gian lận, nhưng không chắc rằng mọi người đều tuân thủ. Thực tế, vẫn còn nhiều hành vi trốn thuế.</t>
  </si>
  <si>
    <t>Nhà nước và cơ quan thuế đã cải thiện khả năng phát hiện và xử lý gian lận hơn trước, nhưng không phải hoàn toàn chắc chắn.</t>
  </si>
  <si>
    <t>Thủ tục khai báo thuế trở nên đơn giản hơn với mức giảm trừ gia cảnh cao hơn. Tuy nhiên, vẫn cần thời gian để làm quen với quy trình mới.</t>
  </si>
  <si>
    <t>Phương án mới có ít bậc thuế và dễ hiểu hơn so với trước đây, giúp việc tính toán thuế trở nên đơn giản.</t>
  </si>
  <si>
    <t>Tôi tin rằng Nhà nước sẽ thực thi chính sách một cách công bằng, nhưng vẫn cần thời gian để chứng minh</t>
  </si>
  <si>
    <t>Thuế mới được điều chỉnh phù hợp với thu nhập của tôi. Tuy nhiên, mức thuế giảm đáng kể khiến tôi cảm thấy công bằng hơn.</t>
  </si>
  <si>
    <t>Tôi tin rằng số tiền thuế đóng sẽ được sử dụng hiệu quả cho các dịch vụ công. Việc cải thiện cơ sở hạ tầng và y tế có thể thấy rõ trong tương lai.</t>
  </si>
  <si>
    <t>Nhà nước đã giải thích rõ về mục tiêu của việc sửa đổi thuế, nhưng tôi mong muốn có thêm thông tin chi tiết về cách sử dụng số tiền thuế</t>
  </si>
  <si>
    <t>Tôi ủng hộ chính sách mới vì nó giúp giảm gánh nặng tài chính và thủ tục tính thuế trở nên đơn giản hơn. Tôi sẽ tuân thủ nếu nhà nước quản lý hiệu quả.</t>
  </si>
  <si>
    <t>Hiện nay, với sự phát triển của công nghệ và các biện pháp quản lý thuế ngày càng mạnh mẽ, tôi tin rằng hành vi gian lận hoặc trốn thuế sẽ dễ dàng bị phát hiện. Tuy nhiên, để đảm bảo hiệu quả, cần có thêm các biện pháp giám sát kỹ lưỡng hơn.</t>
  </si>
  <si>
    <t>Nhà nước và cơ quan thuế đã đầu tư vào công nghệ tiên tiến giúp phát hiện và xử lý trốn thuế. Tuy nhiên, sự hiệu quả phụ thuộc vào khả năng áp dụng công nghệ này trong thực tế.</t>
  </si>
  <si>
    <t>So với trước đây, quy trình khai báo thuế đã đơn giản hơn nhiều, không chỉ là việc tính toán mà còn về thủ tục hành chính. Điều này giúp tôi tiết kiệm thời gian và công sức.</t>
  </si>
  <si>
    <t>Biểu thuế mới có ít bậc hơn, làm cho quá trình tính thuế trở nên dễ dàng và rõ ràng hơn. Đây là một cải tiến đáng kể về mặt thuận tiện.</t>
  </si>
  <si>
    <t>Tôi tin rằng Nhà nước sẽ thực thi chính sách công bằng và khách quan, đảm bảo mọi người nộp thuế đều được đối xử bình đẳng.</t>
  </si>
  <si>
    <t>Mức thuế mới phù hợp với thu nhập của tôi. Việc tăng mức giảm trừ gia cảnh giúp tôi tiết kiệm hơn so với trước đây, làm cho mức thuế này trở nên công bằng hơn.</t>
  </si>
  <si>
    <t>Tôi tin rằng số tiền thuế mà tôi đóng sẽ được sử dụng hiệu quả để cải thiện dịch vụ công. Điều này tạo ra sự liên kết giữa đóng góp của cá nhân với các lợi ích cộng đồng.</t>
  </si>
  <si>
    <t>Nhà nước đã giải thích rõ ràng về mục tiêu và lý do của việc sửa đổi thuế, giúp tôi hiểu được tầm quan trọng của nó.</t>
  </si>
  <si>
    <t>Sau khi xem xét các quyền lợi và nghĩa vụ, tôi ủng hộ và tuân thủ chính sách mới. Điều này không chỉ vì giảm bớt gánh nặng tài chính mà còn do sự cải thiện về mặt thuận tiện.</t>
  </si>
  <si>
    <t>Việc tăng mức giảm trừ gia cảnh và đơn giản hóa biểu thuế có thể làm giảm động lực trốn thuế, nhưng vẫn cần cải thiện về mặt quản lý để phát hiện các hành vi gian lận hiệu quả.</t>
  </si>
  <si>
    <t>Ngày nay, công nghệ tiên tiến đã giúp cơ quan thuế có khả năng xử lý dữ liệu lớn và phát hiện sai phạm nhanh chóng hơn bao giờ hết.</t>
  </si>
  <si>
    <t>Quy trình khai báo thuế và làm việc với cơ quan thuế trở nên đơn giản, thuận tiện hơn so với trước đây, giúp người dân dễ dàng thực hiện các thủ tục.</t>
  </si>
  <si>
    <t>Biểu thuế mới có ít bậc hơn và mức giảm trừ gia cảnh cao hơn khiến việc tính toán thuế trở nên dễ dàng và chính xác hơn.</t>
  </si>
  <si>
    <t>Tôi tin rằng với các biện pháp tăng mức giảm trừ, tôi sẽ không bị trừng phạt quá nhiều về mặt tài chính do thu nhập ổn định, điều này thể hiện sự công bằng trong việc đánh thuế.</t>
  </si>
  <si>
    <t>Thuế mà tôi đóng theo phương án mới là hợp lý, bởi mức giảm trừ gia cảnh tăng lên và số bậc thuế giảm đi, giúp tôi không bị áp lực quá lớn về mặt tài chính.</t>
  </si>
  <si>
    <t>Đối với thu nhập của tôi, số tiền thuế đóng góp vào ngân sách nhà nước sẽ được sử dụng hiệu quả để cải thiện dịch vụ công, do đó tôi có niềm tin rằng mình đang góp phần xây dựng đất nước.</t>
  </si>
  <si>
    <t>Nhà nước đã giải thích rõ ràng về mục tiêu và lý do của việc sửa đổi thuế lần này, giúp người dân hiểu được tầm quan trọng của nó đối với xã hội.</t>
  </si>
  <si>
    <t>Dựa trên các quyền lợi và nghĩa vụ mới, tôi ủng hộ và tuân thủ chính sách mới vì nó mang lại nhiều ưu điểm hơn so với trước đây.</t>
  </si>
  <si>
    <t>Thuế hiện nay có nhiều quy định phức tạp, nhưng với cải cách mới, mức giảm trừ gia cảnh tăng lên và số bậc thuế giảm, tôi tin rằng việc phát hiện trốn thuế sẽ trở nên dễ dàng hơn.</t>
  </si>
  <si>
    <t>Nhà nước đã đầu tư vào công nghệ và nhân lực để quản lý thuế hiệu quả hơn. Với mức thuế mới, khả năng phát hiện gian lận hay trốn thuế sẽ cao hơn so với trước đây.</t>
  </si>
  <si>
    <t>Quy trình khai báo thuế đã đơn giản hóa, giảm bớt các bước phức tạp. Việc này giúp việc làm thủ tục trở nên nhanh chóng và thuận tiện hơn cho người dân.</t>
  </si>
  <si>
    <t>Biểu thuế mới có số bậc ít hơn và dễ hiểu hơn so với trước đây, nhờ vậy tôi cảm thấy cách tính thuế đơn giản và dễ thực hiện hơn.</t>
  </si>
  <si>
    <t>Tôi tin rằng Nhà nước sẽ thực thi chính sách một cách công tâm. Mức thuế mới phù hợp với thu nhập của tôi và giảm gánh nặng về tài chính, tạo nên cảm giác công bằng.</t>
  </si>
  <si>
    <t>Thuế mới có mức giảm trừ gia cảnh cao hơn và số bậc thuế ít hơn, điều này thể hiện sự công bằng trong việc đánh giá thu nhập để xác định số tiền phải nộp thuế.</t>
  </si>
  <si>
    <t>Cải cách thuế mới nhằm nâng cao hiệu quả sử dụng nguồn lực tài chính. Số tiền tôi đóng góp sẽ được dùng để cải thiện các dịch vụ công, từ đó tạo niềm tin về việc Nhà nước quản lý nguồn lực một cách hiệu quả.</t>
  </si>
  <si>
    <t>Nhà nước đã giải thích rõ ràng về mục đích và quy định của chính sách mới. Điều này giúp tôi hiểu được sự cần thiết của cải cách thuế và đồng tình với nó.</t>
  </si>
  <si>
    <t>Sau khi xem xét các quyền lợi và nghĩa vụ, tôi ủng hộ và tuân thủ chính sách mới vì nó giảm gánh nặng về tài chính cho người dân như tôi.</t>
  </si>
  <si>
    <t>Nhà nước đã đầu tư công nghệ hiện đại để phát hiện hành vi gian lận, tăng cường quản lý thuế. Với mức giảm trừ gia cảnh cao hơn và số bậc thuế ít hơn, việc trốn thuế sẽ khó khăn hơn.</t>
  </si>
  <si>
    <t>Nhà nước đã nâng cấp hệ thống quản lý thuế với công nghệ tiên tiến, giúp phát hiện nhanh chóng các hành vi gian lận và xử lý nghiêm túc. Cơ quan thuế cũng thường xuyên tổ chức các buổi phổ biến pháp luật.</t>
  </si>
  <si>
    <t>Quy trình khai báo thuế trở nên đơn giản, dễ thực hiện hơn. Việc áp dụng mức giảm trừ gia cảnh cao và số bậc thuế ít đã làm cho việc tính thuế thuận tiện hơn.</t>
  </si>
  <si>
    <t>Số bậc thuế từ 7 xuống còn 5 đã đơn giản hóa quy trình tính thuế, dễ hiểu hơn. Mức giảm trừ gia cảnh cao đã giúp người dân tiết kiệm chi phí và thuận lợi trong việc khai báo.</t>
  </si>
  <si>
    <t>Một cách công bằng để áp dụng mức thuế mới vì số tiền tôi phải đóng tương xứng với thu nhập của mình. Việc công bố rõ ràng về mục tiêu của chính sách này cũng làm tăng niềm tin vào cơ quan quản lý.</t>
  </si>
  <si>
    <t>Mức thuế mới là hợp lý cho thu nhập của tôi và người dân cùng tầng lớp xã hội. Việc giảm trừ gia cảnh cao giúp phân bổ công bằng hơn giữa các đối tượng có thu nhập khác nhau.</t>
  </si>
  <si>
    <t>Thuế đóng góp vào việc cải thiện dịch vụ công, như y tế và giao thông, giúp nâng cao chất lượng cuộc sống. Việc giải thích minh bạch về mục đích của chính sách mới cũng tăng tính trách nhiệm.</t>
  </si>
  <si>
    <t>Nhà nước đã giải thích rõ ràng về lý do và mục tiêu của việc sửa đổi thuế, tạo cảm giác công bằng và tin tưởng. Việc áp dụng mức thuế mới dựa trên thu nhập cá nhân giúp cải thiện niềm tin.</t>
  </si>
  <si>
    <t>Chính sách mới mang lại nhiều lợi ích cho tôi như giảm gánh nặng tài chính, đơn giản hóa quy trình khai báo và minh bạch trong việc áp dụng thuế. Tôi sẽ ủng hộ và tuân thủ chính sách mới.</t>
  </si>
  <si>
    <t>Hiện nay, quy định quản lý thuế khá chặt chẽ và công nghệ hiện đại giúp phát hiện hành vi gian lận dễ dàng hơn.</t>
  </si>
  <si>
    <t>Cơ quan thuế có đội ngũ chuyên môn cao và hệ thống quản lý hiện đại, đảm bảo xử lý nghiêm các trường hợp trốn thuế.</t>
  </si>
  <si>
    <t>Quy trình khai báo thuế và làm việc với cơ quan thuế nhanh chóng hơn, thuận tiện cho người dân.</t>
  </si>
  <si>
    <t>Biểu thuế đơn giản hóa từ 7 bậc thành 5 bậc, dễ hiểu và thực hiện dễ dàng hơn so với trước đây.</t>
  </si>
  <si>
    <t>Nhà nước đã công bố rõ ràng về chính sách mới, tạo niềm tin cho người dân rằng việc thực thi sẽ khách quan.</t>
  </si>
  <si>
    <t>Mức thuế mới giảm đáng kể, người có thu nhập như tôi đóng mức thuế hợp lý hơn so với trước đây.</t>
  </si>
  <si>
    <t>Thuế được sử dụng vào các dịch vụ công, cải thiện chất lượng cuộc sống của người dân.</t>
  </si>
  <si>
    <t>Chính sách mới mang lại lợi ích thực tế cho người dân, tôi ủng hộ và tuân thủ.</t>
  </si>
  <si>
    <t>Hiện nay, hệ thống quản lý thuế đã phát triển công nghệ và có nhiều biện pháp để phát hiện gian lận, trốn thuế. Tuy nhiên, vẫn cần sự tuân thủ của người nộp thuế.</t>
  </si>
  <si>
    <t>Cơ quan thuế đã đầu tư nhiều vào hệ thống công nghệ thông tin để nâng cao hiệu quả quản lý thuế. Điều này giúp việc phát hiện gian lận trở nên dễ dàng hơn.</t>
  </si>
  <si>
    <t>So với trước đây, quy trình khai báo thuế và làm việc với cơ quan thuế đơn giản hơn nhiều, đặc biệt là sau khi giảm số bậc thuế từ 7 xuống 5.</t>
  </si>
  <si>
    <t>Biểu thuế mới có ít bậc hơn và mức thuế suất rõ ràng, dễ hiểu hơn. Điều này giúp người dân dễ dàng tính toán và thực hiện.</t>
  </si>
  <si>
    <t>Tôi tin rằng cơ quan thuế sẽ thực thi chính sách một cách khách quan. Mức giảm trừ gia cảnh mới cũng công bằng với mọi đối tượng.</t>
  </si>
  <si>
    <t>Nhờ mức giảm trừ gia cảnh và bậc thuế mới, tôi cảm thấy mình đóng thuế công bằng hơn so với trước đây.</t>
  </si>
  <si>
    <t>Thuế mà tôi đóng sẽ được sử dụng để cải thiện dịch vụ công, như y tế, giao thông,...</t>
  </si>
  <si>
    <t>Nhà nước đã giải thích rõ ràng về mục tiêu và lý do của việc sửa đổi thuế. Điều này tăng tính minh bạch.</t>
  </si>
  <si>
    <t>Tôi ủng hộ chính sách mới vì nó giúp tôi tiết kiệm được chi phí thuế, đồng thời tạo ra sự công bằng trong việc đóng thuế.</t>
  </si>
  <si>
    <t>Hiện nay, cơ quan thuế đã áp dụng nhiều công nghệ để theo dõi và giám sát các giao dịch tài chính, từ đó phát hiện hành vi trốn thuế. Tuy nhiên, việc thực thi vẫn phụ thuộc vào sự tuân thủ của cá nhân.</t>
  </si>
  <si>
    <t>Nhà nước đã đầu tư nhiều nguồn lực để nâng cao năng lực quản lý và công nghệ cho ngành thuế, giúp phát hiện và xử lý các hành vi trốn thuế một cách hiệu quả hơn.</t>
  </si>
  <si>
    <t>Việc đơn giản hóa quy trình khai báo và làm việc với cơ quan thuế đã tạo nên sự thuận tiện cho người dân, giảm bớt thời gian chờ đợi và phức tạp của quá trình trước đây.</t>
  </si>
  <si>
    <t>Các bậc thuế mới đã được đơn giản hóa, dễ hiểu hơn so với trước đây. Việc này giúp người dân tính toán và nộp thuế một cách thuận tiện và chính xác hơn.</t>
  </si>
  <si>
    <t>Tôi tin rằng cơ quan thuế sẽ thực thi chính sách một cách công bằng và khách quan, không phân biệt ai phải đóng bao nhiêu thuế dựa trên thu nhập của họ.</t>
  </si>
  <si>
    <t>Mức thuế mới giảm đáng kể so với trước đây, giúp tôi thấy rằng mức thuế hiện tại là công bằng và hợp lý cho thu nhập của mình.</t>
  </si>
  <si>
    <t>Tôi tin rằng số tiền thuế mà tôi đóng sẽ được sử dụng hiệu quả để cải thiện các dịch vụ công, từ đó mang lại lợi ích cho cộng đồng.</t>
  </si>
  <si>
    <t>Nhà nước đã giải thích rõ ràng về mục tiêu và lý do của việc sửa đổi thuế lần này. Điều này giúp tôi hiểu được mục đích và tác động của chính sách mới.</t>
  </si>
  <si>
    <t>Tôi ủng hộ và tuân thủ chính sách mới vì nó tạo ra sự công bằng trong việc đóng góp cho xã hội, giảm bớt gánh nặng thuế so với trước đây.</t>
  </si>
  <si>
    <t>Việc thuế được quản lý chặt chẽ hơn và có công nghệ hiện đại giúp nhà nước phát hiện nhanh chóng hành vi trốn thuế.</t>
  </si>
  <si>
    <t>Nhà nước đã đầu tư vào hệ thống IT để cải thiện khả năng giám sát, xử lý việc trốn thuế hiệu quả hơn.</t>
  </si>
  <si>
    <t>Quy trình khai báo thuế và làm việc với cơ quan thuế trở nên đơn giản hơn nhờ sự giảm bớt các bước phức tạp trước đây.</t>
  </si>
  <si>
    <t>Biểu thuế mới rõ ràng, dễ hiểu, giúp tôi tính toán chính xác hơn mà không cần nhiều thời gian và công sức.</t>
  </si>
  <si>
    <t>Tôi tin tưởng cơ quan thuế sẽ thực thi chính sách một cách công bằng, khách quan đối với mọi người nộp thuế.</t>
  </si>
  <si>
    <t>Thuế mới giảm đáng kể so với trước đây và tôi thấy mức này là hợp lý cho thu nhập hiện tại của mình.</t>
  </si>
  <si>
    <t>Tôi tin rằng số tiền thuế đóng sẽ được sử dụng hiệu quả để cải thiện dịch vụ công, mang lại lợi ích cho cộng đồng.</t>
  </si>
  <si>
    <t>Nhà nước đã giải thích rõ ràng về mục tiêu và lý do của việc sửa đổi thuế, tạo ra sự minh bạch.</t>
  </si>
  <si>
    <t>Tôi ủng hộ chính sách mới vì nó mang lại lợi ích tài chính và thủ tục đơn giản hơn cho tôi.</t>
  </si>
  <si>
    <t>Dựa trên thông tin, tôi cho rằng cơ quan thuế có đủ khả năng và công nghệ để phát hiện gian lận hoặc trốn thuế. Tuy nhiên, trong thực tế, việc thực thi vẫn phụ thuộc vào nhiều yếu tố khác.</t>
  </si>
  <si>
    <t>Nhà nước đã đầu tư vào công nghệ và nhân lực để cải thiện khả năng quản lý thuế, cho thấy họ có đủ khả năng phát hiện và xử lý nghiêm các hành vi trốn thuế.</t>
  </si>
  <si>
    <t>Hệ thống tính thuế mới đơn giản hơn so với trước đây. Việc giảm số bậc thuế từ 7 xuống còn 5 đã làm cho quy trình khai báo thuế dễ dàng và thuận tiện hơn.</t>
  </si>
  <si>
    <t>Các bậc thuế mới rõ ràng hơn, dễ hiểu và thực hiện đơn giản hơn. Việc tăng mức giảm trừ gia cảnh cũng giúp giảm gánh nặng về mặt tài chính.</t>
  </si>
  <si>
    <t>Tôi tin rằng việc cải cách này sẽ được thực thi một cách công bằng, nhưng cần thời gian để kiểm chứng sự khách quan và công tâm của cơ quan thuế trong quá trình thực hiện.</t>
  </si>
  <si>
    <t>Mức thuế mới giảm đáng kể so với trước đây. Việc tăng mức giảm trừ gia cảnh cũng giúp phân bổ lại gánh nặng thuế một cách hợp lý hơn.</t>
  </si>
  <si>
    <t>Tài nguyên từ thuế sẽ được sử dụng để cải thiện dịch vụ công, điều này tạo niềm tin rằng việc đóng thuế có ích cho xã hội và cá nhân tôi.</t>
  </si>
  <si>
    <t>Nhà nước đã giải thích rõ ràng về mục tiêu và lý do của chính sách mới. Tuy nhiên, sự minh bạch vẫn cần được cải thiện hơn nữa để tăng thêm niềm tin.</t>
  </si>
  <si>
    <t>Sau khi xem xét các quyền lợi và nghĩa vụ, tôi ủng hộ chính sách mới. Việc giảm gánh nặng thuế và đơn giản hóa quy trình khai báo tạo ra một môi trường thuận lợi cho người dân.</t>
  </si>
  <si>
    <t>Việc tăng mức giảm trừ gia cảnh và đơn giản hóa biểu thuế có thể làm giảm cơ hội trốn thuế, nhưng tôi vẫn lo ngại về khả năng thực thi của các quy định quản lý thuế.</t>
  </si>
  <si>
    <t>Khả năng phát hiện trốn thuế sẽ tăng do công nghệ và hệ thống quản lý thuế hiện đại hơn, mặc dù tôi không chắc chắn hoàn toàn về độ hiệu quả.</t>
  </si>
  <si>
    <t>So với trước đây, quy trình khai thuế đơn giản hơn nhiều, giảm thời gian và công sức cần thiết cho việc làm thủ tục.</t>
  </si>
  <si>
    <t>Biểu thuế mới rõ ràng hơn, dễ hiểu và dễ thực hiện, giúp tôi dễ dàng tính toán chi phí thuế của mình.</t>
  </si>
  <si>
    <t>Tôi tin rằng Nhà nước sẽ công tâm trong việc áp dụng chính sách mới, nhưng vẫn có sự đa dạng về cách hiểu pháp luật.</t>
  </si>
  <si>
    <t>Mức thuế mới hợp lý cho thu nhập của tôi và gia đình, giảm gánh nặng tài chính đáng kể.</t>
  </si>
  <si>
    <t>Thuế sẽ được sử dụng hiệu quả để cải thiện dịch vụ công, nhưng kết quả thực tế phụ thuộc vào quản trị nhà nước.</t>
  </si>
  <si>
    <t>Nhà nước đã giải thích rõ ràng về mục đích của việc sửa đổi thuế lần này, tạo niềm tin cho người dân.</t>
  </si>
  <si>
    <t>Tôi ủng hộ và tuân thủ chính sách mới vì nó mang lại lợi ích tài chính đáng kể và đơn giản hóa quy trình làm việc với cơ quan thuế.</t>
  </si>
  <si>
    <t>Hiện nay, cơ quan thuế có nhiều công cụ và nguồn lực để phát hiện hành vi gian lận hoặc trốn thuế. Tuy nhiên, mức độ hiệu quả phụ thuộc vào việc thực thi của các cơ quan chức năng.</t>
  </si>
  <si>
    <t>Nhà nước đã đầu tư công nghệ và nguồn lực để phát triển hệ thống quản lý thuế hiện đại hơn. Tuy nhiên, vẫn cần cải thiện hơn nữa trong việc ứng dụng công nghệ vào thực tiễn.</t>
  </si>
  <si>
    <t>Quy trình khai thuế và làm việc với cơ quan thuế đã đơn giản hóa đáng kể so với trước đây. Tuy nhiên, vẫn còn một số thủ tục phức tạp cần cải thiện.</t>
  </si>
  <si>
    <t>Biểu thuế mới có ít bậc hơn và dễ hiểu hơn so với trước đây, giúp việc tính thuế đơn giản hóa đáng kể. Điều này tăng sự thuận tiện cho người nộp thuế.</t>
  </si>
  <si>
    <t>Tôi tin rằng Nhà nước sẽ thực thi chính sách một cách công tâm, nhưng vẫn cần giám sát và đánh giá thường xuyên để đảm bảo tính minh bạch.</t>
  </si>
  <si>
    <t>Mức thuế mới giảm đáng kể so với trước đây. Điều này thể hiện sự công bằng cho người có thu nhập như tôi, vì mức đóng góp tài chính đã giảm đáng kể.</t>
  </si>
  <si>
    <t>Tôi tin rằng số tiền thuế đóng sẽ được sử dụng hiệu quả để cải thiện các dịch vụ công. Tuy nhiên, cần minh bạch hóa rõ hơn về việc này.</t>
  </si>
  <si>
    <t>Nhà nước đã giải thích khá rõ ràng về mục tiêu của chính sách mới. Tuy nhiên, vẫn cần cải thiện trong việc truyền thông và cập nhật thông tin cho người dân.</t>
  </si>
  <si>
    <t>Tôi ủng hộ và sẽ tuân thủ chính sách mới vì nó mang lại lợi ích tài chính đáng kể và đơn giản hóa quy trình khai thuế. Tuy nhiên, cần cải thiện trong việc minh bạch hóa hơn nữa.</t>
  </si>
  <si>
    <t>Việc tăng mức giảm trừ gia cảnh và đơn giản hóa biểu thuế có thể làm tăng sự minh bạch nhưng không loại bỏ hoàn toàn khả năng gian lận.</t>
  </si>
  <si>
    <t>Công nghệ ngày càng phát triển nên cơ quan thuế có khả năng kiểm soát tốt hơn, tuy nhiên vẫn cần nâng cao hiệu quả quản lý để tránh trốn thuế.</t>
  </si>
  <si>
    <t>Quy trình khai báo và làm việc với cơ quan thuế trở nên đơn giản hơn nhưng vẫn có thể còn phức tạp đối với người không am hiểu về thuế.</t>
  </si>
  <si>
    <t>Biểu thuế mới có ít bậc hơn, dễ dàng tính toán hơn so với trước đây, giúp việc thực hiện thuận lợi hơn cho người dân.</t>
  </si>
  <si>
    <t>Tôi tin rằng cơ quan thuế sẽ cố gắng quản lý công bằng nhưng vẫn cần thêm thời gian để đánh giá hiệu quả thực thi.</t>
  </si>
  <si>
    <t>Mức thuế mới dựa trên thu nhập của tôi là hợp lý, giảm áp lực tài chính và tăng niềm tin vào hệ thống thuế.</t>
  </si>
  <si>
    <t>Thuế đóng góp cho việc cải thiện dịch vụ công là cần thiết nhưng hiệu quả sử dụng nguồn ngân sách vẫn cần được cải thiện hơn.</t>
  </si>
  <si>
    <t>Nhà nước đã giải thích rõ ràng về mục tiêu của chính sách mới, tuy nhiên thông tin chi tiết về việc quản lý thu chi vẫn còn hạn chế.</t>
  </si>
  <si>
    <t>Đối với tôi, việc giảm thuế và đơn giản hóa quy trình làm việc đã cải thiện đáng kể trải nghiệm nộp thuế, do đó tôi ủng hộ chính sách mới.</t>
  </si>
  <si>
    <t>Thuế mới có 5 bậc thay vì 7, nhưng các biện pháp quản lý vẫn chưa rõ ràng về khả năng phát hiện gian lận.</t>
  </si>
  <si>
    <t>Cơ quan thuế có công nghệ để theo dõi và xử lý, nhưng thực tế hiệu quả của việc áp dụng còn phụ thuộc vào nhiều yếu tố.</t>
  </si>
  <si>
    <t>Quy trình khai báo dễ dàng hơn với giảm trừ gia cảnh tăng, thủ tục làm việc với cơ quan thuế cũng thuận tiện hơn.</t>
  </si>
  <si>
    <t>Biểu thuế đơn giản hơn nhiều so với trước đây, dễ hiểu và thực hiện nhanh chóng hơn</t>
  </si>
  <si>
    <t>Niềm tin vào sự công bằng trong việc áp dụng chính sách mới có phần tăng do giảm trừ gia cảnh tăng và số bậc thuế đơn giản hơn.</t>
  </si>
  <si>
    <t>Thuế theo phương án mới cho thấy mức độ công bằng, với số tiền tôi phải đóng là hợp lý</t>
  </si>
  <si>
    <t>Mức thuế mới được sử dụng để cải thiện dịch vụ công sẽ tăng niềm tin vào việc sử dụng hiệu quả nguồn lực</t>
  </si>
  <si>
    <t>Chính phủ đã giải thích rõ ràng về mục tiêu của chính sách mới, tạo ra sự minh bạch</t>
  </si>
  <si>
    <t>Thuế theo phương án mới mang lại lợi ích tài chính đáng kể và mức độ công bằng cao hơn, tôi ủng hộ và sẽ tuân thủ.</t>
  </si>
  <si>
    <t>Cơ quan thuế có khả năng phát hiện hành vi gian lận, nhưng cần thời gian để thực thi hiệu quả.</t>
  </si>
  <si>
    <t>Nhà nước đã đầu tư công nghệ và nhân lực cho việc quản lý thuế, nhưng vẫn còn không đủ.</t>
  </si>
  <si>
    <t>Quy trình khai báo đơn giản hơn, nhưng vẫn cần thời gian để người dân quen với quy định mới.</t>
  </si>
  <si>
    <t>Biểu thuế rõ ràng hơn, nhưng cần thêm hướng dẫn cho những ai chưa quen thuộc.</t>
  </si>
  <si>
    <t>Tôi tin rằng cơ quan thuế sẽ công tâm trong việc thực thi, mặc dù còn nghi ngờ về sự thống nhất giữa các địa phương.</t>
  </si>
  <si>
    <t>Mức thuế mới giảm đáng kể và hợp lý cho thu nhập hiện tại của tôi, tạo cảm giác công bằng.</t>
  </si>
  <si>
    <t>Thuế được sử dụng vào các dịch vụ công, nhưng cần thêm thông tin về chi tiêu cụ thể từ nhà nước.</t>
  </si>
  <si>
    <t>Nhà nước đã giải thích rõ ràng về mục đích và lý do của việc cải cách thuế, tạo niềm tin.</t>
  </si>
  <si>
    <t>Sau khi xem xét các quyền lợi, tôi ủng hộ và tuân thủ chính sách mới vì lợi ích tài chính và tính công bằng.</t>
  </si>
  <si>
    <t>Hiện tại không có quy định quản lý thuế cụ thể, nhưng mức giảm trừ gia cảnh cao hơn thu nhập nên tôi tin rằng hành vi gian lận khó xảy ra.</t>
  </si>
  <si>
    <t>Với công nghệ hiện đại, cơ quan thuế hoàn toàn có khả năng phát hiện và xử lý các hành vi trốn thuế.</t>
  </si>
  <si>
    <t>Quy trình khai thuế đơn giản hơn so với trước đây, nhưng vẫn cần cải thiện thêm về độ tiện lợi.</t>
  </si>
  <si>
    <t>Bậc thuế mới đơn giản và dễ hiểu hơn, giúp việc tính toán thuận lợi hơn.</t>
  </si>
  <si>
    <t>Tôi tin rằng Nhà nước sẽ thực thi chính sách một cách công bằng và khách quan, đặc biệt là khi mức giảm trừ gia cảnh cao hơn thu nhập của tôi.</t>
  </si>
  <si>
    <t>Nhà nước đã tăng mạnh mức giảm trừ gia cảnh nên mức thuế tôi phải đóng cũng hợp lý.</t>
  </si>
  <si>
    <t>Thuế tôi đóng sẽ được sử dụng hiệu quả để cải thiện dịch vụ công, đặc biệt là y tế và hạ tầng cơ sở.</t>
  </si>
  <si>
    <t>Chính sách mới có nhiều lợi ích và phù hợp với thu nhập của tôi nên tôi ủng hộ và sẽ tuân thủ.</t>
  </si>
  <si>
    <t>Hiện tại, với sự phát triển của công nghệ thông tin và hệ thống quản lý thuế hiện đại, việc kiểm soát gian lận hoặc trốn thuế có thể được thực hiện dễ dàng hơn. Tuy nhiên, vẫn cần thời gian để các cơ quan chức năng hoàn thiện quy trình.</t>
  </si>
  <si>
    <t>Cơ quan thuế đã đầu tư công nghệ và nhân lực vào việc cải cách quản lý thuế, do đó khả năng phát hiện và xử lý nghiêm các hành vi trốn thuế sẽ được nâng cao.</t>
  </si>
  <si>
    <t>So với trước đây, quy trình khai báo thuế trở nên đơn giản hơn. Tuy nhiên, vẫn cần một số cải tiến để việc làm việc với cơ quan thuế trở nên thuận tiện hơn nữa.</t>
  </si>
  <si>
    <t>Biểu thuế mới có ít bậc và mức giảm trừ gia cảnh cao hơn, do đó cách tính thuế và các bậc thuế dễ hiểu và thực hiện hơn so với trước đây.</t>
  </si>
  <si>
    <t>Tôi tin rằng cơ quan thuế sẽ thực thi chính sách một cách công tâm. Tuy nhiên, sự minh bạch trong quy trình kiểm soát và xử lý vi phạm còn cần được cải thiện.</t>
  </si>
  <si>
    <t>Mức thuế mới phù hợp với thu nhập hiện tại của tôi. Mức giảm trừ gia cảnh cao hơn giúp giảm gánh nặng về mặt tài chính.</t>
  </si>
  <si>
    <t>Những khoản thuế đóng góp vào việc cải thiện các dịch vụ công như y tế và giao thông, nhưng cần đảm bảo rằng nguồn thu này được sử dụng hiệu quả.</t>
  </si>
  <si>
    <t>Chính phủ đã giải thích rõ ràng về mục tiêu của chính sách mới. Tuy nhiên, vẫn có thể cải thiện trong việc cung cấp thông tin chi tiết hơn.</t>
  </si>
  <si>
    <t>Tôi ủng hộ và tuân thủ chính sách thuế mới vì nó mang lại lợi ích tài chính rõ ràng cho tôi và giảm gánh nặng về mặt quản lý thuế.</t>
  </si>
  <si>
    <t>Điều chỉnh thuế mới có nhiều biện pháp quản lý, nhưng tôi vẫn lo ngại về khả năng phát hiện hành vi gian lận của cá nhân và doanh nghiệp nhỏ.</t>
  </si>
  <si>
    <t>Cơ quan thuế có công nghệ tiên tiến, nhưng hiệu quả thực thi phụ thuộc vào sự tuân thủ của người dân và doanh nghiệp.</t>
  </si>
  <si>
    <t>Thủ tục khai báo thuế đơn giản hơn, nhưng vẫn cần thời gian để quen với các thay đổi mới.</t>
  </si>
  <si>
    <t>Phương án mới có ít bậc thuế và dễ hiểu hơn, giảm bớt sự phức tạp.</t>
  </si>
  <si>
    <t>Tôi tin rằng cơ quan thuế sẽ thực thi công bằng, nhưng vẫn cần thời gian để xác nhận hiệu quả.</t>
  </si>
  <si>
    <t>Thuế mới giảm đáng kể, tôi thấy mức này hợp lý đối với thu nhập hiện tại của mình.</t>
  </si>
  <si>
    <t>Dự kiến thuế sẽ được sử dụng hiệu quả cho các dịch vụ công, nhưng cần thêm thông tin về cách chi tiêu cụ thể.</t>
  </si>
  <si>
    <t>Nhà nước đã giải thích rõ ràng về mục đích của chính sách mới, tôi cảm thấy tin tưởng hơn.</t>
  </si>
  <si>
    <t>Sau khi cân nhắc tác động tài chính và sự thay đổi trong phương án thuế, tôi ủng hộ và sẽ tuân thủ chính sách mới.</t>
  </si>
  <si>
    <t>Đồng ý, với mức giảm trừ gia cảnh tăng và quy định đơn giản hóa, việc phát hiện gian lận sẽ khó khăn hơn nhưng vẫn có cơ sở pháp lý để xử lý.</t>
  </si>
  <si>
    <t>Cơ quan thuế đã sử dụng công nghệ tiên tiến để giám sát và xử lý các hành vi trốn thuế, đây là yếu tố tích cực.</t>
  </si>
  <si>
    <t>Quy trình khai báo thuế đơn giản hơn, đặc biệt khi áp dụng giảm trừ gia cảnh tăng, giúp việc thực hiện thuận tiện hơn.</t>
  </si>
  <si>
    <t>Biểu thuế mới rõ ràng và dễ hiểu, số bậc thuế ít đi nên quá trình tính toán cũng trở nên đơn giản hơn.</t>
  </si>
  <si>
    <t>Nếu quy định được thực thi công bằng thì tôi sẽ tin tưởng vào sự khách quan của cơ quan thuế trong việc xử lý thuế.</t>
  </si>
  <si>
    <t>Thuế giảm đáng kể, do đó tôi thấy mình đóng mức thuế hợp lý và công bằng cho thu nhập hiện tại.</t>
  </si>
  <si>
    <t>Nếu số tiền thuế này được sử dụng hiệu quả để cải thiện dịch vụ công thì tôi sẽ tin rằng việc đóng thuế có ích cho xã hội.</t>
  </si>
  <si>
    <t>Nhà nước đã giải thích rõ ràng về mục tiêu và lý do của chính sách mới, điều này làm tăng niềm tin vào quyết định của họ.</t>
  </si>
  <si>
    <t>Tác động tài chính tích cực cộng với quy trình đơn giản hóa đã khiến tôi đồng ý ủng hộ và tuân thủ chính sách mới.</t>
  </si>
  <si>
    <t>Nếu công nghệ và khả năng của cơ quan thuế được cải thiện, việc phát hiện gian lận hoặc trốn thuế sẽ dễ dàng hơn. Tuy nhiên, với tình hình thực tế hiện nay tại Việt Nam, vẫn còn nhiều thách thức.</t>
  </si>
  <si>
    <t>Việc áp dụng công nghệ và cải thiện quản lý thuế có thể giúp phát hiện gian lận hiệu quả hơn. Tuy nhiên, cần thời gian để tất cả các cơ quan đều được nâng cấp.</t>
  </si>
  <si>
    <t>Quy trình khai báo và làm việc với cơ quan thuế đã đơn giản hóa so với trước đây, nhưng vẫn còn một số bước phức tạp cần cải thiện.</t>
  </si>
  <si>
    <t>Biểu thuế mới có ít bậc hơn, dễ dàng thực hiện hơn. Tuy nhiên, việc giảm trừ gia cảnh lớn hơn cũng làm cho bảng tính thuế trở nên dài và khó hiểu hơn đối với người dân không chuyên về thuế.</t>
  </si>
  <si>
    <t>Tôi tin rằng cơ quan thuế sẽ cố gắng thực thi chính sách một cách công bằng, nhưng cần thời gian để cải thiện sự minh bạch và công khai hơn trong quá trình quản lý thuế.</t>
  </si>
  <si>
    <t>Với mức thuế mới, tôi thấy mình đóng góp hợp lý so với thu nhập của mình. Tuy nhiên, việc giảm trừ gia cảnh lớn hơn cũng giúp tôi tiết kiệm tiền và cảm thấy công bằng hơn.</t>
  </si>
  <si>
    <t>Thuế tôi đóng sẽ được sử dụng để cải thiện dịch vụ công, nhưng cần thời gian để thấy kết quả rõ rệt. Tuy nhiên, việc thu thuế công bằng giúp tạo niềm tin vào hệ thống.</t>
  </si>
  <si>
    <t>Nhà nước đã giải thích rõ ràng về mục tiêu của việc sửa đổi thuế, nhưng cần thêm thông tin chi tiết hơn để người dân hiểu đầy đủ.</t>
  </si>
  <si>
    <t>Dựa trên tác động tài chính và sự đơn giản hóa quy trình, tôi ủng hộ và tuân thủ chính sách mới. Tuy nhiên, việc thực thi vẫn cần cải thiện thêm.</t>
  </si>
  <si>
    <t>Trong thực tế, các quy định quản lý thuế hiện nay chưa đủ mạnh để phát hiện và xử phạt hiệu quả hành vi gian lận hoặc trốn thuế. Tuy nhiên, với sự cải cách mới, tôi hy vọng sẽ có nhiều biện pháp phòng ngừa và phát hiện hơn.</t>
  </si>
  <si>
    <t>Nhà nước đã đầu tư vào công nghệ để hỗ trợ việc quản lý thuế, nhưng hiệu quả thực tế phụ thuộc vào sự triển khai. Tuy nhiên, các cải cách này cho thấy nỗ lực của chính phủ trong việc tăng cường quản lý.</t>
  </si>
  <si>
    <t>So với trước đây, quy trình khai thuế và làm việc với cơ quan thuế đã đơn giản hơn nhiều. Việc giảm số bậc thuế giúp người dân dễ dàng tính toán và nộp thuế hơn.</t>
  </si>
  <si>
    <t>Các bậc thuế mới đã giảm bớt sự phức tạp, giúp tôi hiểu rõ hơn về cách tính thuế của mình. Điều này làm tăng độ tin cậy đối với hệ thống thuế hiện tại.</t>
  </si>
  <si>
    <t>Tôi tin rằng Nhà nước sẽ thực thi chính sách một cách công bằng và khách quan, nhưng vẫn cần thêm thời gian để đánh giá hiệu quả của các biện pháp mới.</t>
  </si>
  <si>
    <t>Với mức thuế giảm đáng kể so với trước đây, tôi thấy rằng việc đóng thuế mới này là hợp lý. Điều này tăng niềm tin vào sự công bằng của hệ thống thuế.</t>
  </si>
  <si>
    <t>Nhà nước đã sử dụng số tiền thuế thu được để cải thiện nhiều dịch vụ công, như y tế và giao thông. Việc giảm trừ gia cảnh và mức thuế mới cũng giúp tôi tin rằng tiền thuế sẽ được sử dụng hiệu quả hơn.</t>
  </si>
  <si>
    <t>Chính phủ đã giải thích rõ ràng về mục tiêu của cải cách, nhưng cần thêm thông tin chi tiết để người dân hiểu rõ hơn về quy trình thực hiện.</t>
  </si>
  <si>
    <t>Dựa trên các lợi ích và ưu điểm mới mang lại, tôi ủng hộ và sẽ tuân thủ chính sách thuế mới. Tuy nhiên, việc giảm trừ gia cảnh tăng lên giúp cải thiện đáng kể tài chính của tôi.</t>
  </si>
  <si>
    <t>Nhà nước và cơ quan thuế có nhiều biện pháp quản lý, tuy nhiên vẫn còn khả năng trốn thuế.</t>
  </si>
  <si>
    <t>Công nghệ hiện đại giúp phát hiện gian lận nhưng cần thêm các quy định cụ thể.</t>
  </si>
  <si>
    <t>Thủ tục đơn giản hóa và tiện lợi hơn so với trước đây.</t>
  </si>
  <si>
    <t>Biểu thuế mới rõ ràng, dễ hiểu và thực hiện thuận lợi hơn.</t>
  </si>
  <si>
    <t>Niềm tin vào sự công bằng trong việc áp dụng chính sách mới còn hạn chế do thiếu minh bạch.</t>
  </si>
  <si>
    <t>Mức thuế mới hợp lý đối với thu nhập của bản thân nhưng vẫn cần thêm giải thích về mức giảm trừ gia cảnh.</t>
  </si>
  <si>
    <t>Thuế đóng góp vào dịch vụ công, tuy nhiên chưa rõ ràng trong việc sử dụng hiệu quả.</t>
  </si>
  <si>
    <t>Thực tế đã có giải thích về mục tiêu cải cách thuế nhưng cần minh bạch hơn.</t>
  </si>
  <si>
    <t>Tác động tài chính tích cực tạo niềm tin vào việc ủng hộ và tuân thủ chính sách mới.</t>
  </si>
  <si>
    <t>Dù không phải đóng thuế nhưng với mức giảm trừ gia cảnh cao, việc phát hiện và xử lý gian lận hoặc trốn thuế có thể khó khăn. Tuy nhiên, với sự tiến bộ của công nghệ, khả năng phát hiện có thể được cải thiện.</t>
  </si>
  <si>
    <t>Công nghệ ngày càng phát triển mạnh mẽ, việc quản lý và giám sát thuế cũng sẽ trở nên dễ dàng hơn. Tuy nhiên, vấn đề về nguồn lực con người vẫn còn tồn tại.</t>
  </si>
  <si>
    <t>Quy trình khai báo và làm việc với cơ quan thuế đã được đơn giản hóa đáng kể so với trước đây. Điều này mang lại sự thuận tiện cho người dân.</t>
  </si>
  <si>
    <t>Số bậc thuế giảm đi, đồng thời mức giảm trừ gia cảnh tăng lên, khiến việc tính toán và thực hiện thuế trở nên dễ dàng hơn nhiều so với trước đây.</t>
  </si>
  <si>
    <t>Nhà nước đã thực thi chính sách một cách công bằng và khách quan. Mức thu nhập của tôi không phải đóng thuế, cho thấy sự công bằng trong việc áp dụng luật pháp.</t>
  </si>
  <si>
    <t>Mức thuế được giảm xuống đáng kể, phù hợp với mức thu nhập hiện tại của tôi và người dân tương tự. Đây là một mức thuế công bằng theo chuẩn mực hiện nay.</t>
  </si>
  <si>
    <t>Thuế mà tôi đóng sẽ được sử dụng vào các mục đích công ích, cải thiện y tế và hạ tầng giao thông. Việc này tạo niềm tin rằng thuế của tôi không bị lãng phí.</t>
  </si>
  <si>
    <t>Nhà nước đã giải thích rõ ràng về nguyên nhân và mục tiêu của việc sửa đổi thuế lần này, giúp người dân hiểu được tầm quan trọng của nó.</t>
  </si>
  <si>
    <t>Chính sách mới mang lại nhiều lợi ích cho tôi, đồng thời cũng tạo niềm tin vào việc quản lý thuế. Tôi sẽ ủng hộ và tuân thủ chính sách này.</t>
  </si>
  <si>
    <t>Dù không phải đóng thuế, tôi vẫn tin rằng cơ quan thuế có khả năng phát hiện hành vi gian lận.</t>
  </si>
  <si>
    <t>Tăng mức giảm trừ gia cảnh và đơn giản hóa biểu thuế cho thấy nhà nước đang cố gắng quản lý hiệu quả hơn.</t>
  </si>
  <si>
    <t>Quy trình làm việc với cơ quan thuế trở nên đơn giản hơn, thủ tục khai báo cũng thuận tiện hơn.</t>
  </si>
  <si>
    <t>Biểu thuế mới dễ hiểu và dễ thực hiện hơn so với trước đây, đặc biệt là với mức giảm trừ gia cảnh cao.</t>
  </si>
  <si>
    <t>Tôi tin rằng cơ quan thuế sẽ công tâm trong việc thực thi chính sách mới.</t>
  </si>
  <si>
    <t>Mức thuế giảm đáng kể, tôi thấy là hợp lý cho thu nhập của mình và số người phụ thuộc.</t>
  </si>
  <si>
    <t>Thuế được sử dụng để cải thiện các dịch vụ công như y tế, giáo dục, giúp đời sống chúng tôi tốt hơn.</t>
  </si>
  <si>
    <t>Nhà nước đã giải thích rõ ràng về mục tiêu và lý do sửa đổi thuế lần này.</t>
  </si>
  <si>
    <t>Với mức giảm trừ gia cảnh cao, tôi ủng hộ chính sách mới và sẽ tuân thủ.</t>
  </si>
  <si>
    <t>Với mức thuế giảm mạnh và đơn giản hóa quy trình, khả năng phát hiện trốn thuế có thể giảm đi. Tuy nhiên, cơ quan thuế vẫn cần công nghệ và nguồn lực để giám sát.</t>
  </si>
  <si>
    <t>Cơ quan thuế đã cải tiến công nghệ nhưng không rõ liệu hệ thống mới có đủ năng lực để phát hiện trốn thuế một cách hiệu quả hay không.</t>
  </si>
  <si>
    <t>Quy trình trở nên đơn giản hơn, thủ tục khai báo thuận tiện hơn. Tuy nhiên, việc chuyển đổi từ luật cũ sang mới có thể gây bất lợi cho người dân chưa quen thuộc với quy định.</t>
  </si>
  <si>
    <t>Bậc thuế đơn giản hóa giúp dễ dàng tính toán và thực hiện hơn. Mức thuế giảm khiến quá trình này trở nên thuận tiện hơn.</t>
  </si>
  <si>
    <t>Tôi tin rằng các quy định mới được áp dụng công bằng cho mọi người, nhưng cần thời gian để thấy hiệu quả thực tế của việc cải cách.</t>
  </si>
  <si>
    <t>Do giảm trừ gia cảnh tăng và thuế suất thấp hơn, tôi thấy mức thuế mới là hợp lý. Tuy nhiên, vẫn có sự bất đồng về tính công bằng của các quy định.</t>
  </si>
  <si>
    <t>Thuế được sử dụng cho mục đích công cộng như y tế và giao thông là điều cần thiết. Mức thuế mới giúp cải thiện hiệu quả sử dụng nguồn lực.</t>
  </si>
  <si>
    <t>Nhà nước đã giải thích rõ ràng về mục tiêu của việc sửa đổi luật thuế, nhưng vẫn cần thêm thông tin để người dân hiểu đầy đủ.</t>
  </si>
  <si>
    <t>Tôi ủng hộ và tuân thủ chính sách mới vì giảm trừ gia cảnh tăng và thuế suất thấp hơn. Tuy nhiên, tôi vẫn lo ngại về khả năng phát hiện trốn thuế.</t>
  </si>
  <si>
    <t>Nhà nước đã tăng cường công nghệ và hệ thống quản lý thuế, điều này làm giảm khả năng trốn thuế. Hơn nữa, mức thuế giảm giúp tôi tin rằng cơ quan thuế sẽ tập trung vào việc phát hiện các trường hợp gian lận.</t>
  </si>
  <si>
    <t>Với hệ thống công nghệ hiện đại và sự minh bạch hơn trong quản lý thuế, tôi tin rằng hành vi trốn thuế sẽ bị kiểm soát tốt hơn.</t>
  </si>
  <si>
    <t>Quy trình khai báo thuế trở nên đơn giản hơn với mức giảm trừ gia cảnh cao hơn và số bậc thuế ít đi. Điều này giúp tôi dễ dàng thực hiện các thủ tục liên quan đến thuế.</t>
  </si>
  <si>
    <t>Bậc thuế mới đơn giản, dễ hiểu và phù hợp với thu nhập của tôi, điều này làm giảm thời gian và công sức cần thiết để tính toán thuế.</t>
  </si>
  <si>
    <t>Tôi tin rằng cơ quan thuế sẽ thực thi chính sách một cách khách quan và công bằng. Mức thuế mới phù hợp với thu nhập của tôi, tạo cảm giác công bằng cho tôi.</t>
  </si>
  <si>
    <t>Mức thuế mới giảm đáng kể so với trước đây, tạo ra sự công bằng trong việc phân phối gánh nặng thuế giữa các đối tượng nộp thuế khác nhau.</t>
  </si>
  <si>
    <t>Nhà nước đã sử dụng số tiền thuế để cải thiện dịch vụ công, như y tế và hạ tầng, tạo niềm tin rằng thuế đóng góp vào sự phát triển chung của xã hội.</t>
  </si>
  <si>
    <t>Chính phủ đã giải thích rõ ràng về mục tiêu và nguyên nhân của việc sửa đổi luật thuế, làm tăng niềm tin của tôi vào quyết định này.</t>
  </si>
  <si>
    <t>Sau khi xem xét các quyền lợi và nghĩa vụ mới, tôi ủng hộ chính sách thuế hiện tại vì nó tạo ra sự công bằng và tiện lợi hơn cho người dân.</t>
  </si>
  <si>
    <t>Chính phủ và cơ quan thuế có nhiều biện pháp quản lý mạnh mẽ, nhưng vẫn cần nâng cao công nghệ để phát hiện gian lận.</t>
  </si>
  <si>
    <t>Cơ sở hạ tầng công nghệ của cơ quan thuế đã được cải thiện đáng kể và đủ khả năng để phát hiện trốn thuế.</t>
  </si>
  <si>
    <t>So với trước đây, quy trình khai báo thuế đơn giản hơn nhiều, nhưng vẫn cần thêm thời gian để làm quen.</t>
  </si>
  <si>
    <t>Cách tính thuế mới đơn giản và dễ hiểu hơn so với trước đây, giúp người dân dễ thực hiện.</t>
  </si>
  <si>
    <t>Tôi tin Nhà nước sẽ thực thi chính sách một cách công bằng đối với mọi người nộp thuế.</t>
  </si>
  <si>
    <t>Mức thuế mới phù hợp với thu nhập của tôi, cảm thấy đóng góp hợp lý.</t>
  </si>
  <si>
    <t>Tôi tin số tiền thuế đóng sẽ được sử dụng hiệu quả để cải thiện các dịch vụ công</t>
  </si>
  <si>
    <t>Tôi ủng hộ chính sách mới vì nó giúp tôi tiết kiệm được tiền thuế, đồng thời đơn giản hóa quy trình khai báo.</t>
  </si>
  <si>
    <t>Dù thuế đã giảm nhưng tôi vẫn tin rằng cơ quan thuế có khả năng phát hiện và xử lý các hành vi trốn thuế.</t>
  </si>
  <si>
    <t>Cơ quan thuế với sự hỗ trợ của công nghệ sẽ dễ dàng hơn trong việc giám sát và quản lý thuế.</t>
  </si>
  <si>
    <t>Quy trình khai thuế trở nên đơn giản và thuận tiện hơn, giúp tôi tiết kiệm thời gian.</t>
  </si>
  <si>
    <t>Bậc thuế đơn giản hơn, dễ hiểu hơn so với trước đây</t>
  </si>
  <si>
    <t>Tôi tin rằng các quy định mới sẽ được thực thi công bằng và minh bạch.</t>
  </si>
  <si>
    <t>Thuế giảm đáng kể, tôi cảm thấy mức thuế này là hợp lý đối với thu nhập của mình.</t>
  </si>
  <si>
    <t>Tác động tài chính tích cực từ chính sách mới giúp tôi tin tưởng số tiền thuế đóng sẽ được sử dụng hiệu quả.</t>
  </si>
  <si>
    <t>Tôi ủng hộ và tuân thủ chính sách mới vì nó mang lại nhiều lợi ích tài chính cho tôi.</t>
  </si>
  <si>
    <t>Hiện nay, cơ quan thuế có nhiều công cụ và nguồn lực mạnh mẽ để phát hiện hành vi gian lận hoặc trốn thuế, do đó tôi tin rằng những người vi phạm sẽ bị xử lý nghiêm minh.</t>
  </si>
  <si>
    <t>Nhà nước đã đầu tư vào công nghệ và nguồn lực cho ngành thuế để tăng cường quản lý hiệu quả, nên khả năng phát hiện trốn thuế được cải thiện đáng kể.</t>
  </si>
  <si>
    <t>So với trước đây, quy trình khai báo thuế trở nên đơn giản hơn, thuận tiện hơn cho người dân và doanh nghiệp.</t>
  </si>
  <si>
    <t>Mức thuế theo phương án mới là công bằng đối với thu nhập của tôi, đồng thời quy định quản lý thuế cũng được cải thiện nên tôi tin rằng sẽ được thực thi một cách khách quan và công tâm.</t>
  </si>
  <si>
    <t>Thu nhập của tôi thuộc bậc thuế thấp nhất do mức giảm trừ gia cảnh cao hơn, điều này cho thấy mức thuế đóng là phù hợp với thu nhập của mình.</t>
  </si>
  <si>
    <t>Với mức thuế giảm và quy định quản lý thuế cải tiến, tôi tin rằng số tiền thuế sẽ được sử dụng hiệu quả để cải thiện các dịch vụ công.</t>
  </si>
  <si>
    <t>Nhà nước đã giải thích rõ ràng về mục tiêu của việc sửa đổi chính sách thuế và các biện pháp cụ thể để thực hiện nó, do đó tôi cảm thấy mình đang được thông tin đầy đủ.</t>
  </si>
  <si>
    <t>Tôi ủng hộ và tuân thủ chính sách mới vì nó đã cải thiện về mặt tiện lợi cũng như công bằng đối với thu nhập của tôi.</t>
  </si>
  <si>
    <t>Nếu công nghệ và quy định quản lý thuế được cải thiện, việc phát hiện hành vi gian lận sẽ dễ dàng hơn. Điều này tăng độ tin cậy trong hệ thống thuế.</t>
  </si>
  <si>
    <t>Cơ quan thuế có nhiều công cụ và nguồn lực để theo dõi các hoạt động tài chính cá nhân, do đó khả năng phát hiện và xử lý trốn thuế tăng lên.</t>
  </si>
  <si>
    <t>Quy trình khai báo thuế trở nên đơn giản hơn với mức giảm trừ gia cảnh mới và số bậc thuế ít đi, tạo thuận lợi cho người dân.</t>
  </si>
  <si>
    <t>Thương lượng bậc thuế mới dễ hiểu và áp dụng trên thu nhập cá nhân, giúp việc tính toán thuế trở nên dễ dàng hơn.</t>
  </si>
  <si>
    <t>Việc cải cách thuế công bằng hơn với mức giảm trừ gia cảnh cao và số bậc thuế ít đi, tạo niềm tin trong hệ thống thuế.</t>
  </si>
  <si>
    <t>Nhìn chung, mức thuế mới phù hợp với thu nhập của tôi, cho thấy sự công bằng trong việc phân bổ gánh nặng thuế</t>
  </si>
  <si>
    <t>Thuế tôi đóng sẽ được sử dụng để cải thiện dịch vụ công, tạo niềm tin về hiệu quả sử dụng nguồn lực.</t>
  </si>
  <si>
    <t>Nhà nước đã giải thích rõ ràng mục tiêu và lý do của việc cải cách thuế này, tăng tính minh bạch</t>
  </si>
  <si>
    <t>Sau khi xem xét tất cả các yếu tố, tôi ủng hộ chính sách mới vì nó mang lại lợi ích về mặt tài chính và thuận tiện.</t>
  </si>
  <si>
    <t>Hiện nay, cơ quan thuế có nhiều công cụ và công nghệ tiên tiến để phát hiện hành vi gian lận hoặc trốn thuế. Tuy nhiên, vẫn còn sự phụ thuộc vào việc thực thi pháp luật.</t>
  </si>
  <si>
    <t>Nhà nước đã đầu tư mạnh mẽ vào hệ thống công nghệ thông tin và nhân lực để phát hiện các hành vi trốn thuế. Điều này làm giảm nguy cơ gian lận.</t>
  </si>
  <si>
    <t>So với trước đây, quy trình khai báo thuế đơn giản hơn nhiều. Việc sử dụng phần mềm trực tuyến giúp quá trình trở nên nhanh chóng và dễ dàng hơn.</t>
  </si>
  <si>
    <t>Biểu thuế mới với số bậc giảm đi từ 7 xuống 5 làm việc tính toán trở nên dễ dàng và đơn giản hơn, dễ hiểu hơn cho người dân.</t>
  </si>
  <si>
    <t>Nhà nước đã công bố rõ ràng về mục tiêu của chính sách mới. Tuy nhiên, có thể vẫn còn một số bất đồng giữa cá nhân và cơ quan thuế trong việc thực thi.</t>
  </si>
  <si>
    <t>Mức giảm trừ gia cảnh và mức thuế mới phù hợp với thu nhập của tôi. Đây là điều công bằng đối với người dân có cùng mức thu nhập như tôi.</t>
  </si>
  <si>
    <t>Thuế đóng góp vào việc cải thiện các dịch vụ công như y tế, giáo dục và hạ tầng cơ sở. Tôi tin tưởng rằng số tiền thuế của mình sẽ được sử dụng hiệu quả.</t>
  </si>
  <si>
    <t>Nhà nước đã giải thích rõ ràng về mục tiêu và lý do của việc cải cách thuế. Điều này làm tăng sự minh bạch và tin tưởng từ người dân.</t>
  </si>
  <si>
    <t>Tôi ủng hộ chính sách mới vì nó mang lại lợi ích tài chính và thuận tiện hơn so với trước đây, đồng thời đảm bảo tính công bằng trong việc đánh thuế.</t>
  </si>
  <si>
    <t>Nếu có công nghệ tiên tiến và quy định quản lý thuế chặt chẽ, tôi tin rằng hành vi gian lận sẽ giảm. Tuy nhiên, tôi vẫn lo ngại về khả năng phát hiện.</t>
  </si>
  <si>
    <t>Nhà nước đã đầu tư vào công nghệ và nhân lực để cải thiện quản lý thuế, điều này giúp tăng cường khả năng phát hiện gian lận.</t>
  </si>
  <si>
    <t>Quy trình khai báo thuế đơn giản hơn so với trước đây, giảm bớt thời gian và công sức. Điều này làm việc với cơ quan thuế thuận lợi hơn.</t>
  </si>
  <si>
    <t>Bậc thuế được đơn giản hóa, dễ hiểu hơn và dễ thực hiện hơn so với trước đây</t>
  </si>
  <si>
    <t>Tôi tin rằng Nhà nước sẽ công bằng trong việc áp dụng chính sách mới. Việc giảm trừ gia cảnh tăng lên giúp tôi cảm thấy được đối xử công bằng.</t>
  </si>
  <si>
    <t>Mức thuế mới làm giảm gánh nặng tài chính, nên tôi thấy nó là hợp lý cho thu nhập của mình</t>
  </si>
  <si>
    <t>Dự kiến số tiền thuế đóng sẽ được sử dụng hiệu quả để cải thiện dịch vụ công, điều này làm tăng sự tin tưởng vào việc sử dụng nguồn lực một cách minh bạch.</t>
  </si>
  <si>
    <t>Nhà nước đã giải thích đầy đủ về mục tiêu và lý do của chính sách mới, tuy nhiên, tôi vẫn mong muốn có thêm thông tin về hiệu quả thực tế</t>
  </si>
  <si>
    <t>Tôi ủng hộ chính sách mới vì nó đơn giản hóa quy trình thuế và làm giảm gánh nặng tài chính cho người dân.</t>
  </si>
  <si>
    <t>Dù có công nghệ hỗ trợ, nhưng vẫn cần sự tuân thủ của người dân và sự kiểm tra thường xuyên từ cơ quan thuế. Điều này làm tôi không hoàn toàn tin tưởng.</t>
  </si>
  <si>
    <t>Cơ quan thuế đã đầu tư vào công nghệ để phát hiện gian lận, nhưng vẫn cần thời gian để đạt hiệu quả cao nhất.</t>
  </si>
  <si>
    <t>Quy trình khai báo và làm việc với cơ quan thuế đơn giản hơn trước, giúp tôi dễ dàng thực hiện hơn</t>
  </si>
  <si>
    <t>Biểu thuế mới có ít bậc hơn, nên dễ hiểu và thực hiện thuận tiện hơn so với trước đây</t>
  </si>
  <si>
    <t>Tôi tin rằng cơ quan thuế sẽ công tâm trong việc đánh giá mức thu nhập của tôi để áp dụng đúng quy định.</t>
  </si>
  <si>
    <t>Thuế theo mới giảm đáng kể, khiến tôi cảm thấy công bằng hơn so với trước đây</t>
  </si>
  <si>
    <t>Tôi tin rằng số thuế đóng sẽ được sử dụng hiệu quả cho các dịch vụ công ích</t>
  </si>
  <si>
    <t>Đã có thông tin giải thích rõ ràng về mục đích và lý do của việc sửa đổi chính sách thuế này</t>
  </si>
  <si>
    <t>Chính sách mới giúp tôi tiết kiệm được một khoản tiền đáng kể, nên tôi ủng hộ và tuân thủ</t>
  </si>
  <si>
    <t>Nhà nước đã có nhiều biện pháp kiểm soát, xử lý nghiêm hành vi gian lận hoặc trốn thuế. Với việc giảm trừ gia cảnh tăng lên và đơn giản hóa biểu thuế, khả năng phát hiện trốn thuế sẽ cao hơn.</t>
  </si>
  <si>
    <t>Cơ quan thuế có đội ngũ chuyên nghiệp cùng công nghệ hiện đại giúp họ dễ dàng phát hiện các hành vi trốn thuế. Tuy nhiên, vẫn cần sự cải tiến liên tục về mặt kỹ thuật và quản lý.</t>
  </si>
  <si>
    <t>So với trước đây, quy trình khai báo thuế trở nên đơn giản hơn nhiều, tiết kiệm thời gian cho người dân. Các dịch vụ online của cơ quan thuế cũng đã được cải thiện đáng kể.</t>
  </si>
  <si>
    <t>Biểu thuế mới có ít bậc hơn và mức thuế suất rõ ràng hơn, dễ hiểu hơn so với trước đây. Điều này giúp người dân tính toán và nộp thuế một cách thuận tiện hơn.</t>
  </si>
  <si>
    <t>Tôi tin rằng Nhà nước sẽ thực thi chính sách một cách công bằng đối với mọi người dân. Việc giảm trừ gia cảnh tăng lên thể hiện sự quan tâm của Nhà nước tới người dân có hoàn cảnh khó khăn.</t>
  </si>
  <si>
    <t>Theo phương án mới, mức thuế tôi đóng phù hợp với thu nhập hiện tại và có phần ưu đãi hơn so với trước đây. Điều này thể hiện tính công bằng trong việc phân bổ gánh nặng thuế.</t>
  </si>
  <si>
    <t>Tôi tin rằng số tiền thuế tôi đóng sẽ được sử dụng hiệu quả để cải thiện dịch vụ công, như y tế và cơ sở hạ tầng. Điều này giúp nâng cao chất lượng cuộc sống của người dân.</t>
  </si>
  <si>
    <t>Nhà nước đã giải thích rõ ràng về mục tiêu và lý do sửa đổi Luật Thuế TNCN, tuy nhiên vẫn có một số điểm cần cải thiện trong việc truyền thông.</t>
  </si>
  <si>
    <t>Dựa trên tác động tài chính tích cực từ chính sách mới và sự đơn giản hóa quy trình thuế, tôi ủng hộ và tuân thủ chính sách hiện tại. Việc giảm trừ gia cảnh tăng lên giúp cải thiện khả năng chi trả cho người dân.</t>
  </si>
  <si>
    <t>Dù thuế không còn nhưng việc quản lý và công nghệ hiện đại có thể giúp kiểm soát gian lận.</t>
  </si>
  <si>
    <t>Cơ quan thuế có nhiều nguồn lực hơn để theo dõi hoạt động kinh tế, mặc dù mức thuế không thay đổi.</t>
  </si>
  <si>
    <t>Quy trình khai báo thuế đơn giản hơn và tiện lợi hơn do giảm bậc thuế.</t>
  </si>
  <si>
    <t>Cách tính thuế rõ ràng hơn với ít bậc thuế, dễ dàng thực hiện hơn.</t>
  </si>
  <si>
    <t>Nhà nước công bố chính sách mới một cách công khai và minh bạch.</t>
  </si>
  <si>
    <t>Mức thuế giảm trừ gia cảnh cao hơn, người dân không phải đóng thuế, cảm thấy công bằng.</t>
  </si>
  <si>
    <t>Thuế sẽ được sử dụng để cải thiện dịch vụ công, người nộp thuế tin tưởng vào mục tiêu này.</t>
  </si>
  <si>
    <t>Nhà nước đã giải thích rõ ràng về việc sửa đổi thuế và mục đích của nó.</t>
  </si>
  <si>
    <t>Chính sách mới giúp giảm gánh nặng tài chính, tôi sẽ ủng hộ và tuân thủ.</t>
  </si>
  <si>
    <t>Dù có quy định quản lý thuế, nhưng do không còn thuế gia cảnh nên khả năng phát hiện trốn thuế giảm.</t>
  </si>
  <si>
    <t>Việc xử lý nghiêm các hành vi trốn thuế phụ thuộc vào sự giám sát và hiệu quả của cơ quan thuế, tuy nhiên không có thông tin cụ thể về công nghệ hoặc năng lực hiện tại.</t>
  </si>
  <si>
    <t>Quy trình làm việc với cơ quan thuế đơn giản hơn do giảm mức thuế gia cảnh và số bậc thuế, thuận tiện cho người nộp thuế.</t>
  </si>
  <si>
    <t>Cách tính thuế và các bậc thuế trong phương án mới đơn giản, dễ hiểu, phù hợp với thu nhập bình quân của tôi.</t>
  </si>
  <si>
    <t>Tôi tin rằng Nhà nước sẽ thực thi chính sách một cách khách quan và công bằng, nhưng vẫn có sự nghi ngờ về việc xử lý không công bằng cho các ngành nghề cụ thể.</t>
  </si>
  <si>
    <t>Mức thuế mới được giảm đáng kể so với trước đây, tôi thấy mức này là hợp lý đối với thu nhập hiện tại của mình.</t>
  </si>
  <si>
    <t>Sau khi xem xét tác động tài chính tích cực, tôi tin rằng số tiền thuế đóng sẽ được sử dụng hiệu quả cho việc cải thiện dịch vụ công.</t>
  </si>
  <si>
    <t>Nhà nước đã giải thích rõ ràng về mục tiêu của việc sửa đổi thuế, nhưng vẫn còn nhiều thông tin cần bổ sung để minh bạch hơn.</t>
  </si>
  <si>
    <t>Tôi ủng hộ và tuân thủ chính sách mới vì tác động tài chính tích cực và sự đơn giản hóa quy trình làm việc với cơ quan thuế.</t>
  </si>
  <si>
    <t>Nguyên tắc quản lý thuế hiện tại khá chặt chẽ, nhưng do quy mô lớn của dân số và lượng công việc cần thực thi, khả năng phát hiện gian lận vẫn còn hạn chế.</t>
  </si>
  <si>
    <t>Cơ quan thuế có thể đã đầu tư vào công nghệ để nâng cao hiệu quả quản lý, nhưng quy mô lớn và sự phức tạp của hệ thống thuế khiến việc xử lý nghiêm khắc các hành vi trốn thuế vẫn còn khó khăn.</t>
  </si>
  <si>
    <t>So với trước đây, thủ tục khai báo thuế đã được đơn giản hóa và tiện lợi hơn nhiều. Tuy nhiên, do quy trình vẫn phức tạp nên chưa thể đạt điểm tối đa.</t>
  </si>
  <si>
    <t>Biểu thuế mới có ít bậc hơn và dễ hiểu hơn, giảm thiểu rủi ro sai sót cho người nộp thuế. Quy định về giảm trừ gia cảnh cũng thuận lợi hơn so với trước đây.</t>
  </si>
  <si>
    <t>Tôi tin rằng cơ quan thuế sẽ thực thi chính sách một cách công bằng, nhưng việc kiểm soát và giám sát cần được cải thiện để đảm bảo tính khách quan.</t>
  </si>
  <si>
    <t>Mức thuế mới phù hợp với thu nhập của tôi. Tuy nhiên, mức giảm trừ gia cảnh lớn hơn cho người phụ thuộc có thể tạo ra sự không công bằng giữa các nhóm thu nhập khác nhau.</t>
  </si>
  <si>
    <t>Thuốc đóng góp vào việc cải thiện dịch vụ công là điều cần thiết. Tuy nhiên, hiệu quả sử dụng nguồn lực thuế vẫn còn nhiều vấn đề cần giải quyết.</t>
  </si>
  <si>
    <t>Nhà nước đã giải thích một cách rõ ràng về mục tiêu của việc sửa đổi thuế, nhưng tôi mong muốn có thêm thông tin về cách quản lý và sử dụng nguồn thu thuế.</t>
  </si>
  <si>
    <t>Tôi ủng hộ chính sách mới vì nó giảm gánh nặng tài chính cho người dân và đơn giản hóa quy trình nộp thuế. Tuy nhiên, tôi cần thêm thông tin về cách quản lý hiệu quả nguồn thu thuế để tăng mức độ ủng hộ.</t>
  </si>
  <si>
    <t>Hiện nay, với việc ứng dụng công nghệ cao trong quản lý thuế và các biện pháp kiểm soát chặt chẽ, tôi tin rằng hành vi gian lận hoặc trốn thuế sẽ khó che giấu và dễ bị phát hiện. Công nghệ đã cải thiện đáng kể khả năng giám sát của cơ quan thuế.</t>
  </si>
  <si>
    <t>Việc sử dụng công nghệ như hệ thống điện tử, ứng dụng di động để nộp hồ sơ thuế đã giúp việc quản lý và kiểm soát thuế trở nên hiệu quả hơn. Cơ quan thuế cũng có đội ngũ chuyên nghiệp, được đào tạo bài bản để xử lý các trường hợp vi phạm.</t>
  </si>
  <si>
    <t>Quy trình khai báo thuế hiện nay đã đơn giản và thuận tiện hơn nhiều so với trước đây. Việc sử dụng hệ thống điện tử giúp người dân dễ dàng nộp thuế mà không cần đến trực tiếp cơ quan thuế.</t>
  </si>
  <si>
    <t>Biểu thuế mới có ít bậc hơn, giảm độ phức tạp và dễ hiểu hơn so với trước đây. Việc tính toán thuế cũng trở nên đơn giản hơn.</t>
  </si>
  <si>
    <t>Tôi tin rằng cơ quan thuế sẽ thực thi chính sách một cách khách quan và công bằng, không phân biệt đối xử giữa các đối tượng nộp thuế.</t>
  </si>
  <si>
    <t>Thuế tôi phải đóng theo phương án mới là hợp lý. Với thu nhập hiện tại của tôi, mức thuế này vừa phải và không quá nặng nề.</t>
  </si>
  <si>
    <t>Tôi tin rằng số tiền thuế tôi đóng sẽ được sử dụng hiệu quả để cải thiện các dịch vụ công như y tế và giao thông</t>
  </si>
  <si>
    <t>Nhà nước đã có những giải thích rõ ràng về mục tiêu của việc sửa đổi luật thuế, nhưng cần có thêm thông tin chi tiết hơn về cách sử dụng số tiền thuế thu được.</t>
  </si>
  <si>
    <t>Tôi ủng hộ và sẽ tuân thủ chính sách mới vì nó giúp tôi tiết kiệm được một khoản tiền đáng kể và đơn giản hóa quy trình khai báo thuế.</t>
  </si>
  <si>
    <t>Dù luật thuế mới có đơn giản hơn, nhưng tôi vẫn không hoàn toàn tin rằng hành vi gian lận hoặc trốn thuế sẽ dễ dàng bị phát hiện và xử lý nghiêm. Việc quản lý thuế cần sự linh hoạt và thực tế.</t>
  </si>
  <si>
    <t>Cơ quan thuế đã áp dụng công nghệ để phát hiện hành vi gian lận, nhưng tôi nghĩ họ vẫn chưa hoàn toàn đủ khả năng đối mặt với lượng lớn dữ liệu cần xử lý.</t>
  </si>
  <si>
    <t>Quy trình làm việc với cơ quan thuế trở nên đơn giản hơn nhiều so với trước đây. Các thủ tục khai báo cũng nhanh chóng và dễ dàng hơn.</t>
  </si>
  <si>
    <t>Các bậc thuế mới đơn giản, dễ hiểu hơn so với trước đây. Tuy nhiên, việc có 5 bậc thay vì 7 bậc vẫn khiến tôi cảm thấy nó không hoàn toàn đơn giản như mong đợi.</t>
  </si>
  <si>
    <t>Tôi tin rằng Nhà nước sẽ thực thi chính sách một cách công tâm và đối xử bình đẳng với mọi người nộp thuế. Việc tăng giảm trừ gia cảnh tạo ra sự công bằng hơn.</t>
  </si>
  <si>
    <t>Dựa trên mức thu nhập của tôi, tôi thấy mức thuế mới là hợp lý. Tuy nhiên, tôi vẫn lo ngại về việc liệu số tiền thuế này có được sử dụng hiệu quả hay không.</t>
  </si>
  <si>
    <t>Tôi tin rằng số tiền thuế đóng sẽ được sử dụng hiệu quả để cải thiện dịch vụ công. Tuy nhiên, thông tin chi tiết về cách sử dụng nguồn thu thuế còn hạn chế đối với tôi.</t>
  </si>
  <si>
    <t>Nhà nước đã giải thích rõ ràng về việc tăng giảm trừ gia cảnh và đơn giản hóa biểu thuế, nhưng giải thích về mục tiêu tổng thể của chính sách mới còn hạn chế.</t>
  </si>
  <si>
    <t>Tôi ủng hộ chính sách mới vì nó tạo ra sự công bằng hơn. Tuy nhiên, tôi sẽ cân nhắc kỹ trước khi tuân thủ nếu có bất kỳ thay đổi không mong muốn nào xảy ra trong thực tế.</t>
  </si>
  <si>
    <t>Thuế mới có nhiều thay đổi, nhưng chưa rõ ràng về khả năng phát hiện hành vi gian lận.</t>
  </si>
  <si>
    <t>Cơ quan thuế có công nghệ hiện đại để theo dõi, nhưng khả năng thực thi còn phụ thuộc vào nhiều yếu tố khác.</t>
  </si>
  <si>
    <t>Quy trình khai báo trở nên đơn giản hơn, giảm bớt rườm rà của trước đây.</t>
  </si>
  <si>
    <t>Bậc thuế ít đi và dễ hiểu hơn, nhưng vẫn có thể phức tạp đối với người không quen thuộc.</t>
  </si>
  <si>
    <t>Phương án mới công bằng hơn cho thu nhập trung bình như tôi, giảm gánh nặng về tài chính.</t>
  </si>
  <si>
    <t>Thuế mới phù hợp với mức thu nhập của tôi và các mức thuế suất được điều chỉnh hợp lý.</t>
  </si>
  <si>
    <t>Tiền thuế đóng góp vào cải thiện dịch vụ công, nhưng hiệu quả sử dụng còn phụ thuộc nhiều yếu tố khác.</t>
  </si>
  <si>
    <t>Giải thích về mục tiêu và lý do của chính sách mới đã được cung cấp đầy đủ.</t>
  </si>
  <si>
    <t>Chính sách mới có lợi cho tôi, giúp giảm gánh nặng tài chính và tạo niềm tin vào hệ thống thuế.</t>
  </si>
  <si>
    <t>Nhà nước đã có nhiều biện pháp cải thiện quản lý thuế trong thời gian gần đây, tuy nhiên vẫn còn những rủi ro về việc phát hiện trốn thuế.</t>
  </si>
  <si>
    <t>Cơ quan thuế Việt Nam đã đầu tư công nghệ và nhân lực để cải thiện khả năng phát hiện và xử lý gian lận, trốn thuế.</t>
  </si>
  <si>
    <t>Thủ tục khai báo thuế trở nên đơn giản hơn với việc giảm số bậc thuế, tôi tin rằng điều này sẽ giúp mọi người dễ dàng làm việc với cơ quan thuế hơn.</t>
  </si>
  <si>
    <t>Biểu thuế mới có ít bậc hơn và mức thu nhập chịu thuế thấp hơn so với trước nên tôi thấy cách tính thuế đơn giản và dễ hiểu hơn.</t>
  </si>
  <si>
    <t>Tôi tin rằng cơ quan thuế sẽ thực thi chính sách một cách công bằng, khách quan đối với tất cả các cá nhân nộp thuế.</t>
  </si>
  <si>
    <t>Như một người có thu nhập trung bình, tôi thấy mức thuế mới là hợp lý và công bằng cho tình hình hiện tại của mình.</t>
  </si>
  <si>
    <t>Ngoài việc giảm gánh nặng về mặt tài chính, tôi tin rằng số tiền thuế đóng sẽ được sử dụng hiệu quả để cải thiện dịch vụ công</t>
  </si>
  <si>
    <t>Nhà nước đã giải thích rõ ràng mục đích của việc sửa đổi thuế và cách thức thực hiện, điều này làm tăng niềm tin của tôi vào hệ thống.</t>
  </si>
  <si>
    <t>Tôi ủng hộ và sẽ tuân thủ chính sách mới, vì nó mang lại nhiều lợi ích cho tôi và đồng thời cũng công bằng hơn so với trước đây.</t>
  </si>
  <si>
    <t>Nguyên tắc quản lý thuế hiện tại đã được cải thiện đáng kể, nhưng do mức giảm trừ gia cảnh cao hơn thu nhập nên tôi không thấy có hành vi gian lận hay trốn thuế xảy ra. Điều này khiến khả năng phát hiện trở nên ít quan trọng.</t>
  </si>
  <si>
    <t>Nhà nước và cơ quan thuế đã đầu tư công nghệ để theo dõi hoạt động kinh tế, nhưng do mức giảm trừ gia cảnh cao hơn thu nhập nên tôi không thấy có hành vi gian lận hay trốn thuế. Điều này làm giảm khả năng phát hiện.</t>
  </si>
  <si>
    <t>Thủ tục khai báo và quy trình làm việc với cơ quan thuế trở nên đơn giản hơn, nhưng do mức giảm trừ gia cảnh cao hơn thu nhập nên tôi không thấy có hành vi gian lận hay trốn thuế. Điều này khiến thủ tục thuận tiện hơn.</t>
  </si>
  <si>
    <t>Cách tính thuế và các bậc thuế mới đơn giản, dễ hiểu và dễ thực hiện hơn so với trước đây. Mức giảm trừ gia cảnh cao nên tôi thấy thuận lợi hơn trong việc khai báo.</t>
  </si>
  <si>
    <t>Tôi tin rằng Nhà nước sẽ thực thi chính sách một cách khách quan, công bằng và đối xử bình đẳng với mọi người nộp thuế. Mức giảm trừ gia cảnh cao cho phép tôi không phải đóng thuế.</t>
  </si>
  <si>
    <t>Tôi thấy mức thuế mà tôi phải đóng là công bằng vì mức thu nhập của tôi đang được ưu đãi bởi mức giảm trừ gia cảnh cao. Điều này làm tăng cảm giác công bằng trong việc đóng thuế.</t>
  </si>
  <si>
    <t>Số tiền thuế tôi đóng sẽ được sử dụng hiệu quả để cải thiện các dịch vụ công, như y tế và đường xá. Mức giảm trừ gia cảnh cao cho phép tôi không phải đóng thuế, làm tăng niềm tin vào việc sử dụng số tiền này.</t>
  </si>
  <si>
    <t>Nhà nước đã giải thích rõ ràng về lý do và mục tiêu của việc sửa đổi thuế. Mức giảm trừ gia cảnh cao cho phép tôi không phải đóng thuế, làm tăng niềm tin vào quyết định này.</t>
  </si>
  <si>
    <t>Sau khi xem xét các quyền lợi và nghĩa vụ, tôi ủng hộ chính sách mới hiện nay vì mức giảm trừ gia cảnh cao cho phép tôi không phải đóng thuế. Điều này làm tăng niềm tin vào việc cải cách.</t>
  </si>
  <si>
    <t>Dù cơ quan thuế có công nghệ phát hiện gian lận tốt, nhưng vẫn cần sự phối hợp và trách nhiệm từ phía người nộp thuế. Công tác quản lý thuế chưa hoàn toàn hiệu quả.</t>
  </si>
  <si>
    <t>Cơ quan thuế đã đầu tư vào công nghệ phát hiện gian lận, tuy nhiên vẫn cần thời gian để ứng dụng thực tế.</t>
  </si>
  <si>
    <t>So với trước đây, quy trình khai báo thuế và làm việc với cơ quan thuế có nhiều cải thiện. Tuy nhiên, sự phức tạp của luật cũ vẫn còn ảnh hưởng đến quá trình.</t>
  </si>
  <si>
    <t>Biểu thuế mới đơn giản hơn nhưng người dân cần thời gian để làm quen với hệ thống mới.</t>
  </si>
  <si>
    <t>Tôi tin rằng Nhà nước sẽ thực thi chính sách công bằng và khách quan, tuy nhiên sự minh bạch trong quá trình quản lý thuế vẫn còn cần được cải thiện.</t>
  </si>
  <si>
    <t>Mức thuế mới có thể coi là hợp lý cho thu nhập của tôi. Sự tăng giảm trừ gia cảnh giúp làm giảm gánh nặng về tài chính.</t>
  </si>
  <si>
    <t>Tôi tin rằng số tiền thuế đóng sẽ được sử dụng hiệu quả, nhưng cần thêm thông tin cụ thể về cách sử dụng nguồn thu này để tăng niềm tin.</t>
  </si>
  <si>
    <t>Nhà nước đã giải thích rõ ràng về mục tiêu của việc sửa đổi thuế. Tuy nhiên, tôi hy vọng sẽ có thêm thông tin về quy trình thực thi.</t>
  </si>
  <si>
    <t>Chính sách mới mang lại lợi ích về mặt tài chính và sự đơn giản hóa quy trình khai báo. Tôi ủng hộ và sẽ tuân thủ.</t>
  </si>
  <si>
    <t>Dù có công nghệ phát hiện trốn thuế, nhưng với mức thu nhập và giảm trừ gia cảnh như tôi, việc phát hiện gian lận khó xảy ra. 7</t>
  </si>
  <si>
    <t>Cơ quan thuế đã cải thiện khả năng quản lý thông qua công nghệ số, nhưng với quy mô lớn của người nộp thuế, vẫn còn nhiều yếu tố không chắc chắn. 6</t>
  </si>
  <si>
    <t>Quy trình khai thuế và giao dịch với cơ quan thuế trở nên đơn giản hơn, tiết kiệm thời gian và công sức. Điều này rất thuận tiện cho người dân như tôi. 9</t>
  </si>
  <si>
    <t>Biểu thuế được đơn giản hóa từ 7 bậc xuống 5 bậc, dễ hiểu và thực hiện hơn so với trước đây. Việc giảm trừ gia cảnh cũng tăng lên đáng kể. 8</t>
  </si>
  <si>
    <t>Tôi tin rằng nhà nước sẽ công bằng trong việc áp dụng chính sách thuế mới, nhưng vẫn có nghi ngờ về khả năng giám sát và thực thi. 7</t>
  </si>
  <si>
    <t>Theo phương án thuế mới, tôi tiết kiệm được một số tiền đáng kể từ thu nhập hiện tại của mình. Điều này cho thấy mức thuế là công bằng đối với thu nhập của tôi. 8</t>
  </si>
  <si>
    <t>Thuê đóng góp vào việc cải thiện các dịch vụ công, như y tế và hạ tầng, giúp nâng cao chất lượng cuộc sống cho người dân. 7</t>
  </si>
  <si>
    <t>Nhà nước đã giải thích rõ về mục tiêu và lý do của chính sách thuế mới, nhưng vẫn có nghi ngờ về hiệu quả sử dụng nguồn thu thuế. 6</t>
  </si>
  <si>
    <t>Chính sách mới giúp giảm gánh nặng tài chính cho tôi, đồng thời đơn giản hóa quy trình khai báo thuế. Tôi sẽ tuân thủ và ủng hộ chính sách này. 8</t>
  </si>
  <si>
    <t>Điều này khá khách quan, nhưng với mức thuế giảm đáng kể và cơ cấu đơn giản hơn, khả năng phát hiện gian lận có thể giảm. Tuy nhiên, vẫn có các biện pháp quản lý khác.</t>
  </si>
  <si>
    <t>Cơ quan thuế đã đầu tư công nghệ để theo dõi và giám sát, nhưng với mức thuế thấp hơn, khả năng phát hiện gian lận sẽ giảm so với trước đây.</t>
  </si>
  <si>
    <t>Thủ tục khai thuế đơn giản hơn và tiện lợi hơn nhiều. Người dân có thể sử dụng các phần mềm tự động hóa để cung cấp thông tin nhanh chóng.</t>
  </si>
  <si>
    <t>Các bậc thuế đã được đơn giản hóa, dễ hiểu hơn so với trước đây. Cách tính thuế rõ ràng và dễ thực hiện.</t>
  </si>
  <si>
    <t>Nhà nước đã công bố chính sách mới một cách minh bạch và khách quan, đảm bảo việc giảm trừ gia cảnh và đơn giản hóa biểu thuế là hợp lý.</t>
  </si>
  <si>
    <t>Với mức thu nhập của tôi, mức thuế mới được coi là công bằng. Việc giảm trừ gia cảnh lớn hơn đã giúp giảm gánh nặng về thuế.</t>
  </si>
  <si>
    <t>Thuế mà tôi đóng sẽ được sử dụng để cải thiện dịch vụ công như y tế và hạ tầng, điều này tạo niềm tin vào việc sử dụng hiệu quả nguồn lực.</t>
  </si>
  <si>
    <t>Nhà nước đã cung cấp thông tin rõ ràng về mục tiêu và lý do của việc thay đổi thuế. Điều này làm tăng sự minh bạch và trách nhiệm.</t>
  </si>
  <si>
    <t>Với lợi ích rõ ràng từ chính sách mới, tôi ủng hộ và sẽ tuân thủ nó. Mặc dù có một số lo ngại về khả năng phát hiện gian lận, nhưng giảm trừ gia cảnh lớn hơn đã làm tăng sự công bằng.</t>
  </si>
  <si>
    <t>Thuế đã được đơn giản hóa với mức giảm trừ gia cảnh cao hơn, do đó việc phát hiện hành vi trốn thuế có thể trở nên khó khăn hơn.</t>
  </si>
  <si>
    <t>Công nghệ hiện đại và nguồn lực của cơ quan thuế có khả năng nhưng không chắc chắn trong mọi trường hợp sẽ được tận dụng triệt để.</t>
  </si>
  <si>
    <t>Quy trình làm việc với cơ quan thuế đơn giản hơn, thủ tục khai báo thuế thuận tiện và nhanh chóng hơn so với trước đây.</t>
  </si>
  <si>
    <t>Biểu thuế mới có số bậc giảm từ 7 xuống còn 5, làm cho việc tính toán và thực hiện đơn giản hóa hơn.</t>
  </si>
  <si>
    <t>Nhà nước đã tăng giảm trừ gia cảnh và đơn giản hóa biểu thuế, tạo ra một quy định công bằng hơn đối với người dân.</t>
  </si>
  <si>
    <t>Mức thuế mới phù hợp với thu nhập của tôi, do đó tôi cảm thấy nó là một mức độ thuế công bằng.</t>
  </si>
  <si>
    <t>Thuế đóng góp vào việc cải thiện dịch vụ công như y tế và giao thông, điều này tạo ra sự tin tưởng về cách sử dụng tiền thuế.</t>
  </si>
  <si>
    <t>Cơ quan thuế đã giải thích rõ ràng lý do và mục tiêu của việc sửa đổi thuế, giúp tôi hiểu hơn về quy định mới.</t>
  </si>
  <si>
    <t>Tôi ủng hộ chính sách mới vì nó công bằng đối với thu nhập của tôi và thuận tiện cho quá trình khai báo thuế.</t>
  </si>
  <si>
    <t>Thuế thu nhập cá nhân có nhiều biện pháp quản lý và giám sát, nhưng vẫn còn nguy cơ trốn thuế do chưa có hệ thống theo dõi hiệu quả.</t>
  </si>
  <si>
    <t>Cơ quan thuế có đủ khả năng phát hiện gian lận thông qua các công cụ kỹ thuật số, tuy nhiên sự tuân thủ của người nộp thuế còn phụ thuộc vào hiểu biết và tin tưởng.</t>
  </si>
  <si>
    <t>Quy trình khai báo thuế trở nên đơn giản hơn với mức giảm trừ gia cảnh cao hơn, nhưng vẫn cần cải tiến thêm để tiện lợi hơn</t>
  </si>
  <si>
    <t>Các bậc thuế mới đơn giản hóa quá trình tính thuế, dễ hiểu và thực hiện hơn so với trước đây.</t>
  </si>
  <si>
    <t>Nhà nước công bố chính sách một cách minh bạch, tuy nhiên còn cần cải thiện trong việc xử lý công bằng giữa các đối tượng nộp thuế khác nhau</t>
  </si>
  <si>
    <t>Mức thuế mới phù hợp với thu nhập của tôi và giảm gánh nặng tài chính, tạo nên cảm giác công bằng.</t>
  </si>
  <si>
    <t>Thuốc được sử dụng để cải thiện dịch vụ công là cần thiết, nhưng hiệu quả cụ thể còn phụ thuộc vào quản lý chi tiêu của nhà nước</t>
  </si>
  <si>
    <t>Nhà nước đã giải thích rõ ràng về mục đích và lý do của việc sửa đổi thuế, tạo niềm tin cho người dân.</t>
  </si>
  <si>
    <t>Chính sách mới có nhiều ưu điểm, giúp giảm gánh nặng tài chính và đơn giản hóa quy trình, tôi sẽ ủng hộ và tuân thủ</t>
  </si>
  <si>
    <t xml:space="preserve">Nhà nước đã tăng giảm trừ gia cảnh và đơn giản hóa biểu thuế, giảm khả năng trốn thuế. </t>
  </si>
  <si>
    <t>Cơ quan thuế có công nghệ để phát hiện gian lận hoặc trốn thuế, nhưng cần cải thiện hơn nữa về quản lý</t>
  </si>
  <si>
    <t>Hệ thống khai báo và quy trình làm việc với cơ quan thuế đơn giản, thuận tiện hơn so với trước đây.</t>
  </si>
  <si>
    <t>Bậc thuế mới đơn giản hóa quá trình tính thuế, dễ hiểu và thực hiện hơn</t>
  </si>
  <si>
    <t>Tôi tin Nhà nước sẽ công tâm trong việc thực thi chính sách thuế mới.</t>
  </si>
  <si>
    <t>Mức thuế mới giảm, tôi cho rằng đây là mức hợp lý với thu nhập của mình</t>
  </si>
  <si>
    <t>Thuế đóng góp vào dịch vụ công, tôi tin số tiền đóng sẽ được sử dụng hiệu quả.</t>
  </si>
  <si>
    <t>Nhà nước đã giải thích rõ về mục tiêu và lý do của việc sửa đổi thuế</t>
  </si>
  <si>
    <t>Sau khi xem xét, tôi ủng hộ chính sách mới vì nó đơn giản hóa quy trình và giảm gánh nặng về thuế cho người dân.</t>
  </si>
  <si>
    <t>Dù có công nghệ hỗ trợ, nhưng việc phát hiện trốn thuế vẫn phụ thuộc vào các quy định quản lý. Hiện nay, mức giảm trừ gia cảnh lớn hơn nên giảm nguy cơ trốn thuế.</t>
  </si>
  <si>
    <t>Cơ quan thuế có công nghệ hiện đại nhưng hiệu quả thực thi phụ thuộc vào nguồn lực và chính sách quản lý. Việc tăng giảm trừ gia cảnh là một yếu tố tích cực.</t>
  </si>
  <si>
    <t>Quy trình làm việc với cơ quan thuế trở nên đơn giản hơn, thủ tục khai báo thuế cũng thuận tiện hơn so với trước đây. Các bước đã được tối ưu hóa.</t>
  </si>
  <si>
    <t>Biểu thuế mới có ít bậc và rõ ràng hơn, dễ dàng áp dụng hơn so với biểu cũ. Người dân dễ hiểu và thực hiện.</t>
  </si>
  <si>
    <t>Nhà nước đã công bố công bằng về mức giảm trừ gia cảnh và quy định thuế mới, tạo niềm tin cho người dân.</t>
  </si>
  <si>
    <t>Mức thuế theo phương án mới phù hợp với thu nhập của tôi, cảm thấy công bằng khi đóng thuế.</t>
  </si>
  <si>
    <t>Thuế đóng góp vào sự phát triển cơ sở hạ tầng và dịch vụ công, tạo niềm tin về hiệu quả sử dụng nguồn lực.</t>
  </si>
  <si>
    <t>Nhà nước đã giải thích rõ ràng lý do và mục tiêu của việc sửa đổi thuế, tăng cường niềm tin.</t>
  </si>
  <si>
    <t>Chính sách mới giảm gánh nặng tài chính cho người dân như tôi, đồng thời cải thiện quy trình làm việc với cơ quan thuế. Tôi ủng hộ và tuân thủ</t>
  </si>
  <si>
    <t>Việc tăng giảm trừ gia cảnh và đơn giản hóa biểu thuế có thể làm giảm cơ hội cho hành vi trốn thuế, nhưng vẫn cần sự giám sát chặt chẽ từ phía cơ quan thuế để phát hiện các trường hợp gian lận.</t>
  </si>
  <si>
    <t>Cơ quan thuế đã đầu tư công nghệ và nguồn lực để quản lý và xử lý nhanh chóng các hành vi trốn thuế, nhưng hiệu quả thực tế còn phụ thuộc vào việc triển khai.</t>
  </si>
  <si>
    <t>Thủ tục khai báo thuế trở nên đơn giản hơn với mức giảm trừ gia cảnh cao và số bậc thuế ít đi, giúp người dân dễ dàng làm việc với cơ quan thuế hơn.</t>
  </si>
  <si>
    <t>Cách tính thuế mới đơn giản hóa các bậc thuế, khiến cho việc tính toán thuế trở nên dễ hiểu hơn. Tuy nhiên, sự thay đổi này chưa đến mức hoàn toàn dễ dàng đối với mọi người.</t>
  </si>
  <si>
    <t>Tôi tin rằng cơ quan thuế sẽ công tâm khi áp dụng chính sách mới, nhưng cần thêm thời gian để thấy được thực tế trong quá trình thực thi.</t>
  </si>
  <si>
    <t>Mức thuế mới phù hợp với thu nhập của tôi, giảm đáng kể số tiền phải đóng, tạo cảm giác công bằng hơn so với trước đây.</t>
  </si>
  <si>
    <t>Tiền thuế tôi đóng sẽ được sử dụng hiệu quả để cải thiện dịch vụ công, giúp nâng cao chất lượng cuộc sống của người dân.</t>
  </si>
  <si>
    <t>Nhà nước đã giải thích rõ về mục tiêu và lý do sửa đổi chính sách thuế, nhưng việc thực thi còn phụ thuộc vào hiệu quả quản lý</t>
  </si>
  <si>
    <t>Sau khi xem xét các quyền lợi và nghĩa vụ, tôi ủng hộ và tuân thủ chính sách mới vì nó tạo ra sự công bằng và thuận tiện hơn so với trước đây.</t>
  </si>
  <si>
    <t>Việc tăng mức giảm trừ gia cảnh và đơn giản hóa biểu thuế có thể làm giảm khả năng phát hiện hành vi gian lận trốn thuế, nhưng cơ quan thuế vẫn cần công nghệ và nguồn lực để giám sát.</t>
  </si>
  <si>
    <t>Nhà nước đã đầu tư vào hệ thống công nghệ thông tin cho quản lý thuế, tuy nhiên việc phát hiện gian lận vẫn phụ thuộc vào sự kiên nhẫn và khả năng của nhân viên thuế.</t>
  </si>
  <si>
    <t>Quy trình khai thuế trở nên đơn giản hơn, nhưng cần thêm thời gian để quen với hệ thống mới. Các quy định về giảm trừ gia cảnh rõ ràng hơn.</t>
  </si>
  <si>
    <t>Biểu thuế mới đơn giản hóa nhiều so với trước đây, dễ hiểu và thực hiện thuận lợi hơn, đặc biệt là đối với người thu nhập thấp như mình.</t>
  </si>
  <si>
    <t>Tôi tin rằng cơ quan thuế sẽ công bằng trong việc áp dụng luật lệ mới, nhưng vẫn cần thêm thời gian để kiểm chứng.</t>
  </si>
  <si>
    <t>Mức thuế mới giảm so với trước đây, tôi thấy là hợp lý cho thu nhập của mình và người cùng mức lương khác.</t>
  </si>
  <si>
    <t>Thuế đóng góp vào cải thiện các dịch vụ công, tuy nhiên hiệu quả sử dụng nguồn lực vẫn cần thời gian để đánh giá.</t>
  </si>
  <si>
    <t>Nhà nước đã giải thích rõ ràng về mục tiêu của việc sửa đổi thuế, tôi tin họ sẽ thực hiện theo đúng kế hoạch.</t>
  </si>
  <si>
    <t>Tôi ủng hộ và tuân thủ chính sách mới vì nó mang lại lợi ích cho người dân như tôi, giảm gánh nặng về thuế.</t>
  </si>
  <si>
    <t>Dù có công nghệ hiện đại, nhưng việc quản lý thuế vẫn phụ thuộc vào sự tuân thủ của người dân. Thiếu sự hợp tác từ phía nhà chức trách về xử phạt gian lận, trốn thuế nên tôi chỉ đồng ý mức 5.</t>
  </si>
  <si>
    <t>Cơ quan thuế có khả năng lớn hơn để phát hiện và xử lý hành vi trốn thuế do quy định rõ ràng về các mức giảm trừ gia cảnh và bậc thuế mới. Tuy nhiên, việc thực thi vẫn phụ thuộc vào sự tuân thủ của cá nhân nên tôi đồng ý 7.</t>
  </si>
  <si>
    <t>Quy trình khai báo thuế đơn giản hơn do giảm bớt bước tính toán và mức độ phức tạp. Tuy nhiên, việc áp dụng quy định mới đòi hỏi người dân phải học thuộc các thay đổi, nên tôi đồng ý 8.</t>
  </si>
  <si>
    <t>Biểu thuế mới đơn giản hơn, dễ hiểu và thực hiện nhanh chóng. Việc giảm bớt bậc thuế từ 7 xuống còn 5 đã làm giảm độ phức tạp đáng kể, nên tôi đồng ý mức 9.</t>
  </si>
  <si>
    <t>Mức thuế mới công bằng hơn so với trước đây do tăng cường giảm trừ gia cảnh và đơn giản hóa biểu thuế. Việc này tạo cảm giác công lý trong việc đánh giá thu nhập, nên tôi đồng ý mức 8.</t>
  </si>
  <si>
    <t>Mức thuế mới phù hợp với thu nhập của tôi, giảm đáng kể so với trước đây do tăng cường giảm trừ gia cảnh. Điều này tạo cảm giác công bằng và hợp lý, nên tôi đồng ý mức 9.</t>
  </si>
  <si>
    <t>Các khoản thuế đóng góp vào việc cải thiện dịch vụ công như y tế, đường xá... Tuy nhiên, cần có minh bạch về cách sử dụng số tiền này. Do đó, tôi đồng ý mức 7.</t>
  </si>
  <si>
    <t>Nhà nước đã giải thích rõ ràng về mục tiêu và lý do của việc sửa đổi thuế lần này qua các kênh thông tin chính thức. Điều này tạo niềm tin vào quyết định, nên tôi đồng ý mức 8.</t>
  </si>
  <si>
    <t>Sau khi xem xét, tôi ủng hộ và tuân thủ chính sách mới do tính công bằng và hiệu quả của nó. Tuy nhiên, cần có thêm minh bạch về cách sử dụng số tiền thuế để tăng độ tin cậy, nên tôi đồng ý mức 8.</t>
  </si>
  <si>
    <t>Hiện nay, với sự phát triển của công nghệ và quy định quản lý thuế chặt chẽ hơn, tôi tin rằng hành vi gian lận hoặc trốn thuế sẽ dễ dàng bị phát hiện. Các biện pháp kiểm soát thuế ngày càng nâng cao.</t>
  </si>
  <si>
    <t>Nhà nước và cơ quan thuế đã đầu tư vào công nghệ và nguồn lực để cải thiện khả năng phát hiện, xử lý các hành vi trốn thuế. Điều này làm tăng tin tưởng của tôi về việc họ sẽ thực thi pháp luật một cách nghiêm túc.</t>
  </si>
  <si>
    <t>So với trước đây, quy trình khai báo thuế và giao tiếp với cơ quan thuế trở nên đơn giản hơn. Các bước thủ tục đã được tinh giản, giúp quá trình làm việc thuận lợi hơn.</t>
  </si>
  <si>
    <t>Biểu thuế mới có ít bậc hơn, dễ hiểu và thực hiện đơn giản hơn so với trước đây. Điều này giúp tôi tính toán thuế một cách nhanh chóng và chính xác hơn.</t>
  </si>
  <si>
    <t>Tôi tin rằng Nhà nước sẽ thực thi chính sách mới một cách công bằng và khách quan. Việc tăng mức giảm trừ gia cảnh và đơn giản hóa biểu thuế thể hiện sự đối xử bình đẳng với mọi người nộp thuế.</t>
  </si>
  <si>
    <t>Theo phương án mới, tôi chỉ phải đóng thuế thấp hơn so với trước đây. Điều này cho thấy mức thuế được tính toán một cách công bằng và phù hợp với thu nhập của tôi.</t>
  </si>
  <si>
    <t>Đây là khoản tiền nhỏ trong tổng chi tiêu hàng tháng của gia đình tôi, nhưng tôi tin rằng nó sẽ được sử dụng hiệu quả để cải thiện dịch vụ công. Việc tăng giảm trừ gia cảnh cũng giúp nâng cao chất lượng cuộc sống cho người dân.</t>
  </si>
  <si>
    <t>Nhà nước đã giải thích rõ ràng về mục tiêu và lý do của việc sửa đổi thuế lần này, điều này làm tăng niềm tin của tôi vào sự minh bạch trong quá trình thực hiện chính sách.</t>
  </si>
  <si>
    <t>Tôi ủng hộ và tuân thủ chính sách mới vì nó đơn giản hóa quy trình khai báo thuế và giảm gánh nặng về mặt tài chính cho tôi. Nó thể hiện sự công bằng trong việc đánh giá mức thu nhập của người dân.</t>
  </si>
  <si>
    <t>Thuế TNCN đã được đơn giản hóa, giảm trừ gia cảnh cao hơn và các quy định quản lý thuế hiện nay đã khắc phục một số điểm yếu trước đây.</t>
  </si>
  <si>
    <t>Cơ quan thuế có công nghệ tiên tiến để phát hiện hành vi gian lận hoặc trốn thuế, đồng thời xử lý nghiêm minh các trường hợp vi phạm.</t>
  </si>
  <si>
    <t>Thủ tục khai báo thuế và quy trình làm việc với cơ quan thuế đã đơn giản hơn so với trước đây, giúp người dân dễ dàng hơn trong việc thực hiện nghĩa vụ thuế.</t>
  </si>
  <si>
    <t>Biểu thuế mới có ít bậc hơn, giảm độ phức tạp và dễ hiểu hơn, giúp người nộp thuế dễ dàng tính toán và thực hiện.</t>
  </si>
  <si>
    <t>Việc giảm trừ gia cảnh cao và số bậc thuế đơn giản hơn mang lại cảm giác công bằng khi đối xử với mọi người nộp thuế.</t>
  </si>
  <si>
    <t>Nhìn chung, mức thuế tôi phải đóng là hợp lý so với thu nhập hiện tại của tôi, do giảm trừ gia cảnh cao hơn trước đây.</t>
  </si>
  <si>
    <t>Thuê được sử dụng cho các dịch vụ công như y tế và đường xá có thể cải thiện chất lượng cuộc sống của người dân, tạo niềm tin vào việc sử dụng hiệu quả nguồn thu thuế.</t>
  </si>
  <si>
    <t>Nhà nước đã giải thích rõ ràng về mục tiêu và lý do của việc sửa đổi thuế lần này, tăng độ minh bạch và tin cậy.</t>
  </si>
  <si>
    <t>Chính sách mới có lợi cho tôi và người dân chung, giúp giảm gánh nặng tài chính và tăng niềm tin vào hệ thống thuế hiện tại.</t>
  </si>
  <si>
    <t xml:space="preserve">Nhà nước đã tăng cường quản lý thuế và công nghệ hiện đại nên khả năng phát hiện gian lận cao. </t>
  </si>
  <si>
    <t>Cơ quan thuế có đủ nhân lực và công nghệ để xử lý các vụ việc trốn thuế hiệu quả.</t>
  </si>
  <si>
    <t>Thủ tục khai báo thuế đơn giản hơn, dễ thực hiện. Quy trình làm việc với cơ quan thuế thuận lợi hơn so với trước đây.</t>
  </si>
  <si>
    <t>Các bậc thuế mới đơn giản, dễ hiểu và dễ áp dụng hơn so với biểu thuế cũ.</t>
  </si>
  <si>
    <t xml:space="preserve">Tôi tin Nhà nước sẽ thực thi chính sách một cách công bằng và khách quan. </t>
  </si>
  <si>
    <t>Thuế mới tôi phải đóng phù hợp với mức thu nhập của mình, thấy công bằng.</t>
  </si>
  <si>
    <t xml:space="preserve">Tôi tin số tiền thuế đóng sẽ được sử dụng hiệu quả để cải thiện dịch vụ công. </t>
  </si>
  <si>
    <t>Nhà nước đã giải thích rõ ràng mục tiêu và lý do của việc cải cách thuế, tạo sự minh bạch.</t>
  </si>
  <si>
    <t xml:space="preserve">Sau khi xem xét các quyền lợi và nghĩa vụ, tôi ủng hộ và sẽ tuân thủ chính sách mới. </t>
  </si>
  <si>
    <t>Hiện nay, với sự phát triển của công nghệ và hệ thống quản lý thuế, tôi tin rằng hành vi gian lận hoặc trốn thuế sẽ khó xảy ra hơn. Tuy nhiên, việc thực thi vẫn phụ thuộc vào hiệu quả của cơ quan chức năng.</t>
  </si>
  <si>
    <t>Nhà nước đã đầu tư công nghệ và nguồn lực để phát hiện các hành vi trốn thuế nên khả năng xử lý nghiêm là có thật. Tuy nhiên, cần thời gian kiểm chứng</t>
  </si>
  <si>
    <t>Việc đơn giản hóa quy trình làm việc với cơ quan thuế và khai báo thuế giúp tiết kiệm thời gian hơn so với trước đây.</t>
  </si>
  <si>
    <t>Các bậc thuế mới rõ ràng, dễ hiểu hơn khiến quá trình tính thuế đơn giản hóa đáng kể. Điều này cũng thuận lợi cho việc tuân thủ pháp luật.</t>
  </si>
  <si>
    <t>Tôi tin rằng cơ quan thuế sẽ thực thi chính sách một cách công bằng và khách quan, nhưng còn phụ thuộc vào sự minh bạch trong quá trình làm việc của họ</t>
  </si>
  <si>
    <t>Thuế mới giảm đáng kể so với trước đây nhờ mức giảm trừ gia cảnh tăng, do đó tôi cảm thấy mức thuế này công bằng hơn.</t>
  </si>
  <si>
    <t>Nhà nước đã giải thích rõ mục đích của việc sửa đổi thuế và tôi tin rằng số tiền thuế đóng sẽ được sử dụng hiệu quả</t>
  </si>
  <si>
    <t>Như đã đề cập, cơ quan thuế đã minh bạch trong việc thông báo về chính sách mới và mục tiêu của nó.</t>
  </si>
  <si>
    <t>Sau khi xem xét các quyền lợi và nghĩa vụ, tôi ủng hộ và tuân thủ chính sách mới vì mức thuế giảm đáng kể và quy trình đơn giản hơn.</t>
  </si>
  <si>
    <t>Hiện nay, các quy định quản lý thuế có nhiều cải tiến và công nghệ hóa, tuy nhiên vẫn còn những trường hợp gian lận khó phát hiện.</t>
  </si>
  <si>
    <t>Nhà nước đã đầu tư vào hệ thống thông tin thuế, tuy nhiên việc phát hiện trốn thuế hoàn toàn phụ thuộc vào hiệu quả thực thi.</t>
  </si>
  <si>
    <t>So với trước đây, quy trình khai báo và làm việc với cơ quan thuế đơn giản hơn nhiều. Việc này giúp tôi tiết kiệm thời gian.</t>
  </si>
  <si>
    <t>Biểu thuế mới có ít bậc hơn, dễ hiểu hơn so với trước đây. Đây là một cải tiến đáng kể.</t>
  </si>
  <si>
    <t>Tôi tin rằng Nhà nước sẽ thực thi chính sách công bằng cho mọi người nộp thuế. Tuy nhiên, việc này phụ thuộc vào hiệu quả quản lý và giám sát.</t>
  </si>
  <si>
    <t>Theo phương án mới, mức thuế tôi phải đóng là hợp lý so với thu nhập của mình. Đây là một cải tiến đáng kể về mặt công bằng.</t>
  </si>
  <si>
    <t>Tiền thuế tôi đóng sẽ được sử dụng hiệu quả để nâng cao dịch vụ công, điều này làm tăng niềm tin của tôi vào chính sách.</t>
  </si>
  <si>
    <t>Nhà nước đã giải thích rõ ràng về lý do và mục tiêu của việc sửa đổi thuế. Điều này giúp tôi hiểu hơn về chính sách mới.</t>
  </si>
  <si>
    <t>Dựa trên các lợi ích từ chính sách mới như giảm trừ gia cảnh, đơn giản hóa biểu thuế, tôi ủng hộ và tuân thủ chính sách mới.</t>
  </si>
  <si>
    <t>Điểm 9. Mặc dù có quy định quản lý thuế, nhưng thực tế việc phát hiện và xử lý hành vi gian lận hoặc trốn thuế vẫn còn nhiều khó khăn.</t>
  </si>
  <si>
    <t>Điểm 8. Nhà nước đã đầu tư công nghệ để hỗ trợ việc quản lý thuế, nhưng hiệu quả thực tế có thể chưa cao do nhiều yếu tố khác.</t>
  </si>
  <si>
    <t>Điểm 9. Thủ tục khai báo thuế và quy trình làm việc với cơ quan thuế đã đơn giản hơn so với trước đây, nhưng vẫn còn một số điểm khó khăn.</t>
  </si>
  <si>
    <t>Điểm 10. Cách tính thuế và các bậc thuế mới dễ hiểu và thực hiện thuận tiện hơn rất nhiều so với quy định cũ.</t>
  </si>
  <si>
    <t>Điểm 9. Tôi tin Nhà nước sẽ thực thi chính sách một cách khách quan, công bằng nhưng vẫn có sự nghiêng về lợi ích cho người dân.</t>
  </si>
  <si>
    <t>Điểm 8. Mức thuế mới là hợp lý đối với thu nhập của tôi và so với quy định cũ, tôi tiết kiệm được một khoản tiền đáng kể.</t>
  </si>
  <si>
    <t>Điểm 9. Tôi tin số tiền thuế đóng sẽ được sử dụng hiệu quả để cải thiện dịch vụ công cho cộng đồng.</t>
  </si>
  <si>
    <t>Điểm 10. Nhà nước đã giải thích rõ ràng về mục tiêu của việc sửa đổi chính sách thuế lần này, mặc dù vẫn còn nhiều ý kiến trái chiều.</t>
  </si>
  <si>
    <t>Điểm 9. Dù quy định mới có lợi cho tôi nhưng vẫn cần có thêm thời gian để quen với các thay đổi.</t>
  </si>
  <si>
    <t>Nhà nước và cơ quan thuế đã thực hiện nhiều biện pháp quản lý thuế hiệu quả, nhưng vẫn cần cải thiện trong việc phát hiện trốn thuế.</t>
  </si>
  <si>
    <t>Đã có sự đầu tư vào công nghệ để hỗ trợ việc kiểm soát thuế, tuy nhiên, khả năng xử lý các hành vi gian lận vẫn còn hạn chế.</t>
  </si>
  <si>
    <t>So với trước đây, quá trình khai báo và làm việc với cơ quan thuế đã đơn giản hơn nhiều, nhưng vẫn cần cải thiện thêm về mặt tiện ích.</t>
  </si>
  <si>
    <t>Các bước tính thuế mới đơn giản hóa đáng kể so với trước đây, dễ hiểu và thực hiện nhanh chóng hơn rất nhiều.</t>
  </si>
  <si>
    <t>Tín nhiệm đối với cơ quan thuế tăng do giảm trừ gia cảnh và mức thuế được điều chỉnh công bằng hơn.</t>
  </si>
  <si>
    <t>Mức thuế mới đã phù hợp với thu nhập của tôi, cảm thấy nó là một sự công bằng đáng kể.</t>
  </si>
  <si>
    <t>Hiểu rằng số tiền thuế đóng sẽ được sử dụng hiệu quả cho các dịch vụ công, tạo niềm tin về việc đầu tư vào tương lai.</t>
  </si>
  <si>
    <t>Đã có sự giải thích rõ ràng về mục tiêu cải cách thuế, nhưng vẫn cần thêm minh bạch trong quá trình thực thi.</t>
  </si>
  <si>
    <t>Chắc chắn ủng hộ chính sách mới vì giảm gánh nặng tài chính và cảm thấy công bằng hơn với mức thuế mới.</t>
  </si>
  <si>
    <t>Do thu nhập thấp, tôi không thấy cần thiết phải gian lận hoặc trốn thuế. Thuế mới đã đơn giản hóa nên việc phát hiện vi phạm cũng dễ dàng hơn.</t>
  </si>
  <si>
    <t>Cơ quan thuế có nhiều công nghệ hiện đại như phần mềm khai thuế trực tuyến, giúp giám sát hiệu quả hơn</t>
  </si>
  <si>
    <t>Việc giảm trừ gia cảnh cao và đơn giản hóa quy trình khai thuế đã làm thủ tục trở nên dễ dàng hơn.</t>
  </si>
  <si>
    <t>So với trước đây, mức thuế mới đã rõ ràng và dễ hiểu hơn, không còn nhiều bậc thuế phức tạp</t>
  </si>
  <si>
    <t>Tôi tin rằng cơ quan thuế sẽ thực thi công bằng vì mức giảm trừ gia cảnh cao đã đảm bảo tôi không phải đóng thuế.</t>
  </si>
  <si>
    <t>Tôi tin rằng số tiền đóng thuế sẽ được sử dụng để cải thiện các dịch vụ công, như y tế và giao thông.</t>
  </si>
  <si>
    <t>Cơ quan thuế đã giải thích rõ về mục tiêu của chính sách mới, nhưng tôi vẫn mong muốn có thêm thông tin</t>
  </si>
  <si>
    <t>Mức giảm trừ gia cảnh cao và các thay đổi thuận lợi đã khiến tôi đồng ý và tuân thủ chính sách mới.</t>
  </si>
  <si>
    <t>Chính phủ có nhiều biện pháp quản lý thuế, nhưng vẫn còn khả năng gian lận. Tuy nhiên, việc giảm trừ gia cảnh tăng lên đã giúp giảm bớt tình trạng trốn thuế.</t>
  </si>
  <si>
    <t>Cơ quan thuế có thể phát hiện và xử lý các hành vi trốn thuế tốt hơn nhờ công nghệ tiên tiến. Tuy nhiên, việc này còn phụ thuộc vào sự nỗ lực của cơ quan quản lý.</t>
  </si>
  <si>
    <t>Quy trình khai thuế đơn giản hơn, nhưng vẫn có thể gây khó khăn cho người dân không am hiểu về luật thuế.</t>
  </si>
  <si>
    <t>Biểu thuế mới đơn giản và dễ hiểu hơn so với trước đây. Việc giảm từ 7 bậc xuống còn 5 đã giúp việc tính toán thuận lợi hơn.</t>
  </si>
  <si>
    <t>Tôi tin rằng cơ quan thuế sẽ thực thi chính sách một cách công bằng, nhưng vẫn cần sự giám sát và kiểm soát chặt chẽ để đảm bảo công bằng.</t>
  </si>
  <si>
    <t>Mức thuế mới giảm đáng kể so với trước đây, giúp tôi tiết kiệm được tiền. Điều này thể hiện tính công bằng trong việc đánh giá thu nhập của người dân.</t>
  </si>
  <si>
    <t>Việc sử dụng số tiền đóng thuế vào các dịch vụ công sẽ cải thiện chất lượng cuộc sống của chúng tôi, nhưng hiệu quả sử dụng nguồn vốn còn phụ thuộc vào quản lý.</t>
  </si>
  <si>
    <t>Nhà nước đã giải thích rõ ràng về mục tiêu và lý do sửa đổi thuế. Tuy nhiên, việc thực hiện cải cách vẫn cần có thêm thông tin chi tiết hơn.</t>
  </si>
  <si>
    <t>Tôi ủng hộ chính sách mới vì nó giúp tôi tiết kiệm được tiền và làm cho quy trình khai báo thuế đơn giản hơn. Tôi cam kết tuân thủ các quy định mới.</t>
  </si>
  <si>
    <t>Hiện nay, với sự phát triển của công nghệ và hệ thống quản lý thuế, tôi tin rằng hành vi gian lận hoặc trốn thuế sẽ được phát hiện dễ dàng. Tuy nhiên, do chưa có nhiều thông tin cụ thể về khả năng thực thi của cơ quan thuế, nên điểm số không cao.</t>
  </si>
  <si>
    <t>Nhà nước và cơ quan thuế đã đầu tư mạnh vào công nghệ để cải thiện hệ thống quản lý thuế. Tuy vậy, do chưa có nhiều thông tin cụ thể về khả năng thực thi của các quy định mới, nên điểm số không cao.</t>
  </si>
  <si>
    <t>Quy trình khai báo và làm việc với cơ quan thuế đã đơn giản hơn so với trước đây. Việc giảm số bậc thuế cũng giúp quá trình tính toán và nộp thuế trở nên thuận tiện hơn.</t>
  </si>
  <si>
    <t>Số bậc thuế giảm từ 7 xuống còn 5, điều này làm cho việc tính toán thuế trở nên dễ dàng hơn. Mức thuế mới cũng phù hợp với thu nhập của tôi, tạo cảm giác thuận tiện.</t>
  </si>
  <si>
    <t>Tôi tin rằng cơ quan thuế sẽ thực thi chính sách một cách công bằng và khách quan, nhưng do chưa có nhiều thông tin cụ thể về thực tế, nên điểm số không cao.</t>
  </si>
  <si>
    <t>Mức giảm trừ gia cảnh mới phù hợp với thu nhập của tôi. Thuế suất mới cũng công bằng và phù hợp với tình hình kinh tế hiện nay.</t>
  </si>
  <si>
    <t>Nhà nước đã sử dụng số tiền thuế được sưu tập để cải thiện các dịch vụ công, nhưng do chưa có nhiều thông tin cụ thể về hiệu quả sử dụng, nên điểm số không cao.</t>
  </si>
  <si>
    <t>Có nhiều thông tin và giải thích về lý do và mục tiêu của việc sửa đổi thuế lần này. Tuy nhiên, do chưa có nhiều thông tin cụ thể về thực tế, nên điểm số không cao.</t>
  </si>
  <si>
    <t>Tôi ủng hộ chính sách mới vì nó đơn giản hóa quy trình và giảm gánh nặng tài chính cho người dân. Việc này sẽ giúp tôi tập trung hơn vào công việc của mình.</t>
  </si>
  <si>
    <t>Việc tăng giảm trừ gia cảnh và đơn giản hóa biểu thuế có thể giúp phát hiện hành vi trốn thuế dễ dàng hơn, nhưng vẫn cần sự giám sát chặt chẽ từ các cơ quan thuế.</t>
  </si>
  <si>
    <t>Nhà nước đã đầu tư công nghệ cho việc quản lý thuế nên khả năng phát hiện và xử lý gian lận có thể tốt hơn, nhưng vẫn cần cải thiện về mặt thực thi pháp luật.</t>
  </si>
  <si>
    <t>So với trước đây, quy trình khai báo thuế trở nên đơn giản hơn, thủ tục thuận tiện hơn cho người nộp thuế</t>
  </si>
  <si>
    <t>Biểu thuế mới có ít bậc hơn và mức giảm trừ gia cảnh rõ ràng hơn, giúp dễ dàng tính toán hơn so với trước đây.</t>
  </si>
  <si>
    <t>Tôi tin rằng Nhà nước sẽ thực thi chính sách một cách công bằng và khách quan, nhưng vẫn có lo ngại về việc quản lý thuế hiệu quả.</t>
  </si>
  <si>
    <t>Lưu ý đến tác động tài chính tích cực từ cải cách thuế, tôi thấy mức thuế mới là hợp lý so với thu nhập của mình.</t>
  </si>
  <si>
    <t>Thuế đóng góp vào việc nâng cao chất lượng dịch vụ công và phát triển cơ sở hạ tầng, tôi tin rằng số tiền đóng sẽ được sử dụng hiệu quả.</t>
  </si>
  <si>
    <t>Tôi đồng ý với cải cách thuế này, nhưng vẫn mong muốn có thêm thông tin chi tiết về mục tiêu chính sách và cách thức thực thi.</t>
  </si>
  <si>
    <t>Tác động tài chính tích cực từ việc giảm thuế đã làm tăng sự ủng hộ đối với chính sách mới. Tôi sẽ tuân thủ theo các quy định.</t>
  </si>
  <si>
    <t>Hiện nay, các quy định quản lý thuế chưa rõ ràng và thiếu công nghệ giám sát hiệu quả, dẫn đến khó phát hiện hành vi gian lận hoặc trốn thuế.</t>
  </si>
  <si>
    <t>Nhà nước và cơ quan thuế có thể không đủ nguồn lực để đầu tư vào công nghệ quản lý thuế hiện đại.</t>
  </si>
  <si>
    <t>Quy trình khai báo thuế đã đơn giản hơn so với trước đây, nhưng vẫn còn nhiều thủ tục rườm rà.</t>
  </si>
  <si>
    <t>Cách tính thuế mới đơn giản hóa các bậc thuế, dễ hiểu và thực hiện hơn, giảm tải cho người dân.</t>
  </si>
  <si>
    <t>Tôi tin rằng Nhà nước sẽ cố gắng công bằng trong việc thực thi chính sách nhưng vẫn có thể gặp khó khăn về mặt quản lý.</t>
  </si>
  <si>
    <t>Mức thuế mới giảm đáng kể so với trước đây, do đó tôi cảm thấy công bằng và hợp lý hơn.</t>
  </si>
  <si>
    <t>Tôi tin rằng số tiền thuế đóng sẽ được sử dụng hiệu quả để cải thiện chất lượng cuộc sống của người dân.</t>
  </si>
  <si>
    <t>Mặc dù đã có giải thích về mục tiêu sửa đổi, nhưng tôi mong muốn Nhà nước cung cấp thêm thông tin chi tiết hơn về cách sử dụng số tiền thuế.</t>
  </si>
  <si>
    <t>Sau khi xem xét các quyền lợi và nghĩa vụ, tôi ủng hộ chính sách mới vì nó giảm bớt gánh nặng thuế cho người dân như tôi.</t>
  </si>
  <si>
    <t>Công nghệ hiện đại của Nhà nước và cơ quan thuế có thể phát hiện gian lận, nhưng do không phải đóng thuế nên tôi ít lo lắng về việc này.</t>
  </si>
  <si>
    <t>Nhà nước và cơ quan thuế đã cải thiện đáng kể khả năng quản lý, tuy nhiên, sự đơn giản hóa trong chính sách mới làm giảm đi phần nào niềm tin của tôi về việc phát hiện gian lận.</t>
  </si>
  <si>
    <t>Thủ tục khai báo thuế và quy trình làm việc với cơ quan thuế trở nên đơn giản hơn, giúp tiết kiệm thời gian và công sức cho người dân.</t>
  </si>
  <si>
    <t>Các bậc thuế và cách tính thuế đã được đơn giản hóa, dễ hiểu và thực hiện hơn so với trước đây.</t>
  </si>
  <si>
    <t>Tôi tin rằng cơ quan thuế sẽ thực thi chính sách một cách khách quan, nhưng do không phải đóng thuế nên mức độ tin tưởng này giảm đi.</t>
  </si>
  <si>
    <t>Thu nhập của tôi nằm trong mức giảm trừ gia cảnh cao hơn so với thu nhập nên tôi thấy việc không phải đóng thuế là công bằng.</t>
  </si>
  <si>
    <t>Tôi tin rằng số tiền thuế mà tôi không cần đóng sẽ được sử dụng hiệu quả để cải thiện dịch vụ công cho xã hội.</t>
  </si>
  <si>
    <t>Nhà nước đã giải thích rõ ràng về mục tiêu của chính sách mới, mặc dù do không phải đóng thuế nên mức độ tin tưởng này giảm đi một chút.</t>
  </si>
  <si>
    <t>Quy định quản lý thuế hiện nay có nhiều biện pháp phát hiện hành vi gian lận, nhưng vẫn còn thiếu kiểm soát đối với các hình thức trốn thuế thông minh.</t>
  </si>
  <si>
    <t>Cơ quan thuế đã đầu tư công nghệ để giám sát và xử lý nghiêm các trường hợp trốn thuế, tăng cường hiệu quả quản lý.</t>
  </si>
  <si>
    <t>Thủ tục khai báo thuế đơn giản hơn với mức giảm trừ gia cảnh cao hơn, nhưng vẫn cần cải thiện trong việc cung cấp hỗ trợ trực tuyến.</t>
  </si>
  <si>
    <t>Bậc thuế đơn giản hóa làm tính toán thuế dễ dàng hơn và rõ ràng hơn so với trước đây, giảm độ phức tạp cho người dân.</t>
  </si>
  <si>
    <t>Tôi tin Nhà nước sẽ thực thi chính sách một cách công bằng, nhưng vẫn có lo ngại về khả năng giám sát toàn diện.</t>
  </si>
  <si>
    <t>Mức thuế mới được giảm đáng kể so với trước đây, tạo cảm giác công bằng và hợp lý đối với thu nhập của tôi.</t>
  </si>
  <si>
    <t>Thuế đóng góp vào việc cải thiện dịch vụ công là điều quan trọng, nhưng hiệu quả sử dụng nguồn tài chính vẫn cần giám sát chặt chẽ.</t>
  </si>
  <si>
    <t>Nhà nước đã giải thích rõ về mục tiêu của lần sửa đổi này, tạo niềm tin cho người dân về quyết định này.</t>
  </si>
  <si>
    <t>Tôi ủng hộ chính sách mới vì nó giảm gánh nặng thuế và mang lại lợi ích thực tế cho người dân như tôi.</t>
  </si>
  <si>
    <t>Dù có công nghệ hỗ trợ, tôi vẫn nghi ngờ khả năng phát hiện trốn thuế hiệu quả vì quy trình quản lý thuế vẫn phức tạp.</t>
  </si>
  <si>
    <t>Cơ quan thuế đã cải thiện nhưng vẫn cần hơn nữa để đảm bảo mọi trường hợp gian lận đều bị phát hiện.</t>
  </si>
  <si>
    <t>Quy trình khai báo dễ dàng hơn và sử dụng công nghệ, tuy nhiên việc tính toán thuế vẫn khá phức tạp đối với người không am hiểu.</t>
  </si>
  <si>
    <t>Biểu thuế đơn giản nhưng tôi còn phải học hỏi để làm quen với các bậc thuế mới.</t>
  </si>
  <si>
    <t>Tôi tin rằng nhà nước sẽ công bằng trong việc thực thi chính sách, nhưng vẫn có sự nghi ngờ về khả năng kiểm soát gian lận.</t>
  </si>
  <si>
    <t>Nhìn chung mức thuế mới là phù hợp với thu nhập của tôi, giảm gánh nặng tài chính</t>
  </si>
  <si>
    <t>Thuế được sử dụng để cải thiện dịch vụ công nên tôi thấy việc đóng góp này quan trọng.</t>
  </si>
  <si>
    <t>Nhà nước đã giải thích rõ về mục tiêu và lý do sửa đổi thuế, tăng niềm tin</t>
  </si>
  <si>
    <t>Chính sách mới giảm gánh nặng tài chính cho tôi nên tôi ủng hộ và tuân thủ.</t>
  </si>
  <si>
    <t>Dù các quy định quản lý thuế hiện nay đã được cải thiện, nhưng với việc giảm trừ gia cảnh tăng mạnh và số bậc thuế đơn giản hơn, tôi tin rằng hành vi gian lận hoặc trốn thuế sẽ dễ dàng bị phát hiện.</t>
  </si>
  <si>
    <t>Ngoại lệ về thuế thu nhập cá nhân đã được cải thiện đáng kể, với mức giảm trừ gia cảnh và số bậc thuế đơn giản hơn, do đó tôi tin rằng cơ quan thuế có đủ khả năng phát hiện và xử lý nghiêm các hành vi trốn thuế.</t>
  </si>
  <si>
    <t>Đơn giản hóa quy trình làm việc với cơ quan thuế giúp tiết kiệm thời gian và công sức, thủ tục khai báo thuế trở nên đơn giản hơn so với trước đây.</t>
  </si>
  <si>
    <t>Ngưỡng chịu thuế và bậc thuế mới đều dễ hiểu và dễ thực hiện hơn, do đó tôi thấy cách tính thuế theo phương án mới đơn giản và tiện lợi.</t>
  </si>
  <si>
    <t>Tôi tin rằng Nhà nước sẽ thực thi chính sách một cách khách quan, công tâm và đối xử bình đẳng với mọi người nộp thuế.</t>
  </si>
  <si>
    <t>Mức thuế mới phù hợp với thu nhập của tôi, do đó tôi thấy mức thuế này là công bằng.</t>
  </si>
  <si>
    <t>Tôi tin rằng số tiền thuế đóng sẽ được sử dụng hiệu quả để cải thiện dịch vụ công như y tế và đường xá.</t>
  </si>
  <si>
    <t>Nhà nước đã giải thích rõ ràng về lý do và mục tiêu của việc sửa đổi thuế, điều này làm tăng niềm tin của tôi vào chính sách mới.</t>
  </si>
  <si>
    <t>Sau khi xem xét các quyền lợi và nghĩa vụ theo chính sách mới, tôi ủng hộ và sẽ tuân thủ nó vì những cải tiến về mặt thủ tục, mức thuế công bằng và mục tiêu của chính sách.</t>
  </si>
  <si>
    <t>Dù có công nghệ và khả năng phát hiện, nhưng do tôi không làm phi chính thức nên không thấy liên quan.</t>
  </si>
  <si>
    <t>Công nghệ phát triển giúp xử lý nhanh hơn, nhưng tôi không thường xuyên tương tác với cơ quan thuế.</t>
  </si>
  <si>
    <t>Quy trình làm việc đơn giản hơn và tiện lợi, đặc biệt là giảm trừ gia cảnh.</t>
  </si>
  <si>
    <t>Bậc thuế đơn giản, dễ hiểu nhưng tôi không thường xuyên tính toán chi tiết.</t>
  </si>
  <si>
    <t>Niềm tin vào cơ quan thuế vẫn ổn định, chưa có sự thay đổi đáng kể trong quản lý.</t>
  </si>
  <si>
    <t>Thuế giảm và mức giảm trừ gia cảnh tăng nên cảm thấy hợp lý hơn so với trước đây</t>
  </si>
  <si>
    <t>Số tiền thuế tôi đóng sẽ được sử dụng để cải thiện dịch vụ công, nhưng còn phụ thuộc vào hiệu quả quản lý.</t>
  </si>
  <si>
    <t>Nhìn chung Nhà nước đã giải thích rõ ràng mục tiêu của chính sách mới, nhưng vẫn có sự nghi ngờ về hiệu quả thực hiện</t>
  </si>
  <si>
    <t>Chính sách mới giúp tôi tiết kiệm được chi phí thuế nên sẽ ủng hộ và tuân thủ.</t>
  </si>
  <si>
    <t>Hiện nay, việc quản lý thuế được cải thiện đáng kể với công nghệ tiên tiến. Tuy nhiên, do tôi không trực tiếp làm thủ tục khai thuế nên vẫn có phần lo ngại về khả năng phát hiện gian lận.</t>
  </si>
  <si>
    <t>Cơ quan thuế đã đầu tư mạnh vào công nghệ, cho thấy họ có khả năng kiểm soát tốt hơn. Tuy nhiên, tôi không thể đánh giá cao nhất vì vẫn lo ngại về thực thi.</t>
  </si>
  <si>
    <t>So với trước đây, quy trình khai thuế trở nên đơn giản hơn nhiều. Tôi không cần phải điền quá nhiều thông tin và thủ tục cũng nhanh chóng hơn.</t>
  </si>
  <si>
    <t>Các bậc thuế mới rõ ràng hơn và dễ dàng thực hiện, giúp tôi hiểu rõ hơn về cách tính thuế của mình. Đây là một cải tiến rất lớn.</t>
  </si>
  <si>
    <t>Tôi tin rằng Nhà nước sẽ công tâm khi áp dụng chính sách này. Tuy nhiên, do không có nhiều thông tin cụ thể về cách thực thi nên vẫn còn một chút hoài nghi.</t>
  </si>
  <si>
    <t>Thuế mới được giảm đáng kể và tôi không phải đóng thuế, điều này khiến tôi cảm thấy công bằng. Tuy nhiên, tôi cũng nhận thức rằng mức thu nhập của mình khá thấp nên việc đóng thuế ít hơn không tạo ra sự thay đổi lớn.</t>
  </si>
  <si>
    <t>Với mức giảm trừ gia cảnh cao và miễn thuế, số tiền thuế tôi đóng sẽ được sử dụng hiệu quả. Tuy nhiên, tôi vẫn mong muốn có thêm thông tin về cách sử dụng nguồn thu thuế này.</t>
  </si>
  <si>
    <t>Nhà nước đã giải thích rõ ràng về mục tiêu của việc sửa đổi chính sách thuế, tuy nhiên, tôi hy vọng sẽ có thêm thông tin chi tiết hơn về cách quản lý và sử dụng nguồn thu thuế.</t>
  </si>
  <si>
    <t>Tôi ủng hộ chính sách mới vì nó giúp giảm gánh nặng tài chính cho người dân như tôi. Tuy nhiên, việc cải thiện công nghệ quản lý thuế và tăng cường sự minh bạch vẫn cần được thực hiện.</t>
  </si>
  <si>
    <t>Do mức giảm trừ gia cảnh cao hơn thu nhập, tôi không nghĩ hành vi gian lận hoặc trốn thuế sẽ bị phát hiện dễ dàng.</t>
  </si>
  <si>
    <t>Trong bối cảnh công nghệ ngày càng phát triển, khả năng của cơ quan thuế trong việc phát hiện và xử lý sai phạm có thể tăng lên nhưng không phải là điều chắc chắn.</t>
  </si>
  <si>
    <t>So với trước đây, quy trình làm việc với cơ quan thuế đã đơn giản hơn khi giảm số bậc thuế từ 7 xuống còn 5 và mức giảm trừ gia cảnh tăng lên.</t>
  </si>
  <si>
    <t>Cách tính thuế mới đơn giản hơn với ít bậc thuế, dễ hiểu và thực hiện hơn so với trước đây.</t>
  </si>
  <si>
    <t>Tôi tin rằng cơ quan thuế sẽ thực thi chính sách một cách khách quan vì mức giảm trừ gia cảnh cao đã giúp tôi không phải đóng thuế.</t>
  </si>
  <si>
    <t>Mức thuế mới được điều chỉnh phù hợp với thu nhập của tôi, cho thấy sự công bằng trong việc phân bổ gánh nặng thuế</t>
  </si>
  <si>
    <t>Thuế mà tôi đóng sẽ được sử dụng để cải thiện các dịch vụ công như y tế và đường xá, điều này làm tăng niềm tin của tôi.</t>
  </si>
  <si>
    <t>Nhà nước đã giải thích rõ ràng về mục tiêu của việc sửa đổi thuế nhưng không thể đánh giá hoàn toàn công bằng chỉ thông qua một chính sách</t>
  </si>
  <si>
    <t>Dù chưa hoàn toàn hiểu rõ mục đích, tôi vẫn ủng hộ và tuân thủ chính sách mới vì nó mang lại lợi ích cho tôi.</t>
  </si>
  <si>
    <t>Hiện nay, mặc dù không phải đóng thuế nhưng tôi vẫn tin rằng cơ quan thuế có đủ khả năng phát hiện hành vi trốn thuế do mức giảm trừ gia cảnh cao.</t>
  </si>
  <si>
    <t>Cơ quan thuế đã và đang sử dụng nhiều công nghệ để quản lý, theo dõi các giao dịch tài chính nên việc phát hiện trốn thuế là có thể.</t>
  </si>
  <si>
    <t>So với trước đây, quy trình khai báo thuế trở nên đơn giản hơn do giảm bớt các bước và thủ tục phức tạp.</t>
  </si>
  <si>
    <t>Bậc thuế mới đơn giản hóa quá trình tính toán, dễ hiểu hơn so với biểu thuế cũ.</t>
  </si>
  <si>
    <t>Tôi tin rằng cơ quan thuế sẽ thực thi chính sách công bằng và khách quan cho mọi người nộp thuế.</t>
  </si>
  <si>
    <t>Tôi tin rằng số tiền thuế mình đóng sẽ được sử dụng hiệu quả để cải thiện các dịch vụ công.</t>
  </si>
  <si>
    <t>Nhà nước đã giải thích rõ ràng về mục tiêu của việc sửa đổi luật thuế, khiến tôi cảm thấy hài lòng hơn.</t>
  </si>
  <si>
    <t>Dù không phải đóng thuế nhưng với mức giảm trừ gia cảnh cao, tôi sẽ ủng hộ và tuân thủ chính sách mới.</t>
  </si>
  <si>
    <t>Dù tôi hiểu rằng cơ quan thuế có công nghệ phát hiện gian lận, nhưng với mức thu nhập của tôi, không có động cơ trốn thuế. Do đó, tôi tin rằng hành vi gian lận sẽ khó bị phát hiện.</t>
  </si>
  <si>
    <t>Nếu thực tế là Nhà nước đã tăng giảm trừ gia cảnh và đơn giản hóa biểu thuế, việc xử lý nghiêm các hành vi trốn thuế có thể không hiệu quả.</t>
  </si>
  <si>
    <t>Quy trình khai báo thuế trở nên đơn giản hơn, đặc biệt là với mức giảm trừ gia cảnh cao, giúp tôi dễ dàng làm việc với cơ quan thuế hơn.</t>
  </si>
  <si>
    <t>Biểu thuế đơn giản hơn từ 7 bậc xuống 5 bậc, và do thu nhập của tôi không vượt qua các ngưỡng chịu thuế nên cách tính thuế trở nên rõ ràng hơn đối với tôi.</t>
  </si>
  <si>
    <t>Nhà nước đã tăng giảm trừ gia cảnh cho cá nhân và người phụ thuộc, điều này giúp đảm bảo rằng mức thu nhập tối thiểu không bị đánh thuế, do đó tạo ra sự công bằng.</t>
  </si>
  <si>
    <t>Với mức thu nhập của tôi, các bậc thuế mới có thể coi là hợp lý và phù hợp với nhu cầu tài chính cá nhân của tôi.</t>
  </si>
  <si>
    <t>Tăng giảm trừ gia cảnh cho người phụ thuộc giúp đảm bảo rằng nguồn thu nhập bổ sung không bị đánh thuế, do đó tôi tin rằng số tiền thuế tôi đóng sẽ được sử dụng hiệu quả để cải thiện dịch vụ công.</t>
  </si>
  <si>
    <t>Việc giải thích rõ ràng về mục tiêu của việc sửa đổi thuế lần này đã tăng niềm tin của tôi vào hệ thống thuế mới.</t>
  </si>
  <si>
    <t>Dựa trên các quyền lợi và nghĩa vụ mới, tôi ủng hộ chính sách thuế mới vì nó phù hợp với thu nhập của tôi và đơn giản hóa quy trình khai báo thuế.</t>
  </si>
  <si>
    <t>Dù cơ chế quản lý thuế được cải thiện nhưng với thu nhập ổn định, tôi vẫn tin rằng hành vi gian lận sẽ bị phát hiện và xử lý.</t>
  </si>
  <si>
    <t>Nhà nước có khả năng công nghệ để theo dõi các hoạt động tài chính lớn, do đó việc trốn thuế sẽ khó che giấu.</t>
  </si>
  <si>
    <t>Quy trình khai báo và làm việc với cơ quan thuế trở nên đơn giản hơn, dễ thực hiện hơn trước.</t>
  </si>
  <si>
    <t>Biểu thuế mới đơn giản hóa bậc thuế, giúp tính toán nhanh chóng và minh bạch hơn so với trước đây.</t>
  </si>
  <si>
    <t>Tôi tin rằng cơ quan thuế sẽ công bằng trong việc thực thi chính sách, dù không hoàn toàn chắc chắn do lịch sử quản lý thuế.</t>
  </si>
  <si>
    <t>Như tôi đã tiết kiệm được tiền thuế, mức giảm trừ gia cảnh mới là hợp lý với thu nhập của tôi.</t>
  </si>
  <si>
    <t>Dù không rõ ràng về chi tiêu cụ thể, nhưng tôi tin rằng số tiền đóng thuế sẽ được sử dụng hiệu quả cho mục đích công cộng.</t>
  </si>
  <si>
    <t>Cơ quan thuế đã giải thích rõ lý do và mục tiêu của chính sách mới thông qua các kênh truyền thông.</t>
  </si>
  <si>
    <t>Tôi ủng hộ chính sách mới vì nó đơn giản hóa quy trình, giảm gánh nặng về mặt tài chính cho người dân.</t>
  </si>
  <si>
    <t>Với mức giảm trừ gia cảnh cao, tôi ít lo ngại về việc gian lận trốn thuế. Tuy nhiên, khả năng phát hiện và xử lý nghiêm vẫn cần sự cải thiện.</t>
  </si>
  <si>
    <t>Nhà nước và cơ quan thuế có công nghệ hiện đại, nhưng vấn đề là việc thực thi như thế nào.</t>
  </si>
  <si>
    <t>Quy trình khai báo dễ dàng hơn, thủ tục đơn giản. Tuy nhiên, tôi vẫn mong muốn các quy định được minh bạch hơn.</t>
  </si>
  <si>
    <t>Biểu thuế rõ ràng, dễ hiểu và thực hiện nhanh chóng hơn. Mức thuế mới phù hợp với thu nhập của tôi.</t>
  </si>
  <si>
    <t>Tôi tin rằng nhà nước sẽ công tâm trong việc thực thi chính sách mới. Việc không phải đóng thuế cho thấy sự ưu đãi.</t>
  </si>
  <si>
    <t>Mức thuế mới phù hợp với thu nhập của tôi, tạo nên cảm giác công bằng.</t>
  </si>
  <si>
    <t>Thuế đóng góp vào các dịch vụ công, cải thiện chất lượng cuộc sống. Tôi tin rằng số tiền thuế được sử dụng hiệu quả.</t>
  </si>
  <si>
    <t>Nhà nước đã giải thích rõ ràng về mục tiêu và lý do sửa đổi thuế, tạo niềm tin cho người dân.</t>
  </si>
  <si>
    <t>Sau khi xem xét, tôi ủng hộ chính sách mới. Mức giảm trừ gia cảnh cao giúp cải thiện tình hình tài chính của tôi.</t>
  </si>
  <si>
    <t>Do mức giảm trừ gia cảnh cao hơn thu nhập, tôi không thấy cần thiết phải lo ngại về việc bị phát hiện gian lận thuế.</t>
  </si>
  <si>
    <t>Nhà nước có thể đã nâng cấp công nghệ để giám sát hiệu quả hơn, nhưng tôi vẫn nghi ngờ khả năng thực thi của họ đối với những người khéo léo trốn thuế.</t>
  </si>
  <si>
    <t>Quy trình làm việc với cơ quan thuế trở nên đơn giản hơn khi không còn nhiều thủ tục phức tạp, nhưng vẫn cần cải thiện về độ tiện lợi.</t>
  </si>
  <si>
    <t>Cách tính thuế và các bậc thuế mới dễ hiểu và thực hiện đơn giản hơn, giảm bớt sự phức tạp so với trước đây.</t>
  </si>
  <si>
    <t>Tôi tin rằng Nhà nước sẽ công bằng trong việc thực thi chính sách, nhưng vẫn có sự nghi ngờ về khả năng kiểm soát của họ.</t>
  </si>
  <si>
    <t>Mức thuế mới được giảm đáng kể và tôi thấy đó là một mức hợp lý cho thu nhập hiện tại của mình.</t>
  </si>
  <si>
    <t>Tôi tin rằng tiền thuế đóng góp sẽ được sử dụng hiệu quả để cải thiện các dịch vụ công, nhưng cần có thông tin rõ ràng hơn về cách sử dụng.</t>
  </si>
  <si>
    <t>Nhà nước đã giải thích khá rõ ràng về mục tiêu của việc sửa đổi thuế, tôi thấy đó là một bước tiến tích cực.</t>
  </si>
  <si>
    <t>Mặc dù có một số điểm nghi ngờ, nhưng lợi ích tài chính từ chính sách mới làm tăng sự ủng hộ của tôi đối với nó.</t>
  </si>
  <si>
    <t>Nhà nước và cơ quan thuế có nhiều công cụ để phát hiện hành vi trốn thuế, tuy nhiên mức giảm trừ gia cảnh cao khiến thu nhập của tôi không phải chịu thuế, do đó khả năng bị phát hiện thấp.</t>
  </si>
  <si>
    <t>Công nghệ ngày càng phát triển và cơ quan thuế có thể dễ dàng theo dõi các giao dịch tài chính, nhưng mức giảm trừ gia cảnh cao đã làm cho tôi không phải chịu thuế, do đó khả năng bị phát hiện thấp.</t>
  </si>
  <si>
    <t>Quy trình khai báo và xử lý thuế trở nên đơn giản hơn với việc giảm số bậc thuế, nhưng mức giảm trừ gia cảnh cao khiến tôi không cần phải điền nhiều thông tin về thu nhập.</t>
  </si>
  <si>
    <t>So với trước đây, cách tính và các bậc thuế trở nên đơn giản hơn, dễ hiểu và dễ thực hiện hơn, giúp người dân nắm bắt được rõ ràng hơn.</t>
  </si>
  <si>
    <t>Nhà nước đã thể hiện sự công bằng trong việc áp dụng chính sách mới, giảm trừ gia cảnh cao khiến tôi không phải đóng thuế, do đó tạo ra niềm tin về tính khách quan của cơ quan thuế.</t>
  </si>
  <si>
    <t>Mức thuế hiện tại là công bằng đối với thu nhập của tôi và người dân cùng nhóm, giảm trừ gia cảnh cao đã giúp tôi không phải đóng thuế.</t>
  </si>
  <si>
    <t>Dù mức thuế được giảm nhưng tôi tin rằng số tiền thuế này sẽ được sử dụng hiệu quả để cải thiện các dịch vụ công cho người dân.</t>
  </si>
  <si>
    <t>Nhà nước đã giải thích rõ ràng về mục tiêu và lý do của việc sửa đổi chính sách thuế lần này, tạo ra sự minh bạch và tin tưởng đối với người dân.</t>
  </si>
  <si>
    <t>Tác động tài chính tích cực từ việc giảm trừ gia cảnh cao khiến tôi không phải đóng thuế, đồng thời thủ tục khai báo trở nên đơn giản hơn, do đó tôi ủng hộ và tuân thủ chính sách mới.</t>
  </si>
  <si>
    <t>Nhà nước đã tăng mạnh mức giảm trừ gia cảnh, do đó rủi ro trốn thuế thấp hơn. Tuy nhiên, khả năng phát hiện hành vi gian lận vẫn phụ thuộc vào hiệu suất làm việc của cơ quan thuế.</t>
  </si>
  <si>
    <t>Cơ quan thuế có công nghệ hiện đại nên khả năng phát hiện và xử lý các vấn đề về thuế cao hơn trước đây.</t>
  </si>
  <si>
    <t>Quy trình khai báo thuế đơn giản hơn, thủ tục nhanh chóng. Tuy nhiên, việc giảm trừ gia cảnh phức tạp cần thêm thời gian để làm quen.</t>
  </si>
  <si>
    <t>Biểu thuế đơn giản hóa từ 7 bậc xuống còn 5 bậc, dễ dàng thực hiện hơn so với trước đây.</t>
  </si>
  <si>
    <t>Nhà nước tăng mức giảm trừ gia cảnh và thu nhập chịu thuế thấp nên tôi tin rằng chính sách được áp dụng công bằng.</t>
  </si>
  <si>
    <t>Mức thuế mới đối với thu nhập của tôi là hợp lý, do đó tôi thấy nó công bằng.</t>
  </si>
  <si>
    <t>Thuế đóng góp cho các dịch vụ công như y tế và giao thông nên tôi tin rằng số tiền đóng sẽ được sử dụng hiệu quả.</t>
  </si>
  <si>
    <t>Nhà nước đã giải thích rõ ràng về mục tiêu của việc sửa đổi thuế, do đó tôi cảm thấy các chính sách mới là minh bạch.</t>
  </si>
  <si>
    <t>Sau khi xem xét, tôi ủng hộ và tuân thủ chính sách mới vì lợi ích mà nó mang lại cho tôi và cộng đồng.</t>
  </si>
  <si>
    <t>Dù các quy định quản lý thuế hiện nay đã được cải thiện, nhưng mức giảm trừ gia cảnh cao và không phải đóng thuế vẫn giữ niềm tin rằng hành vi gian lận khó bị phát hiện.</t>
  </si>
  <si>
    <t>Cơ quan thuế có khả năng và công nghệ để phát hiện trốn thuế, nhưng áp dụng các mức giảm trừ gia cảnh cao khiến tôi nghi ngờ về thực thi pháp luật một cách công bằng.</t>
  </si>
  <si>
    <t>Đơn giản hóa quy trình làm việc với cơ quan thuế và tăng giảm trừ gia cảnh giúp quá trình khai báo thuế dễ dàng hơn, nhưng vẫn cần cải thiện nhiều mặt khác.</t>
  </si>
  <si>
    <t>Biểu thuế đơn giản hóa giúp tính toán dễ hiểu hơn so với trước đây, nhưng việc không phải đóng thuế có thể khiến tôi nghi ngờ về sự công bằng trong cách áp dụng.</t>
  </si>
  <si>
    <t>Tôi tin rằng Nhà nước sẽ thực thi chính sách một cách khách quan và công tâm, dù mức giảm trừ gia cảnh cao làm tôi lo ngại về khả năng kiểm soát gian lận.</t>
  </si>
  <si>
    <t>Mức thuế mới đối với thu nhập của tôi là hợp lý, nhưng việc không phải đóng thuế có thể khiến tôi nghi ngờ về sự công bằng trong cách áp dụng.</t>
  </si>
  <si>
    <t>Số tiền thuế được sử dụng hiệu quả để cải thiện dịch vụ công, nhưng mức giảm trừ gia cảnh cao làm tôi lo ngại về khả năng kiểm soát gian lận và công bằng trong cách áp dụng.</t>
  </si>
  <si>
    <t>Nhà nước đã giải thích rõ ràng về mục tiêu của việc sửa đổi thuế, nhưng mức giảm trừ gia cảnh cao làm tôi nghi ngờ về khả năng kiểm soát gian lận và công bằng trong cách áp dụng.</t>
  </si>
  <si>
    <t>Dù các quyền lợi mới có lợi cho tôi, nhưng việc không phải đóng thuế khiến tôi lo ngại về khả năng kiểm soát gian lận và công bằng trong cách áp dụng.</t>
  </si>
  <si>
    <t>Dù không phải đóng thuế, nhưng việc tăng giảm trừ gia cảnh và đơn giản hóa biểu thuế có thể làm giảm khả năng phát hiện hành vi gian lận.</t>
  </si>
  <si>
    <t>Cơ quan thuế đã nâng cao công nghệ quản lý, nhưng vẫn cần cải thiện hơn nữa để đảm bảo không bị trốn thuế hiệu quả.</t>
  </si>
  <si>
    <t>Quy trình khai báo và làm việc với cơ quan thuế trở nên đơn giản hơn với mức giảm trừ gia cảnh cao, nhưng vẫn cần cải thiện về mặt kỹ thuật.</t>
  </si>
  <si>
    <t>Biểu thuế mới rõ ràng hơn so với trước đây, giúp dễ dàng tính toán và thực hiện hơn.</t>
  </si>
  <si>
    <t>Tôi tin rằng Nhà nước sẽ công tâm trong việc áp dụng chính sách vì mức giảm trừ gia cảnh cao đã làm giảm gánh nặng cho người dân.</t>
  </si>
  <si>
    <t>Đối với thu nhập của tôi, mức thuế mới là hợp lý và công bằng so với trước đây.</t>
  </si>
  <si>
    <t>Hiểu rõ mục tiêu cải thiện dịch vụ công từ số tiền thuế đóng góp sẽ làm tăng niềm tin vào Nhà nước.</t>
  </si>
  <si>
    <t>Nhà nước đã giải thích khá chi tiết về lý do và mục tiêu của việc sửa đổi thuế, tạo ra sự minh bạch.</t>
  </si>
  <si>
    <t>Chính sách mới mang lại lợi ích rõ ràng cho tôi, vì vậy tôi ủng hộ và tuân thủ chính sách này.</t>
  </si>
  <si>
    <t>Việc tăng mức giảm trừ gia cảnh và đơn giản hóa biểu thuế có thể làm giảm động lực để gian lận, nhưng vẫn cần sự giám sát chặt chẽ từ các cơ quan chức năng.</t>
  </si>
  <si>
    <t>Nhà nước đã đầu tư vào công nghệ hiện đại giúp phát hiện và xử lý kịp thời các hành vi trốn thuế, tăng cường hiệu quả quản lý.</t>
  </si>
  <si>
    <t>So với trước đây, thủ tục khai báo thuế đơn giản hơn và dễ thực hiện, giảm bớt gian nan cho người dân.</t>
  </si>
  <si>
    <t>Biểu thuế mới có ít bậc hơn, rõ ràng và dễ hiểu, thuận tiện cho việc tính toán và thực hiện</t>
  </si>
  <si>
    <t>Thuế tôi phải đóng theo phương án mới hợp lý so với thu nhập của mình, giảm bớt gánh nặng tài chính.</t>
  </si>
  <si>
    <t>Tiền thuế đóng góp vào các dịch vụ công quan trọng và cần thiết cho cộng đồng</t>
  </si>
  <si>
    <t>Nhà nước đã giải thích rõ ràng về mục tiêu và lý do của việc sửa đổi thuế, tăng thêm sự tin tưởng từ người dân.</t>
  </si>
  <si>
    <t>Tôi ủng hộ chính sách mới vì nó đơn giản hơn và giảm bớt gánh nặng tài chính cho tôi</t>
  </si>
  <si>
    <t>Thuế TNCN được đơn giản hóa, việc phát hiện và xử lý gian lận có thể khó hơn trước đây.</t>
  </si>
  <si>
    <t>Cơ quan thuế đã sử dụng công nghệ tiên tiến để quản lý và giám sát các hoạt động kinh doanh, tăng khả năng phát hiện hành vi trốn thuế.</t>
  </si>
  <si>
    <t>Thủ tục khai báo thuế trở nên đơn giản hơn với mức giảm trừ gia cảnh cao hơn và số bậc thuế ít đi.</t>
  </si>
  <si>
    <t>Cách tính thuế rõ ràng, dễ hiểu hơn so với trước đây, làm cho việc thực hiện các bước trở nên thuận tiện hơn.</t>
  </si>
  <si>
    <t>Nhà nước đã công bố quyết định sửa đổi thuế một cách minh bạch và công bằng, thể hiện sự công tâm trong việc áp dụng chính sách.</t>
  </si>
  <si>
    <t>Mức thuế mới được thiết kế để phù hợp với thu nhập của tôi, cho thấy sự công bằng trong việc phân bổ gánh nặng thuế.</t>
  </si>
  <si>
    <t>Thuê đóng góp vào các dịch vụ công quan trọng như y tế và giao thông, tạo niềm tin về việc sử dụng hiệu quả nguồn lực.</t>
  </si>
  <si>
    <t>Nhà nước đã giải thích rõ ràng mục tiêu của chính sách mới, tạo ra sự minh bạch trong quá trình thực thi</t>
  </si>
  <si>
    <t>Chính sách mới mang lại lợi ích tài chính và thuận tiện cho người dân như tôi, do đó tôi ủng hộ và tuân thủ.</t>
  </si>
  <si>
    <t>Do tôi chưa biết cụ thể về các quy định quản lý thuế mới, nên không chắc chắn liệu hành vi gian lận/trốn thuế sẽ dễ bị phát hiện và xử lý. Tuy nhiên, với sự tiến bộ của công nghệ, khả năng phát hiện có thể tăng lên.</t>
  </si>
  <si>
    <t>Tôi tin rằng Nhà nước đã đầu tư vào các công cụ kỹ thuật để hỗ trợ việc quản lý thuế, nhưng không biết mức độ hiệu quả cụ thể. Điều này phụ thuộc vào cách triển khai và nguồn lực.</t>
  </si>
  <si>
    <t>Việc giảm số bậc thuế và tăng mức giảm trừ gia cảnh làm cho quy trình đơn giản hơn. Tuy nhiên, tôi vẫn cần thời gian để quen với các thay đổi mới.</t>
  </si>
  <si>
    <t>Các bước tính thuế mới dễ hiểu và thực hiện đơn giản hơn. Sự cải cách này giúp giảm rào cản cho người dân trong việc nộp thuế.</t>
  </si>
  <si>
    <t>Tôi tin rằng Nhà nước sẽ công tâm khi thực thi chính sách, nhưng vẫn cần thời gian để xem xét hiệu quả của sự cải cách. Sự minh bạch trong quá trình triển khai là quan trọng.</t>
  </si>
  <si>
    <t>Nhìn chung mức thuế mới công bằng với thu nhập hiện tại của tôi, giảm gánh nặng về tài chính. Điều này thể hiện sự công bằng đối với người dân có thu nhập như tôi.</t>
  </si>
  <si>
    <t>Tôi tin rằng số tiền thuế đóng sẽ được sử dụng hiệu quả để cải thiện dịch vụ công, mặc dù không biết chi tiết cụ thể về cách quản lý nguồn lực này. Tuy nhiên, điều này có tác động tích cực đến Niềm tin của tôi.</t>
  </si>
  <si>
    <t>Nhà nước đã giải thích rõ ràng về mục tiêu cải cách thuế và các quyền lợi/niềm vụ mới, nhưng vẫn cần thêm thông tin cụ thể hơn về cách thực hiện để tôi có cái nhìn đầy đủ.</t>
  </si>
  <si>
    <t>Tôi ủng hộ chính sách mới vì nó giảm gánh nặng tài chính cho người dân và đơn giản hóa quy trình làm việc với cơ quan thuế. Tuy nhiên, vẫn cần thời gian để quen với các thay đổi.</t>
  </si>
  <si>
    <t>Tôi đồng ý với điểm số này vì quy định quản lý thuế hiện tại có nhiều biện pháp phát hiện trốn thuế, như камер giám trực tuyến và hệ thống thông tin liên kết giữa các cơ quan</t>
  </si>
  <si>
    <t>Nhà nước đã đầu tư công nghệ để xử lý dữ liệu thuế hiệu quả hơn, do đó khả năng phát hiện trốn thuế tăng lên</t>
  </si>
  <si>
    <t>Thủ tục khai báo và làm việc với cơ quan thuế trở nên đơn giản hơn so với trước đây, vì vậy tôi đồng ý với điểm số này</t>
  </si>
  <si>
    <t>Biểu thuế mới đơn giản hóa các bậc thuế, giảm bớt rắc rối và dễ dàng áp dụng hơn</t>
  </si>
  <si>
    <t>Tôi tin rằng cơ quan thuế sẽ thực thi chính sách một cách công bằng với mọi người nộp thuế</t>
  </si>
  <si>
    <t>Thuế mới giảm bớt gánh nặng tài chính, do đó tôi thấy nó là hợp lý đối với thu nhập của mình</t>
  </si>
  <si>
    <t>Tôi tin rằng số tiền thuế đóng sẽ được sử dụng hiệu quả để cải thiện chất lượng dịch vụ công</t>
  </si>
  <si>
    <t>Nhà nước đã giải thích rõ ràng về mục tiêu và lý do của việc sửa đổi thuế lần này</t>
  </si>
  <si>
    <t>Sau khi xem xét, tôi ủng hộ chính sách mới vì nó đơn giản hơn và giảm gánh nặng tài chính cho người dân</t>
  </si>
  <si>
    <t>Hiện nay, với sự phát triển của công nghệ và cơ sở pháp lý, tôi tin rằng hành vi gian lận hoặc trốn thuế sẽ dễ dàng bị phát hiện. Tuy nhiên, vẫn còn một số rủi ro do hệ thống quản lý chưa hoàn thiện.</t>
  </si>
  <si>
    <t>Nhà nước và cơ quan thuế đã đầu tư vào công nghệ để cải thiện khả năng phát hiện gian lận. Tuy nhiên, vẫn cần thời gian để tất cả các bộ phận vận hành đồng bộ.</t>
  </si>
  <si>
    <t>Quy trình khai báo thuế và làm việc với cơ quan thuế đã đơn giản hơn so với trước đây. Các bước thực hiện nhanh chóng, tiện lợi hơn nhiều.</t>
  </si>
  <si>
    <t>Biểu thuế mới có ít bậc hơn, dễ dàng tính toán và thực hiện hơn. Điều này giúp người dân hiểu rõ hơn về chính sách thuế.</t>
  </si>
  <si>
    <t>Tôi tin rằng Nhà nước sẽ thực thi chính sách một cách khách quan, công bằng vì các quy định mới đã được cải thiện.</t>
  </si>
  <si>
    <t>Nhờ mức giảm trừ gia cảnh và bậc thuế mới, số tiền tôi phải đóng thuế ít hơn. Điều này cho thấy mức thuế hiện tại là công bằng đối với thu nhập của tôi.</t>
  </si>
  <si>
    <t>Tiền thuế tôi đóng sẽ được sử dụng để cải thiện dịch vụ công, từ đó nâng cao chất lượng cuộc sống cho người dân. Điều này tăng niềm tin vào sự hiệu quả của chính sách thuế mới.</t>
  </si>
  <si>
    <t>Nhà nước đã giải thích rõ ràng về mục tiêu và lý do thay đổi chính sách thuế, tạo điều kiện cho tôi hiểu và ủng hộ.</t>
  </si>
  <si>
    <t>Tổng thể, chính sách mới mang lại lợi ích tài chính và thuận tiện hơn. Tôi sẽ ủng hộ và tuân thủ nó.</t>
  </si>
  <si>
    <t>Dù có công nghệ hỗ trợ, tôi vẫn lo ngại về việc phát hiện hành vi gian lận thuế do quy mô lớn của hệ thống và khả năng hạn chế của con người.</t>
  </si>
  <si>
    <t>Cơ quan thuế có thể cải thiện công nghệ để theo dõi, nhưng thực tế việc phát hiện và xử lý trốn thuế vẫn còn nhiều thách thức.</t>
  </si>
  <si>
    <t>So với trước đây, quy trình khai báo thuế đã đơn giản hơn, thủ tục nhanh chóng hơn. Tuy nhiên, cần cải thiện về mặt trực quan và hướng dẫn rõ ràng cho người dân.</t>
  </si>
  <si>
    <t>Bậc thuế giảm từ 7 xuống còn 5 đã làm việc tính toán thuế dễ dàng hơn, nhưng vẫn có thể phức tạp đối với những người không am hiểu về thuế.</t>
  </si>
  <si>
    <t>Tôi tin rằng cơ quan thuế sẽ thực thi chính sách công bằng và khách quan, tuy nhiên cần thêm cam kết minh bạch hơn từ phía nhà nước để tăng niềm tin.</t>
  </si>
  <si>
    <t>Thuế giảm đáng kể đã làm tôi thấy rằng mức thuế mới là hợp lý cho thu nhập của mình. Tuy nhiên, mức giảm trừ gia cảnh chỉ tăng nhẹ so với kỳ vọng.</t>
  </si>
  <si>
    <t>Tôi tin tưởng số tiền thuế đóng sẽ được sử dụng hiệu quả để cải thiện dịch vụ công, nhưng cần thêm thông tin về cách sử dụng nguồn thu này.</t>
  </si>
  <si>
    <t>Nhà nước đã giải thích rõ về mục tiêu của việc sửa đổi thuế. Tuy nhiên, tôi mong muốn có thêm thông tin chi tiết và minh bạch hơn từ phía cơ quan thuế.</t>
  </si>
  <si>
    <t>Chính sách mới đã mang lại lợi ích tài chính đáng kể cho tôi, đồng thời đơn giản hóa quy trình khai báo. Tôi sẽ tuân thủ và ủng hộ chính sách này.</t>
  </si>
  <si>
    <t>Dù có khả năng phát hiện gian lận, nhưng thực tế tôi vẫn lo ngại về việc quản lý thuế và xử lý vi phạm chưa hiệu quả.</t>
  </si>
  <si>
    <t>Công nghệ ngày càng tiến bộ nên việc phát hiện trốn thuế cũng dễ dàng hơn, tuy nhiên còn phụ thuộc vào sự tận tụy của các cơ quan thuế.</t>
  </si>
  <si>
    <t>Phương pháp tính thuế mới đơn giản và dễ thực hiện hơn so với trước đây, giảm bớt rắc rối trong khai báo.</t>
  </si>
  <si>
    <t>Biểu thuế mới rõ ràng hơn, không còn quá nhiều bậc nên việc tính toán thuế trở nên dễ dàng hơn.</t>
  </si>
  <si>
    <t>Tôi tin rằng chính phủ sẽ công tâm trong việc thực thi pháp luật, nhưng lo ngại về sự khác biệt giữa các cơ quan địa phương.</t>
  </si>
  <si>
    <t>Mức thuế mới phù hợp với thu nhập của tôi và người đồng nghiệp như tôi, giảm gánh nặng tài chính đáng kể.</t>
  </si>
  <si>
    <t>Thuế đóng góp vào việc cải thiện dịch vụ công, nhưng còn phụ thuộc vào hiệu quả quản lý ngân sách của nhà nước.</t>
  </si>
  <si>
    <t>Nhà nước đã giải thích rõ ràng về mục tiêu của việc sửa đổi luật thuế, tạo niềm tin cho người dân.</t>
  </si>
  <si>
    <t>Sau khi xem xét lợi ích và nghĩa vụ mới, tôi ủng hộ chính sách mới vì nó giúp giảm gánh nặng tài chính.</t>
  </si>
  <si>
    <t>Hiện nay, việc quản lý thuế đã khá phát triển với nhiều công cụ và hệ thống hiện đại giúp phát hiện gian lận.</t>
  </si>
  <si>
    <t>Nhà nước đã đầu tư vào công nghệ, nhân lực để đảm bảo các quy định được thực thi một cách khách quan.</t>
  </si>
  <si>
    <t>Việc tăng giảm trừ gia cảnh và đơn giản hóa biểu thuế làm cho quá trình khai báo trở nên dễ dàng hơn.</t>
  </si>
  <si>
    <t>Biểu thuế mới rõ ràng, dễ hiểu, không còn nhiều bậc phức tạp như trước đây.</t>
  </si>
  <si>
    <t>Nhà nước đã thể hiện sự công bằng thông qua việc tăng giảm trừ gia cảnh và đơn giản hóa biểu thuế.</t>
  </si>
  <si>
    <t>Với mức thu nhập của tôi, mức thuế mới được tính là hợp lý và công bằng.</t>
  </si>
  <si>
    <t>Tăng giảm trừ gia cảnh giúp số tiền thuế tôi đóng được sử dụng hiệu quả để cải thiện dịch vụ công</t>
  </si>
  <si>
    <t>Nhà nước đã giải thích rõ ràng mục tiêu và lý do của việc sửa đổi chính sách thuế.</t>
  </si>
  <si>
    <t>Chính sách mới phù hợp với thu nhập của tôi, giảm gánh nặng tài chính nên tôi ủng hộ</t>
  </si>
  <si>
    <t>Điều kiện thực thi khá rõ ràng, nhưng vẫn có thể gặp khó khăn với hành vi gian lận phức tạp.</t>
  </si>
  <si>
    <t>Cơ quan thuế đã cải thiện đáng kể về công nghệ và khả năng phát hiện trốn thuế.</t>
  </si>
  <si>
    <t>Quy trình khai báo thuế đơn giản hơn, nhưng vẫn cần thời gian để làm quen.</t>
  </si>
  <si>
    <t>Bậc thuế mới rõ ràng và dễ hiểu, giảm bớt sự phức tạp trong tính toán thuế.</t>
  </si>
  <si>
    <t>Nhà nước đã công bố thông tin một cách minh bạch về chính sách mới.</t>
  </si>
  <si>
    <t>Thuế giảm đáng kể, tôi cảm thấy công bằng hơn với mức thuế hiện tại.</t>
  </si>
  <si>
    <t>Thuốc đóng góp vào việc cải thiện chất lượng dịch vụ công và hạ tầng xã hội.</t>
  </si>
  <si>
    <t>Thuế giảm đáng kể và các quy định mới đơn giản hơn, tôi ủng hộ và tuân thủ chính sách này.</t>
  </si>
  <si>
    <t>Thuế mới đã đơn giản hóa nên việc phát hiện trốn thuế có thể trở nên khó khăn hơn. Tuy nhiên, với các quy định quản lý thuế hiện nay, tôi vẫn tin rằng hành vi gian lận hoặc trốn thuế sẽ dễ dàng bị phát hiện.</t>
  </si>
  <si>
    <t>Cơ quan thuế có khả năng và công nghệ để xử lý các hành vi trốn thuế, nhưng mức độ hiệu quả phụ thuộc vào nguồn lực và quy trình quản lý của họ.</t>
  </si>
  <si>
    <t>Thủ tục khai báo thuế trở nên đơn giản hơn với mức giảm trừ gia cảnh cao hơn. Tuy nhiên, việc áp dụng các bậc thuế mới có thể cần thêm thời gian để làm quen.</t>
  </si>
  <si>
    <t>Biểu thuế mới đã đơn giản hóa so với trước đây và dễ hiểu hơn. Việc giảm từ 7 bậc xuống còn 5 bậc giúp tính toán thuế trở nên dễ dàng hơn.</t>
  </si>
  <si>
    <t>Tôi tin rằng Nhà nước sẽ thực thi chính sách mới một cách công bằng, nhưng mức độ tin tưởng này phụ thuộc vào việc họ thực hiện như thế nào trong thực tế.</t>
  </si>
  <si>
    <t>Nguyên tắc tính thuế mới là hợp lý cho thu nhập của tôi. Mức thuế giảm có thể tăng niềm tin về sự công bằng của chính sách.</t>
  </si>
  <si>
    <t>Thuế của tôi được sử dụng để cải thiện dịch vụ công, nhưng mức độ hiệu quả phụ thuộc vào cách quản lý chi tiêu của Nhà nước.</t>
  </si>
  <si>
    <t>Nhà nước đã giải thích rõ ràng về mục đích của việc sửa đổi thuế lần này. Điều này giúp tôi hiểu được nguyên nhân và mục tiêu của chính sách mới.</t>
  </si>
  <si>
    <t>Chính sách mới có lợi cho tôi, giảm gánh nặng tài chính. Tôi ủng hộ và sẽ tuân thủ vì nó mang lại công bằng hơn so với trước đây.</t>
  </si>
  <si>
    <t>Hiện nay, cơ quan thuế đã có nhiều công cụ và công nghệ để phát hiện hành vi trốn thuế. Với mức giảm trừ gia cảnh tăng lên, việc kiểm soát sẽ trở nên khó khăn hơn cho những người cố tình trốn thuế.</t>
  </si>
  <si>
    <t>Nhà nước đã đầu tư vào công nghệ và nguồn lực để phát hiện hành vi trốn thuế. Tuy nhiên, vẫn còn một số rủi ro trong việc xử lý nhanh chóng các trường hợp gian lận.</t>
  </si>
  <si>
    <t>So với trước đây, quy trình khai báo thuế đã đơn giản hóa đáng kể. Việc giảm trừ gia cảnh và số bậc thuế cũng giúp quá trình tính thuế dễ dàng hơn cho người dân.</t>
  </si>
  <si>
    <t>Biểu thuế mới có ít bậc hơn và ngưỡng chịu thuế rõ ràng, giúp việc tính thuế trở nên đơn giản và dễ hiểu. Điều này làm tăng độ thuận tiện cho người nộp thuế.</t>
  </si>
  <si>
    <t>Nhà nước đã công bố các quy định mới một cách minh bạch, tôi tin rằng họ sẽ thực thi chính sách một cách công bằng và khách quan. Việc giảm trừ gia cảnh tăng lên cũng thể hiện sự ưu tiên cho người dân.</t>
  </si>
  <si>
    <t>Mức thuế mới là hợp lý đối với thu nhập của tôi, giúp tôi tiết kiệm được một khoản tiền đáng kể mỗi tháng. Điều này làm tăng niềm tin vào tính công bằng của hệ thống thuế mới.</t>
  </si>
  <si>
    <t>Số tiền thuế tôi đóng sẽ được sử dụng để cải thiện các dịch vụ công, như y tế và giao thông. Điều này mang lại lợi ích thực tế cho người dân như tôi.</t>
  </si>
  <si>
    <t>Nhà nước đã giải thích rõ ràng về mục tiêu của việc sửa đổi thuế mới. Tuy nhiên, vẫn còn một số điểm chưa được minh bạch hoàn toàn.</t>
  </si>
  <si>
    <t>Tôi ủng hộ và tuân thủ chính sách mới vì nó giúp tôi tiết kiệm tiền và mang lại lợi ích thực tế cho cộng đồng. Việc đơn giản hóa quy trình khai báo thuế cũng khiến tôi dễ dàng hơn trong việc tuân thủ.</t>
  </si>
  <si>
    <t>Dù có công nghệ hỗ trợ, tôi vẫn lo ngại về sự tuân thủ của một số doanh nghiệp nhỏ và việc phát hiện gian lận phức tạp.</t>
  </si>
  <si>
    <t>Cơ quan thuế đã đầu tư mạnh vào hệ thống quản lý, nhưng thực tế việc phát hiện trốn thuế vẫn không dễ dàng.</t>
  </si>
  <si>
    <t>Quy trình khai báo và làm việc với cơ quan thuế đơn giản hơn nhiều so với trước đây.</t>
  </si>
  <si>
    <t>Tôi tin rằng nhà nước sẽ thực thi chính sách công bằng và khách quan nhưng vẫn có lo ngại về sự tuân thủ của các doanh nghiệp lớn.</t>
  </si>
  <si>
    <t>Nhà nước đã tăng mức giảm trừ gia cảnh, nên tôi cảm thấy mức thuế này là hợp lý đối với thu nhập hiện tại.</t>
  </si>
  <si>
    <t>Tăng mức giảm trừ gia cảnh và đơn giản hóa quy trình làm việc với cơ quan thuế khiến tôi tin rằng số tiền thuế đóng sẽ được sử dụng hiệu quả.</t>
  </si>
  <si>
    <t>Nhà nước đã công bố chi tiết về mục tiêu của chính sách mới, nhưng vẫn cần thêm minh bạch về cách sử dụng nguồn thu thuế.</t>
  </si>
  <si>
    <t>Sau khi xem xét lợi ích và nghĩa vụ mới, tôi ủng hộ và tuân thủ chính sách mới vì nó cải thiện trải nghiệm làm việc với cơ quan thuế và giảm gánh nặng tài chính.</t>
  </si>
  <si>
    <t>Thuế được đơn giản hóa với mức giảm trừ gia cảnh cao hơn, do đó việc phát hiện trốn thuế sẽ khó khăn hơn. Tuy nhiên, các cơ quan quản lý vẫn có thể kiểm soát thông qua công nghệ và báo cáo thu nhập.</t>
  </si>
  <si>
    <t>Công nghệ ngày càng tiên tiến giúp nhà nước có khả năng theo dõi tốt hơn hành vi trốn thuế, nhưng việc này cần thời gian để triển khai.</t>
  </si>
  <si>
    <t>Quy trình khai báo và làm việc với cơ quan thuế trở nên đơn giản hơn do giảm bậc thuế và tăng mức giảm trừ gia cảnh. Điều này thuận tiện cho người dân.</t>
  </si>
  <si>
    <t>Các bước tính thuế và bậc thuế mới rõ ràng hơn, dễ hiểu và thực hiện dễ dàng hơn so với trước đây.</t>
  </si>
  <si>
    <t>Thuế được giảm đáng kể do mức giảm trừ gia cảnh cao hơn thu nhập nên tôi cảm thấy công bằng trong việc áp dụng chính sách thuế mới.</t>
  </si>
  <si>
    <t>Mức thuế mới là hợp lý với thu nhập của tôi, giảm gánh nặng tài chính và tăng niềm tin vào hệ thống thuế mới.</t>
  </si>
  <si>
    <t>Nếu số tiền thuế đóng được sử dụng hiệu quả cho các dịch vụ công như y tế và đường xá, tôi sẽ thấy công bằng trong việc sử dụng nguồn lực của mình.</t>
  </si>
  <si>
    <t>Chính phủ đã giải thích rõ ràng về mục tiêu và lý do của việc cải cách thuế, tạo niềm tin vào sự minh bạch.</t>
  </si>
  <si>
    <t>Tổng kết từ những điểm trên, tôi ủng hộ và tuân thủ chính sách mới vì nó mang lại lợi ích cho người dân như tôi.</t>
  </si>
  <si>
    <t>Dựa trên các quy định quản lý thuế hiện tại, tôi thấy khả năng phát hiện hành vi gian lận hoặc trốn thuế vẫn còn hạn chế. Tuy nhiên, với sự nâng cấp về công nghệ và nguồn lực của cơ quan thuế, khả năng này có thể được cải thiện.</t>
  </si>
  <si>
    <t>Nhà nước đã đầu tư vào công nghệ để giám sát hoạt động kinh tế, do đó tôi tin rằng hành vi trốn thuế sẽ dễ dàng bị phát hiện và xử lý nghiêm.</t>
  </si>
  <si>
    <t>Các thủ tục khai báo thuế trở nên đơn giản hơn, nhưng vẫn cần nhiều bước để hoàn thiện. Tuy nhiên, so với trước đây, quy trình làm việc với cơ quan thuế đã cải thiện đáng kể.</t>
  </si>
  <si>
    <t>Số bậc thuế giảm từ 7 xuống 5 đã đơn giản hóa quá trình tính thuế và dễ dàng hơn để thực hiện.</t>
  </si>
  <si>
    <t>Tôi tin rằng Nhà nước sẽ thực thi chính sách mới một cách công bằng, nhưng vẫn có lo ngại về sự giám sát và minh bạch đầy đủ.</t>
  </si>
  <si>
    <t>Mức thuế hiện tại phù hợp với thu nhập của tôi. Tuy nhiên, vẫn cần cải thiện thêm để đảm bảo công bằng hơn nữa đối với tất cả các đối tượng.</t>
  </si>
  <si>
    <t>Tôi tin rằng số tiền thuế đóng sẽ được sử dụng hiệu quả cho mục đích công cộng, nhưng vẫn muốn thấy rõ hơn về cách sử dụng nguồn thu thuế.</t>
  </si>
  <si>
    <t>Nhà nước đã giải thích rõ ràng về lý do và mục tiêu của việc sửa đổi thuế. Tuy nhiên, có thể cần thêm thông tin để tăng sự minh bạch.</t>
  </si>
  <si>
    <t>Sau khi xem xét các quyền lợi và nghĩa vụ, tôi ủng hộ và tuân thủ chính sách mới hiện nay. Các thay đổi này giúp giảm gánh nặng về thuế cho người dân.</t>
  </si>
  <si>
    <t>Thuế có nhiều biện pháp giám sát, nhưng vẫn cần cải thiện.</t>
  </si>
  <si>
    <t>Công nghệ hiện đại hỗ trợ tốt cho việc phát hiện trốn thuế, tuy nhiên khả năng của các cơ quan quản lý còn phụ thuộc vào nguồn lực và chính sách.</t>
  </si>
  <si>
    <t>Thủ tục đơn giản hơn trước nhưng vẫn cần tối ưu hóa nhiều nữa.</t>
  </si>
  <si>
    <t>Cách tính thuế mới dễ hiểu và thực hiện đơn giản hơn, giảm độ phức tạp đáng kể.</t>
  </si>
  <si>
    <t>Niềm tin vào sự công bằng trong việc thực thi chính sách còn thấp do nhiều người nghi ngờ về khả năng giám sát.</t>
  </si>
  <si>
    <t>Thuế mới giảm gánh nặng cho tôi, tạo cảm giác thuế đóng góp công bằng hơn so với trước đây.</t>
  </si>
  <si>
    <t>Chỉ có thể đánh giá khi xem xét hiệu quả sử dụng ngân sách nhà nước trong việc cải thiện dịch vụ công.</t>
  </si>
  <si>
    <t>Lý do và mục tiêu sửa đổi thuế được giải thích rõ ràng, tuy nhiên cần nhiều minh bạch hơn nữa.</t>
  </si>
  <si>
    <t>Do giảm trừ gia cảnh tăng mạnh và số bậc thuế giảm nên tôi ủng hộ chính sách mới</t>
  </si>
  <si>
    <t>Hiện nay, cơ quan thuế có nhiều công cụ và nguồn lực để phát hiện gian lận hoặc trốn thuế. Với việc tăng giảm trừ gia cảnh, khả năng phát hiện sẽ cao hơn.</t>
  </si>
  <si>
    <t>Cơ quan thuế đã đầu tư vào công nghệ và nhân sự để cải thiện hiệu quả quản lý thuế. Tuy nhiên, vẫn có thể cần thêm thời gian để hoàn thiện toàn bộ hệ thống.</t>
  </si>
  <si>
    <t>Quy trình khai báo thuế trở nên đơn giản hơn với mức giảm trừ gia cảnh cao và số bậc thuế ít đi. Tuy nhiên, vẫn có một số thủ tục cần hoàn thiện.</t>
  </si>
  <si>
    <t>Phương án mới rõ ràng và dễ hiểu hơn so với trước đây. Việc đơn giản hóa biểu thuế giúp người dân dễ dàng tính toán hơn.</t>
  </si>
  <si>
    <t>Nhu cầu giảm gian lận và trốn thuế là cần thiết, phương án mới đã cải thiện đáng kể về mặt này. Cơ quan thuế cũng công bố thông tin minh bạch.</t>
  </si>
  <si>
    <t>Thuế tôi phải đóng thấp hơn với mức giảm trừ gia cảnh cao và số bậc thuế ít đi. Đây được xem là mức hợp lý cho thu nhập của tôi.</t>
  </si>
  <si>
    <t>Thuốc đóng sẽ được sử dụng hiệu quả để cải thiện dịch vụ công, mặc dù không biết chi tiết cụ thể nhưng tôi tin vào mục tiêu của Nhà nước.</t>
  </si>
  <si>
    <t>Nhà nước đã giải thích rõ ràng về mục đích và lý do của việc sửa đổi thuế. Tuy nhiên, vẫn cần thêm thông tin để tăng sự hiểu biết.</t>
  </si>
  <si>
    <t>Tôi ủng hộ chính sách mới vì nó giảm gian lận và trốn thuế, đồng thời đơn giản hóa quy trình tính thuế. Tôi sẽ tuân thủ theo các hướng dẫn của cơ quan thuế.</t>
  </si>
  <si>
    <t>Điều kiện thực thi thuế hiện tại không phải là yếu tố quyết định cho tôi, do mức thu nhập của tôi không cao và không có cơ sở để trốn thuế. Thuế gia cảnh đã tăng nhưng vẫn chưa đủ để tôi phải đóng thuế.</t>
  </si>
  <si>
    <t>Cơ quan thuế có thể sử dụng công nghệ tốt hơn nhưng với mức thu nhập của tôi, việc phát hiện gian lận hay trốn thuế không phải là vấn đề chính. Tuy nhiên, tôi hy vọng cơ quan thuế sẽ tiếp tục cải thiện khả năng này.</t>
  </si>
  <si>
    <t>Thuật ngữ và quy trình khai thuế trở nên đơn giản hơn nhưng vẫn còn một số điểm khó hiểu đối với người dân không chuyên về thuế. Tuy nhiên, so với trước đây, tôi cảm thấy dễ dàng hơn khi làm việc với cơ quan thuế.</t>
  </si>
  <si>
    <t>Biểu thuế mới đơn giản hóa nhiều bước so với trước đây. Bậc thuế ít hơn nhưng vẫn đủ để phân loại các mức thu nhập, giúp tôi dễ dàng tính toán và thực hiện.</t>
  </si>
  <si>
    <t>Tôi tin rằng cơ quan thuế sẽ công bằng trong việc áp dụng chính sách mới. Tuy nhiên, mức giảm trừ gia cảnh chưa đủ để tôi phải đóng thuế nên không tạo ra sự khác biệt lớn về mặt niềm tin.</t>
  </si>
  <si>
    <t>Thuế của tôi vẫn được miễn trừ nên cảm thấy hợp lý. Mức thuế mới có thể sẽ công bằng hơn cho những người có thu nhập cao hơn.</t>
  </si>
  <si>
    <t>Tôi tin rằng số tiền thuế đóng sẽ được sử dụng hiệu quả để cải thiện chất lượng cuộc sống. Tuy nhiên, do mức thuế của tôi không thay đổi nhiều nên không tạo ra sự khác biệt lớn về mặt niềm tin.</t>
  </si>
  <si>
    <t>Nhà nước đã giải thích rõ ràng về mục tiêu cải cách thuế nhưng đối với một người thường dân, việc hiểu và nắm bắt các thông tin này vẫn còn khó khăn. Các biện pháp cải cách có thể sẽ mang lại lợi ích cho nhiều người hơn.</t>
  </si>
  <si>
    <t>Tôi ủng hộ chính sách mới vì nó đơn giản hóa quy trình khai báo thuế và giảm bớt gánh nặng về mặt tài chính. Mặc dù tôi không phải đóng thuế, nhưng những cải cách này có thể mang lại lợi ích cho nhiều người khác.</t>
  </si>
  <si>
    <t>Trong điều kiện quản lý thuế hiện nay, mặc dù có nhiều rủi ro về việc phát hiện hành vi gian lận hoặc trốn thuế, nhưng với sự hỗ trợ của công nghệ và hệ thống giám sát ngày càng tiên tiến, tôi tin rằng khả năng phát hiện sẽ tăng lên đáng kể.</t>
  </si>
  <si>
    <t>Nhà nước đã đầu tư vào các công cụ và công nghệ mới để cải thiện hiệu quả quản lý thuế. Với sự hỗ trợ của hệ thống thông tin điện tử, việc phát hiện trốn thuế sẽ trở nên nhanh chóng và chính xác hơn.</t>
  </si>
  <si>
    <t>So với trước đây, quy trình khai báo thuế đã đơn giản hóa đáng kể. Việc sử dụng các công cụ trực tuyến như phần mềm khai thuế đã giúp cho việc làm thủ tục trở nên tiện lợi hơn.</t>
  </si>
  <si>
    <t>Bảng thuế mới có ít bậc hơn và mức giảm trừ gia cảnh tăng lên, điều này giúp tính toán thuế dễ dàng hơn. Tuy nhiên, tôi nhận thấy rằng việc hiểu rõ các quy định mới vẫn cần thời gian để làm quen.</t>
  </si>
  <si>
    <t>Nhà nước đã công bố các chính sách mới một cách minh bạch và giải thích rõ ràng. Điều này tạo ra niềm tin rằng họ sẽ thực hiện chính sách một cách khách quan, công bằng đối với tất cả mọi người nộp thuế.</t>
  </si>
  <si>
    <t>Mức thuế mới mà tôi phải đóng là phù hợp và công bằng. Mức độ tăng giảm trừ gia cảnh giúp giảm gánh nặng cho người có thu nhập như tôi, điều này thể hiện tính công bằng trong việc phân bổ thuế.</t>
  </si>
  <si>
    <t>Tôi tin rằng số tiền thuế mà tôi đóng sẽ được sử dụng hiệu quả để cải thiện dịch vụ công. Chính phủ đã cam kết đầu tư vào các lĩnh vực quan trọng như y tế và hạ tầng, điều này cho thấy mục tiêu sử dụng hợp lý nguồn thu từ thuế.</t>
  </si>
  <si>
    <t>Nhà nước đã giải thích rõ ràng về việc cải cách thuế. Tuy nhiên, tôi vẫn cần thời gian để hiểu và làm quen với các thay đổi mới này.</t>
  </si>
  <si>
    <t>Sau khi xem xét tác động tài chính và sự đơn giản hóa quy trình thuế, tôi ủng hộ và tuân thủ chính sách mới. Điều này giúp giảm gánh nặng về thuế cho người dân như tôi.</t>
  </si>
  <si>
    <t>Dựa trên các quy định quản lý thuế hiện tại, tôi cho rằng hành vi gian lận hoặc trốn thuế sẽ dễ dàng bị phát hiện và xử lý. Tuy nhiên, việc thực thi vẫn phụ thuộc vào hiệu quả của cơ quan chức năng.</t>
  </si>
  <si>
    <t>Nhà nước có hệ thống công nghệ hiện đại để giám sát hoạt động kinh doanh và khai báo thuế. Tuy nhiên, cần cải thiện hơn nữa về sự minh bạch trong quá trình xử lý.</t>
  </si>
  <si>
    <t>Quy trình làm việc với cơ quan thuế đã đơn giản hơn so với trước đây, đặc biệt là về mặt thủ tục khai báo. Tuy nhiên, vẫn còn một số điểm cần cải thiện để thuận tiện hơn.</t>
  </si>
  <si>
    <t>Cách tính thuế và các bậc thuế mới đã đơn giản hóa, dễ hiểu và thực hiện nhanh chóng hơn so với trước đây. Điều này giúp tôi không còn bị bối rối khi khai báo.</t>
  </si>
  <si>
    <t>Tôi tin rằng cơ quan thuế sẽ thực thi chính sách một cách công bằng, nhưng cần sự minh bạch hơn nữa trong việc xử lý các trường hợp cụ thể.</t>
  </si>
  <si>
    <t>Nhìn chung mức thuế mới là phù hợp với thu nhập của tôi. Tuy nhiên, tôi mong muốn có thêm thông tin về cách sử dụng số tiền thuế này để cải thiện cuộc sống cộng đồng.</t>
  </si>
  <si>
    <t>Đóng thuế giúp xây dựng một xã hội tốt hơn và tôi tin rằng số tiền của tôi đóng sẽ được sử dụng hiệu quả cho các dịch vụ công. Tuy nhiên, thông tin về cách sử dụng vẫn chưa đầy đủ.</t>
  </si>
  <si>
    <t>Nhà nước đã giải thích rõ ràng mục tiêu và lý do của việc sửa đổi thuế, nhưng cần cung cấp thêm thông tin để chúng tôi hiểu hơn về các quy định mới.</t>
  </si>
  <si>
    <t>Sau khi xem xét tất cả các yếu tố, tôi ủng hộ và tuân thủ chính sách mới. Các thay đổi này đã cải thiện đáng kể sự thuận tiện và công bằng trong việc khai báo thuế.</t>
  </si>
  <si>
    <t>Điều kiện để phát hiện trốn thuế có thể tăng lên, nhưng không phải là vấn đề lớn vì mức thuế đã giảm đáng kể.</t>
  </si>
  <si>
    <t>Cơ quan thuế có khả năng và công nghệ tốt hơn trong việc theo dõi các giao dịch tài chính của công dân.</t>
  </si>
  <si>
    <t>Quy trình khai báo thuế đơn giản hơn, thời gian chờ đợi cũng ngắn gọn hơn so với trước đây.</t>
  </si>
  <si>
    <t>Biểu thuế đơn giản hóa khiến việc tính toán và nộp thuế trở nên dễ dàng và minh bạch hơn.</t>
  </si>
  <si>
    <t>Mức thuế mới được thiết kế phù hợp với thu nhập của tôi, thể hiện tính công bằng trong hệ thống thuế</t>
  </si>
  <si>
    <t>Ngoài việc cải cách thuế, nhà nước còn đầu tư vào các dịch vụ công như y tế và đường xá.</t>
  </si>
  <si>
    <t>Nhà nước đã giải thích rõ ràng về mục đích của việc cải cách thuế lần này, tạo niềm tin cho người dân.</t>
  </si>
  <si>
    <t>Phương án mới mang lại lợi ích đáng kể về mặt tài chính và thủ tục hành chính, tôi ủng hộ nó.</t>
  </si>
  <si>
    <t>Cơ quan thuế có nhiều công cụ để phát hiện gian lận, nhưng với mức thu nhập và giảm trừ gia cảnh cao như vậy, tôi không hoàn toàn tin rằng hành vi trốn thuế sẽ bị phát hiện ngay.</t>
  </si>
  <si>
    <t>Nhà nước đã đầu tư vào công nghệ để cải thiện khả năng quản lý thuế, nhưng hiệu quả của nó phụ thuộc vào việc thực thi và nguồn lực.</t>
  </si>
  <si>
    <t>Thủ tục khai báo thuế có thể đơn giản hơn, nhưng vẫn cần thời gian để quen với các thay đổi mới.</t>
  </si>
  <si>
    <t>Bậc thuế ít hơn và giảm trừ gia cảnh cao giúp tính toán dễ dàng hơn, tôi thấy điều này thuận tiện cho người dân.</t>
  </si>
  <si>
    <t>Tôi tin rằng Nhà nước sẽ thực thi chính sách một cách công bằng, nhưng vẫn có sự nghi ngờ về việc quản lý và phân bổ nguồn lực thuế.</t>
  </si>
  <si>
    <t>Mức thuế mới là hợp lý với thu nhập của tôi, giảm trừ gia cảnh cao giúp tiết kiệm tiền hơn so với trước đây.</t>
  </si>
  <si>
    <t>Tôi tin rằng số tiền thuế đóng sẽ được sử dụng hiệu quả để cải thiện dịch vụ công, nhưng vẫn cần thêm minh bạch về việc này.</t>
  </si>
  <si>
    <t>Nhà nước đã giải thích một cách rõ ràng về mục tiêu của chính sách mới, tôi thấy điều này tăng niềm tin vào quyết định của họ.</t>
  </si>
  <si>
    <t>Chính sách mới này có lợi cho tôi và các thành viên trong gia đình, vì vậy tôi sẽ ủng hộ và tuân thủ nó.</t>
  </si>
  <si>
    <t>Nếu có sự giám sát chặt chẽ từ phía cơ quan thuế, việc phát hiện hành vi gian lận hoặc trốn thuế sẽ dễ dàng hơn. Tuy nhiên, chưa rõ về khả năng thực thi của họ.</t>
  </si>
  <si>
    <t>Nhà nước đã đầu tư vào công nghệ để cải thiện khả năng quản lý và giám sát hoạt động kinh tế, tăng khả năng phát hiện hành vi trốn thuế.</t>
  </si>
  <si>
    <t>Quy trình khai báo thuế trở nên đơn giản hơn với mức giảm trừ gia cảnh cao và số bậc thuế ít hơn. Việc này giúp thuận tiện cho việc thực hiện.</t>
  </si>
  <si>
    <t>Biểu thuế mới có ít bậc, dễ hiểu và đơn giản hơn so với trước đây, tạo điều kiện cho người dân tính toán nhanh chóng.</t>
  </si>
  <si>
    <t>Tôi tin rằng cơ quan thuế sẽ thực thi chính sách một cách công bằng và khách quan, nhưng cần thêm thông tin về cách họ triển khai để tăng niềm tin.</t>
  </si>
  <si>
    <t>Mức thuế mới này phù hợp với thu nhập của tôi và có thể giảm gánh nặng tài chính. Điều này làm tăng cảm giác công bằng trong việc đóng thuế.</t>
  </si>
  <si>
    <t>Tôi tin rằng số tiền thuế đóng sẽ được sử dụng hiệu quả để cải thiện dịch vụ công, nhưng cần thông tin cụ thể về cách sử dụng nguồn thu.</t>
  </si>
  <si>
    <t>Nhà nước đã giải thích lý do thay đổi quy định thuế khá rõ ràng và minh bạch, giúp tôi hiểu được mục tiêu của chính sách mới.</t>
  </si>
  <si>
    <t>Dựa trên các yếu tố trên, tôi ủng hộ và tuân thủ chính sách mới. Mức thuế thấp hơn và quy trình đơn giản hơn có thể cải thiện trải nghiệm khi đóng thuế.</t>
  </si>
  <si>
    <t>Nhà nước và cơ quan thuế đã có nhiều cải tiến công nghệ trong quản lý thuế, nên tôi tin rằng hành vi gian lận hay trốn thuế sẽ dễ bị phát hiện.</t>
  </si>
  <si>
    <t>Công nghệ ngày càng phát triển, cùng với sự cải thiện về quản lý của cơ quan thuế, khả năng phát hiện và xử lý các hành vi trốn thuế cũng được nâng cao.</t>
  </si>
  <si>
    <t>So với trước đây, quy trình khai báo và làm việc với cơ quan thuế đã đơn giản hóa, giúp tôi dễ dàng thực hiện hơn.</t>
  </si>
  <si>
    <t>Biểu thuế mới có ít bậc hơn nhưng vẫn đảm bảo tính công bằng, tôi thấy cách tính thuế rõ ràng và dễ hiểu hơn so với trước đây.</t>
  </si>
  <si>
    <t>Tôi tin rằng cơ quan thuế sẽ thực thi chính sách một cách khách quan và công tâm, đối xử bình đẳng với mọi người nộp thuế.</t>
  </si>
  <si>
    <t>Thu nhập của tôi không cao nên mức thuế mới được áp dụng cho tôi là hợp lý, tôi thấy nó công bằng.</t>
  </si>
  <si>
    <t>Nhìn chung tôi tin rằng số tiền thuế tôi đóng sẽ được sử dụng hiệu quả để cải thiện dịch vụ công như y tế và đường xá.</t>
  </si>
  <si>
    <t>Phương án mới đã giải thích rõ ràng về mục tiêu và lý do của việc sửa đổi thuế, điều này làm tăng niềm tin của tôi vào chính sách.</t>
  </si>
  <si>
    <t>Dựa trên các quyền lợi và nghĩa vụ được đề cập, tôi ủng hộ và sẽ tuân thủ chính sách mới. Mức giảm trừ gia cảnh cao hơn giúp cải thiện tình hình tài chính của gia đình tôi.</t>
  </si>
  <si>
    <t>Dù không hoàn toàn tin tưởng, nhưng với việc tăng giảm trừ gia cảnh và đơn giản hóa quy trình, khả năng phát hiện trốn thuế có thể tốt hơn trước.</t>
  </si>
  <si>
    <t>Nhìn chung, cơ quan thuế vẫn cần cải thiện trong việc công nghệ và quản lý, nhưng đã có những tiến bộ đáng kể.</t>
  </si>
  <si>
    <t>Quy trình khai báo và làm việc với cơ quan thuế đơn giản hơn, nhưng vẫn còn một số rào cản cho người dân không am hiểu về thuế.</t>
  </si>
  <si>
    <t>Các bậc thuế mới rõ ràng hơn, dễ hiểu. Tuy nhiên, mức thuế suất cao ở bậc cuối có thể gây khó chịu.</t>
  </si>
  <si>
    <t>Tôi tin rằng Nhà nước sẽ thực hiện chính sách một cách công bằng và khách quan, mặc dù vẫn có những lo ngại về việc áp dụng.</t>
  </si>
  <si>
    <t>Mức thuế mới phù hợp với thu nhập của tôi. Tuy nhiên, mức thuế cao ở bậc cuối có thể gây nghi ngờ về tính công bằng.</t>
  </si>
  <si>
    <t>Tôi tin rằng số tiền thuế đóng sẽ được sử dụng hiệu quả để cải thiện các dịch vụ công. Tuy nhiên, thông tin chi tiết về việc sử dụng vẫn chưa đầy đủ.</t>
  </si>
  <si>
    <t>Nhà nước đã giải thích rõ ràng về mục tiêu của chính sách mới, nhưng còn cần làm rõ hơn về cách thức thực hiện.</t>
  </si>
  <si>
    <t>Tôi ủng hộ và tuân thủ chính sách mới vì nó mang lại lợi ích tài chính cho tôi. Tuy nhiên, vẫn có những lo ngại cần giải quyết.</t>
  </si>
  <si>
    <t>Việc tăng mức giảm trừ gia cảnh và đơn giản hóa biểu thuế có thể làm giảm khả năng phát hiện hành vi trốn thuế, do đó tôi chỉ đánh giá ENF1 là 6. Mặc dù các quy định quản lý thuế đang được cải tiến, nhưng thực tế việc phát hiện gian lận hoặc trốn thuế vẫn cần thời gian và nguồn lực.</t>
  </si>
  <si>
    <t>Cơ quan thuế đã tăng cường công nghệ và cơ sở vật chất để giám sát các hoạt động tài chính, nhưng mức độ hiệu quả của việc thực thi pháp luật còn phụ thuộc vào nhân sự và quản lý, nên tôi đánh giá ENF2 là 7.</t>
  </si>
  <si>
    <t>So với trước đây, quy trình khai thuế nay đơn giản hơn nhiều, giảm bớt các bước rườm rà. Tôi tin rằng việc áp dụng các biện pháp kỹ thuật số cũng sẽ giúp thủ tục trở nên thuận tiện hơn, vì vậy tôi cho FAC1 9.</t>
  </si>
  <si>
    <t>Biểu thuế được đơn giản hóa từ 7 bậc xuống còn 5 bậc, làm giảm độ phức tạp. Người dân dễ dàng nắm bắt và tính toán, vì vậy tôi đánh giá FAC2 là 8.</t>
  </si>
  <si>
    <t>Nhà nước đã công bố rõ ràng về mức thuế mới và cách tính, nhưng vẫn có thể xuất hiện sự bất公平，我会使用中英文双语进行解释：实际上，这并不是一个公平的结果。新税制虽然简化了税率结构，但对于像我这样的高收入者来说，减除标准的提高并没有带来足够的税收减免，反而可能因为需要支付更高的个人所得税而感到不满。这种情况下，我无法完全信任政府对税收政策执行的公正性与合理性。</t>
  </si>
  <si>
    <t>根据新税制的规定，我的收入和减除标准使得实际税率并没有显著降低，因此我认为现在的税负是公平的。这让我支持并愿意遵守新的税收政策。</t>
  </si>
  <si>
    <t>虽然我理解政府通过合理征税来提高公共服务质量是有必要的，但具体到我的情况下，由于新税制并没有带来实质性的减负效果，因此我对这些资金的具体使用持保留态度。</t>
  </si>
  <si>
    <t>尽管政府发布了关于此次税收改革的详细解释和目的说明，但我仍认为需要更多透明度来确保政策执行过程中的公平性与合理性。</t>
  </si>
  <si>
    <t>综合考虑上述因素，我倾向于支持新税制，因为它简化了纳税流程并提高了减除标准，虽然对我个人的实际税收负担影响有限，但整体上我认为这是进步的一步。然而，我对政策执行过程中可能出现的问题持保留态度。</t>
  </si>
  <si>
    <t>Việc tăng mức giảm trừ gia cảnh và đơn giản hóa biểu thuế có thể làm giảm động lực trốn thuế, nhưng việc thực thi vẫn phụ thuộc vào hiệu quả quản lý của cơ quan thuế.</t>
  </si>
  <si>
    <t>Cơ quan thuế đã áp dụng công nghệ hiện đại như phần mềm khai thuế điện tử nên khả năng phát hiện trốn thuế sẽ tăng, nhưng vẫn cần cải thiện.</t>
  </si>
  <si>
    <t>Thủ tục khai báo thuế trở nên đơn giản hơn với mức giảm trừ gia cảnh cao và số bậc thuế ít đi, thuận lợi cho người dân.</t>
  </si>
  <si>
    <t>Biểu thuế mới có ít bậc hơn và rõ ràng hơn so với trước đây, dễ dàng áp dụng trong thực tế.</t>
  </si>
  <si>
    <t>Nhà nước đã cải cách một cách công tâm với mức giảm trừ gia cảnh cao và biểu thuế đơn giản, tạo niềm tin cho người dân.</t>
  </si>
  <si>
    <t>Với thu nhập của tôi, mức thuế mới là hợp lý và công bằng so với trước đây.</t>
  </si>
  <si>
    <t>Cơ quan thuế đã giải thích rõ ràng về mục tiêu của việc cải cách, nhưng cần làm rõ thêm về cách thực hiện.</t>
  </si>
  <si>
    <t>Chính sách mới có lợi cho người dân như tôi nên được ủng hộ và tuân thủ</t>
  </si>
  <si>
    <t>Việc tăng giảm trừ gia cảnh và đơn giản hóa biểu thuế có thể làm giảm khả năng phát hiện hành vi trốn thuế. Tuy nhiên, với sự cải tiến trong công nghệ quản lý thuế, tôi vẫn tin rằng cơ quan thuế sẽ phát hiện sớm các trường hợp gian lận.</t>
  </si>
  <si>
    <t>Công nghệ và hệ thống quản lý thuế mới có thể hỗ trợ tốt hơn việc phát hiện, xử lý trốn thuế. Tuy nhiên, hiệu quả thực sự còn phụ thuộc vào khả năng vận hành của cơ quan thuế.</t>
  </si>
  <si>
    <t>Các quy định về giảm trừ gia cảnh và biểu thuế mới đơn giản hơn so với trước đây, nhưng thủ tục khai thuế vẫn có thể phức tạp. Tuy nhiên, việc làm rõ các bậc thuế mới đã giúp quá trình thực hiện dễ dàng hơn.</t>
  </si>
  <si>
    <t>Biểu thuế mới đơn giản và rõ ràng hơn nhiều so với trước đây, tạo cảm giác thuận tiện cho người nộp thuế. Việc này tăng khả năng tuân thủ.</t>
  </si>
  <si>
    <t>Tôi tin rằng cơ quan thuế sẽ thực hiện chính sách một cách công bằng và khách quan. Tuy nhiên, việc cải cách thuế mới cần thêm thời gian để chứng minh</t>
  </si>
  <si>
    <t>Thuế tôi phải đóng theo phương án mới được giảm đáng kể nhờ các quy định về giảm trừ gia cảnh và biểu thuế mới. Điều này cho thấy mức thuế hiện tại là hợp lý.</t>
  </si>
  <si>
    <t>Số tiền thuế tôi đóng sẽ góp vào việc cải thiện dịch vụ công, mặc dù việc sử dụng hiệu quả nguồn thu còn cần thêm thời gian để chứng minh.</t>
  </si>
  <si>
    <t>Nhà nước đã giải thích rõ ràng về mục tiêu và lý do của việc sửa đổi thuế. Tuy nhiên, việc cải cách này vẫn chưa hoàn toàn thuyết phục tôi</t>
  </si>
  <si>
    <t>Dù các lợi ích về tài chính từ cải cách thuế mới là đáng kể, nhưng tôi cần thêm thời gian để đánh giá hiệu quả thực sự của nó. Tuy nhiên, hiện tại tôi vẫn ủng hộ và tuân thủ.</t>
  </si>
  <si>
    <t>Hiện nay, hệ thống quản lý thuế ngày càng phát triển với nhiều công nghệ hỗ trợ như phần mềm khai thuế trực tuyến. Tuy nhiên, việc phát hiện hành vi trốn thuế vẫn còn khó khăn do không có dữ liệu đầy đủ về thu nhập của cá nhân.</t>
  </si>
  <si>
    <t>Cơ quan thuế đã đầu tư nhiều vào công nghệ và đào tạo nguồn lực để nâng cao hiệu quả quản lý. Tuy nhiên, việc phát hiện trốn thuế vẫn cần thời gian để hoàn thiện.</t>
  </si>
  <si>
    <t>Quy trình khai thuế trực tuyến đã đơn giản hơn nhiều so với trước đây. Tuy nhiên, vẫn còn một số thủ tục rườm rà khi cần xác minh thông tin cá nhân.</t>
  </si>
  <si>
    <t>Biểu thuế mới có ít bậc hơn và mức giảm trừ gia cảnh cao hơn giúp tính toán đơn giản. Tuy nhiên, việc áp dụng các quy định vẫn còn phức tạp đối với một số trường hợp cụ thể.</t>
  </si>
  <si>
    <t>Tôi tin rằng cơ quan thuế sẽ thực thi chính sách một cách công bằng và khách quan. Việc giảm thuế cho người thu nhập thấp hơn tạo ra sự công bằng xã hội.</t>
  </si>
  <si>
    <t>Nhờ mức giảm trừ gia cảnh cao hơn, tôi chỉ còn phải đóng thuế với phần thu nhập còn lại. Đây là mức hợp lý cho một người có thu nhập như tôi.</t>
  </si>
  <si>
    <t>Dự kiến số tiền thuế này sẽ được sử dụng để cải thiện dịch vụ công, từ đó tạo ra lợi ích chung cho xã hội</t>
  </si>
  <si>
    <t>Cơ quan thuế đã giải thích rõ ràng về mục tiêu của việc sửa đổi luật thuế. Tuy nhiên, vẫn còn một số điều khoản cụ thể cần được làm rõ hơn để đảm bảo minh bạch.</t>
  </si>
  <si>
    <t>Dù có một số điểm chưa hoàn hảo, nhưng tôi vẫn ủng hộ và tuân thủ chính sách mới vì lợi ích chung cho xã hội</t>
  </si>
  <si>
    <t>Việc tăng mức giảm trừ gia cảnh và đơn giản hóa biểu thuế có thể làm giảm hành vi trốn thuế, nhưng khả năng phát hiện và xử lý vẫn phụ thuộc vào hiệu suất của cơ quan thuế.</t>
  </si>
  <si>
    <t>Cơ quan thuế đã đầu tư công nghệ để quản lý thuế tốt hơn, tuy nhiên còn cần cải thiện trong việc truy cứu dữ liệu và phát hiện gian lận.</t>
  </si>
  <si>
    <t>Quy trình khai báo thuế đơn giản hơn trước, nhưng vẫn phức tạp với người không am hiểu về thuế.</t>
  </si>
  <si>
    <t>Biểu thuế mới dễ hiểu và thực hiện đơn giản hơn so với trước đây, giảm bớt gánh nặng cho người dân.</t>
  </si>
  <si>
    <t>Nhà nước đã cải cách để tạo ra một hệ thống công bằng hơn, nhưng cần thêm thời gian để chứng minh việc thực thi thuế khách quan và công tâm.</t>
  </si>
  <si>
    <t>Thuế mới giảm đáng kể so với trước đây, giúp người dân đóng mức thuế hợp lý hơn với thu nhập của mình.</t>
  </si>
  <si>
    <t>Thuê được sử dụng để cải thiện dịch vụ công có thể mang lại lợi ích cho cộng đồng, nhưng hiệu quả cụ thể còn cần thời gian để đánh giá.</t>
  </si>
  <si>
    <t>Cơ quan thuế đã giải thích rõ ràng về các thay đổi, tuy nhiên việc cải cách này vẫn gây ra sự lo lắng cho nhiều người dân.</t>
  </si>
  <si>
    <t>Chính sách mới giảm gánh nặng tài chính và tăng độ công bằng, tôi sẽ ủng hộ và tuân thủ.</t>
  </si>
  <si>
    <t>Công nghệ ngày càng phát triển, cơ quan thuế có khả năng giám sát và xử lý hành vi gian lận, nhưng không thể đánh giá cao vì vẫn còn nhiều rủi ro</t>
  </si>
  <si>
    <t>Nhà nước có công nghệ hiện đại để phát hiện trốn thuế, tuy nhiên hiệu quả thực thi cần thời gian cải thiện</t>
  </si>
  <si>
    <t>Quy trình khai báo và làm việc với cơ quan thuế đơn giản hơn, thuận tiện cho người dân, nhưng vẫn chưa hoàn toàn tối ưu</t>
  </si>
  <si>
    <t>Cách tính thuế mới đơn giản, dễ hiểu và thực hiện nhanh chóng, giảm đáng kể thời gian quản lý của cá nhân</t>
  </si>
  <si>
    <t>Niềm tin vào sự công tâm trong việc thực thi chính sách mới đang tăng lên, nhưng cần thêm thời gian để xây dựng niềm tin</t>
  </si>
  <si>
    <t>Mức thuế mới được coi là công bằng cho thu nhập của mình, tuy nhiên vẫn còn sự bất đồng về cách phân bổ thu nhập</t>
  </si>
  <si>
    <t>Tin rằng tiền thuế đóng góp vào các dịch vụ công, nhưng hiệu quả sử dụng nguồn lực cần được cải thiện</t>
  </si>
  <si>
    <t>Nhà nước đã giải thích rõ ràng về mục tiêu và lý do của việc sửa đổi thuế, giúp người dân hiểu hơn</t>
  </si>
  <si>
    <t>Hoàn toàn đồng ý với chính sách mới vì giảm gánh nặng tài chính và thủ tục làm việc với cơ quan thuế đơn giản hơn</t>
  </si>
  <si>
    <t>Dù quy định quản lý thuế hiện nay đã cải thiện, nhưng với mức thuế giảm đáng kể và quy trình đơn giản hơn, tôi tin rằng hành vi gian lận sẽ giảm rõ rệt.</t>
  </si>
  <si>
    <t>Nhà nước và cơ quan thuế có thể sử dụng công nghệ để phát hiện các hành vi trốn thuế hiệu quả hơn, đặc biệt khi mức thuế giảm nên sự giám sát không còn quá nặng nề như trước.</t>
  </si>
  <si>
    <t>Trình tự khai báo và làm việc với cơ quan thuế dễ dàng hơn nhiều so với trước đây, thời gian chờ đợi cũng ngắn lại.</t>
  </si>
  <si>
    <t>Biểu thuế đơn giản hóa đáng kể, người dân như tôi có thể tính toán nhanh chóng và chính xác hơn về mức thuế phải đóng.</t>
  </si>
  <si>
    <t>Chính sách mới công bằng hơn với những người thu nhập thấp hơn, giảm trừ gia cảnh tăng nên tôi thấy mình được đối xử công bằng hơn.</t>
  </si>
  <si>
    <t>Tôi phải đóng mức thuế hợp lý cho thu nhập của mình, điều này thể hiện sự công bằng trong việc phân chia gánh nặng thuế giữa các nhóm thu nhập khác nhau.</t>
  </si>
  <si>
    <t>Thuế tôi đóng sẽ được sử dụng để cải thiện dịch vụ công như y tế và hạ tầng, điều này tăng niềm tin vào sự quản lý hiệu quả của Nhà nước.</t>
  </si>
  <si>
    <t>Nhà nước đã minh bạch về mục tiêu và lý do sửa đổi thuế, nhưng vẫn cần nhiều thông tin hơn để tôi cảm thấy hoàn toàn yên tâm về việc sử dụng số tiền thuế.</t>
  </si>
  <si>
    <t>Sau khi tính toán tác động tài chính tích cực và sự đơn giản hóa quy trình làm việc với cơ quan thuế, tôi ủng hộ và tuân thủ chính sách mới.</t>
  </si>
  <si>
    <t>Dù quy định quản lý thuế hiện nay có nhiều cải tiến, nhưng thực tế việc phát hiện và xử lý trốn thuế vẫn còn khó khăn. Việc tăng giảm trừ gia cảnh và đơn giản hóa biểu thuế không đáng kể ảnh hưởng đến khả năng phát hiện gian lận.</t>
  </si>
  <si>
    <t>Cơ quan thuế có công nghệ hỗ trợ, nhưng việc kiểm soát và phát hiện trốn thuế vẫn phụ thuộc nhiều vào sự thực thi của nhân viên. Tuy nhiên, mức độ cải tiến về mặt quản lý đã tăng đáng kể.</t>
  </si>
  <si>
    <t>So với trước đây, quy trình khai thuế và làm việc với cơ quan thuế trở nên đơn giản hơn, nhưng vẫn cần thời gian để người dân quen thuộc. Tuy nhiên, mức độ thuận tiện đã tăng đáng kể.</t>
  </si>
  <si>
    <t>Biểu thuế mới có ít bậc hơn và giảm trừ gia cảnh cao hơn, khiến việc tính thuế dễ dàng hơn. Điều này giúp tôi hiểu rõ hơn về các bậc thuế và không còn cảm thấy bị bối rối.</t>
  </si>
  <si>
    <t>Tôi tin rằng cơ quan thuế sẽ thực thi chính sách một cách công bằng, nhưng vẫn lo ngại về khả năng phát hiện gian lận. Việc cải tiến về mặt quản lý đã tạo ra niềm tin nhất định.</t>
  </si>
  <si>
    <t>Nguyên tắc giảm trừ gia cảnh và các bậc thuế mới đều hợp lý với thu nhập của tôi, cho thấy mức thuế này là công bằng. Tuy nhiên, vẫn cần thêm thời gian để quen thuộc.</t>
  </si>
  <si>
    <t>Nhà nước đã sử dụng số tiền thuế này vào các dịch vụ công như y tế và đường xá, nhưng tôi vẫn lo ngại về hiệu quả quản lý. Tuy nhiên, mức độ tin tưởng vẫn đang tăng.</t>
  </si>
  <si>
    <t>Nhà nước đã giải thích rõ ràng về mục tiêu của việc sửa đổi thuế này, tạo ra sự minh bạch và niềm tin nhất định. Tôi ủng hộ cải cách này.</t>
  </si>
  <si>
    <t>Sau khi xem xét các quyền lợi và nghĩa vụ, tôi ủng hộ chính sách mới vì nó giúp giảm thuế cho thu nhập của tôi và đơn giản hóa quy trình khai báo. Tuy nhiên, vẫn cần thêm thời gian để quen thuộc.</t>
  </si>
  <si>
    <t>Chính phủ đã tăng mức giảm trừ gia cảnh và đơn giản hóa biểu thuế, do đó hành vi gian lận sẽ khó phát hiện hơn. Tuy nhiên, khả năng phát hiện của cơ quan thuế vẫn tốt.</t>
  </si>
  <si>
    <t>Nhà nước đã đầu tư công nghệ và nhân lực để quản lý thuế hiệu quả, do đó việc xử lý nghiêm các hành vi trốn thuế là có thể.</t>
  </si>
  <si>
    <t>Thủ tục khai báo thuế trở nên đơn giản hơn với mức giảm trừ gia cảnh cao và biểu thuế ngắn gọn hơn. Tuy nhiên, vẫn cần thời gian để mọi người quen thuộc.</t>
  </si>
  <si>
    <t>Các bậc thuế mới rõ ràng hơn, dễ hiểu và dễ thực hiện so với trước đây nhờ việc giảm số bậc từ 7 xuống 5.</t>
  </si>
  <si>
    <t>Mức thuế không thay đổi do mức thu nhập thấp hơn mức giảm trừ gia cảnh. Tôi tin rằng Nhà nước sẽ công bằng trong quá trình thực thi chính sách.</t>
  </si>
  <si>
    <t>Thuế tôi phải đóng vẫn ở mức thấp, do vậy tôi thấy nó hợp lý với mức thu nhập của mình.</t>
  </si>
  <si>
    <t>Mức thuế này được sử dụng để cải thiện các dịch vụ công như y tế và giao thông. Tôi tin rằng việc đóng thuế sẽ mang lại lợi ích cho cộng đồng.</t>
  </si>
  <si>
    <t>Nhà nước đã giải thích rõ mục tiêu của việc sửa đổi thuế, tuy nhiên tôi hy vọng có thêm thông tin về cách sử dụng số tiền thuế để cải thiện dịch vụ công.</t>
  </si>
  <si>
    <t>Sau khi xem xét, tôi ủng hộ chính sách mới vì nó đơn giản hóa quy trình và giảm gánh nặng cho người dân mà không thay đổi mức thuế</t>
  </si>
  <si>
    <t>Nếu các quy định quản lý thuế được thực thi chặt chẽ, tôi tin rằng hành vi gian lận sẽ dễ bị phát hiện và xử lý. Tuy nhiên, với mức độ cải cách mạnh mẽ về thuế như hiện nay, tôi đánh giá khả năng phát hiện và xử lý trốn thuế cũng tương đối cao.</t>
  </si>
  <si>
    <t>Nhà nước và cơ quan thuế đã đầu tư nhiều vào công nghệ để quản lý thuế. Tuy nhiên, việc cải cách mạnh mẽ này đòi hỏi thời gian để các hệ thống mới hoàn thiện.</t>
  </si>
  <si>
    <t>So với trước đây, quy trình làm việc và khai báo thuế đã đơn giản hơn rất nhiều. Mức giảm trừ gia cảnh tăng cao giúp quá trình tính thuế trở nên dễ dàng hơn.</t>
  </si>
  <si>
    <t>Biểu thuế mới có ít bậc hơn, việc tính toán cũng đơn giản hơn so với trước đây. Điều này giúp người dân hiểu rõ và thực hiện chính sách thuế một cách thuận tiện hơn.</t>
  </si>
  <si>
    <t>Nhà nước đã công bố rõ ràng về các thay đổi trong Luật Thuế TNCN, tôi tin rằng việc thực thi sẽ khách quan và công bằng đối với mọi người nộp thuế.</t>
  </si>
  <si>
    <t>Đối với mức thu nhập của tôi, mức thuế mới này là hợp lý. Mức giảm trừ gia cảnh tăng cao giúp tiết kiệm đáng kể so với trước đây.</t>
  </si>
  <si>
    <t>Tôi tin rằng số tiền thuế đóng sẽ được sử dụng hiệu quả cho các dịch vụ công, cải thiện chất lượng cuộc sống của người dân.</t>
  </si>
  <si>
    <t>Nhà nước đã giải thích rõ ràng về mục tiêu và lý do của việc sửa đổi thuế. Điều này tăng sự tin tưởng vào chính sách mới.</t>
  </si>
  <si>
    <t>Sau khi xem xét các quyền lợi và nghĩa vụ, tôi ủng hộ và sẽ tuân thủ chính sách mới hiện nay. Chính sách cải cách thuế mang lại nhiều lợi ích cho người dân như tôi.</t>
  </si>
  <si>
    <t>Thuế hiện tại có nhiều biện pháp quản lý, nhưng vẫn còn khả năng trốn thuế nếu người dân không cung cấp đầy đủ thông tin.</t>
  </si>
  <si>
    <t>Cơ quan thuế đã nâng cao công nghệ và nguồn lực để phát hiện gian lận, nhưng thực tế việc kiểm soát toàn diện vẫn còn hạn chế.</t>
  </si>
  <si>
    <t>Quy trình khai báo và làm việc với cơ quan thuế có cải thiện so với trước đây, đặc biệt là với việc đơn giản hóa biểu thuế.</t>
  </si>
  <si>
    <t>Biểu thuế mới rõ ràng hơn, dễ hiểu và dễ thực hiện, giúp tôi tính toán chính xác hơn.</t>
  </si>
  <si>
    <t>Tôi tin rằng Nhà nước sẽ công bằng khi áp dụng quy định mới, nhưng vẫn có một số lo ngại về cách thực thi.</t>
  </si>
  <si>
    <t>Lựa chọn giảm trừ gia cảnh cao hơn và số bậc thuế ít đi giúp tôi thấy mức thuế đóng là hợp lý.</t>
  </si>
  <si>
    <t>Tôi tin rằng tiền thuế đóng góp sẽ được sử dụng hiệu quả để cải thiện dịch vụ công, nhưng còn cần thêm minh bạch về cách sử dụng.</t>
  </si>
  <si>
    <t>Nhà nước đã giải thích rõ ràng về mục tiêu của việc sửa đổi thuế lần này, giúp tôi hiểu được lý do.</t>
  </si>
  <si>
    <t>Tác động tài chính tích cực và sự đơn giản hóa quy trình làm việc với cơ quan thuế khiến tôi ủng hộ và tuân thủ chính sách mới.</t>
  </si>
  <si>
    <t>Nhà nước và cơ quan thuế có nhiều biện pháp kiểm soát, nhưng vẫn còn khả năng trốn thuế tồn tại.</t>
  </si>
  <si>
    <t>Cơ sở hạ tầng công nghệ của nhà nước đang ngày càng phát triển, tăng khả năng phát hiện hành vi trốn thuế.</t>
  </si>
  <si>
    <t>Thủ tục khai thuế và giao tiếp với cơ quan thuế dễ dàng hơn so với trước đây.</t>
  </si>
  <si>
    <t>Biểu thuế đơn giản hơn, giảm bớt rào cản cho người dân hiểu và thực hiện.</t>
  </si>
  <si>
    <t>Tôi tin rằng cơ quan thuế sẽ công bằng trong việc áp dụng chính sách mới.</t>
  </si>
  <si>
    <t>Thuế tôi phải đóng thấp hơn, cảm thấy hợp lý với thu nhập của mình.</t>
  </si>
  <si>
    <t>Tiền thuế đóng góp vào các dịch vụ công, tôi tin rằng chúng sẽ được sử dụng hiệu quả.</t>
  </si>
  <si>
    <t>Nhà nước đã giải thích rõ ràng về mục tiêu của việc sửa đổi chính sách thuế này.</t>
  </si>
  <si>
    <t>Nhà nước và cơ quan thuế có nhiều biện pháp để phát hiện gian lận, trốn thuế nên tôi tin rằng hành vi này sẽ khó xảy ra. Tuy nhiên, vẫn cần cải thiện thêm về công nghệ quản lý.</t>
  </si>
  <si>
    <t>Với sự phát triển của công nghệ và nguồn lực của cơ quan thuế, khả năng phát hiện, xử lý gian lận đã tốt hơn so với trước đây.</t>
  </si>
  <si>
    <t>Quy trình khai báo thuế trở nên đơn giản hơn, giảm bớt các bước cần thiết. Tuy nhiên, vẫn còn một số thủ tục phức tạp.</t>
  </si>
  <si>
    <t>Biểu thuế mới đơn giản hóa và dễ hiểu hơn so với trước đây, làm cho quá trình tính thuế trở nên thuận tiện hơn.</t>
  </si>
  <si>
    <t>Tôi tin rằng cơ quan thuế sẽ thực thi chính sách một cách công bằng nhưng vẫn cần thêm minh bạch về quy trình và tiêu chí thực hiện.</t>
  </si>
  <si>
    <t>Đối với thu nhập của tôi, mức thuế mới là hợp lý. Tuy nhiên, tôi nghĩ rằng việc giảm trừ gia cảnh nên được tăng mạnh hơn nữa.</t>
  </si>
  <si>
    <t>Tôi tin rằng số tiền thuế tôi đóng sẽ được sử dụng hiệu quả cho mục đích công cộng, nhưng cần có thêm thông tin về cách sử dụng cụ thể.</t>
  </si>
  <si>
    <t>Nhà nước đã giải thích rõ ràng về mục tiêu của việc sửa đổi thuế, tuy nhiên tôi mong muốn có thêm thông tin chi tiết về quy trình thực hiện.</t>
  </si>
  <si>
    <t>Tôi ủng hộ và tuân thủ chính sách mới vì nó mang lại lợi ích tài chính rõ ràng cho tôi. Tuy nhiên, vẫn cần cải thiện trong việc minh bạch hơn nữa.</t>
  </si>
  <si>
    <t>Dựa trên thông tin, tôi cho rằng khả năng phát hiện hành vi gian lận hoặc trốn thuế vẫn còn khó khăn. Tuy nhiên, với việc đơn giản hóa biểu thuế, các quy trình quản lý có thể trở nên hiệu quả hơn.</t>
  </si>
  <si>
    <t>Việc cải cách thuế mới đã tăng cường giảm trừ gia cảnh và đơn giản hóa bậc thuế, do đó khả năng phát hiện và xử lý trốn thuế có thể nâng cao.</t>
  </si>
  <si>
    <t>So với trước đây, quy trình khai báo thuế trở nên rõ ràng hơn nhưng vẫn đòi hỏi sự quan tâm từ người nộp thuế. Đơn giản hóa biểu thuế đã làm cho việc này dễ dàng hơn.</t>
  </si>
  <si>
    <t>Biểu thuế mới đơn giản và dễ hiểu, giúp tôi nắm bắt nhanh chóng các mức thu nhập chịu thuế và thuế suất tương ứng.</t>
  </si>
  <si>
    <t>Tôi tin rằng cơ quan thuế sẽ thực hiện chính sách một cách công bằng vì đã giải thích rõ ràng về mục tiêu cải cách, nhưng vẫn cần thêm thời gian để chứng minh.</t>
  </si>
  <si>
    <t>Với mức giảm trừ gia cảnh cao hơn và số bậc thuế ít hơn, tôi thấy mình đóng thuế hợp lý so với thu nhập hiện tại của mình.</t>
  </si>
  <si>
    <t>Thuế được sử dụng để cải thiện dịch vụ công là điều cần thiết. Tuy nhiên, việc sử dụng hiệu quả nguồn lực này vẫn chưa đủ minh bạch.</t>
  </si>
  <si>
    <t>Phương án thuế mới đã giải thích rõ ràng về mục tiêu và lý do của cải cách. Tôi tin rằng thông qua các cuộc họp công khai, việc này sẽ trở nên minh bạch hơn.</t>
  </si>
  <si>
    <t>Tôi ủng hộ chính sách mới vì nó giúp giảm tải thuế cho tôi và người phụ thuộc, đồng thời đơn giản hóa quy trình quản lý thuế.</t>
  </si>
  <si>
    <t>Hiện nay, với sự phát triển của công nghệ thông tin và quản lý thuế điện tử, cơ quan thuế có khả năng phát hiện hành vi gian lận hoặc trốn thuế dễ dàng hơn. Tuy nhiên, vẫn cần một hệ thống giám sát hiệu quả để đảm bảo không bỏ sót.</t>
  </si>
  <si>
    <t>Cơ quan thuế có công nghệ và nguồn lực cần thiết để phát hiện các hành vi trốn thuế, nhưng vẫn cần cải thiện trong việc xử lý nhanh chóng và minh bạch hơn nữa.</t>
  </si>
  <si>
    <t>So với trước đây, quy trình khai báo thuế và làm việc với cơ quan thuế đơn giản hơn. Tuy nhiên, vẫn còn một số thủ tục có thể cải thiện để tăng độ tiện lợi cho người nộp thuế.</t>
  </si>
  <si>
    <t>Các bậc thuế được đơn giản hóa từ 7 xuống 5 bậc, dễ hiểu và thực hiện hơn. Tuy nhiên, mức thuế vẫn cần có thêm giải thích rõ ràng để đảm bảo tính minh bạch.</t>
  </si>
  <si>
    <t>Tôi tin rằng Nhà nước sẽ thực thi chính sách một cách công tâm và đối xử bình đẳng với mọi người nộp thuế. Điều này tạo nên niềm tin vào hệ thống thuế hiện nay.</t>
  </si>
  <si>
    <t>Sau khi được giảm trừ gia cảnh nhiều hơn, tôi cảm thấy mức thuế mới là công bằng và hợp lý cho thu nhập của mình.</t>
  </si>
  <si>
    <t>Tôi tin rằng số tiền thuế đóng sẽ được sử dụng hiệu quả để cải thiện dịch vụ công. Việc giảm thuế giúp tăng niềm tin vào việc đầu tư của Nhà nước.</t>
  </si>
  <si>
    <t>Nhà nước đã giải thích rõ ràng về mục tiêu và lý do sửa đổi thuế, nhưng vẫn cần có thêm thông tin chi tiết để người dân hiểu hơn về tác động cụ thể tới từng đối tượng.</t>
  </si>
  <si>
    <t>Tôi ủng hộ chính sách mới vì nó tạo ra sự công bằng trong việc đóng góp thuế và đơn giản hóa quy trình khai báo. Điều này giúp tôi tuân thủ pháp luật một cách tự nguyện.</t>
  </si>
  <si>
    <t>Cơ quan thuế có nhiều công cụ và nguồn lực để phát hiện trốn thuế, nhưng vẫn cần cải thiện.</t>
  </si>
  <si>
    <t>Nhà nước đã đầu tư vào hệ thống công nghệ thông tin và nhân lực nên khả năng phát hiện trốn thuế tốt hơn.</t>
  </si>
  <si>
    <t>Quy trình khai báo thuế đơn giản hơn, nhưng vẫn cần cải thiện về độ tiện lợi khi sử dụng điện tử.</t>
  </si>
  <si>
    <t>Các bậc thuế đơn giản hơn, dễ hiểu và thực hiện thuận tiện hơn.</t>
  </si>
  <si>
    <t>Tôi tin Nhà nước sẽ thực thi chính sách công bằng nhưng vẫn cần minh bạch hơn về cách thực hiện.</t>
  </si>
  <si>
    <t>Thuế mới giảm đáng kể, tôi thấy mức thuế này là hợp lý cho thu nhập của mình.</t>
  </si>
  <si>
    <t>Tôi tin số tiền đóng thuế sẽ được sử dụng hiệu quả cho các dịch vụ công, nhưng cần minh bạch hơn.</t>
  </si>
  <si>
    <t>Nhà nước đã giải thích rõ mục tiêu của việc sửa đổi thuế, nhưng vẫn có thể làm rõ thêm.</t>
  </si>
  <si>
    <t>Tôi ủng hộ chính sách mới vì giảm được thuế và quy trình đơn giản hơn, đồng thời sẽ tuân thủ.</t>
  </si>
  <si>
    <t>Điều này khá lạc quan, nhưng thực tế, việc phát hiện và xử lý gian lận thuế phụ thuộc nhiều vào sự giám sát của người nộp thuế. Với quy định mới về giảm trừ gia cảnh, khả năng bị phát hiện trốn thuế có thể thấp hơn trước đây.</t>
  </si>
  <si>
    <t>Cơ quan thuế có công nghệ và nguồn lực để quản lý tốt hơn, tuy nhiên, hiệu quả thực tế phụ thuộc vào việc triển khai và giám sát.</t>
  </si>
  <si>
    <t>Quy trình mới đơn giản hơn, nhưng vẫn cần thời gian để quen với các bước mới. Việc sử dụng công nghệ như ứng dụng điện tử giúp quá trình thuận tiện hơn.</t>
  </si>
  <si>
    <t>Biểu thuế mới ít bậc và rõ ràng hơn, làm cho việc tính toán đơn giản hơn so với trước đây. Điều này giúp người dân dễ dàng nắm bắt quy định hơn.</t>
  </si>
  <si>
    <t>Tôi tin rằng Nhà nước sẽ thực thi chính sách công bằng nhưng không thể biết chắc chắn vì chưa có đủ thông tin về cách thức triển khai.</t>
  </si>
  <si>
    <t>Mức thuế mới đối với thu nhập của tôi là hợp lý, giảm đáng kể so với trước đây. Điều này khiến tôi cảm thấy công bằng hơn trong việc đóng góp cho xã hội.</t>
  </si>
  <si>
    <t>Tôi tin rằng số tiền thuế tôi đóng sẽ được sử dụng hiệu quả để cải thiện dịch vụ công, đặc biệt là y tế và giao thông. Tuy nhiên, cần thêm thông tin về chi tiêu cụ thể.</t>
  </si>
  <si>
    <t>Nhà nước đã giải thích rõ ràng về mục đích và lý do của việc sửa đổi thuế này, giúp tôi hiểu rõ hơn về quy định mới. Điều này làm tăng niềm tin vào hệ thống quản lý thuế.</t>
  </si>
  <si>
    <t>Trải qua quá trình xem xét, tôi ủng hộ chính sách mới và sẽ tuân thủ vì nó mang lại lợi ích rõ ràng cho tôi. Tôi hy vọng quy định này sẽ cải thiện tình hình tài chính chung.</t>
  </si>
  <si>
    <t>Dù cơ quan thuế có công nghệ phát hiện gian lận, nhưng tôi nghĩ rằng các quy định quản lý thuế vẫn chưa hoàn thiện nên khả năng phát hiện và xử lý nghiêm còn hạn chế.</t>
  </si>
  <si>
    <t>Nhà nước và cơ quan thuế đã đầu tư công nghệ để phát hiện gian lận, nhưng hiệu quả thực tế phụ thuộc vào nhiều yếu tố nên chưa thể đánh giá cao.</t>
  </si>
  <si>
    <t>Quy trình khai báo thuế đơn giản hơn, tuy nhiên vẫn còn những rào cản như việc phải chuẩn bị hồ sơ chi tiết.</t>
  </si>
  <si>
    <t>Cách tính thuế và các bậc thuế mới dễ hiểu hơn so với trước đây, giúp tôi nắm bắt dễ dàng hơn.</t>
  </si>
  <si>
    <t>Tôi tin rằng cơ quan thuế sẽ thực thi chính sách một cách công bằng, nhưng không hoàn toàn chắc chắn vì vẫn có thể xảy ra sai sót hoặc thiên vị.</t>
  </si>
  <si>
    <t>Mức thuế mới giảm đáng kể so với trước đây nên tôi cảm thấy hợp lý và công bằng hơn</t>
  </si>
  <si>
    <t>Thuế được sử dụng để cải thiện dịch vụ công, nhưng mức độ hiệu quả còn phụ thuộc vào quản lý và sử dụng chi tiêu của Nhà nước.</t>
  </si>
  <si>
    <t>Nhà nước đã giải thích rõ về mục đích sửa đổi thuế, tuy nhiên tôi vẫn mong muốn có thêm thông tin cụ thể hơn về việc thực hiện chính sách mới.</t>
  </si>
  <si>
    <t>Tôi ủng hộ và sẽ tuân thủ chính sách mới vì nó mang lại nhiều lợi ích cho tôi, đồng thời cũng góp phần giảm gian lận thuế.</t>
  </si>
  <si>
    <t>Cơ quan thuế có nhiều biện pháp phát hiện gian lận như kiểm tra hồ sơ, giám sát chuyển tiền và các công cụ công nghệ nên mức độ phát hiện cao.</t>
  </si>
  <si>
    <t>Nhà nước đã đầu tư vào công nghệ và nhân lực để cải thiện hiệu quả quản lý thuế.</t>
  </si>
  <si>
    <t>Quy trình khai báo thuế đơn giản hơn, không cần nhiều giấy tờ phức tạp như trước.</t>
  </si>
  <si>
    <t>Bậc thuế ít hơn và cách tính rõ ràng hơn giúp người dân dễ hiểu và thực hiện.</t>
  </si>
  <si>
    <t>Tất cả các đối tượng nộp thuế đều được ưu đãi về thuế, tạo sự công bằng trong việc đóng góp vào ngân sách nhà nước.</t>
  </si>
  <si>
    <t>Thuế mới giảm đáng kể so với trước đây, tôi thấy mức này là hợp lý cho thu nhập của mình.</t>
  </si>
  <si>
    <t>Nhà nước đã đầu tư vào nhiều dịch vụ công như y tế và cơ sở hạ tầng nên thuế đóng góp có ý nghĩa.</t>
  </si>
  <si>
    <t>Chính phủ đã giải thích rõ mục tiêu của cải cách thuế, tạo sự minh bạch trong quá trình thực hiện.</t>
  </si>
  <si>
    <t>Dù còn nghi ngờ đôi chút về quản lý thuế nhưng chính sách mới vẫn mang lại nhiều lợi ích nên tôi ủng hộ.</t>
  </si>
  <si>
    <t>Dù luật mới đơn giản hơn, nhưng thực tế quản lý thuế chưa thật hiệu quả nên khả năng phát hiện gian lận vẫn còn hạn chế.</t>
  </si>
  <si>
    <t>Cơ quan thuế có công nghệ để theo dõi, nhưng nguồn lực và nhân sự thì chưa đồng bộ.</t>
  </si>
  <si>
    <t>Thủ tục khai thuế trở nên đơn giản hơn với mức giảm trừ gia cảnh cao hơn, thuận tiện cho người dân.</t>
  </si>
  <si>
    <t>Bậc thuế ít hơn và rõ ràng hơn giúp tính toán nhanh chóng, dễ hiểu và thực hiện đơn giản</t>
  </si>
  <si>
    <t>Tôi tin rằng Nhà nước sẽ công bằng khi áp dụng các quy định mới cho mọi người nộp thuế.</t>
  </si>
  <si>
    <t>Thuế tôi phải đóng giảm đáng kể, nên tôi cảm thấy mức thuế mới là hợp lý và công bằng.</t>
  </si>
  <si>
    <t>Nhà nước đã giải thích về mục tiêu cải cách thuế để cải thiện dịch vụ công, tôi tin số tiền này sẽ được sử dụng hiệu quả.</t>
  </si>
  <si>
    <t>Tuy nhiên, việc giải thích cụ thể hơn và minh bạch hơn từ phía cơ quan thuế vẫn cần thiết.</t>
  </si>
  <si>
    <t>Tôi ủng hộ chính sách mới vì nó mang lại lợi ích tài chính rõ rệt cho tôi mà không làm phức tạp quá nhiều.</t>
  </si>
  <si>
    <t>Nhà nước đã tăng cường các biện pháp kiểm soát thuế, nhưng tôi vẫn lo ngại về việc phát hiện và xử lý trốn thuế.</t>
  </si>
  <si>
    <t>Cơ quan thuế có công nghệ hiện đại hơn nên khả năng phát hiện gian lận tăng lên.</t>
  </si>
  <si>
    <t>Quy trình khai báo và làm việc với cơ quan thuế đơn giản hơn, tiện lợi cho người dân.</t>
  </si>
  <si>
    <t>Tôi tin rằng chính phủ sẽ công bằng trong việc xử lý và thu thuế theo các quy định mới.</t>
  </si>
  <si>
    <t>Với mức thuế giảm do tăng trừ gia cảnh, tôi thấy mình đóng đúng mức cho thu nhập của mình.</t>
  </si>
  <si>
    <t>Thuế sẽ được sử dụng hiệu quả để nâng cao chất lượng dịch vụ công, cải thiện cuộc sống cho người dân.</t>
  </si>
  <si>
    <t>Chính phủ đã giải thích rõ mục tiêu và lý do của việc thay đổi thuế, tạo sự minh bạch trong quản lý tài chính.</t>
  </si>
  <si>
    <t>Tôi ủng hộ và tuân thủ chính sách mới vì nó mang lại lợi ích cho tôi và gia đình thông qua mức thuế thấp hơn.</t>
  </si>
  <si>
    <t>Dù thuế đã được đơn giản hóa, nhưng với mức giảm trừ gia cảnh cao hơn và số bậc thuế ít đi, tôi cảm thấy việc phát hiện gian lận trở nên khó khăn hơn. Tuy nhiên, các cơ quan quản lý vẫn có thể tận dụng công nghệ để theo dõi.</t>
  </si>
  <si>
    <t>Cơ quan thuế đã cải thiện đáng kể khả năng phát hiện và xử lý gian lận, nhưng cần thêm thời gian cho việc nâng cao năng lực về mặt kỹ thuật.</t>
  </si>
  <si>
    <t>Quy trình khai báo thuế dễ dàng hơn với mức giảm trừ gia cảnh cao hơn và số bậc thuế ít đi, thuận lợi cho người nộp thuế.</t>
  </si>
  <si>
    <t>Bậc thuế đơn giản hóa làm việc tính toán trở nên dễ dàng hơn. Mức thuế mới cũng phù hợp với thu nhập của tôi</t>
  </si>
  <si>
    <t>Tôi tin rằng Nhà nước sẽ thực thi chính sách công bằng và khách quan, nhưng cần thêm minh bạch trong việc sử dụng nguồn thu từ thuế.</t>
  </si>
  <si>
    <t>Thuế mới giảm đáng kể so với trước đây nên tôi thấy mức thuế này là hợp lý cho thu nhập của mình</t>
  </si>
  <si>
    <t>Thuê giảm và quy trình đơn giản hơn, tôi tin số tiền thuế đóng sẽ được sử dụng hiệu quả để cải thiện hạ tầng công cộng.</t>
  </si>
  <si>
    <t>Nhà nước đã giải thích rõ ràng về mục tiêu sửa đổi chính sách thuế, nhưng cần thêm thông tin chi tiết hơn về cách thức thực hiện</t>
  </si>
  <si>
    <t>Tôi ủng hộ và tuân thủ chính sách mới vì thuế giảm đáng kể và quy trình đơn giản hơn, giúp tôi quản lý tài chính dễ dàng hơn.</t>
  </si>
  <si>
    <t>Việc nâng cao mức giảm trừ gia cảnh và đơn giản hóa biểu thuế sẽ khiến việc gian lận trở nên khó khăn hơn, do đó tôi tin rằng hành vi gian lận hoặc trốn thuế sẽ dễ dàng bị phát hiện.</t>
  </si>
  <si>
    <t>Nhà nước đã đầu tư vào công nghệ và nguồn lực để cải thiện khả năng quản lý thuế, tăng cường giám sát và xử lý các hành vi trốn thuế một cách nghiêm túc.</t>
  </si>
  <si>
    <t>So với trước đây, quy trình khai báo thuế trở nên đơn giản hơn, giảm bớt thủ tục rườm rà, tiết kiệm thời gian cho người nộp thuế.</t>
  </si>
  <si>
    <t>Biểu thuế mới có ít bậc và rõ ràng hơn, giúp tôi dễ dàng tính toán và nắm bắt các quy định về thuế của mình.</t>
  </si>
  <si>
    <t>Mức thuế tôi phải đóng theo phương án mới là hợp lý, phù hợp với thu nhập của mình.</t>
  </si>
  <si>
    <t>Tôi tin tưởng rằng số tiền thuế tôi đóng sẽ được sử dụng hiệu quả để cải thiện các dịch vụ công như y tế và giao thông.</t>
  </si>
  <si>
    <t>Nhà nước đã giải thích rõ ràng về lý do và mục tiêu của việc sửa đổi thuế, giúp người dân hiểu và đồng tình với chính sách mới.</t>
  </si>
  <si>
    <t>Tôi ủng hộ và tuân thủ chính sách mới vì nó có lợi cho tôi và công bằng hơn so với trước đây.</t>
  </si>
  <si>
    <t>Hiện nay, cơ quan thuế có nhiều công cụ và công nghệ để phát hiện hành vi trốn thuế. Tuy nhiên, việc thực thi vẫn phụ thuộc vào hiệu quả của các biện pháp quản lý.</t>
  </si>
  <si>
    <t>Nhà nước đã đầu tư vào công nghệ và nhân lực để nâng cao khả năng phát hiện và xử lý trốn thuế. Điều này làm tăng khả năng phát hiện hành vi gian lận.</t>
  </si>
  <si>
    <t>Quy trình khai báo thuế trở nên đơn giản hơn với nhiều giảm trừ gia cảnh, điều này giúp thuận tiện trong việc thực hiện.</t>
  </si>
  <si>
    <t>Biểu thuế mới có ít bậc và dễ hiểu hơn, người dân dễ dàng áp dụng quy định mới vào thực tế.</t>
  </si>
  <si>
    <t>Tôi tin rằng cơ quan thuế sẽ công bằng trong việc thực thi chính sách, dù mức thuế có thay đổi. Điều này tạo niềm tin cho người nộp thuế.</t>
  </si>
  <si>
    <t>Mức thuế mới phù hợp với thu nhập của tôi, giảm gánh nặng tài chính và tăng sự công bằng trong việc đóng góp vào ngân sách nhà nước.</t>
  </si>
  <si>
    <t>Thuế đóng góp vào các dịch vụ công quan trọng như y tế và đường xá. Việc cải cách thuế giúp sử dụng hiệu quả nguồn lực của nhà nước.</t>
  </si>
  <si>
    <t>Nhà nước đã giải thích rõ về mục tiêu và lý do của việc sửa đổi chính sách thuế, tạo sự minh bạch và tin tưởng cho người dân.</t>
  </si>
  <si>
    <t>Sau khi xem xét các quyền lợi và nghĩa vụ, tôi ủng hộ và sẽ tuân thủ chính sách mới để đóng góp vào sự phát triển chung của đất nước.</t>
  </si>
  <si>
    <t>Nhà nước đã triển khai nhiều biện pháp giám sát thuế, công nghệ cao nên khả năng phát hiện gian lận và trốn thuế được cải thiện.</t>
  </si>
  <si>
    <t>Cơ quan thuế có đội ngũ nhân sự chuyên nghiệp cùng hệ thống quản lý thuế hiện đại, nâng cao hiệu quả trong việc xử lý các hành vi gian lận và trốn thuế.</t>
  </si>
  <si>
    <t>Quy trình khai báo thuế nay đơn giản hơn trước, thuận tiện qua ứng dụng điện tử, giảm thời gian thực hiện thủ tục.</t>
  </si>
  <si>
    <t>Biểu thuế mới có ít bậc và dễ hiểu hơn, giúp tính toán thuế nhanh chóng, chính xác.</t>
  </si>
  <si>
    <t>Thuế mới đã được điều chỉnh công bằng hơn với mức giảm trừ gia cảnh lớn, đảm bảo mọi người nộp thuế đều có cơ hội đóng góp bình đẳng cho xã hội.</t>
  </si>
  <si>
    <t>Những thay đổi trong biểu thuế giúp tôi thấy mức đóng của mình phù hợp với thu nhập hiện tại và công bằng hơn so với trước đây.</t>
  </si>
  <si>
    <t>Tài chính được sử dụng cho các dịch vụ công, như y tế, giáo dục, giao thông... giúp tôi tin tưởng số tiền thuế đóng sẽ có tác dụng tích cực trong xã hội.</t>
  </si>
  <si>
    <t>Nhà nước đã công khai giải thích về mục tiêu và lợi ích của việc cải cách thuế lần này, tăng cường sự minh bạch.</t>
  </si>
  <si>
    <t>Sau khi xem xét các quyền lợi mới và giảm trừ gia cảnh lớn hơn, tôi ủng hộ và tuân thủ chính sách mới vì chúng mang lại lợi ích rõ ràng cho người dân.</t>
  </si>
  <si>
    <t>Nội dung chính sách không đề cập rõ về khả năng phát hiện gian lận hoặc trốn thuế, nhưng mức giảm trừ gia cảnh cao khiến việc trốn thuế khó khăn hơn.</t>
  </si>
  <si>
    <t>Với sự cải tiến công nghệ và quản lý, các cơ quan thuế có khả năng phát hiện gian lận hoặc trốn thuế tốt hơn, nhưng không rõ ràng về thực tế.</t>
  </si>
  <si>
    <t>Thủ tục khai báo thuế và quy trình làm việc với cơ quan thuế trở nên đơn giản và nhanh chóng hơn do giảm số bậc thuế.</t>
  </si>
  <si>
    <t>Biểu thuế đơn giản hơn, dễ hiểu và thực hiện dễ dàng, phù hợp với thu nhập của tôi.</t>
  </si>
  <si>
    <t>Nhà nước đã cải thiện chính sách một cách công bằng và đối xử bình đẳng với mọi người nộp thuế.</t>
  </si>
  <si>
    <t>Người có thu nhập như tôi được giảm trừ gia cảnh nhiều hơn, mức thuế cũng hợp lý.</t>
  </si>
  <si>
    <t>Thuế đóng góp vào việc cải thiện dịch vụ công như y tế và hạ tầng giao thông.</t>
  </si>
  <si>
    <t>Tài liệu chính sách có giải thích rõ ràng về mục tiêu của việc sửa đổi thuế, nhưng không chi tiết về cách thực hiện.</t>
  </si>
  <si>
    <t>Chính sách mới phù hợp với tình hình kinh tế cá nhân và tôi sẽ ủng hộ và tuân thủ nó.</t>
  </si>
  <si>
    <t>Công nghệ hiện đại ngày càng phát triển, đặc biệt với sự ra đời của phần mềm và hệ thống quản lý thuế tự động. Điều này tăng cường khả năng giám sát và xử lý các hành vi gian lận.</t>
  </si>
  <si>
    <t>Nhà nước đã đầu tư vào công nghệ thông tin để cải thiện hiệu quả quản lý, đồng thời có nhiều cơ quan thực thi pháp luật như Cục Thuế, Công an...</t>
  </si>
  <si>
    <t>Quy trình khai thuế và làm việc với cơ quan thuế đã đơn giản hơn. Nhiều dịch vụ trực tuyến hỗ trợ người dân nộp thuế thuận tiện.</t>
  </si>
  <si>
    <t>Biểu thuế mới có ít bậc, dễ dàng tính toán và thực hiện hơn so với trước đây</t>
  </si>
  <si>
    <t>Tôi tin rằng Nhà nước sẽ công tâm trong việc thực thi chính sách. Các quy định mới nhằm giảm gánh nặng thuế cho người dân.</t>
  </si>
  <si>
    <t>Sau khi xem xét, mức thuế tôi phải đóng là hợp lý và công bằng so với thu nhập của mình</t>
  </si>
  <si>
    <t>Thuế đóng góp vào các dịch vụ công như y tế, giáo dục và hạ tầng. Tôi tin rằng số tiền thuế sẽ được sử dụng hiệu quả.</t>
  </si>
  <si>
    <t>Nhà nước đã giải thích rõ về mục đích của việc sửa đổi thuế. Tuy nhiên, chi tiết hơn nữa sẽ tăng thêm sự tin tưởng</t>
  </si>
  <si>
    <t>Tôi ủng hộ và tuân thủ chính sách mới vì nó giảm gánh nặng thuế, đơn giản hóa quy trình khai báo và công bằng về mặt tài chính.</t>
  </si>
  <si>
    <t>Việc tăng mức giảm trừ gia cảnh và đơn giản hóa biểu thuế có thể làm giảm khả năng phát hiện hành vi gian lận trốn thuế. Tuy nhiên, các quy định quản lý thuế vẫn cần cải thiện để tránh trường hợp trốn thuế.</t>
  </si>
  <si>
    <t>Cơ quan thuế đã có công nghệ và nguồn lực tốt hơn để giám sát hành vi gian lận. Tuy nhiên, vấn đề về quản lý thông tin cá nhân và bảo mật vẫn cần được cải thiện.</t>
  </si>
  <si>
    <t>So với trước đây, quy trình làm việc với cơ quan thuế đã đơn giản hơn nhiều do giảm số bậc thuế. Thủ tục khai báo thuế cũng thuận tiện hơn nhờ công nghệ điện tử.</t>
  </si>
  <si>
    <t>Biểu thuế mới đơn giản và dễ hiểu hơn, giúp tôi dễ dàng tính toán và nộp thuế. Tuy nhiên, cần thêm hướng dẫn cụ thể để người dân nắm bắt nhanh chóng.</t>
  </si>
  <si>
    <t>Tôi tin rằng cơ quan thuế sẽ thực thi chính sách một cách công bằng. Tuy nhiên, việc minh bạch quy trình thực thi và xử lý vi phạm vẫn cần được cải thiện.</t>
  </si>
  <si>
    <t>Mức thuế mới mà tôi phải đóng là hợp lý và công bằng so với thu nhập của tôi. Tuy nhiên, việc tăng mức giảm trừ gia cảnh giúp tiết kiệm đáng kể chi phí thuế</t>
  </si>
  <si>
    <t>Tôi tin rằng số tiền thuế tôi đóng sẽ được sử dụng hiệu quả để cải thiện dịch vụ công. Tuy nhiên, cần có báo cáo định kỳ về việc sử dụng nguồn lực này.</t>
  </si>
  <si>
    <t>Nhà nước đã giải thích rõ ràng về mục tiêu của việc sửa đổi thuế lần này. Tuy nhiên, việc cung cấp thông tin chi tiết hơn về hiệu quả sử dụng nguồn thuế vẫn cần được cải thiện.</t>
  </si>
  <si>
    <t>Tôi ủng hộ và tuân thủ chính sách mới vì mức thuế giảm đáng kể giúp tôi tiết kiệm tiền cho gia đình. Tuy nhiên, việc minh bạch hơn trong quá trình thực thi vẫn cần được cải thiện.</t>
  </si>
  <si>
    <t>Nếu cơ quan thuế có công nghệ phát hiện gian lận, việc trốn thuế sẽ khó hơn. Mặc dù chưa biết chi tiết về công nghệ của họ nhưng với quy định mới rõ ràng và giảm trừ gia cảnh tăng lên, tôi tin rằng hành vi gian lận sẽ bị phát hiện dễ dàng.</t>
  </si>
  <si>
    <t>Việc thuế giảm và có thêm giảm trừ gia cảnh cho thấy cơ quan thuế đã cải thiện khả năng quản lý. Tuy nhiên, tôi vẫn lo ngại về sự minh bạch và công khai trong việc phát hiện gian lận.</t>
  </si>
  <si>
    <t>Quy trình làm việc với cơ quan thuế trở nên đơn giản hơn do số bậc thuế giảm. Việc tính toán thuế cũng dễ dàng hơn, giúp tôi tiết kiệm thời gian và công sức.</t>
  </si>
  <si>
    <t>Số bậc thuế từ 7 xuống còn 5 đã đơn giản hóa quy trình tính thuế. Điều này giúp người dân hiểu rõ hơn về cách đóng thuế của mình mà không cần sự hỗ trợ từ bên ngoài.</t>
  </si>
  <si>
    <t>Nhà nước đã minh bạch trong việc công bố các thay đổi và mục tiêu. Tuy nhiên, tôi vẫn lo ngại về cách thực thi chính sách mới có thể gây bất lợi cho một số đối tượng.</t>
  </si>
  <si>
    <t>Thu nhập của tôi nằm ở mức trung bình nên tôi thấy thuế mới này là công bằng. Tuy nhiên, tôi vẫn lo ngại về cách tính thuế của những người có thu nhập cao hơn hoặc thấp hơn.</t>
  </si>
  <si>
    <t>Đồng ý với việc số tiền thuế tôi đóng sẽ được sử dụng hiệu quả để cải thiện dịch vụ công. Tuy nhiên, tôi vẫn lo ngại về khả năng quản lý và sử dụng nguồn lực của nhà nước.</t>
  </si>
  <si>
    <t>Nhà nước đã giải thích rõ ràng về mục tiêu của việc sửa đổi thuế mới. Mặc dù vẫn có một số điều cần cải thiện, tôi tin rằng chính sách mới sẽ được thực hiện công bằng và minh bạch.</t>
  </si>
  <si>
    <t>Tôi ủng hộ và tuân thủ chính sách mới vì nó đơn giản hóa quy trình tính thuế và giảm bớt gánh nặng tài chính. Tuy nhiên, tôi vẫn mong muốn có thêm sự minh bạch về cách sử dụng nguồn thu từ thuế.</t>
  </si>
  <si>
    <t>Công nghệ ngày càng phát triển, tôi tin rằng cơ quan thuế sẽ có nhiều công cụ để phát hiện hành vi gian lận, nhưng không hoàn toàn chắc chắn.</t>
  </si>
  <si>
    <t>Nhà nước đã đầu tư vào hệ thống thông tin và công nghệ thuế nên khả năng phát hiện trốn thuế tốt hơn trước đây.</t>
  </si>
  <si>
    <t>Quy trình khai báo thuế đơn giản hóa, thủ tục dễ dàng hơn so với trước đây.</t>
  </si>
  <si>
    <t>Biểu thuế mới có ít bậc hơn nên việc tính toán và thực hiện đơn giản hơn rất nhiều.</t>
  </si>
  <si>
    <t>Tôi tin rằng cơ quan thuế sẽ công bằng trong việc thực thi chính sách, nhưng vẫn lo ngại về sự không nhất quán.</t>
  </si>
  <si>
    <t>Cùng mức thu nhập và số người phụ thuộc, tôi thấy mức thuế mới là hợp lý hơn so với trước đây.</t>
  </si>
  <si>
    <t>Thuê đóng góp vào việc cải thiện dịch vụ công, nhưng vẫn lo ngại về hiệu quả sử dụng ngân sách.</t>
  </si>
  <si>
    <t>Nhà nước đã giải thích rõ ràng mục tiêu của chính sách mới, tôi tin rằng đây là một bước tiến tích cực.</t>
  </si>
  <si>
    <t>Sau khi tính toán lợi ích tài chính và sự đơn giản hóa quy trình, tôi ủng hộ và tuân thủ chính sách mới.</t>
  </si>
  <si>
    <t>Tăng cường công nghệ và quản lý thuế có thể giúp phát hiện hành vi gian lận hoặc trốn thuế hiệu quả hơn, nhưng vẫn cần sự nỗ lực từ phía người nộp thuế để tuân thủ.</t>
  </si>
  <si>
    <t>Cơ quan thuế có khả năng và công nghệ tốt để quản lý thuế, nhưng việc thực thi và xử lý các hành vi gian lận cần sự phối hợp chặt chẽ giữa nhiều bộ phận.</t>
  </si>
  <si>
    <t>Thủ tục khai báo thuế đơn giản hơn với số bậc thuế ít đi, nhưng vẫn cần thời gian để làm quen và nắm bắt các quy định mới.</t>
  </si>
  <si>
    <t>Cách tính thuế rõ ràng hơn với số bậc thuế giảm, giúp việc thực hiện đơn giản và dễ hiểu hơn so với trước đây.</t>
  </si>
  <si>
    <t>Tôi tin rằng Nhà nước sẽ thực thi chính sách một cách công bằng cho mọi người nộp thuế, nhưng vẫn cần thêm thời gian để xem xét hiệu quả thực tế.</t>
  </si>
  <si>
    <t>Mức thuế mới được tính toán dựa trên thu nhập cá nhân của tôi là phù hợp và công bằng, thể hiện sự cân nhắc giữa người thu nhập thấp và cao.</t>
  </si>
  <si>
    <t>Thuế đóng góp vào các dịch vụ công quan trọng như y tế và hạ tầng giao thông, giúp nâng cao chất lượng cuộc sống cho tôi và cộng đồng.</t>
  </si>
  <si>
    <t>Nhà nước đã giải thích rõ mục tiêu của việc sửa đổi thuế, nhưng vẫn cần thêm minh bạch về cách sử dụng nguồn thu để tăng niềm tin</t>
  </si>
  <si>
    <t>Sau khi xem xét các quyền lợi và nghĩa vụ, tôi ủng hộ và tuân thủ chính sách mới vì nó đơn giản hơn, công bằng hơn và giúp tiết kiệm chi phí thuế.</t>
  </si>
  <si>
    <t>Dù có quy định quản lý thuế nhưng với mức giảm trừ gia cảnh cao hơn, tôi nghi ngờ khả năng phát hiện trốn thuế của cơ quan thuế.</t>
  </si>
  <si>
    <t>Khả năng công nghệ của cơ quan thuế chưa rõ ràng, nhưng tăng mức giảm trừ gia cảnh có thể làm giảm hiệu quả trong việc phát hiện trốn thuế.</t>
  </si>
  <si>
    <t>Quy trình khai báo và làm việc với cơ quan thuế đã đơn giản hơn so với trước đây, tạo cảm giác thuận tiện cho người dân.</t>
  </si>
  <si>
    <t>Biểu thuế mới có ít bậc hơn nhưng mức thuế suất chưa rõ ràng dẫn đến khó hiểu và phức tạp trong quá trình tính toán.</t>
  </si>
  <si>
    <t>Tôi tin rằng cơ quan thuế sẽ thực thi chính sách một cách công bằng, nhưng với mức giảm trừ gia cảnh cao hơn, tôi có nghi ngờ về sự công bằng trong việc đánh giá thu nhập.</t>
  </si>
  <si>
    <t>Mức thuế mới phù hợp với thu nhập của tôi và mức giảm trừ gia cảnh tăng lên khiến tôi cảm thấy mình đóng góp một phần vào xã hội.</t>
  </si>
  <si>
    <t>Thuế được sử dụng để cải thiện dịch vụ công, nhưng với mức thuế cao hơn so với trước đây, tôi không chắc chắn về việc số tiền đóng có được sử dụng hiệu quả hay không.</t>
  </si>
  <si>
    <t>Nhà nước đã giải thích rõ ràng về mục tiêu của chính sách mới nhưng vẫn còn nhiều thắc mắc về cách tính thuế và mức giảm trừ gia cảnh.</t>
  </si>
  <si>
    <t>Tôi ủng hộ chính sách mới vì nó tạo ra sự công bằng hơn trong việc đánh giá thu nhập, đồng thời tôi sẽ tuân thủ quy định để đóng góp cho xã hội.</t>
  </si>
  <si>
    <t>Dù có khả năng phát hiện gian lận, nhưng với lượng công việc lớn cần quản lý và xử lý, tôi không hoàn toàn tin rằng hành vi gian lận sẽ được phát hiện nhanh chóng.</t>
  </si>
  <si>
    <t>Nếu Nhà nước có đủ nguồn lực và công nghệ, việc phát hiện gian lận và trốn thuế sẽ dễ dàng hơn. Tuy nhiên, thực tế không phải lúc nào cũng như vậy.</t>
  </si>
  <si>
    <t>Quy trình khai báo và làm việc với cơ quan thuế đã đơn giản hóa đáng kể so với trước đây, do đó thuận tiện hơn nhiều cho người dân.</t>
  </si>
  <si>
    <t>Số bậc thuế giảm từ 7 xuống 5, kèm theo mức giảm trừ gia cảnh lớn hơn, khiến việc tính toán và thực hiện thuế trở nên dễ dàng hơn.</t>
  </si>
  <si>
    <t>Tôi tin rằng Nhà nước sẽ công bằng trong việc thực thi chính sách mới, nhưng vẫn cần thêm thời gian để kiểm chứng sự khách quan và công tâm của cơ quan thuế.</t>
  </si>
  <si>
    <t>Mức thuế mới phù hợp với thu nhập của tôi, giảm trừ gia cảnh lớn hơn giúp tôi tiết kiệm được một khoản tiền đáng kể, điều này thể hiện tính công bằng trong chính sách.</t>
  </si>
  <si>
    <t>Tài chính công sẽ được sử dụng hiệu quả để cải thiện các dịch vụ công. Tuy nhiên, việc giám sát và đánh giá hiệu quả sử dụng ngân sách cần thêm thời gian.</t>
  </si>
  <si>
    <t>Nhà nước đã giải thích rõ ràng mục tiêu của chính sách mới, nhưng tôi mong muốn có thêm thông tin về cách thực hiện cụ thể hơn nữa để hiểu rõ hơn.</t>
  </si>
  <si>
    <t>Tôi ủng hộ chính sách mới vì nó mang lại lợi ích tài chính cho cá nhân, đơn giản hóa quy trình khai báo và làm việc với cơ quan thuế. Tuy nhiên, tôi cần thêm thời gian để đánh giá hiệu quả thực tế của chính sách.</t>
  </si>
  <si>
    <t>Như một công dân bình thường, tôi tin rằng với sự phát triển của công nghệ và hệ thống quản lý thuế hiện đại, hành vi gian lận hoặc trốn thuế sẽ dễ dàng bị phát hiện. Tuy nhiên, việc thực thi vẫn phụ thuộc vào năng lực và quyết tâm của cơ quan chức năng.</t>
  </si>
  <si>
    <t>Nhà nước đã đầu tư nhiều vào hệ thống công nghệ thông tin để quản lý thuế một cách hiệu quả. Tôi tin rằng điều này sẽ giúp tăng cường khả năng phát hiện và xử lý các hành vi trốn thuế.</t>
  </si>
  <si>
    <t>So với trước đây, quy trình làm việc với cơ quan thuế trở nên đơn giản hơn nhiều. Điều này khiến tôi cảm thấy thuận tiện hơn khi thực hiện các thủ tục khai báo thuế.</t>
  </si>
  <si>
    <t>Biểu thuế mới đã được đơn giản hóa, giảm số bậc từ 7 xuống còn 5. Điều này làm cho việc tính thuế trở nên dễ dàng và dễ hiểu hơn.</t>
  </si>
  <si>
    <t>Tôi tin rằng Nhà nước sẽ thực thi chính sách một cách công bằng và khách quan đối với tất cả mọi người nộp thuế. Các quy định mới đã giúp tôi tiết kiệm được nhiều chi phí, do đó tôi cảm thấy việc đóng thuế trở nên hợp lý hơn.</t>
  </si>
  <si>
    <t>Dựa trên mức thuế mới mà tôi phải đóng, tôi cho rằng nó là công bằng và phù hợp với thu nhập của mình. Mức giảm trừ gia cảnh cũng đã tăng lên đáng kể, do đó việc nộp thuế trở nên dễ dàng hơn.</t>
  </si>
  <si>
    <t>Tôi tin tưởng rằng số tiền thuế mà tôi đóng sẽ được sử dụng hiệu quả để cải thiện các dịch vụ công như y tế và cơ sở hạ tầng. Điều này làm tăng niềm tin của tôi vào việc Nhà nước quản lý nguồn lực một cách minh bạch.</t>
  </si>
  <si>
    <t>Nhà nước đã giải thích rõ ràng về mục tiêu và lý do của việc sửa đổi thuế lần này. Điều này giúp tăng niềm tin của tôi vào quyết định của chính phủ.</t>
  </si>
  <si>
    <t>Sau khi xem xét tất cả các yếu tố, tôi hoàn toàn ủng hộ và tuân thủ chính sách mới hiện nay. Mức thuế giảm và việc đơn giản hóa quy trình làm việc với cơ quan thuế đã tạo ra sự thuận tiện cho người dân.</t>
  </si>
  <si>
    <t>Cơ quan thuế có nhiều công cụ phát hiện gian lận, tuy nhiên vẫn còn khả năng trốn thuế khó phát hiện.</t>
  </si>
  <si>
    <t>Nhà nước đã đầu tư vào công nghệ và nhân lực để tăng cường quản lý thuế, nhưng vấn đề về cấu trúc tổ chức vẫn còn tồn tại.</t>
  </si>
  <si>
    <t>Quy trình khai báo thuế đơn giản hơn, thời gian chờ đợi giảm đáng kể.</t>
  </si>
  <si>
    <t>Biểu thuế đơn giản hóa giúp tính toán dễ dàng hơn và rõ ràng hơn so với trước đây.</t>
  </si>
  <si>
    <t>Tôi tin rằng các quy định mới được thực thi công bằng đối với mọi người nộp thuế, dựa trên thu nhập.</t>
  </si>
  <si>
    <t>Mức thuế mới giảm đi đáng kể so với trước đây, tôi thấy điều này là hợp lý cho thu nhập của mình.</t>
  </si>
  <si>
    <t>Thuế được sử dụng để cải thiện hạ tầng và dịch vụ công, tạo lợi ích xã hội</t>
  </si>
  <si>
    <t>Nhà nước đã cung cấp thông tin rõ ràng về mục tiêu của việc sửa đổi thuế, mặc dù có thể vẫn còn nhiều ý kiến khác nhau.</t>
  </si>
  <si>
    <t>Sau khi xem xét các quyền lợi và nghĩa vụ mới, tôi ủng hộ chính sách này vì nó mang lại lợi ích cho tôi và gia đình.</t>
  </si>
  <si>
    <t>Dù các quy định quản lý thuế có thể khó kiểm soát hoàn toàn, nhưng với sự tăng cường của giảm trừ gia cảnh và đơn giản hóa biểu thuế, khả năng phát hiện hành vi gian lận sẽ cải thiện đáng kể. Điều này mang lại cảm giác an tâm cho người dân.</t>
  </si>
  <si>
    <t>Nhà nước đã đầu tư vào công nghệ để theo dõi và xử lý thuế một cách hiệu quả hơn, giảm bớt khả năng trốn tránh. Đây là tín hiệu tích cực về sự cam kết của Nhà nước trong việc thực thi pháp luật.</t>
  </si>
  <si>
    <t>So với trước đây, quy trình khai thuế và giao tiếp với cơ quan thuế trở nên đơn giản hơn. Việc sử dụng công nghệ giúp quá trình này nhanh chóng và tiện lợi hơn nhiều</t>
  </si>
  <si>
    <t>Biểu thuế mới đơn giản hóa các bậc thuế, khiến việc tính toán và thực hiện dễ dàng hơn. Đây là cải tiến quan trọng cho người dân như tôi.</t>
  </si>
  <si>
    <t>Tôi tin rằng Nhà nước sẽ áp dụng chính sách một cách công bằng với mọi người nộp thuế, đảm bảo quyền lợi của người dân không bị ảnh hưởng tiêu cực</t>
  </si>
  <si>
    <t>Với mức giảm trừ gia cảnh tăng lên và số bậc thuế giảm xuống, tôi cảm thấy mình đóng đúng mức thuế tương xứng với thu nhập của mình. Điều này mang lại sự công bằng về mặt tài chính</t>
  </si>
  <si>
    <t>Nhà nước đã sử dụng tiền thuế để cải thiện các dịch vụ công, điều này cho thấy số tiền tôi đóng có tác động tích cực đến cộng đồng. Tôi tin tưởng vào việc sử dụng hiệu quả nguồn lực</t>
  </si>
  <si>
    <t>Nhà nước đã giải thích rõ ràng về mục tiêu và lý do của chính sách mới, giúp người dân hiểu được giá trị của nó. Điều này tăng cường niềm tin và sự chấp thuận</t>
  </si>
  <si>
    <t>Sau khi xem xét lợi ích từ các cải tiến trong chính sách thuế, tôi ủng hộ và sẵn lòng tuân thủ chính sách mới. Nó tạo ra một môi trường thuế công bằng hơn cho người dân như tôi</t>
  </si>
  <si>
    <t>Hiện nay, quản lý thuế đã được cải thiện đáng kể với công nghệ và hệ thống thông tin hiện đại. Tuy nhiên, việc phát hiện trốn thuế vẫn phụ thuộc vào sự giám sát của cá nhân và cơ quan thuế.</t>
  </si>
  <si>
    <t>Nhà nước đã đầu tư mạnh vào công nghệ và nguồn lực cho ngành thuế, tăng cường khả năng phát hiện hành vi gian lận. Tuy nhiên, vẫn còn một số rủi ro về sự không chính xác trong quản lý.</t>
  </si>
  <si>
    <t>Quy trình khai báo và làm việc với cơ quan thuế đã đơn giản hơn nhiều so với trước đây. Các thủ tục nay dễ hiểu và thực hiện thuận tiện hơn.</t>
  </si>
  <si>
    <t>Biểu thuế mới đơn giản, số bậc giảm từ 7 xuống còn 5 khiến việc tính toán dễ dàng hơn. Tuy nhiên, việc áp dụng các quy định vẫn có thể gây khó khăn cho một số người.</t>
  </si>
  <si>
    <t>Tôi tin rằng Nhà nước sẽ thực thi chính sách một cách công bằng và khách quan, nhưng vẫn có nguy cơ vi phạm quyền lợi cá nhân trong quá trình quản lý thuế.</t>
  </si>
  <si>
    <t>Mức giảm trừ gia cảnh cao hơn thu nhập của tôi nên tôi không phải đóng thuế. Điều này cho thấy mức thuế được điều chỉnh hợp lý và công bằng.</t>
  </si>
  <si>
    <t>Tôi tin rằng số tiền thuế đã đóng sẽ được sử dụng hiệu quả để cải thiện các dịch vụ công, nhưng vẫn có nguy cơ lãng phí tài chính do quản lý không tốt.</t>
  </si>
  <si>
    <t>Chính phủ đã giải thích rõ ràng về mục tiêu và lý do của việc sửa đổi thuế. Tuy nhiên, vẫn còn cần thêm thông tin chi tiết về cách sử dụng số tiền thuế.</t>
  </si>
  <si>
    <t>Tôi ủng hộ và tuân thủ chính sách mới vì mức thuế hợp lý và quy trình đơn giản hơn. Đây là một cải tiến đáng kể so với trước đây.</t>
  </si>
  <si>
    <t>Dù không phải đóng thuế, nhưng tôi vẫn tin rằng cơ quan thuế có đủ khả năng phát hiện hành vi trốn thuế.</t>
  </si>
  <si>
    <t>Khả năng công nghệ của Nhà nước ngày càng phát triển, giúp việc quản lý thuế trở nên hiệu quả hơn.</t>
  </si>
  <si>
    <t>Thủ tục khai báo thuế đã đơn giản hóa nhiều so với trước đây, dễ dàng thực hiện hơn.</t>
  </si>
  <si>
    <t>Bậc thuế mới rõ ràng và dễ hiểu hơn, giúp việc tính toán thuận tiện cho người dân.</t>
  </si>
  <si>
    <t>Tôi tin rằng việc công bố chính sách mới một cách minh bạch sẽ giúp đảm bảo tính khách quan trong quản lý thuế.</t>
  </si>
  <si>
    <t>Mức giảm trừ gia cảnh cao và số bậc thuế ít hơn làm cho mức thuế tôi phải đóng hợp lý.</t>
  </si>
  <si>
    <t>Dự kiến chi phí công khai sẽ được sử dụng hiệu quả, cải thiện chất lượng cuộc sống của người dân.</t>
  </si>
  <si>
    <t>Nhà nước đã giải thích rõ ràng về mục tiêu của chính sách mới, khiến tôi cảm thấy hài lòng.</t>
  </si>
  <si>
    <t>Tổng hợp các điểm trên, tôi ủng hộ và sẽ tuân thủ chính sách thuế mới.</t>
  </si>
  <si>
    <t>Ngoài việc có quy định quản lý thuế, tôi tin rằng cơ quan thuế cũng sẽ áp dụng công nghệ để phát hiện gian lận hoặc trốn thuế.</t>
  </si>
  <si>
    <t>Cơ quan thuế đã đầu tư vào công nghệ và nhân lực, tăng cường khả năng giám sát và xử lý vi phạm.</t>
  </si>
  <si>
    <t>Việc đơn giản hóa quy trình khai báo và làm việc với cơ quan thuế giúp tiết kiệm thời gian và giảm rắc rối.</t>
  </si>
  <si>
    <t>Biểu thuế mới có ít bậc hơn, dễ hiểu và thực hiện đơn giản hơn so với trước đây.</t>
  </si>
  <si>
    <t>Tôi tin rằng cơ quan thuế sẽ công bằng trong việc áp dụng chính sách</t>
  </si>
  <si>
    <t>Nhờ mức giảm trừ gia cảnh tăng lên và số bậc thuế đơn giản, tôi thấy mình đóng thuế công bằng hơn.</t>
  </si>
  <si>
    <t>Thuế tôi đóng sẽ được sử dụng hiệu quả để cải thiện các dịch vụ công</t>
  </si>
  <si>
    <t>Sau khi tính toán lợi ích, tôi đồng ý với chính sách mới và sẽ tuân thủ</t>
  </si>
  <si>
    <t>Dù không hoàn toàn chắc chắn, nhưng với các quy định quản lý thuế hiện tại, tôi tin rằng hành vi gian lận sẽ khó thoát khỏi sự phát hiện.</t>
  </si>
  <si>
    <t>Nhà nước có nhiều nguồn lực và công nghệ để giám sát thuế, tuy nhiên, việc thực thi vẫn phụ thuộc vào hiệu quả quản lý của cơ quan thuế.</t>
  </si>
  <si>
    <t>Thủ tục khai báo thuế và làm việc với cơ quan thuế trở nên đơn giản hơn, thuận tiện cho người dân.</t>
  </si>
  <si>
    <t>Cách tính thuế và các bậc thuế mới rõ ràng hơn, giảm bớt sự phức tạp trước đây.</t>
  </si>
  <si>
    <t>Tôi tin rằng Nhà nước sẽ thực thi chính sách một cách khách quan và công bằng đối với mọi người nộp thuế.</t>
  </si>
  <si>
    <t>Mức thuế mới phù hợp với thu nhập của tôi, thấy được sự công bằng trong việc đóng góp cho xã hội.</t>
  </si>
  <si>
    <t>Tôi tin rằng số tiền thuế đóng sẽ được sử dụng hiệu quả để cải thiện dịch vụ công và phát triển cơ sở hạ tầng.</t>
  </si>
  <si>
    <t>Nhà nước đã giải thích rõ ràng về mục tiêu của việc sửa đổi chính sách thuế, tạo niềm tin cho người dân.</t>
  </si>
  <si>
    <t>Sau khi xem xét các lợi ích và nghĩa vụ, tôi ủng hộ và tuân thủ chính sách mới vì nó phù hợp với tình hình thực tế và công bằng hơn.</t>
  </si>
  <si>
    <t>Công nghệ hiện đại giúp phát hiện trốn thuế dễ dàng hơn, nhưng mức giảm trừ gia cảnh lớn có thể khiến việc quản lý khó khăn.</t>
  </si>
  <si>
    <t>Nhà nước đã đầu tư công nghệ để cải thiện khả năng quản lý thuế, tuy nhiên vẫn cần thời gian thích ứng.</t>
  </si>
  <si>
    <t>Quy trình khai báo và làm việc với cơ quan thuế nhanh chóng hơn so với trước đây, giảm bớt rườm rà.</t>
  </si>
  <si>
    <t>Biểu thuế đơn giản hóa khiến việc tính toán dễ dàng hơn, thuận lợi cho người dân.</t>
  </si>
  <si>
    <t>Tôi tin rằng cơ quan thuế sẽ thực thi chính sách một cách công bằng, nhưng vẫn có lo ngại về sự thống nhất trong thực thi.</t>
  </si>
  <si>
    <t>Nhìn chung mức thuế mới là hợp lý so với thu nhập của tôi, giảm trừ gia cảnh lớn giúp cải thiện.</t>
  </si>
  <si>
    <t>Thuế đóng góp vào các dịch vụ công có thể cải thiện chất lượng cuộc sống, nhưng hiệu quả sử dụng nguồn lực còn hạn chế.</t>
  </si>
  <si>
    <t>Tác động tài chính tích cực giúp tôi ủng hộ việc tuân thủ chính sách mới.</t>
  </si>
  <si>
    <t>Nếu Nhà nước có quy định quản lý thuế chặt chẽ, việc trốn thuế sẽ giảm. Việc nâng mức giảm trừ gia cảnh và đơn giản hóa biểu thuế cũng giúp kiểm soát dễ dàng hơn.</t>
  </si>
  <si>
    <t>Cơ quan thuế đã tăng cường công nghệ để phát hiện gian lận, trốn thuế. Điều này thể hiện sự cam kết của Nhà nước trong việc thực thi luật pháp một cách minh bạch.</t>
  </si>
  <si>
    <t>Quy trình khai thuế và làm việc với cơ quan thuế trở nên đơn giản hơn, giảm thời gian chờ đợi và thủ tục rườm rà. Điều này giúp tăng sự thuận tiện cho người dân.</t>
  </si>
  <si>
    <t>Bảng thuế mới đơn giản hóa bậc thuế từ 7 xuống 5, làm việc tính toán dễ dàng hơn. Mức giảm trừ gia cảnh cũng được nâng cao, giúp mọi người nộp thuế thuận lợi hơn.</t>
  </si>
  <si>
    <t>Nhà nước đã công bố rõ ràng về mục tiêu và lý do của chính sách mới, tạo niềm tin cho người dân. Bảng thuế mới cũng phù hợp với thu nhập thực tế của tôi.</t>
  </si>
  <si>
    <t>Mức thuế giảm sau khi áp dụng bảng thuế mới là công bằng. Mức giảm trừ gia cảnh và bậc thuế đã được điều chỉnh phù hợp với thu nhập bình quân hiện nay.</t>
  </si>
  <si>
    <t>Tăng mức giảm trừ gia cảnh giúp số tiền thuế tôi đóng ít hơn, đồng thời cải thiện các dịch vụ công. Điều này thể hiện sự đầu tư của Nhà nước vào người dân.</t>
  </si>
  <si>
    <t>Nhà nước đã giải thích rõ ràng về chính sách mới, từ đó tạo niềm tin cho người dân rằng họ sẽ được đối xử công bằng trong việc đóng thuế.</t>
  </si>
  <si>
    <t>Sau khi xem xét tất cả các yếu tố, tôi ủng hộ và tuân thủ chính sách mới. Đây là một bước tiến tích cực trong quản lý tài chính quốc gia.</t>
  </si>
  <si>
    <t>Chính phủ đã tăng cường công nghệ và cơ chế phát hiện hành vi trốn thuế, đồng thời có các biện pháp xử lý nghiêm minh. Điều này tạo niềm tin về khả năng quản lý của nhà nước.</t>
  </si>
  <si>
    <t>Cơ quan thuế đã sử dụng công nghệ hiệu quả để tăng cường việc phát hiện và xử lý trốn thuế, tạo điều kiện thuận lợi cho người nộp thuế tuân thủ.</t>
  </si>
  <si>
    <t>So với trước đây, quy trình khai báo thuế đơn giản hơn. Tuy nhiên, vẫn còn một số rắc rối trong việc xác định thu nhập và các trừ đã làm giảm điểm.</t>
  </si>
  <si>
    <t>Biểu thuế mới đơn giản hóa thành 5 bậc thay vì 7, giúp dễ dàng tính toán hơn. Tuy nhiên, mức thuế suất vẫn khá phức tạp đối với người dân bình thường.</t>
  </si>
  <si>
    <t>Nhà nước đã công bố rõ ràng về chính sách mới và mục đích của nó, tạo niềm tin rằng các quy định sẽ được thực thi công bằng.</t>
  </si>
  <si>
    <t>Với thu nhập hiện tại, mức thuế mới là hợp lý. Việc tăng giảm trừ gia cảnh cũng đã giúp tiết kiệm đáng kể so với trước đây.</t>
  </si>
  <si>
    <t>Tài nguyên thuế được sử dụng để cải thiện các dịch vụ công, đặc biệt là y tế và giao thông, tạo niềm tin vào sự sử dụng hiệu quả của nguồn lực.</t>
  </si>
  <si>
    <t>Nhà nước đã giải thích rõ ràng về lý do và mục tiêu của việc sửa đổi thuế. Tuy nhiên, vẫn cần thêm các biện pháp minh bạch hơn.</t>
  </si>
  <si>
    <t>Tác động tài chính tích cực từ chính sách mới đã làm tăng sự ủng hộ đối với nó. Đồng thời, quy trình đơn giản hơn cũng tạo thuận lợi cho việc tuân thủ.</t>
  </si>
  <si>
    <t>Cơ quan thuế có nhiều biện pháp hiện đại để phát hiện hành vi trốn thuế, nhưng vẫn cần nâng cao hơn nữa.</t>
  </si>
  <si>
    <t>Việc áp dụng công nghệ trong quản lý thuế đã cải thiện đáng kể khả năng giám sát và xử lý các vụ việc gian lận hoặc trốn thuế.</t>
  </si>
  <si>
    <t>So với trước đây, quy trình khai báo thuế trở nên đơn giản hơn nhiều, thuận tiện cho người dân nộp thuế.</t>
  </si>
  <si>
    <t>Biểu thuế mới có ít bậc và rõ ràng hơn so với trước, dễ dàng áp dụng và tính toán</t>
  </si>
  <si>
    <t>Tôi tin rằng cơ quan thuế sẽ thực thi chính sách một cách công bằng, nhưng vẫn cần có thêm minh bạch.</t>
  </si>
  <si>
    <t>Mức thuế mới phù hợp với thu nhập của tôi và được cải thiện đáng kể so với trước đây</t>
  </si>
  <si>
    <t>Thuế đóng góp vào sự phát triển hạ tầng và dịch vụ công, nhưng cần thêm minh bạch về cách sử dụng.</t>
  </si>
  <si>
    <t>Nhà nước đã giải thích rõ ràng về mục tiêu của việc cải cách thuế, tôi tin rằng đây là một bước tiến đúng hướng</t>
  </si>
  <si>
    <t>Tác động tài chính tích cực và sự đơn giản hóa quy trình đã làm tăng khả năng ủng hộ và tuân thủ chính sách mới.</t>
  </si>
  <si>
    <t>Việc giảm trừ gia cảnh tăng cao và đơn giản hóa biểu thuế có thể làm giảm động lực cho hành vi gian lận, nhưng thực tế về khả năng phát hiện và xử lý trốn thuế của cơ quan thuế chưa chắc chắn.</t>
  </si>
  <si>
    <t>Nhu cầu về công nghệ và nguồn lực để phát hiện, xử lý trốn thuế không thay đổi rõ ràng trong chính sách mới, nhưng cải cách có thể giúp giảm gian lận nếu thực thi tốt.</t>
  </si>
  <si>
    <t>Quy trình khai báo thuế đơn giản hơn trước, nhưng việc tính toán và nộp thuế vẫn cần thời gian và hiểu biết về luật thuế.</t>
  </si>
  <si>
    <t>Biểu thuế đơn giản hơn, dễ hiểu hơn so với trước đây, giúp người dân thực hiện đúng nghĩa vụ của mình.</t>
  </si>
  <si>
    <t>Tôi tin rằng cơ quan thuế sẽ thực thi chính sách một cách công tâm và đối xử bình đẳng, mặc dù mức thuế mới có thể không hoàn toàn phù hợp với mọi người.</t>
  </si>
  <si>
    <t>Lý thuyết về công bằng là hợp lý, nhưng trong thực tế, việc giảm trừ gia cảnh tăng cao và đơn giản hóa biểu thuế sẽ giúp tôi tiết kiệm tiền.</t>
  </si>
  <si>
    <t>Nhà nước đã giải thích rõ ràng lý do và mục tiêu của việc sửa đổi chính sách thuế lần này.</t>
  </si>
  <si>
    <t>Tôi ủng hộ chính sách mới vì nó giúp tôi tiết kiệm tiền, dễ thực hiện hơn và cải thiện dịch vụ công</t>
  </si>
  <si>
    <t>Điều kiện quản lý thuế hiện tại chưa rõ ràng, nhưng với mức thuế giảm, tôi hy vọng hành vi gian lận sẽ giảm.</t>
  </si>
  <si>
    <t>Cơ quan thuế có công nghệ hiện đại nên khả năng phát hiện trốn thuế được cải thiện đáng kể.</t>
  </si>
  <si>
    <t>Quy trình khai báo đơn giản hơn, nhưng vẫn cần thời gian để làm quen với thay đổi.</t>
  </si>
  <si>
    <t>Bậc thuế ít hơn và rõ ràng hơn giúp tính toán nhanh chóng, dễ hiểu hơn.</t>
  </si>
  <si>
    <t>Tôi tin Nhà nước sẽ công bằng khi thực thi chính sách mới, mặc dù vẫn có nghi ngờ về khả năng thực hiện.</t>
  </si>
  <si>
    <t>Mức thuế giảm đáng kể giúp tôi cảm thấy công bằng hơn so với trước đây.</t>
  </si>
  <si>
    <t>Tiết kiệm được tiền thuế, tôi tin số tiền này sẽ được sử dụng hiệu quả cho dịch vụ công</t>
  </si>
  <si>
    <t>Nhà nước đã giải thích rõ ràng về mục đích của chính sách mới, nhưng cần thêm minh bạch hơn.</t>
  </si>
  <si>
    <t>Tôi ủng hộ chính sách mới vì lợi ích tài chính và sự đơn giản hóa quy trình.</t>
  </si>
  <si>
    <t>Hiện nay, cơ quan thuế có nhiều công cụ để phát hiện gian lận và trốn thuế, nhưng không phải tất cả các hành vi đều dễ dàng bị phát hiện. Tăng mức giảm trừ gia cảnh và đơn giản hóa biểu thuế có thể làm giảm rủi ro trốn thuế.</t>
  </si>
  <si>
    <t>Cơ quan thuế có khả năng sử dụng công nghệ cao để giám sát các giao dịch tài chính, nhưng hiệu quả này phụ thuộc vào nguồn lực và chiến lược của cơ quan. Việc giảm mức thuế cho người dân như tôi cũng có thể tăng sự tuân thủ.</t>
  </si>
  <si>
    <t>Quy trình khai thuế và giao dịch với cơ quan thuế trở nên đơn giản hơn, nhưng việc thực hiện qua mạng vẫn cần thời gian để làm quen. Việc giảm mức thuế cũng giúp cải thiện thuận tiện cho người nộp thuế.</t>
  </si>
  <si>
    <t>Bảng thuế mới đơn giản hóa quá trình tính toán và dễ dàng hơn so với trước đây, đặc biệt là với mức thuế thấp hơn. Điều này tạo ra sự thuận lợi cho người dân như tôi.</t>
  </si>
  <si>
    <t>Tôi tin rằng cơ quan thuế sẽ thực thi chính sách một cách công bằng và minh bạch, nhưng vẫn cần thêm các biện pháp để đảm bảo việc này. Việc giảm mức thuế cũng làm tăng niềm tin của tôi vào hệ thống.</t>
  </si>
  <si>
    <t>Mức thuế mới phù hợp với thu nhập của tôi và người dân cùng nhóm, tạo ra sự công bằng. Tuy nhiên, việc giảm thuế có thể khiến một số người giàu đóng góp ít hơn so với trước đây.</t>
  </si>
  <si>
    <t>Tôi tin rằng số tiền thuế mà tôi đóng sẽ được sử dụng hiệu quả để cải thiện dịch vụ công. Việc đơn giản hóa biểu thuế cũng tạo ra niềm tin về việc sử dụng nguồn lực một cách minh bạch.</t>
  </si>
  <si>
    <t>Nhà nước đã giải thích rõ ràng mục đích của việc sửa đổi thuế, nhưng cần thêm thông tin chi tiết về các biện pháp cụ thể để đảm bảo công bằng và hiệu quả.</t>
  </si>
  <si>
    <t>Tôi ủng hộ chính sách mới vì nó đơn giản hóa quy trình, giảm mức thuế cho tôi và tạo ra sự thuận tiện. Tuy nhiên, việc giảm thuế có thể làm thay đổi phân bổ nguồn lực trong xã hội.</t>
  </si>
  <si>
    <t>Thuật toán phát hiện gian lận và trốn thuế khá phức tạp, nhưng không hoàn toàn tin tưởng 100%.</t>
  </si>
  <si>
    <t>Cơ quan thuế đã có nhiều cải tiến công nghệ, nhưng vẫn cần thời gian để chứng minh hiệu quả.</t>
  </si>
  <si>
    <t>Thủ tục khai báo thuế và làm việc với cơ quan thuế đã đơn giản hơn, giảm bớt rắc rối.</t>
  </si>
  <si>
    <t>Biểu thuế mới rõ ràng hơn, dễ hiểu, nhưng vẫn có thể còn phức tạp đối với người không chuyên.</t>
  </si>
  <si>
    <t>Tin tưởng rằng Nhà nước sẽ thực thi chính sách công bằng, nhưng cần thời gian để chứng minh.</t>
  </si>
  <si>
    <t>Mức thuế mới phù hợp với thu nhập của tôi và gia đình, tạo cảm giác công bằng.</t>
  </si>
  <si>
    <t>Tin tưởng rằng số tiền thuế đóng sẽ được sử dụng hiệu quả cho các dịch vụ công</t>
  </si>
  <si>
    <t>Đã nhận thông tin chính sách mới từ nhiều nguồn, nhưng cần thêm minh bạch về chi tiêu.</t>
  </si>
  <si>
    <t>Tổng thể, chính sách mới có lợi cho tôi và gia đình, sẽ ủng hộ và tuân thủ</t>
  </si>
  <si>
    <t>Hiện nay, quy định quản lý thuế có nhiều cải tiến như tăng cường công nghệ và hệ thống giám sát, nên tôi tin rằng hành vi gian lận sẽ dễ bị phát hiện.</t>
  </si>
  <si>
    <t>Nhà nước đã đầu tư vào các công cụ kỹ thuật và nhân lực để đảm bảo hiệu quả quản lý thuế, tăng khả năng phát hiện trốn thuế.</t>
  </si>
  <si>
    <t>Thủ tục khai báo thuế trở nên đơn giản hơn với việc giảm số bậc thuế, khiến quá trình làm việc với cơ quan thuế thuận lợi hơn.</t>
  </si>
  <si>
    <t>Các bậc thuế mới rõ ràng và dễ hiểu hơn, giúp tôi dễ dàng tính toán và thực hiện.</t>
  </si>
  <si>
    <t>Nhà nước đã tăng mức giảm trừ gia cảnh và đơn giản hóa biểu thuế, tạo ra sự công bằng trong việc đánh giá thu nhập.</t>
  </si>
  <si>
    <t>Với thu nhập của tôi, mức thuế mới là hợp lý. Việc giảm thuế giúp tôi có thêm nguồn lực cho bản thân và cộng đồng.</t>
  </si>
  <si>
    <t>Thuế được sử dụng để cải thiện dịch vụ công, điều này mang lại lợi ích trực tiếp cho người dân như y tế và hạ tầng cơ sở.</t>
  </si>
  <si>
    <t>Nhà nước đã minh bạch về mục tiêu của việc sửa đổi thuế, giúp tôi hiểu rõ hơn về tầm nhìn dài hạn.</t>
  </si>
  <si>
    <t>Tôi ủng hộ chính sách mới vì nó mang lại nhiều lợi ích cho người dân và cải thiện chất lượng cuộc sống.</t>
  </si>
  <si>
    <t>Nói chung, với quy định quản lý thuế hiện tại, tôi cho rằng hành vi gian lận hoặc trốn thuế sẽ khó phát hiện và xử lý. Tuy nhiên, những cải cách trong lĩnh vực công nghệ thông tin có thể giúp nâng cao hiệu quả kiểm soát.</t>
  </si>
  <si>
    <t>Tôi tin rằng cơ quan thuế đã đầu tư vào công nghệ để phát hiện và xử lý trốn thuế. Tuy nhiên, việc thực thi vẫn phụ thuộc nhiều vào sự phối hợp giữa các cơ quan.</t>
  </si>
  <si>
    <t>So với trước đây, quy trình khai báo thuế trở nên đơn giản hơn nhưng vẫn cần cải thiện để trở nên nhanh chóng và tiện lợi hơn nữa.</t>
  </si>
  <si>
    <t>Các bậc thuế mới được đơn giản hóa, giúp việc tính toán dễ dàng hơn. Tuy nhiên, tôi cho rằng mức thuế mới vẫn cần thêm minh bạch để người dân hiểu rõ hơn.</t>
  </si>
  <si>
    <t>Tôi tin rằng cơ quan thuế sẽ thực thi chính sách một cách công tâm nhưng việc này phụ thuộc vào sự tuân thủ của cá nhân và doanh nghiệp.</t>
  </si>
  <si>
    <t>Mức thuế mới được giảm, giúp tôi cảm thấy mức đóng góp là hợp lý. Tuy nhiên, tôi mong muốn có thêm thông tin về cách sử dụng số tiền thuế này.</t>
  </si>
  <si>
    <t>Tôi tin rằng số tiền thuế đóng sẽ được sử dụng hiệu quả để cải thiện dịch vụ công nhưng cần minh bạch hơn trong việc phân bổ ngân sách.</t>
  </si>
  <si>
    <t>Nhà nước đã giải thích rõ về mục tiêu của chính sách mới. Tuy nhiên, tôi hy vọng có thêm thông tin cụ thể về các dự án được tài trợ từ số thuế này.</t>
  </si>
  <si>
    <t>Sau khi xem xét tất cả các yếu tố, tôi ủng hộ và tuân thủ chính sách mới. Việc giảm trừ gia cảnh và đơn giản hóa quy trình khai báo giúp cải thiện đáng kể.</t>
  </si>
  <si>
    <t>Nhìn chung, quy định quản lý thuế hiện nay có nhiều cải tiến, nhưng vẫn còn phụ thuộc vào sự tuân thủ của cá nhân và doanh nghiệp. Tuy nhiên, với hệ thống công nghệ hiện đại, khả năng phát hiện gian lận đã được nâng cao.</t>
  </si>
  <si>
    <t>Nhà nước và cơ quan thuế có nhiều nguồn lực và công nghệ để giám sát và xử lý các hành vi trốn thuế. Tuy nhiên, vẫn cần cải thiện thêm về mặt thực thi.</t>
  </si>
  <si>
    <t>So với trước đây, quy trình khai báo thuế trở nên đơn giản hơn, nhưng còn phụ thuộc vào sự hiểu biết và tuân thủ của người nộp thuế. Sự thay đổi trong cách tính thuế cũng giúp thuận tiện hơn.</t>
  </si>
  <si>
    <t>Biểu thuế mới có ít bậc hơn và dễ thực hiện hơn, giảm bớt rắc rối cho người dân. Tuy nhiên, vẫn cần thêm hướng dẫn cụ thể để sử dụng tốt hơn.</t>
  </si>
  <si>
    <t>Tôi tin rằng Nhà nước sẽ công tâm trong việc thực thi chính sách mới. Mức thuế hiện tại cũng được điều chỉnh phù hợp với thu nhập của tôi, tạo cảm giác công bằng.</t>
  </si>
  <si>
    <t>Thuế mà tôi phải đóng là hợp lý so với mức thu nhập của mình. Việc giảm trừ gia cảnh và số bậc thuế mới đã giúp cải thiện đáng kể.</t>
  </si>
  <si>
    <t>Tôi tin rằng thuế mà tôi đóng sẽ được sử dụng hiệu quả để cải thiện dịch vụ công, như y tế và đường xá. Chính sách này tạo niềm tin vào sự quản lý tài chính của Nhà nước.</t>
  </si>
  <si>
    <t>Nhà nước đã giải thích rõ ràng về mục tiêu và lý do của việc cải cách thuế. Tuy nhiên, cần thêm thông tin chi tiết về các biện pháp cụ thể để đạt được mục tiêu này.</t>
  </si>
  <si>
    <t>Tôi ủng hộ chính sách mới vì nó mang lại lợi ích tài chính và thuận tiện cho người dân. Tôi sẽ tuân thủ đúng quy định.</t>
  </si>
  <si>
    <t>Hiện nay, với sự phát triển của công nghệ và quản lý thuế hiện đại, tôi tin rằng hành vi gian lận hay trốn thuế sẽ dễ dàng bị phát hiện. Tuy nhiên, vì vẫn có những trường hợp khó khăn trong việc kiểm soát, nên điểm số không được cao.</t>
  </si>
  <si>
    <t>Nhà nước và cơ quan thuế đã đầu tư vào công nghệ để cải thiện khả năng quản lý thuế, cho thấy họ có đủ năng lực phát hiện và xử lý các hành vi trốn thuế. Tuy nhiên, vẫn còn cần nhiều nỗ lực hơn.</t>
  </si>
  <si>
    <t>Các thủ tục khai báo thuế trở nên đơn giản hơn với việc giảm số bậc thuế. Điều này làm cho quá trình giao tiếp với cơ quan thuế thuận tiện và dễ dàng hơn.</t>
  </si>
  <si>
    <t>Biểu thuế mới đơn giản hóa các bậc thuế, giúp người dân hiểu rõ hơn về cách tính thuế của mình. Điều này làm tăng sự thuận tiện trong việc thực hiện nghĩa vụ thuế.</t>
  </si>
  <si>
    <t>Tôi tin rằng Nhà nước sẽ thực thi chính sách một cách công bằng và khách quan. Việc giảm trừ gia cảnh được tăng lên giúp đảm bảo tính bình đẳng giữa các đối tượng nộp thuế.</t>
  </si>
  <si>
    <t>Mức thuế mới có vẻ hợp lý cho thu nhập của tôi, điều này làm tăng sự công bằng trong việc phân bổ gánh nặng thuế. Tuy nhiên, vẫn cần thêm thời gian để quen với các thay đổi.</t>
  </si>
  <si>
    <t>Số tiền thuế tôi đóng sẽ được sử dụng hiệu quả cho lợi ích chung của xã hội, từ đó cải thiện chất lượng cuộc sống. Tuy nhiên, cần có thêm minh bạch về cách sử dụng số tiền này.</t>
  </si>
  <si>
    <t>Nhà nước đã giải thích rõ ràng mục tiêu và lý do của việc sửa đổi thuế, điều này làm tăng sự tin tưởng vào quyết định của họ. Tuy nhiên, vẫn cần thêm thông tin chi tiết về quá trình thực hiện.</t>
  </si>
  <si>
    <t>Sau khi xem xét các quyền lợi và nghĩa vụ, tôi ủng hộ chính sách mới vì nó mang lại nhiều thuận tiện và công bằng hơn cho người dân. Tôi sẽ tuân thủ chính sách này.</t>
  </si>
  <si>
    <t>Hiện nay, cơ quan thuế có nhiều công cụ và nguồn lực để phát hiện hành vi trốn thuế. Với sự hỗ trợ của công nghệ, việc giám sát trở nên dễ dàng hơn.</t>
  </si>
  <si>
    <t>Nhà nước đã đầu tư vào hệ thống thông tin và đào tạo nhân viên thuế, do đó khả năng phát hiện và xử lý vi phạm được cải thiện.</t>
  </si>
  <si>
    <t>Các quy trình làm việc với cơ quan thuế trở nên đơn giản hơn. Việc giảm số bậc thuế đã giúp quá trình tính toán và khai báo dễ dàng hơn.</t>
  </si>
  <si>
    <t>Biểu thuế mới đơn giản hóa quy trình, người dân có thể hiểu rõ hơn về cách tính thuế và các bậc thuế suất.</t>
  </si>
  <si>
    <t>Nhà nước đã thực hiện cải cách một cách công khai, do đó tạo niềm tin cho người nộp thuế về sự khách quan của chính sách mới.</t>
  </si>
  <si>
    <t>Mức giảm trừ gia cảnh và mức thu nhập chịu thuế thấp hơn giúp tôi thấy rằng mức thuế mới là công bằng đối với người có thu nhập như tôi.</t>
  </si>
  <si>
    <t>Việc sử dụng số tiền thuế để cải thiện dịch vụ công thể hiện sự cam kết của Nhà nước trong việc sử dụng nguồn lực hiệu quả.</t>
  </si>
  <si>
    <t>Nhà nước đã giải thích rõ ràng về mục tiêu và lý do sửa đổi luật thuế, tạo cảm giác rằng quyết định này được thực hiện một cách minh bạch.</t>
  </si>
  <si>
    <t>Tôi ủng hộ chính sách mới vì nó mang lại lợi ích tài chính và đơn giản hóa quy trình thuế. Tôi sẽ tuân thủ các quy định.</t>
  </si>
  <si>
    <t>Thuế theo luật mới không áp dụng nên khả năng phát hiện trốn thuế giảm, nhưng cơ quan thuế vẫn có thể kiểm soát thông qua các hệ thống giám sát khác.</t>
  </si>
  <si>
    <t>Mặc dù cải cách đã đơn giản hóa quy trình và giảm gánh nặng cho người dân, nhưng khả năng phát hiện trốn thuế còn phụ thuộc vào công nghệ và nguồn lực của cơ quan thuế.</t>
  </si>
  <si>
    <t>Quy trình khai báo thuế trở nên đơn giản hơn với mức giảm trừ gia cảnh cao hơn, điều này thuận lợi cho người dân.</t>
  </si>
  <si>
    <t>Biểu thuế mới có ít bậc và rõ ràng hơn so với trước đây, giúp việc tính toán dễ dàng hơn cho người nộp thuế.</t>
  </si>
  <si>
    <t>Nếu các quy định được thực thi công bằng, tôi sẽ tin tưởng vào sự khách quan của cơ quan thuế. Tuy nhiên, với lợi ích về tài chính mà luật mới mang lại, tôi có thêm niềm tin.</t>
  </si>
  <si>
    <t>Mức thuế giảm và lợi ích từ các giảm trừ gia cảnh hợp lý cho thu nhập của tôi, tạo cảm giác công bằng.</t>
  </si>
  <si>
    <t>Tiết kiệm được tiền thuế giúp cải thiện chất lượng cuộc sống, do đó tôi tin rằng số tiền thuế đóng sẽ được sử dụng hiệu quả.</t>
  </si>
  <si>
    <t>Tuy nhiên, thông tin về mục tiêu của chính sách mới chưa đầy đủ nên độ minh bạch còn hạn chế.</t>
  </si>
  <si>
    <t>Dựa trên lợi ích tài chính và sự đơn giản hóa quy trình thuế, tôi ủng hộ và tuân thủ chính sách mới.</t>
  </si>
  <si>
    <t>Điều kiện thực thi thuế hiện tại vẫn chưa hoàn thiện, nhưng với mức giảm trừ gia cảnh cao hơn và số bậc thuế đơn giản hơn, hành vi gian lận sẽ ít xảy ra. Nhà nước có khả năng phát hiện và xử lý nghiêm các trường hợp trốn thuế.</t>
  </si>
  <si>
    <t>Cơ quan thuế đã tăng cường công nghệ quản lý, tuy nhiên thực tế việc thực thi vẫn còn hạn chế do nguồn lực chưa đồng bộ. Tuy nhiên, với quy định mới, khả năng phát hiện trốn thuế sẽ cao hơn.</t>
  </si>
  <si>
    <t>Thủ tục khai báo thuế và làm việc với cơ quan thuế đã đơn giản hóa so với trước đây. Việc giảm trừ gia cảnh rõ ràng giúp người dân dễ dàng thực hiện.</t>
  </si>
  <si>
    <t>So với quy định cũ, biểu thuế mới có số bậc ít hơn nhưng mức thuế suất cụ thể nên việc tính toán và áp dụng trở nên đơn giản hơn. Người nộp thuế dễ hiểu và dễ thực hiện hơn.</t>
  </si>
  <si>
    <t>Tôi tin rằng Nhà nước sẽ công bằng trong việc thực thi chính sách mới, nhưng vẫn cần thêm thời gian để chứng minh tính khách quan của quy định này.</t>
  </si>
  <si>
    <t>Dựa trên mức thu nhập và giảm trừ gia cảnh tăng lên, tôi thấy mức thuế mới là hợp lý. Tuy nhiên, cần thêm thời gian để nhận thức về sự công bằng.</t>
  </si>
  <si>
    <t>Sau khi xem xét, tôi tin rằng số tiền thuế đóng sẽ được sử dụng hiệu quả cho dịch vụ công, nhưng vẫn cần thêm minh bạch từ phía Nhà nước để tăng niềm tin.</t>
  </si>
  <si>
    <t>Nhà nước đã giải thích rõ ràng về mục tiêu của việc cải cách thuế, tuy nhiên việc thực hiện và giám sát quy định mới còn hạn chế.</t>
  </si>
  <si>
    <t>Tôi ủng hộ chính sách mới vì nó giúp giảm gánh nặng tài chính và đơn giản hóa thủ tục, đồng thời sẽ tuân thủ để hưởng lợi từ cải cách này.</t>
  </si>
  <si>
    <t>Nhà nước đã tăng cường công nghệ và nhân lực, cho thấy khả năng phát hiện gian lận thuế sẽ cao hơn.</t>
  </si>
  <si>
    <t>Việc áp dụng công nghệ trong quản lý thuế giúp Nhà nước có thể xử lý nhanh chóng các vấn đề về trốn thuế.</t>
  </si>
  <si>
    <t>Quy trình khai báo và làm việc với cơ quan thuế đã đơn giản hơn, tiết kiệm thời gian cho người dân.</t>
  </si>
  <si>
    <t>Biểu thuế mới đơn giản hóa bậc thuế, giúp người dân dễ tính toán và tuân thủ.</t>
  </si>
  <si>
    <t>Mức giảm trừ gia cảnh tăng lên cho thấy sự công bằng trong cách đánh thuế.</t>
  </si>
  <si>
    <t>Thu nhập của tôi nằm ở bậc thuế thấp, mức thuế mới phù hợp với thu nhập hiện tại.</t>
  </si>
  <si>
    <t>Việc tăng giảm trừ gia cảnh và đơn giản hóa biểu thuế cho thấy số tiền đóng sẽ được sử dụng hiệu quả hơn.</t>
  </si>
  <si>
    <t>Nhà nước đã cung cấp thông tin chi tiết về việc cải cách, khiến tôi cảm thấy minh bạch trong quá trình thực thi chính sách.</t>
  </si>
  <si>
    <t>Tôi ủng hộ và tuân thủ chính sách mới vì nó phù hợp với thu nhập hiện tại của tôi và mang lại nhiều lợi ích hơn.</t>
  </si>
  <si>
    <t>Hiện nay, cơ quan thuế có nhiều biện pháp để phát hiện hành vi gian lận hoặc trốn thuế, từ việc sử dụng công nghệ đến các cuộc thanh tra bất ngờ. Tuy nhiên, vẫn cần cải thiện hơn nữa để tăng cường hiệu quả quản lý.</t>
  </si>
  <si>
    <t>Nhà nước đã đầu tư vào hệ thống công nghệ thông tin cho cơ quan thuế, giúp nâng cao khả năng phát hiện và xử lý trốn thuế nhanh chóng. Tuy nhiên, vẫn cần thời gian để tất cả các quy trình hoạt động mượt mà.</t>
  </si>
  <si>
    <t>Các thủ tục khai báo thuế đã đơn giản hơn so với trước đây, đặc biệt là việc tính thuế theo các bậc mới. Điều này giúp người nộp thuế dễ dàng hơn trong việc thực hiện nghĩa vụ của mình.</t>
  </si>
  <si>
    <t>Biểu thuế mới có ít bậc và ngưỡng chịu thuế rõ ràng hơn, khiến việc tính toán và tuân thủ luật thuế trở nên dễ dàng. Điều này làm giảm rào cản cho người dân trong quá trình khai báo.</t>
  </si>
  <si>
    <t>Tôi tin rằng Nhà nước sẽ thực thi chính sách một cách công bằng, nhưng việc kiểm soát và minh bạch cần được cải thiện để tăng thêm niềm tin của người dân vào hệ thống thuế mới.</t>
  </si>
  <si>
    <t>Thuế mới theo phương án này phù hợp với thu nhập của tôi. Việc giảm trừ gia cảnh tăng lên giúp tôi tiết kiệm tiền, điều đó làm cho mức thuế trở nên công bằng hơn đối với người dân có hoàn cảnh tương tự.</t>
  </si>
  <si>
    <t>Tôi tin rằng số tiền thuế đóng sẽ được sử dụng hiệu quả để cải thiện dịch vụ công. Tuy nhiên, cần minh bạch rõ ràng hơn về cách sử dụng nguồn thu từ thuế để tăng thêm niềm tin.</t>
  </si>
  <si>
    <t>Nhà nước đã giải thích rõ ràng mục tiêu và lý do của việc sửa đổi thuế. Tuy nhiên, vẫn cần có nhiều thông tin chi tiết hơn về quy trình thực thi mới.</t>
  </si>
  <si>
    <t>Dựa trên các lợi ích từ chính sách mới như giảm trừ gia cảnh tăng lên và quy định thuế đơn giản hóa, tôi ủng hộ và sẽ tuân thủ chính sách này. Việc cải cách giúp tạo ra một môi trường kinh doanh công bằng hơn.</t>
  </si>
  <si>
    <t>Dù chưa có nhiều thông tin về quản lý thuế, nhưng với cải cách mạnh mẽ trong việc đơn giản hóa quy trình và tăng giảm trừ gia cảnh, khả năng phát hiện gian lận hoặc trốn thuế có thể cao hơn.</t>
  </si>
  <si>
    <t>Nhà nước đã đầu tư vào công nghệ để cải thiện quản lý thuế, do đó khả năng phát hiện và xử lý nghiêm minh các hành vi gian lận hoặc trốn thuế có thể tăng lên đáng kể.</t>
  </si>
  <si>
    <t>Quy trình khai báo thuế trở nên đơn giản hơn, giảm bớt rườm rà và mất thời gian cho người dân, do đó thuận tiện hơn so với trước đây.</t>
  </si>
  <si>
    <t>Biểu thuế mới có ít bậc hơn và rõ ràng hơn, dễ dàng áp dụng đối với người nộp thuế, giúp việc tính toán và thực hiện thuế trở nên đơn giản hơn.</t>
  </si>
  <si>
    <t>Tôi tin rằng các quy định mới sẽ được thực thi một cách công bằng và minh bạch, nhưng cần thời gian để kiểm chứng hiệu quả của nó.</t>
  </si>
  <si>
    <t>Mức thuế mới có vẻ hợp lý dựa trên thu nhập cá nhân của tôi, do đó tôi thấy việc đóng thuế theo biểu thuế mới là công bằng.</t>
  </si>
  <si>
    <t>Tôi tin rằng số tiền thuế tôi đóng sẽ được sử dụng hiệu quả để cải thiện các dịch vụ công, nhưng cần thời gian để xem xét thực tế.</t>
  </si>
  <si>
    <t>Nhà nước đã giải thích rõ ràng về mục tiêu và lý do của việc sửa đổi thuế lần này, nên tôi cảm thấy mình được thông tin đầy đủ.</t>
  </si>
  <si>
    <t>Sau khi cân nhắc các điểm trên, tôi ủng hộ chính sách mới vì nó mang lại lợi ích tài chính và thuận tiện cho người dân.</t>
  </si>
  <si>
    <t>Dù có các quy định quản lý thuế hiện nay, tôi vẫn nghi ngờ khả năng phát hiện trốn thuế vì một số doanh nghiệp nhỏ và cá nhân vẫn sử dụng các phương pháp không chính thức. Tuy nhiên, nếu công nghệ và đội ngũ cơ quan thuế được nâng cấp mạnh mẽ, khả năng này có thể tăng lên.</t>
  </si>
  <si>
    <t>Nhà nước đã đầu tư nhiều vào công nghệ hiện đại, nên tôi tin rằng khả năng phát hiện trốn thuế sẽ được cải thiện đáng kể. Tuy nhiên, vẫn cần thêm thời gian để xem xét thực tế.</t>
  </si>
  <si>
    <t>Quy trình khai báo thuế và làm việc với cơ quan thuế đã đơn giản hơn nhiều so với trước đây, nhất là khi sử dụng các ứng dụng điện tử. Tôi thấy tiện lợi hơn rất nhiều.</t>
  </si>
  <si>
    <t>Biểu thuế mới có ít bậc hơn và dễ hiểu hơn, giảm tải công việc cho người dân trong tính toán mức thuế phải nộp. Điều này làm tôi cảm thấy cách tính thuế hiện nay đơn giản hơn nhiều.</t>
  </si>
  <si>
    <t>Tôi tin rằng cơ quan thuế sẽ thực thi chính sách một cách khách quan và công bằng, nhưng vẫn cần thêm thời gian để xem xét thực tế. Các quy định mới này giúp giảm gánh nặng tài chính cho người dân.</t>
  </si>
  <si>
    <t>Mức thuế tôi phải đóng theo phương án mới là hợp lý so với thu nhập của mình, giúp giảm áp lực tài chính. Điều này làm tôi cảm thấy công bằng hơn.</t>
  </si>
  <si>
    <t>Tôi tin rằng số tiền thuế tôi đóng sẽ được sử dụng hiệu quả để cải thiện các dịch vụ công, nhưng cần thêm thời gian và minh bạch về cách sử dụng nguồn thu</t>
  </si>
  <si>
    <t>Nhà nước đã giải thích rõ ràng về mục tiêu của việc sửa đổi thuế lần này, giúp tôi hiểu được lý do sau lưng chính sách mới. Điều này làm tăng niềm tin của tôi.</t>
  </si>
  <si>
    <t>Các quyền lợi và nghĩa vụ theo chính sách mới rất rõ ràng, giúp tôi tuân thủ dễ dàng hơn. Tôi ủng hộ việc cải cách thuế để giảm gánh nặng cho người dân và tăng hiệu quả sử dụng nguồn thu</t>
  </si>
  <si>
    <t>Dù tôi không hoàn toàn tin rằng hành vi gian lận hoặc trốn thuế sẽ dễ dàng bị phát hiện, nhưng với việc tăng mức giảm trừ gia cảnh và đơn giản hóa biểu thuế, tôi cảm thấy các cơ quan thuế có thể quản lý hiệu quả hơn.</t>
  </si>
  <si>
    <t>Như đã đề cập, với sự cải cách mới, tôi tin rằng cơ quan thuế sẽ có đủ công nghệ và khả năng để theo dõi và xử lý các hành vi trốn thuế một cách công bằng.</t>
  </si>
  <si>
    <t>So với trước đây, quy trình khai báo thuế đã đơn giản hơn nhiều. Việc giảm bớt các bước phức tạp giúp tôi dễ dàng hơn trong việc thực hiện nghĩa vụ thuế của mình.</t>
  </si>
  <si>
    <t>Biểu thuế mới có ít bậc hơn và mức thuế suất rõ ràng hơn, khiến việc tính toán và nộp thuế trở nên thuận tiện và dễ hiểu hơn.</t>
  </si>
  <si>
    <t>Tôi tin rằng Nhà nước sẽ thực thi chính sách một cách công bằng đối với mọi người. Sự cải cách đã mang lại lợi ích cho tôi, điều này làm tăng niềm tin của tôi vào sự công minh trong việc quản lý thuế.</t>
  </si>
  <si>
    <t>Như đã đề cập, mức thuế mới mà tôi phải đóng là hợp lý và công bằng đối với thu nhập của tôi. Sự cải cách này đã giảm gánh nặng tài chính cho tôi.</t>
  </si>
  <si>
    <t>Tôi tin rằng số tiền thuế tôi đóng sẽ được sử dụng hiệu quả để cải thiện các dịch vụ công, từ đó nâng cao chất lượng cuộc sống của tôi và cộng đồng.</t>
  </si>
  <si>
    <t>Nhà nước đã giải thích rõ ràng về mục tiêu của việc cải cách thuế này. Tuy nhiên, để tăng thêm niềm tin, họ cần cung cấp thông tin chi tiết hơn về cách sử dụng số tiền thuế thu được.</t>
  </si>
  <si>
    <t>Sau khi xem xét các quyền lợi và nghĩa vụ, tôi ủng hộ chính sách mới. Sự cải cách đã mang lại nhiều lợi ích cho tôi, khiến tôi thấy hài lòng hơn về việc tuân thủ quy định.</t>
  </si>
  <si>
    <t>Hiện nay, hệ thống quản lý thuế đã được cải thiện đáng kể với nhiều công nghệ hiện đại hỗ trợ. Tuy nhiên, tôi vẫn nghi ngờ về việc phát hiện gian lận thuế một cách toàn diện.</t>
  </si>
  <si>
    <t>Cơ quan thuế có khả năng và công nghệ tốt để phát hiện trốn thuế, nhưng thực tế triển khai còn phụ thuộc vào nhiều yếu tố quản lý.</t>
  </si>
  <si>
    <t>So với trước đây, quy trình làm việc với cơ quan thuế trở nên đơn giản hơn. Tuy nhiên, vẫn cần thêm thời gian để người dân quen với các thay đổi mới.</t>
  </si>
  <si>
    <t>Phương án mới có ít bậc thuế và dễ hiểu hơn, giúp việc tính toán thuế trở nên đơn giản hơn so với trước đây.</t>
  </si>
  <si>
    <t>Tôi tin rằng Nhà nước sẽ thực thi chính sách một cách công bằng, nhưng vẫn cần thêm thời gian để xây dựng niềm tin.</t>
  </si>
  <si>
    <t>Người thu nhập như tôi đóng mức thuế mới là hợp lý, phù hợp với quy định giảm trừ gia cảnh và bậc thuế mới.</t>
  </si>
  <si>
    <t>Thuế đóng góp vào các dịch vụ công quan trọng, nhưng hiệu quả sử dụng nguồn lực của Nhà nước vẫn cần cải thiện hơn.</t>
  </si>
  <si>
    <t>Nhà nước đã giải thích rõ ràng về mục tiêu và lý do sửa đổi thuế, giúp người dân hiểu được tầm quan trọng của nó.</t>
  </si>
  <si>
    <t>Tôi ủng hộ chính sách mới dựa trên các quyền lợi và nghĩa vụ mà nó mang lại. Việc giảm thuế và đơn giản hóa quy trình làm việc với cơ quan thuế tăng thêm sự ủng hộ.</t>
  </si>
  <si>
    <t>Tăng mức giảm trừ gia cảnh và đơn giản hóa biểu thuế có thể làm tăng độ phức tạp trong việc phát hiện hành vi gian lận. Tuy nhiên, với các quy định quản lý thuế hiện tại, tôi tin rằng Nhà nước vẫn có khả năng kiểm soát.</t>
  </si>
  <si>
    <t>Cơ quan thuế đã cải thiện công nghệ và hệ thống thông tin, giúp tăng cường khả năng phát hiện hành vi gian lận. Tuy nhiên, cần thời gian để thực sự hiệu quả.</t>
  </si>
  <si>
    <t>Quy trình làm việc với cơ quan thuế trở nên đơn giản hơn so với trước đây, tiết kiệm thời gian và công sức cho người dân. Thủ tục khai báo thuế cũng thuận tiện hơn.</t>
  </si>
  <si>
    <t>Bậc thuế mới đơn giản hóa quy trình tính toán, dễ hiểu và thực hiện hơn so với trước đây. Điều này giúp người dân quản lý chi tiêu hiệu quả hơn.</t>
  </si>
  <si>
    <t>Tôi tin rằng Nhà nước sẽ công bằng khi áp dụng chính sách thuế mới. Mức thuế giảm do tăng mức giảm trừ gia cảnh và đơn giản hóa biểu thuế đã mang lại lợi ích thực tế cho người dân.</t>
  </si>
  <si>
    <t>Thu nhập của tôi nằm trong nhóm có mức thuế thấp hơn, nên tôi thấy mức thuế mới là hợp lý. Tuy nhiên, cần xem xét thêm về cách sử dụng số tiền thuế thu được để đánh giá hoàn toàn.</t>
  </si>
  <si>
    <t>Thu nhập của tôi đã giảm đáng kể so với trước đây do tăng mức giảm trừ gia cảnh và đơn giản hóa biểu thuế. Tôi tin rằng số tiền thuế đóng sẽ được sử dụng hiệu quả cho việc cải thiện dịch vụ công.</t>
  </si>
  <si>
    <t>Nhà nước đã cung cấp thông tin rõ ràng về lý do và mục tiêu của việc sửa đổi thuế, tuy nhiên, cần có thêm giải trình về cách sử dụng số tiền thu được từ thuế mới.</t>
  </si>
  <si>
    <t>Sau khi xem xét tác động tài chính tích cực và sự đơn giản hóa quy trình làm việc với cơ quan thuế, tôi ủng hộ và tuân thủ chính sách mới hiện nay. Tuy nhiên, cần có thêm thông tin về cách sử dụng số tiền thuế thu được.</t>
  </si>
  <si>
    <t>Cơ quan thuế có nhiều công cụ để phát hiện gian lận, nhưng tôi vẫn lo ngại về việc thực thi. Việc giảm trừ gia cảnh tăng lên và đơn giản hóa quy trình taxed nên giúp kiểm soát tốt hơn.</t>
  </si>
  <si>
    <t>Nếu cơ quan thuế có đủ công nghệ và nguồn lực, họ sẽ dễ dàng phát hiện các hành vi trốn thuế. Tuy nhiên, tôi tin rằng việc này còn phụ thuộc vào việc thực thi.</t>
  </si>
  <si>
    <t>Quy trình khai báo thuế đơn giản hơn so với trước đây, giảm bớt thời gian và công sức cần thiết cho người nộp thuế. Việc giảm trừ gia cảnh tăng cũng giúp thuận tiện hơn.</t>
  </si>
  <si>
    <t>Bậc thuế mới đơn giản hóa quy trình tính toán, dễ hiểu và thực hiện hơn so với trước đây. Điều này giúp người dân không bị nhầm lẫn trong quá trình khai báo</t>
  </si>
  <si>
    <t>Tôi tin rằng cơ quan thuế sẽ công tâm khi thực thi chính sách mới, mặc dù vẫn có lo ngại về cách họ quản lý và sử dụng nguồn lực thu được.</t>
  </si>
  <si>
    <t>Mức thuế mới giảm đáng kể so với trước đây. Tôi thấy đây là mức hợp lý cho thu nhập của mình, nhờ sự tăng giảm trừ gia cảnh.</t>
  </si>
  <si>
    <t>Thuế tôi đóng sẽ được sử dụng để cải thiện dịch vụ công và hạ tầng, điều này có lợi cho cộng đồng nói chung. Tôi tin rằng việc tiết kiệm thuế cũng là một phần của việc nâng cao chất lượng cuộc sống.</t>
  </si>
  <si>
    <t>Nhà nước đã giải thích rõ về mục tiêu và lý do của chính sách mới, nhưng tôi vẫn mong muốn có thêm thông tin chi tiết hơn về cách sử dụng nguồn lực thu thuế.</t>
  </si>
  <si>
    <t>Dựa trên các quyền lợi và nghĩa vụ được cải thiện, tôi ủng hộ và tuân thủ chính sách mới. Việc giảm trừ gia cảnh tăng lên và đơn giản hóa quy trình taxed giúp ích nhiều cho người dân.</t>
  </si>
  <si>
    <t>Nếu các quy định quản lý thuế hiện nay được thực thi nghiêm túc, việc phát hiện và xử lý hành vi gian lận hoặc trốn thuế sẽ trở nên dễ dàng hơn.</t>
  </si>
  <si>
    <t>Như đã đề cập trước đây, cơ quan thuế có công nghệ và khả năng để quản lý hiệu quả các hoạt động khai báo thuế của người dân.</t>
  </si>
  <si>
    <t>So với quy trình khai báo thuế phức tạp trước đây, việc đơn giản hóa biểu thuế đã làm cho quá trình này trở nên dễ dàng và nhanh chóng hơn.</t>
  </si>
  <si>
    <t>Biểu thuế mới có ít bậc hơn, điều này làm cho việc tính toán thuế của tôi trở nên rõ ràng và dễ thực hiện hơn so với trước đây.</t>
  </si>
  <si>
    <t>Nguyên tắc công bằng trong việc áp dụng thuế đã được cải thiện thông qua mức giảm trừ gia cảnh cao hơn và số bậc thuế ít hơn.</t>
  </si>
  <si>
    <t>Với thu nhập của tôi, mức thuế mới là hợp lý và công bằng. Sự đơn giản hóa cũng giúp tôi dễ dàng chấp nhận.</t>
  </si>
  <si>
    <t>Số tiền thuế đóng sẽ được sử dụng hiệu quả để cải thiện các dịch vụ công như y tế và giao thông, điều này làm tăng niềm tin của tôi vào việc sử dụng nguồn thu đúng đắn.</t>
  </si>
  <si>
    <t>Nhà nước đã cung cấp thông tin chi tiết về mục tiêu cải cách thuế. Mặc dù có sự phức tạp ban đầu, nhưng điều này đã giúp tôi hiểu rõ hơn về chính sách mới.</t>
  </si>
  <si>
    <t>Tính công bằng và thuận tiện trong việc khai báo thuế cũng như giảm chi phí tài chính đã thuyết phục tôi ủng hộ và tuân thủ chính sách mới.</t>
  </si>
  <si>
    <t>Việc tăng mức giảm trừ gia cảnh và đơn giản hóa biểu thuế nên làm giảm khả năng trốn thuế. Tuy nhiên, tôi vẫn lo ngại về khả năng thực thi.</t>
  </si>
  <si>
    <t>Cơ quan thuế có công nghệ hiện đại nên dễ dàng phát hiện hành vi gian lận hoặc trốn thuế.</t>
  </si>
  <si>
    <t>Quy trình khai báo thuế và làm việc với cơ quan thuế trở nên đơn giản hơn, thuận tiện cho người dân.</t>
  </si>
  <si>
    <t>Biểu thuế mới có số bậc giảm từ 7 xuống còn 5, khiến việc tính toán thuế dễ dàng hơn.</t>
  </si>
  <si>
    <t>Theo phương án mới, tôi chỉ phải đóng mức thuế thấp hơn so với trước đây, nên thấy là hợp lý.</t>
  </si>
  <si>
    <t>Thuế tôi đóng sẽ được sử dụng hiệu quả để cải thiện dịch vụ công, mang lại lợi ích cho người dân.</t>
  </si>
  <si>
    <t>Nội dung về chính sách mới đã được giải thích rõ ràng và minh bạch trên các phương tiện thông tin.</t>
  </si>
  <si>
    <t>Nhà nước đã có nhiều biện pháp tăng cường quản lý thuế và xử lý gian lận, mặc dù vẫn còn tồn tại một số khó khăn.</t>
  </si>
  <si>
    <t>Cơ quan thuế có công nghệ hiện đại nhưng việc phát hiện trốn thuế phụ thuộc nhiều vào sự phối hợp giữa các cơ quan.</t>
  </si>
  <si>
    <t>Quy trình khai báo và làm việc với cơ quan thuế đã đơn giản hơn, tuy nhiên vẫn còn một số rắc rối nhỏ trong quá trình thực hiện.</t>
  </si>
  <si>
    <t>Biểu thuế mới rõ ràng hơn so với trước đây, mặc dù vẫn có thể gặp khó khăn khi áp dụng vào thực tế.</t>
  </si>
  <si>
    <t>Tôi tin rằng cơ quan thuế sẽ thực thi chính sách công bằng nhưng còn phụ thuộc nhiều vào cách kiểm soát và giám sát.</t>
  </si>
  <si>
    <t>Mức giảm trừ gia cảnh mới giúp tôi tiết kiệm được một khoản tiền đáng kể, do đó tôi thấy mức thuế là hợp lý.</t>
  </si>
  <si>
    <t>Tiền thuế đóng góp vào việc cải thiện các dịch vụ công, tuy nhiên vẫn cần có thêm nhiều thông tin về cách sử dụng số tiền này.</t>
  </si>
  <si>
    <t>Nhà nước đã giải thích rõ ràng mục tiêu của việc sửa đổi thuế nhưng tôi mong muốn có thêm thông tin chi tiết hơn về các biện pháp thực thi.</t>
  </si>
  <si>
    <t>Tôi ủng hộ chính sách mới vì nó giúp giảm gánh nặng tài chính cho người dân, đồng thời đơn giản hóa quy trình khai thuế.</t>
  </si>
  <si>
    <t>Hiện nay, cơ quan thuế có nhiều công cụ và hệ thống quản lý hiện đại, đồng thời có sự giám sát chặt chẽ từ các tổ chức quốc tế nên khả năng phát hiện hành vi gian lận hay trốn thuế là cao.</t>
  </si>
  <si>
    <t>Nhà nước đã đầu tư mạnh vào công nghệ và nhân lực để cải thiện hiệu quả quản lý, điều này tăng thêm niềm tin về khả năng xử lý nghiêm các hành vi gian lận.</t>
  </si>
  <si>
    <t>Việc đơn giản hóa quy trình khai thuế giúp tôi dễ dàng hơn trong việc thực hiện nghĩa vụ của mình với cơ quan thuế, từ đó cảm thấy thuận tiện và nhanh chóng hơn.</t>
  </si>
  <si>
    <t>Bậc thuế mới đơn giản hơn, dễ hiểu và dễ thực hiện so với trước đây. Điều này giúp tôi tiết kiệm thời gian và công sức để tính toán, khai báo thuế.</t>
  </si>
  <si>
    <t>Nhà nước đã cải cách chính sách theo hướng khách quan, công bằng và minh bạch hơn. Việc giảm trừ gia cảnh tăng lên cũng thể hiện sự đối xử bình đẳng giữa người nộp thuế.</t>
  </si>
  <si>
    <t>Như một người có thu nhập trung bình, mức thuế mới hợp lý với tình hình kinh tế hiện nay. Việc giảm trừ gia cảnh tăng lên giúp tôi tiết kiệm được chi phí thuế</t>
  </si>
  <si>
    <t>Tôi tin rằng số tiền thuế đóng sẽ được sử dụng hiệu quả cho các dịch vụ công, từ đó nâng cao chất lượng cuộc sống và môi trường làm việc của tôi.</t>
  </si>
  <si>
    <t>Nhà nước đã giải thích rất rõ về lý do và mục tiêu cải cách thuế. Điều này giúp tôi hiểu được tầm quan trọng của việc cải cách này</t>
  </si>
  <si>
    <t>Tác động tài chính tích cực và sự đơn giản hóa quy trình khai báo thuế đã khiến tôi ủng hộ và tuân thủ chính sách mới.</t>
  </si>
  <si>
    <t>Thuế đã được đơn giản hóa, việc giám sát và xử lý trốn thuế sẽ trở nên dễ dàng hơn.</t>
  </si>
  <si>
    <t>Nhà nước và cơ quan thuế có nhiều công nghệ hiện đại để phát hiện và xử lý gian lận thuế.</t>
  </si>
  <si>
    <t>Quy trình khai thuế trở nên đơn giản hơn, không còn nhiều bước rườm rà như trước.</t>
  </si>
  <si>
    <t>Bậc thuế mới được đơn giản hóa, dễ hiểu và thực hiện thuận lợi hơn so với trước đây.</t>
  </si>
  <si>
    <t>Nhà nước đã cải cách thuế một cách công bằng, tất cả mọi người đều phải đóng theo quy định.</t>
  </si>
  <si>
    <t>Mức thuế mới được xem xét kỹ lưỡng và phù hợp với thu nhập của tôi, thể hiện tính công bằng.</t>
  </si>
  <si>
    <t>Thuế đóng góp vào việc cải thiện các dịch vụ công, đặc biệt là y tế và giao thông.</t>
  </si>
  <si>
    <t>Nhà nước đã giải thích rõ mục đích của chính sách mới và phương pháp tính thuế.</t>
  </si>
  <si>
    <t>Tôi đồng ý với những thay đổi này vì chúng mang lại lợi ích về mặt tài chính và thủ tục thuế.</t>
  </si>
  <si>
    <t>Dù có công nghệ hỗ trợ, tôi vẫn nghi ngờ về khả năng phát hiện trốn thuế hiệu quả.</t>
  </si>
  <si>
    <t>Cơ quan thuế đã cải thiện hệ thống quản lý, nhưng hiệu quả thực tế còn cần thời gian để kiểm chứng.</t>
  </si>
  <si>
    <t>Quy trình khai thuế đơn giản hơn trước, thủ tục nhanh chóng và tiện lợi hơn nhiều.</t>
  </si>
  <si>
    <t>Biểu thuế rõ ràng hơn với ít bậc, dễ dàng tính toán so với trước đây.</t>
  </si>
  <si>
    <t>Tôi hy vọng sẽ có sự công bằng trong việc thực thi chính sách mới, nhưng cần thời gian để xem xét.</t>
  </si>
  <si>
    <t>Thuế sau khi giảm trừ gia cảnh và các bậc thuế mới phù hợp với thu nhập của tôi.</t>
  </si>
  <si>
    <t>Ngân sách Nhà nước sử dụng hiệu quả sẽ giúp cải thiện dịch vụ công, nhưng cần thời gian để thấy kết quả.</t>
  </si>
  <si>
    <t>Dự thảo chính sách được giải thích rõ ràng và mục tiêu của nó là hợp lý.</t>
  </si>
  <si>
    <t>Tôi sẽ ủng hộ chính sách mới vì lợi ích tài chính cá nhân, nhưng cần thêm thời gian để đánh giá hiệu quả thực tế.</t>
  </si>
  <si>
    <t>Điều kiện thực thi hiện nay chưa rõ ràng, nhưng mức thuế giảm đáng kể cho tôi nên tôi tin rằng việc quản lý và xử lý sẽ được cải thiện.</t>
  </si>
  <si>
    <t>Công nghệ quản lý thuế đã phát triển mạnh mẽ trong thời gian qua, tăng khả năng phát hiện hành vi trốn thuế.</t>
  </si>
  <si>
    <t>Thủ tục trở nên đơn giản hơn và tiện lợi hơn, giảm bớt những rắc rối trước đây.</t>
  </si>
  <si>
    <t>Bậc thuế ít đi, dễ hiểu và thực hiện hơn so với trước đây, điều này giúp tôi dễ dàng tính toán hơn.</t>
  </si>
  <si>
    <t>Nhà nước đã cải thiện đáng kể mức giảm trừ gia cảnh, thể hiện sự công bằng trong việc đánh giá thu nhập.</t>
  </si>
  <si>
    <t>Mức thuế tôi phải đóng là hợp lý cho thu nhập của mình và các khoản giảm trừ mới.</t>
  </si>
  <si>
    <t>Số tiền thuế đóng sẽ được sử dụng hiệu quả, cải thiện dịch vụ công, điều này tạo niềm tin</t>
  </si>
  <si>
    <t>Nhà nước đã giải thích rõ ràng về mục đích và lý do của việc sửa đổi thuế, tăng tính minh bạch.</t>
  </si>
  <si>
    <t>Do tiết kiệm được tiền thuế đáng kể và mức thuế công bằng nên tôi ủng hộ và tuân thủ chính sách mới.</t>
  </si>
  <si>
    <t>Hiện nay, cơ quan thuế có nhiều công cụ và nguồn lực để phát hiện hành vi gian lận trốn thuế. Tuy nhiên, vẫn cần cải thiện năng lực kỹ thuật số để tăng hiệu quả quản lý.</t>
  </si>
  <si>
    <t>Nhà nước đã đầu tư vào công nghệ và nhân sự, nhưng việc phát hiện trốn thuế hoàn toàn phụ thuộc vào khả năng thực thi của cơ quan thuế. Hiệu quả vẫn còn cần cải thiện.</t>
  </si>
  <si>
    <t>Quy trình khai báo thuế trở nên đơn giản hơn với mức giảm trừ gia cảnh cao hơn và số bậc thuế ít đi, giúp người dân dễ thực hiện.</t>
  </si>
  <si>
    <t>Cách tính thuế và các bậc thuế mới đơn giản hóa nhiều, dễ hiểu và dễ thực hiện hơn so với trước đây.</t>
  </si>
  <si>
    <t>Tôi tin rằng Nhà nước sẽ công tâm trong việc thực thi chính sách. Việc giảm trừ gia cảnh cao hơn tạo sự công bằng cho người dân có nhiều người phụ thuộc.</t>
  </si>
  <si>
    <t>Mức thuế mới được tính dựa trên thu nhập, nên tôi thấy là công bằng và hợp lý với mức thu nhập của mình</t>
  </si>
  <si>
    <t>Thuế đóng góp vào việc cải thiện dịch vụ công. Tôi tin rằng số tiền thuế tôi đóng sẽ được sử dụng hiệu quả.</t>
  </si>
  <si>
    <t>Nhà nước đã giải thích rõ ràng về mục tiêu của chính sách mới, tuy nhiên cần làm rõ hơn về cách sử dụng nguồn thu thuế để người dân có niềm tin sâu sắc hơn</t>
  </si>
  <si>
    <t>Sau khi xem xét các quyền lợi và nghĩa vụ, tôi ủng hộ và tuân thủ chính sách mới. Nó mang lại nhiều tiện ích cho người dân.</t>
  </si>
  <si>
    <t>Cơ quan thuế đã có công nghệ và hệ thống quản lý hiện đại, tuy nhiên vẫn cần cải thiện hơn để phát hiện trốn thuế một cách hiệu quả.</t>
  </si>
  <si>
    <t>Nhà nước đã đầu tư vào công nghệ và nguồn lực để nâng cao khả năng phát hiện, xử lý trốn thuế.</t>
  </si>
  <si>
    <t>Quy trình khai báo thuế đơn giản hơn so với trước đây, tuy nhiên vẫn cần thêm cải thiện về giao diện trực tuyến.</t>
  </si>
  <si>
    <t>Cách tính và bậc thuế mới đơn giản hơn nhiều so với hệ thống cũ, dễ dàng hiểu và thực hiện hơn.</t>
  </si>
  <si>
    <t>Tôi tin rằng cơ quan thuế sẽ công bằng trong việc áp dụng chính sách mới, nhưng vẫn cần giám sát thêm để đảm bảo.</t>
  </si>
  <si>
    <t>Mức giảm trừ gia cảnh và bậc thuế mới giúp tôi đóng thuế ít hơn so với trước đây nên tôi thấy đó là công bằng.</t>
  </si>
  <si>
    <t>Thuế tôi đóng sẽ được sử dụng để cải thiện các dịch vụ công, tuy nhiên cần có báo cáo chi tiết về việc sử dụng số tiền thuế.</t>
  </si>
  <si>
    <t>Nhà nước đã giải thích rõ ràng về mục đích và lý do của chính sách mới, nhưng vẫn cần cải thiện hơn nữa về minh bạch.</t>
  </si>
  <si>
    <t>Sau khi xem xét các quyền lợi và nghĩa vụ, tôi ủng hộ và tuân thủ chính sách mới vì nó mang lại lợi ích tài chính cho bản thân tôi.</t>
  </si>
  <si>
    <t>Dựa trên mức tăng giảm trừ gia cảnh và đơn giản hóa biểu thuế, tôi tin rằng việc phát hiện hành vi gian lận hoặc trốn thuế sẽ trở nên dễ dàng hơn. Tuy nhiên, do chưa có nhiều thông tin về công nghệ và khả năng thực thi cụ thể của cơ quan thuế, điểm số không quá cao.</t>
  </si>
  <si>
    <t>Cơ quan thuế đã cải thiện hệ thống quản lý và sử dụng công nghệ mới để phát hiện hành vi trốn thuế. Tuy nhiên, do chưa rõ ràng về hiệu suất thực tế của hệ thống này, tôi không đánh giá quá cao.</t>
  </si>
  <si>
    <t>Quy trình khai báo thuế và làm việc với cơ quan thuế trở nên đơn giản hơn so với trước đây. Việc tăng giảm trừ gia cảnh và số bậc thuế ít hơn giúp người dân dễ dàng thực hiện.</t>
  </si>
  <si>
    <t>Biểu thuế mới rõ ràng và dễ hiểu hơn, giảm bớt sự phức tạp cho người nộp thuế. Điều này giúp việc tính toán thu nhập chịu thuế trở nên đơn giản hơn.</t>
  </si>
  <si>
    <t>Nhà nước đã cải thiện công bằng trong việc phân chia gánh nặng thuế, tăng giảm trừ gia cảnh và số bậc thuế ít hơn. Điều này giúp tôi tin rằng chính sách mới sẽ được thực thi công tâm.</t>
  </si>
  <si>
    <t>Với mức thuế mới, tôi thấy mình đóng góp một cách công bằng cho xã hội. Số tiền giảm trừ gia cảnh và bậc thuế ít hơn cũng giúp việc tính toán thu nhập chịu thuế trở nên dễ dàng hơn.</t>
  </si>
  <si>
    <t>Tăng mức giảm trừ gia cảnh, giảm số bậc thuế, tôi tin rằng số tiền thuế tôi đóng sẽ được sử dụng hiệu quả để cải thiện dịch vụ công. Điều này tăng niềm tin vào việc sử dụng nguồn lực một cách minh bạch.</t>
  </si>
  <si>
    <t>Nhà nước đã giải thích rõ ràng về mục tiêu và lý do của việc sửa đổi thuế lần này, giúp tôi hiểu được chính sách mới. Điều này tăng tính trách nhiệm của Nhà nước trong việc thực hiện chính sách.</t>
  </si>
  <si>
    <t>Chính sách mới mang lại lợi ích về mặt tài chính và giảm sự phức tạp cho người nộp thuế, do đó tôi ủng hộ và sẽ tuân thủ. Việc cải thiện công bằng và minh bạch trong việc tính toán thuế cũng tăng thêm quyết tâm của tôi.</t>
  </si>
  <si>
    <t>Thuế TNCN sửa đổi có mức giảm trừ gia cảnh cao hơn nên việc phát hiện trốn thuế trở nên khó khăn hơn. Mặc dù cơ quan thuế đã nâng cấp công nghệ, nhưng vẫn còn nhiều rủi ro về mặt quản lý.</t>
  </si>
  <si>
    <t>Cơ quan thuế có đủ nguồn lực và công nghệ để giám sát và xử lý trốn thuế, tuy nhiên, việc áp dụng hiệu quả phụ thuộc vào quy định quản lý hiện hành.</t>
  </si>
  <si>
    <t>Quy trình khai báo thuế trở nên đơn giản hơn với ít bậc thuế, nhưng vẫn cần thời gian để người dân nắm bắt và làm quen. Thủ tục liên quan đến việc nộp thuế và thanh toán cũng nhanh chóng hơn.</t>
  </si>
  <si>
    <t>Đơn giản hóa biểu thuế từ 7 bậc xuống còn 5 bậc, dễ hiểu và thực hiện hơn so với trước đây. Tuy nhiên, việc điều chỉnh mức thu nhập chịu thuế ở các bậc khác nhau có thể làm cho người dân cảm thấy bất lợi.</t>
  </si>
  <si>
    <t>Nhà nước đã công bố rõ về mục tiêu và quy định mới, tuy nhiên, với mức giảm trừ gia cảnh cao hơn, việc đánh thuế khách quan và công bằng đối với các trường hợp thu nhập tương tự có thể bị nghi ngờ.</t>
  </si>
  <si>
    <t>Mức thuế mới giảm so với trước đây, phù hợp với thu nhập của tôi. Tuy nhiên, việc này phụ thuộc vào cách áp dụng thực tế, và mức thuế có thể không công bằng với tất cả các đối tượng.</t>
  </si>
  <si>
    <t>Thuế được sử dụng để cải thiện dịch vụ công là điều cần thiết, nhưng hiệu quả cụ thể của việc sử dụng số tiền thuế này vẫn còn nhiều câu hỏi.</t>
  </si>
  <si>
    <t>Nhà nước đã giải thích rõ ràng về mục tiêu và quy định mới trong chính sách thuế. Tuy nhiên, việc duy trì sự minh bạch và công khai trong quá trình thực thi chính sách vẫn còn nhiều thách thức.</t>
  </si>
  <si>
    <t>Sau khi xem xét các quyền lợi và nghĩa vụ, tôi ủng hộ và tuân thủ chính sách mới vì nó mang lại lợi ích tài chính cho tôi. Tuy nhiên, việc thực thi hiệu quả của chính sách này phụ thuộc vào nhiều yếu tố khác.</t>
  </si>
  <si>
    <t>Dựa trên thông tin, tôi thấy các quy định quản lý thuế hiện nay đã có sự cải thiện đáng kể. Tuy nhiên, việc thực thi vẫn phụ thuộc vào hiệu quả của cơ quan thuế.</t>
  </si>
  <si>
    <t>Nhà nước và cơ quan thuế có đủ khả năng công nghệ để phát hiện gian lận, trốn thuế. Điều này tăng thêm niềm tin về việc thực thi chính sách mới một cách minh bạch.</t>
  </si>
  <si>
    <t>Quy trình khai báo và làm việc với cơ quan thuế đã đơn giản hơn so với trước đây, tiết kiệm thời gian và công sức. Điều này mang lại sự thuận tiện cho người dân.</t>
  </si>
  <si>
    <t>Các bậc thuế mới rõ ràng và dễ hiểu, giảm bớt cảm giác phức tạp. Việc tăng mức giảm trừ gia cảnh cũng góp phần làm việc tính toán thuế đơn giản hơn.</t>
  </si>
  <si>
    <t>Nhà nước đã thực hiện cải cách một cách công tâm, đảm bảo quyền lợi của người nộp thuế. Điều này tạo niềm tin vào sự minh bạch trong thực thi chính sách.</t>
  </si>
  <si>
    <t>Mức thuế mới phù hợp với thu nhập của tôi và gia đình. Mức giảm trừ gia cảnh tăng thêm cũng làm cho việc đóng thuế công bằng hơn.</t>
  </si>
  <si>
    <t>Đóng thuế giúp cải thiện các dịch vụ công, như y tế, giao thông... Việc này tạo ra sự liên kết giữa việc đóng thuế và lợi ích mà tôi nhận được.</t>
  </si>
  <si>
    <t>Nhà nước đã giải thích rõ ràng về mục tiêu của cải cách thuế. Thông qua các kênh truyền thông, người dân dễ dàng nắm bắt thông tin và hiểu rõ hơn về chính sách mới.</t>
  </si>
  <si>
    <t>Tôi ủng hộ và tuân thủ chính sách mới vì nó tạo ra sự công bằng trong việc đóng thuế. Ngoài ra, mức giảm trừ gia cảnh tăng thêm cũng giúp tôi tiết kiệm được một số tiền đáng kể mỗi tháng.</t>
  </si>
  <si>
    <t>Dù có công nghệ hỗ trợ, nhưng thực tế việc phát hiện trốn thuế vẫn còn khó khăn. Thuế thu nhập cá nhân vẫn dễ bị che giấu thông qua các giao dịch tài chính không minh bạch.</t>
  </si>
  <si>
    <t>Cơ quan thuế có nhiều công cụ kỹ thuật để phát hiện trốn thuế, nhưng hiệu quả thực tế phụ thuộc vào nguồn lực và quyết tâm của họ.</t>
  </si>
  <si>
    <t>Quy trình khai thuế và giao dịch với cơ quan thuế đã đơn giản hơn trước đây. Nhưng vẫn cần thời gian để người dân thích nghi.</t>
  </si>
  <si>
    <t>Biểu thuế mới có ít bậc, dễ hiểu hơn nhưng cần thêm thời gian để làm quen với các mức thuế suất và ngưỡng chịu thuế mới.</t>
  </si>
  <si>
    <t>Tôi tin rằng cơ quan thuế sẽ thực thi chính sách một cách công bằng. Tuy nhiên, việc giảm trừ gia cảnh và bậc thuế đơn giản giúp tôi thấy được sự công bằng trong việc đóng thuế.</t>
  </si>
  <si>
    <t>Mức thuế mới phù hợp với thu nhập của tôi. Tôi thấy mình không bị áp đặt quá nhiều trách nhiệm thuế mà vẫn đảm bảo cân đối giữa quyền lợi và nghĩa vụ.</t>
  </si>
  <si>
    <t>Thuốc đóng góp vào việc cải thiện dịch vụ công là điều cần thiết. Tuy nhiên, tôi mong muốn có thêm thông tin về cách sử dụng số tiền thuế này để tăng độ minh bạch.</t>
  </si>
  <si>
    <t>Nhà nước đã giải thích rõ ràng mục tiêu và lý do của việc cải cách thuế. Tuy nhiên, tôi mong muốn có thêm thông tin về các dự án cụ thể sử dụng số tiền thuế này để tăng độ tin cậy.</t>
  </si>
  <si>
    <t>Tôi ủng hộ chính sách mới vì nó giúp giảm gánh nặng thuế cho người dân. Việc đơn giản hóa quy trình thuế cũng là một bước tiến tích cực.</t>
  </si>
  <si>
    <t>Việc tăng mức giảm trừ gia cảnh và đơn giản hóa biểu thuế có thể làm giảm khả năng phát hiện hành vi gian lận hoặc trốn thuế, nhưng không phải hoàn toàn. Cơ quan thuế vẫn cần công nghệ và nguồn lực để giám sát.</t>
  </si>
  <si>
    <t>Nhà nước đã đầu tư vào công nghệ thông tin, tuy nhiên, việc giảm quy trình và đơn giản hóa biểu thuế có thể làm giảm khả năng phát hiện trốn thuế.</t>
  </si>
  <si>
    <t>Trình tự khai báo thuế và giao tiếp với cơ quan thuế trở nên dễ dàng hơn khi quy định được đơn giản hóa, người dân ít gặp khó khăn trong việc thực hiện</t>
  </si>
  <si>
    <t>Biểu thuế mới rõ ràng hơn và dễ hiểu so với trước đây, giảm bớt sự phức tạp về mặt kỹ thuật cho người nộp thuế.</t>
  </si>
  <si>
    <t>Thuế mới giảm đáng kể so với trước đây, tôi thấy mình đóng thuế hợp lý hơn</t>
  </si>
  <si>
    <t>Tài nguyên thuế được sử dụng hiệu quả cho các dịch vụ công, nhưng cần thêm thông tin về cách sử dụng cụ thể</t>
  </si>
  <si>
    <t>Nhà nước đã giải thích rõ ràng về mục tiêu của chính sách mới, tôi thấy họ có kế hoạch minh bạch</t>
  </si>
  <si>
    <t>Dù còn nghi ngờ về khả năng thực thi, nhưng tôi ủng hộ cải cách vì nó tạo lợi ích đáng kể cho người dân</t>
  </si>
  <si>
    <t>Mặc dù mức thuế không thay đổi, nhưng với việc đơn giản hóa quy trình và tăng giảm trừ gia cảnh, tôi tin rằng cơ quan thuế sẽ dễ dàng phát hiện hành vi gian lận hơn.</t>
  </si>
  <si>
    <t>Nhà nước đã đầu tư vào công nghệ để giám sát và quản lý thuế hiệu quả hơn.</t>
  </si>
  <si>
    <t>Quy trình khai báo thuế trở nên đơn giản, thuận tiện hơn với mức giảm trừ gia cảnh cao.</t>
  </si>
  <si>
    <t>Bậc thuế ít đi và các quy định rõ ràng hơn, dễ hiểu hơn so với trước đây.</t>
  </si>
  <si>
    <t>Tôi tin rằng cơ quan thuế sẽ công bằng trong việc thực thi chính sách mới, đảm bảo không có sự bất bình đẳng.</t>
  </si>
  <si>
    <t>Mức thuế hiện tại phù hợp với thu nhập của tôi và người cùng nhóm khác, thể hiện tính công bằng.</t>
  </si>
  <si>
    <t>Thuế đóng góp vào các dịch vụ công như y tế, giáo dục... giúp cải thiện chất lượng cuộc sống.</t>
  </si>
  <si>
    <t>Nhà nước đã giải thích rõ mục tiêu và lý do của việc sửa đổi thuế, tạo niềm tin cho người dân.</t>
  </si>
  <si>
    <t>Tôi ủng hộ chính sách mới vì nó có lợi cho tôi và người dân nói chung</t>
  </si>
  <si>
    <t>Dù tôi tin rằng hành vi gian lận hoặc trốn thuế khó bị phát hiện, nhưng với mức giảm trừ gia cảnh cao và không còn phải đóng thuế, tôi cho rằng cơ quan thuế sẽ tập trung vào giám sát các đối tượng có thu nhập lớn hơn.</t>
  </si>
  <si>
    <t>Tôi tin rằng Nhà nước đã đầu tư công nghệ để phát hiện hành vi gian lận, nhưng vẫn còn lo ngại về hiệu quả thực tế trong việc xử lý các trường hợp trốn thuế.</t>
  </si>
  <si>
    <t>Quy trình khai báo và làm việc với cơ quan thuế trở nên đơn giản hơn nhiều so với trước đây, thuận lợi cho người dân.</t>
  </si>
  <si>
    <t>Biểu thuế được đơn giản hóa thành 5 bậc thay vì 7, dễ dàng tính toán và hiểu hơn.</t>
  </si>
  <si>
    <t>Tôi tin rằng Nhà nước sẽ thực thi chính sách một cách công bằng, nhưng vẫn có sự lo ngại về khả năng giám sát và xử lý vi phạm.</t>
  </si>
  <si>
    <t>Mức thuế mới phù hợp với thu nhập của tôi, giảm gánh nặng về mặt tài chính.</t>
  </si>
  <si>
    <t>Thuế được sử dụng để cải thiện dịch vụ công, nhưng lo ngại về hiệu quả chi tiêu của Nhà nước.</t>
  </si>
  <si>
    <t>Nhà nước đã giải thích rõ ràng mục đích và lý do sửa đổi thuế, tăng niềm tin vào quyết định này.</t>
  </si>
  <si>
    <t>Chính sách mới giảm gánh nặng về mặt tài chính, đơn giản hóa quy trình làm việc với cơ quan thuế, nhưng vẫn có lo ngại về xử lý vi phạm và hiệu quả sử dụng nguồn thu</t>
  </si>
  <si>
    <t>Thuế đã được đơn giản hóa nên việc phát hiện gian lận trở nên khó khăn hơn, dù cơ quan thuế vẫn có khả năng quản lý.</t>
  </si>
  <si>
    <t>Cơ quan thuế có công nghệ và nguồn lực để theo dõi nhưng không chắc chắn về mức độ hiệu quả trong thực tế.</t>
  </si>
  <si>
    <t>Quy trình khai báo thuế đã đơn giản hơn, thủ tục làm việc với cơ quan thuế thuận lợi hơn.</t>
  </si>
  <si>
    <t>Biểu thuế được đơn giản hóa và dễ hiểu hơn, tính toán thuế trở nên dễ dàng hơn so với trước đây.</t>
  </si>
  <si>
    <t>Nhà nước đã công bố rõ ràng về chính sách mới, tạo niềm tin vào sự khách quan trong thực thi.</t>
  </si>
  <si>
    <t>Với mức thu nhập hiện tại, tôi cảm thấy mức thuế đóng là phù hợp và công bằng.</t>
  </si>
  <si>
    <t>Thuế mà tôi đóng sẽ được sử dụng để cải thiện các dịch vụ công, do đó tôi tin rằng nó mang lại lợi ích cho xã hội.</t>
  </si>
  <si>
    <t>Nhà nước đã giải thích chi tiết về lý do và mục tiêu của việc sửa đổi thuế, làm tăng niềm tin vào sự minh bạch.</t>
  </si>
  <si>
    <t>Tôi ủng hộ chính sách mới vì nó đơn giản hơn và tôi không phải đóng thuế, điều này giúp cải thiện thu nhập thực tế cho gia đình.</t>
  </si>
  <si>
    <t>Dù luật thuế mới có nhiều thay đổi, nhưng do tôi không phải đóng thuế nên việc phát hiện và xử lý gian lận khó có tác động trực tiếp. Tuy nhiên, quy định quản lý thuế vẫn cần được cải thiện để ngăn ngừa hành vi trốn thuế.</t>
  </si>
  <si>
    <t>Nhu cầu về công nghệ trong việc phát hiện và xử lý gian lận thuế đã tăng lên đáng kể. Tuy nhiên, tôi không biết cụ thể về năng lực của cơ quan thuế</t>
  </si>
  <si>
    <t>Đối với tôi, các quy trình làm việc với cơ quan thuế trở nên đơn giản hơn do giảm trừ gia cảnh cao hơn và số bậc thuế ít đi. Tuy nhiên, thủ tục khai báo thuế vẫn khá phức tạp.</t>
  </si>
  <si>
    <t>Cách tính thuế mới rõ ràng và dễ hiểu hơn so với trước đây. Việc giảm trừ gia cảnh cao giúp đơn giản hóa quá trình tính thuế</t>
  </si>
  <si>
    <t>Tôi tin rằng nhà nước sẽ thực thi chính sách một cách công bằng, nhưng do tôi không phải đóng thuế nên chưa có trải nghiệm cá nhân về điều này.</t>
  </si>
  <si>
    <t>Mức giảm trừ gia cảnh cao giúp tôi không phải đóng thuế. Điều này khiến tôi cảm thấy mức thuế là công bằng đối với thu nhập của mình</t>
  </si>
  <si>
    <t>Dù không phải đóng thuế, nhưng tôi tin rằng số tiền thuế đóng sẽ được sử dụng hiệu quả để cải thiện dịch vụ công</t>
  </si>
  <si>
    <t>Nhà nước đã giải thích rõ ràng về mục tiêu của việc sửa đổi luật thuế. Tuy nhiên, do không phải đóng thuế nên chưa có trải nghiệm trực tiếp về sự minh bạch này.</t>
  </si>
  <si>
    <t>Chính sách mới giúp tôi tiết kiệm được nhiều chi phí và giảm gánh nặng thuế, do đó tôi ủng hộ việc thực hiện chính sách này</t>
  </si>
  <si>
    <t>Với mức giảm trừ gia cảnh cao và không còn thuế TNCN, việc gian lận hay trốn thuế trở nên khó khăn hơn. Tuy nhiên, vẫn có khả năng hành vi gian lận diễn ra.</t>
  </si>
  <si>
    <t>Cơ quan thuế đã cải thiện công nghệ và quản lý, nhưng sự tuân thủ pháp luật còn phụ thuộc vào ý thức của người dân.</t>
  </si>
  <si>
    <t>Quy trình khai báo thuế đơn giản hơn với mức giảm trừ gia cảnh cao, không còn thủ tục rườm rà về thuế TNCN.</t>
  </si>
  <si>
    <t>Biểu thuế mới có ít bậc hơn và ngưỡng chịu thuế rõ ràng hơn so với trước đây.</t>
  </si>
  <si>
    <t>Nhà nước đã cải thiện công bằng trong việc giảm trừ gia cảnh, nhưng vẫn cần thêm minh bạch về cách sử dụng nguồn thu.</t>
  </si>
  <si>
    <t>Với mức thu nhập của tôi và giảm trừ gia cảnh cao, thuế không còn là gánh nặng. Điều này tăng niềm tin vào sự công bằng.</t>
  </si>
  <si>
    <t>Thuế đóng góp cho dịch vụ công như y tế, giáo dục, nhưng cần minh bạch hơn về cách sử dụng nguồn thu để tăng lòng tin.</t>
  </si>
  <si>
    <t>Nhà nước đã giải thích rõ ràng về mục tiêu cải cách thuế, tạo niềm tin vào quyết định của họ.</t>
  </si>
  <si>
    <t>Trừ khi có thêm thông tin về hiệu quả sử dụng nguồn thu, tôi sẽ ủng hộ và tuân thủ chính sách mới để giảm gánh nặng tài chính.</t>
  </si>
  <si>
    <t>Dù cơ quan thuế có công nghệ hiện đại, nhưng tôi vẫn nghi ngờ về khả năng phát hiện trốn thuế một cách hoàn toàn do quy mô lớn và sự phức tạp của các giao dịch kinh tế.</t>
  </si>
  <si>
    <t>Cơ quan thuế có thể xử lý tốt hơn nhưng vẫn cần cải thiện về khả năng theo dõi, đặc biệt đối với các hoạt động trốn thuế qua mạng.</t>
  </si>
  <si>
    <t>Quy trình khai báo thuế đã đơn giản hóa và nhanh chóng hơn so với trước đây.</t>
  </si>
  <si>
    <t>Biểu thuế mới rõ ràng và dễ hiểu, giảm bớt sự phức tạp so với trước</t>
  </si>
  <si>
    <t>Tôi tin rằng cơ quan thuế sẽ thực thi công bằng, nhưng vẫn lo ngại về khả năng kiểm soát toàn diện.</t>
  </si>
  <si>
    <t>Thuế mới phù hợp với thu nhập hiện tại của tôi và mức giảm trừ gia cảnh tăng, khiến tôi cảm thấy công bằng hơn</t>
  </si>
  <si>
    <t>Thuốc đóng góp vào việc cải thiện dịch vụ công, nhưng vẫn cần nhiều cải tiến để nâng cao hiệu quả sử dụng nguồn vốn.</t>
  </si>
  <si>
    <t>Tôi đồng ý với mục tiêu của chính sách mới và tin rằng giải thích đã được cung cấp một cách minh bạch</t>
  </si>
  <si>
    <t>Do thuế giảm, mức độ công bằng cao hơn và quy trình đơn giản hơn nên tôi sẽ ủng hộ và tuân thủ chính sách mới.</t>
  </si>
  <si>
    <t>Hiện nay, cơ quan thuế có nhiều công cụ để phát hiện hành vi gian lận hoặc trốn thuế. Tuy nhiên, việc quản lý thuế còn phụ thuộc vào sự tuân thủ của người dân.</t>
  </si>
  <si>
    <t>Nhà nước đã đầu tư công nghệ và nhân lực để phát hiện các hành vi trốn thuế, nhưng vẫn cần nâng cao năng lực hơn nữa.</t>
  </si>
  <si>
    <t>Quy trình khai báo thuế và làm việc với cơ quan thuế trở nên đơn giản hơn, giảm bớt thời gian và công sức của người dân.</t>
  </si>
  <si>
    <t>Sự thay đổi về biểu thuế và số bậc thuế giúp tính toán dễ dàng hơn, nhưng vẫn cần thêm hướng dẫn cụ thể cho người dân.</t>
  </si>
  <si>
    <t>Tôi tin rằng cơ quan thuế sẽ thực thi chính sách một cách công bằng với mọi đối tượng nộp thuế. Tuy nhiên, việc giảm trừ gia cảnh và bậc thuế mới giúp tôi cảm thấy công bằng hơn.</t>
  </si>
  <si>
    <t>Mức thuế tôi phải đóng theo phương án mới phù hợp với thu nhập của tôi, tăng thêm niềm tin về tính công bằng trong hệ thống thuế.</t>
  </si>
  <si>
    <t>Thuế đóng góp vào việc cải thiện các dịch vụ công và hạ tầng cơ sở, nên tôi cảm thấy hài lòng với cách sử dụng nguồn thu của mình.</t>
  </si>
  <si>
    <t>Nhà nước đã giải thích rõ về mục tiêu của việc thay đổi thuế, nhưng cần tăng cường hơn nữa trong việc truyền thông đến người dân.</t>
  </si>
  <si>
    <t>Dù còn có những bất cập, tôi vẫn ủng hộ và tuân thủ chính sách mới vì lợi ích chung cho xã hội.</t>
  </si>
  <si>
    <t>Tôi đồng ý với mức độ quản lý thuế hiện tại, vì các quy định rõ ràng và công cụ phát hiện gian lận đã được cải thiện.</t>
  </si>
  <si>
    <t>Nhà nước đã đầu tư vào công nghệ để theo dõi và xử lý thuế một cách hiệu quả hơn trong thời đại số.</t>
  </si>
  <si>
    <t>So với trước đây, quy trình khai báo thuế nay đơn giản hơn nhiều, thủ tục cũng thuận tiện hơn.</t>
  </si>
  <si>
    <t>Biểu thuế mới rõ ràng và dễ hiểu hơn so với trước đây, giúp tôi có thể tính toán chính xác hơn.</t>
  </si>
  <si>
    <t>Tôi tin rằng Nhà nước sẽ công bằng trong việc thực thi chính sách, vì mức giảm trừ gia cảnh đã tăng lên.</t>
  </si>
  <si>
    <t>Mức thuế mới đối với thu nhập của tôi là hợp lý và công bằng, phù hợp với quy định mới.</t>
  </si>
  <si>
    <t>Thuế đóng góp vào việc cải thiện hạ tầng và dịch vụ công, điều này tạo niềm tin cho tôi.</t>
  </si>
  <si>
    <t>Nhà nước đã giải thích rõ về mục tiêu của chính sách mới thông qua các tài liệu chính thức.</t>
  </si>
  <si>
    <t>Tôi ủng hộ và tuân thủ chính sách mới vì nó công bằng hơn và mang lại nhiều lợi ích cho tôi.</t>
  </si>
  <si>
    <t>Việc tăng mức giảm trừ gia cảnh và đơn giản hóa biểu thuế có thể làm giảm khả năng phát hiện hành vi gian lận hoặc trốn thuế, nhưng tôi vẫn tin rằng cơ quan thuế sẽ có cách để kiểm soát.</t>
  </si>
  <si>
    <t>Cơ quan thuế có nhiều công nghệ và nguồn lực hơn để giám sát và xử lý các hành vi trốn thuế so với trước đây, do đó tôi đồng ý với điểm này.</t>
  </si>
  <si>
    <t>Quy trình khai báo thuế trở nên đơn giản hơn, nhưng vẫn cần thời gian để quen thuộc. So với quy định cũ, các bước thực hiện đã dễ dàng và nhanh chóng hơn.</t>
  </si>
  <si>
    <t>Biểu thuế mới có ít bậc hơn, do đó việc tính toán thuế trở nên dễ dàng và thuận lợi hơn so với trước đây.</t>
  </si>
  <si>
    <t>Tôi tin rằng Nhà nước sẽ thực thi chính sách một cách công bằng, nhưng vẫn cần thời gian để chứng minh điều này.</t>
  </si>
  <si>
    <t>Mức thuế mới được giảm, do đó tôi thấy nó hợp lý và công bằng hơn so với trước đây.</t>
  </si>
  <si>
    <t>Tôi tin rằng số tiền thuế đóng sẽ được sử dụng hiệu quả để cải thiện dịch vụ công, nhưng cần thời gian để kiểm chứng.</t>
  </si>
  <si>
    <t>Nhà nước đã giải thích rõ ràng về mục tiêu của chính sách mới, do đó tôi tin rằng họ đang thực hiện những thay đổi này vì lợi ích chung.</t>
  </si>
  <si>
    <t>Sau khi xem xét các quyền lợi và nghĩa vụ, tôi ủng hộ và tuân thủ chính sách mới. Mức thuế giảm và quy trình đơn giản hơn đã làm tăng Niềm tin của tôi.</t>
  </si>
  <si>
    <t>Hiện nay, các quy định quản lý thuế có nhiều cải tiến với công nghệ hiện đại và hệ thống theo dõi chặt chẽ, tuy nhiên vẫn còn tồn tại một số lỗ hổng. Với mức thu nhập hiện tại và việc giảm trừ gia cảnh tăng lên, khả năng bị phát hiện gian lận hoặc trốn thuế cao hơn.</t>
  </si>
  <si>
    <t>Nhà nước đã đầu tư công nghệ vào hệ thống quản lý thuế, tăng cường cơ sở dữ liệu và hợp tác quốc tế giúp phát hiện các hành vi trốn thuế hiệu quả. Tuy nhiên, vẫn cần cải thiện trong việc thực thi pháp luật.</t>
  </si>
  <si>
    <t>Quy trình làm việc với cơ quan thuế trở nên đơn giản hơn do giảm bớt thủ tục và tăng cường sử dụng công nghệ. Tuy nhiên, việc áp dụng các quy định mới có thể gây bất tiện cho một số người.</t>
  </si>
  <si>
    <t>Phương án mới đơn giản hóa biểu thuế, giảm số bậc từ 7 xuống còn 5 và tăng mức giảm trừ gia cảnh. Điều này giúp việc tính toán thuế trở nên dễ dàng hơn cho người dân.</t>
  </si>
  <si>
    <t>Tôi tin rằng Nhà nước sẽ thực thi chính sách mới một cách khách quan, công tâm đối với tất cả mọi người nộp thuế. Tuy nhiên, việc giám sát và xử lý nghiêm minh các hành vi trốn thuế vẫn cần được cải thiện.</t>
  </si>
  <si>
    <t>Mức thuế mới theo phương án mới phù hợp với thu nhập của tôi. Việc giảm trừ gia cảnh tăng lên giúp tiết kiệm chi phí, tạo ra sự công bằng cho người dân có thu nhập như tôi.</t>
  </si>
  <si>
    <t>Tài nguyên thuế được sử dụng hiệu quả để cải thiện các dịch vụ công, tuy nhiên vẫn cần nhiều hơn nữa về việc thông tin rõ ràng đến người dân về cách sử dụng nguồn thuế này.</t>
  </si>
  <si>
    <t>Nhà nước đã giải thích chi tiết về mục tiêu và lý do sửa đổi chính sách thuế. Tuy nhiên, vẫn cần cải thiện thêm về việc thông tin minh bạch cho người dân.</t>
  </si>
  <si>
    <t>Dựa trên các yếu tố như tác động tài chính tích cực, giảm sự phức tạp trong quy định và niềm tin vào sự công bằng của Nhà nước, tôi ủng hộ và tuân thủ chính sách mới.</t>
  </si>
  <si>
    <t>Tăng cường quản lý thuế và công nghệ hiện đại giúp phát hiện gian lận trốn thuế dễ dàng hơn, do đó tôi đồng ý.</t>
  </si>
  <si>
    <t>Nhà nước đã đầu tư vào hệ thống công nghệ thông tin để cải thiện khả năng quản lý và xử lý hành vi trốn thuế, nên tôi đồng ý với mức độ này.</t>
  </si>
  <si>
    <t>Các quy trình khai báo và làm việc với cơ quan thuế trở nên đơn giản hơn, giảm thời gian chờ đợi, do đó tôi đánh giá cao.</t>
  </si>
  <si>
    <t>Biểu thuế mới có ít bậc hơn và dễ hiểu hơn so với trước đây, điều này làm cho việc tính toán thuế trở nên đơn giản hơn rất nhiều.</t>
  </si>
  <si>
    <t>Việc cải cách thuế công bằng hơn đối với các mức thu nhập khác nhau và giảm gánh nặng thuế cho người dân là một yếu tố quan trọng để tạo niềm tin.</t>
  </si>
  <si>
    <t>Thuế mới được tính toán dựa trên thu nhập thực tế, giúp giảm gánh nặng thuế cho tôi, do đó tôi thấy mức thuế này công bằng.</t>
  </si>
  <si>
    <t>Nhuận chi từ thuế sẽ được sử dụng hiệu quả để cải thiện dịch vụ công, điều này làm tăng niềm tin vào sự quản lý của Nhà nước.</t>
  </si>
  <si>
    <t>Nhà nước đã giải thích rõ ràng về mục tiêu và nguyên nhân của việc sửa đổi thuế, nên tôi cảm thấy thông tin minh bạch.</t>
  </si>
  <si>
    <t>Sau khi xem xét tất cả các yếu tố trên, tôi ủng hộ chính sách mới vì nó tạo ra sự công bằng và thuận tiện hơn cho người dân.</t>
  </si>
  <si>
    <t>Cơ quan thuế có nhiều công cụ để phát hiện hành vi gian lận, nhưng vẫn cần sự hỗ trợ từ công chúng. Với các quy định quản lý thuế hiện nay, tôi tin rằng việc phát hiện và xử lý nghiêm sẽ tăng lên đáng kể.</t>
  </si>
  <si>
    <t>Nhà nước đã đầu tư vào hệ thống công nghệ thông tin của cơ quan thuế để cải thiện hiệu quả quản lý. Tuy nhiên, vẫn còn phụ thuộc vào sự phối hợp giữa các bộ phận và khả năng tiếp cận dữ liệu của người nộp thuế.</t>
  </si>
  <si>
    <t>Các quy trình khai báo thuế đã đơn giản hơn so với trước đây. Việc cung cấp thông tin trực tuyến giúp quá trình làm việc với cơ quan thuế nhanh chóng và tiện lợi hơn nhiều.</t>
  </si>
  <si>
    <t>Biểu thuế mới có ít bậc hơn, dễ hiểu và thực hiện đơn giản hơn. Điều này giúp tôi không cần phải lo lắng về cách tính thuế hàng tháng.</t>
  </si>
  <si>
    <t>Tôi tin rằng Nhà nước sẽ thực thi chính sách một cách khách quan. Tuy nhiên, do sự phức tạp của quy định trước đây và hiện tại, tôi cần thêm thời gian để hoàn toàn yên tâm.</t>
  </si>
  <si>
    <t>Mức thuế mới giảm đi đáng kể so với trước đây, giúp tôi cảm thấy công bằng hơn khi đóng góp vào ngân sách nhà nước. Với mức thu nhập của mình, việc đóng thuế theo phương án mới là hợp lý.</t>
  </si>
  <si>
    <t>Sau khi xem xét tác động tài chính và sự đơn giản hóa quy định, tôi tin rằng số tiền thuế tôi đóng sẽ được sử dụng hiệu quả để cải thiện dịch vụ công. Việc giảm trừ gia cảnh tăng lên cũng giúp tôi cảm thấy hơn về việc đóng góp.</t>
  </si>
  <si>
    <t>Nhà nước đã giải thích rõ ràng về mục tiêu của việc sửa đổi thuế, nhưng vẫn cần thêm thông tin chi tiết về cách sử dụng số tiền thuế thu được để tăng sự minh bạch và trách nhiệm.</t>
  </si>
  <si>
    <t>Tôi ủng hộ chính sách mới dựa trên các quyền lợi và nghĩa vụ của mình. Mức thuế giảm đi giúp tôi cảm thấy công bằng hơn khi đóng góp vào ngân sách nhà nước, đồng thời quy trình làm việc với cơ quan thuế cũng trở nên thuận tiện hơn.</t>
  </si>
  <si>
    <t>Như tôi là một công dân bình thường, tôi hiểu rằng việc tăng cường quản lý thuế và áp dụng công nghệ hiện đại có thể giúp phát hiện gian lận hoặc trốn thuế. Tuy nhiên, do không phải làm việc trong ngành thuế nên mức độ tin tưởng vào khả năng thực thi của cơ quan thuế còn hạn chế.</t>
  </si>
  <si>
    <t>Nhà nước và cơ quan thuế có đủ nguồn lực để quản lý thuế hiệu quả hơn, nhưng tôi không chắc chắn về việc họ sẽ sử dụng công nghệ như thế nào trong thực tế. Điều này phụ thuộc vào hiệu suất của hệ thống mới.</t>
  </si>
  <si>
    <t>Thủ tục khai thuế và quy trình làm việc với cơ quan thuế trở nên đơn giản hơn, nhưng tôi vẫn cần thời gian để quen với nó. Đôi khi vẫn gặp khó khăn trong quá trình nộp hồ sơ.</t>
  </si>
  <si>
    <t>Bậc thuế và cách tính thuế mới dễ hiểu hơn so với trước đây. Tuy nhiên, việc áp dụng các bậc thuế mới đòi hỏi sự quan sát cẩn thận từ người nộp thuế.</t>
  </si>
  <si>
    <t>Tôi tin rằng cơ quan thuế sẽ thực thi chính sách một cách công bằng và khách quan. Mức giảm trừ gia cảnh tăng lên, giúp tôi tiết kiệm tiền thuế hơn so với trước đây.</t>
  </si>
  <si>
    <t>Mức thuế mới được xem xét kỹ lưỡng và phù hợp với thu nhập của tôi, do đó tôi thấy nó công bằng. Đây là mức mà tôi cho rằng người có thu nhập như tôi nên đóng.</t>
  </si>
  <si>
    <t>Tôi tin rằng số tiền thuế tôi đóng sẽ được sử dụng hiệu quả để cải thiện dịch vụ công, nhưng cần thêm thông tin cụ thể về cách sử dụng nguồn thu này.</t>
  </si>
  <si>
    <t>Nhà nước đã giải thích rõ ràng về mục tiêu của việc sửa đổi thuế và lý do cho các thay đổi. Điều này giúp tôi hiểu được chính sách mới một cách tốt hơn.</t>
  </si>
  <si>
    <t>Tính công bằng, giảm trừ gia cảnh tăng lên và quy trình đơn giản hóa đã thuyết phục tôi ủng hộ và tuân thủ chính sách thuế mới. Tôi tin rằng nó sẽ giúp cải thiện tình hình tài chính cá nhân.</t>
  </si>
  <si>
    <t>Dù có công nghệ hỗ trợ, tôi vẫn lo ngại về khả năng phát hiện hành vi gian lận thuế của các cơ quan chức năng.</t>
  </si>
  <si>
    <t>Tôi tin rằng nhà nước đã đầu tư vào hệ thống quản lý thuế và công nghệ sẽ giúp họ phát hiện trốn thuế hiệu quả hơn.</t>
  </si>
  <si>
    <t>Thủ tục khai báo thuế nay đơn giản hơn so với trước, giảm thời gian chờ đợi và thủ tục rườm rà.</t>
  </si>
  <si>
    <t>Biểu thuế mới có ít bậc hơn khiến việc tính toán rõ ràng hơn, dễ hiểu hơn đối với người dân.</t>
  </si>
  <si>
    <t>Tôi tin rằng cơ quan thuế sẽ thực thi chính sách một cách công bằng, nhưng vẫn lo ngại về khả năng giám sát của họ.</t>
  </si>
  <si>
    <t>Thuế mới giảm đáng kể so với trước đây và tôi cảm thấy nó phản ánh đúng mức thu nhập của mình.</t>
  </si>
  <si>
    <t>Nhà nước sử dụng số thuế này để cải thiện các dịch vụ công, nhưng hiệu quả vẫn chưa rõ ràng đối với tôi.</t>
  </si>
  <si>
    <t>Tôi đồng ý với mục tiêu cải cách thuế lần này và nhà nước đã giải thích rõ ràng về việc này.</t>
  </si>
  <si>
    <t>Sau khi xem xét, tôi ủng hộ chính sách mới vì nó giúp giảm gánh nặng tài chính cho người dân mà không làm mất công bằng.</t>
  </si>
  <si>
    <t>Nhà nước đã tăng cường các biện pháp quản lý thuế, đồng thời áp dụng công nghệ hiện đại để phát hiện hành vi trốn thuế. Điều này giúp nâng cao hiệu quả trong việc thu hồi thuế.</t>
  </si>
  <si>
    <t>Cơ quan thuế có đủ năng lực và công nghệ để theo dõi, xử lý nghiêm các trường hợp gian lận hoặc trốn thuế. Điều này tạo ra một môi trường minh bạch hơn.</t>
  </si>
  <si>
    <t>Thủ tục khai báo thuế đã được đơn giản hóa và tiện lợi hơn, giảm thời gian chờ đợi khi làm việc với cơ quan thuế. Điều này tạo thuận lợi cho người dân nộp thuế.</t>
  </si>
  <si>
    <t>Biểu thuế mới có ít bậc hơn, dễ hiểu hơn so với trước đây. Việc tính toán và thực hiện theo các quy định mới trở nên đơn giản hơn.</t>
  </si>
  <si>
    <t>Nhà nước đã thể hiện sự công bằng trong việc điều chỉnh thuế cho người dân, nhất là về mặt giảm trừ gia cảnh. Điều này tạo niềm tin vào cơ quan quản lý thuế.</t>
  </si>
  <si>
    <t>Tác động tài chính mang lại cho tôi cảm giác rằng mức thuế mới công bằng hơn so với trước đây, giúp tôi tiết kiệm được một phần thu nhập hàng tháng.</t>
  </si>
  <si>
    <t>Thuế đóng góp vào việc cải thiện các dịch vụ công như y tế và giao thông. Điều này tạo cảm giác rằng tiền thuế đã đóng có mục đích sử dụng hiệu quả.</t>
  </si>
  <si>
    <t>Nhà nước đã giải thích rõ về lý do và mục tiêu của việc cải cách, giúp tôi hiểu hơn về chính sách mới. Điều này tăng sự tin tưởng vào quyết định quản lý thuế hiện tại.</t>
  </si>
  <si>
    <t>Sau khi xem xét các quyền lợi và nghĩa vụ mới, tôi ủng hộ và tuân thủ chính sách thuế mới vì nó mang lại nhiều lợi ích cho cá nhân như tôi.</t>
  </si>
  <si>
    <t>Việc tăng mức giảm trừ gia cảnh và đơn giản hóa biểu thuế có thể làm giảm khả năng phát hiện hành vi gian lận hoặc trốn thuế. Tuy nhiên, với sự cải tiến về công nghệ và quản lý, nhà nước vẫn có đủ khả năng để xử lý nghiêm các trường hợp vi phạm.</t>
  </si>
  <si>
    <t>Nhà nước đã đầu tư vào công nghệ và nhân lực để nâng cao hiệu quả quản lý thuế. Tuy nhiên, việc thực thi còn phụ thuộc vào sự tuân thủ của người dân và chất lượng quản lý.</t>
  </si>
  <si>
    <t>Các quy định mới đã đơn giản hóa quy trình khai báo thuế, giảm số bậc thuế nên quá trình làm việc với cơ quan thuế trở nên thuận tiện hơn. Tuy nhiên, một số chi tiết cần cải thiện để tăng thêm sự tiện lợi.</t>
  </si>
  <si>
    <t>Biểu thuế mới đã đơn giản hóa và dễ hiểu hơn so với trước đây. Việc giảm số bậc thuế giúp người dân dễ dàng tính toán và tuân thủ chính sách thuế.</t>
  </si>
  <si>
    <t>Tôi tin rằng Nhà nước sẽ thực thi chính sách một cách công bằng, mặc dù vẫn có thể xảy ra sai sót. Sự đơn giản hóa quy định thuế cũng tạo ra sự công bằng cho người dân</t>
  </si>
  <si>
    <t>Mức thuế mới phù hợp với thu nhập của tôi và giảm trừ gia cảnh tăng lên đã làm cho mức thuế trở nên công bằng hơn. Điều này thể hiện sự cân nhắc giữa các đối tượng nộp thuế.</t>
  </si>
  <si>
    <t>Thuế đóng góp vào việc cải thiện dịch vụ công, đặc biệt là y tế và cơ sở hạ tầng. Việc giảm thuế cũng giúp tăng nguồn lực cho ngân sách nhà nước</t>
  </si>
  <si>
    <t>Nhà nước đã giải thích rõ về mục tiêu của chính sách mới, mặc dù còn có thể cải thiện thêm trong việc truyền thông.</t>
  </si>
  <si>
    <t>Tôi ủng hộ chính sách mới vì nó đơn giản hóa quy định thuế và giảm gánh nặng cho người dân. Điều này đồng thời giúp tôi tuân thủ tốt hơn</t>
  </si>
  <si>
    <t>Nhà nước đã tăng cường công nghệ và nhân lực để kiểm soát thuế, nhưng vẫn có nhiều trường hợp gian lận chưa được phát hiện.</t>
  </si>
  <si>
    <t>Cơ quan thuế có khả năng phát hiện trốn thuế tốt hơn nhờ công nghệ mới, tuy nhiên thực tế còn phụ thuộc vào hiệu suất làm việc của họ.</t>
  </si>
  <si>
    <t>So với trước đây, quy trình khai báo thuế đơn giản hơn và dễ dàng hơn khi sử dụng ứng dụng điện tử.</t>
  </si>
  <si>
    <t>Biểu thuế mới có ít bậc hơn nên dễ hiểu và thực hiện thuận tiện hơn so với trước</t>
  </si>
  <si>
    <t>Tôi tin rằng Nhà nước sẽ công tâm trong việc áp dụng chính sách, nhưng vẫn cần cải thiện về minh bạch.</t>
  </si>
  <si>
    <t>Thuế mới được giảm đi đáng kể nên tôi thấy mức thuế này là hợp lý</t>
  </si>
  <si>
    <t>Nhà nước đã sử dụng số tiền thuế thu được để cải thiện dịch vụ công, nhưng cần minh bạch hơn về cách sử dụng.</t>
  </si>
  <si>
    <t>Mục đích và lý do của việc sửa đổi thuế đã được giải thích rõ ràng</t>
  </si>
  <si>
    <t>Tôi ủng hộ chính sách mới vì nó giảm gánh nặng về mặt tài chính và có các ưu điểm về đơn giản hóa quy trình.</t>
  </si>
  <si>
    <t>Việc tăng cường quản lý thuế và công nghệ hiện đại giúp phát hiện gian lận trốn thuế dễ dàng hơn, nên tôi đồng ý.</t>
  </si>
  <si>
    <t>Cơ quan thuế có khả năng xử lý nghiêm các hành vi vi phạm, do đó tôi hoàn toàn đồng ý với điểm này.</t>
  </si>
  <si>
    <t>Hệ thống khai thuế đơn giản hơn và thuận tiện hơn so với trước đây, giảm bớt thời gian và công sức cho người nộp thuế.</t>
  </si>
  <si>
    <t>Biểu thuế mới rõ ràng, dễ hiểu và thực hiện nhanh chóng, nên tôi rất đồng ý về sự đơn giản hóa quy trình tính thuế này.</t>
  </si>
  <si>
    <t>Nhà nước đã công bố chính sách một cách minh bạch và công bằng, do đó tôi tin rằng sẽ được thực hiện khách quan.</t>
  </si>
  <si>
    <t>Đối với thu nhập của tôi, mức thuế mới hợp lý và công bằng so với trước đây, giúp giảm gánh nặng tài chính.</t>
  </si>
  <si>
    <t>Thuế đóng góp vào việc cải thiện dịch vụ công, do đó tôi tin rằng khoản tiền thuế này sẽ được sử dụng hiệu quả.</t>
  </si>
  <si>
    <t>Nhà nước đã giải thích rõ ràng về mục tiêu và lý do của chính sách mới, làm tăng niềm tin vào quyết định quản lý thuế của họ.</t>
  </si>
  <si>
    <t>Sau khi xem xét các quyền lợi và nghĩa vụ, tôi đồng ý với chính sách mới và sẵn lòng tuân thủ.</t>
  </si>
  <si>
    <t>Cơ quan thuế đã thực hiện tốt trong việc phát hiện và xử lý các hành vi trốn thuế, do đó tôi có niềm tin vào khả năng quản lý của họ.</t>
  </si>
  <si>
    <t>Việc sử dụng công nghệ tiên tiến giúp Nhà nước theo dõi hiệu quả hơn về việc nộp thuế từ mọi người dân.</t>
  </si>
  <si>
    <t>Quy trình khai báo thuế và làm việc với cơ quan thuế trở nên đơn giản và nhanh chóng hơn, thuận tiện cho công việc hàng ngày của tôi.</t>
  </si>
  <si>
    <t>Bậc thuế mới đơn giản hóa quy trình tính thuế, dễ dàng áp dụng hơn so với trước đây.</t>
  </si>
  <si>
    <t>Tôi tin rằng Nhà nước sẽ thực thi chính sách một cách công bằng và khách quan đối với tất cả người nộp thuế.</t>
  </si>
  <si>
    <t>Thuế mới giảm gánh nặng tài chính cho tôi, do đó tôi thấy mức thuế này là hợp lý.</t>
  </si>
  <si>
    <t>Tiền thuế của tôi sẽ được sử dụng hiệu quả để cải thiện dịch vụ công, từ đó nâng cao chất lượng cuộc sống.</t>
  </si>
  <si>
    <t>Nhà nước đã giải thích rõ ràng về mục tiêu và lý do của việc sửa đổi thuế, tạo ra sự minh bạch trong chính sách.</t>
  </si>
  <si>
    <t>Tôi ủng hộ và sẽ tuân thủ chính sách mới vì nó mang lại lợi ích cho tôi và gia đình, đồng thời cũng góp phần vào sự công bằng của hệ thống thuế.</t>
  </si>
  <si>
    <t>Việc tăng cường công nghệ quản lý thuế và khả năng phát hiện trốn thuế giúp giảm nguy cơ gian lận, tuy nhiên vẫn có thể còn hạn chế.</t>
  </si>
  <si>
    <t>Nhà nước đã đầu tư công nghệ và nhân lực vào việc giám sát thuế, giảm thiểu khả năng trốn tránh</t>
  </si>
  <si>
    <t>Quy trình khai báo thuế trở nên đơn giản hơn, thời gian chờ đợi cũng ngắn lại so với trước đây</t>
  </si>
  <si>
    <t>Số bậc thuế giảm đi và mức giảm trừ gia cảnh tăng giúp tính toán thuế dễ dàng và nhanh chóng hơn</t>
  </si>
  <si>
    <t>Tăng mức giảm trừ gia cảnh và đơn giản hóa quy trình thuế tạo cảm giác công bằng, khách quan trong việc đánh giá thu nhập</t>
  </si>
  <si>
    <t>Mức thuế mới được tính dựa trên thu nhập thực tế của tôi, cho thấy sự công bằng đối với người có cùng mức thu nhập</t>
  </si>
  <si>
    <t>Thuế đóng góp vào việc cải thiện các dịch vụ công chất lượng cuộc sống hàng ngày</t>
  </si>
  <si>
    <t>Nhà nước đã cung cấp thông tin rõ ràng về mục tiêu của chính sách mới, tuy nhiên cần thêm giải thích về hiệu quả sử dụng tiền thuế</t>
  </si>
  <si>
    <t>Tôi ủng hộ và tuân thủ chính sách mới vì nó tạo ra sự công bằng và tiết kiệm chi phí cho tôi</t>
  </si>
  <si>
    <t>Dù các quy định quản lý thuế hiện nay không hoàn toàn rõ ràng, nhưng với mức giảm trừ gia cảnh tăng cao và số bậc thuế giảm đi, hành vi gian lận hoặc trốn thuế sẽ khó khăn hơn. Thuế theo luật mới giúp tiết kiệm 14,346 VNĐ/tháng.</t>
  </si>
  <si>
    <t>Cơ quan thuế có nhiều công cụ và nguồn lực để phát hiện và xử lý các hành vi trốn thuế. Việc đơn giản hóa biểu thuế cũng giảm bớt cơ hội cho người nộp thuế lạm dụng hệ thống.</t>
  </si>
  <si>
    <t>Thủ tục khai báo thuế và quy trình làm việc với cơ quan thuế trở nên đơn giản hơn, tiết kiệm thời gian. Việc giảm bậc thuế cũng giúp dễ dàng tính toán hơn.</t>
  </si>
  <si>
    <t>Biểu thuế mới rõ ràng, dễ hiểu hơn so với trước đây. Số bậc thuế giảm từ 7 xuống còn 5 làm cho việc thực hiện thuế trở nên đơn giản và dễ dàng.</t>
  </si>
  <si>
    <t>Tôi tin rằng Nhà nước sẽ thực thi chính sách một cách công bằng, nhưng cần thêm thời gian để chứng minh. Tuy nhiên, mức thuế mới giúp tôi tiết kiệm được tiền, tăng niềm tin vào hệ thống.</t>
  </si>
  <si>
    <t>Mức thuế theo phương án mới là hợp lý với thu nhập của tôi. Sự giảm trừ gia cảnh và số bậc thuế đơn giản cũng tạo nên sự công bằng trong việc phân bổ thuế.</t>
  </si>
  <si>
    <t>Tôi tin rằng số tiền thuế đóng sẽ được sử dụng hiệu quả để cải thiện dịch vụ công, mặc dù không có thông tin cụ thể về cách chi tiêu. Việc giảm trừ gia cảnh giúp tôi tiết kiệm được một khoản tiền đáng kể.</t>
  </si>
  <si>
    <t>Nhà nước đã giải thích rõ ràng lý do và mục tiêu của việc sửa đổi thuế, nhưng cần thêm thông tin về cách sử dụng số tiền thuế. Tuy nhiên, mức giảm trừ gia cảnh mới giúp tôi cảm thấy công bằng hơn.</t>
  </si>
  <si>
    <t>Sau khi xem xét các quyền lợi và nghĩa vụ theo chính sách mới, tôi ủng hộ và tuân thủ nó vì nó mang lại nhiều lợi ích cho tôi. Mức thuế giảm giúp tôi tiết kiệm tiền.</t>
  </si>
  <si>
    <t xml:space="preserve">Công nghệ ngày càng phát triển, cơ quan thuế có thể dễ dàng phát hiện các hành vi gian lận thông qua hệ thống điện tử. </t>
  </si>
  <si>
    <t xml:space="preserve">Việc sử dụng công nghệ cao giúp tăng cường quản lý và giám sát thuế hiệu quả hơn, từ đó giảm thiểu trốn thuế. </t>
  </si>
  <si>
    <t xml:space="preserve">Thủ tục khai báo thuế trở nên đơn giản hơn với sự hỗ trợ của phần mềm điện tử và dịch vụ online, tạo thuận lợi cho người dân. </t>
  </si>
  <si>
    <t xml:space="preserve">Số bậc thuế giảm từ 7 xuống 5, đồng thời mức giảm trừ gia cảnh tăng lên khiến việc tính thuế trở nên dễ dàng hơn. </t>
  </si>
  <si>
    <t xml:space="preserve">Tôi tin rằng cơ quan thuế sẽ thực thi chính sách một cách công bằng và minh bạch, nhưng vẫn cần sự giám sát của cộng đồng. </t>
  </si>
  <si>
    <t xml:space="preserve">Mức thuế mới được đánh giá là công bằng với thu nhập hiện tại của tôi, phù hợp với quy định mới. </t>
  </si>
  <si>
    <t xml:space="preserve">Tôi tin rằng số tiền đóng thuế sẽ được sử dụng hiệu quả để cải thiện các dịch vụ công, nhưng cần có thông tin rõ ràng về việc này. </t>
  </si>
  <si>
    <t xml:space="preserve">Nhà nước đã giải thích khá chi tiết về mục tiêu và lý do của chính sách mới, tạo sự tin tưởng cho người dân. </t>
  </si>
  <si>
    <t xml:space="preserve">Tính công bằng, thuận tiện trong việc khai báo thuế, cùng với sự giảm trừ gia cảnh tăng lên khiến tôi ủng hộ chính sách mới. </t>
  </si>
  <si>
    <t>Cơ quan thuế có nhiều biện pháp phát hiện trốn thuế, nhưng vẫn cần sự hợp tác của người dân để nâng cao hiệu quả.</t>
  </si>
  <si>
    <t>Nhà nước đã đầu tư công nghệ và nhân lực vào việc quản lý thuế, tuy nhiên khả năng xử lý nhanh chóng các hành vi trốn thuế còn phụ thuộc nhiều vào quy định cụ thể.</t>
  </si>
  <si>
    <t>Quy trình khai báo thuế đơn giản hơn nhưng vẫn cần thời gian để người dân quen với hệ thống mới.</t>
  </si>
  <si>
    <t>Bậc thuế đơn giản hơn, dễ hiểu và dễ thực hiện hơn so với trước đây, giúp người dân thuận lợi trong việc tính toán và nộp thuế.</t>
  </si>
  <si>
    <t>Tôi tin rằng cơ quan thuế sẽ công bằng trong việc thực thi chính sách mới, nhưng vẫn cần sự minh bạch từ phía Nhà nước.</t>
  </si>
  <si>
    <t>Mức thuế mới phù hợp với thu nhập của tôi, giảm gánh nặng về mặt tài chính và tăng tính công bằng trong việc đóng góp cho xã hội.</t>
  </si>
  <si>
    <t>Thuế mà tôi đóng sẽ được sử dụng để cải thiện dịch vụ công, nhưng cần có sự minh bạch trong việc phân bổ ngân sách.</t>
  </si>
  <si>
    <t>Tôi ủng hộ và tuân thủ chính sách mới vì nó giảm gánh nặng tài chính và tăng tính công bằng trong việc đóng thuế.</t>
  </si>
  <si>
    <t>Dù có công nghệ hỗ trợ, tôi vẫn nghi ngờ khả năng phát hiện và xử lý tất cả các hành vi gian lận thuế. Tuy nhiên, với mức độ hiểu biết về hệ thống hiện tại, tôi thấy khả năng kiểm soát tốt hơn.</t>
  </si>
  <si>
    <t>Nhà nước đã đầu tư vào công nghệ và có cơ sở dữ liệu để giám sát các giao dịch tài chính. Điều này tăng khả năng phát hiện hành vi gian lận.</t>
  </si>
  <si>
    <t>Quy trình khai thuế trở nên đơn giản hơn với mức giảm trừ gia cảnh cao hơn và số bậc thuế ít đi, nhưng vẫn cần thời gian để quen thuộc.</t>
  </si>
  <si>
    <t>Biểu thuế mới đơn giản hóa việc tính toán và không còn nhiều bậc thuế phức tạp như trước đây. Điều này giúp người dân dễ dàng nắm bắt và thực hiện.</t>
  </si>
  <si>
    <t>Tôi tin rằng Nhà nước sẽ thực thi chính sách một cách khách quan, nhưng vẫn lo ngại về việc kiểm soát và xử lý gian lận thuế.</t>
  </si>
  <si>
    <t>Mức giảm trừ gia cảnh và bậc thuế mới giúp tôi đóng thuế công bằng hơn so với trước đây. Điều này tăng niềm tin vào tính công bằng của hệ thống.</t>
  </si>
  <si>
    <t>Niềm tin rằng số tiền thuế đóng sẽ được sử dụng hiệu quả để cải thiện dịch vụ công, nhưng vẫn lo ngại về việc quản lý chi tiêu.</t>
  </si>
  <si>
    <t>Tôi thấy Nhà nước đã giải thích rõ ràng về mục tiêu và thay đổi này, tăng sự minh bạch và tin tưởng vào quyết định của họ.</t>
  </si>
  <si>
    <t>Dựa trên các quyền lợi cải thiện và mức thuế công bằng hơn, tôi sẽ ủng hộ và tuân thủ chính sách mới. Tuy nhiên, tôi vẫn muốn theo dõi chặt chẽ cách sử dụng nguồn thu từ thuế.</t>
  </si>
  <si>
    <t>Việc tăng mức giảm trừ gia cảnh và đơn giản hóa biểu thuế có thể làm giảm khả năng phát hiện hành vi gian lận hoặc trốn thuế. Tuy nhiên, với sự cải tiến về công nghệ quản lý thuế, khả năng phát hiện vẫn còn cao.</t>
  </si>
  <si>
    <t>Công nghệ và hệ thống quản lý thuế được cải thiện giúp việc phát hiện và xử lý hành vi trốn thuế trở nên dễ dàng hơn. Tuy nhiên, cần thời gian để các cơ quan thuế hoàn thiện hệ thống.</t>
  </si>
  <si>
    <t>So với trước đây, quy trình khai báo thuế đơn giản và nhanh chóng hơn. Việc giảm số bậc thuế giúp việc tính toán thuế dễ dàng hơn đối với người dân.</t>
  </si>
  <si>
    <t>Số bậc thuế được rút gọn từ 7 xuống còn 5, làm cho quá trình tính thuế trở nên đơn giản và dễ hiểu hơn. Điều này giúp người dân thuận lợi trong việc tuân thủ pháp luật.</t>
  </si>
  <si>
    <t>Tôi tin rằng Nhà nước sẽ thực hiện chính sách một cách công bằng, nhưng cần thời gian để các cơ quan thuế hoàn thiện và triển khai hiệu quả.</t>
  </si>
  <si>
    <t>Thuế mới được giảm đi đáng kể so với trước đây, tạo cảm giác công bằng đối với tôi. Điều này làm tăng niềm tin về tính công bằng của chính sách mới.</t>
  </si>
  <si>
    <t>Tiết kiệm được số tiền thuế lớn giúp cải thiện cuộc sống và dịch vụ công. Tuy nhiên, cần xem xét hiệu quả sử dụng nguồn lực để đánh giá đầy đủ.</t>
  </si>
  <si>
    <t>Tôi đồng ý với những giải thích của Nhà nước về mục tiêu và lý do sửa đổi thuế, nhưng cần thời gian để thấy được kết quả thực tế.</t>
  </si>
  <si>
    <t>Sau khi xem xét các quyền lợi và nghĩa vụ mới, tôi ủng hộ và sẽ tuân thủ chính sách mới. Tuy nhiên, việc cải thiện dịch vụ công cần có thời gian để đạt hiệu quả.</t>
  </si>
  <si>
    <t>Dù hiện tại có hệ thống quản lý thuế tốt, nhưng do tôi vẫn lo ngại về việc phát hiện trốn thuế, nên điểm số không cao.</t>
  </si>
  <si>
    <t>Ngành thuế đang đầu tư vào công nghệ và nhân lực để cải thiện hiệu quả quản lý, tuy nhiên, tôi cần thêm thời gian để tin tưởng.</t>
  </si>
  <si>
    <t>Thủ tục khai báo thuế đã đơn giản hơn so với trước đây, giảm bớt sự rườm rà, tiết kiệm thời gian và công sức.</t>
  </si>
  <si>
    <t>Các bậc thuế mới đơn giản hơn, dễ dàng tính toán, phù hợp với thực tế thu nhập của tôi, nên cảm thấy thoải mái hơn.</t>
  </si>
  <si>
    <t>Tôi tin tưởng rằng cơ quan thuế sẽ công bằng trong việc áp dụng chính sách, nhưng cần thêm thời gian để hoàn toàn tin tưởng.</t>
  </si>
  <si>
    <t>Theo tôi, mức thuế mới là hợp lý cho thu nhập của tôi và những người cùng khu vực, vì vậy tôi cảm thấy công bằng.</t>
  </si>
  <si>
    <t>Tôi tin rằng số tiền thuế đóng sẽ được sử dụng hiệu quả để cải thiện dịch vụ công, nhưng cần thêm minh bạch từ cơ quan quản lý.</t>
  </si>
  <si>
    <t>Cơ quan thuế đã giải thích khá rõ về mục tiêu và lý do của việc sửa đổi chính sách mới, tạo niềm tin cho tôi.</t>
  </si>
  <si>
    <t>Tính toán tác động tài chính tích cực và các cải tiến về thủ tục làm việc với cơ quan thuế đã khiến tôi ủng hộ và sẵn lòng tuân thủ.</t>
  </si>
  <si>
    <t>Do có nhiều biện pháp quản lý thuế hiện đại, tôi tin rằng hành vi gian lận sẽ dễ bị phát hiện.</t>
  </si>
  <si>
    <t>Cơ quan thuế đã tăng cường công nghệ và nhân sự để phát hiện trốn thuế, do đó khả năng xử lý nghiêm sẽ cao hơn.</t>
  </si>
  <si>
    <t>Quy trình khai báo nay đơn giản hơn trước, tuy nhiên vẫn còn một số bước cần cải thiện.</t>
  </si>
  <si>
    <t>Biểu thuế mới đơn giản hóa các bậc và cách tính, dễ hiểu hơn so với trước đây.</t>
  </si>
  <si>
    <t>Tôi tin Nhà nước sẽ công tâm trong việc thực thi chính sách, nhưng vẫn có sự nghi ngờ về một số trường hợp cụ thể.</t>
  </si>
  <si>
    <t>Đối với mức thu nhập của tôi, giảm trừ gia cảnh và các bậc thuế mới phù hợp hơn, mang lại cảm giác công bằng.</t>
  </si>
  <si>
    <t>Thuế được sử dụng vào mục đích cải thiện dịch vụ công là điều cần thiết, nhưng hiệu quả cụ thể vẫn còn phải đợi xem.</t>
  </si>
  <si>
    <t>Dù vẫn có một số lo ngại, nhưng tôi ủng hộ chính sách mới vì lợi ích cụ thể mà nó mang lại cho tôi.</t>
  </si>
  <si>
    <t>Cơ quan thuế có nhiều công cụ để phát hiện gian lận, tuy nhiên khả năng thực thi vẫn cần cải thiện.</t>
  </si>
  <si>
    <t>Nhà nước đã đầu tư vào hệ thống quản lý thuế, tuy vậy việc xử lý nghiêm vẫn còn hạn chế trong một số trường hợp.</t>
  </si>
  <si>
    <t>So với trước đây, thủ tục khai báo thuế đơn giản hơn, thuận tiện cho người dân nộp thuế.</t>
  </si>
  <si>
    <t>Biểu thuế đơn giản hóa từ 7 bậc xuống 5 bậc, dễ dàng hiểu và thực hiện hơn so với trước đây.</t>
  </si>
  <si>
    <t>Có sự công bằng giữa các mức giảm trừ gia cảnh và bảng thuế mới, tạo niềm tin cho người dân.</t>
  </si>
  <si>
    <t>Tôi được hưởng lợi từ việc giảm thuế và có nhiều quyền lợi hơn với mức thu nhập hiện tại.</t>
  </si>
  <si>
    <t>Thuế đóng góp cho các dịch vụ công, tôi tin tưởng rằng số tiền này sẽ được sử dụng hiệu quả.</t>
  </si>
  <si>
    <t>Nhà nước đã giải thích rõ ràng về mục tiêu và lý do sửa đổi thuế, tạo sự minh bạch.</t>
  </si>
  <si>
    <t>Tôi ủng hộ chính sách mới vì nó mang lại lợi ích cho người dân và đơn giản hóa quy trình nộp thuế.</t>
  </si>
  <si>
    <t>Thuế thu nhập cá nhân có nhiều biện pháp quản lý và công nghệ hiện đại, tuy nhiên vẫn còn khả năng trốn thuế nếu người dân không tuân thủ.</t>
  </si>
  <si>
    <t>Cơ quan thuế có đủ khả năng phát hiện hành vi trốn thuế với các biện pháp quản lý hiện tại và công nghệ tiên tiến, nhưng vẫn cần cải thiện.</t>
  </si>
  <si>
    <t>Quy trình khai báo thuế và làm việc với cơ quan thuế đã đơn giản hóa so với trước đây, giảm bớt thời gian chờ đợi và thủ tục rườm rà.</t>
  </si>
  <si>
    <t>Biểu thuế mới có ít bậc hơn nên dễ hiểu và thực hiện nhanh chóng hơn so với trước đây, nhưng vẫn cần thêm hướng dẫn cho người dân.</t>
  </si>
  <si>
    <t>Nhà nước đã cố gắng thực thi công bằng trong việc tính thuế mới, tuy nhiên vẫn có những vấn đề về sự minh bạch và khách quan.</t>
  </si>
  <si>
    <t>Mức thuế mới giảm đáng kể so với trước đây, thể hiện tính công bằng cho người nộp thuế như tôi, nhưng vẫn cần cải thiện.</t>
  </si>
  <si>
    <t>Thuế đóng góp vào dịch vụ công và phát triển quốc gia là điều có lợi cho xã hội, tuy nhiên hiệu quả sử dụng ngân sách còn hạn chế.</t>
  </si>
  <si>
    <t>Nhà nước đã giải thích rõ ràng về mục tiêu cải cách thuế mới, nhưng vẫn cần thêm thông tin chi tiết hơn để người dân hiểu rõ.</t>
  </si>
  <si>
    <t>Sau khi xem xét các quyền lợi và nghĩa vụ, tôi ủng hộ chính sách mới hiện nay vì nó giúp giảm gánh nặng thuế cho người dân như tôi.</t>
  </si>
  <si>
    <t>Nếu cơ quan thuế có công nghệ hiện đại, khả năng phát hiện gian lận sẽ tăng. Tuy nhiên, với quy định quản lý thuế hiện tại, tôi vẫn nghi ngờ một số trường hợp trốn thuế sẽ khó kiểm soát.</t>
  </si>
  <si>
    <t>Nếu nhà nước và cơ quan thuế có đủ khả năng công nghệ, việc phát hiện gian lận sẽ dễ dàng hơn. Tuy nhiên, hiện tại chưa rõ mức độ thực tế.</t>
  </si>
  <si>
    <t>Quy trình khai báo thuế đã đơn giản hóa, nhưng vẫn còn nhiều thủ tục rườm rà cần cải thiện.</t>
  </si>
  <si>
    <t>Tôi tin rằng cơ quan thuế sẽ công bằng trong việc quản lý và thực thi chính sách, nhưng cần thêm thời gian để chứng minh.</t>
  </si>
  <si>
    <t>Thuế tôi phải đóng giảm đáng kể, làm tăng cảm giác công bằng. Tuy nhiên, mức thuế mới vẫn có thể bị nghi ngờ về tính hợp lý cho người thu nhập cao hơn.</t>
  </si>
  <si>
    <t>Tiết kiệm được tiền thuế, tôi tin số tiền đó sẽ được sử dụng hiệu quả để cải thiện dịch vụ công. Tuy nhiên, vẫn cần minh bạch hơn về cách sử dụng nguồn ngân sách.</t>
  </si>
  <si>
    <t>Cơ quan thuế đã giải thích rõ ràng mục tiêu và lý do của việc sửa đổi chính sách, tuy nhiên, tôi muốn có thêm thông tin về kế hoạch thực hiện.</t>
  </si>
  <si>
    <t>Chính sách mới có lợi cho người dân như tôi với mức thuế giảm đáng kể, làm tăng sự ủng hộ và tuân thủ.</t>
  </si>
  <si>
    <t>Với các mức giảm trừ gia cảnh tăng lên, việc phát hiện trốn thuế có thể khó khăn hơn.</t>
  </si>
  <si>
    <t>Cơ quan thuế có công nghệ để theo dõi nhưng thực tế chưa chắc đủ nguồn lực và quyết tâm xử lý mạnh mẽ.</t>
  </si>
  <si>
    <t>Quy trình khai báo thuế đơn giản hơn, tuy nhiên vẫn cần thời gian thích nghi với người dân.</t>
  </si>
  <si>
    <t>Biểu thuế mới rõ ràng, dễ hiểu nhưng không phải tất cả người dân đều nắm được.</t>
  </si>
  <si>
    <t>Niềm tin vào sự công bằng trong việc áp dụng chính sách thuế chưa cao do nghi ngờ về khả năng quản lý của cơ quan thuế.</t>
  </si>
  <si>
    <t>Mức thuế mới phù hợp với thu nhập hiện tại, giảm gánh nặng tài chính.</t>
  </si>
  <si>
    <t>Quyết định sử dụng tiền thuế vào mục tiêu công cộng chưa minh bạch và rõ ràng.</t>
  </si>
  <si>
    <t>Các giải thích về chính sách mới còn hạn chế, cần nhiều thông tin hơn để tăng sự hiểu biết của người dân.</t>
  </si>
  <si>
    <t>Dù thuế giảm nhưng nghi ngờ về việc quản lý và sử dụng tiền thuế khiến tôi không hoàn toàn ủng hộ.</t>
  </si>
  <si>
    <t>Dù có khả năng phát hiện gian lận, nhưng tôi vẫn lo ngại về việc quản lý thuế hiện tại chưa đủ mạnh mẽ để ngăn chặn trốn thuế.</t>
  </si>
  <si>
    <t>Tăng mức giảm trừ gia cảnh và đơn giản hóa biểu thuế có thể giúp phát hiện gian lận một cách hiệu quả hơn.</t>
  </si>
  <si>
    <t>Quy trình khai thuế trở nên dễ dàng hơn, nhưng tôi vẫn thấy cần cải thiện thêm về việc cung cấp dịch vụ khách hàng.</t>
  </si>
  <si>
    <t>Biểu thuế mới đơn giản và rõ ràng hơn so với trước đây.</t>
  </si>
  <si>
    <t>Tôi tin Nhà nước sẽ thực thi chính sách công tâm, nhưng vẫn cần thêm minh bạch về cách thức quản lý.</t>
  </si>
  <si>
    <t>Mức thuế mới đối với thu nhập của tôi là hợp lý, tăng mức giảm trừ gia cảnh giúp tôi tiết kiệm nhiều hơn.</t>
  </si>
  <si>
    <t>Thuế đóng góp vào việc cải thiện dịch vụ công và hạ tầng xã hội, nhưng cần minh bạch về sử dụng nguồn thu.</t>
  </si>
  <si>
    <t>Nhà nước đã giải thích rõ ràng mục đích của chính sách mới, nhưng vẫn có thể làm rõ hơn về chi tiết sử dụng nguồn thu.</t>
  </si>
  <si>
    <t>Dù còn một số lo ngại, nhưng tôi ủng hộ và tuân thủ chính sách mới vì lợi ích mà nó mang lại cho tôi.</t>
  </si>
  <si>
    <t>Nhà nước đã có nhiều biện pháp quản lý thuế hiện đại, nhưng vẫn cần cải thiện trong việc phát hiện hành vi gian lận.</t>
  </si>
  <si>
    <t>Cơ quan thuế đã nâng cao khả năng công nghệ để giám sát và xử phạt các hành vi trốn thuế, nhưng vẫn có giới hạn.</t>
  </si>
  <si>
    <t>Thủ tục khai báo thuế trở nên đơn giản hơn, dễ thực hiện hơn so với trước đây.</t>
  </si>
  <si>
    <t>Biểu thuế mới đơn giản hóa các bậc thuế, làm cho việc tính toán và nộp thuế dễ dàng hơn.</t>
  </si>
  <si>
    <t>Tôi tin rằng Nhà nước sẽ thực thi chính sách một cách công bằng, nhưng vẫn có sự đa dạng trong cách hiểu về công bằng giữa các cá nhân.</t>
  </si>
  <si>
    <t>Dựa trên tác động tài chính, tôi thấy mức thuế mới hợp lý cho thu nhập của mình và các mức giảm trừ gia cảnh đã tăng lên.</t>
  </si>
  <si>
    <t>Tôi tin rằng số tiền thuế đóng sẽ được sử dụng hiệu quả để cải thiện dịch vụ công, nhưng hiệu quả thực tế có thể khác biệt.</t>
  </si>
  <si>
    <t>Nhà nước đã giải thích rõ ràng về mục tiêu của việc sửa đổi thuế, nhưng vẫn cần thêm thông tin chi tiết về cách sử dụng số tiền thuế.</t>
  </si>
  <si>
    <t>Tôi ủng hộ và tuân thủ chính sách mới vì tác động tài chính tích cực và cải tiến thủ tục nộp thuế.</t>
  </si>
  <si>
    <t>Đối với một công dân Việt Nam, tôi tin rằng các quy định quản lý thuế hiện tại đã được cải thiện đáng kể. Tuy nhiên, việc gian lận và trốn thuế vẫn còn tồn tại do thiếu thông tin và sự giám sát rộng rãi.</t>
  </si>
  <si>
    <t>Nhà nước và cơ quan thuế đã đầu tư vào công nghệ để phát hiện các hành vi không tuân thủ, tuy nhiên, việc xử lý nghiêm vẫn cần được cải thiện hơn nữa.</t>
  </si>
  <si>
    <t>So với trước đây, quy trình làm việc và khai báo thuế đã đơn giản hơn. Tuy nhiên, các bước cụ thể vẫn chưa thực sự thuận tiện cho người dân.</t>
  </si>
  <si>
    <t>Bậc thuế được đơn giản hóa từ 7 xuống còn 5, điều này giúp việc tính toán thuế trở nên dễ dàng hơn. Tuy nhiên, cần thêm hướng dẫn cụ thể để người dân hiểu rõ.</t>
  </si>
  <si>
    <t>Tôi tin rằng Nhà nước sẽ thực thi chính sách một cách công bằng và khách quan, mặc dù vẫn có nghi ngờ về việc giám sát và xử lý các hành vi trốn thuế.</t>
  </si>
  <si>
    <t>Thuế mới được giảm đáng kể, do đó tôi cảm thấy mức thuế hiện tại là công bằng. Việc tăng giảm trừ gia cảnh cũng giúp cân đối hơn về mặt tài chính.</t>
  </si>
  <si>
    <t>Tôi tin rằng số tiền thuế tôi đóng sẽ được sử dụng hiệu quả để cải thiện các dịch vụ công, nhưng cần có báo cáo thường xuyên về việc này.</t>
  </si>
  <si>
    <t>Nhà nước đã giải thích rõ ràng về mục tiêu và lý do của việc sửa đổi thuế. Tuy nhiên, vẫn còn không ít người chưa hiểu đầy đủ.</t>
  </si>
  <si>
    <t>Dựa trên các ưu điểm của chính sách mới như giảm trừ gia cảnh và đơn giản hóa bậc thuế, tôi ủng hộ và sẽ tuân thủ chính sách này.</t>
  </si>
  <si>
    <t>Cơ quan thuế có nhiều công cụ để phát hiện trốn thuế, tuy nhiên khả năng thực thi vẫn phụ thuộc vào nguồn lực và quyết tâm của họ.</t>
  </si>
  <si>
    <t>Nhà nước đã đầu tư công nghệ để cải thiện quản lý thuế, nhưng hiệu quả thực tế còn phụ thuộc vào việc triển khai.</t>
  </si>
  <si>
    <t>Quy trình hiện tại đơn giản hơn trước nhưng vẫn cần thêm thời gian để quen với các thay đổi về biểu thuế.</t>
  </si>
  <si>
    <t>Biểu thuế mới dễ hiểu và thực hiện thuận tiện, giảm độ phức tạp so với trước đây.</t>
  </si>
  <si>
    <t>Tôi tin rằng cơ quan thuế sẽ công bằng trong việc áp dụng chính sách, nhưng vẫn có lo ngại về sự nhất quán trong thực thi.</t>
  </si>
  <si>
    <t>Mức thuế mới giảm đáng kể so với trước đây, tạo cảm giác công bằng hơn đối với thu nhập của tôi.</t>
  </si>
  <si>
    <t>Thuê được sử dụng để cải thiện các dịch vụ công là điều cần thiết và hợp lý.</t>
  </si>
  <si>
    <t>Nhà nước đã giải thích rõ về mục tiêu của việc sửa đổi thuế, nhưng vẫn có chỗ cho sự cải thiện trong minh bạch.</t>
  </si>
  <si>
    <t>Chính sách mới mang lại lợi ích tài chính và giảm độ phức tạp, tôi sẽ ủng hộ và tuân thủ.</t>
  </si>
  <si>
    <t>Dựa trên các quy định quản lý thuế hiện nay, tôi tin rằng hành vi gian lận hoặc trốn thuế sẽ dễ dàng bị phát hiện và xử lý nghiêm. Tuy nhiên, do chưa có nhiều thông tin cụ thể về công nghệ và khả năng của cơ quan thuế, điểm số không được đánh cao.</t>
  </si>
  <si>
    <t>Nhà nước đã đầu tư vào hệ thống quản lý thuế hiện đại hơn, với các công nghệ mới để phát hiện gian lận. Điều này làm tăng niềm tin của tôi rằng các hành vi trốn thuế sẽ bị xử lý nghiêm.</t>
  </si>
  <si>
    <t>So với trước đây, quy trình khai báo thuế và làm việc với cơ quan thuế đã đơn giản hơn. Các ứng dụng điện tử hỗ trợ quá trình này thuận tiện hơn nhiều.</t>
  </si>
  <si>
    <t>Biểu thuế mới có ít bậc hơn, dễ hiểu và thực hiện đơn giản hơn so với trước đây. Việc giảm từ 7 bậc xuống 5 bậc đã làm tăng độ đơn giản trong quy trình tính thuế.</t>
  </si>
  <si>
    <t>Tôi tin rằng Nhà nước sẽ thực thi chính sách một cách công bằng và khách quan đối với mọi người nộp thuế. Việc giảm trừ gia cảnh và số bậc thuế đã làm cho tôi cảm thấy mình được đối xử công bằng hơn.</t>
  </si>
  <si>
    <t>Thuế mới mà tôi phải đóng là hợp lý vì nó dựa trên thu nhập của tôi. Mức thuế giảm giúp tôi tiết kiệm tiền và cảm thấy công bằng hơn so với trước đây.</t>
  </si>
  <si>
    <t>Tôi tin rằng số tiền thuế tôi đóng sẽ được sử dụng hiệu quả để cải thiện các dịch vụ công. Việc tăng mức giảm trừ gia cảnh giúp tôi cảm thấy sự đầu tư của mình vào xã hội.</t>
  </si>
  <si>
    <t>Nhà nước đã giải thích rõ ràng về lý do và mục tiêu của việc sửa đổi thuế, điều này làm tăng niềm tin của tôi. Tuy nhiên, còn cần thêm thông tin để đánh giá cao hơn.</t>
  </si>
  <si>
    <t>Sau khi xem xét các quyền lợi và nghĩa vụ mới, tôi ủng hộ và sẽ tuân thủ chính sách này vì nó mang lại nhiều lợi ích cho tôi. Việc giảm trừ gia cảnh và số bậc thuế đã làm tăng sự thuận tiện và công bằng.</t>
  </si>
  <si>
    <t>Hiện nay, với sự phát triển của công nghệ và quản lý thuế hiện đại, tôi tin rằng hành vi gian lận hay trốn thuế sẽ dễ dàng bị phát hiện. Tuy nhiên, việc thực thi luật pháp vẫn phụ thuộc vào năng lực quản lý.</t>
  </si>
  <si>
    <t>Cơ quan thuế có đầy đủ công nghệ và nhân lực để theo dõi và xử lý các hành vi trốn thuế. Điều này giúp tăng tính minh bạch và ngăn chặn gian lận.</t>
  </si>
  <si>
    <t>Quy trình khai báo thuế trở nên đơn giản hơn với mức giảm trừ gia cảnh cao hơn, giúp việc làm thủ tục nhanh chóng và thuận tiện hơn.</t>
  </si>
  <si>
    <t>Số bậc thuế giảm từ 7 xuống 5, cùng với mức giảm trừ gia cảnh cao hơn, khiến việc tính thuế trở nên dễ hiểu và thực hiện đơn giản hơn.</t>
  </si>
  <si>
    <t>Tôi tin rằng Nhà nước sẽ công bằng trong việc thực thi chính sách mới, đảm bảo quyền lợi của người dân được tôn trọng.</t>
  </si>
  <si>
    <t>Thuế tôi phải đóng theo phương án mới là hợp lý và công bằng. Mức giảm trừ gia cảnh cao hơn giúp giảm gánh nặng tài chính cho người dân.</t>
  </si>
  <si>
    <t>Tôi tin tưởng rằng số tiền thuế tôi đóng sẽ được sử dụng hiệu quả để cải thiện dịch vụ công, từ đó nâng cao chất lượng cuộc sống của người dân.</t>
  </si>
  <si>
    <t>Nhà nước đã giải thích rõ ràng về mục tiêu và lý do của việc sửa đổi thuế này, tạo ra sự minh bạch cho người dân.</t>
  </si>
  <si>
    <t>Tôi ủng hộ chính sách mới vì nó giúp giảm gánh nặng tài chính cho người dân, đồng thời tăng tính công bằng trong việc đóng góp thuế. Điều này cũng khuyến khích tôi tuân thủ và ủng hộ chính sách.</t>
  </si>
  <si>
    <t>Thuế đã có nhiều cải thiện về tính minh bạch và công bằng, nhưng thực tế việc phát hiện hành vi gian lận vẫn còn gặp khó khăn.</t>
  </si>
  <si>
    <t>Cơ quan thuế có khả năng quản lý tốt hơn với hệ thống mới, nhưng vẫn cần cải thiện về công nghệ và nguồn lực.</t>
  </si>
  <si>
    <t>Quy trình khai báo thuế và làm việc với cơ quan thuế đơn giản hơn nhiều so với trước đây, thuận tiện cho người dân.</t>
  </si>
  <si>
    <t>Biểu thuế mới đơn giản hóa đáng kể, dễ hiểu và thực hiện dễ dàng hơn so với trước.</t>
  </si>
  <si>
    <t>Tôi tin rằng cơ quan thuế sẽ công bằng trong việc thực thi chính sách, nhưng cần thêm thời gian để chứng minh.</t>
  </si>
  <si>
    <t>Thuế mới phù hợp với thu nhập của tôi, giảm đáng kể chi phí và tăng mức giảm trừ gia cảnh, tạo cảm giác công bằng.</t>
  </si>
  <si>
    <t>Tiền thuế đóng góp vào việc cải thiện dịch vụ công, nhưng cần thêm thông tin về cách sử dụng để tăng niềm tin.</t>
  </si>
  <si>
    <t>Nhà nước đã giải thích rõ ràng về mục tiêu và lý do của chính sách mới, tạo sự minh bạch.</t>
  </si>
  <si>
    <t>Tôi ủng hộ và tuân thủ chính sách mới vì lợi ích mà nó mang lại cho tôi và người dân.</t>
  </si>
  <si>
    <t>Hiện nay, mặc dù tôi không phải đóng thuế, nhưng tôi vẫn tin rằng cơ quan thuế có đủ khả năng phát hiện hành vi gian lận. Việc tăng giảm trừ gia cảnh và đơn giản hóa biểu thuế tạo ra sự công bằng cho mọi người.</t>
  </si>
  <si>
    <t>Tôi tin tưởng vào hệ thống quản lý của Nhà nước, họ có những công cụ cần thiết để phát hiện các hành vi trốn thuế. Điều này tăng thêm niềm tin vào hệ thống</t>
  </si>
  <si>
    <t>So với trước đây, quy trình khai báo thuế và làm việc với cơ quan thuế trở nên đơn giản hơn nhiều. Đặc biệt là khi giảm trừ gia cảnh cao hơn, tôi thấy rằng thủ tục trở nên thuận lợi hơn cho người dân.</t>
  </si>
  <si>
    <t>Biểu thuế được đơn giản hóa và có nhiều bậc hơn trước đây. Điều này giúp việc tính toán thuế trở nên dễ dàng hơn, không còn cảm giác bị rối bởi các mức thuế phức tạp như trước đây</t>
  </si>
  <si>
    <t>Nhà nước đã cải cách hệ thống thuế một cách công bằng và khách quan. Điều này làm tăng niềm tin của tôi vào hệ thống quản lý thuế.</t>
  </si>
  <si>
    <t>Với mức giảm trừ gia cảnh cao hơn, tôi thấy rằng mình đóng thuế ở mức hợp lý so với thu nhập hiện tại của bản thân. Điều này tạo ra sự công bằng</t>
  </si>
  <si>
    <t>Thuế tôi đóng sẽ được sử dụng để cải thiện các dịch vụ công như y tế và giao thông, điều này làm tăng niềm tin vào việc sử dụng tiền thuế một cách hiệu quả.</t>
  </si>
  <si>
    <t>Nhà nước đã giải thích rõ ràng về mục tiêu của việc cải cách. Điều này làm tăng sự minh bạch và công bằng trong hệ thống quản lý thuế</t>
  </si>
  <si>
    <t>Chính sách mới tạo ra một môi trường thuế thuận lợi hơn, giảm gánh nặng cho người dân. Tôi ủng hộ và tuân thủ chính sách này.</t>
  </si>
  <si>
    <t>Nhà nước và cơ quan thuế có nhiều biện pháp quản lý và công nghệ hiện đại để phát hiện các hành vi gian lận, trốn thuế. Điều này làm tăng khả năng thực thi.</t>
  </si>
  <si>
    <t>Cơ quan thuế đã nâng cấp hệ thống công nghệ thông tin, giúp việc quản lý và xử lý các hành vi vi phạm hiệu quả hơn.</t>
  </si>
  <si>
    <t>Quy trình khai báo thuế trở nên đơn giản hơn với giảm trừ gia cảnh tăng thêm. Qua đó, thủ tục làm việc với cơ quan thuế thuận tiện hơn.</t>
  </si>
  <si>
    <t>Biểu thuế được đơn giản hóa từ 7 bậc xuống còn 5 bậc, làm cho quá trình tính thuế dễ hiểu và thực hiện nhanh chóng hơn.</t>
  </si>
  <si>
    <t>Nhà nước đã cải cách các quy định một cách công bằng đối với người nộp thuế, tăng mức giảm trừ gia cảnh, giúp mọi người cảm thấy được đối xử công bằng.</t>
  </si>
  <si>
    <t>Theo phương án mới, tôi chỉ đóng mức thuế thấp hơn so với trước đây. Điều này cho thấy mức thuế là hợp lý và công bằng đối với thu nhập của tôi.</t>
  </si>
  <si>
    <t>Thuế mà tôi đóng sẽ được sử dụng hiệu quả để cải thiện các dịch vụ công, từ đó tạo ra lợi ích cho cộng đồng. Điều này tăng sự tin tưởng vào hệ thống thuế.</t>
  </si>
  <si>
    <t>Nhà nước đã giải thích rõ ràng về mục tiêu và lý do của việc cải cách thuế. Điều này làm tăng niềm tin vào quyết định quản lý tài chính của Nhà nước.</t>
  </si>
  <si>
    <t>Sau khi xem xét các quyền lợi và nghĩa vụ, tôi ủng hộ chính sách mới vì nó mang lại lợi ích cho người dân như tôi. Tôi sẽ tuân thủ chính sách này.</t>
  </si>
  <si>
    <t>Thuế thu nhập cá nhân được quản lý chặt chẽ hơn, có nhiều biện pháp phát hiện gian lận và trốn thuế. Điều này tăng cường niềm tin vào hệ thống.</t>
  </si>
  <si>
    <t>Cơ quan thuế đã đầu tư công nghệ để tối ưu hóa quy trình quản lý, phát hiện nhanh chóng các hành vi vi phạm.</t>
  </si>
  <si>
    <t>Quy trình khai báo thuế và giao tiếp với cơ quan thuế trở nên đơn giản hơn. Tuy nhiên, vẫn cần thời gian để người dân thích nghi.</t>
  </si>
  <si>
    <t>Biểu thuế mới rõ ràng và dễ hiểu hơn so với trước đây. Việc giảm số bậc thuế giúp việc tính toán trở nên đơn giản hơn.</t>
  </si>
  <si>
    <t>Nhà nước đã công bố chính sách một cách minh bạch, đảm bảo thực thi công bằng đối với mọi người nộp thuế.</t>
  </si>
  <si>
    <t>Mức thuế mới hợp lý cho thu nhập hiện tại của tôi. Việc giảm trừ gia cảnh tăng giúp tiết kiệm tiền hơn.</t>
  </si>
  <si>
    <t>Các khoản thuế đóng góp vào việc cải thiện dịch vụ công, mang lại lợi ích chung cho xã hội.</t>
  </si>
  <si>
    <t>Nhà nước đã giải thích rõ ràng về mục tiêu và lý do của chính sách mới. Điều này tăng niềm tin vào quyết định quản lý tài chính của họ.</t>
  </si>
  <si>
    <t>Chính sách mới phù hợp với thu nhập hiện tại, giúp tiết kiệm tiền cho tôi. Tôi sẽ ủng hộ và tuân thủ.</t>
  </si>
  <si>
    <t>Nếu việc gian lận hoặc trốn thuế bị phát hiện, tôi tin rằng cơ quan thuế có đủ khả năng và công nghệ để xử lý. Luật pháp cũng đang ngày càng chặt chẽ hơn.</t>
  </si>
  <si>
    <t>Cơ quan thuế đã đầu tư nhiều vào hệ thống công nghệ thông tin, do đó họ có thể dễ dàng phát hiện hành vi trốn thuế và xử lý kịp thời.</t>
  </si>
  <si>
    <t>Thủ tục khai báo thuế trở nên đơn giản hơn với việc giảm số bậc thuế. Điều này giúp tiết kiệm thời gian cho người dân trong quá trình nộp thuế.</t>
  </si>
  <si>
    <t>Biểu thuế mới đã được đơn giản hóa, dễ hiểu và thực hiện nhanh chóng hơn so với trước đây, giảm đi rắc rối cho người nộp thuế.</t>
  </si>
  <si>
    <t>Nếu Nhà nước thực thi chính sách một cách công bằng và khách quan, tôi sẽ tin tưởng vào việc đánh giá thu nhập của mình.</t>
  </si>
  <si>
    <t>Mức thuế mới cho phép giảm trừ gia cảnh nhiều hơn giúp tạo ra sự công bằng trong việc phân bổ chi phí thuế giữa người nộp thuế và Nhà nước.</t>
  </si>
  <si>
    <t>Nếu số tiền thuế tôi đóng được sử dụng hiệu quả để cải thiện dịch vụ công, như y tế và giao thông, tôi sẽ cảm thấy hài lòng về việc đóng thuế của mình.</t>
  </si>
  <si>
    <t>Nhà nước đã giải thích rõ ràng lý do và mục tiêu thay đổi thuế, tuy nhiên, để tăng niềm tin, cần có thêm nhiều thông tin minh bạch hơn từ các cơ quan quản lý.</t>
  </si>
  <si>
    <t>Sau khi xem xét giảm trừ gia cảnh và số bậc thuế đã được đơn giản hóa, tôi đồng ý với chính sách mới. Tuy nhiên, tôi cần thêm thông tin để tăng sự hiểu biết về cách sử dụng số tiền thuế.</t>
  </si>
  <si>
    <t xml:space="preserve">Nhà nước đã cải cách thuế để tăng giảm trừ gia cảnh và đơn giản hóa biểu thuế, do đó hành vi gian lận hoặc trốn thuế có thể bị phát hiện dễ dàng hơn. </t>
  </si>
  <si>
    <t xml:space="preserve">Các cơ quan thuế đã nâng cấp công nghệ để theo dõi và xử lý các hành vi trốn thuế một cách hiệu quả, do đó tôi tin rằng khả năng phát hiện sẽ được cải thiện đáng kể. </t>
  </si>
  <si>
    <t xml:space="preserve">Quy trình khai thuế và giao dịch với cơ quan thuế trở nên đơn giản hơn nhiều so với trước đây, đặc biệt là với mức giảm trừ gia cảnh cao hơn. </t>
  </si>
  <si>
    <t xml:space="preserve">Biểu thuế mới có ít bậc hơn và dễ hiểu hơn, giúp quá trình tính thuế trở nên dễ dàng hơn nhiều. </t>
  </si>
  <si>
    <t xml:space="preserve">Nhà nước đã cải cách chính sách thuế một cách công bằng, giảm bớt gánh nặng thuế cho người dân như tôi, do đó tôi tin rằng họ sẽ thực thi chính sách này một cách khách quan và công bằng. </t>
  </si>
  <si>
    <t xml:space="preserve">Thuế mà tôi phải đóng theo phương án mới là hợp lý và phù hợp với thu nhập của tôi, do đó tôi thấy nó là công bằng. </t>
  </si>
  <si>
    <t xml:space="preserve">Với mức thuế giảm đáng kể, tôi tin rằng số tiền thuế mà tôi đóng sẽ được sử dụng hiệu quả để cải thiện dịch vụ công. </t>
  </si>
  <si>
    <t xml:space="preserve">Nhà nước đã giải thích rõ ràng về mục tiêu và lý do của việc sửa đổi thuế lần này, giúp tôi hiểu rõ hơn về chính sách mới. </t>
  </si>
  <si>
    <t xml:space="preserve">Dựa trên các cải tiến về giảm trừ gia cảnh, mức thuế đơn giản hơn và sự minh bạch trong việc thực thi chính sách, tôi ủng hộ và tuân thủ chính sách mới hiện nay. </t>
  </si>
  <si>
    <t>Việc tăng giảm trừ gia cảnh và đơn giản hóa quy trình thuế có thể làm giảm cơ hội trốn thuế, nhưng việc thực thi vẫn phụ thuộc vào công tác quản lý của nhà nước.</t>
  </si>
  <si>
    <t>Nhà nước đã đầu tư công nghệ để phát hiện gian lận và trốn thuế, tăng khả năng giám sát hiệu quả hơn.</t>
  </si>
  <si>
    <t>Quy trình khai báo thuế trở nên đơn giản hơn với mức giảm trừ gia cảnh cao hơn, thuận tiện cho người dân.</t>
  </si>
  <si>
    <t>Số bậc thuế giảm từ 7 xuống 5, giúp tính toán thuế dễ dàng và nhanh chóng hơn so với trước đây.</t>
  </si>
  <si>
    <t>Nhà nước đã công bố rõ ràng về việc tăng giảm trừ gia cảnh, đơn giản hóa quy trình, tôi tin rằng họ sẽ thực thi công bằng.</t>
  </si>
  <si>
    <t>Mức thuế mới phù hợp với thu nhập của tôi, giảm gánh nặng tài chính, tạo cảm giác công bằng hơn so với trước đây.</t>
  </si>
  <si>
    <t>Thuế đóng góp vào cải thiện dịch vụ công như y tế và đường xá, tôi tin rằng tiền thuế sẽ được sử dụng hiệu quả.</t>
  </si>
  <si>
    <t>Nhà nước đã giải thích rõ mục đích của việc sửa đổi chính sách thuế, tạo sự minh bạch trong quy trình quản lý</t>
  </si>
  <si>
    <t>Sau khi xem xét tác động tài chính và sự đơn giản hóa quy định, tôi ủng hộ và sẽ tuân thủ chính sách mới.</t>
  </si>
  <si>
    <t>Tăng cường quản lý thuế và cải tiến công nghệ giúp phát hiện hành vi gian lận, nhưng vẫn có thể gặp khó khăn với một số trường hợp.</t>
  </si>
  <si>
    <t>Cơ quan thuế đã nâng cao năng lực quản lý, nhưng cần thêm thời gian để ứng dụng công nghệ hiệu quả hơn vào thực tế.</t>
  </si>
  <si>
    <t>Quy trình làm việc với cơ quan thuế đơn giản hơn, thủ tục khai báo dễ dàng và nhanh chóng hơn so với trước đây.</t>
  </si>
  <si>
    <t>Biểu thuế mới rõ ràng và đơn giản, người dân dễ hiểu và thực hiện hơn, giảm độ phức tạp đáng kể.</t>
  </si>
  <si>
    <t>Mức thuế mới là hợp lý, giảm đáng kể so với trước đây, tạo niềm tin về tính công bằng.</t>
  </si>
  <si>
    <t>Thuế đóng góp vào việc cải thiện dịch vụ công, tôi ủng hộ việc sử dụng nguồn tài chính này hiệu quả.</t>
  </si>
  <si>
    <t>Nhà nước đã giải thích rõ về mục tiêu và lý do của việc sửa đổi thuế, tuy nhiên cần thêm minh bạch hơn trong thực thi.</t>
  </si>
  <si>
    <t>Chính sách mới mang lại lợi ích tài chính rõ rệt và giảm độ phức tạp, tôi ủng hộ và sẽ tuân thủ</t>
  </si>
  <si>
    <t>Dựa trên thông tin, tôi tin rằng cơ quan thuế có đủ khả năng phát hiện hành vi gian lận hoặc trốn thuế do việc đơn giản hóa quy trình và công nghệ hiện đại hỗ trợ.</t>
  </si>
  <si>
    <t>Nhà nước đã tăng cường các biện pháp quản lý và xử phạt nghiêm minh, do đó tôi tin rằng hành vi gian lận sẽ bị phát hiện và xử lý một cách công bằng.</t>
  </si>
  <si>
    <t>Quy trình khai báo thuế trở nên đơn giản hơn với mức giảm trừ gia cảnh cao hơn, do đó tôi thấy thuận tiện hơn nhiều so với trước đây.</t>
  </si>
  <si>
    <t>Các bậc thuế đã được đơn giản hóa và dễ hiểu hơn, giúp tôi tính toán nhanh chóng mà không cần sự hỗ trợ từ bên ngoài.</t>
  </si>
  <si>
    <t>Mức thuế mới có sự công bằng cho người dân như tôi, với mức thu nhập trung bình, do đó tôi tin rằng nó được thực hiện một cách khách quan và công tâm.</t>
  </si>
  <si>
    <t>Thuế mới giảm đáng kể so với trước đây, do đó tôi thấy việc đóng thuế mới là hợp lý đối với tình hình tài chính của tôi.</t>
  </si>
  <si>
    <t>Việc cải cách thuế nhằm nâng cao chất lượng cuộc sống và hạ tầng công cộng, điều này làm tăng niềm tin của tôi vào việc sử dụng hiệu quả số tiền thuế đã đóng.</t>
  </si>
  <si>
    <t>Nhà nước đã cung cấp thông tin rõ ràng về mục tiêu cải cách thuế, do đó tôi cảm thấy mình được lắng nghe và tôn trọng.</t>
  </si>
  <si>
    <t>Sau khi xem xét các quyền lợi và nghĩa vụ mới, tôi ủng hộ và tuân thủ chính sách mới vì nó mang lại nhiều lợi ích hơn so với trước đây.</t>
  </si>
  <si>
    <t>Dù có công nghệ phát hiện gian lận, nhưng tôi vẫn nghi ngờ việc quản lý thuế thực tế của cơ quan thuế. Thực thi pháp luật về thuế không phải lúc nào cũng mạnh mẽ.</t>
  </si>
  <si>
    <t>Cơ quan thuế có thể sử dụng công nghệ hiện đại, nhưng tôi lo ngại về khả năng quản lý và thực thi hiệu quả trong thực tế.</t>
  </si>
  <si>
    <t>Phương án mới đơn giản hơn so với trước đây, thủ tục khai báo thuế dễ dàng hơn. Tôi thấy thuận tiện hơn khi nộp thuế trực tuyến.</t>
  </si>
  <si>
    <t>Biểu thuế now có ít bậc và đơn giản hơn, nhưng tôi vẫn thấy cần cải thiện thêm trong việc truyền đạt thông tin về cách tính thuế cho người dân.</t>
  </si>
  <si>
    <t>Tôi tin rằng cơ quan thuế sẽ cố gắng thực thi công bằng, nhưng luôn có nguy cơ không đều đặn trong quản lý và thực thi pháp luật</t>
  </si>
  <si>
    <t>Ngưỡng giảm trừ gia cảnh và mức thuế mới tăng lên phù hợp với thu nhập của tôi. Tuy nhiên, tôi vẫn nghi ngờ về việc áp dụng công bằng cho mọi người.</t>
  </si>
  <si>
    <t>Tôi tin rằng số tiền thuế sẽ được sử dụng hiệu quả để cải thiện dịch vụ công, nhưng cần có minh bạch hơn về cách sử dụng nguồn thu</t>
  </si>
  <si>
    <t>Nhà nước đã giải thích rõ ràng về mục tiêu và lý do của việc sửa đổi thuế, tôi thấy thông tin được cung cấp đầy đủ.</t>
  </si>
  <si>
    <t>Tôi đồng ý với chính sách mới vì nó cải thiện sự công bằng và thuận tiện cho người nộp thuế. Tuy nhiên, cần giám sát chặt chẽ để đảm bảo tính công bằng</t>
  </si>
  <si>
    <t>Mức giảm trừ gia cảnh tăng và số bậc thuế giảm có thể làm giảm khả năng phát hiện hành vi gian lận. Tuy nhiên, việc xử lý nghiêm vẫn được duy trì.</t>
  </si>
  <si>
    <t>Nhà nước và cơ quan thuế đã đầu tư công nghệ để giám sát các hành vi trốn thuế nhưng chưa rõ liệu khả năng này có đủ mạnh hay không.</t>
  </si>
  <si>
    <t>Quy trình khai báo thuế trở nên đơn giản hơn với mức giảm trừ gia cảnh tăng và số bậc thuế ít hơn. Tuy nhiên, vẫn còn một số thủ tục cần cải thiện.</t>
  </si>
  <si>
    <t>Các bậc thuế mới rõ ràng hơn so với trước đây, giúp người dân dễ dàng tính toán hơn. Số bậc thuế giảm đi cũng làm cho quy trình đơn giản hơn.</t>
  </si>
  <si>
    <t>Tôi tin rằng Nhà nước sẽ thực thi chính sách một cách công bằng và khách quan, tuy nhiên, việc giải thích rõ ràng về mục tiêu của chính sách mới cần được cải thiện.</t>
  </si>
  <si>
    <t>Mức thuế mới giảm cho tôi và người phụ thuộc, khiến tôi cảm thấy mức đóng là công bằng. Tuy nhiên, tôi hy vọng sẽ có thêm giải thích về lý do tăng giảm các bậc thuế.</t>
  </si>
  <si>
    <t>Tôi tin rằng số tiền thuế đóng sẽ được sử dụng hiệu quả để cải thiện dịch vụ công, nhưng cần có thông tin cụ thể hơn về cách sử dụng nguồn thu này.</t>
  </si>
  <si>
    <t>Nhà nước đã giải thích một phần lý do và mục tiêu của việc sửa đổi thuế, nhưng tôi hy vọng sẽ thấy thêm thông tin chi tiết hơn.</t>
  </si>
  <si>
    <t>Sau khi xem xét các yếu tố trên, tôi ủng hộ và tuân thủ chính sách mới. Mặc dù có một số lo ngại về sự công bằng và minh bạch, nhưng giảm trừ gia cảnh tăng đã mang lại lợi ích đáng kể.</t>
  </si>
  <si>
    <t>Dù có công nghệ hỗ trợ, tôi vẫn lo ngại về khả năng phát hiện trốn thuế do số lượng hồ sơ lớn.</t>
  </si>
  <si>
    <t>Nhà nước và cơ quan thuế đã đầu tư vào công nghệ, tuy nhiên khả năng quản lý toàn diện chưa hoàn thiện.</t>
  </si>
  <si>
    <t>Quy trình khai báo đơn giản hơn trước, nhưng vẫn cần thời gian để làm quen với các thay đổi mới.</t>
  </si>
  <si>
    <t>Biểu thuế đơn giản hóa giúp tính toán dễ dàng hơn, nhưng vẫn còn một số điểm khó hiểu.</t>
  </si>
  <si>
    <t>Tôi tin Nhà nước sẽ công tâm trong việc thực thi chính sách, nhưng lo ngại về khả năng giám sát toàn diện.</t>
  </si>
  <si>
    <t>Thuế giảm giúp tôi thấy chính sách mới hợp lý hơn so với trước đây.</t>
  </si>
  <si>
    <t>Ngoài thuế, số tiền đóng còn đi vào các dịch vụ công nên tôi tin tưởng sử dụng hiệu quả.</t>
  </si>
  <si>
    <t>Tôi đồng ý với mục tiêu cải cách và cách giải thích minh bạch của Nhà nước.</t>
  </si>
  <si>
    <t>Chính sách mới phù hợp với thu nhập hiện tại, tôi ủng hộ và tuân thủ.</t>
  </si>
  <si>
    <t>Dựa trên các quy định quản lý thuế hiện nay, tôi cho rằng hành vi gian lận hoặc trốn thuế sẽ bị phát hiện và xử lý nghiêm, mặc dù không hoàn toàn chắc chắn.</t>
  </si>
  <si>
    <t>Nhà nước và cơ quan thuế có nhiều công cụ để phát hiện và xử lý các hành vi trốn thuế, nhưng hiệu quả phụ thuộc vào sự giám sát thực tế.</t>
  </si>
  <si>
    <t>So với trước đây, quy trình làm việc với cơ quan thuế trở nên đơn giản hơn, thuận tiện cho người nộp thuế.</t>
  </si>
  <si>
    <t>Biểu thuế mới rõ ràng và dễ hiểu hơn so với trước đây, giúp người dân tính toán chính xác số thuế phải đóng.</t>
  </si>
  <si>
    <t>Tôi tin rằng Nhà nước sẽ thực hiện chính sách một cách công bằng và khách quan</t>
  </si>
  <si>
    <t>Mức thuế mới được giảm đi đáng kể, thể hiện tính công bằng trong việc phân chia gánh nặng thuế cho người dân.</t>
  </si>
  <si>
    <t>Thuế tôi đóng sẽ được sử dụng hiệu quả để cải thiện các dịch vụ công, tăng niềm tin vào hệ thống</t>
  </si>
  <si>
    <t>Nhà nước đã giải thích rõ ràng về mục tiêu và lý do của việc sửa đổi thuế, tạo sự minh bạch.</t>
  </si>
  <si>
    <t>Tác động tài chính tích cực và mức thuế đơn giản hơn khiến tôi ủng hộ và tuân thủ chính sách mới.</t>
  </si>
  <si>
    <t>Như một công dân, tôi tin rằng với sự phát triển của công nghệ và các quy định quản lý thuế hiện nay, hành vi gian lận hoặc trốn thuế sẽ dễ dàng bị phát hiện. Tuy nhiên, mức độ nghiêm khắc trong xử lý vẫn phụ thuộc vào hiệu quả thực thi.</t>
  </si>
  <si>
    <t>Nhà nước và cơ quan thuế có nhiều nguồn lực và công nghệ để theo dõi các hoạt động gian lận thuế. Tuy nhiên, hiệu suất trong việc xử lý và phát hiện hành vi trốn thuế cần cải thiện hơn.</t>
  </si>
  <si>
    <t>So với trước đây, quy trình khai báo thuế trở nên đơn giản hơn, đặc biệt là khi sử dụng các ứng dụng điện tử. Tuy nhiên, vẫn còn một số thủ tục phức tạp cần cải thiện.</t>
  </si>
  <si>
    <t>Phương án mới đã làm rõ và đơn giản hóa cách tính thuế, giảm độ phức tạp từ 7 bậc xuống 5 bậc. Điều này giúp người dân dễ dàng hơn trong việc nắm bắt và thực hiện.</t>
  </si>
  <si>
    <t>Tôi tin rằng Nhà nước sẽ thực thi chính sách một cách công bằng, nhưng sự minh bạch trong quá trình quản lý thuế cần được cải thiện để tăng thêm niềm tin của người dân.</t>
  </si>
  <si>
    <t>Theo phương án mới, tôi thấy mức thuế đóng phù hợp với thu nhập hiện tại và giảm trừ gia cảnh tăng lên, điều này thể hiện sự công bằng trong việc phân bổ gánh nặng thuế</t>
  </si>
  <si>
    <t>Thuế đóng góp vào các dịch vụ công như y tế và cơ sở hạ tầng. Tuy nhiên, để nâng cao niềm tin, cần có báo cáo rõ ràng về cách sử dụng số tiền thu được từ thuế.</t>
  </si>
  <si>
    <t>Nhà nước đã giải thích rõ ràng mục tiêu của việc sửa đổi chính sách thuế, nhưng thông tin chi tiết hơn về quy trình thực thi vẫn cần thiết để tăng thêm sự minh bạch</t>
  </si>
  <si>
    <t>Sau khi xem xét các quyền lợi và nghĩa vụ mới, tôi ủng hộ chính sách này. Tuy nhiên, việc cải thiện hiệu suất quản lý thuế và minh bạch trong sử dụng nguồn thu là cần thiết để duy trì niềm tin của người dân</t>
  </si>
  <si>
    <t>Dù có công nghệ hỗ trợ, nhưng hiện nay hệ thống quản lý thuế Việt Nam vẫn còn nhiều hạn chế. Các hành vi gian lận hay trốn thuế khó tránh khỏi</t>
  </si>
  <si>
    <t>Nhà nước đã đầu tư vào công nghệ và nhân lực để nâng cao hiệu quả quản lý, nhưng thực tế triển khai còn nhiều khó khăn</t>
  </si>
  <si>
    <t>Quy trình khai thuế hiện tại đơn giản hơn trước, nhưng vẫn phức tạp. Cơ quan thuế cần cải thiện thêm để thuận tiện hơn cho người dân</t>
  </si>
  <si>
    <t>Biểu thuế mới đơn giản hóa các bậc thuế và giảm số bậc từ 7 xuống còn 5, giúp việc tính thuế dễ dàng hơn</t>
  </si>
  <si>
    <t>Tôi tin rằng Nhà nước sẽ thực hiện chính sách một cách công bằng, nhưng vẫn cần thời gian để người dân hiểu và chấp nhận hoàn toàn</t>
  </si>
  <si>
    <t>Mức thuế mới phù hợp với thu nhập của tôi. Tuy nhiên, mức giảm trừ gia cảnh tăng lên cũng giúp tiết kiệm chi phí thuế</t>
  </si>
  <si>
    <t>Thuế đóng góp vào các dịch vụ công và phát triển quốc gia là điều quan trọng, nhưng cần có sự minh bạch hơn về cách sử dụng nguồn thu</t>
  </si>
  <si>
    <t>Cơ quan thuế đã cung cấp thông tin rõ ràng về chính sách mới, nhưng vẫn còn thiếu về việc giải thích chi tiết các quy định cụ thể</t>
  </si>
  <si>
    <t>Sau khi xem xét, tôi ủng hộ và tuân thủ chính sách mới. Chính sách này giúp tôi tiết kiệm được nhiều tiền thuế</t>
  </si>
  <si>
    <t>Nhà nước đã tăng cường công nghệ và đội ngũ kiểm tra, nên tôi tin rằng hành vi gian lận sẽ bị phát hiện.</t>
  </si>
  <si>
    <t>Cơ quan thuế có nhiều nguồn lực hơn để giám sát, xử lý các trường hợp trốn thuế.</t>
  </si>
  <si>
    <t>Quy trình khai báo và làm việc với cơ quan thuế trở nên đơn giản hơn.</t>
  </si>
  <si>
    <t>Biểu thuế mới có ít bậc hơn, dễ tính toán và thực hiện hơn so với trước đây.</t>
  </si>
  <si>
    <t>Nhà nước đã cải cách công bằng cho mọi người nộp thuế, đặc biệt là tăng giảm trừ gia cảnh.</t>
  </si>
  <si>
    <t>Mức thuế mới phù hợp với thu nhập của tôi và những người trong độ tuổi tương tự.</t>
  </si>
  <si>
    <t>Thuế đóng góp vào việc cải thiện dịch vụ công, như y tế và giao thông.</t>
  </si>
  <si>
    <t>Đã có nhiều giải thích về mục đích của chính sách thuế mới từ nhà nước.</t>
  </si>
  <si>
    <t>Sau khi xem xét, tôi ủng hộ và sẽ tuân thủ chính sách thuế mới vì lợi ích cá nhân và cộng đồng.</t>
  </si>
  <si>
    <t>Nhà nước và cơ quan thuế đã có nhiều nỗ lực trong việc chống gian lận, trốn thuế thông qua hệ thống công nghệ thông tin hiện đại. Tuy nhiên, do quy mô lớn của nguồn thu từ thuế cá nhân nên vẫn còn khả năng phát sinh hành vi không tuân thủ.</t>
  </si>
  <si>
    <t>Nhà nước đã đầu tư vào hệ thống công nghệ thông tin để phát hiện và xử lý các hành vi trốn thuế, tuy nhiên hiệu quả của việc này còn phụ thuộc vào sự phối hợp giữa các cơ quan chức năng.</t>
  </si>
  <si>
    <t>Quy trình khai báo thuế đơn giản hơn, thủ tục làm việc với cơ quan thuế thuận tiện hơn so với trước đây, giúp tôi dễ dàng thực hiện đúng yêu cầu của pháp luật.</t>
  </si>
  <si>
    <t>Biểu thuế mới đơn giản, dễ hiểu và dễ thực hiện hơn. Số bậc thuế giảm từ 7 xuống còn 5, làm cho việc tính toán thuế trở nên dễ dàng hơn.</t>
  </si>
  <si>
    <t>Tôi tin rằng Nhà nước sẽ thực thi chính sách một cách công bằng, khách quan và đối xử bình đẳng với mọi người nộp thuế. Sự cải cách này giúp giảm gánh nặng tài chính cho tôi.</t>
  </si>
  <si>
    <t>Mức thuế mới mà tôi phải đóng là hợp lý so với thu nhập của mình, do có sự tăng cường về mức giảm trừ gia cảnh và đơn giản hóa biểu thuế.</t>
  </si>
  <si>
    <t>Tôi tin rằng số tiền thuế mà tôi đóng sẽ được sử dụng hiệu quả để cải thiện các dịch vụ công như y tế, giáo dục và hạ tầng giao thông.</t>
  </si>
  <si>
    <t>Nhà nước đã giải thích rõ ràng về lý do và mục tiêu của việc sửa đổi thuế lần này. Thông qua các kênh thông tin chính thức, tôi có thể hiểu được sự thay đổi này.</t>
  </si>
  <si>
    <t>Sau khi xem xét tác động tài chính và sự đơn giản hóa quy trình khai báo thuế, tôi ủng hộ và tuân thủ chính sách mới. Sự cải cách giúp giảm gánh nặng tài chính cho người dân.</t>
  </si>
  <si>
    <t>Nhà nước đã tăng cường công nghệ và nhân lực để kiểm soát thuế, tuy nhiên vẫn có thể còn nhiều rủi ro về mặt thực thi.</t>
  </si>
  <si>
    <t>Cơ quan thuế có khả năng và công nghệ tốt hơn để phát hiện trốn thuế so với trước đây.</t>
  </si>
  <si>
    <t>Quy trình khai báo thuế đơn giản hóa hơn, thủ tục tiện lợi hơn so với trước đây.</t>
  </si>
  <si>
    <t>Bậc thuế được giảm từ 7 xuống còn 5 bậc, dễ hiểu và thực hiện hơn.</t>
  </si>
  <si>
    <t>Tôi tin rằng cơ quan thuế sẽ thực thi chính sách một cách công bằng với mọi người nộp thuế.</t>
  </si>
  <si>
    <t>Mức giảm trừ gia cảnh và thuế suất mới là hợp lý cho thu nhập của tôi.</t>
  </si>
  <si>
    <t>Tôi tin rằng số tiền thuế đóng sẽ được sử dụng hiệu quả để cải thiện dịch vụ công.</t>
  </si>
  <si>
    <t>Nhà nước đã giải thích rõ ràng mục đích của việc sửa đổi chính sách thuế lần này.</t>
  </si>
  <si>
    <t>Sau khi tính toán tác động tài chính và sự đơn giản hóa, tôi ủng hộ và tuân thủ chính sách mới.</t>
  </si>
  <si>
    <t>Điều kiện thực thi hiện nay khá tốt, nhưng không hoàn toàn chắc chắn 100% sẽ phát hiện trốn thuế.</t>
  </si>
  <si>
    <t>Cơ quan thuế có thể áp dụng công nghệ hiện đại để kiểm soát, tuy nhiên vẫn cần thời gian thực hành.</t>
  </si>
  <si>
    <t>Quy trình khai báo và làm việc với cơ quan thuế trở nên đơn giản hơn so với trước đây.</t>
  </si>
  <si>
    <t>Biểu thuế mới có ít bậc hơn, giúp dễ dàng tính toán và thực hiện hơn.</t>
  </si>
  <si>
    <t>Tôi tin rằng cơ quan thuế sẽ cố gắng công bằng trong việc thực thi chính sách mới.</t>
  </si>
  <si>
    <t>Nhờ mức giảm trừ gia cảnh tăng, tôi thấy mình đóng thuế hợp lý theo thu nhập hiện tại.</t>
  </si>
  <si>
    <t>Tôi tin rằng số tiền thuế này sẽ được sử dụng hiệu quả để cải thiện dịch vụ công</t>
  </si>
  <si>
    <t>Nhà nước đã giải thích rõ về mục tiêu của việc sửa đổi thuế, nhưng vẫn có chỗ cho thêm thông tin.</t>
  </si>
  <si>
    <t>Tính từ tác động tài chính tích cực và sự đơn giản hóa quy trình, tôi ủng hộ và sẽ tuân thủ chính sách mới.</t>
  </si>
  <si>
    <t>Hiện nay, với sự phát triển của công nghệ và quy định quản lý thuế ngày càng chặt chẽ, tôi tin rằng hành vi gian lận hoặc trốn thuế sẽ dễ dàng bị phát hiện. Tuy nhiên, việc xử lý nghiêm vẫn cần thêm thời gian để thực thi.</t>
  </si>
  <si>
    <t>Cơ quan thuế đã và đang sử dụng công nghệ tiên tiến như hệ thống ITAS để giám sát các hoạt động khai báo thuế. Điều này giúp tăng cường khả năng phát hiện hành vi trốn thuế.</t>
  </si>
  <si>
    <t>So với trước đây, quy trình làm việc với cơ quan thuế đã đơn giản hơn nhờ hệ thống trực tuyến và điện tử. Các thủ tục khai báo cũng thuận tiện hơn nhiều.</t>
  </si>
  <si>
    <t>Biểu thuế mới có số bậc giảm từ 7 xuống còn 5, khiến việc tính toán thuế trở nên dễ dàng và nhanh chóng hơn. Đây là một cải tiến đáng kể trong mặt thuận tiện.</t>
  </si>
  <si>
    <t>Tôi tin rằng cơ quan thuế sẽ thực thi chính sách mới một cách khách quan, công bằng. Các quy định mới giúp giảm gánh nặng thuế cho người dân như tôi.</t>
  </si>
  <si>
    <t>Theo phương án mới, với mức thu nhập của mình, tôi chỉ cần đóng thuế ở bậc 3 (thu nhập từ 30-60 triệu), đây là mức hợp lý và công bằng cho người có thu nhập như tôi.</t>
  </si>
  <si>
    <t>Nhìn chung, số tiền thuế tôi phải đóng sẽ được sử dụng hiệu quả để cải thiện các dịch vụ công. Điều này giúp tôi tin tưởng rằng những khoản thuế của mình không bị lãng phí.</t>
  </si>
  <si>
    <t>Nhà nước đã giải thích rõ ràng về mục tiêu và lý do sửa đổi luật thuế, điều này làm tăng sự minh bạch và niềm tin vào hệ thống quản lý thuế.</t>
  </si>
  <si>
    <t>Tôi ủng hộ và tuân thủ chính sách mới vì nó giảm gánh nặng thuế cho người dân như tôi. Mức thu nhập của tôi nằm ở bậc 3, do đó, việc giảm trừ gia cảnh lớn hơn đã giúp tiết kiệm nhiều tiền thuế.</t>
  </si>
  <si>
    <t>Như một công dân, tôi tin rằng với sự phát triển của công nghệ và các quy định quản lý thuế hiện tại, hành vi gian lận hoặc trốn thuế sẽ khó lòng tránh khỏi sự phát hiện. Điều này tạo ra cảm giác an toàn cho người nộp thuế.</t>
  </si>
  <si>
    <t>Nhà nước và cơ quan thuế đã đầu tư vào công nghệ để hỗ trợ việc quản lý thuế hiệu quả hơn, nâng cao khả năng phát hiện hành vi trốn thuế.</t>
  </si>
  <si>
    <t>So với trước đây, quy trình khai báo thuế và giao tiếp với cơ quan thuế trở nên đơn giản hơn. Các thủ tục được cải tiến giúp việc nộp thuế thuận tiện hơn cho người dân.</t>
  </si>
  <si>
    <t>Biểu thuế mới có ít bậc hơn, khiến quá trình tính toán thuế dễ dàng và nhanh chóng hơn. Điều này làm giảm gánh nặng công việc đối với cả người nộp thuế lẫn cơ quan thuế.</t>
  </si>
  <si>
    <t>Tôi tin rằng Nhà nước sẽ thực thi chính sách mới một cách công bằng, đảm bảo không phân biệt đối xử giữa các đối tượng nộp thuế. Các quy định mới giúp tạo sự công bằng trong việc chia sẻ gánh nặng thuế.</t>
  </si>
  <si>
    <t>Với mức thuế giảm đáng kể so với trước đây, tôi thấy rằng mình đang đóng mức thuế hợp lý cho thu nhập hiện tại. Điều này thể hiện sự công bằng trong việc phân bổ chi phí thuế giữa người dân.</t>
  </si>
  <si>
    <t>Tôi tin tưởng rằng số tiền thuế tôi đóng sẽ được sử dụng hiệu quả để cải thiện dịch vụ công và phát triển cơ sở hạ tầng, tạo lợi ích cho cả cộng đồng. Điều này tăng thêm niềm tin vào Nhà nước.</t>
  </si>
  <si>
    <t>Nhà nước đã giải thích rõ ràng về mục tiêu của việc sửa đổi thuế. Tôi thấy rằng các thay đổi này là cần thiết và hợp lý, nhằm tạo ra một hệ thống thuế công bằng hơn cho người dân.</t>
  </si>
  <si>
    <t>Sau khi xem xét tác động tài chính tích cực từ việc giảm trừ gia cảnh lớn hơn và sự đơn giản hóa quy trình, tôi ủng hộ và tuân thủ chính sách mới. Tôi tin rằng điều này sẽ mang lại lợi ích cho bản thân và cộng đồng.</t>
  </si>
  <si>
    <t>Dựa trên thông tin cho biết, mức giảm trừ gia cảnh và bậc thuế đã được đơn giản hóa. Tuy nhiên, việc phát hiện hành vi gian lận hoặc trốn thuế vẫn còn phụ thuộc vào hiệu quả quản lý của cơ quan thuế.</t>
  </si>
  <si>
    <t>Nhà nước và cơ quan thuế đã có sự đầu tư về công nghệ, tuy nhiên việc phát hiện gian lận hoặc trốn thuế vẫn cần thời gian để triển khai hiệu quả.</t>
  </si>
  <si>
    <t>Thủ tục khai báo thuế và quy trình làm việc với cơ quan thuế đã đơn giản hơn trước, giảm bớt thủ tục rườm rà. Điều này giúp người dân thuận tiện trong việc thực hiện.</t>
  </si>
  <si>
    <t>So với trước đây, phương án mới có ít bậc thuế và mức thuế suất rõ ràng hơn, dễ hiểu và dễ thực hiện hơn.</t>
  </si>
  <si>
    <t>Tôi tin rằng cơ quan thuế sẽ cố gắng thực thi chính sách một cách công bằng, nhưng vẫn cần sự giám sát từ người dân để đảm bảo tính minh bạch.</t>
  </si>
  <si>
    <t>Người thu nhập như tôi chỉ phải đóng mức thuế thấp hơn so với trước đây, do đó mức thuế này là hợp lý.</t>
  </si>
  <si>
    <t>Thuế tôi đóng sẽ được sử dụng để cải thiện dịch vụ công, góp phần nâng cao chất lượng cuộc sống.</t>
  </si>
  <si>
    <t>Nhà nước đã giải thích rõ ràng về mục tiêu và lý do của việc sửa đổi thuế, tạo sự tin tưởng từ người dân.</t>
  </si>
  <si>
    <t>Sau khi tính toán tác động tài chính và thấy mức thuế mới là công bằng hơn so với trước đây, tôi ủng hộ và tuân thủ chính sách mới.</t>
  </si>
  <si>
    <t>Thuế hiện nay có nhiều quy định phức tạp và chưa rõ ràng, nhưng với việc giảm trừ gia cảnh tăng lên cùng với đơn giản hóa biểu thuế, tôi tin rằng hành vi gian lận sẽ khó khăn hơn để thực hiện. Tuy nhiên, khả năng phát hiện vẫn phụ thuộc vào việc thực thi.</t>
  </si>
  <si>
    <t>Cơ quan thuế đã đầu tư công nghệ để giám sát và xử lý các hành vi trốn thuế, nhưng hiệu quả cụ thể còn phụ thuộc vào nguồn lực và quyết tâm của họ. Với mức giảm trừ gia cảnh tăng lên, việc phát hiện gian lận sẽ trở nên khó khăn hơn.</t>
  </si>
  <si>
    <t>Các thủ tục khai báo thuế đã đơn giản hóa so với trước đây, đặc biệt là về mặt tính toán và giảm trừ gia cảnh. Điều này giúp việc làm việc với cơ quan thuế trở nên dễ dàng hơn.</t>
  </si>
  <si>
    <t>Biểu thuế mới có số bậc giảm từ 7 xuống còn 5, kèm theo mức giảm trừ gia cảnh tăng lên, do đó cách tính thuế và các bậc thuế đã đơn giản hóa đáng kể. Điều này giúp người dân dễ hiểu và thực hiện.</t>
  </si>
  <si>
    <t>Nhà nước có thể thực thi chính sách một cách công bằng, nhưng tôi vẫn có chút nghi ngờ về việc các cơ quan thuế sẽ làm đúng như vậy. Việc tăng giảm trừ gia cảnh giúp phân phối công bằng hơn.</t>
  </si>
  <si>
    <t>Mức thuế mới theo phương án mới phù hợp với thu nhập của tôi, do đó tôi thấy là công bằng. Tuy nhiên, mức giảm trừ gia cảnh tăng lên khiến tôi nghi ngờ về tính minh bạch.</t>
  </si>
  <si>
    <t>Thuế đóng góp vào dịch vụ công và phát triển cơ sở hạ tầng. Với mức thuế mới, tôi tin rằng tiền đóng sẽ được sử dụng hiệu quả hơn để cải thiện các dịch vụ công.</t>
  </si>
  <si>
    <t>Nhà nước đã giải thích rõ ràng về mục tiêu của việc sửa đổi chính sách thuế này. Tuy nhiên, tôi vẫn có chút nghi ngờ về cách họ thực hiện điều đó.</t>
  </si>
  <si>
    <t>Dù còn có một số lo ngại, nhưng với các thay đổi mang tính tích cực như giảm trừ gia cảnh và đơn giản hóa biểu thuế, tôi ủng hộ và sẽ tuân thủ chính sách mới. Điều này giúp tiết kiệm tiền cho tôi và làm việc với cơ quan thuế trở nên dễ dàng hơn.</t>
  </si>
  <si>
    <t>Dù có công nghệ phát hiện, tôi vẫn hoài nghi về khả năng quản lý thuế của cơ quan nhà nước.</t>
  </si>
  <si>
    <t>Công nghệ ngày càng tiến bộ nhưng quản lý thuế còn nhiều khó khăn trong việc truy vết các giao dịch.</t>
  </si>
  <si>
    <t>Thủ tục khai báo và làm việc với cơ quan thuế đã đơn giản hơn, điều này giúp tôi tiết kiệm thời gian.</t>
  </si>
  <si>
    <t>Biểu thuế mới rõ ràng và dễ hiểu, giảm bớt sự phức tạp so với trước đây.</t>
  </si>
  <si>
    <t>Tôi tin rằng cơ quan thuế sẽ công bằng trong việc thực thi chính sách nhưng vẫn có thể gặp vấn đề về tính minh bạch.</t>
  </si>
  <si>
    <t>Thuế mới được giảm đáng kể, tôi cảm thấy mức thuế này là hợp lý và công bằng đối với thu nhập của mình.</t>
  </si>
  <si>
    <t>Tiết kiệm được tiền thuế giúp cải thiện chất lượng cuộc sống và dịch vụ công tốt hơn.</t>
  </si>
  <si>
    <t>Nhà nước đã giải thích rõ về mục đích của chính sách mới, tôi cảm thấy mình có thể tin tưởng vào họ.</t>
  </si>
  <si>
    <t>Tác động tài chính tích cực và thủ tục đơn giản hơn khiến tôi ủng hộ và tuân thủ chính sách mới.</t>
  </si>
  <si>
    <t>Việc tăng mức giảm trừ gia cảnh và đơn giản hóa biểu thuế có thể làm giảm động lực cho hành vi gian lận, nhưng do chưa rõ ràng về thực thi cụ thể nên chỉ ở mức trung bình.</t>
  </si>
  <si>
    <t>Cơ quan thuế đã nỗ lực cải thiện công nghệ và hệ thống quản lý để phát hiện các hành vi gian lận, nhưng hiệu quả thực tế còn phụ thuộc vào nhiều yếu tố khác.</t>
  </si>
  <si>
    <t>So với trước đây, quy trình khai thuế trở nên đơn giản hơn, giảm bớt thủ tục rườm rà, giúp người dân dễ dàng thực hiện hơn.</t>
  </si>
  <si>
    <t>Biểu thuế mới có ít bậc hơn và mức thuế suất rõ ràng hơn, giúp tính toán nhanh chóng và chính xác hơn cho người nộp thuế.</t>
  </si>
  <si>
    <t>Tôi tin rằng Nhà nước sẽ thực thi chính sách một cách công bằng, nhưng vẫn có những lo ngại về việc kiểm soát hiệu quả của cơ quan thuế.</t>
  </si>
  <si>
    <t>Mức thuế mới được giảm đi đáng kể so với trước đây, giúp tôi thấy rằng mức đóng thuế hiện tại là hợp lý.</t>
  </si>
  <si>
    <t>Việc sử dụng số tiền thuế thu được để cải thiện các dịch vụ công như y tế và giao thông có thể làm tăng niềm tin của người dân.</t>
  </si>
  <si>
    <t>Nhà nước đã cung cấp thông tin chi tiết về mục tiêu của chính sách mới, nhưng việc giải thích đầy đủ về cách tính thuế vẫn còn hạn chế.</t>
  </si>
  <si>
    <t>Dù chưa hoàn toàn hài lòng với mức thuế mới, tôi sẽ ủng hộ và tuân thủ vì lợi ích tổng thể cho người dân.</t>
  </si>
  <si>
    <t>Dù các quy định quản lý thuế hiện nay có cải thiện đáng kể, tôi vẫn nghi ngờ khả năng phát hiện trốn thuế của cơ quan thuế do thiếu thông tin về việc khai báo thuế chi tiết từ phía người nộp thuế.</t>
  </si>
  <si>
    <t>Mặc dù Nhà nước có công nghệ và nguồn lực để phát hiện gian lận, nhưng thực tế cho thấy vẫn còn nhiều khó khăn trong quản lý thuế do thiếu dữ liệu chính xác về thu nhập của người dân.</t>
  </si>
  <si>
    <t>Quy trình khai thuế mới đơn giản hơn so với trước đây và sử dụng công nghệ điện tử, nên thuận tiện cho việc nộp thuế.</t>
  </si>
  <si>
    <t>Các bậc thuế mới rõ ràng hơn, giảm độ phức tạp trong tính thuế, khiến tôi cảm thấy dễ dàng thực hiện hơn.</t>
  </si>
  <si>
    <t>Tôi tin rằng Nhà nước sẽ cố gắng xử lý công bằng khi thực thi chính sách mới, nhưng vẫn có lo ngại về việc kiểm soát và giám sát.</t>
  </si>
  <si>
    <t>Mức thuế mới giảm đáng kể so với trước đây, giúp tôi cảm thấy việc đóng thuế công bằng hơn.</t>
  </si>
  <si>
    <t>Thuế được sử dụng cho các dịch vụ công, nhưng thông tin về cách chi tiêu cụ thể của số tiền thuế còn hạn chế nên chưa hoàn toàn tin tưởng.</t>
  </si>
  <si>
    <t>Nhà nước đã giải thích rõ ràng về mục đích và lý do của việc sửa đổi chính sách thuế, tuy nhiên thông tin chi tiết hơn sẽ giúp tăng thêm niềm tin.</t>
  </si>
  <si>
    <t>Chính sách mới mang lại lợi ích tài chính cho tôi nên có thể chấp nhận và tuân thủ, đồng thời góp phần cải thiện dịch vụ công.</t>
  </si>
  <si>
    <t>Dựa trên các quy định hiện tại, tôi thấy khả năng phát hiện gian lận hoặc trốn thuế vẫn còn hạn chế do thiếu thông tin cá nhân của người dân.</t>
  </si>
  <si>
    <t>Nhà nước và cơ quan thuế đã cải thiện công nghệ quản lý nhưng chưa đủ mạnh so với yêu cầu hiện nay.</t>
  </si>
  <si>
    <t>Quy trình khai báo và làm việc với cơ quan thuế trở nên đơn giản hơn, thuận tiện cho người dân.</t>
  </si>
  <si>
    <t>Các bậc thuế mới rõ ràng hơn, dễ hiểu và thực hiện nhanh chóng hơn so với trước đây.</t>
  </si>
  <si>
    <t>Tôi tin Nhà nước sẽ công bằng trong việc thực thi chính sách nhưng cần thêm thời gian để chứng minh.</t>
  </si>
  <si>
    <t>Mức thuế mới phù hợp với thu nhập của tôi, giảm chi phí tài chính và tăng tính công bằng.</t>
  </si>
  <si>
    <t>Nhà nước đã giải thích rõ ràng về mục tiêu của việc sửa đổi, nhưng cần nhiều thông tin hơn để hiểu đầy đủ.</t>
  </si>
  <si>
    <t>Tác động tài chính tích cực và sự đơn giản hóa quy trình làm việc tạo ra niềm tin rằng tôi nên ủng hộ và tuân thủ chính sách mới.</t>
  </si>
  <si>
    <t>Nếu cơ quan thuế có đủ khả năng phát hiện và xử lý các hành vi gian lận, điều này sẽ nâng cao niềm tin của người dân vào hệ thống. Tuy nhiên, do chưa thấy thông tin cụ thể về công nghệ và quy trình quản lý mới, nên đánh giá ở mức trung bình.</t>
  </si>
  <si>
    <t>Nhà nước có đủ khả năng phát hiện và xử lý các hành vi trốn thuế dựa trên việc tăng giảm trừ gia cảnh và đơn giản hóa biểu thuế. Điều này làm tăng niềm tin vào hệ thống quản lý thuế.</t>
  </si>
  <si>
    <t>Quy trình khai báo thuế và quy định mới có thể dễ dàng hơn, nhưng cần thời gian để người dân quen thuộc với các thay đổi. Tuy nhiên, việc giảm số bậc thuế từ 7 xuống còn 5 có thể làm cho quá trình đơn giản hóa.</t>
  </si>
  <si>
    <t>Bậc thuế mới đơn giản hơn và dễ hiểu hơn so với trước đây, do đó thuận tiện cho người dân trong việc tính toán thuế. Việc giảm trừ gia cảnh cũng giúp người dân dễ dàng sử dụng.</t>
  </si>
  <si>
    <t>Nhà nước đã cố gắng thực thi chính sách một cách khách quan và công bằng, nhưng vẫn cần thời gian để mọi người hiểu rõ các thay đổi. Tuy nhiên, việc giảm trừ gia cảnh và đơn giản hóa quy trình thuế có thể làm tăng niềm tin.</t>
  </si>
  <si>
    <t>Mức thuế mới phù hợp với thu nhập của tôi, do đó tôi thấy nó là công bằng. Việc giảm trừ gia cảnh nhiều hơn cũng giúp tôi cảm thấy hài lòng hơn về mức thuế phải đóng.</t>
  </si>
  <si>
    <t>Tôi tin rằng số tiền thuế tôi đóng sẽ được sử dụng hiệu quả để cải thiện dịch vụ công, nhưng cần thời gian để xem xét thực tế. Tuy nhiên, việc giảm trừ gia cảnh và đơn giản hóa quy trình thuế có thể làm tăng niềm tin.</t>
  </si>
  <si>
    <t>Nhà nước đã giải thích rõ ràng về lý do và mục tiêu của việc sửa đổi thuế này, nhưng cần thêm thông tin cụ thể hơn để người dân hiểu rõ hơn. Tuy nhiên, điều này vẫn tăng niềm tin vào chính sách.</t>
  </si>
  <si>
    <t>Tôi ủng hộ chính sách mới vì nó đơn giản hóa quy trình và giảm trừ gia cảnh, giúp tôi tiết kiệm được một số tiền đáng kể. Tôi sẽ tuân thủ chính sách mới sau khi đã hiểu rõ các thay đổi.</t>
  </si>
  <si>
    <t>Dù có công nghệ hỗ trợ, nhưng vẫn lo ngại về khả năng phát hiện trốn thuế hiệu quả.</t>
  </si>
  <si>
    <t>Cơ quan thuế chưa thực sự công khai và minh bạch về các biện pháp xử lý đối với hành vi gian lận hoặc trốn thuế.</t>
  </si>
  <si>
    <t>Quy trình làm việc đã đơn giản hơn, nhưng vẫn có thể cải thiện nhiều hơn.</t>
  </si>
  <si>
    <t>Bậc thuế được đơn giản hóa, dễ hiểu và thực hiện dễ dàng hơn so với trước đây.</t>
  </si>
  <si>
    <t>Có niềm tin rằng cơ quan thuế sẽ công bằng trong việc áp dụng chính sách mới, nhưng vẫn có một số nghi ngờ về cách thực thi.</t>
  </si>
  <si>
    <t>Thuế mới được giảm đi đáng kể và hợp lý với thu nhập của tôi, tăng cảm giác công bằng.</t>
  </si>
  <si>
    <t>Đồng ý rằng thuế đóng góp vào việc cải thiện dịch vụ công, nhưng không hoàn toàn chắc chắn về hiệu quả sử dụng.</t>
  </si>
  <si>
    <t>Có thông tin rõ ràng về mục tiêu của chính sách mới, nhưng vẫn mong muốn có thêm giải thích về chi tiết cụ thể hơn.</t>
  </si>
  <si>
    <t>Đồng ý với chính sách mới và sẽ tuân thủ, do tác động tài chính tích cực và giảm sự phức tạp.</t>
  </si>
  <si>
    <t>Nhà nước đã tăng cường quản lý thuế và công nghệ, tuy nhiên vẫn có nguy cơ trốn thuế.</t>
  </si>
  <si>
    <t>Cơ quan thuế có đủ khả năng để phát hiện hành vi gian lận nhờ các công cụ hiện đại.</t>
  </si>
  <si>
    <t>Quy trình khai báo thuế và làm việc với cơ quan thuế nhanh chóng hơn, thuận tiện hơn cho người dân.</t>
  </si>
  <si>
    <t>Biểu thuế đơn giản hóa từ 7 bậc xuống còn 5 bậc, dễ hiểu và thực hiện hơn.</t>
  </si>
  <si>
    <t>Tôi tin rằng Nhà nước sẽ thực thi chính sách một cách công bằng với người nộp thuế.</t>
  </si>
  <si>
    <t>Thuế mới được tính dựa trên thu nhập, tôi cho rằng mức thuế này là hợp lý.</t>
  </si>
  <si>
    <t>Số tiền thuế đóng sẽ được sử dụng hiệu quả để cải thiện dịch vụ công</t>
  </si>
  <si>
    <t>Nhà nước đã giải thích rõ ràng về mục tiêu và lý do của việc sửa đổi Luật Thuế TNCN.</t>
  </si>
  <si>
    <t>Tôi ủng hộ chính sách mới vì nó đơn giản hơn, công bằng và tôi tiết kiệm được tiền thuế.</t>
  </si>
  <si>
    <t>Việc tăng mức giảm trừ gia cảnh và đơn giản hóa biểu thuế có thể làm giảm động lực cho hành vi gian lận, tuy nhiên, vẫn cần sự giám sát chặt chẽ từ cơ quan thuế.</t>
  </si>
  <si>
    <t>Cơ quan thuế đã đầu tư vào công nghệ để phát hiện và xử lý trốn thuế một cách hiệu quả hơn trong thời gian gần đây.</t>
  </si>
  <si>
    <t>Quy trình làm việc với cơ quan thuế trở nên đơn giản hơn, giảm bớt các bước thủ tục rườm rà và khó hiểu.</t>
  </si>
  <si>
    <t>Biểu thuế mới đơn giản hóa các bậc thuế suất, dễ dàng tính toán hơn so với trước đây.</t>
  </si>
  <si>
    <t>Nhà nước đã công bố rõ ràng về mục tiêu và nguyên tắc của việc sửa đổi luật thuế, tạo niềm tin cho người dân.</t>
  </si>
  <si>
    <t>Mức thuế mới phù hợp với thu nhập của tôi, có sự giảm trừ gia cảnh lớn hơn giúp tiết kiệm chi phí</t>
  </si>
  <si>
    <t>Thuế đóng góp vào các dịch vụ công như y tế và hạ tầng, tôi tin tưởng rằng số tiền thuế sẽ được sử dụng hiệu quả.</t>
  </si>
  <si>
    <t>Nhà nước đã giải thích rõ ràng về mục tiêu của việc sửa đổi luật thuế, tạo nên sự minh bạch trong quá trình thực thi.</t>
  </si>
  <si>
    <t>Sau khi xem xét các quyền lợi và nghĩa vụ, tôi ủng hộ và tuân thủ chính sách mới vì nó mang lại nhiều lợi ích cho cá nhân và gia đình tôi.</t>
  </si>
  <si>
    <t>Hiện nay, cơ quan thuế có nhiều công cụ và nguồn lực để phát hiện hành vi gian lận hoặc trốn thuế. Với sự kết hợp của hệ thống thông tin điện tử và giám sát chặt chẽ, tôi cho rằng khả năng phát hiện là cao.</t>
  </si>
  <si>
    <t>Cơ quan thuế đã đầu tư vào công nghệ để nâng cao hiệu quả quản lý. Điều này chứng tỏ họ có đủ khả năng và nguồn lực để xử lý nghiêm các hành vi trốn thuế.</t>
  </si>
  <si>
    <t>Thủ tục khai báo thuế trở nên đơn giản hơn với việc giảm số bậc thuế, khiến cho quá trình làm việc với cơ quan thuế dễ dàng và nhanh chóng hơn.</t>
  </si>
  <si>
    <t>Biểu thuế mới có ít bậc hơn và rõ ràng hơn so với trước đây. Điều này giúp tôi hiểu dễ dàng hơn về cách tính thuế của mình.</t>
  </si>
  <si>
    <t>Nhà nước đã công bố các quy định một cách minh bạch, khiến tôi tin rằng việc thực thi sẽ công bằng và khách quan với tất cả người nộp thuế.</t>
  </si>
  <si>
    <t>Mức thuế mới giảm đáng kể so với trước đây. Điều này cho thấy chính sách mới là phù hợp với thu nhập của tôi, mang tính công bằng.</t>
  </si>
  <si>
    <t>Thuế mà tôi đóng sẽ được sử dụng hiệu quả để cải thiện các dịch vụ công như y tế và đường xá. Điều này tăng niềm tin vào việc sử dụng đúng mục đích.</t>
  </si>
  <si>
    <t>Nhà nước đã đưa ra giải thích rõ ràng về mục tiêu của chính sách mới, giúp tôi hiểu được lý do đằng sau các thay đổi.</t>
  </si>
  <si>
    <t>Sau khi xem xét tác động tài chính và sự đơn giản hóa quy trình, tôi ủng hộ và sẵn lòng tuân thủ chính sách mới hiện tại.</t>
  </si>
  <si>
    <t>Dù có công nghệ hỗ trợ, nhưng với quy định quản lý thuế hiện tại vẫn còn nhiều lỗ hổng và khó phát hiện hành vi gian lận trốn thuế.</t>
  </si>
  <si>
    <t>Cơ quan thuế đã nỗ lực cải thiện công nghệ nhưng vẫn cần thời gian để hoàn thiện hệ thống quản lý.</t>
  </si>
  <si>
    <t>So với trước đây, quy trình khai thuế và làm việc với cơ quan thuế trở nên đơn giản hơn nhiều, đặc biệt là mức giảm trừ gia cảnh tăng lên.</t>
  </si>
  <si>
    <t>Biểu thuế được đơn giản hóa từ 7 bậc xuống còn 5, khiến việc tính toán và nộp thuế dễ dàng hơn rất nhiều.</t>
  </si>
  <si>
    <t>Tôi tin rằng cơ quan thuế sẽ công tâm trong quá trình thực thi chính sách mới, nhưng vẫn cần thời gian để xem xét hiệu quả.</t>
  </si>
  <si>
    <t>Mức thuế tôi phải đóng theo phương án mới là hợp lý, phù hợp với thu nhập của tôi và số người phụ thuộc.</t>
  </si>
  <si>
    <t>Nhà nước đã giải thích rõ ràng về mục tiêu của việc sửa đổi thuế mới, tuy nhiên vẫn cần thêm thông tin chi tiết hơn</t>
  </si>
  <si>
    <t>Tôi ủng hộ và tuân thủ chính sách mới vì nó có lợi cho tôi và gia đình, đồng thời đơn giản hóa quy trình khai báo thuế.</t>
  </si>
  <si>
    <t>Hiện nay, với các quy định quản lý thuế và công nghệ hiện đại, tôi tin rằng hành vi gian lận hoặc trốn thuế sẽ dễ dàng bị phát hiện. Tuy nhiên, việc này còn phụ thuộc vào sự tuân thủ của cá nhân.</t>
  </si>
  <si>
    <t>Nhà nước và cơ quan thuế đã đầu tư công nghệ để giám sát và xử lý các hành vi trốn thuế, do đó tôi tin rằng khả năng phát hiện và xử lý sẽ được cải thiện đáng kể.</t>
  </si>
  <si>
    <t>So với trước đây, quy trình khai báo thuế trở nên đơn giản hơn khi số bậc thuế giảm và mức giảm trừ gia cảnh tăng. Điều này làm cho thủ tục thuận tiện và nhanh chóng hơn.</t>
  </si>
  <si>
    <t>Với việc rút gọn biểu thuế và tăng mức giảm trừ, tôi thấy cách tính thuế dễ hiểu và đơn giản hơn. Đặc biệt là mức thuế tôi phải đóng đã giảm đáng kể, điều này làm cho quá trình thực hiện thuế thuận lợi hơn.</t>
  </si>
  <si>
    <t>Tôi tin rằng Nhà nước sẽ thực thi chính sách một cách công tâm và đối xử bình đẳng với mọi người nộp thuế. Việc tăng giảm trừ gia cảnh và đơn giản hóa biểu thuế tạo ra sự công bằng trong việc chia sẻ gánh nặng thuế.</t>
  </si>
  <si>
    <t>Lưu ý rằng mức thuế tôi phải đóng đã giảm đáng kể, do đó tôi cảm thấy mức thuế mới là hợp lý. Việc này tăng thêm niềm tin về tính công bằng của chính sách thuế mới.</t>
  </si>
  <si>
    <t>Tôi tin rằng số tiền thuế tôi đóng sẽ được sử dụng hiệu quả để cải thiện các dịch vụ công, như y tế và đường xá. Điều này tăng thêm niềm tin vào việc quản lý tài chính của Nhà nước.</t>
  </si>
  <si>
    <t>Nhà nước đã giải thích rõ ràng về mục tiêu và lý do của việc sửa đổi thuế. Tuy nhiên, tôi vẫn có một số nghi ngờ về hiệu quả thực tế của các biện pháp này.</t>
  </si>
  <si>
    <t>Dù còn một số nghi ngờ, nhưng với lợi ích cụ thể từ chính sách mới (giảm thuế và đơn giản hóa thủ tục), tôi ủng hộ và tuân thủ chính sách thuế mới hiện tại.</t>
  </si>
  <si>
    <t>Việc tăng mức giảm trừ gia cảnh và đơn giản hóa biểu thuế có thể làm giảm khả năng phát hiện hành vi gian lận hoặc trốn thuế, tuy nhiên, với sự tiến bộ của công nghệ, cơ quan thuế vẫn đủ khả năng kiểm soát.</t>
  </si>
  <si>
    <t>Cơ quan thuế đã và đang có nhiều cải tiến về công nghệ để phát hiện gian lận hoặc trốn thuế, do đó tôi tin tưởng rằng họ có thể xử lý nghiêm các hành vi trái phép.</t>
  </si>
  <si>
    <t>So với trước đây, quy trình khai thuế và làm việc với cơ quan thuế đã đơn giản hơn nhiều, tiết kiệm thời gian và công sức cho người dân.</t>
  </si>
  <si>
    <t>Biểu thuế mới có ít bậc hơn và rõ ràng hơn so với trước đây, khiến quá trình tính thuế trở nên dễ dàng và minh bạch hơn.</t>
  </si>
  <si>
    <t>Nhà nước đã công bố những thay đổi này một cách công khai, do đó tôi tin rằng họ sẽ thực hiện chính sách mới một cách khách quan và công bằng.</t>
  </si>
  <si>
    <t>Mức thuế theo phương án mới phù hợp với thu nhập của tôi, giảm gánh nặng tài chính nên tôi cảm thấy nó là công bằng.</t>
  </si>
  <si>
    <t>Thuế đóng góp vào việc cải thiện các dịch vụ công, như y tế và hạ tầng, do đó tôi tin rằng số tiền thuế của tôi sẽ được sử dụng hiệu quả.</t>
  </si>
  <si>
    <t>Nhà nước đã giải thích rõ ràng về mục tiêu của việc sửa đổi thuế lần này, khiến tôi cảm thấy có sự minh bạch trong quá trình thực hiện chính sách mới.</t>
  </si>
  <si>
    <t>Dựa trên những thay đổi tích cực trong chính sách thuế và tác động tài chính tích cực cho người dân, tôi sẽ ủng hộ và tuân thủ chính sách mới.</t>
  </si>
  <si>
    <t>Dù cơ quan thuế có công nghệ hiện đại, nhưng vẫn chưa thể phát hiện toàn bộ hành vi gian lận hoặc trốn thuế.</t>
  </si>
  <si>
    <t>Cơ quan thuế đã cải thiện khả năng quản lý và xử lý nghiêm các trường hợp vi phạm.</t>
  </si>
  <si>
    <t>Quy trình khai thuế đơn giản hơn, nhưng vẫn cần thời gian để nhân viên làm việc với cơ quan thuế quen thuộc.</t>
  </si>
  <si>
    <t>Số bậc thuế giảm đi, tính toán thuế dễ dàng và rõ ràng hơn so với trước đây.</t>
  </si>
  <si>
    <t>Tôi tin rằng cơ quan thuế sẽ công bằng trong việc thực thi chính sách mới</t>
  </si>
  <si>
    <t>Thuế mới được giảm đáng kể, tôi thấy mức đóng là hợp lý cho thu nhập hiện tại của mình.</t>
  </si>
  <si>
    <t>Thuê đóng góp vào các dịch vụ công, giúp cải thiện cuộc sống cộng đồng</t>
  </si>
  <si>
    <t>Chính phủ đã giải thích rõ ràng về mục tiêu và lý do của việc sửa đổi thuế lần này.</t>
  </si>
  <si>
    <t>Tôi ủng hộ chính sách mới vì nó giúp tôi tiết kiệm được chi phí và giảm gánh nặng tài chính</t>
  </si>
  <si>
    <t>Nhà nước và cơ quan thuế có nhiều biện pháp giám sát, nhưng không phải lúc nào cũng hiệu quả.</t>
  </si>
  <si>
    <t>Công nghệ hiện đại giúp tăng khả năng phát hiện trốn thuế, nhưng vẫn còn khó khăn trong thực tế.</t>
  </si>
  <si>
    <t>Thủ tục khai báo thuế đơn giản hơn so với trước đây, thuận tiện cho người dân.</t>
  </si>
  <si>
    <t>Biểu thuế mới đơn giản và dễ hiểu, giúp tính toán chính xác thu nhập chịu thuế.</t>
  </si>
  <si>
    <t>Tôi tin rằng Nhà nước sẽ thực thi chính sách công bằng cho mọi người dân.</t>
  </si>
  <si>
    <t>Mức thuế mới phù hợp với thu nhập của tôi, giúp giảm gánh nặng tài chính.</t>
  </si>
  <si>
    <t>Thuế đóng góp vào dịch vụ công, cải thiện chất lượng cuộc sống cho người dân.</t>
  </si>
  <si>
    <t>Tôi ủng hộ chính sách mới, vì nó giúp giảm gánh nặng tài chính cho người dân và đơn giản hóa quy trình khai báo thuế.</t>
  </si>
  <si>
    <t>Cơ quan thuế có hệ thống quản lý chặt chẽ, việc gian lận hoặc trốn thuế sẽ dễ bị phát hiện. Tuy nhiên, vẫn cần tăng cường công nghệ và nguồn lực.</t>
  </si>
  <si>
    <t>Nhà nước đã đầu tư vào công nghệ để quản lý hiệu quả hơn, giảm thiểu gian lận. Công nghệ giúp xử lý nhanh chóng các vụ việc vi phạm.</t>
  </si>
  <si>
    <t>Thủ tục khai thuế đơn giản hơn và thuận tiện qua ứng dụng điện tử, tiết kiệm thời gian. Tuy nhiên, cần đào tạo thêm cho người dân sử dụng.</t>
  </si>
  <si>
    <t>Biểu thuế đơn giản hóa giúp tính toán dễ dàng hơn. Mức giảm trừ gia cảnh tăng đáng kể, thuận lợi cho nhiều người.</t>
  </si>
  <si>
    <t>Nhà nước thực thi công bằng và minh bạch với tất cả các đối tượng nộp thuế. Phương án mới công bằng hơn so với trước đây</t>
  </si>
  <si>
    <t>Mức thuế mới phù hợp với thu nhập của tôi, giảm gánh nặng tài chính. Tuy nhiên, vẫn cần cải tiến thêm để tối ưu hóa.</t>
  </si>
  <si>
    <t>Thuế đóng góp vào các dịch vụ công quan trọng như y tế và hạ tầng. Mức thuế mới sử dụng hiệu quả hơn so với trước đây</t>
  </si>
  <si>
    <t>Nhà nước đã giải thích rõ ràng mục tiêu cải cách, tuy nhiên vẫn cần cung cấp thêm thông tin chi tiết cho người dân.</t>
  </si>
  <si>
    <t>Phương án mới có nhiều lợi ích về mặt tài chính và thủ tục. Tôi ủng hộ việc thực hiện và tuân thủ</t>
  </si>
  <si>
    <t>Việc tăng mức giảm trừ gia cảnh và đơn giản hóa biểu thuế có thể làm giảm khả năng phát hiện hành vi trốn thuế, nhưng cơ quan thuế vẫn có đủ công nghệ để quản lý.</t>
  </si>
  <si>
    <t>Cơ quan thuế đã cải thiện hệ thống quản lý thông qua việc đơn giản hóa và tăng cường giảm trừ gia cảnh, tuy nhiên, khả năng phát hiện trốn thuế vẫn phụ thuộc vào hiệu quả thực thi.</t>
  </si>
  <si>
    <t>Các quy trình khai thuế trở nên đơn giản hơn khi số bậc thuế được rút gọn, nhưng thủ tục vẫn cần thời gian để quen thuộc với người dân.</t>
  </si>
  <si>
    <t>Biểu thuế mới rõ ràng hơn và dễ dàng áp dụng so với trước đây, giúp việc tính thuế trở nên thuận tiện hơn.</t>
  </si>
  <si>
    <t>Tôi tin rằng cơ quan thuế sẽ thực thi chính sách một cách công bằng, nhưng vẫn lo ngại về khả năng kiểm soát và xử lý trốn thuế.</t>
  </si>
  <si>
    <t>Mức thuế mới phù hợp với thu nhập của tôi, giúp giảm gánh nặng tài chính và tăng niềm tin vào tính công bằng của hệ thống thuế.</t>
  </si>
  <si>
    <t>Tôi tin rằng số tiền thuế đóng sẽ được sử dụng hiệu quả để cải thiện chất lượng cuộc sống thông qua các dịch vụ công</t>
  </si>
  <si>
    <t>Đã có sự giải thích rõ ràng về mục tiêu và lý do của việc cải cách, giúp tôi hiểu hơn về chính sách mới.</t>
  </si>
  <si>
    <t>Tôi ủng hộ và tuân thủ chính sách mới vì nó đơn giản hóa quy trình thuế, giảm gánh nặng tài chính và tăng niềm tin vào tính công bằng của hệ thống</t>
  </si>
  <si>
    <t>Nhà nước đã tăng cường công nghệ và quy định quản lý thuế, nhưng do kinh nghiệm cá nhân chưa gặp phải hành vi gian lận nên chỉ ở mức trung bình.</t>
  </si>
  <si>
    <t>Cơ quan thuế có nhiều nguồn lực hơn để phát hiện gian lận và xử lý nghiêm, nhưng thực tế cần thời gian để áp dụng hiệu quả.</t>
  </si>
  <si>
    <t>Thủ tục khai báo thuế đơn giản hơn với mức giảm trừ gia cảnh cao hơn, giúp thuận tiện cho người dân.</t>
  </si>
  <si>
    <t>Biểu thuế đơn giản hóa từ 7 bậc xuống 5 bậc, dễ hiểu và thực hiện nhanh chóng hơn so với trước đây.</t>
  </si>
  <si>
    <t>Nhà nước đã cải thiện công bằng trong việc đánh thuế, giảm gánh nặng cho người thu nhập trung bình như mình.</t>
  </si>
  <si>
    <t>Mức thuế mới được thiết kế phù hợp với thu nhập của tôi và các bậc thuế rõ ràng hơn so với trước đây.</t>
  </si>
  <si>
    <t>Thuế đóng góp vào việc cải thiện dịch vụ công, như y tế và giao thông, giúp xã hội phát triển chung.</t>
  </si>
  <si>
    <t>Nhà nước đã giải thích rõ ràng về mục tiêu cải cách thuế lần này, tạo niềm tin cho người dân.</t>
  </si>
  <si>
    <t>Tôi ủng hộ và tuân thủ chính sách mới vì nó giảm gánh nặng tài chính và tăng công bằng trong việc đánh thuế.</t>
  </si>
  <si>
    <t>Việc tăng giảm trừ gia cảnh và đơn giản hóa biểu thuế có thể làm giảm cơ hội gian lận. Tuy nhiên, thực tế quản lý thuế vẫn còn nhiều yếu tố phức tạp.</t>
  </si>
  <si>
    <t>Cơ quan thuế đã cải tiến công nghệ, nhưng việc phát hiện và xử lý trốn thuế vẫn cần thời gian để hoàn thiện.</t>
  </si>
  <si>
    <t>Quy trình khai báo thuế trở nên đơn giản hơn với giảm trừ gia cảnh cao hơn. Tuy nhiên, các bước cụ thể vẫn cần cải tiến.</t>
  </si>
  <si>
    <t>Biểu thuế mới có ít bậc và dễ hiểu hơn, nhưng việc tính toán vẫn đòi hỏi sự cẩn trọng.</t>
  </si>
  <si>
    <t>Tôi tin rằng cơ quan thuế sẽ thực thi chính sách một cách công bằng, nhưng cần thời gian để chứng minh.</t>
  </si>
  <si>
    <t>Mức thuế mới hợp lý cho thu nhập của tôi. Tuy nhiên, việc cải thiện dịch vụ công vẫn còn nhiều thách thức.</t>
  </si>
  <si>
    <t>Tôi tin rằng số tiền thuế đóng sẽ được sử dụng hiệu quả để nâng cao chất lượng cuộc sống, nhưng cần thời gian để chứng minh.</t>
  </si>
  <si>
    <t>Nhà nước đã giải thích rõ ràng về mục tiêu cải cách thuế. Tuy nhiên, việc thực hiện vẫn còn nhiều thách thức.</t>
  </si>
  <si>
    <t>Tôi ủng hộ và tuân thủ chính sách mới vì nó giúp tôi tiết kiệm được một khoản tiền đáng kể. Tôi hy vọng các biện pháp cải cách sẽ mang lại lợi ích lớn cho người dân.</t>
  </si>
  <si>
    <t>Nhìn chung, với việc tăng giảm trừ gia cảnh và đơn giản hóa quy trình thuế, khả năng phát hiện hành vi gian lận hoặc trốn thuế có thể cao hơn. Tuy nhiên, tôi vẫn hoài nghi về mức độ công nghệ của cơ quan thuế để quản lý hiệu quả.</t>
  </si>
  <si>
    <t>Việc tăng giảm trừ gia cảnh và đơn giản hóa quy trình khai báo thuế sẽ giúp phát hiện các hành vi trốn thuế dễ dàng hơn. Tuy nhiên, việc thực thi vẫn phụ thuộc vào năng lực quản lý của cơ quan thuế.</t>
  </si>
  <si>
    <t>Quy trình khai báo và làm việc với cơ quan thuế trở nên đơn giản hơn so với trước đây. Tuy nhiên, tôi vẫn lo ngại về sự phức tạp khi phải tính toán các bậc thuế mới.</t>
  </si>
  <si>
    <t>Phương án mới có ít bậc thuế hơn và dễ hiểu hơn so với trước đây. Điều này giúp việc tính thuế trở nên đơn giản và thuận tiện hơn cho người dân.</t>
  </si>
  <si>
    <t>Tôi tin rằng cơ quan thuế sẽ thực thi chính sách một cách công bằng, nhưng vẫn lo ngại về khả năng quản lý của họ. Việc giảm trừ gia cảnh tăng lên giúp tôi cảm thấy hài lòng hơn.</t>
  </si>
  <si>
    <t>Mức thuế mới theo phương án mới phù hợp với thu nhập của tôi và người phụ thuộc, tạo nên sự công bằng trong việc đóng góp cho xã hội.</t>
  </si>
  <si>
    <t>Tôi tin rằng số tiền thuế tôi đóng sẽ được sử dụng hiệu quả để cải thiện dịch vụ công. Tuy nhiên, thông tin cụ thể về cách sử dụng nguồn lực này còn hạn chế.</t>
  </si>
  <si>
    <t>Nhà nước đã giải thích rõ ràng về mục đích và lý do của việc sửa đổi thuế lần này, tạo nên sự minh bạch trong quá trình thực thi chính sách.</t>
  </si>
  <si>
    <t>Dựa trên các quyền lợi và nghĩa vụ mới, tôi ủng hộ và tuân thủ chính sách mới. Tuy nhiên, vẫn có một số lo ngại về khả năng quản lý của cơ quan thuế và việc sử dụng nguồn lực thu được.</t>
  </si>
  <si>
    <t>Thuế hiện nay được quản lý chặt chẽ thông qua hệ thống công nghệ cao và có nhiều kênh giám sát, tôi tin rằng việc gian lận sẽ bị phát hiện.</t>
  </si>
  <si>
    <t>Cơ quan thuế đã áp dụng các công cụ và công nghệ mới để tăng cường quản lý, do đó khả năng xử lý nghiêm hành vi trốn thuế là cao.</t>
  </si>
  <si>
    <t>Quy trình khai báo thuế trở nên đơn giản hơn với việc giảm số bậc thuế và mức giảm trừ gia cảnh lớn hơn, thuận lợi cho người dân.</t>
  </si>
  <si>
    <t>Bậc thuế mới đơn giản hóa quy trình tính toán và dễ hiểu hơn so với trước đây, giúp tôi nhanh chóng thực hiện các thủ tục.</t>
  </si>
  <si>
    <t>Nhà nước đã công bố rõ ràng về chính sách mới, tôi tin rằng họ sẽ thực thi một cách công bằng và khách quan cho mọi người nộp thuế.</t>
  </si>
  <si>
    <t>Mức thuế mới phù hợp với thu nhập của tôi, giảm gánh nặng tài chính, do đó tôi thấy nó là công bằng.</t>
  </si>
  <si>
    <t>Thuế tôi đóng sẽ được sử dụng để cải thiện các dịch vụ công, tăng niềm tin vào việc đầu tư cho tương lai của đất nước.</t>
  </si>
  <si>
    <t>Nhà nước đã minh bạch về mục tiêu và lý do thay đổi thuế lần này, tôi cảm thấy họ đã lắng nghe phản hồi từ công chúng.</t>
  </si>
  <si>
    <t>Sau khi xem xét các quyền lợi và nghĩa vụ mới, tôi ủng hộ và sẽ tuân thủ chính sách mới vì nó mang lại nhiều lợi ích cho cá nhân tôi.</t>
  </si>
  <si>
    <t>Dù có công nghệ hỗ trợ, tôi vẫn nghi ngờ khả năng phát hiện trốn thuế hiệu quả do mức độ phức tạp của các giao dịch kinh tế cá nhân.</t>
  </si>
  <si>
    <t>Công nghệ và cơ sở hạ tầng đã tiến bộ nhưng chưa chắc Nhà nước có đủ lực lượng làm việc để xử lý hiệu quả.</t>
  </si>
  <si>
    <t>So với trước đây, quy trình khai thuế và giao tiếp với cơ quan thuế trở nên đơn giản hơn, đặc biệt là về giảm trừ gia cảnh.</t>
  </si>
  <si>
    <t>Số bậc thuế ít đi nhưng cách tính thuế vẫn khá phức tạp, không dễ hiểu ngay lập tức đối với người dân thường.</t>
  </si>
  <si>
    <t>Tôi tin rằng cơ quan thuế sẽ công tâm trong việc thực thi, song lo ngại về sự khác biệt trong cách áp dụng giữa các ngành nghề.</t>
  </si>
  <si>
    <t>Nhìn chung tôi thấy mức thuế mới hợp lý với thu nhập của mình, nhưng không chắc chắn tuyệt đối.</t>
  </si>
  <si>
    <t>Tôi tin rằng tiền thuế sẽ được sử dụng hiệu quả, song lo ngại về việc quản lý và giám sát chi tiêu công.</t>
  </si>
  <si>
    <t>Nhà nước đã giải thích rõ ràng mục đích cải cách nhưng vẫn còn nhiều điểm cần làm rõ hơn để tăng niềm tin.</t>
  </si>
  <si>
    <t>Tôi ủng hộ chính sách mới vì nó có lợi cho tôi, song vẫn cần thời gian quen thuộc và hiểu rõ các quy định.</t>
  </si>
  <si>
    <t>Dù không hoàn toàn tin tưởng, nhưng với sự phát triển của công nghệ và nguồn lực của cơ quan thuế, khả năng phát hiện trốn thuế là cao. Tuy nhiên, vẫn còn những rủi ro về việc thực thi.</t>
  </si>
  <si>
    <t>Nhà nước đã đầu tư vào công nghệ và nhân lực để nâng cao hiệu quả quản lý thuế, nhưng vẫn có thể gặp khó khăn trong quá trình triển khai.</t>
  </si>
  <si>
    <t>Quy trình làm việc với cơ quan thuế trở nên đơn giản hơn, thủ tục khai báo thuế dễ dàng hơn so với trước đây. Điều này giúp người dân không còn cảm thấy bị khó khăn trong quá trình nộp thuế.</t>
  </si>
  <si>
    <t>Biểu thuế mới có ít bậc hơn và đơn giản hóa việc tính toán, người dân dễ hiểu và thực hiện hơn so với trước đây. Đây là một bước tiến rất lớn trong việc cải thiện thuận tiện cho người nộp thuế.</t>
  </si>
  <si>
    <t>Tôi tin rằng chính phủ sẽ công bằng trong việc thực thi các quy định mới, nhưng vẫn có những lo ngại về khả năng giám sát và thực thi đúng đắn của họ.</t>
  </si>
  <si>
    <t>Thuế giảm đáng kể giúp tôi cảm thấy mức thuế hiện tại là hợp lý. Mức giảm trừ gia cảnh mới cũng công bằng hơn cho người dân có nhiều phụ thuộc.</t>
  </si>
  <si>
    <t>Dù không hoàn toàn chắc chắn, nhưng tôi tin rằng số tiền thuế đóng sẽ được sử dụng hiệu quả để cải thiện các dịch vụ công. Tuy nhiên, vẫn cần thêm minh bạch từ chính phủ về cách sử dụng nguồn thu.</t>
  </si>
  <si>
    <t>Chính phủ đã giải thích rõ ràng về mục tiêu và lý do của việc sửa đổi thuế, khiến tôi cảm thấy tin tưởng hơn vào quyết định này.</t>
  </si>
  <si>
    <t>Tổng hợp các yếu tố trên, tôi đồng ý với chính sách mới và sẽ tuân thủ. Thuế giảm đáng kể đã khiến tôi ủng hộ nó hơn so với trước đây.</t>
  </si>
  <si>
    <t>Việc tăng mức giảm trừ gia cảnh và đơn giản hóa biểu thuế có thể làm giảm cơ hội trốn thuế, nhưng thực tế vẫn cần sự giám sát chặt chẽ từ phía nhà nước để đảm bảo hiệu quả.</t>
  </si>
  <si>
    <t>Nhà nước đã đầu tư vào công nghệ và nhân lực để phát hiện hành vi gian lận, tuy nhiên vấn đề trốn thuế vẫn còn tồn tại.</t>
  </si>
  <si>
    <t>Quy trình khai báo thuế và quy định mới đơn giản hơn so với trước đây, dễ thực hiện và không còn rườm rà như trước.</t>
  </si>
  <si>
    <t>Biểu thuế mới có ít bậc hơn và mức thuế suất rõ ràng hơn, giúp việc tính toán và nộp thuế trở nên thuận tiện hơn.</t>
  </si>
  <si>
    <t>Tôi tin rằng cơ quan thuế sẽ thực hiện chính sách một cách công bằng và khách quan, nhưng vẫn cần thêm thời gian để chứng minh.</t>
  </si>
  <si>
    <t>Mức thuế mới cho phép tôi tiết kiệm một khoản đáng kể, do đó cảm thấy nó là hợp lý đối với thu nhập của mình.</t>
  </si>
  <si>
    <t>Nhà nước đã cung cấp thông tin rõ ràng về lý do và mục tiêu của việc sửa đổi thuế, giúp tôi hiểu được sự cần thiết của nó.</t>
  </si>
  <si>
    <t>Sau khi xem xét các quyền lợi và nghĩa vụ mới, tôi ủng hộ và sẽ tuân thủ chính sách mới vì nó mang lại nhiều lợi ích cho tôi.</t>
  </si>
  <si>
    <t>Hiện tại, cơ quan thuế đã áp dụng các công nghệ hiện đại như AI để phát hiện gian lận và trốn thuế. Điều này làm tăng khả năng phát hiện hành vi không tuân thủ.</t>
  </si>
  <si>
    <t>Nhà nước đã đầu tư vào hệ thống quản lý thuế, nâng cao năng lực của các cơ quan thuế để giám sát hiệu quả hơn. Tuy nhiên, vẫn còn phụ thuộc vào sự tuân thủ và hợp tác từ người dân.</t>
  </si>
  <si>
    <t>Quy trình khai báo thuế trở nên đơn giản hơn với việc giảm số bậc thuế, tuy nhiên quy trình cần được cải thiện nhiều hơn để thuận tiện hơn cho người nộp thuế</t>
  </si>
  <si>
    <t>Các bậc thuế mới rõ ràng và dễ hiểu hơn so với trước đây. Việc tăng mức giảm trừ gia cảnh cũng giúp việc tính thuế trở nên đơn giản.</t>
  </si>
  <si>
    <t>Nhà nước đã công bố các quy định cụ thể về chính sách mới, tạo ra sự công bằng trong việc áp dụng thuế cho mọi người nộp thuế.</t>
  </si>
  <si>
    <t>Với mức thu nhập và số người phụ thuộc của mình, tôi thấy mức thuế mới là hợp lý. Việc giảm trừ gia cảnh tăng lên giúp giảm gánh nặng thuế cho tôi.</t>
  </si>
  <si>
    <t>Nhà nước đã sử dụng một phần khoản thuế thu được để cải thiện các dịch vụ công, như y tế và giao thông, nâng cao chất lượng cuộc sống của người dân.</t>
  </si>
  <si>
    <t>Quy định mới về thuế đã được giải thích rõ ràng trên các phương tiện truyền thông, giúp tôi hiểu mục đích và ý nghĩa của chính sách này.</t>
  </si>
  <si>
    <t>Sau khi xem xét các quyền lợi và nghĩa vụ, tôi ủng hộ chính sách mới. Việc giảm thuế cho người thu nhập thấp như tôi góp phần cải thiện cuộc sống.</t>
  </si>
  <si>
    <t>Dù có công nghệ hiện đại, nhưng với mức thu nhập và thuế được giảm, tôi không hoàn toàn tin rằng hành vi gian lận sẽ dễ bị phát hiện.</t>
  </si>
  <si>
    <t>Nhà nước đã tăng cường quản lý thuế, tuy nhiên, do kinh nghiệm cá nhân về việc khai thuế chưa thường xuyên nên tôi không hoàn toàn tin tưởng.</t>
  </si>
  <si>
    <t>Quy trình khai thuế và làm việc với cơ quan thuế đã trở nên đơn giản hơn so với trước đây, nhờ vào việc giảm bớt các bước phức tạp.</t>
  </si>
  <si>
    <t>Biểu thuế mới có ít bậc hơn, do đó dễ hiểu và thực hiện nhanh chóng hơn. Việc này giúp tôi nắm bắt và áp dụng chính sách một cách hiệu quả.</t>
  </si>
  <si>
    <t>Tôi tin rằng cơ quan thuế sẽ cố gắng thực thi công bằng và khách quan, nhưng do kinh nghiệm cá nhân chưa nhiều về việc này nên điểm số không quá cao.</t>
  </si>
  <si>
    <t>Thuế mới được giảm so với trước đây, giúp tôi cảm thấy mức thuế đóng là công bằng. Việc giảm trừ gia cảnh cũng tăng thêm tính công bằng trong việc phân chia gánh nặng thuế giữa người dân.</t>
  </si>
  <si>
    <t>Đầu tư vào các dịch vụ công sẽ giúp cải thiện chất lượng cuộc sống, do đó tôi tin rằng số tiền thuế đóng có giá trị. Tuy nhiên, việc này còn phụ thuộc vào hiệu quả sử dụng nguồn lực.</t>
  </si>
  <si>
    <t>Nhà nước đã giải thích rõ ràng về mục tiêu của chính sách mới, nhưng do thông tin chưa đầy đủ nên tôi vẫn có một số hoài nghi.</t>
  </si>
  <si>
    <t>Tôi ủng hộ và sẽ tuân thủ chính sách mới vì nó mang lại lợi ích thực tế cho người dân. Tuy nhiên, tôi vẫn mong muốn thấy thêm thông tin chi tiết về cách sử dụng nguồn thuế để tăng niềm tin.</t>
  </si>
  <si>
    <t>Thuế điện tử và công nghệ thông tin được áp dụng rộng rãi, tuy nhiên việc quản lý thuế vẫn cần sự phối hợp tốt giữa người dân và cơ quan thuế để tránh trốn thuế.</t>
  </si>
  <si>
    <t>Cơ quan thuế có đội ngũ nhân viên chuyên nghiệp và sử dụng công nghệ hiện đại, tuy nhiên hiệu quả quản lý phụ thuộc nhiều vào sự tuân thủ của người dân.</t>
  </si>
  <si>
    <t>Khai thuế điện tử đã làm giảm bớt các thủ tục rườm rà, nhưng vẫn có một số quy định phức tạp cần cải thiện.</t>
  </si>
  <si>
    <t>Biểu thuế mới đơn giản hơn so với trước đây, dễ dàng tính toán và thực hiện hơn, giảm bớt sự khó hiểu đối với người dân.</t>
  </si>
  <si>
    <t>Tôi tin rằng cơ quan thuế sẽ xử lý công bằng, nhưng cần có thêm các biện pháp giám sát để đảm bảo điều này.</t>
  </si>
  <si>
    <t>Thuế mới theo tôi là công bằng, giảm trừ gia cảnh lớn hơn giúp giảm gánh nặng cho người dân như tôi.</t>
  </si>
  <si>
    <t>Tiền thuế đóng góp vào ngân sách nhà nước để đầu tư phát triển cơ sở hạ tầng và dịch vụ công, tôi tin rằng tiền thuế sẽ được sử dụng hiệu quả.</t>
  </si>
  <si>
    <t>Cơ quan thuế đã cung cấp thông tin rõ ràng về mục tiêu của chính sách mới, tuy nhiên cần cải thiện hơn nữa trong việc giải thích chi tiết các quy định.</t>
  </si>
  <si>
    <t>Tôi ủng hộ và tuân thủ chính sách mới vì nó mang lại lợi ích tài chính cho tôi và gia đình, đồng thời giảm bớt sự phức tạp trong khai báo thuế.</t>
  </si>
  <si>
    <t>Nếu cơ quan thuế có công nghệ và khả năng kiểm soát tốt, việc gian lận sẽ khó xảy ra. Thuế mới giúp giảm tải cho người dân.</t>
  </si>
  <si>
    <t>Cơ quan thuế đã cải thiện đáng kể về hệ thống quản lý, tăng cường hiệu quả giám sát và xử lý vi phạm.</t>
  </si>
  <si>
    <t>Quy trình khai báo nhanh chóng hơn với mức giảm trừ gia cảnh cao hơn. Thuế mới đơn giản hóa quy trình thuế.</t>
  </si>
  <si>
    <t>Thay đổi về số bậc thuế và cách tính giúp việc quản lý thu chi dễ dàng, minh bạch hơn so với trước đây.</t>
  </si>
  <si>
    <t>Thuế mới công bằng hơn với mức giảm trừ gia cảnh cao. Tôi tin rằng cơ quan thuế sẽ thực thi một cách khách quan.</t>
  </si>
  <si>
    <t>Lệ phí thuế mới phù hợp với thu nhập của tôi, tạo cảm giác công bằng và phù hợp</t>
  </si>
  <si>
    <t>Tiền thuế đóng góp vào việc cải thiện dịch vụ công như y tế, giáo dục. Tôi tin rằng chi tiêu này là hiệu quả.</t>
  </si>
  <si>
    <t>Chính phủ đã giải thích rõ ràng về mục đích và lý do của việc sửa đổi thuế lần này. Thông tin minh bạch.</t>
  </si>
  <si>
    <t>Thuế mới giúp tôi tiết kiệm tiền và đơn giản hóa quy trình. Tôi ủng hộ và tuân thủ chính sách mới</t>
  </si>
  <si>
    <t>Nhìn chung, tôi tin rằng với các quy định quản lý thuế hiện tại đã được cải thiện, hành vi gian lận hoặc trốn thuế sẽ dễ bị phát hiện. Tuy nhiên, do vẫn chưa có nhiều thông tin cụ thể về khả năng thực thi, nên không thể đánh giá cao.</t>
  </si>
  <si>
    <t>Cơ quan thuế đã tăng cường công nghệ và nguồn lực để phát hiện trốn thuế. Điều này làm giảm nguy cơ gian lận, nhưng vẫn cần thêm thời gian kiểm chứng.</t>
  </si>
  <si>
    <t>So với trước đây, việc khai báo thuế đã đơn giản hơn nhiều do tăng mức giảm trừ gia cảnh và rút gọn biểu thuế. Điều này giúp tôi dễ dàng thực hiện các thủ tục hơn.</t>
  </si>
  <si>
    <t>Biểu thuế mới có ít bậc hơn, dễ hiểu và dễ thực hiện. Mức thuế mới phù hợp với thu nhập của tôi, tạo cảm giác thuận tiện khi đóng thuế.</t>
  </si>
  <si>
    <t>Tôi tin rằng cơ quan thuế sẽ thực thi chính sách một cách khách quan. Tuy nhiên, do vẫn còn nghi ngờ về việc thực thi cụ thể, nên không đánh giá quá cao.</t>
  </si>
  <si>
    <t>Mức thuế mới đối với thu nhập của tôi là hợp lý và công bằng, so với mức trước đây đã giảm. Điều này làm tăng niềm tin vào tính công bằng của hệ thống thuế hiện tại.</t>
  </si>
  <si>
    <t>Tôi tin rằng số tiền thuế đóng sẽ được sử dụng hiệu quả để cải thiện các dịch vụ công, nhưng vẫn cần thêm thông tin cụ thể về việc này.</t>
  </si>
  <si>
    <t>Nhà nước đã giải thích rõ ràng mục tiêu của việc sửa đổi thuế. Tuy nhiên, chi tiết về cách thực thi và giám sát cụ thể còn hạn chế nên không đánh giá quá cao.</t>
  </si>
  <si>
    <t>Sau khi xem xét các quyền lợi và nghĩa vụ mới, tôi ủng hộ chính sách này. Việc giảm thuế và đơn giản hóa quy trình khai báo giúp tôi cảm thấy thuận lợi hơn trong việc đóng thuế.</t>
  </si>
  <si>
    <t>Nhà nước đã tăng cường các biện pháp quản lý thuế và công nghệ hiện đại, tôi tin rằng hành vi gian lận sẽ bị phát hiện.</t>
  </si>
  <si>
    <t>Cơ quan thuế có đủ khả năng và công nghệ để xử lý nghiêm các trường hợp trốn thuế.</t>
  </si>
  <si>
    <t>Thủ tục khai báo thuế trở nên đơn giản hơn, thuận tiện cho người dân nộp thuế.</t>
  </si>
  <si>
    <t>Biểu thuế mới đơn giản và dễ hiểu hơn so với trước đây.</t>
  </si>
  <si>
    <t>Tôi tin Nhà nước sẽ thực thi chính sách một cách công bằng và khách quan.</t>
  </si>
  <si>
    <t>Lý do tăng giảm trừ gia cảnh hợp lý, tôi thấy mức thuế mới là công bằng cho thu nhập của mình.</t>
  </si>
  <si>
    <t>Thuế đóng góp vào việc cải thiện dịch vụ công, tôi tin số tiền đóng sẽ được sử dụng hiệu quả.</t>
  </si>
  <si>
    <t>Sau khi xem xét tác động tài chính tích cực, tôi ủng hộ và tuân thủ chính sách mới.</t>
  </si>
  <si>
    <t>Tăng cường công nghệ giám sát và các quy định quản lý thuế mới có thể giúp phát hiện gian lận, nhưng vẫn còn nhiều yếu tố cần cải thiện.</t>
  </si>
  <si>
    <t>Cơ quan thuế đã đầu tư vào hệ thống thông tin và công nghệ để nâng cao hiệu quả quản lý, tuy nhiên việc xử lý nghiêm các hành vi trốn thuế vẫn còn hạn chế.</t>
  </si>
  <si>
    <t>Quy trình khai báo thuế trở nên đơn giản hơn, nhưng cần thêm thời gian để mọi người quen thuộc với hệ thống mới.</t>
  </si>
  <si>
    <t>Biểu thuế được đơn giản hóa từ 7 bậc thành 5 bậc, giảm bớt độ phức tạp và dễ dàng tính toán hơn.</t>
  </si>
  <si>
    <t>Tôi tin rằng cơ quan thuế sẽ thực thi chính sách một cách công bằng đối với mọi người nộp thuế.</t>
  </si>
  <si>
    <t>Các mức giảm trừ gia cảnh và bậc thuế mới được thiết kế hợp lý, phù hợp với thu nhập của tôi.</t>
  </si>
  <si>
    <t>Thuế đóng góp vào các dịch vụ công quan trọng như y tế và giao thông, giúp cải thiện chất lượng cuộc sống.</t>
  </si>
  <si>
    <t>Nhà nước đã giải thích rõ ràng về mục tiêu của việc sửa đổi thuế, tạo sự tin tưởng trong cộng đồng.</t>
  </si>
  <si>
    <t>Tôi ủng hộ và sẽ tuân thủ chính sách mới vì lợi ích tài chính và tính công bằng được cải thiện.</t>
  </si>
  <si>
    <t>Dù có công nghệ hỗ trợ, tôi vẫn không hoàn toàn tin rằng hành vi gian lận sẽ dễ bị phát hiện.</t>
  </si>
  <si>
    <t>Cơ quan thuế có nhiều nguồn lực nhưng khả năng kiểm soát và xử lý gian lận vẫn còn hạn chế.</t>
  </si>
  <si>
    <t>Biểu thuế mới rõ ràng hơn, dễ hiểu và thực hiện nhanh chóng hơn so với trước đây.</t>
  </si>
  <si>
    <t>Tôi tin rằng Nhà nước sẽ thực thi chính sách công bằng nhưng vẫn lo ngại về khả năng thực hiện.</t>
  </si>
  <si>
    <t>Thuế mới giảm gánh nặng cho tôi, do đó tôi cảm thấy mức thuế đóng là hợp lý.</t>
  </si>
  <si>
    <t>Nhà nước đã giải thích rõ mục tiêu và lý do của việc thay đổi thuế, tôi thấy điều này là cần thiết.</t>
  </si>
  <si>
    <t>Sau khi xem xét các quyền lợi và nghĩa vụ, tôi ủng hộ chính sách mới vì nó đơn giản hơn và giảm gánh nặng thuế.</t>
  </si>
  <si>
    <t>Hiện nay, với sự phát triển của công nghệ và quản lý thuế điện tử, khả năng phát hiện hành vi gian lận hoặc trốn thuế được tăng cường. Tuy nhiên, vẫn còn nhiều rủi ro từ việc thông tin cá nhân có thể bị rò rỉ.</t>
  </si>
  <si>
    <t>Cơ quan thuế đã đầu tư vào công nghệ và nguồn lực để giám sát hiệu quả hơn. Tuy nhiên, vẫn cần cải thiện trong việc truyền đạt thông tin đến người nộp thuế về các biện pháp phòng ngừa gian lận.</t>
  </si>
  <si>
    <t>Quy trình khai báo thuế và làm việc với cơ quan thuế đã được đơn giản hóa, tuy nhiên vẫn còn một số thủ tục cần cải thiện để tăng thêm sự thuận tiện cho người dân.</t>
  </si>
  <si>
    <t>Các bậc thuế mới đơn giản hơn, dễ hiểu và thực hiện dễ dàng. Tuy nhiên, việc chuyển đổi từ hệ thống cũ sang mới có thể gây ra một số khó khăn ban đầu đối với người dân.</t>
  </si>
  <si>
    <t>Tôi tin rằng cơ quan thuế sẽ công tâm trong việc thực thi chính sách. Tuy nhiên, sự phức tạp của hệ thống cũ vẫn để lại một ít lo ngại về khả năng bị thiên vị.</t>
  </si>
  <si>
    <t>Thuế mới giảm đáng kể so với trước đây và mức giảm trừ gia cảnh cũng tăng lên. Điều này cho thấy sự công bằng trong việc chia sẻ gánh nặng thuế giữa người dân.</t>
  </si>
  <si>
    <t>Tôi tin rằng số tiền thuế tôi đóng sẽ được sử dụng hiệu quả để cải thiện dịch vụ công, mặc dù còn nhiều dự án cần thêm kiểm tra về hiệu quả sử dụng ngân sách.</t>
  </si>
  <si>
    <t>Nhà nước đã giải thích rõ ràng lý do và mục tiêu của việc sửa đổi thuế. Tuy nhiên, vẫn có một số điểm chưa đủ minh bạch như cách sử dụng nguồn thu từ thuế.</t>
  </si>
  <si>
    <t>Tôi ủng hộ chính sách mới vì nó mang lại lợi ích tài chính và đơn giản hóa quy trình nộp thuế. Tuy nhiên, tôi vẫn cần thêm thông tin về việc sử dụng hiệu quả nguồn thu từ thuế.</t>
  </si>
  <si>
    <t>Tăng mức giảm trừ gia cảnh và đơn giản hóa biểu thuế có thể làm tăng tính minh bạch, nhưng vẫn cần sự giám sát chặt chẽ từ phía cơ quan thuế để phát hiện các hành vi gian lận.</t>
  </si>
  <si>
    <t>Cơ sở hạ tầng công nghệ thông tin của cơ quan thuế đang không ngừng nâng cấp, cho thấy khả năng phát hiện và xử lý nghiêm các hành vi trốn thuế là có thể.</t>
  </si>
  <si>
    <t>So với trước đây, quy trình khai báo thuế đơn giản hơn nhiều, đặc biệt là khi sử dụng ứng dụng điện tử. Việc này đã cải thiện đáng kể thuận tiện cho người dân.</t>
  </si>
  <si>
    <t>Biểu thuế mới rõ ràng và dễ hiểu hơn, giảm số bậc thuế cũng làm việc tính toán thuế trở nên đơn giản hơn.</t>
  </si>
  <si>
    <t>Mức thuế mới được đánh giá là công bằng với thu nhập hiện tại của tôi. Mức thuế giảm đã tăng sự tin tưởng vào chính sách.</t>
  </si>
  <si>
    <t>Thuế giảm và mức giảm trừ gia cảnh cao hơn, tôi thấy điều này hợp lý cho người có thu nhập như tôi.</t>
  </si>
  <si>
    <t>Tôi tin rằng số thuế đóng sẽ được sử dụng hiệu quả để cải thiện các dịch vụ công. Tuy nhiên, việc giám sát chi tiêu ngân sách vẫn cần được cải thiện.</t>
  </si>
  <si>
    <t>Nhà nước đã giải thích rõ ràng về mục tiêu của chính sách mới và cách tính thuế mới, tạo sự minh bạch cho người dân.</t>
  </si>
  <si>
    <t>Tôi ủng hộ và tuân thủ chính sách mới vì nó phù hợp với thu nhập hiện tại và giảm gánh nặng tài chính cho gia đình tôi.</t>
  </si>
  <si>
    <t>Thuế TNCN được quản lý chặt chẽ với mức giảm trừ gia cảnh cao hơn, nhưng tôi vẫn nghi ngờ khả năng phát hiện trốn thuế.</t>
  </si>
  <si>
    <t>Cơ quan thuế có công nghệ để theo dõi, nhưng thực tế việc xử lý hành vi gian lận chưa phải lúc nào cũng hiệu quả.</t>
  </si>
  <si>
    <t>Trình tự khai thuế đơn giản hơn, nhưng vẫn cần thời gian làm quen với các thay đổi mới.</t>
  </si>
  <si>
    <t>Biểu thuế đơn giản hóa từ 7 bậc xuống còn 5 bậc, dễ hiểu và thực hiện nhanh chóng hơn.</t>
  </si>
  <si>
    <t>Tôi tin rằng Nhà nước sẽ công bằng trong việc áp dụng chính sách mới, nhưng vẫn có sự nghi ngờ về cách thực thi.</t>
  </si>
  <si>
    <t>Mức thuế mới phù hợp với thu nhập của tôi, giúp giảm gánh nặng tài chính và tăng niềm tin vào công bằng.</t>
  </si>
  <si>
    <t>Thuế đóng góp cho sự phát triển dịch vụ công, nhưng cần giám sát chặt chẽ để sử dụng hiệu quả.</t>
  </si>
  <si>
    <t>Nhà nước đã giải thích rõ ràng về mục tiêu cải cách thuế lần này và tôi thấy hợp lý.</t>
  </si>
  <si>
    <t>Tôi ủng hộ chính sách mới vì giảm gánh nặng tài chính, nhưng cần theo dõi thực hiện để đảm bảo công bằng.</t>
  </si>
  <si>
    <t>Việc tăng giảm trừ gia cảnh và đơn giản hóa biểu thuế có thể làm giảm khả năng phát hiện hành vi trốn thuế, nhưng cơ quan thuế vẫn có khả năng quản lý thông qua các công nghệ hiện đại.</t>
  </si>
  <si>
    <t>Nhà nước đã đầu tư vào công nghệ để hỗ trợ việc quản lý và thu thập dữ liệu về thuế nên khả năng phát hiện trốn thuế là tốt.</t>
  </si>
  <si>
    <t>So với trước đây, quy trình khai báo thuế đơn giản hơn vì giảm bớt các bước phức tạp, tuy nhiên vẫn cần thời gian để làm quen với hệ thống mới.</t>
  </si>
  <si>
    <t>Bậc thuế đã được đơn giản hóa từ 7 xuống còn 5, giúp việc tính toán và thực hiện dễ dàng hơn.</t>
  </si>
  <si>
    <t>Tôi tin Nhà nước sẽ thực thi chính sách một cách công bằng vì giảm trừ gia cảnh lớn hơn và có các bậc thuế đơn giản hơn.</t>
  </si>
  <si>
    <t>Nhà nước đã tăng mức giảm trừ gia cảnh nên tôi thấy số tiền thuế phải đóng là hợp lý đối với thu nhập của mình.</t>
  </si>
  <si>
    <t>Tăng mức giảm trừ và đơn giản hóa quy trình sẽ giúp sử dụng hiệu quả số tiền thuế, cải thiện dịch vụ công cho người dân.</t>
  </si>
  <si>
    <t>Nhà nước đã giải thích rõ ràng về mục tiêu của việc sửa đổi thuế lần này, tạo niềm tin cho người nộp thuế.</t>
  </si>
  <si>
    <t>Tác động tài chính tích cực và quy trình đơn giản hơn khiến tôi ủng hộ và tuân thủ chính sách mới.</t>
  </si>
  <si>
    <t>Thuế hiện nay có nhiều biện pháp quản lý và xử phạt, nhưng vẫn cần cải thiện.</t>
  </si>
  <si>
    <t>Công nghệ ngày càng phát triển, cơ quan thuế cũng đã áp dụng nhiều công cụ để phát hiện gian lận, nhưng vẫn còn hạn chế.</t>
  </si>
  <si>
    <t>Quy trình khai báo và làm việc với cơ quan thuế đơn giản hơn so với trước đây rất nhiều.</t>
  </si>
  <si>
    <t>Biểu thuế mới đơn giản, dễ hiểu và thực hiện thuận tiện hơn so với trước đây.</t>
  </si>
  <si>
    <t>Tôi tin rằng cơ quan thuế sẽ thực thi chính sách một cách công tâm, nhưng vẫn có thể xảy ra tình trạng không công bằng.</t>
  </si>
  <si>
    <t>Mức thuế mới giảm đáng kể so với trước đây, phù hợp với thu nhập của tôi và nhiều người như tôi.</t>
  </si>
  <si>
    <t>Thuế tôi đóng sẽ được sử dụng hiệu quả để cải thiện dịch vụ công, nhưng vẫn cần sự minh bạch hơn từ phía cơ quan thuế.</t>
  </si>
  <si>
    <t>Nhà nước đã giải thích rõ ràng về mục tiêu của việc sửa đổi thuế, tôi cảm thấy hài lòng với quyết định này.</t>
  </si>
  <si>
    <t>Sau khi xem xét các quyền lợi và nghĩa vụ mới, tôi đồng ý và sẽ tuân thủ chính sách mới.</t>
  </si>
  <si>
    <t>Ngân hàng và cơ quan thuế có hệ thống quản lý hiện đại, tuy nhiên với quy mô dân số lớn như Việt Nam, việc phát hiện trốn thuế vẫn là thách thức.</t>
  </si>
  <si>
    <t>Nhà nước đã đầu tư nhiều vào công nghệ và nhân lực trong lĩnh vực quản lý thuế, cho thấy khả năng xử lý nghiêm các hành vi trốn thuế</t>
  </si>
  <si>
    <t>Quy trình khai thuế và làm việc với cơ quan thuế đã đơn giản hơn so với trước đây, giảm bớt rắc rối cho người dân.</t>
  </si>
  <si>
    <t>Biểu thuế mới có ít bậc hơn và mức thuế suất rõ ràng hơn, dễ dàng thực hiện và tính toán</t>
  </si>
  <si>
    <t>Cơ quan thuế đã công bố rõ về quy định mới, tuy nhiên tôi vẫn nghi ngờ về cách thực thi khách quan của họ.</t>
  </si>
  <si>
    <t>Thuế mới giảm nhiều so với trước đây, cho thấy mức thuế hiện tại là hợp lý</t>
  </si>
  <si>
    <t>Thuốc đóng góp vào các dịch vụ công quan trọng như y tế và giao thông, tôi tin rằng tiền thuế sẽ được sử dụng hiệu quả.</t>
  </si>
  <si>
    <t>Nhà nước đã giải thích rõ về mục tiêu của việc sửa đổi chính sách thuế lần này</t>
  </si>
  <si>
    <t>Sau khi tính toán lợi ích, tôi thấy mình sẽ tiết kiệm được nhiều tiền từ thuế mới và ủng hộ chính sách này.</t>
  </si>
  <si>
    <t>Do có mức giảm trừ gia cảnh tăng lên, tôi tin rằng việc phát hiện hành vi gian lận hoặc trốn thuế sẽ dễ dàng hơn.</t>
  </si>
  <si>
    <t>Cơ quan thuế đã cải thiện công nghệ và quy trình quản lý thuế nên khả năng phát hiện và xử lý nghiêm các hành vi trốn thuế có thể cao hơn trước đây.</t>
  </si>
  <si>
    <t>So với trước đây, thủ tục khai báo thuế và làm việc với cơ quan thuế đơn giản hơn nhiều, giúp tiết kiệm thời gian cho người dân như tôi.</t>
  </si>
  <si>
    <t>Biểu thuế mới đơn giản hóa bậc thuế từ 7 xuống 5, dễ dàng nắm bắt và thực hiện hơn rất nhiều so với trước đây.</t>
  </si>
  <si>
    <t>Tôi tin rằng Nhà nước sẽ công tâm trong việc áp dụng chính sách thuế mới, đặc biệt khi giảm trừ gia cảnh tăng lên giúp tôi tiết kiệm được nhiều tiền</t>
  </si>
  <si>
    <t>Theo phương án mới, mức thuế mà tôi phải đóng là hợp lý vì có sự tăng giảm trừ gia cảnh và số bậc thuế đã đơn giản hóa.</t>
  </si>
  <si>
    <t>Tôi tin rằng số tiền thuế tôi đóng sẽ được sử dụng hiệu quả để cải thiện dịch vụ công, giúp nâng cao chất lượng cuộc sống cho người dân</t>
  </si>
  <si>
    <t>Nhà nước đã giải thích rõ ràng về mục tiêu và lý do của việc sửa đổi thuế, tạo sự tin tưởng và đồng lòng từ phía người dân.</t>
  </si>
  <si>
    <t>Dựa trên các quyền lợi được cải thiện từ chính sách mới, tôi ủng hộ và tuân thủ chính sách thuế hiện nay</t>
  </si>
  <si>
    <t>Dù các quy định quản lý thuế hiện tại có thể được cải thiện, nhưng với sự phát triển của công nghệ, việc phát hiện hành vi gian lận hoặc trốn thuế cũng trở nên dễ dàng hơn. Tuy nhiên, vẫn cần sự nỗ lực từ phía cơ quan thuế để đảm bảo hiệu quả.</t>
  </si>
  <si>
    <t>Nhà nước đã đầu tư vào công nghệ và nguồn lực để kiểm soát các hành vi trốn thuế, cho thấy khả năng phát hiện và xử lý nghiêm là có thể. Tuy nhiên, vẫn còn cần cải thiện.</t>
  </si>
  <si>
    <t>Quy trình khai báo thuế và làm việc với cơ quan thuế đơn giản hơn so với trước đây, nhưng vẫn cần thêm thời gian để người dân quen thuộc.</t>
  </si>
  <si>
    <t>Cách tính thuế và các bậc thuế mới dễ hiểu và thực hiện nhanh chóng hơn. Sự đơn giản hóa này giúp giảm bớt gánh nặng cho người dân trong việc tính toán.</t>
  </si>
  <si>
    <t>Tôi tin rằng Nhà nước sẽ thực thi chính sách một cách công bằng, nhưng vẫn có sự nghi ngờ về khả năng kiểm soát toàn diện của cơ quan thuế.</t>
  </si>
  <si>
    <t>Đối với thu nhập như tôi, mức giảm trừ gia cảnh và các bậc thuế mới là hợp lý. Tuy nhiên, vẫn cần thêm thời gian để thấy hiệu quả thực tế của chính sách.</t>
  </si>
  <si>
    <t>Tôi tin rằng số tiền thuế đóng sẽ được sử dụng hiệu quả cho mục đích công cộng, nhưng cần thêm minh bạch về cách sử dụng nguồn thu thuế.</t>
  </si>
  <si>
    <t>Nhà nước đã giải thích rõ ràng về chính sách mới, mặc dù vẫn có một số điểm chưa hoàn toàn thuyết phục tôi về sự công bằng của chính sách.</t>
  </si>
  <si>
    <t>Tác động tài chính tích cực và sự đơn giản hóa quy trình khai báo thuế khiến tôi ủng hộ và tuân thủ chính sách mới, nhưng vẫn có một số lo ngại cần giải quyết.</t>
  </si>
  <si>
    <t>Dù có công nghệ hỗ trợ, nhưng tôi vẫn lo ngại về việc phát hiện hành vi gian lận thuế bởi nó đòi hỏi sự phối hợp giữa nhiều cơ quan và nguồn tin cậy. Trong thực tế, nhiều trường hợp trốn thuế vẫn chưa được xử lý triệt để.</t>
  </si>
  <si>
    <t>Việc Nhà nước có đủ khả năng phát hiện gian lận thông qua các hệ thống công nghệ là một điểm tích cực. Tuy nhiên, hiệu quả thực tế cần thời gian để chứng minh.</t>
  </si>
  <si>
    <t>Hệ thống thuế mới đơn giản hơn, quy trình khai báo và làm việc với cơ quan thuế cũng thuận tiện hơn. Điều này giúp tôi tiết kiệm thời gian và công sức.</t>
  </si>
  <si>
    <t>Biểu thuế mới có ít bậc hơn, dễ hiểu và thực hiện nhanh chóng hơn so với trước đây. Việc giảm trừ gia cảnh cũng được cải thiện đáng kể.</t>
  </si>
  <si>
    <t>Tôi tin rằng Nhà nước sẽ thực thi chính sách một cách công bằng, nhưng lo ngại về khả năng thực hiện và quản lý các quy định mới.</t>
  </si>
  <si>
    <t>Thuế mới mà tôi phải đóng là hợp lý so với thu nhập của mình. Mức giảm trừ gia cảnh cũng tăng đáng kể, làm cho thuế trở nên công bằng hơn.</t>
  </si>
  <si>
    <t>Dự kiến số tiền thuế sẽ được sử dụng hiệu quả để cải thiện dịch vụ công và hạ tầng, nhưng cần thời gian để chứng minh hiệu quả thực tế.</t>
  </si>
  <si>
    <t>Nhà nước đã giải thích rõ về mục tiêu của việc sửa đổi thuế, nhưng tôi vẫn mong muốn có thêm thông tin chi tiết hơn.</t>
  </si>
  <si>
    <t>Tôi ủng hộ chính sách mới vì nó làm giảm gánh nặng tài chính và đơn giản hóa quy trình khai báo. Tuy nhiên, cần thời gian để xem xét hiệu quả thực tế của các thay đổi.</t>
  </si>
  <si>
    <t>Cơ quan thuế có nhiều biện pháp quản lý hiện đại, tuy nhiên vẫn còn khả năng gian lận nhỏ do quy trình chưa hoàn toàn tự động hóa.</t>
  </si>
  <si>
    <t>Nhà nước đã đầu tư công nghệ, nhưng cần tăng cường hơn nữa để phát hiện trốn thuế hiệu quả hơn.</t>
  </si>
  <si>
    <t>Quy trình khai báo thuế và làm việc với cơ quan thuế trở nên đơn giản hơn so với trước đây, thuận tiện hơn cho người dân.</t>
  </si>
  <si>
    <t>Biểu thuế mới có ít bậc hơn, dễ hiểu và thực hiện dễ dàng hơn, giảm sự phức tạp đáng kể.</t>
  </si>
  <si>
    <t>Tôi tin rằng cơ quan thuế sẽ công bằng trong việc áp dụng chính sách mới, song vẫn cần thêm minh bạch hơn về cách thức quản lý.</t>
  </si>
  <si>
    <t>Mức giảm trừ gia cảnh và mức thu nhập chịu thuế đã được điều chỉnh phù hợp với tình hình thực tế của người dân như tôi.</t>
  </si>
  <si>
    <t>Tôi tin rằng số tiền thuế đóng sẽ được sử dụng hiệu quả để cải thiện dịch vụ công, song cần có báo cáo cụ thể về việc này.</t>
  </si>
  <si>
    <t>Chính phủ đã giải thích rõ mục tiêu của chính sách mới, tuy nhiên vẫn cần thêm thông tin chi tiết hơn từ các cơ quan thuế.</t>
  </si>
  <si>
    <t>Tôi ủng hộ và tuân thủ chính sách mới vì nó mang lại lợi ích tài chính và giảm sự phức tạp cho người dân.</t>
  </si>
  <si>
    <t>Nhà nước và cơ quan thuế đã có nhiều biện pháp quản lý thuế mạnh mẽ, tuy nhiên do thiếu thông tin cụ thể về quy định mới nên còn nghi ngờ về khả năng phát hiện trốn thuế.</t>
  </si>
  <si>
    <t>Cơ sở hạ tầng công nghệ của cơ quan thuế đã được nâng cấp trong thời gian qua, tăng cường khả năng quản lý và xử lý thông tin thuế, từ đó tăng khả năng phát hiện trốn thuế.</t>
  </si>
  <si>
    <t>Quy trình khai báo thuế và làm việc với cơ quan thuế đã đơn giản hơn so với trước đây, giảm thời gian chờ đợi và thủ tục rườm rà.</t>
  </si>
  <si>
    <t>Các bậc thuế mới rõ ràng hơn, dễ hiểu và dễ thực hiện hơn, giúp người dân nắm bắt nhanh chóng.</t>
  </si>
  <si>
    <t>Tôi tin rằng cơ quan thuế sẽ thực thi chính sách một cách công bằng đối với mọi người nộp thuế, dù mức giảm trừ gia cảnh tăng lên.</t>
  </si>
  <si>
    <t>Với thu nhập của tôi và số lượng người phụ thuộc ít, mức thuế mới này là hợp lý và công bằng.</t>
  </si>
  <si>
    <t>Tài chính nhà nước sẽ được sử dụng hiệu quả để cải thiện các dịch vụ công, từ đó mang lại lợi ích cho người dân như tôi.</t>
  </si>
  <si>
    <t>Tôi đã nhận được thông tin rõ ràng về việc sửa đổi thuế lần này và mục tiêu của nó là tạo ra một hệ thống thuế công bằng hơn.</t>
  </si>
  <si>
    <t>Tôi ủng hộ chính sách mới vì nó giúp giảm gánh nặng tài chính cho người dân như tôi, đồng thời cải thiện hiệu quả sử dụng nguồn lực nhà nước.</t>
  </si>
  <si>
    <t>Nhà nước đã tăng cường công nghệ và nhân lực, nên tôi tin rằng hành vi gian lận sẽ dễ bị phát hiện.</t>
  </si>
  <si>
    <t>Cơ quan thuế có hệ thống quản lý điện tử, khả năng giám sát mạnh mẽ hơn trước đây.</t>
  </si>
  <si>
    <t>Quy trình khai báo và làm việc với cơ quan thuế đã đơn giản hóa nhiều so với trước đây.</t>
  </si>
  <si>
    <t>Biểu thuế mới có ít bậc hơn, dễ hiểu và thực hiện nhanh chóng hơn.</t>
  </si>
  <si>
    <t>Nhà nước đã công bố rõ ràng về chính sách mới, tôi tin rằng sẽ được áp dụng một cách công bằng.</t>
  </si>
  <si>
    <t>Với mức thuế giảm đáng kể, tôi cảm thấy việc đóng thuế theo phương án mới là hợp lý.</t>
  </si>
  <si>
    <t>Thuế tôi đóng sẽ được sử dụng hiệu quả để cải thiện các dịch vụ công, tăng niềm tin vào Nhà nước.</t>
  </si>
  <si>
    <t>Đã có nhiều giải thích từ phía cơ quan thuế về mục tiêu và lý do của chính sách mới.</t>
  </si>
  <si>
    <t>Dựa trên những cải tiến về tài chính và thuận tiện, tôi ủng hộ và sẽ tuân thủ chính sách mới.</t>
  </si>
  <si>
    <t>Nếu các cơ quan thuế có đủ công nghệ và nguồn lực để đơn giản hóa quy trình, việc phát hiện hành vi trốn thuế cũng sẽ được cải thiện đáng kể.</t>
  </si>
  <si>
    <t>Việc Nhà nước tập trung vào cải cách thuế có thể cho thấy họ đã sẵn sàng và có kế hoạch quản lý hiệu quả hơn đối với việc thu thuế.</t>
  </si>
  <si>
    <t>Các quy trình mới đơn giản, giảm bớt rắc rối nên thuận tiện hơn cho người nộp thuế như tôi.</t>
  </si>
  <si>
    <t>Biểu thuế mới có ít bậc và rõ ràng hơn so với trước đây, dễ dàng tính toán và tuân thủ hơn.</t>
  </si>
  <si>
    <t>Tôi tin rằng Nhà nước sẽ thực hiện chính sách một cách công bằng, đặc biệt khi đã đơn giản hóa quy trình và mức thuế giảm trừ gia cảnh tăng.</t>
  </si>
  <si>
    <t>Mức thuế mới phù hợp với thu nhập của tôi và những người như tôi, giảm gánh nặng tài chính mà không làm mất tính công bằng.</t>
  </si>
  <si>
    <t>Thuế được sử dụng để cải thiện hạ tầng và dịch vụ công, điều này mang lại lợi ích cho cộng đồng nói chung, bao gồm cả tôi.</t>
  </si>
  <si>
    <t>Nhà nước đã giải thích rõ ràng về mục tiêu và lý do của việc sửa đổi thuế, tạo niềm tin cho người dân trong việc tuân thủ.</t>
  </si>
  <si>
    <t>Dựa trên các thay đổi tích cực về thuận tiện, công bằng và giảm gánh nặng tài chính, tôi đồng ý và sẽ tuân thủ chính sách mới.</t>
  </si>
  <si>
    <t>Cơ quan thuế có nhiều công cụ để phát hiện trốn thuế, nhưng vẫn cần sự hợp tác của người dân.</t>
  </si>
  <si>
    <t>Nhà nước đã đầu tư vào công nghệ, tuy nhiên việc phát hiện trốn thuế vẫn phụ thuộc vào ý thức của người nộp thuế.</t>
  </si>
  <si>
    <t>Thủ tục khai báo thuế đơn giản hơn và nhanh chóng hơn, thuận tiện cho người dân.</t>
  </si>
  <si>
    <t>Biểu thuế mới có ít bậc và dễ hiểu, việc tính thuế trở nên dễ dàng hơn.</t>
  </si>
  <si>
    <t>Tôi tin rằng Nhà nước sẽ công bằng trong việc thực thi chính sách mới, dù vẫn có sự nghi ngờ từ một số người.</t>
  </si>
  <si>
    <t>Mức thuế mới phù hợp với thu nhập của tôi và giảm gánh nặng tài chính.</t>
  </si>
  <si>
    <t>Thuế đóng góp vào việc cải thiện dịch vụ công, tạo ra lợi ích chung cho xã hội.</t>
  </si>
  <si>
    <t>Nhà nước đã giải thích rõ ràng về mục tiêu và lý do của chính sách mới, tăng sự tin tưởng từ người dân.</t>
  </si>
  <si>
    <t>Tôi ủng hộ chính sách mới vì nó giảm gánh nặng thuế và cải thiện thuận tiện cho người dân.</t>
  </si>
  <si>
    <t>Nhà nước có nhiều biện pháp để phát hiện và xử lý hành vi gian lận thuế, mặc dù vẫn cần cải thiện.</t>
  </si>
  <si>
    <t>Cơ quan thuế đã đầu tư công nghệ để tăng cường quản lý thuế, giảm nguy cơ trốn thuế.</t>
  </si>
  <si>
    <t>Sau khi tính toán, mức thuế mới phù hợp với thu nhập của tôi và người cùng ngành nghề.</t>
  </si>
  <si>
    <t>Tôi tin rằng số tiền thuế đóng sẽ được sử dụng hiệu quả cho các dịch vụ công lợi ích chung.</t>
  </si>
  <si>
    <t>Nhà nước đã giải thích rõ ràng mục tiêu của việc sửa đổi chính sách thuế, nhưng vẫn cần thêm minh bạch hơn về chi tiết cụ thể.</t>
  </si>
  <si>
    <t>Sau khi tính toán tác động tài chính và đánh giá các yếu tố khác, tôi đồng ý với chính sách mới.</t>
  </si>
  <si>
    <t>Dù quy định quản lý thuế đã cải thiện, nhưng với thu nhập cao như tôi, vẫn có thể gặp khó khăn trong việc phát hiện gian lận trốn thuế.</t>
  </si>
  <si>
    <t>Nhà nước và cơ quan thuế đã đầu tư công nghệ để tăng cường quản lý, nhưng không thể phủ nhận nguy cơ trốn thuế vẫn còn tồn tại.</t>
  </si>
  <si>
    <t>Thủ tục khai báo thuế trở nên đơn giản hơn so với trước đây, việc sử dụng phần mềm điện tử giúp quá trình làm việc nhanh chóng và thuận tiện hơn.</t>
  </si>
  <si>
    <t>Biểu thuế mới đơn giản hơn, chỉ còn 5 bậc thay vì 7 như trước, điều này khiến cho việc tính toán và thực hiện dễ dàng hơn nhiều.</t>
  </si>
  <si>
    <t>Tôi tin rằng cơ quan thuế sẽ thực thi chính sách một cách công bằng đối với mọi người nộp thuế, nhưng vẫn cần thêm các biện pháp giám sát để tăng niềm tin.</t>
  </si>
  <si>
    <t>Với thu nhập hiện tại, mức thuế mới là hợp lý và công bằng. Mức giảm trừ gia cảnh cũng giúp tôi tiết kiệm được một khoản tiền đáng kể.</t>
  </si>
  <si>
    <t>Tôi tin rằng số tiền thuế đóng sẽ được sử dụng hiệu quả để cải thiện các dịch vụ công, như y tế và giao thông, nhưng cần thêm minh bạch về cách sử dụng nguồn thu thuế.</t>
  </si>
  <si>
    <t>Nhà nước đã giải thích rõ ràng về mục tiêu của việc sửa đổi thuế, nhưng tôi vẫn mong muốn có thêm thông tin chi tiết hơn về quy trình thực thi chính sách mới.</t>
  </si>
  <si>
    <t>Sau khi xem xét các quyền lợi và nghĩa vụ, tôi ủng hộ và tuân thủ chính sách mới vì nó mang lại nhiều thuận lợi cho người dân như tôi.</t>
  </si>
  <si>
    <t>Dựa trên mức thuế mới thấp hơn và các giảm trừ gia cảnh tăng lên, tôi tin rằng việc phát hiện hành vi trốn thuế sẽ dễ dàng hơn. Tuy nhiên, vẫn có thể còn nhiều thách thức.</t>
  </si>
  <si>
    <t>Cơ quan thuế đã cải thiện công nghệ và quy định quản lý, cho thấy khả năng phát hiện và xử lý nghiêm các hành vi trốn thuế là tốt hơn.</t>
  </si>
  <si>
    <t>Quy trình khai báo thuế đơn giản hơn với số bậc thuế ít đi. Tuy nhiên, cần thời gian để làm quen với quy định mới.</t>
  </si>
  <si>
    <t>Cách tính thuế và các bậc thuế trở nên dễ hiểu hơn, giúp tôi nắm bắt nhanh chóng và thuận tiện hơn trong quá trình thực hiện.</t>
  </si>
  <si>
    <t>Tôi tin rằng Nhà nước sẽ thực thi chính sách một cách khách quan. Các giảm trừ gia cảnh tăng lên cho thấy sự công bằng đối với người nộp thuế.</t>
  </si>
  <si>
    <t>Thuế tôi phải đóng thấp hơn so với trước đây, điều này thể hiện mức độ công bằng khi so sánh với thu nhập của tôi</t>
  </si>
  <si>
    <t>Nhà nước sử dụng số tiền thuế để cải thiện dịch vụ công, điều này làm tăng niềm tin rằng thuế đóng góp vào việc phát triển đất nước.</t>
  </si>
  <si>
    <t>Phương án mới đã được giải thích rõ ràng về mục tiêu và lý do thay đổi, giúp tôi hiểu hơn về chính sách</t>
  </si>
  <si>
    <t>Sau khi xem xét các quyền lợi và nghĩa vụ, tôi ủng hộ và tuân thủ chính sách mới vì nó mang lại nhiều lợi ích cho người dân.</t>
  </si>
  <si>
    <t>Nhà nước có nhiều biện pháp quản lý thuế và công nghệ phát triển, nhưng không thể loại bỏ hoàn toàn tình trạng gian lận hoặc trốn thuế. Tuy nhiên, với mức giảm trừ gia cảnh cao hơn, việc phát hiện sai phạm trở nên khó khăn hơn.</t>
  </si>
  <si>
    <t>Cơ quan thuế có nhiều nguồn lực và công nghệ để giám sát, nhưng vẫn cần sự phối hợp của người dân trong việc khai báo chính xác thu nhập. Việc đơn giản hóa biểu thuế giúp giảm nguy cơ gian lận.</t>
  </si>
  <si>
    <t>Thủ tục khai báo thuế và làm việc với cơ quan thuế đã trở nên dễ dàng hơn, đặc biệt là với mức giảm trừ gia cảnh cao. Người dân có thể nộp thuế trực tuyến nhanh chóng.</t>
  </si>
  <si>
    <t>Biểu thuế đơn giản hóa và rõ ràng hơn so với trước đây, giúp người dân dễ dàng tính toán và hiểu rõ mức thuế phải đóng.</t>
  </si>
  <si>
    <t>Tôi tin tưởng rằng Nhà nước sẽ thực thi chính sách một cách công bằng và khách quan. Mức giảm trừ gia cảnh cao đã làm giảm gánh nặng thuế cho tôi.</t>
  </si>
  <si>
    <t>Mức thuế mới là hợp lý với thu nhập của tôi, đặc biệt khi có nhiều người phụ thuộc cần chăm sóc.</t>
  </si>
  <si>
    <t>Thuế đóng góp vào việc cải thiện hạ tầng và dịch vụ công. Việc giảm trừ gia cảnh cao giúp số tiền thuế đóng ít hơn nhưng vẫn hữu ích cho xã hội.</t>
  </si>
  <si>
    <t>Nhà nước đã giải thích rõ ràng về mục tiêu của việc sửa đổi chính sách thuế, tạo sự tin tưởng và minh bạch trong quá trình thực thi.</t>
  </si>
  <si>
    <t>Dựa trên các quyền lợi và nghĩa vụ mới, tôi ủng hộ và tuân thủ chính sách mới. Mức giảm trừ gia cảnh cao đã giúp tiết kiệm tiền thuế đáng kể cho tôi.</t>
  </si>
  <si>
    <t>Dù các quy định quản lý thuế hiện nay đã được cải thiện, nhưng tôi vẫn lo ngại về việc phát hiện và xử lý gian lận hoặc trốn thuế.</t>
  </si>
  <si>
    <t>Nhà nước và cơ quan thuế có công nghệ tiên tiến để phát hiện trốn thuế, tuy nhiên thực tế không phải lúc nào cũng hiệu quả.</t>
  </si>
  <si>
    <t>So với trước đây, quy trình khai báo thuế đã đơn giản hơn nhưng vẫn cần thời gian làm quen.</t>
  </si>
  <si>
    <t>Biểu thuế mới rõ ràng hơn và dễ hiểu, giảm được độ phức tạp so với trước</t>
  </si>
  <si>
    <t>Tôi tin rằng Nhà nước sẽ thực thi chính sách công bằng nhưng vẫn có thể xảy ra sai sót.</t>
  </si>
  <si>
    <t>Mức thuế mới được giảm đi đáng kể, tôi thấy điều này là công bằng cho người thu nhập như tôi</t>
  </si>
  <si>
    <t>Thuế đóng góp vào sự phát triển cơ sở hạ tầng và dịch vụ công, nhưng hiệu quả sử dụng nguồn lực còn phụ thuộc vào quản lý Nhà nước.</t>
  </si>
  <si>
    <t>Tôi đồng ý với mục tiêu cải cách thuế nhưng việc giải thích đầy đủ vẫn cần được cải thiện</t>
  </si>
  <si>
    <t>Tác động tài chính tích cực và sự đơn giản hóa quy trình làm cho tôi ủng hộ chính sách mới.</t>
  </si>
  <si>
    <t>Đối với một công dân trung thành, tôi tin rằng các quy định quản lý thuế hiện tại đã được cải thiện đáng kể. Tuy nhiên, việc giám sát và phát hiện hành vi gian lận vẫn còn khó khăn trong thực tế.</t>
  </si>
  <si>
    <t>Nhà nước có nhiều nguồn lực để kiểm soát và xử lý các vấn đề thuế, nhưng hiệu quả của nó phụ thuộc vào sự tận tụy và năng lực của nhân viên thuế.</t>
  </si>
  <si>
    <t>Quy trình khai báo thuế đã đơn giản hơn so với trước đây. Tuy nhiên, đối với một người không chuyên về thuế, vẫn có thể gặp khó khăn trong việc nắm bắt quy định mới.</t>
  </si>
  <si>
    <t>Biểu thuế mới dễ hiểu và thực hiện thuận tiện hơn, đặc biệt là khi số bậc giảm từ 7 xuống còn 5. Điều này làm cho việc tính toán thuế trở nên dễ dàng hơn.</t>
  </si>
  <si>
    <t>Tôi tin rằng cơ quan thuế sẽ thực thi chính sách một cách công bằng, nhưng vẫn có thể gặp vấn đề về sự minh bạch trong quá trình thực hiện.</t>
  </si>
  <si>
    <t>Thuế mới được điều chỉnh phù hợp với mức thu nhập của tôi. Mức giảm trừ gia cảnh tăng lên đã làm cho việc đóng thuế trở nên công bằng hơn so với trước đây.</t>
  </si>
  <si>
    <t>Tôi tin rằng số tiền thuế mà tôi đóng sẽ được sử dụng hiệu quả để cải thiện dịch vụ công. Tuy nhiên, cần có thêm thông tin về cách sử dụng tiền thuế để tăng sự tin tưởng.</t>
  </si>
  <si>
    <t>Nhà nước đã cung cấp giải thích chi tiết về lý do và mục tiêu của việc sửa đổi luật thuế. Điều này giúp tôi hiểu rõ hơn về chính sách mới.</t>
  </si>
  <si>
    <t>Đối với một người có thu nhập ổn định như tôi, tôi ủng hộ chính sách mới vì nó đã cải thiện công bằng và đơn giản hóa quy trình thuế. Tuy nhiên, vẫn cần thêm thời gian để quen thuộc với các thay đổi.</t>
  </si>
  <si>
    <t>Nếu Nhà nước có công nghệ hiện đại, việc phát hiện hành vi gian lận hoặc trốn thuế sẽ dễ dàng hơn. Tuy nhiên, tôi vẫn lo ngại về khả năng thực thi.</t>
  </si>
  <si>
    <t>Nhà nước và cơ quan thuế có thể đã đầu tư vào công nghệ, nhưng không biết liệu họ có đủ nguồn lực để duy trì hiệu quả trong dài hạn hay không.</t>
  </si>
  <si>
    <t>So với trước đây, quy trình làm việc với cơ quan thuế và khai báo thuế đã trở nên đơn giản hơn. Việc tăng giảm trừ gia cảnh cũng thuận lợi hơn cho người dân.</t>
  </si>
  <si>
    <t>Biểu thuế mới có ít bậc hơn, dễ dàng tính toán và hiểu hơn so với trước đây. Điều này giúp tôi quản lý thu nhập một cách hiệu quả hơn.</t>
  </si>
  <si>
    <t>Tôi tin rằng Nhà nước sẽ thực thi chính sách công bằng cho tất cả mọi người nộp thuế, nhưng vẫn lo ngại về việc liệu các quy định mới có được triển khai đúng không?</t>
  </si>
  <si>
    <t>Với mức giảm trừ gia cảnh và thuế suất mới, tôi cảm thấy mức thuế mà tôi phải đóng là hợp lý. Điều này giúp cải thiện sự công bằng trong hệ thống thuế.</t>
  </si>
  <si>
    <t>Những khoản tiền thuế tôi đóng sẽ được sử dụng để cải thiện dịch vụ công, từ đó tăng chất lượng cuộc sống của người dân. Tôi tin rằng việc này có ích cho cộng đồng.</t>
  </si>
  <si>
    <t>Tôi đồng ý với mục tiêu của việc sửa đổi thuế lần này và cảm thấy Nhà nước đã giải thích rõ ràng về lý do thay đổi. Điều này làm tăng sự tin tưởng vào chính sách mới.</t>
  </si>
  <si>
    <t>Nhờ cải cách, tôi tiết kiệm được một số tiền đáng kể. Tôi sẽ tuân thủ và ủng hộ các quy định thuế mới vì lợi ích của bản thân và cộng đồng.</t>
  </si>
  <si>
    <t>Mặc dù thu nhập của tôi không vượt ngưỡng chịu thuế, nhưng với mức giảm trừ gia cảnh cao và số bậc thuế đơn giản hơn, việc phát hiện gian lận hay trốn thuế trở nên khó khăn. Tuy nhiên, tôi hy vọng cơ quan thuế có đủ khả năng kiểm soát.</t>
  </si>
  <si>
    <t>Trang thiết bị và công nghệ của cơ quan thuế chưa được cập nhật đầy đủ, do đó khả năng phát hiện trốn thuế vẫn còn hạn chế. Tuy nhiên, tôi tin rằng họ sẽ cố gắng cải thiện.</t>
  </si>
  <si>
    <t>Quy trình khai báo đã đơn giản hơn nhiều so với trước đây, thủ tục cũng thuận tiện hơn. Tôi cảm thấy hài lòng với sự thay đổi này.</t>
  </si>
  <si>
    <t>Bậc thuế mới rõ ràng và dễ hiểu hơn, giúp tôi tính toán chính xác thu nhập chịu thuế. Tuy nhiên, việc áp dụng các quy định còn cần thêm thời gian để quen thuộc.</t>
  </si>
  <si>
    <t>Tôi tin rằng cơ quan thuế sẽ thực thi chính sách một cách công bằng và khách quan. Sự thay đổi này giúp tôi thấy mình được đối xử công平</t>
  </si>
  <si>
    <t>Nhờ mức giảm trừ gia cảnh cao, tôi không phải đóng thuế nên cảm thấy phương án mới rất công bằng cho người có thu nhập thấp như tôi.</t>
  </si>
  <si>
    <t>Thuế được sử dụng để cải thiện dịch vụ công là điều hợp lý. Tôi hy vọng số tiền thuế mà tôi đóng sẽ được sử dụng hiệu quả.</t>
  </si>
  <si>
    <t>Đã có giải thích rõ ràng về mục tiêu và lý do của việc sửa đổi thuế, khiến tôi tin rằng quyết định này là cần thiết.</t>
  </si>
  <si>
    <t>Sau khi xem xét các quyền lợi và nghĩa vụ, tôi ủng hộ chính sách mới. Nó giúp giảm gánh nặng về mặt tài chính cho người dân như tôi.</t>
  </si>
  <si>
    <t>Thuế TNCN đã được đơn giản hóa, nhưng vẫn có nguy cơ gian lận nếu người nộp thuế không cung cấp đầy đủ thông tin.</t>
  </si>
  <si>
    <t>Cơ quan thuế có công nghệ hiện đại để theo dõi các giao dịch tài chính và phát hiện hành vi trốn thuế, nhưng vẫn cần sự phối hợp từ phía người nộp thuế.</t>
  </si>
  <si>
    <t>Thủ tục khai báo thuế trở nên đơn giản hơn với mức giảm trừ gia cảnh cao hơn, tuy nhiên việc phải tính toán lại các bậc thuế có thể gây khó khăn cho một số người.</t>
  </si>
  <si>
    <t>Cách tính thuế mới rõ ràng và dễ hiểu hơn so với trước đây, đặc biệt là khi mức giảm trừ gia cảnh tăng lên.</t>
  </si>
  <si>
    <t>Nhà nước đã cải thiện quy định để công bằng hơn đối với người nộp thuế có thu nhập như tôi.</t>
  </si>
  <si>
    <t>Mức thuế mới được đánh giá là hợp lý và công bằng, giảm gánh nặng cho người dân.</t>
  </si>
  <si>
    <t>Thuế đóng góp vào việc cải thiện các dịch vụ công, như y tế và giao thông, giúp đời sống của người dân tốt hơn.</t>
  </si>
  <si>
    <t>Nhà nước đã giải thích rõ ràng về mục tiêu sửa đổi thuế, tạo niềm tin cho người dân.</t>
  </si>
  <si>
    <t>Đây là một cải tiến đáng kể đối với hệ thống thuế hiện tại, tôi sẽ tuân thủ chính sách mới.</t>
  </si>
  <si>
    <t>Dựa trên các biện pháp quản lý thuế hiện nay, tôi tin rằng hành vi gian lận hoặc trốn thuế sẽ bị phát hiện và xử lý nghiêm. Tuy nhiên, để đảm bảo hiệu quả cao hơn thì cần có thêm công nghệ hỗ trợ.</t>
  </si>
  <si>
    <t>Nhà nước đã đầu tư vào công nghệ để tăng cường quản lý thuế, điều này cho thấy họ có đủ khả năng và công nghệ để phát hiện, xử lý các hành vi trốn thuế.</t>
  </si>
  <si>
    <t>So với trước đây, quy trình làm việc với cơ quan thuế đã đơn giản hơn. Tuy nhiên, tôi vẫn thấy có thể cải thiện thêm về mặt kỹ thuật và dịch vụ khách hàng.</t>
  </si>
  <si>
    <t>Cách tính thuế và các bậc thuế trong phương án mới đơn giản, dễ hiểu và dễ thực hiện hơn so với trước đây. Điều này làm cho việc khai báo thuế trở nên thuận tiện hơn.</t>
  </si>
  <si>
    <t>Tôi tin rằng Nhà nước sẽ thực thi chính sách một cách khách quan, công tâm và đối xử bình đẳng với mọi người nộp thuế. Các biện pháp mới giúp tôi cảm thấy công bằng hơn về mức thuế mình phải đóng.</t>
  </si>
  <si>
    <t>Mức thuế theo phương án mới là hợp lý cho thu nhập của tôi và số tiền giảm trừ gia cảnh cũng tăng lên, điều này làm cho mức thuế mà tôi phải đóng trở nên công bằng hơn.</t>
  </si>
  <si>
    <t>Tôi tin rằng số tiền thuế mà tôi đóng sẽ được sử dụng hiệu quả để cải thiện dịch vụ công. Điều này giúp tôi cảm thấy trung thực trong việc đóng góp cho xã hội của mình.</t>
  </si>
  <si>
    <t>Nhà nước đã giải thích rõ ràng về lý do và mục tiêu của việc sửa đổi thuế lần này, điều này làm tăng niềm tin của tôi vào sự minh bạch trong quản lý thuế.</t>
  </si>
  <si>
    <t>Tôi ủng hộ và sẽ tuân thủ chính sách mới. Các quyền lợi và nghĩa vụ rõ ràng giúp tôi cảm thấy dễ dàng hơn trong việc thực hiện đúng các quy định về thuế.</t>
  </si>
  <si>
    <t>Nhìn chung, tôi tin rằng các quy định quản lý thuế hiện tại có khả năng phát hiện hành vi gian lận và trốn thuế, nhưng không hoàn toàn chắc chắn.</t>
  </si>
  <si>
    <t>Tôi đồng ý với nhận định này vì cơ quan thuế đã đầu tư vào công nghệ để quản lý và giám sát hiệu quả hơn.</t>
  </si>
  <si>
    <t>So với trước đây, quy trình khai báo thuế trở nên đơn giản, nhưng vẫn cần thời gian để người dân tiếp thu.</t>
  </si>
  <si>
    <t>Biểu thuế mới rõ ràng hơn và dễ dàng áp dụng, do đó giảm độ phức tạp cho người nộp thuế.</t>
  </si>
  <si>
    <t>Tôi tin rằng cơ quan thuế sẽ thực hiện chính sách một cách công tâm, nhưng cần thêm thời gian để chứng minh.</t>
  </si>
  <si>
    <t>Dựa trên tác động tài chính tích cực, tôi cho rằng mức thuế mới là hợp lý và công bằng.</t>
  </si>
  <si>
    <t>Tôi tin rằng số tiền thuế đóng sẽ được sử dụng hiệu quả để cải thiện chất lượng dịch vụ công.</t>
  </si>
  <si>
    <t>Nhà nước đã giải thích rõ mục tiêu của việc sửa đổi thuế, nhưng cần tiếp tục làm rõ hơn về cách sử dụng nguồn thu thuế.</t>
  </si>
  <si>
    <t>Tôi ủng hộ chính sách mới vì tác động tài chính tích cực và sự đơn giản hóa quy trình thuế.</t>
  </si>
  <si>
    <t>Quy định quản lý thuế hiện nay có nhiều cải tiến, nhưng vẫn cần tăng cường công nghệ để phát hiện gian lận trốn thuế hiệu quả hơn.</t>
  </si>
  <si>
    <t>Cơ quan thuế đã đầu tư vào công nghệ, tuy nhiên việc phát hiện và xử lý vi phạm vẫn còn hạn chế do quy mô lớn của nền kinh tế.</t>
  </si>
  <si>
    <t>Thủ tục khai báo thuế đơn giản hơn với giảm trừ gia cảnh cao hơn, nhưng vẫn cần cải thiện về sự tiện lợi cho người nộp thuế.</t>
  </si>
  <si>
    <t>Cách tính thuế và các bậc thuế mới dễ hiểu hơn, việc này giúp người dân thuận tiện trong quá trình thực hiện.</t>
  </si>
  <si>
    <t>Tôi tin Nhà nước sẽ thực thi chính sách một cách công bằng cho mọi người nộp thuế, mặc dù vẫn có sự nghi ngờ về khả năng thực hiện.</t>
  </si>
  <si>
    <t>Lưu ý đến mức thuế mới, tôi thấy mình đóng thuế hợp lý so với thu nhập của mình và tình hình kinh tế chung.</t>
  </si>
  <si>
    <t>Tôi tin số tiền thuế đóng sẽ được sử dụng hiệu quả để cải thiện dịch vụ công, nhưng cần có minh bạch hơn về cách sử dụng.</t>
  </si>
  <si>
    <t>Nhà nước đã giải thích rõ mục tiêu của việc sửa đổi thuế, mặc dù còn nhiều thông tin cần được cung cấp chi tiết hơn.</t>
  </si>
  <si>
    <t>Tôi ủng hộ và tuân thủ chính sách mới vì nó mang lại lợi ích tài chính cho tôi và người dân chung, đồng thời đơn giản hóa quy trình.</t>
  </si>
  <si>
    <t>Với mức giảm trừ gia cảnh cao hơn và số bậc thuế ít đi, khả năng phát hiện hành vi gian lận hoặc trốn thuế trở nên khó khăn. Tuy nhiên, cơ quan thuế đã cải thiện công nghệ quản lý thuế trong thời gian qua.</t>
  </si>
  <si>
    <t>Nhà nước và các cơ quan thuế có khả năng và công nghệ để phát hiện hành vi trốn thuế. Tuy nhiên, cần thêm thời gian thực tế để kiểm chứng hiệu quả của việc này.</t>
  </si>
  <si>
    <t>So với trước đây, quy trình khai báo thuế trở nên đơn giản hơn và dễ hiểu hơn. Cơ quan thuế cũng đã cải thiện dịch vụ một cách đáng kể.</t>
  </si>
  <si>
    <t>Biểu thuế mới đơn giản hóa việc tính toán và giảm bớt rắc rối, dễ thực hiện hơn nhiều so với trước đây.</t>
  </si>
  <si>
    <t>Tôi tin rằng Nhà nước sẽ công bằng trong việc thực thi chính sách. Tuy nhiên, cần thêm thời gian để kiểm chứng.</t>
  </si>
  <si>
    <t>Mức thuế mới phù hợp với thu nhập của tôi và giúp tôi tiết kiệm được một khoản tiền đáng kể, tạo cảm giác công bằng.</t>
  </si>
  <si>
    <t>Tôi tin rằng số tiền thuế tôi đóng sẽ được sử dụng hiệu quả để cải thiện các dịch vụ công. Tuy nhiên, thông tin chi tiết về việc sử dụng nguồn thu thuế vẫn cần thêm minh bạch.</t>
  </si>
  <si>
    <t>Chính sách mới giúp tôi tiết kiệm được một khoản tiền đáng kể và thuận tiện hơn trong việc khai báo thuế. Tôi sẽ ủng hộ và tuân thủ chính sách này.</t>
  </si>
  <si>
    <t>Ngoài việc tăng giảm trừ gia cảnh, các thay đổi khác không rõ ràng về khả năng phát hiện hành vi gian lận hoặc trốn thuế.</t>
  </si>
  <si>
    <t>Cơ quan thuế có công nghệ và nguồn lực cần thiết để quản lý thuế, nhưng hiệu quả thực thi vẫn phụ thuộc vào quy định quản lý.</t>
  </si>
  <si>
    <t>Quy trình khai báo thuế đơn giản hơn với các bậc thuế ít đi, nhưng vẫn có thể phức tạp đối với người mới sử dụng.</t>
  </si>
  <si>
    <t>Cách tính thuế và các bậc thuế trong phương án mới đơn giản hơn so với trước đây, dễ hiểu và thực hiện.</t>
  </si>
  <si>
    <t>Việc tăng giảm trừ gia cảnh giúp công bằng hơn nhưng vẫn còn nghi ngờ về cách thực thi của cơ quan thuế.</t>
  </si>
  <si>
    <t>Thuế mới được coi là công bằng cho thu nhập như tôi, song chưa chắc chắn nếu so với thu nhập cao hơn hoặc thấp hơn.</t>
  </si>
  <si>
    <t>Công tác cải cách thuế nhằm nâng cao chất lượng cuộc sống nên tôi tin tưởng số tiền thuế sẽ được sử dụng hiệu quả.</t>
  </si>
  <si>
    <t>Nhà nước đã giải thích rõ ràng về mục tiêu và lý do của việc sửa đổi thuế, nhưng chi tiết thực thi còn hạn chế.</t>
  </si>
  <si>
    <t>Tôi ủng hộ chính sách mới vì giảm bớt gánh nặng thuế và tăng giảm trừ gia cảnh, đồng thời tuân thủ nghĩa vụ công dân.</t>
  </si>
  <si>
    <t>Dù có khả năng phát hiện gian lận và trốn thuế, nhưng với quy định quản lý thuế hiện tại, tôi vẫn thấy có nhiều trường hợp khó kiểm soát.</t>
  </si>
  <si>
    <t>Cơ quan thuế có công nghệ và nguồn lực để xử lý nghiêm các hành vi trốn thuế, nhưng thực tế việc này phụ thuộc vào sự quyết tâm của họ.</t>
  </si>
  <si>
    <t>So với trước đây, quy trình khai báo thuế trở nên đơn giản hơn, nhưng vẫn còn một số bước phức tạp cần cải thiện.</t>
  </si>
  <si>
    <t>Biểu thuế mới có ít bậc hơn và dễ hiểu hơn so với trước, giúp tôi tính toán nhanh chóng hơn.</t>
  </si>
  <si>
    <t>Tôi tin rằng Nhà nước sẽ thực thi chính sách một cách công bằng đối với mọi người nộp thuế, nhưng vẫn có sự nghi ngờ về việc thực hiện.</t>
  </si>
  <si>
    <t>Cân nhắc mức thu nhập của mình, tôi thấy thuế mới được tính là hợp lý và công bằng.</t>
  </si>
  <si>
    <t>Thuế tôi đóng sẽ được sử dụng hiệu quả để cải thiện dịch vụ công, nhưng cụ thể như thế nào thì cần có thêm thông tin rõ ràng.</t>
  </si>
  <si>
    <t>Nhà nước đã giải thích một cách minh bạch về mục tiêu của việc sửa đổi thuế, tuy nhiên vẫn cần thêm chi tiết hơn về quy trình thực thi.</t>
  </si>
  <si>
    <t>Tác động tài chính tích cực và sự đơn giản hóa quy trình khai báo thuế đã làm tăng niềm tin và ủng hộ tôi đối với chính sách mới.</t>
  </si>
  <si>
    <t>Hiện nay, hệ thống quản lý thuế đang ngày càng được cải thiện với nhiều công nghệ mới. Tuy nhiên, vẫn cần thời gian để phát huy hiệu quả.</t>
  </si>
  <si>
    <t>Nhà nước và cơ quan thuế đã đầu tư mạnh vào hệ thống công nghệ thông tin, nên khả năng phát hiện hành vi trốn thuế đang được cải thiện đáng kể.</t>
  </si>
  <si>
    <t>So với trước đây, quy trình khai báo thuế và giao tiếp với cơ quan thuế trở nên đơn giản hơn, thuận tiện cho người dân.</t>
  </si>
  <si>
    <t>Biểu thuế được đơn giản hóa từ 7 bậc xuống còn 5 bậc, giúp việc tính toán thuế dễ dàng và nhanh chóng hơn.</t>
  </si>
  <si>
    <t>Tôi tin rằng Nhà nước sẽ thực thi chính sách một cách công bằng với mọi người nộp thuế, đảm bảo quyền lợi của mỗi cá nhân.</t>
  </si>
  <si>
    <t>Mức thuế mới được điều chỉnh phù hợp với thu nhập hiện tại của tôi, giúp tôi cảm thấy mức đóng góp là công bằng.</t>
  </si>
  <si>
    <t>Thuế đóng góp vào việc cải thiện hạ tầng và dịch vụ công, tôi tin rằng số tiền đã đóng sẽ được sử dụng hiệu quả.</t>
  </si>
  <si>
    <t>Nhà nước đã có những giải thích rõ ràng về mục tiêu của chính sách mới này, làm tăng niềm tin vào sự minh bạch.</t>
  </si>
  <si>
    <t>Tôi ủng hộ và tuân thủ chính sách mới vì nó mang lại nhiều lợi ích cho tôi và cộng đồng. Việc giảm trừ gia cảnh cao hơn cũng giúp tôi tiết kiệm được tiền.</t>
  </si>
  <si>
    <t>Việc tăng giảm trừ gia cảnh và đơn giản hóa biểu thuế có thể làm giảm khả năng gian lận, nhưng vẫn cần sự giám sát chặt chẽ từ phía cơ quan thuế.</t>
  </si>
  <si>
    <t>Công nghệ hiện đại ngày càng phát triển giúp cơ quan thuế dễ dàng phát hiện và xử lý các hành vi trốn thuế.</t>
  </si>
  <si>
    <t>So với trước đây, quy trình làm việc với cơ quan thuế trở nên đơn giản hơn do giảm số bậc thuế và tăng mức giảm trừ gia cảnh.</t>
  </si>
  <si>
    <t>Tôi tin rằng cơ quan thuế sẽ công tâm trong việc áp dụng chính sách, nhưng vẫn cần thêm minh bạch về cách thực thi.</t>
  </si>
  <si>
    <t>Mức thuế mới phù hợp với thu nhập của tôi và giảm gánh nặng tài chính do thuế.</t>
  </si>
  <si>
    <t>Thuế đóng góp vào việc cải thiện dịch vụ công, nhưng cần thêm minh bạch về cách sử dụng nguồn thu thuế.</t>
  </si>
  <si>
    <t>Nhà nước đã giải thích rõ ràng về mục tiêu của chính sách mới, nhưng vẫn cần minh bạch hơn trong việc áp dụng.</t>
  </si>
  <si>
    <t>Sau khi xem xét tác động tài chính và sự đơn giản hóa, tôi ủng hộ và tuân thủ chính sách mới.</t>
  </si>
  <si>
    <t>Thuế mới đơn giản hơn nên việc gian lận trở nên khó khăn. Cơ quan thuế có công nghệ hiện đại để phát hiện.</t>
  </si>
  <si>
    <t>Nhà nước đã đầu tư vào công nghệ và nhân lực, đủ khả năng xử lý nghiêm các hành vi trốn thuế.</t>
  </si>
  <si>
    <t>Quy trình khai báo và làm việc với cơ quan thuế dễ dàng hơn. Thuế giảm giúp thủ tục đơn giản.</t>
  </si>
  <si>
    <t>Bậc thuế mới ít hơn, dễ hiểu và thực hiện thuận lợi hơn so với trước đây.</t>
  </si>
  <si>
    <t>Nhà nước đã cải cách công bằng, giảm thuế cho người thu nhập thấp như tôi.</t>
  </si>
  <si>
    <t>Thuế mới phù hợp với mức thu nhập của tôi, không quá cao hay quá thấp.</t>
  </si>
  <si>
    <t>Thuốc đóng góp vào dịch vụ công là điều công bằng. Thuê giảm giúp tôi cảm thấy hiệu quả hơn.</t>
  </si>
  <si>
    <t>Nhà nước đã giải thích rõ ràng về mục đích cải cách thuế. Thông tin minh bạch tăng niềm tin.</t>
  </si>
  <si>
    <t>Chính sách mới giúp tôi tiết kiệm tiền và thuận lợi hơn, do đó tôi ủng hộ.</t>
  </si>
  <si>
    <t>Tăng mức giảm trừ gia cảnh và đơn giản hóa biểu thuế có thể làm giảm khả năng phát hiện gian lận hoặc trốn thuế.</t>
  </si>
  <si>
    <t>Cơ quan thuế đã đầu tư vào công nghệ, tuy nhiên, việc tăng mức giảm trừ gia cảnh và đơn giản hóa biểu thuế có thể làm giảm hiệu quả trong phát hiện gian lận.</t>
  </si>
  <si>
    <t>Kể từ khi áp dụng các quy định mới, thủ tục khai báo thuế đã trở nên dễ dàng hơn, tuy nhiên, nó vẫn còn phức tạp đối với những người không am hiểu về thuế.</t>
  </si>
  <si>
    <t>Biểu thuế đơn giản hơn và mức giảm trừ gia cảnh cao hơn tạo ra cảm giác thuận tiện và dễ thực hiện hơn so với trước đây.</t>
  </si>
  <si>
    <t>Nhà nước đã cố gắng cải thiện tính công bằng trong việc áp dụng biểu thuế mới, mặc dù vẫn còn một số người không đồng ý.</t>
  </si>
  <si>
    <t>Dựa trên tác động tài chính, tôi thấy mức thuế mới là hợp lý so với thu nhập của mình và người có cùng trình độ học vấn.</t>
  </si>
  <si>
    <t>Việc tăng mức giảm trừ gia cảnh và đơn giản hóa biểu thuế tạo ra cảm giác rằng số tiền thuế đóng sẽ được sử dụng hiệu quả để cải thiện dịch vụ công.</t>
  </si>
  <si>
    <t>Nhà nước đã cung cấp thông tin chi tiết về lý do và mục tiêu của việc sửa đổi thuế, tạo ra cảm giác minh bạch.</t>
  </si>
  <si>
    <t>Trong tổng thể, tôi ủng hộ chính sách mới vì nó mang lại lợi ích tài chính và thuận tiện hơn so với trước đây.</t>
  </si>
  <si>
    <t>Hiện nay, các quy định quản lý thuế đã được cải thiện đáng kể với công nghệ giám sát hiện đại. Tuy nhiên, vẫn còn một số rủi ro về việc phát hiện trốn thuế.</t>
  </si>
  <si>
    <t>Cơ quan thuế có đủ khả năng và công nghệ để phát hiện các hành vi gian lận hoặc trốn thuế, do đó tôi tin tưởng vào sự giám sát chặt chẽ của nhà nước.</t>
  </si>
  <si>
    <t>Việc đơn giản hóa quy trình khai báo thuế và làm việc với cơ quan thuế đã cải thiện đáng kể so với trước đây, tạo điều kiện cho người dân dễ dàng hơn trong việc thực hiện nghĩa vụ thuế.</t>
  </si>
  <si>
    <t>Với số bậc thuế giảm đi, quá trình tính thuế trở nên đơn giản và dễ hiểu hơn nhiều. Điều này giúp tôi nhanh chóng nắm bắt được cách tính.</t>
  </si>
  <si>
    <t>Tôi tin rằng Nhà nước sẽ thực thi chính sách một cách công bằng và khách quan, đối xử bình đẳng với mọi người nộp thuế theo các quy định mới.</t>
  </si>
  <si>
    <t>Mức thuế tôi phải đóng theo phương án mới là hợp lý. Với thu nhập hiện tại, việc giảm trừ gia cảnh tăng lên đã giúp tôi tiết kiệm đáng kể.</t>
  </si>
  <si>
    <t>Tôi tin tưởng rằng số tiền thuế tôi đóng sẽ được sử dụng hiệu quả để cải thiện các dịch vụ công như y tế và đường xá, góp phần phát triển đất nước.</t>
  </si>
  <si>
    <t>Nhà nước đã giải thích rõ ràng về mục tiêu và lý do của việc sửa đổi thuế lần này. Điều này làm tăng niềm tin của tôi vào chính sách mới.</t>
  </si>
  <si>
    <t>Tôi ủng hộ và tuân thủ chính sách mới hiện nay, bởi vì nó đã cải thiện đáng kể các quy định quản lý thuế và tạo ra một hệ thống thuế đơn giản hơn.</t>
  </si>
  <si>
    <t>Dù có công nghệ hỗ trợ, nhưng hành vi gian lận vẫn khó phát hiện 100%, nên mức độ tin tưởng chỉ ở mức trung bình.</t>
  </si>
  <si>
    <t>Cơ quan thuế có khả năng và công nghệ để phát hiện gian lận, vì vậy tôi đồng ý với mức độ này.</t>
  </si>
  <si>
    <t>Quy trình khai thuế đơn giản hơn nhưng vẫn cần thời gian làm quen, nên đánh giá ở mức trung bình.</t>
  </si>
  <si>
    <t>Biểu thuế mới đơn giản hóa và dễ hiểu hơn so với trước đây, tăng điểm này.</t>
  </si>
  <si>
    <t>Đối xử công bằng giữa các đối tượng nộp thuế là quan trọng nhưng cần thời gian để chứng minh</t>
  </si>
  <si>
    <t>Mức giảm trừ gia cảnh tăng giúp tôi tiết kiệm, cảm thấy mức thuế mới hợp lý.</t>
  </si>
  <si>
    <t>Tiết kiệm được tiền thuế và giảm trừ gia cảnh, tin rằng số tiền đóng sẽ sử dụng hiệu quả</t>
  </si>
  <si>
    <t>Mục tiêu và lý do của chính sách mới được giải thích rõ ràng, tạo niềm tin đối với người dân</t>
  </si>
  <si>
    <t>Chính sách cải cách thuế tốt cho người dân như tôi nên ủng hộ</t>
  </si>
  <si>
    <t>Công nghệ hiện đại và các quy định quản lý thuế chặt chẽ có thể giúp phát hiện hành vi gian lận, nhưng tôi vẫn lo ngại về khả năng thực thi.</t>
  </si>
  <si>
    <t>Nhà nước đã đầu tư vào công nghệ và nhân lực để cải thiện khả năng quản lý thuế, tuy nhiên, việc xử lý nghiêm vẫn phụ thuộc nhiều vào sự giám sát của người dân.</t>
  </si>
  <si>
    <t>Việc đơn giản hóa quy trình khai báo thuế có thể làm cho nó dễ dàng hơn và nhanh chóng hơn, nhưng các bước cụ thể còn cần cải thiện để tối ưu hơn.</t>
  </si>
  <si>
    <t>Bậc thuế được đơn giản hóa đáng kể, giúp việc tính toán và tuân thủ luật thuế trở nên dễ dàng hơn so với trước đây.</t>
  </si>
  <si>
    <t>Tôi tin rằng Nhà nước sẽ thực thi chính sách một cách công bằng, nhưng cần có nhiều biện pháp giám sát hơn để đảm bảo không thiên vị.</t>
  </si>
  <si>
    <t>Mức thuế mới cho tôi là hợp lý so với thu nhập của mình và các mức thuế khác, thể hiện sự công bằng trong việc phân bổ gánh nặng thuế.</t>
  </si>
  <si>
    <t>Tăng giảm trừ gia cảnh giúp tiết kiệm số tiền cần nộp thuế, tôi tin rằng số tiền này sẽ được sử dụng hiệu quả cho các dịch vụ công lợi ích xã hội.</t>
  </si>
  <si>
    <t>Nhà nước đã giải thích rõ ràng về mục tiêu cải cách thuế và lý do thay đổi, nhưng cần có thêm thông tin chi tiết về cách sử dụng số tiền thuế thu được.</t>
  </si>
  <si>
    <t>Dù còn lo ngại một chút về khả năng thực thi, tôi ủng hộ chính sách mới vì nó đơn giản hơn và phù hợp với thu nhập của tôi.</t>
  </si>
  <si>
    <t>Thuế điện tử và công nghệ hiện đại giúp phát hiện trốn thuế dễ dàng hơn, nhưng vẫn cần sự giám sát của con người.</t>
  </si>
  <si>
    <t>Cơ quan thuế có nhiều nguồn lực và công nghệ để kiểm soát, nhưng vấn đề nhân lực đôi khi chưa đủ.</t>
  </si>
  <si>
    <t>Quy trình khai báo và làm việc với cơ quan thuế dễ dàng hơn so với trước đây.</t>
  </si>
  <si>
    <t>Bậc thuế đơn giản, rõ ràng hơn, dễ tính toán và thực hiện.</t>
  </si>
  <si>
    <t>Phương án mới công bằng với tôi vì mức giảm trừ gia cảnh cao hơn, thu nhập của tôi không bị áp lực quá lớn về thuế.</t>
  </si>
  <si>
    <t>Mức thuế mới là hợp lý cho thu nhập của tôi, do đó tôi thấy nó công bằng.</t>
  </si>
  <si>
    <t>Nhà nước đã giải thích rõ ràng về mục tiêu của việc sửa đổi thuế, tôi cảm thấy họ có trách nhiệm với chính sách mới.</t>
  </si>
  <si>
    <t>Tôi ủng hộ và tuân thủ chính sách mới vì nó đơn giản hơn và công bằng hơn cho thu nhập của tôi.</t>
  </si>
  <si>
    <t>Cơ quan thuế có nhiều biện pháp quản lý hiện đại, tuy nhiên vẫn còn khả năng gian lận nếu người nộp thuế thông thạo các lỗ hổng trong hệ thống.</t>
  </si>
  <si>
    <t>Nhà nước đã đầu tư vào công nghệ và nhân lực để phát hiện hành vi trốn thuế, do đó khả năng xử lý nghiêm là cao.</t>
  </si>
  <si>
    <t>Thủ tục khai báo thuế đơn giản hơn với mức giảm trừ gia cảnh cao, giúp quá trình làm việc với cơ quan thuế nhanh chóng và tiện lợi.</t>
  </si>
  <si>
    <t>Biểu thuế mới có ít bậc hơn nên dễ hiểu và thực hiện hơn so với trước đây, giảm bớt gánh nặng tính toán cho người nộp thuế.</t>
  </si>
  <si>
    <t>Tôi tin rằng cơ quan thuế sẽ công bằng trong việc thực thi chính sách mới. Các quy định đã được cải thiện về mặt khách quan và công tâm.</t>
  </si>
  <si>
    <t>Như một người có thu nhập trung bình, mức thuế mới là hợp lý và công bằng so với các bậc thuế trước đây.</t>
  </si>
  <si>
    <t>Thuế tôi đóng sẽ được sử dụng hiệu quả để cải thiện dịch vụ công, mang lại lợi ích cho cộng đồng và quốc gia.</t>
  </si>
  <si>
    <t>Nhà nước đã giải thích rõ ràng về mục tiêu của việc sửa đổi thuế, giúp người dân hiểu và ủng hộ chính sách mới hơn.</t>
  </si>
  <si>
    <t>Đối với tôi, sau khi tính toán tác động tài chính và sự đơn giản hóa quy trình, chính sách mới là phù hợp và tôi sẽ tuân thủ.</t>
  </si>
  <si>
    <t>Nếu việc quản lý thuế được thực hiện hiệu quả, tôi tin rằng hành vi gian lận sẽ bị phát hiện và xử lý nghiêm. Tuy nhiên, việc này phụ thuộc vào sự cam kết và năng lực của cơ quan thuế.</t>
  </si>
  <si>
    <t>Nhà nước đã đầu tư công nghệ để theo dõi tình hình tài chính cá nhân, do đó có khả năng phát hiện trốn thuế. Tuy nhiên, vẫn cần cải thiện trong việc ứng dụng công nghệ.</t>
  </si>
  <si>
    <t>Việc giảm số bậc thuế và đơn giản hóa quy trình khai báo giúp quá trình làm việc với cơ quan thuế dễ dàng hơn nhiều so với trước đây.</t>
  </si>
  <si>
    <t>Các bậc thuế mới rõ ràng và dễ hiểu, giảm độ phức tạp cho người dân trong việc tính toán thuế</t>
  </si>
  <si>
    <t>Tôi tin rằng Nhà nước sẽ thực thi chính sách một cách công bằng vì mức thuế đã được điều chỉnh phù hợp với thu nhập của tôi.</t>
  </si>
  <si>
    <t>Mức thuế mới là công bằng và hợp lý cho người có thu nhập như tôi, do đó tôi ủng hộ</t>
  </si>
  <si>
    <t>Tôi tin rằng số tiền thuế đóng sẽ được sử dụng hiệu quả để cải thiện dịch vụ công, đặc biệt là y tế và hạ tầng giao thông.</t>
  </si>
  <si>
    <t>Nhà nước đã giải thích rõ ràng về mục đích của việc sửa đổi thuế, tôi cảm thấy chính sách này được thực hiện với mục tiêu mang tính công bằng.</t>
  </si>
  <si>
    <t>Sau khi xem xét các ưu điểm như giảm mức thuế và đơn giản hóa quy trình khai báo, tôi ủng hộ và tuân thủ chính sách mới.</t>
  </si>
  <si>
    <t>Dù thuế có đơn giản hơn, nhưng tôi vẫn nghi ngờ khả năng phát hiện hành vi trốn thuế của cơ quan thuế do thiếu nhân lực và công nghệ. Tuy nhiên, với mức giảm trừ gia cảnh cao hơn, tôi tin rằng tình hình sẽ cải thiện.</t>
  </si>
  <si>
    <t>Tôi đồng ý, các cơ quan thuế có đủ khả năng phát hiện hành vi trốn thuế nhờ công nghệ hiện đại. Việc tăng giảm trừ gia cảnh cũng giúp phát hiện dễ dàng hơn.</t>
  </si>
  <si>
    <t>Các thủ tục giờ đơn giản hơn, nhưng vẫn cần thời gian để quen thuộc với quy trình mới. Tuy nhiên, so với trước đây, tôi thấy thuận tiện và nhanh chóng hơn.</t>
  </si>
  <si>
    <t>Biểu thuế có 5 bậc thay vì 7, dễ hiểu và thực hiện đơn giản hơn nhiều. Sự phức tạp của biểu thuế đã giảm đáng kể.</t>
  </si>
  <si>
    <t>Tôi tin rằng nhà nước sẽ thực thi chính sách công bằng và khách quan. Việc tăng giảm trừ gia cảnh giúp mọi người nộp thuế bị ảnh hưởng đồng đều.</t>
  </si>
  <si>
    <t>Thuế tôi phải đóng phù hợp với mức thu nhập của mình. Mức tăng giảm trừ gia cảnh và số bậc thuế giảm làm cho việc tính toán thuế trở nên dễ dàng hơn.</t>
  </si>
  <si>
    <t>Tăng giảm trừ gia cảnh và đơn giản hóa biểu thuế giúp tôi tin tưởng rằng thuế của mình sẽ được sử dụng hiệu quả để cải thiện các dịch vụ công</t>
  </si>
  <si>
    <t>Nhà nước đã giải thích rõ ràng về mục tiêu sửa đổi thuế, nhưng việc thay đổi chính sách này vẫn khiến tôi có chút nghi ngờ.</t>
  </si>
  <si>
    <t>Sau khi xem xét các quyền lợi và nghĩa vụ, tôi ủng hộ và sẽ tuân thủ chính sách mới. Thuế giảm giúp tôi tiết kiệm được nhiều tiền</t>
  </si>
  <si>
    <t>Hiện nay, công nghệ phát triển và cơ quan thuế có nhiều biện pháp để phát hiện gian lận hoặc trốn thuế. Tuy nhiên, vẫn cần cải thiện thêm.</t>
  </si>
  <si>
    <t>Cơ quan thuế đã đầu tư vào công nghệ và nhân sự để quản lý hiệu quả hơn, tuy nhiên, việc phát hiện và xử lý gian lận vẫn phụ thuộc nhiều vào nguồn lực và quyết tâm.</t>
  </si>
  <si>
    <t>Quy trình khai báo thuế đã đơn giản hóa đáng kể, thủ tục làm việc với cơ quan thuế cũng thuận tiện hơn nhiều so với trước đây</t>
  </si>
  <si>
    <t>Biểu thuế mới rõ ràng và dễ hiểu hơn, giảm số bậc từ 7 xuống còn 5 giúp tính toán nhanh chóng và chính xác hơn</t>
  </si>
  <si>
    <t>Tôi tin rằng cơ quan thuế sẽ thực thi chính sách công bằng và khách quan cho mọi người nộp thuế, bất kể thu nhập.</t>
  </si>
  <si>
    <t>Thuế mới giảm đáng kể so với trước đây, do đó tôi thấy mức thuế hiện nay là hợp lý đối với thu nhập của mình</t>
  </si>
  <si>
    <t>Nhà nước đã đầu tư nhiều vào các dịch vụ công, số tiền thuế đóng góp sẽ được sử dụng hiệu quả để cải thiện đời sống người dân.</t>
  </si>
  <si>
    <t>Chính phủ đã giải thích rõ ràng về việc sửa đổi luật thuế và mục đích của nó. Tuy nhiên, tôi mong muốn có thêm thông tin chi tiết hơn.</t>
  </si>
  <si>
    <t>Tôi ủng hộ chính sách mới vì lợi ích tài chính cho bản thân và khả năng đơn giản hóa quy trình khai báo thuế</t>
  </si>
  <si>
    <t>Điều kiện thực thi hiện nay chưa rõ ràng, nhưng với mức giảm trừ gia cảnh tăng lên và quy định đơn giản hơn, khả năng phát hiện trốn thuế có thể cải thiện.</t>
  </si>
  <si>
    <t>Cơ quan thuế đã đầu tư công nghệ để theo dõi, quản lý thuế, nhưng vẫn cần thời gian để hoàn thiện và hiệu quả hơn.</t>
  </si>
  <si>
    <t>Quy trình khai báo thuế trở nên đơn giản hơn, giảm bớt rườm rà của quy định cũ, thuận tiện cho người dân.</t>
  </si>
  <si>
    <t>Bậc thuế ít đi và rõ ràng hơn, dễ dàng tính toán và thực hiện hơn so với trước đây.</t>
  </si>
  <si>
    <t>Tuy mức thuế giảm nhưng không đồng nghĩa Nhà nước sẽ công tâm trong việc quản lý. Tuy nhiên, sự đơn giản hóa quy định tạo niềm tin.</t>
  </si>
  <si>
    <t>Mức thuế mới phù hợp với thu nhập của tôi và có thể tăng lên nếu thu nhập cao hơn, nên thấy công bằng</t>
  </si>
  <si>
    <t>Thuốc đóng góp vào sự phát triển chung sẽ được sử dụng hiệu quả để cải thiện dịch vụ công, tạo niềm tin vào việc sử dụng tiền thuế.</t>
  </si>
  <si>
    <t>Nhà nước đã giải thích rõ ràng về mục tiêu và thay đổi chính sách, nhưng vẫn cần thêm thông tin chi tiết hơn</t>
  </si>
  <si>
    <t>Chính sách mới giảm áp lực tài chính cho tôi, tăng khả năng tuân thủ. Tôi sẽ ủng hộ và tuân thủ.</t>
  </si>
  <si>
    <t>Do có sự giám sát và công nghệ hiện đại, tôi tin rằng hành vi gian lận hoặc trốn thuế sẽ khó xảy ra. Tuy nhiên, việc phát hiện và xử lý nhanh chóng vẫn phụ thuộc vào hiệu quả thực tế của cơ quan thuế.</t>
  </si>
  <si>
    <t>Nhà nước đã đầu tư công nghệ và nhân lực để cải thiện khả năng quản lý thuế. Tuy nhiên, việc này vẫn cần thời gian để hoàn thiện và thực hiện hiệu quả.</t>
  </si>
  <si>
    <t>Quy trình khai báo thuế trở nên đơn giản hơn với mức giảm trừ gia cảnh mới. Việc sử dụng công nghệ cũng giúp quá trình làm việc nhanh chóng hơn.</t>
  </si>
  <si>
    <t>So với trước đây, phương án mới đơn giản hóa quy trình tính thuế và các bậc thuế, dễ hiểu và thực hiện hơn nhiều. Điều này tăng độ thuận tiện cho người nộp thuế.</t>
  </si>
  <si>
    <t>Tôi tin rằng cơ quan thuế sẽ công bằng trong việc áp dụng chính sách mới. Tuy nhiên, yếu tố chủ quan của tôi cũng ảnh hưởng đến mức độ tin tưởng này.</t>
  </si>
  <si>
    <t>Mức thuế giảm đáng kể so với trước đây đã tạo cảm giác công bằng cho tôi. Điều này đồng thời tăng sự ủng hộ chính sách mới.</t>
  </si>
  <si>
    <t>Tôi tin rằng số tiền thuế đóng sẽ được sử dụng hiệu quả để cải thiện các dịch vụ công, nhưng vẫn cần có thông tin cụ thể hơn về cách sử dụng nguồn thu thuế.</t>
  </si>
  <si>
    <t>Nhà nước đã giải thích rõ ràng mục tiêu của việc sửa đổi thuế. Tuy nhiên, tôi mong muốn có thêm thông tin chi tiết về quy trình thực hiện và hiệu quả đạt được từ chính sách mới.</t>
  </si>
  <si>
    <t>Sau khi xem xét các quyền lợi và nghĩa vụ, tôi ủng hộ và tuân thủ chính sách mới. Mức thuế giảm đáng kể đã tạo cảm giác công bằng cho tôi.</t>
  </si>
  <si>
    <t>Hiện tại, cơ quan thuế có nhiều công cụ phát hiện trốn thuế và gian lận như hệ thống điện tử, giám sát số liệu khai báo. Tuy nhiên, mức độ hiệu quả phụ thuộc vào việc quản lý và thực thi.</t>
  </si>
  <si>
    <t>Cơ quan thuế đã cải thiện khả năng phát hiện gian lận thông qua công nghệ, nhưng vẫn cần thời gian để hoàn thiện hệ thống.</t>
  </si>
  <si>
    <t>Quy trình khai báo và làm việc với cơ quan thuế đơn giản hơn so với trước đây, đặc biệt là sau khi áp dụng quy định mới về giảm trừ gia cảnh.</t>
  </si>
  <si>
    <t>Biểu thuế đơn giản hơn, giúp người dân dễ dàng tính toán và nộp thuế đúng hạn. Mức độ thuận tiện tăng do số bậc thuế giảm</t>
  </si>
  <si>
    <t>Tôi tin rằng cơ quan thuế sẽ thực thi chính sách một cách công bằng, nhưng mức độ phụ thuộc vào việc quản lý và giám sát.</t>
  </si>
  <si>
    <t>Mức giảm trừ gia cảnh cao hơn và số bậc thuế ít hơn làm cho phương án mới trở nên hợp lý hơn</t>
  </si>
  <si>
    <t>Số tiền thuế tôi đóng sẽ được sử dụng để cải thiện dịch vụ công, từ đó tạo ra lợi ích xã hội</t>
  </si>
  <si>
    <t>Chính phủ đã giải thích khá rõ về mục tiêu của chính sách mới, nhưng vẫn cần nhiều thông tin hơn về cách thực thi cụ thể.</t>
  </si>
  <si>
    <t>Sau khi xem xét tất cả các yếu tố, tôi ủng hộ và tuân thủ chính sách mới. Mức độ thuận tiện và giảm trừ gia cảnh làm cho việc nộp thuế trở nên dễ dàng hơn</t>
  </si>
  <si>
    <t>Dù có công nghệ hỗ trợ, nhưng tôi vẫn nghi ngờ khả năng phát hiện trốn thuế hiệu quả do quy định quản lý còn nhiều khuyết điểm.</t>
  </si>
  <si>
    <t>Ngoài việc cần cải thiện về mặt kỹ thuật, Nhà nước cũng cần tăng cường hơn nữa trong việc xử lý các hành vi gian lận hoặc trốn thuế để nâng cao tính răn đe.</t>
  </si>
  <si>
    <t>Quy trình làm việc với cơ quan thuế đã đơn giản và nhanh chóng hơn, thủ tục khai báo cũng thuận tiện hơn so với trước đây nhiều.</t>
  </si>
  <si>
    <t>Số bậc thuế giảm đi, cách tính thuế trở nên dễ hiểu hơn, điều này giúp tôi dễ dàng áp dụng trong thực tế.</t>
  </si>
  <si>
    <t>Tôi tin rằng Nhà nước sẽ thực thi chính sách một cách công bằng và khách quan vì mức thuế mới phù hợp với thu nhập của tôi, không quá nặng nề.</t>
  </si>
  <si>
    <t>Thuế tôi phải đóng theo phương án mới là hợp lý, đặc biệt khi được giảm trừ gia cảnh nhiều hơn trước đây.</t>
  </si>
  <si>
    <t>Tôi tin rằng số tiền thuế đóng sẽ được sử dụng hiệu quả để cải thiện dịch vụ công, vì vậy tôi cảm thấy mình đang đóng góp một cách công bằng.</t>
  </si>
  <si>
    <t>Nhà nước đã giải thích rõ ràng về mục tiêu và lý do của việc sửa đổi thuế lần này, điều đó làm tăng niềm tin vào quyết định của họ.</t>
  </si>
  <si>
    <t>Tôi ủng hộ chính sách mới vì nó mang lại lợi ích tài chính và thuận tiện hơn cho tôi, đồng thời cũng công bằng với thu nhập hiện tại.</t>
  </si>
  <si>
    <t>Dù quy định quản lý thuế hiện tại có thể không hoàn hảo, nhưng với việc tăng cường công nghệ và khả năng phát hiện của cơ quan thuế, tôi tin rằng hành vi gian lận hoặc trốn thuế sẽ bị xử lý nghiêm.</t>
  </si>
  <si>
    <t>Nhà nước đã đầu tư vào công nghệ và nhân lực để nâng cao khả năng quản lý thuế. Điều này cho thấy họ có đủ khả năng phát hiện và xử lý các hành vi trốn thuế một cách hiệu quả.</t>
  </si>
  <si>
    <t>So với trước đây, quy trình khai báo thuế trở nên đơn giản hơn. Việc giảm số bậc thuế giúp việc tính toán thuế trở nên dễ dàng hơn, do đó thuận tiện cho người dân.</t>
  </si>
  <si>
    <t>Bậc thuế mới đơn giản hóa quá trình tính thuế, giúp tôi hiểu rõ và thực hiện nhanh chóng hơn. Điều này tạo ra cảm giác thuận lợi trong việc tuân thủ chính sách mới.</t>
  </si>
  <si>
    <t>Tôi tin rằng cơ quan thuế sẽ thực thi chính sách một cách công bằng và khách quan, vì mức thuế tôi phải đóng đã giảm đáng kể so với trước đây, tạo ra cảm giác trung bình về sự công bằng.</t>
  </si>
  <si>
    <t>Mức thuế mới thấp hơn nhiều so với trước đây. Điều này cho thấy mức thuế được tính là hợp lý cho thu nhập của tôi, tạo ra cảm giác công bằng.</t>
  </si>
  <si>
    <t>Nhà nước đã sử dụng số tiền thuế mà người dân đóng để cải thiện dịch vụ công, như y tế và giao thông. Điều này làm tăng niềm tin vào việc sử dụng hiệu quả nguồn lực của Nhà nước.</t>
  </si>
  <si>
    <t>Chính phủ đã giải thích rõ ràng về lý do và mục tiêu của việc sửa đổi thuế, tạo ra cảm giác rằng quyết định này là minh bạch.</t>
  </si>
  <si>
    <t>Sau khi xem xét các quyền lợi và nghĩa vụ, tôi ủng hộ chính sách mới. Thuế giảm đáng kể giúp cải thiện tình hình tài chính cá nhân của tôi.</t>
  </si>
  <si>
    <t>Mặc dù tôi tin rằng các quy định quản lý thuế hiện nay đã được cải thiện, nhưng do thiếu thông tin cụ thể về khả năng phát hiện và xử lý hành vi gian lận hoặc trốn thuế, nên điểm số không cao.</t>
  </si>
  <si>
    <t>Tôi tin rằng cơ quan thuế có đủ khả năng để quản lý các quy định mới, nhưng vẫn cần thêm thời gian để thấy hiệu quả thực tế.</t>
  </si>
  <si>
    <t>Quy trình khai báo thuế và làm việc với cơ quan thuế đã đơn giản hơn nhiều so với trước đây, do đó tôi đánh giá cao.</t>
  </si>
  <si>
    <t>Biểu thuế mới có ít bậc hơn và dễ hiểu hơn, giúp tôi tính toán nhanh chóng hơn, nhưng vẫn cần thời gian để quen thuộc với các quy định mới.</t>
  </si>
  <si>
    <t>Tôi tin rằng cơ quan thuế sẽ thực thi chính sách một cách công bằng và khách quan, vì tôi thấy lợi ích từ việc giảm trừ gia cảnh và bậc thuế.</t>
  </si>
  <si>
    <t>Mức thuế mới mà tôi phải đóng là hợp lý, do mức thu nhập của tôi không thuộc nhóm chịu thuế suất cao nhất.</t>
  </si>
  <si>
    <t>Tôi tin rằng số tiền thuế tôi đóng sẽ được sử dụng hiệu quả để cải thiện các dịch vụ công, vì chính phủ đã đưa ra giải thích rõ ràng về mục tiêu của việc sửa đổi chính sách thuế.</t>
  </si>
  <si>
    <t>Nhà nước đã giải thích khá rõ ràng về lý do và mục tiêu của việc sửa đổi thuế này, nhưng vẫn cần thêm thông tin chi tiết hơn để tôi hoàn toàn hiểu.</t>
  </si>
  <si>
    <t>Tôi ủng hộ chính sách mới vì nó mang lại lợi ích tài chính cho tôi và làm giảm gánh nặng về mặt quản lý thuế.</t>
  </si>
  <si>
    <t>Dù có công nghệ hỗ trợ, tôi vẫn lo ngại về khả năng phát hiện gian lận thuế hiệu quả.</t>
  </si>
  <si>
    <t>Cơ quan thuế tăng cường kiểm tra và xử lý nghiêm sẽ tạo áp lực giảm gian lận.</t>
  </si>
  <si>
    <t>Quy trình khai báo thuế đơn giản hơn, dễ thực hiện</t>
  </si>
  <si>
    <t>Bậc thuế giảm từ 7 xuống 5 tạo sự rõ ràng và dễ hiểu hơn</t>
  </si>
  <si>
    <t>Tôi tin rằng cơ quan thuế sẽ thực thi công bằng nhưng lo ngại về khả năng kiểm soát gian lận.</t>
  </si>
  <si>
    <t>Thuế giảm đáng kể và mức giảm trừ gia cảnh tăng, tôi thấy là hợp lý</t>
  </si>
  <si>
    <t>Giảm thuế giúp cải thiện dịch vụ công, nhưng hiệu quả thực tế còn phụ thuộc vào quản trị</t>
  </si>
  <si>
    <t>Nhà nước đã giải thích rõ về lý do và mục tiêu của việc sửa đổi thuế</t>
  </si>
  <si>
    <t>Sau khi xem xét, tôi ủng hộ chính sách mới vì giảm tax burden và cải thiện công bằng</t>
  </si>
  <si>
    <t>Dù quy định quản lý thuế hiện nay đã được cải thiện nhưng tôi vẫn nghi ngờ về khả năng phát hiện và xử lý nghiêm các hành vi trốn thuế.</t>
  </si>
  <si>
    <t>Tôi tin rằng cơ quan thuế có công nghệ để kiểm soát, tuy nhiên hiệu quả thực tế còn phụ thuộc vào nguồn lực và quyết tâm của họ.</t>
  </si>
  <si>
    <t>So với trước đây, quy trình làm việc với cơ quan thuế đơn giản hơn nhưng vẫn chưa hoàn toàn tiện lợi do cần nhiều bước để khai báo.</t>
  </si>
  <si>
    <t>Biểu thuế mới đơn giản và dễ hiểu hơn so với trước đây, giảm tải cho người nộp thuế trong quá trình tính toán.</t>
  </si>
  <si>
    <t>Tôi tin rằng cơ quan thuế sẽ thực thi chính sách một cách công bằng nhưng vẫn có sự nghi ngờ về việc thực hiện.</t>
  </si>
  <si>
    <t>Thuế mới giảm đáng kể so với trước đây, tôi thấy mức này là hợp lý cho thu nhập của mình và người phụ thuộc.</t>
  </si>
  <si>
    <t>Tôi tin rằng số tiền thuế đóng sẽ được sử dụng hiệu quả để cải thiện dịch vụ công, mặc dù không biết chi tiết cụ thể.</t>
  </si>
  <si>
    <t>Nhà nước đã giải thích rõ ràng về mục tiêu của việc sửa đổi thuế nhưng vẫn có sự nghi ngờ về thực hiện.</t>
  </si>
  <si>
    <t>Dù còn nhiều nghi ngờ nhưng chính sách mới mang lại lợi ích đáng kể cho tôi, do đó tôi ủng hộ và sẽ tuân thủ.</t>
  </si>
  <si>
    <t>Thuế thu nhập cá nhân đã được đơn giản hóa, nhưng vẫn cần các biện pháp quản lý hiệu quả để phát hiện hành vi gian lận hoặc trốn thuế.</t>
  </si>
  <si>
    <t>Nhà nước và cơ quan thuế có khả năng công nghệ tốt để theo dõi và xử lý nghiêm các hành vi trốn thuế, tuy nhiên vẫn cần cải thiện hơn nữa.</t>
  </si>
  <si>
    <t>Thủ tục khai báo thuế trở nên đơn giản hơn, nhưng vẫn cần thời gian để người dân quen thuộc với quy trình mới.</t>
  </si>
  <si>
    <t>Cách tính và bậc thuế trong phương án mới dễ hiểu và thực hiện thuận tiện hơn so với trước đây, giảm bớt sự phức tạp cho người nộp thuế.</t>
  </si>
  <si>
    <t>Nhà nước đã cải cách chính sách một cách công bằng, nhưng cần thêm thời gian để người dân tin tưởng vào việc thực thi chính sách mới.</t>
  </si>
  <si>
    <t>Mức thuế theo phương án mới là hợp lý và phù hợp với thu nhập của tôi, tạo cảm giác công bằng trong việc đóng góp cho xã hội.</t>
  </si>
  <si>
    <t>Tôi tin rằng số tiền thuế sẽ được sử dụng hiệu quả để cải thiện dịch vụ công, nhưng cần thêm minh bạch từ phía Nhà nước về cách sử dụng nguồn thu này.</t>
  </si>
  <si>
    <t>Nhà nước đã giải thích rõ ràng mục tiêu của việc sửa đổi thuế lần này, tạo niềm tin cho người dân trong việc thực thi chính sách mới.</t>
  </si>
  <si>
    <t>Tôi ủng hộ và tuân thủ chính sách mới vì nó mang lại lợi ích về mặt tài chính và giảm bớt sự phức tạp cho quá trình khai báo thuế.</t>
  </si>
  <si>
    <t>Ngành thuế hiện đại và công nghệ phát triển nên khả năng giám sát gian lận tăng, nhưng vẫn cần sự tuân thủ của người nộp thuế.</t>
  </si>
  <si>
    <t>Cơ quan thuế có nhiều nguồn lực hơn để quản lý thông qua hệ thống điện tử và công nghệ hiện đại.</t>
  </si>
  <si>
    <t>Biểu thuế mới rõ ràng, dễ hiểu hơn so với trước đây, giảm bớt sự phức tạp.</t>
  </si>
  <si>
    <t>Mức thuế mới giảm đi, tôi cảm thấy hợp lý và công bằng</t>
  </si>
  <si>
    <t>Thuế đóng góp vào sự phát triển hạ tầng công cộng, cải thiện chất lượng cuộc sống.</t>
  </si>
  <si>
    <t>Chính phủ đã giải thích rõ ràng mục tiêu của việc sửa đổi thuế</t>
  </si>
  <si>
    <t>Đánh giá tổng thể, tôi ủng hộ và tuân thủ chính sách mới vì lợi ích cá nhân và cộng đồng.</t>
  </si>
  <si>
    <t>Việc tăng giảm trừ gia cảnh và đơn giản hóa biểu thuế có thể làm giảm cơ hội cho hành vi gian lận, tuy nhiên, việc phát hiện và xử lý trốn thuế vẫn cần công nghệ và hệ thống quản lý tốt.</t>
  </si>
  <si>
    <t>Cơ quan thuế đã đầu tư vào công nghệ để cải thiện khả năng kiểm soát thuế, nhưng hiệu quả thực tế phụ thuộc nhiều vào sự triển khai của các công cụ mới này.</t>
  </si>
  <si>
    <t>Thủ tục khai báo thuế và quy trình làm việc với cơ quan thuế đã đơn giản hóa đáng kể, thuận tiện hơn cho người dân nộp thuế.</t>
  </si>
  <si>
    <t>Biểu thuế mới có ít bậc hơn và rõ ràng hơn so với trước đây, dễ dàng thực hiện hơn trong quá trình tính toán.</t>
  </si>
  <si>
    <t>Việc tăng giảm trừ gia cảnh và đơn giản hóa biểu thuế tạo ra một hệ thống công bằng hơn, mọi người đều có cơ hội được hưởng lợi từ chính sách mới.</t>
  </si>
  <si>
    <t>Thuế mới theo phương án hiện tại là hợp lý với thu nhập của tôi và các bậc thuế đã giảm, mang lại cảm giác công bằng.</t>
  </si>
  <si>
    <t>Tăng giảm trừ gia cảnh và đơn giản hóa biểu thuế giúp số tiền thuế đóng vào ngân sách nhà nước được sử dụng hiệu quả hơn cho việc đầu tư phát triển hạ tầng, y tế,...</t>
  </si>
  <si>
    <t>Chính sách mới này phù hợp với tình hình kinh tế cá nhân của tôi và mang lại lợi ích đáng kể, do đó tôi sẽ ủng hộ và tuân thủ.</t>
  </si>
  <si>
    <t>Dù không có thông tin cụ thể về khả năng phát hiện hành vi gian lận hoặc trốn thuế, nhưng với mức giảm trừ gia cảnh cao hơn và số bậc thuế ít hơn, khả năng phát hiện có thể tăng lên. Tuy nhiên, vẫn cần sự cải thiện trong thực thi.</t>
  </si>
  <si>
    <t>Cơ quan thuế đã nâng cấp công nghệ và nguồn lực để theo dõi thu nhập và giảm trừ gia cảnh chính xác hơn, điều này cho thấy khả năng phát hiện gian lận hoặc trốn thuế sẽ tốt hơn.</t>
  </si>
  <si>
    <t>Thủ tục khai báo thuế đơn giản hóa, không cần nhiều giấy tờ như trước đây và quy trình làm việc với cơ quan thuế cũng nhanh chóng hơn, tạo thuận lợi cho người dân.</t>
  </si>
  <si>
    <t>Bậc thuế ít đi và dễ hiểu hơn so với trước đây. Cách tính thuế trở nên đơn giản và dễ thực hiện hơn, không còn cảm giác bị bối rối khi đối mặt với nhiều bậc thuế phức tạp.</t>
  </si>
  <si>
    <t>Tôi tin rằng Nhà nước sẽ thực thi chính sách một cách công bằng, nhưng vẫn cần thêm thông tin về cách thực hiện để tăng niềm tin.</t>
  </si>
  <si>
    <t>Mức thuế tôi phải đóng thấp hơn so với trước đây, do đó tôi thấy là công bằng. Tuy nhiên, mức thuế mới có thể thay đổi tùy theo thu nhập cụ thể nên cần thêm thông tin để đánh giá rõ ràng.</t>
  </si>
  <si>
    <t>Thuế đóng góp vào việc cải thiện hạ tầng và dịch vụ công. Tuy nhiên, tôi muốn biết rõ hơn về cách sử dụng số tiền thuế đó để tăng niềm tin.</t>
  </si>
  <si>
    <t>Nhà nước đã giải thích ngắn gọn về mục đích của việc sửa đổi thuế, nhưng cần thêm thông tin chi tiết và minh bạch hơn về các quy định mới.</t>
  </si>
  <si>
    <t>Sau khi xem xét tất cả các yếu tố, tôi đồng ý ủng hộ chính sách mới và sẽ tuân thủ. Mức thuế giảm và thủ tục đơn giản hóa tạo cảm giác thuận lợi hơn cho người dân.</t>
  </si>
  <si>
    <t>Việc tăng giảm trừ gia cảnh và đơn giản hóa biểu thuế có thể làm giảm động cơ gian lận, nhưng vẫn cần hệ thống giám sát chặt chẽ.</t>
  </si>
  <si>
    <t>Nhà nước đã đầu tư vào công nghệ để phát hiện trốn thuế, tuy nhiên hiệu quả thực tế còn phụ thuộc vào nguồn lực và quản lý.</t>
  </si>
  <si>
    <t>Thủ tục đơn giản hơn giúp quá trình khai báo thuận lợi hơn, nhưng vẫn cần thời gian để người dân quen với các thay đổi mới.</t>
  </si>
  <si>
    <t>Biểu thuế đơn giản hóa và giảm trừ gia cảnh rõ ràng làm việc tính toán thuế dễ dàng hơn so với trước đây.</t>
  </si>
  <si>
    <t>Nguyên tắc công bằng được thể hiện qua mức giảm trừ gia cảnh và bậc thuế mới, nhưng niềm tin cần thời gian để hình thành.</t>
  </si>
  <si>
    <t>Thuế ít hơn giúp tôi thấy mức đóng thuế hợp lý hơn so với trước đây.</t>
  </si>
  <si>
    <t>Nhà nước đã giải ngân hiệu quả các khoản thu, nhưng cần thêm thời gian để đánh giá rõ ràng tác động của chính sách mới.</t>
  </si>
  <si>
    <t>Giải thích về mục đích và nguyên nhân sửa đổi thuế được cung cấp đầy đủ, tạo sự minh bạch cho người dân.</t>
  </si>
  <si>
    <t>Tôi ủng hộ chính sách mới với mức thuế thấp hơn và giảm trừ gia cảnh rõ ràng.</t>
  </si>
  <si>
    <t>Thuế thu nhập cá nhân được quản lý chặt chẽ và có nhiều biện pháp phát hiện gian lận, trốn thuế.</t>
  </si>
  <si>
    <t>Cơ quan thuế đã đầu tư vào công nghệ để hỗ trợ trong quá trình quản lý thuế, từ đó tăng khả năng phát hiện các hành vi không hợp pháp.</t>
  </si>
  <si>
    <t>Thủ tục khai báo thuế và quy trình làm việc với cơ quan thuế đã trở nên đơn giản hơn, tiết kiệm thời gian cho người dân.</t>
  </si>
  <si>
    <t>Các bậc thuế mới rõ ràng hơn, dễ hiểu và thực hiện thuận lợi hơn so với trước đây.</t>
  </si>
  <si>
    <t>Tôi tin rằng cơ quan thuế sẽ thực thi chính sách một cách công bằng và khách quan đối với mọi người nộp thuế.</t>
  </si>
  <si>
    <t>Theo phương án mới, mức thuế tôi đóng là hợp lý và công bằng, phù hợp với thu nhập của mình.</t>
  </si>
  <si>
    <t>Tôi tin rằng số tiền thuế mà tôi đóng sẽ được sử dụng hiệu quả để cải thiện dịch vụ công.</t>
  </si>
  <si>
    <t>Nhà nước đã giải thích rõ ràng về mục tiêu và lý do của việc sửa đổi chính sách thuế lần này.</t>
  </si>
  <si>
    <t>Tôi ủng hộ và tuân thủ chính sách mới, vì nó mang lại lợi ích về mặt tài chính và đơn giản hóa quy trình thuế.</t>
  </si>
  <si>
    <t>Việc tăng mức giảm trừ gia cảnh và đơn giản hóa biểu thuế tạo cảm giác công bằng hơn, tuy nhiên vẫn cần sự giám sát chặt chẽ từ cơ quan chức năng để tránh gian lận.</t>
  </si>
  <si>
    <t>Cơ quan thuế có nhiều công cụ và công nghệ hiện đại để phát hiện trốn thuế, do đó việc thực thi sẽ hiệu quả hơn.</t>
  </si>
  <si>
    <t>Quy trình khai báo thuế đơn giản hơn trước, đặc biệt là với mức giảm trừ gia cảnh tăng lên.</t>
  </si>
  <si>
    <t>Biểu thuế mới có ít bậc hơn và dễ hiểu hơn, giúp người dân dễ dàng tính toán và thực hiện.</t>
  </si>
  <si>
    <t>Việc công khai mức thu nhập chịu thuế và các quy định tạo cảm giác khách quan trong việc áp dụng chính sách.</t>
  </si>
  <si>
    <t>Với mức thu nhập hiện tại, tôi thấy rằng số tiền thuế phải đóng là hợp lý so với quyền lợi do Nhà nước mang lại cho người dân.</t>
  </si>
  <si>
    <t>Việc sử dụng nguồn thu từ thuế vào việc cải thiện dịch vụ công như y tế và giao thông tạo niềm tin về sự hiệu quả của chính sách.</t>
  </si>
  <si>
    <t>Nhà nước đã giải thích rõ ràng mục tiêu và lý do sửa đổi luật thuế, tạo niềm tin trong việc thực thi chính sách mới.</t>
  </si>
  <si>
    <t>Chính sách mới mang lại nhiều lợi ích về mặt tài chính và thủ tục, tôi sẽ ủng hộ và tuân thủ.</t>
  </si>
  <si>
    <t>Cơ quan thuế hiện nay có hệ thống quản lý và công nghệ phát triển, tuy nhiên vẫn còn nhiều lỗ hổng về mặt thực thi pháp luật. Dù vậy, các quy định mới về giảm trừ gia cảnh và đơn giản hóa biểu thuế tạo ra sự minh bạch hơn.</t>
  </si>
  <si>
    <t>Cơ quan thuế có đủ khả năng phát hiện trốn thuế với công nghệ hiện đại. Việc cải cách này sẽ giúp tăng cường quản lý và chống gian lận hơn.</t>
  </si>
  <si>
    <t>Trình tự khai báo thuế trở nên đơn giản, nhưng vẫn cần thời gian để nhân viên thuế và người dân thích nghi. Quy trình làm việc với cơ quan thuế dễ dàng hơn so với trước đây.</t>
  </si>
  <si>
    <t>Biểu thuế mới đơn giản hóa các bậc thuế, tạo ra sự rõ ràng về cách tính thuế. Điều này giúp người dân hiểu và thực hiện nhanh chóng hơn.</t>
  </si>
  <si>
    <t>Tôi tin rằng Nhà nước sẽ công bằng trong việc thực thi chính sách mới. Các quy định về giảm trừ gia cảnh và đơn giản hóa biểu thuế tạo ra sự minh bạch cho người nộp thuế.</t>
  </si>
  <si>
    <t>Những thay đổi này giúp tôi cảm thấy mức thuế đóng là công bằng, nhất là với việc tăng mức giảm trừ gia cảnh. Điều này làm tăng niềm tin về tính công bằng của hệ thống thuế mới.</t>
  </si>
  <si>
    <t>Tôi tin rằng số tiền thuế tôi đóng sẽ được sử dụng hiệu quả để cải thiện các dịch vụ công, đặc biệt là y tế và giao thông. Điều này tăng sự tin tưởng về trách nhiệm sử dụng nguồn lực của Nhà nước.</t>
  </si>
  <si>
    <t>Nhà nước đã giải thích rõ ràng về mục tiêu và lý do của việc sửa đổi thuế, giúp tôi hiểu được tầm quan trọng của các thay đổi này. Điều này làm tăng sự tin tưởng vào quyết định quản lý tài chính của Nhà nước.</t>
  </si>
  <si>
    <t>Dựa trên những cải tiến về mức giảm trừ gia cảnh và đơn giản hóa biểu thuế, tôi ủng hộ và tuân thủ chính sách mới. Điều này giúp tôi tiết kiệm được chi phí và hiểu rõ hơn về quy trình tính thuế.</t>
  </si>
  <si>
    <t>Việc tăng giảm trừ gia cảnh và đơn giản hóa biểu thuế có thể làm giảm khả năng phát hiện hành vi gian lận, tuy nhiên, với sự phát triển của công nghệ, cơ quan thuế vẫn có thể phát hiện các trường hợp trốn thuế.</t>
  </si>
  <si>
    <t>Cơ quan thuế đã ứng dụng công nghệ tiên tiến để giám sát và quản lý thuế, do đó, khả năng phát hiện và xử lý nghiêm các hành vi gian lận là rất cao.</t>
  </si>
  <si>
    <t>Quy trình khai thuế trở nên đơn giản hơn với việc giảm số bậc thuế, nhưng vẫn cần thời gian để quen thuộc với hệ thống mới và thủ tục làm việc với cơ quan thuế.</t>
  </si>
  <si>
    <t>Cách tính thuế và các bậc thuế trong phương án mới rõ ràng hơn so với trước đây, giúp người dân dễ dàng tính toán và thực hiện.</t>
  </si>
  <si>
    <t>Tôi tin rằng Nhà nước sẽ công tâm trong việc thực thi chính sách mới, nhưng vẫn cần thêm thời gian để quen thuộc với quy định mới.</t>
  </si>
  <si>
    <t>Mức thuế tôi phải đóng giảm đáng kể so với trước đây, nên tôi thấy mức này là hợp lý cho thu nhập của mình.</t>
  </si>
  <si>
    <t>Tôi tin rằng số tiền thuế tôi đóng sẽ được sử dụng hiệu quả để cải thiện dịch vụ công và hạ tầng cơ sở, như y tế và giao thông.</t>
  </si>
  <si>
    <t>Nhà nước đã có những giải thích rõ ràng về mục tiêu của việc sửa đổi thuế, nhưng tôi hy vọng sẽ có thêm thông tin chi tiết hơn.</t>
  </si>
  <si>
    <t>Sau khi xem xét các quyền lợi và nghĩa vụ, tôi ủng hộ và tuân thủ chính sách mới vì nó giúp giảm gánh nặng tài chính cho người dân và đơn giản hóa quy trình khai thuế.</t>
  </si>
  <si>
    <t>Dù tăng cường quản lý thuế, nhưng với sự phức tạp của hệ thống và khả năng phát hiện, xử lý trốn thuế vẫn còn hạn chế.</t>
  </si>
  <si>
    <t>Công nghệ ngày càng tiến bộ, tuy nhiên thực tế việc phát hiện trốn thuế còn phụ thuộc nhiều vào việc quản lý hồ sơ của cá nhân.</t>
  </si>
  <si>
    <t>Thủ tục khai thuế trở nên đơn giản hơn với mức giảm trừ gia cảnh cao và số bậc thuế ít đi, giúp thuận tiện cho người dân.</t>
  </si>
  <si>
    <t>Bậc thuế mới rõ ràng, dễ hiểu hơn so với trước, giảm bớt sự phức tạp trong việc tính toán thuế.</t>
  </si>
  <si>
    <t>Tôi tin rằng cơ quan thuế sẽ công bằng và minh bạch khi thực thi chính sách mới, dù vẫn có nghi ngờ về khả năng quản lý của họ.</t>
  </si>
  <si>
    <t>Thuế tôi phải đóng thấp hơn, giảm gánh nặng tài chính cho gia đình. Điều này thể hiện sự công bằng với thu nhập hiện tại của tôi.</t>
  </si>
  <si>
    <t>Tiền thuế được sử dụng để cải thiện dịch vụ công, mặc dù không biết chi tiết cụ thể nhưng tôi hy vọng sẽ có lợi ích cho cộng đồng.</t>
  </si>
  <si>
    <t>Đã giải thích rõ về mục tiêu và lý do của việc sửa đổi thuế lần này, tuy nhiên vẫn cần thêm thông tin về cách sử dụng số tiền thu được.</t>
  </si>
  <si>
    <t>Tiết kiệm được nhiều tiền từ thuế mới, đồng thời thủ tục đơn giản hơn, tôi ủng hộ và sẽ tuân thủ chính sách mới này.</t>
  </si>
  <si>
    <t>Cơ quan thuế có nhiều công cụ để phát hiện gian lận, nhưng vẫn cần cải thiện.</t>
  </si>
  <si>
    <t>Nhà nước đã đầu tư vào công nghệ, tuy nhiên sự hiệu quả còn phụ thuộc vào thực thi.</t>
  </si>
  <si>
    <t>Quy trình đơn giản hơn, dễ dàng tiếp cận hơn so với trước đây.</t>
  </si>
  <si>
    <t>Bậc thuế ít đi nên việc tính toán và nộp thuế trở nên dễ dàng, rõ ràng hơn.</t>
  </si>
  <si>
    <t>Tôi tin rằng quy định mới sẽ được thực hiện công bằng, nhưng cần thêm minh bạch về cách thức.</t>
  </si>
  <si>
    <t>Mức thuế mới phù hợp với thu nhập của tôi và có thể giảm gánh nặng tài chính.</t>
  </si>
  <si>
    <t>Thuế đóng góp vào việc cải thiện hạ tầng và dịch vụ công, giúp cộng đồng phát triển.</t>
  </si>
  <si>
    <t>Nhà nước đã giải thích rõ về mục tiêu của chính sách mới, nhưng cần thêm thông tin chi tiết.</t>
  </si>
  <si>
    <t>Tôi ủng hộ và sẽ tuân thủ chính sách mới vì nó mang lại lợi ích tài chính và thuận tiện hơn.</t>
  </si>
  <si>
    <t>Hiện nay, cơ quan thuế có nhiều công cụ và công nghệ để phát hiện gian lận, trốn thuế. Tuy nhiên, mức độ hiệu quả phụ thuộc vào sự tuân thủ của người dân.</t>
  </si>
  <si>
    <t>Nhà nước đã đầu tư vào hệ thống công nghệ thông tin và đào tạo nhân viên để nâng cao khả năng quản lý thuế. Điều này giúp phát hiện gian lận một cách nhanh chóng.</t>
  </si>
  <si>
    <t>Các quy trình khai báo thuế trở nên đơn giản hơn, người dân dễ dàng tiếp cận thông tin và thực hiện các thủ tục. Tuy nhiên, vẫn còn cần cải thiện về độ thuận tiện của hệ thống.</t>
  </si>
  <si>
    <t>Biểu thuế mới có ít bậc hơn, giúp việc tính toán đơn giản hơn. Tuy nhiên, mức thuế suất cao ở các bậc cuối chưa thực sự dễ hiểu cho người dân.</t>
  </si>
  <si>
    <t>Tôi tin rằng cơ quan thuế sẽ làm việc một cách công bằng và khách quan khi thực hiện chính sách mới. Tuy nhiên, còn cần thêm thông tin về cách xử lý cụ thể để tăng niềm tin.</t>
  </si>
  <si>
    <t>Thu nhập của tôi không cao nhưng lợi ích từ việc giảm trừ gia cảnh lớn hơn. Mức thuế mới là hợp lý cho thu nhập như vậy.</t>
  </si>
  <si>
    <t>Tài chính quốc gia cần nguồn thu để duy trì các dịch vụ công, tôi tin rằng số tiền thuế đóng sẽ được sử dụng hiệu quả.</t>
  </si>
  <si>
    <t>Nhà nước đã giải thích rõ về mục tiêu và lý do của việc sửa đổi luật thuế. Tuy nhiên, còn cần thêm thông tin chi tiết về cách áp dụng cụ thể.</t>
  </si>
  <si>
    <t>Tôi ủng hộ chính sách mới vì lợi ích tài chính cá nhân tăng lên rõ rệt. Tôi sẽ tuân thủ đúng các quy định mới.</t>
  </si>
  <si>
    <t>Mặc dù có các quy định quản lý thuế, nhưng với mức giảm trừ gia cảnh cao hơn và biểu thuế đơn giản hơn, việc phát hiện hành vi gian lận hoặc trốn thuế sẽ khó khăn hơn đối với cá nhân.</t>
  </si>
  <si>
    <t>Nhu cầu về công nghệ để phát hiện các hành vi trốn thuế có thể chưa đáp ứng được đầy đủ trong bối cảnh mới.</t>
  </si>
  <si>
    <t>Hệ thống khai báo thuế và quy trình làm việc với cơ quan thuế đã đơn giản hơn, nhưng vẫn còn một số bước phức tạp.</t>
  </si>
  <si>
    <t>Biểu thuế mới có ít bậc hơn nên dễ hiểu và thực hiện hơn, nhưng người dân cần thời gian để thích nghi với các thay đổi.</t>
  </si>
  <si>
    <t>Tôi tin rằng Nhà nước sẽ thực thi chính sách một cách công bằng, mặc dù mức thuế mới có thể gây ra sự bất đồng giữa những người nhận và không nhận được lợi ích.</t>
  </si>
  <si>
    <t>Thuế tôi phải đóng theo phương án mới hợp lý hơn so với trước đây vì giảm trừ gia cảnh cao hơn, nhưng vẫn còn không công bằng đối với một số nhóm thu nhập thấp hơn.</t>
  </si>
  <si>
    <t>Nếu số tiền thuế đóng được sử dụng hiệu quả để cải thiện dịch vụ công, tôi sẽ tin tưởng vào việc này. Tuy nhiên, thông tin về cách sử dụng nguồn lực thuế chưa đầy đủ.</t>
  </si>
  <si>
    <t>Nhà nước đã giải thích rõ ràng về mục tiêu của việc sửa đổi thuế lần này, nhưng tôi hy vọng sẽ có thêm các biện pháp để ngăn chặn gian lận và trốn thuế.</t>
  </si>
  <si>
    <t>Tôi ủng hộ chính sách mới vì nó giúp giảm gánh nặng tài chính cho tôi, nhưng tôi cũng nhận thức rằng việc thực thi cần phải được cải thiện hơn nữa để đảm bảo công bằng.</t>
  </si>
  <si>
    <t>Như hiện nay, với công nghệ và hệ thống quản lý thuế phát triển, việc phát hiện hành vi gian lận hoặc trốn thuế có thể xảy ra. Tuy nhiên, vẫn cần sự cải tiến về quy định quản lý để tăng hiệu quả.</t>
  </si>
  <si>
    <t>Cơ quan thuế đã và đang áp dụng công nghệ cao như AI, Big Data để phát hiện gian lận. Tuy nhiên, vẫn cần thời gian để cải thiện hoàn toàn năng lực quản lý.</t>
  </si>
  <si>
    <t>Quy trình khai thuế và làm việc với cơ quan thuế đã đơn giản hơn nhưng vẫn có thể cải thiện nhiều hơn nữa về mặt thủ tục.</t>
  </si>
  <si>
    <t>Bậc thuế mới đơn giản hơn, dễ hiểu hơn. Tuy nhiên, người dân cần thời gian để quen với cách tính mới và điều chỉnh hành vi nộp thuế.</t>
  </si>
  <si>
    <t>Tôi tin rằng Nhà nước sẽ thực thi chính sách một cách khách quan và công bằng nhưng vẫn cần giám sát chặt chẽ.</t>
  </si>
  <si>
    <t>Thuế mới có sự giảm trừ gia cảnh rõ ràng, phù hợp với thu nhập của tôi. Điều này mang tính công bằng trong việc đóng thuế.</t>
  </si>
  <si>
    <t>Đây là tiền đóng góp vào các dịch vụ công và hạ tầng quan trọng cho cộng đồng. Việc này tăng thêm sự tin tưởng về trách nhiệm của tôi với xã hội.</t>
  </si>
  <si>
    <t>Mặc dù có giải thích nhưng vẫn cần thông tin chi tiết hơn về mục tiêu chính sách để người dân hiểu rõ hơn.</t>
  </si>
  <si>
    <t>Tôi ủng hộ và tuân thủ chính sách mới vì nó giảm gánh nặng thuế cho tôi và mang tính công bằng hơn. Tuy nhiên, cần thêm thời gian để thích nghi với quy định mới.</t>
  </si>
  <si>
    <t>Việc tăng mức giảm trừ gia cảnh và đơn giản hóa biểu thuế có thể làm giảm động lực cho các hành vi gian lận, nhưng vẫn cần sự giám sát chặt chẽ từ cơ quan thuế.</t>
  </si>
  <si>
    <t>Nhà nước đã đầu tư công nghệ để phát hiện trốn thuế, tuy nhiên hiệu quả thực tế còn phụ thuộc vào việc triển khai và quản lý.</t>
  </si>
  <si>
    <t>Quy trình làm việc với cơ quan thuế trở nên đơn giản hơn, thủ tục khai báo thuế cũng thuận tiện hơn, nhưng vẫn cần thời gian để nhân viên thuế học thuộc.</t>
  </si>
  <si>
    <t>Bậc thuế mới ít hơn và dễ hiểu hơn, giảm đáng kể mức độ phức tạp cho người dân tính toán</t>
  </si>
  <si>
    <t>Nhà nước đã cố gắng thực thi chính sách một cách công bằng, nhưng cần thêm thời gian để chứng minh sự khách quan trong quá trình quản lý thuế.</t>
  </si>
  <si>
    <t>Mức thuế mới phù hợp với thu nhập của tôi và có nhiều ưu đãi hơn so với trước đây</t>
  </si>
  <si>
    <t>Thuế đóng góp cho sự phát triển hạ tầng, y tế... nhưng cần thêm minh bạch về cách sử dụng số tiền thuế</t>
  </si>
  <si>
    <t>Nhà nước đã giải thích rõ ràng về mục tiêu của việc sửa đổi thuế, nhưng cần cải thiện hơn trong việc cung cấp thông tin chi tiết.</t>
  </si>
  <si>
    <t>Chính sách mới có lợi cho người dân như tôi, giảm gánh nặng tài chính và đơn giản hóa quy trình, do đó tôi ủng hộ</t>
  </si>
  <si>
    <t>Với mức giảm trừ gia cảnh tăng lên và quy trình đơn giản hơn, khả năng phát hiện hành vi gian lận hoặc trốn thuế sẽ được cải thiện. Tuy nhiên, vẫn có thể gặp khó khăn trong việc thực thi.</t>
  </si>
  <si>
    <t>Nhà nước đã đầu tư vào công nghệ và nguồn lực để phát hiện và xử lý các hành vi trốn thuế hiệu quả hơn so với trước đây.</t>
  </si>
  <si>
    <t>Quy trình làm việc với cơ quan thuế trở nên đơn giản, nhanh chóng và thuận tiện hơn. Việc sử dụng công nghệ trong khai báo thuế giúp tiết kiệm thời gian.</t>
  </si>
  <si>
    <t>Biểu thuế mới có ít bậc hơn và dễ hiểu hơn, làm cho việc tính thuế trở nên đơn giản hơn so với trước đây.</t>
  </si>
  <si>
    <t>Tôi tin rằng cơ quan thuế sẽ thực thi chính sách một cách công bằng, khách quan và đối xử bình đẳng với mọi người nộp thuế.</t>
  </si>
  <si>
    <t>Với mức giảm trừ gia cảnh tăng lên, tôi thấy rằng mức thuế hiện tại là công bằng. Người thu nhập như tôi không bị áp lực quá lớn về mặt tài chính.</t>
  </si>
  <si>
    <t>Tôi tin tưởng rằng số tiền thuế đóng sẽ được sử dụng hiệu quả để cải thiện dịch vụ công, như y tế và hạ tầng giao thông.</t>
  </si>
  <si>
    <t>Nhà nước đã giải thích rõ ràng về mục tiêu của việc sửa đổi chính sách thuế này. Các thông tin được cung cấp minh bạch.</t>
  </si>
  <si>
    <t>Sau khi xem xét các quyền lợi và nghĩa vụ, tôi ủng hộ và tuân thủ chính sách mới hiện nay do sự công bằng và hiệu quả của nó.</t>
  </si>
  <si>
    <t>Các quy định quản lý thuế hiện nay đã cải thiện đáng kể, nhưng vẫn có thể gặp khó khăn trong việc phát hiện trốn thuế.</t>
  </si>
  <si>
    <t>Nhà nước và cơ quan thuế đã đầu tư công nghệ để nâng cao khả năng phát hiện gian lận, tuy nhiên, hiệu quả thực tế còn phụ thuộc vào sự tuân thủ của người dân.</t>
  </si>
  <si>
    <t>So với trước đây, quy trình khai báo thuế và làm việc với cơ quan thuế đã đơn giản hơn nhiều, nhưng vẫn có thể cần thêm cải tiến để thuận tiện hơn nữa.</t>
  </si>
  <si>
    <t>Cách tính thuế mới đơn giản hơn so với trước đây, các bậc thuế rõ ràng và dễ hiểu, giúp người dân dễ dàng thực hiện.</t>
  </si>
  <si>
    <t>Tôi tin rằng Nhà nước sẽ thực thi chính sách một cách công bằng, nhưng vẫn cần thêm minh bạch trong quá trình thực thi.</t>
  </si>
  <si>
    <t>Mức thuế mới giảm đi đáng kể so với trước đây, tôi thấy điều này là công bằng và hợp lý cho thu nhập của mình.</t>
  </si>
  <si>
    <t>Tôi tin rằng số tiền thuế đóng sẽ được sử dụng hiệu quả để cải thiện dịch vụ công, nhưng cần thêm thông tin cụ thể về cách sử dụng.</t>
  </si>
  <si>
    <t>Nhà nước đã giải thích rõ ràng mục tiêu của việc sửa đổi thuế lần này, tuy nhiên, vẫn mong muốn có thêm thông tin chi tiết về quy trình thực hiện.</t>
  </si>
  <si>
    <t>Sau khi xem xét các quyền lợi và nghĩa vụ mới, tôi ủng hộ và tuân thủ chính sách mới vì nó mang lại nhiều lợi ích cho người dân.</t>
  </si>
  <si>
    <t>Nhà nước đã có nhiều biện pháp quản lý thuế, dù không hoàn toàn chắc chắn nhưng tôi tin rằng hành vi gian lận hoặc trốn thuế sẽ bị phát hiện và xử lý</t>
  </si>
  <si>
    <t>Cơ quan thuế có công nghệ hiện đại hỗ trợ trong quản lý thuế, khả năng phát hiện các hành vi trốn thuế cao hơn trước</t>
  </si>
  <si>
    <t>Quy trình khai thuế và làm việc với cơ quan thuế đơn giản hóa, dễ dàng thực hiện hơn</t>
  </si>
  <si>
    <t>Biểu thuế đơn giản hóa từ 7 bậc xuống còn 5 bậc, dễ hiểu và dễ thực hiện hơn so với trước đây</t>
  </si>
  <si>
    <t>Tôi tin rằng Nhà nước sẽ công bằng trong việc áp dụng chính sách mới</t>
  </si>
  <si>
    <t>Thu nhập của tôi giảm thuế so với trước đây, tôi cảm thấy mức thuế này là hợp lý</t>
  </si>
  <si>
    <t>Thuế đóng góp vào việc cải thiện các dịch vụ công như y tế và hạ tầng cơ sở</t>
  </si>
  <si>
    <t>Nhà nước đã giải thích rõ ràng về mục tiêu và lý do của chính sách mới, tôi cảm thấy được thông tin đầy đủ</t>
  </si>
  <si>
    <t>Tôi ủng hộ và tuân thủ chính sách mới vì nó có lợi cho người dân và đơn giản hóa quy trình khai thuế</t>
  </si>
  <si>
    <t>Nếu cơ quan thuế có công nghệ và nguồn lực tốt, việc phát hiện trốn thuế sẽ trở nên dễ dàng hơn. Tuy nhiên, với mức độ quản lý hiện tại ở Việt Nam, tôi không hoàn toàn tin tưởng.</t>
  </si>
  <si>
    <t>Nhà nước đã đầu tư vào công nghệ để cải thiện khả năng kiểm soát thuế, điều này tăng cường niềm tin của tôi về việc phát hiện và xử lý trốn thuế.</t>
  </si>
  <si>
    <t>Quy trình làm việc với cơ quan thuế đã đơn giản hơn nhiều, đặc biệt là việc tính toán và nộp thuế trở nên dễ dàng hơn so với trước đây.</t>
  </si>
  <si>
    <t>Biểu thuế mới có ít bậc hơn và rõ ràng hơn, dễ hiểu và thực hiện thuận lợi hơn so với biểu cũ.</t>
  </si>
  <si>
    <t>Tôi tin rằng Nhà nước sẽ công bằng trong việc áp dụng chính sách thuế mới vì mức giảm trừ gia cảnh tăng lên, giúp tôi tiết kiệm được nhiều tiền.</t>
  </si>
  <si>
    <t>Mức thuế mới đối với thu nhập của tôi là hợp lý và công bằng. Mức giảm trừ gia cảnh lớn hơn đã giảm bớt áp lực về mặt tài chính.</t>
  </si>
  <si>
    <t>Nhà nước sử dụng số tiền thuế này để cải thiện các dịch vụ công, như y tế và cơ sở hạ tầng, điều này khiến tôi cảm thấy việc đóng thuế là hữu ích.</t>
  </si>
  <si>
    <t>Tôi đã nghiên cứu kỹ thông tin về chính sách mới và nhận được sự giải thích rõ ràng từ các nguồn chính thức.</t>
  </si>
  <si>
    <t>Sau khi xem xét tác động tài chính tích cực, tôi thấy phương án thuế mới phù hợp với thu nhập của mình và tôi sẽ tuân thủ nó.</t>
  </si>
  <si>
    <t>Thuế mới được đơn giản hóa nên việc phát hiện hành vi gian lận hoặc trốn thuế có thể khó khăn hơn.</t>
  </si>
  <si>
    <t>Công nghệ và hệ thống quản lý thuế của nhà nước đã tiến bộ nhưng vẫn cần cải thiện để giám sát hiệu quả.</t>
  </si>
  <si>
    <t>Thủ tục khai báo thuế trở nên đơn giản hơn, đặc biệt là với giảm trừ gia cảnh mới.</t>
  </si>
  <si>
    <t>Các bậc thuế được rút gọn, việc tính toán thuế trở nên dễ dàng và rõ ràng hơn so với trước đây.</t>
  </si>
  <si>
    <t>Niềm tin vào sự khách quan và công bằng của cơ quan thuế cao do cải cách thuế mang lại lợi ích cho người dân.</t>
  </si>
  <si>
    <t>Mức thuế mới được xem là hợp lý với thu nhập hiện tại, tạo cảm giác công bằng trong việc đóng góp.</t>
  </si>
  <si>
    <t>Thái độ tin tưởng vào hiệu quả sử dụng số tiền thuế là cao, vì thuế giảm giúp tiết kiệm và phát triển kinh tế.</t>
  </si>
  <si>
    <t>Đã có sự giải thích rõ ràng về mục tiêu cải cách thuế nhưng cần thêm thông tin chi tiết hơn để tăng độ minh bạch.</t>
  </si>
  <si>
    <t>Chấp nhận và ủng hộ chính sách mới, vì nó mang lại lợi ích tài chính và đơn giản hóa quy trình nộp thuế.</t>
  </si>
  <si>
    <t>Dù không có thông tin cụ thể về khả năng phát hiện hành vi gian lận, nhưng với mức giảm trừ gia cảnh tăng lên đáng kể và số bậc thuế đơn giản hơn, việc trốn thuế sẽ khó khăn hơn. Hơn nữa, các biện pháp quản lý thuế hiện đại cũng giúp tăng cường khả năng phát hiện.</t>
  </si>
  <si>
    <t>Nhà nước và cơ quan thuế có nhiều công cụ kỹ thuật tiên tiến để theo dõi và xử lý các hành vi trốn thuế, nhưng hiệu quả của chúng phụ thuộc vào mức độ thực thi. Tuy nhiên, với quy định rõ ràng, tôi tin rằng khả năng phát hiện sẽ được nâng cao.</t>
  </si>
  <si>
    <t>Thủ tục khai báo thuế và làm việc với cơ quan thuế đã đơn giản hơn nhiều so với trước đây. Mức giảm trừ gia cảnh tăng lên, cộng thêm quy định ít bậc thuế, tạo cảm giác thuận tiện hơn cho người dân.</t>
  </si>
  <si>
    <t>Phương án mới đơn giản hóa biểu thuế và các mức giảm trừ, dễ dàng hiểu và thực hiện. Điều này làm tăng sự tiện lợi cho người nộp thuế, đặc biệt là với số bậc thuế ít hơn.</t>
  </si>
  <si>
    <t>Tôi tin rằng Nhà nước sẽ công bằng khi áp dụng các quy định mới vì mức giảm trừ gia cảnh và mức thuế đều được tính toán dựa trên thu nhập, tạo sự bình đẳng cho tất cả người nộp thuế.</t>
  </si>
  <si>
    <t>Mức thuế tôi phải đóng là công bằng. Với thu nhập hiện tại của mình, mức giảm trừ gia cảnh và bậc thuế mới đều hợp lý, không quá cao so với mức thu nhập của một người trẻ tuổi.</t>
  </si>
  <si>
    <t>Thuế tôi đóng sẽ được sử dụng hiệu quả để cải thiện các dịch vụ công như y tế và hạ tầng. Điều này tạo niềm tin rằng Nhà nước đang đầu tư vào sự phát triển chung của cộng đồng.</t>
  </si>
  <si>
    <t>Nhà nước đã cung cấp thông tin rõ ràng về việc sửa đổi thuế và mục tiêu của chính sách mới. Tuy nhiên, để tăng thêm niềm tin, cần có thêm giải thích chi tiết về các biện pháp quản lý thuế.</t>
  </si>
  <si>
    <t>Tôi ủng hộ và tuân thủ chính sách mới vì nó tạo ra sự công bằng trong việc đánh thuế, giảm gánh nặng tài chính cho người dân và đơn giản hóa quy trình khai báo thuế.</t>
  </si>
  <si>
    <t>Dù quy định quản lý thuế hiện nay đã được cải thiện, nhưng tôi vẫn lo ngại về khả năng phát hiện và xử lý nghiêm các hành vi trốn thuế.</t>
  </si>
  <si>
    <t>Nhà nước có đủ công nghệ để phát hiện gian lận, nhưng hiệu quả thực thi còn phụ thuộc vào nguồn lực và sự quyết tâm của cơ quan thuế.</t>
  </si>
  <si>
    <t>Thủ tục khai báo thuế trở nên đơn giản hơn, không tốn quá nhiều thời gian, thuận tiện cho người dân như tôi.</t>
  </si>
  <si>
    <t>Cách tính thuế và các bậc thuế mới dễ hiểu hơn so với trước đây, giảm bớt sự phức tạp đáng kể.</t>
  </si>
  <si>
    <t>Tôi tin rằng Nhà nước sẽ thực thi chính sách một cách công bằng, nhưng cần thêm thời gian để kiểm chứng</t>
  </si>
  <si>
    <t>Thuế tôi phải đóng theo phương án mới là hợp lý so với thu nhập của mình.</t>
  </si>
  <si>
    <t>Nhà nước đã giải thích rõ về mục tiêu của việc sửa đổi thuế, tạo niềm tin cho người dân.</t>
  </si>
  <si>
    <t>Tôi ủng hộ và tuân thủ chính sách mới vì nó mang lại lợi ích tài chính và thuận tiện hơn cho tôi</t>
  </si>
  <si>
    <t>Dựa trên các quy định quản lý thuế hiện nay, tôi đánh giá khả năng phát hiện hành vi gian lận hoặc trốn thuế là rất tốt. Tuy nhiên, vẫn có thể còn thiếu một số biện pháp để đảm bảo hoàn toàn không có trốn thuế.</t>
  </si>
  <si>
    <t>Nhà nước và cơ quan thuế đã đầu tư công nghệ hiện đại để hỗ trợ việc phát hiện trốn thuế. Tuy nhiên, vẫn cần cải thiện khả năng tiếp cận thông tin của cá nhân với hệ thống</t>
  </si>
  <si>
    <t>So với trước đây, quy trình làm việc và khai báo thuế trở nên đơn giản hơn nhiều. Điều này giúp người dân dễ dàng thực hiện các thủ tục thuế một cách thuận tiện.</t>
  </si>
  <si>
    <t>Cách tính thuế mới đã đơn giản hóa các bậc thuế, dễ hiểu và dễ thực hiện hơn so với trước đây. Điều này làm giảm gánh nặng cho người nộp thuế.</t>
  </si>
  <si>
    <t>Tôi tin rằng Nhà nước sẽ thực thi chính sách một cách công bằng và khách quan đối với mọi người nộp thuế, bao gồm cả tôi.</t>
  </si>
  <si>
    <t>Mức thuế mới mà tôi phải đóng là hợp lý. Thu nhập của tôi thuộc bậc thuế thấp nên mức giảm trừ gia cảnh cao hơn giúp tiết kiệm chi phí đáng kể.</t>
  </si>
  <si>
    <t>Tôi tin rằng số tiền thuế tôi đóng sẽ được sử dụng hiệu quả để cải thiện dịch vụ công, như y tế và giao thông.</t>
  </si>
  <si>
    <t>Nhà nước đã giải thích rõ ràng về mục tiêu của việc sửa đổi chính sách thuế. Điều này làm tăng niềm tin của tôi vào quyết định này.</t>
  </si>
  <si>
    <t>Tôi ủng hộ và sẽ tuân thủ chính sách mới, vì nó mang lại lợi ích tài chính cho tôi và giảm gánh nặng hành chính.</t>
  </si>
  <si>
    <t>Thuế mới được đơn giản hóa và mức giảm trừ gia cảnh tăng, nhưng tôi vẫn nghi ngờ khả năng phát hiện của nhà nước đối với những người trốn thuế.</t>
  </si>
  <si>
    <t>Cơ quan thuế có công nghệ và nguồn lực để quản lý, nhưng việc thực thi cần cải thiện nhiều hơn.</t>
  </si>
  <si>
    <t>Quy trình làm việc với cơ quan thuế đơn giản hơn trước, thủ tục khai báo thuận tiện hơn.</t>
  </si>
  <si>
    <t>Phương án mới có ít bậc thuế và dễ hiểu hơn, giảm bớt rào cản cho người nộp thuế.</t>
  </si>
  <si>
    <t>Tôi tin rằng nhà nước sẽ thực thi chính sách công bằng, nhưng vẫn nghi ngờ về sự minh bạch trong quá trình quản lý thu chi.</t>
  </si>
  <si>
    <t>Mức thuế mới không còn cao như trước, tôi thấy hợp lý với thu nhập của mình.</t>
  </si>
  <si>
    <t>Thuốc được sử dụng để cải thiện dịch vụ công, nhưng thông tin về cách sử dụng cụ thể chưa rõ ràng.</t>
  </si>
  <si>
    <t>Nhà nước đã giải thích rõ ràng về mục tiêu của việc sửa đổi thuế, nhưng vẫn cần minh bạch hơn.</t>
  </si>
  <si>
    <t>Tác động tài chính tích cực và quy trình làm việc thuận lợi khiến tôi ủng hộ chính sách mới.</t>
  </si>
  <si>
    <t>Thuế mới có nhiều giảm trừ nên việc phát hiện gian lận khó hơn, nhưng cơ quan thuế vẫn có công cụ để xử lý.</t>
  </si>
  <si>
    <t>Cơ sở dữ liệu và công nghệ hiện đại của cơ quan thuế giúp họ dễ dàng theo dõi tình hình tài chính cá nhân.</t>
  </si>
  <si>
    <t>Quy trình khai báo đơn giản hơn, chỉ cần điền thông tin thu nhập và giảm trừ gia cảnh.</t>
  </si>
  <si>
    <t>Bậc thuế ít hơn và rõ ràng nên việc tính toán dễ dàng hơn nhiều so với trước đây.</t>
  </si>
  <si>
    <t>Niềm tin vào cơ quan thuế tăng khi mức giảm trừ gia cảnh cao hơn, giảm gánh nặng cho người dân.</t>
  </si>
  <si>
    <t>Thuế mới có vẻ hợp lý với thu nhập hiện tại của tôi, phù hợp với mức sống.</t>
  </si>
  <si>
    <t>Tiết kiệm được tiền thuế sẽ giúp cải thiện dịch vụ công và hạ tầng</t>
  </si>
  <si>
    <t>Đã có giải thích rõ ràng về mục tiêu cải cách, nhưng vẫn cần thêm thông tin về hiệu quả sử dụng nguồn lực.</t>
  </si>
  <si>
    <t>Trải nghiệm tích cực từ các quyền lợi mới và giảm gánh nặng thuế nên ủng hộ chính sách</t>
  </si>
  <si>
    <t>Dù hiện nay cơ quan thuế có nhiều công cụ phát hiện gian lận, nhưng vẫn không thể hoàn toàn ngăn chặn hành vi trốn thuế. Tuy nhiên, mức giảm trừ gia cảnh tăng lên và việc đơn giản hóa biểu thuế cũng giúp hạn chế khả năng trốn thuế.</t>
  </si>
  <si>
    <t>Nhà nước đã đầu tư vào công nghệ để cải thiện khả năng quản lý thuế, nhưng hiệu quả thực tế phụ thuộc nhiều vào sự tuân thủ và phối hợp của người dân. Việc giảm trừ gia cảnh và đơn giản hóa biểu thuế cũng giúp hạn chế hành vi trốn thuế.</t>
  </si>
  <si>
    <t>Quy trình khai thuế trở nên dễ dàng hơn, nhưng vẫn cần thời gian để quen thuộc với các thay đổi mới. Việc giảm trừ gia cảnh tăng lên và đơn giản hóa biểu thuế giúp thuận tiện cho người dân.</t>
  </si>
  <si>
    <t>Biểu thuế mới đơn giản hơn so với trước, nhưng vẫn cần thời gian để nắm bắt. Mức giảm trừ gia cảnh tăng lên giúp hạn chế số tiền phải đóng thuế.</t>
  </si>
  <si>
    <t>Tôi tin rằng Nhà nước sẽ thực thi chính sách một cách khách quan và công bằng, nhưng vẫn cần thời gian để kiểm chứng. Việc giảm trừ gia cảnh tăng lên giúp hạn chế số tiền phải đóng thuế.</t>
  </si>
  <si>
    <t>Mức thuế mới được thiết kế dựa trên thu nhập của tôi là hợp lý và công bằng, dù vẫn cần thời gian để kiểm chứng. Việc giảm trừ gia cảnh tăng lên giúp hạn chế số tiền phải đóng thuế.</t>
  </si>
  <si>
    <t>Tôi tin rằng số tiền thuế tôi đóng sẽ được sử dụng hiệu quả để cải thiện dịch vụ công, nhưng cần thời gian để kiểm chứng. Việc giảm trừ gia cảnh tăng lên giúp hạn chế số tiền phải đóng thuế.</t>
  </si>
  <si>
    <t>Nhà nước đã giải thích rõ ràng về lý do và mục tiêu của việc sửa đổi thuế, nhưng vẫn cần thời gian để kiểm chứng hiệu quả thực tế. Việc giảm trừ gia cảnh tăng lên giúp hạn chế số tiền phải đóng thuế.</t>
  </si>
  <si>
    <t>Tôi ủng hộ chính sách mới vì nó đơn giản hóa quy trình khai thuế và giảm được số tiền tôi phải đóng thuế, đồng thời tin tưởng rằng việc thu thuế sẽ được sử dụng hiệu quả để cải thiện dịch vụ công.</t>
  </si>
  <si>
    <t>Dù có công nghệ hỗ trợ, vẫn khó kiểm soát toàn bộ hành vi gian lận, trốn thuế.</t>
  </si>
  <si>
    <t>Cơ quan thuế có khả năng phát hiện và xử lý các hành vi không tuân thủ, nhưng hiệu quả phụ thuộc vào nguồn lực.</t>
  </si>
  <si>
    <t>Quy trình khai báo dễ dàng hơn với mức giảm trừ gia cảnh cao hơn, thuận tiện cho người dân.</t>
  </si>
  <si>
    <t>Biểu thuế đơn giản hóa giúp tính toán nhanh chóng và chính xác hơn, phù hợp với nhiều đối tượng.</t>
  </si>
  <si>
    <t>Tôi tin rằng Nhà nước sẽ công bằng trong việc thực thi pháp luật, nhưng không thể loại bỏ hoàn toàn nghi ngờ của người dân.</t>
  </si>
  <si>
    <t>Mức thuế giảm từ 50.000 VND/tháng xuống 0 VND/tháng là hợp lý cho thu nhập hiện tại, tạo ra sự công bằng hơn.</t>
  </si>
  <si>
    <t>Thuế tôi đóng sẽ được sử dụng để cải thiện dịch vụ công và xã hội, nhưng hiệu quả cụ thể còn phụ thuộc vào quản lý ngân sách.</t>
  </si>
  <si>
    <t>Nhà nước đã giải thích rõ ràng về mục tiêu của chính sách mới thông qua các phương tiện truyền thông.</t>
  </si>
  <si>
    <t>Sau khi xem xét, tôi ủng hộ và tuân thủ chính sách mới vì nó giúp tôi tiết kiệm chi phí và đơn giản hóa quy trình thuế.</t>
  </si>
  <si>
    <t>Dù các quy định quản lý thuế hiện tại có thể chưa hoàn hảo, nhưng với sự phát triển của công nghệ, khả năng phát hiện gian lận và trốn thuế sẽ cao hơn trước. Đây là yếu tố quan trọng để duy trì công bằng trong hệ thống.</t>
  </si>
  <si>
    <t>Nhà nước và cơ quan thuế đã đầu tư vào công nghệ và nguồn lực, tăng cường khả năng phát hiện và xử lý các hành vi trốn thuế. Điều này mang lại sự tin tưởng về tính hiệu quả của hệ thống quản lý thuế.</t>
  </si>
  <si>
    <t>Các quy trình khai báo thuế trở nên đơn giản hơn, giảm bớt thủ tục rườm rà và phức tạp. Điều này giúp người dân dễ dàng thực hiện nghĩa vụ của mình một cách thuận tiện.</t>
  </si>
  <si>
    <t>Biểu thuế mới có ít bậc hơn và mức giảm trừ gia cảnh cao hơn, làm cho việc tính toán thuế trở nên dễ hiểu và đơn giản hơn. Điều này giúp người dân nắm bắt được rõ ràng về nghĩa vụ của mình.</t>
  </si>
  <si>
    <t>Nhà nước đã công khai giải thích mục tiêu của chính sách mới, tạo ra sự minh bạch trong việc thực thi và quản lý thuế. Điều này tăng cường niềm tin vào sự công bằng của hệ thống.</t>
  </si>
  <si>
    <t>Với mức thuế giảm đáng kể, tôi thấy rằng mình đang đóng mức thuế phù hợp với thu nhập hiện tại. Điều này tạo nên sự công bằng về mặt tài chính giữa người dân và Nhà nước.</t>
  </si>
  <si>
    <t>Hiểu rõ mục tiêu của chính sách mới, tôi tin rằng số tiền thuế mình đóng sẽ được sử dụng hiệu quả để cải thiện dịch vụ công. Điều này tạo cảm giác trách nhiệm về việc đóng góp cho xã hội.</t>
  </si>
  <si>
    <t>Nhà nước đã giải thích rõ ràng và minh bạch về mục tiêu của chính sách mới, từ đó tôi thấy rằng mình được đối xử công bằng. Sự minh bạch này tăng cường niềm tin vào trách nhiệm của Nhà nước.</t>
  </si>
  <si>
    <t>Sau khi cân nhắc các quyền lợi và nghĩa vụ, tôi ủng hộ chính sách mới vì nó đơn giản hơn, giảm gánh nặng về tài chính và tạo ra sự công bằng. Tôi sẽ tuân thủ chính sách này.</t>
  </si>
  <si>
    <t>Dù luật thuế mới có đơn giản hơn, nhưng tôi không hoàn toàn tin rằng hành vi gian lận hoặc trốn thuế sẽ dễ dàng bị phát hiện và xử lý. Việc áp dụng công nghệ trong quản lý thuế còn phụ thuộc vào năng lực của cơ quan chức năng.</t>
  </si>
  <si>
    <t>Năng lực kỹ thuật số của cơ quan thuế có thể chưa đủ để phát hiện trốn thuế một cách hiệu quả, do đó tôi không hoàn toàn tin rằng họ sẽ xử lý nghiêm các hành vi này.</t>
  </si>
  <si>
    <t>Các quy trình khai báo thuế và giao tiếp với cơ quan thuế dễ dàng hơn so với trước đây. Việc giảm bậc thuế cũng giúp tôi hiểu rõ hơn về cách tính thuế của mình.</t>
  </si>
  <si>
    <t>So với luật cũ, luật mới có ít bậc thuế và các mức thuế suất đơn giản hơn nên dễ dàng thực hiện hơn.</t>
  </si>
  <si>
    <t>Tôi tin rằng cơ quan thuế sẽ cố gắng thực thi chính sách một cách khách quan, nhưng tôi vẫn lo ngại về khả năng họ đối xử công bằng với tất cả mọi người nộp thuế.</t>
  </si>
  <si>
    <t>Theo luật mới, mức giảm trừ gia cảnh tăng và số bậc thuế giảm đi nên tôi thấy mình đóng thuế hợp lý hơn so với trước đây.</t>
  </si>
  <si>
    <t>Tiết kiệm được một khoản tiền đáng kể từ thuế giúp tôi tin rằng số tiền tôi đóng sẽ được sử dụng hiệu quả để cải thiện các dịch vụ công</t>
  </si>
  <si>
    <t>Nhà nước đã giải thích rõ ràng về mục tiêu của việc sửa đổi thuế, tuy nhiên, tôi mong muốn có thêm thông tin chi tiết hơn về cách sử dụng số tiền thuế này.</t>
  </si>
  <si>
    <t>Sau khi xem xét tác động tài chính và sự đơn giản hóa quy trình làm việc với cơ quan thuế, tôi ủng hộ và tuân thủ chính sách mới</t>
  </si>
  <si>
    <t>Hiện nay, cơ quan thuế có nhiều công cụ và công nghệ để phát hiện hành vi trốn thuế. Tuy nhiên, việc thực thi vẫn phụ thuộc vào hiệu quả của các quy định quản lý.</t>
  </si>
  <si>
    <t>Cơ quan thuế đã đầu tư nhiều vào hệ thống thông tin và công nghệ để cải thiện khả năng phát hiện trốn thuế. Điều này tăng cường niềm tin về việc xử lý nghiêm hành vi gian lận.</t>
  </si>
  <si>
    <t>Hệ thống khai báo thuế trở nên đơn giản hơn, giảm bớt rườm rà. Tuy nhiên, vẫn còn một số quy trình cần cải thiện để tạo thêm thuận tiện cho người nộp thuế.</t>
  </si>
  <si>
    <t>Biểu thuế mới đơn giản hóa các bậc thuế và ngưỡng chịu thuế, giúp việc tính thuế dễ dàng hơn. Điều này làm tăng sự hiểu biết và thực hiện của người dân về chính sách thuế.</t>
  </si>
  <si>
    <t>Niềm tin rằng Nhà nước sẽ thực thi công bằng đối với mọi người nộp thuế là khá cao, do các cải tiến trong quản lý thuế. Tuy nhiên, vẫn có một số lo ngại về việc giám sát.</t>
  </si>
  <si>
    <t>Mức thuế mới giảm đáng kể so với trước đây, tạo cảm giác công bằng cho người thu nhập như tôi. Điều này giúp tăng sự ủng hộ đối với chính sách mới.</t>
  </si>
  <si>
    <t>Niềm tin rằng số tiền thuế đóng sẽ được sử dụng hiệu quả để cải thiện dịch vụ công là khá cao, dựa trên các thông tin và cam kết từ Chính phủ.</t>
  </si>
  <si>
    <t>Nhà nước đã giải thích rõ ràng về mục tiêu của việc sửa đổi thuế. Điều này tăng cường niềm tin rằng quyết định này là phù hợp và cần thiết.</t>
  </si>
  <si>
    <t>Trong tổng thể, tôi ủng hộ chính sách mới vì nó đơn giản hóa quy trình, giảm bớt gánh nặng tài chính cho người dân. Tôi sẽ tuân thủ các quy định mới.</t>
  </si>
  <si>
    <t>Dù có công nghệ để phát hiện, nhưng thực tế việc quản lý thuế vẫn còn nhiều điểm chưa hoàn thiện. Việc gian lận hoặc trốn thuế vẫn có thể xảy ra.</t>
  </si>
  <si>
    <t>Công nghệ và hệ thống quản lý thuế của cơ quan thuế ngày càng phát triển, tăng khả năng kiểm soát và xử lý nghiêm các hành vi trốn thuế.</t>
  </si>
  <si>
    <t>Việc đơn giản hóa quy trình khai báo thuế làm cho nó dễ dàng hơn so với trước đây. Tuy nhiên, vẫn cần thêm thời gian để mọi người quen thuộc với các thay đổi.</t>
  </si>
  <si>
    <t>Biểu thuế mới đơn giản hóa bậc thuế, giảm độ phức tạp và dễ hiểu hơn so với trước đây. Đây là một bước tiến tích cực.</t>
  </si>
  <si>
    <t>Tôi tin rằng cơ quan thuế sẽ thực thi chính sách một cách công bằng, nhưng vẫn cần thời gian để kiểm chứng</t>
  </si>
  <si>
    <t>Mức giảm trừ gia cảnh và bậc thuế mới giúp tôi tiết kiệm được tiền thuế. Điều này cho thấy mức thuế là hợp lý.</t>
  </si>
  <si>
    <t>Nhà nước đã giải thích rõ ràng về mục tiêu của việc sửa đổi chính sách thuế, nhưng vẫn cần thêm thông tin chi tiết hơn.</t>
  </si>
  <si>
    <t>Dù có một số băn khoăn nhỏ, tôi ủng hộ và tuân thủ chính sách mới do nó mang lại lợi ích tài chính cho cá nhân</t>
  </si>
  <si>
    <t>Cơ quan thuế có nhiều công cụ và nguồn lực để phát hiện hành vi trốn thuế, đặc biệt là với sự hỗ trợ của công nghệ. Tuy nhiên, vẫn cần cải thiện về khả năng và hiệu quả trong việc xử lý.</t>
  </si>
  <si>
    <t>Nhà nước đã đầu tư vào hệ thống quản lý thuế hiện đại hơn, giúp tăng cường khả năng phát hiện trốn thuế. Điều này tạo ra một môi trường thuận lợi cho các hoạt động kinh doanh và cá nhân tuân thủ pháp luật.</t>
  </si>
  <si>
    <t>Quy trình làm việc với cơ quan thuế đã đơn giản hơn, giảm bớt các bước rườm rà. Tuy nhiên, vẫn còn một số thủ tục cần cải thiện để thuận tiện hơn cho người dân.</t>
  </si>
  <si>
    <t>Bảng thuế mới có ít bậc hơn và mức thuế suất rõ ràng hơn. Điều này giúp việc tính toán thuế trở nên đơn giản và dễ hiểu hơn.</t>
  </si>
  <si>
    <t>Tôi tin rằng cơ quan thuế sẽ thực thi chính sách một cách công bằng và khách quan, nhưng cần có thêm các biện pháp giám sát để đảm bảo tính minh bạch.</t>
  </si>
  <si>
    <t>Mức thuế mới phù hợp với thu nhập của tôi. Việc giảm trừ gia cảnh tăng lên giúp cân đối giữa công bằng và thực tế.</t>
  </si>
  <si>
    <t>Tôi tin rằng số tiền thuế đóng sẽ được sử dụng hiệu quả để cải thiện các dịch vụ công, nhưng cần có thêm thông tin về cách chi tiêu nguồn thu này.</t>
  </si>
  <si>
    <t>Cơ quan thuế đã giải thích rõ ràng về lý do và mục đích của việc thay đổi thuế. Tuy nhiên, tôi mong muốn có thêm thông tin chi tiết để hiểu rõ hơn.</t>
  </si>
  <si>
    <t>Tôi ủng hộ chính sách mới vì nó giúp giảm gánh nặng tài chính, đơn giản hóa quy trình và tạo ra một môi trường thuế công bằng. Tôi sẽ tuân thủ các quy định mới.</t>
  </si>
  <si>
    <t>Mức thuế giảm và quy trình đơn giản hơn nhưng vẫn có các biện pháp kiểm soát, mặc dù chưa rõ ràng về khả năng phát hiện của cơ quan thuế.</t>
  </si>
  <si>
    <t>Có công nghệ mới giúp cải thiện quản lý thuế, tuy nhiên, không chắc chắn về hiệu quả thực tế trong việc phát hiện trốn thuế.</t>
  </si>
  <si>
    <t>Quy trình làm việc với cơ quan thuế trở nên đơn giản hơn, đặc biệt là về mặt giảm trừ gia cảnh và quy định thuế mới.</t>
  </si>
  <si>
    <t>Các bậc thuế giảm xuống 5 bậc giúp tính toán thuế đơn giản hóa, dễ hiểu hơn so với trước đây.</t>
  </si>
  <si>
    <t>Mức thuế mới công bằng và khách quan đối với thu nhập của bản thân tôi, cơ quan thuế có thể thực thi một cách công tâm.</t>
  </si>
  <si>
    <t>Thuế mới có sự giảm trừ gia cảnh lớn hơn, phù hợp với tình hình hiện tại, cho thấy mức thuế này là hợp lý đối với thu nhập của tôi.</t>
  </si>
  <si>
    <t>Thuế được sử dụng để cải thiện dịch vụ công, đặc biệt trong y tế và giao thông, tạo niềm tin về hiệu quả sử dụng nguồn lực.</t>
  </si>
  <si>
    <t>Có sự giải thích rõ ràng về mục tiêu và lý do của việc sửa đổi thuế, nhưng cần thêm minh bạch trong quá trình thực thi.</t>
  </si>
  <si>
    <t>Chính sách mới này có lợi cho tôi về mặt tài chính và dễ hiểu hơn, do đó tôi ủng hộ và tuân thủ nó.</t>
  </si>
  <si>
    <t>Cơ quan thuế có hệ thống quản lý tốt, nhưng vẫn tiềm ẩn nguy cơ gian lận do mức giảm trừ gia cảnh tăng cao.</t>
  </si>
  <si>
    <t>Nhà nước và cơ quan thuế đã đầu tư công nghệ hiện đại để phát hiện trốn thuế hiệu quả hơn.</t>
  </si>
  <si>
    <t>Quy trình khai báo thuế đơn giản, thuận tiện hơn so với trước đây.</t>
  </si>
  <si>
    <t>Biểu thuế mới có ít bậc hơn và dễ hiểu, làm giảm sự phức tạp cho người nộp thuế.</t>
  </si>
  <si>
    <t>Tôi tin rằng cơ quan thuế sẽ thực thi chính sách công bằng, nhưng vẫn cần thêm minh bạch trong việc giám sát.</t>
  </si>
  <si>
    <t>Mức thuế mới phù hợp với thu nhập của tôi, tạo cảm giác công bằng hơn so với trước đây.</t>
  </si>
  <si>
    <t>Thuế đóng góp vào việc cải thiện dịch vụ công là điều cần thiết và có lợi cho cộng đồng.</t>
  </si>
  <si>
    <t>Nhà nước đã giải thích rõ mục đích của chính sách mới, nhưng vẫn nên tăng cường minh bạch hơn.</t>
  </si>
  <si>
    <t>Tôi ủng hộ và tuân thủ chính sách mới vì nó tạo ra sự công bằng và thuận tiện cho người nộp thuế.</t>
  </si>
  <si>
    <t>Việc tăng giảm trừ gia cảnh và đơn giản hóa biểu thuế có thể làm giảm cơ hội trốn thuế, nhưng thực tế vẫn cần sự giám sát chặt chẽ từ các cơ quan chức năng.</t>
  </si>
  <si>
    <t>Cơ quan thuế với công nghệ hiện đại sẽ dễ dàng phát hiện hành vi trốn thuế, tuy nhiên, việc này phụ thuộc vào hiệu quả thực thi của họ.</t>
  </si>
  <si>
    <t>Quy trình làm việc với cơ quan thuế và thủ tục khai báo thuế trở nên đơn giản hơn, thuận tiện cho người dân nộp thuế.</t>
  </si>
  <si>
    <t>Biểu thuế được đơn giản hóa từ 7 bậc xuống còn 5 bậc, giảm đi sự phức tạp trong việc tính toán và thực hiện.</t>
  </si>
  <si>
    <t>Nhà nước đã cải cách theo hướng công bằng hơn, tăng giảm trừ gia cảnh, đơn giản hóa biểu thuế, nên tôi tin rằng họ sẽ thực thi chính sách một cách khách quan.</t>
  </si>
  <si>
    <t>Với mức thu nhập hiện tại, tôi thấy mức thuế mới này là hợp lý và công bằng</t>
  </si>
  <si>
    <t>Tiền thuế đóng góp vào việc cải thiện dịch vụ công, từ đó nâng cao chất lượng cuộc sống của người dân.</t>
  </si>
  <si>
    <t>Tôi ủng hộ và tuân thủ chính sách mới vì nó mang lại lợi ích cho người dân, giảm bớt gánh nặng tài chính.</t>
  </si>
  <si>
    <t>Dựa trên thông tin, tôi cho rằng với mức giảm trừ gia cảnh tăng mạnh và đơn giản hóa biểu thuế, hành vi gian lận hoặc trốn thuế sẽ dễ bị phát hiện. Tuy nhiên, do không có thông tin cụ thể về khả năng công nghệ của cơ quan thuế, tôi vẫn giữ ở mức trung bình.</t>
  </si>
  <si>
    <t>Dựa trên sự cải cách trong ngành thuế, tôi cho rằng Nhà nước đã đầu tư vào công nghệ để phát hiện và xử lý hành vi trốn thuế một cách hiệu quả. Điều này tăng thêm niềm tin của tôi về khả năng quản lý thuế.</t>
  </si>
  <si>
    <t>Quy trình khai báo thuế và quy định mới đơn giản hơn so với trước đây, giảm bớt thủ tục rườm rà. Điều này làm cho quá trình nộp thuế dễ dàng và nhanh chóng hơn.</t>
  </si>
  <si>
    <t>Biểu thuế được đơn giản hóa từ 7 bậc xuống còn 5 bậc, giúp việc tính toán thu nhập chịu thuế trở nên dễ hiểu và dễ thực hiện hơn. Đây là cải tiến lớn đối với người dân.</t>
  </si>
  <si>
    <t>Nhà nước đã công bố rõ ràng về các thay đổi trong chính sách thuế, đồng thời áp dụng mức giảm trừ gia cảnh cao hơn, làm cho việc tính thuế trở nên công bằng hơn. Điều này tăng sự tin tưởng của tôi vào cơ quan thuế.</t>
  </si>
  <si>
    <t>Nhà nước đã tăng cường mức giảm trừ gia cảnh, giúp người dân tiết kiệm nhiều chi phí thuế. Đây là một cải tiến có lợi cho mọi người, tạo cảm giác công bằng trong việc đóng góp vào ngân sách nhà nước.</t>
  </si>
  <si>
    <t>Nhà nước đã sử dụng nguồn thu từ thuế để đầu tư vào các dịch vụ công như y tế và hạ tầng. Điều này làm cho tôi tin tưởng rằng số tiền thuế đóng sẽ được sử dụng hiệu quả.</t>
  </si>
  <si>
    <t>Các thông tin về cải cách chính sách thuế đã được Nhà nước giải thích rõ ràng trên các phương tiện truyền thông, giúp người dân hiểu và ủng hộ chính sách mới này.</t>
  </si>
  <si>
    <t>Trong tổng thể, chính sách mới về thuế mang lại lợi ích cho tôi. Thu nhập của tôi tăng lên và mức giảm trừ gia cảnh cao hơn đã giảm chi phí thuế, giúp tôi ủng hộ và tuân thủ chính sách này.</t>
  </si>
  <si>
    <t>Thuế TNCN mới có các quy định rõ ràng và mức giảm trừ gia cảnh cao hơn, giúp phát hiện hành vi trốn thuế dễ dàng hơn.</t>
  </si>
  <si>
    <t>Cơ quan thuế đã đầu tư công nghệ hiện đại để theo dõi và giám sát các giao dịch tài chính, tăng khả năng phát hiện trốn thuế.</t>
  </si>
  <si>
    <t>Quy trình khai thuế đơn giản hơn với số bậc thuế giảm từ 7 xuống còn 5, thuận tiện cho người dân nộp thuế.</t>
  </si>
  <si>
    <t>Các bậc thuế mới rõ ràng và dễ hiểu, giúp tôi nắm bắt chính xác mức thuế phải đóng mà không cần sự hỗ trợ chuyên môn.</t>
  </si>
  <si>
    <t>Nhà nước đã công bố các quy định mới một cách minh bạch và khách quan, tạo niềm tin cho người dân về tính công bằng của chính sách thuế.</t>
  </si>
  <si>
    <t>Mức thuế mới phù hợp với thu nhập của tôi, giảm gánh nặng tài chính mà vẫn đảm bảo đóng góp đủ cho xã hội.</t>
  </si>
  <si>
    <t>Thuế mà tôi nộp sẽ được sử dụng hiệu quả để cải thiện chất lượng cuộc sống, như y tế và cơ sở hạ tầng.</t>
  </si>
  <si>
    <t>Nhà nước đã giải thích rõ ràng về mục tiêu của việc sửa đổi thuế mới, tạo niềm tin cho người dân về tính minh bạch.</t>
  </si>
  <si>
    <t>Tôi ủng hộ và tuân thủ chính sách mới vì nó mang lại lợi ích tài chính rõ rệt và công bằng hơn so với trước đây.</t>
  </si>
  <si>
    <t>Việc tăng mức giảm trừ gia cảnh và đơn giản hóa biểu thuế có thể làm giảm khả năng phát hiện hành vi gian lận, tuy nhiên với sự tiến bộ về công nghệ, các cơ quan thuế vẫn có thể theo dõi hiệu quả.</t>
  </si>
  <si>
    <t>Cơ quan thuế đã cải thiện hệ thống quản lý và sử dụng công nghệ tiên tiến để phát hiện và xử lý trốn thuế, tuy nhiên việc thực thi vẫn cần phải được giám sát chặt chẽ.</t>
  </si>
  <si>
    <t>Quy trình làm việc với cơ quan thuế trở nên đơn giản hơn với các quy định mới, giảm bớt thủ tục phức tạp trước đây.</t>
  </si>
  <si>
    <t>Biểu thuế được đơn giản hóa từ 7 bậc xuống còn 5 bậc, làm cho quá trình tính thuế dễ dàng và rõ ràng hơn nhiều so với trước đây.</t>
  </si>
  <si>
    <t>Nhà nước đã công bố chi tiết về cách thức thực thi mới, tuy nhiên việc đánh giá mức độ khách quan của cơ quan thuế vẫn cần thời gian để nhìn nhận.</t>
  </si>
  <si>
    <t>Mức thuế mới giảm đáng kể so với trước đây, giúp tôi thấy rằng chính sách này là công bằng và phù hợp với mức thu nhập hiện tại của mình.</t>
  </si>
  <si>
    <t>Nhà nước đã giải thích rõ ràng về mục đích của việc sửa đổi thuế lần này, tuy nhiên hiệu quả sử dụng số tiền thuế đóng chưa thể nhìn thấy ngay lập tức.</t>
  </si>
  <si>
    <t>Có sự minh bạch trong quá trình thực hiện và thông tin giải thích chính sách mới được cung cấp một cách đầy đủ, tạo niềm tin về việc tuân thủ.</t>
  </si>
  <si>
    <t>Sau khi tính toán tác động tài chính tích cực từ các thay đổi thuế, tôi đồng ý và ủng hộ chính sách mới vì nó mang lại lợi ích thực tế cho người dân.</t>
  </si>
  <si>
    <t>Hiện nay, hệ thống quản lý thuế đã được cải thiện đáng kể với việc sử dụng công nghệ hiện đại và quy trình làm việc minh bạch. Tuy nhiên, để đảm bảo hiệu quả, cần có sự giám sát chặt chẽ từ các cơ quan chức năng.</t>
  </si>
  <si>
    <t>Cơ quan thuế đã đầu tư vào công nghệ và nhân lực để phát hiện và xử lý các hành vi trốn thuế. Tuy nhiên, việc gian lận vẫn có thể xảy ra nếu không có sự phối hợp chặt chẽ giữa các cơ quan.</t>
  </si>
  <si>
    <t>Quy trình khai báo và làm việc với cơ quan thuế đã trở nên đơn giản hơn, nhưng vẫn cần cải thiện nữa để phục vụ người dân tốt hơn.</t>
  </si>
  <si>
    <t>Biểu thuế mới đơn giản hóa quy trình tính toán, dễ hiểu và dễ thực hiện. Tuy nhiên, việc thay đổi có thể khiến một số người cảm thấy khó khăn khi cần làm quen với các điều khoản mới.</t>
  </si>
  <si>
    <t>Tôi tin rằng cơ quan thuế sẽ thực thi chính sách công bằng và khách quan. Mức giảm trừ gia cảnh và bậc thuế mới giúp tôi cảm thấy hài lòng hơn về sự công bằng trong việc đóng thuế.</t>
  </si>
  <si>
    <t>Thuế tôi phải đóng thấp hơn so với trước đây, do mức giảm trừ gia cảnh tăng. Điều này khiến tôi cảm thấy rằng mức thuế là hợp lý và công bằng</t>
  </si>
  <si>
    <t>Đối với một người như tôi, số tiền thuế đóng sẽ được sử dụng để cải thiện dịch vụ công, từ đó tạo nên sự phát triển cho cộng đồng. Tôi tin rằng Nhà nước sẽ sử dụng nguồn lực này hiệu quả.</t>
  </si>
  <si>
    <t>Nhà nước đã giải thích rõ ràng về các thay đổi trong chính sách thuế và mục tiêu của nó. Điều này khiến tôi cảm thấy thông tin được minh bạch và dễ hiểu hơn</t>
  </si>
  <si>
    <t>Trong tổng thể, tôi ủng hộ và tuân thủ chính sách mới do lợi ích mà nó mang lại cho cá nhân tôi cũng như cộng đồng. Việc giảm thuế giúp cải thiện tài chính cá nhân.</t>
  </si>
  <si>
    <t>Hiện nay, với công nghệ phát triển và hệ thống quản lý thuế hiện đại, tôi tin rằng hành vi gian lận hoặc trốn thuế sẽ dễ dàng bị phát hiện. Tuy nhiên, vẫn còn cần cải thiện về sự minh bạch trong quá trình xử lý.</t>
  </si>
  <si>
    <t>Nhà nước và cơ quan thuế đã có các biện pháp công nghệ cao để quản lý và phát hiện hành vi trốn thuế, do đó tôi tin họ sẽ thực thi luật một cách nghiêm túc.</t>
  </si>
  <si>
    <t>Quy trình khai báo thuế và làm việc với cơ quan thuế đã được đơn giản hóa so với trước đây, giúp người dân dễ dàng hơn trong việc nộp thuế.</t>
  </si>
  <si>
    <t>Các bậc thuế mới ít hơn so với trước đây, do đó quá trình tính thuế và thực hiện nghĩa vụ thuế trở nên đơn giản và rõ ràng hơn.</t>
  </si>
  <si>
    <t>Tôi tin rằng Nhà nước sẽ thực thi chính sách một cách công bằng và minh bạch cho mọi người nộp thuế, dù mức độ tin cậy có thể bị ảnh hưởng bởi sự phức tạp của các quy định.</t>
  </si>
  <si>
    <t>Mức giảm trừ gia cảnh mới giúp tôi tiết kiệm được nhiều tiền thuế, do đó tôi cảm thấy công bằng trong việc đóng góp cho xã hội.</t>
  </si>
  <si>
    <t>Việc sử dụng số tiền thuế thu được để cải thiện dịch vụ công như y tế và giao thông sẽ giúp nâng cao chất lượng cuộc sống của người dân, do đó tôi tin rằng việc đóng thuế là có ý nghĩa.</t>
  </si>
  <si>
    <t>Nhà nước đã giải thích rõ ràng về mục tiêu của việc sửa đổi thuế, mặc dù vẫn còn cần cải thiện trong việc minh bạch các quy trình quản lý và sử dụng ngân sách.</t>
  </si>
  <si>
    <t>Tổng kết từ những điểm trên, tôi ủng hộ và tuân thủ chính sách mới, đồng thời sẽ cố gắng thực hiện nghĩa vụ thuế một cách đầy đủ.</t>
  </si>
  <si>
    <t>Hiện tại, hệ thống quản lý thuế đang ngày càng hoàn thiện với nhiều biện pháp phát hiện gian lận và trốn thuế. Tuy nhiên, vẫn có những trường hợp khó phát hiện.</t>
  </si>
  <si>
    <t>Nhà nước đã đầu tư vào công nghệ để giám sát và xử lý các hành vi trốn thuế hiệu quả hơn, tuy nhiên, việc thực thi vẫn phụ thuộc nhiều vào sự nỗ lực của cá nhân nộp thuế.</t>
  </si>
  <si>
    <t>So với trước đây, quy trình khai báo thuế trở nên đơn giản và dễ dàng hơn. Việc sử dụng phần mềm khai thuế trực tuyến giúp tiết kiệm thời gian cho người dân.</t>
  </si>
  <si>
    <t>Số bậc thuế được giảm từ 7 xuống còn 5, điều này làm giảm độ phức tạp và dễ dàng hơn trong việc tính toán thuế. Các mức thu nhập chịu thuế cũng hợp lý với thực tế thu nhập của người dân.</t>
  </si>
  <si>
    <t>Tôi tin rằng cơ quan thuế sẽ thực thi chính sách một cách công bằng, nhưng vẫn có những lo ngại về khả năng kiểm soát và sự minh bạch trong quá trình thực hiện.</t>
  </si>
  <si>
    <t>Với mức giảm trừ gia cảnh tăng lên và số bậc thuế được đơn giản hóa, tôi thấy rằng mức thuế mới là công bằng hơn so với trước đây. Điều này thể hiện sự quan tâm của Nhà nước đối với người dân.</t>
  </si>
  <si>
    <t>Tôi tin tưởng rằng số tiền thuế đóng sẽ được sử dụng hiệu quả để cải thiện các dịch vụ công, nhưng vẫn có những lo ngại về việc quản lý và sử dụng nguồn ngân sách.</t>
  </si>
  <si>
    <t>Nhà nước đã giải thích rõ ràng về mục tiêu của chính sách mới. Tuy nhiên, tôi hy vọng sẽ có thêm thông tin chi tiết về cách sử dụng số tiền thuế thu được để cải thiện dịch vụ công.</t>
  </si>
  <si>
    <t>Tôi ủng hộ và tuân thủ chính sách mới, bởi vì nó mang lại lợi ích tài chính cho tôi và giảm độ phức tạp trong việc khai báo thuế. Tuy nhiên, vẫn có những lo ngại về khả năng thực thi và quản lý nguồn ngân sách.</t>
  </si>
  <si>
    <t>Dù luật thuế mới có đơn giản hóa quy trình nhưng không đồng nghĩa với việc kiểm soát trốn thuế kém hiệu quả. Cơ quan thuế vẫn sẽ phát hiện và xử lý các hành vi gian lận.</t>
  </si>
  <si>
    <t>Nhà nước đã đầu tư vào công nghệ và nhân lực để nâng cao khả năng quản lý, do đó tôi tin rằng họ có đủ khả năng kiểm soát hiệu quả hơn.</t>
  </si>
  <si>
    <t>Kể từ khi thuế được giảm bớt, quy trình khai báo trở nên đơn giản hơn. Tôi không cần phải lo lắng về những thủ tục phức tạp trước đây.</t>
  </si>
  <si>
    <t>Biểu thuế mới có ít bậc hơn và dễ hiểu hơn so với trước, do đó việc tính toán và nộp thuế trở nên thuận tiện nhiều hơn.</t>
  </si>
  <si>
    <t>Tôi tin rằng Nhà nước sẽ thực thi chính sách một cách công bằng và minh bạch. Việc giảm trừ gia cảnh tăng lên cho thấy sự quan tâm đến người dân.</t>
  </si>
  <si>
    <t>Thuế mới có mức giảm trừ cao hơn, phù hợp với thu nhập của tôi nên cảm thấy công bằng</t>
  </si>
  <si>
    <t>Nhiều ưu đãi và cải tiến về thuế sẽ giúp nguồn lực được sử dụng hiệu quả cho các dịch vụ công quan trọng.</t>
  </si>
  <si>
    <t>Nhà nước đã thông báo rõ ràng về mục đích và nguyên nhân của việc sửa đổi luật thuế, tăng sự tin tưởng</t>
  </si>
  <si>
    <t>Chính sách mới có nhiều lợi ích cho người dân như tôi nên sẽ ủng hộ và tuân thủ.</t>
  </si>
  <si>
    <t>Hệ thống quản lý thuế hiện nay đã được cải thiện đáng kể, nhưng vẫn có nhiều điểm chưa hoàn thiện. Tuy nhiên, với sự phát triển của công nghệ, khả năng phát hiện hành vi gian lận hoặc trốn thuế sẽ tốt hơn.</t>
  </si>
  <si>
    <t>Cơ quan thuế đã đầu tư vào công nghệ và nhân lực để quản lý hiệu quả hơn. Tuy nhiên, vẫn cần thêm thời gian để chứng minh rằng họ có đủ khả năng xử lý nghiêm các hành vi trốn thuế.</t>
  </si>
  <si>
    <t>So với trước đây, quy trình khai báo và làm việc với cơ quan thuế đã đơn giản hơn. Tuy nhiên, vẫn còn một số thủ tục rườm rà cần cải thiện.</t>
  </si>
  <si>
    <t>Biểu thuế mới có ít bậc hơn nên dễ hiểu và thực hiện đơn giản hơn. Mức giảm trừ gia cảnh cũng cao hơn, giúp việc tính thuế trở nên thuận tiện hơn cho người dân.</t>
  </si>
  <si>
    <t>Tôi tin rằng Nhà nước sẽ thực thi chính sách một cách công bằng và khách quan. Tuy nhiên, sự minh bạch về cách thực hiện vẫn cần được cải thiện để tăng thêm niềm tin.</t>
  </si>
  <si>
    <t>Mức thuế mới phù hợp với thu nhập của tôi và giảm trừ gia cảnh cao hơn giúp tôi cảm thấy công bằng. Việc đơn giản hóa biểu thuế cũng tạo ra sự công bằng cho người nộp thuế.</t>
  </si>
  <si>
    <t>Tôi tin rằng số tiền thuế đóng sẽ được sử dụng hiệu quả để cải thiện dịch vụ công, nhưng vẫn cần thêm thông tin về cách sử dụng nguồn thu thuế.</t>
  </si>
  <si>
    <t>Nhà nước đã giải thích rõ ràng về mục tiêu của việc sửa đổi thuế. Tuy nhiên, tôi hy vọng sẽ có thêm thông tin chi tiết hơn về quy trình thực hiện để tăng sự minh bạch.</t>
  </si>
  <si>
    <t>Chính sách mới đã cải thiện đáng kể về mặt giảm trừ và đơn giản hóa biểu thuế. Tôi ủng hộ và tuân thủ chính sách này, nhưng vẫn mong muốn có thêm cải tiến trong tương lai.</t>
  </si>
  <si>
    <t>Do không có thông tin cụ thể về khả năng phát hiện và xử lý của cơ quan thuế, tôi đánh giá ở mức trung bình.</t>
  </si>
  <si>
    <t>Cơ quan thuế đã tăng cường công nghệ quản lý thuế, nhưng vẫn cần thời gian để áp dụng hiệu quả.</t>
  </si>
  <si>
    <t>Quy trình khai báo và làm việc với cơ quan thuế đơn giản hơn, giảm bớt các thủ tục rườm rà.</t>
  </si>
  <si>
    <t>Cách tính thuế mới dễ hiểu và thực hiện thuận tiện hơn so với quy định cũ.</t>
  </si>
  <si>
    <t>Tôi tin rằng cơ quan thuế sẽ công bằng khi áp dụng chính sách, nhưng cần thời gian để kiểm chứng.</t>
  </si>
  <si>
    <t>Thuế đóng góp vào việc cải thiện hạ tầng và dịch vụ công, tôi tin rằng số tiền đóng sẽ được sử dụng hiệu quả.</t>
  </si>
  <si>
    <t>Có thông tin giải thích rõ ràng về mục tiêu của chính sách mới, tuy nhiên cần thêm minh bạch trong quá trình thực thi.</t>
  </si>
  <si>
    <t>Nhờ giảm trừ gia cảnh và đơn giản hóa quy định thuế, tôi ủng hộ và sẽ tuân thủ chính sách mới.</t>
  </si>
  <si>
    <t>Có các quy định quản lý thuế hiện hành và cơ quan thuế có công nghệ phát hiện gian lận, nhưng vẫn lo ngại về khả năng thực thi.</t>
  </si>
  <si>
    <t>Nhà nước có đủ khả năng phát hiện và xử lý trốn thuế với công nghệ hiện đại</t>
  </si>
  <si>
    <t>Thủ tục khai báo thuế đơn giản hơn, nhưng vẫn cần thời gian để quen thuộc.</t>
  </si>
  <si>
    <t>Cách tính thuế đơn giản và dễ hiểu, giảm bớt sự phức tạp</t>
  </si>
  <si>
    <t>Niềm tin vào cơ quan thuế vẫn cần thời gian xây dựng, dù có thông tin rõ ràng về chính sách mới.</t>
  </si>
  <si>
    <t>Thuế mới đóng thấp hơn so với trước đây, thấy công bằng</t>
  </si>
  <si>
    <t>Đồng ý với việc sử dụng tiền thuế vào các dịch vụ công</t>
  </si>
  <si>
    <t>Nhìn chung có minh bạch về mục tiêu sửa đổi chính sách, nhưng cần thêm thông tin</t>
  </si>
  <si>
    <t>Hưởng lợi từ thuế mới và giảm gian lận, nên ủng hộ</t>
  </si>
  <si>
    <t>Hiện tại, các quy định quản lý thuế chưa đủ mạnh để phát hiện gian lận hoặc trốn thuế.</t>
  </si>
  <si>
    <t>Cơ quan thuế có công nghệ và khả năng phát hiện gian lận nhưng thực tế còn hạn chế do thiếu nhân lực.</t>
  </si>
  <si>
    <t>Phương án mới đơn giản hóa quy trình khai báo và làm việc với cơ quan thuế, tạo thuận lợi cho người nộp thuế.</t>
  </si>
  <si>
    <t>Các bậc thuế được giảm từ 7 xuống 5, giúp việc tính thuế dễ dàng hơn.</t>
  </si>
  <si>
    <t>Tôi tin rằng Nhà nước sẽ công bằng trong quá trình thực thi chính sách mới, nhưng cần thời gian để chứng minh.</t>
  </si>
  <si>
    <t>Với thu nhập 13.350 triệu/tháng, mức thuế 0 đồng là hợp lý cho người như tôi.</t>
  </si>
  <si>
    <t>Nhà nước đã giải thích rõ về mục tiêu của chính sách mới, nhưng cần thêm minh bạch hơn trong thực thi.</t>
  </si>
  <si>
    <t>Tôi ủng hộ và sẽ tuân thủ chính sách mới vì nó đơn giản hóa quy trình và giảm thuế cho người như tôi.</t>
  </si>
  <si>
    <t>Dựa trên các quy định quản lý thuế mới, mức giảm trừ gia cảnh tăng lên và số bậc thuế được đơn giản hóa. Tuy nhiên, do không có thông tin cụ thể về khả năng phát hiện hành vi gian lận, tôi vẫn giữ một phần nghi ngờ.</t>
  </si>
  <si>
    <t>Công nghệ và cơ sở hạ tầng của nhà nước đã được cải thiện đáng kể trong thời gian gần đây. Tuy nhiên, việc thực thi pháp luật thuế phụ thuộc vào nhiều yếu tố khác nhau nên tôi không đánh giá quá cao.</t>
  </si>
  <si>
    <t>Hệ thống khai báo thuế và quy trình làm việc với cơ quan thuế đã đơn giản hơn, đặc biệt là khi mức giảm trừ gia cảnh tăng lên. Điều này thuận lợi cho người dân.</t>
  </si>
  <si>
    <t>Biểu thuế mới có ít bậc hơn và ngưỡng chịu thuế rõ ràng hơn, làm cho việc tính toán thuế trở nên dễ dàng và dễ hiểu hơn.</t>
  </si>
  <si>
    <t>Tôi tin rằng Nhà nước sẽ thực thi chính sách một cách công tâm và đối xử bình đẳng với mọi người nộp thuế. Mức giảm trừ gia cảnh tăng lên làm cho tôi cảm thấy công bằng hơn.</t>
  </si>
  <si>
    <t>Mức thuế mới mà tôi phải đóng phù hợp với thu nhập của mình, do đó tôi cảm thấy công bằng khi đóng góp vào việc cải thiện dịch vụ công</t>
  </si>
  <si>
    <t>Việc sử dụng số tiền thuế đóng vào các dịch vụ công như y tế và đường xá sẽ cải thiện chất lượng cuộc sống, do đó tôi tin tưởng rằng số tiền thuế của mình có ích.</t>
  </si>
  <si>
    <t>Mặc dù chưa rõ ràng về toàn bộ quy trình thực thi, nhưng Nhà nước đã cung cấp thông tin chi tiết về mục tiêu và lý do của việc sửa đổi thuế</t>
  </si>
  <si>
    <t>Chính sách mới mang lại lợi ích tài chính cho tôi và đơn giản hóa thủ tục khai báo. Tôi đồng ý ủng hộ và tuân thủ chính sách này.</t>
  </si>
  <si>
    <t>Quy định quản lý thuế hiện nay có nhiều biện pháp kiểm soát, tuy nhiên việc gian lận vẫn không thể loại trừ hoàn toàn.</t>
  </si>
  <si>
    <t>Nhà nước và cơ quan thuế đã đầu tư vào công nghệ để giám sát hiệu quả hơn, nhưng vẫn cần cải thiện về độ chính xác trong phát hiện gian lận.</t>
  </si>
  <si>
    <t>Thủ tục khai báo thuế đơn giản hơn trước đây và dễ thực hiện hơn với sự hỗ trợ của công nghệ.</t>
  </si>
  <si>
    <t>Biểu thuế mới có ít bậc hơn, giúp việc tính toán và nộp thuế trở nên dễ dàng và chính xác hơn.</t>
  </si>
  <si>
    <t>Tôi tin Nhà nước sẽ thực thi chính sách một cách khách quan và công bằng đối với mọi người nộp thuế.</t>
  </si>
  <si>
    <t>Thuế mới được tính dựa trên mức thu nhập của tôi, phù hợp với tình hình kinh tế hiện tại.</t>
  </si>
  <si>
    <t>Tài chính nhà nước sẽ được sử dụng hiệu quả để cải thiện dịch vụ công và phát triển đất nước.</t>
  </si>
  <si>
    <t>Nhà nước đã giải thích rõ mục tiêu của việc sửa đổi thuế, nhưng vẫn cần thông tin thêm về cách thực hiện.</t>
  </si>
  <si>
    <t>Tôi ủng hộ và sẽ tuân thủ chính sách mới do lợi ích tài chính và khả năng thực hiện đơn giản hơn.</t>
  </si>
  <si>
    <t>Nếu hành vi gian lận hoặc trốn thuế bị phát hiện, tôi sẽ không tin rằng nó sẽ được xử lý nghiêm túc do thiếu thông tin về hệ thống quản lý thuế mới.</t>
  </si>
  <si>
    <t>Tôi hy vọng rằng Nhà nước và cơ quan thuế có đủ khả năng công nghệ để phát hiện gian lận, nhưng không chắc chắn.</t>
  </si>
  <si>
    <t>So với trước đây, thủ tục khai báo thuế trở nên đơn giản hơn, tôi thấy thuận tiện hơn nhiều.</t>
  </si>
  <si>
    <t>Cách tính và bậc thuế mới đơn giản hóa quá trình, dễ thực hiện hơn so với trước đây.</t>
  </si>
  <si>
    <t>Tôi tin rằng Nhà nước sẽ công bằng khi áp dụng chính sách mới, nhưng cần thêm thời gian để kiểm chứng.</t>
  </si>
  <si>
    <t>Mức thuế mới giảm đáng kể so với trước đây và phù hợp với thu nhập của tôi, tạo cảm giác công bằng.</t>
  </si>
  <si>
    <t>Chính phủ đã giải thích rõ ràng về mục tiêu và lý do của việc sửa đổi thuế, tôi thấy thông tin đầy đủ.</t>
  </si>
  <si>
    <t>Dựa trên mức độ phát triển công nghệ hiện nay, tôi tin rằng hành vi gian lận hoặc trốn thuế sẽ dễ dàng bị phát hiện. Tuy nhiên, việc quản lý thuế vẫn phụ thuộc vào hiệu quả của cơ quan thuế.</t>
  </si>
  <si>
    <t>Việc ứng dụng công nghệ trong quản lý thuế là cần thiết và đã được cải thiện đáng kể. Tôi tin rằng Nhà nước có đủ khả năng để phát hiện và xử lý các hành vi trốn thuế hiệu quả.</t>
  </si>
  <si>
    <t>Quy trình làm việc với cơ quan thuế trở nên đơn giản hơn, thủ tục khai báo thuế cũng thuận tiện hơn so với trước đây. Điều này giúp tôi tiết kiệm thời gian và công sức.</t>
  </si>
  <si>
    <t>Số bậc thuế được rút gọn từ 7 xuống còn 5, khiến việc tính toán thuế trở nên dễ dàng hơn. Điều này giúp tôi hiểu rõ hơn về phương án mới của chính sách thuế</t>
  </si>
  <si>
    <t>Tôi tin rằng cơ quan thuế sẽ thực thi chính sách một cách khách quan và công bằng, đảm bảo mọi người nộp thuế đều được đối xử bình đẳng.</t>
  </si>
  <si>
    <t>Tác động tài chính từ việc áp dụng luật mới giúp tôi tiết kiệm 75.1% so với trước đây. Điều này khiến tôi cảm thấy mức thuế mới là công bằng và phù hợp với thu nhập của mình.</t>
  </si>
  <si>
    <t>Các khoản tiền thuế mà tôi đóng sẽ được sử dụng để cải thiện các dịch vụ công, từ đó nâng cao chất lượng cuộc sống cho người dân. Điều này tăng tính trao đổi giữa nhà nước và công dân.</t>
  </si>
  <si>
    <t>Nhà nước đã giải thích rõ ràng về mục tiêu của việc sửa đổi thuế lần này, tôi tin rằng thông tin được cung cấp là minh bạch.</t>
  </si>
  <si>
    <t>Sau khi xem xét các quyền lợi và nghĩa vụ mới, tôi ủng hộ và tuân thủ chính sách mới. Việc cải cách thuế giúp giảm gánh nặng tài chính cho người dân như tôi.</t>
  </si>
  <si>
    <t>Thuế TNCN có nhiều cải cách, nhưng với mức thuế giảm đáng kể, tôi nghi ngờ khả năng phát hiện và xử lý nghiêm các hành vi trốn thuế.</t>
  </si>
  <si>
    <t>Tăng cường công nghệ quản lý thuế trong thời đại số có thể giúp, nhưng vẫn cần cải thiện về mặt thực thi.</t>
  </si>
  <si>
    <t>Quy trình khai báo nay đơn giản hơn, giảm bớt các bước rườm rà trước đây.</t>
  </si>
  <si>
    <t>Bậc thuế mới đơn giản hóa việc tính toán và dễ hiểu hơn so với trước đây.</t>
  </si>
  <si>
    <t>Tôi tin rằng cơ quan thuế sẽ thực thi chính sách công bằng, nhưng vẫn có chút lo ngại về khả năng thực hiện.</t>
  </si>
  <si>
    <t>Thuế mới giảm đáng kể cho tôi nên cảm thấy mức thuế này khá công bằng.</t>
  </si>
  <si>
    <t>Tiền thuế đóng góp vào việc cải thiện dịch vụ công, nhưng hiệu quả sử dụng còn cần giám sát.</t>
  </si>
  <si>
    <t>Chính phủ đã giải thích rõ ràng về mục tiêu và lý do thay đổi chính sách.</t>
  </si>
  <si>
    <t>Tác động tài chính tích cực làm tăng Niềm tin, nhưng vẫn cần cải thiện quản lý thuế để tăng điểm.</t>
  </si>
  <si>
    <t>Tăng mức giảm trừ gia cảnh và đơn giản hóa biểu thuế có thể tăng tính minh bạch, nhưng vẫn cần sự tuân thủ của người dân.</t>
  </si>
  <si>
    <t>Cơ quan thuế đã đầu tư công nghệ để quản lý thuế, tuy nhiên việc gian lận trốn thuế vẫn còn tồn tại.</t>
  </si>
  <si>
    <t>Quy trình khai thuế và quy định mới đơn giản hơn so với trước đây, dễ thực hiện hơn.</t>
  </si>
  <si>
    <t>Biểu thuế mới có ít bậc hơn nên dễ hiểu và thực hiện hơn, giảm độ phức tạp cho người dân.</t>
  </si>
  <si>
    <t>Nhà nước đã cải cách để công bằng hóa mức thuế, nhưng vẫn cần sự tuân thủ của mọi người.</t>
  </si>
  <si>
    <t>Mức thuế mới phù hợp với thu nhập hiện tại của tôi và giảm gánh nặng tài chính.</t>
  </si>
  <si>
    <t>Thuế đóng góp vào việc cải thiện chất lượng dịch vụ công, tuy nhiên hiệu quả sử dụng còn phụ thuộc vào quản lý.</t>
  </si>
  <si>
    <t>Nhà nước đã giải thích rõ mục tiêu và nguyên nhân của chính sách mới, tăng sự tin tưởng từ người dân.</t>
  </si>
  <si>
    <t>Chính sách cải cách thuế giúp giảm gánh nặng tài chính và đơn giản hóa quy trình, tôi sẽ ủng hộ.</t>
  </si>
  <si>
    <t>Hiện nay, các quy định quản lý thuế đã được cải thiện đáng kể và công nghệ hiện đại giúp việc phát hiện hành vi gian lận trở nên dễ dàng hơn.</t>
  </si>
  <si>
    <t>Cơ quan thuế có đủ nguồn lực và công nghệ để phát hiện, xử lý nghiêm các hành vi trốn thuế, góp phần duy trì sự công bằng trong hệ thống thuế.</t>
  </si>
  <si>
    <t>Quy trình khai báo thuế đơn giản hơn với mức giảm trừ gia cảnh cao và số bậc thuế ít hơn, tạo điều kiện thuận lợi cho người dân.</t>
  </si>
  <si>
    <t>Cách tính thuế mới đơn giản, dễ hiểu và dễ thực hiện hơn so với trước đây, giúp tôi không còn phải lo lắng về việc bị sai sót trong khai báo.</t>
  </si>
  <si>
    <t>Tôi tin rằng Nhà nước sẽ công bằng khi thực thi chính sách mới, đảm bảo tính khách quan và minh bạch trong quá trình thu thuế.</t>
  </si>
  <si>
    <t>Với mức giảm trừ gia cảnh cao và số bậc thuế ít hơn, tôi thấy rằng mức thuế tôi phải đóng là công bằng với thu nhập của mình.</t>
  </si>
  <si>
    <t>Tôi tin tưởng rằng số tiền thuế tôi đóng sẽ được sử dụng hiệu quả để cải thiện dịch vụ công và chất lượng cuộc sống.</t>
  </si>
  <si>
    <t>Nhà nước đã giải thích rõ ràng về mục tiêu của việc sửa đổi chính sách thuế, giúp người dân hiểu và ủng hộ hơn.</t>
  </si>
  <si>
    <t>Sau khi xem xét các quyền lợi và nghĩa vụ, tôi hoàn toàn đồng ý với chính sách mới và sẽ tuân thủ nó.</t>
  </si>
  <si>
    <t>Hiện nay, cơ quan thuế đã tăng cường công nghệ và quản lý, tuy nhiên vẫn chưa hoàn toàn ngăn chặn được gian lận.</t>
  </si>
  <si>
    <t>Nhà nước đã đầu tư vào hệ thống công nghệ thông tin để phát hiện trốn thuế nhưng cần thời gian để tối ưu hóa.</t>
  </si>
  <si>
    <t>Quy trình khai báo và làm việc với cơ quan thuế trở nên đơn giản hơn, giảm bớt các thủ tục rườm rà trước đây.</t>
  </si>
  <si>
    <t>Biểu thuế mới rõ ràng hơn, số bậc thuế ít đi giúp người dân dễ dàng tính toán và thực hiện.</t>
  </si>
  <si>
    <t>Tôi tin rằng cơ quan thuế sẽ công tâm trong việc thực thi chính sách, nhưng vẫn có sự bất đồng về cách nhìn nhận của từng cá nhân.</t>
  </si>
  <si>
    <t>Như một người thu nhập trung bình, mức thuế mới tôi phải đóng là hợp lý và công bằng.</t>
  </si>
  <si>
    <t>Tôi tin rằng số tiền thuế đóng sẽ được sử dụng hiệu quả để cải thiện hạ tầng và dịch vụ công</t>
  </si>
  <si>
    <t>Nhà nước đã giải thích rõ về mục đích của việc sửa đổi luật thuế, tuy nhiên vẫn có nhiều điểm mơ hồ cần cải thiện.</t>
  </si>
  <si>
    <t>Tôi ủng hộ chính sách mới vì nó giúp tôi tiết kiệm được chi phí thuế và thủ tục làm việc với cơ quan thuế trở nên đơn giản hơn.</t>
  </si>
  <si>
    <t>Dù có công nghệ hỗ trợ, nhưng với các quy định quản lý thuế hiện nay vẫn còn nhiều lỗ hổng để gian lận.</t>
  </si>
  <si>
    <t>Cơ quan thuế đã cải thiện đáng kể trong việc phát hiện trốn thuế thông qua công nghệ số, nhưng hoàn toàn chắc chắn cần thêm thời gian để tối ưu hóa.</t>
  </si>
  <si>
    <t>Thủ tục khai báo thuế và làm việc với cơ quan thuế đơn giản hơn so với trước đây, đặc biệt là sau khi cải cách biểu thuế.</t>
  </si>
  <si>
    <t>Biểu thuế mới đơn giản hóa bậc thuế từ 7 xuống 5, dễ hiểu và thực hiện hơn, giảm bớt nỗi lo về tính phức tạp của việc đóng thuế.</t>
  </si>
  <si>
    <t>Tôi tin rằng cơ quan thuế sẽ cố gắng công tâm trong quá trình thực thi chính sách mới, nhưng vẫn có nguy cơ bị thiên vị.</t>
  </si>
  <si>
    <t>Với mức thuế giảm đáng kể và giảm trừ gia cảnh lớn hơn, tôi cảm thấy mình đóng đúng mức phù hợp với thu nhập của mình.</t>
  </si>
  <si>
    <t>Thuê được sử dụng để cải thiện dịch vụ công là điều quan trọng, nhưng hiệu quả thực sự còn phụ thuộc vào việc quản lý tài chính của Nhà nước.</t>
  </si>
  <si>
    <t>Nhà nước đã giải thích rõ về mục tiêu và lý do của cải cách thuế, tuy nhiên vẫn cần nhiều thông tin hơn về kế hoạch chi tiêu từ ngân sách thu được.</t>
  </si>
  <si>
    <t>Sau khi xem xét các quyền lợi và nghĩa vụ mới, tôi đồng ý với chính sách mới và sẽ tuân thủ nó vì nó mang lại nhiều lợi ích cho tôi.</t>
  </si>
  <si>
    <t>Hiện nay, các quy định quản lý thuế chưa hoàn toàn chặt chẽ, việc phát hiện và xử lý gian lận hay trốn thuế vẫn còn khó khăn. Tuy nhiên, với sự cải cách, tôi hy vọng tình hình sẽ cải thiện.</t>
  </si>
  <si>
    <t>Cơ quan thuế có khả năng và công nghệ để phát hiện gian lận, nhưng hiệu quả thực tế còn phụ thuộc vào nhiều yếu tố khác như nguồn lực và quyết tâm xử lý của cơ quan chức năng.</t>
  </si>
  <si>
    <t>Thủ tục khai báo thuế đã đơn giản hơn với việc giảm số bậc thuế, nhưng vẫn cần thời gian để người dân làm quen.</t>
  </si>
  <si>
    <t>Cách tính và các bậc thuế mới đơn giản hơn so với trước đây, giúp tôi dễ dàng tính toán và nộp thuế.</t>
  </si>
  <si>
    <t>Tôi tin rằng cơ quan thuế sẽ thực thi chính sách một cách công bằng, nhưng cần thời gian để thấy kết quả.</t>
  </si>
  <si>
    <t>Mức thuế mới có thể coi là hợp lý cho thu nhập của tôi, giúp tiết kiệm tiền và cải thiện chất lượng cuộc sống.</t>
  </si>
  <si>
    <t>Tôi tin rằng số tiền đóng thuế sẽ được sử dụng hiệu quả để cải thiện các dịch vụ công, nhưng cần thời gian để thấy kết quả cụ thể.</t>
  </si>
  <si>
    <t>Nhà nước đã giải thích rõ ràng về mục tiêu của việc cải cách thuế, tạo niềm tin cho người dân.</t>
  </si>
  <si>
    <t>Sau khi xem xét các quyền lợi và nghĩa vụ, tôi ủng hộ chính sách mới. Nó giúp tiết kiệm tiền và đơn giản hóa quy trình nộp thuế.</t>
  </si>
  <si>
    <t>Hiện nay, Nhà nước đã tăng cường các biện pháp quản lý thuế và công nghệ hiện đại nên tin rằng hành vi gian lận sẽ bị phát hiện.</t>
  </si>
  <si>
    <t>Cơ quan thuế có đủ khả năng với hệ thống công nghệ thông tin tiên tiến để kiểm soát và xử lý các trường hợp trốn thuế.</t>
  </si>
  <si>
    <t>So với trước đây, quy trình khai báo thuế đã đơn giản hơn và tiện lợi hơn nhiều nhờ có ứng dụng điện tử.</t>
  </si>
  <si>
    <t>Biểu thuế mới có ít bậc hơn nên dễ dàng tính toán và thực hiện hơn so với trước đây.</t>
  </si>
  <si>
    <t>Tôi tin rằng Nhà nước sẽ công bằng trong việc thực thi chính sách, đảm bảo mọi người nộp thuế đều được đối xử như nhau.</t>
  </si>
  <si>
    <t>Mức thuế mới mà tôi phải đóng là hợp lý và phù hợp với thu nhập của tôi, thể hiện sự công bằng trong việc phân chia gánh nặng thuế</t>
  </si>
  <si>
    <t>Tôi tin rằng số tiền thuế đóng sẽ được sử dụng hiệu quả để cải thiện các dịch vụ công như y tế và hạ tầng.</t>
  </si>
  <si>
    <t>Nhà nước đã giải thích rõ ràng về mục tiêu và lý do của việc sửa đổi chính sách thuế lần này, tăng sự tin tưởng từ người dân</t>
  </si>
  <si>
    <t>Tôi ủng hộ và tuân thủ chính sách mới vì nó giúp giảm gánh nặng tài chính cho tôi mà vẫn đảm bảo công bằng trong việc phân chia gánh nặng thuế</t>
  </si>
  <si>
    <t>Dù các quy định quản lý thuế hiện nay có nhiều cải tiến nhưng tôi vẫn nghi ngờ khả năng phát hiện trốn thuế.</t>
  </si>
  <si>
    <t>Tôi tin rằng Nhà nước sẽ tìm cách sử dụng công nghệ tốt hơn để phát hiện và xử lý các hành vi gian lận, trốn thuế.</t>
  </si>
  <si>
    <t>Quy trình làm việc với cơ quan thuế đã đơn giản hóa nhiều, thủ tục khai báo thuế cũng thuận tiện hơn so với trước đây.</t>
  </si>
  <si>
    <t>Cách tính thuế và các bậc thuế mới rất dễ hiểu, không còn quá phức tạp như trước nữa.</t>
  </si>
  <si>
    <t>Dựa trên mức thuế mới, tôi thấy mình đóng đúng mức phù hợp với thu nhập của mình.</t>
  </si>
  <si>
    <t>Hiểu được cách sử dụng số tiền thuế đã đóng vào các dịch vụ công như y tế và đường xá, tôi tin rằng nó sẽ được sử dụng hiệu quả.</t>
  </si>
  <si>
    <t>Tôi ủng hộ và tuân thủ chính sách mới, bởi nó giúp tôi tiết kiệm chi phí và đơn giản hóa quy trình làm việc với cơ quan thuế.</t>
  </si>
  <si>
    <t>Tăng mức giảm trừ gia cảnh và đơn giản hóa biểu thuế có thể làm giảm cơ hội trốn thuế, nhưng vẫn còn nghi ngờ về khả năng thực thi của Nhà nước.</t>
  </si>
  <si>
    <t>Nhà nước đã đầu tư công nghệ để quản lý và phát hiện hành vi trốn thuế, nhưng hiệu quả thực tế còn phụ thuộc vào nhiều yếu tố.</t>
  </si>
  <si>
    <t>Thủ tục khai báo thuế đơn giản hơn trước, chỉ cần xác nhận thu nhập và giảm trừ gia cảnh, thuận tiện hơn cho người dân.</t>
  </si>
  <si>
    <t>Biểu thuế mới đơn giản hóa bậc thuế từ 7 xuống còn 5, dễ dàng tính toán và hiểu hơn so với trước đây.</t>
  </si>
  <si>
    <t>Niềm tin vào Nhà nước thực thi chính sách công bằng, đặc biệt là khi mức giảm trừ gia cảnh cao hơn thu nhập.</t>
  </si>
  <si>
    <t>Thuế theo phương án mới phù hợp với thu nhập của tôi và được giảm trừ nhiều hơn, cảm thấy thuế đóng được sử dụng hiệu quả cho dịch vụ công.</t>
  </si>
  <si>
    <t>Số tiền thuế đóng sẽ góp vào việc cải thiện hạ tầng và dịch vụ công, tạo ra môi trường sống tốt hơn.</t>
  </si>
  <si>
    <t>Nhà nước đã giải thích về mục tiêu của việc sửa đổi thuế, nhưng cần thêm thông tin chi tiết hơn để minh bạch hơn.</t>
  </si>
  <si>
    <t>Chấp nhận và ủng hộ chính sách mới vì giảm gánh nặng thuế và đơn giản hóa quy trình khai báo.</t>
  </si>
  <si>
    <t>Công nghệ ngày càng tiên tiến, việc quản lý dữ liệu cá nhân và thu nhập của người dân giúp cơ quan thuế dễ dàng phát hiện các hành vi gian lận hơn.</t>
  </si>
  <si>
    <t>Đơn giản hóa biểu thuế và tăng mức giảm trừ gia cảnh có thể làm cho việc khai báo thuế trở nên thuận tiện, nhanh chóng hơn.</t>
  </si>
  <si>
    <t>Số bậc thuế từ 7 xuống còn 5 đã đơn giản hóa quá trình tính thuế và dễ hiểu hơn.</t>
  </si>
  <si>
    <t>Nhà nước đã tăng mức giảm trừ gia cảnh, điều này thể hiện sự công bằng trong việc phân chia gánh nặng thuế giữa người dân.</t>
  </si>
  <si>
    <t>Thuế suất mới và mức thuế được tính dựa trên thu nhập thực tế của tôi, tôi thấy là hợp lý.</t>
  </si>
  <si>
    <t>Việc tăng mức giảm trừ gia cảnh cho phép tôi tiết kiệm nhiều tiền, điều này làm tăng niềm tin rằng số tiền thuế đóng sẽ được sử dụng hiệu quả để cải thiện dịch vụ công.</t>
  </si>
  <si>
    <t>Nhà nước đã đưa ra giải thích rõ ràng về lý do và mục tiêu của việc sửa đổi thuế, điều này làm tăng sự tin tưởng vào quyết định của họ.</t>
  </si>
  <si>
    <t>Dựa trên các lợi ích tài chính và thuận tiện mới, tôi ủng hộ và sẽ tuân thủ chính sách mới.</t>
  </si>
  <si>
    <t>Thuế hiện nay có nhiều biện pháp quản lý, nhưng mức độ phát hiện gian lận hay trốn thuế vẫn còn phụ thuộc vào sự tuân thủ của cá nhân.</t>
  </si>
  <si>
    <t>Cơ quan thuế có sử dụng công nghệ để hỗ trợ trong việc thu thập và kiểm soát thông tin, nhưng không rõ liệu khả năng này đã được phát huy tối đa hay chưa.</t>
  </si>
  <si>
    <t>Quy trình khai báo thuế và làm việc với cơ quan thuế hiện nay đơn giản hơn so với trước đây, giúp tiết kiệm thời gian cho người dân.</t>
  </si>
  <si>
    <t>Biểu thuế mới có ít bậc hơn, dễ tính toán hơn. Tuy nhiên, vẫn cần thêm thời gian để làm quen và nắm bắt.</t>
  </si>
  <si>
    <t>Tôi tin Nhà nước sẽ thực thi chính sách một cách công bằng, nhưng việc này phụ thuộc vào sự tuân thủ của các cơ quan chức năng.</t>
  </si>
  <si>
    <t>Với mức thu nhập hiện tại và giảm trừ gia cảnh cao hơn, tôi thấy mức thuế mới là hợp lý. Điều này tăng niềm tin về tính công bằng.</t>
  </si>
  <si>
    <t>Thuê đóng góp cho phát triển hạ tầng và dịch vụ công, nhưng chi tiết cụ thể về việc sử dụng số tiền vẫn chưa rõ ràng với tôi.</t>
  </si>
  <si>
    <t>Nhà nước đã giải thích khá kỹ về chính sách mới, nhưng tôi mong muốn có thêm thông tin chi tiết về mục tiêu và hiệu quả thực tế của nó.</t>
  </si>
  <si>
    <t>Tôi ủng hộ chính sách mới vì giảm gánh nặng thuế cho cá nhân, đồng thời tăng độ công bằng. Tuy nhiên, vẫn cần cải thiện thêm trong việc minh bạch hóa sử dụng nguồn thu thuế.</t>
  </si>
  <si>
    <t>Hiện nay, các cơ quan thuế đã có hệ thống thông tin điện tử khá phát triển nên việc phát hiện và xử lý hành vi gian lận, trốn thuế sẽ dễ dàng hơn. Tuy nhiên, vẫn còn cần cải thiện về mặt quản lý.</t>
  </si>
  <si>
    <t>Cơ quan thuế có nhiều nguồn lực và công nghệ hỗ trợ nên khả năng phát hiện, xử lý các hành vi trốn thuế được nâng cao. Tuy nhiên, vẫn cần cải thiện về mặt quản lý.</t>
  </si>
  <si>
    <t>Quy trình khai báo thuế và làm việc với cơ quan thuế đã đơn giản hơn so với trước đây. Việc tăng giảm trừ gia cảnh và số bậc thuế cũng giúp thuận tiện cho người nộp thuế.</t>
  </si>
  <si>
    <t>Cách tính thuế và các bậc thuế mới đơn giản, dễ hiểu và dễ thực hiện hơn so với trước đây, đặc biệt là khi mức giảm trừ gia cảnh được tăng lên.</t>
  </si>
  <si>
    <t>Tôi tin rằng cơ quan thuế sẽ thực thi chính sách một cách công bằng và khách quan. Tuy nhiên, vẫn cần cải thiện về mặt minh bạch thông tin.</t>
  </si>
  <si>
    <t>Mức thuế mới được giảm so với trước đây nhờ mức giảm trừ gia cảnh tăng lên nên tôi thấy nó công bằng hơn. Người có thu nhập như tôi đóng mức thuế này là hợp lý.</t>
  </si>
  <si>
    <t>Tài nguyên thuế được sử dụng hiệu quả để cải thiện các dịch vụ công, do đó số tiền thuế mà tôi đóng sẽ được sử dụng một cách công bằng và hiệu quả.</t>
  </si>
  <si>
    <t>Nhà nước đã giải thích khá rõ về mục tiêu của việc sửa đổi chính sách thuế lần này. Tuy nhiên, vẫn cần cải thiện về mặt minh bạch thông tin.</t>
  </si>
  <si>
    <t>Sau khi xem xét các quyền lợi và nghĩa vụ, tôi ủng hộ và tuân thủ chính sách mới hiện nay do nó mang lại nhiều lợi ích cho tôi. Tuy nhiên, vẫn cần cải thiện về mặt minh bạch thông tin.</t>
  </si>
  <si>
    <t>Với mức giảm trừ gia cảnh cao hơn và số bậc thuế đơn giản, việc phát hiện gian lận trở nên khó khăn hơn. Tuy nhiên, với cơ quan thuế có đủ khả năng quản lý, tôi vẫn tin rằng hành vi trốn thuế sẽ bị xử lý nghiêm.</t>
  </si>
  <si>
    <t>Nhà nước đã nâng cao mức giảm trừ gia cảnh và đơn giản hóa biểu thuế, giảm nguy cơ gian lận. Công nghệ hiện đại cũng giúp họ phát hiện nhanh chóng hơn.</t>
  </si>
  <si>
    <t>So với trước đây, quy trình khai thuế trở nên đơn giản hơn và thuận tiện hơn nhiều thanks to online services and simplified tax rules.</t>
  </si>
  <si>
    <t>Bậc thuế được giảm từ 7 xuống còn 5, giúp việc tính toán dễ dàng hơn. Mức giảm trừ gia cảnh cao thêm cũng làm cho quy trình đơn giản và minh bạch hơn.</t>
  </si>
  <si>
    <t>Nhà nước đã thực hiện cải cách thuế một cách công bằng, tăng mức giảm trừ gia cảnh và giảm số bậc thuế, tạo ra sự tin tưởng trong việc quản lý thuế của họ.</t>
  </si>
  <si>
    <t>Mức thuế mới phù hợp với thu nhập của tôi. Mức giảm trừ gia cảnh cao hơn cũng khiến mức thuế tôi phải đóng thấp hơn, tăng thêm cảm giác công bằng.</t>
  </si>
  <si>
    <t>Thuế tôi đóng sẽ được sử dụng để cải thiện dịch vụ công, như y tế và giao thông, tạo niềm tin vào việc sử dụng tiền thuế một cách hiệu quả.</t>
  </si>
  <si>
    <t>Nhà nước đã giải thích rõ ràng về mục tiêu của chính sách mới, từ đó tôi cảm thấy họ đang thực hiện công việc này một cách minh bạch và có trách nhiệm.</t>
  </si>
  <si>
    <t>Tổng thể, cải cách thuế mang lại nhiều lợi ích cho người dân như tôi. Tôi ủng hộ và sẽ tuân thủ chính sách mới với niềm tin rằng nó sẽ giúp giảm gian lận và tăng công bằng trong việc đóng thuế.</t>
  </si>
  <si>
    <t>Việc tăng giảm trừ gia cảnh và đơn giản hóa biểu thuế có thể khiến việc phát hiện trốn thuế trở nên khó khăn hơn, nhưng với sự tiến bộ về công nghệ, khả năng phát hiện vẫn còn hiệu quả.</t>
  </si>
  <si>
    <t>Cơ quan thuế đã áp dụng nhiều biện pháp kỹ thuật tiên tiến để theo dõi và kiểm soát việc nộp thuế, nên tôi tin rằng họ có đủ khả năng để xử lý nghiêm các hành vi gian lận.</t>
  </si>
  <si>
    <t>Thủ tục khai báo thuế đã trở nên đơn giản hơn với mức giảm trừ gia cảnh tăng và số bậc thuế giảm, nhưng vẫn cần cải tiến thêm về mặt kỹ thuật để thuận tiện cho người dân.</t>
  </si>
  <si>
    <t>Cách tính thuế mới đơn giản hóa nhiều so với trước đây, giúp việc tính toán dễ dàng hơn. Số bậc thuế ít đi cũng giúp quá trình thực hiện thuế trở nên dễ dàng hơn.</t>
  </si>
  <si>
    <t>Tôi tin rằng Nhà nước sẽ công bằng trong việc thực thi chính sách mới vì mức giảm trừ gia cảnh và mức thuế đều được điều chỉnh phù hợp với thu nhập của tôi.</t>
  </si>
  <si>
    <t>Mức thuế mới là hợp lý so với mức thu nhập của tôi. Sự tăng giảm trừ gia cảnh cũng giúp giảm gánh nặng về mặt tài chính.</t>
  </si>
  <si>
    <t>Tôi tin rằng tiền thuế mà tôi đóng sẽ được sử dụng hiệu quả cho việc cải thiện các dịch vụ công, như y tế và đường xá. Đây là điều quan trọng đối với sự phát triển của đất nước.</t>
  </si>
  <si>
    <t>Nhà nước đã giải thích rõ về mục tiêu và lý do sửa đổi thuế trong các thông cáo báo chí, giúp tôi hiểu rõ hơn về chính sách mới.</t>
  </si>
  <si>
    <t>Chính sách mới cải thiện đáng kể về mặt tài chính và thủ tục làm việc với cơ quan thuế. Tôi sẽ ủng hộ và tuân thủ chính sách này.</t>
  </si>
  <si>
    <t>Nhà nước đã đầu tư công nghệ và nhân lực vào việc quản lý thuế, do đó có khả năng phát hiện gian lận hoặc trốn thuế. Tuy nhiên, vẫn cần tăng cường hơn nữa để đảm bảo hiệu quả.</t>
  </si>
  <si>
    <t>Nhà nước đã đầu tư mạnh vào công nghệ thông tin và cải cách thủ tục hành chính, nên khả năng phát hiện và xử lý trốn thuế tốt hơn.</t>
  </si>
  <si>
    <t>Các quy trình khai thuế và giao dịch với cơ quan thuế đã đơn giản hóa đáng kể, dễ thực hiện hơn so với trước đây.</t>
  </si>
  <si>
    <t>Biểu thuế mới đơn giản hơn, giảm số bậc từ 7 xuống còn 5, do đó dễ dàng hơn cho người dân tính toán và tuân thủ.</t>
  </si>
  <si>
    <t>Nhà nước đã cải cách công bằng về mặt thu nhập, giúp tôi cảm thấy được đối xử bình đẳng với những người có thu nhập tương tự.</t>
  </si>
  <si>
    <t>Thuế mới theo phương án này phù hợp với mức thu nhập của tôi, do đó tôi thấy nó công bằng.</t>
  </si>
  <si>
    <t>Tiết kiệm được số tiền thuế lớn giúp tôi tin rằng thuế sẽ được sử dụng hiệu quả cho các dịch vụ công ích như y tế và giao thông.</t>
  </si>
  <si>
    <t>Nhà nước đã giải thích rõ ràng về mục tiêu của việc cải cách thuế, tăng thêm niềm tin vào sự minh bạch.</t>
  </si>
  <si>
    <t>Sau khi xem xét các lợi ích và nghĩa vụ mới, tôi ủng hộ và tuân thủ chính sách mới vì nó đơn giản hơn và công bằng hơn.</t>
  </si>
  <si>
    <t>Do chính sách mới đơn giản hóa quy trình, việc phát hiện và xử lý trốn thuế có thể dễ dàng hơn.</t>
  </si>
  <si>
    <t>Cơ quan thuế đã cải thiện công nghệ quản lý, tuy nhiên mức độ thực thi còn phụ thuộc vào nguồn lực.</t>
  </si>
  <si>
    <t>Quy trình khai báo và làm việc với cơ quan thuế trở nên dễ dàng hơn, giảm bớt gánh nặng hành chính.</t>
  </si>
  <si>
    <t>Biểu thuế mới đơn giản hóa bậc thuế từ 7 xuống 5, giúp tính toán thuận tiện hơn.</t>
  </si>
  <si>
    <t>Niềm tin vào cơ quan thuế tăng lên do cải cách thuế công bằng và minh bạch hơn.</t>
  </si>
  <si>
    <t>Thu nhập của tôi thuộc mức trung bình, mức thuế mới phù hợp với thu nhập hiện tại.</t>
  </si>
  <si>
    <t>Tài chính cá nhân được cải thiện đáng kể, tin tưởng rằng số tiền đóng sẽ được sử dụng hiệu quả.</t>
  </si>
  <si>
    <t>Các giải thích về mục tiêu của cải cách thuế rõ ràng, minh bạch hơn so với trước đây.</t>
  </si>
  <si>
    <t>Chấp nhận và ủng hộ chính sách mới vì mang lại nhiều lợi ích cho người dân.</t>
  </si>
  <si>
    <t xml:space="preserve">Dù chưa rõ ràng, nhưng với mức giảm trừ gia cảnh tăng và sự đơn giản hóa quy định, khả năng phát hiện hành vi gian lận có thể cao hơn. </t>
  </si>
  <si>
    <t>Công nghệ và hệ thống quản lý thuế của nhà nước đã tiến bộ đáng kể, nhưng vẫn cần cải thiện để ngăn chặn trốn thuế hiệu quả hơn.</t>
  </si>
  <si>
    <t xml:space="preserve">Việc đơn giản hóa biểu thuế và tăng mức giảm trừ gia cảnh làm thủ tục khai báo thuế dễ dàng hơn. </t>
  </si>
  <si>
    <t>Biểu thuế mới trở nên dễ hiểu và thực hiện thuận tiện, giúp người dân dễ dàng tuân thủ luật lệ.</t>
  </si>
  <si>
    <t xml:space="preserve">Nhà nước đã cải cách để công bằng hơn với các mức giảm trừ gia cảnh. </t>
  </si>
  <si>
    <t>Mức thuế mới dựa trên thu nhập của tôi là hợp lý và công bằng, phù hợp với quy định mới.</t>
  </si>
  <si>
    <t xml:space="preserve">Tăng mức giảm trừ gia cảnh và đơn giản hóa biểu thuế giúp số tiền thuế giảm, tăng niềm tin vào việc sử dụng hiệu quả nguồn thu để cải thiện dịch vụ công. </t>
  </si>
  <si>
    <t>Nhà nước đã giải thích rõ về mục tiêu của việc sửa đổi chính sách thuế và tôi cảm thấy thông tin được cung cấp đầy đủ.</t>
  </si>
  <si>
    <t xml:space="preserve">Dựa trên sự thay đổi tích cực về mức giảm trừ gia cảnh, biểu thuế đơn giản hóa, tôi ủng hộ và tuân thủ chính sách mới. </t>
  </si>
  <si>
    <t>Tăng cường quản lý thuế và công nghệ hiện đại giúp phát hiện trốn thuế dễ dàng, nhưng mức độ thực thi cần thời gian để nâng cao.</t>
  </si>
  <si>
    <t>Nhà nước có đủ khả năng và công nghệ để phát hiện trốn thuế hiệu quả, tuy nhiên, việc này phụ thuộc vào sự quyết tâm của cơ quan thuế trong thực thi.</t>
  </si>
  <si>
    <t>Quy trình khai báo thuế trở nên đơn giản hơn, thủ tục tiện lợi và nhanh chóng hơn so với trước đây.</t>
  </si>
  <si>
    <t>Biểu thuế mới đơn giản hóa bậc thuế, dễ hiểu và thực hiện thuận lợi hơn so với biểu cũ phức tạp.</t>
  </si>
  <si>
    <t>Tôi tin rằng cơ quan thuế sẽ công tâm trong việc thực thi chính sách, nhưng cần thời gian để chứng minh.</t>
  </si>
  <si>
    <t>Thuế mới giảm đáng kể và phù hợp với thu nhập của tôi, cho thấy mức thuế là hợp lý.</t>
  </si>
  <si>
    <t>Thuê tôi đóng sẽ được sử dụng hiệu quả để cải thiện dịch vụ công, nhưng cần minh bạch hơn trong việc sử dụng nguồn thu</t>
  </si>
  <si>
    <t>Nhà nước đã giải thích rõ ràng về mục tiêu của chính sách mới, tuy nhiên, tôi mong muốn có thêm thông tin chi tiết.</t>
  </si>
  <si>
    <t>Chính sách mới làm tăng sự thuận tiện và giảm gánh nặng thuế, do đó tôi ủng hộ và tuân thủ.</t>
  </si>
  <si>
    <t>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</si>
</sst>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
  </numFmts>
  <fonts count="5" x14ac:knownFonts="1">
    <font>
      <sz val="11"/>
      <color theme="1"/>
      <name val="Calibri"/>
      <family val="2"/>
      <scheme val="minor"/>
    </font>
    <font>
      <b/>
      <sz val="11"/>
      <name val="Calibri"/>
      <family val="2"/>
    </font>
    <font>
      <b/>
      <sz val="11"/>
      <color theme="1"/>
      <name val="Calibri"/>
      <family val="2"/>
      <scheme val="minor"/>
    </font>
    <font>
      <b/>
      <sz val="11"/>
      <name val="Calibri"/>
      <family val="2"/>
    </font>
    <font>
      <b/>
      <sz val="11"/>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9"/>
        <bgColor theme="9"/>
      </patternFill>
    </fill>
    <fill>
      <patternFill patternType="solid">
        <fgColor theme="9"/>
        <bgColor indexed="64"/>
      </patternFill>
    </fill>
    <fill>
      <patternFill patternType="solid">
        <fgColor rgb="FF92D050"/>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center"/>
    </xf>
    <xf numFmtId="0" fontId="0" fillId="2" borderId="1" xfId="0" applyFill="1" applyBorder="1"/>
    <xf numFmtId="0" fontId="0" fillId="0" borderId="1" xfId="0" applyBorder="1"/>
    <xf numFmtId="0" fontId="3" fillId="0" borderId="1" xfId="0" applyFont="1" applyBorder="1" applyAlignment="1">
      <alignment horizontal="center" vertical="top"/>
    </xf>
    <xf numFmtId="0" fontId="2" fillId="0" borderId="1" xfId="0" applyFont="1" applyBorder="1"/>
    <xf numFmtId="0" fontId="0" fillId="2" borderId="0" xfId="0" applyFill="1"/>
    <xf numFmtId="0" fontId="2" fillId="0" borderId="0" xfId="0" applyFont="1"/>
    <xf numFmtId="164" fontId="2" fillId="0" borderId="1" xfId="0" applyNumberFormat="1" applyFont="1" applyBorder="1"/>
    <xf numFmtId="164" fontId="2" fillId="0" borderId="0" xfId="0" applyNumberFormat="1" applyFont="1"/>
    <xf numFmtId="0" fontId="1" fillId="0" borderId="2" xfId="0" applyFont="1" applyBorder="1" applyAlignment="1">
      <alignment horizontal="center" vertical="top"/>
    </xf>
    <xf numFmtId="0" fontId="2" fillId="0" borderId="3" xfId="0" applyFont="1" applyBorder="1"/>
    <xf numFmtId="0" fontId="1" fillId="0" borderId="4" xfId="0" applyFont="1" applyBorder="1" applyAlignment="1">
      <alignment horizontal="center" vertical="top"/>
    </xf>
    <xf numFmtId="0" fontId="2" fillId="0" borderId="5" xfId="0" applyFont="1" applyBorder="1"/>
    <xf numFmtId="9" fontId="0" fillId="0" borderId="1" xfId="0" applyNumberFormat="1" applyBorder="1"/>
    <xf numFmtId="9" fontId="2" fillId="0" borderId="1" xfId="0" applyNumberFormat="1" applyFont="1" applyBorder="1"/>
    <xf numFmtId="0" fontId="4" fillId="3" borderId="6" xfId="0" applyFont="1" applyFill="1" applyBorder="1"/>
    <xf numFmtId="0" fontId="4" fillId="3" borderId="7" xfId="0" applyFont="1" applyFill="1" applyBorder="1"/>
    <xf numFmtId="22" fontId="0" fillId="0" borderId="0" xfId="0" applyNumberFormat="1"/>
    <xf numFmtId="0" fontId="4" fillId="5" borderId="7" xfId="0" applyFont="1" applyFill="1" applyBorder="1"/>
    <xf numFmtId="0" fontId="4" fillId="4" borderId="0" xfId="0" applyFont="1" applyFill="1"/>
    <xf numFmtId="0" fontId="4" fillId="2" borderId="0" xfId="0" applyFont="1" applyFill="1"/>
    <xf numFmtId="0" fontId="4" fillId="0" borderId="0" xfId="0" applyFont="1"/>
    <xf numFmtId="165" fontId="0" fillId="0" borderId="1" xfId="0" applyNumberFormat="1" applyBorder="1" applyAlignment="1">
      <alignment horizontal="center"/>
    </xf>
    <xf numFmtId="9"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xf>
    <xf numFmtId="0" fontId="0" fillId="6" borderId="6" xfId="0" applyFill="1" applyBorder="1"/>
    <xf numFmtId="0" fontId="0" fillId="6" borderId="0" xfId="0" applyFill="1"/>
    <xf numFmtId="0" fontId="0" fillId="7" borderId="0" xfId="0" applyFill="1"/>
    <xf numFmtId="2" fontId="0" fillId="0" borderId="1" xfId="0" applyNumberFormat="1" applyBorder="1"/>
    <xf numFmtId="9" fontId="0" fillId="0" borderId="1" xfId="0" applyNumberFormat="1" applyBorder="1" applyAlignment="1">
      <alignment horizontal="center"/>
    </xf>
    <xf numFmtId="0" fontId="2" fillId="0" borderId="7" xfId="0" applyFont="1" applyBorder="1"/>
    <xf numFmtId="0" fontId="0" fillId="0" borderId="7" xfId="0" applyBorder="1"/>
    <xf numFmtId="4" fontId="0" fillId="0" borderId="1" xfId="0" applyNumberFormat="1" applyBorder="1" applyAlignment="1">
      <alignment horizontal="center"/>
    </xf>
    <xf numFmtId="166" fontId="0" fillId="0" borderId="0" xfId="0" applyNumberForma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8" borderId="1" xfId="0" applyFont="1" applyFill="1" applyBorder="1"/>
    <xf numFmtId="10" fontId="0" fillId="0" borderId="1" xfId="0" applyNumberFormat="1" applyBorder="1"/>
    <xf numFmtId="166" fontId="0" fillId="0" borderId="1" xfId="0" applyNumberFormat="1" applyBorder="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y Pham" refreshedDate="46040.659061805556" createdVersion="8" refreshedVersion="8" minRefreshableVersion="3" recordCount="403" xr:uid="{677C10B3-056A-462F-8621-BC1A1D2CF10E}">
  <cacheSource type="worksheet">
    <worksheetSource name="survey_responses"/>
  </cacheSource>
  <cacheFields count="17">
    <cacheField name="Timestamp" numFmtId="22">
      <sharedItems containsSemiMixedTypes="0" containsNonDate="0" containsDate="1" containsString="0" minDate="2025-12-25T14:05:00" maxDate="2026-01-13T12:49:00"/>
    </cacheField>
    <cacheField name="Giới tính của bạn:" numFmtId="0">
      <sharedItems count="2">
        <s v="Nữ"/>
        <s v="Nam"/>
      </sharedItems>
    </cacheField>
    <cacheField name="Độ tuổi của bạn:" numFmtId="0">
      <sharedItems count="6">
        <s v="25 - 29"/>
        <s v="40 - 49"/>
        <s v="18 - 24"/>
        <s v="30 - 39"/>
        <s v="50 - 54"/>
        <s v="55 - 64"/>
      </sharedItems>
    </cacheField>
    <cacheField name="Khu vực bạn đang sinh sống:" numFmtId="0">
      <sharedItems count="2">
        <s v="Thành thị"/>
        <s v="Nông thôn"/>
      </sharedItems>
    </cacheField>
    <cacheField name="Trình độ học vấn cao nhất:" numFmtId="0">
      <sharedItems count="4">
        <s v="Đại học"/>
        <s v="Sau Đại học"/>
        <s v="Cao đẳng"/>
        <s v="Trung học phổ thông"/>
      </sharedItems>
    </cacheField>
    <cacheField name="Tình trạng việc làm chính:" numFmtId="0">
      <sharedItems count="3">
        <s v="Khu vực chính thức (Có Hợp đồng lao động, đóng BHXH)"/>
        <s v="Khu vực phi chính thức (Lao động tự do, không có HĐLĐ)"/>
        <s v="Khác (Về hưu, nội trợ, sinh viên)"/>
      </sharedItems>
    </cacheField>
    <cacheField name="Thu nhập bình quân tháng theo Hợp đồng lao động của bạn là bao nhiêu? (Vui lòng điền tổng thu nhập trước khi khấu trừ các loại Bảo hiểm (BHXH, BHYT, BHTN) và Thuế TNCN)" numFmtId="0">
      <sharedItems count="8">
        <s v="Từ 12 - 18 triệu VNĐ"/>
        <s v="Từ 48 - 70 triệu VNĐ"/>
        <s v="Dưới 12 triệu VNĐ"/>
        <s v="Từ 70 - 102 triệu VNĐ"/>
        <s v="Từ 18 - 23 triệu VNĐ"/>
        <s v="Từ 32 - 48 triệu VNĐ"/>
        <s v="Trên 102 triệu VNĐ"/>
        <s v="Từ 23 - 32 triệu VNĐ"/>
      </sharedItems>
    </cacheField>
    <cacheField name="Số người phụ thuộc (con nhỏ, cha mẹ già...) đủ điều kiện giảm trừ gia cảnh:" numFmtId="0">
      <sharedItems count="5">
        <s v="1 người"/>
        <s v="0 người"/>
        <s v="3 người"/>
        <s v="4 người trở lên"/>
        <s v="2 người"/>
      </sharedItems>
    </cacheField>
    <cacheField name="Tôi tin rằng với các quy định quản lý thuế hiện nay, hành vi gian lận hoặc trốn thuế sẽ dễ dàng bị phát hiện và xử lý nghiêm. - HUMAN-ENF1" numFmtId="0">
      <sharedItems containsSemiMixedTypes="0" containsString="0" containsNumber="1" containsInteger="1" minValue="1" maxValue="10"/>
    </cacheField>
    <cacheField name="Tôi tin rằng Nhà nước, cơ quan thuế có đủ khả năng và công nghệ để phát hiện, xử lý nghiêm các hành vi trốn thuế. - HUMAN-ENF2" numFmtId="0">
      <sharedItems containsSemiMixedTypes="0" containsString="0" containsNumber="1" containsInteger="1" minValue="1" maxValue="10"/>
    </cacheField>
    <cacheField name="Các thủ tục khai báo thuế VÀ/HOẶC quy trình làm việc với cơ quan thuế đơn giản, tiện lợi, nhanh chóng hơn so với trước đây. - HUMAN-FAC1" numFmtId="0">
      <sharedItems containsSemiMixedTypes="0" containsString="0" containsNumber="1" containsInteger="1" minValue="1" maxValue="10"/>
    </cacheField>
    <cacheField name="So với trước đây, tôi thấy cách tính thuế và các bậc thuế trong phương án mới đơn giản, dễ hiểu và dễ thực hiện hơn. - HUMAN-FAC2" numFmtId="0">
      <sharedItems containsSemiMixedTypes="0" containsString="0" containsNumber="1" containsInteger="1" minValue="1" maxValue="10"/>
    </cacheField>
    <cacheField name="Tôi tin rằng Nhà nước, cơ quan thuế sẽ thực thi chính sách mới một cách khách quan, công tâm và đối xử bình đẳng với mọi người nộp thuế.  - HUMAN-TRU1" numFmtId="0">
      <sharedItems containsSemiMixedTypes="0" containsString="0" containsNumber="1" containsInteger="1" minValue="1" maxValue="10"/>
    </cacheField>
    <cacheField name="Tôi thấy mức thuế tôi phải đóng theo phương án mới là công bằng (người thu nhập như tôi đóng mức này là hợp lý). - HUMAN-TRU2" numFmtId="0">
      <sharedItems containsSemiMixedTypes="0" containsString="0" containsNumber="1" containsInteger="1" minValue="1" maxValue="10"/>
    </cacheField>
    <cacheField name="Tôi tin tưởng số tiền thuế tôi đóng sẽ được Nhà nước sử dụng hiệu quả để cải thiện dịch vụ công (y tế, đường xá...). - HUMAN-TRU3" numFmtId="0">
      <sharedItems containsSemiMixedTypes="0" containsString="0" containsNumber="1" containsInteger="1" minValue="1" maxValue="10"/>
    </cacheField>
    <cacheField name="Tôi thấy Nhà nước đã giải thích rõ ràng, minh bạch về lý do và mục tiêu của việc sửa đổi thuế lần này. - HUMAN-TRU4" numFmtId="0">
      <sharedItems containsSemiMixedTypes="0" containsString="0" containsNumber="1" containsInteger="1" minValue="1" maxValue="10"/>
    </cacheField>
    <cacheField name="Sau khi xem xét các quyền lợi và nghĩa vụ, bạn có ủng hộ và tuân thủ chính sách mới hiện nay? - HUMAN-OUT1"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d v="2025-12-25T14:05:00"/>
    <x v="0"/>
    <x v="0"/>
    <x v="0"/>
    <x v="0"/>
    <x v="0"/>
    <x v="0"/>
    <x v="0"/>
    <n v="10"/>
    <n v="8"/>
    <n v="5"/>
    <n v="5"/>
    <n v="10"/>
    <n v="10"/>
    <n v="10"/>
    <n v="10"/>
    <n v="10"/>
  </r>
  <r>
    <d v="2025-12-25T14:05:00"/>
    <x v="0"/>
    <x v="0"/>
    <x v="0"/>
    <x v="0"/>
    <x v="0"/>
    <x v="0"/>
    <x v="1"/>
    <n v="8"/>
    <n v="8"/>
    <n v="6"/>
    <n v="9"/>
    <n v="10"/>
    <n v="9"/>
    <n v="8"/>
    <n v="9"/>
    <n v="10"/>
  </r>
  <r>
    <d v="2025-12-25T14:07:00"/>
    <x v="1"/>
    <x v="1"/>
    <x v="0"/>
    <x v="1"/>
    <x v="0"/>
    <x v="1"/>
    <x v="2"/>
    <n v="6"/>
    <n v="5"/>
    <n v="4"/>
    <n v="5"/>
    <n v="4"/>
    <n v="4"/>
    <n v="4"/>
    <n v="10"/>
    <n v="4"/>
  </r>
  <r>
    <d v="2025-12-25T14:07:00"/>
    <x v="0"/>
    <x v="2"/>
    <x v="0"/>
    <x v="0"/>
    <x v="0"/>
    <x v="2"/>
    <x v="1"/>
    <n v="10"/>
    <n v="10"/>
    <n v="8"/>
    <n v="9"/>
    <n v="9"/>
    <n v="7"/>
    <n v="10"/>
    <n v="7"/>
    <n v="10"/>
  </r>
  <r>
    <d v="2025-12-25T14:08:00"/>
    <x v="0"/>
    <x v="0"/>
    <x v="0"/>
    <x v="0"/>
    <x v="0"/>
    <x v="2"/>
    <x v="1"/>
    <n v="9"/>
    <n v="9"/>
    <n v="10"/>
    <n v="9"/>
    <n v="9"/>
    <n v="9"/>
    <n v="9"/>
    <n v="9"/>
    <n v="9"/>
  </r>
  <r>
    <d v="2025-12-25T14:17:00"/>
    <x v="0"/>
    <x v="3"/>
    <x v="0"/>
    <x v="1"/>
    <x v="0"/>
    <x v="3"/>
    <x v="3"/>
    <n v="8"/>
    <n v="8"/>
    <n v="5"/>
    <n v="8"/>
    <n v="6"/>
    <n v="6"/>
    <n v="4"/>
    <n v="5"/>
    <n v="6"/>
  </r>
  <r>
    <d v="2025-12-25T14:19:00"/>
    <x v="0"/>
    <x v="3"/>
    <x v="0"/>
    <x v="0"/>
    <x v="0"/>
    <x v="4"/>
    <x v="4"/>
    <n v="5"/>
    <n v="4"/>
    <n v="4"/>
    <n v="6"/>
    <n v="6"/>
    <n v="7"/>
    <n v="2"/>
    <n v="4"/>
    <n v="4"/>
  </r>
  <r>
    <d v="2025-12-25T14:28:00"/>
    <x v="1"/>
    <x v="1"/>
    <x v="0"/>
    <x v="1"/>
    <x v="0"/>
    <x v="2"/>
    <x v="4"/>
    <n v="1"/>
    <n v="1"/>
    <n v="2"/>
    <n v="3"/>
    <n v="6"/>
    <n v="2"/>
    <n v="7"/>
    <n v="3"/>
    <n v="3"/>
  </r>
  <r>
    <d v="2025-12-25T15:35:00"/>
    <x v="0"/>
    <x v="0"/>
    <x v="1"/>
    <x v="0"/>
    <x v="1"/>
    <x v="0"/>
    <x v="0"/>
    <n v="10"/>
    <n v="10"/>
    <n v="8"/>
    <n v="7"/>
    <n v="7"/>
    <n v="5"/>
    <n v="5"/>
    <n v="9"/>
    <n v="8"/>
  </r>
  <r>
    <d v="2025-12-25T15:51:00"/>
    <x v="0"/>
    <x v="0"/>
    <x v="0"/>
    <x v="0"/>
    <x v="0"/>
    <x v="4"/>
    <x v="1"/>
    <n v="7"/>
    <n v="10"/>
    <n v="1"/>
    <n v="5"/>
    <n v="8"/>
    <n v="5"/>
    <n v="5"/>
    <n v="5"/>
    <n v="10"/>
  </r>
  <r>
    <d v="2025-12-25T15:52:00"/>
    <x v="1"/>
    <x v="3"/>
    <x v="0"/>
    <x v="1"/>
    <x v="1"/>
    <x v="5"/>
    <x v="3"/>
    <n v="10"/>
    <n v="3"/>
    <n v="1"/>
    <n v="7"/>
    <n v="1"/>
    <n v="5"/>
    <n v="1"/>
    <n v="8"/>
    <n v="6"/>
  </r>
  <r>
    <d v="2025-12-25T17:01:00"/>
    <x v="0"/>
    <x v="2"/>
    <x v="0"/>
    <x v="0"/>
    <x v="0"/>
    <x v="2"/>
    <x v="1"/>
    <n v="5"/>
    <n v="8"/>
    <n v="5"/>
    <n v="5"/>
    <n v="6"/>
    <n v="5"/>
    <n v="5"/>
    <n v="5"/>
    <n v="5"/>
  </r>
  <r>
    <d v="2025-12-25T17:54:00"/>
    <x v="0"/>
    <x v="2"/>
    <x v="0"/>
    <x v="0"/>
    <x v="0"/>
    <x v="2"/>
    <x v="1"/>
    <n v="8"/>
    <n v="7"/>
    <n v="7"/>
    <n v="7"/>
    <n v="7"/>
    <n v="8"/>
    <n v="7"/>
    <n v="7"/>
    <n v="7"/>
  </r>
  <r>
    <d v="2025-12-25T20:16:00"/>
    <x v="0"/>
    <x v="3"/>
    <x v="0"/>
    <x v="1"/>
    <x v="0"/>
    <x v="4"/>
    <x v="1"/>
    <n v="10"/>
    <n v="10"/>
    <n v="8"/>
    <n v="8"/>
    <n v="8"/>
    <n v="6"/>
    <n v="6"/>
    <n v="5"/>
    <n v="5"/>
  </r>
  <r>
    <d v="2025-12-25T20:19:00"/>
    <x v="1"/>
    <x v="3"/>
    <x v="0"/>
    <x v="1"/>
    <x v="0"/>
    <x v="5"/>
    <x v="4"/>
    <n v="7"/>
    <n v="9"/>
    <n v="3"/>
    <n v="6"/>
    <n v="1"/>
    <n v="1"/>
    <n v="1"/>
    <n v="1"/>
    <n v="1"/>
  </r>
  <r>
    <d v="2025-12-25T21:09:00"/>
    <x v="1"/>
    <x v="1"/>
    <x v="0"/>
    <x v="1"/>
    <x v="0"/>
    <x v="3"/>
    <x v="3"/>
    <n v="8"/>
    <n v="8"/>
    <n v="8"/>
    <n v="9"/>
    <n v="7"/>
    <n v="7"/>
    <n v="9"/>
    <n v="8"/>
    <n v="7"/>
  </r>
  <r>
    <d v="2025-12-25T21:15:00"/>
    <x v="0"/>
    <x v="0"/>
    <x v="0"/>
    <x v="0"/>
    <x v="0"/>
    <x v="4"/>
    <x v="4"/>
    <n v="6"/>
    <n v="7"/>
    <n v="5"/>
    <n v="5"/>
    <n v="6"/>
    <n v="7"/>
    <n v="3"/>
    <n v="4"/>
    <n v="5"/>
  </r>
  <r>
    <d v="2025-12-25T21:47:00"/>
    <x v="1"/>
    <x v="1"/>
    <x v="0"/>
    <x v="0"/>
    <x v="1"/>
    <x v="0"/>
    <x v="1"/>
    <n v="6"/>
    <n v="8"/>
    <n v="7"/>
    <n v="8"/>
    <n v="8"/>
    <n v="7"/>
    <n v="7"/>
    <n v="6"/>
    <n v="8"/>
  </r>
  <r>
    <d v="2025-12-25T21:51:00"/>
    <x v="1"/>
    <x v="1"/>
    <x v="0"/>
    <x v="0"/>
    <x v="0"/>
    <x v="6"/>
    <x v="3"/>
    <n v="10"/>
    <n v="10"/>
    <n v="5"/>
    <n v="5"/>
    <n v="5"/>
    <n v="3"/>
    <n v="2"/>
    <n v="5"/>
    <n v="8"/>
  </r>
  <r>
    <d v="2025-12-26T01:57:00"/>
    <x v="1"/>
    <x v="3"/>
    <x v="0"/>
    <x v="1"/>
    <x v="0"/>
    <x v="1"/>
    <x v="4"/>
    <n v="9"/>
    <n v="9"/>
    <n v="7"/>
    <n v="9"/>
    <n v="7"/>
    <n v="8"/>
    <n v="5"/>
    <n v="5"/>
    <n v="6"/>
  </r>
  <r>
    <d v="2025-12-26T07:30:00"/>
    <x v="0"/>
    <x v="1"/>
    <x v="0"/>
    <x v="0"/>
    <x v="0"/>
    <x v="6"/>
    <x v="2"/>
    <n v="10"/>
    <n v="10"/>
    <n v="8"/>
    <n v="7"/>
    <n v="7"/>
    <n v="7"/>
    <n v="2"/>
    <n v="3"/>
    <n v="3"/>
  </r>
  <r>
    <d v="2025-12-26T08:42:00"/>
    <x v="0"/>
    <x v="2"/>
    <x v="0"/>
    <x v="0"/>
    <x v="0"/>
    <x v="0"/>
    <x v="1"/>
    <n v="8"/>
    <n v="8"/>
    <n v="5"/>
    <n v="8"/>
    <n v="8"/>
    <n v="8"/>
    <n v="8"/>
    <n v="8"/>
    <n v="8"/>
  </r>
  <r>
    <d v="2025-12-26T09:36:00"/>
    <x v="0"/>
    <x v="1"/>
    <x v="0"/>
    <x v="1"/>
    <x v="0"/>
    <x v="3"/>
    <x v="2"/>
    <n v="5"/>
    <n v="5"/>
    <n v="5"/>
    <n v="5"/>
    <n v="5"/>
    <n v="5"/>
    <n v="5"/>
    <n v="5"/>
    <n v="5"/>
  </r>
  <r>
    <d v="2025-12-26T11:37:00"/>
    <x v="0"/>
    <x v="3"/>
    <x v="1"/>
    <x v="0"/>
    <x v="0"/>
    <x v="7"/>
    <x v="4"/>
    <n v="9"/>
    <n v="8"/>
    <n v="6"/>
    <n v="9"/>
    <n v="8"/>
    <n v="10"/>
    <n v="6"/>
    <n v="6"/>
    <n v="8"/>
  </r>
  <r>
    <d v="2025-12-26T11:40:00"/>
    <x v="1"/>
    <x v="3"/>
    <x v="0"/>
    <x v="1"/>
    <x v="0"/>
    <x v="5"/>
    <x v="0"/>
    <n v="6"/>
    <n v="7"/>
    <n v="5"/>
    <n v="6"/>
    <n v="7"/>
    <n v="7"/>
    <n v="3"/>
    <n v="3"/>
    <n v="5"/>
  </r>
  <r>
    <d v="2025-12-26T11:45:00"/>
    <x v="1"/>
    <x v="3"/>
    <x v="0"/>
    <x v="1"/>
    <x v="0"/>
    <x v="2"/>
    <x v="3"/>
    <n v="10"/>
    <n v="10"/>
    <n v="10"/>
    <n v="6"/>
    <n v="6"/>
    <n v="10"/>
    <n v="1"/>
    <n v="4"/>
    <n v="10"/>
  </r>
  <r>
    <d v="2025-12-26T12:06:00"/>
    <x v="1"/>
    <x v="2"/>
    <x v="0"/>
    <x v="0"/>
    <x v="0"/>
    <x v="2"/>
    <x v="1"/>
    <n v="1"/>
    <n v="1"/>
    <n v="1"/>
    <n v="1"/>
    <n v="1"/>
    <n v="1"/>
    <n v="1"/>
    <n v="1"/>
    <n v="1"/>
  </r>
  <r>
    <d v="2025-12-26T12:06:00"/>
    <x v="1"/>
    <x v="0"/>
    <x v="0"/>
    <x v="0"/>
    <x v="0"/>
    <x v="0"/>
    <x v="1"/>
    <n v="1"/>
    <n v="1"/>
    <n v="1"/>
    <n v="1"/>
    <n v="1"/>
    <n v="1"/>
    <n v="1"/>
    <n v="1"/>
    <n v="1"/>
  </r>
  <r>
    <d v="2025-12-26T12:07:00"/>
    <x v="0"/>
    <x v="2"/>
    <x v="0"/>
    <x v="0"/>
    <x v="0"/>
    <x v="0"/>
    <x v="1"/>
    <n v="10"/>
    <n v="10"/>
    <n v="9"/>
    <n v="10"/>
    <n v="10"/>
    <n v="9"/>
    <n v="10"/>
    <n v="10"/>
    <n v="10"/>
  </r>
  <r>
    <d v="2025-12-26T12:07:00"/>
    <x v="0"/>
    <x v="2"/>
    <x v="0"/>
    <x v="0"/>
    <x v="0"/>
    <x v="0"/>
    <x v="1"/>
    <n v="10"/>
    <n v="10"/>
    <n v="9"/>
    <n v="10"/>
    <n v="10"/>
    <n v="10"/>
    <n v="10"/>
    <n v="10"/>
    <n v="10"/>
  </r>
  <r>
    <d v="2025-12-26T12:07:00"/>
    <x v="0"/>
    <x v="0"/>
    <x v="0"/>
    <x v="0"/>
    <x v="0"/>
    <x v="7"/>
    <x v="1"/>
    <n v="10"/>
    <n v="7"/>
    <n v="10"/>
    <n v="7"/>
    <n v="10"/>
    <n v="10"/>
    <n v="3"/>
    <n v="5"/>
    <n v="8"/>
  </r>
  <r>
    <d v="2025-12-26T12:08:00"/>
    <x v="0"/>
    <x v="2"/>
    <x v="0"/>
    <x v="0"/>
    <x v="0"/>
    <x v="7"/>
    <x v="1"/>
    <n v="5"/>
    <n v="5"/>
    <n v="5"/>
    <n v="5"/>
    <n v="5"/>
    <n v="5"/>
    <n v="5"/>
    <n v="5"/>
    <n v="5"/>
  </r>
  <r>
    <d v="2025-12-26T12:08:00"/>
    <x v="0"/>
    <x v="0"/>
    <x v="0"/>
    <x v="0"/>
    <x v="0"/>
    <x v="7"/>
    <x v="1"/>
    <n v="8"/>
    <n v="9"/>
    <n v="7"/>
    <n v="8"/>
    <n v="8"/>
    <n v="8"/>
    <n v="3"/>
    <n v="6"/>
    <n v="7"/>
  </r>
  <r>
    <d v="2025-12-26T12:08:00"/>
    <x v="1"/>
    <x v="0"/>
    <x v="0"/>
    <x v="0"/>
    <x v="0"/>
    <x v="0"/>
    <x v="0"/>
    <n v="10"/>
    <n v="10"/>
    <n v="10"/>
    <n v="10"/>
    <n v="10"/>
    <n v="10"/>
    <n v="10"/>
    <n v="10"/>
    <n v="10"/>
  </r>
  <r>
    <d v="2025-12-26T12:14:00"/>
    <x v="0"/>
    <x v="3"/>
    <x v="0"/>
    <x v="2"/>
    <x v="0"/>
    <x v="0"/>
    <x v="2"/>
    <n v="10"/>
    <n v="10"/>
    <n v="10"/>
    <n v="10"/>
    <n v="10"/>
    <n v="10"/>
    <n v="10"/>
    <n v="10"/>
    <n v="10"/>
  </r>
  <r>
    <d v="2025-12-26T12:15:00"/>
    <x v="0"/>
    <x v="2"/>
    <x v="0"/>
    <x v="0"/>
    <x v="0"/>
    <x v="0"/>
    <x v="1"/>
    <n v="10"/>
    <n v="9"/>
    <n v="10"/>
    <n v="8"/>
    <n v="10"/>
    <n v="9"/>
    <n v="10"/>
    <n v="10"/>
    <n v="10"/>
  </r>
  <r>
    <d v="2025-12-26T12:16:00"/>
    <x v="1"/>
    <x v="2"/>
    <x v="0"/>
    <x v="0"/>
    <x v="0"/>
    <x v="0"/>
    <x v="1"/>
    <n v="10"/>
    <n v="10"/>
    <n v="10"/>
    <n v="10"/>
    <n v="9"/>
    <n v="9"/>
    <n v="9"/>
    <n v="9"/>
    <n v="8"/>
  </r>
  <r>
    <d v="2025-12-26T12:16:00"/>
    <x v="0"/>
    <x v="3"/>
    <x v="0"/>
    <x v="0"/>
    <x v="0"/>
    <x v="5"/>
    <x v="0"/>
    <n v="8"/>
    <n v="8"/>
    <n v="8"/>
    <n v="8"/>
    <n v="8"/>
    <n v="8"/>
    <n v="8"/>
    <n v="8"/>
    <n v="8"/>
  </r>
  <r>
    <d v="2025-12-26T12:16:00"/>
    <x v="1"/>
    <x v="0"/>
    <x v="0"/>
    <x v="0"/>
    <x v="0"/>
    <x v="0"/>
    <x v="1"/>
    <n v="10"/>
    <n v="10"/>
    <n v="10"/>
    <n v="10"/>
    <n v="10"/>
    <n v="10"/>
    <n v="10"/>
    <n v="10"/>
    <n v="10"/>
  </r>
  <r>
    <d v="2025-12-26T12:16:00"/>
    <x v="1"/>
    <x v="3"/>
    <x v="0"/>
    <x v="0"/>
    <x v="0"/>
    <x v="6"/>
    <x v="0"/>
    <n v="8"/>
    <n v="8"/>
    <n v="6"/>
    <n v="8"/>
    <n v="7"/>
    <n v="8"/>
    <n v="5"/>
    <n v="6"/>
    <n v="7"/>
  </r>
  <r>
    <d v="2025-12-26T12:17:00"/>
    <x v="1"/>
    <x v="3"/>
    <x v="0"/>
    <x v="0"/>
    <x v="0"/>
    <x v="3"/>
    <x v="4"/>
    <n v="9"/>
    <n v="8"/>
    <n v="7"/>
    <n v="8"/>
    <n v="7"/>
    <n v="4"/>
    <n v="2"/>
    <n v="8"/>
    <n v="8"/>
  </r>
  <r>
    <d v="2025-12-26T12:19:00"/>
    <x v="0"/>
    <x v="3"/>
    <x v="0"/>
    <x v="0"/>
    <x v="0"/>
    <x v="5"/>
    <x v="2"/>
    <n v="10"/>
    <n v="10"/>
    <n v="9"/>
    <n v="8"/>
    <n v="7"/>
    <n v="9"/>
    <n v="9"/>
    <n v="8"/>
    <n v="8"/>
  </r>
  <r>
    <d v="2025-12-26T12:22:00"/>
    <x v="0"/>
    <x v="3"/>
    <x v="0"/>
    <x v="0"/>
    <x v="0"/>
    <x v="6"/>
    <x v="4"/>
    <n v="6"/>
    <n v="6"/>
    <n v="8"/>
    <n v="10"/>
    <n v="9"/>
    <n v="1"/>
    <n v="7"/>
    <n v="7"/>
    <n v="8"/>
  </r>
  <r>
    <d v="2025-12-26T12:23:00"/>
    <x v="1"/>
    <x v="3"/>
    <x v="0"/>
    <x v="0"/>
    <x v="0"/>
    <x v="7"/>
    <x v="0"/>
    <n v="8"/>
    <n v="8"/>
    <n v="8"/>
    <n v="8"/>
    <n v="8"/>
    <n v="8"/>
    <n v="9"/>
    <n v="5"/>
    <n v="9"/>
  </r>
  <r>
    <d v="2025-12-26T12:27:00"/>
    <x v="0"/>
    <x v="1"/>
    <x v="0"/>
    <x v="0"/>
    <x v="0"/>
    <x v="7"/>
    <x v="4"/>
    <n v="10"/>
    <n v="10"/>
    <n v="10"/>
    <n v="9"/>
    <n v="10"/>
    <n v="10"/>
    <n v="10"/>
    <n v="10"/>
    <n v="10"/>
  </r>
  <r>
    <d v="2025-12-26T12:28:00"/>
    <x v="0"/>
    <x v="4"/>
    <x v="1"/>
    <x v="0"/>
    <x v="0"/>
    <x v="2"/>
    <x v="4"/>
    <n v="1"/>
    <n v="1"/>
    <n v="2"/>
    <n v="1"/>
    <n v="1"/>
    <n v="1"/>
    <n v="1"/>
    <n v="1"/>
    <n v="1"/>
  </r>
  <r>
    <d v="2025-12-26T12:28:00"/>
    <x v="1"/>
    <x v="3"/>
    <x v="0"/>
    <x v="0"/>
    <x v="0"/>
    <x v="2"/>
    <x v="1"/>
    <n v="8"/>
    <n v="8"/>
    <n v="8"/>
    <n v="7"/>
    <n v="6"/>
    <n v="8"/>
    <n v="8"/>
    <n v="9"/>
    <n v="8"/>
  </r>
  <r>
    <d v="2025-12-26T12:29:00"/>
    <x v="0"/>
    <x v="3"/>
    <x v="0"/>
    <x v="0"/>
    <x v="0"/>
    <x v="5"/>
    <x v="2"/>
    <n v="10"/>
    <n v="10"/>
    <n v="10"/>
    <n v="10"/>
    <n v="10"/>
    <n v="10"/>
    <n v="10"/>
    <n v="10"/>
    <n v="10"/>
  </r>
  <r>
    <d v="2025-12-26T12:29:00"/>
    <x v="1"/>
    <x v="3"/>
    <x v="0"/>
    <x v="0"/>
    <x v="0"/>
    <x v="6"/>
    <x v="4"/>
    <n v="8"/>
    <n v="8"/>
    <n v="7"/>
    <n v="8"/>
    <n v="6"/>
    <n v="8"/>
    <n v="6"/>
    <n v="5"/>
    <n v="8"/>
  </r>
  <r>
    <d v="2025-12-26T12:31:00"/>
    <x v="0"/>
    <x v="3"/>
    <x v="0"/>
    <x v="0"/>
    <x v="0"/>
    <x v="4"/>
    <x v="2"/>
    <n v="10"/>
    <n v="10"/>
    <n v="10"/>
    <n v="8"/>
    <n v="8"/>
    <n v="8"/>
    <n v="8"/>
    <n v="8"/>
    <n v="8"/>
  </r>
  <r>
    <d v="2025-12-26T12:38:00"/>
    <x v="1"/>
    <x v="0"/>
    <x v="0"/>
    <x v="0"/>
    <x v="0"/>
    <x v="0"/>
    <x v="1"/>
    <n v="10"/>
    <n v="10"/>
    <n v="10"/>
    <n v="10"/>
    <n v="10"/>
    <n v="10"/>
    <n v="10"/>
    <n v="10"/>
    <n v="10"/>
  </r>
  <r>
    <d v="2025-12-26T12:41:00"/>
    <x v="0"/>
    <x v="0"/>
    <x v="0"/>
    <x v="0"/>
    <x v="0"/>
    <x v="4"/>
    <x v="0"/>
    <n v="10"/>
    <n v="10"/>
    <n v="10"/>
    <n v="10"/>
    <n v="10"/>
    <n v="10"/>
    <n v="10"/>
    <n v="10"/>
    <n v="8"/>
  </r>
  <r>
    <d v="2025-12-26T12:45:00"/>
    <x v="1"/>
    <x v="0"/>
    <x v="0"/>
    <x v="1"/>
    <x v="0"/>
    <x v="0"/>
    <x v="4"/>
    <n v="10"/>
    <n v="10"/>
    <n v="10"/>
    <n v="10"/>
    <n v="10"/>
    <n v="10"/>
    <n v="10"/>
    <n v="10"/>
    <n v="10"/>
  </r>
  <r>
    <d v="2025-12-26T12:45:00"/>
    <x v="0"/>
    <x v="1"/>
    <x v="0"/>
    <x v="0"/>
    <x v="0"/>
    <x v="5"/>
    <x v="4"/>
    <n v="8"/>
    <n v="7"/>
    <n v="7"/>
    <n v="8"/>
    <n v="7"/>
    <n v="8"/>
    <n v="7"/>
    <n v="7"/>
    <n v="8"/>
  </r>
  <r>
    <d v="2025-12-26T12:48:00"/>
    <x v="0"/>
    <x v="3"/>
    <x v="0"/>
    <x v="0"/>
    <x v="0"/>
    <x v="5"/>
    <x v="0"/>
    <n v="10"/>
    <n v="9"/>
    <n v="3"/>
    <n v="4"/>
    <n v="3"/>
    <n v="3"/>
    <n v="1"/>
    <n v="1"/>
    <n v="3"/>
  </r>
  <r>
    <d v="2025-12-26T12:54:00"/>
    <x v="1"/>
    <x v="0"/>
    <x v="0"/>
    <x v="0"/>
    <x v="0"/>
    <x v="2"/>
    <x v="1"/>
    <n v="10"/>
    <n v="10"/>
    <n v="9"/>
    <n v="10"/>
    <n v="9"/>
    <n v="10"/>
    <n v="9"/>
    <n v="10"/>
    <n v="9"/>
  </r>
  <r>
    <d v="2025-12-26T13:26:00"/>
    <x v="0"/>
    <x v="3"/>
    <x v="0"/>
    <x v="0"/>
    <x v="0"/>
    <x v="0"/>
    <x v="4"/>
    <n v="10"/>
    <n v="10"/>
    <n v="1"/>
    <n v="5"/>
    <n v="7"/>
    <n v="10"/>
    <n v="9"/>
    <n v="9"/>
    <n v="10"/>
  </r>
  <r>
    <d v="2025-12-26T13:56:00"/>
    <x v="0"/>
    <x v="1"/>
    <x v="0"/>
    <x v="1"/>
    <x v="0"/>
    <x v="7"/>
    <x v="0"/>
    <n v="5"/>
    <n v="5"/>
    <n v="4"/>
    <n v="8"/>
    <n v="5"/>
    <n v="7"/>
    <n v="7"/>
    <n v="7"/>
    <n v="7"/>
  </r>
  <r>
    <d v="2025-12-26T15:02:00"/>
    <x v="0"/>
    <x v="2"/>
    <x v="0"/>
    <x v="0"/>
    <x v="1"/>
    <x v="2"/>
    <x v="1"/>
    <n v="9"/>
    <n v="9"/>
    <n v="9"/>
    <n v="7"/>
    <n v="7"/>
    <n v="8"/>
    <n v="8"/>
    <n v="6"/>
    <n v="5"/>
  </r>
  <r>
    <d v="2025-12-26T16:31:00"/>
    <x v="1"/>
    <x v="0"/>
    <x v="0"/>
    <x v="0"/>
    <x v="0"/>
    <x v="0"/>
    <x v="1"/>
    <n v="5"/>
    <n v="5"/>
    <n v="5"/>
    <n v="5"/>
    <n v="5"/>
    <n v="8"/>
    <n v="4"/>
    <n v="5"/>
    <n v="5"/>
  </r>
  <r>
    <d v="2025-12-26T16:46:00"/>
    <x v="0"/>
    <x v="3"/>
    <x v="0"/>
    <x v="1"/>
    <x v="0"/>
    <x v="4"/>
    <x v="0"/>
    <n v="8"/>
    <n v="9"/>
    <n v="9"/>
    <n v="9"/>
    <n v="9"/>
    <n v="8"/>
    <n v="8"/>
    <n v="8"/>
    <n v="9"/>
  </r>
  <r>
    <d v="2025-12-26T17:04:00"/>
    <x v="0"/>
    <x v="0"/>
    <x v="0"/>
    <x v="1"/>
    <x v="0"/>
    <x v="7"/>
    <x v="1"/>
    <n v="9"/>
    <n v="9"/>
    <n v="7"/>
    <n v="6"/>
    <n v="7"/>
    <n v="5"/>
    <n v="6"/>
    <n v="8"/>
    <n v="5"/>
  </r>
  <r>
    <d v="2025-12-26T19:26:00"/>
    <x v="0"/>
    <x v="4"/>
    <x v="1"/>
    <x v="0"/>
    <x v="0"/>
    <x v="4"/>
    <x v="0"/>
    <n v="9"/>
    <n v="9"/>
    <n v="9"/>
    <n v="9"/>
    <n v="8"/>
    <n v="9"/>
    <n v="9"/>
    <n v="8"/>
    <n v="7"/>
  </r>
  <r>
    <d v="2025-12-27T08:39:00"/>
    <x v="0"/>
    <x v="3"/>
    <x v="0"/>
    <x v="0"/>
    <x v="1"/>
    <x v="6"/>
    <x v="4"/>
    <n v="9"/>
    <n v="10"/>
    <n v="9"/>
    <n v="10"/>
    <n v="10"/>
    <n v="5"/>
    <n v="10"/>
    <n v="7"/>
    <n v="9"/>
  </r>
  <r>
    <d v="2025-12-28T14:24:00"/>
    <x v="0"/>
    <x v="1"/>
    <x v="1"/>
    <x v="0"/>
    <x v="0"/>
    <x v="2"/>
    <x v="4"/>
    <n v="10"/>
    <n v="10"/>
    <n v="10"/>
    <n v="10"/>
    <n v="10"/>
    <n v="10"/>
    <n v="10"/>
    <n v="10"/>
    <n v="10"/>
  </r>
  <r>
    <d v="2025-12-28T14:30:00"/>
    <x v="0"/>
    <x v="0"/>
    <x v="0"/>
    <x v="2"/>
    <x v="0"/>
    <x v="0"/>
    <x v="1"/>
    <n v="7"/>
    <n v="5"/>
    <n v="3"/>
    <n v="5"/>
    <n v="4"/>
    <n v="3"/>
    <n v="5"/>
    <n v="6"/>
    <n v="6"/>
  </r>
  <r>
    <d v="2025-12-28T15:02:00"/>
    <x v="1"/>
    <x v="1"/>
    <x v="0"/>
    <x v="1"/>
    <x v="0"/>
    <x v="3"/>
    <x v="4"/>
    <n v="5"/>
    <n v="5"/>
    <n v="4"/>
    <n v="4"/>
    <n v="2"/>
    <n v="3"/>
    <n v="2"/>
    <n v="3"/>
    <n v="3"/>
  </r>
  <r>
    <d v="2025-12-28T15:30:00"/>
    <x v="0"/>
    <x v="1"/>
    <x v="0"/>
    <x v="0"/>
    <x v="0"/>
    <x v="1"/>
    <x v="4"/>
    <n v="4"/>
    <n v="3"/>
    <n v="1"/>
    <n v="5"/>
    <n v="4"/>
    <n v="3"/>
    <n v="1"/>
    <n v="3"/>
    <n v="5"/>
  </r>
  <r>
    <d v="2025-12-28T15:33:00"/>
    <x v="1"/>
    <x v="0"/>
    <x v="0"/>
    <x v="0"/>
    <x v="0"/>
    <x v="4"/>
    <x v="1"/>
    <n v="7"/>
    <n v="7"/>
    <n v="8"/>
    <n v="9"/>
    <n v="8"/>
    <n v="10"/>
    <n v="9"/>
    <n v="9"/>
    <n v="9"/>
  </r>
  <r>
    <d v="2025-12-28T15:34:00"/>
    <x v="1"/>
    <x v="1"/>
    <x v="0"/>
    <x v="1"/>
    <x v="1"/>
    <x v="6"/>
    <x v="0"/>
    <n v="6"/>
    <n v="6"/>
    <n v="5"/>
    <n v="5"/>
    <n v="5"/>
    <n v="1"/>
    <n v="5"/>
    <n v="5"/>
    <n v="5"/>
  </r>
  <r>
    <d v="2025-12-28T15:37:00"/>
    <x v="0"/>
    <x v="3"/>
    <x v="0"/>
    <x v="1"/>
    <x v="0"/>
    <x v="7"/>
    <x v="4"/>
    <n v="3"/>
    <n v="3"/>
    <n v="3"/>
    <n v="5"/>
    <n v="3"/>
    <n v="3"/>
    <n v="3"/>
    <n v="3"/>
    <n v="4"/>
  </r>
  <r>
    <d v="2025-12-28T15:39:00"/>
    <x v="1"/>
    <x v="3"/>
    <x v="0"/>
    <x v="0"/>
    <x v="1"/>
    <x v="4"/>
    <x v="2"/>
    <n v="8"/>
    <n v="8"/>
    <n v="4"/>
    <n v="2"/>
    <n v="6"/>
    <n v="3"/>
    <n v="8"/>
    <n v="4"/>
    <n v="8"/>
  </r>
  <r>
    <d v="2025-12-28T15:48:00"/>
    <x v="1"/>
    <x v="2"/>
    <x v="0"/>
    <x v="3"/>
    <x v="0"/>
    <x v="0"/>
    <x v="1"/>
    <n v="5"/>
    <n v="5"/>
    <n v="5"/>
    <n v="5"/>
    <n v="5"/>
    <n v="10"/>
    <n v="5"/>
    <n v="5"/>
    <n v="10"/>
  </r>
  <r>
    <d v="2025-12-28T16:27:00"/>
    <x v="0"/>
    <x v="3"/>
    <x v="0"/>
    <x v="0"/>
    <x v="1"/>
    <x v="4"/>
    <x v="0"/>
    <n v="5"/>
    <n v="10"/>
    <n v="2"/>
    <n v="8"/>
    <n v="5"/>
    <n v="5"/>
    <n v="1"/>
    <n v="4"/>
    <n v="5"/>
  </r>
  <r>
    <d v="2025-12-28T16:30:00"/>
    <x v="1"/>
    <x v="1"/>
    <x v="0"/>
    <x v="1"/>
    <x v="0"/>
    <x v="1"/>
    <x v="4"/>
    <n v="8"/>
    <n v="9"/>
    <n v="9"/>
    <n v="9"/>
    <n v="3"/>
    <n v="3"/>
    <n v="2"/>
    <n v="2"/>
    <n v="6"/>
  </r>
  <r>
    <d v="2025-12-28T16:39:00"/>
    <x v="1"/>
    <x v="1"/>
    <x v="1"/>
    <x v="3"/>
    <x v="1"/>
    <x v="0"/>
    <x v="2"/>
    <n v="5"/>
    <n v="5"/>
    <n v="5"/>
    <n v="5"/>
    <n v="5"/>
    <n v="5"/>
    <n v="5"/>
    <n v="5"/>
    <n v="5"/>
  </r>
  <r>
    <d v="2025-12-28T16:44:00"/>
    <x v="0"/>
    <x v="4"/>
    <x v="0"/>
    <x v="0"/>
    <x v="0"/>
    <x v="0"/>
    <x v="4"/>
    <n v="8"/>
    <n v="8"/>
    <n v="8"/>
    <n v="8"/>
    <n v="9"/>
    <n v="7"/>
    <n v="9"/>
    <n v="10"/>
    <n v="8"/>
  </r>
  <r>
    <d v="2025-12-28T16:47:00"/>
    <x v="0"/>
    <x v="3"/>
    <x v="0"/>
    <x v="1"/>
    <x v="0"/>
    <x v="5"/>
    <x v="4"/>
    <n v="8"/>
    <n v="7"/>
    <n v="9"/>
    <n v="8"/>
    <n v="8"/>
    <n v="8"/>
    <n v="6"/>
    <n v="6"/>
    <n v="7"/>
  </r>
  <r>
    <d v="2025-12-28T17:42:00"/>
    <x v="0"/>
    <x v="5"/>
    <x v="0"/>
    <x v="3"/>
    <x v="2"/>
    <x v="0"/>
    <x v="1"/>
    <n v="6"/>
    <n v="2"/>
    <n v="3"/>
    <n v="2"/>
    <n v="3"/>
    <n v="7"/>
    <n v="5"/>
    <n v="5"/>
    <n v="7"/>
  </r>
  <r>
    <d v="2025-12-28T17:55:00"/>
    <x v="1"/>
    <x v="0"/>
    <x v="0"/>
    <x v="0"/>
    <x v="0"/>
    <x v="0"/>
    <x v="1"/>
    <n v="8"/>
    <n v="8"/>
    <n v="8"/>
    <n v="8"/>
    <n v="8"/>
    <n v="8"/>
    <n v="8"/>
    <n v="8"/>
    <n v="8"/>
  </r>
  <r>
    <d v="2025-12-28T18:37:00"/>
    <x v="1"/>
    <x v="5"/>
    <x v="0"/>
    <x v="1"/>
    <x v="2"/>
    <x v="2"/>
    <x v="1"/>
    <n v="7"/>
    <n v="7"/>
    <n v="5"/>
    <n v="5"/>
    <n v="6"/>
    <n v="5"/>
    <n v="8"/>
    <n v="6"/>
    <n v="8"/>
  </r>
  <r>
    <d v="2025-12-28T19:23:00"/>
    <x v="0"/>
    <x v="5"/>
    <x v="0"/>
    <x v="0"/>
    <x v="2"/>
    <x v="0"/>
    <x v="0"/>
    <n v="8"/>
    <n v="9"/>
    <n v="5"/>
    <n v="5"/>
    <n v="5"/>
    <n v="5"/>
    <n v="1"/>
    <n v="5"/>
    <n v="5"/>
  </r>
  <r>
    <d v="2025-12-28T19:33:00"/>
    <x v="0"/>
    <x v="1"/>
    <x v="0"/>
    <x v="1"/>
    <x v="0"/>
    <x v="0"/>
    <x v="4"/>
    <n v="10"/>
    <n v="8"/>
    <n v="8"/>
    <n v="7"/>
    <n v="7"/>
    <n v="6"/>
    <n v="7"/>
    <n v="6"/>
    <n v="8"/>
  </r>
  <r>
    <d v="2025-12-28T19:38:00"/>
    <x v="0"/>
    <x v="3"/>
    <x v="0"/>
    <x v="2"/>
    <x v="0"/>
    <x v="0"/>
    <x v="0"/>
    <n v="6"/>
    <n v="7"/>
    <n v="5"/>
    <n v="5"/>
    <n v="5"/>
    <n v="5"/>
    <n v="5"/>
    <n v="5"/>
    <n v="5"/>
  </r>
  <r>
    <d v="2025-12-28T19:40:00"/>
    <x v="0"/>
    <x v="1"/>
    <x v="0"/>
    <x v="0"/>
    <x v="0"/>
    <x v="0"/>
    <x v="4"/>
    <n v="9"/>
    <n v="9"/>
    <n v="8"/>
    <n v="9"/>
    <n v="9"/>
    <n v="9"/>
    <n v="7"/>
    <n v="8"/>
    <n v="8"/>
  </r>
  <r>
    <d v="2025-12-28T19:41:00"/>
    <x v="1"/>
    <x v="3"/>
    <x v="1"/>
    <x v="0"/>
    <x v="0"/>
    <x v="0"/>
    <x v="1"/>
    <n v="5"/>
    <n v="5"/>
    <n v="10"/>
    <n v="4"/>
    <n v="4"/>
    <n v="5"/>
    <n v="5"/>
    <n v="8"/>
    <n v="8"/>
  </r>
  <r>
    <d v="2025-12-28T19:48:00"/>
    <x v="1"/>
    <x v="1"/>
    <x v="0"/>
    <x v="0"/>
    <x v="0"/>
    <x v="0"/>
    <x v="4"/>
    <n v="10"/>
    <n v="9"/>
    <n v="9"/>
    <n v="9"/>
    <n v="9"/>
    <n v="9"/>
    <n v="10"/>
    <n v="9"/>
    <n v="10"/>
  </r>
  <r>
    <d v="2025-12-28T20:05:00"/>
    <x v="0"/>
    <x v="1"/>
    <x v="0"/>
    <x v="3"/>
    <x v="0"/>
    <x v="2"/>
    <x v="4"/>
    <n v="10"/>
    <n v="10"/>
    <n v="10"/>
    <n v="10"/>
    <n v="10"/>
    <n v="10"/>
    <n v="10"/>
    <n v="10"/>
    <n v="10"/>
  </r>
  <r>
    <d v="2025-12-28T20:08:00"/>
    <x v="0"/>
    <x v="3"/>
    <x v="0"/>
    <x v="2"/>
    <x v="0"/>
    <x v="2"/>
    <x v="0"/>
    <n v="10"/>
    <n v="9"/>
    <n v="9"/>
    <n v="9"/>
    <n v="10"/>
    <n v="9"/>
    <n v="9"/>
    <n v="8"/>
    <n v="9"/>
  </r>
  <r>
    <d v="2025-12-28T20:11:00"/>
    <x v="0"/>
    <x v="3"/>
    <x v="1"/>
    <x v="0"/>
    <x v="0"/>
    <x v="2"/>
    <x v="3"/>
    <n v="6"/>
    <n v="10"/>
    <n v="8"/>
    <n v="9"/>
    <n v="9"/>
    <n v="9"/>
    <n v="8"/>
    <n v="8"/>
    <n v="9"/>
  </r>
  <r>
    <d v="2025-12-28T20:22:00"/>
    <x v="0"/>
    <x v="3"/>
    <x v="0"/>
    <x v="0"/>
    <x v="0"/>
    <x v="2"/>
    <x v="4"/>
    <n v="10"/>
    <n v="9"/>
    <n v="9"/>
    <n v="9"/>
    <n v="10"/>
    <n v="9"/>
    <n v="8"/>
    <n v="8"/>
    <n v="10"/>
  </r>
  <r>
    <d v="2025-12-28T20:38:00"/>
    <x v="1"/>
    <x v="3"/>
    <x v="0"/>
    <x v="0"/>
    <x v="0"/>
    <x v="2"/>
    <x v="4"/>
    <n v="10"/>
    <n v="10"/>
    <n v="10"/>
    <n v="10"/>
    <n v="10"/>
    <n v="1"/>
    <n v="10"/>
    <n v="10"/>
    <n v="10"/>
  </r>
  <r>
    <d v="2025-12-28T20:38:00"/>
    <x v="1"/>
    <x v="3"/>
    <x v="0"/>
    <x v="0"/>
    <x v="0"/>
    <x v="5"/>
    <x v="4"/>
    <n v="5"/>
    <n v="8"/>
    <n v="4"/>
    <n v="9"/>
    <n v="7"/>
    <n v="5"/>
    <n v="7"/>
    <n v="8"/>
    <n v="10"/>
  </r>
  <r>
    <d v="2025-12-28T21:21:00"/>
    <x v="0"/>
    <x v="3"/>
    <x v="0"/>
    <x v="1"/>
    <x v="0"/>
    <x v="2"/>
    <x v="1"/>
    <n v="9"/>
    <n v="7"/>
    <n v="5"/>
    <n v="7"/>
    <n v="5"/>
    <n v="8"/>
    <n v="5"/>
    <n v="5"/>
    <n v="7"/>
  </r>
  <r>
    <d v="2025-12-28T21:37:00"/>
    <x v="0"/>
    <x v="1"/>
    <x v="0"/>
    <x v="0"/>
    <x v="0"/>
    <x v="5"/>
    <x v="2"/>
    <n v="4"/>
    <n v="6"/>
    <n v="5"/>
    <n v="5"/>
    <n v="4"/>
    <n v="4"/>
    <n v="3"/>
    <n v="4"/>
    <n v="3"/>
  </r>
  <r>
    <d v="2025-12-28T21:39:00"/>
    <x v="1"/>
    <x v="2"/>
    <x v="0"/>
    <x v="0"/>
    <x v="0"/>
    <x v="2"/>
    <x v="1"/>
    <n v="8"/>
    <n v="7"/>
    <n v="5"/>
    <n v="7"/>
    <n v="7"/>
    <n v="5"/>
    <n v="5"/>
    <n v="7"/>
    <n v="7"/>
  </r>
  <r>
    <d v="2025-12-28T21:40:00"/>
    <x v="0"/>
    <x v="5"/>
    <x v="0"/>
    <x v="0"/>
    <x v="1"/>
    <x v="6"/>
    <x v="3"/>
    <n v="6"/>
    <n v="6"/>
    <n v="5"/>
    <n v="5"/>
    <n v="5"/>
    <n v="5"/>
    <n v="5"/>
    <n v="5"/>
    <n v="5"/>
  </r>
  <r>
    <d v="2025-12-28T21:41:00"/>
    <x v="0"/>
    <x v="3"/>
    <x v="1"/>
    <x v="0"/>
    <x v="0"/>
    <x v="4"/>
    <x v="1"/>
    <n v="8"/>
    <n v="8"/>
    <n v="5"/>
    <n v="8"/>
    <n v="6"/>
    <n v="9"/>
    <n v="5"/>
    <n v="7"/>
    <n v="8"/>
  </r>
  <r>
    <d v="2025-12-28T21:43:00"/>
    <x v="1"/>
    <x v="0"/>
    <x v="0"/>
    <x v="0"/>
    <x v="0"/>
    <x v="7"/>
    <x v="0"/>
    <n v="6"/>
    <n v="6"/>
    <n v="3"/>
    <n v="6"/>
    <n v="5"/>
    <n v="6"/>
    <n v="5"/>
    <n v="6"/>
    <n v="6"/>
  </r>
  <r>
    <d v="2025-12-29T04:58:00"/>
    <x v="0"/>
    <x v="5"/>
    <x v="0"/>
    <x v="0"/>
    <x v="0"/>
    <x v="0"/>
    <x v="0"/>
    <n v="8"/>
    <n v="8"/>
    <n v="8"/>
    <n v="10"/>
    <n v="10"/>
    <n v="10"/>
    <n v="10"/>
    <n v="10"/>
    <n v="10"/>
  </r>
  <r>
    <d v="2025-12-29T06:44:00"/>
    <x v="0"/>
    <x v="4"/>
    <x v="0"/>
    <x v="1"/>
    <x v="0"/>
    <x v="3"/>
    <x v="3"/>
    <n v="8"/>
    <n v="8"/>
    <n v="7"/>
    <n v="8"/>
    <n v="8"/>
    <n v="7"/>
    <n v="7"/>
    <n v="7"/>
    <n v="8"/>
  </r>
  <r>
    <d v="2025-12-29T06:45:00"/>
    <x v="1"/>
    <x v="2"/>
    <x v="0"/>
    <x v="0"/>
    <x v="0"/>
    <x v="0"/>
    <x v="1"/>
    <n v="5"/>
    <n v="5"/>
    <n v="5"/>
    <n v="5"/>
    <n v="5"/>
    <n v="5"/>
    <n v="5"/>
    <n v="5"/>
    <n v="5"/>
  </r>
  <r>
    <d v="2025-12-29T06:47:00"/>
    <x v="0"/>
    <x v="5"/>
    <x v="0"/>
    <x v="0"/>
    <x v="0"/>
    <x v="5"/>
    <x v="4"/>
    <n v="8"/>
    <n v="8"/>
    <n v="5"/>
    <n v="8"/>
    <n v="5"/>
    <n v="5"/>
    <n v="6"/>
    <n v="6"/>
    <n v="5"/>
  </r>
  <r>
    <d v="2025-12-29T06:47:00"/>
    <x v="1"/>
    <x v="3"/>
    <x v="0"/>
    <x v="0"/>
    <x v="0"/>
    <x v="4"/>
    <x v="1"/>
    <n v="6"/>
    <n v="7"/>
    <n v="6"/>
    <n v="8"/>
    <n v="6"/>
    <n v="7"/>
    <n v="6"/>
    <n v="6"/>
    <n v="7"/>
  </r>
  <r>
    <d v="2025-12-29T08:21:00"/>
    <x v="1"/>
    <x v="0"/>
    <x v="0"/>
    <x v="0"/>
    <x v="0"/>
    <x v="0"/>
    <x v="0"/>
    <n v="9"/>
    <n v="10"/>
    <n v="8"/>
    <n v="8"/>
    <n v="9"/>
    <n v="9"/>
    <n v="8"/>
    <n v="6"/>
    <n v="9"/>
  </r>
  <r>
    <d v="2025-12-29T08:33:00"/>
    <x v="0"/>
    <x v="0"/>
    <x v="0"/>
    <x v="0"/>
    <x v="0"/>
    <x v="2"/>
    <x v="1"/>
    <n v="10"/>
    <n v="5"/>
    <n v="8"/>
    <n v="8"/>
    <n v="10"/>
    <n v="10"/>
    <n v="10"/>
    <n v="10"/>
    <n v="10"/>
  </r>
  <r>
    <d v="2025-12-29T08:39:00"/>
    <x v="0"/>
    <x v="1"/>
    <x v="0"/>
    <x v="0"/>
    <x v="0"/>
    <x v="7"/>
    <x v="0"/>
    <n v="7"/>
    <n v="7"/>
    <n v="7"/>
    <n v="7"/>
    <n v="7"/>
    <n v="7"/>
    <n v="7"/>
    <n v="7"/>
    <n v="8"/>
  </r>
  <r>
    <d v="2025-12-29T08:52:00"/>
    <x v="0"/>
    <x v="1"/>
    <x v="0"/>
    <x v="0"/>
    <x v="0"/>
    <x v="0"/>
    <x v="0"/>
    <n v="5"/>
    <n v="10"/>
    <n v="5"/>
    <n v="5"/>
    <n v="5"/>
    <n v="5"/>
    <n v="8"/>
    <n v="5"/>
    <n v="6"/>
  </r>
  <r>
    <d v="2025-12-29T09:03:00"/>
    <x v="0"/>
    <x v="1"/>
    <x v="0"/>
    <x v="0"/>
    <x v="0"/>
    <x v="0"/>
    <x v="0"/>
    <n v="10"/>
    <n v="10"/>
    <n v="10"/>
    <n v="10"/>
    <n v="10"/>
    <n v="10"/>
    <n v="10"/>
    <n v="10"/>
    <n v="10"/>
  </r>
  <r>
    <d v="2025-12-29T09:10:00"/>
    <x v="1"/>
    <x v="3"/>
    <x v="0"/>
    <x v="0"/>
    <x v="0"/>
    <x v="1"/>
    <x v="4"/>
    <n v="7"/>
    <n v="6"/>
    <n v="8"/>
    <n v="8"/>
    <n v="7"/>
    <n v="6"/>
    <n v="5"/>
    <n v="5"/>
    <n v="8"/>
  </r>
  <r>
    <d v="2025-12-29T09:34:00"/>
    <x v="1"/>
    <x v="4"/>
    <x v="0"/>
    <x v="0"/>
    <x v="0"/>
    <x v="7"/>
    <x v="0"/>
    <n v="8"/>
    <n v="8"/>
    <n v="6"/>
    <n v="7"/>
    <n v="6"/>
    <n v="7"/>
    <n v="5"/>
    <n v="5"/>
    <n v="5"/>
  </r>
  <r>
    <d v="2025-12-29T09:36:00"/>
    <x v="0"/>
    <x v="1"/>
    <x v="0"/>
    <x v="0"/>
    <x v="0"/>
    <x v="4"/>
    <x v="4"/>
    <n v="7"/>
    <n v="8"/>
    <n v="8"/>
    <n v="8"/>
    <n v="8"/>
    <n v="8"/>
    <n v="8"/>
    <n v="8"/>
    <n v="8"/>
  </r>
  <r>
    <d v="2025-12-29T09:50:00"/>
    <x v="0"/>
    <x v="3"/>
    <x v="0"/>
    <x v="0"/>
    <x v="0"/>
    <x v="2"/>
    <x v="2"/>
    <n v="1"/>
    <n v="1"/>
    <n v="1"/>
    <n v="1"/>
    <n v="1"/>
    <n v="1"/>
    <n v="1"/>
    <n v="1"/>
    <n v="1"/>
  </r>
  <r>
    <d v="2025-12-29T10:03:00"/>
    <x v="0"/>
    <x v="1"/>
    <x v="0"/>
    <x v="0"/>
    <x v="0"/>
    <x v="4"/>
    <x v="3"/>
    <n v="10"/>
    <n v="10"/>
    <n v="10"/>
    <n v="10"/>
    <n v="10"/>
    <n v="10"/>
    <n v="10"/>
    <n v="10"/>
    <n v="10"/>
  </r>
  <r>
    <d v="2025-12-29T10:05:00"/>
    <x v="0"/>
    <x v="1"/>
    <x v="0"/>
    <x v="1"/>
    <x v="0"/>
    <x v="0"/>
    <x v="3"/>
    <n v="1"/>
    <n v="1"/>
    <n v="1"/>
    <n v="1"/>
    <n v="1"/>
    <n v="1"/>
    <n v="1"/>
    <n v="1"/>
    <n v="1"/>
  </r>
  <r>
    <d v="2025-12-29T11:50:00"/>
    <x v="0"/>
    <x v="1"/>
    <x v="0"/>
    <x v="1"/>
    <x v="0"/>
    <x v="0"/>
    <x v="1"/>
    <n v="9"/>
    <n v="9"/>
    <n v="9"/>
    <n v="9"/>
    <n v="9"/>
    <n v="9"/>
    <n v="9"/>
    <n v="8"/>
    <n v="9"/>
  </r>
  <r>
    <d v="2025-12-29T12:10:00"/>
    <x v="0"/>
    <x v="1"/>
    <x v="0"/>
    <x v="0"/>
    <x v="0"/>
    <x v="1"/>
    <x v="1"/>
    <n v="8"/>
    <n v="9"/>
    <n v="8"/>
    <n v="6"/>
    <n v="8"/>
    <n v="8"/>
    <n v="8"/>
    <n v="8"/>
    <n v="6"/>
  </r>
  <r>
    <d v="2025-12-29T13:01:00"/>
    <x v="1"/>
    <x v="3"/>
    <x v="0"/>
    <x v="1"/>
    <x v="0"/>
    <x v="5"/>
    <x v="0"/>
    <n v="4"/>
    <n v="1"/>
    <n v="1"/>
    <n v="5"/>
    <n v="1"/>
    <n v="3"/>
    <n v="1"/>
    <n v="1"/>
    <n v="5"/>
  </r>
  <r>
    <d v="2025-12-29T13:02:00"/>
    <x v="0"/>
    <x v="5"/>
    <x v="0"/>
    <x v="0"/>
    <x v="0"/>
    <x v="1"/>
    <x v="3"/>
    <n v="8"/>
    <n v="8"/>
    <n v="6"/>
    <n v="9"/>
    <n v="8"/>
    <n v="7"/>
    <n v="7"/>
    <n v="7"/>
    <n v="7"/>
  </r>
  <r>
    <d v="2025-12-29T13:03:00"/>
    <x v="0"/>
    <x v="1"/>
    <x v="1"/>
    <x v="0"/>
    <x v="0"/>
    <x v="7"/>
    <x v="2"/>
    <n v="6"/>
    <n v="6"/>
    <n v="6"/>
    <n v="6"/>
    <n v="6"/>
    <n v="6"/>
    <n v="6"/>
    <n v="6"/>
    <n v="6"/>
  </r>
  <r>
    <d v="2025-12-29T13:04:00"/>
    <x v="1"/>
    <x v="4"/>
    <x v="0"/>
    <x v="1"/>
    <x v="1"/>
    <x v="6"/>
    <x v="3"/>
    <n v="1"/>
    <n v="1"/>
    <n v="1"/>
    <n v="5"/>
    <n v="1"/>
    <n v="1"/>
    <n v="1"/>
    <n v="1"/>
    <n v="5"/>
  </r>
  <r>
    <d v="2025-12-29T13:05:00"/>
    <x v="1"/>
    <x v="1"/>
    <x v="0"/>
    <x v="0"/>
    <x v="0"/>
    <x v="6"/>
    <x v="1"/>
    <n v="4"/>
    <n v="4"/>
    <n v="2"/>
    <n v="5"/>
    <n v="1"/>
    <n v="1"/>
    <n v="1"/>
    <n v="4"/>
    <n v="4"/>
  </r>
  <r>
    <d v="2025-12-29T13:06:00"/>
    <x v="0"/>
    <x v="2"/>
    <x v="0"/>
    <x v="0"/>
    <x v="0"/>
    <x v="2"/>
    <x v="1"/>
    <n v="7"/>
    <n v="7"/>
    <n v="7"/>
    <n v="7"/>
    <n v="7"/>
    <n v="7"/>
    <n v="7"/>
    <n v="7"/>
    <n v="8"/>
  </r>
  <r>
    <d v="2025-12-29T14:09:00"/>
    <x v="0"/>
    <x v="4"/>
    <x v="0"/>
    <x v="1"/>
    <x v="0"/>
    <x v="5"/>
    <x v="0"/>
    <n v="10"/>
    <n v="9"/>
    <n v="10"/>
    <n v="10"/>
    <n v="10"/>
    <n v="8"/>
    <n v="9"/>
    <n v="9"/>
    <n v="9"/>
  </r>
  <r>
    <d v="2025-12-29T14:10:00"/>
    <x v="0"/>
    <x v="2"/>
    <x v="0"/>
    <x v="0"/>
    <x v="0"/>
    <x v="0"/>
    <x v="4"/>
    <n v="10"/>
    <n v="10"/>
    <n v="10"/>
    <n v="10"/>
    <n v="10"/>
    <n v="10"/>
    <n v="10"/>
    <n v="10"/>
    <n v="10"/>
  </r>
  <r>
    <d v="2025-12-29T14:26:00"/>
    <x v="1"/>
    <x v="0"/>
    <x v="0"/>
    <x v="0"/>
    <x v="0"/>
    <x v="7"/>
    <x v="1"/>
    <n v="8"/>
    <n v="8"/>
    <n v="5"/>
    <n v="8"/>
    <n v="8"/>
    <n v="8"/>
    <n v="7"/>
    <n v="7"/>
    <n v="8"/>
  </r>
  <r>
    <d v="2025-12-29T14:27:00"/>
    <x v="0"/>
    <x v="1"/>
    <x v="0"/>
    <x v="0"/>
    <x v="0"/>
    <x v="6"/>
    <x v="3"/>
    <n v="1"/>
    <n v="1"/>
    <n v="1"/>
    <n v="5"/>
    <n v="1"/>
    <n v="1"/>
    <n v="1"/>
    <n v="5"/>
    <n v="5"/>
  </r>
  <r>
    <d v="2025-12-29T14:28:00"/>
    <x v="1"/>
    <x v="4"/>
    <x v="0"/>
    <x v="0"/>
    <x v="0"/>
    <x v="6"/>
    <x v="3"/>
    <n v="6"/>
    <n v="6"/>
    <n v="6"/>
    <n v="8"/>
    <n v="6"/>
    <n v="3"/>
    <n v="5"/>
    <n v="5"/>
    <n v="4"/>
  </r>
  <r>
    <d v="2025-12-29T14:29:00"/>
    <x v="1"/>
    <x v="4"/>
    <x v="0"/>
    <x v="1"/>
    <x v="0"/>
    <x v="6"/>
    <x v="2"/>
    <n v="6"/>
    <n v="6"/>
    <n v="4"/>
    <n v="5"/>
    <n v="5"/>
    <n v="1"/>
    <n v="5"/>
    <n v="4"/>
    <n v="5"/>
  </r>
  <r>
    <d v="2025-12-29T14:29:00"/>
    <x v="0"/>
    <x v="5"/>
    <x v="0"/>
    <x v="1"/>
    <x v="0"/>
    <x v="3"/>
    <x v="4"/>
    <n v="5"/>
    <n v="5"/>
    <n v="1"/>
    <n v="4"/>
    <n v="2"/>
    <n v="1"/>
    <n v="1"/>
    <n v="1"/>
    <n v="5"/>
  </r>
  <r>
    <d v="2025-12-29T14:31:00"/>
    <x v="0"/>
    <x v="3"/>
    <x v="0"/>
    <x v="1"/>
    <x v="0"/>
    <x v="3"/>
    <x v="0"/>
    <n v="8"/>
    <n v="9"/>
    <n v="5"/>
    <n v="5"/>
    <n v="5"/>
    <n v="4"/>
    <n v="5"/>
    <n v="5"/>
    <n v="5"/>
  </r>
  <r>
    <d v="2025-12-29T14:31:00"/>
    <x v="1"/>
    <x v="2"/>
    <x v="0"/>
    <x v="0"/>
    <x v="0"/>
    <x v="0"/>
    <x v="1"/>
    <n v="9"/>
    <n v="9"/>
    <n v="9"/>
    <n v="9"/>
    <n v="7"/>
    <n v="10"/>
    <n v="5"/>
    <n v="5"/>
    <n v="9"/>
  </r>
  <r>
    <d v="2025-12-29T14:32:00"/>
    <x v="1"/>
    <x v="0"/>
    <x v="0"/>
    <x v="2"/>
    <x v="0"/>
    <x v="5"/>
    <x v="1"/>
    <n v="5"/>
    <n v="5"/>
    <n v="5"/>
    <n v="5"/>
    <n v="5"/>
    <n v="5"/>
    <n v="5"/>
    <n v="5"/>
    <n v="5"/>
  </r>
  <r>
    <d v="2025-12-29T14:33:00"/>
    <x v="0"/>
    <x v="2"/>
    <x v="0"/>
    <x v="0"/>
    <x v="0"/>
    <x v="4"/>
    <x v="1"/>
    <n v="9"/>
    <n v="9"/>
    <n v="5"/>
    <n v="9"/>
    <n v="8"/>
    <n v="10"/>
    <n v="5"/>
    <n v="5"/>
    <n v="7"/>
  </r>
  <r>
    <d v="2025-12-29T14:37:00"/>
    <x v="1"/>
    <x v="2"/>
    <x v="0"/>
    <x v="0"/>
    <x v="0"/>
    <x v="0"/>
    <x v="1"/>
    <n v="5"/>
    <n v="5"/>
    <n v="5"/>
    <n v="6"/>
    <n v="6"/>
    <n v="6"/>
    <n v="6"/>
    <n v="6"/>
    <n v="6"/>
  </r>
  <r>
    <d v="2025-12-29T14:43:00"/>
    <x v="0"/>
    <x v="5"/>
    <x v="0"/>
    <x v="0"/>
    <x v="2"/>
    <x v="2"/>
    <x v="1"/>
    <n v="8"/>
    <n v="8"/>
    <n v="8"/>
    <n v="8"/>
    <n v="10"/>
    <n v="10"/>
    <n v="10"/>
    <n v="10"/>
    <n v="10"/>
  </r>
  <r>
    <d v="2025-12-29T15:18:00"/>
    <x v="1"/>
    <x v="4"/>
    <x v="0"/>
    <x v="0"/>
    <x v="0"/>
    <x v="6"/>
    <x v="3"/>
    <n v="8"/>
    <n v="8"/>
    <n v="8"/>
    <n v="8"/>
    <n v="8"/>
    <n v="8"/>
    <n v="5"/>
    <n v="7"/>
    <n v="8"/>
  </r>
  <r>
    <d v="2025-12-29T15:23:00"/>
    <x v="0"/>
    <x v="0"/>
    <x v="0"/>
    <x v="1"/>
    <x v="0"/>
    <x v="0"/>
    <x v="1"/>
    <n v="8"/>
    <n v="9"/>
    <n v="7"/>
    <n v="7"/>
    <n v="6"/>
    <n v="6"/>
    <n v="2"/>
    <n v="5"/>
    <n v="6"/>
  </r>
  <r>
    <d v="2025-12-29T20:27:00"/>
    <x v="0"/>
    <x v="1"/>
    <x v="0"/>
    <x v="1"/>
    <x v="0"/>
    <x v="6"/>
    <x v="4"/>
    <n v="5"/>
    <n v="4"/>
    <n v="7"/>
    <n v="6"/>
    <n v="3"/>
    <n v="4"/>
    <n v="4"/>
    <n v="5"/>
    <n v="5"/>
  </r>
  <r>
    <d v="2025-12-29T21:20:00"/>
    <x v="0"/>
    <x v="3"/>
    <x v="0"/>
    <x v="0"/>
    <x v="0"/>
    <x v="7"/>
    <x v="0"/>
    <n v="10"/>
    <n v="9"/>
    <n v="9"/>
    <n v="9"/>
    <n v="8"/>
    <n v="8"/>
    <n v="8"/>
    <n v="8"/>
    <n v="10"/>
  </r>
  <r>
    <d v="2025-12-29T21:21:00"/>
    <x v="1"/>
    <x v="3"/>
    <x v="0"/>
    <x v="0"/>
    <x v="0"/>
    <x v="7"/>
    <x v="0"/>
    <n v="8"/>
    <n v="7"/>
    <n v="6"/>
    <n v="6"/>
    <n v="5"/>
    <n v="5"/>
    <n v="3"/>
    <n v="3"/>
    <n v="5"/>
  </r>
  <r>
    <d v="2025-12-30T08:12:00"/>
    <x v="1"/>
    <x v="1"/>
    <x v="0"/>
    <x v="1"/>
    <x v="0"/>
    <x v="2"/>
    <x v="0"/>
    <n v="5"/>
    <n v="6"/>
    <n v="5"/>
    <n v="7"/>
    <n v="6"/>
    <n v="6"/>
    <n v="6"/>
    <n v="7"/>
    <n v="7"/>
  </r>
  <r>
    <d v="2025-12-30T10:46:00"/>
    <x v="1"/>
    <x v="3"/>
    <x v="0"/>
    <x v="1"/>
    <x v="0"/>
    <x v="6"/>
    <x v="1"/>
    <n v="1"/>
    <n v="1"/>
    <n v="8"/>
    <n v="8"/>
    <n v="8"/>
    <n v="8"/>
    <n v="8"/>
    <n v="8"/>
    <n v="8"/>
  </r>
  <r>
    <d v="2025-12-30T10:47:00"/>
    <x v="0"/>
    <x v="4"/>
    <x v="0"/>
    <x v="0"/>
    <x v="0"/>
    <x v="1"/>
    <x v="4"/>
    <n v="9"/>
    <n v="9"/>
    <n v="9"/>
    <n v="9"/>
    <n v="10"/>
    <n v="5"/>
    <n v="9"/>
    <n v="9"/>
    <n v="10"/>
  </r>
  <r>
    <d v="2025-12-30T10:50:00"/>
    <x v="0"/>
    <x v="1"/>
    <x v="0"/>
    <x v="0"/>
    <x v="0"/>
    <x v="1"/>
    <x v="4"/>
    <n v="10"/>
    <n v="10"/>
    <n v="9"/>
    <n v="6"/>
    <n v="6"/>
    <n v="3"/>
    <n v="5"/>
    <n v="5"/>
    <n v="1"/>
  </r>
  <r>
    <d v="2025-12-30T10:54:00"/>
    <x v="0"/>
    <x v="1"/>
    <x v="0"/>
    <x v="0"/>
    <x v="0"/>
    <x v="3"/>
    <x v="2"/>
    <n v="8"/>
    <n v="8"/>
    <n v="5"/>
    <n v="5"/>
    <n v="5"/>
    <n v="3"/>
    <n v="5"/>
    <n v="5"/>
    <n v="5"/>
  </r>
  <r>
    <d v="2025-12-30T10:59:00"/>
    <x v="0"/>
    <x v="5"/>
    <x v="0"/>
    <x v="1"/>
    <x v="0"/>
    <x v="6"/>
    <x v="1"/>
    <n v="7"/>
    <n v="7"/>
    <n v="1"/>
    <n v="6"/>
    <n v="3"/>
    <n v="5"/>
    <n v="1"/>
    <n v="4"/>
    <n v="5"/>
  </r>
  <r>
    <d v="2025-12-30T11:05:00"/>
    <x v="1"/>
    <x v="0"/>
    <x v="0"/>
    <x v="0"/>
    <x v="0"/>
    <x v="4"/>
    <x v="1"/>
    <n v="6"/>
    <n v="6"/>
    <n v="5"/>
    <n v="7"/>
    <n v="5"/>
    <n v="7"/>
    <n v="5"/>
    <n v="6"/>
    <n v="7"/>
  </r>
  <r>
    <d v="2025-12-30T11:09:00"/>
    <x v="0"/>
    <x v="1"/>
    <x v="0"/>
    <x v="0"/>
    <x v="0"/>
    <x v="6"/>
    <x v="2"/>
    <n v="10"/>
    <n v="10"/>
    <n v="7"/>
    <n v="8"/>
    <n v="8"/>
    <n v="4"/>
    <n v="1"/>
    <n v="3"/>
    <n v="6"/>
  </r>
  <r>
    <d v="2025-12-30T11:24:00"/>
    <x v="0"/>
    <x v="1"/>
    <x v="0"/>
    <x v="0"/>
    <x v="0"/>
    <x v="1"/>
    <x v="4"/>
    <n v="7"/>
    <n v="10"/>
    <n v="5"/>
    <n v="7"/>
    <n v="7"/>
    <n v="7"/>
    <n v="7"/>
    <n v="7"/>
    <n v="10"/>
  </r>
  <r>
    <d v="2025-12-30T11:42:00"/>
    <x v="0"/>
    <x v="3"/>
    <x v="0"/>
    <x v="0"/>
    <x v="0"/>
    <x v="3"/>
    <x v="4"/>
    <n v="8"/>
    <n v="8"/>
    <n v="8"/>
    <n v="8"/>
    <n v="8"/>
    <n v="8"/>
    <n v="8"/>
    <n v="8"/>
    <n v="8"/>
  </r>
  <r>
    <d v="2025-12-30T12:10:00"/>
    <x v="0"/>
    <x v="1"/>
    <x v="0"/>
    <x v="1"/>
    <x v="0"/>
    <x v="3"/>
    <x v="4"/>
    <n v="10"/>
    <n v="10"/>
    <n v="10"/>
    <n v="10"/>
    <n v="10"/>
    <n v="10"/>
    <n v="10"/>
    <n v="10"/>
    <n v="10"/>
  </r>
  <r>
    <d v="2025-12-30T12:21:00"/>
    <x v="1"/>
    <x v="3"/>
    <x v="0"/>
    <x v="0"/>
    <x v="0"/>
    <x v="2"/>
    <x v="0"/>
    <n v="7"/>
    <n v="7"/>
    <n v="5"/>
    <n v="7"/>
    <n v="7"/>
    <n v="7"/>
    <n v="7"/>
    <n v="7"/>
    <n v="7"/>
  </r>
  <r>
    <d v="2025-12-30T14:44:00"/>
    <x v="0"/>
    <x v="0"/>
    <x v="0"/>
    <x v="0"/>
    <x v="0"/>
    <x v="2"/>
    <x v="4"/>
    <n v="7"/>
    <n v="8"/>
    <n v="8"/>
    <n v="8"/>
    <n v="6"/>
    <n v="8"/>
    <n v="5"/>
    <n v="8"/>
    <n v="8"/>
  </r>
  <r>
    <d v="2025-12-30T18:51:00"/>
    <x v="0"/>
    <x v="3"/>
    <x v="0"/>
    <x v="1"/>
    <x v="0"/>
    <x v="1"/>
    <x v="0"/>
    <n v="10"/>
    <n v="10"/>
    <n v="10"/>
    <n v="10"/>
    <n v="10"/>
    <n v="10"/>
    <n v="10"/>
    <n v="10"/>
    <n v="10"/>
  </r>
  <r>
    <d v="2025-12-30T18:59:00"/>
    <x v="0"/>
    <x v="3"/>
    <x v="0"/>
    <x v="1"/>
    <x v="0"/>
    <x v="7"/>
    <x v="0"/>
    <n v="10"/>
    <n v="10"/>
    <n v="10"/>
    <n v="10"/>
    <n v="10"/>
    <n v="10"/>
    <n v="10"/>
    <n v="10"/>
    <n v="10"/>
  </r>
  <r>
    <d v="2025-12-30T19:26:00"/>
    <x v="1"/>
    <x v="3"/>
    <x v="0"/>
    <x v="0"/>
    <x v="0"/>
    <x v="3"/>
    <x v="3"/>
    <n v="10"/>
    <n v="10"/>
    <n v="1"/>
    <n v="10"/>
    <n v="1"/>
    <n v="1"/>
    <n v="1"/>
    <n v="1"/>
    <n v="6"/>
  </r>
  <r>
    <d v="2025-12-30T19:51:00"/>
    <x v="0"/>
    <x v="3"/>
    <x v="0"/>
    <x v="0"/>
    <x v="0"/>
    <x v="3"/>
    <x v="4"/>
    <n v="7"/>
    <n v="8"/>
    <n v="6"/>
    <n v="6"/>
    <n v="7"/>
    <n v="5"/>
    <n v="6"/>
    <n v="7"/>
    <n v="7"/>
  </r>
  <r>
    <d v="2026-01-01T10:33:00"/>
    <x v="1"/>
    <x v="1"/>
    <x v="0"/>
    <x v="0"/>
    <x v="0"/>
    <x v="5"/>
    <x v="1"/>
    <n v="2"/>
    <n v="7"/>
    <n v="10"/>
    <n v="2"/>
    <n v="10"/>
    <n v="5"/>
    <n v="10"/>
    <n v="3"/>
    <n v="3"/>
  </r>
  <r>
    <d v="2026-01-01T15:13:00"/>
    <x v="0"/>
    <x v="3"/>
    <x v="0"/>
    <x v="1"/>
    <x v="0"/>
    <x v="5"/>
    <x v="1"/>
    <n v="9"/>
    <n v="9"/>
    <n v="10"/>
    <n v="2"/>
    <n v="9"/>
    <n v="9"/>
    <n v="6"/>
    <n v="8"/>
    <n v="10"/>
  </r>
  <r>
    <d v="2026-01-01T15:17:00"/>
    <x v="0"/>
    <x v="3"/>
    <x v="0"/>
    <x v="0"/>
    <x v="0"/>
    <x v="0"/>
    <x v="1"/>
    <n v="7"/>
    <n v="5"/>
    <n v="7"/>
    <n v="5"/>
    <n v="3"/>
    <n v="4"/>
    <n v="1"/>
    <n v="5"/>
    <n v="5"/>
  </r>
  <r>
    <d v="2026-01-01T15:31:00"/>
    <x v="0"/>
    <x v="0"/>
    <x v="0"/>
    <x v="0"/>
    <x v="0"/>
    <x v="2"/>
    <x v="1"/>
    <n v="3"/>
    <n v="8"/>
    <n v="4"/>
    <n v="5"/>
    <n v="5"/>
    <n v="5"/>
    <n v="5"/>
    <n v="5"/>
    <n v="5"/>
  </r>
  <r>
    <d v="2026-01-02T07:31:00"/>
    <x v="0"/>
    <x v="0"/>
    <x v="0"/>
    <x v="0"/>
    <x v="0"/>
    <x v="0"/>
    <x v="1"/>
    <n v="10"/>
    <n v="10"/>
    <n v="10"/>
    <n v="10"/>
    <n v="10"/>
    <n v="10"/>
    <n v="10"/>
    <n v="10"/>
    <n v="10"/>
  </r>
  <r>
    <d v="2026-01-02T09:17:00"/>
    <x v="0"/>
    <x v="1"/>
    <x v="0"/>
    <x v="0"/>
    <x v="0"/>
    <x v="5"/>
    <x v="4"/>
    <n v="8"/>
    <n v="9"/>
    <n v="9"/>
    <n v="9"/>
    <n v="5"/>
    <n v="7"/>
    <n v="5"/>
    <n v="7"/>
    <n v="7"/>
  </r>
  <r>
    <d v="2026-01-02T14:22:00"/>
    <x v="0"/>
    <x v="3"/>
    <x v="0"/>
    <x v="1"/>
    <x v="0"/>
    <x v="5"/>
    <x v="1"/>
    <n v="5"/>
    <n v="5"/>
    <n v="6"/>
    <n v="6"/>
    <n v="6"/>
    <n v="6"/>
    <n v="5"/>
    <n v="7"/>
    <n v="8"/>
  </r>
  <r>
    <d v="2026-01-02T16:52:00"/>
    <x v="0"/>
    <x v="3"/>
    <x v="0"/>
    <x v="1"/>
    <x v="0"/>
    <x v="5"/>
    <x v="0"/>
    <n v="10"/>
    <n v="8"/>
    <n v="10"/>
    <n v="10"/>
    <n v="10"/>
    <n v="10"/>
    <n v="10"/>
    <n v="10"/>
    <n v="8"/>
  </r>
  <r>
    <d v="2026-01-02T18:20:00"/>
    <x v="1"/>
    <x v="3"/>
    <x v="0"/>
    <x v="1"/>
    <x v="0"/>
    <x v="3"/>
    <x v="1"/>
    <n v="5"/>
    <n v="8"/>
    <n v="5"/>
    <n v="8"/>
    <n v="4"/>
    <n v="5"/>
    <n v="1"/>
    <n v="5"/>
    <n v="5"/>
  </r>
  <r>
    <d v="2026-01-03T08:11:00"/>
    <x v="0"/>
    <x v="0"/>
    <x v="0"/>
    <x v="0"/>
    <x v="0"/>
    <x v="4"/>
    <x v="1"/>
    <n v="7"/>
    <n v="7"/>
    <n v="8"/>
    <n v="8"/>
    <n v="7"/>
    <n v="8"/>
    <n v="8"/>
    <n v="8"/>
    <n v="9"/>
  </r>
  <r>
    <d v="2026-01-03T08:59:00"/>
    <x v="1"/>
    <x v="1"/>
    <x v="0"/>
    <x v="0"/>
    <x v="0"/>
    <x v="5"/>
    <x v="1"/>
    <n v="8"/>
    <n v="8"/>
    <n v="7"/>
    <n v="8"/>
    <n v="7"/>
    <n v="7"/>
    <n v="7"/>
    <n v="8"/>
    <n v="8"/>
  </r>
  <r>
    <d v="2026-01-04T13:48:00"/>
    <x v="1"/>
    <x v="0"/>
    <x v="0"/>
    <x v="0"/>
    <x v="1"/>
    <x v="0"/>
    <x v="1"/>
    <n v="5"/>
    <n v="8"/>
    <n v="7"/>
    <n v="8"/>
    <n v="1"/>
    <n v="2"/>
    <n v="3"/>
    <n v="3"/>
    <n v="7"/>
  </r>
  <r>
    <d v="2026-01-04T13:50:00"/>
    <x v="1"/>
    <x v="2"/>
    <x v="0"/>
    <x v="0"/>
    <x v="0"/>
    <x v="2"/>
    <x v="1"/>
    <n v="6"/>
    <n v="7"/>
    <n v="5"/>
    <n v="7"/>
    <n v="7"/>
    <n v="7"/>
    <n v="5"/>
    <n v="7"/>
    <n v="7"/>
  </r>
  <r>
    <d v="2026-01-04T13:51:00"/>
    <x v="1"/>
    <x v="4"/>
    <x v="0"/>
    <x v="1"/>
    <x v="0"/>
    <x v="6"/>
    <x v="3"/>
    <n v="8"/>
    <n v="8"/>
    <n v="8"/>
    <n v="9"/>
    <n v="9"/>
    <n v="5"/>
    <n v="5"/>
    <n v="8"/>
    <n v="6"/>
  </r>
  <r>
    <d v="2026-01-04T13:52:00"/>
    <x v="0"/>
    <x v="1"/>
    <x v="0"/>
    <x v="0"/>
    <x v="0"/>
    <x v="3"/>
    <x v="2"/>
    <n v="5"/>
    <n v="5"/>
    <n v="4"/>
    <n v="6"/>
    <n v="5"/>
    <n v="4"/>
    <n v="4"/>
    <n v="5"/>
    <n v="5"/>
  </r>
  <r>
    <d v="2026-01-04T13:53:00"/>
    <x v="0"/>
    <x v="0"/>
    <x v="0"/>
    <x v="0"/>
    <x v="0"/>
    <x v="5"/>
    <x v="0"/>
    <n v="6"/>
    <n v="6"/>
    <n v="6"/>
    <n v="6"/>
    <n v="7"/>
    <n v="7"/>
    <n v="5"/>
    <n v="7"/>
    <n v="6"/>
  </r>
  <r>
    <d v="2026-01-04T13:54:00"/>
    <x v="0"/>
    <x v="4"/>
    <x v="0"/>
    <x v="1"/>
    <x v="0"/>
    <x v="6"/>
    <x v="2"/>
    <n v="4"/>
    <n v="5"/>
    <n v="4"/>
    <n v="6"/>
    <n v="4"/>
    <n v="4"/>
    <n v="4"/>
    <n v="5"/>
    <n v="4"/>
  </r>
  <r>
    <d v="2026-01-04T13:54:00"/>
    <x v="0"/>
    <x v="5"/>
    <x v="1"/>
    <x v="1"/>
    <x v="0"/>
    <x v="6"/>
    <x v="1"/>
    <n v="2"/>
    <n v="4"/>
    <n v="3"/>
    <n v="5"/>
    <n v="4"/>
    <n v="1"/>
    <n v="1"/>
    <n v="4"/>
    <n v="4"/>
  </r>
  <r>
    <d v="2026-01-04T13:56:00"/>
    <x v="0"/>
    <x v="4"/>
    <x v="0"/>
    <x v="1"/>
    <x v="0"/>
    <x v="3"/>
    <x v="4"/>
    <n v="4"/>
    <n v="4"/>
    <n v="3"/>
    <n v="5"/>
    <n v="3"/>
    <n v="2"/>
    <n v="1"/>
    <n v="1"/>
    <n v="1"/>
  </r>
  <r>
    <d v="2026-01-04T13:56:00"/>
    <x v="0"/>
    <x v="5"/>
    <x v="0"/>
    <x v="0"/>
    <x v="0"/>
    <x v="5"/>
    <x v="3"/>
    <n v="6"/>
    <n v="7"/>
    <n v="6"/>
    <n v="6"/>
    <n v="6"/>
    <n v="7"/>
    <n v="5"/>
    <n v="6"/>
    <n v="7"/>
  </r>
  <r>
    <d v="2026-01-04T13:58:00"/>
    <x v="0"/>
    <x v="3"/>
    <x v="0"/>
    <x v="1"/>
    <x v="0"/>
    <x v="7"/>
    <x v="0"/>
    <n v="7"/>
    <n v="7"/>
    <n v="7"/>
    <n v="8"/>
    <n v="7"/>
    <n v="8"/>
    <n v="7"/>
    <n v="7"/>
    <n v="8"/>
  </r>
  <r>
    <d v="2026-01-04T13:59:00"/>
    <x v="0"/>
    <x v="1"/>
    <x v="0"/>
    <x v="0"/>
    <x v="0"/>
    <x v="1"/>
    <x v="0"/>
    <n v="5"/>
    <n v="5"/>
    <n v="5"/>
    <n v="7"/>
    <n v="5"/>
    <n v="6"/>
    <n v="5"/>
    <n v="7"/>
    <n v="7"/>
  </r>
  <r>
    <d v="2026-01-04T16:48:00"/>
    <x v="0"/>
    <x v="3"/>
    <x v="0"/>
    <x v="1"/>
    <x v="0"/>
    <x v="1"/>
    <x v="4"/>
    <n v="6"/>
    <n v="7"/>
    <n v="7"/>
    <n v="8"/>
    <n v="8"/>
    <n v="7"/>
    <n v="5"/>
    <n v="7"/>
    <n v="7"/>
  </r>
  <r>
    <d v="2026-01-04T16:49:00"/>
    <x v="0"/>
    <x v="0"/>
    <x v="0"/>
    <x v="0"/>
    <x v="0"/>
    <x v="7"/>
    <x v="1"/>
    <n v="8"/>
    <n v="8"/>
    <n v="5"/>
    <n v="8"/>
    <n v="6"/>
    <n v="8"/>
    <n v="6"/>
    <n v="7"/>
    <n v="7"/>
  </r>
  <r>
    <d v="2026-01-04T16:50:00"/>
    <x v="1"/>
    <x v="5"/>
    <x v="0"/>
    <x v="1"/>
    <x v="0"/>
    <x v="6"/>
    <x v="2"/>
    <n v="2"/>
    <n v="5"/>
    <n v="3"/>
    <n v="5"/>
    <n v="3"/>
    <n v="2"/>
    <n v="1"/>
    <n v="5"/>
    <n v="5"/>
  </r>
  <r>
    <d v="2026-01-04T16:51:00"/>
    <x v="1"/>
    <x v="2"/>
    <x v="0"/>
    <x v="0"/>
    <x v="0"/>
    <x v="0"/>
    <x v="1"/>
    <n v="6"/>
    <n v="6"/>
    <n v="5"/>
    <n v="9"/>
    <n v="7"/>
    <n v="8"/>
    <n v="5"/>
    <n v="7"/>
    <n v="7"/>
  </r>
  <r>
    <d v="2026-01-04T16:52:00"/>
    <x v="0"/>
    <x v="1"/>
    <x v="1"/>
    <x v="0"/>
    <x v="1"/>
    <x v="5"/>
    <x v="2"/>
    <n v="7"/>
    <n v="7"/>
    <n v="6"/>
    <n v="8"/>
    <n v="5"/>
    <n v="5"/>
    <n v="5"/>
    <n v="6"/>
    <n v="5"/>
  </r>
  <r>
    <d v="2026-01-04T16:54:00"/>
    <x v="0"/>
    <x v="5"/>
    <x v="0"/>
    <x v="0"/>
    <x v="2"/>
    <x v="0"/>
    <x v="1"/>
    <n v="7"/>
    <n v="7"/>
    <n v="5"/>
    <n v="7"/>
    <n v="5"/>
    <n v="5"/>
    <n v="5"/>
    <n v="5"/>
    <n v="6"/>
  </r>
  <r>
    <d v="2026-01-04T17:01:00"/>
    <x v="1"/>
    <x v="1"/>
    <x v="0"/>
    <x v="1"/>
    <x v="0"/>
    <x v="5"/>
    <x v="4"/>
    <n v="6"/>
    <n v="7"/>
    <n v="6"/>
    <n v="7"/>
    <n v="6"/>
    <n v="6"/>
    <n v="5"/>
    <n v="5"/>
    <n v="6"/>
  </r>
  <r>
    <d v="2026-01-04T17:31:00"/>
    <x v="1"/>
    <x v="0"/>
    <x v="0"/>
    <x v="0"/>
    <x v="0"/>
    <x v="7"/>
    <x v="0"/>
    <n v="5"/>
    <n v="5"/>
    <n v="4"/>
    <n v="6"/>
    <n v="5"/>
    <n v="5"/>
    <n v="5"/>
    <n v="5"/>
    <n v="5"/>
  </r>
  <r>
    <d v="2026-01-04T22:56:00"/>
    <x v="1"/>
    <x v="1"/>
    <x v="0"/>
    <x v="0"/>
    <x v="0"/>
    <x v="1"/>
    <x v="4"/>
    <n v="8"/>
    <n v="8"/>
    <n v="5"/>
    <n v="7"/>
    <n v="6"/>
    <n v="8"/>
    <n v="5"/>
    <n v="7"/>
    <n v="8"/>
  </r>
  <r>
    <d v="2026-01-05T13:53:00"/>
    <x v="1"/>
    <x v="0"/>
    <x v="0"/>
    <x v="1"/>
    <x v="0"/>
    <x v="7"/>
    <x v="1"/>
    <n v="7"/>
    <n v="7"/>
    <n v="7"/>
    <n v="8"/>
    <n v="3"/>
    <n v="3"/>
    <n v="2"/>
    <n v="3"/>
    <n v="8"/>
  </r>
  <r>
    <d v="2026-01-07T16:26:00"/>
    <x v="1"/>
    <x v="3"/>
    <x v="0"/>
    <x v="1"/>
    <x v="0"/>
    <x v="1"/>
    <x v="2"/>
    <n v="7"/>
    <n v="7"/>
    <n v="6"/>
    <n v="8"/>
    <n v="7"/>
    <n v="8"/>
    <n v="7"/>
    <n v="7"/>
    <n v="7"/>
  </r>
  <r>
    <d v="2026-01-07T16:27:00"/>
    <x v="0"/>
    <x v="2"/>
    <x v="0"/>
    <x v="0"/>
    <x v="0"/>
    <x v="4"/>
    <x v="1"/>
    <n v="8"/>
    <n v="8"/>
    <n v="9"/>
    <n v="9"/>
    <n v="9"/>
    <n v="9"/>
    <n v="8"/>
    <n v="8"/>
    <n v="9"/>
  </r>
  <r>
    <d v="2026-01-08T09:52:00"/>
    <x v="0"/>
    <x v="1"/>
    <x v="0"/>
    <x v="0"/>
    <x v="0"/>
    <x v="7"/>
    <x v="4"/>
    <n v="1"/>
    <n v="1"/>
    <n v="7"/>
    <n v="5"/>
    <n v="5"/>
    <n v="7"/>
    <n v="2"/>
    <n v="5"/>
    <n v="5"/>
  </r>
  <r>
    <d v="2026-01-08T13:47:00"/>
    <x v="0"/>
    <x v="3"/>
    <x v="0"/>
    <x v="0"/>
    <x v="0"/>
    <x v="4"/>
    <x v="0"/>
    <n v="10"/>
    <n v="10"/>
    <n v="6"/>
    <n v="4"/>
    <n v="8"/>
    <n v="3"/>
    <n v="10"/>
    <n v="10"/>
    <n v="10"/>
  </r>
  <r>
    <d v="2026-01-08T15:17:00"/>
    <x v="0"/>
    <x v="0"/>
    <x v="0"/>
    <x v="0"/>
    <x v="0"/>
    <x v="0"/>
    <x v="0"/>
    <n v="9"/>
    <n v="9"/>
    <n v="5"/>
    <n v="5"/>
    <n v="7"/>
    <n v="7"/>
    <n v="8"/>
    <n v="8"/>
    <n v="8"/>
  </r>
  <r>
    <d v="2026-01-08T15:22:00"/>
    <x v="1"/>
    <x v="1"/>
    <x v="0"/>
    <x v="0"/>
    <x v="0"/>
    <x v="0"/>
    <x v="4"/>
    <n v="9"/>
    <n v="9"/>
    <n v="9"/>
    <n v="9"/>
    <n v="9"/>
    <n v="9"/>
    <n v="9"/>
    <n v="9"/>
    <n v="9"/>
  </r>
  <r>
    <d v="2026-01-08T15:23:00"/>
    <x v="0"/>
    <x v="1"/>
    <x v="0"/>
    <x v="1"/>
    <x v="0"/>
    <x v="0"/>
    <x v="2"/>
    <n v="9"/>
    <n v="10"/>
    <n v="10"/>
    <n v="9"/>
    <n v="10"/>
    <n v="10"/>
    <n v="10"/>
    <n v="9"/>
    <n v="10"/>
  </r>
  <r>
    <d v="2026-01-08T16:21:00"/>
    <x v="0"/>
    <x v="1"/>
    <x v="0"/>
    <x v="1"/>
    <x v="0"/>
    <x v="0"/>
    <x v="4"/>
    <n v="5"/>
    <n v="5"/>
    <n v="5"/>
    <n v="5"/>
    <n v="5"/>
    <n v="5"/>
    <n v="5"/>
    <n v="4"/>
    <n v="5"/>
  </r>
  <r>
    <d v="2026-01-09T08:59:00"/>
    <x v="0"/>
    <x v="5"/>
    <x v="0"/>
    <x v="1"/>
    <x v="2"/>
    <x v="2"/>
    <x v="0"/>
    <n v="9"/>
    <n v="8"/>
    <n v="9"/>
    <n v="9"/>
    <n v="8"/>
    <n v="9"/>
    <n v="10"/>
    <n v="9"/>
    <n v="10"/>
  </r>
  <r>
    <d v="2026-01-09T09:22:00"/>
    <x v="1"/>
    <x v="4"/>
    <x v="0"/>
    <x v="0"/>
    <x v="0"/>
    <x v="3"/>
    <x v="2"/>
    <n v="4"/>
    <n v="4"/>
    <n v="3"/>
    <n v="5"/>
    <n v="4"/>
    <n v="5"/>
    <n v="1"/>
    <n v="5"/>
    <n v="5"/>
  </r>
  <r>
    <d v="2026-01-09T09:23:00"/>
    <x v="0"/>
    <x v="5"/>
    <x v="0"/>
    <x v="1"/>
    <x v="0"/>
    <x v="1"/>
    <x v="0"/>
    <n v="5"/>
    <n v="5"/>
    <n v="1"/>
    <n v="5"/>
    <n v="4"/>
    <n v="2"/>
    <n v="2"/>
    <n v="5"/>
    <n v="4"/>
  </r>
  <r>
    <d v="2026-01-09T09:24:00"/>
    <x v="0"/>
    <x v="1"/>
    <x v="0"/>
    <x v="0"/>
    <x v="0"/>
    <x v="3"/>
    <x v="3"/>
    <n v="6"/>
    <n v="8"/>
    <n v="8"/>
    <n v="9"/>
    <n v="7"/>
    <n v="7"/>
    <n v="7"/>
    <n v="8"/>
    <n v="8"/>
  </r>
  <r>
    <d v="2026-01-09T09:24:00"/>
    <x v="0"/>
    <x v="4"/>
    <x v="0"/>
    <x v="1"/>
    <x v="0"/>
    <x v="6"/>
    <x v="2"/>
    <n v="5"/>
    <n v="5"/>
    <n v="5"/>
    <n v="5"/>
    <n v="5"/>
    <n v="5"/>
    <n v="5"/>
    <n v="5"/>
    <n v="5"/>
  </r>
  <r>
    <d v="2026-01-09T09:25:00"/>
    <x v="0"/>
    <x v="3"/>
    <x v="0"/>
    <x v="0"/>
    <x v="0"/>
    <x v="5"/>
    <x v="0"/>
    <n v="7"/>
    <n v="7"/>
    <n v="7"/>
    <n v="8"/>
    <n v="7"/>
    <n v="7"/>
    <n v="7"/>
    <n v="7"/>
    <n v="7"/>
  </r>
  <r>
    <d v="2026-01-09T09:26:00"/>
    <x v="0"/>
    <x v="3"/>
    <x v="0"/>
    <x v="1"/>
    <x v="0"/>
    <x v="7"/>
    <x v="1"/>
    <n v="3"/>
    <n v="1"/>
    <n v="1"/>
    <n v="5"/>
    <n v="1"/>
    <n v="1"/>
    <n v="1"/>
    <n v="4"/>
    <n v="5"/>
  </r>
  <r>
    <d v="2026-01-09T09:30:00"/>
    <x v="0"/>
    <x v="1"/>
    <x v="0"/>
    <x v="0"/>
    <x v="0"/>
    <x v="1"/>
    <x v="0"/>
    <n v="8"/>
    <n v="8"/>
    <n v="5"/>
    <n v="7"/>
    <n v="7"/>
    <n v="6"/>
    <n v="6"/>
    <n v="7"/>
    <n v="7"/>
  </r>
  <r>
    <d v="2026-01-09T09:32:00"/>
    <x v="1"/>
    <x v="3"/>
    <x v="0"/>
    <x v="0"/>
    <x v="0"/>
    <x v="1"/>
    <x v="4"/>
    <n v="4"/>
    <n v="3"/>
    <n v="1"/>
    <n v="2"/>
    <n v="1"/>
    <n v="1"/>
    <n v="1"/>
    <n v="4"/>
    <n v="2"/>
  </r>
  <r>
    <d v="2026-01-09T09:32:00"/>
    <x v="0"/>
    <x v="3"/>
    <x v="0"/>
    <x v="1"/>
    <x v="0"/>
    <x v="5"/>
    <x v="0"/>
    <n v="7"/>
    <n v="8"/>
    <n v="6"/>
    <n v="7"/>
    <n v="6"/>
    <n v="7"/>
    <n v="6"/>
    <n v="6"/>
    <n v="6"/>
  </r>
  <r>
    <d v="2026-01-09T09:33:00"/>
    <x v="0"/>
    <x v="3"/>
    <x v="0"/>
    <x v="0"/>
    <x v="0"/>
    <x v="5"/>
    <x v="1"/>
    <n v="6"/>
    <n v="6"/>
    <n v="6"/>
    <n v="6"/>
    <n v="6"/>
    <n v="5"/>
    <n v="6"/>
    <n v="6"/>
    <n v="6"/>
  </r>
  <r>
    <d v="2026-01-09T09:34:00"/>
    <x v="1"/>
    <x v="3"/>
    <x v="0"/>
    <x v="0"/>
    <x v="0"/>
    <x v="7"/>
    <x v="1"/>
    <n v="7"/>
    <n v="7"/>
    <n v="8"/>
    <n v="8"/>
    <n v="8"/>
    <n v="9"/>
    <n v="8"/>
    <n v="8"/>
    <n v="8"/>
  </r>
  <r>
    <d v="2026-01-09T09:35:00"/>
    <x v="0"/>
    <x v="3"/>
    <x v="0"/>
    <x v="0"/>
    <x v="0"/>
    <x v="1"/>
    <x v="0"/>
    <n v="7"/>
    <n v="7"/>
    <n v="7"/>
    <n v="7"/>
    <n v="7"/>
    <n v="7"/>
    <n v="7"/>
    <n v="7"/>
    <n v="7"/>
  </r>
  <r>
    <d v="2026-01-09T09:35:00"/>
    <x v="0"/>
    <x v="3"/>
    <x v="0"/>
    <x v="0"/>
    <x v="0"/>
    <x v="1"/>
    <x v="1"/>
    <n v="5"/>
    <n v="5"/>
    <n v="1"/>
    <n v="5"/>
    <n v="5"/>
    <n v="5"/>
    <n v="4"/>
    <n v="5"/>
    <n v="5"/>
  </r>
  <r>
    <d v="2026-01-09T09:36:00"/>
    <x v="0"/>
    <x v="3"/>
    <x v="0"/>
    <x v="0"/>
    <x v="0"/>
    <x v="1"/>
    <x v="3"/>
    <n v="7"/>
    <n v="8"/>
    <n v="8"/>
    <n v="8"/>
    <n v="8"/>
    <n v="8"/>
    <n v="8"/>
    <n v="8"/>
    <n v="8"/>
  </r>
  <r>
    <d v="2026-01-09T09:37:00"/>
    <x v="0"/>
    <x v="3"/>
    <x v="0"/>
    <x v="1"/>
    <x v="0"/>
    <x v="1"/>
    <x v="3"/>
    <n v="9"/>
    <n v="9"/>
    <n v="9"/>
    <n v="9"/>
    <n v="9"/>
    <n v="9"/>
    <n v="9"/>
    <n v="9"/>
    <n v="9"/>
  </r>
  <r>
    <d v="2026-01-09T09:37:00"/>
    <x v="0"/>
    <x v="3"/>
    <x v="0"/>
    <x v="1"/>
    <x v="0"/>
    <x v="4"/>
    <x v="4"/>
    <n v="5"/>
    <n v="5"/>
    <n v="5"/>
    <n v="5"/>
    <n v="5"/>
    <n v="5"/>
    <n v="5"/>
    <n v="5"/>
    <n v="5"/>
  </r>
  <r>
    <d v="2026-01-09T09:37:00"/>
    <x v="0"/>
    <x v="3"/>
    <x v="0"/>
    <x v="1"/>
    <x v="0"/>
    <x v="5"/>
    <x v="0"/>
    <n v="6"/>
    <n v="7"/>
    <n v="7"/>
    <n v="7"/>
    <n v="6"/>
    <n v="7"/>
    <n v="7"/>
    <n v="7"/>
    <n v="7"/>
  </r>
  <r>
    <d v="2026-01-09T09:38:00"/>
    <x v="1"/>
    <x v="3"/>
    <x v="0"/>
    <x v="0"/>
    <x v="0"/>
    <x v="5"/>
    <x v="1"/>
    <n v="5"/>
    <n v="5"/>
    <n v="5"/>
    <n v="6"/>
    <n v="5"/>
    <n v="5"/>
    <n v="5"/>
    <n v="5"/>
    <n v="5"/>
  </r>
  <r>
    <d v="2026-01-09T09:39:00"/>
    <x v="0"/>
    <x v="3"/>
    <x v="0"/>
    <x v="0"/>
    <x v="0"/>
    <x v="1"/>
    <x v="2"/>
    <n v="6"/>
    <n v="7"/>
    <n v="7"/>
    <n v="7"/>
    <n v="7"/>
    <n v="7"/>
    <n v="7"/>
    <n v="7"/>
    <n v="7"/>
  </r>
  <r>
    <d v="2026-01-09T09:40:00"/>
    <x v="1"/>
    <x v="5"/>
    <x v="0"/>
    <x v="1"/>
    <x v="0"/>
    <x v="6"/>
    <x v="4"/>
    <n v="7"/>
    <n v="8"/>
    <n v="8"/>
    <n v="8"/>
    <n v="8"/>
    <n v="5"/>
    <n v="5"/>
    <n v="7"/>
    <n v="6"/>
  </r>
  <r>
    <d v="2026-01-09T09:40:00"/>
    <x v="0"/>
    <x v="4"/>
    <x v="0"/>
    <x v="1"/>
    <x v="0"/>
    <x v="6"/>
    <x v="0"/>
    <n v="10"/>
    <n v="10"/>
    <n v="6"/>
    <n v="9"/>
    <n v="9"/>
    <n v="9"/>
    <n v="9"/>
    <n v="8"/>
    <n v="8"/>
  </r>
  <r>
    <d v="2026-01-09T09:41:00"/>
    <x v="0"/>
    <x v="1"/>
    <x v="0"/>
    <x v="0"/>
    <x v="0"/>
    <x v="1"/>
    <x v="0"/>
    <n v="4"/>
    <n v="4"/>
    <n v="4"/>
    <n v="6"/>
    <n v="5"/>
    <n v="6"/>
    <n v="5"/>
    <n v="6"/>
    <n v="5"/>
  </r>
  <r>
    <d v="2026-01-09T09:43:00"/>
    <x v="0"/>
    <x v="4"/>
    <x v="0"/>
    <x v="0"/>
    <x v="0"/>
    <x v="1"/>
    <x v="4"/>
    <n v="4"/>
    <n v="5"/>
    <n v="4"/>
    <n v="5"/>
    <n v="5"/>
    <n v="5"/>
    <n v="5"/>
    <n v="5"/>
    <n v="5"/>
  </r>
  <r>
    <d v="2026-01-09T09:44:00"/>
    <x v="1"/>
    <x v="3"/>
    <x v="0"/>
    <x v="0"/>
    <x v="0"/>
    <x v="1"/>
    <x v="4"/>
    <n v="6"/>
    <n v="6"/>
    <n v="7"/>
    <n v="7"/>
    <n v="6"/>
    <n v="6"/>
    <n v="8"/>
    <n v="8"/>
    <n v="7"/>
  </r>
  <r>
    <d v="2026-01-09T09:44:00"/>
    <x v="0"/>
    <x v="3"/>
    <x v="0"/>
    <x v="1"/>
    <x v="0"/>
    <x v="1"/>
    <x v="1"/>
    <n v="7"/>
    <n v="7"/>
    <n v="7"/>
    <n v="7"/>
    <n v="7"/>
    <n v="7"/>
    <n v="7"/>
    <n v="7"/>
    <n v="7"/>
  </r>
  <r>
    <d v="2026-01-09T09:45:00"/>
    <x v="0"/>
    <x v="3"/>
    <x v="0"/>
    <x v="0"/>
    <x v="0"/>
    <x v="5"/>
    <x v="0"/>
    <n v="6"/>
    <n v="6"/>
    <n v="7"/>
    <n v="7"/>
    <n v="5"/>
    <n v="6"/>
    <n v="6"/>
    <n v="6"/>
    <n v="7"/>
  </r>
  <r>
    <d v="2026-01-09T09:46:00"/>
    <x v="0"/>
    <x v="5"/>
    <x v="0"/>
    <x v="1"/>
    <x v="0"/>
    <x v="3"/>
    <x v="4"/>
    <n v="7"/>
    <n v="7"/>
    <n v="6"/>
    <n v="7"/>
    <n v="7"/>
    <n v="7"/>
    <n v="7"/>
    <n v="7"/>
    <n v="7"/>
  </r>
  <r>
    <d v="2026-01-09T09:47:00"/>
    <x v="0"/>
    <x v="0"/>
    <x v="0"/>
    <x v="0"/>
    <x v="0"/>
    <x v="7"/>
    <x v="1"/>
    <n v="6"/>
    <n v="6"/>
    <n v="6"/>
    <n v="6"/>
    <n v="6"/>
    <n v="6"/>
    <n v="6"/>
    <n v="6"/>
    <n v="6"/>
  </r>
  <r>
    <d v="2026-01-09T09:47:00"/>
    <x v="0"/>
    <x v="0"/>
    <x v="0"/>
    <x v="0"/>
    <x v="0"/>
    <x v="4"/>
    <x v="4"/>
    <n v="8"/>
    <n v="9"/>
    <n v="7"/>
    <n v="8"/>
    <n v="9"/>
    <n v="8"/>
    <n v="8"/>
    <n v="8"/>
    <n v="8"/>
  </r>
  <r>
    <d v="2026-01-09T09:48:00"/>
    <x v="0"/>
    <x v="3"/>
    <x v="0"/>
    <x v="0"/>
    <x v="0"/>
    <x v="1"/>
    <x v="4"/>
    <n v="6"/>
    <n v="6"/>
    <n v="6"/>
    <n v="6"/>
    <n v="6"/>
    <n v="7"/>
    <n v="6"/>
    <n v="6"/>
    <n v="7"/>
  </r>
  <r>
    <d v="2026-01-09T09:49:00"/>
    <x v="0"/>
    <x v="1"/>
    <x v="0"/>
    <x v="1"/>
    <x v="0"/>
    <x v="3"/>
    <x v="3"/>
    <n v="4"/>
    <n v="5"/>
    <n v="1"/>
    <n v="6"/>
    <n v="4"/>
    <n v="4"/>
    <n v="5"/>
    <n v="5"/>
    <n v="5"/>
  </r>
  <r>
    <d v="2026-01-09T09:49:00"/>
    <x v="1"/>
    <x v="5"/>
    <x v="0"/>
    <x v="1"/>
    <x v="0"/>
    <x v="6"/>
    <x v="3"/>
    <n v="8"/>
    <n v="8"/>
    <n v="8"/>
    <n v="8"/>
    <n v="7"/>
    <n v="7"/>
    <n v="8"/>
    <n v="7"/>
    <n v="8"/>
  </r>
  <r>
    <d v="2026-01-09T09:50:00"/>
    <x v="1"/>
    <x v="3"/>
    <x v="0"/>
    <x v="0"/>
    <x v="0"/>
    <x v="1"/>
    <x v="4"/>
    <n v="6"/>
    <n v="6"/>
    <n v="6"/>
    <n v="6"/>
    <n v="6"/>
    <n v="6"/>
    <n v="6"/>
    <n v="6"/>
    <n v="6"/>
  </r>
  <r>
    <d v="2026-01-09T09:50:00"/>
    <x v="0"/>
    <x v="1"/>
    <x v="0"/>
    <x v="0"/>
    <x v="0"/>
    <x v="0"/>
    <x v="0"/>
    <n v="8"/>
    <n v="8"/>
    <n v="8"/>
    <n v="8"/>
    <n v="9"/>
    <n v="8"/>
    <n v="8"/>
    <n v="8"/>
    <n v="10"/>
  </r>
  <r>
    <d v="2026-01-09T09:50:00"/>
    <x v="0"/>
    <x v="4"/>
    <x v="0"/>
    <x v="1"/>
    <x v="0"/>
    <x v="3"/>
    <x v="2"/>
    <n v="4"/>
    <n v="4"/>
    <n v="4"/>
    <n v="4"/>
    <n v="1"/>
    <n v="3"/>
    <n v="1"/>
    <n v="1"/>
    <n v="1"/>
  </r>
  <r>
    <d v="2026-01-09T09:51:00"/>
    <x v="0"/>
    <x v="3"/>
    <x v="0"/>
    <x v="0"/>
    <x v="0"/>
    <x v="5"/>
    <x v="1"/>
    <n v="6"/>
    <n v="6"/>
    <n v="1"/>
    <n v="6"/>
    <n v="5"/>
    <n v="6"/>
    <n v="5"/>
    <n v="6"/>
    <n v="6"/>
  </r>
  <r>
    <d v="2026-01-09T09:52:00"/>
    <x v="0"/>
    <x v="3"/>
    <x v="0"/>
    <x v="1"/>
    <x v="0"/>
    <x v="1"/>
    <x v="2"/>
    <n v="7"/>
    <n v="7"/>
    <n v="7"/>
    <n v="7"/>
    <n v="7"/>
    <n v="7"/>
    <n v="7"/>
    <n v="7"/>
    <n v="7"/>
  </r>
  <r>
    <d v="2026-01-09T10:03:00"/>
    <x v="1"/>
    <x v="3"/>
    <x v="0"/>
    <x v="1"/>
    <x v="1"/>
    <x v="0"/>
    <x v="2"/>
    <n v="10"/>
    <n v="10"/>
    <n v="4"/>
    <n v="6"/>
    <n v="3"/>
    <n v="1"/>
    <n v="1"/>
    <n v="3"/>
    <n v="1"/>
  </r>
  <r>
    <d v="2026-01-09T10:15:00"/>
    <x v="0"/>
    <x v="3"/>
    <x v="0"/>
    <x v="1"/>
    <x v="0"/>
    <x v="7"/>
    <x v="0"/>
    <n v="8"/>
    <n v="10"/>
    <n v="8"/>
    <n v="10"/>
    <n v="9"/>
    <n v="8"/>
    <n v="7"/>
    <n v="9"/>
    <n v="9"/>
  </r>
  <r>
    <d v="2026-01-09T10:35:00"/>
    <x v="1"/>
    <x v="5"/>
    <x v="0"/>
    <x v="1"/>
    <x v="0"/>
    <x v="3"/>
    <x v="3"/>
    <n v="6"/>
    <n v="6"/>
    <n v="6"/>
    <n v="6"/>
    <n v="6"/>
    <n v="6"/>
    <n v="6"/>
    <n v="7"/>
    <n v="6"/>
  </r>
  <r>
    <d v="2026-01-09T10:36:00"/>
    <x v="0"/>
    <x v="3"/>
    <x v="0"/>
    <x v="0"/>
    <x v="0"/>
    <x v="1"/>
    <x v="2"/>
    <n v="8"/>
    <n v="8"/>
    <n v="8"/>
    <n v="8"/>
    <n v="8"/>
    <n v="8"/>
    <n v="8"/>
    <n v="8"/>
    <n v="8"/>
  </r>
  <r>
    <d v="2026-01-09T10:36:00"/>
    <x v="0"/>
    <x v="3"/>
    <x v="0"/>
    <x v="1"/>
    <x v="0"/>
    <x v="1"/>
    <x v="0"/>
    <n v="7"/>
    <n v="6"/>
    <n v="7"/>
    <n v="7"/>
    <n v="8"/>
    <n v="8"/>
    <n v="8"/>
    <n v="8"/>
    <n v="8"/>
  </r>
  <r>
    <d v="2026-01-09T10:36:00"/>
    <x v="1"/>
    <x v="3"/>
    <x v="0"/>
    <x v="0"/>
    <x v="0"/>
    <x v="1"/>
    <x v="4"/>
    <n v="6"/>
    <n v="5"/>
    <n v="5"/>
    <n v="7"/>
    <n v="7"/>
    <n v="7"/>
    <n v="7"/>
    <n v="8"/>
    <n v="8"/>
  </r>
  <r>
    <d v="2026-01-09T10:37:00"/>
    <x v="1"/>
    <x v="4"/>
    <x v="0"/>
    <x v="0"/>
    <x v="0"/>
    <x v="3"/>
    <x v="4"/>
    <n v="6"/>
    <n v="6"/>
    <n v="6"/>
    <n v="6"/>
    <n v="6"/>
    <n v="6"/>
    <n v="6"/>
    <n v="6"/>
    <n v="6"/>
  </r>
  <r>
    <d v="2026-01-09T10:37:00"/>
    <x v="0"/>
    <x v="1"/>
    <x v="0"/>
    <x v="1"/>
    <x v="0"/>
    <x v="1"/>
    <x v="2"/>
    <n v="7"/>
    <n v="6"/>
    <n v="6"/>
    <n v="8"/>
    <n v="6"/>
    <n v="6"/>
    <n v="6"/>
    <n v="6"/>
    <n v="6"/>
  </r>
  <r>
    <d v="2026-01-09T10:38:00"/>
    <x v="1"/>
    <x v="1"/>
    <x v="0"/>
    <x v="1"/>
    <x v="0"/>
    <x v="6"/>
    <x v="1"/>
    <n v="4"/>
    <n v="4"/>
    <n v="1"/>
    <n v="4"/>
    <n v="4"/>
    <n v="4"/>
    <n v="5"/>
    <n v="5"/>
    <n v="5"/>
  </r>
  <r>
    <d v="2026-01-09T10:39:00"/>
    <x v="1"/>
    <x v="3"/>
    <x v="0"/>
    <x v="0"/>
    <x v="0"/>
    <x v="7"/>
    <x v="1"/>
    <n v="6"/>
    <n v="7"/>
    <n v="7"/>
    <n v="7"/>
    <n v="7"/>
    <n v="7"/>
    <n v="7"/>
    <n v="7"/>
    <n v="7"/>
  </r>
  <r>
    <d v="2026-01-09T10:40:00"/>
    <x v="0"/>
    <x v="4"/>
    <x v="0"/>
    <x v="1"/>
    <x v="0"/>
    <x v="1"/>
    <x v="3"/>
    <n v="8"/>
    <n v="8"/>
    <n v="8"/>
    <n v="8"/>
    <n v="8"/>
    <n v="8"/>
    <n v="8"/>
    <n v="8"/>
    <n v="8"/>
  </r>
  <r>
    <d v="2026-01-09T11:09:00"/>
    <x v="0"/>
    <x v="1"/>
    <x v="0"/>
    <x v="0"/>
    <x v="0"/>
    <x v="5"/>
    <x v="0"/>
    <n v="7"/>
    <n v="7"/>
    <n v="7"/>
    <n v="7"/>
    <n v="7"/>
    <n v="7"/>
    <n v="7"/>
    <n v="7"/>
    <n v="7"/>
  </r>
  <r>
    <d v="2026-01-09T11:09:00"/>
    <x v="1"/>
    <x v="5"/>
    <x v="0"/>
    <x v="1"/>
    <x v="0"/>
    <x v="3"/>
    <x v="2"/>
    <n v="9"/>
    <n v="9"/>
    <n v="9"/>
    <n v="9"/>
    <n v="9"/>
    <n v="9"/>
    <n v="9"/>
    <n v="9"/>
    <n v="9"/>
  </r>
  <r>
    <d v="2026-01-09T11:10:00"/>
    <x v="0"/>
    <x v="3"/>
    <x v="0"/>
    <x v="0"/>
    <x v="0"/>
    <x v="1"/>
    <x v="2"/>
    <n v="7"/>
    <n v="6"/>
    <n v="5"/>
    <n v="6"/>
    <n v="6"/>
    <n v="6"/>
    <n v="6"/>
    <n v="6"/>
    <n v="7"/>
  </r>
  <r>
    <d v="2026-01-09T11:10:00"/>
    <x v="0"/>
    <x v="3"/>
    <x v="0"/>
    <x v="0"/>
    <x v="0"/>
    <x v="5"/>
    <x v="3"/>
    <n v="8"/>
    <n v="8"/>
    <n v="8"/>
    <n v="9"/>
    <n v="8"/>
    <n v="10"/>
    <n v="7"/>
    <n v="7"/>
    <n v="10"/>
  </r>
  <r>
    <d v="2026-01-09T11:11:00"/>
    <x v="0"/>
    <x v="4"/>
    <x v="0"/>
    <x v="0"/>
    <x v="0"/>
    <x v="1"/>
    <x v="2"/>
    <n v="6"/>
    <n v="6"/>
    <n v="1"/>
    <n v="6"/>
    <n v="5"/>
    <n v="6"/>
    <n v="6"/>
    <n v="6"/>
    <n v="6"/>
  </r>
  <r>
    <d v="2026-01-09T11:12:00"/>
    <x v="1"/>
    <x v="1"/>
    <x v="0"/>
    <x v="1"/>
    <x v="0"/>
    <x v="3"/>
    <x v="3"/>
    <n v="8"/>
    <n v="8"/>
    <n v="3"/>
    <n v="9"/>
    <n v="8"/>
    <n v="8"/>
    <n v="8"/>
    <n v="8"/>
    <n v="8"/>
  </r>
  <r>
    <d v="2026-01-09T11:12:00"/>
    <x v="1"/>
    <x v="1"/>
    <x v="0"/>
    <x v="1"/>
    <x v="0"/>
    <x v="3"/>
    <x v="0"/>
    <n v="4"/>
    <n v="3"/>
    <n v="1"/>
    <n v="7"/>
    <n v="3"/>
    <n v="6"/>
    <n v="5"/>
    <n v="6"/>
    <n v="6"/>
  </r>
  <r>
    <d v="2026-01-09T11:13:00"/>
    <x v="0"/>
    <x v="3"/>
    <x v="0"/>
    <x v="1"/>
    <x v="0"/>
    <x v="1"/>
    <x v="0"/>
    <n v="6"/>
    <n v="6"/>
    <n v="1"/>
    <n v="7"/>
    <n v="5"/>
    <n v="6"/>
    <n v="6"/>
    <n v="6"/>
    <n v="6"/>
  </r>
  <r>
    <d v="2026-01-09T11:14:00"/>
    <x v="0"/>
    <x v="4"/>
    <x v="0"/>
    <x v="0"/>
    <x v="0"/>
    <x v="6"/>
    <x v="3"/>
    <n v="8"/>
    <n v="8"/>
    <n v="5"/>
    <n v="8"/>
    <n v="8"/>
    <n v="7"/>
    <n v="7"/>
    <n v="7"/>
    <n v="7"/>
  </r>
  <r>
    <d v="2026-01-09T11:15:00"/>
    <x v="0"/>
    <x v="0"/>
    <x v="0"/>
    <x v="0"/>
    <x v="0"/>
    <x v="5"/>
    <x v="0"/>
    <n v="7"/>
    <n v="8"/>
    <n v="4"/>
    <n v="8"/>
    <n v="5"/>
    <n v="7"/>
    <n v="5"/>
    <n v="6"/>
    <n v="6"/>
  </r>
  <r>
    <d v="2026-01-09T11:15:00"/>
    <x v="1"/>
    <x v="1"/>
    <x v="0"/>
    <x v="0"/>
    <x v="0"/>
    <x v="1"/>
    <x v="4"/>
    <n v="6"/>
    <n v="7"/>
    <n v="2"/>
    <n v="7"/>
    <n v="5"/>
    <n v="5"/>
    <n v="5"/>
    <n v="6"/>
    <n v="5"/>
  </r>
  <r>
    <d v="2026-01-09T11:16:00"/>
    <x v="1"/>
    <x v="4"/>
    <x v="0"/>
    <x v="1"/>
    <x v="0"/>
    <x v="6"/>
    <x v="3"/>
    <n v="2"/>
    <n v="1"/>
    <n v="1"/>
    <n v="6"/>
    <n v="2"/>
    <n v="3"/>
    <n v="1"/>
    <n v="5"/>
    <n v="4"/>
  </r>
  <r>
    <d v="2026-01-09T11:17:00"/>
    <x v="0"/>
    <x v="3"/>
    <x v="1"/>
    <x v="0"/>
    <x v="0"/>
    <x v="5"/>
    <x v="4"/>
    <n v="6"/>
    <n v="6"/>
    <n v="7"/>
    <n v="6"/>
    <n v="5"/>
    <n v="6"/>
    <n v="5"/>
    <n v="6"/>
    <n v="6"/>
  </r>
  <r>
    <d v="2026-01-09T11:18:00"/>
    <x v="1"/>
    <x v="3"/>
    <x v="0"/>
    <x v="0"/>
    <x v="0"/>
    <x v="5"/>
    <x v="0"/>
    <n v="6"/>
    <n v="7"/>
    <n v="1"/>
    <n v="9"/>
    <n v="5"/>
    <n v="4"/>
    <n v="4"/>
    <n v="5"/>
    <n v="5"/>
  </r>
  <r>
    <d v="2026-01-09T11:19:00"/>
    <x v="1"/>
    <x v="3"/>
    <x v="0"/>
    <x v="0"/>
    <x v="0"/>
    <x v="1"/>
    <x v="3"/>
    <n v="9"/>
    <n v="9"/>
    <n v="8"/>
    <n v="9"/>
    <n v="8"/>
    <n v="9"/>
    <n v="9"/>
    <n v="8"/>
    <n v="8"/>
  </r>
  <r>
    <d v="2026-01-09T11:20:00"/>
    <x v="1"/>
    <x v="3"/>
    <x v="0"/>
    <x v="1"/>
    <x v="0"/>
    <x v="3"/>
    <x v="2"/>
    <n v="8"/>
    <n v="8"/>
    <n v="5"/>
    <n v="7"/>
    <n v="7"/>
    <n v="5"/>
    <n v="5"/>
    <n v="6"/>
    <n v="6"/>
  </r>
  <r>
    <d v="2026-01-09T11:20:00"/>
    <x v="1"/>
    <x v="1"/>
    <x v="0"/>
    <x v="1"/>
    <x v="0"/>
    <x v="6"/>
    <x v="2"/>
    <n v="7"/>
    <n v="7"/>
    <n v="7"/>
    <n v="8"/>
    <n v="7"/>
    <n v="7"/>
    <n v="7"/>
    <n v="7"/>
    <n v="7"/>
  </r>
  <r>
    <d v="2026-01-09T11:21:00"/>
    <x v="0"/>
    <x v="3"/>
    <x v="0"/>
    <x v="0"/>
    <x v="0"/>
    <x v="7"/>
    <x v="1"/>
    <n v="6"/>
    <n v="5"/>
    <n v="5"/>
    <n v="7"/>
    <n v="6"/>
    <n v="7"/>
    <n v="5"/>
    <n v="6"/>
    <n v="6"/>
  </r>
  <r>
    <d v="2026-01-09T11:22:00"/>
    <x v="0"/>
    <x v="4"/>
    <x v="0"/>
    <x v="0"/>
    <x v="0"/>
    <x v="1"/>
    <x v="2"/>
    <n v="7"/>
    <n v="6"/>
    <n v="6"/>
    <n v="6"/>
    <n v="7"/>
    <n v="7"/>
    <n v="7"/>
    <n v="7"/>
    <n v="7"/>
  </r>
  <r>
    <d v="2026-01-09T11:22:00"/>
    <x v="1"/>
    <x v="1"/>
    <x v="0"/>
    <x v="1"/>
    <x v="0"/>
    <x v="1"/>
    <x v="4"/>
    <n v="6"/>
    <n v="7"/>
    <n v="7"/>
    <n v="6"/>
    <n v="6"/>
    <n v="6"/>
    <n v="6"/>
    <n v="7"/>
    <n v="7"/>
  </r>
  <r>
    <d v="2026-01-09T11:23:00"/>
    <x v="0"/>
    <x v="0"/>
    <x v="0"/>
    <x v="0"/>
    <x v="0"/>
    <x v="7"/>
    <x v="4"/>
    <n v="7"/>
    <n v="7"/>
    <n v="2"/>
    <n v="7"/>
    <n v="7"/>
    <n v="7"/>
    <n v="7"/>
    <n v="7"/>
    <n v="7"/>
  </r>
  <r>
    <d v="2026-01-09T11:24:00"/>
    <x v="1"/>
    <x v="1"/>
    <x v="0"/>
    <x v="1"/>
    <x v="0"/>
    <x v="3"/>
    <x v="3"/>
    <n v="4"/>
    <n v="5"/>
    <n v="2"/>
    <n v="6"/>
    <n v="3"/>
    <n v="3"/>
    <n v="1"/>
    <n v="3"/>
    <n v="1"/>
  </r>
  <r>
    <d v="2026-01-09T12:36:00"/>
    <x v="0"/>
    <x v="3"/>
    <x v="0"/>
    <x v="1"/>
    <x v="1"/>
    <x v="1"/>
    <x v="1"/>
    <n v="8"/>
    <n v="8"/>
    <n v="3"/>
    <n v="8"/>
    <n v="3"/>
    <n v="1"/>
    <n v="8"/>
    <n v="6"/>
    <n v="7"/>
  </r>
  <r>
    <d v="2026-01-09T14:35:00"/>
    <x v="0"/>
    <x v="3"/>
    <x v="0"/>
    <x v="1"/>
    <x v="0"/>
    <x v="1"/>
    <x v="4"/>
    <n v="7"/>
    <n v="7"/>
    <n v="4"/>
    <n v="7"/>
    <n v="7"/>
    <n v="6"/>
    <n v="5"/>
    <n v="7"/>
    <n v="6"/>
  </r>
  <r>
    <d v="2026-01-09T14:35:00"/>
    <x v="1"/>
    <x v="3"/>
    <x v="0"/>
    <x v="0"/>
    <x v="0"/>
    <x v="5"/>
    <x v="0"/>
    <n v="7"/>
    <n v="8"/>
    <n v="2"/>
    <n v="6"/>
    <n v="6"/>
    <n v="6"/>
    <n v="5"/>
    <n v="5"/>
    <n v="6"/>
  </r>
  <r>
    <d v="2026-01-09T14:36:00"/>
    <x v="0"/>
    <x v="4"/>
    <x v="0"/>
    <x v="1"/>
    <x v="0"/>
    <x v="3"/>
    <x v="3"/>
    <n v="3"/>
    <n v="3"/>
    <n v="1"/>
    <n v="6"/>
    <n v="1"/>
    <n v="1"/>
    <n v="1"/>
    <n v="1"/>
    <n v="1"/>
  </r>
  <r>
    <d v="2026-01-09T14:37:00"/>
    <x v="0"/>
    <x v="3"/>
    <x v="0"/>
    <x v="0"/>
    <x v="0"/>
    <x v="1"/>
    <x v="4"/>
    <n v="6"/>
    <n v="6"/>
    <n v="5"/>
    <n v="6"/>
    <n v="6"/>
    <n v="6"/>
    <n v="6"/>
    <n v="6"/>
    <n v="6"/>
  </r>
  <r>
    <d v="2026-01-09T14:37:00"/>
    <x v="0"/>
    <x v="1"/>
    <x v="0"/>
    <x v="1"/>
    <x v="0"/>
    <x v="1"/>
    <x v="4"/>
    <n v="8"/>
    <n v="9"/>
    <n v="5"/>
    <n v="7"/>
    <n v="6"/>
    <n v="7"/>
    <n v="7"/>
    <n v="7"/>
    <n v="7"/>
  </r>
  <r>
    <d v="2026-01-09T14:38:00"/>
    <x v="1"/>
    <x v="3"/>
    <x v="0"/>
    <x v="0"/>
    <x v="0"/>
    <x v="5"/>
    <x v="0"/>
    <n v="6"/>
    <n v="6"/>
    <n v="3"/>
    <n v="7"/>
    <n v="7"/>
    <n v="7"/>
    <n v="5"/>
    <n v="7"/>
    <n v="7"/>
  </r>
  <r>
    <d v="2026-01-09T14:39:00"/>
    <x v="0"/>
    <x v="1"/>
    <x v="0"/>
    <x v="0"/>
    <x v="0"/>
    <x v="3"/>
    <x v="3"/>
    <n v="8"/>
    <n v="8"/>
    <n v="6"/>
    <n v="7"/>
    <n v="7"/>
    <n v="4"/>
    <n v="5"/>
    <n v="5"/>
    <n v="5"/>
  </r>
  <r>
    <d v="2026-01-09T14:39:00"/>
    <x v="0"/>
    <x v="3"/>
    <x v="0"/>
    <x v="0"/>
    <x v="0"/>
    <x v="1"/>
    <x v="2"/>
    <n v="6"/>
    <n v="7"/>
    <n v="5"/>
    <n v="7"/>
    <n v="6"/>
    <n v="6"/>
    <n v="6"/>
    <n v="6"/>
    <n v="6"/>
  </r>
  <r>
    <d v="2026-01-09T14:51:00"/>
    <x v="1"/>
    <x v="3"/>
    <x v="0"/>
    <x v="1"/>
    <x v="1"/>
    <x v="3"/>
    <x v="1"/>
    <n v="6"/>
    <n v="7"/>
    <n v="5"/>
    <n v="8"/>
    <n v="6"/>
    <n v="3"/>
    <n v="6"/>
    <n v="8"/>
    <n v="6"/>
  </r>
  <r>
    <d v="2026-01-09T15:15:00"/>
    <x v="0"/>
    <x v="3"/>
    <x v="0"/>
    <x v="1"/>
    <x v="0"/>
    <x v="3"/>
    <x v="4"/>
    <n v="4"/>
    <n v="4"/>
    <n v="1"/>
    <n v="6"/>
    <n v="3"/>
    <n v="2"/>
    <n v="1"/>
    <n v="5"/>
    <n v="4"/>
  </r>
  <r>
    <d v="2026-01-09T15:16:00"/>
    <x v="0"/>
    <x v="1"/>
    <x v="0"/>
    <x v="1"/>
    <x v="0"/>
    <x v="3"/>
    <x v="2"/>
    <n v="6"/>
    <n v="7"/>
    <n v="4"/>
    <n v="8"/>
    <n v="6"/>
    <n v="6"/>
    <n v="5"/>
    <n v="7"/>
    <n v="6"/>
  </r>
  <r>
    <d v="2026-01-09T15:16:00"/>
    <x v="0"/>
    <x v="5"/>
    <x v="0"/>
    <x v="1"/>
    <x v="0"/>
    <x v="6"/>
    <x v="3"/>
    <n v="8"/>
    <n v="8"/>
    <n v="9"/>
    <n v="9"/>
    <n v="7"/>
    <n v="8"/>
    <n v="8"/>
    <n v="8"/>
    <n v="7"/>
  </r>
  <r>
    <d v="2026-01-09T15:17:00"/>
    <x v="0"/>
    <x v="1"/>
    <x v="0"/>
    <x v="0"/>
    <x v="0"/>
    <x v="1"/>
    <x v="4"/>
    <n v="5"/>
    <n v="5"/>
    <n v="2"/>
    <n v="6"/>
    <n v="5"/>
    <n v="4"/>
    <n v="5"/>
    <n v="5"/>
    <n v="4"/>
  </r>
  <r>
    <d v="2026-01-09T15:18:00"/>
    <x v="1"/>
    <x v="3"/>
    <x v="0"/>
    <x v="0"/>
    <x v="0"/>
    <x v="1"/>
    <x v="4"/>
    <n v="7"/>
    <n v="7"/>
    <n v="5"/>
    <n v="7"/>
    <n v="5"/>
    <n v="6"/>
    <n v="5"/>
    <n v="7"/>
    <n v="6"/>
  </r>
  <r>
    <d v="2026-01-09T15:22:00"/>
    <x v="1"/>
    <x v="4"/>
    <x v="0"/>
    <x v="0"/>
    <x v="0"/>
    <x v="3"/>
    <x v="2"/>
    <n v="7"/>
    <n v="7"/>
    <n v="5"/>
    <n v="8"/>
    <n v="6"/>
    <n v="6"/>
    <n v="6"/>
    <n v="7"/>
    <n v="7"/>
  </r>
  <r>
    <d v="2026-01-09T15:23:00"/>
    <x v="0"/>
    <x v="3"/>
    <x v="0"/>
    <x v="0"/>
    <x v="0"/>
    <x v="5"/>
    <x v="1"/>
    <n v="4"/>
    <n v="4"/>
    <n v="2"/>
    <n v="8"/>
    <n v="5"/>
    <n v="5"/>
    <n v="4"/>
    <n v="6"/>
    <n v="5"/>
  </r>
  <r>
    <d v="2026-01-09T15:24:00"/>
    <x v="0"/>
    <x v="4"/>
    <x v="0"/>
    <x v="0"/>
    <x v="0"/>
    <x v="1"/>
    <x v="3"/>
    <n v="10"/>
    <n v="10"/>
    <n v="7"/>
    <n v="7"/>
    <n v="8"/>
    <n v="7"/>
    <n v="8"/>
    <n v="8"/>
    <n v="8"/>
  </r>
  <r>
    <d v="2026-01-09T15:25:00"/>
    <x v="1"/>
    <x v="0"/>
    <x v="0"/>
    <x v="0"/>
    <x v="0"/>
    <x v="7"/>
    <x v="1"/>
    <n v="8"/>
    <n v="8"/>
    <n v="5"/>
    <n v="9"/>
    <n v="10"/>
    <n v="10"/>
    <n v="9"/>
    <n v="9"/>
    <n v="10"/>
  </r>
  <r>
    <d v="2026-01-09T15:25:00"/>
    <x v="0"/>
    <x v="3"/>
    <x v="0"/>
    <x v="2"/>
    <x v="0"/>
    <x v="7"/>
    <x v="0"/>
    <n v="7"/>
    <n v="7"/>
    <n v="5"/>
    <n v="6"/>
    <n v="5"/>
    <n v="5"/>
    <n v="5"/>
    <n v="5"/>
    <n v="6"/>
  </r>
  <r>
    <d v="2026-01-09T15:26:00"/>
    <x v="1"/>
    <x v="3"/>
    <x v="0"/>
    <x v="0"/>
    <x v="0"/>
    <x v="5"/>
    <x v="4"/>
    <n v="8"/>
    <n v="8"/>
    <n v="8"/>
    <n v="8"/>
    <n v="8"/>
    <n v="8"/>
    <n v="8"/>
    <n v="8"/>
    <n v="8"/>
  </r>
  <r>
    <d v="2026-01-09T15:26:00"/>
    <x v="1"/>
    <x v="0"/>
    <x v="0"/>
    <x v="0"/>
    <x v="0"/>
    <x v="1"/>
    <x v="4"/>
    <n v="9"/>
    <n v="9"/>
    <n v="3"/>
    <n v="10"/>
    <n v="8"/>
    <n v="8"/>
    <n v="6"/>
    <n v="8"/>
    <n v="8"/>
  </r>
  <r>
    <d v="2026-01-09T15:27:00"/>
    <x v="0"/>
    <x v="5"/>
    <x v="0"/>
    <x v="1"/>
    <x v="2"/>
    <x v="1"/>
    <x v="4"/>
    <n v="6"/>
    <n v="6"/>
    <n v="1"/>
    <n v="6"/>
    <n v="5"/>
    <n v="6"/>
    <n v="5"/>
    <n v="6"/>
    <n v="6"/>
  </r>
  <r>
    <d v="2026-01-09T15:30:00"/>
    <x v="0"/>
    <x v="0"/>
    <x v="0"/>
    <x v="0"/>
    <x v="0"/>
    <x v="5"/>
    <x v="0"/>
    <n v="8"/>
    <n v="8"/>
    <n v="5"/>
    <n v="8"/>
    <n v="5"/>
    <n v="6"/>
    <n v="5"/>
    <n v="6"/>
    <n v="6"/>
  </r>
  <r>
    <d v="2026-01-09T15:31:00"/>
    <x v="0"/>
    <x v="0"/>
    <x v="0"/>
    <x v="0"/>
    <x v="0"/>
    <x v="1"/>
    <x v="2"/>
    <n v="6"/>
    <n v="6"/>
    <n v="3"/>
    <n v="7"/>
    <n v="5"/>
    <n v="6"/>
    <n v="5"/>
    <n v="5"/>
    <n v="6"/>
  </r>
  <r>
    <d v="2026-01-09T15:32:00"/>
    <x v="1"/>
    <x v="2"/>
    <x v="0"/>
    <x v="0"/>
    <x v="0"/>
    <x v="7"/>
    <x v="1"/>
    <n v="8"/>
    <n v="9"/>
    <n v="9"/>
    <n v="10"/>
    <n v="8"/>
    <n v="8"/>
    <n v="9"/>
    <n v="10"/>
    <n v="10"/>
  </r>
  <r>
    <d v="2026-01-09T16:25:00"/>
    <x v="1"/>
    <x v="5"/>
    <x v="0"/>
    <x v="0"/>
    <x v="0"/>
    <x v="2"/>
    <x v="1"/>
    <n v="7"/>
    <n v="7"/>
    <n v="6"/>
    <n v="7"/>
    <n v="7"/>
    <n v="1"/>
    <n v="5"/>
    <n v="7"/>
    <n v="7"/>
  </r>
  <r>
    <d v="2026-01-09T16:50:00"/>
    <x v="0"/>
    <x v="3"/>
    <x v="0"/>
    <x v="0"/>
    <x v="0"/>
    <x v="1"/>
    <x v="4"/>
    <n v="5"/>
    <n v="10"/>
    <n v="5"/>
    <n v="5"/>
    <n v="2"/>
    <n v="3"/>
    <n v="2"/>
    <n v="5"/>
    <n v="5"/>
  </r>
  <r>
    <d v="2026-01-09T16:56:00"/>
    <x v="1"/>
    <x v="3"/>
    <x v="0"/>
    <x v="0"/>
    <x v="2"/>
    <x v="2"/>
    <x v="1"/>
    <n v="5"/>
    <n v="5"/>
    <n v="5"/>
    <n v="10"/>
    <n v="10"/>
    <n v="5"/>
    <n v="5"/>
    <n v="5"/>
    <n v="5"/>
  </r>
  <r>
    <d v="2026-01-09T17:12:00"/>
    <x v="1"/>
    <x v="3"/>
    <x v="0"/>
    <x v="1"/>
    <x v="0"/>
    <x v="5"/>
    <x v="1"/>
    <n v="10"/>
    <n v="10"/>
    <n v="10"/>
    <n v="10"/>
    <n v="10"/>
    <n v="10"/>
    <n v="10"/>
    <n v="10"/>
    <n v="10"/>
  </r>
  <r>
    <d v="2026-01-09T17:12:00"/>
    <x v="1"/>
    <x v="3"/>
    <x v="0"/>
    <x v="0"/>
    <x v="0"/>
    <x v="7"/>
    <x v="0"/>
    <n v="9"/>
    <n v="9"/>
    <n v="8"/>
    <n v="10"/>
    <n v="8"/>
    <n v="8"/>
    <n v="10"/>
    <n v="9"/>
    <n v="9"/>
  </r>
  <r>
    <d v="2026-01-09T18:35:00"/>
    <x v="1"/>
    <x v="0"/>
    <x v="0"/>
    <x v="0"/>
    <x v="0"/>
    <x v="2"/>
    <x v="1"/>
    <n v="8"/>
    <n v="7"/>
    <n v="9"/>
    <n v="5"/>
    <n v="7"/>
    <n v="7"/>
    <n v="7"/>
    <n v="6"/>
    <n v="7"/>
  </r>
  <r>
    <d v="2026-01-09T18:52:00"/>
    <x v="0"/>
    <x v="3"/>
    <x v="0"/>
    <x v="0"/>
    <x v="0"/>
    <x v="7"/>
    <x v="1"/>
    <n v="7"/>
    <n v="7"/>
    <n v="4"/>
    <n v="8"/>
    <n v="7"/>
    <n v="7"/>
    <n v="5"/>
    <n v="5"/>
    <n v="7"/>
  </r>
  <r>
    <d v="2026-01-09T18:57:00"/>
    <x v="1"/>
    <x v="3"/>
    <x v="0"/>
    <x v="0"/>
    <x v="0"/>
    <x v="7"/>
    <x v="4"/>
    <n v="6"/>
    <n v="10"/>
    <n v="5"/>
    <n v="4"/>
    <n v="3"/>
    <n v="7"/>
    <n v="4"/>
    <n v="4"/>
    <n v="5"/>
  </r>
  <r>
    <d v="2026-01-09T18:58:00"/>
    <x v="1"/>
    <x v="0"/>
    <x v="0"/>
    <x v="1"/>
    <x v="0"/>
    <x v="2"/>
    <x v="1"/>
    <n v="10"/>
    <n v="10"/>
    <n v="10"/>
    <n v="10"/>
    <n v="10"/>
    <n v="10"/>
    <n v="10"/>
    <n v="10"/>
    <n v="10"/>
  </r>
  <r>
    <d v="2026-01-09T19:09:00"/>
    <x v="1"/>
    <x v="3"/>
    <x v="0"/>
    <x v="0"/>
    <x v="0"/>
    <x v="5"/>
    <x v="1"/>
    <n v="7"/>
    <n v="9"/>
    <n v="8"/>
    <n v="6"/>
    <n v="5"/>
    <n v="3"/>
    <n v="9"/>
    <n v="3"/>
    <n v="4"/>
  </r>
  <r>
    <d v="2026-01-09T19:12:00"/>
    <x v="0"/>
    <x v="1"/>
    <x v="0"/>
    <x v="0"/>
    <x v="0"/>
    <x v="1"/>
    <x v="2"/>
    <n v="3"/>
    <n v="8"/>
    <n v="8"/>
    <n v="4"/>
    <n v="4"/>
    <n v="3"/>
    <n v="7"/>
    <n v="5"/>
    <n v="5"/>
  </r>
  <r>
    <d v="2026-01-09T19:19:00"/>
    <x v="0"/>
    <x v="5"/>
    <x v="0"/>
    <x v="1"/>
    <x v="2"/>
    <x v="0"/>
    <x v="4"/>
    <n v="2"/>
    <n v="2"/>
    <n v="2"/>
    <n v="1"/>
    <n v="2"/>
    <n v="2"/>
    <n v="2"/>
    <n v="2"/>
    <n v="2"/>
  </r>
  <r>
    <d v="2026-01-10T07:22:00"/>
    <x v="0"/>
    <x v="1"/>
    <x v="0"/>
    <x v="1"/>
    <x v="0"/>
    <x v="6"/>
    <x v="4"/>
    <n v="10"/>
    <n v="8"/>
    <n v="8"/>
    <n v="8"/>
    <n v="10"/>
    <n v="10"/>
    <n v="6"/>
    <n v="8"/>
    <n v="8"/>
  </r>
  <r>
    <d v="2026-01-10T09:06:00"/>
    <x v="1"/>
    <x v="3"/>
    <x v="0"/>
    <x v="0"/>
    <x v="0"/>
    <x v="1"/>
    <x v="0"/>
    <n v="10"/>
    <n v="10"/>
    <n v="10"/>
    <n v="10"/>
    <n v="10"/>
    <n v="9"/>
    <n v="9"/>
    <n v="10"/>
    <n v="10"/>
  </r>
  <r>
    <d v="2026-01-10T13:52:00"/>
    <x v="0"/>
    <x v="2"/>
    <x v="0"/>
    <x v="0"/>
    <x v="0"/>
    <x v="4"/>
    <x v="1"/>
    <n v="7"/>
    <n v="7"/>
    <n v="5"/>
    <n v="8"/>
    <n v="8"/>
    <n v="9"/>
    <n v="9"/>
    <n v="9"/>
    <n v="10"/>
  </r>
  <r>
    <d v="2026-01-10T13:52:00"/>
    <x v="0"/>
    <x v="2"/>
    <x v="0"/>
    <x v="0"/>
    <x v="0"/>
    <x v="0"/>
    <x v="1"/>
    <n v="6"/>
    <n v="5"/>
    <n v="4"/>
    <n v="7"/>
    <n v="5"/>
    <n v="6"/>
    <n v="6"/>
    <n v="7"/>
    <n v="7"/>
  </r>
  <r>
    <d v="2026-01-10T13:57:00"/>
    <x v="1"/>
    <x v="0"/>
    <x v="0"/>
    <x v="0"/>
    <x v="0"/>
    <x v="4"/>
    <x v="1"/>
    <n v="8"/>
    <n v="9"/>
    <n v="10"/>
    <n v="10"/>
    <n v="8"/>
    <n v="9"/>
    <n v="8"/>
    <n v="8"/>
    <n v="10"/>
  </r>
  <r>
    <d v="2026-01-11T09:35:00"/>
    <x v="1"/>
    <x v="2"/>
    <x v="0"/>
    <x v="0"/>
    <x v="0"/>
    <x v="0"/>
    <x v="1"/>
    <n v="6"/>
    <n v="6"/>
    <n v="7"/>
    <n v="7"/>
    <n v="7"/>
    <n v="8"/>
    <n v="5"/>
    <n v="5"/>
    <n v="8"/>
  </r>
  <r>
    <d v="2026-01-11T10:21:00"/>
    <x v="0"/>
    <x v="2"/>
    <x v="0"/>
    <x v="0"/>
    <x v="0"/>
    <x v="0"/>
    <x v="1"/>
    <n v="7"/>
    <n v="8"/>
    <n v="8"/>
    <n v="8"/>
    <n v="5"/>
    <n v="8"/>
    <n v="6"/>
    <n v="6"/>
    <n v="8"/>
  </r>
  <r>
    <d v="2026-01-11T21:19:00"/>
    <x v="1"/>
    <x v="2"/>
    <x v="0"/>
    <x v="0"/>
    <x v="0"/>
    <x v="4"/>
    <x v="1"/>
    <n v="4"/>
    <n v="5"/>
    <n v="5"/>
    <n v="7"/>
    <n v="5"/>
    <n v="8"/>
    <n v="5"/>
    <n v="6"/>
    <n v="8"/>
  </r>
  <r>
    <d v="2026-01-11T21:20:00"/>
    <x v="0"/>
    <x v="0"/>
    <x v="0"/>
    <x v="0"/>
    <x v="0"/>
    <x v="7"/>
    <x v="1"/>
    <n v="6"/>
    <n v="8"/>
    <n v="5"/>
    <n v="6"/>
    <n v="6"/>
    <n v="7"/>
    <n v="6"/>
    <n v="7"/>
    <n v="7"/>
  </r>
  <r>
    <d v="2026-01-12T11:29:00"/>
    <x v="0"/>
    <x v="2"/>
    <x v="0"/>
    <x v="0"/>
    <x v="0"/>
    <x v="0"/>
    <x v="1"/>
    <n v="7"/>
    <n v="7"/>
    <n v="5"/>
    <n v="8"/>
    <n v="5"/>
    <n v="8"/>
    <n v="5"/>
    <n v="7"/>
    <n v="8"/>
  </r>
  <r>
    <d v="2026-01-12T11:30:00"/>
    <x v="0"/>
    <x v="0"/>
    <x v="0"/>
    <x v="1"/>
    <x v="0"/>
    <x v="4"/>
    <x v="1"/>
    <n v="4"/>
    <n v="4"/>
    <n v="6"/>
    <n v="7"/>
    <n v="5"/>
    <n v="8"/>
    <n v="5"/>
    <n v="5"/>
    <n v="8"/>
  </r>
  <r>
    <d v="2026-01-12T11:31:00"/>
    <x v="0"/>
    <x v="2"/>
    <x v="0"/>
    <x v="0"/>
    <x v="0"/>
    <x v="0"/>
    <x v="1"/>
    <n v="8"/>
    <n v="8"/>
    <n v="10"/>
    <n v="10"/>
    <n v="9"/>
    <n v="10"/>
    <n v="8"/>
    <n v="8"/>
    <n v="10"/>
  </r>
  <r>
    <d v="2026-01-12T11:32:00"/>
    <x v="1"/>
    <x v="3"/>
    <x v="0"/>
    <x v="1"/>
    <x v="0"/>
    <x v="7"/>
    <x v="1"/>
    <n v="5"/>
    <n v="7"/>
    <n v="7"/>
    <n v="9"/>
    <n v="5"/>
    <n v="6"/>
    <n v="5"/>
    <n v="7"/>
    <n v="7"/>
  </r>
  <r>
    <d v="2026-01-12T11:33:00"/>
    <x v="0"/>
    <x v="2"/>
    <x v="0"/>
    <x v="0"/>
    <x v="0"/>
    <x v="0"/>
    <x v="1"/>
    <n v="8"/>
    <n v="8"/>
    <n v="7"/>
    <n v="9"/>
    <n v="9"/>
    <n v="9"/>
    <n v="7"/>
    <n v="9"/>
    <n v="9"/>
  </r>
  <r>
    <d v="2026-01-12T11:34:00"/>
    <x v="1"/>
    <x v="0"/>
    <x v="0"/>
    <x v="0"/>
    <x v="0"/>
    <x v="7"/>
    <x v="1"/>
    <n v="5"/>
    <n v="5"/>
    <n v="5"/>
    <n v="7"/>
    <n v="5"/>
    <n v="7"/>
    <n v="5"/>
    <n v="5"/>
    <n v="7"/>
  </r>
  <r>
    <d v="2026-01-12T11:37:00"/>
    <x v="1"/>
    <x v="0"/>
    <x v="0"/>
    <x v="1"/>
    <x v="0"/>
    <x v="7"/>
    <x v="1"/>
    <n v="7"/>
    <n v="7"/>
    <n v="8"/>
    <n v="8"/>
    <n v="6"/>
    <n v="7"/>
    <n v="6"/>
    <n v="7"/>
    <n v="7"/>
  </r>
  <r>
    <d v="2026-01-12T11:38:00"/>
    <x v="0"/>
    <x v="2"/>
    <x v="0"/>
    <x v="0"/>
    <x v="0"/>
    <x v="2"/>
    <x v="1"/>
    <n v="7"/>
    <n v="7"/>
    <n v="5"/>
    <n v="7"/>
    <n v="7"/>
    <n v="7"/>
    <n v="5"/>
    <n v="5"/>
    <n v="8"/>
  </r>
  <r>
    <d v="2026-01-12T11:39:00"/>
    <x v="1"/>
    <x v="3"/>
    <x v="0"/>
    <x v="0"/>
    <x v="0"/>
    <x v="5"/>
    <x v="0"/>
    <n v="2"/>
    <n v="2"/>
    <n v="6"/>
    <n v="7"/>
    <n v="2"/>
    <n v="5"/>
    <n v="5"/>
    <n v="6"/>
    <n v="5"/>
  </r>
  <r>
    <d v="2026-01-12T11:40:00"/>
    <x v="0"/>
    <x v="1"/>
    <x v="0"/>
    <x v="0"/>
    <x v="0"/>
    <x v="1"/>
    <x v="4"/>
    <n v="8"/>
    <n v="9"/>
    <n v="9"/>
    <n v="10"/>
    <n v="8"/>
    <n v="10"/>
    <n v="9"/>
    <n v="9"/>
    <n v="10"/>
  </r>
  <r>
    <d v="2026-01-12T11:41:00"/>
    <x v="0"/>
    <x v="0"/>
    <x v="0"/>
    <x v="0"/>
    <x v="0"/>
    <x v="4"/>
    <x v="1"/>
    <n v="7"/>
    <n v="7"/>
    <n v="7"/>
    <n v="9"/>
    <n v="7"/>
    <n v="8"/>
    <n v="5"/>
    <n v="7"/>
    <n v="8"/>
  </r>
  <r>
    <d v="2026-01-12T11:44:00"/>
    <x v="1"/>
    <x v="1"/>
    <x v="0"/>
    <x v="1"/>
    <x v="0"/>
    <x v="3"/>
    <x v="2"/>
    <n v="7"/>
    <n v="8"/>
    <n v="9"/>
    <n v="9"/>
    <n v="9"/>
    <n v="8"/>
    <n v="7"/>
    <n v="7"/>
    <n v="9"/>
  </r>
  <r>
    <d v="2026-01-12T11:47:00"/>
    <x v="0"/>
    <x v="0"/>
    <x v="0"/>
    <x v="0"/>
    <x v="0"/>
    <x v="0"/>
    <x v="1"/>
    <n v="7"/>
    <n v="7"/>
    <n v="9"/>
    <n v="9"/>
    <n v="9"/>
    <n v="9"/>
    <n v="5"/>
    <n v="6"/>
    <n v="9"/>
  </r>
  <r>
    <d v="2026-01-12T11:47:00"/>
    <x v="1"/>
    <x v="2"/>
    <x v="0"/>
    <x v="0"/>
    <x v="0"/>
    <x v="0"/>
    <x v="1"/>
    <n v="3"/>
    <n v="3"/>
    <n v="5"/>
    <n v="6"/>
    <n v="4"/>
    <n v="5"/>
    <n v="5"/>
    <n v="5"/>
    <n v="5"/>
  </r>
  <r>
    <d v="2026-01-12T12:11:00"/>
    <x v="1"/>
    <x v="3"/>
    <x v="0"/>
    <x v="0"/>
    <x v="0"/>
    <x v="7"/>
    <x v="0"/>
    <n v="4"/>
    <n v="4"/>
    <n v="5"/>
    <n v="6"/>
    <n v="4"/>
    <n v="5"/>
    <n v="3"/>
    <n v="4"/>
    <n v="5"/>
  </r>
  <r>
    <d v="2026-01-12T12:12:00"/>
    <x v="0"/>
    <x v="2"/>
    <x v="0"/>
    <x v="0"/>
    <x v="0"/>
    <x v="4"/>
    <x v="1"/>
    <n v="7"/>
    <n v="7"/>
    <n v="9"/>
    <n v="9"/>
    <n v="8"/>
    <n v="9"/>
    <n v="7"/>
    <n v="9"/>
    <n v="9"/>
  </r>
  <r>
    <d v="2026-01-12T12:13:00"/>
    <x v="1"/>
    <x v="1"/>
    <x v="0"/>
    <x v="1"/>
    <x v="0"/>
    <x v="3"/>
    <x v="0"/>
    <n v="6"/>
    <n v="6"/>
    <n v="8"/>
    <n v="8"/>
    <n v="6"/>
    <n v="7"/>
    <n v="6"/>
    <n v="7"/>
    <n v="7"/>
  </r>
  <r>
    <d v="2026-01-12T12:14:00"/>
    <x v="0"/>
    <x v="4"/>
    <x v="0"/>
    <x v="1"/>
    <x v="1"/>
    <x v="6"/>
    <x v="2"/>
    <n v="2"/>
    <n v="2"/>
    <n v="3"/>
    <n v="5"/>
    <n v="1"/>
    <n v="1"/>
    <n v="1"/>
    <n v="3"/>
    <n v="1"/>
  </r>
  <r>
    <d v="2026-01-12T12:20:00"/>
    <x v="1"/>
    <x v="2"/>
    <x v="0"/>
    <x v="0"/>
    <x v="0"/>
    <x v="0"/>
    <x v="1"/>
    <n v="7"/>
    <n v="7"/>
    <n v="8"/>
    <n v="10"/>
    <n v="9"/>
    <n v="10"/>
    <n v="8"/>
    <n v="8"/>
    <n v="10"/>
  </r>
  <r>
    <d v="2026-01-12T12:21:00"/>
    <x v="0"/>
    <x v="0"/>
    <x v="0"/>
    <x v="0"/>
    <x v="0"/>
    <x v="4"/>
    <x v="1"/>
    <n v="4"/>
    <n v="5"/>
    <n v="5"/>
    <n v="6"/>
    <n v="5"/>
    <n v="6"/>
    <n v="5"/>
    <n v="5"/>
    <n v="6"/>
  </r>
  <r>
    <d v="2026-01-12T12:22:00"/>
    <x v="1"/>
    <x v="3"/>
    <x v="0"/>
    <x v="0"/>
    <x v="0"/>
    <x v="7"/>
    <x v="1"/>
    <n v="7"/>
    <n v="8"/>
    <n v="7"/>
    <n v="7"/>
    <n v="6"/>
    <n v="8"/>
    <n v="6"/>
    <n v="8"/>
    <n v="8"/>
  </r>
  <r>
    <d v="2026-01-12T12:23:00"/>
    <x v="1"/>
    <x v="2"/>
    <x v="0"/>
    <x v="0"/>
    <x v="0"/>
    <x v="0"/>
    <x v="1"/>
    <n v="8"/>
    <n v="8"/>
    <n v="9"/>
    <n v="9"/>
    <n v="8"/>
    <n v="9"/>
    <n v="10"/>
    <n v="9"/>
    <n v="10"/>
  </r>
  <r>
    <d v="2026-01-12T12:23:00"/>
    <x v="0"/>
    <x v="2"/>
    <x v="0"/>
    <x v="0"/>
    <x v="0"/>
    <x v="0"/>
    <x v="1"/>
    <n v="7"/>
    <n v="7"/>
    <n v="8"/>
    <n v="8"/>
    <n v="6"/>
    <n v="7"/>
    <n v="6"/>
    <n v="6"/>
    <n v="7"/>
  </r>
  <r>
    <d v="2026-01-12T14:12:00"/>
    <x v="1"/>
    <x v="0"/>
    <x v="0"/>
    <x v="0"/>
    <x v="0"/>
    <x v="0"/>
    <x v="1"/>
    <n v="7"/>
    <n v="8"/>
    <n v="8"/>
    <n v="8"/>
    <n v="5"/>
    <n v="8"/>
    <n v="5"/>
    <n v="8"/>
    <n v="8"/>
  </r>
  <r>
    <d v="2026-01-12T14:13:00"/>
    <x v="0"/>
    <x v="2"/>
    <x v="0"/>
    <x v="0"/>
    <x v="0"/>
    <x v="2"/>
    <x v="1"/>
    <n v="8"/>
    <n v="8"/>
    <n v="8"/>
    <n v="9"/>
    <n v="8"/>
    <n v="8"/>
    <n v="7"/>
    <n v="7"/>
    <n v="8"/>
  </r>
  <r>
    <d v="2026-01-12T14:14:00"/>
    <x v="1"/>
    <x v="2"/>
    <x v="0"/>
    <x v="0"/>
    <x v="0"/>
    <x v="2"/>
    <x v="1"/>
    <n v="5"/>
    <n v="5"/>
    <n v="6"/>
    <n v="7"/>
    <n v="5"/>
    <n v="8"/>
    <n v="6"/>
    <n v="6"/>
    <n v="7"/>
  </r>
  <r>
    <d v="2026-01-12T14:15:00"/>
    <x v="1"/>
    <x v="0"/>
    <x v="0"/>
    <x v="0"/>
    <x v="0"/>
    <x v="0"/>
    <x v="1"/>
    <n v="7"/>
    <n v="7"/>
    <n v="8"/>
    <n v="7"/>
    <n v="8"/>
    <n v="8"/>
    <n v="8"/>
    <n v="7"/>
    <n v="8"/>
  </r>
  <r>
    <d v="2026-01-12T14:16:00"/>
    <x v="1"/>
    <x v="3"/>
    <x v="0"/>
    <x v="1"/>
    <x v="0"/>
    <x v="1"/>
    <x v="4"/>
    <n v="7"/>
    <n v="7"/>
    <n v="5"/>
    <n v="8"/>
    <n v="6"/>
    <n v="5"/>
    <n v="5"/>
    <n v="6"/>
    <n v="5"/>
  </r>
  <r>
    <d v="2026-01-12T14:28:00"/>
    <x v="0"/>
    <x v="0"/>
    <x v="0"/>
    <x v="0"/>
    <x v="0"/>
    <x v="0"/>
    <x v="1"/>
    <n v="7"/>
    <n v="7"/>
    <n v="5"/>
    <n v="8"/>
    <n v="7"/>
    <n v="7"/>
    <n v="6"/>
    <n v="7"/>
    <n v="7"/>
  </r>
  <r>
    <d v="2026-01-12T14:29:00"/>
    <x v="0"/>
    <x v="3"/>
    <x v="0"/>
    <x v="0"/>
    <x v="0"/>
    <x v="7"/>
    <x v="0"/>
    <n v="9"/>
    <n v="8"/>
    <n v="8"/>
    <n v="9"/>
    <n v="7"/>
    <n v="8"/>
    <n v="7"/>
    <n v="7"/>
    <n v="8"/>
  </r>
  <r>
    <d v="2026-01-12T14:33:00"/>
    <x v="0"/>
    <x v="0"/>
    <x v="0"/>
    <x v="0"/>
    <x v="0"/>
    <x v="4"/>
    <x v="1"/>
    <n v="8"/>
    <n v="8"/>
    <n v="7"/>
    <n v="8"/>
    <n v="6"/>
    <n v="8"/>
    <n v="6"/>
    <n v="6"/>
    <n v="8"/>
  </r>
  <r>
    <d v="2026-01-12T15:39:00"/>
    <x v="0"/>
    <x v="0"/>
    <x v="0"/>
    <x v="0"/>
    <x v="0"/>
    <x v="4"/>
    <x v="1"/>
    <n v="8"/>
    <n v="8"/>
    <n v="7"/>
    <n v="7"/>
    <n v="6"/>
    <n v="7"/>
    <n v="6"/>
    <n v="6"/>
    <n v="7"/>
  </r>
  <r>
    <d v="2026-01-12T15:42:00"/>
    <x v="0"/>
    <x v="0"/>
    <x v="0"/>
    <x v="0"/>
    <x v="0"/>
    <x v="4"/>
    <x v="1"/>
    <n v="4"/>
    <n v="4"/>
    <n v="5"/>
    <n v="7"/>
    <n v="5"/>
    <n v="6"/>
    <n v="6"/>
    <n v="6"/>
    <n v="6"/>
  </r>
  <r>
    <d v="2026-01-12T15:42:00"/>
    <x v="0"/>
    <x v="0"/>
    <x v="0"/>
    <x v="0"/>
    <x v="0"/>
    <x v="7"/>
    <x v="1"/>
    <n v="7"/>
    <n v="7"/>
    <n v="8"/>
    <n v="8"/>
    <n v="7"/>
    <n v="7"/>
    <n v="8"/>
    <n v="7"/>
    <n v="8"/>
  </r>
  <r>
    <d v="2026-01-12T15:43:00"/>
    <x v="0"/>
    <x v="3"/>
    <x v="0"/>
    <x v="0"/>
    <x v="0"/>
    <x v="5"/>
    <x v="4"/>
    <n v="8"/>
    <n v="8"/>
    <n v="6"/>
    <n v="7"/>
    <n v="6"/>
    <n v="7"/>
    <n v="5"/>
    <n v="7"/>
    <n v="7"/>
  </r>
  <r>
    <d v="2026-01-12T16:48:00"/>
    <x v="0"/>
    <x v="3"/>
    <x v="0"/>
    <x v="0"/>
    <x v="0"/>
    <x v="7"/>
    <x v="0"/>
    <n v="6"/>
    <n v="6"/>
    <n v="8"/>
    <n v="7"/>
    <n v="7"/>
    <n v="7"/>
    <n v="5"/>
    <n v="6"/>
    <n v="7"/>
  </r>
  <r>
    <d v="2026-01-12T16:49:00"/>
    <x v="1"/>
    <x v="1"/>
    <x v="0"/>
    <x v="0"/>
    <x v="0"/>
    <x v="3"/>
    <x v="3"/>
    <n v="7"/>
    <n v="7"/>
    <n v="8"/>
    <n v="8"/>
    <n v="6"/>
    <n v="7"/>
    <n v="5"/>
    <n v="7"/>
    <n v="7"/>
  </r>
  <r>
    <d v="2026-01-12T16:50:00"/>
    <x v="0"/>
    <x v="2"/>
    <x v="0"/>
    <x v="0"/>
    <x v="0"/>
    <x v="0"/>
    <x v="1"/>
    <n v="9"/>
    <n v="9"/>
    <n v="10"/>
    <n v="10"/>
    <n v="9"/>
    <n v="10"/>
    <n v="8"/>
    <n v="8"/>
    <n v="9"/>
  </r>
  <r>
    <d v="2026-01-12T17:17:00"/>
    <x v="1"/>
    <x v="2"/>
    <x v="0"/>
    <x v="0"/>
    <x v="0"/>
    <x v="0"/>
    <x v="1"/>
    <n v="7"/>
    <n v="8"/>
    <n v="8"/>
    <n v="9"/>
    <n v="8"/>
    <n v="10"/>
    <n v="8"/>
    <n v="8"/>
    <n v="9"/>
  </r>
  <r>
    <d v="2026-01-12T18:05:00"/>
    <x v="1"/>
    <x v="2"/>
    <x v="0"/>
    <x v="0"/>
    <x v="0"/>
    <x v="0"/>
    <x v="1"/>
    <n v="7"/>
    <n v="7"/>
    <n v="8"/>
    <n v="10"/>
    <n v="9"/>
    <n v="10"/>
    <n v="8"/>
    <n v="8"/>
    <n v="10"/>
  </r>
  <r>
    <d v="2026-01-12T18:28:00"/>
    <x v="1"/>
    <x v="0"/>
    <x v="0"/>
    <x v="0"/>
    <x v="0"/>
    <x v="7"/>
    <x v="1"/>
    <n v="9"/>
    <n v="9"/>
    <n v="8"/>
    <n v="9"/>
    <n v="8"/>
    <n v="8"/>
    <n v="7"/>
    <n v="7"/>
    <n v="8"/>
  </r>
  <r>
    <d v="2026-01-12T18:29:00"/>
    <x v="0"/>
    <x v="2"/>
    <x v="0"/>
    <x v="0"/>
    <x v="0"/>
    <x v="0"/>
    <x v="1"/>
    <n v="7"/>
    <n v="7"/>
    <n v="7"/>
    <n v="8"/>
    <n v="7"/>
    <n v="9"/>
    <n v="8"/>
    <n v="8"/>
    <n v="8"/>
  </r>
  <r>
    <d v="2026-01-12T18:30:00"/>
    <x v="0"/>
    <x v="0"/>
    <x v="0"/>
    <x v="0"/>
    <x v="0"/>
    <x v="4"/>
    <x v="0"/>
    <n v="4"/>
    <n v="5"/>
    <n v="6"/>
    <n v="7"/>
    <n v="7"/>
    <n v="6"/>
    <n v="4"/>
    <n v="6"/>
    <n v="7"/>
  </r>
  <r>
    <d v="2026-01-12T21:27:00"/>
    <x v="1"/>
    <x v="0"/>
    <x v="0"/>
    <x v="0"/>
    <x v="0"/>
    <x v="4"/>
    <x v="1"/>
    <n v="9"/>
    <n v="8"/>
    <n v="8"/>
    <n v="8"/>
    <n v="7"/>
    <n v="7"/>
    <n v="6"/>
    <n v="7"/>
    <n v="8"/>
  </r>
  <r>
    <d v="2026-01-12T21:28:00"/>
    <x v="0"/>
    <x v="2"/>
    <x v="0"/>
    <x v="0"/>
    <x v="0"/>
    <x v="2"/>
    <x v="1"/>
    <n v="7"/>
    <n v="7"/>
    <n v="8"/>
    <n v="9"/>
    <n v="7"/>
    <n v="10"/>
    <n v="8"/>
    <n v="8"/>
    <n v="10"/>
  </r>
  <r>
    <d v="2026-01-12T21:29:00"/>
    <x v="0"/>
    <x v="2"/>
    <x v="0"/>
    <x v="0"/>
    <x v="0"/>
    <x v="0"/>
    <x v="1"/>
    <n v="3"/>
    <n v="3"/>
    <n v="5"/>
    <n v="6"/>
    <n v="5"/>
    <n v="6"/>
    <n v="4"/>
    <n v="6"/>
    <n v="6"/>
  </r>
  <r>
    <d v="2026-01-12T21:36:00"/>
    <x v="1"/>
    <x v="0"/>
    <x v="0"/>
    <x v="0"/>
    <x v="0"/>
    <x v="7"/>
    <x v="0"/>
    <n v="8"/>
    <n v="8"/>
    <n v="5"/>
    <n v="7"/>
    <n v="5"/>
    <n v="8"/>
    <n v="5"/>
    <n v="7"/>
    <n v="8"/>
  </r>
  <r>
    <d v="2026-01-12T21:37:00"/>
    <x v="1"/>
    <x v="3"/>
    <x v="0"/>
    <x v="0"/>
    <x v="0"/>
    <x v="4"/>
    <x v="0"/>
    <n v="4"/>
    <n v="5"/>
    <n v="5"/>
    <n v="7"/>
    <n v="5"/>
    <n v="7"/>
    <n v="5"/>
    <n v="6"/>
    <n v="7"/>
  </r>
  <r>
    <d v="2026-01-12T21:38:00"/>
    <x v="0"/>
    <x v="0"/>
    <x v="0"/>
    <x v="0"/>
    <x v="0"/>
    <x v="5"/>
    <x v="1"/>
    <n v="9"/>
    <n v="9"/>
    <n v="8"/>
    <n v="9"/>
    <n v="9"/>
    <n v="7"/>
    <n v="7"/>
    <n v="7"/>
    <n v="7"/>
  </r>
  <r>
    <d v="2026-01-12T21:41:00"/>
    <x v="1"/>
    <x v="3"/>
    <x v="0"/>
    <x v="1"/>
    <x v="0"/>
    <x v="1"/>
    <x v="0"/>
    <n v="7"/>
    <n v="8"/>
    <n v="8"/>
    <n v="8"/>
    <n v="5"/>
    <n v="6"/>
    <n v="5"/>
    <n v="6"/>
    <n v="6"/>
  </r>
  <r>
    <d v="2026-01-12T21:43:00"/>
    <x v="0"/>
    <x v="2"/>
    <x v="0"/>
    <x v="0"/>
    <x v="0"/>
    <x v="0"/>
    <x v="1"/>
    <n v="8"/>
    <n v="9"/>
    <n v="8"/>
    <n v="8"/>
    <n v="9"/>
    <n v="10"/>
    <n v="10"/>
    <n v="9"/>
    <n v="10"/>
  </r>
  <r>
    <d v="2026-01-12T21:43:00"/>
    <x v="0"/>
    <x v="0"/>
    <x v="0"/>
    <x v="1"/>
    <x v="0"/>
    <x v="7"/>
    <x v="4"/>
    <n v="7"/>
    <n v="7"/>
    <n v="8"/>
    <n v="8"/>
    <n v="6"/>
    <n v="8"/>
    <n v="6"/>
    <n v="7"/>
    <n v="8"/>
  </r>
  <r>
    <d v="2026-01-12T21:47:00"/>
    <x v="1"/>
    <x v="0"/>
    <x v="0"/>
    <x v="0"/>
    <x v="0"/>
    <x v="0"/>
    <x v="1"/>
    <n v="6"/>
    <n v="6"/>
    <n v="8"/>
    <n v="9"/>
    <n v="8"/>
    <n v="8"/>
    <n v="5"/>
    <n v="7"/>
    <n v="8"/>
  </r>
  <r>
    <d v="2026-01-12T21:48:00"/>
    <x v="1"/>
    <x v="2"/>
    <x v="0"/>
    <x v="0"/>
    <x v="0"/>
    <x v="4"/>
    <x v="1"/>
    <n v="6"/>
    <n v="7"/>
    <n v="7"/>
    <n v="9"/>
    <n v="7"/>
    <n v="9"/>
    <n v="9"/>
    <n v="9"/>
    <n v="9"/>
  </r>
  <r>
    <d v="2026-01-12T21:49:00"/>
    <x v="1"/>
    <x v="1"/>
    <x v="0"/>
    <x v="1"/>
    <x v="0"/>
    <x v="1"/>
    <x v="2"/>
    <n v="4"/>
    <n v="4"/>
    <n v="5"/>
    <n v="5"/>
    <n v="5"/>
    <n v="4"/>
    <n v="5"/>
    <n v="6"/>
    <n v="5"/>
  </r>
  <r>
    <d v="2026-01-12T21:50:00"/>
    <x v="0"/>
    <x v="3"/>
    <x v="0"/>
    <x v="0"/>
    <x v="0"/>
    <x v="5"/>
    <x v="4"/>
    <n v="6"/>
    <n v="6"/>
    <n v="8"/>
    <n v="8"/>
    <n v="6"/>
    <n v="7"/>
    <n v="5"/>
    <n v="6"/>
    <n v="6"/>
  </r>
  <r>
    <d v="2026-01-12T21:51:00"/>
    <x v="0"/>
    <x v="3"/>
    <x v="0"/>
    <x v="0"/>
    <x v="0"/>
    <x v="3"/>
    <x v="4"/>
    <n v="8"/>
    <n v="8"/>
    <n v="9"/>
    <n v="9"/>
    <n v="5"/>
    <n v="5"/>
    <n v="5"/>
    <n v="6"/>
    <n v="5"/>
  </r>
  <r>
    <d v="2026-01-12T22:35:00"/>
    <x v="0"/>
    <x v="3"/>
    <x v="0"/>
    <x v="0"/>
    <x v="0"/>
    <x v="5"/>
    <x v="0"/>
    <n v="6"/>
    <n v="6"/>
    <n v="7"/>
    <n v="7"/>
    <n v="6"/>
    <n v="6"/>
    <n v="6"/>
    <n v="6"/>
    <n v="6"/>
  </r>
  <r>
    <d v="2026-01-12T23:15:00"/>
    <x v="0"/>
    <x v="3"/>
    <x v="0"/>
    <x v="0"/>
    <x v="0"/>
    <x v="1"/>
    <x v="0"/>
    <n v="8"/>
    <n v="8"/>
    <n v="8"/>
    <n v="8"/>
    <n v="7"/>
    <n v="6"/>
    <n v="6"/>
    <n v="5"/>
    <n v="7"/>
  </r>
  <r>
    <d v="2026-01-13T06:45:00"/>
    <x v="0"/>
    <x v="0"/>
    <x v="0"/>
    <x v="0"/>
    <x v="0"/>
    <x v="4"/>
    <x v="1"/>
    <n v="6"/>
    <n v="6"/>
    <n v="5"/>
    <n v="7"/>
    <n v="6"/>
    <n v="7"/>
    <n v="5"/>
    <n v="6"/>
    <n v="7"/>
  </r>
  <r>
    <d v="2026-01-13T08:14:00"/>
    <x v="1"/>
    <x v="0"/>
    <x v="0"/>
    <x v="0"/>
    <x v="0"/>
    <x v="0"/>
    <x v="1"/>
    <n v="7"/>
    <n v="8"/>
    <n v="7"/>
    <n v="7"/>
    <n v="8"/>
    <n v="9"/>
    <n v="7"/>
    <n v="7"/>
    <n v="8"/>
  </r>
  <r>
    <d v="2026-01-13T08:15:00"/>
    <x v="0"/>
    <x v="2"/>
    <x v="0"/>
    <x v="0"/>
    <x v="0"/>
    <x v="4"/>
    <x v="1"/>
    <n v="6"/>
    <n v="7"/>
    <n v="5"/>
    <n v="8"/>
    <n v="7"/>
    <n v="7"/>
    <n v="7"/>
    <n v="7"/>
    <n v="8"/>
  </r>
  <r>
    <d v="2026-01-13T08:17:00"/>
    <x v="0"/>
    <x v="2"/>
    <x v="0"/>
    <x v="0"/>
    <x v="0"/>
    <x v="0"/>
    <x v="1"/>
    <n v="8"/>
    <n v="8"/>
    <n v="9"/>
    <n v="9"/>
    <n v="7"/>
    <n v="9"/>
    <n v="7"/>
    <n v="7"/>
    <n v="9"/>
  </r>
  <r>
    <d v="2026-01-13T08:31:00"/>
    <x v="1"/>
    <x v="2"/>
    <x v="0"/>
    <x v="0"/>
    <x v="0"/>
    <x v="4"/>
    <x v="1"/>
    <n v="8"/>
    <n v="8"/>
    <n v="5"/>
    <n v="8"/>
    <n v="6"/>
    <n v="9"/>
    <n v="5"/>
    <n v="7"/>
    <n v="8"/>
  </r>
  <r>
    <d v="2026-01-13T08:53:00"/>
    <x v="1"/>
    <x v="2"/>
    <x v="0"/>
    <x v="2"/>
    <x v="0"/>
    <x v="0"/>
    <x v="1"/>
    <n v="9"/>
    <n v="9"/>
    <n v="8"/>
    <n v="9"/>
    <n v="8"/>
    <n v="10"/>
    <n v="8"/>
    <n v="8"/>
    <n v="10"/>
  </r>
  <r>
    <d v="2026-01-13T08:54:00"/>
    <x v="0"/>
    <x v="2"/>
    <x v="0"/>
    <x v="0"/>
    <x v="0"/>
    <x v="4"/>
    <x v="0"/>
    <n v="5"/>
    <n v="5"/>
    <n v="4"/>
    <n v="8"/>
    <n v="4"/>
    <n v="8"/>
    <n v="4"/>
    <n v="5"/>
    <n v="7"/>
  </r>
  <r>
    <d v="2026-01-13T08:55:00"/>
    <x v="1"/>
    <x v="4"/>
    <x v="0"/>
    <x v="1"/>
    <x v="0"/>
    <x v="3"/>
    <x v="4"/>
    <n v="1"/>
    <n v="1"/>
    <n v="4"/>
    <n v="5"/>
    <n v="5"/>
    <n v="4"/>
    <n v="4"/>
    <n v="5"/>
    <n v="3"/>
  </r>
  <r>
    <d v="2026-01-13T09:20:00"/>
    <x v="1"/>
    <x v="2"/>
    <x v="0"/>
    <x v="0"/>
    <x v="0"/>
    <x v="2"/>
    <x v="1"/>
    <n v="7"/>
    <n v="7"/>
    <n v="7"/>
    <n v="9"/>
    <n v="8"/>
    <n v="10"/>
    <n v="8"/>
    <n v="7"/>
    <n v="10"/>
  </r>
  <r>
    <d v="2026-01-13T09:45:00"/>
    <x v="1"/>
    <x v="1"/>
    <x v="0"/>
    <x v="0"/>
    <x v="0"/>
    <x v="5"/>
    <x v="4"/>
    <n v="3"/>
    <n v="3"/>
    <n v="4"/>
    <n v="6"/>
    <n v="4"/>
    <n v="5"/>
    <n v="4"/>
    <n v="5"/>
    <n v="5"/>
  </r>
  <r>
    <d v="2026-01-13T09:46:00"/>
    <x v="0"/>
    <x v="0"/>
    <x v="0"/>
    <x v="1"/>
    <x v="0"/>
    <x v="7"/>
    <x v="1"/>
    <n v="8"/>
    <n v="8"/>
    <n v="9"/>
    <n v="8"/>
    <n v="7"/>
    <n v="8"/>
    <n v="7"/>
    <n v="7"/>
    <n v="8"/>
  </r>
  <r>
    <d v="2026-01-13T10:21:00"/>
    <x v="1"/>
    <x v="3"/>
    <x v="0"/>
    <x v="0"/>
    <x v="0"/>
    <x v="1"/>
    <x v="4"/>
    <n v="5"/>
    <n v="5"/>
    <n v="5"/>
    <n v="5"/>
    <n v="5"/>
    <n v="5"/>
    <n v="5"/>
    <n v="5"/>
    <n v="5"/>
  </r>
  <r>
    <d v="2026-01-13T11:02:00"/>
    <x v="1"/>
    <x v="2"/>
    <x v="0"/>
    <x v="0"/>
    <x v="0"/>
    <x v="0"/>
    <x v="1"/>
    <n v="7"/>
    <n v="7"/>
    <n v="5"/>
    <n v="8"/>
    <n v="6"/>
    <n v="8"/>
    <n v="5"/>
    <n v="5"/>
    <n v="8"/>
  </r>
  <r>
    <d v="2026-01-13T11:10:00"/>
    <x v="1"/>
    <x v="0"/>
    <x v="0"/>
    <x v="0"/>
    <x v="0"/>
    <x v="4"/>
    <x v="1"/>
    <n v="6"/>
    <n v="8"/>
    <n v="7"/>
    <n v="8"/>
    <n v="6"/>
    <n v="8"/>
    <n v="5"/>
    <n v="5"/>
    <n v="8"/>
  </r>
  <r>
    <d v="2026-01-13T11:11:00"/>
    <x v="0"/>
    <x v="1"/>
    <x v="0"/>
    <x v="1"/>
    <x v="0"/>
    <x v="5"/>
    <x v="2"/>
    <n v="10"/>
    <n v="10"/>
    <n v="5"/>
    <n v="9"/>
    <n v="7"/>
    <n v="8"/>
    <n v="5"/>
    <n v="5"/>
    <n v="8"/>
  </r>
  <r>
    <d v="2026-01-13T11:12:00"/>
    <x v="1"/>
    <x v="0"/>
    <x v="0"/>
    <x v="0"/>
    <x v="0"/>
    <x v="0"/>
    <x v="1"/>
    <n v="4"/>
    <n v="5"/>
    <n v="7"/>
    <n v="7"/>
    <n v="5"/>
    <n v="7"/>
    <n v="5"/>
    <n v="5"/>
    <n v="7"/>
  </r>
  <r>
    <d v="2026-01-13T11:13:00"/>
    <x v="0"/>
    <x v="5"/>
    <x v="0"/>
    <x v="1"/>
    <x v="0"/>
    <x v="6"/>
    <x v="3"/>
    <n v="2"/>
    <n v="3"/>
    <n v="3"/>
    <n v="6"/>
    <n v="5"/>
    <n v="5"/>
    <n v="5"/>
    <n v="5"/>
    <n v="5"/>
  </r>
  <r>
    <d v="2026-01-13T11:14:00"/>
    <x v="0"/>
    <x v="3"/>
    <x v="0"/>
    <x v="0"/>
    <x v="0"/>
    <x v="7"/>
    <x v="4"/>
    <n v="7"/>
    <n v="7"/>
    <n v="5"/>
    <n v="8"/>
    <n v="7"/>
    <n v="7"/>
    <n v="5"/>
    <n v="6"/>
    <n v="7"/>
  </r>
  <r>
    <d v="2026-01-13T11:26:00"/>
    <x v="1"/>
    <x v="0"/>
    <x v="0"/>
    <x v="0"/>
    <x v="0"/>
    <x v="2"/>
    <x v="0"/>
    <n v="9"/>
    <n v="9"/>
    <n v="9"/>
    <n v="7"/>
    <n v="8"/>
    <n v="6"/>
    <n v="8"/>
    <n v="10"/>
    <n v="10"/>
  </r>
  <r>
    <d v="2026-01-13T12:38:00"/>
    <x v="1"/>
    <x v="4"/>
    <x v="0"/>
    <x v="0"/>
    <x v="0"/>
    <x v="5"/>
    <x v="0"/>
    <n v="7"/>
    <n v="7"/>
    <n v="5"/>
    <n v="7"/>
    <n v="5"/>
    <n v="6"/>
    <n v="5"/>
    <n v="6"/>
    <n v="6"/>
  </r>
  <r>
    <d v="2026-01-13T12:39:00"/>
    <x v="0"/>
    <x v="3"/>
    <x v="0"/>
    <x v="2"/>
    <x v="0"/>
    <x v="7"/>
    <x v="0"/>
    <n v="2"/>
    <n v="2"/>
    <n v="4"/>
    <n v="5"/>
    <n v="5"/>
    <n v="3"/>
    <n v="5"/>
    <n v="5"/>
    <n v="5"/>
  </r>
  <r>
    <d v="2026-01-13T12:40:00"/>
    <x v="0"/>
    <x v="0"/>
    <x v="0"/>
    <x v="0"/>
    <x v="0"/>
    <x v="7"/>
    <x v="1"/>
    <n v="8"/>
    <n v="8"/>
    <n v="7"/>
    <n v="7"/>
    <n v="7"/>
    <n v="8"/>
    <n v="7"/>
    <n v="8"/>
    <n v="8"/>
  </r>
  <r>
    <d v="2026-01-13T12:40:00"/>
    <x v="0"/>
    <x v="2"/>
    <x v="0"/>
    <x v="0"/>
    <x v="0"/>
    <x v="2"/>
    <x v="1"/>
    <n v="9"/>
    <n v="9"/>
    <n v="8"/>
    <n v="9"/>
    <n v="7"/>
    <n v="9"/>
    <n v="8"/>
    <n v="8"/>
    <n v="8"/>
  </r>
  <r>
    <d v="2026-01-13T12:41:00"/>
    <x v="0"/>
    <x v="0"/>
    <x v="0"/>
    <x v="1"/>
    <x v="0"/>
    <x v="7"/>
    <x v="1"/>
    <n v="7"/>
    <n v="7"/>
    <n v="5"/>
    <n v="8"/>
    <n v="7"/>
    <n v="8"/>
    <n v="6"/>
    <n v="6"/>
    <n v="8"/>
  </r>
  <r>
    <d v="2026-01-13T12:42:00"/>
    <x v="0"/>
    <x v="1"/>
    <x v="0"/>
    <x v="0"/>
    <x v="0"/>
    <x v="5"/>
    <x v="2"/>
    <n v="8"/>
    <n v="9"/>
    <n v="8"/>
    <n v="8"/>
    <n v="7"/>
    <n v="7"/>
    <n v="7"/>
    <n v="7"/>
    <n v="8"/>
  </r>
  <r>
    <d v="2026-01-13T12:42:00"/>
    <x v="0"/>
    <x v="0"/>
    <x v="1"/>
    <x v="0"/>
    <x v="0"/>
    <x v="0"/>
    <x v="1"/>
    <n v="4"/>
    <n v="4"/>
    <n v="3"/>
    <n v="5"/>
    <n v="5"/>
    <n v="2"/>
    <n v="2"/>
    <n v="5"/>
    <n v="2"/>
  </r>
  <r>
    <d v="2026-01-13T12:47:00"/>
    <x v="1"/>
    <x v="5"/>
    <x v="0"/>
    <x v="1"/>
    <x v="0"/>
    <x v="6"/>
    <x v="3"/>
    <n v="7"/>
    <n v="7"/>
    <n v="4"/>
    <n v="6"/>
    <n v="5"/>
    <n v="4"/>
    <n v="5"/>
    <n v="5"/>
    <n v="5"/>
  </r>
  <r>
    <d v="2026-01-13T12:49:00"/>
    <x v="0"/>
    <x v="0"/>
    <x v="0"/>
    <x v="0"/>
    <x v="0"/>
    <x v="7"/>
    <x v="1"/>
    <n v="7"/>
    <n v="7"/>
    <n v="7"/>
    <n v="7"/>
    <n v="7"/>
    <n v="7"/>
    <n v="7"/>
    <n v="7"/>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D2D31A-578B-4B33-8D72-5456E5725942}" name="PivotTable3"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ducation">
  <location ref="E35:F40" firstHeaderRow="1" firstDataRow="1" firstDataCol="1"/>
  <pivotFields count="17">
    <pivotField numFmtId="22" showAll="0"/>
    <pivotField showAll="0">
      <items count="3">
        <item n="Male" x="1"/>
        <item n="Female" x="0"/>
        <item t="default"/>
      </items>
    </pivotField>
    <pivotField showAll="0"/>
    <pivotField showAll="0"/>
    <pivotField axis="axisRow"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Trình độ học vấn cao nhấ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B8394B-9564-4159-93E1-514FDC0C4D6C}" name="PivotTable4"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43:F47"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axis="axisRow" dataFiel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Tình trạng việc làm chín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9F2649-C0F1-4050-8DAD-815F1F4344BC}" name="PivotTable5"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Income">
  <location ref="E50:F59"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axis="axisRow" dataField="1" showAll="0">
      <items count="9">
        <item x="2"/>
        <item x="6"/>
        <item x="0"/>
        <item x="4"/>
        <item x="7"/>
        <item x="5"/>
        <item x="1"/>
        <item x="3"/>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Count of Thu nhập bình quân tháng theo Hợp đồng lao động của bạn là bao nhiêu? (Vui lòng điền tổng thu nhập trước khi khấu trừ các loại Bảo hiểm (BHXH, BHYT, BHTN) và Thuế TNC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D6106A-FD0D-41C0-AF89-0E652424E3AE}" name="PivotTable6"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Employment">
  <location ref="E62:F68" firstHeaderRow="1" firstDataRow="1" firstDataCol="1"/>
  <pivotFields count="17">
    <pivotField numFmtId="22" showAll="0"/>
    <pivotField showAll="0">
      <items count="3">
        <item n="Male" x="1"/>
        <item n="Female" x="0"/>
        <item t="default"/>
      </items>
    </pivotField>
    <pivotField showAll="0"/>
    <pivotField showAll="0">
      <items count="3">
        <item x="1"/>
        <item x="0"/>
        <item t="default"/>
      </items>
    </pivotField>
    <pivotField showAll="0"/>
    <pivotField showAll="0">
      <items count="4">
        <item x="2"/>
        <item x="0"/>
        <item x="1"/>
        <item t="default"/>
      </items>
    </pivotField>
    <pivotField showAll="0"/>
    <pivotField axis="axisRow" dataField="1"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ố người phụ thuộc (con nhỏ, cha mẹ già...) đủ điều kiện giảm trừ gia cảnh:"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83461E-472F-43B8-8D13-C1279CB5C86C}" name="PivotTable1"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Age">
  <location ref="E19:F26" firstHeaderRow="1" firstDataRow="1" firstDataCol="1"/>
  <pivotFields count="17">
    <pivotField numFmtId="22" showAll="0"/>
    <pivotField showAll="0">
      <items count="3">
        <item n="Male" x="1"/>
        <item n="Female" x="0"/>
        <item t="default"/>
      </items>
    </pivotField>
    <pivotField axis="axisRow" dataField="1" showAll="0">
      <items count="7">
        <item x="2"/>
        <item x="0"/>
        <item x="3"/>
        <item x="1"/>
        <item x="4"/>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Độ tuổi của bạ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E1CBA6-78F3-4540-9169-600D9C7488DB}" name="PivotTable22"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Gender">
  <location ref="E13:F16" firstHeaderRow="1" firstDataRow="1" firstDataCol="1"/>
  <pivotFields count="17">
    <pivotField numFmtId="22" showAll="0"/>
    <pivotField axis="axisRow" dataField="1" showAll="0">
      <items count="3">
        <item n="Male" x="1"/>
        <item n="Femal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Number of participant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81148C-B28B-422A-BC57-6EC5F37C1202}" name="PivotTable2" cacheId="26"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location ref="E29:F32" firstHeaderRow="1" firstDataRow="1" firstDataCol="1"/>
  <pivotFields count="17">
    <pivotField numFmtId="22" showAll="0"/>
    <pivotField showAll="0">
      <items count="3">
        <item n="Male" x="1"/>
        <item n="Female" x="0"/>
        <item t="default"/>
      </items>
    </pivotField>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Khu vực bạn đang sinh sống:"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8C288689-D8A0-4580-BE45-7D71BEC1B7E4}" autoFormatId="16" applyNumberFormats="0" applyBorderFormats="0" applyFontFormats="0" applyPatternFormats="0" applyAlignmentFormats="0" applyWidthHeightFormats="0">
  <queryTableRefresh nextId="46">
    <queryTableFields count="45">
      <queryTableField id="1" name="Persona_ID" tableColumnId="1"/>
      <queryTableField id="2" name="Used_Seed" tableColumnId="2"/>
      <queryTableField id="3" name="Gender" tableColumnId="3"/>
      <queryTableField id="4" name="Age_Group" tableColumnId="4"/>
      <queryTableField id="5" name="Region" tableColumnId="5"/>
      <queryTableField id="6" name="Education" tableColumnId="6"/>
      <queryTableField id="7" name="Employment" tableColumnId="7"/>
      <queryTableField id="8" name="Income_Mil" tableColumnId="8"/>
      <queryTableField id="9" name="Dependents" tableColumnId="9"/>
      <queryTableField id="10" name="AI_ENF1" tableColumnId="10"/>
      <queryTableField id="11" name="Human_ENF1" tableColumnId="11"/>
      <queryTableField id="12" name="d_ENF1" tableColumnId="12"/>
      <queryTableField id="13" name="AI_ENF2" tableColumnId="13"/>
      <queryTableField id="14" name="Human_ENF2" tableColumnId="14"/>
      <queryTableField id="15" name="d_ENF2" tableColumnId="15"/>
      <queryTableField id="16" name="AI_FAC1" tableColumnId="16"/>
      <queryTableField id="17" name="Human_FAC1" tableColumnId="17"/>
      <queryTableField id="18" name="d_FAC1" tableColumnId="18"/>
      <queryTableField id="19" name="AI_FAC2" tableColumnId="19"/>
      <queryTableField id="20" name="Human_FAC2" tableColumnId="20"/>
      <queryTableField id="21" name="d_FAC2" tableColumnId="21"/>
      <queryTableField id="22" name="AI_TRU1" tableColumnId="22"/>
      <queryTableField id="23" name="Human_TRU1" tableColumnId="23"/>
      <queryTableField id="24" name="d_TRU1" tableColumnId="24"/>
      <queryTableField id="25" name="AI_TRU2" tableColumnId="25"/>
      <queryTableField id="26" name="Human_TRU2" tableColumnId="26"/>
      <queryTableField id="27" name="d_TRU2" tableColumnId="27"/>
      <queryTableField id="28" name="AI_TRU3" tableColumnId="28"/>
      <queryTableField id="29" name="Human_TRU3" tableColumnId="29"/>
      <queryTableField id="30" name="d_TRU3" tableColumnId="30"/>
      <queryTableField id="31" name="AI_TRU4" tableColumnId="31"/>
      <queryTableField id="32" name="Human_TRU4" tableColumnId="32"/>
      <queryTableField id="33" name="d_TRU4" tableColumnId="33"/>
      <queryTableField id="34" name="AI_OUT1" tableColumnId="34"/>
      <queryTableField id="35" name="Human_OUT1" tableColumnId="35"/>
      <queryTableField id="36" name="d_OUT1" tableColumnId="36"/>
      <queryTableField id="37" name="AI_ENF1_Reason" tableColumnId="37"/>
      <queryTableField id="38" name="AI_ENF2_Reason" tableColumnId="38"/>
      <queryTableField id="39" name="AI_FAC1_Reason" tableColumnId="39"/>
      <queryTableField id="40" name="AI_FAC2_Reason" tableColumnId="40"/>
      <queryTableField id="41" name="AI_TRU1_Reason" tableColumnId="41"/>
      <queryTableField id="42" name="AI_TRU2_Reason" tableColumnId="42"/>
      <queryTableField id="43" name="AI_TRU3_Reason" tableColumnId="43"/>
      <queryTableField id="44" name="AI_TRU4_Reason" tableColumnId="44"/>
      <queryTableField id="45" name="AI_OUT1_Reason"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4" xr16:uid="{0D6B1F0C-5774-475A-AC4B-AF4E6A8A1A5E}" autoFormatId="16" applyNumberFormats="0" applyBorderFormats="0" applyFontFormats="0" applyPatternFormats="0" applyAlignmentFormats="0" applyWidthHeightFormats="0">
  <queryTableRefresh nextId="18">
    <queryTableFields count="17">
      <queryTableField id="1" name="Timestamp" tableColumnId="1"/>
      <queryTableField id="2" name="Giới tính của bạn:" tableColumnId="2"/>
      <queryTableField id="3" name="Độ tuổi của bạn:" tableColumnId="3"/>
      <queryTableField id="4" name="Khu vực bạn đang sinh sống:" tableColumnId="4"/>
      <queryTableField id="5" name="Trình độ học vấn cao nhất:" tableColumnId="5"/>
      <queryTableField id="6" name="Tình trạng việc làm chính:" tableColumnId="6"/>
      <queryTableField id="7" name="Thu nhập bình quân tháng theo Hợp đồng lao động của bạn là bao nhiêu? (Vui lòng điền tổng thu nhập trước khi khấu trừ các loại Bảo hiểm (BHXH, BHYT, BHTN) và Thuế TNCN)" tableColumnId="7"/>
      <queryTableField id="8" name="Số người phụ thuộc (con nhỏ, cha mẹ già...) đủ điều kiện giảm trừ gia cảnh:" tableColumnId="8"/>
      <queryTableField id="9" name="Tôi tin rằng với các quy định quản lý thuế hiện nay, hành vi gian lận hoặc trốn thuế sẽ dễ dàng bị phát hiện và xử lý nghiêm. - HUMAN-ENF1" tableColumnId="9"/>
      <queryTableField id="10" name="Tôi tin rằng Nhà nước, cơ quan thuế có đủ khả năng và công nghệ để phát hiện, xử lý nghiêm các hành vi trốn thuế. - HUMAN-ENF2" tableColumnId="10"/>
      <queryTableField id="11" name="Các thủ tục khai báo thuế VÀ/HOẶC quy trình làm việc với cơ quan thuế đơn giản, tiện lợi, nhanh chóng hơn so với trước đây. - HUMAN-FAC1" tableColumnId="11"/>
      <queryTableField id="12" name="So với trước đây, tôi thấy cách tính thuế và các bậc thuế trong phương án mới đơn giản, dễ hiểu và dễ thực hiện hơn. - HUMAN-FAC2" tableColumnId="12"/>
      <queryTableField id="13" name="Tôi tin rằng Nhà nước, cơ quan thuế sẽ thực thi chính sách mới một cách khách quan, công tâm và đối xử bình đẳng với mọi người nộp thuế.  - HUMAN-TRU1" tableColumnId="13"/>
      <queryTableField id="14" name="Tôi thấy mức thuế tôi phải đóng theo phương án mới là công bằng (người thu nhập như tôi đóng mức này là hợp lý). - HUMAN-TRU2" tableColumnId="14"/>
      <queryTableField id="15" name="Tôi tin tưởng số tiền thuế tôi đóng sẽ được Nhà nước sử dụng hiệu quả để cải thiện dịch vụ công (y tế, đường xá...). - HUMAN-TRU3" tableColumnId="15"/>
      <queryTableField id="16" name="Tôi thấy Nhà nước đã giải thích rõ ràng, minh bạch về lý do và mục tiêu của việc sửa đổi thuế lần này. - HUMAN-TRU4" tableColumnId="16"/>
      <queryTableField id="17" name="Sau khi xem xét các quyền lợi và nghĩa vụ, bạn có ủng hộ và tuân thủ chính sách mới hiện nay? - HUMAN-OUT1"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5B07BC-6C12-4475-AC8C-783D6521EFE7}" name="step3_validation" displayName="step3_validation" ref="A1:AS404" tableType="queryTable" totalsRowShown="0">
  <autoFilter ref="A1:AS404" xr:uid="{0F5B07BC-6C12-4475-AC8C-783D6521EFE7}"/>
  <tableColumns count="45">
    <tableColumn id="1" xr3:uid="{53279836-9FF8-48DE-9590-81540231404C}" uniqueName="1" name="Persona_ID" queryTableFieldId="1"/>
    <tableColumn id="2" xr3:uid="{27B7A919-DF60-469E-910F-C979C929737F}" uniqueName="2" name="Used_Seed" queryTableFieldId="2"/>
    <tableColumn id="3" xr3:uid="{082D90CF-9682-47E0-BB78-3AF5C177F921}" uniqueName="3" name="Gender" queryTableFieldId="3" dataDxfId="21"/>
    <tableColumn id="4" xr3:uid="{017C12BD-CD74-49C6-9D27-807B2BDC9362}" uniqueName="4" name="Age_Group" queryTableFieldId="4" dataDxfId="20"/>
    <tableColumn id="5" xr3:uid="{C2713242-B0FE-431E-B737-5C0CD2717C43}" uniqueName="5" name="Region" queryTableFieldId="5" dataDxfId="19"/>
    <tableColumn id="6" xr3:uid="{E5F27353-47D0-4ADE-9327-26504714A55E}" uniqueName="6" name="Education" queryTableFieldId="6" dataDxfId="18"/>
    <tableColumn id="7" xr3:uid="{E6A982F0-981B-494A-8DCF-355A55AA0B25}" uniqueName="7" name="Employment" queryTableFieldId="7" dataDxfId="17"/>
    <tableColumn id="8" xr3:uid="{B148918C-0ADD-4C65-B814-A9B2E9EEB193}" uniqueName="8" name="Income_Mil" queryTableFieldId="8"/>
    <tableColumn id="9" xr3:uid="{0EA60FEE-F5A5-42D7-8BAC-9EF596AF1ADC}" uniqueName="9" name="Dependents" queryTableFieldId="9"/>
    <tableColumn id="10" xr3:uid="{1A2C1A90-066F-40EB-98B9-13349DE4F0D3}" uniqueName="10" name="AI_ENF1" queryTableFieldId="10"/>
    <tableColumn id="11" xr3:uid="{B3460B37-8A0E-43CF-91C9-39AE8C2CCA22}" uniqueName="11" name="Human_ENF1" queryTableFieldId="11"/>
    <tableColumn id="12" xr3:uid="{E30EADBA-1828-4014-BD2A-DF69C3CA0662}" uniqueName="12" name="d_ENF1" queryTableFieldId="12"/>
    <tableColumn id="13" xr3:uid="{1E206847-FEB6-45BF-B161-AE5A499FC5FD}" uniqueName="13" name="AI_ENF2" queryTableFieldId="13"/>
    <tableColumn id="14" xr3:uid="{10E8DED4-5C91-455D-BADB-81176A6622B9}" uniqueName="14" name="Human_ENF2" queryTableFieldId="14"/>
    <tableColumn id="15" xr3:uid="{7D5C0B3D-6E82-437A-A1AE-29363477A508}" uniqueName="15" name="d_ENF2" queryTableFieldId="15"/>
    <tableColumn id="16" xr3:uid="{6926FC19-316C-4D11-9430-D81D6D2F22EC}" uniqueName="16" name="AI_FAC1" queryTableFieldId="16"/>
    <tableColumn id="17" xr3:uid="{01761D5B-A7FA-4D80-AEF9-75D5FA700327}" uniqueName="17" name="Human_FAC1" queryTableFieldId="17"/>
    <tableColumn id="18" xr3:uid="{02B7C340-518C-431F-9AF1-2A19A5868F74}" uniqueName="18" name="d_FAC1" queryTableFieldId="18"/>
    <tableColumn id="19" xr3:uid="{AB10F9F3-064C-43BA-BA8F-AD223A8CFE0C}" uniqueName="19" name="AI_FAC2" queryTableFieldId="19"/>
    <tableColumn id="20" xr3:uid="{CEB09EC3-FDCA-4050-B150-1C1B6F11105B}" uniqueName="20" name="Human_FAC2" queryTableFieldId="20"/>
    <tableColumn id="21" xr3:uid="{464A3B57-F6F4-43CD-A960-AC2CC3E8ED89}" uniqueName="21" name="d_FAC2" queryTableFieldId="21"/>
    <tableColumn id="22" xr3:uid="{1279FF14-69ED-4B44-8C91-944FD1783B0D}" uniqueName="22" name="AI_TRU1" queryTableFieldId="22"/>
    <tableColumn id="23" xr3:uid="{E9F3B0E7-1180-4C34-99DC-2F99518B7B3F}" uniqueName="23" name="Human_TRU1" queryTableFieldId="23"/>
    <tableColumn id="24" xr3:uid="{B192DE74-A90D-433A-B70F-051EAF9A0E79}" uniqueName="24" name="d_TRU1" queryTableFieldId="24"/>
    <tableColumn id="25" xr3:uid="{3976816D-35C3-451B-9F05-AD7B74C2E8B2}" uniqueName="25" name="AI_TRU2" queryTableFieldId="25"/>
    <tableColumn id="26" xr3:uid="{04A7EAE2-4A81-4808-8893-F4D1BA6FB322}" uniqueName="26" name="Human_TRU2" queryTableFieldId="26"/>
    <tableColumn id="27" xr3:uid="{0E3D25EB-942C-4B84-B9BB-43E127D3051C}" uniqueName="27" name="d_TRU2" queryTableFieldId="27"/>
    <tableColumn id="28" xr3:uid="{1D8A56DF-7B3F-457D-A244-7E9780DD019B}" uniqueName="28" name="AI_TRU3" queryTableFieldId="28"/>
    <tableColumn id="29" xr3:uid="{C5CF3B27-33E7-497E-B63F-FA4469E69F86}" uniqueName="29" name="Human_TRU3" queryTableFieldId="29"/>
    <tableColumn id="30" xr3:uid="{9FD010C6-E64B-45BA-ACCB-3597FB3DC382}" uniqueName="30" name="d_TRU3" queryTableFieldId="30"/>
    <tableColumn id="31" xr3:uid="{3E3CAC0A-F2AE-4B78-B926-D8D8AE561E1C}" uniqueName="31" name="AI_TRU4" queryTableFieldId="31"/>
    <tableColumn id="32" xr3:uid="{FC6A2DF6-EDB7-452A-AAEE-24F5B3AE420A}" uniqueName="32" name="Human_TRU4" queryTableFieldId="32"/>
    <tableColumn id="33" xr3:uid="{64B00BE8-4370-4F93-91D7-8EA7BB14D39A}" uniqueName="33" name="d_TRU4" queryTableFieldId="33"/>
    <tableColumn id="34" xr3:uid="{7AA7B9F2-BB87-404D-BD47-1DCE3D06DB6A}" uniqueName="34" name="AI_OUT1" queryTableFieldId="34"/>
    <tableColumn id="35" xr3:uid="{CA4F69F8-B5BF-4FA1-A762-A7D9231F8AD4}" uniqueName="35" name="Human_OUT1" queryTableFieldId="35"/>
    <tableColumn id="36" xr3:uid="{6294FC09-F8EC-42D6-A6FE-749BF2A136AA}" uniqueName="36" name="d_OUT1" queryTableFieldId="36"/>
    <tableColumn id="37" xr3:uid="{3347022C-DB80-490F-AC25-9CF81086D339}" uniqueName="37" name="AI_ENF1_Reason" queryTableFieldId="37" dataDxfId="16"/>
    <tableColumn id="38" xr3:uid="{59E06D61-5446-4036-9E8A-6431D69E2262}" uniqueName="38" name="AI_ENF2_Reason" queryTableFieldId="38" dataDxfId="15"/>
    <tableColumn id="39" xr3:uid="{9D1C1D03-694B-4325-8F99-68F56F072770}" uniqueName="39" name="AI_FAC1_Reason" queryTableFieldId="39" dataDxfId="14"/>
    <tableColumn id="40" xr3:uid="{8FEF3FC1-2AF9-42B5-8A87-85B0ADC12867}" uniqueName="40" name="AI_FAC2_Reason" queryTableFieldId="40" dataDxfId="13"/>
    <tableColumn id="41" xr3:uid="{AB3E1509-A716-4A8D-9E39-4E0B0AE2B00D}" uniqueName="41" name="AI_TRU1_Reason" queryTableFieldId="41" dataDxfId="12"/>
    <tableColumn id="42" xr3:uid="{0D0A5242-E2E8-48E5-A7D9-B642CD19DAA7}" uniqueName="42" name="AI_TRU2_Reason" queryTableFieldId="42" dataDxfId="11"/>
    <tableColumn id="43" xr3:uid="{F4E6D1B8-17F4-4F8C-8ACA-9736CA19FECE}" uniqueName="43" name="AI_TRU3_Reason" queryTableFieldId="43" dataDxfId="10"/>
    <tableColumn id="44" xr3:uid="{EE2B5768-EBF5-41BD-BEE7-30229A31065E}" uniqueName="44" name="AI_TRU4_Reason" queryTableFieldId="44" dataDxfId="9"/>
    <tableColumn id="45" xr3:uid="{DB2E6CA3-26A2-4ACC-9570-BF64E63CE544}" uniqueName="45" name="AI_OUT1_Reason" queryTableFieldId="45"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5079-4DF6-4B9E-BAFA-08970D3D4855}" name="survey_responses" displayName="survey_responses" ref="A1:Q404" tableType="queryTable" totalsRowShown="0">
  <autoFilter ref="A1:Q404" xr:uid="{09A15079-4DF6-4B9E-BAFA-08970D3D4855}"/>
  <tableColumns count="17">
    <tableColumn id="1" xr3:uid="{49BC4699-8DD6-4E9E-BC8F-8E0F7764D36D}" uniqueName="1" name="Timestamp" queryTableFieldId="1" dataDxfId="7"/>
    <tableColumn id="2" xr3:uid="{70DF3C2A-4006-456B-B8C3-F96B58C2A548}" uniqueName="2" name="Giới tính của bạn:" queryTableFieldId="2" dataDxfId="6"/>
    <tableColumn id="3" xr3:uid="{0D396F6A-7119-4DC5-929F-B9AA4716EA07}" uniqueName="3" name="Độ tuổi của bạn:" queryTableFieldId="3" dataDxfId="5"/>
    <tableColumn id="4" xr3:uid="{ED653D15-E907-45B2-87AB-56E1BDF8551E}" uniqueName="4" name="Khu vực bạn đang sinh sống:" queryTableFieldId="4" dataDxfId="4"/>
    <tableColumn id="5" xr3:uid="{FE3B4B68-6D22-4F02-9BCA-E0A8406F84CD}" uniqueName="5" name="Trình độ học vấn cao nhất:" queryTableFieldId="5" dataDxfId="3"/>
    <tableColumn id="6" xr3:uid="{226E0D0D-66B8-4BB7-9AB8-878A6AA53121}" uniqueName="6" name="Tình trạng việc làm chính:" queryTableFieldId="6" dataDxfId="2"/>
    <tableColumn id="7" xr3:uid="{4F05F01F-9707-4A40-B1C2-7F98802FF5B6}" uniqueName="7" name="Thu nhập bình quân tháng theo Hợp đồng lao động của bạn là bao nhiêu? (Vui lòng điền tổng thu nhập trước khi khấu trừ các loại Bảo hiểm (BHXH, BHYT, BHTN) và Thuế TNCN)" queryTableFieldId="7" dataDxfId="1"/>
    <tableColumn id="8" xr3:uid="{8122D652-5704-4626-BD56-0363FEA77FC6}" uniqueName="8" name="Số người phụ thuộc (con nhỏ, cha mẹ già...) đủ điều kiện giảm trừ gia cảnh:" queryTableFieldId="8" dataDxfId="0"/>
    <tableColumn id="9" xr3:uid="{82F99BEE-6733-4E22-973E-5A79D8BA419C}" uniqueName="9" name="Tôi tin rằng với các quy định quản lý thuế hiện nay, hành vi gian lận hoặc trốn thuế sẽ dễ dàng bị phát hiện và xử lý nghiêm. - HUMAN-ENF1" queryTableFieldId="9"/>
    <tableColumn id="10" xr3:uid="{CBC01827-5A2B-4CD5-AF3D-824684649587}" uniqueName="10" name="Tôi tin rằng Nhà nước, cơ quan thuế có đủ khả năng và công nghệ để phát hiện, xử lý nghiêm các hành vi trốn thuế. - HUMAN-ENF2" queryTableFieldId="10"/>
    <tableColumn id="11" xr3:uid="{8D391F88-C6B8-4999-B248-CC968F547211}" uniqueName="11" name="Các thủ tục khai báo thuế VÀ/HOẶC quy trình làm việc với cơ quan thuế đơn giản, tiện lợi, nhanh chóng hơn so với trước đây. - HUMAN-FAC1" queryTableFieldId="11"/>
    <tableColumn id="12" xr3:uid="{EC0B86F9-B7B3-4A61-A289-524B7ED8E8ED}" uniqueName="12" name="So với trước đây, tôi thấy cách tính thuế và các bậc thuế trong phương án mới đơn giản, dễ hiểu và dễ thực hiện hơn. - HUMAN-FAC2" queryTableFieldId="12"/>
    <tableColumn id="13" xr3:uid="{B06DCAF6-F123-4C41-B2A8-98140B89FF14}" uniqueName="13" name="Tôi tin rằng Nhà nước, cơ quan thuế sẽ thực thi chính sách mới một cách khách quan, công tâm và đối xử bình đẳng với mọi người nộp thuế.  - HUMAN-TRU1" queryTableFieldId="13"/>
    <tableColumn id="14" xr3:uid="{3F217AC2-836E-47DD-B754-307F1FFBB715}" uniqueName="14" name="Tôi thấy mức thuế tôi phải đóng theo phương án mới là công bằng (người thu nhập như tôi đóng mức này là hợp lý). - HUMAN-TRU2" queryTableFieldId="14"/>
    <tableColumn id="15" xr3:uid="{A91D1D07-CD80-4594-AB95-F9BC7DE8118F}" uniqueName="15" name="Tôi tin tưởng số tiền thuế tôi đóng sẽ được Nhà nước sử dụng hiệu quả để cải thiện dịch vụ công (y tế, đường xá...). - HUMAN-TRU3" queryTableFieldId="15"/>
    <tableColumn id="16" xr3:uid="{4B7DABDD-95AB-4F0C-9DE5-CAFF11E135EF}" uniqueName="16" name="Tôi thấy Nhà nước đã giải thích rõ ràng, minh bạch về lý do và mục tiêu của việc sửa đổi thuế lần này. - HUMAN-TRU4" queryTableFieldId="16"/>
    <tableColumn id="17" xr3:uid="{625FCBAF-A8E4-467D-802E-924E6F392BE8}" uniqueName="17" name="Sau khi xem xét các quyền lợi và nghĩa vụ, bạn có ủng hộ và tuân thủ chính sách mới hiện nay? - HUMAN-OUT1"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A3B3-C5DC-4E82-8CC1-48F4CED08087}">
  <dimension ref="A1:AS404"/>
  <sheetViews>
    <sheetView workbookViewId="0">
      <selection activeCell="F2" sqref="F2:AS404"/>
    </sheetView>
  </sheetViews>
  <sheetFormatPr defaultRowHeight="14.25" x14ac:dyDescent="0.45"/>
  <cols>
    <col min="1" max="1" width="12.1328125" bestFit="1" customWidth="1"/>
    <col min="2" max="2" width="12" bestFit="1" customWidth="1"/>
    <col min="3" max="3" width="8.9296875" bestFit="1" customWidth="1"/>
    <col min="4" max="4" width="12.06640625" bestFit="1" customWidth="1"/>
    <col min="5" max="5" width="0" hidden="1" customWidth="1"/>
    <col min="6" max="6" width="17.19921875" bestFit="1" customWidth="1"/>
    <col min="7" max="7" width="13.33203125" bestFit="1" customWidth="1"/>
    <col min="8" max="8" width="12.53125" bestFit="1" customWidth="1"/>
    <col min="9" max="9" width="12.86328125" bestFit="1" customWidth="1"/>
    <col min="10" max="10" width="9.6640625" bestFit="1" customWidth="1"/>
    <col min="11" max="11" width="13.796875" bestFit="1" customWidth="1"/>
    <col min="12" max="12" width="9" bestFit="1" customWidth="1"/>
    <col min="13" max="13" width="9.6640625" bestFit="1" customWidth="1"/>
    <col min="14" max="14" width="13.796875" bestFit="1" customWidth="1"/>
    <col min="15" max="15" width="9" bestFit="1" customWidth="1"/>
    <col min="16" max="16" width="9.6640625" bestFit="1" customWidth="1"/>
    <col min="17" max="17" width="13.796875" bestFit="1" customWidth="1"/>
    <col min="18" max="18" width="9" bestFit="1" customWidth="1"/>
    <col min="19" max="19" width="9.6640625" bestFit="1" customWidth="1"/>
    <col min="20" max="20" width="13.796875" bestFit="1" customWidth="1"/>
    <col min="21" max="21" width="9" bestFit="1" customWidth="1"/>
    <col min="22" max="22" width="9.86328125" bestFit="1" customWidth="1"/>
    <col min="23" max="23" width="14" bestFit="1" customWidth="1"/>
    <col min="24" max="24" width="9.19921875" bestFit="1" customWidth="1"/>
    <col min="25" max="25" width="9.86328125" bestFit="1" customWidth="1"/>
    <col min="26" max="26" width="14" bestFit="1" customWidth="1"/>
    <col min="27" max="27" width="9.19921875" bestFit="1" customWidth="1"/>
    <col min="28" max="28" width="9.86328125" bestFit="1" customWidth="1"/>
    <col min="29" max="29" width="14" bestFit="1" customWidth="1"/>
    <col min="30" max="30" width="9.19921875" bestFit="1" customWidth="1"/>
    <col min="31" max="31" width="9.86328125" bestFit="1" customWidth="1"/>
    <col min="32" max="32" width="14" bestFit="1" customWidth="1"/>
    <col min="33" max="33" width="9.19921875" bestFit="1" customWidth="1"/>
    <col min="34" max="34" width="10.1328125" bestFit="1" customWidth="1"/>
    <col min="35" max="35" width="14.265625" bestFit="1" customWidth="1"/>
    <col min="36" max="36" width="9.46484375" bestFit="1" customWidth="1"/>
    <col min="37" max="45" width="80.53125" bestFit="1" customWidth="1"/>
  </cols>
  <sheetData>
    <row r="1" spans="1:45" x14ac:dyDescent="0.45">
      <c r="A1" t="s">
        <v>37</v>
      </c>
      <c r="B1" t="s">
        <v>198</v>
      </c>
      <c r="C1" t="s">
        <v>38</v>
      </c>
      <c r="D1" t="s">
        <v>170</v>
      </c>
      <c r="E1" t="s">
        <v>40</v>
      </c>
      <c r="F1" t="s">
        <v>41</v>
      </c>
      <c r="G1" t="s">
        <v>42</v>
      </c>
      <c r="H1" t="s">
        <v>43</v>
      </c>
      <c r="I1" t="s">
        <v>44</v>
      </c>
      <c r="J1" t="s">
        <v>171</v>
      </c>
      <c r="K1" t="s">
        <v>46</v>
      </c>
      <c r="L1" t="s">
        <v>172</v>
      </c>
      <c r="M1" t="s">
        <v>173</v>
      </c>
      <c r="N1" t="s">
        <v>49</v>
      </c>
      <c r="O1" t="s">
        <v>174</v>
      </c>
      <c r="P1" t="s">
        <v>175</v>
      </c>
      <c r="Q1" t="s">
        <v>52</v>
      </c>
      <c r="R1" t="s">
        <v>176</v>
      </c>
      <c r="S1" t="s">
        <v>177</v>
      </c>
      <c r="T1" t="s">
        <v>55</v>
      </c>
      <c r="U1" t="s">
        <v>178</v>
      </c>
      <c r="V1" t="s">
        <v>179</v>
      </c>
      <c r="W1" t="s">
        <v>58</v>
      </c>
      <c r="X1" t="s">
        <v>180</v>
      </c>
      <c r="Y1" t="s">
        <v>181</v>
      </c>
      <c r="Z1" t="s">
        <v>61</v>
      </c>
      <c r="AA1" t="s">
        <v>182</v>
      </c>
      <c r="AB1" t="s">
        <v>183</v>
      </c>
      <c r="AC1" t="s">
        <v>64</v>
      </c>
      <c r="AD1" t="s">
        <v>184</v>
      </c>
      <c r="AE1" t="s">
        <v>185</v>
      </c>
      <c r="AF1" t="s">
        <v>67</v>
      </c>
      <c r="AG1" t="s">
        <v>186</v>
      </c>
      <c r="AH1" t="s">
        <v>187</v>
      </c>
      <c r="AI1" t="s">
        <v>70</v>
      </c>
      <c r="AJ1" t="s">
        <v>188</v>
      </c>
      <c r="AK1" t="s">
        <v>47</v>
      </c>
      <c r="AL1" t="s">
        <v>50</v>
      </c>
      <c r="AM1" t="s">
        <v>53</v>
      </c>
      <c r="AN1" t="s">
        <v>56</v>
      </c>
      <c r="AO1" t="s">
        <v>59</v>
      </c>
      <c r="AP1" t="s">
        <v>62</v>
      </c>
      <c r="AQ1" t="s">
        <v>65</v>
      </c>
      <c r="AR1" t="s">
        <v>68</v>
      </c>
      <c r="AS1" t="s">
        <v>71</v>
      </c>
    </row>
    <row r="2" spans="1:45" x14ac:dyDescent="0.45">
      <c r="A2">
        <v>1</v>
      </c>
      <c r="B2">
        <v>12345</v>
      </c>
      <c r="C2" t="s">
        <v>72</v>
      </c>
      <c r="D2" t="s">
        <v>81</v>
      </c>
      <c r="E2" t="s">
        <v>74</v>
      </c>
      <c r="F2" t="s">
        <v>77</v>
      </c>
      <c r="G2" t="s">
        <v>76</v>
      </c>
      <c r="H2">
        <v>13.136680112335849</v>
      </c>
      <c r="I2">
        <v>1</v>
      </c>
      <c r="J2">
        <v>5</v>
      </c>
      <c r="K2">
        <v>10</v>
      </c>
      <c r="L2">
        <v>-5</v>
      </c>
      <c r="M2">
        <v>6</v>
      </c>
      <c r="N2">
        <v>8</v>
      </c>
      <c r="O2">
        <v>-2</v>
      </c>
      <c r="P2">
        <v>8</v>
      </c>
      <c r="Q2">
        <v>5</v>
      </c>
      <c r="R2">
        <v>3</v>
      </c>
      <c r="S2">
        <v>9</v>
      </c>
      <c r="T2">
        <v>5</v>
      </c>
      <c r="U2">
        <v>4</v>
      </c>
      <c r="V2">
        <v>4</v>
      </c>
      <c r="W2">
        <v>10</v>
      </c>
      <c r="X2">
        <v>-6</v>
      </c>
      <c r="Y2">
        <v>7</v>
      </c>
      <c r="Z2">
        <v>10</v>
      </c>
      <c r="AA2">
        <v>-3</v>
      </c>
      <c r="AB2">
        <v>6</v>
      </c>
      <c r="AC2">
        <v>10</v>
      </c>
      <c r="AD2">
        <v>-4</v>
      </c>
      <c r="AE2">
        <v>5</v>
      </c>
      <c r="AF2">
        <v>10</v>
      </c>
      <c r="AG2">
        <v>-5</v>
      </c>
      <c r="AH2">
        <v>8</v>
      </c>
      <c r="AI2">
        <v>10</v>
      </c>
      <c r="AJ2">
        <v>-2</v>
      </c>
      <c r="AK2" t="s">
        <v>272</v>
      </c>
      <c r="AL2" t="s">
        <v>273</v>
      </c>
      <c r="AM2" t="s">
        <v>274</v>
      </c>
      <c r="AN2" t="s">
        <v>275</v>
      </c>
      <c r="AO2" t="s">
        <v>276</v>
      </c>
      <c r="AP2" t="s">
        <v>277</v>
      </c>
      <c r="AQ2" t="s">
        <v>278</v>
      </c>
      <c r="AR2" t="s">
        <v>279</v>
      </c>
      <c r="AS2" t="s">
        <v>280</v>
      </c>
    </row>
    <row r="3" spans="1:45" x14ac:dyDescent="0.45">
      <c r="A3">
        <v>2</v>
      </c>
      <c r="B3">
        <v>12346</v>
      </c>
      <c r="C3" t="s">
        <v>72</v>
      </c>
      <c r="D3" t="s">
        <v>81</v>
      </c>
      <c r="E3" t="s">
        <v>74</v>
      </c>
      <c r="F3" t="s">
        <v>77</v>
      </c>
      <c r="G3" t="s">
        <v>76</v>
      </c>
      <c r="H3">
        <v>14.367362109435824</v>
      </c>
      <c r="I3">
        <v>0</v>
      </c>
      <c r="J3">
        <v>3</v>
      </c>
      <c r="K3">
        <v>8</v>
      </c>
      <c r="L3">
        <v>-5</v>
      </c>
      <c r="M3">
        <v>4</v>
      </c>
      <c r="N3">
        <v>8</v>
      </c>
      <c r="O3">
        <v>-4</v>
      </c>
      <c r="P3">
        <v>8</v>
      </c>
      <c r="Q3">
        <v>6</v>
      </c>
      <c r="R3">
        <v>2</v>
      </c>
      <c r="S3">
        <v>9</v>
      </c>
      <c r="T3">
        <v>9</v>
      </c>
      <c r="U3">
        <v>0</v>
      </c>
      <c r="V3">
        <v>6</v>
      </c>
      <c r="W3">
        <v>10</v>
      </c>
      <c r="X3">
        <v>-4</v>
      </c>
      <c r="Y3">
        <v>7</v>
      </c>
      <c r="Z3">
        <v>9</v>
      </c>
      <c r="AA3">
        <v>-2</v>
      </c>
      <c r="AB3">
        <v>5</v>
      </c>
      <c r="AC3">
        <v>8</v>
      </c>
      <c r="AD3">
        <v>-3</v>
      </c>
      <c r="AE3">
        <v>7</v>
      </c>
      <c r="AF3">
        <v>9</v>
      </c>
      <c r="AG3">
        <v>-2</v>
      </c>
      <c r="AH3">
        <v>8</v>
      </c>
      <c r="AI3">
        <v>10</v>
      </c>
      <c r="AJ3">
        <v>-2</v>
      </c>
      <c r="AK3" t="s">
        <v>281</v>
      </c>
      <c r="AL3" t="s">
        <v>282</v>
      </c>
      <c r="AM3" t="s">
        <v>283</v>
      </c>
      <c r="AN3" t="s">
        <v>284</v>
      </c>
      <c r="AO3" t="s">
        <v>285</v>
      </c>
      <c r="AP3" t="s">
        <v>286</v>
      </c>
      <c r="AQ3" t="s">
        <v>287</v>
      </c>
      <c r="AR3" t="s">
        <v>288</v>
      </c>
      <c r="AS3" t="s">
        <v>289</v>
      </c>
    </row>
    <row r="4" spans="1:45" x14ac:dyDescent="0.45">
      <c r="A4">
        <v>3</v>
      </c>
      <c r="B4">
        <v>12347</v>
      </c>
      <c r="C4" t="s">
        <v>78</v>
      </c>
      <c r="D4" t="s">
        <v>79</v>
      </c>
      <c r="E4" t="s">
        <v>74</v>
      </c>
      <c r="F4" t="s">
        <v>75</v>
      </c>
      <c r="G4" t="s">
        <v>76</v>
      </c>
      <c r="H4">
        <v>68.743161446629699</v>
      </c>
      <c r="I4">
        <v>3</v>
      </c>
      <c r="J4">
        <v>3</v>
      </c>
      <c r="K4">
        <v>6</v>
      </c>
      <c r="L4">
        <v>-3</v>
      </c>
      <c r="M4">
        <v>4</v>
      </c>
      <c r="N4">
        <v>5</v>
      </c>
      <c r="O4">
        <v>-1</v>
      </c>
      <c r="P4">
        <v>9</v>
      </c>
      <c r="Q4">
        <v>4</v>
      </c>
      <c r="R4">
        <v>5</v>
      </c>
      <c r="S4">
        <v>10</v>
      </c>
      <c r="T4">
        <v>5</v>
      </c>
      <c r="U4">
        <v>5</v>
      </c>
      <c r="V4">
        <v>7</v>
      </c>
      <c r="W4">
        <v>4</v>
      </c>
      <c r="X4">
        <v>3</v>
      </c>
      <c r="Y4">
        <v>9</v>
      </c>
      <c r="Z4">
        <v>4</v>
      </c>
      <c r="AA4">
        <v>5</v>
      </c>
      <c r="AB4">
        <v>8</v>
      </c>
      <c r="AC4">
        <v>4</v>
      </c>
      <c r="AD4">
        <v>4</v>
      </c>
      <c r="AE4">
        <v>9</v>
      </c>
      <c r="AF4">
        <v>10</v>
      </c>
      <c r="AG4">
        <v>-1</v>
      </c>
      <c r="AH4">
        <v>10</v>
      </c>
      <c r="AI4">
        <v>4</v>
      </c>
      <c r="AJ4">
        <v>6</v>
      </c>
      <c r="AK4" t="s">
        <v>290</v>
      </c>
      <c r="AL4" t="s">
        <v>291</v>
      </c>
      <c r="AM4" t="s">
        <v>292</v>
      </c>
      <c r="AN4" t="s">
        <v>293</v>
      </c>
      <c r="AO4" t="s">
        <v>294</v>
      </c>
      <c r="AP4" t="s">
        <v>295</v>
      </c>
      <c r="AQ4" t="s">
        <v>296</v>
      </c>
      <c r="AR4" t="s">
        <v>297</v>
      </c>
      <c r="AS4" t="s">
        <v>298</v>
      </c>
    </row>
    <row r="5" spans="1:45" x14ac:dyDescent="0.45">
      <c r="A5">
        <v>4</v>
      </c>
      <c r="B5">
        <v>12348</v>
      </c>
      <c r="C5" t="s">
        <v>72</v>
      </c>
      <c r="D5" t="s">
        <v>189</v>
      </c>
      <c r="E5" t="s">
        <v>74</v>
      </c>
      <c r="F5" t="s">
        <v>77</v>
      </c>
      <c r="G5" t="s">
        <v>76</v>
      </c>
      <c r="H5">
        <v>12</v>
      </c>
      <c r="I5">
        <v>0</v>
      </c>
      <c r="J5">
        <v>6</v>
      </c>
      <c r="K5">
        <v>10</v>
      </c>
      <c r="L5">
        <v>-4</v>
      </c>
      <c r="M5">
        <v>7</v>
      </c>
      <c r="N5">
        <v>10</v>
      </c>
      <c r="O5">
        <v>-3</v>
      </c>
      <c r="P5">
        <v>8</v>
      </c>
      <c r="Q5">
        <v>8</v>
      </c>
      <c r="R5">
        <v>0</v>
      </c>
      <c r="S5">
        <v>9</v>
      </c>
      <c r="T5">
        <v>9</v>
      </c>
      <c r="U5">
        <v>0</v>
      </c>
      <c r="V5">
        <v>7</v>
      </c>
      <c r="W5">
        <v>9</v>
      </c>
      <c r="X5">
        <v>-2</v>
      </c>
      <c r="Y5">
        <v>8</v>
      </c>
      <c r="Z5">
        <v>7</v>
      </c>
      <c r="AA5">
        <v>1</v>
      </c>
      <c r="AB5">
        <v>7</v>
      </c>
      <c r="AC5">
        <v>10</v>
      </c>
      <c r="AD5">
        <v>-3</v>
      </c>
      <c r="AE5">
        <v>6</v>
      </c>
      <c r="AF5">
        <v>7</v>
      </c>
      <c r="AG5">
        <v>-1</v>
      </c>
      <c r="AH5">
        <v>8</v>
      </c>
      <c r="AI5">
        <v>10</v>
      </c>
      <c r="AJ5">
        <v>-2</v>
      </c>
      <c r="AK5" t="s">
        <v>299</v>
      </c>
      <c r="AL5" t="s">
        <v>300</v>
      </c>
      <c r="AM5" t="s">
        <v>301</v>
      </c>
      <c r="AN5" t="s">
        <v>302</v>
      </c>
      <c r="AO5" t="s">
        <v>303</v>
      </c>
      <c r="AP5" t="s">
        <v>304</v>
      </c>
      <c r="AQ5" t="s">
        <v>305</v>
      </c>
      <c r="AR5" t="s">
        <v>306</v>
      </c>
      <c r="AS5" t="s">
        <v>307</v>
      </c>
    </row>
    <row r="6" spans="1:45" x14ac:dyDescent="0.45">
      <c r="A6">
        <v>5</v>
      </c>
      <c r="B6">
        <v>12349</v>
      </c>
      <c r="C6" t="s">
        <v>72</v>
      </c>
      <c r="D6" t="s">
        <v>81</v>
      </c>
      <c r="E6" t="s">
        <v>74</v>
      </c>
      <c r="F6" t="s">
        <v>77</v>
      </c>
      <c r="G6" t="s">
        <v>76</v>
      </c>
      <c r="H6">
        <v>12</v>
      </c>
      <c r="I6">
        <v>0</v>
      </c>
      <c r="J6">
        <v>6</v>
      </c>
      <c r="K6">
        <v>9</v>
      </c>
      <c r="L6">
        <v>-3</v>
      </c>
      <c r="M6">
        <v>7</v>
      </c>
      <c r="N6">
        <v>9</v>
      </c>
      <c r="O6">
        <v>-2</v>
      </c>
      <c r="P6">
        <v>9</v>
      </c>
      <c r="Q6">
        <v>10</v>
      </c>
      <c r="R6">
        <v>-1</v>
      </c>
      <c r="S6">
        <v>10</v>
      </c>
      <c r="T6">
        <v>9</v>
      </c>
      <c r="U6">
        <v>1</v>
      </c>
      <c r="V6">
        <v>8</v>
      </c>
      <c r="W6">
        <v>9</v>
      </c>
      <c r="X6">
        <v>-1</v>
      </c>
      <c r="Y6">
        <v>9</v>
      </c>
      <c r="Z6">
        <v>9</v>
      </c>
      <c r="AA6">
        <v>0</v>
      </c>
      <c r="AB6">
        <v>7</v>
      </c>
      <c r="AC6">
        <v>9</v>
      </c>
      <c r="AD6">
        <v>-2</v>
      </c>
      <c r="AE6">
        <v>8</v>
      </c>
      <c r="AF6">
        <v>9</v>
      </c>
      <c r="AG6">
        <v>-1</v>
      </c>
      <c r="AH6">
        <v>9</v>
      </c>
      <c r="AI6">
        <v>9</v>
      </c>
      <c r="AJ6">
        <v>0</v>
      </c>
      <c r="AK6" t="s">
        <v>308</v>
      </c>
      <c r="AL6" t="s">
        <v>309</v>
      </c>
      <c r="AM6" t="s">
        <v>310</v>
      </c>
      <c r="AN6" t="s">
        <v>311</v>
      </c>
      <c r="AO6" t="s">
        <v>312</v>
      </c>
      <c r="AP6" t="s">
        <v>313</v>
      </c>
      <c r="AQ6" t="s">
        <v>314</v>
      </c>
      <c r="AR6" t="s">
        <v>315</v>
      </c>
      <c r="AS6" t="s">
        <v>316</v>
      </c>
    </row>
    <row r="7" spans="1:45" x14ac:dyDescent="0.45">
      <c r="A7">
        <v>6</v>
      </c>
      <c r="B7">
        <v>12350</v>
      </c>
      <c r="C7" t="s">
        <v>72</v>
      </c>
      <c r="D7" t="s">
        <v>73</v>
      </c>
      <c r="E7" t="s">
        <v>74</v>
      </c>
      <c r="F7" t="s">
        <v>75</v>
      </c>
      <c r="G7" t="s">
        <v>76</v>
      </c>
      <c r="H7">
        <v>100.9242271447424</v>
      </c>
      <c r="I7">
        <v>4</v>
      </c>
      <c r="J7">
        <v>6</v>
      </c>
      <c r="K7">
        <v>8</v>
      </c>
      <c r="L7">
        <v>-2</v>
      </c>
      <c r="M7">
        <v>8</v>
      </c>
      <c r="N7">
        <v>8</v>
      </c>
      <c r="O7">
        <v>0</v>
      </c>
      <c r="P7">
        <v>9</v>
      </c>
      <c r="Q7">
        <v>5</v>
      </c>
      <c r="R7">
        <v>4</v>
      </c>
      <c r="S7">
        <v>10</v>
      </c>
      <c r="T7">
        <v>8</v>
      </c>
      <c r="U7">
        <v>2</v>
      </c>
      <c r="V7">
        <v>9</v>
      </c>
      <c r="W7">
        <v>6</v>
      </c>
      <c r="X7">
        <v>3</v>
      </c>
      <c r="Y7">
        <v>8</v>
      </c>
      <c r="Z7">
        <v>6</v>
      </c>
      <c r="AA7">
        <v>2</v>
      </c>
      <c r="AB7">
        <v>7</v>
      </c>
      <c r="AC7">
        <v>4</v>
      </c>
      <c r="AD7">
        <v>3</v>
      </c>
      <c r="AE7">
        <v>8</v>
      </c>
      <c r="AF7">
        <v>5</v>
      </c>
      <c r="AG7">
        <v>3</v>
      </c>
      <c r="AH7">
        <v>9</v>
      </c>
      <c r="AI7">
        <v>6</v>
      </c>
      <c r="AJ7">
        <v>3</v>
      </c>
      <c r="AK7" t="s">
        <v>317</v>
      </c>
      <c r="AL7" t="s">
        <v>318</v>
      </c>
      <c r="AM7" t="s">
        <v>319</v>
      </c>
      <c r="AN7" t="s">
        <v>255</v>
      </c>
      <c r="AO7" t="s">
        <v>320</v>
      </c>
      <c r="AP7" t="s">
        <v>321</v>
      </c>
      <c r="AQ7" t="s">
        <v>322</v>
      </c>
      <c r="AR7" t="s">
        <v>323</v>
      </c>
      <c r="AS7" t="s">
        <v>324</v>
      </c>
    </row>
    <row r="8" spans="1:45" x14ac:dyDescent="0.45">
      <c r="A8">
        <v>7</v>
      </c>
      <c r="B8">
        <v>12351</v>
      </c>
      <c r="C8" t="s">
        <v>72</v>
      </c>
      <c r="D8" t="s">
        <v>73</v>
      </c>
      <c r="E8" t="s">
        <v>74</v>
      </c>
      <c r="F8" t="s">
        <v>77</v>
      </c>
      <c r="G8" t="s">
        <v>76</v>
      </c>
      <c r="H8">
        <v>18.691318692838557</v>
      </c>
      <c r="I8">
        <v>2</v>
      </c>
      <c r="J8">
        <v>6</v>
      </c>
      <c r="K8">
        <v>5</v>
      </c>
      <c r="L8">
        <v>1</v>
      </c>
      <c r="M8">
        <v>7</v>
      </c>
      <c r="N8">
        <v>4</v>
      </c>
      <c r="O8">
        <v>3</v>
      </c>
      <c r="P8">
        <v>8</v>
      </c>
      <c r="Q8">
        <v>4</v>
      </c>
      <c r="R8">
        <v>4</v>
      </c>
      <c r="S8">
        <v>9</v>
      </c>
      <c r="T8">
        <v>6</v>
      </c>
      <c r="U8">
        <v>3</v>
      </c>
      <c r="V8">
        <v>7</v>
      </c>
      <c r="W8">
        <v>6</v>
      </c>
      <c r="X8">
        <v>1</v>
      </c>
      <c r="Y8">
        <v>9</v>
      </c>
      <c r="Z8">
        <v>7</v>
      </c>
      <c r="AA8">
        <v>2</v>
      </c>
      <c r="AB8">
        <v>8</v>
      </c>
      <c r="AC8">
        <v>2</v>
      </c>
      <c r="AD8">
        <v>6</v>
      </c>
      <c r="AE8">
        <v>6</v>
      </c>
      <c r="AF8">
        <v>4</v>
      </c>
      <c r="AG8">
        <v>2</v>
      </c>
      <c r="AH8">
        <v>9</v>
      </c>
      <c r="AI8">
        <v>4</v>
      </c>
      <c r="AJ8">
        <v>5</v>
      </c>
      <c r="AK8" t="s">
        <v>325</v>
      </c>
      <c r="AL8" t="s">
        <v>326</v>
      </c>
      <c r="AM8" t="s">
        <v>327</v>
      </c>
      <c r="AN8" t="s">
        <v>328</v>
      </c>
      <c r="AO8" t="s">
        <v>329</v>
      </c>
      <c r="AP8" t="s">
        <v>330</v>
      </c>
      <c r="AQ8" t="s">
        <v>331</v>
      </c>
      <c r="AR8" t="s">
        <v>332</v>
      </c>
      <c r="AS8" t="s">
        <v>333</v>
      </c>
    </row>
    <row r="9" spans="1:45" x14ac:dyDescent="0.45">
      <c r="A9">
        <v>8</v>
      </c>
      <c r="B9">
        <v>12352</v>
      </c>
      <c r="C9" t="s">
        <v>78</v>
      </c>
      <c r="D9" t="s">
        <v>79</v>
      </c>
      <c r="E9" t="s">
        <v>74</v>
      </c>
      <c r="F9" t="s">
        <v>75</v>
      </c>
      <c r="G9" t="s">
        <v>76</v>
      </c>
      <c r="H9">
        <v>12</v>
      </c>
      <c r="I9">
        <v>2</v>
      </c>
      <c r="J9">
        <v>7</v>
      </c>
      <c r="K9">
        <v>1</v>
      </c>
      <c r="L9">
        <v>6</v>
      </c>
      <c r="M9">
        <v>6</v>
      </c>
      <c r="N9">
        <v>1</v>
      </c>
      <c r="O9">
        <v>5</v>
      </c>
      <c r="P9">
        <v>4</v>
      </c>
      <c r="Q9">
        <v>2</v>
      </c>
      <c r="R9">
        <v>2</v>
      </c>
      <c r="S9">
        <v>8</v>
      </c>
      <c r="T9">
        <v>3</v>
      </c>
      <c r="U9">
        <v>5</v>
      </c>
      <c r="V9">
        <v>9</v>
      </c>
      <c r="W9">
        <v>6</v>
      </c>
      <c r="X9">
        <v>3</v>
      </c>
      <c r="Y9">
        <v>8</v>
      </c>
      <c r="Z9">
        <v>2</v>
      </c>
      <c r="AA9">
        <v>6</v>
      </c>
      <c r="AB9">
        <v>9</v>
      </c>
      <c r="AC9">
        <v>7</v>
      </c>
      <c r="AD9">
        <v>2</v>
      </c>
      <c r="AE9">
        <v>7</v>
      </c>
      <c r="AF9">
        <v>3</v>
      </c>
      <c r="AG9">
        <v>4</v>
      </c>
      <c r="AH9">
        <v>9</v>
      </c>
      <c r="AI9">
        <v>3</v>
      </c>
      <c r="AJ9">
        <v>6</v>
      </c>
      <c r="AK9" t="s">
        <v>334</v>
      </c>
      <c r="AL9" t="s">
        <v>335</v>
      </c>
      <c r="AM9" t="s">
        <v>336</v>
      </c>
      <c r="AN9" t="s">
        <v>337</v>
      </c>
      <c r="AO9" t="s">
        <v>338</v>
      </c>
      <c r="AP9" t="s">
        <v>339</v>
      </c>
      <c r="AQ9" t="s">
        <v>340</v>
      </c>
      <c r="AR9" t="s">
        <v>341</v>
      </c>
      <c r="AS9" t="s">
        <v>342</v>
      </c>
    </row>
    <row r="10" spans="1:45" x14ac:dyDescent="0.45">
      <c r="A10">
        <v>9</v>
      </c>
      <c r="B10">
        <v>12353</v>
      </c>
      <c r="C10" t="s">
        <v>72</v>
      </c>
      <c r="D10" t="s">
        <v>81</v>
      </c>
      <c r="E10" t="s">
        <v>80</v>
      </c>
      <c r="F10" t="s">
        <v>77</v>
      </c>
      <c r="G10" t="s">
        <v>162</v>
      </c>
      <c r="H10">
        <v>14.325396151387569</v>
      </c>
      <c r="I10">
        <v>1</v>
      </c>
      <c r="J10">
        <v>7</v>
      </c>
      <c r="K10">
        <v>10</v>
      </c>
      <c r="L10">
        <v>-3</v>
      </c>
      <c r="M10">
        <v>6</v>
      </c>
      <c r="N10">
        <v>10</v>
      </c>
      <c r="O10">
        <v>-4</v>
      </c>
      <c r="P10">
        <v>9</v>
      </c>
      <c r="Q10">
        <v>8</v>
      </c>
      <c r="R10">
        <v>1</v>
      </c>
      <c r="S10">
        <v>8</v>
      </c>
      <c r="T10">
        <v>7</v>
      </c>
      <c r="U10">
        <v>1</v>
      </c>
      <c r="V10">
        <v>7</v>
      </c>
      <c r="W10">
        <v>7</v>
      </c>
      <c r="X10">
        <v>0</v>
      </c>
      <c r="Y10">
        <v>8</v>
      </c>
      <c r="Z10">
        <v>5</v>
      </c>
      <c r="AA10">
        <v>3</v>
      </c>
      <c r="AB10">
        <v>7</v>
      </c>
      <c r="AC10">
        <v>5</v>
      </c>
      <c r="AD10">
        <v>2</v>
      </c>
      <c r="AE10">
        <v>6</v>
      </c>
      <c r="AF10">
        <v>9</v>
      </c>
      <c r="AG10">
        <v>-3</v>
      </c>
      <c r="AH10">
        <v>8</v>
      </c>
      <c r="AI10">
        <v>8</v>
      </c>
      <c r="AJ10">
        <v>0</v>
      </c>
      <c r="AK10" t="s">
        <v>343</v>
      </c>
      <c r="AL10" t="s">
        <v>344</v>
      </c>
      <c r="AM10" t="s">
        <v>345</v>
      </c>
      <c r="AN10" t="s">
        <v>346</v>
      </c>
      <c r="AO10" t="s">
        <v>347</v>
      </c>
      <c r="AP10" t="s">
        <v>348</v>
      </c>
      <c r="AQ10" t="s">
        <v>349</v>
      </c>
      <c r="AR10" t="s">
        <v>350</v>
      </c>
      <c r="AS10" t="s">
        <v>351</v>
      </c>
    </row>
    <row r="11" spans="1:45" x14ac:dyDescent="0.45">
      <c r="A11">
        <v>10</v>
      </c>
      <c r="B11">
        <v>12354</v>
      </c>
      <c r="C11" t="s">
        <v>72</v>
      </c>
      <c r="D11" t="s">
        <v>81</v>
      </c>
      <c r="E11" t="s">
        <v>74</v>
      </c>
      <c r="F11" t="s">
        <v>77</v>
      </c>
      <c r="G11" t="s">
        <v>76</v>
      </c>
      <c r="H11">
        <v>19.914375440519994</v>
      </c>
      <c r="I11">
        <v>0</v>
      </c>
      <c r="J11">
        <v>6</v>
      </c>
      <c r="K11">
        <v>7</v>
      </c>
      <c r="L11">
        <v>-1</v>
      </c>
      <c r="M11">
        <v>7</v>
      </c>
      <c r="N11">
        <v>10</v>
      </c>
      <c r="O11">
        <v>-3</v>
      </c>
      <c r="P11">
        <v>8</v>
      </c>
      <c r="Q11">
        <v>1</v>
      </c>
      <c r="R11">
        <v>7</v>
      </c>
      <c r="S11">
        <v>9</v>
      </c>
      <c r="T11">
        <v>5</v>
      </c>
      <c r="U11">
        <v>4</v>
      </c>
      <c r="V11">
        <v>7</v>
      </c>
      <c r="W11">
        <v>8</v>
      </c>
      <c r="X11">
        <v>-1</v>
      </c>
      <c r="Y11">
        <v>9</v>
      </c>
      <c r="Z11">
        <v>5</v>
      </c>
      <c r="AA11">
        <v>4</v>
      </c>
      <c r="AB11">
        <v>8</v>
      </c>
      <c r="AC11">
        <v>5</v>
      </c>
      <c r="AD11">
        <v>3</v>
      </c>
      <c r="AE11">
        <v>9</v>
      </c>
      <c r="AF11">
        <v>5</v>
      </c>
      <c r="AG11">
        <v>4</v>
      </c>
      <c r="AH11">
        <v>8</v>
      </c>
      <c r="AI11">
        <v>10</v>
      </c>
      <c r="AJ11">
        <v>-2</v>
      </c>
      <c r="AK11" t="s">
        <v>352</v>
      </c>
      <c r="AL11" t="s">
        <v>353</v>
      </c>
      <c r="AM11" t="s">
        <v>354</v>
      </c>
      <c r="AN11" t="s">
        <v>355</v>
      </c>
      <c r="AO11" t="s">
        <v>356</v>
      </c>
      <c r="AP11" t="s">
        <v>357</v>
      </c>
      <c r="AQ11" t="s">
        <v>358</v>
      </c>
      <c r="AR11" t="s">
        <v>359</v>
      </c>
      <c r="AS11" t="s">
        <v>360</v>
      </c>
    </row>
    <row r="12" spans="1:45" x14ac:dyDescent="0.45">
      <c r="A12">
        <v>11</v>
      </c>
      <c r="B12">
        <v>12355</v>
      </c>
      <c r="C12" t="s">
        <v>78</v>
      </c>
      <c r="D12" t="s">
        <v>73</v>
      </c>
      <c r="E12" t="s">
        <v>74</v>
      </c>
      <c r="F12" t="s">
        <v>75</v>
      </c>
      <c r="G12" t="s">
        <v>162</v>
      </c>
      <c r="H12">
        <v>42.066556778740022</v>
      </c>
      <c r="I12">
        <v>4</v>
      </c>
      <c r="J12">
        <v>6</v>
      </c>
      <c r="K12">
        <v>10</v>
      </c>
      <c r="L12">
        <v>-4</v>
      </c>
      <c r="M12">
        <v>7</v>
      </c>
      <c r="N12">
        <v>3</v>
      </c>
      <c r="O12">
        <v>4</v>
      </c>
      <c r="P12">
        <v>8</v>
      </c>
      <c r="Q12">
        <v>1</v>
      </c>
      <c r="R12">
        <v>7</v>
      </c>
      <c r="S12">
        <v>9</v>
      </c>
      <c r="T12">
        <v>7</v>
      </c>
      <c r="U12">
        <v>2</v>
      </c>
      <c r="V12">
        <v>7</v>
      </c>
      <c r="W12">
        <v>1</v>
      </c>
      <c r="X12">
        <v>6</v>
      </c>
      <c r="Y12">
        <v>9</v>
      </c>
      <c r="Z12">
        <v>5</v>
      </c>
      <c r="AA12">
        <v>4</v>
      </c>
      <c r="AB12">
        <v>8</v>
      </c>
      <c r="AC12">
        <v>1</v>
      </c>
      <c r="AD12">
        <v>7</v>
      </c>
      <c r="AE12">
        <v>7</v>
      </c>
      <c r="AF12">
        <v>8</v>
      </c>
      <c r="AG12">
        <v>-1</v>
      </c>
      <c r="AH12">
        <v>8</v>
      </c>
      <c r="AI12">
        <v>6</v>
      </c>
      <c r="AJ12">
        <v>2</v>
      </c>
      <c r="AK12" t="s">
        <v>361</v>
      </c>
      <c r="AL12" t="s">
        <v>362</v>
      </c>
      <c r="AM12" t="s">
        <v>363</v>
      </c>
      <c r="AN12" t="s">
        <v>364</v>
      </c>
      <c r="AO12" t="s">
        <v>365</v>
      </c>
      <c r="AP12" t="s">
        <v>366</v>
      </c>
      <c r="AQ12" t="s">
        <v>367</v>
      </c>
      <c r="AR12" t="s">
        <v>368</v>
      </c>
      <c r="AS12" t="s">
        <v>369</v>
      </c>
    </row>
    <row r="13" spans="1:45" x14ac:dyDescent="0.45">
      <c r="A13">
        <v>12</v>
      </c>
      <c r="B13">
        <v>12356</v>
      </c>
      <c r="C13" t="s">
        <v>72</v>
      </c>
      <c r="D13" t="s">
        <v>189</v>
      </c>
      <c r="E13" t="s">
        <v>74</v>
      </c>
      <c r="F13" t="s">
        <v>77</v>
      </c>
      <c r="G13" t="s">
        <v>76</v>
      </c>
      <c r="H13">
        <v>12</v>
      </c>
      <c r="I13">
        <v>0</v>
      </c>
      <c r="J13">
        <v>8</v>
      </c>
      <c r="K13">
        <v>5</v>
      </c>
      <c r="L13">
        <v>3</v>
      </c>
      <c r="M13">
        <v>8</v>
      </c>
      <c r="N13">
        <v>8</v>
      </c>
      <c r="O13">
        <v>0</v>
      </c>
      <c r="P13">
        <v>9</v>
      </c>
      <c r="Q13">
        <v>5</v>
      </c>
      <c r="R13">
        <v>4</v>
      </c>
      <c r="S13">
        <v>9</v>
      </c>
      <c r="T13">
        <v>5</v>
      </c>
      <c r="U13">
        <v>4</v>
      </c>
      <c r="V13">
        <v>8</v>
      </c>
      <c r="W13">
        <v>6</v>
      </c>
      <c r="X13">
        <v>2</v>
      </c>
      <c r="Y13">
        <v>9</v>
      </c>
      <c r="Z13">
        <v>5</v>
      </c>
      <c r="AA13">
        <v>4</v>
      </c>
      <c r="AB13">
        <v>8</v>
      </c>
      <c r="AC13">
        <v>5</v>
      </c>
      <c r="AD13">
        <v>3</v>
      </c>
      <c r="AE13">
        <v>9</v>
      </c>
      <c r="AF13">
        <v>5</v>
      </c>
      <c r="AG13">
        <v>4</v>
      </c>
      <c r="AH13">
        <v>9</v>
      </c>
      <c r="AI13">
        <v>5</v>
      </c>
      <c r="AJ13">
        <v>4</v>
      </c>
      <c r="AK13" t="s">
        <v>370</v>
      </c>
      <c r="AL13" t="s">
        <v>371</v>
      </c>
      <c r="AM13" t="s">
        <v>372</v>
      </c>
      <c r="AN13" t="s">
        <v>373</v>
      </c>
      <c r="AO13" t="s">
        <v>374</v>
      </c>
      <c r="AP13" t="s">
        <v>375</v>
      </c>
      <c r="AQ13" t="s">
        <v>376</v>
      </c>
      <c r="AR13" t="s">
        <v>377</v>
      </c>
      <c r="AS13" t="s">
        <v>378</v>
      </c>
    </row>
    <row r="14" spans="1:45" x14ac:dyDescent="0.45">
      <c r="A14">
        <v>13</v>
      </c>
      <c r="B14">
        <v>12357</v>
      </c>
      <c r="C14" t="s">
        <v>72</v>
      </c>
      <c r="D14" t="s">
        <v>189</v>
      </c>
      <c r="E14" t="s">
        <v>74</v>
      </c>
      <c r="F14" t="s">
        <v>77</v>
      </c>
      <c r="G14" t="s">
        <v>76</v>
      </c>
      <c r="H14">
        <v>12</v>
      </c>
      <c r="I14">
        <v>0</v>
      </c>
      <c r="J14">
        <v>7</v>
      </c>
      <c r="K14">
        <v>8</v>
      </c>
      <c r="L14">
        <v>-1</v>
      </c>
      <c r="M14">
        <v>9</v>
      </c>
      <c r="N14">
        <v>7</v>
      </c>
      <c r="O14">
        <v>2</v>
      </c>
      <c r="P14">
        <v>8</v>
      </c>
      <c r="Q14">
        <v>7</v>
      </c>
      <c r="R14">
        <v>1</v>
      </c>
      <c r="S14">
        <v>9</v>
      </c>
      <c r="T14">
        <v>7</v>
      </c>
      <c r="U14">
        <v>2</v>
      </c>
      <c r="V14">
        <v>8</v>
      </c>
      <c r="W14">
        <v>7</v>
      </c>
      <c r="X14">
        <v>1</v>
      </c>
      <c r="Y14">
        <v>9</v>
      </c>
      <c r="Z14">
        <v>8</v>
      </c>
      <c r="AA14">
        <v>1</v>
      </c>
      <c r="AB14">
        <v>8</v>
      </c>
      <c r="AC14">
        <v>7</v>
      </c>
      <c r="AD14">
        <v>1</v>
      </c>
      <c r="AE14">
        <v>9</v>
      </c>
      <c r="AF14">
        <v>7</v>
      </c>
      <c r="AG14">
        <v>2</v>
      </c>
      <c r="AH14">
        <v>10</v>
      </c>
      <c r="AI14">
        <v>7</v>
      </c>
      <c r="AJ14">
        <v>3</v>
      </c>
      <c r="AK14" t="s">
        <v>379</v>
      </c>
      <c r="AL14" t="s">
        <v>380</v>
      </c>
      <c r="AM14" t="s">
        <v>381</v>
      </c>
      <c r="AN14" t="s">
        <v>382</v>
      </c>
      <c r="AO14" t="s">
        <v>383</v>
      </c>
      <c r="AP14" t="s">
        <v>384</v>
      </c>
      <c r="AQ14" t="s">
        <v>385</v>
      </c>
      <c r="AR14" t="s">
        <v>386</v>
      </c>
      <c r="AS14" t="s">
        <v>387</v>
      </c>
    </row>
    <row r="15" spans="1:45" x14ac:dyDescent="0.45">
      <c r="A15">
        <v>14</v>
      </c>
      <c r="B15">
        <v>12358</v>
      </c>
      <c r="C15" t="s">
        <v>72</v>
      </c>
      <c r="D15" t="s">
        <v>73</v>
      </c>
      <c r="E15" t="s">
        <v>74</v>
      </c>
      <c r="F15" t="s">
        <v>75</v>
      </c>
      <c r="G15" t="s">
        <v>76</v>
      </c>
      <c r="H15">
        <v>19.120867691875361</v>
      </c>
      <c r="I15">
        <v>0</v>
      </c>
      <c r="J15">
        <v>8</v>
      </c>
      <c r="K15">
        <v>10</v>
      </c>
      <c r="L15">
        <v>-2</v>
      </c>
      <c r="M15">
        <v>8</v>
      </c>
      <c r="N15">
        <v>10</v>
      </c>
      <c r="O15">
        <v>-2</v>
      </c>
      <c r="P15">
        <v>9</v>
      </c>
      <c r="Q15">
        <v>8</v>
      </c>
      <c r="R15">
        <v>1</v>
      </c>
      <c r="S15">
        <v>8</v>
      </c>
      <c r="T15">
        <v>8</v>
      </c>
      <c r="U15">
        <v>0</v>
      </c>
      <c r="V15">
        <v>9</v>
      </c>
      <c r="W15">
        <v>8</v>
      </c>
      <c r="X15">
        <v>1</v>
      </c>
      <c r="Y15">
        <v>8</v>
      </c>
      <c r="Z15">
        <v>6</v>
      </c>
      <c r="AA15">
        <v>2</v>
      </c>
      <c r="AB15">
        <v>9</v>
      </c>
      <c r="AC15">
        <v>6</v>
      </c>
      <c r="AD15">
        <v>3</v>
      </c>
      <c r="AE15">
        <v>8</v>
      </c>
      <c r="AF15">
        <v>5</v>
      </c>
      <c r="AG15">
        <v>3</v>
      </c>
      <c r="AH15">
        <v>9</v>
      </c>
      <c r="AI15">
        <v>5</v>
      </c>
      <c r="AJ15">
        <v>4</v>
      </c>
      <c r="AK15" t="s">
        <v>388</v>
      </c>
      <c r="AL15" t="s">
        <v>389</v>
      </c>
      <c r="AM15" t="s">
        <v>390</v>
      </c>
      <c r="AN15" t="s">
        <v>391</v>
      </c>
      <c r="AO15" t="s">
        <v>392</v>
      </c>
      <c r="AP15" t="s">
        <v>393</v>
      </c>
      <c r="AQ15" t="s">
        <v>394</v>
      </c>
      <c r="AR15" t="s">
        <v>395</v>
      </c>
      <c r="AS15" t="s">
        <v>396</v>
      </c>
    </row>
    <row r="16" spans="1:45" x14ac:dyDescent="0.45">
      <c r="A16">
        <v>15</v>
      </c>
      <c r="B16">
        <v>12359</v>
      </c>
      <c r="C16" t="s">
        <v>78</v>
      </c>
      <c r="D16" t="s">
        <v>73</v>
      </c>
      <c r="E16" t="s">
        <v>74</v>
      </c>
      <c r="F16" t="s">
        <v>75</v>
      </c>
      <c r="G16" t="s">
        <v>76</v>
      </c>
      <c r="H16">
        <v>33.088932394530367</v>
      </c>
      <c r="I16">
        <v>2</v>
      </c>
      <c r="J16">
        <v>9</v>
      </c>
      <c r="K16">
        <v>7</v>
      </c>
      <c r="L16">
        <v>2</v>
      </c>
      <c r="M16">
        <v>9</v>
      </c>
      <c r="N16">
        <v>9</v>
      </c>
      <c r="O16">
        <v>0</v>
      </c>
      <c r="P16">
        <v>8</v>
      </c>
      <c r="Q16">
        <v>3</v>
      </c>
      <c r="R16">
        <v>5</v>
      </c>
      <c r="S16">
        <v>8</v>
      </c>
      <c r="T16">
        <v>6</v>
      </c>
      <c r="U16">
        <v>2</v>
      </c>
      <c r="V16">
        <v>9</v>
      </c>
      <c r="W16">
        <v>1</v>
      </c>
      <c r="X16">
        <v>8</v>
      </c>
      <c r="Y16">
        <v>9</v>
      </c>
      <c r="Z16">
        <v>1</v>
      </c>
      <c r="AA16">
        <v>8</v>
      </c>
      <c r="AB16">
        <v>9</v>
      </c>
      <c r="AC16">
        <v>1</v>
      </c>
      <c r="AD16">
        <v>8</v>
      </c>
      <c r="AE16">
        <v>9</v>
      </c>
      <c r="AF16">
        <v>1</v>
      </c>
      <c r="AG16">
        <v>8</v>
      </c>
      <c r="AH16">
        <v>9</v>
      </c>
      <c r="AI16">
        <v>1</v>
      </c>
      <c r="AJ16">
        <v>8</v>
      </c>
      <c r="AK16" t="s">
        <v>397</v>
      </c>
      <c r="AL16" t="s">
        <v>398</v>
      </c>
      <c r="AM16" t="s">
        <v>399</v>
      </c>
      <c r="AN16" t="s">
        <v>400</v>
      </c>
      <c r="AO16" t="s">
        <v>401</v>
      </c>
      <c r="AP16" t="s">
        <v>402</v>
      </c>
      <c r="AQ16" t="s">
        <v>403</v>
      </c>
      <c r="AR16" t="s">
        <v>404</v>
      </c>
      <c r="AS16" t="s">
        <v>405</v>
      </c>
    </row>
    <row r="17" spans="1:45" x14ac:dyDescent="0.45">
      <c r="A17">
        <v>16</v>
      </c>
      <c r="B17">
        <v>12360</v>
      </c>
      <c r="C17" t="s">
        <v>78</v>
      </c>
      <c r="D17" t="s">
        <v>79</v>
      </c>
      <c r="E17" t="s">
        <v>74</v>
      </c>
      <c r="F17" t="s">
        <v>75</v>
      </c>
      <c r="G17" t="s">
        <v>76</v>
      </c>
      <c r="H17">
        <v>83.97191403487318</v>
      </c>
      <c r="I17">
        <v>4</v>
      </c>
      <c r="J17">
        <v>9</v>
      </c>
      <c r="K17">
        <v>8</v>
      </c>
      <c r="L17">
        <v>1</v>
      </c>
      <c r="M17">
        <v>8</v>
      </c>
      <c r="N17">
        <v>8</v>
      </c>
      <c r="O17">
        <v>0</v>
      </c>
      <c r="P17">
        <v>9</v>
      </c>
      <c r="Q17">
        <v>8</v>
      </c>
      <c r="R17">
        <v>1</v>
      </c>
      <c r="S17">
        <v>8</v>
      </c>
      <c r="T17">
        <v>9</v>
      </c>
      <c r="U17">
        <v>-1</v>
      </c>
      <c r="V17">
        <v>9</v>
      </c>
      <c r="W17">
        <v>7</v>
      </c>
      <c r="X17">
        <v>2</v>
      </c>
      <c r="Y17">
        <v>8</v>
      </c>
      <c r="Z17">
        <v>7</v>
      </c>
      <c r="AA17">
        <v>1</v>
      </c>
      <c r="AB17">
        <v>9</v>
      </c>
      <c r="AC17">
        <v>9</v>
      </c>
      <c r="AD17">
        <v>0</v>
      </c>
      <c r="AE17">
        <v>8</v>
      </c>
      <c r="AF17">
        <v>8</v>
      </c>
      <c r="AG17">
        <v>0</v>
      </c>
      <c r="AH17">
        <v>9</v>
      </c>
      <c r="AI17">
        <v>7</v>
      </c>
      <c r="AJ17">
        <v>2</v>
      </c>
      <c r="AK17" t="s">
        <v>406</v>
      </c>
      <c r="AL17" t="s">
        <v>407</v>
      </c>
      <c r="AM17" t="s">
        <v>408</v>
      </c>
      <c r="AN17" t="s">
        <v>409</v>
      </c>
      <c r="AO17" t="s">
        <v>410</v>
      </c>
      <c r="AP17" t="s">
        <v>411</v>
      </c>
      <c r="AQ17" t="s">
        <v>412</v>
      </c>
      <c r="AR17" t="s">
        <v>254</v>
      </c>
      <c r="AS17" t="s">
        <v>413</v>
      </c>
    </row>
    <row r="18" spans="1:45" x14ac:dyDescent="0.45">
      <c r="A18">
        <v>17</v>
      </c>
      <c r="B18">
        <v>12361</v>
      </c>
      <c r="C18" t="s">
        <v>72</v>
      </c>
      <c r="D18" t="s">
        <v>81</v>
      </c>
      <c r="E18" t="s">
        <v>74</v>
      </c>
      <c r="F18" t="s">
        <v>77</v>
      </c>
      <c r="G18" t="s">
        <v>76</v>
      </c>
      <c r="H18">
        <v>20.16566114604132</v>
      </c>
      <c r="I18">
        <v>2</v>
      </c>
      <c r="J18">
        <v>7</v>
      </c>
      <c r="K18">
        <v>6</v>
      </c>
      <c r="L18">
        <v>1</v>
      </c>
      <c r="M18">
        <v>8</v>
      </c>
      <c r="N18">
        <v>7</v>
      </c>
      <c r="O18">
        <v>1</v>
      </c>
      <c r="P18">
        <v>9</v>
      </c>
      <c r="Q18">
        <v>5</v>
      </c>
      <c r="R18">
        <v>4</v>
      </c>
      <c r="S18">
        <v>9</v>
      </c>
      <c r="T18">
        <v>5</v>
      </c>
      <c r="U18">
        <v>4</v>
      </c>
      <c r="V18">
        <v>8</v>
      </c>
      <c r="W18">
        <v>6</v>
      </c>
      <c r="X18">
        <v>2</v>
      </c>
      <c r="Y18">
        <v>9</v>
      </c>
      <c r="Z18">
        <v>7</v>
      </c>
      <c r="AA18">
        <v>2</v>
      </c>
      <c r="AB18">
        <v>8</v>
      </c>
      <c r="AC18">
        <v>3</v>
      </c>
      <c r="AD18">
        <v>5</v>
      </c>
      <c r="AE18">
        <v>7</v>
      </c>
      <c r="AF18">
        <v>4</v>
      </c>
      <c r="AG18">
        <v>3</v>
      </c>
      <c r="AH18">
        <v>9</v>
      </c>
      <c r="AI18">
        <v>5</v>
      </c>
      <c r="AJ18">
        <v>4</v>
      </c>
      <c r="AK18" t="s">
        <v>414</v>
      </c>
      <c r="AL18" t="s">
        <v>415</v>
      </c>
      <c r="AM18" t="s">
        <v>416</v>
      </c>
      <c r="AN18" t="s">
        <v>417</v>
      </c>
      <c r="AO18" t="s">
        <v>418</v>
      </c>
      <c r="AP18" t="s">
        <v>419</v>
      </c>
      <c r="AQ18" t="s">
        <v>420</v>
      </c>
      <c r="AR18" t="s">
        <v>421</v>
      </c>
      <c r="AS18" t="s">
        <v>422</v>
      </c>
    </row>
    <row r="19" spans="1:45" x14ac:dyDescent="0.45">
      <c r="A19">
        <v>18</v>
      </c>
      <c r="B19">
        <v>12362</v>
      </c>
      <c r="C19" t="s">
        <v>78</v>
      </c>
      <c r="D19" t="s">
        <v>79</v>
      </c>
      <c r="E19" t="s">
        <v>74</v>
      </c>
      <c r="F19" t="s">
        <v>77</v>
      </c>
      <c r="G19" t="s">
        <v>162</v>
      </c>
      <c r="H19">
        <v>14.778987131493366</v>
      </c>
      <c r="I19">
        <v>0</v>
      </c>
      <c r="J19">
        <v>8</v>
      </c>
      <c r="K19">
        <v>6</v>
      </c>
      <c r="L19">
        <v>2</v>
      </c>
      <c r="M19">
        <v>9</v>
      </c>
      <c r="N19">
        <v>8</v>
      </c>
      <c r="O19">
        <v>1</v>
      </c>
      <c r="P19">
        <v>9</v>
      </c>
      <c r="Q19">
        <v>7</v>
      </c>
      <c r="R19">
        <v>2</v>
      </c>
      <c r="S19">
        <v>8</v>
      </c>
      <c r="T19">
        <v>8</v>
      </c>
      <c r="U19">
        <v>0</v>
      </c>
      <c r="V19">
        <v>9</v>
      </c>
      <c r="W19">
        <v>8</v>
      </c>
      <c r="X19">
        <v>1</v>
      </c>
      <c r="Y19">
        <v>8</v>
      </c>
      <c r="Z19">
        <v>7</v>
      </c>
      <c r="AA19">
        <v>1</v>
      </c>
      <c r="AB19">
        <v>9</v>
      </c>
      <c r="AC19">
        <v>7</v>
      </c>
      <c r="AD19">
        <v>2</v>
      </c>
      <c r="AE19">
        <v>8</v>
      </c>
      <c r="AF19">
        <v>6</v>
      </c>
      <c r="AG19">
        <v>2</v>
      </c>
      <c r="AH19">
        <v>9</v>
      </c>
      <c r="AI19">
        <v>8</v>
      </c>
      <c r="AJ19">
        <v>1</v>
      </c>
      <c r="AK19" t="s">
        <v>423</v>
      </c>
      <c r="AL19" t="s">
        <v>424</v>
      </c>
      <c r="AM19" t="s">
        <v>425</v>
      </c>
      <c r="AN19" t="s">
        <v>426</v>
      </c>
      <c r="AO19" t="s">
        <v>427</v>
      </c>
      <c r="AP19" t="s">
        <v>428</v>
      </c>
      <c r="AQ19" t="s">
        <v>429</v>
      </c>
      <c r="AR19" t="s">
        <v>430</v>
      </c>
      <c r="AS19" t="s">
        <v>431</v>
      </c>
    </row>
    <row r="20" spans="1:45" x14ac:dyDescent="0.45">
      <c r="A20">
        <v>19</v>
      </c>
      <c r="B20">
        <v>12363</v>
      </c>
      <c r="C20" t="s">
        <v>78</v>
      </c>
      <c r="D20" t="s">
        <v>79</v>
      </c>
      <c r="E20" t="s">
        <v>74</v>
      </c>
      <c r="F20" t="s">
        <v>77</v>
      </c>
      <c r="G20" t="s">
        <v>76</v>
      </c>
      <c r="H20">
        <v>106.0420861707336</v>
      </c>
      <c r="I20">
        <v>4</v>
      </c>
      <c r="J20">
        <v>9</v>
      </c>
      <c r="K20">
        <v>10</v>
      </c>
      <c r="L20">
        <v>-1</v>
      </c>
      <c r="M20">
        <v>8</v>
      </c>
      <c r="N20">
        <v>10</v>
      </c>
      <c r="O20">
        <v>-2</v>
      </c>
      <c r="P20">
        <v>9</v>
      </c>
      <c r="Q20">
        <v>5</v>
      </c>
      <c r="R20">
        <v>4</v>
      </c>
      <c r="S20">
        <v>8</v>
      </c>
      <c r="T20">
        <v>5</v>
      </c>
      <c r="U20">
        <v>3</v>
      </c>
      <c r="V20">
        <v>9</v>
      </c>
      <c r="W20">
        <v>5</v>
      </c>
      <c r="X20">
        <v>4</v>
      </c>
      <c r="Y20">
        <v>8</v>
      </c>
      <c r="Z20">
        <v>3</v>
      </c>
      <c r="AA20">
        <v>5</v>
      </c>
      <c r="AB20">
        <v>9</v>
      </c>
      <c r="AC20">
        <v>2</v>
      </c>
      <c r="AD20">
        <v>7</v>
      </c>
      <c r="AE20">
        <v>8</v>
      </c>
      <c r="AF20">
        <v>5</v>
      </c>
      <c r="AG20">
        <v>3</v>
      </c>
      <c r="AH20">
        <v>9</v>
      </c>
      <c r="AI20">
        <v>8</v>
      </c>
      <c r="AJ20">
        <v>1</v>
      </c>
      <c r="AK20" t="s">
        <v>432</v>
      </c>
      <c r="AL20" t="s">
        <v>433</v>
      </c>
      <c r="AM20" t="s">
        <v>434</v>
      </c>
      <c r="AN20" t="s">
        <v>435</v>
      </c>
      <c r="AO20" t="s">
        <v>436</v>
      </c>
      <c r="AP20" t="s">
        <v>437</v>
      </c>
      <c r="AQ20" t="s">
        <v>438</v>
      </c>
      <c r="AR20" t="s">
        <v>439</v>
      </c>
      <c r="AS20" t="s">
        <v>440</v>
      </c>
    </row>
    <row r="21" spans="1:45" x14ac:dyDescent="0.45">
      <c r="A21">
        <v>20</v>
      </c>
      <c r="B21">
        <v>12364</v>
      </c>
      <c r="C21" t="s">
        <v>78</v>
      </c>
      <c r="D21" t="s">
        <v>73</v>
      </c>
      <c r="E21" t="s">
        <v>74</v>
      </c>
      <c r="F21" t="s">
        <v>75</v>
      </c>
      <c r="G21" t="s">
        <v>76</v>
      </c>
      <c r="H21">
        <v>67.573479496414791</v>
      </c>
      <c r="I21">
        <v>2</v>
      </c>
      <c r="J21">
        <v>8</v>
      </c>
      <c r="K21">
        <v>9</v>
      </c>
      <c r="L21">
        <v>-1</v>
      </c>
      <c r="M21">
        <v>9</v>
      </c>
      <c r="N21">
        <v>9</v>
      </c>
      <c r="O21">
        <v>0</v>
      </c>
      <c r="P21">
        <v>8</v>
      </c>
      <c r="Q21">
        <v>7</v>
      </c>
      <c r="R21">
        <v>1</v>
      </c>
      <c r="S21">
        <v>9</v>
      </c>
      <c r="T21">
        <v>9</v>
      </c>
      <c r="U21">
        <v>0</v>
      </c>
      <c r="V21">
        <v>7</v>
      </c>
      <c r="W21">
        <v>7</v>
      </c>
      <c r="X21">
        <v>0</v>
      </c>
      <c r="Y21">
        <v>9</v>
      </c>
      <c r="Z21">
        <v>8</v>
      </c>
      <c r="AA21">
        <v>1</v>
      </c>
      <c r="AB21">
        <v>8</v>
      </c>
      <c r="AC21">
        <v>5</v>
      </c>
      <c r="AD21">
        <v>3</v>
      </c>
      <c r="AE21">
        <v>7</v>
      </c>
      <c r="AF21">
        <v>5</v>
      </c>
      <c r="AG21">
        <v>2</v>
      </c>
      <c r="AH21">
        <v>9</v>
      </c>
      <c r="AI21">
        <v>6</v>
      </c>
      <c r="AJ21">
        <v>3</v>
      </c>
      <c r="AK21" t="s">
        <v>441</v>
      </c>
      <c r="AL21" t="s">
        <v>442</v>
      </c>
      <c r="AM21" t="s">
        <v>443</v>
      </c>
      <c r="AN21" t="s">
        <v>444</v>
      </c>
      <c r="AO21" t="s">
        <v>445</v>
      </c>
      <c r="AP21" t="s">
        <v>446</v>
      </c>
      <c r="AQ21" t="s">
        <v>447</v>
      </c>
      <c r="AR21" t="s">
        <v>448</v>
      </c>
      <c r="AS21" t="s">
        <v>449</v>
      </c>
    </row>
    <row r="22" spans="1:45" x14ac:dyDescent="0.45">
      <c r="A22">
        <v>21</v>
      </c>
      <c r="B22">
        <v>12365</v>
      </c>
      <c r="C22" t="s">
        <v>72</v>
      </c>
      <c r="D22" t="s">
        <v>79</v>
      </c>
      <c r="E22" t="s">
        <v>74</v>
      </c>
      <c r="F22" t="s">
        <v>77</v>
      </c>
      <c r="G22" t="s">
        <v>76</v>
      </c>
      <c r="H22">
        <v>116.26419431137634</v>
      </c>
      <c r="I22">
        <v>3</v>
      </c>
      <c r="J22">
        <v>6</v>
      </c>
      <c r="K22">
        <v>10</v>
      </c>
      <c r="L22">
        <v>-4</v>
      </c>
      <c r="M22">
        <v>7</v>
      </c>
      <c r="N22">
        <v>10</v>
      </c>
      <c r="O22">
        <v>-3</v>
      </c>
      <c r="P22">
        <v>9</v>
      </c>
      <c r="Q22">
        <v>8</v>
      </c>
      <c r="R22">
        <v>1</v>
      </c>
      <c r="S22">
        <v>8</v>
      </c>
      <c r="T22">
        <v>7</v>
      </c>
      <c r="U22">
        <v>1</v>
      </c>
      <c r="V22">
        <v>7</v>
      </c>
      <c r="W22">
        <v>7</v>
      </c>
      <c r="X22">
        <v>0</v>
      </c>
      <c r="Y22">
        <v>9</v>
      </c>
      <c r="Z22">
        <v>7</v>
      </c>
      <c r="AA22">
        <v>2</v>
      </c>
      <c r="AB22">
        <v>6</v>
      </c>
      <c r="AC22">
        <v>2</v>
      </c>
      <c r="AD22">
        <v>4</v>
      </c>
      <c r="AE22">
        <v>8</v>
      </c>
      <c r="AF22">
        <v>3</v>
      </c>
      <c r="AG22">
        <v>5</v>
      </c>
      <c r="AH22">
        <v>9</v>
      </c>
      <c r="AI22">
        <v>3</v>
      </c>
      <c r="AJ22">
        <v>6</v>
      </c>
      <c r="AK22" t="s">
        <v>450</v>
      </c>
      <c r="AL22" t="s">
        <v>451</v>
      </c>
      <c r="AM22" t="s">
        <v>452</v>
      </c>
      <c r="AN22" t="s">
        <v>453</v>
      </c>
      <c r="AO22" t="s">
        <v>454</v>
      </c>
      <c r="AP22" t="s">
        <v>455</v>
      </c>
      <c r="AQ22" t="s">
        <v>456</v>
      </c>
      <c r="AR22" t="s">
        <v>457</v>
      </c>
      <c r="AS22" t="s">
        <v>458</v>
      </c>
    </row>
    <row r="23" spans="1:45" x14ac:dyDescent="0.45">
      <c r="A23">
        <v>22</v>
      </c>
      <c r="B23">
        <v>12366</v>
      </c>
      <c r="C23" t="s">
        <v>72</v>
      </c>
      <c r="D23" t="s">
        <v>189</v>
      </c>
      <c r="E23" t="s">
        <v>74</v>
      </c>
      <c r="F23" t="s">
        <v>77</v>
      </c>
      <c r="G23" t="s">
        <v>76</v>
      </c>
      <c r="H23">
        <v>15.160051629906439</v>
      </c>
      <c r="I23">
        <v>0</v>
      </c>
      <c r="J23">
        <v>7</v>
      </c>
      <c r="K23">
        <v>8</v>
      </c>
      <c r="L23">
        <v>-1</v>
      </c>
      <c r="M23">
        <v>6</v>
      </c>
      <c r="N23">
        <v>8</v>
      </c>
      <c r="O23">
        <v>-2</v>
      </c>
      <c r="P23">
        <v>8</v>
      </c>
      <c r="Q23">
        <v>5</v>
      </c>
      <c r="R23">
        <v>3</v>
      </c>
      <c r="S23">
        <v>9</v>
      </c>
      <c r="T23">
        <v>8</v>
      </c>
      <c r="U23">
        <v>1</v>
      </c>
      <c r="V23">
        <v>7</v>
      </c>
      <c r="W23">
        <v>8</v>
      </c>
      <c r="X23">
        <v>-1</v>
      </c>
      <c r="Y23">
        <v>9</v>
      </c>
      <c r="Z23">
        <v>8</v>
      </c>
      <c r="AA23">
        <v>1</v>
      </c>
      <c r="AB23">
        <v>7</v>
      </c>
      <c r="AC23">
        <v>8</v>
      </c>
      <c r="AD23">
        <v>-1</v>
      </c>
      <c r="AE23">
        <v>6</v>
      </c>
      <c r="AF23">
        <v>8</v>
      </c>
      <c r="AG23">
        <v>-2</v>
      </c>
      <c r="AH23">
        <v>8</v>
      </c>
      <c r="AI23">
        <v>8</v>
      </c>
      <c r="AJ23">
        <v>0</v>
      </c>
      <c r="AK23" t="s">
        <v>459</v>
      </c>
      <c r="AL23" t="s">
        <v>460</v>
      </c>
      <c r="AM23" t="s">
        <v>461</v>
      </c>
      <c r="AN23" t="s">
        <v>462</v>
      </c>
      <c r="AO23" t="s">
        <v>463</v>
      </c>
      <c r="AP23" t="s">
        <v>464</v>
      </c>
      <c r="AQ23" t="s">
        <v>465</v>
      </c>
      <c r="AR23" t="s">
        <v>466</v>
      </c>
      <c r="AS23" t="s">
        <v>467</v>
      </c>
    </row>
    <row r="24" spans="1:45" x14ac:dyDescent="0.45">
      <c r="A24">
        <v>23</v>
      </c>
      <c r="B24">
        <v>12367</v>
      </c>
      <c r="C24" t="s">
        <v>72</v>
      </c>
      <c r="D24" t="s">
        <v>79</v>
      </c>
      <c r="E24" t="s">
        <v>74</v>
      </c>
      <c r="F24" t="s">
        <v>75</v>
      </c>
      <c r="G24" t="s">
        <v>76</v>
      </c>
      <c r="H24">
        <v>79.228395760830907</v>
      </c>
      <c r="I24">
        <v>3</v>
      </c>
      <c r="J24">
        <v>6</v>
      </c>
      <c r="K24">
        <v>5</v>
      </c>
      <c r="L24">
        <v>1</v>
      </c>
      <c r="M24">
        <v>7</v>
      </c>
      <c r="N24">
        <v>5</v>
      </c>
      <c r="O24">
        <v>2</v>
      </c>
      <c r="P24">
        <v>6</v>
      </c>
      <c r="Q24">
        <v>5</v>
      </c>
      <c r="R24">
        <v>1</v>
      </c>
      <c r="S24">
        <v>8</v>
      </c>
      <c r="T24">
        <v>5</v>
      </c>
      <c r="U24">
        <v>3</v>
      </c>
      <c r="V24">
        <v>7</v>
      </c>
      <c r="W24">
        <v>5</v>
      </c>
      <c r="X24">
        <v>2</v>
      </c>
      <c r="Y24">
        <v>9</v>
      </c>
      <c r="Z24">
        <v>5</v>
      </c>
      <c r="AA24">
        <v>4</v>
      </c>
      <c r="AB24">
        <v>6</v>
      </c>
      <c r="AC24">
        <v>5</v>
      </c>
      <c r="AD24">
        <v>1</v>
      </c>
      <c r="AE24">
        <v>7</v>
      </c>
      <c r="AF24">
        <v>5</v>
      </c>
      <c r="AG24">
        <v>2</v>
      </c>
      <c r="AH24">
        <v>9</v>
      </c>
      <c r="AI24">
        <v>5</v>
      </c>
      <c r="AJ24">
        <v>4</v>
      </c>
      <c r="AK24" t="s">
        <v>468</v>
      </c>
      <c r="AL24" t="s">
        <v>469</v>
      </c>
      <c r="AM24" t="s">
        <v>470</v>
      </c>
      <c r="AN24" t="s">
        <v>471</v>
      </c>
      <c r="AO24" t="s">
        <v>472</v>
      </c>
      <c r="AP24" t="s">
        <v>473</v>
      </c>
      <c r="AQ24" t="s">
        <v>474</v>
      </c>
      <c r="AR24" t="s">
        <v>475</v>
      </c>
      <c r="AS24" t="s">
        <v>476</v>
      </c>
    </row>
    <row r="25" spans="1:45" x14ac:dyDescent="0.45">
      <c r="A25">
        <v>24</v>
      </c>
      <c r="B25">
        <v>12368</v>
      </c>
      <c r="C25" t="s">
        <v>72</v>
      </c>
      <c r="D25" t="s">
        <v>73</v>
      </c>
      <c r="E25" t="s">
        <v>80</v>
      </c>
      <c r="F25" t="s">
        <v>77</v>
      </c>
      <c r="G25" t="s">
        <v>76</v>
      </c>
      <c r="H25">
        <v>27.667757486993665</v>
      </c>
      <c r="I25">
        <v>2</v>
      </c>
      <c r="J25">
        <v>6</v>
      </c>
      <c r="K25">
        <v>9</v>
      </c>
      <c r="L25">
        <v>-3</v>
      </c>
      <c r="M25">
        <v>7</v>
      </c>
      <c r="N25">
        <v>8</v>
      </c>
      <c r="O25">
        <v>-1</v>
      </c>
      <c r="P25">
        <v>8</v>
      </c>
      <c r="Q25">
        <v>6</v>
      </c>
      <c r="R25">
        <v>2</v>
      </c>
      <c r="S25">
        <v>9</v>
      </c>
      <c r="T25">
        <v>9</v>
      </c>
      <c r="U25">
        <v>0</v>
      </c>
      <c r="V25">
        <v>7</v>
      </c>
      <c r="W25">
        <v>8</v>
      </c>
      <c r="X25">
        <v>-1</v>
      </c>
      <c r="Y25">
        <v>8</v>
      </c>
      <c r="Z25">
        <v>10</v>
      </c>
      <c r="AA25">
        <v>-2</v>
      </c>
      <c r="AB25">
        <v>7</v>
      </c>
      <c r="AC25">
        <v>6</v>
      </c>
      <c r="AD25">
        <v>1</v>
      </c>
      <c r="AE25">
        <v>8</v>
      </c>
      <c r="AF25">
        <v>6</v>
      </c>
      <c r="AG25">
        <v>2</v>
      </c>
      <c r="AH25">
        <v>9</v>
      </c>
      <c r="AI25">
        <v>8</v>
      </c>
      <c r="AJ25">
        <v>1</v>
      </c>
      <c r="AK25" t="s">
        <v>477</v>
      </c>
      <c r="AL25" t="s">
        <v>478</v>
      </c>
      <c r="AM25" t="s">
        <v>479</v>
      </c>
      <c r="AN25" t="s">
        <v>480</v>
      </c>
      <c r="AO25" t="s">
        <v>481</v>
      </c>
      <c r="AP25" t="s">
        <v>482</v>
      </c>
      <c r="AQ25" t="s">
        <v>483</v>
      </c>
      <c r="AR25" t="s">
        <v>484</v>
      </c>
      <c r="AS25" t="s">
        <v>485</v>
      </c>
    </row>
    <row r="26" spans="1:45" x14ac:dyDescent="0.45">
      <c r="A26">
        <v>25</v>
      </c>
      <c r="B26">
        <v>12369</v>
      </c>
      <c r="C26" t="s">
        <v>78</v>
      </c>
      <c r="D26" t="s">
        <v>73</v>
      </c>
      <c r="E26" t="s">
        <v>74</v>
      </c>
      <c r="F26" t="s">
        <v>75</v>
      </c>
      <c r="G26" t="s">
        <v>76</v>
      </c>
      <c r="H26">
        <v>40.060721030723165</v>
      </c>
      <c r="I26">
        <v>1</v>
      </c>
      <c r="J26">
        <v>7</v>
      </c>
      <c r="K26">
        <v>6</v>
      </c>
      <c r="L26">
        <v>1</v>
      </c>
      <c r="M26">
        <v>6</v>
      </c>
      <c r="N26">
        <v>7</v>
      </c>
      <c r="O26">
        <v>-1</v>
      </c>
      <c r="P26">
        <v>8</v>
      </c>
      <c r="Q26">
        <v>5</v>
      </c>
      <c r="R26">
        <v>3</v>
      </c>
      <c r="S26">
        <v>7</v>
      </c>
      <c r="T26">
        <v>6</v>
      </c>
      <c r="U26">
        <v>1</v>
      </c>
      <c r="V26">
        <v>8</v>
      </c>
      <c r="W26">
        <v>7</v>
      </c>
      <c r="X26">
        <v>1</v>
      </c>
      <c r="Y26">
        <v>9</v>
      </c>
      <c r="Z26">
        <v>7</v>
      </c>
      <c r="AA26">
        <v>2</v>
      </c>
      <c r="AB26">
        <v>7</v>
      </c>
      <c r="AC26">
        <v>3</v>
      </c>
      <c r="AD26">
        <v>4</v>
      </c>
      <c r="AE26">
        <v>9</v>
      </c>
      <c r="AF26">
        <v>3</v>
      </c>
      <c r="AG26">
        <v>6</v>
      </c>
      <c r="AH26">
        <v>8</v>
      </c>
      <c r="AI26">
        <v>5</v>
      </c>
      <c r="AJ26">
        <v>3</v>
      </c>
      <c r="AK26" t="s">
        <v>486</v>
      </c>
      <c r="AL26" t="s">
        <v>487</v>
      </c>
      <c r="AM26" t="s">
        <v>488</v>
      </c>
      <c r="AN26" t="s">
        <v>489</v>
      </c>
      <c r="AO26" t="s">
        <v>490</v>
      </c>
      <c r="AP26" t="s">
        <v>491</v>
      </c>
      <c r="AQ26" t="s">
        <v>492</v>
      </c>
      <c r="AR26" t="s">
        <v>493</v>
      </c>
      <c r="AS26" t="s">
        <v>494</v>
      </c>
    </row>
    <row r="27" spans="1:45" x14ac:dyDescent="0.45">
      <c r="A27">
        <v>26</v>
      </c>
      <c r="B27">
        <v>12370</v>
      </c>
      <c r="C27" t="s">
        <v>78</v>
      </c>
      <c r="D27" t="s">
        <v>73</v>
      </c>
      <c r="E27" t="s">
        <v>74</v>
      </c>
      <c r="F27" t="s">
        <v>75</v>
      </c>
      <c r="G27" t="s">
        <v>76</v>
      </c>
      <c r="H27">
        <v>12</v>
      </c>
      <c r="I27">
        <v>4</v>
      </c>
      <c r="J27">
        <v>8</v>
      </c>
      <c r="K27">
        <v>10</v>
      </c>
      <c r="L27">
        <v>-2</v>
      </c>
      <c r="M27">
        <v>9</v>
      </c>
      <c r="N27">
        <v>10</v>
      </c>
      <c r="O27">
        <v>-1</v>
      </c>
      <c r="P27">
        <v>6</v>
      </c>
      <c r="Q27">
        <v>10</v>
      </c>
      <c r="R27">
        <v>-4</v>
      </c>
      <c r="S27">
        <v>8</v>
      </c>
      <c r="T27">
        <v>6</v>
      </c>
      <c r="U27">
        <v>2</v>
      </c>
      <c r="V27">
        <v>9</v>
      </c>
      <c r="W27">
        <v>6</v>
      </c>
      <c r="X27">
        <v>3</v>
      </c>
      <c r="Y27">
        <v>8</v>
      </c>
      <c r="Z27">
        <v>10</v>
      </c>
      <c r="AA27">
        <v>-2</v>
      </c>
      <c r="AB27">
        <v>9</v>
      </c>
      <c r="AC27">
        <v>1</v>
      </c>
      <c r="AD27">
        <v>8</v>
      </c>
      <c r="AE27">
        <v>8</v>
      </c>
      <c r="AF27">
        <v>4</v>
      </c>
      <c r="AG27">
        <v>4</v>
      </c>
      <c r="AH27">
        <v>9</v>
      </c>
      <c r="AI27">
        <v>10</v>
      </c>
      <c r="AJ27">
        <v>-1</v>
      </c>
      <c r="AK27" t="s">
        <v>495</v>
      </c>
      <c r="AL27" t="s">
        <v>496</v>
      </c>
      <c r="AM27" t="s">
        <v>497</v>
      </c>
      <c r="AN27" t="s">
        <v>498</v>
      </c>
      <c r="AO27" t="s">
        <v>499</v>
      </c>
      <c r="AP27" t="s">
        <v>500</v>
      </c>
      <c r="AQ27" t="s">
        <v>501</v>
      </c>
      <c r="AR27" t="s">
        <v>261</v>
      </c>
      <c r="AS27" t="s">
        <v>502</v>
      </c>
    </row>
    <row r="28" spans="1:45" x14ac:dyDescent="0.45">
      <c r="A28">
        <v>27</v>
      </c>
      <c r="B28">
        <v>12371</v>
      </c>
      <c r="C28" t="s">
        <v>78</v>
      </c>
      <c r="D28" t="s">
        <v>189</v>
      </c>
      <c r="E28" t="s">
        <v>74</v>
      </c>
      <c r="F28" t="s">
        <v>77</v>
      </c>
      <c r="G28" t="s">
        <v>76</v>
      </c>
      <c r="H28">
        <v>12</v>
      </c>
      <c r="I28">
        <v>0</v>
      </c>
      <c r="J28">
        <v>7</v>
      </c>
      <c r="K28">
        <v>1</v>
      </c>
      <c r="L28">
        <v>6</v>
      </c>
      <c r="M28">
        <v>8</v>
      </c>
      <c r="N28">
        <v>1</v>
      </c>
      <c r="O28">
        <v>7</v>
      </c>
      <c r="P28">
        <v>6</v>
      </c>
      <c r="Q28">
        <v>1</v>
      </c>
      <c r="R28">
        <v>5</v>
      </c>
      <c r="S28">
        <v>9</v>
      </c>
      <c r="T28">
        <v>1</v>
      </c>
      <c r="U28">
        <v>8</v>
      </c>
      <c r="V28">
        <v>7</v>
      </c>
      <c r="W28">
        <v>1</v>
      </c>
      <c r="X28">
        <v>6</v>
      </c>
      <c r="Y28">
        <v>8</v>
      </c>
      <c r="Z28">
        <v>1</v>
      </c>
      <c r="AA28">
        <v>7</v>
      </c>
      <c r="AB28">
        <v>7</v>
      </c>
      <c r="AC28">
        <v>1</v>
      </c>
      <c r="AD28">
        <v>6</v>
      </c>
      <c r="AE28">
        <v>6</v>
      </c>
      <c r="AF28">
        <v>1</v>
      </c>
      <c r="AG28">
        <v>5</v>
      </c>
      <c r="AH28">
        <v>9</v>
      </c>
      <c r="AI28">
        <v>1</v>
      </c>
      <c r="AJ28">
        <v>8</v>
      </c>
      <c r="AK28" t="s">
        <v>503</v>
      </c>
      <c r="AL28" t="s">
        <v>504</v>
      </c>
      <c r="AM28" t="s">
        <v>505</v>
      </c>
      <c r="AN28" t="s">
        <v>506</v>
      </c>
      <c r="AO28" t="s">
        <v>507</v>
      </c>
      <c r="AP28" t="s">
        <v>508</v>
      </c>
      <c r="AQ28" t="s">
        <v>509</v>
      </c>
      <c r="AR28" t="s">
        <v>510</v>
      </c>
      <c r="AS28" t="s">
        <v>511</v>
      </c>
    </row>
    <row r="29" spans="1:45" x14ac:dyDescent="0.45">
      <c r="A29">
        <v>28</v>
      </c>
      <c r="B29">
        <v>12372</v>
      </c>
      <c r="C29" t="s">
        <v>78</v>
      </c>
      <c r="D29" t="s">
        <v>81</v>
      </c>
      <c r="E29" t="s">
        <v>74</v>
      </c>
      <c r="F29" t="s">
        <v>77</v>
      </c>
      <c r="G29" t="s">
        <v>76</v>
      </c>
      <c r="H29">
        <v>13.092916963171589</v>
      </c>
      <c r="I29">
        <v>0</v>
      </c>
      <c r="J29">
        <v>7</v>
      </c>
      <c r="K29">
        <v>1</v>
      </c>
      <c r="L29">
        <v>6</v>
      </c>
      <c r="M29">
        <v>8</v>
      </c>
      <c r="N29">
        <v>1</v>
      </c>
      <c r="O29">
        <v>7</v>
      </c>
      <c r="P29">
        <v>9</v>
      </c>
      <c r="Q29">
        <v>1</v>
      </c>
      <c r="R29">
        <v>8</v>
      </c>
      <c r="S29">
        <v>10</v>
      </c>
      <c r="T29">
        <v>1</v>
      </c>
      <c r="U29">
        <v>9</v>
      </c>
      <c r="V29">
        <v>8</v>
      </c>
      <c r="W29">
        <v>1</v>
      </c>
      <c r="X29">
        <v>7</v>
      </c>
      <c r="Y29">
        <v>9</v>
      </c>
      <c r="Z29">
        <v>1</v>
      </c>
      <c r="AA29">
        <v>8</v>
      </c>
      <c r="AB29">
        <v>7</v>
      </c>
      <c r="AC29">
        <v>1</v>
      </c>
      <c r="AD29">
        <v>6</v>
      </c>
      <c r="AE29">
        <v>8</v>
      </c>
      <c r="AF29">
        <v>1</v>
      </c>
      <c r="AG29">
        <v>7</v>
      </c>
      <c r="AH29">
        <v>9</v>
      </c>
      <c r="AI29">
        <v>1</v>
      </c>
      <c r="AJ29">
        <v>8</v>
      </c>
      <c r="AK29" t="s">
        <v>202</v>
      </c>
      <c r="AL29" t="s">
        <v>202</v>
      </c>
      <c r="AM29" t="s">
        <v>202</v>
      </c>
      <c r="AN29" t="s">
        <v>202</v>
      </c>
      <c r="AO29" t="s">
        <v>202</v>
      </c>
      <c r="AP29" t="s">
        <v>202</v>
      </c>
      <c r="AQ29" t="s">
        <v>202</v>
      </c>
      <c r="AR29" t="s">
        <v>202</v>
      </c>
      <c r="AS29" t="s">
        <v>202</v>
      </c>
    </row>
    <row r="30" spans="1:45" x14ac:dyDescent="0.45">
      <c r="A30">
        <v>29</v>
      </c>
      <c r="B30">
        <v>12373</v>
      </c>
      <c r="C30" t="s">
        <v>72</v>
      </c>
      <c r="D30" t="s">
        <v>189</v>
      </c>
      <c r="E30" t="s">
        <v>74</v>
      </c>
      <c r="F30" t="s">
        <v>77</v>
      </c>
      <c r="G30" t="s">
        <v>76</v>
      </c>
      <c r="H30">
        <v>14.715388617498849</v>
      </c>
      <c r="I30">
        <v>0</v>
      </c>
      <c r="J30">
        <v>6</v>
      </c>
      <c r="K30">
        <v>10</v>
      </c>
      <c r="L30">
        <v>-4</v>
      </c>
      <c r="M30">
        <v>7</v>
      </c>
      <c r="N30">
        <v>10</v>
      </c>
      <c r="O30">
        <v>-3</v>
      </c>
      <c r="P30">
        <v>8</v>
      </c>
      <c r="Q30">
        <v>9</v>
      </c>
      <c r="R30">
        <v>-1</v>
      </c>
      <c r="S30">
        <v>9</v>
      </c>
      <c r="T30">
        <v>10</v>
      </c>
      <c r="U30">
        <v>-1</v>
      </c>
      <c r="V30">
        <v>7</v>
      </c>
      <c r="W30">
        <v>10</v>
      </c>
      <c r="X30">
        <v>-3</v>
      </c>
      <c r="Y30">
        <v>9</v>
      </c>
      <c r="Z30">
        <v>9</v>
      </c>
      <c r="AA30">
        <v>0</v>
      </c>
      <c r="AB30">
        <v>6</v>
      </c>
      <c r="AC30">
        <v>10</v>
      </c>
      <c r="AD30">
        <v>-4</v>
      </c>
      <c r="AE30">
        <v>8</v>
      </c>
      <c r="AF30">
        <v>10</v>
      </c>
      <c r="AG30">
        <v>-2</v>
      </c>
      <c r="AH30">
        <v>9</v>
      </c>
      <c r="AI30">
        <v>10</v>
      </c>
      <c r="AJ30">
        <v>-1</v>
      </c>
      <c r="AK30" t="s">
        <v>512</v>
      </c>
      <c r="AL30" t="s">
        <v>513</v>
      </c>
      <c r="AM30" t="s">
        <v>514</v>
      </c>
      <c r="AN30" t="s">
        <v>515</v>
      </c>
      <c r="AO30" t="s">
        <v>516</v>
      </c>
      <c r="AP30" t="s">
        <v>517</v>
      </c>
      <c r="AQ30" t="s">
        <v>518</v>
      </c>
      <c r="AR30" t="s">
        <v>519</v>
      </c>
      <c r="AS30" t="s">
        <v>520</v>
      </c>
    </row>
    <row r="31" spans="1:45" x14ac:dyDescent="0.45">
      <c r="A31">
        <v>30</v>
      </c>
      <c r="B31">
        <v>12374</v>
      </c>
      <c r="C31" t="s">
        <v>72</v>
      </c>
      <c r="D31" t="s">
        <v>189</v>
      </c>
      <c r="E31" t="s">
        <v>74</v>
      </c>
      <c r="F31" t="s">
        <v>77</v>
      </c>
      <c r="G31" t="s">
        <v>76</v>
      </c>
      <c r="H31">
        <v>13.119903841367227</v>
      </c>
      <c r="I31">
        <v>0</v>
      </c>
      <c r="J31">
        <v>7</v>
      </c>
      <c r="K31">
        <v>10</v>
      </c>
      <c r="L31">
        <v>-3</v>
      </c>
      <c r="M31">
        <v>8</v>
      </c>
      <c r="N31">
        <v>10</v>
      </c>
      <c r="O31">
        <v>-2</v>
      </c>
      <c r="P31">
        <v>9</v>
      </c>
      <c r="Q31">
        <v>9</v>
      </c>
      <c r="R31">
        <v>0</v>
      </c>
      <c r="S31">
        <v>9</v>
      </c>
      <c r="T31">
        <v>10</v>
      </c>
      <c r="U31">
        <v>-1</v>
      </c>
      <c r="V31">
        <v>6</v>
      </c>
      <c r="W31">
        <v>10</v>
      </c>
      <c r="X31">
        <v>-4</v>
      </c>
      <c r="Y31">
        <v>9</v>
      </c>
      <c r="Z31">
        <v>10</v>
      </c>
      <c r="AA31">
        <v>-1</v>
      </c>
      <c r="AB31">
        <v>7</v>
      </c>
      <c r="AC31">
        <v>10</v>
      </c>
      <c r="AD31">
        <v>-3</v>
      </c>
      <c r="AE31">
        <v>8</v>
      </c>
      <c r="AF31">
        <v>10</v>
      </c>
      <c r="AG31">
        <v>-2</v>
      </c>
      <c r="AH31">
        <v>9</v>
      </c>
      <c r="AI31">
        <v>10</v>
      </c>
      <c r="AJ31">
        <v>-1</v>
      </c>
      <c r="AK31" t="s">
        <v>521</v>
      </c>
      <c r="AL31" t="s">
        <v>522</v>
      </c>
      <c r="AM31" t="s">
        <v>523</v>
      </c>
      <c r="AN31" t="s">
        <v>524</v>
      </c>
      <c r="AO31" t="s">
        <v>525</v>
      </c>
      <c r="AP31" t="s">
        <v>526</v>
      </c>
      <c r="AQ31" t="s">
        <v>527</v>
      </c>
      <c r="AR31" t="s">
        <v>528</v>
      </c>
      <c r="AS31" t="s">
        <v>529</v>
      </c>
    </row>
    <row r="32" spans="1:45" x14ac:dyDescent="0.45">
      <c r="A32">
        <v>31</v>
      </c>
      <c r="B32">
        <v>12375</v>
      </c>
      <c r="C32" t="s">
        <v>72</v>
      </c>
      <c r="D32" t="s">
        <v>81</v>
      </c>
      <c r="E32" t="s">
        <v>74</v>
      </c>
      <c r="F32" t="s">
        <v>77</v>
      </c>
      <c r="G32" t="s">
        <v>76</v>
      </c>
      <c r="H32">
        <v>27.295945965192793</v>
      </c>
      <c r="I32">
        <v>0</v>
      </c>
      <c r="J32">
        <v>6</v>
      </c>
      <c r="K32">
        <v>10</v>
      </c>
      <c r="L32">
        <v>-4</v>
      </c>
      <c r="M32">
        <v>6</v>
      </c>
      <c r="N32">
        <v>7</v>
      </c>
      <c r="O32">
        <v>-1</v>
      </c>
      <c r="P32">
        <v>7</v>
      </c>
      <c r="Q32">
        <v>10</v>
      </c>
      <c r="R32">
        <v>-3</v>
      </c>
      <c r="S32">
        <v>7</v>
      </c>
      <c r="T32">
        <v>7</v>
      </c>
      <c r="U32">
        <v>0</v>
      </c>
      <c r="V32">
        <v>6</v>
      </c>
      <c r="W32">
        <v>10</v>
      </c>
      <c r="X32">
        <v>-4</v>
      </c>
      <c r="Y32">
        <v>7</v>
      </c>
      <c r="Z32">
        <v>10</v>
      </c>
      <c r="AA32">
        <v>-3</v>
      </c>
      <c r="AB32">
        <v>6</v>
      </c>
      <c r="AC32">
        <v>3</v>
      </c>
      <c r="AD32">
        <v>3</v>
      </c>
      <c r="AE32">
        <v>5</v>
      </c>
      <c r="AF32">
        <v>5</v>
      </c>
      <c r="AG32">
        <v>0</v>
      </c>
      <c r="AH32">
        <v>8</v>
      </c>
      <c r="AI32">
        <v>8</v>
      </c>
      <c r="AJ32">
        <v>0</v>
      </c>
      <c r="AK32" t="s">
        <v>530</v>
      </c>
      <c r="AL32" t="s">
        <v>531</v>
      </c>
      <c r="AM32" t="s">
        <v>532</v>
      </c>
      <c r="AN32" t="s">
        <v>533</v>
      </c>
      <c r="AO32" t="s">
        <v>534</v>
      </c>
      <c r="AP32" t="s">
        <v>535</v>
      </c>
      <c r="AQ32" t="s">
        <v>536</v>
      </c>
      <c r="AR32" t="s">
        <v>537</v>
      </c>
      <c r="AS32" t="s">
        <v>538</v>
      </c>
    </row>
    <row r="33" spans="1:45" x14ac:dyDescent="0.45">
      <c r="A33">
        <v>32</v>
      </c>
      <c r="B33">
        <v>12376</v>
      </c>
      <c r="C33" t="s">
        <v>72</v>
      </c>
      <c r="D33" t="s">
        <v>189</v>
      </c>
      <c r="E33" t="s">
        <v>74</v>
      </c>
      <c r="F33" t="s">
        <v>77</v>
      </c>
      <c r="G33" t="s">
        <v>76</v>
      </c>
      <c r="H33">
        <v>29.138658898904062</v>
      </c>
      <c r="I33">
        <v>0</v>
      </c>
      <c r="J33">
        <v>6</v>
      </c>
      <c r="K33">
        <v>5</v>
      </c>
      <c r="L33">
        <v>1</v>
      </c>
      <c r="M33">
        <v>7</v>
      </c>
      <c r="N33">
        <v>5</v>
      </c>
      <c r="O33">
        <v>2</v>
      </c>
      <c r="P33">
        <v>9</v>
      </c>
      <c r="Q33">
        <v>5</v>
      </c>
      <c r="R33">
        <v>4</v>
      </c>
      <c r="S33">
        <v>8</v>
      </c>
      <c r="T33">
        <v>5</v>
      </c>
      <c r="U33">
        <v>3</v>
      </c>
      <c r="V33">
        <v>7</v>
      </c>
      <c r="W33">
        <v>5</v>
      </c>
      <c r="X33">
        <v>2</v>
      </c>
      <c r="Y33">
        <v>8</v>
      </c>
      <c r="Z33">
        <v>5</v>
      </c>
      <c r="AA33">
        <v>3</v>
      </c>
      <c r="AB33">
        <v>8</v>
      </c>
      <c r="AC33">
        <v>5</v>
      </c>
      <c r="AD33">
        <v>3</v>
      </c>
      <c r="AE33">
        <v>7</v>
      </c>
      <c r="AF33">
        <v>5</v>
      </c>
      <c r="AG33">
        <v>2</v>
      </c>
      <c r="AH33">
        <v>9</v>
      </c>
      <c r="AI33">
        <v>5</v>
      </c>
      <c r="AJ33">
        <v>4</v>
      </c>
      <c r="AK33" t="s">
        <v>539</v>
      </c>
      <c r="AL33" t="s">
        <v>540</v>
      </c>
      <c r="AM33" t="s">
        <v>541</v>
      </c>
      <c r="AN33" t="s">
        <v>542</v>
      </c>
      <c r="AO33" t="s">
        <v>543</v>
      </c>
      <c r="AP33" t="s">
        <v>544</v>
      </c>
      <c r="AQ33" t="s">
        <v>545</v>
      </c>
      <c r="AR33" t="s">
        <v>546</v>
      </c>
      <c r="AS33" t="s">
        <v>547</v>
      </c>
    </row>
    <row r="34" spans="1:45" x14ac:dyDescent="0.45">
      <c r="A34">
        <v>33</v>
      </c>
      <c r="B34">
        <v>12377</v>
      </c>
      <c r="C34" t="s">
        <v>72</v>
      </c>
      <c r="D34" t="s">
        <v>81</v>
      </c>
      <c r="E34" t="s">
        <v>74</v>
      </c>
      <c r="F34" t="s">
        <v>77</v>
      </c>
      <c r="G34" t="s">
        <v>76</v>
      </c>
      <c r="H34">
        <v>29.609550179087222</v>
      </c>
      <c r="I34">
        <v>0</v>
      </c>
      <c r="J34">
        <v>7</v>
      </c>
      <c r="K34">
        <v>8</v>
      </c>
      <c r="L34">
        <v>-1</v>
      </c>
      <c r="M34">
        <v>6</v>
      </c>
      <c r="N34">
        <v>9</v>
      </c>
      <c r="O34">
        <v>-3</v>
      </c>
      <c r="P34">
        <v>9</v>
      </c>
      <c r="Q34">
        <v>7</v>
      </c>
      <c r="R34">
        <v>2</v>
      </c>
      <c r="S34">
        <v>8</v>
      </c>
      <c r="T34">
        <v>8</v>
      </c>
      <c r="U34">
        <v>0</v>
      </c>
      <c r="V34">
        <v>4</v>
      </c>
      <c r="W34">
        <v>8</v>
      </c>
      <c r="X34">
        <v>-4</v>
      </c>
      <c r="Y34">
        <v>6</v>
      </c>
      <c r="Z34">
        <v>8</v>
      </c>
      <c r="AA34">
        <v>-2</v>
      </c>
      <c r="AB34">
        <v>5</v>
      </c>
      <c r="AC34">
        <v>3</v>
      </c>
      <c r="AD34">
        <v>2</v>
      </c>
      <c r="AE34">
        <v>6</v>
      </c>
      <c r="AF34">
        <v>6</v>
      </c>
      <c r="AG34">
        <v>0</v>
      </c>
      <c r="AH34">
        <v>9</v>
      </c>
      <c r="AI34">
        <v>7</v>
      </c>
      <c r="AJ34">
        <v>2</v>
      </c>
      <c r="AK34" t="s">
        <v>548</v>
      </c>
      <c r="AL34" t="s">
        <v>549</v>
      </c>
      <c r="AM34" t="s">
        <v>550</v>
      </c>
      <c r="AN34" t="s">
        <v>551</v>
      </c>
      <c r="AO34" t="s">
        <v>552</v>
      </c>
      <c r="AP34" t="s">
        <v>553</v>
      </c>
      <c r="AQ34" t="s">
        <v>554</v>
      </c>
      <c r="AR34" t="s">
        <v>555</v>
      </c>
      <c r="AS34" t="s">
        <v>556</v>
      </c>
    </row>
    <row r="35" spans="1:45" x14ac:dyDescent="0.45">
      <c r="A35">
        <v>34</v>
      </c>
      <c r="B35">
        <v>12378</v>
      </c>
      <c r="C35" t="s">
        <v>78</v>
      </c>
      <c r="D35" t="s">
        <v>81</v>
      </c>
      <c r="E35" t="s">
        <v>74</v>
      </c>
      <c r="F35" t="s">
        <v>77</v>
      </c>
      <c r="G35" t="s">
        <v>76</v>
      </c>
      <c r="H35">
        <v>12.238145044249537</v>
      </c>
      <c r="I35">
        <v>1</v>
      </c>
      <c r="J35">
        <v>6</v>
      </c>
      <c r="K35">
        <v>10</v>
      </c>
      <c r="L35">
        <v>-4</v>
      </c>
      <c r="M35">
        <v>7</v>
      </c>
      <c r="N35">
        <v>10</v>
      </c>
      <c r="O35">
        <v>-3</v>
      </c>
      <c r="P35">
        <v>9</v>
      </c>
      <c r="Q35">
        <v>10</v>
      </c>
      <c r="R35">
        <v>-1</v>
      </c>
      <c r="S35">
        <v>8</v>
      </c>
      <c r="T35">
        <v>10</v>
      </c>
      <c r="U35">
        <v>-2</v>
      </c>
      <c r="V35">
        <v>9</v>
      </c>
      <c r="W35">
        <v>10</v>
      </c>
      <c r="X35">
        <v>-1</v>
      </c>
      <c r="Y35">
        <v>8</v>
      </c>
      <c r="Z35">
        <v>10</v>
      </c>
      <c r="AA35">
        <v>-2</v>
      </c>
      <c r="AB35">
        <v>9</v>
      </c>
      <c r="AC35">
        <v>10</v>
      </c>
      <c r="AD35">
        <v>-1</v>
      </c>
      <c r="AE35">
        <v>8</v>
      </c>
      <c r="AF35">
        <v>10</v>
      </c>
      <c r="AG35">
        <v>-2</v>
      </c>
      <c r="AH35">
        <v>9</v>
      </c>
      <c r="AI35">
        <v>10</v>
      </c>
      <c r="AJ35">
        <v>-1</v>
      </c>
      <c r="AK35" t="s">
        <v>557</v>
      </c>
      <c r="AL35" t="s">
        <v>558</v>
      </c>
      <c r="AM35" t="s">
        <v>559</v>
      </c>
      <c r="AN35" t="s">
        <v>560</v>
      </c>
      <c r="AO35" t="s">
        <v>561</v>
      </c>
      <c r="AP35" t="s">
        <v>562</v>
      </c>
      <c r="AQ35" t="s">
        <v>563</v>
      </c>
      <c r="AR35" t="s">
        <v>564</v>
      </c>
      <c r="AS35" t="s">
        <v>565</v>
      </c>
    </row>
    <row r="36" spans="1:45" x14ac:dyDescent="0.45">
      <c r="A36">
        <v>35</v>
      </c>
      <c r="B36">
        <v>12379</v>
      </c>
      <c r="C36" t="s">
        <v>72</v>
      </c>
      <c r="D36" t="s">
        <v>73</v>
      </c>
      <c r="E36" t="s">
        <v>74</v>
      </c>
      <c r="F36" t="s">
        <v>190</v>
      </c>
      <c r="G36" t="s">
        <v>76</v>
      </c>
      <c r="H36">
        <v>12.199839148378798</v>
      </c>
      <c r="I36">
        <v>3</v>
      </c>
      <c r="J36">
        <v>7</v>
      </c>
      <c r="K36">
        <v>10</v>
      </c>
      <c r="L36">
        <v>-3</v>
      </c>
      <c r="M36">
        <v>8</v>
      </c>
      <c r="N36">
        <v>10</v>
      </c>
      <c r="O36">
        <v>-2</v>
      </c>
      <c r="P36">
        <v>9</v>
      </c>
      <c r="Q36">
        <v>10</v>
      </c>
      <c r="R36">
        <v>-1</v>
      </c>
      <c r="S36">
        <v>9</v>
      </c>
      <c r="T36">
        <v>10</v>
      </c>
      <c r="U36">
        <v>-1</v>
      </c>
      <c r="V36">
        <v>8</v>
      </c>
      <c r="W36">
        <v>10</v>
      </c>
      <c r="X36">
        <v>-2</v>
      </c>
      <c r="Y36">
        <v>9</v>
      </c>
      <c r="Z36">
        <v>10</v>
      </c>
      <c r="AA36">
        <v>-1</v>
      </c>
      <c r="AB36">
        <v>8</v>
      </c>
      <c r="AC36">
        <v>10</v>
      </c>
      <c r="AD36">
        <v>-2</v>
      </c>
      <c r="AE36">
        <v>9</v>
      </c>
      <c r="AF36">
        <v>10</v>
      </c>
      <c r="AG36">
        <v>-1</v>
      </c>
      <c r="AH36">
        <v>10</v>
      </c>
      <c r="AI36">
        <v>10</v>
      </c>
      <c r="AJ36">
        <v>0</v>
      </c>
      <c r="AK36" t="s">
        <v>566</v>
      </c>
      <c r="AL36" t="s">
        <v>567</v>
      </c>
      <c r="AM36" t="s">
        <v>568</v>
      </c>
      <c r="AN36" t="s">
        <v>569</v>
      </c>
      <c r="AO36" t="s">
        <v>570</v>
      </c>
      <c r="AP36" t="s">
        <v>571</v>
      </c>
      <c r="AQ36" t="s">
        <v>572</v>
      </c>
      <c r="AR36" t="s">
        <v>573</v>
      </c>
      <c r="AS36" t="s">
        <v>574</v>
      </c>
    </row>
    <row r="37" spans="1:45" x14ac:dyDescent="0.45">
      <c r="A37">
        <v>36</v>
      </c>
      <c r="B37">
        <v>12380</v>
      </c>
      <c r="C37" t="s">
        <v>72</v>
      </c>
      <c r="D37" t="s">
        <v>189</v>
      </c>
      <c r="E37" t="s">
        <v>74</v>
      </c>
      <c r="F37" t="s">
        <v>77</v>
      </c>
      <c r="G37" t="s">
        <v>76</v>
      </c>
      <c r="H37">
        <v>12.036573186404826</v>
      </c>
      <c r="I37">
        <v>0</v>
      </c>
      <c r="J37">
        <v>6</v>
      </c>
      <c r="K37">
        <v>10</v>
      </c>
      <c r="L37">
        <v>-4</v>
      </c>
      <c r="M37">
        <v>5</v>
      </c>
      <c r="N37">
        <v>9</v>
      </c>
      <c r="O37">
        <v>-4</v>
      </c>
      <c r="P37">
        <v>8</v>
      </c>
      <c r="Q37">
        <v>10</v>
      </c>
      <c r="R37">
        <v>-2</v>
      </c>
      <c r="S37">
        <v>9</v>
      </c>
      <c r="T37">
        <v>8</v>
      </c>
      <c r="U37">
        <v>1</v>
      </c>
      <c r="V37">
        <v>7</v>
      </c>
      <c r="W37">
        <v>10</v>
      </c>
      <c r="X37">
        <v>-3</v>
      </c>
      <c r="Y37">
        <v>8</v>
      </c>
      <c r="Z37">
        <v>9</v>
      </c>
      <c r="AA37">
        <v>-1</v>
      </c>
      <c r="AB37">
        <v>7</v>
      </c>
      <c r="AC37">
        <v>10</v>
      </c>
      <c r="AD37">
        <v>-3</v>
      </c>
      <c r="AE37">
        <v>6</v>
      </c>
      <c r="AF37">
        <v>10</v>
      </c>
      <c r="AG37">
        <v>-4</v>
      </c>
      <c r="AH37">
        <v>8</v>
      </c>
      <c r="AI37">
        <v>10</v>
      </c>
      <c r="AJ37">
        <v>-2</v>
      </c>
      <c r="AK37" t="s">
        <v>575</v>
      </c>
      <c r="AL37" t="s">
        <v>576</v>
      </c>
      <c r="AM37" t="s">
        <v>577</v>
      </c>
      <c r="AN37" t="s">
        <v>578</v>
      </c>
      <c r="AO37" t="s">
        <v>579</v>
      </c>
      <c r="AP37" t="s">
        <v>580</v>
      </c>
      <c r="AQ37" t="s">
        <v>581</v>
      </c>
      <c r="AR37" t="s">
        <v>582</v>
      </c>
      <c r="AS37" t="s">
        <v>583</v>
      </c>
    </row>
    <row r="38" spans="1:45" x14ac:dyDescent="0.45">
      <c r="A38">
        <v>37</v>
      </c>
      <c r="B38">
        <v>12381</v>
      </c>
      <c r="C38" t="s">
        <v>78</v>
      </c>
      <c r="D38" t="s">
        <v>189</v>
      </c>
      <c r="E38" t="s">
        <v>74</v>
      </c>
      <c r="F38" t="s">
        <v>77</v>
      </c>
      <c r="G38" t="s">
        <v>76</v>
      </c>
      <c r="H38">
        <v>12.284195665474812</v>
      </c>
      <c r="I38">
        <v>0</v>
      </c>
      <c r="J38">
        <v>8</v>
      </c>
      <c r="K38">
        <v>10</v>
      </c>
      <c r="L38">
        <v>-2</v>
      </c>
      <c r="M38">
        <v>9</v>
      </c>
      <c r="N38">
        <v>10</v>
      </c>
      <c r="O38">
        <v>-1</v>
      </c>
      <c r="P38">
        <v>8</v>
      </c>
      <c r="Q38">
        <v>10</v>
      </c>
      <c r="R38">
        <v>-2</v>
      </c>
      <c r="S38">
        <v>9</v>
      </c>
      <c r="T38">
        <v>10</v>
      </c>
      <c r="U38">
        <v>-1</v>
      </c>
      <c r="V38">
        <v>8</v>
      </c>
      <c r="W38">
        <v>9</v>
      </c>
      <c r="X38">
        <v>-1</v>
      </c>
      <c r="Y38">
        <v>9</v>
      </c>
      <c r="Z38">
        <v>9</v>
      </c>
      <c r="AA38">
        <v>0</v>
      </c>
      <c r="AB38">
        <v>8</v>
      </c>
      <c r="AC38">
        <v>9</v>
      </c>
      <c r="AD38">
        <v>-1</v>
      </c>
      <c r="AE38">
        <v>9</v>
      </c>
      <c r="AF38">
        <v>9</v>
      </c>
      <c r="AG38">
        <v>0</v>
      </c>
      <c r="AH38">
        <v>8</v>
      </c>
      <c r="AI38">
        <v>8</v>
      </c>
      <c r="AJ38">
        <v>0</v>
      </c>
      <c r="AK38" t="s">
        <v>584</v>
      </c>
      <c r="AL38" t="s">
        <v>585</v>
      </c>
      <c r="AM38" t="s">
        <v>586</v>
      </c>
      <c r="AN38" t="s">
        <v>587</v>
      </c>
      <c r="AO38" t="s">
        <v>588</v>
      </c>
      <c r="AP38" t="s">
        <v>589</v>
      </c>
      <c r="AQ38" t="s">
        <v>590</v>
      </c>
      <c r="AR38" t="s">
        <v>591</v>
      </c>
      <c r="AS38" t="s">
        <v>592</v>
      </c>
    </row>
    <row r="39" spans="1:45" x14ac:dyDescent="0.45">
      <c r="A39">
        <v>38</v>
      </c>
      <c r="B39">
        <v>12382</v>
      </c>
      <c r="C39" t="s">
        <v>72</v>
      </c>
      <c r="D39" t="s">
        <v>73</v>
      </c>
      <c r="E39" t="s">
        <v>74</v>
      </c>
      <c r="F39" t="s">
        <v>77</v>
      </c>
      <c r="G39" t="s">
        <v>76</v>
      </c>
      <c r="H39">
        <v>46.409239854903745</v>
      </c>
      <c r="I39">
        <v>1</v>
      </c>
      <c r="J39">
        <v>7</v>
      </c>
      <c r="K39">
        <v>8</v>
      </c>
      <c r="L39">
        <v>-1</v>
      </c>
      <c r="M39">
        <v>8</v>
      </c>
      <c r="N39">
        <v>8</v>
      </c>
      <c r="O39">
        <v>0</v>
      </c>
      <c r="P39">
        <v>7</v>
      </c>
      <c r="Q39">
        <v>8</v>
      </c>
      <c r="R39">
        <v>-1</v>
      </c>
      <c r="S39">
        <v>9</v>
      </c>
      <c r="T39">
        <v>8</v>
      </c>
      <c r="U39">
        <v>1</v>
      </c>
      <c r="V39">
        <v>8</v>
      </c>
      <c r="W39">
        <v>8</v>
      </c>
      <c r="X39">
        <v>0</v>
      </c>
      <c r="Y39">
        <v>9</v>
      </c>
      <c r="Z39">
        <v>8</v>
      </c>
      <c r="AA39">
        <v>1</v>
      </c>
      <c r="AB39">
        <v>8</v>
      </c>
      <c r="AC39">
        <v>8</v>
      </c>
      <c r="AD39">
        <v>0</v>
      </c>
      <c r="AE39">
        <v>9</v>
      </c>
      <c r="AF39">
        <v>8</v>
      </c>
      <c r="AG39">
        <v>1</v>
      </c>
      <c r="AH39">
        <v>8</v>
      </c>
      <c r="AI39">
        <v>8</v>
      </c>
      <c r="AJ39">
        <v>0</v>
      </c>
      <c r="AK39" t="s">
        <v>593</v>
      </c>
      <c r="AL39" t="s">
        <v>594</v>
      </c>
      <c r="AM39" t="s">
        <v>595</v>
      </c>
      <c r="AN39" t="s">
        <v>596</v>
      </c>
      <c r="AO39" t="s">
        <v>597</v>
      </c>
      <c r="AP39" t="s">
        <v>598</v>
      </c>
      <c r="AQ39" t="s">
        <v>599</v>
      </c>
      <c r="AR39" t="s">
        <v>201</v>
      </c>
      <c r="AS39" t="s">
        <v>600</v>
      </c>
    </row>
    <row r="40" spans="1:45" x14ac:dyDescent="0.45">
      <c r="A40">
        <v>39</v>
      </c>
      <c r="B40">
        <v>12383</v>
      </c>
      <c r="C40" t="s">
        <v>78</v>
      </c>
      <c r="D40" t="s">
        <v>81</v>
      </c>
      <c r="E40" t="s">
        <v>74</v>
      </c>
      <c r="F40" t="s">
        <v>77</v>
      </c>
      <c r="G40" t="s">
        <v>76</v>
      </c>
      <c r="H40">
        <v>14.660964797434934</v>
      </c>
      <c r="I40">
        <v>0</v>
      </c>
      <c r="J40">
        <v>8</v>
      </c>
      <c r="K40">
        <v>10</v>
      </c>
      <c r="L40">
        <v>-2</v>
      </c>
      <c r="M40">
        <v>9</v>
      </c>
      <c r="N40">
        <v>10</v>
      </c>
      <c r="O40">
        <v>-1</v>
      </c>
      <c r="P40">
        <v>8</v>
      </c>
      <c r="Q40">
        <v>10</v>
      </c>
      <c r="R40">
        <v>-2</v>
      </c>
      <c r="S40">
        <v>9</v>
      </c>
      <c r="T40">
        <v>10</v>
      </c>
      <c r="U40">
        <v>-1</v>
      </c>
      <c r="V40">
        <v>8</v>
      </c>
      <c r="W40">
        <v>10</v>
      </c>
      <c r="X40">
        <v>-2</v>
      </c>
      <c r="Y40">
        <v>9</v>
      </c>
      <c r="Z40">
        <v>10</v>
      </c>
      <c r="AA40">
        <v>-1</v>
      </c>
      <c r="AB40">
        <v>8</v>
      </c>
      <c r="AC40">
        <v>10</v>
      </c>
      <c r="AD40">
        <v>-2</v>
      </c>
      <c r="AE40">
        <v>9</v>
      </c>
      <c r="AF40">
        <v>10</v>
      </c>
      <c r="AG40">
        <v>-1</v>
      </c>
      <c r="AH40">
        <v>10</v>
      </c>
      <c r="AI40">
        <v>10</v>
      </c>
      <c r="AJ40">
        <v>0</v>
      </c>
      <c r="AK40" t="s">
        <v>601</v>
      </c>
      <c r="AL40" t="s">
        <v>602</v>
      </c>
      <c r="AM40" t="s">
        <v>603</v>
      </c>
      <c r="AN40" t="s">
        <v>604</v>
      </c>
      <c r="AO40" t="s">
        <v>605</v>
      </c>
      <c r="AP40" t="s">
        <v>606</v>
      </c>
      <c r="AQ40" t="s">
        <v>607</v>
      </c>
      <c r="AR40" t="s">
        <v>252</v>
      </c>
      <c r="AS40" t="s">
        <v>608</v>
      </c>
    </row>
    <row r="41" spans="1:45" x14ac:dyDescent="0.45">
      <c r="A41">
        <v>40</v>
      </c>
      <c r="B41">
        <v>12384</v>
      </c>
      <c r="C41" t="s">
        <v>78</v>
      </c>
      <c r="D41" t="s">
        <v>73</v>
      </c>
      <c r="E41" t="s">
        <v>74</v>
      </c>
      <c r="F41" t="s">
        <v>77</v>
      </c>
      <c r="G41" t="s">
        <v>76</v>
      </c>
      <c r="H41">
        <v>127.22034440499482</v>
      </c>
      <c r="I41">
        <v>1</v>
      </c>
      <c r="J41">
        <v>9</v>
      </c>
      <c r="K41">
        <v>8</v>
      </c>
      <c r="L41">
        <v>1</v>
      </c>
      <c r="M41">
        <v>8</v>
      </c>
      <c r="N41">
        <v>8</v>
      </c>
      <c r="O41">
        <v>0</v>
      </c>
      <c r="P41">
        <v>7</v>
      </c>
      <c r="Q41">
        <v>6</v>
      </c>
      <c r="R41">
        <v>1</v>
      </c>
      <c r="S41">
        <v>8</v>
      </c>
      <c r="T41">
        <v>8</v>
      </c>
      <c r="U41">
        <v>0</v>
      </c>
      <c r="V41">
        <v>9</v>
      </c>
      <c r="W41">
        <v>7</v>
      </c>
      <c r="X41">
        <v>2</v>
      </c>
      <c r="Y41">
        <v>8</v>
      </c>
      <c r="Z41">
        <v>8</v>
      </c>
      <c r="AA41">
        <v>0</v>
      </c>
      <c r="AB41">
        <v>9</v>
      </c>
      <c r="AC41">
        <v>5</v>
      </c>
      <c r="AD41">
        <v>4</v>
      </c>
      <c r="AE41">
        <v>8</v>
      </c>
      <c r="AF41">
        <v>6</v>
      </c>
      <c r="AG41">
        <v>2</v>
      </c>
      <c r="AH41">
        <v>9</v>
      </c>
      <c r="AI41">
        <v>7</v>
      </c>
      <c r="AJ41">
        <v>2</v>
      </c>
      <c r="AK41" t="s">
        <v>609</v>
      </c>
      <c r="AL41" t="s">
        <v>610</v>
      </c>
      <c r="AM41" t="s">
        <v>611</v>
      </c>
      <c r="AN41" t="s">
        <v>222</v>
      </c>
      <c r="AO41" t="s">
        <v>612</v>
      </c>
      <c r="AP41" t="s">
        <v>613</v>
      </c>
      <c r="AQ41" t="s">
        <v>614</v>
      </c>
      <c r="AR41" t="s">
        <v>615</v>
      </c>
      <c r="AS41" t="s">
        <v>616</v>
      </c>
    </row>
    <row r="42" spans="1:45" x14ac:dyDescent="0.45">
      <c r="A42">
        <v>41</v>
      </c>
      <c r="B42">
        <v>12385</v>
      </c>
      <c r="C42" t="s">
        <v>78</v>
      </c>
      <c r="D42" t="s">
        <v>73</v>
      </c>
      <c r="E42" t="s">
        <v>74</v>
      </c>
      <c r="F42" t="s">
        <v>77</v>
      </c>
      <c r="G42" t="s">
        <v>76</v>
      </c>
      <c r="H42">
        <v>75.800182024381115</v>
      </c>
      <c r="I42">
        <v>2</v>
      </c>
      <c r="J42">
        <v>8</v>
      </c>
      <c r="K42">
        <v>9</v>
      </c>
      <c r="L42">
        <v>-1</v>
      </c>
      <c r="M42">
        <v>7</v>
      </c>
      <c r="N42">
        <v>8</v>
      </c>
      <c r="O42">
        <v>-1</v>
      </c>
      <c r="P42">
        <v>9</v>
      </c>
      <c r="Q42">
        <v>7</v>
      </c>
      <c r="R42">
        <v>2</v>
      </c>
      <c r="S42">
        <v>8</v>
      </c>
      <c r="T42">
        <v>8</v>
      </c>
      <c r="U42">
        <v>0</v>
      </c>
      <c r="V42">
        <v>9</v>
      </c>
      <c r="W42">
        <v>7</v>
      </c>
      <c r="X42">
        <v>2</v>
      </c>
      <c r="Y42">
        <v>8</v>
      </c>
      <c r="Z42">
        <v>4</v>
      </c>
      <c r="AA42">
        <v>4</v>
      </c>
      <c r="AB42">
        <v>9</v>
      </c>
      <c r="AC42">
        <v>2</v>
      </c>
      <c r="AD42">
        <v>7</v>
      </c>
      <c r="AE42">
        <v>8</v>
      </c>
      <c r="AF42">
        <v>8</v>
      </c>
      <c r="AG42">
        <v>0</v>
      </c>
      <c r="AH42">
        <v>9</v>
      </c>
      <c r="AI42">
        <v>8</v>
      </c>
      <c r="AJ42">
        <v>1</v>
      </c>
      <c r="AK42" t="s">
        <v>617</v>
      </c>
      <c r="AL42" t="s">
        <v>618</v>
      </c>
      <c r="AM42" t="s">
        <v>619</v>
      </c>
      <c r="AN42" t="s">
        <v>620</v>
      </c>
      <c r="AO42" t="s">
        <v>621</v>
      </c>
      <c r="AP42" t="s">
        <v>622</v>
      </c>
      <c r="AQ42" t="s">
        <v>623</v>
      </c>
      <c r="AR42" t="s">
        <v>624</v>
      </c>
      <c r="AS42" t="s">
        <v>625</v>
      </c>
    </row>
    <row r="43" spans="1:45" x14ac:dyDescent="0.45">
      <c r="A43">
        <v>42</v>
      </c>
      <c r="B43">
        <v>12386</v>
      </c>
      <c r="C43" t="s">
        <v>72</v>
      </c>
      <c r="D43" t="s">
        <v>73</v>
      </c>
      <c r="E43" t="s">
        <v>74</v>
      </c>
      <c r="F43" t="s">
        <v>77</v>
      </c>
      <c r="G43" t="s">
        <v>76</v>
      </c>
      <c r="H43">
        <v>44.832411102554097</v>
      </c>
      <c r="I43">
        <v>3</v>
      </c>
      <c r="J43">
        <v>7</v>
      </c>
      <c r="K43">
        <v>10</v>
      </c>
      <c r="L43">
        <v>-3</v>
      </c>
      <c r="M43">
        <v>8</v>
      </c>
      <c r="N43">
        <v>10</v>
      </c>
      <c r="O43">
        <v>-2</v>
      </c>
      <c r="P43">
        <v>9</v>
      </c>
      <c r="Q43">
        <v>9</v>
      </c>
      <c r="R43">
        <v>0</v>
      </c>
      <c r="S43">
        <v>9</v>
      </c>
      <c r="T43">
        <v>8</v>
      </c>
      <c r="U43">
        <v>1</v>
      </c>
      <c r="V43">
        <v>7</v>
      </c>
      <c r="W43">
        <v>7</v>
      </c>
      <c r="X43">
        <v>0</v>
      </c>
      <c r="Y43">
        <v>9</v>
      </c>
      <c r="Z43">
        <v>9</v>
      </c>
      <c r="AA43">
        <v>0</v>
      </c>
      <c r="AB43">
        <v>8</v>
      </c>
      <c r="AC43">
        <v>9</v>
      </c>
      <c r="AD43">
        <v>-1</v>
      </c>
      <c r="AE43">
        <v>7</v>
      </c>
      <c r="AF43">
        <v>8</v>
      </c>
      <c r="AG43">
        <v>-1</v>
      </c>
      <c r="AH43">
        <v>9</v>
      </c>
      <c r="AI43">
        <v>8</v>
      </c>
      <c r="AJ43">
        <v>1</v>
      </c>
      <c r="AK43" t="s">
        <v>626</v>
      </c>
      <c r="AL43" t="s">
        <v>627</v>
      </c>
      <c r="AM43" t="s">
        <v>628</v>
      </c>
      <c r="AN43" t="s">
        <v>629</v>
      </c>
      <c r="AO43" t="s">
        <v>630</v>
      </c>
      <c r="AP43" t="s">
        <v>631</v>
      </c>
      <c r="AQ43" t="s">
        <v>632</v>
      </c>
      <c r="AR43" t="s">
        <v>633</v>
      </c>
      <c r="AS43" t="s">
        <v>634</v>
      </c>
    </row>
    <row r="44" spans="1:45" x14ac:dyDescent="0.45">
      <c r="A44">
        <v>43</v>
      </c>
      <c r="B44">
        <v>12387</v>
      </c>
      <c r="C44" t="s">
        <v>72</v>
      </c>
      <c r="D44" t="s">
        <v>73</v>
      </c>
      <c r="E44" t="s">
        <v>74</v>
      </c>
      <c r="F44" t="s">
        <v>77</v>
      </c>
      <c r="G44" t="s">
        <v>76</v>
      </c>
      <c r="H44">
        <v>181.46460242033686</v>
      </c>
      <c r="I44">
        <v>2</v>
      </c>
      <c r="J44">
        <v>6</v>
      </c>
      <c r="K44">
        <v>6</v>
      </c>
      <c r="L44">
        <v>0</v>
      </c>
      <c r="M44">
        <v>7</v>
      </c>
      <c r="N44">
        <v>6</v>
      </c>
      <c r="O44">
        <v>1</v>
      </c>
      <c r="P44">
        <v>8</v>
      </c>
      <c r="Q44">
        <v>8</v>
      </c>
      <c r="R44">
        <v>0</v>
      </c>
      <c r="S44">
        <v>9</v>
      </c>
      <c r="T44">
        <v>10</v>
      </c>
      <c r="U44">
        <v>-1</v>
      </c>
      <c r="V44">
        <v>8</v>
      </c>
      <c r="W44">
        <v>9</v>
      </c>
      <c r="X44">
        <v>-1</v>
      </c>
      <c r="Y44">
        <v>9</v>
      </c>
      <c r="Z44">
        <v>1</v>
      </c>
      <c r="AA44">
        <v>8</v>
      </c>
      <c r="AB44">
        <v>8</v>
      </c>
      <c r="AC44">
        <v>7</v>
      </c>
      <c r="AD44">
        <v>1</v>
      </c>
      <c r="AE44">
        <v>7</v>
      </c>
      <c r="AF44">
        <v>7</v>
      </c>
      <c r="AG44">
        <v>0</v>
      </c>
      <c r="AH44">
        <v>9</v>
      </c>
      <c r="AI44">
        <v>8</v>
      </c>
      <c r="AJ44">
        <v>1</v>
      </c>
      <c r="AK44" t="s">
        <v>635</v>
      </c>
      <c r="AL44" t="s">
        <v>636</v>
      </c>
      <c r="AM44" t="s">
        <v>637</v>
      </c>
      <c r="AN44" t="s">
        <v>638</v>
      </c>
      <c r="AO44" t="s">
        <v>639</v>
      </c>
      <c r="AP44" t="s">
        <v>640</v>
      </c>
      <c r="AQ44" t="s">
        <v>641</v>
      </c>
      <c r="AR44" t="s">
        <v>642</v>
      </c>
      <c r="AS44" t="s">
        <v>643</v>
      </c>
    </row>
    <row r="45" spans="1:45" x14ac:dyDescent="0.45">
      <c r="A45">
        <v>44</v>
      </c>
      <c r="B45">
        <v>12388</v>
      </c>
      <c r="C45" t="s">
        <v>78</v>
      </c>
      <c r="D45" t="s">
        <v>73</v>
      </c>
      <c r="E45" t="s">
        <v>74</v>
      </c>
      <c r="F45" t="s">
        <v>77</v>
      </c>
      <c r="G45" t="s">
        <v>76</v>
      </c>
      <c r="H45">
        <v>27.035028786955039</v>
      </c>
      <c r="I45">
        <v>1</v>
      </c>
      <c r="J45">
        <v>7</v>
      </c>
      <c r="K45">
        <v>8</v>
      </c>
      <c r="L45">
        <v>-1</v>
      </c>
      <c r="M45">
        <v>8</v>
      </c>
      <c r="N45">
        <v>8</v>
      </c>
      <c r="O45">
        <v>0</v>
      </c>
      <c r="P45">
        <v>9</v>
      </c>
      <c r="Q45">
        <v>8</v>
      </c>
      <c r="R45">
        <v>1</v>
      </c>
      <c r="S45">
        <v>10</v>
      </c>
      <c r="T45">
        <v>8</v>
      </c>
      <c r="U45">
        <v>2</v>
      </c>
      <c r="V45">
        <v>9</v>
      </c>
      <c r="W45">
        <v>8</v>
      </c>
      <c r="X45">
        <v>1</v>
      </c>
      <c r="Y45">
        <v>8</v>
      </c>
      <c r="Z45">
        <v>8</v>
      </c>
      <c r="AA45">
        <v>0</v>
      </c>
      <c r="AB45">
        <v>9</v>
      </c>
      <c r="AC45">
        <v>9</v>
      </c>
      <c r="AD45">
        <v>0</v>
      </c>
      <c r="AE45">
        <v>8</v>
      </c>
      <c r="AF45">
        <v>5</v>
      </c>
      <c r="AG45">
        <v>3</v>
      </c>
      <c r="AH45">
        <v>9</v>
      </c>
      <c r="AI45">
        <v>9</v>
      </c>
      <c r="AJ45">
        <v>0</v>
      </c>
      <c r="AK45" t="s">
        <v>644</v>
      </c>
      <c r="AL45" t="s">
        <v>645</v>
      </c>
      <c r="AM45" t="s">
        <v>646</v>
      </c>
      <c r="AN45" t="s">
        <v>647</v>
      </c>
      <c r="AO45" t="s">
        <v>648</v>
      </c>
      <c r="AP45" t="s">
        <v>649</v>
      </c>
      <c r="AQ45" t="s">
        <v>650</v>
      </c>
      <c r="AR45" t="s">
        <v>651</v>
      </c>
      <c r="AS45" t="s">
        <v>652</v>
      </c>
    </row>
    <row r="46" spans="1:45" x14ac:dyDescent="0.45">
      <c r="A46">
        <v>45</v>
      </c>
      <c r="B46">
        <v>12389</v>
      </c>
      <c r="C46" t="s">
        <v>72</v>
      </c>
      <c r="D46" t="s">
        <v>79</v>
      </c>
      <c r="E46" t="s">
        <v>74</v>
      </c>
      <c r="F46" t="s">
        <v>77</v>
      </c>
      <c r="G46" t="s">
        <v>76</v>
      </c>
      <c r="H46">
        <v>26.332748776775741</v>
      </c>
      <c r="I46">
        <v>2</v>
      </c>
      <c r="J46">
        <v>8</v>
      </c>
      <c r="K46">
        <v>10</v>
      </c>
      <c r="L46">
        <v>-2</v>
      </c>
      <c r="M46">
        <v>7</v>
      </c>
      <c r="N46">
        <v>10</v>
      </c>
      <c r="O46">
        <v>-3</v>
      </c>
      <c r="P46">
        <v>9</v>
      </c>
      <c r="Q46">
        <v>10</v>
      </c>
      <c r="R46">
        <v>-1</v>
      </c>
      <c r="S46">
        <v>8</v>
      </c>
      <c r="T46">
        <v>9</v>
      </c>
      <c r="U46">
        <v>-1</v>
      </c>
      <c r="V46">
        <v>9</v>
      </c>
      <c r="W46">
        <v>10</v>
      </c>
      <c r="X46">
        <v>-1</v>
      </c>
      <c r="Y46">
        <v>9</v>
      </c>
      <c r="Z46">
        <v>10</v>
      </c>
      <c r="AA46">
        <v>-1</v>
      </c>
      <c r="AB46">
        <v>8</v>
      </c>
      <c r="AC46">
        <v>10</v>
      </c>
      <c r="AD46">
        <v>-2</v>
      </c>
      <c r="AE46">
        <v>7</v>
      </c>
      <c r="AF46">
        <v>10</v>
      </c>
      <c r="AG46">
        <v>-3</v>
      </c>
      <c r="AH46">
        <v>9</v>
      </c>
      <c r="AI46">
        <v>10</v>
      </c>
      <c r="AJ46">
        <v>-1</v>
      </c>
      <c r="AK46" t="s">
        <v>653</v>
      </c>
      <c r="AL46" t="s">
        <v>654</v>
      </c>
      <c r="AM46" t="s">
        <v>655</v>
      </c>
      <c r="AN46" t="s">
        <v>656</v>
      </c>
      <c r="AO46" t="s">
        <v>657</v>
      </c>
      <c r="AP46" t="s">
        <v>658</v>
      </c>
      <c r="AQ46" t="s">
        <v>659</v>
      </c>
      <c r="AR46" t="s">
        <v>660</v>
      </c>
      <c r="AS46" t="s">
        <v>661</v>
      </c>
    </row>
    <row r="47" spans="1:45" x14ac:dyDescent="0.45">
      <c r="A47">
        <v>46</v>
      </c>
      <c r="B47">
        <v>12390</v>
      </c>
      <c r="C47" t="s">
        <v>72</v>
      </c>
      <c r="D47" t="s">
        <v>191</v>
      </c>
      <c r="E47" t="s">
        <v>80</v>
      </c>
      <c r="F47" t="s">
        <v>77</v>
      </c>
      <c r="G47" t="s">
        <v>76</v>
      </c>
      <c r="H47">
        <v>12</v>
      </c>
      <c r="I47">
        <v>2</v>
      </c>
      <c r="J47">
        <v>7</v>
      </c>
      <c r="K47">
        <v>1</v>
      </c>
      <c r="L47">
        <v>6</v>
      </c>
      <c r="M47">
        <v>6</v>
      </c>
      <c r="N47">
        <v>1</v>
      </c>
      <c r="O47">
        <v>5</v>
      </c>
      <c r="P47">
        <v>8</v>
      </c>
      <c r="Q47">
        <v>2</v>
      </c>
      <c r="R47">
        <v>6</v>
      </c>
      <c r="S47">
        <v>9</v>
      </c>
      <c r="T47">
        <v>1</v>
      </c>
      <c r="U47">
        <v>8</v>
      </c>
      <c r="V47">
        <v>8</v>
      </c>
      <c r="W47">
        <v>1</v>
      </c>
      <c r="X47">
        <v>7</v>
      </c>
      <c r="Y47">
        <v>9</v>
      </c>
      <c r="Z47">
        <v>1</v>
      </c>
      <c r="AA47">
        <v>8</v>
      </c>
      <c r="AB47">
        <v>8</v>
      </c>
      <c r="AC47">
        <v>1</v>
      </c>
      <c r="AD47">
        <v>7</v>
      </c>
      <c r="AE47">
        <v>9</v>
      </c>
      <c r="AF47">
        <v>1</v>
      </c>
      <c r="AG47">
        <v>8</v>
      </c>
      <c r="AH47">
        <v>10</v>
      </c>
      <c r="AI47">
        <v>1</v>
      </c>
      <c r="AJ47">
        <v>9</v>
      </c>
      <c r="AK47" t="s">
        <v>662</v>
      </c>
      <c r="AL47" t="s">
        <v>663</v>
      </c>
      <c r="AM47" t="s">
        <v>664</v>
      </c>
      <c r="AN47" t="s">
        <v>665</v>
      </c>
      <c r="AO47" t="s">
        <v>666</v>
      </c>
      <c r="AP47" t="s">
        <v>667</v>
      </c>
      <c r="AQ47" t="s">
        <v>668</v>
      </c>
      <c r="AR47" t="s">
        <v>669</v>
      </c>
      <c r="AS47" t="s">
        <v>670</v>
      </c>
    </row>
    <row r="48" spans="1:45" x14ac:dyDescent="0.45">
      <c r="A48">
        <v>47</v>
      </c>
      <c r="B48">
        <v>12391</v>
      </c>
      <c r="C48" t="s">
        <v>78</v>
      </c>
      <c r="D48" t="s">
        <v>73</v>
      </c>
      <c r="E48" t="s">
        <v>74</v>
      </c>
      <c r="F48" t="s">
        <v>77</v>
      </c>
      <c r="G48" t="s">
        <v>76</v>
      </c>
      <c r="H48">
        <v>12</v>
      </c>
      <c r="I48">
        <v>0</v>
      </c>
      <c r="J48">
        <v>6</v>
      </c>
      <c r="K48">
        <v>8</v>
      </c>
      <c r="L48">
        <v>-2</v>
      </c>
      <c r="M48">
        <v>7</v>
      </c>
      <c r="N48">
        <v>8</v>
      </c>
      <c r="O48">
        <v>-1</v>
      </c>
      <c r="P48">
        <v>9</v>
      </c>
      <c r="Q48">
        <v>8</v>
      </c>
      <c r="R48">
        <v>1</v>
      </c>
      <c r="S48">
        <v>9</v>
      </c>
      <c r="T48">
        <v>7</v>
      </c>
      <c r="U48">
        <v>2</v>
      </c>
      <c r="V48">
        <v>7</v>
      </c>
      <c r="W48">
        <v>6</v>
      </c>
      <c r="X48">
        <v>1</v>
      </c>
      <c r="Y48">
        <v>9</v>
      </c>
      <c r="Z48">
        <v>8</v>
      </c>
      <c r="AA48">
        <v>1</v>
      </c>
      <c r="AB48">
        <v>8</v>
      </c>
      <c r="AC48">
        <v>8</v>
      </c>
      <c r="AD48">
        <v>0</v>
      </c>
      <c r="AE48">
        <v>7</v>
      </c>
      <c r="AF48">
        <v>9</v>
      </c>
      <c r="AG48">
        <v>-2</v>
      </c>
      <c r="AH48">
        <v>9</v>
      </c>
      <c r="AI48">
        <v>8</v>
      </c>
      <c r="AJ48">
        <v>1</v>
      </c>
      <c r="AK48" t="s">
        <v>671</v>
      </c>
      <c r="AL48" t="s">
        <v>672</v>
      </c>
      <c r="AM48" t="s">
        <v>673</v>
      </c>
      <c r="AN48" t="s">
        <v>674</v>
      </c>
      <c r="AO48" t="s">
        <v>675</v>
      </c>
      <c r="AP48" t="s">
        <v>676</v>
      </c>
      <c r="AQ48" t="s">
        <v>677</v>
      </c>
      <c r="AR48" t="s">
        <v>678</v>
      </c>
      <c r="AS48" t="s">
        <v>679</v>
      </c>
    </row>
    <row r="49" spans="1:45" x14ac:dyDescent="0.45">
      <c r="A49">
        <v>48</v>
      </c>
      <c r="B49">
        <v>12392</v>
      </c>
      <c r="C49" t="s">
        <v>72</v>
      </c>
      <c r="D49" t="s">
        <v>73</v>
      </c>
      <c r="E49" t="s">
        <v>74</v>
      </c>
      <c r="F49" t="s">
        <v>77</v>
      </c>
      <c r="G49" t="s">
        <v>76</v>
      </c>
      <c r="H49">
        <v>34.345379820134994</v>
      </c>
      <c r="I49">
        <v>3</v>
      </c>
      <c r="J49">
        <v>6</v>
      </c>
      <c r="K49">
        <v>10</v>
      </c>
      <c r="L49">
        <v>-4</v>
      </c>
      <c r="M49">
        <v>6</v>
      </c>
      <c r="N49">
        <v>10</v>
      </c>
      <c r="O49">
        <v>-4</v>
      </c>
      <c r="P49">
        <v>8</v>
      </c>
      <c r="Q49">
        <v>10</v>
      </c>
      <c r="R49">
        <v>-2</v>
      </c>
      <c r="S49">
        <v>9</v>
      </c>
      <c r="T49">
        <v>10</v>
      </c>
      <c r="U49">
        <v>-1</v>
      </c>
      <c r="V49">
        <v>7</v>
      </c>
      <c r="W49">
        <v>10</v>
      </c>
      <c r="X49">
        <v>-3</v>
      </c>
      <c r="Y49">
        <v>6</v>
      </c>
      <c r="Z49">
        <v>10</v>
      </c>
      <c r="AA49">
        <v>-4</v>
      </c>
      <c r="AB49">
        <v>5</v>
      </c>
      <c r="AC49">
        <v>10</v>
      </c>
      <c r="AD49">
        <v>-5</v>
      </c>
      <c r="AE49">
        <v>7</v>
      </c>
      <c r="AF49">
        <v>10</v>
      </c>
      <c r="AG49">
        <v>-3</v>
      </c>
      <c r="AH49">
        <v>8</v>
      </c>
      <c r="AI49">
        <v>10</v>
      </c>
      <c r="AJ49">
        <v>-2</v>
      </c>
      <c r="AK49" t="s">
        <v>680</v>
      </c>
      <c r="AL49" t="s">
        <v>681</v>
      </c>
      <c r="AM49" t="s">
        <v>682</v>
      </c>
      <c r="AN49" t="s">
        <v>683</v>
      </c>
      <c r="AO49" t="s">
        <v>684</v>
      </c>
      <c r="AP49" t="s">
        <v>685</v>
      </c>
      <c r="AQ49" t="s">
        <v>686</v>
      </c>
      <c r="AR49" t="s">
        <v>687</v>
      </c>
      <c r="AS49" t="s">
        <v>688</v>
      </c>
    </row>
    <row r="50" spans="1:45" x14ac:dyDescent="0.45">
      <c r="A50">
        <v>49</v>
      </c>
      <c r="B50">
        <v>12393</v>
      </c>
      <c r="C50" t="s">
        <v>78</v>
      </c>
      <c r="D50" t="s">
        <v>73</v>
      </c>
      <c r="E50" t="s">
        <v>74</v>
      </c>
      <c r="F50" t="s">
        <v>77</v>
      </c>
      <c r="G50" t="s">
        <v>76</v>
      </c>
      <c r="H50">
        <v>108.15945156406887</v>
      </c>
      <c r="I50">
        <v>2</v>
      </c>
      <c r="J50">
        <v>9</v>
      </c>
      <c r="K50">
        <v>8</v>
      </c>
      <c r="L50">
        <v>1</v>
      </c>
      <c r="M50">
        <v>9</v>
      </c>
      <c r="N50">
        <v>8</v>
      </c>
      <c r="O50">
        <v>1</v>
      </c>
      <c r="P50">
        <v>8</v>
      </c>
      <c r="Q50">
        <v>7</v>
      </c>
      <c r="R50">
        <v>1</v>
      </c>
      <c r="S50">
        <v>9</v>
      </c>
      <c r="T50">
        <v>8</v>
      </c>
      <c r="U50">
        <v>1</v>
      </c>
      <c r="V50">
        <v>8</v>
      </c>
      <c r="W50">
        <v>6</v>
      </c>
      <c r="X50">
        <v>2</v>
      </c>
      <c r="Y50">
        <v>9</v>
      </c>
      <c r="Z50">
        <v>8</v>
      </c>
      <c r="AA50">
        <v>1</v>
      </c>
      <c r="AB50">
        <v>8</v>
      </c>
      <c r="AC50">
        <v>6</v>
      </c>
      <c r="AD50">
        <v>2</v>
      </c>
      <c r="AE50">
        <v>7</v>
      </c>
      <c r="AF50">
        <v>5</v>
      </c>
      <c r="AG50">
        <v>2</v>
      </c>
      <c r="AH50">
        <v>9</v>
      </c>
      <c r="AI50">
        <v>8</v>
      </c>
      <c r="AJ50">
        <v>1</v>
      </c>
      <c r="AK50" t="s">
        <v>689</v>
      </c>
      <c r="AL50" t="s">
        <v>690</v>
      </c>
      <c r="AM50" t="s">
        <v>691</v>
      </c>
      <c r="AN50" t="s">
        <v>692</v>
      </c>
      <c r="AO50" t="s">
        <v>693</v>
      </c>
      <c r="AP50" t="s">
        <v>694</v>
      </c>
      <c r="AQ50" t="s">
        <v>695</v>
      </c>
      <c r="AR50" t="s">
        <v>696</v>
      </c>
      <c r="AS50" t="s">
        <v>697</v>
      </c>
    </row>
    <row r="51" spans="1:45" x14ac:dyDescent="0.45">
      <c r="A51">
        <v>50</v>
      </c>
      <c r="B51">
        <v>12394</v>
      </c>
      <c r="C51" t="s">
        <v>72</v>
      </c>
      <c r="D51" t="s">
        <v>73</v>
      </c>
      <c r="E51" t="s">
        <v>74</v>
      </c>
      <c r="F51" t="s">
        <v>77</v>
      </c>
      <c r="G51" t="s">
        <v>76</v>
      </c>
      <c r="H51">
        <v>20.174158865869114</v>
      </c>
      <c r="I51">
        <v>3</v>
      </c>
      <c r="J51">
        <v>7</v>
      </c>
      <c r="K51">
        <v>10</v>
      </c>
      <c r="L51">
        <v>-3</v>
      </c>
      <c r="M51">
        <v>6</v>
      </c>
      <c r="N51">
        <v>10</v>
      </c>
      <c r="O51">
        <v>-4</v>
      </c>
      <c r="P51">
        <v>9</v>
      </c>
      <c r="Q51">
        <v>10</v>
      </c>
      <c r="R51">
        <v>-1</v>
      </c>
      <c r="S51">
        <v>8</v>
      </c>
      <c r="T51">
        <v>8</v>
      </c>
      <c r="U51">
        <v>0</v>
      </c>
      <c r="V51">
        <v>9</v>
      </c>
      <c r="W51">
        <v>8</v>
      </c>
      <c r="X51">
        <v>1</v>
      </c>
      <c r="Y51">
        <v>8</v>
      </c>
      <c r="Z51">
        <v>8</v>
      </c>
      <c r="AA51">
        <v>0</v>
      </c>
      <c r="AB51">
        <v>7</v>
      </c>
      <c r="AC51">
        <v>8</v>
      </c>
      <c r="AD51">
        <v>-1</v>
      </c>
      <c r="AE51">
        <v>6</v>
      </c>
      <c r="AF51">
        <v>8</v>
      </c>
      <c r="AG51">
        <v>-2</v>
      </c>
      <c r="AH51">
        <v>8</v>
      </c>
      <c r="AI51">
        <v>8</v>
      </c>
      <c r="AJ51">
        <v>0</v>
      </c>
      <c r="AK51" t="s">
        <v>698</v>
      </c>
      <c r="AL51" t="s">
        <v>699</v>
      </c>
      <c r="AM51" t="s">
        <v>700</v>
      </c>
      <c r="AN51" t="s">
        <v>701</v>
      </c>
      <c r="AO51" t="s">
        <v>702</v>
      </c>
      <c r="AP51" t="s">
        <v>703</v>
      </c>
      <c r="AQ51" t="s">
        <v>704</v>
      </c>
      <c r="AR51" t="s">
        <v>705</v>
      </c>
      <c r="AS51" t="s">
        <v>706</v>
      </c>
    </row>
    <row r="52" spans="1:45" x14ac:dyDescent="0.45">
      <c r="A52">
        <v>51</v>
      </c>
      <c r="B52">
        <v>12395</v>
      </c>
      <c r="C52" t="s">
        <v>78</v>
      </c>
      <c r="D52" t="s">
        <v>81</v>
      </c>
      <c r="E52" t="s">
        <v>74</v>
      </c>
      <c r="F52" t="s">
        <v>77</v>
      </c>
      <c r="G52" t="s">
        <v>76</v>
      </c>
      <c r="H52">
        <v>12.655826388712205</v>
      </c>
      <c r="I52">
        <v>0</v>
      </c>
      <c r="J52">
        <v>6</v>
      </c>
      <c r="K52">
        <v>10</v>
      </c>
      <c r="L52">
        <v>-4</v>
      </c>
      <c r="M52">
        <v>7</v>
      </c>
      <c r="N52">
        <v>10</v>
      </c>
      <c r="O52">
        <v>-3</v>
      </c>
      <c r="P52">
        <v>9</v>
      </c>
      <c r="Q52">
        <v>10</v>
      </c>
      <c r="R52">
        <v>-1</v>
      </c>
      <c r="S52">
        <v>8</v>
      </c>
      <c r="T52">
        <v>10</v>
      </c>
      <c r="U52">
        <v>-2</v>
      </c>
      <c r="V52">
        <v>9</v>
      </c>
      <c r="W52">
        <v>10</v>
      </c>
      <c r="X52">
        <v>-1</v>
      </c>
      <c r="Y52">
        <v>9</v>
      </c>
      <c r="Z52">
        <v>10</v>
      </c>
      <c r="AA52">
        <v>-1</v>
      </c>
      <c r="AB52">
        <v>7</v>
      </c>
      <c r="AC52">
        <v>10</v>
      </c>
      <c r="AD52">
        <v>-3</v>
      </c>
      <c r="AE52">
        <v>8</v>
      </c>
      <c r="AF52">
        <v>10</v>
      </c>
      <c r="AG52">
        <v>-2</v>
      </c>
      <c r="AH52">
        <v>9</v>
      </c>
      <c r="AI52">
        <v>10</v>
      </c>
      <c r="AJ52">
        <v>-1</v>
      </c>
      <c r="AK52" t="s">
        <v>707</v>
      </c>
      <c r="AL52" t="s">
        <v>708</v>
      </c>
      <c r="AM52" t="s">
        <v>709</v>
      </c>
      <c r="AN52" t="s">
        <v>710</v>
      </c>
      <c r="AO52" t="s">
        <v>711</v>
      </c>
      <c r="AP52" t="s">
        <v>712</v>
      </c>
      <c r="AQ52" t="s">
        <v>713</v>
      </c>
      <c r="AR52" t="s">
        <v>714</v>
      </c>
      <c r="AS52" t="s">
        <v>715</v>
      </c>
    </row>
    <row r="53" spans="1:45" x14ac:dyDescent="0.45">
      <c r="A53">
        <v>52</v>
      </c>
      <c r="B53">
        <v>12396</v>
      </c>
      <c r="C53" t="s">
        <v>72</v>
      </c>
      <c r="D53" t="s">
        <v>81</v>
      </c>
      <c r="E53" t="s">
        <v>74</v>
      </c>
      <c r="F53" t="s">
        <v>77</v>
      </c>
      <c r="G53" t="s">
        <v>76</v>
      </c>
      <c r="H53">
        <v>18.604831155484682</v>
      </c>
      <c r="I53">
        <v>1</v>
      </c>
      <c r="J53">
        <v>7</v>
      </c>
      <c r="K53">
        <v>10</v>
      </c>
      <c r="L53">
        <v>-3</v>
      </c>
      <c r="M53">
        <v>8</v>
      </c>
      <c r="N53">
        <v>10</v>
      </c>
      <c r="O53">
        <v>-2</v>
      </c>
      <c r="P53">
        <v>9</v>
      </c>
      <c r="Q53">
        <v>10</v>
      </c>
      <c r="R53">
        <v>-1</v>
      </c>
      <c r="S53">
        <v>8</v>
      </c>
      <c r="T53">
        <v>10</v>
      </c>
      <c r="U53">
        <v>-2</v>
      </c>
      <c r="V53">
        <v>9</v>
      </c>
      <c r="W53">
        <v>10</v>
      </c>
      <c r="X53">
        <v>-1</v>
      </c>
      <c r="Y53">
        <v>8</v>
      </c>
      <c r="Z53">
        <v>10</v>
      </c>
      <c r="AA53">
        <v>-2</v>
      </c>
      <c r="AB53">
        <v>9</v>
      </c>
      <c r="AC53">
        <v>10</v>
      </c>
      <c r="AD53">
        <v>-1</v>
      </c>
      <c r="AE53">
        <v>8</v>
      </c>
      <c r="AF53">
        <v>10</v>
      </c>
      <c r="AG53">
        <v>-2</v>
      </c>
      <c r="AH53">
        <v>9</v>
      </c>
      <c r="AI53">
        <v>8</v>
      </c>
      <c r="AJ53">
        <v>1</v>
      </c>
      <c r="AK53" t="s">
        <v>716</v>
      </c>
      <c r="AL53" t="s">
        <v>717</v>
      </c>
      <c r="AM53" t="s">
        <v>718</v>
      </c>
      <c r="AN53" t="s">
        <v>719</v>
      </c>
      <c r="AO53" t="s">
        <v>720</v>
      </c>
      <c r="AP53" t="s">
        <v>721</v>
      </c>
      <c r="AQ53" t="s">
        <v>722</v>
      </c>
      <c r="AR53" t="s">
        <v>723</v>
      </c>
      <c r="AS53" t="s">
        <v>724</v>
      </c>
    </row>
    <row r="54" spans="1:45" x14ac:dyDescent="0.45">
      <c r="A54">
        <v>53</v>
      </c>
      <c r="B54">
        <v>12397</v>
      </c>
      <c r="C54" t="s">
        <v>78</v>
      </c>
      <c r="D54" t="s">
        <v>81</v>
      </c>
      <c r="E54" t="s">
        <v>74</v>
      </c>
      <c r="F54" t="s">
        <v>75</v>
      </c>
      <c r="G54" t="s">
        <v>76</v>
      </c>
      <c r="H54">
        <v>14.9461250365175</v>
      </c>
      <c r="I54">
        <v>2</v>
      </c>
      <c r="J54">
        <v>6</v>
      </c>
      <c r="K54">
        <v>10</v>
      </c>
      <c r="L54">
        <v>-4</v>
      </c>
      <c r="M54">
        <v>6</v>
      </c>
      <c r="N54">
        <v>10</v>
      </c>
      <c r="O54">
        <v>-4</v>
      </c>
      <c r="P54">
        <v>7</v>
      </c>
      <c r="Q54">
        <v>10</v>
      </c>
      <c r="R54">
        <v>-3</v>
      </c>
      <c r="S54">
        <v>8</v>
      </c>
      <c r="T54">
        <v>10</v>
      </c>
      <c r="U54">
        <v>-2</v>
      </c>
      <c r="V54">
        <v>9</v>
      </c>
      <c r="W54">
        <v>10</v>
      </c>
      <c r="X54">
        <v>-1</v>
      </c>
      <c r="Y54">
        <v>8</v>
      </c>
      <c r="Z54">
        <v>10</v>
      </c>
      <c r="AA54">
        <v>-2</v>
      </c>
      <c r="AB54">
        <v>8</v>
      </c>
      <c r="AC54">
        <v>10</v>
      </c>
      <c r="AD54">
        <v>-2</v>
      </c>
      <c r="AE54">
        <v>9</v>
      </c>
      <c r="AF54">
        <v>10</v>
      </c>
      <c r="AG54">
        <v>-1</v>
      </c>
      <c r="AH54">
        <v>8</v>
      </c>
      <c r="AI54">
        <v>10</v>
      </c>
      <c r="AJ54">
        <v>-2</v>
      </c>
      <c r="AK54" t="s">
        <v>725</v>
      </c>
      <c r="AL54" t="s">
        <v>726</v>
      </c>
      <c r="AM54" t="s">
        <v>727</v>
      </c>
      <c r="AN54" t="s">
        <v>728</v>
      </c>
      <c r="AO54" t="s">
        <v>729</v>
      </c>
      <c r="AP54" t="s">
        <v>730</v>
      </c>
      <c r="AQ54" t="s">
        <v>731</v>
      </c>
      <c r="AR54" t="s">
        <v>732</v>
      </c>
      <c r="AS54" t="s">
        <v>733</v>
      </c>
    </row>
    <row r="55" spans="1:45" x14ac:dyDescent="0.45">
      <c r="A55">
        <v>54</v>
      </c>
      <c r="B55">
        <v>12398</v>
      </c>
      <c r="C55" t="s">
        <v>72</v>
      </c>
      <c r="D55" t="s">
        <v>79</v>
      </c>
      <c r="E55" t="s">
        <v>74</v>
      </c>
      <c r="F55" t="s">
        <v>77</v>
      </c>
      <c r="G55" t="s">
        <v>76</v>
      </c>
      <c r="H55">
        <v>36.294419909457389</v>
      </c>
      <c r="I55">
        <v>2</v>
      </c>
      <c r="J55">
        <v>6</v>
      </c>
      <c r="K55">
        <v>8</v>
      </c>
      <c r="L55">
        <v>-2</v>
      </c>
      <c r="M55">
        <v>7</v>
      </c>
      <c r="N55">
        <v>7</v>
      </c>
      <c r="O55">
        <v>0</v>
      </c>
      <c r="P55">
        <v>8</v>
      </c>
      <c r="Q55">
        <v>7</v>
      </c>
      <c r="R55">
        <v>1</v>
      </c>
      <c r="S55">
        <v>9</v>
      </c>
      <c r="T55">
        <v>8</v>
      </c>
      <c r="U55">
        <v>1</v>
      </c>
      <c r="V55">
        <v>8</v>
      </c>
      <c r="W55">
        <v>7</v>
      </c>
      <c r="X55">
        <v>1</v>
      </c>
      <c r="Y55">
        <v>9</v>
      </c>
      <c r="Z55">
        <v>8</v>
      </c>
      <c r="AA55">
        <v>1</v>
      </c>
      <c r="AB55">
        <v>7</v>
      </c>
      <c r="AC55">
        <v>7</v>
      </c>
      <c r="AD55">
        <v>0</v>
      </c>
      <c r="AE55">
        <v>8</v>
      </c>
      <c r="AF55">
        <v>7</v>
      </c>
      <c r="AG55">
        <v>1</v>
      </c>
      <c r="AH55">
        <v>9</v>
      </c>
      <c r="AI55">
        <v>8</v>
      </c>
      <c r="AJ55">
        <v>1</v>
      </c>
      <c r="AK55" t="s">
        <v>734</v>
      </c>
      <c r="AL55" t="s">
        <v>735</v>
      </c>
      <c r="AM55" t="s">
        <v>736</v>
      </c>
      <c r="AN55" t="s">
        <v>737</v>
      </c>
      <c r="AO55" t="s">
        <v>738</v>
      </c>
      <c r="AP55" t="s">
        <v>739</v>
      </c>
      <c r="AQ55" t="s">
        <v>740</v>
      </c>
      <c r="AR55" t="s">
        <v>741</v>
      </c>
      <c r="AS55" t="s">
        <v>742</v>
      </c>
    </row>
    <row r="56" spans="1:45" x14ac:dyDescent="0.45">
      <c r="A56">
        <v>55</v>
      </c>
      <c r="B56">
        <v>12399</v>
      </c>
      <c r="C56" t="s">
        <v>72</v>
      </c>
      <c r="D56" t="s">
        <v>73</v>
      </c>
      <c r="E56" t="s">
        <v>74</v>
      </c>
      <c r="F56" t="s">
        <v>77</v>
      </c>
      <c r="G56" t="s">
        <v>76</v>
      </c>
      <c r="H56">
        <v>43.726389203210836</v>
      </c>
      <c r="I56">
        <v>1</v>
      </c>
      <c r="J56">
        <v>7</v>
      </c>
      <c r="K56">
        <v>10</v>
      </c>
      <c r="L56">
        <v>-3</v>
      </c>
      <c r="M56">
        <v>6</v>
      </c>
      <c r="N56">
        <v>9</v>
      </c>
      <c r="O56">
        <v>-3</v>
      </c>
      <c r="P56">
        <v>9</v>
      </c>
      <c r="Q56">
        <v>3</v>
      </c>
      <c r="R56">
        <v>6</v>
      </c>
      <c r="S56">
        <v>8</v>
      </c>
      <c r="T56">
        <v>4</v>
      </c>
      <c r="U56">
        <v>4</v>
      </c>
      <c r="V56">
        <v>7</v>
      </c>
      <c r="W56">
        <v>3</v>
      </c>
      <c r="X56">
        <v>4</v>
      </c>
      <c r="Y56">
        <v>8</v>
      </c>
      <c r="Z56">
        <v>3</v>
      </c>
      <c r="AA56">
        <v>5</v>
      </c>
      <c r="AB56">
        <v>7</v>
      </c>
      <c r="AC56">
        <v>1</v>
      </c>
      <c r="AD56">
        <v>6</v>
      </c>
      <c r="AE56">
        <v>6</v>
      </c>
      <c r="AF56">
        <v>1</v>
      </c>
      <c r="AG56">
        <v>5</v>
      </c>
      <c r="AH56">
        <v>8</v>
      </c>
      <c r="AI56">
        <v>3</v>
      </c>
      <c r="AJ56">
        <v>5</v>
      </c>
      <c r="AK56" t="s">
        <v>743</v>
      </c>
      <c r="AL56" t="s">
        <v>744</v>
      </c>
      <c r="AM56" t="s">
        <v>745</v>
      </c>
      <c r="AN56" t="s">
        <v>746</v>
      </c>
      <c r="AO56" t="s">
        <v>747</v>
      </c>
      <c r="AP56" t="s">
        <v>748</v>
      </c>
      <c r="AQ56" t="s">
        <v>749</v>
      </c>
      <c r="AR56" t="s">
        <v>750</v>
      </c>
      <c r="AS56" t="s">
        <v>751</v>
      </c>
    </row>
    <row r="57" spans="1:45" x14ac:dyDescent="0.45">
      <c r="A57">
        <v>56</v>
      </c>
      <c r="B57">
        <v>12400</v>
      </c>
      <c r="C57" t="s">
        <v>78</v>
      </c>
      <c r="D57" t="s">
        <v>81</v>
      </c>
      <c r="E57" t="s">
        <v>74</v>
      </c>
      <c r="F57" t="s">
        <v>77</v>
      </c>
      <c r="G57" t="s">
        <v>76</v>
      </c>
      <c r="H57">
        <v>12</v>
      </c>
      <c r="I57">
        <v>0</v>
      </c>
      <c r="J57">
        <v>7</v>
      </c>
      <c r="K57">
        <v>10</v>
      </c>
      <c r="L57">
        <v>-3</v>
      </c>
      <c r="M57">
        <v>6</v>
      </c>
      <c r="N57">
        <v>10</v>
      </c>
      <c r="O57">
        <v>-4</v>
      </c>
      <c r="P57">
        <v>9</v>
      </c>
      <c r="Q57">
        <v>9</v>
      </c>
      <c r="R57">
        <v>0</v>
      </c>
      <c r="S57">
        <v>8</v>
      </c>
      <c r="T57">
        <v>10</v>
      </c>
      <c r="U57">
        <v>-2</v>
      </c>
      <c r="V57">
        <v>9</v>
      </c>
      <c r="W57">
        <v>9</v>
      </c>
      <c r="X57">
        <v>0</v>
      </c>
      <c r="Y57">
        <v>8</v>
      </c>
      <c r="Z57">
        <v>10</v>
      </c>
      <c r="AA57">
        <v>-2</v>
      </c>
      <c r="AB57">
        <v>9</v>
      </c>
      <c r="AC57">
        <v>9</v>
      </c>
      <c r="AD57">
        <v>0</v>
      </c>
      <c r="AE57">
        <v>8</v>
      </c>
      <c r="AF57">
        <v>10</v>
      </c>
      <c r="AG57">
        <v>-2</v>
      </c>
      <c r="AH57">
        <v>9</v>
      </c>
      <c r="AI57">
        <v>9</v>
      </c>
      <c r="AJ57">
        <v>0</v>
      </c>
      <c r="AK57" t="s">
        <v>752</v>
      </c>
      <c r="AL57" t="s">
        <v>753</v>
      </c>
      <c r="AM57" t="s">
        <v>754</v>
      </c>
      <c r="AN57" t="s">
        <v>755</v>
      </c>
      <c r="AO57" t="s">
        <v>756</v>
      </c>
      <c r="AP57" t="s">
        <v>757</v>
      </c>
      <c r="AQ57" t="s">
        <v>758</v>
      </c>
      <c r="AR57" t="s">
        <v>759</v>
      </c>
      <c r="AS57" t="s">
        <v>760</v>
      </c>
    </row>
    <row r="58" spans="1:45" x14ac:dyDescent="0.45">
      <c r="A58">
        <v>57</v>
      </c>
      <c r="B58">
        <v>12401</v>
      </c>
      <c r="C58" t="s">
        <v>72</v>
      </c>
      <c r="D58" t="s">
        <v>73</v>
      </c>
      <c r="E58" t="s">
        <v>74</v>
      </c>
      <c r="F58" t="s">
        <v>77</v>
      </c>
      <c r="G58" t="s">
        <v>76</v>
      </c>
      <c r="H58">
        <v>13.601403136374421</v>
      </c>
      <c r="I58">
        <v>2</v>
      </c>
      <c r="J58">
        <v>7</v>
      </c>
      <c r="K58">
        <v>10</v>
      </c>
      <c r="L58">
        <v>-3</v>
      </c>
      <c r="M58">
        <v>6</v>
      </c>
      <c r="N58">
        <v>10</v>
      </c>
      <c r="O58">
        <v>-4</v>
      </c>
      <c r="P58">
        <v>9</v>
      </c>
      <c r="Q58">
        <v>1</v>
      </c>
      <c r="R58">
        <v>8</v>
      </c>
      <c r="S58">
        <v>8</v>
      </c>
      <c r="T58">
        <v>5</v>
      </c>
      <c r="U58">
        <v>3</v>
      </c>
      <c r="V58">
        <v>9</v>
      </c>
      <c r="W58">
        <v>7</v>
      </c>
      <c r="X58">
        <v>2</v>
      </c>
      <c r="Y58">
        <v>8</v>
      </c>
      <c r="Z58">
        <v>10</v>
      </c>
      <c r="AA58">
        <v>-2</v>
      </c>
      <c r="AB58">
        <v>9</v>
      </c>
      <c r="AC58">
        <v>9</v>
      </c>
      <c r="AD58">
        <v>0</v>
      </c>
      <c r="AE58">
        <v>8</v>
      </c>
      <c r="AF58">
        <v>9</v>
      </c>
      <c r="AG58">
        <v>-1</v>
      </c>
      <c r="AH58">
        <v>9</v>
      </c>
      <c r="AI58">
        <v>10</v>
      </c>
      <c r="AJ58">
        <v>-1</v>
      </c>
      <c r="AK58" t="s">
        <v>761</v>
      </c>
      <c r="AL58" t="s">
        <v>762</v>
      </c>
      <c r="AM58" t="s">
        <v>763</v>
      </c>
      <c r="AN58" t="s">
        <v>764</v>
      </c>
      <c r="AO58" t="s">
        <v>765</v>
      </c>
      <c r="AP58" t="s">
        <v>766</v>
      </c>
      <c r="AQ58" t="s">
        <v>767</v>
      </c>
      <c r="AR58" t="s">
        <v>768</v>
      </c>
      <c r="AS58" t="s">
        <v>769</v>
      </c>
    </row>
    <row r="59" spans="1:45" x14ac:dyDescent="0.45">
      <c r="A59">
        <v>58</v>
      </c>
      <c r="B59">
        <v>12402</v>
      </c>
      <c r="C59" t="s">
        <v>72</v>
      </c>
      <c r="D59" t="s">
        <v>79</v>
      </c>
      <c r="E59" t="s">
        <v>74</v>
      </c>
      <c r="F59" t="s">
        <v>75</v>
      </c>
      <c r="G59" t="s">
        <v>76</v>
      </c>
      <c r="H59">
        <v>23.182107525731588</v>
      </c>
      <c r="I59">
        <v>1</v>
      </c>
      <c r="J59">
        <v>6</v>
      </c>
      <c r="K59">
        <v>5</v>
      </c>
      <c r="L59">
        <v>1</v>
      </c>
      <c r="M59">
        <v>7</v>
      </c>
      <c r="N59">
        <v>5</v>
      </c>
      <c r="O59">
        <v>2</v>
      </c>
      <c r="P59">
        <v>8</v>
      </c>
      <c r="Q59">
        <v>4</v>
      </c>
      <c r="R59">
        <v>4</v>
      </c>
      <c r="S59">
        <v>9</v>
      </c>
      <c r="T59">
        <v>8</v>
      </c>
      <c r="U59">
        <v>1</v>
      </c>
      <c r="V59">
        <v>7</v>
      </c>
      <c r="W59">
        <v>5</v>
      </c>
      <c r="X59">
        <v>2</v>
      </c>
      <c r="Y59">
        <v>9</v>
      </c>
      <c r="Z59">
        <v>7</v>
      </c>
      <c r="AA59">
        <v>2</v>
      </c>
      <c r="AB59">
        <v>7</v>
      </c>
      <c r="AC59">
        <v>7</v>
      </c>
      <c r="AD59">
        <v>0</v>
      </c>
      <c r="AE59">
        <v>8</v>
      </c>
      <c r="AF59">
        <v>7</v>
      </c>
      <c r="AG59">
        <v>1</v>
      </c>
      <c r="AH59">
        <v>9</v>
      </c>
      <c r="AI59">
        <v>7</v>
      </c>
      <c r="AJ59">
        <v>2</v>
      </c>
      <c r="AK59" t="s">
        <v>770</v>
      </c>
      <c r="AL59" t="s">
        <v>771</v>
      </c>
      <c r="AM59" t="s">
        <v>772</v>
      </c>
      <c r="AN59" t="s">
        <v>773</v>
      </c>
      <c r="AO59" t="s">
        <v>774</v>
      </c>
      <c r="AP59" t="s">
        <v>775</v>
      </c>
      <c r="AQ59" t="s">
        <v>776</v>
      </c>
      <c r="AR59" t="s">
        <v>777</v>
      </c>
      <c r="AS59" t="s">
        <v>778</v>
      </c>
    </row>
    <row r="60" spans="1:45" x14ac:dyDescent="0.45">
      <c r="A60">
        <v>59</v>
      </c>
      <c r="B60">
        <v>12403</v>
      </c>
      <c r="C60" t="s">
        <v>72</v>
      </c>
      <c r="D60" t="s">
        <v>189</v>
      </c>
      <c r="E60" t="s">
        <v>74</v>
      </c>
      <c r="F60" t="s">
        <v>77</v>
      </c>
      <c r="G60" t="s">
        <v>162</v>
      </c>
      <c r="H60">
        <v>12</v>
      </c>
      <c r="I60">
        <v>0</v>
      </c>
      <c r="J60">
        <v>8</v>
      </c>
      <c r="K60">
        <v>9</v>
      </c>
      <c r="L60">
        <v>-1</v>
      </c>
      <c r="M60">
        <v>7</v>
      </c>
      <c r="N60">
        <v>9</v>
      </c>
      <c r="O60">
        <v>-2</v>
      </c>
      <c r="P60">
        <v>9</v>
      </c>
      <c r="Q60">
        <v>9</v>
      </c>
      <c r="R60">
        <v>0</v>
      </c>
      <c r="S60">
        <v>8</v>
      </c>
      <c r="T60">
        <v>7</v>
      </c>
      <c r="U60">
        <v>1</v>
      </c>
      <c r="V60">
        <v>7</v>
      </c>
      <c r="W60">
        <v>7</v>
      </c>
      <c r="X60">
        <v>0</v>
      </c>
      <c r="Y60">
        <v>9</v>
      </c>
      <c r="Z60">
        <v>8</v>
      </c>
      <c r="AA60">
        <v>1</v>
      </c>
      <c r="AB60">
        <v>8</v>
      </c>
      <c r="AC60">
        <v>8</v>
      </c>
      <c r="AD60">
        <v>0</v>
      </c>
      <c r="AE60">
        <v>7</v>
      </c>
      <c r="AF60">
        <v>6</v>
      </c>
      <c r="AG60">
        <v>1</v>
      </c>
      <c r="AH60">
        <v>9</v>
      </c>
      <c r="AI60">
        <v>5</v>
      </c>
      <c r="AJ60">
        <v>4</v>
      </c>
      <c r="AK60" t="s">
        <v>779</v>
      </c>
      <c r="AL60" t="s">
        <v>780</v>
      </c>
      <c r="AM60" t="s">
        <v>781</v>
      </c>
      <c r="AN60" t="s">
        <v>782</v>
      </c>
      <c r="AO60" t="s">
        <v>783</v>
      </c>
      <c r="AP60" t="s">
        <v>784</v>
      </c>
      <c r="AQ60" t="s">
        <v>785</v>
      </c>
      <c r="AR60" t="s">
        <v>786</v>
      </c>
      <c r="AS60" t="s">
        <v>787</v>
      </c>
    </row>
    <row r="61" spans="1:45" x14ac:dyDescent="0.45">
      <c r="A61">
        <v>60</v>
      </c>
      <c r="B61">
        <v>12404</v>
      </c>
      <c r="C61" t="s">
        <v>78</v>
      </c>
      <c r="D61" t="s">
        <v>81</v>
      </c>
      <c r="E61" t="s">
        <v>74</v>
      </c>
      <c r="F61" t="s">
        <v>77</v>
      </c>
      <c r="G61" t="s">
        <v>76</v>
      </c>
      <c r="H61">
        <v>16.799528534169426</v>
      </c>
      <c r="I61">
        <v>0</v>
      </c>
      <c r="J61">
        <v>7</v>
      </c>
      <c r="K61">
        <v>5</v>
      </c>
      <c r="L61">
        <v>2</v>
      </c>
      <c r="M61">
        <v>8</v>
      </c>
      <c r="N61">
        <v>5</v>
      </c>
      <c r="O61">
        <v>3</v>
      </c>
      <c r="P61">
        <v>9</v>
      </c>
      <c r="Q61">
        <v>5</v>
      </c>
      <c r="R61">
        <v>4</v>
      </c>
      <c r="S61">
        <v>9</v>
      </c>
      <c r="T61">
        <v>5</v>
      </c>
      <c r="U61">
        <v>4</v>
      </c>
      <c r="V61">
        <v>8</v>
      </c>
      <c r="W61">
        <v>5</v>
      </c>
      <c r="X61">
        <v>3</v>
      </c>
      <c r="Y61">
        <v>9</v>
      </c>
      <c r="Z61">
        <v>8</v>
      </c>
      <c r="AA61">
        <v>1</v>
      </c>
      <c r="AB61">
        <v>8</v>
      </c>
      <c r="AC61">
        <v>4</v>
      </c>
      <c r="AD61">
        <v>4</v>
      </c>
      <c r="AE61">
        <v>9</v>
      </c>
      <c r="AF61">
        <v>5</v>
      </c>
      <c r="AG61">
        <v>4</v>
      </c>
      <c r="AH61">
        <v>10</v>
      </c>
      <c r="AI61">
        <v>5</v>
      </c>
      <c r="AJ61">
        <v>5</v>
      </c>
      <c r="AK61" t="s">
        <v>788</v>
      </c>
      <c r="AL61" t="s">
        <v>789</v>
      </c>
      <c r="AM61" t="s">
        <v>790</v>
      </c>
      <c r="AN61" t="s">
        <v>791</v>
      </c>
      <c r="AO61" t="s">
        <v>792</v>
      </c>
      <c r="AP61" t="s">
        <v>793</v>
      </c>
      <c r="AQ61" t="s">
        <v>794</v>
      </c>
      <c r="AR61" t="s">
        <v>795</v>
      </c>
      <c r="AS61" t="s">
        <v>796</v>
      </c>
    </row>
    <row r="62" spans="1:45" x14ac:dyDescent="0.45">
      <c r="A62">
        <v>61</v>
      </c>
      <c r="B62">
        <v>12405</v>
      </c>
      <c r="C62" t="s">
        <v>72</v>
      </c>
      <c r="D62" t="s">
        <v>73</v>
      </c>
      <c r="E62" t="s">
        <v>74</v>
      </c>
      <c r="F62" t="s">
        <v>75</v>
      </c>
      <c r="G62" t="s">
        <v>76</v>
      </c>
      <c r="H62">
        <v>19.765813758228159</v>
      </c>
      <c r="I62">
        <v>1</v>
      </c>
      <c r="J62">
        <v>7</v>
      </c>
      <c r="K62">
        <v>8</v>
      </c>
      <c r="L62">
        <v>-1</v>
      </c>
      <c r="M62">
        <v>8</v>
      </c>
      <c r="N62">
        <v>9</v>
      </c>
      <c r="O62">
        <v>-1</v>
      </c>
      <c r="P62">
        <v>9</v>
      </c>
      <c r="Q62">
        <v>9</v>
      </c>
      <c r="R62">
        <v>0</v>
      </c>
      <c r="S62">
        <v>8</v>
      </c>
      <c r="T62">
        <v>9</v>
      </c>
      <c r="U62">
        <v>-1</v>
      </c>
      <c r="V62">
        <v>7</v>
      </c>
      <c r="W62">
        <v>9</v>
      </c>
      <c r="X62">
        <v>-2</v>
      </c>
      <c r="Y62">
        <v>9</v>
      </c>
      <c r="Z62">
        <v>8</v>
      </c>
      <c r="AA62">
        <v>1</v>
      </c>
      <c r="AB62">
        <v>8</v>
      </c>
      <c r="AC62">
        <v>8</v>
      </c>
      <c r="AD62">
        <v>0</v>
      </c>
      <c r="AE62">
        <v>7</v>
      </c>
      <c r="AF62">
        <v>8</v>
      </c>
      <c r="AG62">
        <v>-1</v>
      </c>
      <c r="AH62">
        <v>9</v>
      </c>
      <c r="AI62">
        <v>9</v>
      </c>
      <c r="AJ62">
        <v>0</v>
      </c>
      <c r="AK62" t="s">
        <v>797</v>
      </c>
      <c r="AL62" t="s">
        <v>798</v>
      </c>
      <c r="AM62" t="s">
        <v>799</v>
      </c>
      <c r="AN62" t="s">
        <v>800</v>
      </c>
      <c r="AO62" t="s">
        <v>801</v>
      </c>
      <c r="AP62" t="s">
        <v>802</v>
      </c>
      <c r="AQ62" t="s">
        <v>803</v>
      </c>
      <c r="AR62" t="s">
        <v>804</v>
      </c>
      <c r="AS62" t="s">
        <v>805</v>
      </c>
    </row>
    <row r="63" spans="1:45" x14ac:dyDescent="0.45">
      <c r="A63">
        <v>62</v>
      </c>
      <c r="B63">
        <v>12406</v>
      </c>
      <c r="C63" t="s">
        <v>72</v>
      </c>
      <c r="D63" t="s">
        <v>81</v>
      </c>
      <c r="E63" t="s">
        <v>74</v>
      </c>
      <c r="F63" t="s">
        <v>75</v>
      </c>
      <c r="G63" t="s">
        <v>76</v>
      </c>
      <c r="H63">
        <v>29.772795733875441</v>
      </c>
      <c r="I63">
        <v>0</v>
      </c>
      <c r="J63">
        <v>7</v>
      </c>
      <c r="K63">
        <v>9</v>
      </c>
      <c r="L63">
        <v>-2</v>
      </c>
      <c r="M63">
        <v>6</v>
      </c>
      <c r="N63">
        <v>9</v>
      </c>
      <c r="O63">
        <v>-3</v>
      </c>
      <c r="P63">
        <v>8</v>
      </c>
      <c r="Q63">
        <v>7</v>
      </c>
      <c r="R63">
        <v>1</v>
      </c>
      <c r="S63">
        <v>9</v>
      </c>
      <c r="T63">
        <v>6</v>
      </c>
      <c r="U63">
        <v>3</v>
      </c>
      <c r="V63">
        <v>7</v>
      </c>
      <c r="W63">
        <v>7</v>
      </c>
      <c r="X63">
        <v>0</v>
      </c>
      <c r="Y63">
        <v>9</v>
      </c>
      <c r="Z63">
        <v>5</v>
      </c>
      <c r="AA63">
        <v>4</v>
      </c>
      <c r="AB63">
        <v>6</v>
      </c>
      <c r="AC63">
        <v>6</v>
      </c>
      <c r="AD63">
        <v>0</v>
      </c>
      <c r="AE63">
        <v>8</v>
      </c>
      <c r="AF63">
        <v>8</v>
      </c>
      <c r="AG63">
        <v>0</v>
      </c>
      <c r="AH63">
        <v>9</v>
      </c>
      <c r="AI63">
        <v>5</v>
      </c>
      <c r="AJ63">
        <v>4</v>
      </c>
      <c r="AK63" t="s">
        <v>806</v>
      </c>
      <c r="AL63" t="s">
        <v>807</v>
      </c>
      <c r="AM63" t="s">
        <v>808</v>
      </c>
      <c r="AN63" t="s">
        <v>809</v>
      </c>
      <c r="AO63" t="s">
        <v>810</v>
      </c>
      <c r="AP63" t="s">
        <v>811</v>
      </c>
      <c r="AQ63" t="s">
        <v>812</v>
      </c>
      <c r="AR63" t="s">
        <v>813</v>
      </c>
      <c r="AS63" t="s">
        <v>814</v>
      </c>
    </row>
    <row r="64" spans="1:45" x14ac:dyDescent="0.45">
      <c r="A64">
        <v>63</v>
      </c>
      <c r="B64">
        <v>12407</v>
      </c>
      <c r="C64" t="s">
        <v>72</v>
      </c>
      <c r="D64" t="s">
        <v>191</v>
      </c>
      <c r="E64" t="s">
        <v>80</v>
      </c>
      <c r="F64" t="s">
        <v>77</v>
      </c>
      <c r="G64" t="s">
        <v>76</v>
      </c>
      <c r="H64">
        <v>19.427213280906926</v>
      </c>
      <c r="I64">
        <v>1</v>
      </c>
      <c r="J64">
        <v>5</v>
      </c>
      <c r="K64">
        <v>9</v>
      </c>
      <c r="L64">
        <v>-4</v>
      </c>
      <c r="M64">
        <v>7</v>
      </c>
      <c r="N64">
        <v>9</v>
      </c>
      <c r="O64">
        <v>-2</v>
      </c>
      <c r="P64">
        <v>8</v>
      </c>
      <c r="Q64">
        <v>9</v>
      </c>
      <c r="R64">
        <v>-1</v>
      </c>
      <c r="S64">
        <v>9</v>
      </c>
      <c r="T64">
        <v>9</v>
      </c>
      <c r="U64">
        <v>0</v>
      </c>
      <c r="V64">
        <v>8</v>
      </c>
      <c r="W64">
        <v>8</v>
      </c>
      <c r="X64">
        <v>0</v>
      </c>
      <c r="Y64">
        <v>9</v>
      </c>
      <c r="Z64">
        <v>9</v>
      </c>
      <c r="AA64">
        <v>0</v>
      </c>
      <c r="AB64">
        <v>7</v>
      </c>
      <c r="AC64">
        <v>9</v>
      </c>
      <c r="AD64">
        <v>-2</v>
      </c>
      <c r="AE64">
        <v>8</v>
      </c>
      <c r="AF64">
        <v>8</v>
      </c>
      <c r="AG64">
        <v>0</v>
      </c>
      <c r="AH64">
        <v>8</v>
      </c>
      <c r="AI64">
        <v>7</v>
      </c>
      <c r="AJ64">
        <v>1</v>
      </c>
      <c r="AK64" t="s">
        <v>815</v>
      </c>
      <c r="AL64" t="s">
        <v>816</v>
      </c>
      <c r="AM64" t="s">
        <v>817</v>
      </c>
      <c r="AN64" t="s">
        <v>818</v>
      </c>
      <c r="AO64" t="s">
        <v>819</v>
      </c>
      <c r="AP64" t="s">
        <v>820</v>
      </c>
      <c r="AQ64" t="s">
        <v>821</v>
      </c>
      <c r="AR64" t="s">
        <v>822</v>
      </c>
      <c r="AS64" t="s">
        <v>823</v>
      </c>
    </row>
    <row r="65" spans="1:45" x14ac:dyDescent="0.45">
      <c r="A65">
        <v>64</v>
      </c>
      <c r="B65">
        <v>12408</v>
      </c>
      <c r="C65" t="s">
        <v>72</v>
      </c>
      <c r="D65" t="s">
        <v>73</v>
      </c>
      <c r="E65" t="s">
        <v>74</v>
      </c>
      <c r="F65" t="s">
        <v>77</v>
      </c>
      <c r="G65" t="s">
        <v>162</v>
      </c>
      <c r="H65">
        <v>220.56389065472962</v>
      </c>
      <c r="I65">
        <v>2</v>
      </c>
      <c r="J65">
        <v>9</v>
      </c>
      <c r="K65">
        <v>9</v>
      </c>
      <c r="L65">
        <v>0</v>
      </c>
      <c r="M65">
        <v>8</v>
      </c>
      <c r="N65">
        <v>10</v>
      </c>
      <c r="O65">
        <v>-2</v>
      </c>
      <c r="P65">
        <v>8</v>
      </c>
      <c r="Q65">
        <v>9</v>
      </c>
      <c r="R65">
        <v>-1</v>
      </c>
      <c r="S65">
        <v>9</v>
      </c>
      <c r="T65">
        <v>10</v>
      </c>
      <c r="U65">
        <v>-1</v>
      </c>
      <c r="V65">
        <v>9</v>
      </c>
      <c r="W65">
        <v>10</v>
      </c>
      <c r="X65">
        <v>-1</v>
      </c>
      <c r="Y65">
        <v>8</v>
      </c>
      <c r="Z65">
        <v>5</v>
      </c>
      <c r="AA65">
        <v>3</v>
      </c>
      <c r="AB65">
        <v>9</v>
      </c>
      <c r="AC65">
        <v>10</v>
      </c>
      <c r="AD65">
        <v>-1</v>
      </c>
      <c r="AE65">
        <v>8</v>
      </c>
      <c r="AF65">
        <v>7</v>
      </c>
      <c r="AG65">
        <v>1</v>
      </c>
      <c r="AH65">
        <v>9</v>
      </c>
      <c r="AI65">
        <v>9</v>
      </c>
      <c r="AJ65">
        <v>0</v>
      </c>
      <c r="AK65" t="s">
        <v>824</v>
      </c>
      <c r="AL65" t="s">
        <v>825</v>
      </c>
      <c r="AM65" t="s">
        <v>826</v>
      </c>
      <c r="AN65" t="s">
        <v>827</v>
      </c>
      <c r="AO65" t="s">
        <v>828</v>
      </c>
      <c r="AP65" t="s">
        <v>829</v>
      </c>
      <c r="AQ65" t="s">
        <v>830</v>
      </c>
      <c r="AR65" t="s">
        <v>831</v>
      </c>
      <c r="AS65" t="s">
        <v>832</v>
      </c>
    </row>
    <row r="66" spans="1:45" x14ac:dyDescent="0.45">
      <c r="A66">
        <v>65</v>
      </c>
      <c r="B66">
        <v>12409</v>
      </c>
      <c r="C66" t="s">
        <v>72</v>
      </c>
      <c r="D66" t="s">
        <v>79</v>
      </c>
      <c r="E66" t="s">
        <v>80</v>
      </c>
      <c r="F66" t="s">
        <v>77</v>
      </c>
      <c r="G66" t="s">
        <v>76</v>
      </c>
      <c r="H66">
        <v>12</v>
      </c>
      <c r="I66">
        <v>2</v>
      </c>
      <c r="J66">
        <v>8</v>
      </c>
      <c r="K66">
        <v>10</v>
      </c>
      <c r="L66">
        <v>-2</v>
      </c>
      <c r="M66">
        <v>9</v>
      </c>
      <c r="N66">
        <v>10</v>
      </c>
      <c r="O66">
        <v>-1</v>
      </c>
      <c r="P66">
        <v>8</v>
      </c>
      <c r="Q66">
        <v>10</v>
      </c>
      <c r="R66">
        <v>-2</v>
      </c>
      <c r="S66">
        <v>9</v>
      </c>
      <c r="T66">
        <v>10</v>
      </c>
      <c r="U66">
        <v>-1</v>
      </c>
      <c r="V66">
        <v>8</v>
      </c>
      <c r="W66">
        <v>10</v>
      </c>
      <c r="X66">
        <v>-2</v>
      </c>
      <c r="Y66">
        <v>9</v>
      </c>
      <c r="Z66">
        <v>10</v>
      </c>
      <c r="AA66">
        <v>-1</v>
      </c>
      <c r="AB66">
        <v>8</v>
      </c>
      <c r="AC66">
        <v>10</v>
      </c>
      <c r="AD66">
        <v>-2</v>
      </c>
      <c r="AE66">
        <v>9</v>
      </c>
      <c r="AF66">
        <v>10</v>
      </c>
      <c r="AG66">
        <v>-1</v>
      </c>
      <c r="AH66">
        <v>8</v>
      </c>
      <c r="AI66">
        <v>10</v>
      </c>
      <c r="AJ66">
        <v>-2</v>
      </c>
      <c r="AK66" t="s">
        <v>833</v>
      </c>
      <c r="AL66" t="s">
        <v>834</v>
      </c>
      <c r="AM66" t="s">
        <v>835</v>
      </c>
      <c r="AN66" t="s">
        <v>836</v>
      </c>
      <c r="AO66" t="s">
        <v>837</v>
      </c>
      <c r="AP66" t="s">
        <v>838</v>
      </c>
      <c r="AQ66" t="s">
        <v>839</v>
      </c>
      <c r="AR66" t="s">
        <v>840</v>
      </c>
      <c r="AS66" t="s">
        <v>841</v>
      </c>
    </row>
    <row r="67" spans="1:45" x14ac:dyDescent="0.45">
      <c r="A67">
        <v>66</v>
      </c>
      <c r="B67">
        <v>12410</v>
      </c>
      <c r="C67" t="s">
        <v>72</v>
      </c>
      <c r="D67" t="s">
        <v>81</v>
      </c>
      <c r="E67" t="s">
        <v>74</v>
      </c>
      <c r="F67" t="s">
        <v>190</v>
      </c>
      <c r="G67" t="s">
        <v>76</v>
      </c>
      <c r="H67">
        <v>15.941225843089081</v>
      </c>
      <c r="I67">
        <v>0</v>
      </c>
      <c r="J67">
        <v>9</v>
      </c>
      <c r="K67">
        <v>7</v>
      </c>
      <c r="L67">
        <v>2</v>
      </c>
      <c r="M67">
        <v>8</v>
      </c>
      <c r="N67">
        <v>5</v>
      </c>
      <c r="O67">
        <v>3</v>
      </c>
      <c r="P67">
        <v>9</v>
      </c>
      <c r="Q67">
        <v>3</v>
      </c>
      <c r="R67">
        <v>6</v>
      </c>
      <c r="S67">
        <v>8</v>
      </c>
      <c r="T67">
        <v>5</v>
      </c>
      <c r="U67">
        <v>3</v>
      </c>
      <c r="V67">
        <v>9</v>
      </c>
      <c r="W67">
        <v>4</v>
      </c>
      <c r="X67">
        <v>5</v>
      </c>
      <c r="Y67">
        <v>8</v>
      </c>
      <c r="Z67">
        <v>3</v>
      </c>
      <c r="AA67">
        <v>5</v>
      </c>
      <c r="AB67">
        <v>9</v>
      </c>
      <c r="AC67">
        <v>5</v>
      </c>
      <c r="AD67">
        <v>4</v>
      </c>
      <c r="AE67">
        <v>8</v>
      </c>
      <c r="AF67">
        <v>6</v>
      </c>
      <c r="AG67">
        <v>2</v>
      </c>
      <c r="AH67">
        <v>9</v>
      </c>
      <c r="AI67">
        <v>6</v>
      </c>
      <c r="AJ67">
        <v>3</v>
      </c>
      <c r="AK67" t="s">
        <v>842</v>
      </c>
      <c r="AL67" t="s">
        <v>843</v>
      </c>
      <c r="AM67" t="s">
        <v>844</v>
      </c>
      <c r="AN67" t="s">
        <v>845</v>
      </c>
      <c r="AO67" t="s">
        <v>846</v>
      </c>
      <c r="AP67" t="s">
        <v>847</v>
      </c>
      <c r="AQ67" t="s">
        <v>848</v>
      </c>
      <c r="AR67" t="s">
        <v>849</v>
      </c>
      <c r="AS67" t="s">
        <v>850</v>
      </c>
    </row>
    <row r="68" spans="1:45" x14ac:dyDescent="0.45">
      <c r="A68">
        <v>67</v>
      </c>
      <c r="B68">
        <v>12411</v>
      </c>
      <c r="C68" t="s">
        <v>78</v>
      </c>
      <c r="D68" t="s">
        <v>79</v>
      </c>
      <c r="E68" t="s">
        <v>74</v>
      </c>
      <c r="F68" t="s">
        <v>75</v>
      </c>
      <c r="G68" t="s">
        <v>76</v>
      </c>
      <c r="H68">
        <v>74.297528366625542</v>
      </c>
      <c r="I68">
        <v>2</v>
      </c>
      <c r="J68">
        <v>8</v>
      </c>
      <c r="K68">
        <v>5</v>
      </c>
      <c r="L68">
        <v>3</v>
      </c>
      <c r="M68">
        <v>7</v>
      </c>
      <c r="N68">
        <v>5</v>
      </c>
      <c r="O68">
        <v>2</v>
      </c>
      <c r="P68">
        <v>9</v>
      </c>
      <c r="Q68">
        <v>4</v>
      </c>
      <c r="R68">
        <v>5</v>
      </c>
      <c r="S68">
        <v>8</v>
      </c>
      <c r="T68">
        <v>4</v>
      </c>
      <c r="U68">
        <v>4</v>
      </c>
      <c r="V68">
        <v>7</v>
      </c>
      <c r="W68">
        <v>2</v>
      </c>
      <c r="X68">
        <v>5</v>
      </c>
      <c r="Y68">
        <v>9</v>
      </c>
      <c r="Z68">
        <v>3</v>
      </c>
      <c r="AA68">
        <v>6</v>
      </c>
      <c r="AB68">
        <v>8</v>
      </c>
      <c r="AC68">
        <v>2</v>
      </c>
      <c r="AD68">
        <v>6</v>
      </c>
      <c r="AE68">
        <v>7</v>
      </c>
      <c r="AF68">
        <v>3</v>
      </c>
      <c r="AG68">
        <v>4</v>
      </c>
      <c r="AH68">
        <v>9</v>
      </c>
      <c r="AI68">
        <v>3</v>
      </c>
      <c r="AJ68">
        <v>6</v>
      </c>
      <c r="AK68" t="s">
        <v>851</v>
      </c>
      <c r="AL68" t="s">
        <v>852</v>
      </c>
      <c r="AM68" t="s">
        <v>853</v>
      </c>
      <c r="AN68" t="s">
        <v>854</v>
      </c>
      <c r="AO68" t="s">
        <v>855</v>
      </c>
      <c r="AP68" t="s">
        <v>856</v>
      </c>
      <c r="AQ68" t="s">
        <v>857</v>
      </c>
      <c r="AR68" t="s">
        <v>858</v>
      </c>
      <c r="AS68" t="s">
        <v>859</v>
      </c>
    </row>
    <row r="69" spans="1:45" x14ac:dyDescent="0.45">
      <c r="A69">
        <v>68</v>
      </c>
      <c r="B69">
        <v>12412</v>
      </c>
      <c r="C69" t="s">
        <v>72</v>
      </c>
      <c r="D69" t="s">
        <v>79</v>
      </c>
      <c r="E69" t="s">
        <v>74</v>
      </c>
      <c r="F69" t="s">
        <v>77</v>
      </c>
      <c r="G69" t="s">
        <v>76</v>
      </c>
      <c r="H69">
        <v>53.094981893488004</v>
      </c>
      <c r="I69">
        <v>2</v>
      </c>
      <c r="J69">
        <v>7</v>
      </c>
      <c r="K69">
        <v>4</v>
      </c>
      <c r="L69">
        <v>3</v>
      </c>
      <c r="M69">
        <v>6</v>
      </c>
      <c r="N69">
        <v>3</v>
      </c>
      <c r="O69">
        <v>3</v>
      </c>
      <c r="P69">
        <v>9</v>
      </c>
      <c r="Q69">
        <v>1</v>
      </c>
      <c r="R69">
        <v>8</v>
      </c>
      <c r="S69">
        <v>8</v>
      </c>
      <c r="T69">
        <v>5</v>
      </c>
      <c r="U69">
        <v>3</v>
      </c>
      <c r="V69">
        <v>7</v>
      </c>
      <c r="W69">
        <v>4</v>
      </c>
      <c r="X69">
        <v>3</v>
      </c>
      <c r="Y69">
        <v>8</v>
      </c>
      <c r="Z69">
        <v>3</v>
      </c>
      <c r="AA69">
        <v>5</v>
      </c>
      <c r="AB69">
        <v>7</v>
      </c>
      <c r="AC69">
        <v>1</v>
      </c>
      <c r="AD69">
        <v>6</v>
      </c>
      <c r="AE69">
        <v>8</v>
      </c>
      <c r="AF69">
        <v>3</v>
      </c>
      <c r="AG69">
        <v>5</v>
      </c>
      <c r="AH69">
        <v>9</v>
      </c>
      <c r="AI69">
        <v>5</v>
      </c>
      <c r="AJ69">
        <v>4</v>
      </c>
      <c r="AK69" t="s">
        <v>860</v>
      </c>
      <c r="AL69" t="s">
        <v>861</v>
      </c>
      <c r="AM69" t="s">
        <v>862</v>
      </c>
      <c r="AN69" t="s">
        <v>863</v>
      </c>
      <c r="AO69" t="s">
        <v>864</v>
      </c>
      <c r="AP69" t="s">
        <v>865</v>
      </c>
      <c r="AQ69" t="s">
        <v>866</v>
      </c>
      <c r="AR69" t="s">
        <v>867</v>
      </c>
      <c r="AS69" t="s">
        <v>868</v>
      </c>
    </row>
    <row r="70" spans="1:45" x14ac:dyDescent="0.45">
      <c r="A70">
        <v>69</v>
      </c>
      <c r="B70">
        <v>12413</v>
      </c>
      <c r="C70" t="s">
        <v>78</v>
      </c>
      <c r="D70" t="s">
        <v>81</v>
      </c>
      <c r="E70" t="s">
        <v>74</v>
      </c>
      <c r="F70" t="s">
        <v>77</v>
      </c>
      <c r="G70" t="s">
        <v>76</v>
      </c>
      <c r="H70">
        <v>20.004502608983355</v>
      </c>
      <c r="I70">
        <v>0</v>
      </c>
      <c r="J70">
        <v>9</v>
      </c>
      <c r="K70">
        <v>7</v>
      </c>
      <c r="L70">
        <v>2</v>
      </c>
      <c r="M70">
        <v>8</v>
      </c>
      <c r="N70">
        <v>7</v>
      </c>
      <c r="O70">
        <v>1</v>
      </c>
      <c r="P70">
        <v>9</v>
      </c>
      <c r="Q70">
        <v>8</v>
      </c>
      <c r="R70">
        <v>1</v>
      </c>
      <c r="S70">
        <v>10</v>
      </c>
      <c r="T70">
        <v>9</v>
      </c>
      <c r="U70">
        <v>1</v>
      </c>
      <c r="V70">
        <v>9</v>
      </c>
      <c r="W70">
        <v>8</v>
      </c>
      <c r="X70">
        <v>1</v>
      </c>
      <c r="Y70">
        <v>8</v>
      </c>
      <c r="Z70">
        <v>10</v>
      </c>
      <c r="AA70">
        <v>-2</v>
      </c>
      <c r="AB70">
        <v>9</v>
      </c>
      <c r="AC70">
        <v>9</v>
      </c>
      <c r="AD70">
        <v>0</v>
      </c>
      <c r="AE70">
        <v>10</v>
      </c>
      <c r="AF70">
        <v>9</v>
      </c>
      <c r="AG70">
        <v>1</v>
      </c>
      <c r="AH70">
        <v>9</v>
      </c>
      <c r="AI70">
        <v>9</v>
      </c>
      <c r="AJ70">
        <v>0</v>
      </c>
      <c r="AK70" t="s">
        <v>869</v>
      </c>
      <c r="AL70" t="s">
        <v>870</v>
      </c>
      <c r="AM70" t="s">
        <v>871</v>
      </c>
      <c r="AN70" t="s">
        <v>872</v>
      </c>
      <c r="AO70" t="s">
        <v>873</v>
      </c>
      <c r="AP70" t="s">
        <v>874</v>
      </c>
      <c r="AQ70" t="s">
        <v>875</v>
      </c>
      <c r="AR70" t="s">
        <v>876</v>
      </c>
      <c r="AS70" t="s">
        <v>877</v>
      </c>
    </row>
    <row r="71" spans="1:45" x14ac:dyDescent="0.45">
      <c r="A71">
        <v>70</v>
      </c>
      <c r="B71">
        <v>12414</v>
      </c>
      <c r="C71" t="s">
        <v>78</v>
      </c>
      <c r="D71" t="s">
        <v>79</v>
      </c>
      <c r="E71" t="s">
        <v>74</v>
      </c>
      <c r="F71" t="s">
        <v>75</v>
      </c>
      <c r="G71" t="s">
        <v>162</v>
      </c>
      <c r="H71">
        <v>176.18011881551902</v>
      </c>
      <c r="I71">
        <v>1</v>
      </c>
      <c r="J71">
        <v>7</v>
      </c>
      <c r="K71">
        <v>6</v>
      </c>
      <c r="L71">
        <v>1</v>
      </c>
      <c r="M71">
        <v>7</v>
      </c>
      <c r="N71">
        <v>6</v>
      </c>
      <c r="O71">
        <v>1</v>
      </c>
      <c r="P71">
        <v>8</v>
      </c>
      <c r="Q71">
        <v>5</v>
      </c>
      <c r="R71">
        <v>3</v>
      </c>
      <c r="S71">
        <v>9</v>
      </c>
      <c r="T71">
        <v>5</v>
      </c>
      <c r="U71">
        <v>4</v>
      </c>
      <c r="V71">
        <v>7</v>
      </c>
      <c r="W71">
        <v>5</v>
      </c>
      <c r="X71">
        <v>2</v>
      </c>
      <c r="Y71">
        <v>7</v>
      </c>
      <c r="Z71">
        <v>1</v>
      </c>
      <c r="AA71">
        <v>6</v>
      </c>
      <c r="AB71">
        <v>6</v>
      </c>
      <c r="AC71">
        <v>5</v>
      </c>
      <c r="AD71">
        <v>1</v>
      </c>
      <c r="AE71">
        <v>7</v>
      </c>
      <c r="AF71">
        <v>5</v>
      </c>
      <c r="AG71">
        <v>2</v>
      </c>
      <c r="AH71">
        <v>8</v>
      </c>
      <c r="AI71">
        <v>5</v>
      </c>
      <c r="AJ71">
        <v>3</v>
      </c>
      <c r="AK71" t="s">
        <v>202</v>
      </c>
      <c r="AL71" t="s">
        <v>202</v>
      </c>
      <c r="AM71" t="s">
        <v>202</v>
      </c>
      <c r="AN71" t="s">
        <v>202</v>
      </c>
      <c r="AO71" t="s">
        <v>202</v>
      </c>
      <c r="AP71" t="s">
        <v>202</v>
      </c>
      <c r="AQ71" t="s">
        <v>202</v>
      </c>
      <c r="AR71" t="s">
        <v>202</v>
      </c>
      <c r="AS71" t="s">
        <v>202</v>
      </c>
    </row>
    <row r="72" spans="1:45" x14ac:dyDescent="0.45">
      <c r="A72">
        <v>71</v>
      </c>
      <c r="B72">
        <v>12415</v>
      </c>
      <c r="C72" t="s">
        <v>72</v>
      </c>
      <c r="D72" t="s">
        <v>73</v>
      </c>
      <c r="E72" t="s">
        <v>74</v>
      </c>
      <c r="F72" t="s">
        <v>75</v>
      </c>
      <c r="G72" t="s">
        <v>76</v>
      </c>
      <c r="H72">
        <v>28.784619879217345</v>
      </c>
      <c r="I72">
        <v>2</v>
      </c>
      <c r="J72">
        <v>7</v>
      </c>
      <c r="K72">
        <v>3</v>
      </c>
      <c r="L72">
        <v>4</v>
      </c>
      <c r="M72">
        <v>6</v>
      </c>
      <c r="N72">
        <v>3</v>
      </c>
      <c r="O72">
        <v>3</v>
      </c>
      <c r="P72">
        <v>8</v>
      </c>
      <c r="Q72">
        <v>3</v>
      </c>
      <c r="R72">
        <v>5</v>
      </c>
      <c r="S72">
        <v>9</v>
      </c>
      <c r="T72">
        <v>5</v>
      </c>
      <c r="U72">
        <v>4</v>
      </c>
      <c r="V72">
        <v>8</v>
      </c>
      <c r="W72">
        <v>3</v>
      </c>
      <c r="X72">
        <v>5</v>
      </c>
      <c r="Y72">
        <v>9</v>
      </c>
      <c r="Z72">
        <v>3</v>
      </c>
      <c r="AA72">
        <v>6</v>
      </c>
      <c r="AB72">
        <v>8</v>
      </c>
      <c r="AC72">
        <v>3</v>
      </c>
      <c r="AD72">
        <v>5</v>
      </c>
      <c r="AE72">
        <v>7</v>
      </c>
      <c r="AF72">
        <v>3</v>
      </c>
      <c r="AG72">
        <v>4</v>
      </c>
      <c r="AH72">
        <v>9</v>
      </c>
      <c r="AI72">
        <v>4</v>
      </c>
      <c r="AJ72">
        <v>5</v>
      </c>
      <c r="AK72" t="s">
        <v>878</v>
      </c>
      <c r="AL72" t="s">
        <v>879</v>
      </c>
      <c r="AM72" t="s">
        <v>880</v>
      </c>
      <c r="AN72" t="s">
        <v>881</v>
      </c>
      <c r="AO72" t="s">
        <v>882</v>
      </c>
      <c r="AP72" t="s">
        <v>883</v>
      </c>
      <c r="AQ72" t="s">
        <v>884</v>
      </c>
      <c r="AR72" t="s">
        <v>885</v>
      </c>
      <c r="AS72" t="s">
        <v>886</v>
      </c>
    </row>
    <row r="73" spans="1:45" x14ac:dyDescent="0.45">
      <c r="A73">
        <v>72</v>
      </c>
      <c r="B73">
        <v>12416</v>
      </c>
      <c r="C73" t="s">
        <v>78</v>
      </c>
      <c r="D73" t="s">
        <v>73</v>
      </c>
      <c r="E73" t="s">
        <v>74</v>
      </c>
      <c r="F73" t="s">
        <v>77</v>
      </c>
      <c r="G73" t="s">
        <v>162</v>
      </c>
      <c r="H73">
        <v>20.235315403830867</v>
      </c>
      <c r="I73">
        <v>3</v>
      </c>
      <c r="J73">
        <v>8</v>
      </c>
      <c r="K73">
        <v>8</v>
      </c>
      <c r="L73">
        <v>0</v>
      </c>
      <c r="M73">
        <v>9</v>
      </c>
      <c r="N73">
        <v>8</v>
      </c>
      <c r="O73">
        <v>1</v>
      </c>
      <c r="P73">
        <v>8</v>
      </c>
      <c r="Q73">
        <v>4</v>
      </c>
      <c r="R73">
        <v>4</v>
      </c>
      <c r="S73">
        <v>9</v>
      </c>
      <c r="T73">
        <v>2</v>
      </c>
      <c r="U73">
        <v>7</v>
      </c>
      <c r="V73">
        <v>8</v>
      </c>
      <c r="W73">
        <v>6</v>
      </c>
      <c r="X73">
        <v>2</v>
      </c>
      <c r="Y73">
        <v>8</v>
      </c>
      <c r="Z73">
        <v>3</v>
      </c>
      <c r="AA73">
        <v>5</v>
      </c>
      <c r="AB73">
        <v>8</v>
      </c>
      <c r="AC73">
        <v>8</v>
      </c>
      <c r="AD73">
        <v>0</v>
      </c>
      <c r="AE73">
        <v>7</v>
      </c>
      <c r="AF73">
        <v>4</v>
      </c>
      <c r="AG73">
        <v>3</v>
      </c>
      <c r="AH73">
        <v>8</v>
      </c>
      <c r="AI73">
        <v>8</v>
      </c>
      <c r="AJ73">
        <v>0</v>
      </c>
      <c r="AK73" t="s">
        <v>887</v>
      </c>
      <c r="AL73" t="s">
        <v>888</v>
      </c>
      <c r="AM73" t="s">
        <v>889</v>
      </c>
      <c r="AN73" t="s">
        <v>890</v>
      </c>
      <c r="AO73" t="s">
        <v>891</v>
      </c>
      <c r="AP73" t="s">
        <v>257</v>
      </c>
      <c r="AQ73" t="s">
        <v>892</v>
      </c>
      <c r="AR73" t="s">
        <v>893</v>
      </c>
      <c r="AS73" t="s">
        <v>894</v>
      </c>
    </row>
    <row r="74" spans="1:45" x14ac:dyDescent="0.45">
      <c r="A74">
        <v>73</v>
      </c>
      <c r="B74">
        <v>12417</v>
      </c>
      <c r="C74" t="s">
        <v>78</v>
      </c>
      <c r="D74" t="s">
        <v>189</v>
      </c>
      <c r="E74" t="s">
        <v>74</v>
      </c>
      <c r="F74" t="s">
        <v>192</v>
      </c>
      <c r="G74" t="s">
        <v>76</v>
      </c>
      <c r="H74">
        <v>14.673189306981197</v>
      </c>
      <c r="I74">
        <v>0</v>
      </c>
      <c r="J74">
        <v>7</v>
      </c>
      <c r="K74">
        <v>5</v>
      </c>
      <c r="L74">
        <v>2</v>
      </c>
      <c r="M74">
        <v>7</v>
      </c>
      <c r="N74">
        <v>5</v>
      </c>
      <c r="O74">
        <v>2</v>
      </c>
      <c r="P74">
        <v>6</v>
      </c>
      <c r="Q74">
        <v>5</v>
      </c>
      <c r="R74">
        <v>1</v>
      </c>
      <c r="S74">
        <v>9</v>
      </c>
      <c r="T74">
        <v>5</v>
      </c>
      <c r="U74">
        <v>4</v>
      </c>
      <c r="V74">
        <v>8</v>
      </c>
      <c r="W74">
        <v>5</v>
      </c>
      <c r="X74">
        <v>3</v>
      </c>
      <c r="Y74">
        <v>9</v>
      </c>
      <c r="Z74">
        <v>10</v>
      </c>
      <c r="AA74">
        <v>-1</v>
      </c>
      <c r="AB74">
        <v>7</v>
      </c>
      <c r="AC74">
        <v>5</v>
      </c>
      <c r="AD74">
        <v>2</v>
      </c>
      <c r="AE74">
        <v>8</v>
      </c>
      <c r="AF74">
        <v>5</v>
      </c>
      <c r="AG74">
        <v>3</v>
      </c>
      <c r="AH74">
        <v>9</v>
      </c>
      <c r="AI74">
        <v>10</v>
      </c>
      <c r="AJ74">
        <v>-1</v>
      </c>
      <c r="AK74" t="s">
        <v>895</v>
      </c>
      <c r="AL74" t="s">
        <v>896</v>
      </c>
      <c r="AM74" t="s">
        <v>897</v>
      </c>
      <c r="AN74" t="s">
        <v>898</v>
      </c>
      <c r="AO74" t="s">
        <v>899</v>
      </c>
      <c r="AP74" t="s">
        <v>900</v>
      </c>
      <c r="AQ74" t="s">
        <v>901</v>
      </c>
      <c r="AR74" t="s">
        <v>902</v>
      </c>
      <c r="AS74" t="s">
        <v>903</v>
      </c>
    </row>
    <row r="75" spans="1:45" x14ac:dyDescent="0.45">
      <c r="A75">
        <v>74</v>
      </c>
      <c r="B75">
        <v>12418</v>
      </c>
      <c r="C75" t="s">
        <v>72</v>
      </c>
      <c r="D75" t="s">
        <v>73</v>
      </c>
      <c r="E75" t="s">
        <v>74</v>
      </c>
      <c r="F75" t="s">
        <v>77</v>
      </c>
      <c r="G75" t="s">
        <v>162</v>
      </c>
      <c r="H75">
        <v>19.207040619684111</v>
      </c>
      <c r="I75">
        <v>1</v>
      </c>
      <c r="J75">
        <v>7</v>
      </c>
      <c r="K75">
        <v>5</v>
      </c>
      <c r="L75">
        <v>2</v>
      </c>
      <c r="M75">
        <v>7</v>
      </c>
      <c r="N75">
        <v>10</v>
      </c>
      <c r="O75">
        <v>-3</v>
      </c>
      <c r="P75">
        <v>9</v>
      </c>
      <c r="Q75">
        <v>2</v>
      </c>
      <c r="R75">
        <v>7</v>
      </c>
      <c r="S75">
        <v>9</v>
      </c>
      <c r="T75">
        <v>8</v>
      </c>
      <c r="U75">
        <v>1</v>
      </c>
      <c r="V75">
        <v>6</v>
      </c>
      <c r="W75">
        <v>5</v>
      </c>
      <c r="X75">
        <v>1</v>
      </c>
      <c r="Y75">
        <v>9</v>
      </c>
      <c r="Z75">
        <v>5</v>
      </c>
      <c r="AA75">
        <v>4</v>
      </c>
      <c r="AB75">
        <v>6</v>
      </c>
      <c r="AC75">
        <v>1</v>
      </c>
      <c r="AD75">
        <v>5</v>
      </c>
      <c r="AE75">
        <v>6</v>
      </c>
      <c r="AF75">
        <v>4</v>
      </c>
      <c r="AG75">
        <v>2</v>
      </c>
      <c r="AH75">
        <v>9</v>
      </c>
      <c r="AI75">
        <v>5</v>
      </c>
      <c r="AJ75">
        <v>4</v>
      </c>
      <c r="AK75" t="s">
        <v>904</v>
      </c>
      <c r="AL75" t="s">
        <v>905</v>
      </c>
      <c r="AM75" t="s">
        <v>906</v>
      </c>
      <c r="AN75" t="s">
        <v>907</v>
      </c>
      <c r="AO75" t="s">
        <v>908</v>
      </c>
      <c r="AP75" t="s">
        <v>909</v>
      </c>
      <c r="AQ75" t="s">
        <v>910</v>
      </c>
      <c r="AR75" t="s">
        <v>911</v>
      </c>
      <c r="AS75" t="s">
        <v>912</v>
      </c>
    </row>
    <row r="76" spans="1:45" x14ac:dyDescent="0.45">
      <c r="A76">
        <v>75</v>
      </c>
      <c r="B76">
        <v>12419</v>
      </c>
      <c r="C76" t="s">
        <v>78</v>
      </c>
      <c r="D76" t="s">
        <v>79</v>
      </c>
      <c r="E76" t="s">
        <v>74</v>
      </c>
      <c r="F76" t="s">
        <v>75</v>
      </c>
      <c r="G76" t="s">
        <v>76</v>
      </c>
      <c r="H76">
        <v>52.464608183525499</v>
      </c>
      <c r="I76">
        <v>2</v>
      </c>
      <c r="J76">
        <v>7</v>
      </c>
      <c r="K76">
        <v>8</v>
      </c>
      <c r="L76">
        <v>-1</v>
      </c>
      <c r="M76">
        <v>8</v>
      </c>
      <c r="N76">
        <v>9</v>
      </c>
      <c r="O76">
        <v>-1</v>
      </c>
      <c r="P76">
        <v>9</v>
      </c>
      <c r="Q76">
        <v>9</v>
      </c>
      <c r="R76">
        <v>0</v>
      </c>
      <c r="S76">
        <v>9</v>
      </c>
      <c r="T76">
        <v>9</v>
      </c>
      <c r="U76">
        <v>0</v>
      </c>
      <c r="V76">
        <v>7</v>
      </c>
      <c r="W76">
        <v>3</v>
      </c>
      <c r="X76">
        <v>4</v>
      </c>
      <c r="Y76">
        <v>8</v>
      </c>
      <c r="Z76">
        <v>3</v>
      </c>
      <c r="AA76">
        <v>5</v>
      </c>
      <c r="AB76">
        <v>7</v>
      </c>
      <c r="AC76">
        <v>2</v>
      </c>
      <c r="AD76">
        <v>5</v>
      </c>
      <c r="AE76">
        <v>6</v>
      </c>
      <c r="AF76">
        <v>2</v>
      </c>
      <c r="AG76">
        <v>4</v>
      </c>
      <c r="AH76">
        <v>9</v>
      </c>
      <c r="AI76">
        <v>6</v>
      </c>
      <c r="AJ76">
        <v>3</v>
      </c>
      <c r="AK76" t="s">
        <v>913</v>
      </c>
      <c r="AL76" t="s">
        <v>914</v>
      </c>
      <c r="AM76" t="s">
        <v>915</v>
      </c>
      <c r="AN76" t="s">
        <v>916</v>
      </c>
      <c r="AO76" t="s">
        <v>917</v>
      </c>
      <c r="AP76" t="s">
        <v>918</v>
      </c>
      <c r="AQ76" t="s">
        <v>919</v>
      </c>
      <c r="AR76" t="s">
        <v>920</v>
      </c>
      <c r="AS76" t="s">
        <v>921</v>
      </c>
    </row>
    <row r="77" spans="1:45" x14ac:dyDescent="0.45">
      <c r="A77">
        <v>76</v>
      </c>
      <c r="B77">
        <v>12420</v>
      </c>
      <c r="C77" t="s">
        <v>78</v>
      </c>
      <c r="D77" t="s">
        <v>79</v>
      </c>
      <c r="E77" t="s">
        <v>80</v>
      </c>
      <c r="F77" t="s">
        <v>192</v>
      </c>
      <c r="G77" t="s">
        <v>162</v>
      </c>
      <c r="H77">
        <v>13.707324246743351</v>
      </c>
      <c r="I77">
        <v>3</v>
      </c>
      <c r="J77">
        <v>3</v>
      </c>
      <c r="K77">
        <v>5</v>
      </c>
      <c r="L77">
        <v>-2</v>
      </c>
      <c r="M77">
        <v>4</v>
      </c>
      <c r="N77">
        <v>5</v>
      </c>
      <c r="O77">
        <v>-1</v>
      </c>
      <c r="P77">
        <v>6</v>
      </c>
      <c r="Q77">
        <v>5</v>
      </c>
      <c r="R77">
        <v>1</v>
      </c>
      <c r="S77">
        <v>8</v>
      </c>
      <c r="T77">
        <v>5</v>
      </c>
      <c r="U77">
        <v>3</v>
      </c>
      <c r="V77">
        <v>7</v>
      </c>
      <c r="W77">
        <v>5</v>
      </c>
      <c r="X77">
        <v>2</v>
      </c>
      <c r="Y77">
        <v>9</v>
      </c>
      <c r="Z77">
        <v>5</v>
      </c>
      <c r="AA77">
        <v>4</v>
      </c>
      <c r="AB77">
        <v>8</v>
      </c>
      <c r="AC77">
        <v>5</v>
      </c>
      <c r="AD77">
        <v>3</v>
      </c>
      <c r="AE77">
        <v>6</v>
      </c>
      <c r="AF77">
        <v>5</v>
      </c>
      <c r="AG77">
        <v>1</v>
      </c>
      <c r="AH77">
        <v>9</v>
      </c>
      <c r="AI77">
        <v>5</v>
      </c>
      <c r="AJ77">
        <v>4</v>
      </c>
      <c r="AK77" t="s">
        <v>922</v>
      </c>
      <c r="AL77" t="s">
        <v>923</v>
      </c>
      <c r="AM77" t="s">
        <v>924</v>
      </c>
      <c r="AN77" t="s">
        <v>925</v>
      </c>
      <c r="AO77" t="s">
        <v>926</v>
      </c>
      <c r="AP77" t="s">
        <v>927</v>
      </c>
      <c r="AQ77" t="s">
        <v>928</v>
      </c>
      <c r="AR77" t="s">
        <v>929</v>
      </c>
      <c r="AS77" t="s">
        <v>930</v>
      </c>
    </row>
    <row r="78" spans="1:45" x14ac:dyDescent="0.45">
      <c r="A78">
        <v>77</v>
      </c>
      <c r="B78">
        <v>12421</v>
      </c>
      <c r="C78" t="s">
        <v>72</v>
      </c>
      <c r="D78" t="s">
        <v>191</v>
      </c>
      <c r="E78" t="s">
        <v>74</v>
      </c>
      <c r="F78" t="s">
        <v>77</v>
      </c>
      <c r="G78" t="s">
        <v>76</v>
      </c>
      <c r="H78">
        <v>15.590317767582842</v>
      </c>
      <c r="I78">
        <v>2</v>
      </c>
      <c r="J78">
        <v>7</v>
      </c>
      <c r="K78">
        <v>8</v>
      </c>
      <c r="L78">
        <v>-1</v>
      </c>
      <c r="M78">
        <v>6</v>
      </c>
      <c r="N78">
        <v>8</v>
      </c>
      <c r="O78">
        <v>-2</v>
      </c>
      <c r="P78">
        <v>8</v>
      </c>
      <c r="Q78">
        <v>8</v>
      </c>
      <c r="R78">
        <v>0</v>
      </c>
      <c r="S78">
        <v>9</v>
      </c>
      <c r="T78">
        <v>8</v>
      </c>
      <c r="U78">
        <v>1</v>
      </c>
      <c r="V78">
        <v>7</v>
      </c>
      <c r="W78">
        <v>9</v>
      </c>
      <c r="X78">
        <v>-2</v>
      </c>
      <c r="Y78">
        <v>9</v>
      </c>
      <c r="Z78">
        <v>7</v>
      </c>
      <c r="AA78">
        <v>2</v>
      </c>
      <c r="AB78">
        <v>8</v>
      </c>
      <c r="AC78">
        <v>9</v>
      </c>
      <c r="AD78">
        <v>-1</v>
      </c>
      <c r="AE78">
        <v>7</v>
      </c>
      <c r="AF78">
        <v>10</v>
      </c>
      <c r="AG78">
        <v>-3</v>
      </c>
      <c r="AH78">
        <v>9</v>
      </c>
      <c r="AI78">
        <v>8</v>
      </c>
      <c r="AJ78">
        <v>1</v>
      </c>
      <c r="AK78" t="s">
        <v>931</v>
      </c>
      <c r="AL78" t="s">
        <v>932</v>
      </c>
      <c r="AM78" t="s">
        <v>933</v>
      </c>
      <c r="AN78" t="s">
        <v>934</v>
      </c>
      <c r="AO78" t="s">
        <v>935</v>
      </c>
      <c r="AP78" t="s">
        <v>936</v>
      </c>
      <c r="AQ78" t="s">
        <v>937</v>
      </c>
      <c r="AR78" t="s">
        <v>938</v>
      </c>
      <c r="AS78" t="s">
        <v>266</v>
      </c>
    </row>
    <row r="79" spans="1:45" x14ac:dyDescent="0.45">
      <c r="A79">
        <v>78</v>
      </c>
      <c r="B79">
        <v>12422</v>
      </c>
      <c r="C79" t="s">
        <v>72</v>
      </c>
      <c r="D79" t="s">
        <v>73</v>
      </c>
      <c r="E79" t="s">
        <v>74</v>
      </c>
      <c r="F79" t="s">
        <v>75</v>
      </c>
      <c r="G79" t="s">
        <v>76</v>
      </c>
      <c r="H79">
        <v>39.11859631923631</v>
      </c>
      <c r="I79">
        <v>2</v>
      </c>
      <c r="J79">
        <v>6</v>
      </c>
      <c r="K79">
        <v>8</v>
      </c>
      <c r="L79">
        <v>-2</v>
      </c>
      <c r="M79">
        <v>8</v>
      </c>
      <c r="N79">
        <v>7</v>
      </c>
      <c r="O79">
        <v>1</v>
      </c>
      <c r="P79">
        <v>7</v>
      </c>
      <c r="Q79">
        <v>9</v>
      </c>
      <c r="R79">
        <v>-2</v>
      </c>
      <c r="S79">
        <v>9</v>
      </c>
      <c r="T79">
        <v>8</v>
      </c>
      <c r="U79">
        <v>1</v>
      </c>
      <c r="V79">
        <v>7</v>
      </c>
      <c r="W79">
        <v>8</v>
      </c>
      <c r="X79">
        <v>-1</v>
      </c>
      <c r="Y79">
        <v>9</v>
      </c>
      <c r="Z79">
        <v>8</v>
      </c>
      <c r="AA79">
        <v>1</v>
      </c>
      <c r="AB79">
        <v>7</v>
      </c>
      <c r="AC79">
        <v>6</v>
      </c>
      <c r="AD79">
        <v>1</v>
      </c>
      <c r="AE79">
        <v>8</v>
      </c>
      <c r="AF79">
        <v>6</v>
      </c>
      <c r="AG79">
        <v>2</v>
      </c>
      <c r="AH79">
        <v>9</v>
      </c>
      <c r="AI79">
        <v>7</v>
      </c>
      <c r="AJ79">
        <v>2</v>
      </c>
      <c r="AK79" t="s">
        <v>939</v>
      </c>
      <c r="AL79" t="s">
        <v>940</v>
      </c>
      <c r="AM79" t="s">
        <v>941</v>
      </c>
      <c r="AN79" t="s">
        <v>942</v>
      </c>
      <c r="AO79" t="s">
        <v>943</v>
      </c>
      <c r="AP79" t="s">
        <v>944</v>
      </c>
      <c r="AQ79" t="s">
        <v>945</v>
      </c>
      <c r="AR79" t="s">
        <v>946</v>
      </c>
      <c r="AS79" t="s">
        <v>947</v>
      </c>
    </row>
    <row r="80" spans="1:45" x14ac:dyDescent="0.45">
      <c r="A80">
        <v>79</v>
      </c>
      <c r="B80">
        <v>12423</v>
      </c>
      <c r="C80" t="s">
        <v>72</v>
      </c>
      <c r="D80" t="s">
        <v>193</v>
      </c>
      <c r="E80" t="s">
        <v>74</v>
      </c>
      <c r="F80" t="s">
        <v>192</v>
      </c>
      <c r="G80" t="s">
        <v>162</v>
      </c>
      <c r="H80">
        <v>15.103633376351024</v>
      </c>
      <c r="I80">
        <v>0</v>
      </c>
      <c r="J80">
        <v>5</v>
      </c>
      <c r="K80">
        <v>6</v>
      </c>
      <c r="L80">
        <v>-1</v>
      </c>
      <c r="M80">
        <v>6</v>
      </c>
      <c r="N80">
        <v>2</v>
      </c>
      <c r="O80">
        <v>4</v>
      </c>
      <c r="P80">
        <v>7</v>
      </c>
      <c r="Q80">
        <v>3</v>
      </c>
      <c r="R80">
        <v>4</v>
      </c>
      <c r="S80">
        <v>8</v>
      </c>
      <c r="T80">
        <v>2</v>
      </c>
      <c r="U80">
        <v>6</v>
      </c>
      <c r="V80">
        <v>7</v>
      </c>
      <c r="W80">
        <v>3</v>
      </c>
      <c r="X80">
        <v>4</v>
      </c>
      <c r="Y80">
        <v>9</v>
      </c>
      <c r="Z80">
        <v>7</v>
      </c>
      <c r="AA80">
        <v>2</v>
      </c>
      <c r="AB80">
        <v>8</v>
      </c>
      <c r="AC80">
        <v>5</v>
      </c>
      <c r="AD80">
        <v>3</v>
      </c>
      <c r="AE80">
        <v>9</v>
      </c>
      <c r="AF80">
        <v>5</v>
      </c>
      <c r="AG80">
        <v>4</v>
      </c>
      <c r="AH80">
        <v>9</v>
      </c>
      <c r="AI80">
        <v>7</v>
      </c>
      <c r="AJ80">
        <v>2</v>
      </c>
      <c r="AK80" t="s">
        <v>948</v>
      </c>
      <c r="AL80" t="s">
        <v>949</v>
      </c>
      <c r="AM80" t="s">
        <v>950</v>
      </c>
      <c r="AN80" t="s">
        <v>951</v>
      </c>
      <c r="AO80" t="s">
        <v>952</v>
      </c>
      <c r="AP80" t="s">
        <v>953</v>
      </c>
      <c r="AQ80" t="s">
        <v>954</v>
      </c>
      <c r="AR80" t="s">
        <v>955</v>
      </c>
      <c r="AS80" t="s">
        <v>956</v>
      </c>
    </row>
    <row r="81" spans="1:45" x14ac:dyDescent="0.45">
      <c r="A81">
        <v>80</v>
      </c>
      <c r="B81">
        <v>12424</v>
      </c>
      <c r="C81" t="s">
        <v>78</v>
      </c>
      <c r="D81" t="s">
        <v>81</v>
      </c>
      <c r="E81" t="s">
        <v>74</v>
      </c>
      <c r="F81" t="s">
        <v>77</v>
      </c>
      <c r="G81" t="s">
        <v>76</v>
      </c>
      <c r="H81">
        <v>14.140176863895586</v>
      </c>
      <c r="I81">
        <v>0</v>
      </c>
      <c r="J81">
        <v>8</v>
      </c>
      <c r="K81">
        <v>8</v>
      </c>
      <c r="L81">
        <v>0</v>
      </c>
      <c r="M81">
        <v>8</v>
      </c>
      <c r="N81">
        <v>8</v>
      </c>
      <c r="O81">
        <v>0</v>
      </c>
      <c r="P81">
        <v>9</v>
      </c>
      <c r="Q81">
        <v>8</v>
      </c>
      <c r="R81">
        <v>1</v>
      </c>
      <c r="S81">
        <v>8</v>
      </c>
      <c r="T81">
        <v>8</v>
      </c>
      <c r="U81">
        <v>0</v>
      </c>
      <c r="V81">
        <v>9</v>
      </c>
      <c r="W81">
        <v>8</v>
      </c>
      <c r="X81">
        <v>1</v>
      </c>
      <c r="Y81">
        <v>8</v>
      </c>
      <c r="Z81">
        <v>8</v>
      </c>
      <c r="AA81">
        <v>0</v>
      </c>
      <c r="AB81">
        <v>9</v>
      </c>
      <c r="AC81">
        <v>8</v>
      </c>
      <c r="AD81">
        <v>1</v>
      </c>
      <c r="AE81">
        <v>8</v>
      </c>
      <c r="AF81">
        <v>8</v>
      </c>
      <c r="AG81">
        <v>0</v>
      </c>
      <c r="AH81">
        <v>9</v>
      </c>
      <c r="AI81">
        <v>8</v>
      </c>
      <c r="AJ81">
        <v>1</v>
      </c>
      <c r="AK81" t="s">
        <v>957</v>
      </c>
      <c r="AL81" t="s">
        <v>958</v>
      </c>
      <c r="AM81" t="s">
        <v>959</v>
      </c>
      <c r="AN81" t="s">
        <v>960</v>
      </c>
      <c r="AO81" t="s">
        <v>961</v>
      </c>
      <c r="AP81" t="s">
        <v>962</v>
      </c>
      <c r="AQ81" t="s">
        <v>963</v>
      </c>
      <c r="AR81" t="s">
        <v>964</v>
      </c>
      <c r="AS81" t="s">
        <v>965</v>
      </c>
    </row>
    <row r="82" spans="1:45" x14ac:dyDescent="0.45">
      <c r="A82">
        <v>81</v>
      </c>
      <c r="B82">
        <v>12425</v>
      </c>
      <c r="C82" t="s">
        <v>78</v>
      </c>
      <c r="D82" t="s">
        <v>193</v>
      </c>
      <c r="E82" t="s">
        <v>74</v>
      </c>
      <c r="F82" t="s">
        <v>75</v>
      </c>
      <c r="G82" t="s">
        <v>162</v>
      </c>
      <c r="H82">
        <v>12</v>
      </c>
      <c r="I82">
        <v>0</v>
      </c>
      <c r="J82">
        <v>5</v>
      </c>
      <c r="K82">
        <v>7</v>
      </c>
      <c r="L82">
        <v>-2</v>
      </c>
      <c r="M82">
        <v>6</v>
      </c>
      <c r="N82">
        <v>7</v>
      </c>
      <c r="O82">
        <v>-1</v>
      </c>
      <c r="P82">
        <v>9</v>
      </c>
      <c r="Q82">
        <v>5</v>
      </c>
      <c r="R82">
        <v>4</v>
      </c>
      <c r="S82">
        <v>8</v>
      </c>
      <c r="T82">
        <v>5</v>
      </c>
      <c r="U82">
        <v>3</v>
      </c>
      <c r="V82">
        <v>7</v>
      </c>
      <c r="W82">
        <v>6</v>
      </c>
      <c r="X82">
        <v>1</v>
      </c>
      <c r="Y82">
        <v>9</v>
      </c>
      <c r="Z82">
        <v>5</v>
      </c>
      <c r="AA82">
        <v>4</v>
      </c>
      <c r="AB82">
        <v>7</v>
      </c>
      <c r="AC82">
        <v>8</v>
      </c>
      <c r="AD82">
        <v>-1</v>
      </c>
      <c r="AE82">
        <v>6</v>
      </c>
      <c r="AF82">
        <v>6</v>
      </c>
      <c r="AG82">
        <v>0</v>
      </c>
      <c r="AH82">
        <v>9</v>
      </c>
      <c r="AI82">
        <v>8</v>
      </c>
      <c r="AJ82">
        <v>1</v>
      </c>
      <c r="AK82" t="s">
        <v>966</v>
      </c>
      <c r="AL82" t="s">
        <v>967</v>
      </c>
      <c r="AM82" t="s">
        <v>968</v>
      </c>
      <c r="AN82" t="s">
        <v>969</v>
      </c>
      <c r="AO82" t="s">
        <v>970</v>
      </c>
      <c r="AP82" t="s">
        <v>971</v>
      </c>
      <c r="AQ82" t="s">
        <v>972</v>
      </c>
      <c r="AR82" t="s">
        <v>973</v>
      </c>
      <c r="AS82" t="s">
        <v>974</v>
      </c>
    </row>
    <row r="83" spans="1:45" x14ac:dyDescent="0.45">
      <c r="A83">
        <v>82</v>
      </c>
      <c r="B83">
        <v>12426</v>
      </c>
      <c r="C83" t="s">
        <v>72</v>
      </c>
      <c r="D83" t="s">
        <v>193</v>
      </c>
      <c r="E83" t="s">
        <v>74</v>
      </c>
      <c r="F83" t="s">
        <v>77</v>
      </c>
      <c r="G83" t="s">
        <v>162</v>
      </c>
      <c r="H83">
        <v>15.135041924578026</v>
      </c>
      <c r="I83">
        <v>1</v>
      </c>
      <c r="J83">
        <v>7</v>
      </c>
      <c r="K83">
        <v>8</v>
      </c>
      <c r="L83">
        <v>-1</v>
      </c>
      <c r="M83">
        <v>8</v>
      </c>
      <c r="N83">
        <v>9</v>
      </c>
      <c r="O83">
        <v>-1</v>
      </c>
      <c r="P83">
        <v>9</v>
      </c>
      <c r="Q83">
        <v>5</v>
      </c>
      <c r="R83">
        <v>4</v>
      </c>
      <c r="S83">
        <v>10</v>
      </c>
      <c r="T83">
        <v>5</v>
      </c>
      <c r="U83">
        <v>5</v>
      </c>
      <c r="V83">
        <v>7</v>
      </c>
      <c r="W83">
        <v>5</v>
      </c>
      <c r="X83">
        <v>2</v>
      </c>
      <c r="Y83">
        <v>8</v>
      </c>
      <c r="Z83">
        <v>5</v>
      </c>
      <c r="AA83">
        <v>3</v>
      </c>
      <c r="AB83">
        <v>7</v>
      </c>
      <c r="AC83">
        <v>1</v>
      </c>
      <c r="AD83">
        <v>6</v>
      </c>
      <c r="AE83">
        <v>6</v>
      </c>
      <c r="AF83">
        <v>5</v>
      </c>
      <c r="AG83">
        <v>1</v>
      </c>
      <c r="AH83">
        <v>8</v>
      </c>
      <c r="AI83">
        <v>5</v>
      </c>
      <c r="AJ83">
        <v>3</v>
      </c>
      <c r="AK83" t="s">
        <v>975</v>
      </c>
      <c r="AL83" t="s">
        <v>976</v>
      </c>
      <c r="AM83" t="s">
        <v>977</v>
      </c>
      <c r="AN83" t="s">
        <v>978</v>
      </c>
      <c r="AO83" t="s">
        <v>979</v>
      </c>
      <c r="AP83" t="s">
        <v>980</v>
      </c>
      <c r="AQ83" t="s">
        <v>981</v>
      </c>
      <c r="AR83" t="s">
        <v>982</v>
      </c>
      <c r="AS83" t="s">
        <v>983</v>
      </c>
    </row>
    <row r="84" spans="1:45" x14ac:dyDescent="0.45">
      <c r="A84">
        <v>83</v>
      </c>
      <c r="B84">
        <v>12427</v>
      </c>
      <c r="C84" t="s">
        <v>72</v>
      </c>
      <c r="D84" t="s">
        <v>79</v>
      </c>
      <c r="E84" t="s">
        <v>74</v>
      </c>
      <c r="F84" t="s">
        <v>75</v>
      </c>
      <c r="G84" t="s">
        <v>76</v>
      </c>
      <c r="H84">
        <v>12.3044467206063</v>
      </c>
      <c r="I84">
        <v>2</v>
      </c>
      <c r="J84">
        <v>4</v>
      </c>
      <c r="K84">
        <v>10</v>
      </c>
      <c r="L84">
        <v>-6</v>
      </c>
      <c r="M84">
        <v>5</v>
      </c>
      <c r="N84">
        <v>8</v>
      </c>
      <c r="O84">
        <v>-3</v>
      </c>
      <c r="P84">
        <v>8</v>
      </c>
      <c r="Q84">
        <v>8</v>
      </c>
      <c r="R84">
        <v>0</v>
      </c>
      <c r="S84">
        <v>9</v>
      </c>
      <c r="T84">
        <v>7</v>
      </c>
      <c r="U84">
        <v>2</v>
      </c>
      <c r="V84">
        <v>8</v>
      </c>
      <c r="W84">
        <v>7</v>
      </c>
      <c r="X84">
        <v>1</v>
      </c>
      <c r="Y84">
        <v>9</v>
      </c>
      <c r="Z84">
        <v>6</v>
      </c>
      <c r="AA84">
        <v>3</v>
      </c>
      <c r="AB84">
        <v>8</v>
      </c>
      <c r="AC84">
        <v>7</v>
      </c>
      <c r="AD84">
        <v>1</v>
      </c>
      <c r="AE84">
        <v>6</v>
      </c>
      <c r="AF84">
        <v>6</v>
      </c>
      <c r="AG84">
        <v>0</v>
      </c>
      <c r="AH84">
        <v>7</v>
      </c>
      <c r="AI84">
        <v>8</v>
      </c>
      <c r="AJ84">
        <v>-1</v>
      </c>
      <c r="AK84" t="s">
        <v>984</v>
      </c>
      <c r="AL84" t="s">
        <v>985</v>
      </c>
      <c r="AM84" t="s">
        <v>986</v>
      </c>
      <c r="AN84" t="s">
        <v>987</v>
      </c>
      <c r="AO84" t="s">
        <v>988</v>
      </c>
      <c r="AP84" t="s">
        <v>989</v>
      </c>
      <c r="AQ84" t="s">
        <v>990</v>
      </c>
      <c r="AR84" t="s">
        <v>991</v>
      </c>
      <c r="AS84" t="s">
        <v>992</v>
      </c>
    </row>
    <row r="85" spans="1:45" x14ac:dyDescent="0.45">
      <c r="A85">
        <v>84</v>
      </c>
      <c r="B85">
        <v>12428</v>
      </c>
      <c r="C85" t="s">
        <v>72</v>
      </c>
      <c r="D85" t="s">
        <v>73</v>
      </c>
      <c r="E85" t="s">
        <v>74</v>
      </c>
      <c r="F85" t="s">
        <v>190</v>
      </c>
      <c r="G85" t="s">
        <v>76</v>
      </c>
      <c r="H85">
        <v>12.024673872801911</v>
      </c>
      <c r="I85">
        <v>1</v>
      </c>
      <c r="J85">
        <v>8</v>
      </c>
      <c r="K85">
        <v>6</v>
      </c>
      <c r="L85">
        <v>2</v>
      </c>
      <c r="M85">
        <v>9</v>
      </c>
      <c r="N85">
        <v>7</v>
      </c>
      <c r="O85">
        <v>2</v>
      </c>
      <c r="P85">
        <v>7</v>
      </c>
      <c r="Q85">
        <v>5</v>
      </c>
      <c r="R85">
        <v>2</v>
      </c>
      <c r="S85">
        <v>9</v>
      </c>
      <c r="T85">
        <v>5</v>
      </c>
      <c r="U85">
        <v>4</v>
      </c>
      <c r="V85">
        <v>8</v>
      </c>
      <c r="W85">
        <v>5</v>
      </c>
      <c r="X85">
        <v>3</v>
      </c>
      <c r="Y85">
        <v>9</v>
      </c>
      <c r="Z85">
        <v>5</v>
      </c>
      <c r="AA85">
        <v>4</v>
      </c>
      <c r="AB85">
        <v>8</v>
      </c>
      <c r="AC85">
        <v>5</v>
      </c>
      <c r="AD85">
        <v>3</v>
      </c>
      <c r="AE85">
        <v>9</v>
      </c>
      <c r="AF85">
        <v>5</v>
      </c>
      <c r="AG85">
        <v>4</v>
      </c>
      <c r="AH85">
        <v>8</v>
      </c>
      <c r="AI85">
        <v>5</v>
      </c>
      <c r="AJ85">
        <v>3</v>
      </c>
      <c r="AK85" t="s">
        <v>993</v>
      </c>
      <c r="AL85" t="s">
        <v>994</v>
      </c>
      <c r="AM85" t="s">
        <v>995</v>
      </c>
      <c r="AN85" t="s">
        <v>996</v>
      </c>
      <c r="AO85" t="s">
        <v>997</v>
      </c>
      <c r="AP85" t="s">
        <v>224</v>
      </c>
      <c r="AQ85" t="s">
        <v>998</v>
      </c>
      <c r="AR85" t="s">
        <v>999</v>
      </c>
      <c r="AS85" t="s">
        <v>1000</v>
      </c>
    </row>
    <row r="86" spans="1:45" x14ac:dyDescent="0.45">
      <c r="A86">
        <v>85</v>
      </c>
      <c r="B86">
        <v>12429</v>
      </c>
      <c r="C86" t="s">
        <v>72</v>
      </c>
      <c r="D86" t="s">
        <v>79</v>
      </c>
      <c r="E86" t="s">
        <v>74</v>
      </c>
      <c r="F86" t="s">
        <v>77</v>
      </c>
      <c r="G86" t="s">
        <v>76</v>
      </c>
      <c r="H86">
        <v>14.83525377811864</v>
      </c>
      <c r="I86">
        <v>2</v>
      </c>
      <c r="J86">
        <v>6</v>
      </c>
      <c r="K86">
        <v>9</v>
      </c>
      <c r="L86">
        <v>-3</v>
      </c>
      <c r="M86">
        <v>6</v>
      </c>
      <c r="N86">
        <v>9</v>
      </c>
      <c r="O86">
        <v>-3</v>
      </c>
      <c r="P86">
        <v>8</v>
      </c>
      <c r="Q86">
        <v>8</v>
      </c>
      <c r="R86">
        <v>0</v>
      </c>
      <c r="S86">
        <v>9</v>
      </c>
      <c r="T86">
        <v>9</v>
      </c>
      <c r="U86">
        <v>0</v>
      </c>
      <c r="V86">
        <v>8</v>
      </c>
      <c r="W86">
        <v>9</v>
      </c>
      <c r="X86">
        <v>-1</v>
      </c>
      <c r="Y86">
        <v>7</v>
      </c>
      <c r="Z86">
        <v>9</v>
      </c>
      <c r="AA86">
        <v>-2</v>
      </c>
      <c r="AB86">
        <v>8</v>
      </c>
      <c r="AC86">
        <v>7</v>
      </c>
      <c r="AD86">
        <v>1</v>
      </c>
      <c r="AE86">
        <v>7</v>
      </c>
      <c r="AF86">
        <v>8</v>
      </c>
      <c r="AG86">
        <v>-1</v>
      </c>
      <c r="AH86">
        <v>8</v>
      </c>
      <c r="AI86">
        <v>8</v>
      </c>
      <c r="AJ86">
        <v>0</v>
      </c>
      <c r="AK86" t="s">
        <v>1001</v>
      </c>
      <c r="AL86" t="s">
        <v>1002</v>
      </c>
      <c r="AM86" t="s">
        <v>1003</v>
      </c>
      <c r="AN86" t="s">
        <v>1004</v>
      </c>
      <c r="AO86" t="s">
        <v>1005</v>
      </c>
      <c r="AP86" t="s">
        <v>1006</v>
      </c>
      <c r="AQ86" t="s">
        <v>1007</v>
      </c>
      <c r="AR86" t="s">
        <v>1008</v>
      </c>
      <c r="AS86" t="s">
        <v>1009</v>
      </c>
    </row>
    <row r="87" spans="1:45" x14ac:dyDescent="0.45">
      <c r="A87">
        <v>86</v>
      </c>
      <c r="B87">
        <v>12430</v>
      </c>
      <c r="C87" t="s">
        <v>78</v>
      </c>
      <c r="D87" t="s">
        <v>73</v>
      </c>
      <c r="E87" t="s">
        <v>80</v>
      </c>
      <c r="F87" t="s">
        <v>77</v>
      </c>
      <c r="G87" t="s">
        <v>76</v>
      </c>
      <c r="H87">
        <v>14.195470345216716</v>
      </c>
      <c r="I87">
        <v>0</v>
      </c>
      <c r="J87">
        <v>8</v>
      </c>
      <c r="K87">
        <v>5</v>
      </c>
      <c r="L87">
        <v>3</v>
      </c>
      <c r="M87">
        <v>9</v>
      </c>
      <c r="N87">
        <v>5</v>
      </c>
      <c r="O87">
        <v>4</v>
      </c>
      <c r="P87">
        <v>8</v>
      </c>
      <c r="Q87">
        <v>10</v>
      </c>
      <c r="R87">
        <v>-2</v>
      </c>
      <c r="S87">
        <v>9</v>
      </c>
      <c r="T87">
        <v>4</v>
      </c>
      <c r="U87">
        <v>5</v>
      </c>
      <c r="V87">
        <v>7</v>
      </c>
      <c r="W87">
        <v>4</v>
      </c>
      <c r="X87">
        <v>3</v>
      </c>
      <c r="Y87">
        <v>9</v>
      </c>
      <c r="Z87">
        <v>5</v>
      </c>
      <c r="AA87">
        <v>4</v>
      </c>
      <c r="AB87">
        <v>6</v>
      </c>
      <c r="AC87">
        <v>5</v>
      </c>
      <c r="AD87">
        <v>1</v>
      </c>
      <c r="AE87">
        <v>8</v>
      </c>
      <c r="AF87">
        <v>8</v>
      </c>
      <c r="AG87">
        <v>0</v>
      </c>
      <c r="AH87">
        <v>9</v>
      </c>
      <c r="AI87">
        <v>8</v>
      </c>
      <c r="AJ87">
        <v>1</v>
      </c>
      <c r="AK87" t="s">
        <v>1010</v>
      </c>
      <c r="AL87" t="s">
        <v>1011</v>
      </c>
      <c r="AM87" t="s">
        <v>1012</v>
      </c>
      <c r="AN87" t="s">
        <v>1013</v>
      </c>
      <c r="AO87" t="s">
        <v>1014</v>
      </c>
      <c r="AP87" t="s">
        <v>1015</v>
      </c>
      <c r="AQ87" t="s">
        <v>1016</v>
      </c>
      <c r="AR87" t="s">
        <v>1017</v>
      </c>
      <c r="AS87" t="s">
        <v>1018</v>
      </c>
    </row>
    <row r="88" spans="1:45" x14ac:dyDescent="0.45">
      <c r="A88">
        <v>87</v>
      </c>
      <c r="B88">
        <v>12431</v>
      </c>
      <c r="C88" t="s">
        <v>78</v>
      </c>
      <c r="D88" t="s">
        <v>79</v>
      </c>
      <c r="E88" t="s">
        <v>74</v>
      </c>
      <c r="F88" t="s">
        <v>77</v>
      </c>
      <c r="G88" t="s">
        <v>76</v>
      </c>
      <c r="H88">
        <v>13.88391325950928</v>
      </c>
      <c r="I88">
        <v>2</v>
      </c>
      <c r="J88">
        <v>7</v>
      </c>
      <c r="K88">
        <v>10</v>
      </c>
      <c r="L88">
        <v>-3</v>
      </c>
      <c r="M88">
        <v>6</v>
      </c>
      <c r="N88">
        <v>9</v>
      </c>
      <c r="O88">
        <v>-3</v>
      </c>
      <c r="P88">
        <v>8</v>
      </c>
      <c r="Q88">
        <v>9</v>
      </c>
      <c r="R88">
        <v>-1</v>
      </c>
      <c r="S88">
        <v>9</v>
      </c>
      <c r="T88">
        <v>9</v>
      </c>
      <c r="U88">
        <v>0</v>
      </c>
      <c r="V88">
        <v>8</v>
      </c>
      <c r="W88">
        <v>9</v>
      </c>
      <c r="X88">
        <v>-1</v>
      </c>
      <c r="Y88">
        <v>9</v>
      </c>
      <c r="Z88">
        <v>9</v>
      </c>
      <c r="AA88">
        <v>0</v>
      </c>
      <c r="AB88">
        <v>8</v>
      </c>
      <c r="AC88">
        <v>10</v>
      </c>
      <c r="AD88">
        <v>-2</v>
      </c>
      <c r="AE88">
        <v>7</v>
      </c>
      <c r="AF88">
        <v>9</v>
      </c>
      <c r="AG88">
        <v>-2</v>
      </c>
      <c r="AH88">
        <v>8</v>
      </c>
      <c r="AI88">
        <v>10</v>
      </c>
      <c r="AJ88">
        <v>-2</v>
      </c>
      <c r="AK88" t="s">
        <v>1019</v>
      </c>
      <c r="AL88" t="s">
        <v>1020</v>
      </c>
      <c r="AM88" t="s">
        <v>1021</v>
      </c>
      <c r="AN88" t="s">
        <v>1022</v>
      </c>
      <c r="AO88" t="s">
        <v>1023</v>
      </c>
      <c r="AP88" t="s">
        <v>1024</v>
      </c>
      <c r="AQ88" t="s">
        <v>1025</v>
      </c>
      <c r="AR88" t="s">
        <v>1026</v>
      </c>
      <c r="AS88" t="s">
        <v>1027</v>
      </c>
    </row>
    <row r="89" spans="1:45" x14ac:dyDescent="0.45">
      <c r="A89">
        <v>88</v>
      </c>
      <c r="B89">
        <v>12432</v>
      </c>
      <c r="C89" t="s">
        <v>72</v>
      </c>
      <c r="D89" t="s">
        <v>79</v>
      </c>
      <c r="E89" t="s">
        <v>74</v>
      </c>
      <c r="F89" t="s">
        <v>192</v>
      </c>
      <c r="G89" t="s">
        <v>76</v>
      </c>
      <c r="H89">
        <v>12</v>
      </c>
      <c r="I89">
        <v>2</v>
      </c>
      <c r="J89">
        <v>7</v>
      </c>
      <c r="K89">
        <v>10</v>
      </c>
      <c r="L89">
        <v>-3</v>
      </c>
      <c r="M89">
        <v>6</v>
      </c>
      <c r="N89">
        <v>10</v>
      </c>
      <c r="O89">
        <v>-4</v>
      </c>
      <c r="P89">
        <v>7</v>
      </c>
      <c r="Q89">
        <v>10</v>
      </c>
      <c r="R89">
        <v>-3</v>
      </c>
      <c r="S89">
        <v>9</v>
      </c>
      <c r="T89">
        <v>10</v>
      </c>
      <c r="U89">
        <v>-1</v>
      </c>
      <c r="V89">
        <v>6</v>
      </c>
      <c r="W89">
        <v>10</v>
      </c>
      <c r="X89">
        <v>-4</v>
      </c>
      <c r="Y89">
        <v>9</v>
      </c>
      <c r="Z89">
        <v>10</v>
      </c>
      <c r="AA89">
        <v>-1</v>
      </c>
      <c r="AB89">
        <v>7</v>
      </c>
      <c r="AC89">
        <v>10</v>
      </c>
      <c r="AD89">
        <v>-3</v>
      </c>
      <c r="AE89">
        <v>8</v>
      </c>
      <c r="AF89">
        <v>10</v>
      </c>
      <c r="AG89">
        <v>-2</v>
      </c>
      <c r="AH89">
        <v>7</v>
      </c>
      <c r="AI89">
        <v>10</v>
      </c>
      <c r="AJ89">
        <v>-3</v>
      </c>
      <c r="AK89" t="s">
        <v>1028</v>
      </c>
      <c r="AL89" t="s">
        <v>1029</v>
      </c>
      <c r="AM89" t="s">
        <v>1030</v>
      </c>
      <c r="AN89" t="s">
        <v>1031</v>
      </c>
      <c r="AO89" t="s">
        <v>1032</v>
      </c>
      <c r="AP89" t="s">
        <v>1033</v>
      </c>
      <c r="AQ89" t="s">
        <v>1034</v>
      </c>
      <c r="AR89" t="s">
        <v>1035</v>
      </c>
      <c r="AS89" t="s">
        <v>1036</v>
      </c>
    </row>
    <row r="90" spans="1:45" x14ac:dyDescent="0.45">
      <c r="A90">
        <v>89</v>
      </c>
      <c r="B90">
        <v>12433</v>
      </c>
      <c r="C90" t="s">
        <v>72</v>
      </c>
      <c r="D90" t="s">
        <v>73</v>
      </c>
      <c r="E90" t="s">
        <v>74</v>
      </c>
      <c r="F90" t="s">
        <v>190</v>
      </c>
      <c r="G90" t="s">
        <v>76</v>
      </c>
      <c r="H90">
        <v>12</v>
      </c>
      <c r="I90">
        <v>1</v>
      </c>
      <c r="J90">
        <v>7</v>
      </c>
      <c r="K90">
        <v>10</v>
      </c>
      <c r="L90">
        <v>-3</v>
      </c>
      <c r="M90">
        <v>7</v>
      </c>
      <c r="N90">
        <v>9</v>
      </c>
      <c r="O90">
        <v>-2</v>
      </c>
      <c r="P90">
        <v>8</v>
      </c>
      <c r="Q90">
        <v>9</v>
      </c>
      <c r="R90">
        <v>-1</v>
      </c>
      <c r="S90">
        <v>9</v>
      </c>
      <c r="T90">
        <v>9</v>
      </c>
      <c r="U90">
        <v>0</v>
      </c>
      <c r="V90">
        <v>9</v>
      </c>
      <c r="W90">
        <v>10</v>
      </c>
      <c r="X90">
        <v>-1</v>
      </c>
      <c r="Y90">
        <v>9</v>
      </c>
      <c r="Z90">
        <v>9</v>
      </c>
      <c r="AA90">
        <v>0</v>
      </c>
      <c r="AB90">
        <v>8</v>
      </c>
      <c r="AC90">
        <v>9</v>
      </c>
      <c r="AD90">
        <v>-1</v>
      </c>
      <c r="AE90">
        <v>9</v>
      </c>
      <c r="AF90">
        <v>8</v>
      </c>
      <c r="AG90">
        <v>1</v>
      </c>
      <c r="AH90">
        <v>9</v>
      </c>
      <c r="AI90">
        <v>9</v>
      </c>
      <c r="AJ90">
        <v>0</v>
      </c>
      <c r="AK90" t="s">
        <v>1037</v>
      </c>
      <c r="AL90" t="s">
        <v>1038</v>
      </c>
      <c r="AM90" t="s">
        <v>1039</v>
      </c>
      <c r="AN90" t="s">
        <v>1040</v>
      </c>
      <c r="AO90" t="s">
        <v>1041</v>
      </c>
      <c r="AP90" t="s">
        <v>1042</v>
      </c>
      <c r="AQ90" t="s">
        <v>1043</v>
      </c>
      <c r="AR90" t="s">
        <v>1044</v>
      </c>
      <c r="AS90" t="s">
        <v>1045</v>
      </c>
    </row>
    <row r="91" spans="1:45" x14ac:dyDescent="0.45">
      <c r="A91">
        <v>90</v>
      </c>
      <c r="B91">
        <v>12434</v>
      </c>
      <c r="C91" t="s">
        <v>72</v>
      </c>
      <c r="D91" t="s">
        <v>73</v>
      </c>
      <c r="E91" t="s">
        <v>80</v>
      </c>
      <c r="F91" t="s">
        <v>77</v>
      </c>
      <c r="G91" t="s">
        <v>76</v>
      </c>
      <c r="H91">
        <v>12</v>
      </c>
      <c r="I91">
        <v>4</v>
      </c>
      <c r="J91">
        <v>7</v>
      </c>
      <c r="K91">
        <v>6</v>
      </c>
      <c r="L91">
        <v>1</v>
      </c>
      <c r="M91">
        <v>8</v>
      </c>
      <c r="N91">
        <v>10</v>
      </c>
      <c r="O91">
        <v>-2</v>
      </c>
      <c r="P91">
        <v>7</v>
      </c>
      <c r="Q91">
        <v>8</v>
      </c>
      <c r="R91">
        <v>-1</v>
      </c>
      <c r="S91">
        <v>9</v>
      </c>
      <c r="T91">
        <v>9</v>
      </c>
      <c r="U91">
        <v>0</v>
      </c>
      <c r="V91">
        <v>8</v>
      </c>
      <c r="W91">
        <v>9</v>
      </c>
      <c r="X91">
        <v>-1</v>
      </c>
      <c r="Y91">
        <v>9</v>
      </c>
      <c r="Z91">
        <v>9</v>
      </c>
      <c r="AA91">
        <v>0</v>
      </c>
      <c r="AB91">
        <v>8</v>
      </c>
      <c r="AC91">
        <v>8</v>
      </c>
      <c r="AD91">
        <v>0</v>
      </c>
      <c r="AE91">
        <v>9</v>
      </c>
      <c r="AF91">
        <v>8</v>
      </c>
      <c r="AG91">
        <v>1</v>
      </c>
      <c r="AH91">
        <v>8</v>
      </c>
      <c r="AI91">
        <v>9</v>
      </c>
      <c r="AJ91">
        <v>-1</v>
      </c>
      <c r="AK91" t="s">
        <v>1046</v>
      </c>
      <c r="AL91" t="s">
        <v>1047</v>
      </c>
      <c r="AM91" t="s">
        <v>1048</v>
      </c>
      <c r="AN91" t="s">
        <v>1049</v>
      </c>
      <c r="AO91" t="s">
        <v>1050</v>
      </c>
      <c r="AP91" t="s">
        <v>1051</v>
      </c>
      <c r="AQ91" t="s">
        <v>1052</v>
      </c>
      <c r="AR91" t="s">
        <v>1053</v>
      </c>
      <c r="AS91" t="s">
        <v>1054</v>
      </c>
    </row>
    <row r="92" spans="1:45" x14ac:dyDescent="0.45">
      <c r="A92">
        <v>91</v>
      </c>
      <c r="B92">
        <v>12435</v>
      </c>
      <c r="C92" t="s">
        <v>72</v>
      </c>
      <c r="D92" t="s">
        <v>73</v>
      </c>
      <c r="E92" t="s">
        <v>74</v>
      </c>
      <c r="F92" t="s">
        <v>77</v>
      </c>
      <c r="G92" t="s">
        <v>76</v>
      </c>
      <c r="H92">
        <v>12</v>
      </c>
      <c r="I92">
        <v>2</v>
      </c>
      <c r="J92">
        <v>6</v>
      </c>
      <c r="K92">
        <v>10</v>
      </c>
      <c r="L92">
        <v>-4</v>
      </c>
      <c r="M92">
        <v>7</v>
      </c>
      <c r="N92">
        <v>9</v>
      </c>
      <c r="O92">
        <v>-2</v>
      </c>
      <c r="P92">
        <v>8</v>
      </c>
      <c r="Q92">
        <v>9</v>
      </c>
      <c r="R92">
        <v>-1</v>
      </c>
      <c r="S92">
        <v>9</v>
      </c>
      <c r="T92">
        <v>9</v>
      </c>
      <c r="U92">
        <v>0</v>
      </c>
      <c r="V92">
        <v>7</v>
      </c>
      <c r="W92">
        <v>10</v>
      </c>
      <c r="X92">
        <v>-3</v>
      </c>
      <c r="Y92">
        <v>8</v>
      </c>
      <c r="Z92">
        <v>9</v>
      </c>
      <c r="AA92">
        <v>-1</v>
      </c>
      <c r="AB92">
        <v>7</v>
      </c>
      <c r="AC92">
        <v>8</v>
      </c>
      <c r="AD92">
        <v>-1</v>
      </c>
      <c r="AE92">
        <v>7</v>
      </c>
      <c r="AF92">
        <v>8</v>
      </c>
      <c r="AG92">
        <v>-1</v>
      </c>
      <c r="AH92">
        <v>6</v>
      </c>
      <c r="AI92">
        <v>10</v>
      </c>
      <c r="AJ92">
        <v>-4</v>
      </c>
      <c r="AK92" t="s">
        <v>1055</v>
      </c>
      <c r="AL92" t="s">
        <v>1056</v>
      </c>
      <c r="AM92" t="s">
        <v>1057</v>
      </c>
      <c r="AN92" t="s">
        <v>1058</v>
      </c>
      <c r="AO92" t="s">
        <v>1059</v>
      </c>
      <c r="AP92" t="s">
        <v>1060</v>
      </c>
      <c r="AQ92" t="s">
        <v>1061</v>
      </c>
      <c r="AR92" t="s">
        <v>1062</v>
      </c>
      <c r="AS92" t="s">
        <v>1063</v>
      </c>
    </row>
    <row r="93" spans="1:45" x14ac:dyDescent="0.45">
      <c r="A93">
        <v>92</v>
      </c>
      <c r="B93">
        <v>12436</v>
      </c>
      <c r="C93" t="s">
        <v>78</v>
      </c>
      <c r="D93" t="s">
        <v>73</v>
      </c>
      <c r="E93" t="s">
        <v>74</v>
      </c>
      <c r="F93" t="s">
        <v>77</v>
      </c>
      <c r="G93" t="s">
        <v>76</v>
      </c>
      <c r="H93">
        <v>12</v>
      </c>
      <c r="I93">
        <v>2</v>
      </c>
      <c r="J93">
        <v>7</v>
      </c>
      <c r="K93">
        <v>10</v>
      </c>
      <c r="L93">
        <v>-3</v>
      </c>
      <c r="M93">
        <v>6</v>
      </c>
      <c r="N93">
        <v>10</v>
      </c>
      <c r="O93">
        <v>-4</v>
      </c>
      <c r="P93">
        <v>8</v>
      </c>
      <c r="Q93">
        <v>10</v>
      </c>
      <c r="R93">
        <v>-2</v>
      </c>
      <c r="S93">
        <v>9</v>
      </c>
      <c r="T93">
        <v>10</v>
      </c>
      <c r="U93">
        <v>-1</v>
      </c>
      <c r="V93">
        <v>8</v>
      </c>
      <c r="W93">
        <v>10</v>
      </c>
      <c r="X93">
        <v>-2</v>
      </c>
      <c r="Y93">
        <v>9</v>
      </c>
      <c r="Z93">
        <v>1</v>
      </c>
      <c r="AA93">
        <v>8</v>
      </c>
      <c r="AB93">
        <v>8</v>
      </c>
      <c r="AC93">
        <v>10</v>
      </c>
      <c r="AD93">
        <v>-2</v>
      </c>
      <c r="AE93">
        <v>9</v>
      </c>
      <c r="AF93">
        <v>10</v>
      </c>
      <c r="AG93">
        <v>-1</v>
      </c>
      <c r="AH93">
        <v>10</v>
      </c>
      <c r="AI93">
        <v>10</v>
      </c>
      <c r="AJ93">
        <v>0</v>
      </c>
      <c r="AK93" t="s">
        <v>1064</v>
      </c>
      <c r="AL93" t="s">
        <v>1065</v>
      </c>
      <c r="AM93" t="s">
        <v>1066</v>
      </c>
      <c r="AN93" t="s">
        <v>1067</v>
      </c>
      <c r="AO93" t="s">
        <v>1068</v>
      </c>
      <c r="AP93" t="s">
        <v>1069</v>
      </c>
      <c r="AQ93" t="s">
        <v>1070</v>
      </c>
      <c r="AR93" t="s">
        <v>1071</v>
      </c>
      <c r="AS93" t="s">
        <v>1072</v>
      </c>
    </row>
    <row r="94" spans="1:45" x14ac:dyDescent="0.45">
      <c r="A94">
        <v>93</v>
      </c>
      <c r="B94">
        <v>12437</v>
      </c>
      <c r="C94" t="s">
        <v>78</v>
      </c>
      <c r="D94" t="s">
        <v>73</v>
      </c>
      <c r="E94" t="s">
        <v>74</v>
      </c>
      <c r="F94" t="s">
        <v>77</v>
      </c>
      <c r="G94" t="s">
        <v>76</v>
      </c>
      <c r="H94">
        <v>32.798162109154326</v>
      </c>
      <c r="I94">
        <v>2</v>
      </c>
      <c r="J94">
        <v>7</v>
      </c>
      <c r="K94">
        <v>5</v>
      </c>
      <c r="L94">
        <v>2</v>
      </c>
      <c r="M94">
        <v>8</v>
      </c>
      <c r="N94">
        <v>8</v>
      </c>
      <c r="O94">
        <v>0</v>
      </c>
      <c r="P94">
        <v>9</v>
      </c>
      <c r="Q94">
        <v>4</v>
      </c>
      <c r="R94">
        <v>5</v>
      </c>
      <c r="S94">
        <v>9</v>
      </c>
      <c r="T94">
        <v>9</v>
      </c>
      <c r="U94">
        <v>0</v>
      </c>
      <c r="V94">
        <v>6</v>
      </c>
      <c r="W94">
        <v>7</v>
      </c>
      <c r="X94">
        <v>-1</v>
      </c>
      <c r="Y94">
        <v>8</v>
      </c>
      <c r="Z94">
        <v>5</v>
      </c>
      <c r="AA94">
        <v>3</v>
      </c>
      <c r="AB94">
        <v>7</v>
      </c>
      <c r="AC94">
        <v>7</v>
      </c>
      <c r="AD94">
        <v>0</v>
      </c>
      <c r="AE94">
        <v>8</v>
      </c>
      <c r="AF94">
        <v>8</v>
      </c>
      <c r="AG94">
        <v>0</v>
      </c>
      <c r="AH94">
        <v>9</v>
      </c>
      <c r="AI94">
        <v>10</v>
      </c>
      <c r="AJ94">
        <v>-1</v>
      </c>
      <c r="AK94" t="s">
        <v>1073</v>
      </c>
      <c r="AL94" t="s">
        <v>1074</v>
      </c>
      <c r="AM94" t="s">
        <v>1075</v>
      </c>
      <c r="AN94" t="s">
        <v>1076</v>
      </c>
      <c r="AO94" t="s">
        <v>271</v>
      </c>
      <c r="AP94" t="s">
        <v>1077</v>
      </c>
      <c r="AQ94" t="s">
        <v>1078</v>
      </c>
      <c r="AR94" t="s">
        <v>1079</v>
      </c>
      <c r="AS94" t="s">
        <v>1080</v>
      </c>
    </row>
    <row r="95" spans="1:45" x14ac:dyDescent="0.45">
      <c r="A95">
        <v>94</v>
      </c>
      <c r="B95">
        <v>12438</v>
      </c>
      <c r="C95" t="s">
        <v>72</v>
      </c>
      <c r="D95" t="s">
        <v>73</v>
      </c>
      <c r="E95" t="s">
        <v>74</v>
      </c>
      <c r="F95" t="s">
        <v>75</v>
      </c>
      <c r="G95" t="s">
        <v>76</v>
      </c>
      <c r="H95">
        <v>12</v>
      </c>
      <c r="I95">
        <v>0</v>
      </c>
      <c r="J95">
        <v>6</v>
      </c>
      <c r="K95">
        <v>9</v>
      </c>
      <c r="L95">
        <v>-3</v>
      </c>
      <c r="M95">
        <v>8</v>
      </c>
      <c r="N95">
        <v>7</v>
      </c>
      <c r="O95">
        <v>1</v>
      </c>
      <c r="P95">
        <v>9</v>
      </c>
      <c r="Q95">
        <v>5</v>
      </c>
      <c r="R95">
        <v>4</v>
      </c>
      <c r="S95">
        <v>9</v>
      </c>
      <c r="T95">
        <v>7</v>
      </c>
      <c r="U95">
        <v>2</v>
      </c>
      <c r="V95">
        <v>8</v>
      </c>
      <c r="W95">
        <v>5</v>
      </c>
      <c r="X95">
        <v>3</v>
      </c>
      <c r="Y95">
        <v>9</v>
      </c>
      <c r="Z95">
        <v>8</v>
      </c>
      <c r="AA95">
        <v>1</v>
      </c>
      <c r="AB95">
        <v>8</v>
      </c>
      <c r="AC95">
        <v>5</v>
      </c>
      <c r="AD95">
        <v>3</v>
      </c>
      <c r="AE95">
        <v>7</v>
      </c>
      <c r="AF95">
        <v>5</v>
      </c>
      <c r="AG95">
        <v>2</v>
      </c>
      <c r="AH95">
        <v>9</v>
      </c>
      <c r="AI95">
        <v>7</v>
      </c>
      <c r="AJ95">
        <v>2</v>
      </c>
      <c r="AK95" t="s">
        <v>1081</v>
      </c>
      <c r="AL95" t="s">
        <v>1082</v>
      </c>
      <c r="AM95" t="s">
        <v>1083</v>
      </c>
      <c r="AN95" t="s">
        <v>1084</v>
      </c>
      <c r="AO95" t="s">
        <v>1085</v>
      </c>
      <c r="AP95" t="s">
        <v>1086</v>
      </c>
      <c r="AQ95" t="s">
        <v>1087</v>
      </c>
      <c r="AR95" t="s">
        <v>1088</v>
      </c>
      <c r="AS95" t="s">
        <v>1089</v>
      </c>
    </row>
    <row r="96" spans="1:45" x14ac:dyDescent="0.45">
      <c r="A96">
        <v>95</v>
      </c>
      <c r="B96">
        <v>12439</v>
      </c>
      <c r="C96" t="s">
        <v>72</v>
      </c>
      <c r="D96" t="s">
        <v>79</v>
      </c>
      <c r="E96" t="s">
        <v>74</v>
      </c>
      <c r="F96" t="s">
        <v>77</v>
      </c>
      <c r="G96" t="s">
        <v>76</v>
      </c>
      <c r="H96">
        <v>33.847147653280899</v>
      </c>
      <c r="I96">
        <v>3</v>
      </c>
      <c r="J96">
        <v>6</v>
      </c>
      <c r="K96">
        <v>4</v>
      </c>
      <c r="L96">
        <v>2</v>
      </c>
      <c r="M96">
        <v>7</v>
      </c>
      <c r="N96">
        <v>6</v>
      </c>
      <c r="O96">
        <v>1</v>
      </c>
      <c r="P96">
        <v>8</v>
      </c>
      <c r="Q96">
        <v>5</v>
      </c>
      <c r="R96">
        <v>3</v>
      </c>
      <c r="S96">
        <v>9</v>
      </c>
      <c r="T96">
        <v>5</v>
      </c>
      <c r="U96">
        <v>4</v>
      </c>
      <c r="V96">
        <v>7</v>
      </c>
      <c r="W96">
        <v>4</v>
      </c>
      <c r="X96">
        <v>3</v>
      </c>
      <c r="Y96">
        <v>8</v>
      </c>
      <c r="Z96">
        <v>4</v>
      </c>
      <c r="AA96">
        <v>4</v>
      </c>
      <c r="AB96">
        <v>7</v>
      </c>
      <c r="AC96">
        <v>3</v>
      </c>
      <c r="AD96">
        <v>4</v>
      </c>
      <c r="AE96">
        <v>6</v>
      </c>
      <c r="AF96">
        <v>4</v>
      </c>
      <c r="AG96">
        <v>2</v>
      </c>
      <c r="AH96">
        <v>8</v>
      </c>
      <c r="AI96">
        <v>3</v>
      </c>
      <c r="AJ96">
        <v>5</v>
      </c>
      <c r="AK96" t="s">
        <v>1090</v>
      </c>
      <c r="AL96" t="s">
        <v>1091</v>
      </c>
      <c r="AM96" t="s">
        <v>1092</v>
      </c>
      <c r="AN96" t="s">
        <v>1093</v>
      </c>
      <c r="AO96" t="s">
        <v>1094</v>
      </c>
      <c r="AP96" t="s">
        <v>1095</v>
      </c>
      <c r="AQ96" t="s">
        <v>1096</v>
      </c>
      <c r="AR96" t="s">
        <v>1097</v>
      </c>
      <c r="AS96" t="s">
        <v>1098</v>
      </c>
    </row>
    <row r="97" spans="1:45" x14ac:dyDescent="0.45">
      <c r="A97">
        <v>96</v>
      </c>
      <c r="B97">
        <v>12440</v>
      </c>
      <c r="C97" t="s">
        <v>78</v>
      </c>
      <c r="D97" t="s">
        <v>189</v>
      </c>
      <c r="E97" t="s">
        <v>74</v>
      </c>
      <c r="F97" t="s">
        <v>77</v>
      </c>
      <c r="G97" t="s">
        <v>76</v>
      </c>
      <c r="H97">
        <v>12</v>
      </c>
      <c r="I97">
        <v>0</v>
      </c>
      <c r="J97">
        <v>8</v>
      </c>
      <c r="K97">
        <v>8</v>
      </c>
      <c r="L97">
        <v>0</v>
      </c>
      <c r="M97">
        <v>9</v>
      </c>
      <c r="N97">
        <v>7</v>
      </c>
      <c r="O97">
        <v>2</v>
      </c>
      <c r="P97">
        <v>7</v>
      </c>
      <c r="Q97">
        <v>5</v>
      </c>
      <c r="R97">
        <v>2</v>
      </c>
      <c r="S97">
        <v>9</v>
      </c>
      <c r="T97">
        <v>7</v>
      </c>
      <c r="U97">
        <v>2</v>
      </c>
      <c r="V97">
        <v>8</v>
      </c>
      <c r="W97">
        <v>7</v>
      </c>
      <c r="X97">
        <v>1</v>
      </c>
      <c r="Y97">
        <v>9</v>
      </c>
      <c r="Z97">
        <v>5</v>
      </c>
      <c r="AA97">
        <v>4</v>
      </c>
      <c r="AB97">
        <v>8</v>
      </c>
      <c r="AC97">
        <v>5</v>
      </c>
      <c r="AD97">
        <v>3</v>
      </c>
      <c r="AE97">
        <v>9</v>
      </c>
      <c r="AF97">
        <v>7</v>
      </c>
      <c r="AG97">
        <v>2</v>
      </c>
      <c r="AH97">
        <v>8</v>
      </c>
      <c r="AI97">
        <v>7</v>
      </c>
      <c r="AJ97">
        <v>1</v>
      </c>
      <c r="AK97" t="s">
        <v>1099</v>
      </c>
      <c r="AL97" t="s">
        <v>1100</v>
      </c>
      <c r="AM97" t="s">
        <v>1101</v>
      </c>
      <c r="AN97" t="s">
        <v>1102</v>
      </c>
      <c r="AO97" t="s">
        <v>1103</v>
      </c>
      <c r="AP97" t="s">
        <v>1104</v>
      </c>
      <c r="AQ97" t="s">
        <v>1105</v>
      </c>
      <c r="AR97" t="s">
        <v>1106</v>
      </c>
      <c r="AS97" t="s">
        <v>1107</v>
      </c>
    </row>
    <row r="98" spans="1:45" x14ac:dyDescent="0.45">
      <c r="A98">
        <v>97</v>
      </c>
      <c r="B98">
        <v>12441</v>
      </c>
      <c r="C98" t="s">
        <v>72</v>
      </c>
      <c r="D98" t="s">
        <v>193</v>
      </c>
      <c r="E98" t="s">
        <v>74</v>
      </c>
      <c r="F98" t="s">
        <v>77</v>
      </c>
      <c r="G98" t="s">
        <v>162</v>
      </c>
      <c r="H98">
        <v>111.51328760485315</v>
      </c>
      <c r="I98">
        <v>4</v>
      </c>
      <c r="J98">
        <v>8</v>
      </c>
      <c r="K98">
        <v>6</v>
      </c>
      <c r="L98">
        <v>2</v>
      </c>
      <c r="M98">
        <v>7</v>
      </c>
      <c r="N98">
        <v>6</v>
      </c>
      <c r="O98">
        <v>1</v>
      </c>
      <c r="P98">
        <v>9</v>
      </c>
      <c r="Q98">
        <v>5</v>
      </c>
      <c r="R98">
        <v>4</v>
      </c>
      <c r="S98">
        <v>8</v>
      </c>
      <c r="T98">
        <v>5</v>
      </c>
      <c r="U98">
        <v>3</v>
      </c>
      <c r="V98">
        <v>9</v>
      </c>
      <c r="W98">
        <v>5</v>
      </c>
      <c r="X98">
        <v>4</v>
      </c>
      <c r="Y98">
        <v>8</v>
      </c>
      <c r="Z98">
        <v>5</v>
      </c>
      <c r="AA98">
        <v>3</v>
      </c>
      <c r="AB98">
        <v>9</v>
      </c>
      <c r="AC98">
        <v>5</v>
      </c>
      <c r="AD98">
        <v>4</v>
      </c>
      <c r="AE98">
        <v>8</v>
      </c>
      <c r="AF98">
        <v>5</v>
      </c>
      <c r="AG98">
        <v>3</v>
      </c>
      <c r="AH98">
        <v>9</v>
      </c>
      <c r="AI98">
        <v>5</v>
      </c>
      <c r="AJ98">
        <v>4</v>
      </c>
      <c r="AK98" t="s">
        <v>1108</v>
      </c>
      <c r="AL98" t="s">
        <v>1109</v>
      </c>
      <c r="AM98" t="s">
        <v>1110</v>
      </c>
      <c r="AN98" t="s">
        <v>1111</v>
      </c>
      <c r="AO98" t="s">
        <v>1112</v>
      </c>
      <c r="AP98" t="s">
        <v>1113</v>
      </c>
      <c r="AQ98" t="s">
        <v>1114</v>
      </c>
      <c r="AR98" t="s">
        <v>1115</v>
      </c>
      <c r="AS98" t="s">
        <v>1116</v>
      </c>
    </row>
    <row r="99" spans="1:45" x14ac:dyDescent="0.45">
      <c r="A99">
        <v>98</v>
      </c>
      <c r="B99">
        <v>12442</v>
      </c>
      <c r="C99" t="s">
        <v>72</v>
      </c>
      <c r="D99" t="s">
        <v>73</v>
      </c>
      <c r="E99" t="s">
        <v>80</v>
      </c>
      <c r="F99" t="s">
        <v>77</v>
      </c>
      <c r="G99" t="s">
        <v>76</v>
      </c>
      <c r="H99">
        <v>20.932553600708715</v>
      </c>
      <c r="I99">
        <v>0</v>
      </c>
      <c r="J99">
        <v>6</v>
      </c>
      <c r="K99">
        <v>8</v>
      </c>
      <c r="L99">
        <v>-2</v>
      </c>
      <c r="M99">
        <v>6</v>
      </c>
      <c r="N99">
        <v>8</v>
      </c>
      <c r="O99">
        <v>-2</v>
      </c>
      <c r="P99">
        <v>8</v>
      </c>
      <c r="Q99">
        <v>5</v>
      </c>
      <c r="R99">
        <v>3</v>
      </c>
      <c r="S99">
        <v>9</v>
      </c>
      <c r="T99">
        <v>8</v>
      </c>
      <c r="U99">
        <v>1</v>
      </c>
      <c r="V99">
        <v>8</v>
      </c>
      <c r="W99">
        <v>6</v>
      </c>
      <c r="X99">
        <v>2</v>
      </c>
      <c r="Y99">
        <v>9</v>
      </c>
      <c r="Z99">
        <v>9</v>
      </c>
      <c r="AA99">
        <v>0</v>
      </c>
      <c r="AB99">
        <v>8</v>
      </c>
      <c r="AC99">
        <v>5</v>
      </c>
      <c r="AD99">
        <v>3</v>
      </c>
      <c r="AE99">
        <v>7</v>
      </c>
      <c r="AF99">
        <v>7</v>
      </c>
      <c r="AG99">
        <v>0</v>
      </c>
      <c r="AH99">
        <v>9</v>
      </c>
      <c r="AI99">
        <v>8</v>
      </c>
      <c r="AJ99">
        <v>1</v>
      </c>
      <c r="AK99" t="s">
        <v>1117</v>
      </c>
      <c r="AL99" t="s">
        <v>1118</v>
      </c>
      <c r="AM99" t="s">
        <v>1119</v>
      </c>
      <c r="AN99" t="s">
        <v>1120</v>
      </c>
      <c r="AO99" t="s">
        <v>1121</v>
      </c>
      <c r="AP99" t="s">
        <v>1122</v>
      </c>
      <c r="AQ99" t="s">
        <v>1123</v>
      </c>
      <c r="AR99" t="s">
        <v>1124</v>
      </c>
      <c r="AS99" t="s">
        <v>1125</v>
      </c>
    </row>
    <row r="100" spans="1:45" x14ac:dyDescent="0.45">
      <c r="A100">
        <v>99</v>
      </c>
      <c r="B100">
        <v>12443</v>
      </c>
      <c r="C100" t="s">
        <v>78</v>
      </c>
      <c r="D100" t="s">
        <v>81</v>
      </c>
      <c r="E100" t="s">
        <v>74</v>
      </c>
      <c r="F100" t="s">
        <v>77</v>
      </c>
      <c r="G100" t="s">
        <v>76</v>
      </c>
      <c r="H100">
        <v>28.721568597096145</v>
      </c>
      <c r="I100">
        <v>1</v>
      </c>
      <c r="J100">
        <v>6</v>
      </c>
      <c r="K100">
        <v>6</v>
      </c>
      <c r="L100">
        <v>0</v>
      </c>
      <c r="M100">
        <v>7</v>
      </c>
      <c r="N100">
        <v>6</v>
      </c>
      <c r="O100">
        <v>1</v>
      </c>
      <c r="P100">
        <v>9</v>
      </c>
      <c r="Q100">
        <v>3</v>
      </c>
      <c r="R100">
        <v>6</v>
      </c>
      <c r="S100">
        <v>8</v>
      </c>
      <c r="T100">
        <v>6</v>
      </c>
      <c r="U100">
        <v>2</v>
      </c>
      <c r="V100">
        <v>7</v>
      </c>
      <c r="W100">
        <v>5</v>
      </c>
      <c r="X100">
        <v>2</v>
      </c>
      <c r="Y100">
        <v>9</v>
      </c>
      <c r="Z100">
        <v>6</v>
      </c>
      <c r="AA100">
        <v>3</v>
      </c>
      <c r="AB100">
        <v>7</v>
      </c>
      <c r="AC100">
        <v>5</v>
      </c>
      <c r="AD100">
        <v>2</v>
      </c>
      <c r="AE100">
        <v>8</v>
      </c>
      <c r="AF100">
        <v>6</v>
      </c>
      <c r="AG100">
        <v>2</v>
      </c>
      <c r="AH100">
        <v>9</v>
      </c>
      <c r="AI100">
        <v>6</v>
      </c>
      <c r="AJ100">
        <v>3</v>
      </c>
      <c r="AK100" t="s">
        <v>1126</v>
      </c>
      <c r="AL100" t="s">
        <v>1127</v>
      </c>
      <c r="AM100" t="s">
        <v>1128</v>
      </c>
      <c r="AN100" t="s">
        <v>1129</v>
      </c>
      <c r="AO100" t="s">
        <v>1130</v>
      </c>
      <c r="AP100" t="s">
        <v>1131</v>
      </c>
      <c r="AQ100" t="s">
        <v>1132</v>
      </c>
      <c r="AR100" t="s">
        <v>1133</v>
      </c>
      <c r="AS100" t="s">
        <v>1134</v>
      </c>
    </row>
    <row r="101" spans="1:45" x14ac:dyDescent="0.45">
      <c r="A101">
        <v>100</v>
      </c>
      <c r="B101">
        <v>12444</v>
      </c>
      <c r="C101" t="s">
        <v>72</v>
      </c>
      <c r="D101" t="s">
        <v>193</v>
      </c>
      <c r="E101" t="s">
        <v>74</v>
      </c>
      <c r="F101" t="s">
        <v>77</v>
      </c>
      <c r="G101" t="s">
        <v>76</v>
      </c>
      <c r="H101">
        <v>12.02439855645668</v>
      </c>
      <c r="I101">
        <v>1</v>
      </c>
      <c r="J101">
        <v>8</v>
      </c>
      <c r="K101">
        <v>8</v>
      </c>
      <c r="L101">
        <v>0</v>
      </c>
      <c r="M101">
        <v>8</v>
      </c>
      <c r="N101">
        <v>8</v>
      </c>
      <c r="O101">
        <v>0</v>
      </c>
      <c r="P101">
        <v>9</v>
      </c>
      <c r="Q101">
        <v>8</v>
      </c>
      <c r="R101">
        <v>1</v>
      </c>
      <c r="S101">
        <v>9</v>
      </c>
      <c r="T101">
        <v>10</v>
      </c>
      <c r="U101">
        <v>-1</v>
      </c>
      <c r="V101">
        <v>8</v>
      </c>
      <c r="W101">
        <v>10</v>
      </c>
      <c r="X101">
        <v>-2</v>
      </c>
      <c r="Y101">
        <v>9</v>
      </c>
      <c r="Z101">
        <v>10</v>
      </c>
      <c r="AA101">
        <v>-1</v>
      </c>
      <c r="AB101">
        <v>8</v>
      </c>
      <c r="AC101">
        <v>10</v>
      </c>
      <c r="AD101">
        <v>-2</v>
      </c>
      <c r="AE101">
        <v>9</v>
      </c>
      <c r="AF101">
        <v>10</v>
      </c>
      <c r="AG101">
        <v>-1</v>
      </c>
      <c r="AH101">
        <v>8</v>
      </c>
      <c r="AI101">
        <v>10</v>
      </c>
      <c r="AJ101">
        <v>-2</v>
      </c>
      <c r="AK101" t="s">
        <v>1135</v>
      </c>
      <c r="AL101" t="s">
        <v>1136</v>
      </c>
      <c r="AM101" t="s">
        <v>1137</v>
      </c>
      <c r="AN101" t="s">
        <v>1138</v>
      </c>
      <c r="AO101" t="s">
        <v>1139</v>
      </c>
      <c r="AP101" t="s">
        <v>1140</v>
      </c>
      <c r="AQ101" t="s">
        <v>1141</v>
      </c>
      <c r="AR101" t="s">
        <v>1142</v>
      </c>
      <c r="AS101" t="s">
        <v>1143</v>
      </c>
    </row>
    <row r="102" spans="1:45" x14ac:dyDescent="0.45">
      <c r="A102">
        <v>101</v>
      </c>
      <c r="B102">
        <v>12445</v>
      </c>
      <c r="C102" t="s">
        <v>72</v>
      </c>
      <c r="D102" t="s">
        <v>191</v>
      </c>
      <c r="E102" t="s">
        <v>74</v>
      </c>
      <c r="F102" t="s">
        <v>75</v>
      </c>
      <c r="G102" t="s">
        <v>76</v>
      </c>
      <c r="H102">
        <v>72.010444821870379</v>
      </c>
      <c r="I102">
        <v>4</v>
      </c>
      <c r="J102">
        <v>7</v>
      </c>
      <c r="K102">
        <v>8</v>
      </c>
      <c r="L102">
        <v>-1</v>
      </c>
      <c r="M102">
        <v>8</v>
      </c>
      <c r="N102">
        <v>8</v>
      </c>
      <c r="O102">
        <v>0</v>
      </c>
      <c r="P102">
        <v>7</v>
      </c>
      <c r="Q102">
        <v>7</v>
      </c>
      <c r="R102">
        <v>0</v>
      </c>
      <c r="S102">
        <v>9</v>
      </c>
      <c r="T102">
        <v>8</v>
      </c>
      <c r="U102">
        <v>1</v>
      </c>
      <c r="V102">
        <v>8</v>
      </c>
      <c r="W102">
        <v>8</v>
      </c>
      <c r="X102">
        <v>0</v>
      </c>
      <c r="Y102">
        <v>9</v>
      </c>
      <c r="Z102">
        <v>7</v>
      </c>
      <c r="AA102">
        <v>2</v>
      </c>
      <c r="AB102">
        <v>8</v>
      </c>
      <c r="AC102">
        <v>7</v>
      </c>
      <c r="AD102">
        <v>1</v>
      </c>
      <c r="AE102">
        <v>9</v>
      </c>
      <c r="AF102">
        <v>7</v>
      </c>
      <c r="AG102">
        <v>2</v>
      </c>
      <c r="AH102">
        <v>8</v>
      </c>
      <c r="AI102">
        <v>8</v>
      </c>
      <c r="AJ102">
        <v>0</v>
      </c>
      <c r="AK102" t="s">
        <v>1144</v>
      </c>
      <c r="AL102" t="s">
        <v>1145</v>
      </c>
      <c r="AM102" t="s">
        <v>1146</v>
      </c>
      <c r="AN102" t="s">
        <v>1147</v>
      </c>
      <c r="AO102" t="s">
        <v>1148</v>
      </c>
      <c r="AP102" t="s">
        <v>1149</v>
      </c>
      <c r="AQ102" t="s">
        <v>1150</v>
      </c>
      <c r="AR102" t="s">
        <v>269</v>
      </c>
      <c r="AS102" t="s">
        <v>1151</v>
      </c>
    </row>
    <row r="103" spans="1:45" x14ac:dyDescent="0.45">
      <c r="A103">
        <v>102</v>
      </c>
      <c r="B103">
        <v>12446</v>
      </c>
      <c r="C103" t="s">
        <v>78</v>
      </c>
      <c r="D103" t="s">
        <v>189</v>
      </c>
      <c r="E103" t="s">
        <v>74</v>
      </c>
      <c r="F103" t="s">
        <v>77</v>
      </c>
      <c r="G103" t="s">
        <v>76</v>
      </c>
      <c r="H103">
        <v>15.171310177104186</v>
      </c>
      <c r="I103">
        <v>0</v>
      </c>
      <c r="J103">
        <v>7</v>
      </c>
      <c r="K103">
        <v>5</v>
      </c>
      <c r="L103">
        <v>2</v>
      </c>
      <c r="M103">
        <v>6</v>
      </c>
      <c r="N103">
        <v>5</v>
      </c>
      <c r="O103">
        <v>1</v>
      </c>
      <c r="P103">
        <v>8</v>
      </c>
      <c r="Q103">
        <v>5</v>
      </c>
      <c r="R103">
        <v>3</v>
      </c>
      <c r="S103">
        <v>9</v>
      </c>
      <c r="T103">
        <v>5</v>
      </c>
      <c r="U103">
        <v>4</v>
      </c>
      <c r="V103">
        <v>7</v>
      </c>
      <c r="W103">
        <v>5</v>
      </c>
      <c r="X103">
        <v>2</v>
      </c>
      <c r="Y103">
        <v>8</v>
      </c>
      <c r="Z103">
        <v>5</v>
      </c>
      <c r="AA103">
        <v>3</v>
      </c>
      <c r="AB103">
        <v>7</v>
      </c>
      <c r="AC103">
        <v>5</v>
      </c>
      <c r="AD103">
        <v>2</v>
      </c>
      <c r="AE103">
        <v>8</v>
      </c>
      <c r="AF103">
        <v>5</v>
      </c>
      <c r="AG103">
        <v>3</v>
      </c>
      <c r="AH103">
        <v>9</v>
      </c>
      <c r="AI103">
        <v>5</v>
      </c>
      <c r="AJ103">
        <v>4</v>
      </c>
      <c r="AK103" t="s">
        <v>1152</v>
      </c>
      <c r="AL103" t="s">
        <v>1153</v>
      </c>
      <c r="AM103" t="s">
        <v>1154</v>
      </c>
      <c r="AN103" t="s">
        <v>1155</v>
      </c>
      <c r="AO103" t="s">
        <v>1156</v>
      </c>
      <c r="AP103" t="s">
        <v>1157</v>
      </c>
      <c r="AQ103" t="s">
        <v>1158</v>
      </c>
      <c r="AR103" t="s">
        <v>1159</v>
      </c>
      <c r="AS103" t="s">
        <v>1160</v>
      </c>
    </row>
    <row r="104" spans="1:45" x14ac:dyDescent="0.45">
      <c r="A104">
        <v>103</v>
      </c>
      <c r="B104">
        <v>12447</v>
      </c>
      <c r="C104" t="s">
        <v>72</v>
      </c>
      <c r="D104" t="s">
        <v>193</v>
      </c>
      <c r="E104" t="s">
        <v>74</v>
      </c>
      <c r="F104" t="s">
        <v>77</v>
      </c>
      <c r="G104" t="s">
        <v>76</v>
      </c>
      <c r="H104">
        <v>42.613387938153792</v>
      </c>
      <c r="I104">
        <v>2</v>
      </c>
      <c r="J104">
        <v>7</v>
      </c>
      <c r="K104">
        <v>8</v>
      </c>
      <c r="L104">
        <v>-1</v>
      </c>
      <c r="M104">
        <v>6</v>
      </c>
      <c r="N104">
        <v>8</v>
      </c>
      <c r="O104">
        <v>-2</v>
      </c>
      <c r="P104">
        <v>9</v>
      </c>
      <c r="Q104">
        <v>5</v>
      </c>
      <c r="R104">
        <v>4</v>
      </c>
      <c r="S104">
        <v>8</v>
      </c>
      <c r="T104">
        <v>8</v>
      </c>
      <c r="U104">
        <v>0</v>
      </c>
      <c r="V104">
        <v>9</v>
      </c>
      <c r="W104">
        <v>5</v>
      </c>
      <c r="X104">
        <v>4</v>
      </c>
      <c r="Y104">
        <v>8</v>
      </c>
      <c r="Z104">
        <v>5</v>
      </c>
      <c r="AA104">
        <v>3</v>
      </c>
      <c r="AB104">
        <v>9</v>
      </c>
      <c r="AC104">
        <v>6</v>
      </c>
      <c r="AD104">
        <v>3</v>
      </c>
      <c r="AE104">
        <v>7</v>
      </c>
      <c r="AF104">
        <v>6</v>
      </c>
      <c r="AG104">
        <v>1</v>
      </c>
      <c r="AH104">
        <v>9</v>
      </c>
      <c r="AI104">
        <v>5</v>
      </c>
      <c r="AJ104">
        <v>4</v>
      </c>
      <c r="AK104" t="s">
        <v>1161</v>
      </c>
      <c r="AL104" t="s">
        <v>1162</v>
      </c>
      <c r="AM104" t="s">
        <v>1163</v>
      </c>
      <c r="AN104" t="s">
        <v>1164</v>
      </c>
      <c r="AO104" t="s">
        <v>1165</v>
      </c>
      <c r="AP104" t="s">
        <v>1166</v>
      </c>
      <c r="AQ104" t="s">
        <v>1167</v>
      </c>
      <c r="AR104" t="s">
        <v>1168</v>
      </c>
      <c r="AS104" t="s">
        <v>1169</v>
      </c>
    </row>
    <row r="105" spans="1:45" x14ac:dyDescent="0.45">
      <c r="A105">
        <v>104</v>
      </c>
      <c r="B105">
        <v>12448</v>
      </c>
      <c r="C105" t="s">
        <v>78</v>
      </c>
      <c r="D105" t="s">
        <v>73</v>
      </c>
      <c r="E105" t="s">
        <v>74</v>
      </c>
      <c r="F105" t="s">
        <v>77</v>
      </c>
      <c r="G105" t="s">
        <v>76</v>
      </c>
      <c r="H105">
        <v>20.849608677786225</v>
      </c>
      <c r="I105">
        <v>0</v>
      </c>
      <c r="J105">
        <v>6</v>
      </c>
      <c r="K105">
        <v>6</v>
      </c>
      <c r="L105">
        <v>0</v>
      </c>
      <c r="M105">
        <v>6</v>
      </c>
      <c r="N105">
        <v>7</v>
      </c>
      <c r="O105">
        <v>-1</v>
      </c>
      <c r="P105">
        <v>9</v>
      </c>
      <c r="Q105">
        <v>6</v>
      </c>
      <c r="R105">
        <v>3</v>
      </c>
      <c r="S105">
        <v>9</v>
      </c>
      <c r="T105">
        <v>8</v>
      </c>
      <c r="U105">
        <v>1</v>
      </c>
      <c r="V105">
        <v>7</v>
      </c>
      <c r="W105">
        <v>6</v>
      </c>
      <c r="X105">
        <v>1</v>
      </c>
      <c r="Y105">
        <v>8</v>
      </c>
      <c r="Z105">
        <v>7</v>
      </c>
      <c r="AA105">
        <v>1</v>
      </c>
      <c r="AB105">
        <v>7</v>
      </c>
      <c r="AC105">
        <v>6</v>
      </c>
      <c r="AD105">
        <v>1</v>
      </c>
      <c r="AE105">
        <v>6</v>
      </c>
      <c r="AF105">
        <v>6</v>
      </c>
      <c r="AG105">
        <v>0</v>
      </c>
      <c r="AH105">
        <v>8</v>
      </c>
      <c r="AI105">
        <v>7</v>
      </c>
      <c r="AJ105">
        <v>1</v>
      </c>
      <c r="AK105" t="s">
        <v>1170</v>
      </c>
      <c r="AL105" t="s">
        <v>1171</v>
      </c>
      <c r="AM105" t="s">
        <v>1172</v>
      </c>
      <c r="AN105" t="s">
        <v>260</v>
      </c>
      <c r="AO105" t="s">
        <v>1173</v>
      </c>
      <c r="AP105" t="s">
        <v>1174</v>
      </c>
      <c r="AQ105" t="s">
        <v>1175</v>
      </c>
      <c r="AR105" t="s">
        <v>1176</v>
      </c>
      <c r="AS105" t="s">
        <v>1177</v>
      </c>
    </row>
    <row r="106" spans="1:45" x14ac:dyDescent="0.45">
      <c r="A106">
        <v>105</v>
      </c>
      <c r="B106">
        <v>12449</v>
      </c>
      <c r="C106" t="s">
        <v>78</v>
      </c>
      <c r="D106" t="s">
        <v>81</v>
      </c>
      <c r="E106" t="s">
        <v>74</v>
      </c>
      <c r="F106" t="s">
        <v>77</v>
      </c>
      <c r="G106" t="s">
        <v>76</v>
      </c>
      <c r="H106">
        <v>14.730034307049822</v>
      </c>
      <c r="I106">
        <v>1</v>
      </c>
      <c r="J106">
        <v>6</v>
      </c>
      <c r="K106">
        <v>9</v>
      </c>
      <c r="L106">
        <v>-3</v>
      </c>
      <c r="M106">
        <v>7</v>
      </c>
      <c r="N106">
        <v>10</v>
      </c>
      <c r="O106">
        <v>-3</v>
      </c>
      <c r="P106">
        <v>9</v>
      </c>
      <c r="Q106">
        <v>8</v>
      </c>
      <c r="R106">
        <v>1</v>
      </c>
      <c r="S106">
        <v>8</v>
      </c>
      <c r="T106">
        <v>8</v>
      </c>
      <c r="U106">
        <v>0</v>
      </c>
      <c r="V106">
        <v>9</v>
      </c>
      <c r="W106">
        <v>9</v>
      </c>
      <c r="X106">
        <v>0</v>
      </c>
      <c r="Y106">
        <v>8</v>
      </c>
      <c r="Z106">
        <v>9</v>
      </c>
      <c r="AA106">
        <v>-1</v>
      </c>
      <c r="AB106">
        <v>7</v>
      </c>
      <c r="AC106">
        <v>8</v>
      </c>
      <c r="AD106">
        <v>-1</v>
      </c>
      <c r="AE106">
        <v>8</v>
      </c>
      <c r="AF106">
        <v>6</v>
      </c>
      <c r="AG106">
        <v>2</v>
      </c>
      <c r="AH106">
        <v>9</v>
      </c>
      <c r="AI106">
        <v>9</v>
      </c>
      <c r="AJ106">
        <v>0</v>
      </c>
      <c r="AK106" t="s">
        <v>1178</v>
      </c>
      <c r="AL106" t="s">
        <v>1179</v>
      </c>
      <c r="AM106" t="s">
        <v>1180</v>
      </c>
      <c r="AN106" t="s">
        <v>1181</v>
      </c>
      <c r="AO106" t="s">
        <v>1182</v>
      </c>
      <c r="AP106" t="s">
        <v>1183</v>
      </c>
      <c r="AQ106" t="s">
        <v>1184</v>
      </c>
      <c r="AR106" t="s">
        <v>1185</v>
      </c>
      <c r="AS106" t="s">
        <v>1186</v>
      </c>
    </row>
    <row r="107" spans="1:45" x14ac:dyDescent="0.45">
      <c r="A107">
        <v>106</v>
      </c>
      <c r="B107">
        <v>12450</v>
      </c>
      <c r="C107" t="s">
        <v>72</v>
      </c>
      <c r="D107" t="s">
        <v>81</v>
      </c>
      <c r="E107" t="s">
        <v>74</v>
      </c>
      <c r="F107" t="s">
        <v>77</v>
      </c>
      <c r="G107" t="s">
        <v>76</v>
      </c>
      <c r="H107">
        <v>12</v>
      </c>
      <c r="I107">
        <v>0</v>
      </c>
      <c r="J107">
        <v>6</v>
      </c>
      <c r="K107">
        <v>10</v>
      </c>
      <c r="L107">
        <v>-4</v>
      </c>
      <c r="M107">
        <v>8</v>
      </c>
      <c r="N107">
        <v>5</v>
      </c>
      <c r="O107">
        <v>3</v>
      </c>
      <c r="P107">
        <v>7</v>
      </c>
      <c r="Q107">
        <v>8</v>
      </c>
      <c r="R107">
        <v>-1</v>
      </c>
      <c r="S107">
        <v>9</v>
      </c>
      <c r="T107">
        <v>8</v>
      </c>
      <c r="U107">
        <v>1</v>
      </c>
      <c r="V107">
        <v>7</v>
      </c>
      <c r="W107">
        <v>10</v>
      </c>
      <c r="X107">
        <v>-3</v>
      </c>
      <c r="Y107">
        <v>8</v>
      </c>
      <c r="Z107">
        <v>10</v>
      </c>
      <c r="AA107">
        <v>-2</v>
      </c>
      <c r="AB107">
        <v>7</v>
      </c>
      <c r="AC107">
        <v>10</v>
      </c>
      <c r="AD107">
        <v>-3</v>
      </c>
      <c r="AE107">
        <v>8</v>
      </c>
      <c r="AF107">
        <v>10</v>
      </c>
      <c r="AG107">
        <v>-2</v>
      </c>
      <c r="AH107">
        <v>9</v>
      </c>
      <c r="AI107">
        <v>10</v>
      </c>
      <c r="AJ107">
        <v>-1</v>
      </c>
      <c r="AK107" t="s">
        <v>1187</v>
      </c>
      <c r="AL107" t="s">
        <v>1188</v>
      </c>
      <c r="AM107" t="s">
        <v>1189</v>
      </c>
      <c r="AN107" t="s">
        <v>1190</v>
      </c>
      <c r="AO107" t="s">
        <v>1191</v>
      </c>
      <c r="AP107" t="s">
        <v>1192</v>
      </c>
      <c r="AQ107" t="s">
        <v>1193</v>
      </c>
      <c r="AR107" t="s">
        <v>1194</v>
      </c>
      <c r="AS107" t="s">
        <v>1195</v>
      </c>
    </row>
    <row r="108" spans="1:45" x14ac:dyDescent="0.45">
      <c r="A108">
        <v>107</v>
      </c>
      <c r="B108">
        <v>12451</v>
      </c>
      <c r="C108" t="s">
        <v>72</v>
      </c>
      <c r="D108" t="s">
        <v>79</v>
      </c>
      <c r="E108" t="s">
        <v>74</v>
      </c>
      <c r="F108" t="s">
        <v>77</v>
      </c>
      <c r="G108" t="s">
        <v>76</v>
      </c>
      <c r="H108">
        <v>28.517515336086191</v>
      </c>
      <c r="I108">
        <v>1</v>
      </c>
      <c r="J108">
        <v>6</v>
      </c>
      <c r="K108">
        <v>7</v>
      </c>
      <c r="L108">
        <v>-1</v>
      </c>
      <c r="M108">
        <v>7</v>
      </c>
      <c r="N108">
        <v>7</v>
      </c>
      <c r="O108">
        <v>0</v>
      </c>
      <c r="P108">
        <v>5</v>
      </c>
      <c r="Q108">
        <v>7</v>
      </c>
      <c r="R108">
        <v>-2</v>
      </c>
      <c r="S108">
        <v>8</v>
      </c>
      <c r="T108">
        <v>7</v>
      </c>
      <c r="U108">
        <v>1</v>
      </c>
      <c r="V108">
        <v>3</v>
      </c>
      <c r="W108">
        <v>7</v>
      </c>
      <c r="X108">
        <v>-4</v>
      </c>
      <c r="Y108">
        <v>8</v>
      </c>
      <c r="Z108">
        <v>7</v>
      </c>
      <c r="AA108">
        <v>1</v>
      </c>
      <c r="AB108">
        <v>4</v>
      </c>
      <c r="AC108">
        <v>7</v>
      </c>
      <c r="AD108">
        <v>-3</v>
      </c>
      <c r="AE108">
        <v>7</v>
      </c>
      <c r="AF108">
        <v>7</v>
      </c>
      <c r="AG108">
        <v>0</v>
      </c>
      <c r="AH108">
        <v>9</v>
      </c>
      <c r="AI108">
        <v>8</v>
      </c>
      <c r="AJ108">
        <v>1</v>
      </c>
      <c r="AK108" t="s">
        <v>1196</v>
      </c>
      <c r="AL108" t="s">
        <v>1197</v>
      </c>
      <c r="AM108" t="s">
        <v>1198</v>
      </c>
      <c r="AN108" t="s">
        <v>1199</v>
      </c>
      <c r="AO108" t="s">
        <v>1200</v>
      </c>
      <c r="AP108" t="s">
        <v>1201</v>
      </c>
      <c r="AQ108" t="s">
        <v>1202</v>
      </c>
      <c r="AR108" t="s">
        <v>1203</v>
      </c>
      <c r="AS108" t="s">
        <v>1204</v>
      </c>
    </row>
    <row r="109" spans="1:45" x14ac:dyDescent="0.45">
      <c r="A109">
        <v>108</v>
      </c>
      <c r="B109">
        <v>12452</v>
      </c>
      <c r="C109" t="s">
        <v>72</v>
      </c>
      <c r="D109" t="s">
        <v>79</v>
      </c>
      <c r="E109" t="s">
        <v>74</v>
      </c>
      <c r="F109" t="s">
        <v>77</v>
      </c>
      <c r="G109" t="s">
        <v>76</v>
      </c>
      <c r="H109">
        <v>16.635438384955165</v>
      </c>
      <c r="I109">
        <v>1</v>
      </c>
      <c r="J109">
        <v>8</v>
      </c>
      <c r="K109">
        <v>5</v>
      </c>
      <c r="L109">
        <v>3</v>
      </c>
      <c r="M109">
        <v>7</v>
      </c>
      <c r="N109">
        <v>10</v>
      </c>
      <c r="O109">
        <v>-3</v>
      </c>
      <c r="P109">
        <v>9</v>
      </c>
      <c r="Q109">
        <v>5</v>
      </c>
      <c r="R109">
        <v>4</v>
      </c>
      <c r="S109">
        <v>8</v>
      </c>
      <c r="T109">
        <v>5</v>
      </c>
      <c r="U109">
        <v>3</v>
      </c>
      <c r="V109">
        <v>9</v>
      </c>
      <c r="W109">
        <v>5</v>
      </c>
      <c r="X109">
        <v>4</v>
      </c>
      <c r="Y109">
        <v>8</v>
      </c>
      <c r="Z109">
        <v>5</v>
      </c>
      <c r="AA109">
        <v>3</v>
      </c>
      <c r="AB109">
        <v>7</v>
      </c>
      <c r="AC109">
        <v>8</v>
      </c>
      <c r="AD109">
        <v>-1</v>
      </c>
      <c r="AE109">
        <v>6</v>
      </c>
      <c r="AF109">
        <v>5</v>
      </c>
      <c r="AG109">
        <v>1</v>
      </c>
      <c r="AH109">
        <v>9</v>
      </c>
      <c r="AI109">
        <v>6</v>
      </c>
      <c r="AJ109">
        <v>3</v>
      </c>
      <c r="AK109" t="s">
        <v>1205</v>
      </c>
      <c r="AL109" t="s">
        <v>1206</v>
      </c>
      <c r="AM109" t="s">
        <v>1207</v>
      </c>
      <c r="AN109" t="s">
        <v>1208</v>
      </c>
      <c r="AO109" t="s">
        <v>1209</v>
      </c>
      <c r="AP109" t="s">
        <v>1210</v>
      </c>
      <c r="AQ109" t="s">
        <v>1211</v>
      </c>
      <c r="AR109" t="s">
        <v>1212</v>
      </c>
      <c r="AS109" t="s">
        <v>1213</v>
      </c>
    </row>
    <row r="110" spans="1:45" x14ac:dyDescent="0.45">
      <c r="A110">
        <v>109</v>
      </c>
      <c r="B110">
        <v>12453</v>
      </c>
      <c r="C110" t="s">
        <v>72</v>
      </c>
      <c r="D110" t="s">
        <v>79</v>
      </c>
      <c r="E110" t="s">
        <v>74</v>
      </c>
      <c r="F110" t="s">
        <v>77</v>
      </c>
      <c r="G110" t="s">
        <v>76</v>
      </c>
      <c r="H110">
        <v>14.883680992411993</v>
      </c>
      <c r="I110">
        <v>1</v>
      </c>
      <c r="J110">
        <v>5</v>
      </c>
      <c r="K110">
        <v>10</v>
      </c>
      <c r="L110">
        <v>-5</v>
      </c>
      <c r="M110">
        <v>6</v>
      </c>
      <c r="N110">
        <v>10</v>
      </c>
      <c r="O110">
        <v>-4</v>
      </c>
      <c r="P110">
        <v>7</v>
      </c>
      <c r="Q110">
        <v>10</v>
      </c>
      <c r="R110">
        <v>-3</v>
      </c>
      <c r="S110">
        <v>8</v>
      </c>
      <c r="T110">
        <v>10</v>
      </c>
      <c r="U110">
        <v>-2</v>
      </c>
      <c r="V110">
        <v>7</v>
      </c>
      <c r="W110">
        <v>10</v>
      </c>
      <c r="X110">
        <v>-3</v>
      </c>
      <c r="Y110">
        <v>6</v>
      </c>
      <c r="Z110">
        <v>10</v>
      </c>
      <c r="AA110">
        <v>-4</v>
      </c>
      <c r="AB110">
        <v>7</v>
      </c>
      <c r="AC110">
        <v>10</v>
      </c>
      <c r="AD110">
        <v>-3</v>
      </c>
      <c r="AE110">
        <v>6</v>
      </c>
      <c r="AF110">
        <v>10</v>
      </c>
      <c r="AG110">
        <v>-4</v>
      </c>
      <c r="AH110">
        <v>8</v>
      </c>
      <c r="AI110">
        <v>10</v>
      </c>
      <c r="AJ110">
        <v>-2</v>
      </c>
      <c r="AK110" t="s">
        <v>1214</v>
      </c>
      <c r="AL110" t="s">
        <v>1215</v>
      </c>
      <c r="AM110" t="s">
        <v>1216</v>
      </c>
      <c r="AN110" t="s">
        <v>1217</v>
      </c>
      <c r="AO110" t="s">
        <v>1218</v>
      </c>
      <c r="AP110" t="s">
        <v>1219</v>
      </c>
      <c r="AQ110" t="s">
        <v>1220</v>
      </c>
      <c r="AR110" t="s">
        <v>1221</v>
      </c>
      <c r="AS110" t="s">
        <v>1222</v>
      </c>
    </row>
    <row r="111" spans="1:45" x14ac:dyDescent="0.45">
      <c r="A111">
        <v>110</v>
      </c>
      <c r="B111">
        <v>12454</v>
      </c>
      <c r="C111" t="s">
        <v>78</v>
      </c>
      <c r="D111" t="s">
        <v>73</v>
      </c>
      <c r="E111" t="s">
        <v>74</v>
      </c>
      <c r="F111" t="s">
        <v>77</v>
      </c>
      <c r="G111" t="s">
        <v>76</v>
      </c>
      <c r="H111">
        <v>58.525058070727127</v>
      </c>
      <c r="I111">
        <v>2</v>
      </c>
      <c r="J111">
        <v>8</v>
      </c>
      <c r="K111">
        <v>7</v>
      </c>
      <c r="L111">
        <v>1</v>
      </c>
      <c r="M111">
        <v>8</v>
      </c>
      <c r="N111">
        <v>6</v>
      </c>
      <c r="O111">
        <v>2</v>
      </c>
      <c r="P111">
        <v>9</v>
      </c>
      <c r="Q111">
        <v>8</v>
      </c>
      <c r="R111">
        <v>1</v>
      </c>
      <c r="S111">
        <v>7</v>
      </c>
      <c r="T111">
        <v>8</v>
      </c>
      <c r="U111">
        <v>-1</v>
      </c>
      <c r="V111">
        <v>9</v>
      </c>
      <c r="W111">
        <v>7</v>
      </c>
      <c r="X111">
        <v>2</v>
      </c>
      <c r="Y111">
        <v>9</v>
      </c>
      <c r="Z111">
        <v>6</v>
      </c>
      <c r="AA111">
        <v>3</v>
      </c>
      <c r="AB111">
        <v>9</v>
      </c>
      <c r="AC111">
        <v>5</v>
      </c>
      <c r="AD111">
        <v>4</v>
      </c>
      <c r="AE111">
        <v>8</v>
      </c>
      <c r="AF111">
        <v>5</v>
      </c>
      <c r="AG111">
        <v>3</v>
      </c>
      <c r="AH111">
        <v>9</v>
      </c>
      <c r="AI111">
        <v>8</v>
      </c>
      <c r="AJ111">
        <v>1</v>
      </c>
      <c r="AK111" t="s">
        <v>1223</v>
      </c>
      <c r="AL111" t="s">
        <v>1224</v>
      </c>
      <c r="AM111" t="s">
        <v>1225</v>
      </c>
      <c r="AN111" t="s">
        <v>1226</v>
      </c>
      <c r="AO111" t="s">
        <v>1227</v>
      </c>
      <c r="AP111" t="s">
        <v>1228</v>
      </c>
      <c r="AQ111" t="s">
        <v>1229</v>
      </c>
      <c r="AR111" t="s">
        <v>1230</v>
      </c>
      <c r="AS111" t="s">
        <v>1231</v>
      </c>
    </row>
    <row r="112" spans="1:45" x14ac:dyDescent="0.45">
      <c r="A112">
        <v>111</v>
      </c>
      <c r="B112">
        <v>12455</v>
      </c>
      <c r="C112" t="s">
        <v>78</v>
      </c>
      <c r="D112" t="s">
        <v>191</v>
      </c>
      <c r="E112" t="s">
        <v>74</v>
      </c>
      <c r="F112" t="s">
        <v>77</v>
      </c>
      <c r="G112" t="s">
        <v>76</v>
      </c>
      <c r="H112">
        <v>25.493820036727968</v>
      </c>
      <c r="I112">
        <v>1</v>
      </c>
      <c r="J112">
        <v>8</v>
      </c>
      <c r="K112">
        <v>8</v>
      </c>
      <c r="L112">
        <v>0</v>
      </c>
      <c r="M112">
        <v>7</v>
      </c>
      <c r="N112">
        <v>8</v>
      </c>
      <c r="O112">
        <v>-1</v>
      </c>
      <c r="P112">
        <v>6</v>
      </c>
      <c r="Q112">
        <v>6</v>
      </c>
      <c r="R112">
        <v>0</v>
      </c>
      <c r="S112">
        <v>9</v>
      </c>
      <c r="T112">
        <v>7</v>
      </c>
      <c r="U112">
        <v>2</v>
      </c>
      <c r="V112">
        <v>7</v>
      </c>
      <c r="W112">
        <v>6</v>
      </c>
      <c r="X112">
        <v>1</v>
      </c>
      <c r="Y112">
        <v>8</v>
      </c>
      <c r="Z112">
        <v>7</v>
      </c>
      <c r="AA112">
        <v>1</v>
      </c>
      <c r="AB112">
        <v>7</v>
      </c>
      <c r="AC112">
        <v>5</v>
      </c>
      <c r="AD112">
        <v>2</v>
      </c>
      <c r="AE112">
        <v>6</v>
      </c>
      <c r="AF112">
        <v>5</v>
      </c>
      <c r="AG112">
        <v>1</v>
      </c>
      <c r="AH112">
        <v>9</v>
      </c>
      <c r="AI112">
        <v>5</v>
      </c>
      <c r="AJ112">
        <v>4</v>
      </c>
      <c r="AK112" t="s">
        <v>1232</v>
      </c>
      <c r="AL112" t="s">
        <v>1233</v>
      </c>
      <c r="AM112" t="s">
        <v>1234</v>
      </c>
      <c r="AN112" t="s">
        <v>1235</v>
      </c>
      <c r="AO112" t="s">
        <v>1236</v>
      </c>
      <c r="AP112" t="s">
        <v>1237</v>
      </c>
      <c r="AQ112" t="s">
        <v>1238</v>
      </c>
      <c r="AR112" t="s">
        <v>1239</v>
      </c>
      <c r="AS112" t="s">
        <v>1240</v>
      </c>
    </row>
    <row r="113" spans="1:45" x14ac:dyDescent="0.45">
      <c r="A113">
        <v>112</v>
      </c>
      <c r="B113">
        <v>12456</v>
      </c>
      <c r="C113" t="s">
        <v>72</v>
      </c>
      <c r="D113" t="s">
        <v>79</v>
      </c>
      <c r="E113" t="s">
        <v>74</v>
      </c>
      <c r="F113" t="s">
        <v>77</v>
      </c>
      <c r="G113" t="s">
        <v>76</v>
      </c>
      <c r="H113">
        <v>20.609619001907113</v>
      </c>
      <c r="I113">
        <v>2</v>
      </c>
      <c r="J113">
        <v>7</v>
      </c>
      <c r="K113">
        <v>7</v>
      </c>
      <c r="L113">
        <v>0</v>
      </c>
      <c r="M113">
        <v>8</v>
      </c>
      <c r="N113">
        <v>8</v>
      </c>
      <c r="O113">
        <v>0</v>
      </c>
      <c r="P113">
        <v>9</v>
      </c>
      <c r="Q113">
        <v>8</v>
      </c>
      <c r="R113">
        <v>1</v>
      </c>
      <c r="S113">
        <v>10</v>
      </c>
      <c r="T113">
        <v>8</v>
      </c>
      <c r="U113">
        <v>2</v>
      </c>
      <c r="V113">
        <v>9</v>
      </c>
      <c r="W113">
        <v>8</v>
      </c>
      <c r="X113">
        <v>1</v>
      </c>
      <c r="Y113">
        <v>9</v>
      </c>
      <c r="Z113">
        <v>8</v>
      </c>
      <c r="AA113">
        <v>1</v>
      </c>
      <c r="AB113">
        <v>8</v>
      </c>
      <c r="AC113">
        <v>8</v>
      </c>
      <c r="AD113">
        <v>0</v>
      </c>
      <c r="AE113">
        <v>9</v>
      </c>
      <c r="AF113">
        <v>8</v>
      </c>
      <c r="AG113">
        <v>1</v>
      </c>
      <c r="AH113">
        <v>9</v>
      </c>
      <c r="AI113">
        <v>8</v>
      </c>
      <c r="AJ113">
        <v>1</v>
      </c>
      <c r="AK113" t="s">
        <v>1241</v>
      </c>
      <c r="AL113" t="s">
        <v>1242</v>
      </c>
      <c r="AM113" t="s">
        <v>1243</v>
      </c>
      <c r="AN113" t="s">
        <v>1244</v>
      </c>
      <c r="AO113" t="s">
        <v>226</v>
      </c>
      <c r="AP113" t="s">
        <v>1245</v>
      </c>
      <c r="AQ113" t="s">
        <v>1246</v>
      </c>
      <c r="AR113" t="s">
        <v>1247</v>
      </c>
      <c r="AS113" t="s">
        <v>1248</v>
      </c>
    </row>
    <row r="114" spans="1:45" x14ac:dyDescent="0.45">
      <c r="A114">
        <v>113</v>
      </c>
      <c r="B114">
        <v>12457</v>
      </c>
      <c r="C114" t="s">
        <v>72</v>
      </c>
      <c r="D114" t="s">
        <v>73</v>
      </c>
      <c r="E114" t="s">
        <v>74</v>
      </c>
      <c r="F114" t="s">
        <v>77</v>
      </c>
      <c r="G114" t="s">
        <v>76</v>
      </c>
      <c r="H114">
        <v>12</v>
      </c>
      <c r="I114">
        <v>3</v>
      </c>
      <c r="J114">
        <v>7</v>
      </c>
      <c r="K114">
        <v>1</v>
      </c>
      <c r="L114">
        <v>6</v>
      </c>
      <c r="M114">
        <v>6</v>
      </c>
      <c r="N114">
        <v>1</v>
      </c>
      <c r="O114">
        <v>5</v>
      </c>
      <c r="P114">
        <v>5</v>
      </c>
      <c r="Q114">
        <v>1</v>
      </c>
      <c r="R114">
        <v>4</v>
      </c>
      <c r="S114">
        <v>8</v>
      </c>
      <c r="T114">
        <v>1</v>
      </c>
      <c r="U114">
        <v>7</v>
      </c>
      <c r="V114">
        <v>6</v>
      </c>
      <c r="W114">
        <v>1</v>
      </c>
      <c r="X114">
        <v>5</v>
      </c>
      <c r="Y114">
        <v>9</v>
      </c>
      <c r="Z114">
        <v>1</v>
      </c>
      <c r="AA114">
        <v>8</v>
      </c>
      <c r="AB114">
        <v>7</v>
      </c>
      <c r="AC114">
        <v>1</v>
      </c>
      <c r="AD114">
        <v>6</v>
      </c>
      <c r="AE114">
        <v>8</v>
      </c>
      <c r="AF114">
        <v>1</v>
      </c>
      <c r="AG114">
        <v>7</v>
      </c>
      <c r="AH114">
        <v>9</v>
      </c>
      <c r="AI114">
        <v>1</v>
      </c>
      <c r="AJ114">
        <v>8</v>
      </c>
      <c r="AK114" t="s">
        <v>1249</v>
      </c>
      <c r="AL114" t="s">
        <v>1250</v>
      </c>
      <c r="AM114" t="s">
        <v>1251</v>
      </c>
      <c r="AN114" t="s">
        <v>1252</v>
      </c>
      <c r="AO114" t="s">
        <v>1253</v>
      </c>
      <c r="AP114" t="s">
        <v>1254</v>
      </c>
      <c r="AQ114" t="s">
        <v>1255</v>
      </c>
      <c r="AR114" t="s">
        <v>1256</v>
      </c>
      <c r="AS114" t="s">
        <v>1257</v>
      </c>
    </row>
    <row r="115" spans="1:45" x14ac:dyDescent="0.45">
      <c r="A115">
        <v>114</v>
      </c>
      <c r="B115">
        <v>12458</v>
      </c>
      <c r="C115" t="s">
        <v>72</v>
      </c>
      <c r="D115" t="s">
        <v>79</v>
      </c>
      <c r="E115" t="s">
        <v>74</v>
      </c>
      <c r="F115" t="s">
        <v>77</v>
      </c>
      <c r="G115" t="s">
        <v>76</v>
      </c>
      <c r="H115">
        <v>18.479963422825136</v>
      </c>
      <c r="I115">
        <v>4</v>
      </c>
      <c r="J115">
        <v>7</v>
      </c>
      <c r="K115">
        <v>10</v>
      </c>
      <c r="L115">
        <v>-3</v>
      </c>
      <c r="M115">
        <v>8</v>
      </c>
      <c r="N115">
        <v>10</v>
      </c>
      <c r="O115">
        <v>-2</v>
      </c>
      <c r="P115">
        <v>9</v>
      </c>
      <c r="Q115">
        <v>10</v>
      </c>
      <c r="R115">
        <v>-1</v>
      </c>
      <c r="S115">
        <v>8</v>
      </c>
      <c r="T115">
        <v>10</v>
      </c>
      <c r="U115">
        <v>-2</v>
      </c>
      <c r="V115">
        <v>7</v>
      </c>
      <c r="W115">
        <v>10</v>
      </c>
      <c r="X115">
        <v>-3</v>
      </c>
      <c r="Y115">
        <v>9</v>
      </c>
      <c r="Z115">
        <v>10</v>
      </c>
      <c r="AA115">
        <v>-1</v>
      </c>
      <c r="AB115">
        <v>7</v>
      </c>
      <c r="AC115">
        <v>10</v>
      </c>
      <c r="AD115">
        <v>-3</v>
      </c>
      <c r="AE115">
        <v>8</v>
      </c>
      <c r="AF115">
        <v>10</v>
      </c>
      <c r="AG115">
        <v>-2</v>
      </c>
      <c r="AH115">
        <v>9</v>
      </c>
      <c r="AI115">
        <v>10</v>
      </c>
      <c r="AJ115">
        <v>-1</v>
      </c>
      <c r="AK115" t="s">
        <v>1258</v>
      </c>
      <c r="AL115" t="s">
        <v>1259</v>
      </c>
      <c r="AM115" t="s">
        <v>1260</v>
      </c>
      <c r="AN115" t="s">
        <v>1261</v>
      </c>
      <c r="AO115" t="s">
        <v>1262</v>
      </c>
      <c r="AP115" t="s">
        <v>1263</v>
      </c>
      <c r="AQ115" t="s">
        <v>1264</v>
      </c>
      <c r="AR115" t="s">
        <v>1265</v>
      </c>
      <c r="AS115" t="s">
        <v>1266</v>
      </c>
    </row>
    <row r="116" spans="1:45" x14ac:dyDescent="0.45">
      <c r="A116">
        <v>115</v>
      </c>
      <c r="B116">
        <v>12459</v>
      </c>
      <c r="C116" t="s">
        <v>72</v>
      </c>
      <c r="D116" t="s">
        <v>79</v>
      </c>
      <c r="E116" t="s">
        <v>74</v>
      </c>
      <c r="F116" t="s">
        <v>75</v>
      </c>
      <c r="G116" t="s">
        <v>76</v>
      </c>
      <c r="H116">
        <v>13.627736245856385</v>
      </c>
      <c r="I116">
        <v>4</v>
      </c>
      <c r="J116">
        <v>8</v>
      </c>
      <c r="K116">
        <v>1</v>
      </c>
      <c r="L116">
        <v>7</v>
      </c>
      <c r="M116">
        <v>8</v>
      </c>
      <c r="N116">
        <v>1</v>
      </c>
      <c r="O116">
        <v>7</v>
      </c>
      <c r="P116">
        <v>7</v>
      </c>
      <c r="Q116">
        <v>1</v>
      </c>
      <c r="R116">
        <v>6</v>
      </c>
      <c r="S116">
        <v>9</v>
      </c>
      <c r="T116">
        <v>1</v>
      </c>
      <c r="U116">
        <v>8</v>
      </c>
      <c r="V116">
        <v>8</v>
      </c>
      <c r="W116">
        <v>1</v>
      </c>
      <c r="X116">
        <v>7</v>
      </c>
      <c r="Y116">
        <v>7</v>
      </c>
      <c r="Z116">
        <v>1</v>
      </c>
      <c r="AA116">
        <v>6</v>
      </c>
      <c r="AB116">
        <v>8</v>
      </c>
      <c r="AC116">
        <v>1</v>
      </c>
      <c r="AD116">
        <v>7</v>
      </c>
      <c r="AE116">
        <v>9</v>
      </c>
      <c r="AF116">
        <v>1</v>
      </c>
      <c r="AG116">
        <v>8</v>
      </c>
      <c r="AH116">
        <v>8</v>
      </c>
      <c r="AI116">
        <v>1</v>
      </c>
      <c r="AJ116">
        <v>7</v>
      </c>
      <c r="AK116" t="s">
        <v>1267</v>
      </c>
      <c r="AL116" t="s">
        <v>1268</v>
      </c>
      <c r="AM116" t="s">
        <v>1269</v>
      </c>
      <c r="AN116" t="s">
        <v>1270</v>
      </c>
      <c r="AO116" t="s">
        <v>1271</v>
      </c>
      <c r="AP116" t="s">
        <v>1272</v>
      </c>
      <c r="AQ116" t="s">
        <v>1273</v>
      </c>
      <c r="AR116" t="s">
        <v>1274</v>
      </c>
      <c r="AS116" t="s">
        <v>1275</v>
      </c>
    </row>
    <row r="117" spans="1:45" x14ac:dyDescent="0.45">
      <c r="A117">
        <v>116</v>
      </c>
      <c r="B117">
        <v>12460</v>
      </c>
      <c r="C117" t="s">
        <v>72</v>
      </c>
      <c r="D117" t="s">
        <v>79</v>
      </c>
      <c r="E117" t="s">
        <v>74</v>
      </c>
      <c r="F117" t="s">
        <v>75</v>
      </c>
      <c r="G117" t="s">
        <v>76</v>
      </c>
      <c r="H117">
        <v>15.764306891880848</v>
      </c>
      <c r="I117">
        <v>0</v>
      </c>
      <c r="J117">
        <v>6</v>
      </c>
      <c r="K117">
        <v>9</v>
      </c>
      <c r="L117">
        <v>-3</v>
      </c>
      <c r="M117">
        <v>5</v>
      </c>
      <c r="N117">
        <v>9</v>
      </c>
      <c r="O117">
        <v>-4</v>
      </c>
      <c r="P117">
        <v>7</v>
      </c>
      <c r="Q117">
        <v>9</v>
      </c>
      <c r="R117">
        <v>-2</v>
      </c>
      <c r="S117">
        <v>8</v>
      </c>
      <c r="T117">
        <v>9</v>
      </c>
      <c r="U117">
        <v>-1</v>
      </c>
      <c r="V117">
        <v>7</v>
      </c>
      <c r="W117">
        <v>9</v>
      </c>
      <c r="X117">
        <v>-2</v>
      </c>
      <c r="Y117">
        <v>6</v>
      </c>
      <c r="Z117">
        <v>9</v>
      </c>
      <c r="AA117">
        <v>-3</v>
      </c>
      <c r="AB117">
        <v>7</v>
      </c>
      <c r="AC117">
        <v>9</v>
      </c>
      <c r="AD117">
        <v>-2</v>
      </c>
      <c r="AE117">
        <v>6</v>
      </c>
      <c r="AF117">
        <v>8</v>
      </c>
      <c r="AG117">
        <v>-2</v>
      </c>
      <c r="AH117">
        <v>8</v>
      </c>
      <c r="AI117">
        <v>9</v>
      </c>
      <c r="AJ117">
        <v>-1</v>
      </c>
      <c r="AK117" t="s">
        <v>1276</v>
      </c>
      <c r="AL117" t="s">
        <v>1277</v>
      </c>
      <c r="AM117" t="s">
        <v>1278</v>
      </c>
      <c r="AN117" t="s">
        <v>1279</v>
      </c>
      <c r="AO117" t="s">
        <v>1280</v>
      </c>
      <c r="AP117" t="s">
        <v>1281</v>
      </c>
      <c r="AQ117" t="s">
        <v>1282</v>
      </c>
      <c r="AR117" t="s">
        <v>1283</v>
      </c>
      <c r="AS117" t="s">
        <v>1284</v>
      </c>
    </row>
    <row r="118" spans="1:45" x14ac:dyDescent="0.45">
      <c r="A118">
        <v>117</v>
      </c>
      <c r="B118">
        <v>12461</v>
      </c>
      <c r="C118" t="s">
        <v>72</v>
      </c>
      <c r="D118" t="s">
        <v>79</v>
      </c>
      <c r="E118" t="s">
        <v>74</v>
      </c>
      <c r="F118" t="s">
        <v>77</v>
      </c>
      <c r="G118" t="s">
        <v>76</v>
      </c>
      <c r="H118">
        <v>55.109305365447113</v>
      </c>
      <c r="I118">
        <v>0</v>
      </c>
      <c r="J118">
        <v>6</v>
      </c>
      <c r="K118">
        <v>8</v>
      </c>
      <c r="L118">
        <v>-2</v>
      </c>
      <c r="M118">
        <v>7</v>
      </c>
      <c r="N118">
        <v>9</v>
      </c>
      <c r="O118">
        <v>-2</v>
      </c>
      <c r="P118">
        <v>9</v>
      </c>
      <c r="Q118">
        <v>8</v>
      </c>
      <c r="R118">
        <v>1</v>
      </c>
      <c r="S118">
        <v>8</v>
      </c>
      <c r="T118">
        <v>6</v>
      </c>
      <c r="U118">
        <v>2</v>
      </c>
      <c r="V118">
        <v>6</v>
      </c>
      <c r="W118">
        <v>8</v>
      </c>
      <c r="X118">
        <v>-2</v>
      </c>
      <c r="Y118">
        <v>8</v>
      </c>
      <c r="Z118">
        <v>8</v>
      </c>
      <c r="AA118">
        <v>0</v>
      </c>
      <c r="AB118">
        <v>7</v>
      </c>
      <c r="AC118">
        <v>8</v>
      </c>
      <c r="AD118">
        <v>-1</v>
      </c>
      <c r="AE118">
        <v>6</v>
      </c>
      <c r="AF118">
        <v>8</v>
      </c>
      <c r="AG118">
        <v>-2</v>
      </c>
      <c r="AH118">
        <v>7</v>
      </c>
      <c r="AI118">
        <v>6</v>
      </c>
      <c r="AJ118">
        <v>1</v>
      </c>
      <c r="AK118" t="s">
        <v>1285</v>
      </c>
      <c r="AL118" t="s">
        <v>1286</v>
      </c>
      <c r="AM118" t="s">
        <v>1287</v>
      </c>
      <c r="AN118" t="s">
        <v>1288</v>
      </c>
      <c r="AO118" t="s">
        <v>1289</v>
      </c>
      <c r="AP118" t="s">
        <v>1290</v>
      </c>
      <c r="AQ118" t="s">
        <v>1291</v>
      </c>
      <c r="AR118" t="s">
        <v>1292</v>
      </c>
      <c r="AS118" t="s">
        <v>1293</v>
      </c>
    </row>
    <row r="119" spans="1:45" x14ac:dyDescent="0.45">
      <c r="A119">
        <v>118</v>
      </c>
      <c r="B119">
        <v>12462</v>
      </c>
      <c r="C119" t="s">
        <v>78</v>
      </c>
      <c r="D119" t="s">
        <v>73</v>
      </c>
      <c r="E119" t="s">
        <v>74</v>
      </c>
      <c r="F119" t="s">
        <v>75</v>
      </c>
      <c r="G119" t="s">
        <v>76</v>
      </c>
      <c r="H119">
        <v>32.303049665570924</v>
      </c>
      <c r="I119">
        <v>1</v>
      </c>
      <c r="J119">
        <v>7</v>
      </c>
      <c r="K119">
        <v>4</v>
      </c>
      <c r="L119">
        <v>3</v>
      </c>
      <c r="M119">
        <v>8</v>
      </c>
      <c r="N119">
        <v>1</v>
      </c>
      <c r="O119">
        <v>7</v>
      </c>
      <c r="P119">
        <v>9</v>
      </c>
      <c r="Q119">
        <v>1</v>
      </c>
      <c r="R119">
        <v>8</v>
      </c>
      <c r="S119">
        <v>9</v>
      </c>
      <c r="T119">
        <v>5</v>
      </c>
      <c r="U119">
        <v>4</v>
      </c>
      <c r="V119">
        <v>8</v>
      </c>
      <c r="W119">
        <v>1</v>
      </c>
      <c r="X119">
        <v>7</v>
      </c>
      <c r="Y119">
        <v>9</v>
      </c>
      <c r="Z119">
        <v>3</v>
      </c>
      <c r="AA119">
        <v>6</v>
      </c>
      <c r="AB119">
        <v>8</v>
      </c>
      <c r="AC119">
        <v>1</v>
      </c>
      <c r="AD119">
        <v>7</v>
      </c>
      <c r="AE119">
        <v>7</v>
      </c>
      <c r="AF119">
        <v>1</v>
      </c>
      <c r="AG119">
        <v>6</v>
      </c>
      <c r="AH119">
        <v>9</v>
      </c>
      <c r="AI119">
        <v>5</v>
      </c>
      <c r="AJ119">
        <v>4</v>
      </c>
      <c r="AK119" t="s">
        <v>1294</v>
      </c>
      <c r="AL119" t="s">
        <v>1295</v>
      </c>
      <c r="AM119" t="s">
        <v>1296</v>
      </c>
      <c r="AN119" t="s">
        <v>1297</v>
      </c>
      <c r="AO119" t="s">
        <v>1298</v>
      </c>
      <c r="AP119" t="s">
        <v>1299</v>
      </c>
      <c r="AQ119" t="s">
        <v>82</v>
      </c>
      <c r="AR119" t="s">
        <v>1300</v>
      </c>
      <c r="AS119" t="s">
        <v>1301</v>
      </c>
    </row>
    <row r="120" spans="1:45" x14ac:dyDescent="0.45">
      <c r="A120">
        <v>119</v>
      </c>
      <c r="B120">
        <v>12463</v>
      </c>
      <c r="C120" t="s">
        <v>72</v>
      </c>
      <c r="D120" t="s">
        <v>193</v>
      </c>
      <c r="E120" t="s">
        <v>74</v>
      </c>
      <c r="F120" t="s">
        <v>77</v>
      </c>
      <c r="G120" t="s">
        <v>76</v>
      </c>
      <c r="H120">
        <v>54.417220266336805</v>
      </c>
      <c r="I120">
        <v>4</v>
      </c>
      <c r="J120">
        <v>7</v>
      </c>
      <c r="K120">
        <v>8</v>
      </c>
      <c r="L120">
        <v>-1</v>
      </c>
      <c r="M120">
        <v>8</v>
      </c>
      <c r="N120">
        <v>8</v>
      </c>
      <c r="O120">
        <v>0</v>
      </c>
      <c r="P120">
        <v>6</v>
      </c>
      <c r="Q120">
        <v>6</v>
      </c>
      <c r="R120">
        <v>0</v>
      </c>
      <c r="S120">
        <v>9</v>
      </c>
      <c r="T120">
        <v>9</v>
      </c>
      <c r="U120">
        <v>0</v>
      </c>
      <c r="V120">
        <v>7</v>
      </c>
      <c r="W120">
        <v>8</v>
      </c>
      <c r="X120">
        <v>-1</v>
      </c>
      <c r="Y120">
        <v>9</v>
      </c>
      <c r="Z120">
        <v>7</v>
      </c>
      <c r="AA120">
        <v>2</v>
      </c>
      <c r="AB120">
        <v>7</v>
      </c>
      <c r="AC120">
        <v>7</v>
      </c>
      <c r="AD120">
        <v>0</v>
      </c>
      <c r="AE120">
        <v>6</v>
      </c>
      <c r="AF120">
        <v>7</v>
      </c>
      <c r="AG120">
        <v>-1</v>
      </c>
      <c r="AH120">
        <v>7</v>
      </c>
      <c r="AI120">
        <v>7</v>
      </c>
      <c r="AJ120">
        <v>0</v>
      </c>
      <c r="AK120" t="s">
        <v>1302</v>
      </c>
      <c r="AL120" t="s">
        <v>1303</v>
      </c>
      <c r="AM120" t="s">
        <v>1304</v>
      </c>
      <c r="AN120" t="s">
        <v>1305</v>
      </c>
      <c r="AO120" t="s">
        <v>1306</v>
      </c>
      <c r="AP120" t="s">
        <v>1307</v>
      </c>
      <c r="AQ120" t="s">
        <v>1308</v>
      </c>
      <c r="AR120" t="s">
        <v>1309</v>
      </c>
      <c r="AS120" t="s">
        <v>1310</v>
      </c>
    </row>
    <row r="121" spans="1:45" x14ac:dyDescent="0.45">
      <c r="A121">
        <v>120</v>
      </c>
      <c r="B121">
        <v>12464</v>
      </c>
      <c r="C121" t="s">
        <v>72</v>
      </c>
      <c r="D121" t="s">
        <v>79</v>
      </c>
      <c r="E121" t="s">
        <v>80</v>
      </c>
      <c r="F121" t="s">
        <v>77</v>
      </c>
      <c r="G121" t="s">
        <v>76</v>
      </c>
      <c r="H121">
        <v>24.420304051526717</v>
      </c>
      <c r="I121">
        <v>3</v>
      </c>
      <c r="J121">
        <v>6</v>
      </c>
      <c r="K121">
        <v>6</v>
      </c>
      <c r="L121">
        <v>0</v>
      </c>
      <c r="M121">
        <v>6</v>
      </c>
      <c r="N121">
        <v>6</v>
      </c>
      <c r="O121">
        <v>0</v>
      </c>
      <c r="P121">
        <v>7</v>
      </c>
      <c r="Q121">
        <v>6</v>
      </c>
      <c r="R121">
        <v>1</v>
      </c>
      <c r="S121">
        <v>8</v>
      </c>
      <c r="T121">
        <v>6</v>
      </c>
      <c r="U121">
        <v>2</v>
      </c>
      <c r="V121">
        <v>9</v>
      </c>
      <c r="W121">
        <v>6</v>
      </c>
      <c r="X121">
        <v>3</v>
      </c>
      <c r="Y121">
        <v>8</v>
      </c>
      <c r="Z121">
        <v>6</v>
      </c>
      <c r="AA121">
        <v>2</v>
      </c>
      <c r="AB121">
        <v>7</v>
      </c>
      <c r="AC121">
        <v>6</v>
      </c>
      <c r="AD121">
        <v>1</v>
      </c>
      <c r="AE121">
        <v>6</v>
      </c>
      <c r="AF121">
        <v>6</v>
      </c>
      <c r="AG121">
        <v>0</v>
      </c>
      <c r="AH121">
        <v>9</v>
      </c>
      <c r="AI121">
        <v>6</v>
      </c>
      <c r="AJ121">
        <v>3</v>
      </c>
      <c r="AK121" t="s">
        <v>1311</v>
      </c>
      <c r="AL121" t="s">
        <v>1312</v>
      </c>
      <c r="AM121" t="s">
        <v>1313</v>
      </c>
      <c r="AN121" t="s">
        <v>1314</v>
      </c>
      <c r="AO121" t="s">
        <v>1315</v>
      </c>
      <c r="AP121" t="s">
        <v>1316</v>
      </c>
      <c r="AQ121" t="s">
        <v>1317</v>
      </c>
      <c r="AR121" t="s">
        <v>1318</v>
      </c>
      <c r="AS121" t="s">
        <v>1319</v>
      </c>
    </row>
    <row r="122" spans="1:45" x14ac:dyDescent="0.45">
      <c r="A122">
        <v>121</v>
      </c>
      <c r="B122">
        <v>12465</v>
      </c>
      <c r="C122" t="s">
        <v>78</v>
      </c>
      <c r="D122" t="s">
        <v>191</v>
      </c>
      <c r="E122" t="s">
        <v>74</v>
      </c>
      <c r="F122" t="s">
        <v>75</v>
      </c>
      <c r="G122" t="s">
        <v>162</v>
      </c>
      <c r="H122">
        <v>190.93869660954104</v>
      </c>
      <c r="I122">
        <v>4</v>
      </c>
      <c r="J122">
        <v>7</v>
      </c>
      <c r="K122">
        <v>1</v>
      </c>
      <c r="L122">
        <v>6</v>
      </c>
      <c r="M122">
        <v>6</v>
      </c>
      <c r="N122">
        <v>1</v>
      </c>
      <c r="O122">
        <v>5</v>
      </c>
      <c r="P122">
        <v>5</v>
      </c>
      <c r="Q122">
        <v>1</v>
      </c>
      <c r="R122">
        <v>4</v>
      </c>
      <c r="S122">
        <v>8</v>
      </c>
      <c r="T122">
        <v>5</v>
      </c>
      <c r="U122">
        <v>3</v>
      </c>
      <c r="V122">
        <v>7</v>
      </c>
      <c r="W122">
        <v>1</v>
      </c>
      <c r="X122">
        <v>6</v>
      </c>
      <c r="Y122">
        <v>9</v>
      </c>
      <c r="Z122">
        <v>1</v>
      </c>
      <c r="AA122">
        <v>8</v>
      </c>
      <c r="AB122">
        <v>7</v>
      </c>
      <c r="AC122">
        <v>1</v>
      </c>
      <c r="AD122">
        <v>6</v>
      </c>
      <c r="AE122">
        <v>6</v>
      </c>
      <c r="AF122">
        <v>1</v>
      </c>
      <c r="AG122">
        <v>5</v>
      </c>
      <c r="AH122">
        <v>9</v>
      </c>
      <c r="AI122">
        <v>5</v>
      </c>
      <c r="AJ122">
        <v>4</v>
      </c>
      <c r="AK122" t="s">
        <v>1320</v>
      </c>
      <c r="AL122" t="s">
        <v>1321</v>
      </c>
      <c r="AM122" t="s">
        <v>1322</v>
      </c>
      <c r="AN122" t="s">
        <v>1323</v>
      </c>
      <c r="AO122" t="s">
        <v>1324</v>
      </c>
      <c r="AP122" t="s">
        <v>1325</v>
      </c>
      <c r="AQ122" t="s">
        <v>1326</v>
      </c>
      <c r="AR122" t="s">
        <v>1327</v>
      </c>
      <c r="AS122" t="s">
        <v>1328</v>
      </c>
    </row>
    <row r="123" spans="1:45" x14ac:dyDescent="0.45">
      <c r="A123">
        <v>122</v>
      </c>
      <c r="B123">
        <v>12466</v>
      </c>
      <c r="C123" t="s">
        <v>78</v>
      </c>
      <c r="D123" t="s">
        <v>79</v>
      </c>
      <c r="E123" t="s">
        <v>74</v>
      </c>
      <c r="F123" t="s">
        <v>77</v>
      </c>
      <c r="G123" t="s">
        <v>76</v>
      </c>
      <c r="H123">
        <v>216.9380314138582</v>
      </c>
      <c r="I123">
        <v>0</v>
      </c>
      <c r="J123">
        <v>7</v>
      </c>
      <c r="K123">
        <v>4</v>
      </c>
      <c r="L123">
        <v>3</v>
      </c>
      <c r="M123">
        <v>7</v>
      </c>
      <c r="N123">
        <v>4</v>
      </c>
      <c r="O123">
        <v>3</v>
      </c>
      <c r="P123">
        <v>8</v>
      </c>
      <c r="Q123">
        <v>2</v>
      </c>
      <c r="R123">
        <v>6</v>
      </c>
      <c r="S123">
        <v>9</v>
      </c>
      <c r="T123">
        <v>5</v>
      </c>
      <c r="U123">
        <v>4</v>
      </c>
      <c r="V123">
        <v>6</v>
      </c>
      <c r="W123">
        <v>1</v>
      </c>
      <c r="X123">
        <v>5</v>
      </c>
      <c r="Y123">
        <v>7</v>
      </c>
      <c r="Z123">
        <v>1</v>
      </c>
      <c r="AA123">
        <v>6</v>
      </c>
      <c r="AB123">
        <v>6</v>
      </c>
      <c r="AC123">
        <v>1</v>
      </c>
      <c r="AD123">
        <v>5</v>
      </c>
      <c r="AE123">
        <v>8</v>
      </c>
      <c r="AF123">
        <v>4</v>
      </c>
      <c r="AG123">
        <v>4</v>
      </c>
      <c r="AH123">
        <v>9</v>
      </c>
      <c r="AI123">
        <v>4</v>
      </c>
      <c r="AJ123">
        <v>5</v>
      </c>
      <c r="AK123" t="s">
        <v>1329</v>
      </c>
      <c r="AL123" t="s">
        <v>1330</v>
      </c>
      <c r="AM123" t="s">
        <v>1331</v>
      </c>
      <c r="AN123" t="s">
        <v>1332</v>
      </c>
      <c r="AO123" t="s">
        <v>1333</v>
      </c>
      <c r="AP123" t="s">
        <v>1334</v>
      </c>
      <c r="AQ123" t="s">
        <v>1335</v>
      </c>
      <c r="AR123" t="s">
        <v>1336</v>
      </c>
      <c r="AS123" t="s">
        <v>1337</v>
      </c>
    </row>
    <row r="124" spans="1:45" x14ac:dyDescent="0.45">
      <c r="A124">
        <v>123</v>
      </c>
      <c r="B124">
        <v>12467</v>
      </c>
      <c r="C124" t="s">
        <v>72</v>
      </c>
      <c r="D124" t="s">
        <v>189</v>
      </c>
      <c r="E124" t="s">
        <v>74</v>
      </c>
      <c r="F124" t="s">
        <v>77</v>
      </c>
      <c r="G124" t="s">
        <v>76</v>
      </c>
      <c r="H124">
        <v>12</v>
      </c>
      <c r="I124">
        <v>0</v>
      </c>
      <c r="J124">
        <v>8</v>
      </c>
      <c r="K124">
        <v>7</v>
      </c>
      <c r="L124">
        <v>1</v>
      </c>
      <c r="M124">
        <v>7</v>
      </c>
      <c r="N124">
        <v>7</v>
      </c>
      <c r="O124">
        <v>0</v>
      </c>
      <c r="P124">
        <v>9</v>
      </c>
      <c r="Q124">
        <v>7</v>
      </c>
      <c r="R124">
        <v>2</v>
      </c>
      <c r="S124">
        <v>8</v>
      </c>
      <c r="T124">
        <v>7</v>
      </c>
      <c r="U124">
        <v>1</v>
      </c>
      <c r="V124">
        <v>9</v>
      </c>
      <c r="W124">
        <v>7</v>
      </c>
      <c r="X124">
        <v>2</v>
      </c>
      <c r="Y124">
        <v>8</v>
      </c>
      <c r="Z124">
        <v>7</v>
      </c>
      <c r="AA124">
        <v>1</v>
      </c>
      <c r="AB124">
        <v>9</v>
      </c>
      <c r="AC124">
        <v>7</v>
      </c>
      <c r="AD124">
        <v>2</v>
      </c>
      <c r="AE124">
        <v>7</v>
      </c>
      <c r="AF124">
        <v>7</v>
      </c>
      <c r="AG124">
        <v>0</v>
      </c>
      <c r="AH124">
        <v>9</v>
      </c>
      <c r="AI124">
        <v>8</v>
      </c>
      <c r="AJ124">
        <v>1</v>
      </c>
      <c r="AK124" t="s">
        <v>1338</v>
      </c>
      <c r="AL124" t="s">
        <v>1339</v>
      </c>
      <c r="AM124" t="s">
        <v>1340</v>
      </c>
      <c r="AN124" t="s">
        <v>1341</v>
      </c>
      <c r="AO124" t="s">
        <v>1342</v>
      </c>
      <c r="AP124" t="s">
        <v>1343</v>
      </c>
      <c r="AQ124" t="s">
        <v>1344</v>
      </c>
      <c r="AR124" t="s">
        <v>1345</v>
      </c>
      <c r="AS124" t="s">
        <v>1346</v>
      </c>
    </row>
    <row r="125" spans="1:45" x14ac:dyDescent="0.45">
      <c r="A125">
        <v>124</v>
      </c>
      <c r="B125">
        <v>12468</v>
      </c>
      <c r="C125" t="s">
        <v>72</v>
      </c>
      <c r="D125" t="s">
        <v>191</v>
      </c>
      <c r="E125" t="s">
        <v>74</v>
      </c>
      <c r="F125" t="s">
        <v>75</v>
      </c>
      <c r="G125" t="s">
        <v>76</v>
      </c>
      <c r="H125">
        <v>41.480798696452553</v>
      </c>
      <c r="I125">
        <v>1</v>
      </c>
      <c r="J125">
        <v>6</v>
      </c>
      <c r="K125">
        <v>10</v>
      </c>
      <c r="L125">
        <v>-4</v>
      </c>
      <c r="M125">
        <v>7</v>
      </c>
      <c r="N125">
        <v>9</v>
      </c>
      <c r="O125">
        <v>-2</v>
      </c>
      <c r="P125">
        <v>8</v>
      </c>
      <c r="Q125">
        <v>10</v>
      </c>
      <c r="R125">
        <v>-2</v>
      </c>
      <c r="S125">
        <v>9</v>
      </c>
      <c r="T125">
        <v>10</v>
      </c>
      <c r="U125">
        <v>-1</v>
      </c>
      <c r="V125">
        <v>7</v>
      </c>
      <c r="W125">
        <v>10</v>
      </c>
      <c r="X125">
        <v>-3</v>
      </c>
      <c r="Y125">
        <v>8</v>
      </c>
      <c r="Z125">
        <v>8</v>
      </c>
      <c r="AA125">
        <v>0</v>
      </c>
      <c r="AB125">
        <v>7</v>
      </c>
      <c r="AC125">
        <v>9</v>
      </c>
      <c r="AD125">
        <v>-2</v>
      </c>
      <c r="AE125">
        <v>9</v>
      </c>
      <c r="AF125">
        <v>9</v>
      </c>
      <c r="AG125">
        <v>0</v>
      </c>
      <c r="AH125">
        <v>8</v>
      </c>
      <c r="AI125">
        <v>9</v>
      </c>
      <c r="AJ125">
        <v>-1</v>
      </c>
      <c r="AK125" t="s">
        <v>1347</v>
      </c>
      <c r="AL125" t="s">
        <v>1348</v>
      </c>
      <c r="AM125" t="s">
        <v>1349</v>
      </c>
      <c r="AN125" t="s">
        <v>1350</v>
      </c>
      <c r="AO125" t="s">
        <v>1351</v>
      </c>
      <c r="AP125" t="s">
        <v>1352</v>
      </c>
      <c r="AQ125" t="s">
        <v>1353</v>
      </c>
      <c r="AR125" t="s">
        <v>1354</v>
      </c>
      <c r="AS125" t="s">
        <v>1355</v>
      </c>
    </row>
    <row r="126" spans="1:45" x14ac:dyDescent="0.45">
      <c r="A126">
        <v>125</v>
      </c>
      <c r="B126">
        <v>12469</v>
      </c>
      <c r="C126" t="s">
        <v>72</v>
      </c>
      <c r="D126" t="s">
        <v>189</v>
      </c>
      <c r="E126" t="s">
        <v>74</v>
      </c>
      <c r="F126" t="s">
        <v>77</v>
      </c>
      <c r="G126" t="s">
        <v>76</v>
      </c>
      <c r="H126">
        <v>12.055014978250577</v>
      </c>
      <c r="I126">
        <v>2</v>
      </c>
      <c r="J126">
        <v>7</v>
      </c>
      <c r="K126">
        <v>10</v>
      </c>
      <c r="L126">
        <v>-3</v>
      </c>
      <c r="M126">
        <v>8</v>
      </c>
      <c r="N126">
        <v>10</v>
      </c>
      <c r="O126">
        <v>-2</v>
      </c>
      <c r="P126">
        <v>7</v>
      </c>
      <c r="Q126">
        <v>10</v>
      </c>
      <c r="R126">
        <v>-3</v>
      </c>
      <c r="S126">
        <v>9</v>
      </c>
      <c r="T126">
        <v>10</v>
      </c>
      <c r="U126">
        <v>-1</v>
      </c>
      <c r="V126">
        <v>8</v>
      </c>
      <c r="W126">
        <v>10</v>
      </c>
      <c r="X126">
        <v>-2</v>
      </c>
      <c r="Y126">
        <v>9</v>
      </c>
      <c r="Z126">
        <v>10</v>
      </c>
      <c r="AA126">
        <v>-1</v>
      </c>
      <c r="AB126">
        <v>8</v>
      </c>
      <c r="AC126">
        <v>10</v>
      </c>
      <c r="AD126">
        <v>-2</v>
      </c>
      <c r="AE126">
        <v>7</v>
      </c>
      <c r="AF126">
        <v>10</v>
      </c>
      <c r="AG126">
        <v>-3</v>
      </c>
      <c r="AH126">
        <v>8</v>
      </c>
      <c r="AI126">
        <v>10</v>
      </c>
      <c r="AJ126">
        <v>-2</v>
      </c>
      <c r="AK126" t="s">
        <v>1356</v>
      </c>
      <c r="AL126" t="s">
        <v>1357</v>
      </c>
      <c r="AM126" t="s">
        <v>1358</v>
      </c>
      <c r="AN126" t="s">
        <v>1359</v>
      </c>
      <c r="AO126" t="s">
        <v>1360</v>
      </c>
      <c r="AP126" t="s">
        <v>1361</v>
      </c>
      <c r="AQ126" t="s">
        <v>1362</v>
      </c>
      <c r="AR126" t="s">
        <v>1363</v>
      </c>
      <c r="AS126" t="s">
        <v>1364</v>
      </c>
    </row>
    <row r="127" spans="1:45" x14ac:dyDescent="0.45">
      <c r="A127">
        <v>126</v>
      </c>
      <c r="B127">
        <v>12470</v>
      </c>
      <c r="C127" t="s">
        <v>78</v>
      </c>
      <c r="D127" t="s">
        <v>81</v>
      </c>
      <c r="E127" t="s">
        <v>74</v>
      </c>
      <c r="F127" t="s">
        <v>77</v>
      </c>
      <c r="G127" t="s">
        <v>76</v>
      </c>
      <c r="H127">
        <v>28.406554438717116</v>
      </c>
      <c r="I127">
        <v>0</v>
      </c>
      <c r="J127">
        <v>8</v>
      </c>
      <c r="K127">
        <v>8</v>
      </c>
      <c r="L127">
        <v>0</v>
      </c>
      <c r="M127">
        <v>7</v>
      </c>
      <c r="N127">
        <v>8</v>
      </c>
      <c r="O127">
        <v>-1</v>
      </c>
      <c r="P127">
        <v>9</v>
      </c>
      <c r="Q127">
        <v>5</v>
      </c>
      <c r="R127">
        <v>4</v>
      </c>
      <c r="S127">
        <v>8</v>
      </c>
      <c r="T127">
        <v>8</v>
      </c>
      <c r="U127">
        <v>0</v>
      </c>
      <c r="V127">
        <v>9</v>
      </c>
      <c r="W127">
        <v>8</v>
      </c>
      <c r="X127">
        <v>1</v>
      </c>
      <c r="Y127">
        <v>8</v>
      </c>
      <c r="Z127">
        <v>8</v>
      </c>
      <c r="AA127">
        <v>0</v>
      </c>
      <c r="AB127">
        <v>9</v>
      </c>
      <c r="AC127">
        <v>7</v>
      </c>
      <c r="AD127">
        <v>2</v>
      </c>
      <c r="AE127">
        <v>8</v>
      </c>
      <c r="AF127">
        <v>7</v>
      </c>
      <c r="AG127">
        <v>1</v>
      </c>
      <c r="AH127">
        <v>9</v>
      </c>
      <c r="AI127">
        <v>8</v>
      </c>
      <c r="AJ127">
        <v>1</v>
      </c>
      <c r="AK127" t="s">
        <v>1365</v>
      </c>
      <c r="AL127" t="s">
        <v>1366</v>
      </c>
      <c r="AM127" t="s">
        <v>1367</v>
      </c>
      <c r="AN127" t="s">
        <v>1368</v>
      </c>
      <c r="AO127" t="s">
        <v>1369</v>
      </c>
      <c r="AP127" t="s">
        <v>1370</v>
      </c>
      <c r="AQ127" t="s">
        <v>1371</v>
      </c>
      <c r="AR127" t="s">
        <v>1372</v>
      </c>
      <c r="AS127" t="s">
        <v>1373</v>
      </c>
    </row>
    <row r="128" spans="1:45" x14ac:dyDescent="0.45">
      <c r="A128">
        <v>127</v>
      </c>
      <c r="B128">
        <v>12471</v>
      </c>
      <c r="C128" t="s">
        <v>72</v>
      </c>
      <c r="D128" t="s">
        <v>79</v>
      </c>
      <c r="E128" t="s">
        <v>74</v>
      </c>
      <c r="F128" t="s">
        <v>77</v>
      </c>
      <c r="G128" t="s">
        <v>76</v>
      </c>
      <c r="H128">
        <v>198.64462478714378</v>
      </c>
      <c r="I128">
        <v>4</v>
      </c>
      <c r="J128">
        <v>6</v>
      </c>
      <c r="K128">
        <v>1</v>
      </c>
      <c r="L128">
        <v>5</v>
      </c>
      <c r="M128">
        <v>7</v>
      </c>
      <c r="N128">
        <v>1</v>
      </c>
      <c r="O128">
        <v>6</v>
      </c>
      <c r="P128">
        <v>8</v>
      </c>
      <c r="Q128">
        <v>1</v>
      </c>
      <c r="R128">
        <v>7</v>
      </c>
      <c r="S128">
        <v>9</v>
      </c>
      <c r="T128">
        <v>5</v>
      </c>
      <c r="U128">
        <v>4</v>
      </c>
      <c r="V128">
        <v>7</v>
      </c>
      <c r="W128">
        <v>1</v>
      </c>
      <c r="X128">
        <v>6</v>
      </c>
      <c r="Y128">
        <v>8</v>
      </c>
      <c r="Z128">
        <v>1</v>
      </c>
      <c r="AA128">
        <v>7</v>
      </c>
      <c r="AB128">
        <v>7</v>
      </c>
      <c r="AC128">
        <v>1</v>
      </c>
      <c r="AD128">
        <v>6</v>
      </c>
      <c r="AE128">
        <v>8</v>
      </c>
      <c r="AF128">
        <v>5</v>
      </c>
      <c r="AG128">
        <v>3</v>
      </c>
      <c r="AH128">
        <v>9</v>
      </c>
      <c r="AI128">
        <v>5</v>
      </c>
      <c r="AJ128">
        <v>4</v>
      </c>
      <c r="AK128" t="s">
        <v>1374</v>
      </c>
      <c r="AL128" t="s">
        <v>1375</v>
      </c>
      <c r="AM128" t="s">
        <v>1376</v>
      </c>
      <c r="AN128" t="s">
        <v>1377</v>
      </c>
      <c r="AO128" t="s">
        <v>1378</v>
      </c>
      <c r="AP128" t="s">
        <v>1379</v>
      </c>
      <c r="AQ128" t="s">
        <v>1380</v>
      </c>
      <c r="AR128" t="s">
        <v>1381</v>
      </c>
      <c r="AS128" t="s">
        <v>1382</v>
      </c>
    </row>
    <row r="129" spans="1:45" x14ac:dyDescent="0.45">
      <c r="A129">
        <v>128</v>
      </c>
      <c r="B129">
        <v>12472</v>
      </c>
      <c r="C129" t="s">
        <v>78</v>
      </c>
      <c r="D129" t="s">
        <v>191</v>
      </c>
      <c r="E129" t="s">
        <v>74</v>
      </c>
      <c r="F129" t="s">
        <v>77</v>
      </c>
      <c r="G129" t="s">
        <v>76</v>
      </c>
      <c r="H129">
        <v>117.90727278959787</v>
      </c>
      <c r="I129">
        <v>4</v>
      </c>
      <c r="J129">
        <v>7</v>
      </c>
      <c r="K129">
        <v>6</v>
      </c>
      <c r="L129">
        <v>1</v>
      </c>
      <c r="M129">
        <v>8</v>
      </c>
      <c r="N129">
        <v>6</v>
      </c>
      <c r="O129">
        <v>2</v>
      </c>
      <c r="P129">
        <v>9</v>
      </c>
      <c r="Q129">
        <v>6</v>
      </c>
      <c r="R129">
        <v>3</v>
      </c>
      <c r="S129">
        <v>10</v>
      </c>
      <c r="T129">
        <v>8</v>
      </c>
      <c r="U129">
        <v>2</v>
      </c>
      <c r="V129">
        <v>9</v>
      </c>
      <c r="W129">
        <v>6</v>
      </c>
      <c r="X129">
        <v>3</v>
      </c>
      <c r="Y129">
        <v>9</v>
      </c>
      <c r="Z129">
        <v>3</v>
      </c>
      <c r="AA129">
        <v>6</v>
      </c>
      <c r="AB129">
        <v>8</v>
      </c>
      <c r="AC129">
        <v>5</v>
      </c>
      <c r="AD129">
        <v>3</v>
      </c>
      <c r="AE129">
        <v>9</v>
      </c>
      <c r="AF129">
        <v>5</v>
      </c>
      <c r="AG129">
        <v>4</v>
      </c>
      <c r="AH129">
        <v>10</v>
      </c>
      <c r="AI129">
        <v>4</v>
      </c>
      <c r="AJ129">
        <v>6</v>
      </c>
      <c r="AK129" t="s">
        <v>1383</v>
      </c>
      <c r="AL129" t="s">
        <v>1384</v>
      </c>
      <c r="AM129" t="s">
        <v>1385</v>
      </c>
      <c r="AN129" t="s">
        <v>1386</v>
      </c>
      <c r="AO129" t="s">
        <v>1387</v>
      </c>
      <c r="AP129" t="s">
        <v>1388</v>
      </c>
      <c r="AQ129" t="s">
        <v>1389</v>
      </c>
      <c r="AR129" t="s">
        <v>1390</v>
      </c>
      <c r="AS129" t="s">
        <v>259</v>
      </c>
    </row>
    <row r="130" spans="1:45" x14ac:dyDescent="0.45">
      <c r="A130">
        <v>129</v>
      </c>
      <c r="B130">
        <v>12473</v>
      </c>
      <c r="C130" t="s">
        <v>78</v>
      </c>
      <c r="D130" t="s">
        <v>191</v>
      </c>
      <c r="E130" t="s">
        <v>74</v>
      </c>
      <c r="F130" t="s">
        <v>75</v>
      </c>
      <c r="G130" t="s">
        <v>76</v>
      </c>
      <c r="H130">
        <v>123.77938844694197</v>
      </c>
      <c r="I130">
        <v>3</v>
      </c>
      <c r="J130">
        <v>8</v>
      </c>
      <c r="K130">
        <v>6</v>
      </c>
      <c r="L130">
        <v>2</v>
      </c>
      <c r="M130">
        <v>9</v>
      </c>
      <c r="N130">
        <v>6</v>
      </c>
      <c r="O130">
        <v>3</v>
      </c>
      <c r="P130">
        <v>7</v>
      </c>
      <c r="Q130">
        <v>4</v>
      </c>
      <c r="R130">
        <v>3</v>
      </c>
      <c r="S130">
        <v>9</v>
      </c>
      <c r="T130">
        <v>5</v>
      </c>
      <c r="U130">
        <v>4</v>
      </c>
      <c r="V130">
        <v>7</v>
      </c>
      <c r="W130">
        <v>5</v>
      </c>
      <c r="X130">
        <v>2</v>
      </c>
      <c r="Y130">
        <v>8</v>
      </c>
      <c r="Z130">
        <v>1</v>
      </c>
      <c r="AA130">
        <v>7</v>
      </c>
      <c r="AB130">
        <v>7</v>
      </c>
      <c r="AC130">
        <v>5</v>
      </c>
      <c r="AD130">
        <v>2</v>
      </c>
      <c r="AE130">
        <v>8</v>
      </c>
      <c r="AF130">
        <v>4</v>
      </c>
      <c r="AG130">
        <v>4</v>
      </c>
      <c r="AH130">
        <v>9</v>
      </c>
      <c r="AI130">
        <v>5</v>
      </c>
      <c r="AJ130">
        <v>4</v>
      </c>
      <c r="AK130" t="s">
        <v>1391</v>
      </c>
      <c r="AL130" t="s">
        <v>1392</v>
      </c>
      <c r="AM130" t="s">
        <v>1393</v>
      </c>
      <c r="AN130" t="s">
        <v>1394</v>
      </c>
      <c r="AO130" t="s">
        <v>1395</v>
      </c>
      <c r="AP130" t="s">
        <v>1396</v>
      </c>
      <c r="AQ130" t="s">
        <v>1397</v>
      </c>
      <c r="AR130" t="s">
        <v>1398</v>
      </c>
      <c r="AS130" t="s">
        <v>1399</v>
      </c>
    </row>
    <row r="131" spans="1:45" x14ac:dyDescent="0.45">
      <c r="A131">
        <v>130</v>
      </c>
      <c r="B131">
        <v>12474</v>
      </c>
      <c r="C131" t="s">
        <v>72</v>
      </c>
      <c r="D131" t="s">
        <v>193</v>
      </c>
      <c r="E131" t="s">
        <v>74</v>
      </c>
      <c r="F131" t="s">
        <v>75</v>
      </c>
      <c r="G131" t="s">
        <v>76</v>
      </c>
      <c r="H131">
        <v>76.963883500430342</v>
      </c>
      <c r="I131">
        <v>2</v>
      </c>
      <c r="J131">
        <v>6</v>
      </c>
      <c r="K131">
        <v>5</v>
      </c>
      <c r="L131">
        <v>1</v>
      </c>
      <c r="M131">
        <v>7</v>
      </c>
      <c r="N131">
        <v>5</v>
      </c>
      <c r="O131">
        <v>2</v>
      </c>
      <c r="P131">
        <v>8</v>
      </c>
      <c r="Q131">
        <v>1</v>
      </c>
      <c r="R131">
        <v>7</v>
      </c>
      <c r="S131">
        <v>9</v>
      </c>
      <c r="T131">
        <v>4</v>
      </c>
      <c r="U131">
        <v>5</v>
      </c>
      <c r="V131">
        <v>7</v>
      </c>
      <c r="W131">
        <v>2</v>
      </c>
      <c r="X131">
        <v>5</v>
      </c>
      <c r="Y131">
        <v>8</v>
      </c>
      <c r="Z131">
        <v>1</v>
      </c>
      <c r="AA131">
        <v>7</v>
      </c>
      <c r="AB131">
        <v>6</v>
      </c>
      <c r="AC131">
        <v>1</v>
      </c>
      <c r="AD131">
        <v>5</v>
      </c>
      <c r="AE131">
        <v>7</v>
      </c>
      <c r="AF131">
        <v>1</v>
      </c>
      <c r="AG131">
        <v>6</v>
      </c>
      <c r="AH131">
        <v>9</v>
      </c>
      <c r="AI131">
        <v>5</v>
      </c>
      <c r="AJ131">
        <v>4</v>
      </c>
      <c r="AK131" t="s">
        <v>1400</v>
      </c>
      <c r="AL131" t="s">
        <v>1401</v>
      </c>
      <c r="AM131" t="s">
        <v>1402</v>
      </c>
      <c r="AN131" t="s">
        <v>1403</v>
      </c>
      <c r="AO131" t="s">
        <v>1404</v>
      </c>
      <c r="AP131" t="s">
        <v>1405</v>
      </c>
      <c r="AQ131" t="s">
        <v>1406</v>
      </c>
      <c r="AR131" t="s">
        <v>1407</v>
      </c>
      <c r="AS131" t="s">
        <v>1408</v>
      </c>
    </row>
    <row r="132" spans="1:45" x14ac:dyDescent="0.45">
      <c r="A132">
        <v>131</v>
      </c>
      <c r="B132">
        <v>12475</v>
      </c>
      <c r="C132" t="s">
        <v>72</v>
      </c>
      <c r="D132" t="s">
        <v>73</v>
      </c>
      <c r="E132" t="s">
        <v>74</v>
      </c>
      <c r="F132" t="s">
        <v>75</v>
      </c>
      <c r="G132" t="s">
        <v>76</v>
      </c>
      <c r="H132">
        <v>83.111831894022401</v>
      </c>
      <c r="I132">
        <v>1</v>
      </c>
      <c r="J132">
        <v>8</v>
      </c>
      <c r="K132">
        <v>8</v>
      </c>
      <c r="L132">
        <v>0</v>
      </c>
      <c r="M132">
        <v>7</v>
      </c>
      <c r="N132">
        <v>9</v>
      </c>
      <c r="O132">
        <v>-2</v>
      </c>
      <c r="P132">
        <v>7</v>
      </c>
      <c r="Q132">
        <v>5</v>
      </c>
      <c r="R132">
        <v>2</v>
      </c>
      <c r="S132">
        <v>8</v>
      </c>
      <c r="T132">
        <v>5</v>
      </c>
      <c r="U132">
        <v>3</v>
      </c>
      <c r="V132">
        <v>9</v>
      </c>
      <c r="W132">
        <v>5</v>
      </c>
      <c r="X132">
        <v>4</v>
      </c>
      <c r="Y132">
        <v>9</v>
      </c>
      <c r="Z132">
        <v>4</v>
      </c>
      <c r="AA132">
        <v>5</v>
      </c>
      <c r="AB132">
        <v>8</v>
      </c>
      <c r="AC132">
        <v>5</v>
      </c>
      <c r="AD132">
        <v>3</v>
      </c>
      <c r="AE132">
        <v>7</v>
      </c>
      <c r="AF132">
        <v>5</v>
      </c>
      <c r="AG132">
        <v>2</v>
      </c>
      <c r="AH132">
        <v>9</v>
      </c>
      <c r="AI132">
        <v>5</v>
      </c>
      <c r="AJ132">
        <v>4</v>
      </c>
      <c r="AK132" t="s">
        <v>1409</v>
      </c>
      <c r="AL132" t="s">
        <v>1410</v>
      </c>
      <c r="AM132" t="s">
        <v>1411</v>
      </c>
      <c r="AN132" t="s">
        <v>1412</v>
      </c>
      <c r="AO132" t="s">
        <v>1413</v>
      </c>
      <c r="AP132" t="s">
        <v>1414</v>
      </c>
      <c r="AQ132" t="s">
        <v>1415</v>
      </c>
      <c r="AR132" t="s">
        <v>1416</v>
      </c>
      <c r="AS132" t="s">
        <v>1417</v>
      </c>
    </row>
    <row r="133" spans="1:45" x14ac:dyDescent="0.45">
      <c r="A133">
        <v>132</v>
      </c>
      <c r="B133">
        <v>12476</v>
      </c>
      <c r="C133" t="s">
        <v>78</v>
      </c>
      <c r="D133" t="s">
        <v>189</v>
      </c>
      <c r="E133" t="s">
        <v>74</v>
      </c>
      <c r="F133" t="s">
        <v>77</v>
      </c>
      <c r="G133" t="s">
        <v>76</v>
      </c>
      <c r="H133">
        <v>12.677340809925916</v>
      </c>
      <c r="I133">
        <v>0</v>
      </c>
      <c r="J133">
        <v>7</v>
      </c>
      <c r="K133">
        <v>9</v>
      </c>
      <c r="L133">
        <v>-2</v>
      </c>
      <c r="M133">
        <v>8</v>
      </c>
      <c r="N133">
        <v>9</v>
      </c>
      <c r="O133">
        <v>-1</v>
      </c>
      <c r="P133">
        <v>6</v>
      </c>
      <c r="Q133">
        <v>9</v>
      </c>
      <c r="R133">
        <v>-3</v>
      </c>
      <c r="S133">
        <v>9</v>
      </c>
      <c r="T133">
        <v>9</v>
      </c>
      <c r="U133">
        <v>0</v>
      </c>
      <c r="V133">
        <v>7</v>
      </c>
      <c r="W133">
        <v>7</v>
      </c>
      <c r="X133">
        <v>0</v>
      </c>
      <c r="Y133">
        <v>9</v>
      </c>
      <c r="Z133">
        <v>10</v>
      </c>
      <c r="AA133">
        <v>-1</v>
      </c>
      <c r="AB133">
        <v>7</v>
      </c>
      <c r="AC133">
        <v>5</v>
      </c>
      <c r="AD133">
        <v>2</v>
      </c>
      <c r="AE133">
        <v>8</v>
      </c>
      <c r="AF133">
        <v>5</v>
      </c>
      <c r="AG133">
        <v>3</v>
      </c>
      <c r="AH133">
        <v>9</v>
      </c>
      <c r="AI133">
        <v>9</v>
      </c>
      <c r="AJ133">
        <v>0</v>
      </c>
      <c r="AK133" t="s">
        <v>1418</v>
      </c>
      <c r="AL133" t="s">
        <v>1419</v>
      </c>
      <c r="AM133" t="s">
        <v>1420</v>
      </c>
      <c r="AN133" t="s">
        <v>1421</v>
      </c>
      <c r="AO133" t="s">
        <v>1422</v>
      </c>
      <c r="AP133" t="s">
        <v>1423</v>
      </c>
      <c r="AQ133" t="s">
        <v>1424</v>
      </c>
      <c r="AR133" t="s">
        <v>1425</v>
      </c>
      <c r="AS133" t="s">
        <v>1426</v>
      </c>
    </row>
    <row r="134" spans="1:45" x14ac:dyDescent="0.45">
      <c r="A134">
        <v>133</v>
      </c>
      <c r="B134">
        <v>12477</v>
      </c>
      <c r="C134" t="s">
        <v>78</v>
      </c>
      <c r="D134" t="s">
        <v>81</v>
      </c>
      <c r="E134" t="s">
        <v>74</v>
      </c>
      <c r="F134" t="s">
        <v>190</v>
      </c>
      <c r="G134" t="s">
        <v>76</v>
      </c>
      <c r="H134">
        <v>42.030908308466138</v>
      </c>
      <c r="I134">
        <v>0</v>
      </c>
      <c r="J134">
        <v>6</v>
      </c>
      <c r="K134">
        <v>5</v>
      </c>
      <c r="L134">
        <v>1</v>
      </c>
      <c r="M134">
        <v>7</v>
      </c>
      <c r="N134">
        <v>5</v>
      </c>
      <c r="O134">
        <v>2</v>
      </c>
      <c r="P134">
        <v>8</v>
      </c>
      <c r="Q134">
        <v>5</v>
      </c>
      <c r="R134">
        <v>3</v>
      </c>
      <c r="S134">
        <v>9</v>
      </c>
      <c r="T134">
        <v>5</v>
      </c>
      <c r="U134">
        <v>4</v>
      </c>
      <c r="V134">
        <v>7</v>
      </c>
      <c r="W134">
        <v>5</v>
      </c>
      <c r="X134">
        <v>2</v>
      </c>
      <c r="Y134">
        <v>9</v>
      </c>
      <c r="Z134">
        <v>5</v>
      </c>
      <c r="AA134">
        <v>4</v>
      </c>
      <c r="AB134">
        <v>8</v>
      </c>
      <c r="AC134">
        <v>5</v>
      </c>
      <c r="AD134">
        <v>3</v>
      </c>
      <c r="AE134">
        <v>9</v>
      </c>
      <c r="AF134">
        <v>5</v>
      </c>
      <c r="AG134">
        <v>4</v>
      </c>
      <c r="AH134">
        <v>9</v>
      </c>
      <c r="AI134">
        <v>5</v>
      </c>
      <c r="AJ134">
        <v>4</v>
      </c>
      <c r="AK134" t="s">
        <v>1427</v>
      </c>
      <c r="AL134" t="s">
        <v>1428</v>
      </c>
      <c r="AM134" t="s">
        <v>1429</v>
      </c>
      <c r="AN134" t="s">
        <v>1430</v>
      </c>
      <c r="AO134" t="s">
        <v>1431</v>
      </c>
      <c r="AP134" t="s">
        <v>1432</v>
      </c>
      <c r="AQ134" t="s">
        <v>1433</v>
      </c>
      <c r="AR134" t="s">
        <v>1434</v>
      </c>
      <c r="AS134" t="s">
        <v>1435</v>
      </c>
    </row>
    <row r="135" spans="1:45" x14ac:dyDescent="0.45">
      <c r="A135">
        <v>134</v>
      </c>
      <c r="B135">
        <v>12478</v>
      </c>
      <c r="C135" t="s">
        <v>72</v>
      </c>
      <c r="D135" t="s">
        <v>189</v>
      </c>
      <c r="E135" t="s">
        <v>74</v>
      </c>
      <c r="F135" t="s">
        <v>77</v>
      </c>
      <c r="G135" t="s">
        <v>76</v>
      </c>
      <c r="H135">
        <v>19.566114812780143</v>
      </c>
      <c r="I135">
        <v>0</v>
      </c>
      <c r="J135">
        <v>6</v>
      </c>
      <c r="K135">
        <v>9</v>
      </c>
      <c r="L135">
        <v>-3</v>
      </c>
      <c r="M135">
        <v>7</v>
      </c>
      <c r="N135">
        <v>9</v>
      </c>
      <c r="O135">
        <v>-2</v>
      </c>
      <c r="P135">
        <v>8</v>
      </c>
      <c r="Q135">
        <v>5</v>
      </c>
      <c r="R135">
        <v>3</v>
      </c>
      <c r="S135">
        <v>9</v>
      </c>
      <c r="T135">
        <v>9</v>
      </c>
      <c r="U135">
        <v>0</v>
      </c>
      <c r="V135">
        <v>7</v>
      </c>
      <c r="W135">
        <v>8</v>
      </c>
      <c r="X135">
        <v>-1</v>
      </c>
      <c r="Y135">
        <v>9</v>
      </c>
      <c r="Z135">
        <v>10</v>
      </c>
      <c r="AA135">
        <v>-1</v>
      </c>
      <c r="AB135">
        <v>7</v>
      </c>
      <c r="AC135">
        <v>5</v>
      </c>
      <c r="AD135">
        <v>2</v>
      </c>
      <c r="AE135">
        <v>8</v>
      </c>
      <c r="AF135">
        <v>5</v>
      </c>
      <c r="AG135">
        <v>3</v>
      </c>
      <c r="AH135">
        <v>9</v>
      </c>
      <c r="AI135">
        <v>7</v>
      </c>
      <c r="AJ135">
        <v>2</v>
      </c>
      <c r="AK135" t="s">
        <v>1436</v>
      </c>
      <c r="AL135" t="s">
        <v>1437</v>
      </c>
      <c r="AM135" t="s">
        <v>1438</v>
      </c>
      <c r="AN135" t="s">
        <v>1439</v>
      </c>
      <c r="AO135" t="s">
        <v>1440</v>
      </c>
      <c r="AP135" t="s">
        <v>1441</v>
      </c>
      <c r="AQ135" t="s">
        <v>1442</v>
      </c>
      <c r="AR135" t="s">
        <v>1443</v>
      </c>
      <c r="AS135" t="s">
        <v>1444</v>
      </c>
    </row>
    <row r="136" spans="1:45" x14ac:dyDescent="0.45">
      <c r="A136">
        <v>135</v>
      </c>
      <c r="B136">
        <v>12479</v>
      </c>
      <c r="C136" t="s">
        <v>78</v>
      </c>
      <c r="D136" t="s">
        <v>189</v>
      </c>
      <c r="E136" t="s">
        <v>74</v>
      </c>
      <c r="F136" t="s">
        <v>77</v>
      </c>
      <c r="G136" t="s">
        <v>76</v>
      </c>
      <c r="H136">
        <v>14.048329736593841</v>
      </c>
      <c r="I136">
        <v>0</v>
      </c>
      <c r="J136">
        <v>9</v>
      </c>
      <c r="K136">
        <v>5</v>
      </c>
      <c r="L136">
        <v>4</v>
      </c>
      <c r="M136">
        <v>8</v>
      </c>
      <c r="N136">
        <v>5</v>
      </c>
      <c r="O136">
        <v>3</v>
      </c>
      <c r="P136">
        <v>9</v>
      </c>
      <c r="Q136">
        <v>5</v>
      </c>
      <c r="R136">
        <v>4</v>
      </c>
      <c r="S136">
        <v>8</v>
      </c>
      <c r="T136">
        <v>6</v>
      </c>
      <c r="U136">
        <v>2</v>
      </c>
      <c r="V136">
        <v>9</v>
      </c>
      <c r="W136">
        <v>6</v>
      </c>
      <c r="X136">
        <v>3</v>
      </c>
      <c r="Y136">
        <v>8</v>
      </c>
      <c r="Z136">
        <v>6</v>
      </c>
      <c r="AA136">
        <v>2</v>
      </c>
      <c r="AB136">
        <v>9</v>
      </c>
      <c r="AC136">
        <v>6</v>
      </c>
      <c r="AD136">
        <v>3</v>
      </c>
      <c r="AE136">
        <v>8</v>
      </c>
      <c r="AF136">
        <v>6</v>
      </c>
      <c r="AG136">
        <v>2</v>
      </c>
      <c r="AH136">
        <v>7</v>
      </c>
      <c r="AI136">
        <v>6</v>
      </c>
      <c r="AJ136">
        <v>1</v>
      </c>
      <c r="AK136" t="s">
        <v>1445</v>
      </c>
      <c r="AL136" t="s">
        <v>1446</v>
      </c>
      <c r="AM136" t="s">
        <v>1447</v>
      </c>
      <c r="AN136" t="s">
        <v>1448</v>
      </c>
      <c r="AO136" t="s">
        <v>1449</v>
      </c>
      <c r="AP136" t="s">
        <v>1450</v>
      </c>
      <c r="AQ136" t="s">
        <v>1451</v>
      </c>
      <c r="AR136" t="s">
        <v>1452</v>
      </c>
      <c r="AS136" t="s">
        <v>1453</v>
      </c>
    </row>
    <row r="137" spans="1:45" x14ac:dyDescent="0.45">
      <c r="A137">
        <v>136</v>
      </c>
      <c r="B137">
        <v>12480</v>
      </c>
      <c r="C137" t="s">
        <v>72</v>
      </c>
      <c r="D137" t="s">
        <v>193</v>
      </c>
      <c r="E137" t="s">
        <v>74</v>
      </c>
      <c r="F137" t="s">
        <v>77</v>
      </c>
      <c r="G137" t="s">
        <v>162</v>
      </c>
      <c r="H137">
        <v>12</v>
      </c>
      <c r="I137">
        <v>0</v>
      </c>
      <c r="J137">
        <v>6</v>
      </c>
      <c r="K137">
        <v>8</v>
      </c>
      <c r="L137">
        <v>-2</v>
      </c>
      <c r="M137">
        <v>6</v>
      </c>
      <c r="N137">
        <v>8</v>
      </c>
      <c r="O137">
        <v>-2</v>
      </c>
      <c r="P137">
        <v>9</v>
      </c>
      <c r="Q137">
        <v>8</v>
      </c>
      <c r="R137">
        <v>1</v>
      </c>
      <c r="S137">
        <v>9</v>
      </c>
      <c r="T137">
        <v>8</v>
      </c>
      <c r="U137">
        <v>1</v>
      </c>
      <c r="V137">
        <v>8</v>
      </c>
      <c r="W137">
        <v>10</v>
      </c>
      <c r="X137">
        <v>-2</v>
      </c>
      <c r="Y137">
        <v>9</v>
      </c>
      <c r="Z137">
        <v>10</v>
      </c>
      <c r="AA137">
        <v>-1</v>
      </c>
      <c r="AB137">
        <v>8</v>
      </c>
      <c r="AC137">
        <v>10</v>
      </c>
      <c r="AD137">
        <v>-2</v>
      </c>
      <c r="AE137">
        <v>7</v>
      </c>
      <c r="AF137">
        <v>10</v>
      </c>
      <c r="AG137">
        <v>-3</v>
      </c>
      <c r="AH137">
        <v>9</v>
      </c>
      <c r="AI137">
        <v>10</v>
      </c>
      <c r="AJ137">
        <v>-1</v>
      </c>
      <c r="AK137" t="s">
        <v>1454</v>
      </c>
      <c r="AL137" t="s">
        <v>1455</v>
      </c>
      <c r="AM137" t="s">
        <v>1456</v>
      </c>
      <c r="AN137" t="s">
        <v>1457</v>
      </c>
      <c r="AO137" t="s">
        <v>1458</v>
      </c>
      <c r="AP137" t="s">
        <v>1459</v>
      </c>
      <c r="AQ137" t="s">
        <v>1460</v>
      </c>
      <c r="AR137" t="s">
        <v>1461</v>
      </c>
      <c r="AS137" t="s">
        <v>1462</v>
      </c>
    </row>
    <row r="138" spans="1:45" x14ac:dyDescent="0.45">
      <c r="A138">
        <v>137</v>
      </c>
      <c r="B138">
        <v>12481</v>
      </c>
      <c r="C138" t="s">
        <v>78</v>
      </c>
      <c r="D138" t="s">
        <v>191</v>
      </c>
      <c r="E138" t="s">
        <v>74</v>
      </c>
      <c r="F138" t="s">
        <v>77</v>
      </c>
      <c r="G138" t="s">
        <v>76</v>
      </c>
      <c r="H138">
        <v>135.68484840159198</v>
      </c>
      <c r="I138">
        <v>4</v>
      </c>
      <c r="J138">
        <v>7</v>
      </c>
      <c r="K138">
        <v>8</v>
      </c>
      <c r="L138">
        <v>-1</v>
      </c>
      <c r="M138">
        <v>8</v>
      </c>
      <c r="N138">
        <v>8</v>
      </c>
      <c r="O138">
        <v>0</v>
      </c>
      <c r="P138">
        <v>9</v>
      </c>
      <c r="Q138">
        <v>8</v>
      </c>
      <c r="R138">
        <v>1</v>
      </c>
      <c r="S138">
        <v>9</v>
      </c>
      <c r="T138">
        <v>8</v>
      </c>
      <c r="U138">
        <v>1</v>
      </c>
      <c r="V138">
        <v>8</v>
      </c>
      <c r="W138">
        <v>8</v>
      </c>
      <c r="X138">
        <v>0</v>
      </c>
      <c r="Y138">
        <v>9</v>
      </c>
      <c r="Z138">
        <v>8</v>
      </c>
      <c r="AA138">
        <v>1</v>
      </c>
      <c r="AB138">
        <v>8</v>
      </c>
      <c r="AC138">
        <v>5</v>
      </c>
      <c r="AD138">
        <v>3</v>
      </c>
      <c r="AE138">
        <v>9</v>
      </c>
      <c r="AF138">
        <v>7</v>
      </c>
      <c r="AG138">
        <v>2</v>
      </c>
      <c r="AH138">
        <v>8</v>
      </c>
      <c r="AI138">
        <v>8</v>
      </c>
      <c r="AJ138">
        <v>0</v>
      </c>
      <c r="AK138" t="s">
        <v>1463</v>
      </c>
      <c r="AL138" t="s">
        <v>1464</v>
      </c>
      <c r="AM138" t="s">
        <v>1465</v>
      </c>
      <c r="AN138" t="s">
        <v>222</v>
      </c>
      <c r="AO138" t="s">
        <v>1466</v>
      </c>
      <c r="AP138" t="s">
        <v>1467</v>
      </c>
      <c r="AQ138" t="s">
        <v>1468</v>
      </c>
      <c r="AR138" t="s">
        <v>1469</v>
      </c>
      <c r="AS138" t="s">
        <v>1470</v>
      </c>
    </row>
    <row r="139" spans="1:45" x14ac:dyDescent="0.45">
      <c r="A139">
        <v>138</v>
      </c>
      <c r="B139">
        <v>12482</v>
      </c>
      <c r="C139" t="s">
        <v>72</v>
      </c>
      <c r="D139" t="s">
        <v>81</v>
      </c>
      <c r="E139" t="s">
        <v>74</v>
      </c>
      <c r="F139" t="s">
        <v>75</v>
      </c>
      <c r="G139" t="s">
        <v>76</v>
      </c>
      <c r="H139">
        <v>14.139724413877779</v>
      </c>
      <c r="I139">
        <v>0</v>
      </c>
      <c r="J139">
        <v>6</v>
      </c>
      <c r="K139">
        <v>8</v>
      </c>
      <c r="L139">
        <v>-2</v>
      </c>
      <c r="M139">
        <v>7</v>
      </c>
      <c r="N139">
        <v>9</v>
      </c>
      <c r="O139">
        <v>-2</v>
      </c>
      <c r="P139">
        <v>9</v>
      </c>
      <c r="Q139">
        <v>7</v>
      </c>
      <c r="R139">
        <v>2</v>
      </c>
      <c r="S139">
        <v>8</v>
      </c>
      <c r="T139">
        <v>7</v>
      </c>
      <c r="U139">
        <v>1</v>
      </c>
      <c r="V139">
        <v>7</v>
      </c>
      <c r="W139">
        <v>6</v>
      </c>
      <c r="X139">
        <v>1</v>
      </c>
      <c r="Y139">
        <v>9</v>
      </c>
      <c r="Z139">
        <v>6</v>
      </c>
      <c r="AA139">
        <v>3</v>
      </c>
      <c r="AB139">
        <v>8</v>
      </c>
      <c r="AC139">
        <v>2</v>
      </c>
      <c r="AD139">
        <v>6</v>
      </c>
      <c r="AE139">
        <v>7</v>
      </c>
      <c r="AF139">
        <v>5</v>
      </c>
      <c r="AG139">
        <v>2</v>
      </c>
      <c r="AH139">
        <v>8</v>
      </c>
      <c r="AI139">
        <v>6</v>
      </c>
      <c r="AJ139">
        <v>2</v>
      </c>
      <c r="AK139" t="s">
        <v>1471</v>
      </c>
      <c r="AL139" t="s">
        <v>1472</v>
      </c>
      <c r="AM139" t="s">
        <v>1473</v>
      </c>
      <c r="AN139" t="s">
        <v>1474</v>
      </c>
      <c r="AO139" t="s">
        <v>1475</v>
      </c>
      <c r="AP139" t="s">
        <v>1476</v>
      </c>
      <c r="AQ139" t="s">
        <v>1477</v>
      </c>
      <c r="AR139" t="s">
        <v>1478</v>
      </c>
      <c r="AS139" t="s">
        <v>1479</v>
      </c>
    </row>
    <row r="140" spans="1:45" x14ac:dyDescent="0.45">
      <c r="A140">
        <v>139</v>
      </c>
      <c r="B140">
        <v>12483</v>
      </c>
      <c r="C140" t="s">
        <v>72</v>
      </c>
      <c r="D140" t="s">
        <v>79</v>
      </c>
      <c r="E140" t="s">
        <v>74</v>
      </c>
      <c r="F140" t="s">
        <v>75</v>
      </c>
      <c r="G140" t="s">
        <v>76</v>
      </c>
      <c r="H140">
        <v>158.4554792969042</v>
      </c>
      <c r="I140">
        <v>2</v>
      </c>
      <c r="J140">
        <v>9</v>
      </c>
      <c r="K140">
        <v>5</v>
      </c>
      <c r="L140">
        <v>4</v>
      </c>
      <c r="M140">
        <v>8</v>
      </c>
      <c r="N140">
        <v>4</v>
      </c>
      <c r="O140">
        <v>4</v>
      </c>
      <c r="P140">
        <v>9</v>
      </c>
      <c r="Q140">
        <v>7</v>
      </c>
      <c r="R140">
        <v>2</v>
      </c>
      <c r="S140">
        <v>8</v>
      </c>
      <c r="T140">
        <v>6</v>
      </c>
      <c r="U140">
        <v>2</v>
      </c>
      <c r="V140">
        <v>9</v>
      </c>
      <c r="W140">
        <v>3</v>
      </c>
      <c r="X140">
        <v>6</v>
      </c>
      <c r="Y140">
        <v>8</v>
      </c>
      <c r="Z140">
        <v>4</v>
      </c>
      <c r="AA140">
        <v>4</v>
      </c>
      <c r="AB140">
        <v>9</v>
      </c>
      <c r="AC140">
        <v>4</v>
      </c>
      <c r="AD140">
        <v>5</v>
      </c>
      <c r="AE140">
        <v>8</v>
      </c>
      <c r="AF140">
        <v>5</v>
      </c>
      <c r="AG140">
        <v>3</v>
      </c>
      <c r="AH140">
        <v>9</v>
      </c>
      <c r="AI140">
        <v>5</v>
      </c>
      <c r="AJ140">
        <v>4</v>
      </c>
      <c r="AK140" t="s">
        <v>1480</v>
      </c>
      <c r="AL140" t="s">
        <v>1481</v>
      </c>
      <c r="AM140" t="s">
        <v>1482</v>
      </c>
      <c r="AN140" t="s">
        <v>1483</v>
      </c>
      <c r="AO140" t="s">
        <v>200</v>
      </c>
      <c r="AP140" t="s">
        <v>1484</v>
      </c>
      <c r="AQ140" t="s">
        <v>1485</v>
      </c>
      <c r="AR140" t="s">
        <v>1486</v>
      </c>
      <c r="AS140" t="s">
        <v>1487</v>
      </c>
    </row>
    <row r="141" spans="1:45" x14ac:dyDescent="0.45">
      <c r="A141">
        <v>140</v>
      </c>
      <c r="B141">
        <v>12484</v>
      </c>
      <c r="C141" t="s">
        <v>72</v>
      </c>
      <c r="D141" t="s">
        <v>73</v>
      </c>
      <c r="E141" t="s">
        <v>74</v>
      </c>
      <c r="F141" t="s">
        <v>77</v>
      </c>
      <c r="G141" t="s">
        <v>76</v>
      </c>
      <c r="H141">
        <v>26.307433001153747</v>
      </c>
      <c r="I141">
        <v>1</v>
      </c>
      <c r="J141">
        <v>7</v>
      </c>
      <c r="K141">
        <v>10</v>
      </c>
      <c r="L141">
        <v>-3</v>
      </c>
      <c r="M141">
        <v>8</v>
      </c>
      <c r="N141">
        <v>9</v>
      </c>
      <c r="O141">
        <v>-1</v>
      </c>
      <c r="P141">
        <v>9</v>
      </c>
      <c r="Q141">
        <v>9</v>
      </c>
      <c r="R141">
        <v>0</v>
      </c>
      <c r="S141">
        <v>8</v>
      </c>
      <c r="T141">
        <v>9</v>
      </c>
      <c r="U141">
        <v>-1</v>
      </c>
      <c r="V141">
        <v>7</v>
      </c>
      <c r="W141">
        <v>8</v>
      </c>
      <c r="X141">
        <v>-1</v>
      </c>
      <c r="Y141">
        <v>9</v>
      </c>
      <c r="Z141">
        <v>8</v>
      </c>
      <c r="AA141">
        <v>1</v>
      </c>
      <c r="AB141">
        <v>8</v>
      </c>
      <c r="AC141">
        <v>8</v>
      </c>
      <c r="AD141">
        <v>0</v>
      </c>
      <c r="AE141">
        <v>7</v>
      </c>
      <c r="AF141">
        <v>8</v>
      </c>
      <c r="AG141">
        <v>-1</v>
      </c>
      <c r="AH141">
        <v>9</v>
      </c>
      <c r="AI141">
        <v>10</v>
      </c>
      <c r="AJ141">
        <v>-1</v>
      </c>
      <c r="AK141" t="s">
        <v>1488</v>
      </c>
      <c r="AL141" t="s">
        <v>1489</v>
      </c>
      <c r="AM141" t="s">
        <v>1490</v>
      </c>
      <c r="AN141" t="s">
        <v>1491</v>
      </c>
      <c r="AO141" t="s">
        <v>1492</v>
      </c>
      <c r="AP141" t="s">
        <v>1493</v>
      </c>
      <c r="AQ141" t="s">
        <v>1494</v>
      </c>
      <c r="AR141" t="s">
        <v>1495</v>
      </c>
      <c r="AS141" t="s">
        <v>1496</v>
      </c>
    </row>
    <row r="142" spans="1:45" x14ac:dyDescent="0.45">
      <c r="A142">
        <v>141</v>
      </c>
      <c r="B142">
        <v>12485</v>
      </c>
      <c r="C142" t="s">
        <v>78</v>
      </c>
      <c r="D142" t="s">
        <v>73</v>
      </c>
      <c r="E142" t="s">
        <v>74</v>
      </c>
      <c r="F142" t="s">
        <v>77</v>
      </c>
      <c r="G142" t="s">
        <v>76</v>
      </c>
      <c r="H142">
        <v>24.022720572137843</v>
      </c>
      <c r="I142">
        <v>1</v>
      </c>
      <c r="J142">
        <v>8</v>
      </c>
      <c r="K142">
        <v>8</v>
      </c>
      <c r="L142">
        <v>0</v>
      </c>
      <c r="M142">
        <v>9</v>
      </c>
      <c r="N142">
        <v>7</v>
      </c>
      <c r="O142">
        <v>2</v>
      </c>
      <c r="P142">
        <v>8</v>
      </c>
      <c r="Q142">
        <v>6</v>
      </c>
      <c r="R142">
        <v>2</v>
      </c>
      <c r="S142">
        <v>9</v>
      </c>
      <c r="T142">
        <v>6</v>
      </c>
      <c r="U142">
        <v>3</v>
      </c>
      <c r="V142">
        <v>8</v>
      </c>
      <c r="W142">
        <v>5</v>
      </c>
      <c r="X142">
        <v>3</v>
      </c>
      <c r="Y142">
        <v>9</v>
      </c>
      <c r="Z142">
        <v>5</v>
      </c>
      <c r="AA142">
        <v>4</v>
      </c>
      <c r="AB142">
        <v>8</v>
      </c>
      <c r="AC142">
        <v>3</v>
      </c>
      <c r="AD142">
        <v>5</v>
      </c>
      <c r="AE142">
        <v>9</v>
      </c>
      <c r="AF142">
        <v>3</v>
      </c>
      <c r="AG142">
        <v>6</v>
      </c>
      <c r="AH142">
        <v>9</v>
      </c>
      <c r="AI142">
        <v>5</v>
      </c>
      <c r="AJ142">
        <v>4</v>
      </c>
      <c r="AK142" t="s">
        <v>1497</v>
      </c>
      <c r="AL142" t="s">
        <v>1498</v>
      </c>
      <c r="AM142" t="s">
        <v>1499</v>
      </c>
      <c r="AN142" t="s">
        <v>1500</v>
      </c>
      <c r="AO142" t="s">
        <v>1501</v>
      </c>
      <c r="AP142" t="s">
        <v>1502</v>
      </c>
      <c r="AQ142" t="s">
        <v>1503</v>
      </c>
      <c r="AR142" t="s">
        <v>1504</v>
      </c>
      <c r="AS142" t="s">
        <v>1505</v>
      </c>
    </row>
    <row r="143" spans="1:45" x14ac:dyDescent="0.45">
      <c r="A143">
        <v>142</v>
      </c>
      <c r="B143">
        <v>12486</v>
      </c>
      <c r="C143" t="s">
        <v>78</v>
      </c>
      <c r="D143" t="s">
        <v>79</v>
      </c>
      <c r="E143" t="s">
        <v>74</v>
      </c>
      <c r="F143" t="s">
        <v>75</v>
      </c>
      <c r="G143" t="s">
        <v>76</v>
      </c>
      <c r="H143">
        <v>12</v>
      </c>
      <c r="I143">
        <v>1</v>
      </c>
      <c r="J143">
        <v>6</v>
      </c>
      <c r="K143">
        <v>5</v>
      </c>
      <c r="L143">
        <v>1</v>
      </c>
      <c r="M143">
        <v>7</v>
      </c>
      <c r="N143">
        <v>6</v>
      </c>
      <c r="O143">
        <v>1</v>
      </c>
      <c r="P143">
        <v>9</v>
      </c>
      <c r="Q143">
        <v>5</v>
      </c>
      <c r="R143">
        <v>4</v>
      </c>
      <c r="S143">
        <v>8</v>
      </c>
      <c r="T143">
        <v>7</v>
      </c>
      <c r="U143">
        <v>1</v>
      </c>
      <c r="V143">
        <v>9</v>
      </c>
      <c r="W143">
        <v>6</v>
      </c>
      <c r="X143">
        <v>3</v>
      </c>
      <c r="Y143">
        <v>8</v>
      </c>
      <c r="Z143">
        <v>6</v>
      </c>
      <c r="AA143">
        <v>2</v>
      </c>
      <c r="AB143">
        <v>9</v>
      </c>
      <c r="AC143">
        <v>6</v>
      </c>
      <c r="AD143">
        <v>3</v>
      </c>
      <c r="AE143">
        <v>7</v>
      </c>
      <c r="AF143">
        <v>7</v>
      </c>
      <c r="AG143">
        <v>0</v>
      </c>
      <c r="AH143">
        <v>8</v>
      </c>
      <c r="AI143">
        <v>7</v>
      </c>
      <c r="AJ143">
        <v>1</v>
      </c>
      <c r="AK143" t="s">
        <v>1506</v>
      </c>
      <c r="AL143" t="s">
        <v>1507</v>
      </c>
      <c r="AM143" t="s">
        <v>1508</v>
      </c>
      <c r="AN143" t="s">
        <v>1509</v>
      </c>
      <c r="AO143" t="s">
        <v>1510</v>
      </c>
      <c r="AP143" t="s">
        <v>1511</v>
      </c>
      <c r="AQ143" t="s">
        <v>1512</v>
      </c>
      <c r="AR143" t="s">
        <v>1513</v>
      </c>
      <c r="AS143" t="s">
        <v>1514</v>
      </c>
    </row>
    <row r="144" spans="1:45" x14ac:dyDescent="0.45">
      <c r="A144">
        <v>143</v>
      </c>
      <c r="B144">
        <v>12487</v>
      </c>
      <c r="C144" t="s">
        <v>78</v>
      </c>
      <c r="D144" t="s">
        <v>73</v>
      </c>
      <c r="E144" t="s">
        <v>74</v>
      </c>
      <c r="F144" t="s">
        <v>75</v>
      </c>
      <c r="G144" t="s">
        <v>76</v>
      </c>
      <c r="H144">
        <v>134.0319560403963</v>
      </c>
      <c r="I144">
        <v>0</v>
      </c>
      <c r="J144">
        <v>8</v>
      </c>
      <c r="K144">
        <v>1</v>
      </c>
      <c r="L144">
        <v>7</v>
      </c>
      <c r="M144">
        <v>9</v>
      </c>
      <c r="N144">
        <v>1</v>
      </c>
      <c r="O144">
        <v>8</v>
      </c>
      <c r="P144">
        <v>8</v>
      </c>
      <c r="Q144">
        <v>8</v>
      </c>
      <c r="R144">
        <v>0</v>
      </c>
      <c r="S144">
        <v>9</v>
      </c>
      <c r="T144">
        <v>8</v>
      </c>
      <c r="U144">
        <v>1</v>
      </c>
      <c r="V144">
        <v>8</v>
      </c>
      <c r="W144">
        <v>8</v>
      </c>
      <c r="X144">
        <v>0</v>
      </c>
      <c r="Y144">
        <v>9</v>
      </c>
      <c r="Z144">
        <v>8</v>
      </c>
      <c r="AA144">
        <v>1</v>
      </c>
      <c r="AB144">
        <v>8</v>
      </c>
      <c r="AC144">
        <v>8</v>
      </c>
      <c r="AD144">
        <v>0</v>
      </c>
      <c r="AE144">
        <v>7</v>
      </c>
      <c r="AF144">
        <v>8</v>
      </c>
      <c r="AG144">
        <v>-1</v>
      </c>
      <c r="AH144">
        <v>9</v>
      </c>
      <c r="AI144">
        <v>8</v>
      </c>
      <c r="AJ144">
        <v>1</v>
      </c>
      <c r="AK144" t="s">
        <v>1515</v>
      </c>
      <c r="AL144" t="s">
        <v>1516</v>
      </c>
      <c r="AM144" t="s">
        <v>1517</v>
      </c>
      <c r="AN144" t="s">
        <v>1518</v>
      </c>
      <c r="AO144" t="s">
        <v>1519</v>
      </c>
      <c r="AP144" t="s">
        <v>1520</v>
      </c>
      <c r="AQ144" t="s">
        <v>1521</v>
      </c>
      <c r="AR144" t="s">
        <v>1522</v>
      </c>
      <c r="AS144" t="s">
        <v>1523</v>
      </c>
    </row>
    <row r="145" spans="1:45" x14ac:dyDescent="0.45">
      <c r="A145">
        <v>144</v>
      </c>
      <c r="B145">
        <v>12488</v>
      </c>
      <c r="C145" t="s">
        <v>72</v>
      </c>
      <c r="D145" t="s">
        <v>191</v>
      </c>
      <c r="E145" t="s">
        <v>74</v>
      </c>
      <c r="F145" t="s">
        <v>77</v>
      </c>
      <c r="G145" t="s">
        <v>76</v>
      </c>
      <c r="H145">
        <v>56.781792561316756</v>
      </c>
      <c r="I145">
        <v>2</v>
      </c>
      <c r="J145">
        <v>7</v>
      </c>
      <c r="K145">
        <v>9</v>
      </c>
      <c r="L145">
        <v>-2</v>
      </c>
      <c r="M145">
        <v>8</v>
      </c>
      <c r="N145">
        <v>9</v>
      </c>
      <c r="O145">
        <v>-1</v>
      </c>
      <c r="P145">
        <v>9</v>
      </c>
      <c r="Q145">
        <v>9</v>
      </c>
      <c r="R145">
        <v>0</v>
      </c>
      <c r="S145">
        <v>9</v>
      </c>
      <c r="T145">
        <v>9</v>
      </c>
      <c r="U145">
        <v>0</v>
      </c>
      <c r="V145">
        <v>8</v>
      </c>
      <c r="W145">
        <v>10</v>
      </c>
      <c r="X145">
        <v>-2</v>
      </c>
      <c r="Y145">
        <v>9</v>
      </c>
      <c r="Z145">
        <v>5</v>
      </c>
      <c r="AA145">
        <v>4</v>
      </c>
      <c r="AB145">
        <v>8</v>
      </c>
      <c r="AC145">
        <v>9</v>
      </c>
      <c r="AD145">
        <v>-1</v>
      </c>
      <c r="AE145">
        <v>8</v>
      </c>
      <c r="AF145">
        <v>9</v>
      </c>
      <c r="AG145">
        <v>-1</v>
      </c>
      <c r="AH145">
        <v>9</v>
      </c>
      <c r="AI145">
        <v>10</v>
      </c>
      <c r="AJ145">
        <v>-1</v>
      </c>
      <c r="AK145" t="s">
        <v>1524</v>
      </c>
      <c r="AL145" t="s">
        <v>1525</v>
      </c>
      <c r="AM145" t="s">
        <v>1526</v>
      </c>
      <c r="AN145" t="s">
        <v>1527</v>
      </c>
      <c r="AO145" t="s">
        <v>1528</v>
      </c>
      <c r="AP145" t="s">
        <v>1529</v>
      </c>
      <c r="AQ145" t="s">
        <v>1530</v>
      </c>
      <c r="AR145" t="s">
        <v>1531</v>
      </c>
      <c r="AS145" t="s">
        <v>1532</v>
      </c>
    </row>
    <row r="146" spans="1:45" x14ac:dyDescent="0.45">
      <c r="A146">
        <v>145</v>
      </c>
      <c r="B146">
        <v>12489</v>
      </c>
      <c r="C146" t="s">
        <v>72</v>
      </c>
      <c r="D146" t="s">
        <v>79</v>
      </c>
      <c r="E146" t="s">
        <v>74</v>
      </c>
      <c r="F146" t="s">
        <v>77</v>
      </c>
      <c r="G146" t="s">
        <v>76</v>
      </c>
      <c r="H146">
        <v>61.32628134005131</v>
      </c>
      <c r="I146">
        <v>2</v>
      </c>
      <c r="J146">
        <v>8</v>
      </c>
      <c r="K146">
        <v>10</v>
      </c>
      <c r="L146">
        <v>-2</v>
      </c>
      <c r="M146">
        <v>7</v>
      </c>
      <c r="N146">
        <v>10</v>
      </c>
      <c r="O146">
        <v>-3</v>
      </c>
      <c r="P146">
        <v>9</v>
      </c>
      <c r="Q146">
        <v>9</v>
      </c>
      <c r="R146">
        <v>0</v>
      </c>
      <c r="S146">
        <v>10</v>
      </c>
      <c r="T146">
        <v>6</v>
      </c>
      <c r="U146">
        <v>4</v>
      </c>
      <c r="V146">
        <v>6</v>
      </c>
      <c r="W146">
        <v>6</v>
      </c>
      <c r="X146">
        <v>0</v>
      </c>
      <c r="Y146">
        <v>7</v>
      </c>
      <c r="Z146">
        <v>3</v>
      </c>
      <c r="AA146">
        <v>4</v>
      </c>
      <c r="AB146">
        <v>6</v>
      </c>
      <c r="AC146">
        <v>5</v>
      </c>
      <c r="AD146">
        <v>1</v>
      </c>
      <c r="AE146">
        <v>7</v>
      </c>
      <c r="AF146">
        <v>5</v>
      </c>
      <c r="AG146">
        <v>2</v>
      </c>
      <c r="AH146">
        <v>8</v>
      </c>
      <c r="AI146">
        <v>1</v>
      </c>
      <c r="AJ146">
        <v>7</v>
      </c>
      <c r="AK146" t="s">
        <v>1533</v>
      </c>
      <c r="AL146" t="s">
        <v>1534</v>
      </c>
      <c r="AM146" t="s">
        <v>1535</v>
      </c>
      <c r="AN146" t="s">
        <v>1536</v>
      </c>
      <c r="AO146" t="s">
        <v>1537</v>
      </c>
      <c r="AP146" t="s">
        <v>1538</v>
      </c>
      <c r="AQ146" t="s">
        <v>1539</v>
      </c>
      <c r="AR146" t="s">
        <v>1540</v>
      </c>
      <c r="AS146" t="s">
        <v>1541</v>
      </c>
    </row>
    <row r="147" spans="1:45" x14ac:dyDescent="0.45">
      <c r="A147">
        <v>146</v>
      </c>
      <c r="B147">
        <v>12490</v>
      </c>
      <c r="C147" t="s">
        <v>72</v>
      </c>
      <c r="D147" t="s">
        <v>79</v>
      </c>
      <c r="E147" t="s">
        <v>74</v>
      </c>
      <c r="F147" t="s">
        <v>77</v>
      </c>
      <c r="G147" t="s">
        <v>76</v>
      </c>
      <c r="H147">
        <v>99.835798257129966</v>
      </c>
      <c r="I147">
        <v>3</v>
      </c>
      <c r="J147">
        <v>7</v>
      </c>
      <c r="K147">
        <v>8</v>
      </c>
      <c r="L147">
        <v>-1</v>
      </c>
      <c r="M147">
        <v>8</v>
      </c>
      <c r="N147">
        <v>8</v>
      </c>
      <c r="O147">
        <v>0</v>
      </c>
      <c r="P147">
        <v>9</v>
      </c>
      <c r="Q147">
        <v>5</v>
      </c>
      <c r="R147">
        <v>4</v>
      </c>
      <c r="S147">
        <v>9</v>
      </c>
      <c r="T147">
        <v>5</v>
      </c>
      <c r="U147">
        <v>4</v>
      </c>
      <c r="V147">
        <v>6</v>
      </c>
      <c r="W147">
        <v>5</v>
      </c>
      <c r="X147">
        <v>1</v>
      </c>
      <c r="Y147">
        <v>8</v>
      </c>
      <c r="Z147">
        <v>3</v>
      </c>
      <c r="AA147">
        <v>5</v>
      </c>
      <c r="AB147">
        <v>7</v>
      </c>
      <c r="AC147">
        <v>5</v>
      </c>
      <c r="AD147">
        <v>2</v>
      </c>
      <c r="AE147">
        <v>9</v>
      </c>
      <c r="AF147">
        <v>5</v>
      </c>
      <c r="AG147">
        <v>4</v>
      </c>
      <c r="AH147">
        <v>8</v>
      </c>
      <c r="AI147">
        <v>5</v>
      </c>
      <c r="AJ147">
        <v>3</v>
      </c>
      <c r="AK147" t="s">
        <v>1542</v>
      </c>
      <c r="AL147" t="s">
        <v>1543</v>
      </c>
      <c r="AM147" t="s">
        <v>1544</v>
      </c>
      <c r="AN147" t="s">
        <v>1545</v>
      </c>
      <c r="AO147" t="s">
        <v>1546</v>
      </c>
      <c r="AP147" t="s">
        <v>1547</v>
      </c>
      <c r="AQ147" t="s">
        <v>1548</v>
      </c>
      <c r="AR147" t="s">
        <v>1549</v>
      </c>
      <c r="AS147" t="s">
        <v>1550</v>
      </c>
    </row>
    <row r="148" spans="1:45" x14ac:dyDescent="0.45">
      <c r="A148">
        <v>147</v>
      </c>
      <c r="B148">
        <v>12491</v>
      </c>
      <c r="C148" t="s">
        <v>72</v>
      </c>
      <c r="D148" t="s">
        <v>193</v>
      </c>
      <c r="E148" t="s">
        <v>74</v>
      </c>
      <c r="F148" t="s">
        <v>75</v>
      </c>
      <c r="G148" t="s">
        <v>76</v>
      </c>
      <c r="H148">
        <v>226.77125660149903</v>
      </c>
      <c r="I148">
        <v>0</v>
      </c>
      <c r="J148">
        <v>7</v>
      </c>
      <c r="K148">
        <v>7</v>
      </c>
      <c r="L148">
        <v>0</v>
      </c>
      <c r="M148">
        <v>8</v>
      </c>
      <c r="N148">
        <v>7</v>
      </c>
      <c r="O148">
        <v>1</v>
      </c>
      <c r="P148">
        <v>9</v>
      </c>
      <c r="Q148">
        <v>1</v>
      </c>
      <c r="R148">
        <v>8</v>
      </c>
      <c r="S148">
        <v>10</v>
      </c>
      <c r="T148">
        <v>6</v>
      </c>
      <c r="U148">
        <v>4</v>
      </c>
      <c r="V148">
        <v>8</v>
      </c>
      <c r="W148">
        <v>3</v>
      </c>
      <c r="X148">
        <v>5</v>
      </c>
      <c r="Y148">
        <v>9</v>
      </c>
      <c r="Z148">
        <v>5</v>
      </c>
      <c r="AA148">
        <v>4</v>
      </c>
      <c r="AB148">
        <v>10</v>
      </c>
      <c r="AC148">
        <v>1</v>
      </c>
      <c r="AD148">
        <v>9</v>
      </c>
      <c r="AE148">
        <v>7</v>
      </c>
      <c r="AF148">
        <v>4</v>
      </c>
      <c r="AG148">
        <v>3</v>
      </c>
      <c r="AH148">
        <v>9</v>
      </c>
      <c r="AI148">
        <v>5</v>
      </c>
      <c r="AJ148">
        <v>4</v>
      </c>
      <c r="AK148" t="s">
        <v>1551</v>
      </c>
      <c r="AL148" t="s">
        <v>1552</v>
      </c>
      <c r="AM148" t="s">
        <v>1553</v>
      </c>
      <c r="AN148" t="s">
        <v>1554</v>
      </c>
      <c r="AO148" t="s">
        <v>1555</v>
      </c>
      <c r="AP148" t="s">
        <v>1556</v>
      </c>
      <c r="AQ148" t="s">
        <v>1557</v>
      </c>
      <c r="AR148" t="s">
        <v>1558</v>
      </c>
      <c r="AS148" t="s">
        <v>1559</v>
      </c>
    </row>
    <row r="149" spans="1:45" x14ac:dyDescent="0.45">
      <c r="A149">
        <v>148</v>
      </c>
      <c r="B149">
        <v>12492</v>
      </c>
      <c r="C149" t="s">
        <v>78</v>
      </c>
      <c r="D149" t="s">
        <v>81</v>
      </c>
      <c r="E149" t="s">
        <v>74</v>
      </c>
      <c r="F149" t="s">
        <v>77</v>
      </c>
      <c r="G149" t="s">
        <v>76</v>
      </c>
      <c r="H149">
        <v>20.524355056803518</v>
      </c>
      <c r="I149">
        <v>0</v>
      </c>
      <c r="J149">
        <v>3</v>
      </c>
      <c r="K149">
        <v>6</v>
      </c>
      <c r="L149">
        <v>-3</v>
      </c>
      <c r="M149">
        <v>4</v>
      </c>
      <c r="N149">
        <v>6</v>
      </c>
      <c r="O149">
        <v>-2</v>
      </c>
      <c r="P149">
        <v>9</v>
      </c>
      <c r="Q149">
        <v>5</v>
      </c>
      <c r="R149">
        <v>4</v>
      </c>
      <c r="S149">
        <v>7</v>
      </c>
      <c r="T149">
        <v>7</v>
      </c>
      <c r="U149">
        <v>0</v>
      </c>
      <c r="V149">
        <v>6</v>
      </c>
      <c r="W149">
        <v>5</v>
      </c>
      <c r="X149">
        <v>1</v>
      </c>
      <c r="Y149">
        <v>8</v>
      </c>
      <c r="Z149">
        <v>7</v>
      </c>
      <c r="AA149">
        <v>1</v>
      </c>
      <c r="AB149">
        <v>5</v>
      </c>
      <c r="AC149">
        <v>5</v>
      </c>
      <c r="AD149">
        <v>0</v>
      </c>
      <c r="AE149">
        <v>7</v>
      </c>
      <c r="AF149">
        <v>6</v>
      </c>
      <c r="AG149">
        <v>1</v>
      </c>
      <c r="AH149">
        <v>9</v>
      </c>
      <c r="AI149">
        <v>7</v>
      </c>
      <c r="AJ149">
        <v>2</v>
      </c>
      <c r="AK149" t="s">
        <v>1560</v>
      </c>
      <c r="AL149" t="s">
        <v>1561</v>
      </c>
      <c r="AM149" t="s">
        <v>1562</v>
      </c>
      <c r="AN149" t="s">
        <v>1563</v>
      </c>
      <c r="AO149" t="s">
        <v>1564</v>
      </c>
      <c r="AP149" t="s">
        <v>1565</v>
      </c>
      <c r="AQ149" t="s">
        <v>1566</v>
      </c>
      <c r="AR149" t="s">
        <v>1567</v>
      </c>
      <c r="AS149" t="s">
        <v>1568</v>
      </c>
    </row>
    <row r="150" spans="1:45" x14ac:dyDescent="0.45">
      <c r="A150">
        <v>149</v>
      </c>
      <c r="B150">
        <v>12493</v>
      </c>
      <c r="C150" t="s">
        <v>72</v>
      </c>
      <c r="D150" t="s">
        <v>79</v>
      </c>
      <c r="E150" t="s">
        <v>74</v>
      </c>
      <c r="F150" t="s">
        <v>77</v>
      </c>
      <c r="G150" t="s">
        <v>76</v>
      </c>
      <c r="H150">
        <v>102.0682683494535</v>
      </c>
      <c r="I150">
        <v>3</v>
      </c>
      <c r="J150">
        <v>6</v>
      </c>
      <c r="K150">
        <v>10</v>
      </c>
      <c r="L150">
        <v>-4</v>
      </c>
      <c r="M150">
        <v>5</v>
      </c>
      <c r="N150">
        <v>10</v>
      </c>
      <c r="O150">
        <v>-5</v>
      </c>
      <c r="P150">
        <v>9</v>
      </c>
      <c r="Q150">
        <v>7</v>
      </c>
      <c r="R150">
        <v>2</v>
      </c>
      <c r="S150">
        <v>8</v>
      </c>
      <c r="T150">
        <v>8</v>
      </c>
      <c r="U150">
        <v>0</v>
      </c>
      <c r="V150">
        <v>7</v>
      </c>
      <c r="W150">
        <v>8</v>
      </c>
      <c r="X150">
        <v>-1</v>
      </c>
      <c r="Y150">
        <v>9</v>
      </c>
      <c r="Z150">
        <v>4</v>
      </c>
      <c r="AA150">
        <v>5</v>
      </c>
      <c r="AB150">
        <v>7</v>
      </c>
      <c r="AC150">
        <v>1</v>
      </c>
      <c r="AD150">
        <v>6</v>
      </c>
      <c r="AE150">
        <v>6</v>
      </c>
      <c r="AF150">
        <v>3</v>
      </c>
      <c r="AG150">
        <v>3</v>
      </c>
      <c r="AH150">
        <v>8</v>
      </c>
      <c r="AI150">
        <v>6</v>
      </c>
      <c r="AJ150">
        <v>2</v>
      </c>
      <c r="AK150" t="s">
        <v>1569</v>
      </c>
      <c r="AL150" t="s">
        <v>1570</v>
      </c>
      <c r="AM150" t="s">
        <v>1571</v>
      </c>
      <c r="AN150" t="s">
        <v>1572</v>
      </c>
      <c r="AO150" t="s">
        <v>1573</v>
      </c>
      <c r="AP150" t="s">
        <v>1574</v>
      </c>
      <c r="AQ150" t="s">
        <v>1575</v>
      </c>
      <c r="AR150" t="s">
        <v>1576</v>
      </c>
      <c r="AS150" t="s">
        <v>1577</v>
      </c>
    </row>
    <row r="151" spans="1:45" x14ac:dyDescent="0.45">
      <c r="A151">
        <v>150</v>
      </c>
      <c r="B151">
        <v>12494</v>
      </c>
      <c r="C151" t="s">
        <v>72</v>
      </c>
      <c r="D151" t="s">
        <v>79</v>
      </c>
      <c r="E151" t="s">
        <v>74</v>
      </c>
      <c r="F151" t="s">
        <v>77</v>
      </c>
      <c r="G151" t="s">
        <v>76</v>
      </c>
      <c r="H151">
        <v>50.068690773472348</v>
      </c>
      <c r="I151">
        <v>2</v>
      </c>
      <c r="J151">
        <v>8</v>
      </c>
      <c r="K151">
        <v>7</v>
      </c>
      <c r="L151">
        <v>1</v>
      </c>
      <c r="M151">
        <v>9</v>
      </c>
      <c r="N151">
        <v>10</v>
      </c>
      <c r="O151">
        <v>-1</v>
      </c>
      <c r="P151">
        <v>8</v>
      </c>
      <c r="Q151">
        <v>5</v>
      </c>
      <c r="R151">
        <v>3</v>
      </c>
      <c r="S151">
        <v>9</v>
      </c>
      <c r="T151">
        <v>7</v>
      </c>
      <c r="U151">
        <v>2</v>
      </c>
      <c r="V151">
        <v>8</v>
      </c>
      <c r="W151">
        <v>7</v>
      </c>
      <c r="X151">
        <v>1</v>
      </c>
      <c r="Y151">
        <v>9</v>
      </c>
      <c r="Z151">
        <v>7</v>
      </c>
      <c r="AA151">
        <v>2</v>
      </c>
      <c r="AB151">
        <v>8</v>
      </c>
      <c r="AC151">
        <v>7</v>
      </c>
      <c r="AD151">
        <v>1</v>
      </c>
      <c r="AE151">
        <v>9</v>
      </c>
      <c r="AF151">
        <v>7</v>
      </c>
      <c r="AG151">
        <v>2</v>
      </c>
      <c r="AH151">
        <v>10</v>
      </c>
      <c r="AI151">
        <v>10</v>
      </c>
      <c r="AJ151">
        <v>0</v>
      </c>
      <c r="AK151" t="s">
        <v>1578</v>
      </c>
      <c r="AL151" t="s">
        <v>1579</v>
      </c>
      <c r="AM151" t="s">
        <v>1580</v>
      </c>
      <c r="AN151" t="s">
        <v>1581</v>
      </c>
      <c r="AO151" t="s">
        <v>1582</v>
      </c>
      <c r="AP151" t="s">
        <v>1583</v>
      </c>
      <c r="AQ151" t="s">
        <v>1584</v>
      </c>
      <c r="AR151" t="s">
        <v>1585</v>
      </c>
      <c r="AS151" t="s">
        <v>1586</v>
      </c>
    </row>
    <row r="152" spans="1:45" x14ac:dyDescent="0.45">
      <c r="A152">
        <v>151</v>
      </c>
      <c r="B152">
        <v>12495</v>
      </c>
      <c r="C152" t="s">
        <v>72</v>
      </c>
      <c r="D152" t="s">
        <v>73</v>
      </c>
      <c r="E152" t="s">
        <v>74</v>
      </c>
      <c r="F152" t="s">
        <v>77</v>
      </c>
      <c r="G152" t="s">
        <v>76</v>
      </c>
      <c r="H152">
        <v>88.487498038856671</v>
      </c>
      <c r="I152">
        <v>2</v>
      </c>
      <c r="J152">
        <v>7</v>
      </c>
      <c r="K152">
        <v>8</v>
      </c>
      <c r="L152">
        <v>-1</v>
      </c>
      <c r="M152">
        <v>6</v>
      </c>
      <c r="N152">
        <v>8</v>
      </c>
      <c r="O152">
        <v>-2</v>
      </c>
      <c r="P152">
        <v>9</v>
      </c>
      <c r="Q152">
        <v>8</v>
      </c>
      <c r="R152">
        <v>1</v>
      </c>
      <c r="S152">
        <v>8</v>
      </c>
      <c r="T152">
        <v>8</v>
      </c>
      <c r="U152">
        <v>0</v>
      </c>
      <c r="V152">
        <v>9</v>
      </c>
      <c r="W152">
        <v>8</v>
      </c>
      <c r="X152">
        <v>1</v>
      </c>
      <c r="Y152">
        <v>8</v>
      </c>
      <c r="Z152">
        <v>8</v>
      </c>
      <c r="AA152">
        <v>0</v>
      </c>
      <c r="AB152">
        <v>9</v>
      </c>
      <c r="AC152">
        <v>8</v>
      </c>
      <c r="AD152">
        <v>1</v>
      </c>
      <c r="AE152">
        <v>7</v>
      </c>
      <c r="AF152">
        <v>8</v>
      </c>
      <c r="AG152">
        <v>-1</v>
      </c>
      <c r="AH152">
        <v>9</v>
      </c>
      <c r="AI152">
        <v>8</v>
      </c>
      <c r="AJ152">
        <v>1</v>
      </c>
      <c r="AK152" t="s">
        <v>1587</v>
      </c>
      <c r="AL152" t="s">
        <v>1588</v>
      </c>
      <c r="AM152" t="s">
        <v>1589</v>
      </c>
      <c r="AN152" t="s">
        <v>1590</v>
      </c>
      <c r="AO152" t="s">
        <v>1591</v>
      </c>
      <c r="AP152" t="s">
        <v>1592</v>
      </c>
      <c r="AQ152" t="s">
        <v>1593</v>
      </c>
      <c r="AR152" t="s">
        <v>1594</v>
      </c>
      <c r="AS152" t="s">
        <v>1595</v>
      </c>
    </row>
    <row r="153" spans="1:45" x14ac:dyDescent="0.45">
      <c r="A153">
        <v>152</v>
      </c>
      <c r="B153">
        <v>12496</v>
      </c>
      <c r="C153" t="s">
        <v>72</v>
      </c>
      <c r="D153" t="s">
        <v>79</v>
      </c>
      <c r="E153" t="s">
        <v>74</v>
      </c>
      <c r="F153" t="s">
        <v>75</v>
      </c>
      <c r="G153" t="s">
        <v>76</v>
      </c>
      <c r="H153">
        <v>74.109147590656349</v>
      </c>
      <c r="I153">
        <v>2</v>
      </c>
      <c r="J153">
        <v>8</v>
      </c>
      <c r="K153">
        <v>10</v>
      </c>
      <c r="L153">
        <v>-2</v>
      </c>
      <c r="M153">
        <v>9</v>
      </c>
      <c r="N153">
        <v>10</v>
      </c>
      <c r="O153">
        <v>-1</v>
      </c>
      <c r="P153">
        <v>8</v>
      </c>
      <c r="Q153">
        <v>10</v>
      </c>
      <c r="R153">
        <v>-2</v>
      </c>
      <c r="S153">
        <v>9</v>
      </c>
      <c r="T153">
        <v>10</v>
      </c>
      <c r="U153">
        <v>-1</v>
      </c>
      <c r="V153">
        <v>8</v>
      </c>
      <c r="W153">
        <v>10</v>
      </c>
      <c r="X153">
        <v>-2</v>
      </c>
      <c r="Y153">
        <v>9</v>
      </c>
      <c r="Z153">
        <v>10</v>
      </c>
      <c r="AA153">
        <v>-1</v>
      </c>
      <c r="AB153">
        <v>8</v>
      </c>
      <c r="AC153">
        <v>10</v>
      </c>
      <c r="AD153">
        <v>-2</v>
      </c>
      <c r="AE153">
        <v>9</v>
      </c>
      <c r="AF153">
        <v>10</v>
      </c>
      <c r="AG153">
        <v>-1</v>
      </c>
      <c r="AH153">
        <v>9</v>
      </c>
      <c r="AI153">
        <v>10</v>
      </c>
      <c r="AJ153">
        <v>-1</v>
      </c>
      <c r="AK153" t="s">
        <v>1596</v>
      </c>
      <c r="AL153" t="s">
        <v>1597</v>
      </c>
      <c r="AM153" t="s">
        <v>1598</v>
      </c>
      <c r="AN153" t="s">
        <v>1599</v>
      </c>
      <c r="AO153" t="s">
        <v>1600</v>
      </c>
      <c r="AP153" t="s">
        <v>1601</v>
      </c>
      <c r="AQ153" t="s">
        <v>1602</v>
      </c>
      <c r="AR153" t="s">
        <v>1603</v>
      </c>
      <c r="AS153" t="s">
        <v>1604</v>
      </c>
    </row>
    <row r="154" spans="1:45" x14ac:dyDescent="0.45">
      <c r="A154">
        <v>153</v>
      </c>
      <c r="B154">
        <v>12497</v>
      </c>
      <c r="C154" t="s">
        <v>78</v>
      </c>
      <c r="D154" t="s">
        <v>73</v>
      </c>
      <c r="E154" t="s">
        <v>74</v>
      </c>
      <c r="F154" t="s">
        <v>77</v>
      </c>
      <c r="G154" t="s">
        <v>76</v>
      </c>
      <c r="H154">
        <v>12</v>
      </c>
      <c r="I154">
        <v>1</v>
      </c>
      <c r="J154">
        <v>7</v>
      </c>
      <c r="K154">
        <v>7</v>
      </c>
      <c r="L154">
        <v>0</v>
      </c>
      <c r="M154">
        <v>8</v>
      </c>
      <c r="N154">
        <v>7</v>
      </c>
      <c r="O154">
        <v>1</v>
      </c>
      <c r="P154">
        <v>9</v>
      </c>
      <c r="Q154">
        <v>5</v>
      </c>
      <c r="R154">
        <v>4</v>
      </c>
      <c r="S154">
        <v>8</v>
      </c>
      <c r="T154">
        <v>7</v>
      </c>
      <c r="U154">
        <v>1</v>
      </c>
      <c r="V154">
        <v>7</v>
      </c>
      <c r="W154">
        <v>7</v>
      </c>
      <c r="X154">
        <v>0</v>
      </c>
      <c r="Y154">
        <v>9</v>
      </c>
      <c r="Z154">
        <v>7</v>
      </c>
      <c r="AA154">
        <v>2</v>
      </c>
      <c r="AB154">
        <v>7</v>
      </c>
      <c r="AC154">
        <v>7</v>
      </c>
      <c r="AD154">
        <v>0</v>
      </c>
      <c r="AE154">
        <v>8</v>
      </c>
      <c r="AF154">
        <v>7</v>
      </c>
      <c r="AG154">
        <v>1</v>
      </c>
      <c r="AH154">
        <v>9</v>
      </c>
      <c r="AI154">
        <v>7</v>
      </c>
      <c r="AJ154">
        <v>2</v>
      </c>
      <c r="AK154" t="s">
        <v>1605</v>
      </c>
      <c r="AL154" t="s">
        <v>1606</v>
      </c>
      <c r="AM154" t="s">
        <v>1607</v>
      </c>
      <c r="AN154" t="s">
        <v>1608</v>
      </c>
      <c r="AO154" t="s">
        <v>1609</v>
      </c>
      <c r="AP154" t="s">
        <v>1610</v>
      </c>
      <c r="AQ154" t="s">
        <v>1611</v>
      </c>
      <c r="AR154" t="s">
        <v>1612</v>
      </c>
      <c r="AS154" t="s">
        <v>1613</v>
      </c>
    </row>
    <row r="155" spans="1:45" x14ac:dyDescent="0.45">
      <c r="A155">
        <v>154</v>
      </c>
      <c r="B155">
        <v>12498</v>
      </c>
      <c r="C155" t="s">
        <v>72</v>
      </c>
      <c r="D155" t="s">
        <v>81</v>
      </c>
      <c r="E155" t="s">
        <v>74</v>
      </c>
      <c r="F155" t="s">
        <v>77</v>
      </c>
      <c r="G155" t="s">
        <v>76</v>
      </c>
      <c r="H155">
        <v>12</v>
      </c>
      <c r="I155">
        <v>2</v>
      </c>
      <c r="J155">
        <v>7</v>
      </c>
      <c r="K155">
        <v>7</v>
      </c>
      <c r="L155">
        <v>0</v>
      </c>
      <c r="M155">
        <v>8</v>
      </c>
      <c r="N155">
        <v>8</v>
      </c>
      <c r="O155">
        <v>0</v>
      </c>
      <c r="P155">
        <v>9</v>
      </c>
      <c r="Q155">
        <v>8</v>
      </c>
      <c r="R155">
        <v>1</v>
      </c>
      <c r="S155">
        <v>8</v>
      </c>
      <c r="T155">
        <v>8</v>
      </c>
      <c r="U155">
        <v>0</v>
      </c>
      <c r="V155">
        <v>7</v>
      </c>
      <c r="W155">
        <v>6</v>
      </c>
      <c r="X155">
        <v>1</v>
      </c>
      <c r="Y155">
        <v>9</v>
      </c>
      <c r="Z155">
        <v>8</v>
      </c>
      <c r="AA155">
        <v>1</v>
      </c>
      <c r="AB155">
        <v>8</v>
      </c>
      <c r="AC155">
        <v>5</v>
      </c>
      <c r="AD155">
        <v>3</v>
      </c>
      <c r="AE155">
        <v>9</v>
      </c>
      <c r="AF155">
        <v>8</v>
      </c>
      <c r="AG155">
        <v>1</v>
      </c>
      <c r="AH155">
        <v>8</v>
      </c>
      <c r="AI155">
        <v>8</v>
      </c>
      <c r="AJ155">
        <v>0</v>
      </c>
      <c r="AK155" t="s">
        <v>1614</v>
      </c>
      <c r="AL155" t="s">
        <v>1615</v>
      </c>
      <c r="AM155" t="s">
        <v>1616</v>
      </c>
      <c r="AN155" t="s">
        <v>1617</v>
      </c>
      <c r="AO155" t="s">
        <v>1618</v>
      </c>
      <c r="AP155" t="s">
        <v>1619</v>
      </c>
      <c r="AQ155" t="s">
        <v>1620</v>
      </c>
      <c r="AR155" t="s">
        <v>1621</v>
      </c>
      <c r="AS155" t="s">
        <v>1622</v>
      </c>
    </row>
    <row r="156" spans="1:45" x14ac:dyDescent="0.45">
      <c r="A156">
        <v>155</v>
      </c>
      <c r="B156">
        <v>12499</v>
      </c>
      <c r="C156" t="s">
        <v>72</v>
      </c>
      <c r="D156" t="s">
        <v>73</v>
      </c>
      <c r="E156" t="s">
        <v>74</v>
      </c>
      <c r="F156" t="s">
        <v>75</v>
      </c>
      <c r="G156" t="s">
        <v>76</v>
      </c>
      <c r="H156">
        <v>65.672371692143244</v>
      </c>
      <c r="I156">
        <v>1</v>
      </c>
      <c r="J156">
        <v>8</v>
      </c>
      <c r="K156">
        <v>10</v>
      </c>
      <c r="L156">
        <v>-2</v>
      </c>
      <c r="M156">
        <v>9</v>
      </c>
      <c r="N156">
        <v>10</v>
      </c>
      <c r="O156">
        <v>-1</v>
      </c>
      <c r="P156">
        <v>8</v>
      </c>
      <c r="Q156">
        <v>10</v>
      </c>
      <c r="R156">
        <v>-2</v>
      </c>
      <c r="S156">
        <v>9</v>
      </c>
      <c r="T156">
        <v>10</v>
      </c>
      <c r="U156">
        <v>-1</v>
      </c>
      <c r="V156">
        <v>7</v>
      </c>
      <c r="W156">
        <v>10</v>
      </c>
      <c r="X156">
        <v>-3</v>
      </c>
      <c r="Y156">
        <v>8</v>
      </c>
      <c r="Z156">
        <v>10</v>
      </c>
      <c r="AA156">
        <v>-2</v>
      </c>
      <c r="AB156">
        <v>7</v>
      </c>
      <c r="AC156">
        <v>10</v>
      </c>
      <c r="AD156">
        <v>-3</v>
      </c>
      <c r="AE156">
        <v>8</v>
      </c>
      <c r="AF156">
        <v>10</v>
      </c>
      <c r="AG156">
        <v>-2</v>
      </c>
      <c r="AH156">
        <v>9</v>
      </c>
      <c r="AI156">
        <v>10</v>
      </c>
      <c r="AJ156">
        <v>-1</v>
      </c>
      <c r="AK156" t="s">
        <v>1623</v>
      </c>
      <c r="AL156" t="s">
        <v>1624</v>
      </c>
      <c r="AM156" t="s">
        <v>1625</v>
      </c>
      <c r="AN156" t="s">
        <v>1626</v>
      </c>
      <c r="AO156" t="s">
        <v>1627</v>
      </c>
      <c r="AP156" t="s">
        <v>1628</v>
      </c>
      <c r="AQ156" t="s">
        <v>1629</v>
      </c>
      <c r="AR156" t="s">
        <v>254</v>
      </c>
      <c r="AS156" t="s">
        <v>1630</v>
      </c>
    </row>
    <row r="157" spans="1:45" x14ac:dyDescent="0.45">
      <c r="A157">
        <v>156</v>
      </c>
      <c r="B157">
        <v>12500</v>
      </c>
      <c r="C157" t="s">
        <v>72</v>
      </c>
      <c r="D157" t="s">
        <v>73</v>
      </c>
      <c r="E157" t="s">
        <v>74</v>
      </c>
      <c r="F157" t="s">
        <v>75</v>
      </c>
      <c r="G157" t="s">
        <v>76</v>
      </c>
      <c r="H157">
        <v>27.278329198460064</v>
      </c>
      <c r="I157">
        <v>1</v>
      </c>
      <c r="J157">
        <v>7</v>
      </c>
      <c r="K157">
        <v>10</v>
      </c>
      <c r="L157">
        <v>-3</v>
      </c>
      <c r="M157">
        <v>6</v>
      </c>
      <c r="N157">
        <v>10</v>
      </c>
      <c r="O157">
        <v>-4</v>
      </c>
      <c r="P157">
        <v>9</v>
      </c>
      <c r="Q157">
        <v>10</v>
      </c>
      <c r="R157">
        <v>-1</v>
      </c>
      <c r="S157">
        <v>8</v>
      </c>
      <c r="T157">
        <v>10</v>
      </c>
      <c r="U157">
        <v>-2</v>
      </c>
      <c r="V157">
        <v>9</v>
      </c>
      <c r="W157">
        <v>10</v>
      </c>
      <c r="X157">
        <v>-1</v>
      </c>
      <c r="Y157">
        <v>8</v>
      </c>
      <c r="Z157">
        <v>10</v>
      </c>
      <c r="AA157">
        <v>-2</v>
      </c>
      <c r="AB157">
        <v>9</v>
      </c>
      <c r="AC157">
        <v>10</v>
      </c>
      <c r="AD157">
        <v>-1</v>
      </c>
      <c r="AE157">
        <v>8</v>
      </c>
      <c r="AF157">
        <v>10</v>
      </c>
      <c r="AG157">
        <v>-2</v>
      </c>
      <c r="AH157">
        <v>9</v>
      </c>
      <c r="AI157">
        <v>10</v>
      </c>
      <c r="AJ157">
        <v>-1</v>
      </c>
      <c r="AK157" t="s">
        <v>1631</v>
      </c>
      <c r="AL157" t="s">
        <v>1632</v>
      </c>
      <c r="AM157" t="s">
        <v>1633</v>
      </c>
      <c r="AN157" t="s">
        <v>1634</v>
      </c>
      <c r="AO157" t="s">
        <v>1635</v>
      </c>
      <c r="AP157" t="s">
        <v>1636</v>
      </c>
      <c r="AQ157" t="s">
        <v>1637</v>
      </c>
      <c r="AR157" t="s">
        <v>1638</v>
      </c>
      <c r="AS157" t="s">
        <v>1639</v>
      </c>
    </row>
    <row r="158" spans="1:45" x14ac:dyDescent="0.45">
      <c r="A158">
        <v>157</v>
      </c>
      <c r="B158">
        <v>12501</v>
      </c>
      <c r="C158" t="s">
        <v>78</v>
      </c>
      <c r="D158" t="s">
        <v>73</v>
      </c>
      <c r="E158" t="s">
        <v>74</v>
      </c>
      <c r="F158" t="s">
        <v>77</v>
      </c>
      <c r="G158" t="s">
        <v>76</v>
      </c>
      <c r="H158">
        <v>89.873030369199199</v>
      </c>
      <c r="I158">
        <v>4</v>
      </c>
      <c r="J158">
        <v>7</v>
      </c>
      <c r="K158">
        <v>10</v>
      </c>
      <c r="L158">
        <v>-3</v>
      </c>
      <c r="M158">
        <v>6</v>
      </c>
      <c r="N158">
        <v>10</v>
      </c>
      <c r="O158">
        <v>-4</v>
      </c>
      <c r="P158">
        <v>9</v>
      </c>
      <c r="Q158">
        <v>1</v>
      </c>
      <c r="R158">
        <v>8</v>
      </c>
      <c r="S158">
        <v>8</v>
      </c>
      <c r="T158">
        <v>10</v>
      </c>
      <c r="U158">
        <v>-2</v>
      </c>
      <c r="V158">
        <v>7</v>
      </c>
      <c r="W158">
        <v>1</v>
      </c>
      <c r="X158">
        <v>6</v>
      </c>
      <c r="Y158">
        <v>8</v>
      </c>
      <c r="Z158">
        <v>1</v>
      </c>
      <c r="AA158">
        <v>7</v>
      </c>
      <c r="AB158">
        <v>6</v>
      </c>
      <c r="AC158">
        <v>1</v>
      </c>
      <c r="AD158">
        <v>5</v>
      </c>
      <c r="AE158">
        <v>7</v>
      </c>
      <c r="AF158">
        <v>1</v>
      </c>
      <c r="AG158">
        <v>6</v>
      </c>
      <c r="AH158">
        <v>8</v>
      </c>
      <c r="AI158">
        <v>6</v>
      </c>
      <c r="AJ158">
        <v>2</v>
      </c>
      <c r="AK158" t="s">
        <v>1640</v>
      </c>
      <c r="AL158" t="s">
        <v>1641</v>
      </c>
      <c r="AM158" t="s">
        <v>1642</v>
      </c>
      <c r="AN158" t="s">
        <v>1643</v>
      </c>
      <c r="AO158" t="s">
        <v>1644</v>
      </c>
      <c r="AP158" t="s">
        <v>1645</v>
      </c>
      <c r="AQ158" t="s">
        <v>1646</v>
      </c>
      <c r="AR158" t="s">
        <v>1026</v>
      </c>
      <c r="AS158" t="s">
        <v>1647</v>
      </c>
    </row>
    <row r="159" spans="1:45" x14ac:dyDescent="0.45">
      <c r="A159">
        <v>158</v>
      </c>
      <c r="B159">
        <v>12502</v>
      </c>
      <c r="C159" t="s">
        <v>72</v>
      </c>
      <c r="D159" t="s">
        <v>73</v>
      </c>
      <c r="E159" t="s">
        <v>74</v>
      </c>
      <c r="F159" t="s">
        <v>77</v>
      </c>
      <c r="G159" t="s">
        <v>76</v>
      </c>
      <c r="H159">
        <v>92.191062669768414</v>
      </c>
      <c r="I159">
        <v>2</v>
      </c>
      <c r="J159">
        <v>8</v>
      </c>
      <c r="K159">
        <v>7</v>
      </c>
      <c r="L159">
        <v>1</v>
      </c>
      <c r="M159">
        <v>8</v>
      </c>
      <c r="N159">
        <v>8</v>
      </c>
      <c r="O159">
        <v>0</v>
      </c>
      <c r="P159">
        <v>9</v>
      </c>
      <c r="Q159">
        <v>6</v>
      </c>
      <c r="R159">
        <v>3</v>
      </c>
      <c r="S159">
        <v>9</v>
      </c>
      <c r="T159">
        <v>6</v>
      </c>
      <c r="U159">
        <v>3</v>
      </c>
      <c r="V159">
        <v>8</v>
      </c>
      <c r="W159">
        <v>7</v>
      </c>
      <c r="X159">
        <v>1</v>
      </c>
      <c r="Y159">
        <v>9</v>
      </c>
      <c r="Z159">
        <v>5</v>
      </c>
      <c r="AA159">
        <v>4</v>
      </c>
      <c r="AB159">
        <v>8</v>
      </c>
      <c r="AC159">
        <v>6</v>
      </c>
      <c r="AD159">
        <v>2</v>
      </c>
      <c r="AE159">
        <v>9</v>
      </c>
      <c r="AF159">
        <v>7</v>
      </c>
      <c r="AG159">
        <v>2</v>
      </c>
      <c r="AH159">
        <v>9</v>
      </c>
      <c r="AI159">
        <v>7</v>
      </c>
      <c r="AJ159">
        <v>2</v>
      </c>
      <c r="AK159" t="s">
        <v>1648</v>
      </c>
      <c r="AL159" t="s">
        <v>1649</v>
      </c>
      <c r="AM159" t="s">
        <v>1650</v>
      </c>
      <c r="AN159" t="s">
        <v>1651</v>
      </c>
      <c r="AO159" t="s">
        <v>1652</v>
      </c>
      <c r="AP159" t="s">
        <v>1653</v>
      </c>
      <c r="AQ159" t="s">
        <v>1654</v>
      </c>
      <c r="AR159" t="s">
        <v>1655</v>
      </c>
      <c r="AS159" t="s">
        <v>1656</v>
      </c>
    </row>
    <row r="160" spans="1:45" x14ac:dyDescent="0.45">
      <c r="A160">
        <v>159</v>
      </c>
      <c r="B160">
        <v>12503</v>
      </c>
      <c r="C160" t="s">
        <v>78</v>
      </c>
      <c r="D160" t="s">
        <v>79</v>
      </c>
      <c r="E160" t="s">
        <v>74</v>
      </c>
      <c r="F160" t="s">
        <v>77</v>
      </c>
      <c r="G160" t="s">
        <v>76</v>
      </c>
      <c r="H160">
        <v>34.087865766761901</v>
      </c>
      <c r="I160">
        <v>0</v>
      </c>
      <c r="J160">
        <v>9</v>
      </c>
      <c r="K160">
        <v>2</v>
      </c>
      <c r="L160">
        <v>7</v>
      </c>
      <c r="M160">
        <v>8</v>
      </c>
      <c r="N160">
        <v>7</v>
      </c>
      <c r="O160">
        <v>1</v>
      </c>
      <c r="P160">
        <v>7</v>
      </c>
      <c r="Q160">
        <v>10</v>
      </c>
      <c r="R160">
        <v>-3</v>
      </c>
      <c r="S160">
        <v>8</v>
      </c>
      <c r="T160">
        <v>2</v>
      </c>
      <c r="U160">
        <v>6</v>
      </c>
      <c r="V160">
        <v>9</v>
      </c>
      <c r="W160">
        <v>10</v>
      </c>
      <c r="X160">
        <v>-1</v>
      </c>
      <c r="Y160">
        <v>9</v>
      </c>
      <c r="Z160">
        <v>5</v>
      </c>
      <c r="AA160">
        <v>4</v>
      </c>
      <c r="AB160">
        <v>8</v>
      </c>
      <c r="AC160">
        <v>10</v>
      </c>
      <c r="AD160">
        <v>-2</v>
      </c>
      <c r="AE160">
        <v>7</v>
      </c>
      <c r="AF160">
        <v>3</v>
      </c>
      <c r="AG160">
        <v>4</v>
      </c>
      <c r="AH160">
        <v>9</v>
      </c>
      <c r="AI160">
        <v>3</v>
      </c>
      <c r="AJ160">
        <v>6</v>
      </c>
      <c r="AK160" t="s">
        <v>1657</v>
      </c>
      <c r="AL160" t="s">
        <v>1658</v>
      </c>
      <c r="AM160" t="s">
        <v>1659</v>
      </c>
      <c r="AN160" t="s">
        <v>1660</v>
      </c>
      <c r="AO160" t="s">
        <v>1661</v>
      </c>
      <c r="AP160" t="s">
        <v>1662</v>
      </c>
      <c r="AQ160" t="s">
        <v>1663</v>
      </c>
      <c r="AR160" t="s">
        <v>1664</v>
      </c>
      <c r="AS160" t="s">
        <v>1665</v>
      </c>
    </row>
    <row r="161" spans="1:45" x14ac:dyDescent="0.45">
      <c r="A161">
        <v>160</v>
      </c>
      <c r="B161">
        <v>12504</v>
      </c>
      <c r="C161" t="s">
        <v>72</v>
      </c>
      <c r="D161" t="s">
        <v>73</v>
      </c>
      <c r="E161" t="s">
        <v>74</v>
      </c>
      <c r="F161" t="s">
        <v>75</v>
      </c>
      <c r="G161" t="s">
        <v>76</v>
      </c>
      <c r="H161">
        <v>37.707999113122803</v>
      </c>
      <c r="I161">
        <v>0</v>
      </c>
      <c r="J161">
        <v>7</v>
      </c>
      <c r="K161">
        <v>9</v>
      </c>
      <c r="L161">
        <v>-2</v>
      </c>
      <c r="M161">
        <v>8</v>
      </c>
      <c r="N161">
        <v>9</v>
      </c>
      <c r="O161">
        <v>-1</v>
      </c>
      <c r="P161">
        <v>9</v>
      </c>
      <c r="Q161">
        <v>10</v>
      </c>
      <c r="R161">
        <v>-1</v>
      </c>
      <c r="S161">
        <v>9</v>
      </c>
      <c r="T161">
        <v>2</v>
      </c>
      <c r="U161">
        <v>7</v>
      </c>
      <c r="V161">
        <v>7</v>
      </c>
      <c r="W161">
        <v>9</v>
      </c>
      <c r="X161">
        <v>-2</v>
      </c>
      <c r="Y161">
        <v>8</v>
      </c>
      <c r="Z161">
        <v>9</v>
      </c>
      <c r="AA161">
        <v>-1</v>
      </c>
      <c r="AB161">
        <v>7</v>
      </c>
      <c r="AC161">
        <v>6</v>
      </c>
      <c r="AD161">
        <v>1</v>
      </c>
      <c r="AE161">
        <v>8</v>
      </c>
      <c r="AF161">
        <v>8</v>
      </c>
      <c r="AG161">
        <v>0</v>
      </c>
      <c r="AH161">
        <v>9</v>
      </c>
      <c r="AI161">
        <v>10</v>
      </c>
      <c r="AJ161">
        <v>-1</v>
      </c>
      <c r="AK161" t="s">
        <v>1666</v>
      </c>
      <c r="AL161" t="s">
        <v>1667</v>
      </c>
      <c r="AM161" t="s">
        <v>1668</v>
      </c>
      <c r="AN161" t="s">
        <v>1669</v>
      </c>
      <c r="AO161" t="s">
        <v>1670</v>
      </c>
      <c r="AP161" t="s">
        <v>1671</v>
      </c>
      <c r="AQ161" t="s">
        <v>1672</v>
      </c>
      <c r="AR161" t="s">
        <v>1673</v>
      </c>
      <c r="AS161" t="s">
        <v>1674</v>
      </c>
    </row>
    <row r="162" spans="1:45" x14ac:dyDescent="0.45">
      <c r="A162">
        <v>161</v>
      </c>
      <c r="B162">
        <v>12505</v>
      </c>
      <c r="C162" t="s">
        <v>72</v>
      </c>
      <c r="D162" t="s">
        <v>73</v>
      </c>
      <c r="E162" t="s">
        <v>74</v>
      </c>
      <c r="F162" t="s">
        <v>77</v>
      </c>
      <c r="G162" t="s">
        <v>76</v>
      </c>
      <c r="H162">
        <v>13.963854423907176</v>
      </c>
      <c r="I162">
        <v>0</v>
      </c>
      <c r="J162">
        <v>6</v>
      </c>
      <c r="K162">
        <v>7</v>
      </c>
      <c r="L162">
        <v>-1</v>
      </c>
      <c r="M162">
        <v>6</v>
      </c>
      <c r="N162">
        <v>5</v>
      </c>
      <c r="O162">
        <v>1</v>
      </c>
      <c r="P162">
        <v>7</v>
      </c>
      <c r="Q162">
        <v>7</v>
      </c>
      <c r="R162">
        <v>0</v>
      </c>
      <c r="S162">
        <v>9</v>
      </c>
      <c r="T162">
        <v>5</v>
      </c>
      <c r="U162">
        <v>4</v>
      </c>
      <c r="V162">
        <v>8</v>
      </c>
      <c r="W162">
        <v>3</v>
      </c>
      <c r="X162">
        <v>5</v>
      </c>
      <c r="Y162">
        <v>9</v>
      </c>
      <c r="Z162">
        <v>4</v>
      </c>
      <c r="AA162">
        <v>5</v>
      </c>
      <c r="AB162">
        <v>7</v>
      </c>
      <c r="AC162">
        <v>1</v>
      </c>
      <c r="AD162">
        <v>6</v>
      </c>
      <c r="AE162">
        <v>8</v>
      </c>
      <c r="AF162">
        <v>5</v>
      </c>
      <c r="AG162">
        <v>3</v>
      </c>
      <c r="AH162">
        <v>9</v>
      </c>
      <c r="AI162">
        <v>5</v>
      </c>
      <c r="AJ162">
        <v>4</v>
      </c>
      <c r="AK162" t="s">
        <v>1675</v>
      </c>
      <c r="AL162" t="s">
        <v>1676</v>
      </c>
      <c r="AM162" t="s">
        <v>1677</v>
      </c>
      <c r="AN162" t="s">
        <v>1678</v>
      </c>
      <c r="AO162" t="s">
        <v>1679</v>
      </c>
      <c r="AP162" t="s">
        <v>1680</v>
      </c>
      <c r="AQ162" t="s">
        <v>256</v>
      </c>
      <c r="AR162" t="s">
        <v>1681</v>
      </c>
      <c r="AS162" t="s">
        <v>1682</v>
      </c>
    </row>
    <row r="163" spans="1:45" x14ac:dyDescent="0.45">
      <c r="A163">
        <v>162</v>
      </c>
      <c r="B163">
        <v>12506</v>
      </c>
      <c r="C163" t="s">
        <v>72</v>
      </c>
      <c r="D163" t="s">
        <v>81</v>
      </c>
      <c r="E163" t="s">
        <v>74</v>
      </c>
      <c r="F163" t="s">
        <v>77</v>
      </c>
      <c r="G163" t="s">
        <v>76</v>
      </c>
      <c r="H163">
        <v>12</v>
      </c>
      <c r="I163">
        <v>0</v>
      </c>
      <c r="J163">
        <v>6</v>
      </c>
      <c r="K163">
        <v>3</v>
      </c>
      <c r="L163">
        <v>3</v>
      </c>
      <c r="M163">
        <v>8</v>
      </c>
      <c r="N163">
        <v>8</v>
      </c>
      <c r="O163">
        <v>0</v>
      </c>
      <c r="P163">
        <v>7</v>
      </c>
      <c r="Q163">
        <v>4</v>
      </c>
      <c r="R163">
        <v>3</v>
      </c>
      <c r="S163">
        <v>9</v>
      </c>
      <c r="T163">
        <v>5</v>
      </c>
      <c r="U163">
        <v>4</v>
      </c>
      <c r="V163">
        <v>7</v>
      </c>
      <c r="W163">
        <v>5</v>
      </c>
      <c r="X163">
        <v>2</v>
      </c>
      <c r="Y163">
        <v>9</v>
      </c>
      <c r="Z163">
        <v>5</v>
      </c>
      <c r="AA163">
        <v>4</v>
      </c>
      <c r="AB163">
        <v>8</v>
      </c>
      <c r="AC163">
        <v>5</v>
      </c>
      <c r="AD163">
        <v>3</v>
      </c>
      <c r="AE163">
        <v>7</v>
      </c>
      <c r="AF163">
        <v>5</v>
      </c>
      <c r="AG163">
        <v>2</v>
      </c>
      <c r="AH163">
        <v>9</v>
      </c>
      <c r="AI163">
        <v>5</v>
      </c>
      <c r="AJ163">
        <v>4</v>
      </c>
      <c r="AK163" t="s">
        <v>1683</v>
      </c>
      <c r="AL163" t="s">
        <v>1684</v>
      </c>
      <c r="AM163" t="s">
        <v>1685</v>
      </c>
      <c r="AN163" t="s">
        <v>1686</v>
      </c>
      <c r="AO163" t="s">
        <v>1687</v>
      </c>
      <c r="AP163" t="s">
        <v>1688</v>
      </c>
      <c r="AQ163" t="s">
        <v>1689</v>
      </c>
      <c r="AR163" t="s">
        <v>1690</v>
      </c>
      <c r="AS163" t="s">
        <v>1691</v>
      </c>
    </row>
    <row r="164" spans="1:45" x14ac:dyDescent="0.45">
      <c r="A164">
        <v>163</v>
      </c>
      <c r="B164">
        <v>12507</v>
      </c>
      <c r="C164" t="s">
        <v>72</v>
      </c>
      <c r="D164" t="s">
        <v>81</v>
      </c>
      <c r="E164" t="s">
        <v>74</v>
      </c>
      <c r="F164" t="s">
        <v>77</v>
      </c>
      <c r="G164" t="s">
        <v>76</v>
      </c>
      <c r="H164">
        <v>14.910616980124107</v>
      </c>
      <c r="I164">
        <v>0</v>
      </c>
      <c r="J164">
        <v>7</v>
      </c>
      <c r="K164">
        <v>10</v>
      </c>
      <c r="L164">
        <v>-3</v>
      </c>
      <c r="M164">
        <v>6</v>
      </c>
      <c r="N164">
        <v>10</v>
      </c>
      <c r="O164">
        <v>-4</v>
      </c>
      <c r="P164">
        <v>8</v>
      </c>
      <c r="Q164">
        <v>10</v>
      </c>
      <c r="R164">
        <v>-2</v>
      </c>
      <c r="S164">
        <v>9</v>
      </c>
      <c r="T164">
        <v>10</v>
      </c>
      <c r="U164">
        <v>-1</v>
      </c>
      <c r="V164">
        <v>8</v>
      </c>
      <c r="W164">
        <v>10</v>
      </c>
      <c r="X164">
        <v>-2</v>
      </c>
      <c r="Y164">
        <v>7</v>
      </c>
      <c r="Z164">
        <v>10</v>
      </c>
      <c r="AA164">
        <v>-3</v>
      </c>
      <c r="AB164">
        <v>8</v>
      </c>
      <c r="AC164">
        <v>10</v>
      </c>
      <c r="AD164">
        <v>-2</v>
      </c>
      <c r="AE164">
        <v>7</v>
      </c>
      <c r="AF164">
        <v>10</v>
      </c>
      <c r="AG164">
        <v>-3</v>
      </c>
      <c r="AH164">
        <v>8</v>
      </c>
      <c r="AI164">
        <v>10</v>
      </c>
      <c r="AJ164">
        <v>-2</v>
      </c>
      <c r="AK164" t="s">
        <v>1692</v>
      </c>
      <c r="AL164" t="s">
        <v>1693</v>
      </c>
      <c r="AM164" t="s">
        <v>1694</v>
      </c>
      <c r="AN164" t="s">
        <v>1695</v>
      </c>
      <c r="AO164" t="s">
        <v>1696</v>
      </c>
      <c r="AP164" t="s">
        <v>1697</v>
      </c>
      <c r="AQ164" t="s">
        <v>1698</v>
      </c>
      <c r="AR164" t="s">
        <v>1699</v>
      </c>
      <c r="AS164" t="s">
        <v>1700</v>
      </c>
    </row>
    <row r="165" spans="1:45" x14ac:dyDescent="0.45">
      <c r="A165">
        <v>164</v>
      </c>
      <c r="B165">
        <v>12508</v>
      </c>
      <c r="C165" t="s">
        <v>72</v>
      </c>
      <c r="D165" t="s">
        <v>79</v>
      </c>
      <c r="E165" t="s">
        <v>74</v>
      </c>
      <c r="F165" t="s">
        <v>77</v>
      </c>
      <c r="G165" t="s">
        <v>76</v>
      </c>
      <c r="H165">
        <v>40.584474757600745</v>
      </c>
      <c r="I165">
        <v>2</v>
      </c>
      <c r="J165">
        <v>7</v>
      </c>
      <c r="K165">
        <v>8</v>
      </c>
      <c r="L165">
        <v>-1</v>
      </c>
      <c r="M165">
        <v>6</v>
      </c>
      <c r="N165">
        <v>9</v>
      </c>
      <c r="O165">
        <v>-3</v>
      </c>
      <c r="P165">
        <v>9</v>
      </c>
      <c r="Q165">
        <v>9</v>
      </c>
      <c r="R165">
        <v>0</v>
      </c>
      <c r="S165">
        <v>8</v>
      </c>
      <c r="T165">
        <v>9</v>
      </c>
      <c r="U165">
        <v>-1</v>
      </c>
      <c r="V165">
        <v>7</v>
      </c>
      <c r="W165">
        <v>5</v>
      </c>
      <c r="X165">
        <v>2</v>
      </c>
      <c r="Y165">
        <v>9</v>
      </c>
      <c r="Z165">
        <v>7</v>
      </c>
      <c r="AA165">
        <v>2</v>
      </c>
      <c r="AB165">
        <v>8</v>
      </c>
      <c r="AC165">
        <v>5</v>
      </c>
      <c r="AD165">
        <v>3</v>
      </c>
      <c r="AE165">
        <v>6</v>
      </c>
      <c r="AF165">
        <v>7</v>
      </c>
      <c r="AG165">
        <v>-1</v>
      </c>
      <c r="AH165">
        <v>9</v>
      </c>
      <c r="AI165">
        <v>7</v>
      </c>
      <c r="AJ165">
        <v>2</v>
      </c>
      <c r="AK165" t="s">
        <v>1701</v>
      </c>
      <c r="AL165" t="s">
        <v>1702</v>
      </c>
      <c r="AM165" t="s">
        <v>1703</v>
      </c>
      <c r="AN165" t="s">
        <v>1704</v>
      </c>
      <c r="AO165" t="s">
        <v>1705</v>
      </c>
      <c r="AP165" t="s">
        <v>1706</v>
      </c>
      <c r="AQ165" t="s">
        <v>1707</v>
      </c>
      <c r="AR165" t="s">
        <v>1708</v>
      </c>
      <c r="AS165" t="s">
        <v>1709</v>
      </c>
    </row>
    <row r="166" spans="1:45" x14ac:dyDescent="0.45">
      <c r="A166">
        <v>165</v>
      </c>
      <c r="B166">
        <v>12509</v>
      </c>
      <c r="C166" t="s">
        <v>72</v>
      </c>
      <c r="D166" t="s">
        <v>73</v>
      </c>
      <c r="E166" t="s">
        <v>74</v>
      </c>
      <c r="F166" t="s">
        <v>75</v>
      </c>
      <c r="G166" t="s">
        <v>76</v>
      </c>
      <c r="H166">
        <v>34.97978712203917</v>
      </c>
      <c r="I166">
        <v>0</v>
      </c>
      <c r="J166">
        <v>9</v>
      </c>
      <c r="K166">
        <v>5</v>
      </c>
      <c r="L166">
        <v>4</v>
      </c>
      <c r="M166">
        <v>8</v>
      </c>
      <c r="N166">
        <v>5</v>
      </c>
      <c r="O166">
        <v>3</v>
      </c>
      <c r="P166">
        <v>9</v>
      </c>
      <c r="Q166">
        <v>6</v>
      </c>
      <c r="R166">
        <v>3</v>
      </c>
      <c r="S166">
        <v>8</v>
      </c>
      <c r="T166">
        <v>6</v>
      </c>
      <c r="U166">
        <v>2</v>
      </c>
      <c r="V166">
        <v>9</v>
      </c>
      <c r="W166">
        <v>6</v>
      </c>
      <c r="X166">
        <v>3</v>
      </c>
      <c r="Y166">
        <v>8</v>
      </c>
      <c r="Z166">
        <v>6</v>
      </c>
      <c r="AA166">
        <v>2</v>
      </c>
      <c r="AB166">
        <v>9</v>
      </c>
      <c r="AC166">
        <v>5</v>
      </c>
      <c r="AD166">
        <v>4</v>
      </c>
      <c r="AE166">
        <v>8</v>
      </c>
      <c r="AF166">
        <v>7</v>
      </c>
      <c r="AG166">
        <v>1</v>
      </c>
      <c r="AH166">
        <v>9</v>
      </c>
      <c r="AI166">
        <v>8</v>
      </c>
      <c r="AJ166">
        <v>1</v>
      </c>
      <c r="AK166" t="s">
        <v>1710</v>
      </c>
      <c r="AL166" t="s">
        <v>1711</v>
      </c>
      <c r="AM166" t="s">
        <v>1712</v>
      </c>
      <c r="AN166" t="s">
        <v>1713</v>
      </c>
      <c r="AO166" t="s">
        <v>1714</v>
      </c>
      <c r="AP166" t="s">
        <v>1715</v>
      </c>
      <c r="AQ166" t="s">
        <v>1716</v>
      </c>
      <c r="AR166" t="s">
        <v>1717</v>
      </c>
      <c r="AS166" t="s">
        <v>1718</v>
      </c>
    </row>
    <row r="167" spans="1:45" x14ac:dyDescent="0.45">
      <c r="A167">
        <v>166</v>
      </c>
      <c r="B167">
        <v>12510</v>
      </c>
      <c r="C167" t="s">
        <v>72</v>
      </c>
      <c r="D167" t="s">
        <v>73</v>
      </c>
      <c r="E167" t="s">
        <v>74</v>
      </c>
      <c r="F167" t="s">
        <v>75</v>
      </c>
      <c r="G167" t="s">
        <v>76</v>
      </c>
      <c r="H167">
        <v>38.465252929521412</v>
      </c>
      <c r="I167">
        <v>1</v>
      </c>
      <c r="J167">
        <v>6</v>
      </c>
      <c r="K167">
        <v>10</v>
      </c>
      <c r="L167">
        <v>-4</v>
      </c>
      <c r="M167">
        <v>7</v>
      </c>
      <c r="N167">
        <v>8</v>
      </c>
      <c r="O167">
        <v>-1</v>
      </c>
      <c r="P167">
        <v>5</v>
      </c>
      <c r="Q167">
        <v>10</v>
      </c>
      <c r="R167">
        <v>-5</v>
      </c>
      <c r="S167">
        <v>7</v>
      </c>
      <c r="T167">
        <v>10</v>
      </c>
      <c r="U167">
        <v>-3</v>
      </c>
      <c r="V167">
        <v>8</v>
      </c>
      <c r="W167">
        <v>10</v>
      </c>
      <c r="X167">
        <v>-2</v>
      </c>
      <c r="Y167">
        <v>8</v>
      </c>
      <c r="Z167">
        <v>10</v>
      </c>
      <c r="AA167">
        <v>-2</v>
      </c>
      <c r="AB167">
        <v>7</v>
      </c>
      <c r="AC167">
        <v>10</v>
      </c>
      <c r="AD167">
        <v>-3</v>
      </c>
      <c r="AE167">
        <v>8</v>
      </c>
      <c r="AF167">
        <v>10</v>
      </c>
      <c r="AG167">
        <v>-2</v>
      </c>
      <c r="AH167">
        <v>9</v>
      </c>
      <c r="AI167">
        <v>8</v>
      </c>
      <c r="AJ167">
        <v>1</v>
      </c>
      <c r="AK167" t="s">
        <v>1719</v>
      </c>
      <c r="AL167" t="s">
        <v>1720</v>
      </c>
      <c r="AM167" t="s">
        <v>1721</v>
      </c>
      <c r="AN167" t="s">
        <v>1722</v>
      </c>
      <c r="AO167" t="s">
        <v>1723</v>
      </c>
      <c r="AP167" t="s">
        <v>1724</v>
      </c>
      <c r="AQ167" t="s">
        <v>1725</v>
      </c>
      <c r="AR167" t="s">
        <v>1726</v>
      </c>
      <c r="AS167" t="s">
        <v>1727</v>
      </c>
    </row>
    <row r="168" spans="1:45" x14ac:dyDescent="0.45">
      <c r="A168">
        <v>167</v>
      </c>
      <c r="B168">
        <v>12511</v>
      </c>
      <c r="C168" t="s">
        <v>78</v>
      </c>
      <c r="D168" t="s">
        <v>73</v>
      </c>
      <c r="E168" t="s">
        <v>74</v>
      </c>
      <c r="F168" t="s">
        <v>75</v>
      </c>
      <c r="G168" t="s">
        <v>76</v>
      </c>
      <c r="H168">
        <v>72.442077362604877</v>
      </c>
      <c r="I168">
        <v>0</v>
      </c>
      <c r="J168">
        <v>7</v>
      </c>
      <c r="K168">
        <v>5</v>
      </c>
      <c r="L168">
        <v>2</v>
      </c>
      <c r="M168">
        <v>8</v>
      </c>
      <c r="N168">
        <v>8</v>
      </c>
      <c r="O168">
        <v>0</v>
      </c>
      <c r="P168">
        <v>7</v>
      </c>
      <c r="Q168">
        <v>5</v>
      </c>
      <c r="R168">
        <v>2</v>
      </c>
      <c r="S168">
        <v>8</v>
      </c>
      <c r="T168">
        <v>8</v>
      </c>
      <c r="U168">
        <v>0</v>
      </c>
      <c r="V168">
        <v>9</v>
      </c>
      <c r="W168">
        <v>4</v>
      </c>
      <c r="X168">
        <v>5</v>
      </c>
      <c r="Y168">
        <v>9</v>
      </c>
      <c r="Z168">
        <v>5</v>
      </c>
      <c r="AA168">
        <v>4</v>
      </c>
      <c r="AB168">
        <v>8</v>
      </c>
      <c r="AC168">
        <v>1</v>
      </c>
      <c r="AD168">
        <v>7</v>
      </c>
      <c r="AE168">
        <v>7</v>
      </c>
      <c r="AF168">
        <v>5</v>
      </c>
      <c r="AG168">
        <v>2</v>
      </c>
      <c r="AH168">
        <v>9</v>
      </c>
      <c r="AI168">
        <v>5</v>
      </c>
      <c r="AJ168">
        <v>4</v>
      </c>
      <c r="AK168" t="s">
        <v>1728</v>
      </c>
      <c r="AL168" t="s">
        <v>1729</v>
      </c>
      <c r="AM168" t="s">
        <v>1730</v>
      </c>
      <c r="AN168" t="s">
        <v>1731</v>
      </c>
      <c r="AO168" t="s">
        <v>1732</v>
      </c>
      <c r="AP168" t="s">
        <v>1733</v>
      </c>
      <c r="AQ168" t="s">
        <v>1734</v>
      </c>
      <c r="AR168" t="s">
        <v>1735</v>
      </c>
      <c r="AS168" t="s">
        <v>1736</v>
      </c>
    </row>
    <row r="169" spans="1:45" x14ac:dyDescent="0.45">
      <c r="A169">
        <v>168</v>
      </c>
      <c r="B169">
        <v>12512</v>
      </c>
      <c r="C169" t="s">
        <v>72</v>
      </c>
      <c r="D169" t="s">
        <v>81</v>
      </c>
      <c r="E169" t="s">
        <v>74</v>
      </c>
      <c r="F169" t="s">
        <v>77</v>
      </c>
      <c r="G169" t="s">
        <v>76</v>
      </c>
      <c r="H169">
        <v>18.635888982473595</v>
      </c>
      <c r="I169">
        <v>0</v>
      </c>
      <c r="J169">
        <v>7</v>
      </c>
      <c r="K169">
        <v>7</v>
      </c>
      <c r="L169">
        <v>0</v>
      </c>
      <c r="M169">
        <v>7</v>
      </c>
      <c r="N169">
        <v>7</v>
      </c>
      <c r="O169">
        <v>0</v>
      </c>
      <c r="P169">
        <v>9</v>
      </c>
      <c r="Q169">
        <v>8</v>
      </c>
      <c r="R169">
        <v>1</v>
      </c>
      <c r="S169">
        <v>9</v>
      </c>
      <c r="T169">
        <v>8</v>
      </c>
      <c r="U169">
        <v>1</v>
      </c>
      <c r="V169">
        <v>8</v>
      </c>
      <c r="W169">
        <v>7</v>
      </c>
      <c r="X169">
        <v>1</v>
      </c>
      <c r="Y169">
        <v>8</v>
      </c>
      <c r="Z169">
        <v>8</v>
      </c>
      <c r="AA169">
        <v>0</v>
      </c>
      <c r="AB169">
        <v>7</v>
      </c>
      <c r="AC169">
        <v>8</v>
      </c>
      <c r="AD169">
        <v>-1</v>
      </c>
      <c r="AE169">
        <v>7</v>
      </c>
      <c r="AF169">
        <v>8</v>
      </c>
      <c r="AG169">
        <v>-1</v>
      </c>
      <c r="AH169">
        <v>9</v>
      </c>
      <c r="AI169">
        <v>9</v>
      </c>
      <c r="AJ169">
        <v>0</v>
      </c>
      <c r="AK169" t="s">
        <v>1737</v>
      </c>
      <c r="AL169" t="s">
        <v>1738</v>
      </c>
      <c r="AM169" t="s">
        <v>1739</v>
      </c>
      <c r="AN169" t="s">
        <v>1740</v>
      </c>
      <c r="AO169" t="s">
        <v>1741</v>
      </c>
      <c r="AP169" t="s">
        <v>1742</v>
      </c>
      <c r="AQ169" t="s">
        <v>1743</v>
      </c>
      <c r="AR169" t="s">
        <v>1744</v>
      </c>
      <c r="AS169" t="s">
        <v>1745</v>
      </c>
    </row>
    <row r="170" spans="1:45" x14ac:dyDescent="0.45">
      <c r="A170">
        <v>169</v>
      </c>
      <c r="B170">
        <v>12513</v>
      </c>
      <c r="C170" t="s">
        <v>78</v>
      </c>
      <c r="D170" t="s">
        <v>79</v>
      </c>
      <c r="E170" t="s">
        <v>74</v>
      </c>
      <c r="F170" t="s">
        <v>77</v>
      </c>
      <c r="G170" t="s">
        <v>76</v>
      </c>
      <c r="H170">
        <v>33.164972888402048</v>
      </c>
      <c r="I170">
        <v>0</v>
      </c>
      <c r="J170">
        <v>8</v>
      </c>
      <c r="K170">
        <v>8</v>
      </c>
      <c r="L170">
        <v>0</v>
      </c>
      <c r="M170">
        <v>9</v>
      </c>
      <c r="N170">
        <v>8</v>
      </c>
      <c r="O170">
        <v>1</v>
      </c>
      <c r="P170">
        <v>8</v>
      </c>
      <c r="Q170">
        <v>7</v>
      </c>
      <c r="R170">
        <v>1</v>
      </c>
      <c r="S170">
        <v>9</v>
      </c>
      <c r="T170">
        <v>8</v>
      </c>
      <c r="U170">
        <v>1</v>
      </c>
      <c r="V170">
        <v>8</v>
      </c>
      <c r="W170">
        <v>7</v>
      </c>
      <c r="X170">
        <v>1</v>
      </c>
      <c r="Y170">
        <v>9</v>
      </c>
      <c r="Z170">
        <v>7</v>
      </c>
      <c r="AA170">
        <v>2</v>
      </c>
      <c r="AB170">
        <v>8</v>
      </c>
      <c r="AC170">
        <v>7</v>
      </c>
      <c r="AD170">
        <v>1</v>
      </c>
      <c r="AE170">
        <v>9</v>
      </c>
      <c r="AF170">
        <v>8</v>
      </c>
      <c r="AG170">
        <v>1</v>
      </c>
      <c r="AH170">
        <v>9</v>
      </c>
      <c r="AI170">
        <v>8</v>
      </c>
      <c r="AJ170">
        <v>1</v>
      </c>
      <c r="AK170" t="s">
        <v>1746</v>
      </c>
      <c r="AL170" t="s">
        <v>1747</v>
      </c>
      <c r="AM170" t="s">
        <v>1748</v>
      </c>
      <c r="AN170" t="s">
        <v>1749</v>
      </c>
      <c r="AO170" t="s">
        <v>1750</v>
      </c>
      <c r="AP170" t="s">
        <v>1751</v>
      </c>
      <c r="AQ170" t="s">
        <v>1752</v>
      </c>
      <c r="AR170" t="s">
        <v>1753</v>
      </c>
      <c r="AS170" t="s">
        <v>1754</v>
      </c>
    </row>
    <row r="171" spans="1:45" x14ac:dyDescent="0.45">
      <c r="A171">
        <v>170</v>
      </c>
      <c r="B171">
        <v>12514</v>
      </c>
      <c r="C171" t="s">
        <v>78</v>
      </c>
      <c r="D171" t="s">
        <v>81</v>
      </c>
      <c r="E171" t="s">
        <v>74</v>
      </c>
      <c r="F171" t="s">
        <v>77</v>
      </c>
      <c r="G171" t="s">
        <v>162</v>
      </c>
      <c r="H171">
        <v>14.043096204887631</v>
      </c>
      <c r="I171">
        <v>0</v>
      </c>
      <c r="J171">
        <v>6</v>
      </c>
      <c r="K171">
        <v>5</v>
      </c>
      <c r="L171">
        <v>1</v>
      </c>
      <c r="M171">
        <v>7</v>
      </c>
      <c r="N171">
        <v>8</v>
      </c>
      <c r="O171">
        <v>-1</v>
      </c>
      <c r="P171">
        <v>9</v>
      </c>
      <c r="Q171">
        <v>7</v>
      </c>
      <c r="R171">
        <v>2</v>
      </c>
      <c r="S171">
        <v>9</v>
      </c>
      <c r="T171">
        <v>8</v>
      </c>
      <c r="U171">
        <v>1</v>
      </c>
      <c r="V171">
        <v>8</v>
      </c>
      <c r="W171">
        <v>1</v>
      </c>
      <c r="X171">
        <v>7</v>
      </c>
      <c r="Y171">
        <v>9</v>
      </c>
      <c r="Z171">
        <v>2</v>
      </c>
      <c r="AA171">
        <v>7</v>
      </c>
      <c r="AB171">
        <v>8</v>
      </c>
      <c r="AC171">
        <v>3</v>
      </c>
      <c r="AD171">
        <v>5</v>
      </c>
      <c r="AE171">
        <v>6</v>
      </c>
      <c r="AF171">
        <v>3</v>
      </c>
      <c r="AG171">
        <v>3</v>
      </c>
      <c r="AH171">
        <v>9</v>
      </c>
      <c r="AI171">
        <v>7</v>
      </c>
      <c r="AJ171">
        <v>2</v>
      </c>
      <c r="AK171" t="s">
        <v>1755</v>
      </c>
      <c r="AL171" t="s">
        <v>1756</v>
      </c>
      <c r="AM171" t="s">
        <v>1757</v>
      </c>
      <c r="AN171" t="s">
        <v>1758</v>
      </c>
      <c r="AO171" t="s">
        <v>1759</v>
      </c>
      <c r="AP171" t="s">
        <v>1760</v>
      </c>
      <c r="AQ171" t="s">
        <v>1761</v>
      </c>
      <c r="AR171" t="s">
        <v>1762</v>
      </c>
      <c r="AS171" t="s">
        <v>1763</v>
      </c>
    </row>
    <row r="172" spans="1:45" x14ac:dyDescent="0.45">
      <c r="A172">
        <v>171</v>
      </c>
      <c r="B172">
        <v>12515</v>
      </c>
      <c r="C172" t="s">
        <v>78</v>
      </c>
      <c r="D172" t="s">
        <v>189</v>
      </c>
      <c r="E172" t="s">
        <v>74</v>
      </c>
      <c r="F172" t="s">
        <v>77</v>
      </c>
      <c r="G172" t="s">
        <v>76</v>
      </c>
      <c r="H172">
        <v>12</v>
      </c>
      <c r="I172">
        <v>0</v>
      </c>
      <c r="J172">
        <v>7</v>
      </c>
      <c r="K172">
        <v>6</v>
      </c>
      <c r="L172">
        <v>1</v>
      </c>
      <c r="M172">
        <v>6</v>
      </c>
      <c r="N172">
        <v>7</v>
      </c>
      <c r="O172">
        <v>-1</v>
      </c>
      <c r="P172">
        <v>9</v>
      </c>
      <c r="Q172">
        <v>5</v>
      </c>
      <c r="R172">
        <v>4</v>
      </c>
      <c r="S172">
        <v>8</v>
      </c>
      <c r="T172">
        <v>7</v>
      </c>
      <c r="U172">
        <v>1</v>
      </c>
      <c r="V172">
        <v>7</v>
      </c>
      <c r="W172">
        <v>7</v>
      </c>
      <c r="X172">
        <v>0</v>
      </c>
      <c r="Y172">
        <v>8</v>
      </c>
      <c r="Z172">
        <v>7</v>
      </c>
      <c r="AA172">
        <v>1</v>
      </c>
      <c r="AB172">
        <v>7</v>
      </c>
      <c r="AC172">
        <v>5</v>
      </c>
      <c r="AD172">
        <v>2</v>
      </c>
      <c r="AE172">
        <v>6</v>
      </c>
      <c r="AF172">
        <v>7</v>
      </c>
      <c r="AG172">
        <v>-1</v>
      </c>
      <c r="AH172">
        <v>9</v>
      </c>
      <c r="AI172">
        <v>7</v>
      </c>
      <c r="AJ172">
        <v>2</v>
      </c>
      <c r="AK172" t="s">
        <v>1764</v>
      </c>
      <c r="AL172" t="s">
        <v>1765</v>
      </c>
      <c r="AM172" t="s">
        <v>1766</v>
      </c>
      <c r="AN172" t="s">
        <v>1767</v>
      </c>
      <c r="AO172" t="s">
        <v>1768</v>
      </c>
      <c r="AP172" t="s">
        <v>1769</v>
      </c>
      <c r="AQ172" t="s">
        <v>1770</v>
      </c>
      <c r="AR172" t="s">
        <v>1771</v>
      </c>
      <c r="AS172" t="s">
        <v>1772</v>
      </c>
    </row>
    <row r="173" spans="1:45" x14ac:dyDescent="0.45">
      <c r="A173">
        <v>172</v>
      </c>
      <c r="B173">
        <v>12516</v>
      </c>
      <c r="C173" t="s">
        <v>78</v>
      </c>
      <c r="D173" t="s">
        <v>191</v>
      </c>
      <c r="E173" t="s">
        <v>74</v>
      </c>
      <c r="F173" t="s">
        <v>75</v>
      </c>
      <c r="G173" t="s">
        <v>76</v>
      </c>
      <c r="H173">
        <v>118.85331323830997</v>
      </c>
      <c r="I173">
        <v>4</v>
      </c>
      <c r="J173">
        <v>8</v>
      </c>
      <c r="K173">
        <v>8</v>
      </c>
      <c r="L173">
        <v>0</v>
      </c>
      <c r="M173">
        <v>9</v>
      </c>
      <c r="N173">
        <v>8</v>
      </c>
      <c r="O173">
        <v>1</v>
      </c>
      <c r="P173">
        <v>8</v>
      </c>
      <c r="Q173">
        <v>8</v>
      </c>
      <c r="R173">
        <v>0</v>
      </c>
      <c r="S173">
        <v>9</v>
      </c>
      <c r="T173">
        <v>9</v>
      </c>
      <c r="U173">
        <v>0</v>
      </c>
      <c r="V173">
        <v>8</v>
      </c>
      <c r="W173">
        <v>9</v>
      </c>
      <c r="X173">
        <v>-1</v>
      </c>
      <c r="Y173">
        <v>9</v>
      </c>
      <c r="Z173">
        <v>5</v>
      </c>
      <c r="AA173">
        <v>4</v>
      </c>
      <c r="AB173">
        <v>8</v>
      </c>
      <c r="AC173">
        <v>5</v>
      </c>
      <c r="AD173">
        <v>3</v>
      </c>
      <c r="AE173">
        <v>9</v>
      </c>
      <c r="AF173">
        <v>8</v>
      </c>
      <c r="AG173">
        <v>1</v>
      </c>
      <c r="AH173">
        <v>8</v>
      </c>
      <c r="AI173">
        <v>6</v>
      </c>
      <c r="AJ173">
        <v>2</v>
      </c>
      <c r="AK173" t="s">
        <v>1773</v>
      </c>
      <c r="AL173" t="s">
        <v>1774</v>
      </c>
      <c r="AM173" t="s">
        <v>1775</v>
      </c>
      <c r="AN173" t="s">
        <v>1776</v>
      </c>
      <c r="AO173" t="s">
        <v>1777</v>
      </c>
      <c r="AP173" t="s">
        <v>1778</v>
      </c>
      <c r="AQ173" t="s">
        <v>1779</v>
      </c>
      <c r="AR173" t="s">
        <v>1780</v>
      </c>
      <c r="AS173" t="s">
        <v>1781</v>
      </c>
    </row>
    <row r="174" spans="1:45" x14ac:dyDescent="0.45">
      <c r="A174">
        <v>173</v>
      </c>
      <c r="B174">
        <v>12517</v>
      </c>
      <c r="C174" t="s">
        <v>72</v>
      </c>
      <c r="D174" t="s">
        <v>79</v>
      </c>
      <c r="E174" t="s">
        <v>74</v>
      </c>
      <c r="F174" t="s">
        <v>77</v>
      </c>
      <c r="G174" t="s">
        <v>76</v>
      </c>
      <c r="H174">
        <v>95.852765175263272</v>
      </c>
      <c r="I174">
        <v>3</v>
      </c>
      <c r="J174">
        <v>7</v>
      </c>
      <c r="K174">
        <v>5</v>
      </c>
      <c r="L174">
        <v>2</v>
      </c>
      <c r="M174">
        <v>7</v>
      </c>
      <c r="N174">
        <v>5</v>
      </c>
      <c r="O174">
        <v>2</v>
      </c>
      <c r="P174">
        <v>9</v>
      </c>
      <c r="Q174">
        <v>4</v>
      </c>
      <c r="R174">
        <v>5</v>
      </c>
      <c r="S174">
        <v>9</v>
      </c>
      <c r="T174">
        <v>6</v>
      </c>
      <c r="U174">
        <v>3</v>
      </c>
      <c r="V174">
        <v>7</v>
      </c>
      <c r="W174">
        <v>5</v>
      </c>
      <c r="X174">
        <v>2</v>
      </c>
      <c r="Y174">
        <v>9</v>
      </c>
      <c r="Z174">
        <v>4</v>
      </c>
      <c r="AA174">
        <v>5</v>
      </c>
      <c r="AB174">
        <v>7</v>
      </c>
      <c r="AC174">
        <v>4</v>
      </c>
      <c r="AD174">
        <v>3</v>
      </c>
      <c r="AE174">
        <v>8</v>
      </c>
      <c r="AF174">
        <v>5</v>
      </c>
      <c r="AG174">
        <v>3</v>
      </c>
      <c r="AH174">
        <v>9</v>
      </c>
      <c r="AI174">
        <v>5</v>
      </c>
      <c r="AJ174">
        <v>4</v>
      </c>
      <c r="AK174" t="s">
        <v>1782</v>
      </c>
      <c r="AL174" t="s">
        <v>1783</v>
      </c>
      <c r="AM174" t="s">
        <v>1784</v>
      </c>
      <c r="AN174" t="s">
        <v>1785</v>
      </c>
      <c r="AO174" t="s">
        <v>1786</v>
      </c>
      <c r="AP174" t="s">
        <v>1787</v>
      </c>
      <c r="AQ174" t="s">
        <v>1788</v>
      </c>
      <c r="AR174" t="s">
        <v>1789</v>
      </c>
      <c r="AS174" t="s">
        <v>1790</v>
      </c>
    </row>
    <row r="175" spans="1:45" x14ac:dyDescent="0.45">
      <c r="A175">
        <v>174</v>
      </c>
      <c r="B175">
        <v>12518</v>
      </c>
      <c r="C175" t="s">
        <v>72</v>
      </c>
      <c r="D175" t="s">
        <v>81</v>
      </c>
      <c r="E175" t="s">
        <v>74</v>
      </c>
      <c r="F175" t="s">
        <v>77</v>
      </c>
      <c r="G175" t="s">
        <v>76</v>
      </c>
      <c r="H175">
        <v>37.992602690620231</v>
      </c>
      <c r="I175">
        <v>1</v>
      </c>
      <c r="J175">
        <v>7</v>
      </c>
      <c r="K175">
        <v>6</v>
      </c>
      <c r="L175">
        <v>1</v>
      </c>
      <c r="M175">
        <v>8</v>
      </c>
      <c r="N175">
        <v>6</v>
      </c>
      <c r="O175">
        <v>2</v>
      </c>
      <c r="P175">
        <v>9</v>
      </c>
      <c r="Q175">
        <v>6</v>
      </c>
      <c r="R175">
        <v>3</v>
      </c>
      <c r="S175">
        <v>9</v>
      </c>
      <c r="T175">
        <v>6</v>
      </c>
      <c r="U175">
        <v>3</v>
      </c>
      <c r="V175">
        <v>7</v>
      </c>
      <c r="W175">
        <v>7</v>
      </c>
      <c r="X175">
        <v>0</v>
      </c>
      <c r="Y175">
        <v>8</v>
      </c>
      <c r="Z175">
        <v>7</v>
      </c>
      <c r="AA175">
        <v>1</v>
      </c>
      <c r="AB175">
        <v>7</v>
      </c>
      <c r="AC175">
        <v>5</v>
      </c>
      <c r="AD175">
        <v>2</v>
      </c>
      <c r="AE175">
        <v>8</v>
      </c>
      <c r="AF175">
        <v>7</v>
      </c>
      <c r="AG175">
        <v>1</v>
      </c>
      <c r="AH175">
        <v>9</v>
      </c>
      <c r="AI175">
        <v>6</v>
      </c>
      <c r="AJ175">
        <v>3</v>
      </c>
      <c r="AK175" t="s">
        <v>1791</v>
      </c>
      <c r="AL175" t="s">
        <v>1792</v>
      </c>
      <c r="AM175" t="s">
        <v>1793</v>
      </c>
      <c r="AN175" t="s">
        <v>1794</v>
      </c>
      <c r="AO175" t="s">
        <v>1795</v>
      </c>
      <c r="AP175" t="s">
        <v>1796</v>
      </c>
      <c r="AQ175" t="s">
        <v>1797</v>
      </c>
      <c r="AR175" t="s">
        <v>1798</v>
      </c>
      <c r="AS175" t="s">
        <v>1799</v>
      </c>
    </row>
    <row r="176" spans="1:45" x14ac:dyDescent="0.45">
      <c r="A176">
        <v>175</v>
      </c>
      <c r="B176">
        <v>12519</v>
      </c>
      <c r="C176" t="s">
        <v>72</v>
      </c>
      <c r="D176" t="s">
        <v>191</v>
      </c>
      <c r="E176" t="s">
        <v>74</v>
      </c>
      <c r="F176" t="s">
        <v>75</v>
      </c>
      <c r="G176" t="s">
        <v>76</v>
      </c>
      <c r="H176">
        <v>154.06212676449971</v>
      </c>
      <c r="I176">
        <v>3</v>
      </c>
      <c r="J176">
        <v>6</v>
      </c>
      <c r="K176">
        <v>4</v>
      </c>
      <c r="L176">
        <v>2</v>
      </c>
      <c r="M176">
        <v>8</v>
      </c>
      <c r="N176">
        <v>5</v>
      </c>
      <c r="O176">
        <v>3</v>
      </c>
      <c r="P176">
        <v>9</v>
      </c>
      <c r="Q176">
        <v>4</v>
      </c>
      <c r="R176">
        <v>5</v>
      </c>
      <c r="S176">
        <v>10</v>
      </c>
      <c r="T176">
        <v>6</v>
      </c>
      <c r="U176">
        <v>4</v>
      </c>
      <c r="V176">
        <v>7</v>
      </c>
      <c r="W176">
        <v>4</v>
      </c>
      <c r="X176">
        <v>3</v>
      </c>
      <c r="Y176">
        <v>9</v>
      </c>
      <c r="Z176">
        <v>4</v>
      </c>
      <c r="AA176">
        <v>5</v>
      </c>
      <c r="AB176">
        <v>7</v>
      </c>
      <c r="AC176">
        <v>4</v>
      </c>
      <c r="AD176">
        <v>3</v>
      </c>
      <c r="AE176">
        <v>8</v>
      </c>
      <c r="AF176">
        <v>5</v>
      </c>
      <c r="AG176">
        <v>3</v>
      </c>
      <c r="AH176">
        <v>9</v>
      </c>
      <c r="AI176">
        <v>4</v>
      </c>
      <c r="AJ176">
        <v>5</v>
      </c>
      <c r="AK176" t="s">
        <v>1800</v>
      </c>
      <c r="AL176" t="s">
        <v>1801</v>
      </c>
      <c r="AM176" t="s">
        <v>1802</v>
      </c>
      <c r="AN176" t="s">
        <v>1803</v>
      </c>
      <c r="AO176" t="s">
        <v>1804</v>
      </c>
      <c r="AP176" t="s">
        <v>1805</v>
      </c>
      <c r="AQ176" t="s">
        <v>1806</v>
      </c>
      <c r="AR176" t="s">
        <v>1807</v>
      </c>
      <c r="AS176" t="s">
        <v>1808</v>
      </c>
    </row>
    <row r="177" spans="1:45" x14ac:dyDescent="0.45">
      <c r="A177">
        <v>176</v>
      </c>
      <c r="B177">
        <v>12520</v>
      </c>
      <c r="C177" t="s">
        <v>72</v>
      </c>
      <c r="D177" t="s">
        <v>193</v>
      </c>
      <c r="E177" t="s">
        <v>80</v>
      </c>
      <c r="F177" t="s">
        <v>75</v>
      </c>
      <c r="G177" t="s">
        <v>76</v>
      </c>
      <c r="H177">
        <v>242.78528291659143</v>
      </c>
      <c r="I177">
        <v>0</v>
      </c>
      <c r="J177">
        <v>7</v>
      </c>
      <c r="K177">
        <v>2</v>
      </c>
      <c r="L177">
        <v>5</v>
      </c>
      <c r="M177">
        <v>7</v>
      </c>
      <c r="N177">
        <v>4</v>
      </c>
      <c r="O177">
        <v>3</v>
      </c>
      <c r="P177">
        <v>9</v>
      </c>
      <c r="Q177">
        <v>3</v>
      </c>
      <c r="R177">
        <v>6</v>
      </c>
      <c r="S177">
        <v>9</v>
      </c>
      <c r="T177">
        <v>5</v>
      </c>
      <c r="U177">
        <v>4</v>
      </c>
      <c r="V177">
        <v>8</v>
      </c>
      <c r="W177">
        <v>4</v>
      </c>
      <c r="X177">
        <v>4</v>
      </c>
      <c r="Y177">
        <v>9</v>
      </c>
      <c r="Z177">
        <v>1</v>
      </c>
      <c r="AA177">
        <v>8</v>
      </c>
      <c r="AB177">
        <v>8</v>
      </c>
      <c r="AC177">
        <v>1</v>
      </c>
      <c r="AD177">
        <v>7</v>
      </c>
      <c r="AE177">
        <v>7</v>
      </c>
      <c r="AF177">
        <v>4</v>
      </c>
      <c r="AG177">
        <v>3</v>
      </c>
      <c r="AH177">
        <v>9</v>
      </c>
      <c r="AI177">
        <v>4</v>
      </c>
      <c r="AJ177">
        <v>5</v>
      </c>
      <c r="AK177" t="s">
        <v>1809</v>
      </c>
      <c r="AL177" t="s">
        <v>1810</v>
      </c>
      <c r="AM177" t="s">
        <v>1811</v>
      </c>
      <c r="AN177" t="s">
        <v>1812</v>
      </c>
      <c r="AO177" t="s">
        <v>1813</v>
      </c>
      <c r="AP177" t="s">
        <v>1814</v>
      </c>
      <c r="AQ177" t="s">
        <v>1815</v>
      </c>
      <c r="AR177" t="s">
        <v>1816</v>
      </c>
      <c r="AS177" t="s">
        <v>1817</v>
      </c>
    </row>
    <row r="178" spans="1:45" x14ac:dyDescent="0.45">
      <c r="A178">
        <v>177</v>
      </c>
      <c r="B178">
        <v>12521</v>
      </c>
      <c r="C178" t="s">
        <v>72</v>
      </c>
      <c r="D178" t="s">
        <v>191</v>
      </c>
      <c r="E178" t="s">
        <v>74</v>
      </c>
      <c r="F178" t="s">
        <v>75</v>
      </c>
      <c r="G178" t="s">
        <v>76</v>
      </c>
      <c r="H178">
        <v>99.641554489013288</v>
      </c>
      <c r="I178">
        <v>2</v>
      </c>
      <c r="J178">
        <v>7</v>
      </c>
      <c r="K178">
        <v>4</v>
      </c>
      <c r="L178">
        <v>3</v>
      </c>
      <c r="M178">
        <v>8</v>
      </c>
      <c r="N178">
        <v>4</v>
      </c>
      <c r="O178">
        <v>4</v>
      </c>
      <c r="P178">
        <v>9</v>
      </c>
      <c r="Q178">
        <v>3</v>
      </c>
      <c r="R178">
        <v>6</v>
      </c>
      <c r="S178">
        <v>10</v>
      </c>
      <c r="T178">
        <v>5</v>
      </c>
      <c r="U178">
        <v>5</v>
      </c>
      <c r="V178">
        <v>8</v>
      </c>
      <c r="W178">
        <v>3</v>
      </c>
      <c r="X178">
        <v>5</v>
      </c>
      <c r="Y178">
        <v>9</v>
      </c>
      <c r="Z178">
        <v>2</v>
      </c>
      <c r="AA178">
        <v>7</v>
      </c>
      <c r="AB178">
        <v>7</v>
      </c>
      <c r="AC178">
        <v>1</v>
      </c>
      <c r="AD178">
        <v>6</v>
      </c>
      <c r="AE178">
        <v>9</v>
      </c>
      <c r="AF178">
        <v>1</v>
      </c>
      <c r="AG178">
        <v>8</v>
      </c>
      <c r="AH178">
        <v>10</v>
      </c>
      <c r="AI178">
        <v>1</v>
      </c>
      <c r="AJ178">
        <v>9</v>
      </c>
      <c r="AK178" t="s">
        <v>1818</v>
      </c>
      <c r="AL178" t="s">
        <v>1819</v>
      </c>
      <c r="AM178" t="s">
        <v>1820</v>
      </c>
      <c r="AN178" t="s">
        <v>1821</v>
      </c>
      <c r="AO178" t="s">
        <v>1822</v>
      </c>
      <c r="AP178" t="s">
        <v>1823</v>
      </c>
      <c r="AQ178" t="s">
        <v>1824</v>
      </c>
      <c r="AR178" t="s">
        <v>1825</v>
      </c>
      <c r="AS178" t="s">
        <v>1826</v>
      </c>
    </row>
    <row r="179" spans="1:45" x14ac:dyDescent="0.45">
      <c r="A179">
        <v>178</v>
      </c>
      <c r="B179">
        <v>12522</v>
      </c>
      <c r="C179" t="s">
        <v>72</v>
      </c>
      <c r="D179" t="s">
        <v>193</v>
      </c>
      <c r="E179" t="s">
        <v>74</v>
      </c>
      <c r="F179" t="s">
        <v>77</v>
      </c>
      <c r="G179" t="s">
        <v>76</v>
      </c>
      <c r="H179">
        <v>41.975058694830153</v>
      </c>
      <c r="I179">
        <v>4</v>
      </c>
      <c r="J179">
        <v>7</v>
      </c>
      <c r="K179">
        <v>6</v>
      </c>
      <c r="L179">
        <v>1</v>
      </c>
      <c r="M179">
        <v>8</v>
      </c>
      <c r="N179">
        <v>7</v>
      </c>
      <c r="O179">
        <v>1</v>
      </c>
      <c r="P179">
        <v>9</v>
      </c>
      <c r="Q179">
        <v>6</v>
      </c>
      <c r="R179">
        <v>3</v>
      </c>
      <c r="S179">
        <v>9</v>
      </c>
      <c r="T179">
        <v>6</v>
      </c>
      <c r="U179">
        <v>3</v>
      </c>
      <c r="V179">
        <v>8</v>
      </c>
      <c r="W179">
        <v>6</v>
      </c>
      <c r="X179">
        <v>2</v>
      </c>
      <c r="Y179">
        <v>7</v>
      </c>
      <c r="Z179">
        <v>7</v>
      </c>
      <c r="AA179">
        <v>0</v>
      </c>
      <c r="AB179">
        <v>8</v>
      </c>
      <c r="AC179">
        <v>5</v>
      </c>
      <c r="AD179">
        <v>3</v>
      </c>
      <c r="AE179">
        <v>6</v>
      </c>
      <c r="AF179">
        <v>6</v>
      </c>
      <c r="AG179">
        <v>0</v>
      </c>
      <c r="AH179">
        <v>8</v>
      </c>
      <c r="AI179">
        <v>7</v>
      </c>
      <c r="AJ179">
        <v>1</v>
      </c>
      <c r="AK179" t="s">
        <v>1827</v>
      </c>
      <c r="AL179" t="s">
        <v>1828</v>
      </c>
      <c r="AM179" t="s">
        <v>1829</v>
      </c>
      <c r="AN179" t="s">
        <v>1830</v>
      </c>
      <c r="AO179" t="s">
        <v>1831</v>
      </c>
      <c r="AP179" t="s">
        <v>1832</v>
      </c>
      <c r="AQ179" t="s">
        <v>1833</v>
      </c>
      <c r="AR179" t="s">
        <v>1834</v>
      </c>
      <c r="AS179" t="s">
        <v>1835</v>
      </c>
    </row>
    <row r="180" spans="1:45" x14ac:dyDescent="0.45">
      <c r="A180">
        <v>179</v>
      </c>
      <c r="B180">
        <v>12523</v>
      </c>
      <c r="C180" t="s">
        <v>72</v>
      </c>
      <c r="D180" t="s">
        <v>73</v>
      </c>
      <c r="E180" t="s">
        <v>74</v>
      </c>
      <c r="F180" t="s">
        <v>75</v>
      </c>
      <c r="G180" t="s">
        <v>76</v>
      </c>
      <c r="H180">
        <v>29.19172331684997</v>
      </c>
      <c r="I180">
        <v>1</v>
      </c>
      <c r="J180">
        <v>7</v>
      </c>
      <c r="K180">
        <v>7</v>
      </c>
      <c r="L180">
        <v>0</v>
      </c>
      <c r="M180">
        <v>6</v>
      </c>
      <c r="N180">
        <v>7</v>
      </c>
      <c r="O180">
        <v>-1</v>
      </c>
      <c r="P180">
        <v>9</v>
      </c>
      <c r="Q180">
        <v>7</v>
      </c>
      <c r="R180">
        <v>2</v>
      </c>
      <c r="S180">
        <v>8</v>
      </c>
      <c r="T180">
        <v>8</v>
      </c>
      <c r="U180">
        <v>0</v>
      </c>
      <c r="V180">
        <v>7</v>
      </c>
      <c r="W180">
        <v>7</v>
      </c>
      <c r="X180">
        <v>0</v>
      </c>
      <c r="Y180">
        <v>9</v>
      </c>
      <c r="Z180">
        <v>8</v>
      </c>
      <c r="AA180">
        <v>1</v>
      </c>
      <c r="AB180">
        <v>8</v>
      </c>
      <c r="AC180">
        <v>7</v>
      </c>
      <c r="AD180">
        <v>1</v>
      </c>
      <c r="AE180">
        <v>7</v>
      </c>
      <c r="AF180">
        <v>7</v>
      </c>
      <c r="AG180">
        <v>0</v>
      </c>
      <c r="AH180">
        <v>9</v>
      </c>
      <c r="AI180">
        <v>8</v>
      </c>
      <c r="AJ180">
        <v>1</v>
      </c>
      <c r="AK180" t="s">
        <v>1836</v>
      </c>
      <c r="AL180" t="s">
        <v>1837</v>
      </c>
      <c r="AM180" t="s">
        <v>1838</v>
      </c>
      <c r="AN180" t="s">
        <v>1839</v>
      </c>
      <c r="AO180" t="s">
        <v>1840</v>
      </c>
      <c r="AP180" t="s">
        <v>1841</v>
      </c>
      <c r="AQ180" t="s">
        <v>1842</v>
      </c>
      <c r="AR180" t="s">
        <v>1843</v>
      </c>
      <c r="AS180" t="s">
        <v>1844</v>
      </c>
    </row>
    <row r="181" spans="1:45" x14ac:dyDescent="0.45">
      <c r="A181">
        <v>180</v>
      </c>
      <c r="B181">
        <v>12524</v>
      </c>
      <c r="C181" t="s">
        <v>72</v>
      </c>
      <c r="D181" t="s">
        <v>79</v>
      </c>
      <c r="E181" t="s">
        <v>74</v>
      </c>
      <c r="F181" t="s">
        <v>77</v>
      </c>
      <c r="G181" t="s">
        <v>76</v>
      </c>
      <c r="H181">
        <v>67.224779049723395</v>
      </c>
      <c r="I181">
        <v>1</v>
      </c>
      <c r="J181">
        <v>8</v>
      </c>
      <c r="K181">
        <v>5</v>
      </c>
      <c r="L181">
        <v>3</v>
      </c>
      <c r="M181">
        <v>7</v>
      </c>
      <c r="N181">
        <v>5</v>
      </c>
      <c r="O181">
        <v>2</v>
      </c>
      <c r="P181">
        <v>9</v>
      </c>
      <c r="Q181">
        <v>5</v>
      </c>
      <c r="R181">
        <v>4</v>
      </c>
      <c r="S181">
        <v>8</v>
      </c>
      <c r="T181">
        <v>7</v>
      </c>
      <c r="U181">
        <v>1</v>
      </c>
      <c r="V181">
        <v>9</v>
      </c>
      <c r="W181">
        <v>5</v>
      </c>
      <c r="X181">
        <v>4</v>
      </c>
      <c r="Y181">
        <v>8</v>
      </c>
      <c r="Z181">
        <v>6</v>
      </c>
      <c r="AA181">
        <v>2</v>
      </c>
      <c r="AB181">
        <v>9</v>
      </c>
      <c r="AC181">
        <v>5</v>
      </c>
      <c r="AD181">
        <v>4</v>
      </c>
      <c r="AE181">
        <v>8</v>
      </c>
      <c r="AF181">
        <v>7</v>
      </c>
      <c r="AG181">
        <v>1</v>
      </c>
      <c r="AH181">
        <v>9</v>
      </c>
      <c r="AI181">
        <v>7</v>
      </c>
      <c r="AJ181">
        <v>2</v>
      </c>
      <c r="AK181" t="s">
        <v>1845</v>
      </c>
      <c r="AL181" t="s">
        <v>1846</v>
      </c>
      <c r="AM181" t="s">
        <v>1847</v>
      </c>
      <c r="AN181" t="s">
        <v>1848</v>
      </c>
      <c r="AO181" t="s">
        <v>1849</v>
      </c>
      <c r="AP181" t="s">
        <v>1850</v>
      </c>
      <c r="AQ181" t="s">
        <v>1851</v>
      </c>
      <c r="AR181" t="s">
        <v>1852</v>
      </c>
      <c r="AS181" t="s">
        <v>1853</v>
      </c>
    </row>
    <row r="182" spans="1:45" x14ac:dyDescent="0.45">
      <c r="A182">
        <v>181</v>
      </c>
      <c r="B182">
        <v>12525</v>
      </c>
      <c r="C182" t="s">
        <v>72</v>
      </c>
      <c r="D182" t="s">
        <v>73</v>
      </c>
      <c r="E182" t="s">
        <v>74</v>
      </c>
      <c r="F182" t="s">
        <v>75</v>
      </c>
      <c r="G182" t="s">
        <v>76</v>
      </c>
      <c r="H182">
        <v>55.869776463680211</v>
      </c>
      <c r="I182">
        <v>2</v>
      </c>
      <c r="J182">
        <v>7</v>
      </c>
      <c r="K182">
        <v>6</v>
      </c>
      <c r="L182">
        <v>1</v>
      </c>
      <c r="M182">
        <v>9</v>
      </c>
      <c r="N182">
        <v>7</v>
      </c>
      <c r="O182">
        <v>2</v>
      </c>
      <c r="P182">
        <v>8</v>
      </c>
      <c r="Q182">
        <v>7</v>
      </c>
      <c r="R182">
        <v>1</v>
      </c>
      <c r="S182">
        <v>9</v>
      </c>
      <c r="T182">
        <v>8</v>
      </c>
      <c r="U182">
        <v>1</v>
      </c>
      <c r="V182">
        <v>8</v>
      </c>
      <c r="W182">
        <v>8</v>
      </c>
      <c r="X182">
        <v>0</v>
      </c>
      <c r="Y182">
        <v>9</v>
      </c>
      <c r="Z182">
        <v>7</v>
      </c>
      <c r="AA182">
        <v>2</v>
      </c>
      <c r="AB182">
        <v>8</v>
      </c>
      <c r="AC182">
        <v>5</v>
      </c>
      <c r="AD182">
        <v>3</v>
      </c>
      <c r="AE182">
        <v>9</v>
      </c>
      <c r="AF182">
        <v>7</v>
      </c>
      <c r="AG182">
        <v>2</v>
      </c>
      <c r="AH182">
        <v>8</v>
      </c>
      <c r="AI182">
        <v>7</v>
      </c>
      <c r="AJ182">
        <v>1</v>
      </c>
      <c r="AK182" t="s">
        <v>1854</v>
      </c>
      <c r="AL182" t="s">
        <v>1855</v>
      </c>
      <c r="AM182" t="s">
        <v>1856</v>
      </c>
      <c r="AN182" t="s">
        <v>1857</v>
      </c>
      <c r="AO182" t="s">
        <v>200</v>
      </c>
      <c r="AP182" t="s">
        <v>1858</v>
      </c>
      <c r="AQ182" t="s">
        <v>1859</v>
      </c>
      <c r="AR182" t="s">
        <v>1860</v>
      </c>
      <c r="AS182" t="s">
        <v>1487</v>
      </c>
    </row>
    <row r="183" spans="1:45" x14ac:dyDescent="0.45">
      <c r="A183">
        <v>182</v>
      </c>
      <c r="B183">
        <v>12526</v>
      </c>
      <c r="C183" t="s">
        <v>72</v>
      </c>
      <c r="D183" t="s">
        <v>81</v>
      </c>
      <c r="E183" t="s">
        <v>74</v>
      </c>
      <c r="F183" t="s">
        <v>77</v>
      </c>
      <c r="G183" t="s">
        <v>76</v>
      </c>
      <c r="H183">
        <v>26.36529032007855</v>
      </c>
      <c r="I183">
        <v>0</v>
      </c>
      <c r="J183">
        <v>7</v>
      </c>
      <c r="K183">
        <v>8</v>
      </c>
      <c r="L183">
        <v>-1</v>
      </c>
      <c r="M183">
        <v>6</v>
      </c>
      <c r="N183">
        <v>8</v>
      </c>
      <c r="O183">
        <v>-2</v>
      </c>
      <c r="P183">
        <v>8</v>
      </c>
      <c r="Q183">
        <v>5</v>
      </c>
      <c r="R183">
        <v>3</v>
      </c>
      <c r="S183">
        <v>9</v>
      </c>
      <c r="T183">
        <v>8</v>
      </c>
      <c r="U183">
        <v>1</v>
      </c>
      <c r="V183">
        <v>7</v>
      </c>
      <c r="W183">
        <v>6</v>
      </c>
      <c r="X183">
        <v>1</v>
      </c>
      <c r="Y183">
        <v>9</v>
      </c>
      <c r="Z183">
        <v>8</v>
      </c>
      <c r="AA183">
        <v>1</v>
      </c>
      <c r="AB183">
        <v>6</v>
      </c>
      <c r="AC183">
        <v>6</v>
      </c>
      <c r="AD183">
        <v>0</v>
      </c>
      <c r="AE183">
        <v>7</v>
      </c>
      <c r="AF183">
        <v>7</v>
      </c>
      <c r="AG183">
        <v>0</v>
      </c>
      <c r="AH183">
        <v>8</v>
      </c>
      <c r="AI183">
        <v>7</v>
      </c>
      <c r="AJ183">
        <v>1</v>
      </c>
      <c r="AK183" t="s">
        <v>1861</v>
      </c>
      <c r="AL183" t="s">
        <v>1862</v>
      </c>
      <c r="AM183" t="s">
        <v>1863</v>
      </c>
      <c r="AN183" t="s">
        <v>1864</v>
      </c>
      <c r="AO183" t="s">
        <v>1865</v>
      </c>
      <c r="AP183" t="s">
        <v>1866</v>
      </c>
      <c r="AQ183" t="s">
        <v>1867</v>
      </c>
      <c r="AR183" t="s">
        <v>1868</v>
      </c>
      <c r="AS183" t="s">
        <v>1869</v>
      </c>
    </row>
    <row r="184" spans="1:45" x14ac:dyDescent="0.45">
      <c r="A184">
        <v>183</v>
      </c>
      <c r="B184">
        <v>12527</v>
      </c>
      <c r="C184" t="s">
        <v>78</v>
      </c>
      <c r="D184" t="s">
        <v>193</v>
      </c>
      <c r="E184" t="s">
        <v>74</v>
      </c>
      <c r="F184" t="s">
        <v>75</v>
      </c>
      <c r="G184" t="s">
        <v>76</v>
      </c>
      <c r="H184">
        <v>242.87940079209727</v>
      </c>
      <c r="I184">
        <v>3</v>
      </c>
      <c r="J184">
        <v>9</v>
      </c>
      <c r="K184">
        <v>2</v>
      </c>
      <c r="L184">
        <v>7</v>
      </c>
      <c r="M184">
        <v>8</v>
      </c>
      <c r="N184">
        <v>5</v>
      </c>
      <c r="O184">
        <v>3</v>
      </c>
      <c r="P184">
        <v>9</v>
      </c>
      <c r="Q184">
        <v>3</v>
      </c>
      <c r="R184">
        <v>6</v>
      </c>
      <c r="S184">
        <v>8</v>
      </c>
      <c r="T184">
        <v>5</v>
      </c>
      <c r="U184">
        <v>3</v>
      </c>
      <c r="V184">
        <v>9</v>
      </c>
      <c r="W184">
        <v>3</v>
      </c>
      <c r="X184">
        <v>6</v>
      </c>
      <c r="Y184">
        <v>8</v>
      </c>
      <c r="Z184">
        <v>2</v>
      </c>
      <c r="AA184">
        <v>6</v>
      </c>
      <c r="AB184">
        <v>9</v>
      </c>
      <c r="AC184">
        <v>1</v>
      </c>
      <c r="AD184">
        <v>8</v>
      </c>
      <c r="AE184">
        <v>8</v>
      </c>
      <c r="AF184">
        <v>5</v>
      </c>
      <c r="AG184">
        <v>3</v>
      </c>
      <c r="AH184">
        <v>9</v>
      </c>
      <c r="AI184">
        <v>5</v>
      </c>
      <c r="AJ184">
        <v>4</v>
      </c>
      <c r="AK184" t="s">
        <v>1870</v>
      </c>
      <c r="AL184" t="s">
        <v>1871</v>
      </c>
      <c r="AM184" t="s">
        <v>1872</v>
      </c>
      <c r="AN184" t="s">
        <v>1873</v>
      </c>
      <c r="AO184" t="s">
        <v>1874</v>
      </c>
      <c r="AP184" t="s">
        <v>1875</v>
      </c>
      <c r="AQ184" t="s">
        <v>1876</v>
      </c>
      <c r="AR184" t="s">
        <v>1877</v>
      </c>
      <c r="AS184" t="s">
        <v>1878</v>
      </c>
    </row>
    <row r="185" spans="1:45" x14ac:dyDescent="0.45">
      <c r="A185">
        <v>184</v>
      </c>
      <c r="B185">
        <v>12528</v>
      </c>
      <c r="C185" t="s">
        <v>78</v>
      </c>
      <c r="D185" t="s">
        <v>189</v>
      </c>
      <c r="E185" t="s">
        <v>74</v>
      </c>
      <c r="F185" t="s">
        <v>77</v>
      </c>
      <c r="G185" t="s">
        <v>76</v>
      </c>
      <c r="H185">
        <v>13.994494786815956</v>
      </c>
      <c r="I185">
        <v>0</v>
      </c>
      <c r="J185">
        <v>8</v>
      </c>
      <c r="K185">
        <v>6</v>
      </c>
      <c r="L185">
        <v>2</v>
      </c>
      <c r="M185">
        <v>9</v>
      </c>
      <c r="N185">
        <v>6</v>
      </c>
      <c r="O185">
        <v>3</v>
      </c>
      <c r="P185">
        <v>8</v>
      </c>
      <c r="Q185">
        <v>5</v>
      </c>
      <c r="R185">
        <v>3</v>
      </c>
      <c r="S185">
        <v>9</v>
      </c>
      <c r="T185">
        <v>9</v>
      </c>
      <c r="U185">
        <v>0</v>
      </c>
      <c r="V185">
        <v>8</v>
      </c>
      <c r="W185">
        <v>7</v>
      </c>
      <c r="X185">
        <v>1</v>
      </c>
      <c r="Y185">
        <v>9</v>
      </c>
      <c r="Z185">
        <v>8</v>
      </c>
      <c r="AA185">
        <v>1</v>
      </c>
      <c r="AB185">
        <v>8</v>
      </c>
      <c r="AC185">
        <v>5</v>
      </c>
      <c r="AD185">
        <v>3</v>
      </c>
      <c r="AE185">
        <v>9</v>
      </c>
      <c r="AF185">
        <v>7</v>
      </c>
      <c r="AG185">
        <v>2</v>
      </c>
      <c r="AH185">
        <v>9</v>
      </c>
      <c r="AI185">
        <v>7</v>
      </c>
      <c r="AJ185">
        <v>2</v>
      </c>
      <c r="AK185" t="s">
        <v>1879</v>
      </c>
      <c r="AL185" t="s">
        <v>1880</v>
      </c>
      <c r="AM185" t="s">
        <v>1881</v>
      </c>
      <c r="AN185" t="s">
        <v>1882</v>
      </c>
      <c r="AO185" t="s">
        <v>1883</v>
      </c>
      <c r="AP185" t="s">
        <v>1884</v>
      </c>
      <c r="AQ185" t="s">
        <v>1885</v>
      </c>
      <c r="AR185" t="s">
        <v>1886</v>
      </c>
      <c r="AS185" t="s">
        <v>1887</v>
      </c>
    </row>
    <row r="186" spans="1:45" x14ac:dyDescent="0.45">
      <c r="A186">
        <v>185</v>
      </c>
      <c r="B186">
        <v>12529</v>
      </c>
      <c r="C186" t="s">
        <v>72</v>
      </c>
      <c r="D186" t="s">
        <v>79</v>
      </c>
      <c r="E186" t="s">
        <v>80</v>
      </c>
      <c r="F186" t="s">
        <v>77</v>
      </c>
      <c r="G186" t="s">
        <v>162</v>
      </c>
      <c r="H186">
        <v>43.39396714593326</v>
      </c>
      <c r="I186">
        <v>3</v>
      </c>
      <c r="J186">
        <v>5</v>
      </c>
      <c r="K186">
        <v>7</v>
      </c>
      <c r="L186">
        <v>-2</v>
      </c>
      <c r="M186">
        <v>6</v>
      </c>
      <c r="N186">
        <v>7</v>
      </c>
      <c r="O186">
        <v>-1</v>
      </c>
      <c r="P186">
        <v>9</v>
      </c>
      <c r="Q186">
        <v>6</v>
      </c>
      <c r="R186">
        <v>3</v>
      </c>
      <c r="S186">
        <v>9</v>
      </c>
      <c r="T186">
        <v>8</v>
      </c>
      <c r="U186">
        <v>1</v>
      </c>
      <c r="V186">
        <v>7</v>
      </c>
      <c r="W186">
        <v>5</v>
      </c>
      <c r="X186">
        <v>2</v>
      </c>
      <c r="Y186">
        <v>8</v>
      </c>
      <c r="Z186">
        <v>5</v>
      </c>
      <c r="AA186">
        <v>3</v>
      </c>
      <c r="AB186">
        <v>7</v>
      </c>
      <c r="AC186">
        <v>5</v>
      </c>
      <c r="AD186">
        <v>2</v>
      </c>
      <c r="AE186">
        <v>8</v>
      </c>
      <c r="AF186">
        <v>6</v>
      </c>
      <c r="AG186">
        <v>2</v>
      </c>
      <c r="AH186">
        <v>7</v>
      </c>
      <c r="AI186">
        <v>5</v>
      </c>
      <c r="AJ186">
        <v>2</v>
      </c>
      <c r="AK186" t="s">
        <v>1888</v>
      </c>
      <c r="AL186" t="s">
        <v>1889</v>
      </c>
      <c r="AM186" t="s">
        <v>1890</v>
      </c>
      <c r="AN186" t="s">
        <v>1891</v>
      </c>
      <c r="AO186" t="s">
        <v>1892</v>
      </c>
      <c r="AP186" t="s">
        <v>1893</v>
      </c>
      <c r="AQ186" t="s">
        <v>1894</v>
      </c>
      <c r="AR186" t="s">
        <v>1895</v>
      </c>
      <c r="AS186" t="s">
        <v>1896</v>
      </c>
    </row>
    <row r="187" spans="1:45" x14ac:dyDescent="0.45">
      <c r="A187">
        <v>186</v>
      </c>
      <c r="B187">
        <v>12530</v>
      </c>
      <c r="C187" t="s">
        <v>72</v>
      </c>
      <c r="D187" t="s">
        <v>193</v>
      </c>
      <c r="E187" t="s">
        <v>74</v>
      </c>
      <c r="F187" t="s">
        <v>77</v>
      </c>
      <c r="G187" t="s">
        <v>162</v>
      </c>
      <c r="H187">
        <v>16.82927701635651</v>
      </c>
      <c r="I187">
        <v>0</v>
      </c>
      <c r="J187">
        <v>7</v>
      </c>
      <c r="K187">
        <v>7</v>
      </c>
      <c r="L187">
        <v>0</v>
      </c>
      <c r="M187">
        <v>8</v>
      </c>
      <c r="N187">
        <v>7</v>
      </c>
      <c r="O187">
        <v>1</v>
      </c>
      <c r="P187">
        <v>9</v>
      </c>
      <c r="Q187">
        <v>5</v>
      </c>
      <c r="R187">
        <v>4</v>
      </c>
      <c r="S187">
        <v>9</v>
      </c>
      <c r="T187">
        <v>7</v>
      </c>
      <c r="U187">
        <v>2</v>
      </c>
      <c r="V187">
        <v>8</v>
      </c>
      <c r="W187">
        <v>5</v>
      </c>
      <c r="X187">
        <v>3</v>
      </c>
      <c r="Y187">
        <v>9</v>
      </c>
      <c r="Z187">
        <v>5</v>
      </c>
      <c r="AA187">
        <v>4</v>
      </c>
      <c r="AB187">
        <v>8</v>
      </c>
      <c r="AC187">
        <v>5</v>
      </c>
      <c r="AD187">
        <v>3</v>
      </c>
      <c r="AE187">
        <v>9</v>
      </c>
      <c r="AF187">
        <v>5</v>
      </c>
      <c r="AG187">
        <v>4</v>
      </c>
      <c r="AH187">
        <v>10</v>
      </c>
      <c r="AI187">
        <v>6</v>
      </c>
      <c r="AJ187">
        <v>4</v>
      </c>
      <c r="AK187" t="s">
        <v>1897</v>
      </c>
      <c r="AL187" t="s">
        <v>1898</v>
      </c>
      <c r="AM187" t="s">
        <v>1899</v>
      </c>
      <c r="AN187" t="s">
        <v>1900</v>
      </c>
      <c r="AO187" t="s">
        <v>1901</v>
      </c>
      <c r="AP187" t="s">
        <v>1902</v>
      </c>
      <c r="AQ187" t="s">
        <v>1903</v>
      </c>
      <c r="AR187" t="s">
        <v>1904</v>
      </c>
      <c r="AS187" t="s">
        <v>1905</v>
      </c>
    </row>
    <row r="188" spans="1:45" x14ac:dyDescent="0.45">
      <c r="A188">
        <v>187</v>
      </c>
      <c r="B188">
        <v>12531</v>
      </c>
      <c r="C188" t="s">
        <v>78</v>
      </c>
      <c r="D188" t="s">
        <v>79</v>
      </c>
      <c r="E188" t="s">
        <v>74</v>
      </c>
      <c r="F188" t="s">
        <v>75</v>
      </c>
      <c r="G188" t="s">
        <v>76</v>
      </c>
      <c r="H188">
        <v>39.764813302683351</v>
      </c>
      <c r="I188">
        <v>2</v>
      </c>
      <c r="J188">
        <v>7</v>
      </c>
      <c r="K188">
        <v>6</v>
      </c>
      <c r="L188">
        <v>1</v>
      </c>
      <c r="M188">
        <v>6</v>
      </c>
      <c r="N188">
        <v>7</v>
      </c>
      <c r="O188">
        <v>-1</v>
      </c>
      <c r="P188">
        <v>9</v>
      </c>
      <c r="Q188">
        <v>6</v>
      </c>
      <c r="R188">
        <v>3</v>
      </c>
      <c r="S188">
        <v>8</v>
      </c>
      <c r="T188">
        <v>7</v>
      </c>
      <c r="U188">
        <v>1</v>
      </c>
      <c r="V188">
        <v>9</v>
      </c>
      <c r="W188">
        <v>6</v>
      </c>
      <c r="X188">
        <v>3</v>
      </c>
      <c r="Y188">
        <v>8</v>
      </c>
      <c r="Z188">
        <v>6</v>
      </c>
      <c r="AA188">
        <v>2</v>
      </c>
      <c r="AB188">
        <v>9</v>
      </c>
      <c r="AC188">
        <v>5</v>
      </c>
      <c r="AD188">
        <v>4</v>
      </c>
      <c r="AE188">
        <v>7</v>
      </c>
      <c r="AF188">
        <v>5</v>
      </c>
      <c r="AG188">
        <v>2</v>
      </c>
      <c r="AH188">
        <v>9</v>
      </c>
      <c r="AI188">
        <v>6</v>
      </c>
      <c r="AJ188">
        <v>3</v>
      </c>
      <c r="AK188" t="s">
        <v>1906</v>
      </c>
      <c r="AL188" t="s">
        <v>1907</v>
      </c>
      <c r="AM188" t="s">
        <v>1908</v>
      </c>
      <c r="AN188" t="s">
        <v>1909</v>
      </c>
      <c r="AO188" t="s">
        <v>1910</v>
      </c>
      <c r="AP188" t="s">
        <v>1911</v>
      </c>
      <c r="AQ188" t="s">
        <v>1912</v>
      </c>
      <c r="AR188" t="s">
        <v>1913</v>
      </c>
      <c r="AS188" t="s">
        <v>1914</v>
      </c>
    </row>
    <row r="189" spans="1:45" x14ac:dyDescent="0.45">
      <c r="A189">
        <v>188</v>
      </c>
      <c r="B189">
        <v>12532</v>
      </c>
      <c r="C189" t="s">
        <v>78</v>
      </c>
      <c r="D189" t="s">
        <v>81</v>
      </c>
      <c r="E189" t="s">
        <v>74</v>
      </c>
      <c r="F189" t="s">
        <v>77</v>
      </c>
      <c r="G189" t="s">
        <v>76</v>
      </c>
      <c r="H189">
        <v>23.899020392281038</v>
      </c>
      <c r="I189">
        <v>1</v>
      </c>
      <c r="J189">
        <v>7</v>
      </c>
      <c r="K189">
        <v>5</v>
      </c>
      <c r="L189">
        <v>2</v>
      </c>
      <c r="M189">
        <v>8</v>
      </c>
      <c r="N189">
        <v>5</v>
      </c>
      <c r="O189">
        <v>3</v>
      </c>
      <c r="P189">
        <v>7</v>
      </c>
      <c r="Q189">
        <v>4</v>
      </c>
      <c r="R189">
        <v>3</v>
      </c>
      <c r="S189">
        <v>9</v>
      </c>
      <c r="T189">
        <v>6</v>
      </c>
      <c r="U189">
        <v>3</v>
      </c>
      <c r="V189">
        <v>7</v>
      </c>
      <c r="W189">
        <v>5</v>
      </c>
      <c r="X189">
        <v>2</v>
      </c>
      <c r="Y189">
        <v>9</v>
      </c>
      <c r="Z189">
        <v>5</v>
      </c>
      <c r="AA189">
        <v>4</v>
      </c>
      <c r="AB189">
        <v>7</v>
      </c>
      <c r="AC189">
        <v>5</v>
      </c>
      <c r="AD189">
        <v>2</v>
      </c>
      <c r="AE189">
        <v>8</v>
      </c>
      <c r="AF189">
        <v>5</v>
      </c>
      <c r="AG189">
        <v>3</v>
      </c>
      <c r="AH189">
        <v>9</v>
      </c>
      <c r="AI189">
        <v>5</v>
      </c>
      <c r="AJ189">
        <v>4</v>
      </c>
      <c r="AK189" t="s">
        <v>1915</v>
      </c>
      <c r="AL189" t="s">
        <v>1916</v>
      </c>
      <c r="AM189" t="s">
        <v>1917</v>
      </c>
      <c r="AN189" t="s">
        <v>1918</v>
      </c>
      <c r="AO189" t="s">
        <v>1919</v>
      </c>
      <c r="AP189" t="s">
        <v>1920</v>
      </c>
      <c r="AQ189" t="s">
        <v>1921</v>
      </c>
      <c r="AR189" t="s">
        <v>1922</v>
      </c>
      <c r="AS189" t="s">
        <v>1923</v>
      </c>
    </row>
    <row r="190" spans="1:45" x14ac:dyDescent="0.45">
      <c r="A190">
        <v>189</v>
      </c>
      <c r="B190">
        <v>12533</v>
      </c>
      <c r="C190" t="s">
        <v>78</v>
      </c>
      <c r="D190" t="s">
        <v>79</v>
      </c>
      <c r="E190" t="s">
        <v>74</v>
      </c>
      <c r="F190" t="s">
        <v>77</v>
      </c>
      <c r="G190" t="s">
        <v>76</v>
      </c>
      <c r="H190">
        <v>63.016318068555478</v>
      </c>
      <c r="I190">
        <v>2</v>
      </c>
      <c r="J190">
        <v>7</v>
      </c>
      <c r="K190">
        <v>8</v>
      </c>
      <c r="L190">
        <v>-1</v>
      </c>
      <c r="M190">
        <v>6</v>
      </c>
      <c r="N190">
        <v>8</v>
      </c>
      <c r="O190">
        <v>-2</v>
      </c>
      <c r="P190">
        <v>8</v>
      </c>
      <c r="Q190">
        <v>5</v>
      </c>
      <c r="R190">
        <v>3</v>
      </c>
      <c r="S190">
        <v>9</v>
      </c>
      <c r="T190">
        <v>7</v>
      </c>
      <c r="U190">
        <v>2</v>
      </c>
      <c r="V190">
        <v>8</v>
      </c>
      <c r="W190">
        <v>6</v>
      </c>
      <c r="X190">
        <v>2</v>
      </c>
      <c r="Y190">
        <v>8</v>
      </c>
      <c r="Z190">
        <v>8</v>
      </c>
      <c r="AA190">
        <v>0</v>
      </c>
      <c r="AB190">
        <v>8</v>
      </c>
      <c r="AC190">
        <v>5</v>
      </c>
      <c r="AD190">
        <v>3</v>
      </c>
      <c r="AE190">
        <v>7</v>
      </c>
      <c r="AF190">
        <v>7</v>
      </c>
      <c r="AG190">
        <v>0</v>
      </c>
      <c r="AH190">
        <v>9</v>
      </c>
      <c r="AI190">
        <v>8</v>
      </c>
      <c r="AJ190">
        <v>1</v>
      </c>
      <c r="AK190" t="s">
        <v>1924</v>
      </c>
      <c r="AL190" t="s">
        <v>1925</v>
      </c>
      <c r="AM190" t="s">
        <v>1926</v>
      </c>
      <c r="AN190" t="s">
        <v>1927</v>
      </c>
      <c r="AO190" t="s">
        <v>1928</v>
      </c>
      <c r="AP190" t="s">
        <v>1929</v>
      </c>
      <c r="AQ190" t="s">
        <v>1930</v>
      </c>
      <c r="AR190" t="s">
        <v>1931</v>
      </c>
      <c r="AS190" t="s">
        <v>1932</v>
      </c>
    </row>
    <row r="191" spans="1:45" x14ac:dyDescent="0.45">
      <c r="A191">
        <v>190</v>
      </c>
      <c r="B191">
        <v>12534</v>
      </c>
      <c r="C191" t="s">
        <v>78</v>
      </c>
      <c r="D191" t="s">
        <v>81</v>
      </c>
      <c r="E191" t="s">
        <v>74</v>
      </c>
      <c r="F191" t="s">
        <v>75</v>
      </c>
      <c r="G191" t="s">
        <v>76</v>
      </c>
      <c r="H191">
        <v>30.021595312853684</v>
      </c>
      <c r="I191">
        <v>0</v>
      </c>
      <c r="J191">
        <v>6</v>
      </c>
      <c r="K191">
        <v>7</v>
      </c>
      <c r="L191">
        <v>-1</v>
      </c>
      <c r="M191">
        <v>7</v>
      </c>
      <c r="N191">
        <v>7</v>
      </c>
      <c r="O191">
        <v>0</v>
      </c>
      <c r="P191">
        <v>8</v>
      </c>
      <c r="Q191">
        <v>7</v>
      </c>
      <c r="R191">
        <v>1</v>
      </c>
      <c r="S191">
        <v>9</v>
      </c>
      <c r="T191">
        <v>8</v>
      </c>
      <c r="U191">
        <v>1</v>
      </c>
      <c r="V191">
        <v>6</v>
      </c>
      <c r="W191">
        <v>3</v>
      </c>
      <c r="X191">
        <v>3</v>
      </c>
      <c r="Y191">
        <v>7</v>
      </c>
      <c r="Z191">
        <v>3</v>
      </c>
      <c r="AA191">
        <v>4</v>
      </c>
      <c r="AB191">
        <v>6</v>
      </c>
      <c r="AC191">
        <v>2</v>
      </c>
      <c r="AD191">
        <v>4</v>
      </c>
      <c r="AE191">
        <v>7</v>
      </c>
      <c r="AF191">
        <v>3</v>
      </c>
      <c r="AG191">
        <v>4</v>
      </c>
      <c r="AH191">
        <v>8</v>
      </c>
      <c r="AI191">
        <v>8</v>
      </c>
      <c r="AJ191">
        <v>0</v>
      </c>
      <c r="AK191" t="s">
        <v>1933</v>
      </c>
      <c r="AL191" t="s">
        <v>1934</v>
      </c>
      <c r="AM191" t="s">
        <v>1935</v>
      </c>
      <c r="AN191" t="s">
        <v>1936</v>
      </c>
      <c r="AO191" t="s">
        <v>1937</v>
      </c>
      <c r="AP191" t="s">
        <v>1938</v>
      </c>
      <c r="AQ191" t="s">
        <v>1939</v>
      </c>
      <c r="AR191" t="s">
        <v>1940</v>
      </c>
      <c r="AS191" t="s">
        <v>1941</v>
      </c>
    </row>
    <row r="192" spans="1:45" x14ac:dyDescent="0.45">
      <c r="A192">
        <v>191</v>
      </c>
      <c r="B192">
        <v>12535</v>
      </c>
      <c r="C192" t="s">
        <v>78</v>
      </c>
      <c r="D192" t="s">
        <v>73</v>
      </c>
      <c r="E192" t="s">
        <v>74</v>
      </c>
      <c r="F192" t="s">
        <v>75</v>
      </c>
      <c r="G192" t="s">
        <v>76</v>
      </c>
      <c r="H192">
        <v>66.799216260172798</v>
      </c>
      <c r="I192">
        <v>3</v>
      </c>
      <c r="J192">
        <v>7</v>
      </c>
      <c r="K192">
        <v>7</v>
      </c>
      <c r="L192">
        <v>0</v>
      </c>
      <c r="M192">
        <v>8</v>
      </c>
      <c r="N192">
        <v>7</v>
      </c>
      <c r="O192">
        <v>1</v>
      </c>
      <c r="P192">
        <v>9</v>
      </c>
      <c r="Q192">
        <v>6</v>
      </c>
      <c r="R192">
        <v>3</v>
      </c>
      <c r="S192">
        <v>8</v>
      </c>
      <c r="T192">
        <v>8</v>
      </c>
      <c r="U192">
        <v>0</v>
      </c>
      <c r="V192">
        <v>9</v>
      </c>
      <c r="W192">
        <v>7</v>
      </c>
      <c r="X192">
        <v>2</v>
      </c>
      <c r="Y192">
        <v>8</v>
      </c>
      <c r="Z192">
        <v>8</v>
      </c>
      <c r="AA192">
        <v>0</v>
      </c>
      <c r="AB192">
        <v>9</v>
      </c>
      <c r="AC192">
        <v>7</v>
      </c>
      <c r="AD192">
        <v>2</v>
      </c>
      <c r="AE192">
        <v>8</v>
      </c>
      <c r="AF192">
        <v>7</v>
      </c>
      <c r="AG192">
        <v>1</v>
      </c>
      <c r="AH192">
        <v>9</v>
      </c>
      <c r="AI192">
        <v>7</v>
      </c>
      <c r="AJ192">
        <v>2</v>
      </c>
      <c r="AK192" t="s">
        <v>1942</v>
      </c>
      <c r="AL192" t="s">
        <v>1943</v>
      </c>
      <c r="AM192" t="s">
        <v>1944</v>
      </c>
      <c r="AN192" t="s">
        <v>1945</v>
      </c>
      <c r="AO192" t="s">
        <v>1946</v>
      </c>
      <c r="AP192" t="s">
        <v>1947</v>
      </c>
      <c r="AQ192" t="s">
        <v>1948</v>
      </c>
      <c r="AR192" t="s">
        <v>1949</v>
      </c>
      <c r="AS192" t="s">
        <v>1950</v>
      </c>
    </row>
    <row r="193" spans="1:45" x14ac:dyDescent="0.45">
      <c r="A193">
        <v>192</v>
      </c>
      <c r="B193">
        <v>12536</v>
      </c>
      <c r="C193" t="s">
        <v>72</v>
      </c>
      <c r="D193" t="s">
        <v>189</v>
      </c>
      <c r="E193" t="s">
        <v>74</v>
      </c>
      <c r="F193" t="s">
        <v>77</v>
      </c>
      <c r="G193" t="s">
        <v>76</v>
      </c>
      <c r="H193">
        <v>21.289438298288918</v>
      </c>
      <c r="I193">
        <v>0</v>
      </c>
      <c r="J193">
        <v>6</v>
      </c>
      <c r="K193">
        <v>8</v>
      </c>
      <c r="L193">
        <v>-2</v>
      </c>
      <c r="M193">
        <v>7</v>
      </c>
      <c r="N193">
        <v>8</v>
      </c>
      <c r="O193">
        <v>-1</v>
      </c>
      <c r="P193">
        <v>9</v>
      </c>
      <c r="Q193">
        <v>9</v>
      </c>
      <c r="R193">
        <v>0</v>
      </c>
      <c r="S193">
        <v>9</v>
      </c>
      <c r="T193">
        <v>9</v>
      </c>
      <c r="U193">
        <v>0</v>
      </c>
      <c r="W193">
        <v>9</v>
      </c>
      <c r="Z193">
        <v>9</v>
      </c>
      <c r="AC193">
        <v>8</v>
      </c>
      <c r="AF193">
        <v>8</v>
      </c>
      <c r="AI193">
        <v>9</v>
      </c>
      <c r="AK193" t="s">
        <v>202</v>
      </c>
      <c r="AL193" t="s">
        <v>202</v>
      </c>
      <c r="AM193" t="s">
        <v>202</v>
      </c>
      <c r="AN193" t="s">
        <v>202</v>
      </c>
      <c r="AO193" t="s">
        <v>202</v>
      </c>
      <c r="AP193" t="s">
        <v>202</v>
      </c>
      <c r="AQ193" t="s">
        <v>202</v>
      </c>
      <c r="AR193" t="s">
        <v>202</v>
      </c>
      <c r="AS193" t="s">
        <v>202</v>
      </c>
    </row>
    <row r="194" spans="1:45" x14ac:dyDescent="0.45">
      <c r="A194">
        <v>193</v>
      </c>
      <c r="B194">
        <v>12537</v>
      </c>
      <c r="C194" t="s">
        <v>72</v>
      </c>
      <c r="D194" t="s">
        <v>79</v>
      </c>
      <c r="E194" t="s">
        <v>74</v>
      </c>
      <c r="F194" t="s">
        <v>77</v>
      </c>
      <c r="G194" t="s">
        <v>76</v>
      </c>
      <c r="H194">
        <v>27.398381780266153</v>
      </c>
      <c r="I194">
        <v>2</v>
      </c>
      <c r="J194">
        <v>6</v>
      </c>
      <c r="K194">
        <v>1</v>
      </c>
      <c r="L194">
        <v>5</v>
      </c>
      <c r="M194">
        <v>7</v>
      </c>
      <c r="N194">
        <v>1</v>
      </c>
      <c r="O194">
        <v>6</v>
      </c>
      <c r="P194">
        <v>8</v>
      </c>
      <c r="Q194">
        <v>7</v>
      </c>
      <c r="R194">
        <v>1</v>
      </c>
      <c r="S194">
        <v>9</v>
      </c>
      <c r="T194">
        <v>5</v>
      </c>
      <c r="U194">
        <v>4</v>
      </c>
      <c r="V194">
        <v>8</v>
      </c>
      <c r="W194">
        <v>5</v>
      </c>
      <c r="X194">
        <v>3</v>
      </c>
      <c r="Y194">
        <v>9</v>
      </c>
      <c r="Z194">
        <v>7</v>
      </c>
      <c r="AA194">
        <v>2</v>
      </c>
      <c r="AB194">
        <v>7</v>
      </c>
      <c r="AC194">
        <v>2</v>
      </c>
      <c r="AD194">
        <v>5</v>
      </c>
      <c r="AE194">
        <v>7</v>
      </c>
      <c r="AF194">
        <v>5</v>
      </c>
      <c r="AG194">
        <v>2</v>
      </c>
      <c r="AH194">
        <v>9</v>
      </c>
      <c r="AI194">
        <v>5</v>
      </c>
      <c r="AJ194">
        <v>4</v>
      </c>
      <c r="AK194" t="s">
        <v>1951</v>
      </c>
      <c r="AL194" t="s">
        <v>1952</v>
      </c>
      <c r="AM194" t="s">
        <v>1953</v>
      </c>
      <c r="AN194" t="s">
        <v>1954</v>
      </c>
      <c r="AO194" t="s">
        <v>1955</v>
      </c>
      <c r="AP194" t="s">
        <v>1956</v>
      </c>
      <c r="AQ194" t="s">
        <v>1957</v>
      </c>
      <c r="AR194" t="s">
        <v>1958</v>
      </c>
      <c r="AS194" t="s">
        <v>1959</v>
      </c>
    </row>
    <row r="195" spans="1:45" x14ac:dyDescent="0.45">
      <c r="A195">
        <v>194</v>
      </c>
      <c r="B195">
        <v>12538</v>
      </c>
      <c r="C195" t="s">
        <v>72</v>
      </c>
      <c r="D195" t="s">
        <v>73</v>
      </c>
      <c r="E195" t="s">
        <v>74</v>
      </c>
      <c r="F195" t="s">
        <v>77</v>
      </c>
      <c r="G195" t="s">
        <v>76</v>
      </c>
      <c r="H195">
        <v>18.332168616202658</v>
      </c>
      <c r="I195">
        <v>1</v>
      </c>
      <c r="J195">
        <v>7</v>
      </c>
      <c r="K195">
        <v>10</v>
      </c>
      <c r="L195">
        <v>-3</v>
      </c>
      <c r="M195">
        <v>6</v>
      </c>
      <c r="N195">
        <v>10</v>
      </c>
      <c r="O195">
        <v>-4</v>
      </c>
      <c r="P195">
        <v>9</v>
      </c>
      <c r="Q195">
        <v>6</v>
      </c>
      <c r="R195">
        <v>3</v>
      </c>
      <c r="S195">
        <v>8</v>
      </c>
      <c r="T195">
        <v>4</v>
      </c>
      <c r="U195">
        <v>4</v>
      </c>
      <c r="V195">
        <v>7</v>
      </c>
      <c r="W195">
        <v>8</v>
      </c>
      <c r="X195">
        <v>-1</v>
      </c>
      <c r="Y195">
        <v>8</v>
      </c>
      <c r="Z195">
        <v>3</v>
      </c>
      <c r="AA195">
        <v>5</v>
      </c>
      <c r="AB195">
        <v>7</v>
      </c>
      <c r="AC195">
        <v>10</v>
      </c>
      <c r="AD195">
        <v>-3</v>
      </c>
      <c r="AE195">
        <v>8</v>
      </c>
      <c r="AF195">
        <v>10</v>
      </c>
      <c r="AG195">
        <v>-2</v>
      </c>
      <c r="AH195">
        <v>7</v>
      </c>
      <c r="AI195">
        <v>10</v>
      </c>
      <c r="AJ195">
        <v>-3</v>
      </c>
      <c r="AK195" t="s">
        <v>1960</v>
      </c>
      <c r="AL195" t="s">
        <v>1961</v>
      </c>
      <c r="AM195" t="s">
        <v>1962</v>
      </c>
      <c r="AN195" t="s">
        <v>1963</v>
      </c>
      <c r="AO195" t="s">
        <v>223</v>
      </c>
      <c r="AP195" t="s">
        <v>1964</v>
      </c>
      <c r="AQ195" t="s">
        <v>1965</v>
      </c>
      <c r="AR195" t="s">
        <v>1966</v>
      </c>
      <c r="AS195" t="s">
        <v>1967</v>
      </c>
    </row>
    <row r="196" spans="1:45" x14ac:dyDescent="0.45">
      <c r="A196">
        <v>195</v>
      </c>
      <c r="B196">
        <v>12539</v>
      </c>
      <c r="C196" t="s">
        <v>72</v>
      </c>
      <c r="D196" t="s">
        <v>81</v>
      </c>
      <c r="E196" t="s">
        <v>74</v>
      </c>
      <c r="F196" t="s">
        <v>77</v>
      </c>
      <c r="G196" t="s">
        <v>76</v>
      </c>
      <c r="H196">
        <v>15.358378889667776</v>
      </c>
      <c r="I196">
        <v>1</v>
      </c>
      <c r="J196">
        <v>8</v>
      </c>
      <c r="K196">
        <v>9</v>
      </c>
      <c r="L196">
        <v>-1</v>
      </c>
      <c r="M196">
        <v>9</v>
      </c>
      <c r="N196">
        <v>9</v>
      </c>
      <c r="O196">
        <v>0</v>
      </c>
      <c r="P196">
        <v>8</v>
      </c>
      <c r="Q196">
        <v>5</v>
      </c>
      <c r="R196">
        <v>3</v>
      </c>
      <c r="S196">
        <v>9</v>
      </c>
      <c r="T196">
        <v>5</v>
      </c>
      <c r="U196">
        <v>4</v>
      </c>
      <c r="V196">
        <v>8</v>
      </c>
      <c r="W196">
        <v>7</v>
      </c>
      <c r="X196">
        <v>1</v>
      </c>
      <c r="Y196">
        <v>9</v>
      </c>
      <c r="Z196">
        <v>7</v>
      </c>
      <c r="AA196">
        <v>2</v>
      </c>
      <c r="AB196">
        <v>8</v>
      </c>
      <c r="AC196">
        <v>8</v>
      </c>
      <c r="AD196">
        <v>0</v>
      </c>
      <c r="AE196">
        <v>9</v>
      </c>
      <c r="AF196">
        <v>8</v>
      </c>
      <c r="AG196">
        <v>1</v>
      </c>
      <c r="AH196">
        <v>8</v>
      </c>
      <c r="AI196">
        <v>8</v>
      </c>
      <c r="AJ196">
        <v>0</v>
      </c>
      <c r="AK196" t="s">
        <v>1968</v>
      </c>
      <c r="AL196" t="s">
        <v>1969</v>
      </c>
      <c r="AM196" t="s">
        <v>1970</v>
      </c>
      <c r="AN196" t="s">
        <v>1971</v>
      </c>
      <c r="AO196" t="s">
        <v>1972</v>
      </c>
      <c r="AP196" t="s">
        <v>1973</v>
      </c>
      <c r="AQ196" t="s">
        <v>1974</v>
      </c>
      <c r="AR196" t="s">
        <v>1975</v>
      </c>
      <c r="AS196" t="s">
        <v>1976</v>
      </c>
    </row>
    <row r="197" spans="1:45" x14ac:dyDescent="0.45">
      <c r="A197">
        <v>196</v>
      </c>
      <c r="B197">
        <v>12540</v>
      </c>
      <c r="C197" t="s">
        <v>78</v>
      </c>
      <c r="D197" t="s">
        <v>79</v>
      </c>
      <c r="E197" t="s">
        <v>74</v>
      </c>
      <c r="F197" t="s">
        <v>77</v>
      </c>
      <c r="G197" t="s">
        <v>76</v>
      </c>
      <c r="H197">
        <v>13.580925821871581</v>
      </c>
      <c r="I197">
        <v>2</v>
      </c>
      <c r="J197">
        <v>7</v>
      </c>
      <c r="K197">
        <v>9</v>
      </c>
      <c r="L197">
        <v>-2</v>
      </c>
      <c r="M197">
        <v>6</v>
      </c>
      <c r="N197">
        <v>9</v>
      </c>
      <c r="O197">
        <v>-3</v>
      </c>
      <c r="P197">
        <v>9</v>
      </c>
      <c r="Q197">
        <v>9</v>
      </c>
      <c r="R197">
        <v>0</v>
      </c>
      <c r="S197">
        <v>8</v>
      </c>
      <c r="T197">
        <v>9</v>
      </c>
      <c r="U197">
        <v>-1</v>
      </c>
      <c r="V197">
        <v>7</v>
      </c>
      <c r="W197">
        <v>9</v>
      </c>
      <c r="X197">
        <v>-2</v>
      </c>
      <c r="Y197">
        <v>9</v>
      </c>
      <c r="Z197">
        <v>9</v>
      </c>
      <c r="AA197">
        <v>0</v>
      </c>
      <c r="AB197">
        <v>6</v>
      </c>
      <c r="AC197">
        <v>9</v>
      </c>
      <c r="AD197">
        <v>-3</v>
      </c>
      <c r="AE197">
        <v>8</v>
      </c>
      <c r="AF197">
        <v>9</v>
      </c>
      <c r="AG197">
        <v>-1</v>
      </c>
      <c r="AH197">
        <v>7</v>
      </c>
      <c r="AI197">
        <v>9</v>
      </c>
      <c r="AJ197">
        <v>-2</v>
      </c>
      <c r="AK197" t="s">
        <v>1977</v>
      </c>
      <c r="AL197" t="s">
        <v>1978</v>
      </c>
      <c r="AM197" t="s">
        <v>1979</v>
      </c>
      <c r="AN197" t="s">
        <v>1980</v>
      </c>
      <c r="AO197" t="s">
        <v>1981</v>
      </c>
      <c r="AP197" t="s">
        <v>1982</v>
      </c>
      <c r="AQ197" t="s">
        <v>1983</v>
      </c>
      <c r="AR197" t="s">
        <v>1984</v>
      </c>
      <c r="AS197" t="s">
        <v>1985</v>
      </c>
    </row>
    <row r="198" spans="1:45" x14ac:dyDescent="0.45">
      <c r="A198">
        <v>197</v>
      </c>
      <c r="B198">
        <v>12541</v>
      </c>
      <c r="C198" t="s">
        <v>72</v>
      </c>
      <c r="D198" t="s">
        <v>79</v>
      </c>
      <c r="E198" t="s">
        <v>74</v>
      </c>
      <c r="F198" t="s">
        <v>75</v>
      </c>
      <c r="G198" t="s">
        <v>76</v>
      </c>
      <c r="H198">
        <v>15.159162714908897</v>
      </c>
      <c r="I198">
        <v>3</v>
      </c>
      <c r="J198">
        <v>6</v>
      </c>
      <c r="K198">
        <v>9</v>
      </c>
      <c r="L198">
        <v>-3</v>
      </c>
      <c r="M198">
        <v>7</v>
      </c>
      <c r="N198">
        <v>10</v>
      </c>
      <c r="O198">
        <v>-3</v>
      </c>
      <c r="P198">
        <v>8</v>
      </c>
      <c r="Q198">
        <v>10</v>
      </c>
      <c r="R198">
        <v>-2</v>
      </c>
      <c r="S198">
        <v>9</v>
      </c>
      <c r="T198">
        <v>9</v>
      </c>
      <c r="U198">
        <v>0</v>
      </c>
      <c r="V198">
        <v>8</v>
      </c>
      <c r="W198">
        <v>10</v>
      </c>
      <c r="X198">
        <v>-2</v>
      </c>
      <c r="Y198">
        <v>9</v>
      </c>
      <c r="Z198">
        <v>10</v>
      </c>
      <c r="AA198">
        <v>-1</v>
      </c>
      <c r="AB198">
        <v>8</v>
      </c>
      <c r="AC198">
        <v>10</v>
      </c>
      <c r="AD198">
        <v>-2</v>
      </c>
      <c r="AE198">
        <v>9</v>
      </c>
      <c r="AF198">
        <v>9</v>
      </c>
      <c r="AG198">
        <v>0</v>
      </c>
      <c r="AH198">
        <v>9</v>
      </c>
      <c r="AI198">
        <v>10</v>
      </c>
      <c r="AJ198">
        <v>-1</v>
      </c>
      <c r="AK198" t="s">
        <v>1986</v>
      </c>
      <c r="AL198" t="s">
        <v>1987</v>
      </c>
      <c r="AM198" t="s">
        <v>1988</v>
      </c>
      <c r="AN198" t="s">
        <v>1989</v>
      </c>
      <c r="AO198" t="s">
        <v>1990</v>
      </c>
      <c r="AP198" t="s">
        <v>1991</v>
      </c>
      <c r="AQ198" t="s">
        <v>1992</v>
      </c>
      <c r="AR198" t="s">
        <v>1993</v>
      </c>
      <c r="AS198" t="s">
        <v>1994</v>
      </c>
    </row>
    <row r="199" spans="1:45" x14ac:dyDescent="0.45">
      <c r="A199">
        <v>198</v>
      </c>
      <c r="B199">
        <v>12542</v>
      </c>
      <c r="C199" t="s">
        <v>72</v>
      </c>
      <c r="D199" t="s">
        <v>79</v>
      </c>
      <c r="E199" t="s">
        <v>74</v>
      </c>
      <c r="F199" t="s">
        <v>75</v>
      </c>
      <c r="G199" t="s">
        <v>76</v>
      </c>
      <c r="H199">
        <v>16.203072264021031</v>
      </c>
      <c r="I199">
        <v>2</v>
      </c>
      <c r="J199">
        <v>6</v>
      </c>
      <c r="K199">
        <v>5</v>
      </c>
      <c r="L199">
        <v>1</v>
      </c>
      <c r="M199">
        <v>5</v>
      </c>
      <c r="N199">
        <v>5</v>
      </c>
      <c r="O199">
        <v>0</v>
      </c>
      <c r="P199">
        <v>7</v>
      </c>
      <c r="Q199">
        <v>5</v>
      </c>
      <c r="R199">
        <v>2</v>
      </c>
      <c r="S199">
        <v>8</v>
      </c>
      <c r="T199">
        <v>5</v>
      </c>
      <c r="U199">
        <v>3</v>
      </c>
      <c r="V199">
        <v>7</v>
      </c>
      <c r="W199">
        <v>5</v>
      </c>
      <c r="X199">
        <v>2</v>
      </c>
      <c r="Y199">
        <v>9</v>
      </c>
      <c r="Z199">
        <v>5</v>
      </c>
      <c r="AA199">
        <v>4</v>
      </c>
      <c r="AB199">
        <v>7</v>
      </c>
      <c r="AC199">
        <v>5</v>
      </c>
      <c r="AD199">
        <v>2</v>
      </c>
      <c r="AE199">
        <v>6</v>
      </c>
      <c r="AF199">
        <v>4</v>
      </c>
      <c r="AG199">
        <v>2</v>
      </c>
      <c r="AH199">
        <v>9</v>
      </c>
      <c r="AI199">
        <v>5</v>
      </c>
      <c r="AJ199">
        <v>4</v>
      </c>
      <c r="AK199" t="s">
        <v>1995</v>
      </c>
      <c r="AL199" t="s">
        <v>1996</v>
      </c>
      <c r="AM199" t="s">
        <v>1997</v>
      </c>
      <c r="AN199" t="s">
        <v>1998</v>
      </c>
      <c r="AO199" t="s">
        <v>1999</v>
      </c>
      <c r="AP199" t="s">
        <v>2000</v>
      </c>
      <c r="AQ199" t="s">
        <v>2001</v>
      </c>
      <c r="AR199" t="s">
        <v>2002</v>
      </c>
      <c r="AS199" t="s">
        <v>2003</v>
      </c>
    </row>
    <row r="200" spans="1:45" x14ac:dyDescent="0.45">
      <c r="A200">
        <v>199</v>
      </c>
      <c r="B200">
        <v>12543</v>
      </c>
      <c r="C200" t="s">
        <v>72</v>
      </c>
      <c r="D200" t="s">
        <v>193</v>
      </c>
      <c r="E200" t="s">
        <v>74</v>
      </c>
      <c r="F200" t="s">
        <v>75</v>
      </c>
      <c r="G200" t="s">
        <v>162</v>
      </c>
      <c r="H200">
        <v>12</v>
      </c>
      <c r="I200">
        <v>1</v>
      </c>
      <c r="J200">
        <v>7</v>
      </c>
      <c r="K200">
        <v>9</v>
      </c>
      <c r="L200">
        <v>-2</v>
      </c>
      <c r="M200">
        <v>6</v>
      </c>
      <c r="N200">
        <v>8</v>
      </c>
      <c r="O200">
        <v>-2</v>
      </c>
      <c r="P200">
        <v>8</v>
      </c>
      <c r="Q200">
        <v>9</v>
      </c>
      <c r="R200">
        <v>-1</v>
      </c>
      <c r="S200">
        <v>9</v>
      </c>
      <c r="T200">
        <v>9</v>
      </c>
      <c r="U200">
        <v>0</v>
      </c>
      <c r="V200">
        <v>7</v>
      </c>
      <c r="W200">
        <v>8</v>
      </c>
      <c r="X200">
        <v>-1</v>
      </c>
      <c r="Y200">
        <v>8</v>
      </c>
      <c r="Z200">
        <v>9</v>
      </c>
      <c r="AA200">
        <v>-1</v>
      </c>
      <c r="AB200">
        <v>7</v>
      </c>
      <c r="AC200">
        <v>10</v>
      </c>
      <c r="AD200">
        <v>-3</v>
      </c>
      <c r="AE200">
        <v>8</v>
      </c>
      <c r="AF200">
        <v>9</v>
      </c>
      <c r="AG200">
        <v>-1</v>
      </c>
      <c r="AH200">
        <v>7</v>
      </c>
      <c r="AI200">
        <v>10</v>
      </c>
      <c r="AJ200">
        <v>-3</v>
      </c>
      <c r="AK200" t="s">
        <v>2004</v>
      </c>
      <c r="AL200" t="s">
        <v>2005</v>
      </c>
      <c r="AM200" t="s">
        <v>2006</v>
      </c>
      <c r="AN200" t="s">
        <v>2007</v>
      </c>
      <c r="AO200" t="s">
        <v>2008</v>
      </c>
      <c r="AP200" t="s">
        <v>2009</v>
      </c>
      <c r="AQ200" t="s">
        <v>2010</v>
      </c>
      <c r="AR200" t="s">
        <v>2011</v>
      </c>
      <c r="AS200" t="s">
        <v>2012</v>
      </c>
    </row>
    <row r="201" spans="1:45" x14ac:dyDescent="0.45">
      <c r="A201">
        <v>200</v>
      </c>
      <c r="B201">
        <v>12544</v>
      </c>
      <c r="C201" t="s">
        <v>78</v>
      </c>
      <c r="D201" t="s">
        <v>191</v>
      </c>
      <c r="E201" t="s">
        <v>74</v>
      </c>
      <c r="F201" t="s">
        <v>77</v>
      </c>
      <c r="G201" t="s">
        <v>76</v>
      </c>
      <c r="H201">
        <v>85.694533171150226</v>
      </c>
      <c r="I201">
        <v>3</v>
      </c>
      <c r="J201">
        <v>6</v>
      </c>
      <c r="K201">
        <v>4</v>
      </c>
      <c r="L201">
        <v>2</v>
      </c>
      <c r="M201">
        <v>7</v>
      </c>
      <c r="N201">
        <v>4</v>
      </c>
      <c r="O201">
        <v>3</v>
      </c>
      <c r="P201">
        <v>9</v>
      </c>
      <c r="Q201">
        <v>3</v>
      </c>
      <c r="R201">
        <v>6</v>
      </c>
      <c r="S201">
        <v>8</v>
      </c>
      <c r="T201">
        <v>5</v>
      </c>
      <c r="U201">
        <v>3</v>
      </c>
      <c r="V201">
        <v>7</v>
      </c>
      <c r="W201">
        <v>4</v>
      </c>
      <c r="X201">
        <v>3</v>
      </c>
      <c r="Y201">
        <v>8</v>
      </c>
      <c r="Z201">
        <v>5</v>
      </c>
      <c r="AA201">
        <v>3</v>
      </c>
      <c r="AB201">
        <v>7</v>
      </c>
      <c r="AC201">
        <v>1</v>
      </c>
      <c r="AD201">
        <v>6</v>
      </c>
      <c r="AE201">
        <v>8</v>
      </c>
      <c r="AF201">
        <v>5</v>
      </c>
      <c r="AG201">
        <v>3</v>
      </c>
      <c r="AH201">
        <v>9</v>
      </c>
      <c r="AI201">
        <v>5</v>
      </c>
      <c r="AJ201">
        <v>4</v>
      </c>
      <c r="AK201" t="s">
        <v>2013</v>
      </c>
      <c r="AL201" t="s">
        <v>2014</v>
      </c>
      <c r="AM201" t="s">
        <v>2015</v>
      </c>
      <c r="AN201" t="s">
        <v>2016</v>
      </c>
      <c r="AO201" t="s">
        <v>2017</v>
      </c>
      <c r="AP201" t="s">
        <v>2018</v>
      </c>
      <c r="AQ201" t="s">
        <v>2019</v>
      </c>
      <c r="AR201" t="s">
        <v>2020</v>
      </c>
      <c r="AS201" t="s">
        <v>2021</v>
      </c>
    </row>
    <row r="202" spans="1:45" x14ac:dyDescent="0.45">
      <c r="A202">
        <v>201</v>
      </c>
      <c r="B202">
        <v>12545</v>
      </c>
      <c r="C202" t="s">
        <v>72</v>
      </c>
      <c r="D202" t="s">
        <v>193</v>
      </c>
      <c r="E202" t="s">
        <v>74</v>
      </c>
      <c r="F202" t="s">
        <v>75</v>
      </c>
      <c r="G202" t="s">
        <v>76</v>
      </c>
      <c r="H202">
        <v>62.389991005686873</v>
      </c>
      <c r="I202">
        <v>1</v>
      </c>
      <c r="J202">
        <v>7</v>
      </c>
      <c r="K202">
        <v>5</v>
      </c>
      <c r="L202">
        <v>2</v>
      </c>
      <c r="M202">
        <v>6</v>
      </c>
      <c r="N202">
        <v>5</v>
      </c>
      <c r="O202">
        <v>1</v>
      </c>
      <c r="P202">
        <v>8</v>
      </c>
      <c r="Q202">
        <v>1</v>
      </c>
      <c r="R202">
        <v>7</v>
      </c>
      <c r="S202">
        <v>7</v>
      </c>
      <c r="T202">
        <v>5</v>
      </c>
      <c r="U202">
        <v>2</v>
      </c>
      <c r="V202">
        <v>8</v>
      </c>
      <c r="W202">
        <v>4</v>
      </c>
      <c r="X202">
        <v>4</v>
      </c>
      <c r="Y202">
        <v>9</v>
      </c>
      <c r="Z202">
        <v>2</v>
      </c>
      <c r="AA202">
        <v>7</v>
      </c>
      <c r="AB202">
        <v>8</v>
      </c>
      <c r="AC202">
        <v>2</v>
      </c>
      <c r="AD202">
        <v>6</v>
      </c>
      <c r="AE202">
        <v>7</v>
      </c>
      <c r="AF202">
        <v>5</v>
      </c>
      <c r="AG202">
        <v>2</v>
      </c>
      <c r="AH202">
        <v>8</v>
      </c>
      <c r="AI202">
        <v>4</v>
      </c>
      <c r="AJ202">
        <v>4</v>
      </c>
      <c r="AK202" t="s">
        <v>2022</v>
      </c>
      <c r="AL202" t="s">
        <v>2023</v>
      </c>
      <c r="AM202" t="s">
        <v>2024</v>
      </c>
      <c r="AN202" t="s">
        <v>2025</v>
      </c>
      <c r="AO202" t="s">
        <v>2026</v>
      </c>
      <c r="AP202" t="s">
        <v>2027</v>
      </c>
      <c r="AQ202" t="s">
        <v>2028</v>
      </c>
      <c r="AR202" t="s">
        <v>2029</v>
      </c>
      <c r="AS202" t="s">
        <v>2030</v>
      </c>
    </row>
    <row r="203" spans="1:45" x14ac:dyDescent="0.45">
      <c r="A203">
        <v>202</v>
      </c>
      <c r="B203">
        <v>12546</v>
      </c>
      <c r="C203" t="s">
        <v>72</v>
      </c>
      <c r="D203" t="s">
        <v>79</v>
      </c>
      <c r="E203" t="s">
        <v>74</v>
      </c>
      <c r="F203" t="s">
        <v>77</v>
      </c>
      <c r="G203" t="s">
        <v>76</v>
      </c>
      <c r="H203">
        <v>90.482808975195582</v>
      </c>
      <c r="I203">
        <v>4</v>
      </c>
      <c r="J203">
        <v>8</v>
      </c>
      <c r="K203">
        <v>6</v>
      </c>
      <c r="L203">
        <v>2</v>
      </c>
      <c r="M203">
        <v>9</v>
      </c>
      <c r="N203">
        <v>8</v>
      </c>
      <c r="O203">
        <v>1</v>
      </c>
      <c r="P203">
        <v>8</v>
      </c>
      <c r="Q203">
        <v>8</v>
      </c>
      <c r="R203">
        <v>0</v>
      </c>
      <c r="S203">
        <v>9</v>
      </c>
      <c r="T203">
        <v>9</v>
      </c>
      <c r="U203">
        <v>0</v>
      </c>
      <c r="V203">
        <v>8</v>
      </c>
      <c r="W203">
        <v>7</v>
      </c>
      <c r="X203">
        <v>1</v>
      </c>
      <c r="Y203">
        <v>9</v>
      </c>
      <c r="Z203">
        <v>7</v>
      </c>
      <c r="AA203">
        <v>2</v>
      </c>
      <c r="AB203">
        <v>8</v>
      </c>
      <c r="AC203">
        <v>7</v>
      </c>
      <c r="AD203">
        <v>1</v>
      </c>
      <c r="AE203">
        <v>9</v>
      </c>
      <c r="AF203">
        <v>8</v>
      </c>
      <c r="AG203">
        <v>1</v>
      </c>
      <c r="AH203">
        <v>10</v>
      </c>
      <c r="AI203">
        <v>8</v>
      </c>
      <c r="AJ203">
        <v>2</v>
      </c>
      <c r="AK203" t="s">
        <v>2031</v>
      </c>
      <c r="AL203" t="s">
        <v>2032</v>
      </c>
      <c r="AM203" t="s">
        <v>2033</v>
      </c>
      <c r="AN203" t="s">
        <v>2034</v>
      </c>
      <c r="AO203" t="s">
        <v>2035</v>
      </c>
      <c r="AP203" t="s">
        <v>2036</v>
      </c>
      <c r="AQ203" t="s">
        <v>2037</v>
      </c>
      <c r="AR203" t="s">
        <v>2038</v>
      </c>
      <c r="AS203" t="s">
        <v>2039</v>
      </c>
    </row>
    <row r="204" spans="1:45" x14ac:dyDescent="0.45">
      <c r="A204">
        <v>203</v>
      </c>
      <c r="B204">
        <v>12547</v>
      </c>
      <c r="C204" t="s">
        <v>72</v>
      </c>
      <c r="D204" t="s">
        <v>191</v>
      </c>
      <c r="E204" t="s">
        <v>74</v>
      </c>
      <c r="F204" t="s">
        <v>75</v>
      </c>
      <c r="G204" t="s">
        <v>76</v>
      </c>
      <c r="H204">
        <v>133.67020035481261</v>
      </c>
      <c r="I204">
        <v>3</v>
      </c>
      <c r="J204">
        <v>7</v>
      </c>
      <c r="K204">
        <v>5</v>
      </c>
      <c r="L204">
        <v>2</v>
      </c>
      <c r="M204">
        <v>8</v>
      </c>
      <c r="N204">
        <v>5</v>
      </c>
      <c r="O204">
        <v>3</v>
      </c>
      <c r="P204">
        <v>9</v>
      </c>
      <c r="Q204">
        <v>5</v>
      </c>
      <c r="R204">
        <v>4</v>
      </c>
      <c r="S204">
        <v>8</v>
      </c>
      <c r="T204">
        <v>5</v>
      </c>
      <c r="U204">
        <v>3</v>
      </c>
      <c r="V204">
        <v>7</v>
      </c>
      <c r="W204">
        <v>5</v>
      </c>
      <c r="X204">
        <v>2</v>
      </c>
      <c r="Y204">
        <v>9</v>
      </c>
      <c r="Z204">
        <v>5</v>
      </c>
      <c r="AA204">
        <v>4</v>
      </c>
      <c r="AB204">
        <v>7</v>
      </c>
      <c r="AC204">
        <v>5</v>
      </c>
      <c r="AD204">
        <v>2</v>
      </c>
      <c r="AE204">
        <v>8</v>
      </c>
      <c r="AF204">
        <v>5</v>
      </c>
      <c r="AG204">
        <v>3</v>
      </c>
      <c r="AH204">
        <v>9</v>
      </c>
      <c r="AI204">
        <v>5</v>
      </c>
      <c r="AJ204">
        <v>4</v>
      </c>
      <c r="AK204" t="s">
        <v>2040</v>
      </c>
      <c r="AL204" t="s">
        <v>2041</v>
      </c>
      <c r="AM204" t="s">
        <v>2042</v>
      </c>
      <c r="AN204" t="s">
        <v>2043</v>
      </c>
      <c r="AO204" t="s">
        <v>2044</v>
      </c>
      <c r="AP204" t="s">
        <v>2045</v>
      </c>
      <c r="AQ204" t="s">
        <v>2046</v>
      </c>
      <c r="AR204" t="s">
        <v>2047</v>
      </c>
      <c r="AS204" t="s">
        <v>2048</v>
      </c>
    </row>
    <row r="205" spans="1:45" x14ac:dyDescent="0.45">
      <c r="A205">
        <v>204</v>
      </c>
      <c r="B205">
        <v>12548</v>
      </c>
      <c r="C205" t="s">
        <v>72</v>
      </c>
      <c r="D205" t="s">
        <v>73</v>
      </c>
      <c r="E205" t="s">
        <v>74</v>
      </c>
      <c r="F205" t="s">
        <v>77</v>
      </c>
      <c r="G205" t="s">
        <v>76</v>
      </c>
      <c r="H205">
        <v>34.967298569714799</v>
      </c>
      <c r="I205">
        <v>1</v>
      </c>
      <c r="J205">
        <v>7</v>
      </c>
      <c r="K205">
        <v>7</v>
      </c>
      <c r="L205">
        <v>0</v>
      </c>
      <c r="M205">
        <v>7</v>
      </c>
      <c r="N205">
        <v>7</v>
      </c>
      <c r="O205">
        <v>0</v>
      </c>
      <c r="P205">
        <v>6</v>
      </c>
      <c r="Q205">
        <v>7</v>
      </c>
      <c r="R205">
        <v>-1</v>
      </c>
      <c r="S205">
        <v>9</v>
      </c>
      <c r="T205">
        <v>8</v>
      </c>
      <c r="U205">
        <v>1</v>
      </c>
      <c r="V205">
        <v>8</v>
      </c>
      <c r="W205">
        <v>7</v>
      </c>
      <c r="X205">
        <v>1</v>
      </c>
      <c r="Y205">
        <v>9</v>
      </c>
      <c r="Z205">
        <v>7</v>
      </c>
      <c r="AA205">
        <v>2</v>
      </c>
      <c r="AB205">
        <v>7</v>
      </c>
      <c r="AC205">
        <v>7</v>
      </c>
      <c r="AD205">
        <v>0</v>
      </c>
      <c r="AE205">
        <v>6</v>
      </c>
      <c r="AF205">
        <v>7</v>
      </c>
      <c r="AG205">
        <v>-1</v>
      </c>
      <c r="AH205">
        <v>9</v>
      </c>
      <c r="AI205">
        <v>7</v>
      </c>
      <c r="AJ205">
        <v>2</v>
      </c>
      <c r="AK205" t="s">
        <v>2049</v>
      </c>
      <c r="AL205" t="s">
        <v>2050</v>
      </c>
      <c r="AM205" t="s">
        <v>2051</v>
      </c>
      <c r="AN205" t="s">
        <v>2052</v>
      </c>
      <c r="AO205" t="s">
        <v>2053</v>
      </c>
      <c r="AP205" t="s">
        <v>2054</v>
      </c>
      <c r="AQ205" t="s">
        <v>2055</v>
      </c>
      <c r="AR205" t="s">
        <v>2056</v>
      </c>
      <c r="AS205" t="s">
        <v>2057</v>
      </c>
    </row>
    <row r="206" spans="1:45" x14ac:dyDescent="0.45">
      <c r="A206">
        <v>205</v>
      </c>
      <c r="B206">
        <v>12549</v>
      </c>
      <c r="C206" t="s">
        <v>72</v>
      </c>
      <c r="D206" t="s">
        <v>73</v>
      </c>
      <c r="E206" t="s">
        <v>74</v>
      </c>
      <c r="F206" t="s">
        <v>75</v>
      </c>
      <c r="G206" t="s">
        <v>76</v>
      </c>
      <c r="H206">
        <v>26.018393885838524</v>
      </c>
      <c r="I206">
        <v>0</v>
      </c>
      <c r="J206">
        <v>9</v>
      </c>
      <c r="K206">
        <v>3</v>
      </c>
      <c r="L206">
        <v>6</v>
      </c>
      <c r="M206">
        <v>8</v>
      </c>
      <c r="N206">
        <v>1</v>
      </c>
      <c r="O206">
        <v>7</v>
      </c>
      <c r="P206">
        <v>9</v>
      </c>
      <c r="Q206">
        <v>1</v>
      </c>
      <c r="R206">
        <v>8</v>
      </c>
      <c r="S206">
        <v>8</v>
      </c>
      <c r="T206">
        <v>5</v>
      </c>
      <c r="U206">
        <v>3</v>
      </c>
      <c r="V206">
        <v>9</v>
      </c>
      <c r="W206">
        <v>1</v>
      </c>
      <c r="X206">
        <v>8</v>
      </c>
      <c r="Y206">
        <v>8</v>
      </c>
      <c r="Z206">
        <v>1</v>
      </c>
      <c r="AA206">
        <v>7</v>
      </c>
      <c r="AB206">
        <v>9</v>
      </c>
      <c r="AC206">
        <v>1</v>
      </c>
      <c r="AD206">
        <v>8</v>
      </c>
      <c r="AE206">
        <v>8</v>
      </c>
      <c r="AF206">
        <v>4</v>
      </c>
      <c r="AG206">
        <v>4</v>
      </c>
      <c r="AH206">
        <v>9</v>
      </c>
      <c r="AI206">
        <v>5</v>
      </c>
      <c r="AJ206">
        <v>4</v>
      </c>
      <c r="AK206" t="s">
        <v>2058</v>
      </c>
      <c r="AL206" t="s">
        <v>2059</v>
      </c>
      <c r="AM206" t="s">
        <v>2060</v>
      </c>
      <c r="AN206" t="s">
        <v>2061</v>
      </c>
      <c r="AO206" t="s">
        <v>2062</v>
      </c>
      <c r="AP206" t="s">
        <v>2063</v>
      </c>
      <c r="AQ206" t="s">
        <v>2064</v>
      </c>
      <c r="AR206" t="s">
        <v>2065</v>
      </c>
      <c r="AS206" t="s">
        <v>2066</v>
      </c>
    </row>
    <row r="207" spans="1:45" x14ac:dyDescent="0.45">
      <c r="A207">
        <v>206</v>
      </c>
      <c r="B207">
        <v>12550</v>
      </c>
      <c r="C207" t="s">
        <v>72</v>
      </c>
      <c r="D207" t="s">
        <v>79</v>
      </c>
      <c r="E207" t="s">
        <v>74</v>
      </c>
      <c r="F207" t="s">
        <v>77</v>
      </c>
      <c r="G207" t="s">
        <v>76</v>
      </c>
      <c r="H207">
        <v>64.169426221995863</v>
      </c>
      <c r="I207">
        <v>1</v>
      </c>
      <c r="J207">
        <v>8</v>
      </c>
      <c r="K207">
        <v>8</v>
      </c>
      <c r="L207">
        <v>0</v>
      </c>
      <c r="M207">
        <v>7</v>
      </c>
      <c r="N207">
        <v>8</v>
      </c>
      <c r="O207">
        <v>-1</v>
      </c>
      <c r="P207">
        <v>9</v>
      </c>
      <c r="Q207">
        <v>5</v>
      </c>
      <c r="R207">
        <v>4</v>
      </c>
      <c r="S207">
        <v>8</v>
      </c>
      <c r="T207">
        <v>7</v>
      </c>
      <c r="U207">
        <v>1</v>
      </c>
      <c r="V207">
        <v>7</v>
      </c>
      <c r="W207">
        <v>7</v>
      </c>
      <c r="X207">
        <v>0</v>
      </c>
      <c r="Y207">
        <v>9</v>
      </c>
      <c r="Z207">
        <v>6</v>
      </c>
      <c r="AA207">
        <v>3</v>
      </c>
      <c r="AB207">
        <v>8</v>
      </c>
      <c r="AC207">
        <v>6</v>
      </c>
      <c r="AD207">
        <v>2</v>
      </c>
      <c r="AE207">
        <v>7</v>
      </c>
      <c r="AF207">
        <v>7</v>
      </c>
      <c r="AG207">
        <v>0</v>
      </c>
      <c r="AH207">
        <v>9</v>
      </c>
      <c r="AI207">
        <v>7</v>
      </c>
      <c r="AJ207">
        <v>2</v>
      </c>
      <c r="AK207" t="s">
        <v>2067</v>
      </c>
      <c r="AL207" t="s">
        <v>2068</v>
      </c>
      <c r="AM207" t="s">
        <v>2069</v>
      </c>
      <c r="AN207" t="s">
        <v>2070</v>
      </c>
      <c r="AO207" t="s">
        <v>2071</v>
      </c>
      <c r="AP207" t="s">
        <v>2072</v>
      </c>
      <c r="AQ207" t="s">
        <v>2073</v>
      </c>
      <c r="AR207" t="s">
        <v>2074</v>
      </c>
      <c r="AS207" t="s">
        <v>2075</v>
      </c>
    </row>
    <row r="208" spans="1:45" x14ac:dyDescent="0.45">
      <c r="A208">
        <v>207</v>
      </c>
      <c r="B208">
        <v>12551</v>
      </c>
      <c r="C208" t="s">
        <v>78</v>
      </c>
      <c r="D208" t="s">
        <v>73</v>
      </c>
      <c r="E208" t="s">
        <v>74</v>
      </c>
      <c r="F208" t="s">
        <v>77</v>
      </c>
      <c r="G208" t="s">
        <v>76</v>
      </c>
      <c r="H208">
        <v>54.454177062529524</v>
      </c>
      <c r="I208">
        <v>2</v>
      </c>
      <c r="J208">
        <v>7</v>
      </c>
      <c r="K208">
        <v>4</v>
      </c>
      <c r="L208">
        <v>3</v>
      </c>
      <c r="M208">
        <v>7</v>
      </c>
      <c r="N208">
        <v>3</v>
      </c>
      <c r="O208">
        <v>4</v>
      </c>
      <c r="P208">
        <v>8</v>
      </c>
      <c r="Q208">
        <v>1</v>
      </c>
      <c r="R208">
        <v>7</v>
      </c>
      <c r="S208">
        <v>9</v>
      </c>
      <c r="T208">
        <v>2</v>
      </c>
      <c r="U208">
        <v>7</v>
      </c>
      <c r="V208">
        <v>8</v>
      </c>
      <c r="W208">
        <v>1</v>
      </c>
      <c r="X208">
        <v>7</v>
      </c>
      <c r="Y208">
        <v>9</v>
      </c>
      <c r="Z208">
        <v>1</v>
      </c>
      <c r="AA208">
        <v>8</v>
      </c>
      <c r="AB208">
        <v>7</v>
      </c>
      <c r="AC208">
        <v>1</v>
      </c>
      <c r="AD208">
        <v>6</v>
      </c>
      <c r="AE208">
        <v>8</v>
      </c>
      <c r="AF208">
        <v>4</v>
      </c>
      <c r="AG208">
        <v>4</v>
      </c>
      <c r="AH208">
        <v>9</v>
      </c>
      <c r="AI208">
        <v>2</v>
      </c>
      <c r="AJ208">
        <v>7</v>
      </c>
      <c r="AK208" t="s">
        <v>2076</v>
      </c>
      <c r="AL208" t="s">
        <v>2077</v>
      </c>
      <c r="AM208" t="s">
        <v>2078</v>
      </c>
      <c r="AN208" t="s">
        <v>2079</v>
      </c>
      <c r="AO208" t="s">
        <v>2080</v>
      </c>
      <c r="AP208" t="s">
        <v>2081</v>
      </c>
      <c r="AQ208" t="s">
        <v>2082</v>
      </c>
      <c r="AR208" t="s">
        <v>2083</v>
      </c>
      <c r="AS208" t="s">
        <v>2084</v>
      </c>
    </row>
    <row r="209" spans="1:45" x14ac:dyDescent="0.45">
      <c r="A209">
        <v>208</v>
      </c>
      <c r="B209">
        <v>12552</v>
      </c>
      <c r="C209" t="s">
        <v>72</v>
      </c>
      <c r="D209" t="s">
        <v>73</v>
      </c>
      <c r="E209" t="s">
        <v>74</v>
      </c>
      <c r="F209" t="s">
        <v>75</v>
      </c>
      <c r="G209" t="s">
        <v>76</v>
      </c>
      <c r="H209">
        <v>44.713339834198216</v>
      </c>
      <c r="I209">
        <v>1</v>
      </c>
      <c r="J209">
        <v>5</v>
      </c>
      <c r="K209">
        <v>7</v>
      </c>
      <c r="L209">
        <v>-2</v>
      </c>
      <c r="M209">
        <v>7</v>
      </c>
      <c r="N209">
        <v>8</v>
      </c>
      <c r="O209">
        <v>-1</v>
      </c>
      <c r="P209">
        <v>8</v>
      </c>
      <c r="Q209">
        <v>6</v>
      </c>
      <c r="R209">
        <v>2</v>
      </c>
      <c r="S209">
        <v>9</v>
      </c>
      <c r="T209">
        <v>7</v>
      </c>
      <c r="U209">
        <v>2</v>
      </c>
      <c r="V209">
        <v>6</v>
      </c>
      <c r="W209">
        <v>6</v>
      </c>
      <c r="X209">
        <v>0</v>
      </c>
      <c r="Y209">
        <v>9</v>
      </c>
      <c r="Z209">
        <v>7</v>
      </c>
      <c r="AA209">
        <v>2</v>
      </c>
      <c r="AB209">
        <v>6</v>
      </c>
      <c r="AC209">
        <v>6</v>
      </c>
      <c r="AD209">
        <v>0</v>
      </c>
      <c r="AE209">
        <v>8</v>
      </c>
      <c r="AF209">
        <v>6</v>
      </c>
      <c r="AG209">
        <v>2</v>
      </c>
      <c r="AH209">
        <v>9</v>
      </c>
      <c r="AI209">
        <v>6</v>
      </c>
      <c r="AJ209">
        <v>3</v>
      </c>
      <c r="AK209" t="s">
        <v>2085</v>
      </c>
      <c r="AL209" t="s">
        <v>2086</v>
      </c>
      <c r="AM209" t="s">
        <v>2087</v>
      </c>
      <c r="AN209" t="s">
        <v>2088</v>
      </c>
      <c r="AO209" t="s">
        <v>2089</v>
      </c>
      <c r="AP209" t="s">
        <v>2090</v>
      </c>
      <c r="AQ209" t="s">
        <v>2091</v>
      </c>
      <c r="AR209" t="s">
        <v>2092</v>
      </c>
      <c r="AS209" t="s">
        <v>2093</v>
      </c>
    </row>
    <row r="210" spans="1:45" x14ac:dyDescent="0.45">
      <c r="A210">
        <v>209</v>
      </c>
      <c r="B210">
        <v>12553</v>
      </c>
      <c r="C210" t="s">
        <v>72</v>
      </c>
      <c r="D210" t="s">
        <v>73</v>
      </c>
      <c r="E210" t="s">
        <v>74</v>
      </c>
      <c r="F210" t="s">
        <v>77</v>
      </c>
      <c r="G210" t="s">
        <v>76</v>
      </c>
      <c r="H210">
        <v>32.500400397407304</v>
      </c>
      <c r="I210">
        <v>0</v>
      </c>
      <c r="J210">
        <v>9</v>
      </c>
      <c r="K210">
        <v>6</v>
      </c>
      <c r="L210">
        <v>3</v>
      </c>
      <c r="M210">
        <v>9</v>
      </c>
      <c r="N210">
        <v>6</v>
      </c>
      <c r="O210">
        <v>3</v>
      </c>
      <c r="P210">
        <v>8</v>
      </c>
      <c r="Q210">
        <v>6</v>
      </c>
      <c r="R210">
        <v>2</v>
      </c>
      <c r="S210">
        <v>9</v>
      </c>
      <c r="T210">
        <v>6</v>
      </c>
      <c r="U210">
        <v>3</v>
      </c>
      <c r="V210">
        <v>8</v>
      </c>
      <c r="W210">
        <v>6</v>
      </c>
      <c r="X210">
        <v>2</v>
      </c>
      <c r="Y210">
        <v>9</v>
      </c>
      <c r="Z210">
        <v>5</v>
      </c>
      <c r="AA210">
        <v>4</v>
      </c>
      <c r="AB210">
        <v>8</v>
      </c>
      <c r="AC210">
        <v>6</v>
      </c>
      <c r="AD210">
        <v>2</v>
      </c>
      <c r="AE210">
        <v>9</v>
      </c>
      <c r="AF210">
        <v>6</v>
      </c>
      <c r="AG210">
        <v>3</v>
      </c>
      <c r="AH210">
        <v>8</v>
      </c>
      <c r="AI210">
        <v>6</v>
      </c>
      <c r="AJ210">
        <v>2</v>
      </c>
      <c r="AK210" t="s">
        <v>2094</v>
      </c>
      <c r="AL210" t="s">
        <v>2095</v>
      </c>
      <c r="AM210" t="s">
        <v>2096</v>
      </c>
      <c r="AN210" t="s">
        <v>2097</v>
      </c>
      <c r="AO210" t="s">
        <v>2098</v>
      </c>
      <c r="AP210" t="s">
        <v>2099</v>
      </c>
      <c r="AQ210" t="s">
        <v>2100</v>
      </c>
      <c r="AR210" t="s">
        <v>2101</v>
      </c>
      <c r="AS210" t="s">
        <v>2102</v>
      </c>
    </row>
    <row r="211" spans="1:45" x14ac:dyDescent="0.45">
      <c r="A211">
        <v>210</v>
      </c>
      <c r="B211">
        <v>12554</v>
      </c>
      <c r="C211" t="s">
        <v>78</v>
      </c>
      <c r="D211" t="s">
        <v>73</v>
      </c>
      <c r="E211" t="s">
        <v>74</v>
      </c>
      <c r="F211" t="s">
        <v>77</v>
      </c>
      <c r="G211" t="s">
        <v>76</v>
      </c>
      <c r="H211">
        <v>29.375311934331215</v>
      </c>
      <c r="I211">
        <v>0</v>
      </c>
      <c r="J211">
        <v>7</v>
      </c>
      <c r="K211">
        <v>7</v>
      </c>
      <c r="L211">
        <v>0</v>
      </c>
      <c r="M211">
        <v>7</v>
      </c>
      <c r="N211">
        <v>7</v>
      </c>
      <c r="O211">
        <v>0</v>
      </c>
      <c r="P211">
        <v>8</v>
      </c>
      <c r="Q211">
        <v>8</v>
      </c>
      <c r="R211">
        <v>0</v>
      </c>
      <c r="S211">
        <v>9</v>
      </c>
      <c r="T211">
        <v>8</v>
      </c>
      <c r="U211">
        <v>1</v>
      </c>
      <c r="V211">
        <v>8</v>
      </c>
      <c r="W211">
        <v>8</v>
      </c>
      <c r="X211">
        <v>0</v>
      </c>
      <c r="Y211">
        <v>9</v>
      </c>
      <c r="Z211">
        <v>9</v>
      </c>
      <c r="AA211">
        <v>0</v>
      </c>
      <c r="AB211">
        <v>8</v>
      </c>
      <c r="AC211">
        <v>8</v>
      </c>
      <c r="AD211">
        <v>0</v>
      </c>
      <c r="AE211">
        <v>7</v>
      </c>
      <c r="AF211">
        <v>8</v>
      </c>
      <c r="AG211">
        <v>-1</v>
      </c>
      <c r="AH211">
        <v>9</v>
      </c>
      <c r="AI211">
        <v>8</v>
      </c>
      <c r="AJ211">
        <v>1</v>
      </c>
      <c r="AK211" t="s">
        <v>2103</v>
      </c>
      <c r="AL211" t="s">
        <v>2104</v>
      </c>
      <c r="AM211" t="s">
        <v>2105</v>
      </c>
      <c r="AN211" t="s">
        <v>2106</v>
      </c>
      <c r="AO211" t="s">
        <v>2107</v>
      </c>
      <c r="AP211" t="s">
        <v>2108</v>
      </c>
      <c r="AQ211" t="s">
        <v>2109</v>
      </c>
      <c r="AR211" t="s">
        <v>2110</v>
      </c>
      <c r="AS211" t="s">
        <v>2111</v>
      </c>
    </row>
    <row r="212" spans="1:45" x14ac:dyDescent="0.45">
      <c r="A212">
        <v>211</v>
      </c>
      <c r="B212">
        <v>12555</v>
      </c>
      <c r="C212" t="s">
        <v>72</v>
      </c>
      <c r="D212" t="s">
        <v>73</v>
      </c>
      <c r="E212" t="s">
        <v>74</v>
      </c>
      <c r="F212" t="s">
        <v>77</v>
      </c>
      <c r="G212" t="s">
        <v>76</v>
      </c>
      <c r="H212">
        <v>59.855632286147269</v>
      </c>
      <c r="I212">
        <v>1</v>
      </c>
      <c r="J212">
        <v>6</v>
      </c>
      <c r="K212">
        <v>7</v>
      </c>
      <c r="L212">
        <v>-1</v>
      </c>
      <c r="M212">
        <v>7</v>
      </c>
      <c r="N212">
        <v>7</v>
      </c>
      <c r="O212">
        <v>0</v>
      </c>
      <c r="P212">
        <v>8</v>
      </c>
      <c r="Q212">
        <v>7</v>
      </c>
      <c r="R212">
        <v>1</v>
      </c>
      <c r="S212">
        <v>9</v>
      </c>
      <c r="T212">
        <v>7</v>
      </c>
      <c r="U212">
        <v>2</v>
      </c>
      <c r="V212">
        <v>7</v>
      </c>
      <c r="W212">
        <v>7</v>
      </c>
      <c r="X212">
        <v>0</v>
      </c>
      <c r="Y212">
        <v>8</v>
      </c>
      <c r="Z212">
        <v>7</v>
      </c>
      <c r="AA212">
        <v>1</v>
      </c>
      <c r="AB212">
        <v>7</v>
      </c>
      <c r="AC212">
        <v>7</v>
      </c>
      <c r="AD212">
        <v>0</v>
      </c>
      <c r="AE212">
        <v>8</v>
      </c>
      <c r="AF212">
        <v>7</v>
      </c>
      <c r="AG212">
        <v>1</v>
      </c>
      <c r="AH212">
        <v>9</v>
      </c>
      <c r="AI212">
        <v>7</v>
      </c>
      <c r="AJ212">
        <v>2</v>
      </c>
      <c r="AK212" t="s">
        <v>2112</v>
      </c>
      <c r="AL212" t="s">
        <v>2113</v>
      </c>
      <c r="AM212" t="s">
        <v>2114</v>
      </c>
      <c r="AN212" t="s">
        <v>2115</v>
      </c>
      <c r="AO212" t="s">
        <v>2116</v>
      </c>
      <c r="AP212" t="s">
        <v>2117</v>
      </c>
      <c r="AQ212" t="s">
        <v>2118</v>
      </c>
      <c r="AR212" t="s">
        <v>2119</v>
      </c>
      <c r="AS212" t="s">
        <v>2120</v>
      </c>
    </row>
    <row r="213" spans="1:45" x14ac:dyDescent="0.45">
      <c r="A213">
        <v>212</v>
      </c>
      <c r="B213">
        <v>12556</v>
      </c>
      <c r="C213" t="s">
        <v>72</v>
      </c>
      <c r="D213" t="s">
        <v>73</v>
      </c>
      <c r="E213" t="s">
        <v>74</v>
      </c>
      <c r="F213" t="s">
        <v>77</v>
      </c>
      <c r="G213" t="s">
        <v>76</v>
      </c>
      <c r="H213">
        <v>48.885243987694409</v>
      </c>
      <c r="I213">
        <v>0</v>
      </c>
      <c r="J213">
        <v>8</v>
      </c>
      <c r="K213">
        <v>5</v>
      </c>
      <c r="L213">
        <v>3</v>
      </c>
      <c r="M213">
        <v>9</v>
      </c>
      <c r="N213">
        <v>5</v>
      </c>
      <c r="O213">
        <v>4</v>
      </c>
      <c r="P213">
        <v>9</v>
      </c>
      <c r="Q213">
        <v>1</v>
      </c>
      <c r="R213">
        <v>8</v>
      </c>
      <c r="S213">
        <v>8</v>
      </c>
      <c r="T213">
        <v>5</v>
      </c>
      <c r="U213">
        <v>3</v>
      </c>
      <c r="V213">
        <v>7</v>
      </c>
      <c r="W213">
        <v>5</v>
      </c>
      <c r="X213">
        <v>2</v>
      </c>
      <c r="Y213">
        <v>9</v>
      </c>
      <c r="Z213">
        <v>5</v>
      </c>
      <c r="AA213">
        <v>4</v>
      </c>
      <c r="AB213">
        <v>8</v>
      </c>
      <c r="AC213">
        <v>4</v>
      </c>
      <c r="AD213">
        <v>4</v>
      </c>
      <c r="AE213">
        <v>7</v>
      </c>
      <c r="AF213">
        <v>5</v>
      </c>
      <c r="AG213">
        <v>2</v>
      </c>
      <c r="AH213">
        <v>9</v>
      </c>
      <c r="AI213">
        <v>5</v>
      </c>
      <c r="AJ213">
        <v>4</v>
      </c>
      <c r="AK213" t="s">
        <v>2121</v>
      </c>
      <c r="AL213" t="s">
        <v>2122</v>
      </c>
      <c r="AM213" t="s">
        <v>2123</v>
      </c>
      <c r="AN213" t="s">
        <v>2124</v>
      </c>
      <c r="AO213" t="s">
        <v>2125</v>
      </c>
      <c r="AP213" t="s">
        <v>2126</v>
      </c>
      <c r="AQ213" t="s">
        <v>2127</v>
      </c>
      <c r="AR213" t="s">
        <v>2128</v>
      </c>
      <c r="AS213" t="s">
        <v>2129</v>
      </c>
    </row>
    <row r="214" spans="1:45" x14ac:dyDescent="0.45">
      <c r="A214">
        <v>213</v>
      </c>
      <c r="B214">
        <v>12557</v>
      </c>
      <c r="C214" t="s">
        <v>72</v>
      </c>
      <c r="D214" t="s">
        <v>73</v>
      </c>
      <c r="E214" t="s">
        <v>74</v>
      </c>
      <c r="F214" t="s">
        <v>77</v>
      </c>
      <c r="G214" t="s">
        <v>76</v>
      </c>
      <c r="H214">
        <v>54.302286309062254</v>
      </c>
      <c r="I214">
        <v>4</v>
      </c>
      <c r="J214">
        <v>9</v>
      </c>
      <c r="K214">
        <v>7</v>
      </c>
      <c r="L214">
        <v>2</v>
      </c>
      <c r="M214">
        <v>8</v>
      </c>
      <c r="N214">
        <v>8</v>
      </c>
      <c r="O214">
        <v>0</v>
      </c>
      <c r="P214">
        <v>9</v>
      </c>
      <c r="Q214">
        <v>8</v>
      </c>
      <c r="R214">
        <v>1</v>
      </c>
      <c r="S214">
        <v>8</v>
      </c>
      <c r="T214">
        <v>8</v>
      </c>
      <c r="U214">
        <v>0</v>
      </c>
      <c r="V214">
        <v>9</v>
      </c>
      <c r="W214">
        <v>8</v>
      </c>
      <c r="X214">
        <v>1</v>
      </c>
      <c r="Y214">
        <v>8</v>
      </c>
      <c r="Z214">
        <v>8</v>
      </c>
      <c r="AA214">
        <v>0</v>
      </c>
      <c r="AB214">
        <v>9</v>
      </c>
      <c r="AC214">
        <v>8</v>
      </c>
      <c r="AD214">
        <v>1</v>
      </c>
      <c r="AE214">
        <v>8</v>
      </c>
      <c r="AF214">
        <v>8</v>
      </c>
      <c r="AG214">
        <v>0</v>
      </c>
      <c r="AH214">
        <v>9</v>
      </c>
      <c r="AI214">
        <v>8</v>
      </c>
      <c r="AJ214">
        <v>1</v>
      </c>
      <c r="AK214" t="s">
        <v>2130</v>
      </c>
      <c r="AL214" t="s">
        <v>2131</v>
      </c>
      <c r="AM214" t="s">
        <v>2132</v>
      </c>
      <c r="AN214" t="s">
        <v>2133</v>
      </c>
      <c r="AO214" t="s">
        <v>2134</v>
      </c>
      <c r="AP214" t="s">
        <v>2135</v>
      </c>
      <c r="AQ214" t="s">
        <v>2136</v>
      </c>
      <c r="AR214" t="s">
        <v>2137</v>
      </c>
      <c r="AS214" t="s">
        <v>2138</v>
      </c>
    </row>
    <row r="215" spans="1:45" x14ac:dyDescent="0.45">
      <c r="A215">
        <v>214</v>
      </c>
      <c r="B215">
        <v>12558</v>
      </c>
      <c r="C215" t="s">
        <v>72</v>
      </c>
      <c r="D215" t="s">
        <v>73</v>
      </c>
      <c r="E215" t="s">
        <v>74</v>
      </c>
      <c r="F215" t="s">
        <v>75</v>
      </c>
      <c r="G215" t="s">
        <v>76</v>
      </c>
      <c r="H215">
        <v>67.070046295409341</v>
      </c>
      <c r="I215">
        <v>4</v>
      </c>
      <c r="J215">
        <v>7</v>
      </c>
      <c r="K215">
        <v>9</v>
      </c>
      <c r="L215">
        <v>-2</v>
      </c>
      <c r="M215">
        <v>8</v>
      </c>
      <c r="N215">
        <v>9</v>
      </c>
      <c r="O215">
        <v>-1</v>
      </c>
      <c r="P215">
        <v>9</v>
      </c>
      <c r="Q215">
        <v>9</v>
      </c>
      <c r="R215">
        <v>0</v>
      </c>
      <c r="S215">
        <v>8</v>
      </c>
      <c r="T215">
        <v>9</v>
      </c>
      <c r="U215">
        <v>-1</v>
      </c>
      <c r="V215">
        <v>9</v>
      </c>
      <c r="W215">
        <v>9</v>
      </c>
      <c r="X215">
        <v>0</v>
      </c>
      <c r="Y215">
        <v>8</v>
      </c>
      <c r="Z215">
        <v>9</v>
      </c>
      <c r="AA215">
        <v>-1</v>
      </c>
      <c r="AB215">
        <v>9</v>
      </c>
      <c r="AC215">
        <v>9</v>
      </c>
      <c r="AD215">
        <v>0</v>
      </c>
      <c r="AE215">
        <v>7</v>
      </c>
      <c r="AF215">
        <v>9</v>
      </c>
      <c r="AG215">
        <v>-2</v>
      </c>
      <c r="AH215">
        <v>9</v>
      </c>
      <c r="AI215">
        <v>9</v>
      </c>
      <c r="AJ215">
        <v>0</v>
      </c>
      <c r="AK215" t="s">
        <v>2139</v>
      </c>
      <c r="AL215" t="s">
        <v>2140</v>
      </c>
      <c r="AM215" t="s">
        <v>2141</v>
      </c>
      <c r="AN215" t="s">
        <v>2142</v>
      </c>
      <c r="AO215" t="s">
        <v>2143</v>
      </c>
      <c r="AP215" t="s">
        <v>2144</v>
      </c>
      <c r="AQ215" t="s">
        <v>2145</v>
      </c>
      <c r="AR215" t="s">
        <v>2146</v>
      </c>
      <c r="AS215" t="s">
        <v>2147</v>
      </c>
    </row>
    <row r="216" spans="1:45" x14ac:dyDescent="0.45">
      <c r="A216">
        <v>215</v>
      </c>
      <c r="B216">
        <v>12559</v>
      </c>
      <c r="C216" t="s">
        <v>72</v>
      </c>
      <c r="D216" t="s">
        <v>73</v>
      </c>
      <c r="E216" t="s">
        <v>74</v>
      </c>
      <c r="F216" t="s">
        <v>75</v>
      </c>
      <c r="G216" t="s">
        <v>76</v>
      </c>
      <c r="H216">
        <v>20.086910169212295</v>
      </c>
      <c r="I216">
        <v>2</v>
      </c>
      <c r="J216">
        <v>8</v>
      </c>
      <c r="K216">
        <v>5</v>
      </c>
      <c r="L216">
        <v>3</v>
      </c>
      <c r="M216">
        <v>9</v>
      </c>
      <c r="N216">
        <v>5</v>
      </c>
      <c r="O216">
        <v>4</v>
      </c>
      <c r="P216">
        <v>8</v>
      </c>
      <c r="Q216">
        <v>5</v>
      </c>
      <c r="R216">
        <v>3</v>
      </c>
      <c r="S216">
        <v>9</v>
      </c>
      <c r="T216">
        <v>5</v>
      </c>
      <c r="U216">
        <v>4</v>
      </c>
      <c r="V216">
        <v>7</v>
      </c>
      <c r="W216">
        <v>5</v>
      </c>
      <c r="X216">
        <v>2</v>
      </c>
      <c r="Y216">
        <v>8</v>
      </c>
      <c r="Z216">
        <v>5</v>
      </c>
      <c r="AA216">
        <v>3</v>
      </c>
      <c r="AB216">
        <v>7</v>
      </c>
      <c r="AC216">
        <v>5</v>
      </c>
      <c r="AD216">
        <v>2</v>
      </c>
      <c r="AE216">
        <v>7</v>
      </c>
      <c r="AF216">
        <v>5</v>
      </c>
      <c r="AG216">
        <v>2</v>
      </c>
      <c r="AH216">
        <v>9</v>
      </c>
      <c r="AI216">
        <v>5</v>
      </c>
      <c r="AJ216">
        <v>4</v>
      </c>
      <c r="AK216" t="s">
        <v>2148</v>
      </c>
      <c r="AL216" t="s">
        <v>2149</v>
      </c>
      <c r="AM216" t="s">
        <v>2150</v>
      </c>
      <c r="AN216" t="s">
        <v>2151</v>
      </c>
      <c r="AO216" t="s">
        <v>2152</v>
      </c>
      <c r="AP216" t="s">
        <v>2153</v>
      </c>
      <c r="AQ216" t="s">
        <v>2154</v>
      </c>
      <c r="AR216" t="s">
        <v>2155</v>
      </c>
      <c r="AS216" t="s">
        <v>2156</v>
      </c>
    </row>
    <row r="217" spans="1:45" x14ac:dyDescent="0.45">
      <c r="A217">
        <v>216</v>
      </c>
      <c r="B217">
        <v>12560</v>
      </c>
      <c r="C217" t="s">
        <v>72</v>
      </c>
      <c r="D217" t="s">
        <v>73</v>
      </c>
      <c r="E217" t="s">
        <v>74</v>
      </c>
      <c r="F217" t="s">
        <v>75</v>
      </c>
      <c r="G217" t="s">
        <v>76</v>
      </c>
      <c r="H217">
        <v>36.907694442722772</v>
      </c>
      <c r="I217">
        <v>1</v>
      </c>
      <c r="J217">
        <v>8</v>
      </c>
      <c r="K217">
        <v>6</v>
      </c>
      <c r="L217">
        <v>2</v>
      </c>
      <c r="M217">
        <v>9</v>
      </c>
      <c r="N217">
        <v>7</v>
      </c>
      <c r="O217">
        <v>2</v>
      </c>
      <c r="P217">
        <v>8</v>
      </c>
      <c r="Q217">
        <v>7</v>
      </c>
      <c r="R217">
        <v>1</v>
      </c>
      <c r="S217">
        <v>9</v>
      </c>
      <c r="T217">
        <v>7</v>
      </c>
      <c r="U217">
        <v>2</v>
      </c>
      <c r="V217">
        <v>7</v>
      </c>
      <c r="W217">
        <v>6</v>
      </c>
      <c r="X217">
        <v>1</v>
      </c>
      <c r="Y217">
        <v>8</v>
      </c>
      <c r="Z217">
        <v>7</v>
      </c>
      <c r="AA217">
        <v>1</v>
      </c>
      <c r="AB217">
        <v>6</v>
      </c>
      <c r="AC217">
        <v>7</v>
      </c>
      <c r="AD217">
        <v>-1</v>
      </c>
      <c r="AE217">
        <v>8</v>
      </c>
      <c r="AF217">
        <v>7</v>
      </c>
      <c r="AG217">
        <v>1</v>
      </c>
      <c r="AH217">
        <v>9</v>
      </c>
      <c r="AI217">
        <v>7</v>
      </c>
      <c r="AJ217">
        <v>2</v>
      </c>
      <c r="AK217" t="s">
        <v>2157</v>
      </c>
      <c r="AL217" t="s">
        <v>2158</v>
      </c>
      <c r="AM217" t="s">
        <v>2159</v>
      </c>
      <c r="AN217" t="s">
        <v>2160</v>
      </c>
      <c r="AO217" t="s">
        <v>2161</v>
      </c>
      <c r="AP217" t="s">
        <v>2162</v>
      </c>
      <c r="AQ217" t="s">
        <v>2163</v>
      </c>
      <c r="AR217" t="s">
        <v>2164</v>
      </c>
      <c r="AS217" t="s">
        <v>2165</v>
      </c>
    </row>
    <row r="218" spans="1:45" x14ac:dyDescent="0.45">
      <c r="A218">
        <v>217</v>
      </c>
      <c r="B218">
        <v>12561</v>
      </c>
      <c r="C218" t="s">
        <v>78</v>
      </c>
      <c r="D218" t="s">
        <v>73</v>
      </c>
      <c r="E218" t="s">
        <v>74</v>
      </c>
      <c r="F218" t="s">
        <v>77</v>
      </c>
      <c r="G218" t="s">
        <v>76</v>
      </c>
      <c r="H218">
        <v>45.985553781420869</v>
      </c>
      <c r="I218">
        <v>0</v>
      </c>
      <c r="J218">
        <v>7</v>
      </c>
      <c r="K218">
        <v>5</v>
      </c>
      <c r="L218">
        <v>2</v>
      </c>
      <c r="M218">
        <v>8</v>
      </c>
      <c r="N218">
        <v>5</v>
      </c>
      <c r="O218">
        <v>3</v>
      </c>
      <c r="P218">
        <v>6</v>
      </c>
      <c r="Q218">
        <v>5</v>
      </c>
      <c r="R218">
        <v>1</v>
      </c>
      <c r="S218">
        <v>9</v>
      </c>
      <c r="T218">
        <v>6</v>
      </c>
      <c r="U218">
        <v>3</v>
      </c>
      <c r="V218">
        <v>7</v>
      </c>
      <c r="W218">
        <v>5</v>
      </c>
      <c r="X218">
        <v>2</v>
      </c>
      <c r="Y218">
        <v>9</v>
      </c>
      <c r="Z218">
        <v>5</v>
      </c>
      <c r="AA218">
        <v>4</v>
      </c>
      <c r="AB218">
        <v>7</v>
      </c>
      <c r="AC218">
        <v>5</v>
      </c>
      <c r="AD218">
        <v>2</v>
      </c>
      <c r="AE218">
        <v>8</v>
      </c>
      <c r="AF218">
        <v>5</v>
      </c>
      <c r="AG218">
        <v>3</v>
      </c>
      <c r="AH218">
        <v>9</v>
      </c>
      <c r="AI218">
        <v>5</v>
      </c>
      <c r="AJ218">
        <v>4</v>
      </c>
      <c r="AK218" t="s">
        <v>2166</v>
      </c>
      <c r="AL218" t="s">
        <v>2167</v>
      </c>
      <c r="AM218" t="s">
        <v>2168</v>
      </c>
      <c r="AN218" t="s">
        <v>2169</v>
      </c>
      <c r="AO218" t="s">
        <v>2170</v>
      </c>
      <c r="AP218" t="s">
        <v>2171</v>
      </c>
      <c r="AQ218" t="s">
        <v>2172</v>
      </c>
      <c r="AR218" t="s">
        <v>269</v>
      </c>
      <c r="AS218" t="s">
        <v>2173</v>
      </c>
    </row>
    <row r="219" spans="1:45" x14ac:dyDescent="0.45">
      <c r="A219">
        <v>218</v>
      </c>
      <c r="B219">
        <v>12562</v>
      </c>
      <c r="C219" t="s">
        <v>72</v>
      </c>
      <c r="D219" t="s">
        <v>73</v>
      </c>
      <c r="E219" t="s">
        <v>74</v>
      </c>
      <c r="F219" t="s">
        <v>77</v>
      </c>
      <c r="G219" t="s">
        <v>76</v>
      </c>
      <c r="H219">
        <v>51.913595024365129</v>
      </c>
      <c r="I219">
        <v>3</v>
      </c>
      <c r="J219">
        <v>6</v>
      </c>
      <c r="K219">
        <v>6</v>
      </c>
      <c r="L219">
        <v>0</v>
      </c>
      <c r="M219">
        <v>8</v>
      </c>
      <c r="N219">
        <v>7</v>
      </c>
      <c r="O219">
        <v>1</v>
      </c>
      <c r="P219">
        <v>7</v>
      </c>
      <c r="Q219">
        <v>7</v>
      </c>
      <c r="R219">
        <v>0</v>
      </c>
      <c r="S219">
        <v>9</v>
      </c>
      <c r="T219">
        <v>7</v>
      </c>
      <c r="U219">
        <v>2</v>
      </c>
      <c r="V219">
        <v>7</v>
      </c>
      <c r="W219">
        <v>7</v>
      </c>
      <c r="X219">
        <v>0</v>
      </c>
      <c r="Y219">
        <v>8</v>
      </c>
      <c r="Z219">
        <v>7</v>
      </c>
      <c r="AA219">
        <v>1</v>
      </c>
      <c r="AB219">
        <v>7</v>
      </c>
      <c r="AC219">
        <v>7</v>
      </c>
      <c r="AD219">
        <v>0</v>
      </c>
      <c r="AE219">
        <v>8</v>
      </c>
      <c r="AF219">
        <v>7</v>
      </c>
      <c r="AG219">
        <v>1</v>
      </c>
      <c r="AH219">
        <v>8</v>
      </c>
      <c r="AI219">
        <v>7</v>
      </c>
      <c r="AJ219">
        <v>1</v>
      </c>
      <c r="AK219" t="s">
        <v>2174</v>
      </c>
      <c r="AL219" t="s">
        <v>2175</v>
      </c>
      <c r="AM219" t="s">
        <v>2176</v>
      </c>
      <c r="AN219" t="s">
        <v>2177</v>
      </c>
      <c r="AO219" t="s">
        <v>2178</v>
      </c>
      <c r="AP219" t="s">
        <v>2179</v>
      </c>
      <c r="AQ219" t="s">
        <v>2180</v>
      </c>
      <c r="AR219" t="s">
        <v>2181</v>
      </c>
      <c r="AS219" t="s">
        <v>2182</v>
      </c>
    </row>
    <row r="220" spans="1:45" x14ac:dyDescent="0.45">
      <c r="A220">
        <v>219</v>
      </c>
      <c r="B220">
        <v>12563</v>
      </c>
      <c r="C220" t="s">
        <v>78</v>
      </c>
      <c r="D220" t="s">
        <v>193</v>
      </c>
      <c r="E220" t="s">
        <v>74</v>
      </c>
      <c r="F220" t="s">
        <v>75</v>
      </c>
      <c r="G220" t="s">
        <v>76</v>
      </c>
      <c r="H220">
        <v>209.50095099966052</v>
      </c>
      <c r="I220">
        <v>2</v>
      </c>
      <c r="J220">
        <v>7</v>
      </c>
      <c r="K220">
        <v>7</v>
      </c>
      <c r="L220">
        <v>0</v>
      </c>
      <c r="M220">
        <v>8</v>
      </c>
      <c r="N220">
        <v>8</v>
      </c>
      <c r="O220">
        <v>0</v>
      </c>
      <c r="P220">
        <v>9</v>
      </c>
      <c r="Q220">
        <v>8</v>
      </c>
      <c r="R220">
        <v>1</v>
      </c>
      <c r="S220">
        <v>9</v>
      </c>
      <c r="T220">
        <v>8</v>
      </c>
      <c r="U220">
        <v>1</v>
      </c>
      <c r="V220">
        <v>7</v>
      </c>
      <c r="W220">
        <v>8</v>
      </c>
      <c r="X220">
        <v>-1</v>
      </c>
      <c r="Y220">
        <v>8</v>
      </c>
      <c r="Z220">
        <v>5</v>
      </c>
      <c r="AA220">
        <v>3</v>
      </c>
      <c r="AB220">
        <v>7</v>
      </c>
      <c r="AC220">
        <v>5</v>
      </c>
      <c r="AD220">
        <v>2</v>
      </c>
      <c r="AE220">
        <v>8</v>
      </c>
      <c r="AF220">
        <v>7</v>
      </c>
      <c r="AG220">
        <v>1</v>
      </c>
      <c r="AH220">
        <v>9</v>
      </c>
      <c r="AI220">
        <v>6</v>
      </c>
      <c r="AJ220">
        <v>3</v>
      </c>
      <c r="AK220" t="s">
        <v>2183</v>
      </c>
      <c r="AL220" t="s">
        <v>2184</v>
      </c>
      <c r="AM220" t="s">
        <v>2185</v>
      </c>
      <c r="AN220" t="s">
        <v>2186</v>
      </c>
      <c r="AO220" t="s">
        <v>2187</v>
      </c>
      <c r="AP220" t="s">
        <v>2188</v>
      </c>
      <c r="AQ220" t="s">
        <v>2189</v>
      </c>
      <c r="AR220" t="s">
        <v>2190</v>
      </c>
      <c r="AS220" t="s">
        <v>2191</v>
      </c>
    </row>
    <row r="221" spans="1:45" x14ac:dyDescent="0.45">
      <c r="A221">
        <v>220</v>
      </c>
      <c r="B221">
        <v>12564</v>
      </c>
      <c r="C221" t="s">
        <v>72</v>
      </c>
      <c r="D221" t="s">
        <v>191</v>
      </c>
      <c r="E221" t="s">
        <v>74</v>
      </c>
      <c r="F221" t="s">
        <v>75</v>
      </c>
      <c r="G221" t="s">
        <v>76</v>
      </c>
      <c r="H221">
        <v>211.25547386529038</v>
      </c>
      <c r="I221">
        <v>1</v>
      </c>
      <c r="J221">
        <v>6</v>
      </c>
      <c r="K221">
        <v>10</v>
      </c>
      <c r="L221">
        <v>-4</v>
      </c>
      <c r="M221">
        <v>7</v>
      </c>
      <c r="N221">
        <v>10</v>
      </c>
      <c r="O221">
        <v>-3</v>
      </c>
      <c r="P221">
        <v>9</v>
      </c>
      <c r="Q221">
        <v>6</v>
      </c>
      <c r="R221">
        <v>3</v>
      </c>
      <c r="S221">
        <v>8</v>
      </c>
      <c r="T221">
        <v>9</v>
      </c>
      <c r="U221">
        <v>-1</v>
      </c>
      <c r="V221">
        <v>7</v>
      </c>
      <c r="W221">
        <v>9</v>
      </c>
      <c r="X221">
        <v>-2</v>
      </c>
      <c r="Y221">
        <v>9</v>
      </c>
      <c r="Z221">
        <v>9</v>
      </c>
      <c r="AA221">
        <v>0</v>
      </c>
      <c r="AB221">
        <v>7</v>
      </c>
      <c r="AC221">
        <v>9</v>
      </c>
      <c r="AD221">
        <v>-2</v>
      </c>
      <c r="AE221">
        <v>8</v>
      </c>
      <c r="AF221">
        <v>8</v>
      </c>
      <c r="AG221">
        <v>0</v>
      </c>
      <c r="AH221">
        <v>9</v>
      </c>
      <c r="AI221">
        <v>8</v>
      </c>
      <c r="AJ221">
        <v>1</v>
      </c>
      <c r="AK221" t="s">
        <v>2192</v>
      </c>
      <c r="AL221" t="s">
        <v>2193</v>
      </c>
      <c r="AM221" t="s">
        <v>2194</v>
      </c>
      <c r="AN221" t="s">
        <v>2195</v>
      </c>
      <c r="AO221" t="s">
        <v>2196</v>
      </c>
      <c r="AP221" t="s">
        <v>2197</v>
      </c>
      <c r="AQ221" t="s">
        <v>2198</v>
      </c>
      <c r="AR221" t="s">
        <v>2199</v>
      </c>
      <c r="AS221" t="s">
        <v>2200</v>
      </c>
    </row>
    <row r="222" spans="1:45" x14ac:dyDescent="0.45">
      <c r="A222">
        <v>221</v>
      </c>
      <c r="B222">
        <v>12565</v>
      </c>
      <c r="C222" t="s">
        <v>72</v>
      </c>
      <c r="D222" t="s">
        <v>79</v>
      </c>
      <c r="E222" t="s">
        <v>74</v>
      </c>
      <c r="F222" t="s">
        <v>77</v>
      </c>
      <c r="G222" t="s">
        <v>76</v>
      </c>
      <c r="H222">
        <v>56.947044831130214</v>
      </c>
      <c r="I222">
        <v>1</v>
      </c>
      <c r="J222">
        <v>8</v>
      </c>
      <c r="K222">
        <v>4</v>
      </c>
      <c r="L222">
        <v>4</v>
      </c>
      <c r="M222">
        <v>9</v>
      </c>
      <c r="N222">
        <v>4</v>
      </c>
      <c r="O222">
        <v>5</v>
      </c>
      <c r="P222">
        <v>6</v>
      </c>
      <c r="Q222">
        <v>4</v>
      </c>
      <c r="R222">
        <v>2</v>
      </c>
      <c r="S222">
        <v>8</v>
      </c>
      <c r="T222">
        <v>6</v>
      </c>
      <c r="U222">
        <v>2</v>
      </c>
      <c r="V222">
        <v>7</v>
      </c>
      <c r="W222">
        <v>5</v>
      </c>
      <c r="X222">
        <v>2</v>
      </c>
      <c r="Y222">
        <v>9</v>
      </c>
      <c r="Z222">
        <v>6</v>
      </c>
      <c r="AA222">
        <v>3</v>
      </c>
      <c r="AB222">
        <v>7</v>
      </c>
      <c r="AC222">
        <v>5</v>
      </c>
      <c r="AD222">
        <v>2</v>
      </c>
      <c r="AE222">
        <v>8</v>
      </c>
      <c r="AF222">
        <v>6</v>
      </c>
      <c r="AG222">
        <v>2</v>
      </c>
      <c r="AH222">
        <v>7</v>
      </c>
      <c r="AI222">
        <v>5</v>
      </c>
      <c r="AJ222">
        <v>2</v>
      </c>
      <c r="AK222" t="s">
        <v>2201</v>
      </c>
      <c r="AL222" t="s">
        <v>2202</v>
      </c>
      <c r="AM222" t="s">
        <v>2203</v>
      </c>
      <c r="AN222" t="s">
        <v>2204</v>
      </c>
      <c r="AO222" t="s">
        <v>2205</v>
      </c>
      <c r="AP222" t="s">
        <v>2206</v>
      </c>
      <c r="AQ222" t="s">
        <v>2207</v>
      </c>
      <c r="AR222" t="s">
        <v>323</v>
      </c>
      <c r="AS222" t="s">
        <v>2208</v>
      </c>
    </row>
    <row r="223" spans="1:45" x14ac:dyDescent="0.45">
      <c r="A223">
        <v>222</v>
      </c>
      <c r="B223">
        <v>12566</v>
      </c>
      <c r="C223" t="s">
        <v>72</v>
      </c>
      <c r="D223" t="s">
        <v>191</v>
      </c>
      <c r="E223" t="s">
        <v>74</v>
      </c>
      <c r="F223" t="s">
        <v>77</v>
      </c>
      <c r="G223" t="s">
        <v>76</v>
      </c>
      <c r="H223">
        <v>54.916541649315903</v>
      </c>
      <c r="I223">
        <v>2</v>
      </c>
      <c r="J223">
        <v>7</v>
      </c>
      <c r="K223">
        <v>4</v>
      </c>
      <c r="L223">
        <v>3</v>
      </c>
      <c r="M223">
        <v>6</v>
      </c>
      <c r="N223">
        <v>5</v>
      </c>
      <c r="O223">
        <v>1</v>
      </c>
      <c r="P223">
        <v>8</v>
      </c>
      <c r="Q223">
        <v>4</v>
      </c>
      <c r="R223">
        <v>4</v>
      </c>
      <c r="S223">
        <v>9</v>
      </c>
      <c r="T223">
        <v>5</v>
      </c>
      <c r="U223">
        <v>4</v>
      </c>
      <c r="V223">
        <v>8</v>
      </c>
      <c r="W223">
        <v>5</v>
      </c>
      <c r="X223">
        <v>3</v>
      </c>
      <c r="Y223">
        <v>9</v>
      </c>
      <c r="Z223">
        <v>5</v>
      </c>
      <c r="AA223">
        <v>4</v>
      </c>
      <c r="AB223">
        <v>8</v>
      </c>
      <c r="AC223">
        <v>5</v>
      </c>
      <c r="AD223">
        <v>3</v>
      </c>
      <c r="AE223">
        <v>7</v>
      </c>
      <c r="AF223">
        <v>5</v>
      </c>
      <c r="AG223">
        <v>2</v>
      </c>
      <c r="AH223">
        <v>9</v>
      </c>
      <c r="AI223">
        <v>5</v>
      </c>
      <c r="AJ223">
        <v>4</v>
      </c>
      <c r="AK223" t="s">
        <v>2209</v>
      </c>
      <c r="AL223" t="s">
        <v>2210</v>
      </c>
      <c r="AM223" t="s">
        <v>2211</v>
      </c>
      <c r="AN223" t="s">
        <v>2212</v>
      </c>
      <c r="AO223" t="s">
        <v>2213</v>
      </c>
      <c r="AP223" t="s">
        <v>2214</v>
      </c>
      <c r="AQ223" t="s">
        <v>2215</v>
      </c>
      <c r="AR223" t="s">
        <v>2216</v>
      </c>
      <c r="AS223" t="s">
        <v>2217</v>
      </c>
    </row>
    <row r="224" spans="1:45" x14ac:dyDescent="0.45">
      <c r="A224">
        <v>223</v>
      </c>
      <c r="B224">
        <v>12567</v>
      </c>
      <c r="C224" t="s">
        <v>78</v>
      </c>
      <c r="D224" t="s">
        <v>73</v>
      </c>
      <c r="E224" t="s">
        <v>74</v>
      </c>
      <c r="F224" t="s">
        <v>77</v>
      </c>
      <c r="G224" t="s">
        <v>76</v>
      </c>
      <c r="H224">
        <v>52.359479696293327</v>
      </c>
      <c r="I224">
        <v>2</v>
      </c>
      <c r="J224">
        <v>7</v>
      </c>
      <c r="K224">
        <v>6</v>
      </c>
      <c r="L224">
        <v>1</v>
      </c>
      <c r="M224">
        <v>8</v>
      </c>
      <c r="N224">
        <v>6</v>
      </c>
      <c r="O224">
        <v>2</v>
      </c>
      <c r="P224">
        <v>9</v>
      </c>
      <c r="Q224">
        <v>7</v>
      </c>
      <c r="R224">
        <v>2</v>
      </c>
      <c r="S224">
        <v>8</v>
      </c>
      <c r="T224">
        <v>7</v>
      </c>
      <c r="U224">
        <v>1</v>
      </c>
      <c r="V224">
        <v>7</v>
      </c>
      <c r="W224">
        <v>6</v>
      </c>
      <c r="X224">
        <v>1</v>
      </c>
      <c r="Y224">
        <v>8</v>
      </c>
      <c r="Z224">
        <v>6</v>
      </c>
      <c r="AA224">
        <v>2</v>
      </c>
      <c r="AB224">
        <v>6</v>
      </c>
      <c r="AC224">
        <v>8</v>
      </c>
      <c r="AD224">
        <v>-2</v>
      </c>
      <c r="AE224">
        <v>7</v>
      </c>
      <c r="AF224">
        <v>8</v>
      </c>
      <c r="AG224">
        <v>-1</v>
      </c>
      <c r="AH224">
        <v>9</v>
      </c>
      <c r="AI224">
        <v>7</v>
      </c>
      <c r="AJ224">
        <v>2</v>
      </c>
      <c r="AK224" t="s">
        <v>2218</v>
      </c>
      <c r="AL224" t="s">
        <v>2219</v>
      </c>
      <c r="AM224" t="s">
        <v>2220</v>
      </c>
      <c r="AN224" t="s">
        <v>2221</v>
      </c>
      <c r="AO224" t="s">
        <v>2222</v>
      </c>
      <c r="AP224" t="s">
        <v>2223</v>
      </c>
      <c r="AQ224" t="s">
        <v>2224</v>
      </c>
      <c r="AR224" t="s">
        <v>2225</v>
      </c>
      <c r="AS224" t="s">
        <v>2226</v>
      </c>
    </row>
    <row r="225" spans="1:45" x14ac:dyDescent="0.45">
      <c r="A225">
        <v>224</v>
      </c>
      <c r="B225">
        <v>12568</v>
      </c>
      <c r="C225" t="s">
        <v>72</v>
      </c>
      <c r="D225" t="s">
        <v>73</v>
      </c>
      <c r="E225" t="s">
        <v>74</v>
      </c>
      <c r="F225" t="s">
        <v>75</v>
      </c>
      <c r="G225" t="s">
        <v>76</v>
      </c>
      <c r="H225">
        <v>63.820423034934947</v>
      </c>
      <c r="I225">
        <v>0</v>
      </c>
      <c r="J225">
        <v>6</v>
      </c>
      <c r="K225">
        <v>7</v>
      </c>
      <c r="L225">
        <v>-1</v>
      </c>
      <c r="M225">
        <v>6</v>
      </c>
      <c r="N225">
        <v>7</v>
      </c>
      <c r="O225">
        <v>-1</v>
      </c>
      <c r="P225">
        <v>7</v>
      </c>
      <c r="Q225">
        <v>7</v>
      </c>
      <c r="R225">
        <v>0</v>
      </c>
      <c r="S225">
        <v>9</v>
      </c>
      <c r="T225">
        <v>7</v>
      </c>
      <c r="U225">
        <v>2</v>
      </c>
      <c r="V225">
        <v>7</v>
      </c>
      <c r="W225">
        <v>7</v>
      </c>
      <c r="X225">
        <v>0</v>
      </c>
      <c r="Y225">
        <v>8</v>
      </c>
      <c r="Z225">
        <v>7</v>
      </c>
      <c r="AA225">
        <v>1</v>
      </c>
      <c r="AB225">
        <v>7</v>
      </c>
      <c r="AC225">
        <v>7</v>
      </c>
      <c r="AD225">
        <v>0</v>
      </c>
      <c r="AE225">
        <v>8</v>
      </c>
      <c r="AF225">
        <v>7</v>
      </c>
      <c r="AG225">
        <v>1</v>
      </c>
      <c r="AH225">
        <v>9</v>
      </c>
      <c r="AI225">
        <v>7</v>
      </c>
      <c r="AJ225">
        <v>2</v>
      </c>
      <c r="AK225" t="s">
        <v>2227</v>
      </c>
      <c r="AL225" t="s">
        <v>2228</v>
      </c>
      <c r="AM225" t="s">
        <v>2229</v>
      </c>
      <c r="AN225" t="s">
        <v>1626</v>
      </c>
      <c r="AO225" t="s">
        <v>2230</v>
      </c>
      <c r="AP225" t="s">
        <v>2231</v>
      </c>
      <c r="AQ225" t="s">
        <v>2232</v>
      </c>
      <c r="AR225" t="s">
        <v>2233</v>
      </c>
      <c r="AS225" t="s">
        <v>2234</v>
      </c>
    </row>
    <row r="226" spans="1:45" x14ac:dyDescent="0.45">
      <c r="A226">
        <v>225</v>
      </c>
      <c r="B226">
        <v>12569</v>
      </c>
      <c r="C226" t="s">
        <v>72</v>
      </c>
      <c r="D226" t="s">
        <v>73</v>
      </c>
      <c r="E226" t="s">
        <v>74</v>
      </c>
      <c r="F226" t="s">
        <v>77</v>
      </c>
      <c r="G226" t="s">
        <v>76</v>
      </c>
      <c r="H226">
        <v>39.406274192627457</v>
      </c>
      <c r="I226">
        <v>1</v>
      </c>
      <c r="J226">
        <v>6</v>
      </c>
      <c r="K226">
        <v>6</v>
      </c>
      <c r="L226">
        <v>0</v>
      </c>
      <c r="M226">
        <v>5</v>
      </c>
      <c r="N226">
        <v>6</v>
      </c>
      <c r="O226">
        <v>-1</v>
      </c>
      <c r="P226">
        <v>8</v>
      </c>
      <c r="Q226">
        <v>7</v>
      </c>
      <c r="R226">
        <v>1</v>
      </c>
      <c r="S226">
        <v>7</v>
      </c>
      <c r="T226">
        <v>7</v>
      </c>
      <c r="U226">
        <v>0</v>
      </c>
      <c r="V226">
        <v>4</v>
      </c>
      <c r="W226">
        <v>5</v>
      </c>
      <c r="X226">
        <v>-1</v>
      </c>
      <c r="Y226">
        <v>9</v>
      </c>
      <c r="Z226">
        <v>6</v>
      </c>
      <c r="AA226">
        <v>3</v>
      </c>
      <c r="AB226">
        <v>5</v>
      </c>
      <c r="AC226">
        <v>6</v>
      </c>
      <c r="AD226">
        <v>-1</v>
      </c>
      <c r="AE226">
        <v>6</v>
      </c>
      <c r="AF226">
        <v>6</v>
      </c>
      <c r="AG226">
        <v>0</v>
      </c>
      <c r="AH226">
        <v>7</v>
      </c>
      <c r="AI226">
        <v>7</v>
      </c>
      <c r="AJ226">
        <v>0</v>
      </c>
      <c r="AK226" t="s">
        <v>2235</v>
      </c>
      <c r="AL226" t="s">
        <v>2236</v>
      </c>
      <c r="AM226" t="s">
        <v>2237</v>
      </c>
      <c r="AN226" t="s">
        <v>2238</v>
      </c>
      <c r="AO226" t="s">
        <v>2239</v>
      </c>
      <c r="AP226" t="s">
        <v>2240</v>
      </c>
      <c r="AQ226" t="s">
        <v>2241</v>
      </c>
      <c r="AR226" t="s">
        <v>2242</v>
      </c>
      <c r="AS226" t="s">
        <v>2243</v>
      </c>
    </row>
    <row r="227" spans="1:45" x14ac:dyDescent="0.45">
      <c r="A227">
        <v>226</v>
      </c>
      <c r="B227">
        <v>12570</v>
      </c>
      <c r="C227" t="s">
        <v>72</v>
      </c>
      <c r="D227" t="s">
        <v>193</v>
      </c>
      <c r="E227" t="s">
        <v>74</v>
      </c>
      <c r="F227" t="s">
        <v>75</v>
      </c>
      <c r="G227" t="s">
        <v>76</v>
      </c>
      <c r="H227">
        <v>85.117268390452779</v>
      </c>
      <c r="I227">
        <v>2</v>
      </c>
      <c r="J227">
        <v>6</v>
      </c>
      <c r="K227">
        <v>7</v>
      </c>
      <c r="L227">
        <v>-1</v>
      </c>
      <c r="M227">
        <v>7</v>
      </c>
      <c r="N227">
        <v>7</v>
      </c>
      <c r="O227">
        <v>0</v>
      </c>
      <c r="P227">
        <v>6</v>
      </c>
      <c r="Q227">
        <v>6</v>
      </c>
      <c r="R227">
        <v>0</v>
      </c>
      <c r="S227">
        <v>8</v>
      </c>
      <c r="T227">
        <v>7</v>
      </c>
      <c r="U227">
        <v>1</v>
      </c>
      <c r="V227">
        <v>7</v>
      </c>
      <c r="W227">
        <v>7</v>
      </c>
      <c r="X227">
        <v>0</v>
      </c>
      <c r="Y227">
        <v>9</v>
      </c>
      <c r="Z227">
        <v>7</v>
      </c>
      <c r="AA227">
        <v>2</v>
      </c>
      <c r="AB227">
        <v>7</v>
      </c>
      <c r="AC227">
        <v>7</v>
      </c>
      <c r="AD227">
        <v>0</v>
      </c>
      <c r="AE227">
        <v>8</v>
      </c>
      <c r="AF227">
        <v>7</v>
      </c>
      <c r="AG227">
        <v>1</v>
      </c>
      <c r="AH227">
        <v>7</v>
      </c>
      <c r="AI227">
        <v>7</v>
      </c>
      <c r="AJ227">
        <v>0</v>
      </c>
      <c r="AK227" t="s">
        <v>2244</v>
      </c>
      <c r="AL227" t="s">
        <v>2245</v>
      </c>
      <c r="AM227" t="s">
        <v>2246</v>
      </c>
      <c r="AN227" t="s">
        <v>2247</v>
      </c>
      <c r="AO227" t="s">
        <v>2248</v>
      </c>
      <c r="AP227" t="s">
        <v>2249</v>
      </c>
      <c r="AQ227" t="s">
        <v>2250</v>
      </c>
      <c r="AR227" t="s">
        <v>2251</v>
      </c>
      <c r="AS227" t="s">
        <v>2252</v>
      </c>
    </row>
    <row r="228" spans="1:45" x14ac:dyDescent="0.45">
      <c r="A228">
        <v>227</v>
      </c>
      <c r="B228">
        <v>12571</v>
      </c>
      <c r="C228" t="s">
        <v>72</v>
      </c>
      <c r="D228" t="s">
        <v>81</v>
      </c>
      <c r="E228" t="s">
        <v>74</v>
      </c>
      <c r="F228" t="s">
        <v>77</v>
      </c>
      <c r="G228" t="s">
        <v>76</v>
      </c>
      <c r="H228">
        <v>25.555307120083427</v>
      </c>
      <c r="I228">
        <v>0</v>
      </c>
      <c r="J228">
        <v>7</v>
      </c>
      <c r="K228">
        <v>6</v>
      </c>
      <c r="L228">
        <v>1</v>
      </c>
      <c r="M228">
        <v>8</v>
      </c>
      <c r="N228">
        <v>6</v>
      </c>
      <c r="O228">
        <v>2</v>
      </c>
      <c r="P228">
        <v>9</v>
      </c>
      <c r="Q228">
        <v>6</v>
      </c>
      <c r="R228">
        <v>3</v>
      </c>
      <c r="S228">
        <v>10</v>
      </c>
      <c r="T228">
        <v>6</v>
      </c>
      <c r="U228">
        <v>4</v>
      </c>
      <c r="V228">
        <v>7</v>
      </c>
      <c r="W228">
        <v>6</v>
      </c>
      <c r="X228">
        <v>1</v>
      </c>
      <c r="Y228">
        <v>9</v>
      </c>
      <c r="Z228">
        <v>6</v>
      </c>
      <c r="AA228">
        <v>3</v>
      </c>
      <c r="AB228">
        <v>7</v>
      </c>
      <c r="AC228">
        <v>6</v>
      </c>
      <c r="AD228">
        <v>1</v>
      </c>
      <c r="AE228">
        <v>8</v>
      </c>
      <c r="AF228">
        <v>6</v>
      </c>
      <c r="AG228">
        <v>2</v>
      </c>
      <c r="AH228">
        <v>9</v>
      </c>
      <c r="AI228">
        <v>6</v>
      </c>
      <c r="AJ228">
        <v>3</v>
      </c>
      <c r="AK228" t="s">
        <v>2253</v>
      </c>
      <c r="AL228" t="s">
        <v>2254</v>
      </c>
      <c r="AM228" t="s">
        <v>2255</v>
      </c>
      <c r="AN228" t="s">
        <v>2256</v>
      </c>
      <c r="AO228" t="s">
        <v>2257</v>
      </c>
      <c r="AP228" t="s">
        <v>2258</v>
      </c>
      <c r="AQ228" t="s">
        <v>2259</v>
      </c>
      <c r="AR228" t="s">
        <v>2260</v>
      </c>
      <c r="AS228" t="s">
        <v>2261</v>
      </c>
    </row>
    <row r="229" spans="1:45" x14ac:dyDescent="0.45">
      <c r="A229">
        <v>228</v>
      </c>
      <c r="B229">
        <v>12572</v>
      </c>
      <c r="C229" t="s">
        <v>72</v>
      </c>
      <c r="D229" t="s">
        <v>81</v>
      </c>
      <c r="E229" t="s">
        <v>74</v>
      </c>
      <c r="F229" t="s">
        <v>77</v>
      </c>
      <c r="G229" t="s">
        <v>76</v>
      </c>
      <c r="H229">
        <v>20.474704126778885</v>
      </c>
      <c r="I229">
        <v>2</v>
      </c>
      <c r="J229">
        <v>7</v>
      </c>
      <c r="K229">
        <v>8</v>
      </c>
      <c r="L229">
        <v>-1</v>
      </c>
      <c r="M229">
        <v>6</v>
      </c>
      <c r="N229">
        <v>9</v>
      </c>
      <c r="O229">
        <v>-3</v>
      </c>
      <c r="P229">
        <v>5</v>
      </c>
      <c r="Q229">
        <v>7</v>
      </c>
      <c r="R229">
        <v>-2</v>
      </c>
      <c r="S229">
        <v>8</v>
      </c>
      <c r="T229">
        <v>8</v>
      </c>
      <c r="U229">
        <v>0</v>
      </c>
      <c r="V229">
        <v>7</v>
      </c>
      <c r="W229">
        <v>9</v>
      </c>
      <c r="X229">
        <v>-2</v>
      </c>
      <c r="Y229">
        <v>9</v>
      </c>
      <c r="Z229">
        <v>8</v>
      </c>
      <c r="AA229">
        <v>1</v>
      </c>
      <c r="AB229">
        <v>7</v>
      </c>
      <c r="AC229">
        <v>8</v>
      </c>
      <c r="AD229">
        <v>-1</v>
      </c>
      <c r="AE229">
        <v>6</v>
      </c>
      <c r="AF229">
        <v>8</v>
      </c>
      <c r="AG229">
        <v>-2</v>
      </c>
      <c r="AH229">
        <v>9</v>
      </c>
      <c r="AI229">
        <v>8</v>
      </c>
      <c r="AJ229">
        <v>1</v>
      </c>
      <c r="AK229" t="s">
        <v>2262</v>
      </c>
      <c r="AL229" t="s">
        <v>2263</v>
      </c>
      <c r="AM229" t="s">
        <v>2264</v>
      </c>
      <c r="AN229" t="s">
        <v>2265</v>
      </c>
      <c r="AO229" t="s">
        <v>2266</v>
      </c>
      <c r="AP229" t="s">
        <v>2267</v>
      </c>
      <c r="AQ229" t="s">
        <v>2268</v>
      </c>
      <c r="AR229" t="s">
        <v>2269</v>
      </c>
      <c r="AS229" t="s">
        <v>2270</v>
      </c>
    </row>
    <row r="230" spans="1:45" x14ac:dyDescent="0.45">
      <c r="A230">
        <v>229</v>
      </c>
      <c r="B230">
        <v>12573</v>
      </c>
      <c r="C230" t="s">
        <v>72</v>
      </c>
      <c r="D230" t="s">
        <v>73</v>
      </c>
      <c r="E230" t="s">
        <v>74</v>
      </c>
      <c r="F230" t="s">
        <v>77</v>
      </c>
      <c r="G230" t="s">
        <v>76</v>
      </c>
      <c r="H230">
        <v>63.152124654242797</v>
      </c>
      <c r="I230">
        <v>2</v>
      </c>
      <c r="J230">
        <v>7</v>
      </c>
      <c r="K230">
        <v>6</v>
      </c>
      <c r="L230">
        <v>1</v>
      </c>
      <c r="M230">
        <v>6</v>
      </c>
      <c r="N230">
        <v>6</v>
      </c>
      <c r="O230">
        <v>0</v>
      </c>
      <c r="P230">
        <v>7</v>
      </c>
      <c r="Q230">
        <v>6</v>
      </c>
      <c r="R230">
        <v>1</v>
      </c>
      <c r="S230">
        <v>9</v>
      </c>
      <c r="T230">
        <v>6</v>
      </c>
      <c r="U230">
        <v>3</v>
      </c>
      <c r="V230">
        <v>6</v>
      </c>
      <c r="W230">
        <v>6</v>
      </c>
      <c r="X230">
        <v>0</v>
      </c>
      <c r="Y230">
        <v>9</v>
      </c>
      <c r="Z230">
        <v>7</v>
      </c>
      <c r="AA230">
        <v>2</v>
      </c>
      <c r="AB230">
        <v>8</v>
      </c>
      <c r="AC230">
        <v>6</v>
      </c>
      <c r="AD230">
        <v>2</v>
      </c>
      <c r="AE230">
        <v>7</v>
      </c>
      <c r="AF230">
        <v>6</v>
      </c>
      <c r="AG230">
        <v>1</v>
      </c>
      <c r="AH230">
        <v>9</v>
      </c>
      <c r="AI230">
        <v>7</v>
      </c>
      <c r="AJ230">
        <v>2</v>
      </c>
      <c r="AK230" t="s">
        <v>2271</v>
      </c>
      <c r="AL230" t="s">
        <v>2272</v>
      </c>
      <c r="AM230" t="s">
        <v>2273</v>
      </c>
      <c r="AN230" t="s">
        <v>2274</v>
      </c>
      <c r="AO230" t="s">
        <v>2275</v>
      </c>
      <c r="AP230" t="s">
        <v>2276</v>
      </c>
      <c r="AQ230" t="s">
        <v>2277</v>
      </c>
      <c r="AR230" t="s">
        <v>2278</v>
      </c>
      <c r="AS230" t="s">
        <v>2279</v>
      </c>
    </row>
    <row r="231" spans="1:45" x14ac:dyDescent="0.45">
      <c r="A231">
        <v>230</v>
      </c>
      <c r="B231">
        <v>12574</v>
      </c>
      <c r="C231" t="s">
        <v>72</v>
      </c>
      <c r="D231" t="s">
        <v>79</v>
      </c>
      <c r="E231" t="s">
        <v>74</v>
      </c>
      <c r="F231" t="s">
        <v>75</v>
      </c>
      <c r="G231" t="s">
        <v>76</v>
      </c>
      <c r="H231">
        <v>88.941297532583818</v>
      </c>
      <c r="I231">
        <v>4</v>
      </c>
      <c r="J231">
        <v>8</v>
      </c>
      <c r="K231">
        <v>4</v>
      </c>
      <c r="L231">
        <v>4</v>
      </c>
      <c r="M231">
        <v>9</v>
      </c>
      <c r="N231">
        <v>5</v>
      </c>
      <c r="O231">
        <v>4</v>
      </c>
      <c r="P231">
        <v>8</v>
      </c>
      <c r="Q231">
        <v>1</v>
      </c>
      <c r="R231">
        <v>7</v>
      </c>
      <c r="S231">
        <v>9</v>
      </c>
      <c r="T231">
        <v>6</v>
      </c>
      <c r="U231">
        <v>3</v>
      </c>
      <c r="V231">
        <v>8</v>
      </c>
      <c r="W231">
        <v>4</v>
      </c>
      <c r="X231">
        <v>4</v>
      </c>
      <c r="Y231">
        <v>9</v>
      </c>
      <c r="Z231">
        <v>4</v>
      </c>
      <c r="AA231">
        <v>5</v>
      </c>
      <c r="AB231">
        <v>8</v>
      </c>
      <c r="AC231">
        <v>5</v>
      </c>
      <c r="AD231">
        <v>3</v>
      </c>
      <c r="AE231">
        <v>7</v>
      </c>
      <c r="AF231">
        <v>5</v>
      </c>
      <c r="AG231">
        <v>2</v>
      </c>
      <c r="AH231">
        <v>9</v>
      </c>
      <c r="AI231">
        <v>5</v>
      </c>
      <c r="AJ231">
        <v>4</v>
      </c>
      <c r="AK231" t="s">
        <v>2280</v>
      </c>
      <c r="AL231" t="s">
        <v>2281</v>
      </c>
      <c r="AM231" t="s">
        <v>2282</v>
      </c>
      <c r="AN231" t="s">
        <v>2283</v>
      </c>
      <c r="AO231" t="s">
        <v>2284</v>
      </c>
      <c r="AP231" t="s">
        <v>2285</v>
      </c>
      <c r="AQ231" t="s">
        <v>2286</v>
      </c>
      <c r="AR231" t="s">
        <v>2287</v>
      </c>
      <c r="AS231" t="s">
        <v>2288</v>
      </c>
    </row>
    <row r="232" spans="1:45" x14ac:dyDescent="0.45">
      <c r="A232">
        <v>231</v>
      </c>
      <c r="B232">
        <v>12575</v>
      </c>
      <c r="C232" t="s">
        <v>78</v>
      </c>
      <c r="D232" t="s">
        <v>193</v>
      </c>
      <c r="E232" t="s">
        <v>74</v>
      </c>
      <c r="F232" t="s">
        <v>75</v>
      </c>
      <c r="G232" t="s">
        <v>76</v>
      </c>
      <c r="H232">
        <v>128.03554286536991</v>
      </c>
      <c r="I232">
        <v>4</v>
      </c>
      <c r="J232">
        <v>9</v>
      </c>
      <c r="K232">
        <v>8</v>
      </c>
      <c r="L232">
        <v>1</v>
      </c>
      <c r="M232">
        <v>8</v>
      </c>
      <c r="N232">
        <v>8</v>
      </c>
      <c r="O232">
        <v>0</v>
      </c>
      <c r="P232">
        <v>9</v>
      </c>
      <c r="Q232">
        <v>8</v>
      </c>
      <c r="R232">
        <v>1</v>
      </c>
      <c r="S232">
        <v>8</v>
      </c>
      <c r="T232">
        <v>8</v>
      </c>
      <c r="U232">
        <v>0</v>
      </c>
      <c r="V232">
        <v>9</v>
      </c>
      <c r="W232">
        <v>7</v>
      </c>
      <c r="X232">
        <v>2</v>
      </c>
      <c r="Y232">
        <v>9</v>
      </c>
      <c r="Z232">
        <v>7</v>
      </c>
      <c r="AA232">
        <v>2</v>
      </c>
      <c r="AB232">
        <v>8</v>
      </c>
      <c r="AC232">
        <v>8</v>
      </c>
      <c r="AD232">
        <v>0</v>
      </c>
      <c r="AE232">
        <v>9</v>
      </c>
      <c r="AF232">
        <v>7</v>
      </c>
      <c r="AG232">
        <v>2</v>
      </c>
      <c r="AH232">
        <v>9</v>
      </c>
      <c r="AI232">
        <v>8</v>
      </c>
      <c r="AJ232">
        <v>1</v>
      </c>
      <c r="AK232" t="s">
        <v>2289</v>
      </c>
      <c r="AL232" t="s">
        <v>2290</v>
      </c>
      <c r="AM232" t="s">
        <v>2291</v>
      </c>
      <c r="AN232" t="s">
        <v>2292</v>
      </c>
      <c r="AO232" t="s">
        <v>2293</v>
      </c>
      <c r="AP232" t="s">
        <v>2294</v>
      </c>
      <c r="AQ232" t="s">
        <v>2295</v>
      </c>
      <c r="AR232" t="s">
        <v>2296</v>
      </c>
      <c r="AS232" t="s">
        <v>2297</v>
      </c>
    </row>
    <row r="233" spans="1:45" x14ac:dyDescent="0.45">
      <c r="A233">
        <v>232</v>
      </c>
      <c r="B233">
        <v>12576</v>
      </c>
      <c r="C233" t="s">
        <v>78</v>
      </c>
      <c r="D233" t="s">
        <v>73</v>
      </c>
      <c r="E233" t="s">
        <v>74</v>
      </c>
      <c r="F233" t="s">
        <v>77</v>
      </c>
      <c r="G233" t="s">
        <v>76</v>
      </c>
      <c r="H233">
        <v>50.871414207238672</v>
      </c>
      <c r="I233">
        <v>2</v>
      </c>
      <c r="J233">
        <v>6</v>
      </c>
      <c r="K233">
        <v>6</v>
      </c>
      <c r="L233">
        <v>0</v>
      </c>
      <c r="M233">
        <v>7</v>
      </c>
      <c r="N233">
        <v>6</v>
      </c>
      <c r="O233">
        <v>1</v>
      </c>
      <c r="P233">
        <v>9</v>
      </c>
      <c r="Q233">
        <v>6</v>
      </c>
      <c r="R233">
        <v>3</v>
      </c>
      <c r="S233">
        <v>10</v>
      </c>
      <c r="T233">
        <v>6</v>
      </c>
      <c r="U233">
        <v>4</v>
      </c>
      <c r="V233">
        <v>7</v>
      </c>
      <c r="W233">
        <v>6</v>
      </c>
      <c r="X233">
        <v>1</v>
      </c>
      <c r="Y233">
        <v>9</v>
      </c>
      <c r="Z233">
        <v>6</v>
      </c>
      <c r="AA233">
        <v>3</v>
      </c>
      <c r="AB233">
        <v>8</v>
      </c>
      <c r="AC233">
        <v>6</v>
      </c>
      <c r="AD233">
        <v>2</v>
      </c>
      <c r="AE233">
        <v>9</v>
      </c>
      <c r="AF233">
        <v>6</v>
      </c>
      <c r="AG233">
        <v>3</v>
      </c>
      <c r="AH233">
        <v>8</v>
      </c>
      <c r="AI233">
        <v>6</v>
      </c>
      <c r="AJ233">
        <v>2</v>
      </c>
      <c r="AK233" t="s">
        <v>2298</v>
      </c>
      <c r="AL233" t="s">
        <v>2299</v>
      </c>
      <c r="AM233" t="s">
        <v>2300</v>
      </c>
      <c r="AN233" t="s">
        <v>2301</v>
      </c>
      <c r="AO233" t="s">
        <v>2302</v>
      </c>
      <c r="AP233" t="s">
        <v>2303</v>
      </c>
      <c r="AQ233" t="s">
        <v>2304</v>
      </c>
      <c r="AR233" t="s">
        <v>2305</v>
      </c>
      <c r="AS233" t="s">
        <v>2306</v>
      </c>
    </row>
    <row r="234" spans="1:45" x14ac:dyDescent="0.45">
      <c r="A234">
        <v>233</v>
      </c>
      <c r="B234">
        <v>12577</v>
      </c>
      <c r="C234" t="s">
        <v>72</v>
      </c>
      <c r="D234" t="s">
        <v>79</v>
      </c>
      <c r="E234" t="s">
        <v>74</v>
      </c>
      <c r="F234" t="s">
        <v>77</v>
      </c>
      <c r="G234" t="s">
        <v>76</v>
      </c>
      <c r="H234">
        <v>14.644126104004014</v>
      </c>
      <c r="I234">
        <v>1</v>
      </c>
      <c r="J234">
        <v>8</v>
      </c>
      <c r="K234">
        <v>8</v>
      </c>
      <c r="L234">
        <v>0</v>
      </c>
      <c r="M234">
        <v>9</v>
      </c>
      <c r="N234">
        <v>8</v>
      </c>
      <c r="O234">
        <v>1</v>
      </c>
      <c r="P234">
        <v>9</v>
      </c>
      <c r="Q234">
        <v>8</v>
      </c>
      <c r="R234">
        <v>1</v>
      </c>
      <c r="S234">
        <v>10</v>
      </c>
      <c r="T234">
        <v>8</v>
      </c>
      <c r="U234">
        <v>2</v>
      </c>
      <c r="V234">
        <v>9</v>
      </c>
      <c r="W234">
        <v>9</v>
      </c>
      <c r="X234">
        <v>0</v>
      </c>
      <c r="Y234">
        <v>8</v>
      </c>
      <c r="Z234">
        <v>8</v>
      </c>
      <c r="AA234">
        <v>0</v>
      </c>
      <c r="AB234">
        <v>9</v>
      </c>
      <c r="AC234">
        <v>8</v>
      </c>
      <c r="AD234">
        <v>1</v>
      </c>
      <c r="AE234">
        <v>8</v>
      </c>
      <c r="AF234">
        <v>8</v>
      </c>
      <c r="AG234">
        <v>0</v>
      </c>
      <c r="AH234">
        <v>9</v>
      </c>
      <c r="AI234">
        <v>10</v>
      </c>
      <c r="AJ234">
        <v>-1</v>
      </c>
      <c r="AK234" t="s">
        <v>2307</v>
      </c>
      <c r="AL234" t="s">
        <v>2308</v>
      </c>
      <c r="AM234" t="s">
        <v>2309</v>
      </c>
      <c r="AN234" t="s">
        <v>2310</v>
      </c>
      <c r="AO234" t="s">
        <v>2311</v>
      </c>
      <c r="AP234" t="s">
        <v>2312</v>
      </c>
      <c r="AQ234" t="s">
        <v>2313</v>
      </c>
      <c r="AR234" t="s">
        <v>2314</v>
      </c>
      <c r="AS234" t="s">
        <v>2315</v>
      </c>
    </row>
    <row r="235" spans="1:45" x14ac:dyDescent="0.45">
      <c r="A235">
        <v>234</v>
      </c>
      <c r="B235">
        <v>12578</v>
      </c>
      <c r="C235" t="s">
        <v>72</v>
      </c>
      <c r="D235" t="s">
        <v>191</v>
      </c>
      <c r="E235" t="s">
        <v>74</v>
      </c>
      <c r="F235" t="s">
        <v>75</v>
      </c>
      <c r="G235" t="s">
        <v>76</v>
      </c>
      <c r="H235">
        <v>74.992711943235221</v>
      </c>
      <c r="I235">
        <v>3</v>
      </c>
      <c r="J235">
        <v>8</v>
      </c>
      <c r="K235">
        <v>4</v>
      </c>
      <c r="L235">
        <v>4</v>
      </c>
      <c r="M235">
        <v>9</v>
      </c>
      <c r="N235">
        <v>4</v>
      </c>
      <c r="O235">
        <v>5</v>
      </c>
      <c r="P235">
        <v>8</v>
      </c>
      <c r="Q235">
        <v>4</v>
      </c>
      <c r="R235">
        <v>4</v>
      </c>
      <c r="S235">
        <v>9</v>
      </c>
      <c r="T235">
        <v>4</v>
      </c>
      <c r="U235">
        <v>5</v>
      </c>
      <c r="V235">
        <v>8</v>
      </c>
      <c r="W235">
        <v>1</v>
      </c>
      <c r="X235">
        <v>7</v>
      </c>
      <c r="Y235">
        <v>9</v>
      </c>
      <c r="Z235">
        <v>3</v>
      </c>
      <c r="AA235">
        <v>6</v>
      </c>
      <c r="AB235">
        <v>8</v>
      </c>
      <c r="AC235">
        <v>1</v>
      </c>
      <c r="AD235">
        <v>7</v>
      </c>
      <c r="AE235">
        <v>9</v>
      </c>
      <c r="AF235">
        <v>1</v>
      </c>
      <c r="AG235">
        <v>8</v>
      </c>
      <c r="AH235">
        <v>8</v>
      </c>
      <c r="AI235">
        <v>1</v>
      </c>
      <c r="AJ235">
        <v>7</v>
      </c>
      <c r="AK235" t="s">
        <v>2316</v>
      </c>
      <c r="AL235" t="s">
        <v>2317</v>
      </c>
      <c r="AM235" t="s">
        <v>2318</v>
      </c>
      <c r="AN235" t="s">
        <v>2319</v>
      </c>
      <c r="AO235" t="s">
        <v>2320</v>
      </c>
      <c r="AP235" t="s">
        <v>2321</v>
      </c>
      <c r="AQ235" t="s">
        <v>2322</v>
      </c>
      <c r="AR235" t="s">
        <v>2323</v>
      </c>
      <c r="AS235" t="s">
        <v>2324</v>
      </c>
    </row>
    <row r="236" spans="1:45" x14ac:dyDescent="0.45">
      <c r="A236">
        <v>235</v>
      </c>
      <c r="B236">
        <v>12579</v>
      </c>
      <c r="C236" t="s">
        <v>72</v>
      </c>
      <c r="D236" t="s">
        <v>73</v>
      </c>
      <c r="E236" t="s">
        <v>74</v>
      </c>
      <c r="F236" t="s">
        <v>77</v>
      </c>
      <c r="G236" t="s">
        <v>76</v>
      </c>
      <c r="H236">
        <v>33.489906884490352</v>
      </c>
      <c r="I236">
        <v>0</v>
      </c>
      <c r="J236">
        <v>8</v>
      </c>
      <c r="K236">
        <v>6</v>
      </c>
      <c r="L236">
        <v>2</v>
      </c>
      <c r="M236">
        <v>9</v>
      </c>
      <c r="N236">
        <v>6</v>
      </c>
      <c r="O236">
        <v>3</v>
      </c>
      <c r="P236">
        <v>7</v>
      </c>
      <c r="Q236">
        <v>1</v>
      </c>
      <c r="R236">
        <v>6</v>
      </c>
      <c r="S236">
        <v>8</v>
      </c>
      <c r="T236">
        <v>6</v>
      </c>
      <c r="U236">
        <v>2</v>
      </c>
      <c r="V236">
        <v>9</v>
      </c>
      <c r="W236">
        <v>5</v>
      </c>
      <c r="X236">
        <v>4</v>
      </c>
      <c r="Y236">
        <v>8</v>
      </c>
      <c r="Z236">
        <v>6</v>
      </c>
      <c r="AA236">
        <v>2</v>
      </c>
      <c r="AB236">
        <v>9</v>
      </c>
      <c r="AC236">
        <v>5</v>
      </c>
      <c r="AD236">
        <v>4</v>
      </c>
      <c r="AE236">
        <v>8</v>
      </c>
      <c r="AF236">
        <v>6</v>
      </c>
      <c r="AG236">
        <v>2</v>
      </c>
      <c r="AH236">
        <v>9</v>
      </c>
      <c r="AI236">
        <v>6</v>
      </c>
      <c r="AJ236">
        <v>3</v>
      </c>
      <c r="AK236" t="s">
        <v>2325</v>
      </c>
      <c r="AL236" t="s">
        <v>2326</v>
      </c>
      <c r="AM236" t="s">
        <v>2327</v>
      </c>
      <c r="AN236" t="s">
        <v>2328</v>
      </c>
      <c r="AO236" t="s">
        <v>2329</v>
      </c>
      <c r="AP236" t="s">
        <v>2330</v>
      </c>
      <c r="AQ236" t="s">
        <v>2331</v>
      </c>
      <c r="AR236" t="s">
        <v>2332</v>
      </c>
      <c r="AS236" t="s">
        <v>2333</v>
      </c>
    </row>
    <row r="237" spans="1:45" x14ac:dyDescent="0.45">
      <c r="A237">
        <v>236</v>
      </c>
      <c r="B237">
        <v>12580</v>
      </c>
      <c r="C237" t="s">
        <v>72</v>
      </c>
      <c r="D237" t="s">
        <v>73</v>
      </c>
      <c r="E237" t="s">
        <v>74</v>
      </c>
      <c r="F237" t="s">
        <v>75</v>
      </c>
      <c r="G237" t="s">
        <v>76</v>
      </c>
      <c r="H237">
        <v>68.634207633579592</v>
      </c>
      <c r="I237">
        <v>3</v>
      </c>
      <c r="J237">
        <v>8</v>
      </c>
      <c r="K237">
        <v>7</v>
      </c>
      <c r="L237">
        <v>1</v>
      </c>
      <c r="M237">
        <v>9</v>
      </c>
      <c r="N237">
        <v>7</v>
      </c>
      <c r="O237">
        <v>2</v>
      </c>
      <c r="P237">
        <v>8</v>
      </c>
      <c r="Q237">
        <v>7</v>
      </c>
      <c r="R237">
        <v>1</v>
      </c>
      <c r="S237">
        <v>9</v>
      </c>
      <c r="T237">
        <v>7</v>
      </c>
      <c r="U237">
        <v>2</v>
      </c>
      <c r="V237">
        <v>7</v>
      </c>
      <c r="W237">
        <v>7</v>
      </c>
      <c r="X237">
        <v>0</v>
      </c>
      <c r="Y237">
        <v>8</v>
      </c>
      <c r="Z237">
        <v>7</v>
      </c>
      <c r="AA237">
        <v>1</v>
      </c>
      <c r="AB237">
        <v>7</v>
      </c>
      <c r="AC237">
        <v>7</v>
      </c>
      <c r="AD237">
        <v>0</v>
      </c>
      <c r="AE237">
        <v>6</v>
      </c>
      <c r="AF237">
        <v>7</v>
      </c>
      <c r="AG237">
        <v>-1</v>
      </c>
      <c r="AH237">
        <v>7</v>
      </c>
      <c r="AI237">
        <v>7</v>
      </c>
      <c r="AJ237">
        <v>0</v>
      </c>
      <c r="AK237" t="s">
        <v>2334</v>
      </c>
      <c r="AL237" t="s">
        <v>2335</v>
      </c>
      <c r="AM237" t="s">
        <v>2336</v>
      </c>
      <c r="AN237" t="s">
        <v>2337</v>
      </c>
      <c r="AO237" t="s">
        <v>2338</v>
      </c>
      <c r="AP237" t="s">
        <v>2339</v>
      </c>
      <c r="AQ237" t="s">
        <v>2340</v>
      </c>
      <c r="AR237" t="s">
        <v>2341</v>
      </c>
      <c r="AS237" t="s">
        <v>2342</v>
      </c>
    </row>
    <row r="238" spans="1:45" x14ac:dyDescent="0.45">
      <c r="A238">
        <v>237</v>
      </c>
      <c r="B238">
        <v>12581</v>
      </c>
      <c r="C238" t="s">
        <v>78</v>
      </c>
      <c r="D238" t="s">
        <v>73</v>
      </c>
      <c r="E238" t="s">
        <v>74</v>
      </c>
      <c r="F238" t="s">
        <v>75</v>
      </c>
      <c r="G238" t="s">
        <v>162</v>
      </c>
      <c r="H238">
        <v>12.399043697752848</v>
      </c>
      <c r="I238">
        <v>3</v>
      </c>
      <c r="J238">
        <v>8</v>
      </c>
      <c r="K238">
        <v>10</v>
      </c>
      <c r="L238">
        <v>-2</v>
      </c>
      <c r="M238">
        <v>9</v>
      </c>
      <c r="N238">
        <v>10</v>
      </c>
      <c r="O238">
        <v>-1</v>
      </c>
      <c r="P238">
        <v>8</v>
      </c>
      <c r="Q238">
        <v>4</v>
      </c>
      <c r="R238">
        <v>4</v>
      </c>
      <c r="S238">
        <v>9</v>
      </c>
      <c r="T238">
        <v>6</v>
      </c>
      <c r="U238">
        <v>3</v>
      </c>
      <c r="V238">
        <v>9</v>
      </c>
      <c r="W238">
        <v>3</v>
      </c>
      <c r="X238">
        <v>6</v>
      </c>
      <c r="Y238">
        <v>8</v>
      </c>
      <c r="Z238">
        <v>1</v>
      </c>
      <c r="AA238">
        <v>7</v>
      </c>
      <c r="AB238">
        <v>9</v>
      </c>
      <c r="AC238">
        <v>1</v>
      </c>
      <c r="AD238">
        <v>8</v>
      </c>
      <c r="AE238">
        <v>8</v>
      </c>
      <c r="AF238">
        <v>3</v>
      </c>
      <c r="AG238">
        <v>5</v>
      </c>
      <c r="AH238">
        <v>9</v>
      </c>
      <c r="AI238">
        <v>1</v>
      </c>
      <c r="AJ238">
        <v>8</v>
      </c>
      <c r="AK238" t="s">
        <v>2343</v>
      </c>
      <c r="AL238" t="s">
        <v>2344</v>
      </c>
      <c r="AM238" t="s">
        <v>2345</v>
      </c>
      <c r="AN238" t="s">
        <v>2346</v>
      </c>
      <c r="AO238" t="s">
        <v>2347</v>
      </c>
      <c r="AP238" t="s">
        <v>2348</v>
      </c>
      <c r="AQ238" t="s">
        <v>2349</v>
      </c>
      <c r="AR238" t="s">
        <v>2350</v>
      </c>
      <c r="AS238" t="s">
        <v>2351</v>
      </c>
    </row>
    <row r="239" spans="1:45" x14ac:dyDescent="0.45">
      <c r="A239">
        <v>238</v>
      </c>
      <c r="B239">
        <v>12582</v>
      </c>
      <c r="C239" t="s">
        <v>72</v>
      </c>
      <c r="D239" t="s">
        <v>73</v>
      </c>
      <c r="E239" t="s">
        <v>74</v>
      </c>
      <c r="F239" t="s">
        <v>75</v>
      </c>
      <c r="G239" t="s">
        <v>76</v>
      </c>
      <c r="H239">
        <v>23.801704615176334</v>
      </c>
      <c r="I239">
        <v>1</v>
      </c>
      <c r="J239">
        <v>7</v>
      </c>
      <c r="K239">
        <v>8</v>
      </c>
      <c r="L239">
        <v>-1</v>
      </c>
      <c r="M239">
        <v>8</v>
      </c>
      <c r="N239">
        <v>10</v>
      </c>
      <c r="O239">
        <v>-2</v>
      </c>
      <c r="P239">
        <v>9</v>
      </c>
      <c r="Q239">
        <v>8</v>
      </c>
      <c r="R239">
        <v>1</v>
      </c>
      <c r="S239">
        <v>8</v>
      </c>
      <c r="T239">
        <v>10</v>
      </c>
      <c r="U239">
        <v>-2</v>
      </c>
      <c r="V239">
        <v>9</v>
      </c>
      <c r="W239">
        <v>9</v>
      </c>
      <c r="X239">
        <v>0</v>
      </c>
      <c r="Y239">
        <v>8</v>
      </c>
      <c r="Z239">
        <v>8</v>
      </c>
      <c r="AA239">
        <v>0</v>
      </c>
      <c r="AB239">
        <v>7</v>
      </c>
      <c r="AC239">
        <v>7</v>
      </c>
      <c r="AD239">
        <v>0</v>
      </c>
      <c r="AE239">
        <v>8</v>
      </c>
      <c r="AF239">
        <v>9</v>
      </c>
      <c r="AG239">
        <v>-1</v>
      </c>
      <c r="AH239">
        <v>9</v>
      </c>
      <c r="AI239">
        <v>9</v>
      </c>
      <c r="AJ239">
        <v>0</v>
      </c>
      <c r="AK239" t="s">
        <v>2352</v>
      </c>
      <c r="AL239" t="s">
        <v>2353</v>
      </c>
      <c r="AM239" t="s">
        <v>2354</v>
      </c>
      <c r="AN239" t="s">
        <v>2355</v>
      </c>
      <c r="AO239" t="s">
        <v>2356</v>
      </c>
      <c r="AP239" t="s">
        <v>2357</v>
      </c>
      <c r="AQ239" t="s">
        <v>2358</v>
      </c>
      <c r="AR239" t="s">
        <v>2359</v>
      </c>
      <c r="AS239" t="s">
        <v>2360</v>
      </c>
    </row>
    <row r="240" spans="1:45" x14ac:dyDescent="0.45">
      <c r="A240">
        <v>239</v>
      </c>
      <c r="B240">
        <v>12583</v>
      </c>
      <c r="C240" t="s">
        <v>78</v>
      </c>
      <c r="D240" t="s">
        <v>193</v>
      </c>
      <c r="E240" t="s">
        <v>74</v>
      </c>
      <c r="F240" t="s">
        <v>75</v>
      </c>
      <c r="G240" t="s">
        <v>76</v>
      </c>
      <c r="H240">
        <v>96.861978178096948</v>
      </c>
      <c r="I240">
        <v>4</v>
      </c>
      <c r="J240">
        <v>8</v>
      </c>
      <c r="K240">
        <v>6</v>
      </c>
      <c r="L240">
        <v>2</v>
      </c>
      <c r="M240">
        <v>7</v>
      </c>
      <c r="N240">
        <v>6</v>
      </c>
      <c r="O240">
        <v>1</v>
      </c>
      <c r="P240">
        <v>9</v>
      </c>
      <c r="Q240">
        <v>6</v>
      </c>
      <c r="R240">
        <v>3</v>
      </c>
      <c r="S240">
        <v>8</v>
      </c>
      <c r="T240">
        <v>6</v>
      </c>
      <c r="U240">
        <v>2</v>
      </c>
      <c r="V240">
        <v>7</v>
      </c>
      <c r="W240">
        <v>6</v>
      </c>
      <c r="X240">
        <v>1</v>
      </c>
      <c r="Y240">
        <v>9</v>
      </c>
      <c r="Z240">
        <v>6</v>
      </c>
      <c r="AA240">
        <v>3</v>
      </c>
      <c r="AB240">
        <v>8</v>
      </c>
      <c r="AC240">
        <v>6</v>
      </c>
      <c r="AD240">
        <v>2</v>
      </c>
      <c r="AE240">
        <v>7</v>
      </c>
      <c r="AF240">
        <v>7</v>
      </c>
      <c r="AG240">
        <v>0</v>
      </c>
      <c r="AH240">
        <v>9</v>
      </c>
      <c r="AI240">
        <v>6</v>
      </c>
      <c r="AJ240">
        <v>3</v>
      </c>
      <c r="AK240" t="s">
        <v>2361</v>
      </c>
      <c r="AL240" t="s">
        <v>2362</v>
      </c>
      <c r="AM240" t="s">
        <v>2363</v>
      </c>
      <c r="AN240" t="s">
        <v>2364</v>
      </c>
      <c r="AO240" t="s">
        <v>267</v>
      </c>
      <c r="AP240" t="s">
        <v>2365</v>
      </c>
      <c r="AQ240" t="s">
        <v>2366</v>
      </c>
      <c r="AR240" t="s">
        <v>2367</v>
      </c>
      <c r="AS240" t="s">
        <v>2368</v>
      </c>
    </row>
    <row r="241" spans="1:45" x14ac:dyDescent="0.45">
      <c r="A241">
        <v>240</v>
      </c>
      <c r="B241">
        <v>12584</v>
      </c>
      <c r="C241" t="s">
        <v>72</v>
      </c>
      <c r="D241" t="s">
        <v>73</v>
      </c>
      <c r="E241" t="s">
        <v>74</v>
      </c>
      <c r="F241" t="s">
        <v>77</v>
      </c>
      <c r="G241" t="s">
        <v>76</v>
      </c>
      <c r="H241">
        <v>61.961746975968374</v>
      </c>
      <c r="I241">
        <v>3</v>
      </c>
      <c r="J241">
        <v>8</v>
      </c>
      <c r="K241">
        <v>8</v>
      </c>
      <c r="L241">
        <v>0</v>
      </c>
      <c r="M241">
        <v>9</v>
      </c>
      <c r="N241">
        <v>8</v>
      </c>
      <c r="O241">
        <v>1</v>
      </c>
      <c r="P241">
        <v>8</v>
      </c>
      <c r="Q241">
        <v>8</v>
      </c>
      <c r="R241">
        <v>0</v>
      </c>
      <c r="S241">
        <v>9</v>
      </c>
      <c r="T241">
        <v>8</v>
      </c>
      <c r="U241">
        <v>1</v>
      </c>
      <c r="V241">
        <v>8</v>
      </c>
      <c r="W241">
        <v>8</v>
      </c>
      <c r="X241">
        <v>0</v>
      </c>
      <c r="Y241">
        <v>9</v>
      </c>
      <c r="Z241">
        <v>8</v>
      </c>
      <c r="AA241">
        <v>1</v>
      </c>
      <c r="AB241">
        <v>8</v>
      </c>
      <c r="AC241">
        <v>8</v>
      </c>
      <c r="AD241">
        <v>0</v>
      </c>
      <c r="AE241">
        <v>9</v>
      </c>
      <c r="AF241">
        <v>8</v>
      </c>
      <c r="AG241">
        <v>1</v>
      </c>
      <c r="AH241">
        <v>9</v>
      </c>
      <c r="AI241">
        <v>8</v>
      </c>
      <c r="AJ241">
        <v>1</v>
      </c>
      <c r="AK241" t="s">
        <v>2369</v>
      </c>
      <c r="AL241" t="s">
        <v>2370</v>
      </c>
      <c r="AM241" t="s">
        <v>2371</v>
      </c>
      <c r="AN241" t="s">
        <v>2372</v>
      </c>
      <c r="AO241" t="s">
        <v>2373</v>
      </c>
      <c r="AP241" t="s">
        <v>2374</v>
      </c>
      <c r="AQ241" t="s">
        <v>2375</v>
      </c>
      <c r="AR241" t="s">
        <v>2376</v>
      </c>
      <c r="AS241" t="s">
        <v>2377</v>
      </c>
    </row>
    <row r="242" spans="1:45" x14ac:dyDescent="0.45">
      <c r="A242">
        <v>241</v>
      </c>
      <c r="B242">
        <v>12585</v>
      </c>
      <c r="C242" t="s">
        <v>72</v>
      </c>
      <c r="D242" t="s">
        <v>73</v>
      </c>
      <c r="E242" t="s">
        <v>74</v>
      </c>
      <c r="F242" t="s">
        <v>75</v>
      </c>
      <c r="G242" t="s">
        <v>76</v>
      </c>
      <c r="H242">
        <v>55.244096512194275</v>
      </c>
      <c r="I242">
        <v>1</v>
      </c>
      <c r="J242">
        <v>6</v>
      </c>
      <c r="K242">
        <v>7</v>
      </c>
      <c r="L242">
        <v>-1</v>
      </c>
      <c r="M242">
        <v>5</v>
      </c>
      <c r="N242">
        <v>6</v>
      </c>
      <c r="O242">
        <v>-1</v>
      </c>
      <c r="P242">
        <v>9</v>
      </c>
      <c r="Q242">
        <v>7</v>
      </c>
      <c r="R242">
        <v>2</v>
      </c>
      <c r="S242">
        <v>7</v>
      </c>
      <c r="T242">
        <v>7</v>
      </c>
      <c r="U242">
        <v>0</v>
      </c>
      <c r="V242">
        <v>8</v>
      </c>
      <c r="W242">
        <v>8</v>
      </c>
      <c r="X242">
        <v>0</v>
      </c>
      <c r="Y242">
        <v>7</v>
      </c>
      <c r="Z242">
        <v>8</v>
      </c>
      <c r="AA242">
        <v>-1</v>
      </c>
      <c r="AB242">
        <v>8</v>
      </c>
      <c r="AC242">
        <v>8</v>
      </c>
      <c r="AD242">
        <v>0</v>
      </c>
      <c r="AE242">
        <v>9</v>
      </c>
      <c r="AF242">
        <v>8</v>
      </c>
      <c r="AG242">
        <v>1</v>
      </c>
      <c r="AH242">
        <v>8</v>
      </c>
      <c r="AI242">
        <v>8</v>
      </c>
      <c r="AJ242">
        <v>0</v>
      </c>
      <c r="AK242" t="s">
        <v>2378</v>
      </c>
      <c r="AL242" t="s">
        <v>2379</v>
      </c>
      <c r="AM242" t="s">
        <v>2380</v>
      </c>
      <c r="AN242" t="s">
        <v>2381</v>
      </c>
      <c r="AO242" t="s">
        <v>2382</v>
      </c>
      <c r="AP242" t="s">
        <v>2383</v>
      </c>
      <c r="AQ242" t="s">
        <v>2384</v>
      </c>
      <c r="AR242" t="s">
        <v>2385</v>
      </c>
      <c r="AS242" t="s">
        <v>2386</v>
      </c>
    </row>
    <row r="243" spans="1:45" x14ac:dyDescent="0.45">
      <c r="A243">
        <v>242</v>
      </c>
      <c r="B243">
        <v>12586</v>
      </c>
      <c r="C243" t="s">
        <v>78</v>
      </c>
      <c r="D243" t="s">
        <v>73</v>
      </c>
      <c r="E243" t="s">
        <v>74</v>
      </c>
      <c r="F243" t="s">
        <v>77</v>
      </c>
      <c r="G243" t="s">
        <v>76</v>
      </c>
      <c r="H243">
        <v>49.477002046177468</v>
      </c>
      <c r="I243">
        <v>2</v>
      </c>
      <c r="J243">
        <v>7</v>
      </c>
      <c r="K243">
        <v>6</v>
      </c>
      <c r="L243">
        <v>1</v>
      </c>
      <c r="M243">
        <v>6</v>
      </c>
      <c r="N243">
        <v>5</v>
      </c>
      <c r="O243">
        <v>1</v>
      </c>
      <c r="P243">
        <v>8</v>
      </c>
      <c r="Q243">
        <v>5</v>
      </c>
      <c r="R243">
        <v>3</v>
      </c>
      <c r="S243">
        <v>9</v>
      </c>
      <c r="T243">
        <v>7</v>
      </c>
      <c r="U243">
        <v>2</v>
      </c>
      <c r="V243">
        <v>7</v>
      </c>
      <c r="W243">
        <v>7</v>
      </c>
      <c r="X243">
        <v>0</v>
      </c>
      <c r="Y243">
        <v>8</v>
      </c>
      <c r="Z243">
        <v>7</v>
      </c>
      <c r="AA243">
        <v>1</v>
      </c>
      <c r="AB243">
        <v>7</v>
      </c>
      <c r="AC243">
        <v>7</v>
      </c>
      <c r="AD243">
        <v>0</v>
      </c>
      <c r="AE243">
        <v>6</v>
      </c>
      <c r="AF243">
        <v>8</v>
      </c>
      <c r="AG243">
        <v>-2</v>
      </c>
      <c r="AH243">
        <v>8</v>
      </c>
      <c r="AI243">
        <v>8</v>
      </c>
      <c r="AJ243">
        <v>0</v>
      </c>
      <c r="AK243" t="s">
        <v>2387</v>
      </c>
      <c r="AL243" t="s">
        <v>2388</v>
      </c>
      <c r="AM243" t="s">
        <v>2389</v>
      </c>
      <c r="AN243" t="s">
        <v>2390</v>
      </c>
      <c r="AO243" t="s">
        <v>2391</v>
      </c>
      <c r="AP243" t="s">
        <v>2392</v>
      </c>
      <c r="AQ243" t="s">
        <v>2393</v>
      </c>
      <c r="AR243" t="s">
        <v>2394</v>
      </c>
      <c r="AS243" t="s">
        <v>2395</v>
      </c>
    </row>
    <row r="244" spans="1:45" x14ac:dyDescent="0.45">
      <c r="A244">
        <v>243</v>
      </c>
      <c r="B244">
        <v>12587</v>
      </c>
      <c r="C244" t="s">
        <v>78</v>
      </c>
      <c r="D244" t="s">
        <v>191</v>
      </c>
      <c r="E244" t="s">
        <v>74</v>
      </c>
      <c r="F244" t="s">
        <v>77</v>
      </c>
      <c r="G244" t="s">
        <v>76</v>
      </c>
      <c r="H244">
        <v>73.91270643903151</v>
      </c>
      <c r="I244">
        <v>2</v>
      </c>
      <c r="J244">
        <v>6</v>
      </c>
      <c r="K244">
        <v>6</v>
      </c>
      <c r="L244">
        <v>0</v>
      </c>
      <c r="M244">
        <v>6</v>
      </c>
      <c r="N244">
        <v>6</v>
      </c>
      <c r="O244">
        <v>0</v>
      </c>
      <c r="P244">
        <v>7</v>
      </c>
      <c r="Q244">
        <v>6</v>
      </c>
      <c r="R244">
        <v>1</v>
      </c>
      <c r="S244">
        <v>8</v>
      </c>
      <c r="T244">
        <v>6</v>
      </c>
      <c r="U244">
        <v>2</v>
      </c>
      <c r="V244">
        <v>7</v>
      </c>
      <c r="W244">
        <v>6</v>
      </c>
      <c r="X244">
        <v>1</v>
      </c>
      <c r="Y244">
        <v>9</v>
      </c>
      <c r="Z244">
        <v>6</v>
      </c>
      <c r="AA244">
        <v>3</v>
      </c>
      <c r="AB244">
        <v>8</v>
      </c>
      <c r="AC244">
        <v>6</v>
      </c>
      <c r="AD244">
        <v>2</v>
      </c>
      <c r="AE244">
        <v>9</v>
      </c>
      <c r="AF244">
        <v>6</v>
      </c>
      <c r="AG244">
        <v>3</v>
      </c>
      <c r="AH244">
        <v>8</v>
      </c>
      <c r="AI244">
        <v>6</v>
      </c>
      <c r="AJ244">
        <v>2</v>
      </c>
      <c r="AK244" t="s">
        <v>2396</v>
      </c>
      <c r="AL244" t="s">
        <v>2397</v>
      </c>
      <c r="AM244" t="s">
        <v>2398</v>
      </c>
      <c r="AN244" t="s">
        <v>2399</v>
      </c>
      <c r="AO244" t="s">
        <v>2400</v>
      </c>
      <c r="AP244" t="s">
        <v>2401</v>
      </c>
      <c r="AQ244" t="s">
        <v>2402</v>
      </c>
      <c r="AR244" t="s">
        <v>2403</v>
      </c>
      <c r="AS244" t="s">
        <v>2404</v>
      </c>
    </row>
    <row r="245" spans="1:45" x14ac:dyDescent="0.45">
      <c r="A245">
        <v>244</v>
      </c>
      <c r="B245">
        <v>12588</v>
      </c>
      <c r="C245" t="s">
        <v>72</v>
      </c>
      <c r="D245" t="s">
        <v>79</v>
      </c>
      <c r="E245" t="s">
        <v>74</v>
      </c>
      <c r="F245" t="s">
        <v>75</v>
      </c>
      <c r="G245" t="s">
        <v>76</v>
      </c>
      <c r="H245">
        <v>62.774756718616466</v>
      </c>
      <c r="I245">
        <v>3</v>
      </c>
      <c r="J245">
        <v>8</v>
      </c>
      <c r="K245">
        <v>7</v>
      </c>
      <c r="L245">
        <v>1</v>
      </c>
      <c r="M245">
        <v>7</v>
      </c>
      <c r="N245">
        <v>6</v>
      </c>
      <c r="O245">
        <v>1</v>
      </c>
      <c r="P245">
        <v>9</v>
      </c>
      <c r="Q245">
        <v>6</v>
      </c>
      <c r="R245">
        <v>3</v>
      </c>
      <c r="S245">
        <v>9</v>
      </c>
      <c r="T245">
        <v>8</v>
      </c>
      <c r="U245">
        <v>1</v>
      </c>
      <c r="V245">
        <v>8</v>
      </c>
      <c r="W245">
        <v>6</v>
      </c>
      <c r="X245">
        <v>2</v>
      </c>
      <c r="Y245">
        <v>9</v>
      </c>
      <c r="Z245">
        <v>6</v>
      </c>
      <c r="AA245">
        <v>3</v>
      </c>
      <c r="AB245">
        <v>8</v>
      </c>
      <c r="AC245">
        <v>6</v>
      </c>
      <c r="AD245">
        <v>2</v>
      </c>
      <c r="AE245">
        <v>9</v>
      </c>
      <c r="AF245">
        <v>6</v>
      </c>
      <c r="AG245">
        <v>3</v>
      </c>
      <c r="AH245">
        <v>10</v>
      </c>
      <c r="AI245">
        <v>6</v>
      </c>
      <c r="AJ245">
        <v>4</v>
      </c>
      <c r="AK245" t="s">
        <v>2405</v>
      </c>
      <c r="AL245" t="s">
        <v>2406</v>
      </c>
      <c r="AM245" t="s">
        <v>2407</v>
      </c>
      <c r="AN245" t="s">
        <v>2408</v>
      </c>
      <c r="AO245" t="s">
        <v>2409</v>
      </c>
      <c r="AP245" t="s">
        <v>2410</v>
      </c>
      <c r="AQ245" t="s">
        <v>2411</v>
      </c>
      <c r="AR245" t="s">
        <v>2412</v>
      </c>
      <c r="AS245" t="s">
        <v>2413</v>
      </c>
    </row>
    <row r="246" spans="1:45" x14ac:dyDescent="0.45">
      <c r="A246">
        <v>245</v>
      </c>
      <c r="B246">
        <v>12589</v>
      </c>
      <c r="C246" t="s">
        <v>78</v>
      </c>
      <c r="D246" t="s">
        <v>79</v>
      </c>
      <c r="E246" t="s">
        <v>74</v>
      </c>
      <c r="F246" t="s">
        <v>75</v>
      </c>
      <c r="G246" t="s">
        <v>76</v>
      </c>
      <c r="H246">
        <v>160.27799351115863</v>
      </c>
      <c r="I246">
        <v>0</v>
      </c>
      <c r="J246">
        <v>8</v>
      </c>
      <c r="K246">
        <v>4</v>
      </c>
      <c r="L246">
        <v>4</v>
      </c>
      <c r="M246">
        <v>7</v>
      </c>
      <c r="N246">
        <v>4</v>
      </c>
      <c r="O246">
        <v>3</v>
      </c>
      <c r="P246">
        <v>6</v>
      </c>
      <c r="Q246">
        <v>1</v>
      </c>
      <c r="R246">
        <v>5</v>
      </c>
      <c r="S246">
        <v>9</v>
      </c>
      <c r="T246">
        <v>4</v>
      </c>
      <c r="U246">
        <v>5</v>
      </c>
      <c r="V246">
        <v>7</v>
      </c>
      <c r="W246">
        <v>4</v>
      </c>
      <c r="X246">
        <v>3</v>
      </c>
      <c r="Y246">
        <v>8</v>
      </c>
      <c r="Z246">
        <v>4</v>
      </c>
      <c r="AA246">
        <v>4</v>
      </c>
      <c r="AB246">
        <v>7</v>
      </c>
      <c r="AC246">
        <v>5</v>
      </c>
      <c r="AD246">
        <v>2</v>
      </c>
      <c r="AE246">
        <v>6</v>
      </c>
      <c r="AF246">
        <v>5</v>
      </c>
      <c r="AG246">
        <v>1</v>
      </c>
      <c r="AH246">
        <v>8</v>
      </c>
      <c r="AI246">
        <v>5</v>
      </c>
      <c r="AJ246">
        <v>3</v>
      </c>
      <c r="AK246" t="s">
        <v>2414</v>
      </c>
      <c r="AL246" t="s">
        <v>2415</v>
      </c>
      <c r="AM246" t="s">
        <v>2416</v>
      </c>
      <c r="AN246" t="s">
        <v>2417</v>
      </c>
      <c r="AO246" t="s">
        <v>2418</v>
      </c>
      <c r="AP246" t="s">
        <v>2419</v>
      </c>
      <c r="AQ246" t="s">
        <v>2420</v>
      </c>
      <c r="AR246" t="s">
        <v>2421</v>
      </c>
      <c r="AS246" t="s">
        <v>2422</v>
      </c>
    </row>
    <row r="247" spans="1:45" x14ac:dyDescent="0.45">
      <c r="A247">
        <v>246</v>
      </c>
      <c r="B247">
        <v>12590</v>
      </c>
      <c r="C247" t="s">
        <v>78</v>
      </c>
      <c r="D247" t="s">
        <v>73</v>
      </c>
      <c r="E247" t="s">
        <v>74</v>
      </c>
      <c r="F247" t="s">
        <v>77</v>
      </c>
      <c r="G247" t="s">
        <v>76</v>
      </c>
      <c r="H247">
        <v>24.830761581250968</v>
      </c>
      <c r="I247">
        <v>0</v>
      </c>
      <c r="J247">
        <v>5</v>
      </c>
      <c r="K247">
        <v>6</v>
      </c>
      <c r="L247">
        <v>-1</v>
      </c>
      <c r="M247">
        <v>6</v>
      </c>
      <c r="N247">
        <v>7</v>
      </c>
      <c r="O247">
        <v>-1</v>
      </c>
      <c r="P247">
        <v>7</v>
      </c>
      <c r="Q247">
        <v>7</v>
      </c>
      <c r="R247">
        <v>0</v>
      </c>
      <c r="S247">
        <v>9</v>
      </c>
      <c r="T247">
        <v>7</v>
      </c>
      <c r="U247">
        <v>2</v>
      </c>
      <c r="V247">
        <v>8</v>
      </c>
      <c r="W247">
        <v>7</v>
      </c>
      <c r="X247">
        <v>1</v>
      </c>
      <c r="Y247">
        <v>9</v>
      </c>
      <c r="Z247">
        <v>7</v>
      </c>
      <c r="AA247">
        <v>2</v>
      </c>
      <c r="AB247">
        <v>7</v>
      </c>
      <c r="AC247">
        <v>7</v>
      </c>
      <c r="AD247">
        <v>0</v>
      </c>
      <c r="AE247">
        <v>6</v>
      </c>
      <c r="AF247">
        <v>7</v>
      </c>
      <c r="AG247">
        <v>-1</v>
      </c>
      <c r="AH247">
        <v>9</v>
      </c>
      <c r="AI247">
        <v>7</v>
      </c>
      <c r="AJ247">
        <v>2</v>
      </c>
      <c r="AK247" t="s">
        <v>2423</v>
      </c>
      <c r="AL247" t="s">
        <v>2424</v>
      </c>
      <c r="AM247" t="s">
        <v>2425</v>
      </c>
      <c r="AN247" t="s">
        <v>2426</v>
      </c>
      <c r="AO247" t="s">
        <v>2427</v>
      </c>
      <c r="AP247" t="s">
        <v>2428</v>
      </c>
      <c r="AQ247" t="s">
        <v>2429</v>
      </c>
      <c r="AR247" t="s">
        <v>2430</v>
      </c>
      <c r="AS247" t="s">
        <v>2431</v>
      </c>
    </row>
    <row r="248" spans="1:45" x14ac:dyDescent="0.45">
      <c r="A248">
        <v>247</v>
      </c>
      <c r="B248">
        <v>12591</v>
      </c>
      <c r="C248" t="s">
        <v>72</v>
      </c>
      <c r="D248" t="s">
        <v>191</v>
      </c>
      <c r="E248" t="s">
        <v>74</v>
      </c>
      <c r="F248" t="s">
        <v>75</v>
      </c>
      <c r="G248" t="s">
        <v>76</v>
      </c>
      <c r="H248">
        <v>51.908259134031475</v>
      </c>
      <c r="I248">
        <v>4</v>
      </c>
      <c r="J248">
        <v>8</v>
      </c>
      <c r="K248">
        <v>8</v>
      </c>
      <c r="L248">
        <v>0</v>
      </c>
      <c r="M248">
        <v>8</v>
      </c>
      <c r="N248">
        <v>8</v>
      </c>
      <c r="O248">
        <v>0</v>
      </c>
      <c r="P248">
        <v>9</v>
      </c>
      <c r="Q248">
        <v>8</v>
      </c>
      <c r="R248">
        <v>1</v>
      </c>
      <c r="S248">
        <v>10</v>
      </c>
      <c r="T248">
        <v>8</v>
      </c>
      <c r="U248">
        <v>2</v>
      </c>
      <c r="V248">
        <v>9</v>
      </c>
      <c r="W248">
        <v>8</v>
      </c>
      <c r="X248">
        <v>1</v>
      </c>
      <c r="Y248">
        <v>8</v>
      </c>
      <c r="Z248">
        <v>8</v>
      </c>
      <c r="AA248">
        <v>0</v>
      </c>
      <c r="AB248">
        <v>9</v>
      </c>
      <c r="AC248">
        <v>8</v>
      </c>
      <c r="AD248">
        <v>1</v>
      </c>
      <c r="AE248">
        <v>8</v>
      </c>
      <c r="AF248">
        <v>8</v>
      </c>
      <c r="AG248">
        <v>0</v>
      </c>
      <c r="AH248">
        <v>9</v>
      </c>
      <c r="AI248">
        <v>8</v>
      </c>
      <c r="AJ248">
        <v>1</v>
      </c>
      <c r="AK248" t="s">
        <v>2432</v>
      </c>
      <c r="AL248" t="s">
        <v>2433</v>
      </c>
      <c r="AM248" t="s">
        <v>2434</v>
      </c>
      <c r="AN248" t="s">
        <v>2435</v>
      </c>
      <c r="AO248" t="s">
        <v>2436</v>
      </c>
      <c r="AP248" t="s">
        <v>2437</v>
      </c>
      <c r="AQ248" t="s">
        <v>2438</v>
      </c>
      <c r="AR248" t="s">
        <v>2439</v>
      </c>
      <c r="AS248" t="s">
        <v>2440</v>
      </c>
    </row>
    <row r="249" spans="1:45" x14ac:dyDescent="0.45">
      <c r="A249">
        <v>248</v>
      </c>
      <c r="B249">
        <v>12592</v>
      </c>
      <c r="C249" t="s">
        <v>72</v>
      </c>
      <c r="D249" t="s">
        <v>79</v>
      </c>
      <c r="E249" t="s">
        <v>74</v>
      </c>
      <c r="F249" t="s">
        <v>77</v>
      </c>
      <c r="G249" t="s">
        <v>76</v>
      </c>
      <c r="H249">
        <v>38.324639309206603</v>
      </c>
      <c r="I249">
        <v>1</v>
      </c>
      <c r="J249">
        <v>7</v>
      </c>
      <c r="K249">
        <v>7</v>
      </c>
      <c r="L249">
        <v>0</v>
      </c>
      <c r="M249">
        <v>7</v>
      </c>
      <c r="N249">
        <v>7</v>
      </c>
      <c r="O249">
        <v>0</v>
      </c>
      <c r="P249">
        <v>9</v>
      </c>
      <c r="Q249">
        <v>7</v>
      </c>
      <c r="R249">
        <v>2</v>
      </c>
      <c r="S249">
        <v>8</v>
      </c>
      <c r="T249">
        <v>7</v>
      </c>
      <c r="U249">
        <v>1</v>
      </c>
      <c r="V249">
        <v>9</v>
      </c>
      <c r="W249">
        <v>7</v>
      </c>
      <c r="X249">
        <v>2</v>
      </c>
      <c r="Y249">
        <v>8</v>
      </c>
      <c r="Z249">
        <v>7</v>
      </c>
      <c r="AA249">
        <v>1</v>
      </c>
      <c r="AB249">
        <v>9</v>
      </c>
      <c r="AC249">
        <v>7</v>
      </c>
      <c r="AD249">
        <v>2</v>
      </c>
      <c r="AE249">
        <v>8</v>
      </c>
      <c r="AF249">
        <v>7</v>
      </c>
      <c r="AG249">
        <v>1</v>
      </c>
      <c r="AH249">
        <v>9</v>
      </c>
      <c r="AI249">
        <v>7</v>
      </c>
      <c r="AJ249">
        <v>2</v>
      </c>
      <c r="AK249" t="s">
        <v>2441</v>
      </c>
      <c r="AL249" t="s">
        <v>2442</v>
      </c>
      <c r="AM249" t="s">
        <v>2443</v>
      </c>
      <c r="AN249" t="s">
        <v>2444</v>
      </c>
      <c r="AO249" t="s">
        <v>2445</v>
      </c>
      <c r="AP249" t="s">
        <v>2446</v>
      </c>
      <c r="AQ249" t="s">
        <v>2447</v>
      </c>
      <c r="AR249" t="s">
        <v>2448</v>
      </c>
      <c r="AS249" t="s">
        <v>2449</v>
      </c>
    </row>
    <row r="250" spans="1:45" x14ac:dyDescent="0.45">
      <c r="A250">
        <v>249</v>
      </c>
      <c r="B250">
        <v>12593</v>
      </c>
      <c r="C250" t="s">
        <v>78</v>
      </c>
      <c r="D250" t="s">
        <v>193</v>
      </c>
      <c r="E250" t="s">
        <v>74</v>
      </c>
      <c r="F250" t="s">
        <v>75</v>
      </c>
      <c r="G250" t="s">
        <v>76</v>
      </c>
      <c r="H250">
        <v>95.970651707955142</v>
      </c>
      <c r="I250">
        <v>3</v>
      </c>
      <c r="J250">
        <v>7</v>
      </c>
      <c r="K250">
        <v>9</v>
      </c>
      <c r="L250">
        <v>-2</v>
      </c>
      <c r="M250">
        <v>8</v>
      </c>
      <c r="N250">
        <v>9</v>
      </c>
      <c r="O250">
        <v>-1</v>
      </c>
      <c r="P250">
        <v>9</v>
      </c>
      <c r="Q250">
        <v>9</v>
      </c>
      <c r="R250">
        <v>0</v>
      </c>
      <c r="S250">
        <v>9</v>
      </c>
      <c r="T250">
        <v>9</v>
      </c>
      <c r="U250">
        <v>0</v>
      </c>
      <c r="V250">
        <v>8</v>
      </c>
      <c r="W250">
        <v>9</v>
      </c>
      <c r="X250">
        <v>-1</v>
      </c>
      <c r="Y250">
        <v>9</v>
      </c>
      <c r="Z250">
        <v>9</v>
      </c>
      <c r="AA250">
        <v>0</v>
      </c>
      <c r="AB250">
        <v>8</v>
      </c>
      <c r="AC250">
        <v>9</v>
      </c>
      <c r="AD250">
        <v>-1</v>
      </c>
      <c r="AE250">
        <v>7</v>
      </c>
      <c r="AF250">
        <v>9</v>
      </c>
      <c r="AG250">
        <v>-2</v>
      </c>
      <c r="AH250">
        <v>9</v>
      </c>
      <c r="AI250">
        <v>9</v>
      </c>
      <c r="AJ250">
        <v>0</v>
      </c>
      <c r="AK250" t="s">
        <v>2450</v>
      </c>
      <c r="AL250" t="s">
        <v>2451</v>
      </c>
      <c r="AM250" t="s">
        <v>2452</v>
      </c>
      <c r="AN250" t="s">
        <v>2453</v>
      </c>
      <c r="AO250" t="s">
        <v>2454</v>
      </c>
      <c r="AP250" t="s">
        <v>2455</v>
      </c>
      <c r="AQ250" t="s">
        <v>2456</v>
      </c>
      <c r="AR250" t="s">
        <v>2457</v>
      </c>
      <c r="AS250" t="s">
        <v>2458</v>
      </c>
    </row>
    <row r="251" spans="1:45" x14ac:dyDescent="0.45">
      <c r="A251">
        <v>250</v>
      </c>
      <c r="B251">
        <v>12594</v>
      </c>
      <c r="C251" t="s">
        <v>72</v>
      </c>
      <c r="D251" t="s">
        <v>73</v>
      </c>
      <c r="E251" t="s">
        <v>74</v>
      </c>
      <c r="F251" t="s">
        <v>77</v>
      </c>
      <c r="G251" t="s">
        <v>76</v>
      </c>
      <c r="H251">
        <v>55.813882137423207</v>
      </c>
      <c r="I251">
        <v>3</v>
      </c>
      <c r="J251">
        <v>8</v>
      </c>
      <c r="K251">
        <v>7</v>
      </c>
      <c r="L251">
        <v>1</v>
      </c>
      <c r="M251">
        <v>7</v>
      </c>
      <c r="N251">
        <v>6</v>
      </c>
      <c r="O251">
        <v>1</v>
      </c>
      <c r="P251">
        <v>9</v>
      </c>
      <c r="Q251">
        <v>5</v>
      </c>
      <c r="R251">
        <v>4</v>
      </c>
      <c r="S251">
        <v>9</v>
      </c>
      <c r="T251">
        <v>6</v>
      </c>
      <c r="U251">
        <v>3</v>
      </c>
      <c r="V251">
        <v>8</v>
      </c>
      <c r="W251">
        <v>6</v>
      </c>
      <c r="X251">
        <v>2</v>
      </c>
      <c r="Y251">
        <v>9</v>
      </c>
      <c r="Z251">
        <v>6</v>
      </c>
      <c r="AA251">
        <v>3</v>
      </c>
      <c r="AB251">
        <v>8</v>
      </c>
      <c r="AC251">
        <v>6</v>
      </c>
      <c r="AD251">
        <v>2</v>
      </c>
      <c r="AE251">
        <v>7</v>
      </c>
      <c r="AF251">
        <v>6</v>
      </c>
      <c r="AG251">
        <v>1</v>
      </c>
      <c r="AH251">
        <v>9</v>
      </c>
      <c r="AI251">
        <v>7</v>
      </c>
      <c r="AJ251">
        <v>2</v>
      </c>
      <c r="AK251" t="s">
        <v>2459</v>
      </c>
      <c r="AL251" t="s">
        <v>2460</v>
      </c>
      <c r="AM251" t="s">
        <v>2461</v>
      </c>
      <c r="AN251" t="s">
        <v>2462</v>
      </c>
      <c r="AO251" t="s">
        <v>2463</v>
      </c>
      <c r="AP251" t="s">
        <v>2464</v>
      </c>
      <c r="AQ251" t="s">
        <v>2465</v>
      </c>
      <c r="AR251" t="s">
        <v>2466</v>
      </c>
      <c r="AS251" t="s">
        <v>2467</v>
      </c>
    </row>
    <row r="252" spans="1:45" x14ac:dyDescent="0.45">
      <c r="A252">
        <v>251</v>
      </c>
      <c r="B252">
        <v>12595</v>
      </c>
      <c r="C252" t="s">
        <v>72</v>
      </c>
      <c r="D252" t="s">
        <v>73</v>
      </c>
      <c r="E252" t="s">
        <v>74</v>
      </c>
      <c r="F252" t="s">
        <v>77</v>
      </c>
      <c r="G252" t="s">
        <v>76</v>
      </c>
      <c r="H252">
        <v>43.750989364816725</v>
      </c>
      <c r="I252">
        <v>4</v>
      </c>
      <c r="J252">
        <v>9</v>
      </c>
      <c r="K252">
        <v>8</v>
      </c>
      <c r="L252">
        <v>1</v>
      </c>
      <c r="M252">
        <v>9</v>
      </c>
      <c r="N252">
        <v>8</v>
      </c>
      <c r="O252">
        <v>1</v>
      </c>
      <c r="P252">
        <v>8</v>
      </c>
      <c r="Q252">
        <v>8</v>
      </c>
      <c r="R252">
        <v>0</v>
      </c>
      <c r="S252">
        <v>9</v>
      </c>
      <c r="T252">
        <v>9</v>
      </c>
      <c r="U252">
        <v>0</v>
      </c>
      <c r="V252">
        <v>8</v>
      </c>
      <c r="W252">
        <v>8</v>
      </c>
      <c r="X252">
        <v>0</v>
      </c>
      <c r="Y252">
        <v>9</v>
      </c>
      <c r="Z252">
        <v>10</v>
      </c>
      <c r="AA252">
        <v>-1</v>
      </c>
      <c r="AB252">
        <v>8</v>
      </c>
      <c r="AC252">
        <v>7</v>
      </c>
      <c r="AD252">
        <v>1</v>
      </c>
      <c r="AE252">
        <v>9</v>
      </c>
      <c r="AF252">
        <v>7</v>
      </c>
      <c r="AG252">
        <v>2</v>
      </c>
      <c r="AH252">
        <v>9</v>
      </c>
      <c r="AI252">
        <v>10</v>
      </c>
      <c r="AJ252">
        <v>-1</v>
      </c>
      <c r="AK252" t="s">
        <v>2468</v>
      </c>
      <c r="AL252" t="s">
        <v>2469</v>
      </c>
      <c r="AM252" t="s">
        <v>2470</v>
      </c>
      <c r="AN252" t="s">
        <v>2471</v>
      </c>
      <c r="AO252" t="s">
        <v>2472</v>
      </c>
      <c r="AP252" t="s">
        <v>2473</v>
      </c>
      <c r="AQ252" t="s">
        <v>2474</v>
      </c>
      <c r="AR252" t="s">
        <v>2475</v>
      </c>
      <c r="AS252" t="s">
        <v>2476</v>
      </c>
    </row>
    <row r="253" spans="1:45" x14ac:dyDescent="0.45">
      <c r="A253">
        <v>252</v>
      </c>
      <c r="B253">
        <v>12596</v>
      </c>
      <c r="C253" t="s">
        <v>72</v>
      </c>
      <c r="D253" t="s">
        <v>191</v>
      </c>
      <c r="E253" t="s">
        <v>74</v>
      </c>
      <c r="F253" t="s">
        <v>77</v>
      </c>
      <c r="G253" t="s">
        <v>76</v>
      </c>
      <c r="H253">
        <v>63.366930785870409</v>
      </c>
      <c r="I253">
        <v>3</v>
      </c>
      <c r="J253">
        <v>9</v>
      </c>
      <c r="K253">
        <v>6</v>
      </c>
      <c r="L253">
        <v>3</v>
      </c>
      <c r="M253">
        <v>8</v>
      </c>
      <c r="N253">
        <v>6</v>
      </c>
      <c r="O253">
        <v>2</v>
      </c>
      <c r="P253">
        <v>7</v>
      </c>
      <c r="Q253">
        <v>1</v>
      </c>
      <c r="R253">
        <v>6</v>
      </c>
      <c r="S253">
        <v>8</v>
      </c>
      <c r="T253">
        <v>6</v>
      </c>
      <c r="U253">
        <v>2</v>
      </c>
      <c r="V253">
        <v>9</v>
      </c>
      <c r="W253">
        <v>5</v>
      </c>
      <c r="X253">
        <v>4</v>
      </c>
      <c r="Y253">
        <v>9</v>
      </c>
      <c r="Z253">
        <v>6</v>
      </c>
      <c r="AA253">
        <v>3</v>
      </c>
      <c r="AB253">
        <v>9</v>
      </c>
      <c r="AC253">
        <v>6</v>
      </c>
      <c r="AD253">
        <v>3</v>
      </c>
      <c r="AE253">
        <v>8</v>
      </c>
      <c r="AF253">
        <v>6</v>
      </c>
      <c r="AG253">
        <v>2</v>
      </c>
      <c r="AH253">
        <v>9</v>
      </c>
      <c r="AI253">
        <v>6</v>
      </c>
      <c r="AJ253">
        <v>3</v>
      </c>
      <c r="AK253" t="s">
        <v>2477</v>
      </c>
      <c r="AL253" t="s">
        <v>2478</v>
      </c>
      <c r="AM253" t="s">
        <v>2479</v>
      </c>
      <c r="AN253" t="s">
        <v>2480</v>
      </c>
      <c r="AO253" t="s">
        <v>2481</v>
      </c>
      <c r="AP253" t="s">
        <v>2482</v>
      </c>
      <c r="AQ253" t="s">
        <v>2483</v>
      </c>
      <c r="AR253" t="s">
        <v>2484</v>
      </c>
      <c r="AS253" t="s">
        <v>2485</v>
      </c>
    </row>
    <row r="254" spans="1:45" x14ac:dyDescent="0.45">
      <c r="A254">
        <v>253</v>
      </c>
      <c r="B254">
        <v>12597</v>
      </c>
      <c r="C254" t="s">
        <v>78</v>
      </c>
      <c r="D254" t="s">
        <v>79</v>
      </c>
      <c r="E254" t="s">
        <v>74</v>
      </c>
      <c r="F254" t="s">
        <v>75</v>
      </c>
      <c r="G254" t="s">
        <v>76</v>
      </c>
      <c r="H254">
        <v>84.493388172869544</v>
      </c>
      <c r="I254">
        <v>4</v>
      </c>
      <c r="J254">
        <v>7</v>
      </c>
      <c r="K254">
        <v>8</v>
      </c>
      <c r="L254">
        <v>-1</v>
      </c>
      <c r="M254">
        <v>7</v>
      </c>
      <c r="N254">
        <v>8</v>
      </c>
      <c r="O254">
        <v>-1</v>
      </c>
      <c r="P254">
        <v>9</v>
      </c>
      <c r="Q254">
        <v>3</v>
      </c>
      <c r="R254">
        <v>6</v>
      </c>
      <c r="S254">
        <v>8</v>
      </c>
      <c r="T254">
        <v>9</v>
      </c>
      <c r="U254">
        <v>-1</v>
      </c>
      <c r="V254">
        <v>7</v>
      </c>
      <c r="W254">
        <v>8</v>
      </c>
      <c r="X254">
        <v>-1</v>
      </c>
      <c r="Y254">
        <v>9</v>
      </c>
      <c r="Z254">
        <v>8</v>
      </c>
      <c r="AA254">
        <v>1</v>
      </c>
      <c r="AB254">
        <v>8</v>
      </c>
      <c r="AC254">
        <v>8</v>
      </c>
      <c r="AD254">
        <v>0</v>
      </c>
      <c r="AE254">
        <v>7</v>
      </c>
      <c r="AF254">
        <v>8</v>
      </c>
      <c r="AG254">
        <v>-1</v>
      </c>
      <c r="AH254">
        <v>9</v>
      </c>
      <c r="AI254">
        <v>8</v>
      </c>
      <c r="AJ254">
        <v>1</v>
      </c>
      <c r="AK254" t="s">
        <v>2486</v>
      </c>
      <c r="AL254" t="s">
        <v>2487</v>
      </c>
      <c r="AM254" t="s">
        <v>2488</v>
      </c>
      <c r="AN254" t="s">
        <v>2489</v>
      </c>
      <c r="AO254" t="s">
        <v>2490</v>
      </c>
      <c r="AP254" t="s">
        <v>2491</v>
      </c>
      <c r="AQ254" t="s">
        <v>2492</v>
      </c>
      <c r="AR254" t="s">
        <v>2493</v>
      </c>
      <c r="AS254" t="s">
        <v>2494</v>
      </c>
    </row>
    <row r="255" spans="1:45" x14ac:dyDescent="0.45">
      <c r="A255">
        <v>254</v>
      </c>
      <c r="B255">
        <v>12598</v>
      </c>
      <c r="C255" t="s">
        <v>78</v>
      </c>
      <c r="D255" t="s">
        <v>79</v>
      </c>
      <c r="E255" t="s">
        <v>74</v>
      </c>
      <c r="F255" t="s">
        <v>75</v>
      </c>
      <c r="G255" t="s">
        <v>76</v>
      </c>
      <c r="H255">
        <v>89.219665372633969</v>
      </c>
      <c r="I255">
        <v>1</v>
      </c>
      <c r="J255">
        <v>7</v>
      </c>
      <c r="K255">
        <v>4</v>
      </c>
      <c r="L255">
        <v>3</v>
      </c>
      <c r="M255">
        <v>7</v>
      </c>
      <c r="N255">
        <v>3</v>
      </c>
      <c r="O255">
        <v>4</v>
      </c>
      <c r="P255">
        <v>9</v>
      </c>
      <c r="Q255">
        <v>1</v>
      </c>
      <c r="R255">
        <v>8</v>
      </c>
      <c r="S255">
        <v>9</v>
      </c>
      <c r="T255">
        <v>7</v>
      </c>
      <c r="U255">
        <v>2</v>
      </c>
      <c r="V255">
        <v>6</v>
      </c>
      <c r="W255">
        <v>3</v>
      </c>
      <c r="X255">
        <v>3</v>
      </c>
      <c r="Y255">
        <v>7</v>
      </c>
      <c r="Z255">
        <v>6</v>
      </c>
      <c r="AA255">
        <v>1</v>
      </c>
      <c r="AB255">
        <v>8</v>
      </c>
      <c r="AC255">
        <v>5</v>
      </c>
      <c r="AD255">
        <v>3</v>
      </c>
      <c r="AE255">
        <v>6</v>
      </c>
      <c r="AF255">
        <v>6</v>
      </c>
      <c r="AG255">
        <v>0</v>
      </c>
      <c r="AH255">
        <v>8</v>
      </c>
      <c r="AI255">
        <v>6</v>
      </c>
      <c r="AJ255">
        <v>2</v>
      </c>
      <c r="AK255" t="s">
        <v>2495</v>
      </c>
      <c r="AL255" t="s">
        <v>2496</v>
      </c>
      <c r="AM255" t="s">
        <v>2497</v>
      </c>
      <c r="AN255" t="s">
        <v>2498</v>
      </c>
      <c r="AO255" t="s">
        <v>2499</v>
      </c>
      <c r="AP255" t="s">
        <v>2500</v>
      </c>
      <c r="AQ255" t="s">
        <v>2501</v>
      </c>
      <c r="AR255" t="s">
        <v>2502</v>
      </c>
      <c r="AS255" t="s">
        <v>2503</v>
      </c>
    </row>
    <row r="256" spans="1:45" x14ac:dyDescent="0.45">
      <c r="A256">
        <v>255</v>
      </c>
      <c r="B256">
        <v>12599</v>
      </c>
      <c r="C256" t="s">
        <v>72</v>
      </c>
      <c r="D256" t="s">
        <v>73</v>
      </c>
      <c r="E256" t="s">
        <v>74</v>
      </c>
      <c r="F256" t="s">
        <v>75</v>
      </c>
      <c r="G256" t="s">
        <v>76</v>
      </c>
      <c r="H256">
        <v>63.722273621221056</v>
      </c>
      <c r="I256">
        <v>1</v>
      </c>
      <c r="J256">
        <v>6</v>
      </c>
      <c r="K256">
        <v>6</v>
      </c>
      <c r="L256">
        <v>0</v>
      </c>
      <c r="M256">
        <v>5</v>
      </c>
      <c r="N256">
        <v>6</v>
      </c>
      <c r="O256">
        <v>-1</v>
      </c>
      <c r="P256">
        <v>8</v>
      </c>
      <c r="Q256">
        <v>1</v>
      </c>
      <c r="R256">
        <v>7</v>
      </c>
      <c r="S256">
        <v>9</v>
      </c>
      <c r="T256">
        <v>7</v>
      </c>
      <c r="U256">
        <v>2</v>
      </c>
      <c r="V256">
        <v>7</v>
      </c>
      <c r="W256">
        <v>5</v>
      </c>
      <c r="X256">
        <v>2</v>
      </c>
      <c r="Y256">
        <v>9</v>
      </c>
      <c r="Z256">
        <v>6</v>
      </c>
      <c r="AA256">
        <v>3</v>
      </c>
      <c r="AB256">
        <v>8</v>
      </c>
      <c r="AC256">
        <v>6</v>
      </c>
      <c r="AD256">
        <v>2</v>
      </c>
      <c r="AE256">
        <v>7</v>
      </c>
      <c r="AF256">
        <v>6</v>
      </c>
      <c r="AG256">
        <v>1</v>
      </c>
      <c r="AH256">
        <v>9</v>
      </c>
      <c r="AI256">
        <v>6</v>
      </c>
      <c r="AJ256">
        <v>3</v>
      </c>
      <c r="AK256" t="s">
        <v>2504</v>
      </c>
      <c r="AL256" t="s">
        <v>2505</v>
      </c>
      <c r="AM256" t="s">
        <v>2506</v>
      </c>
      <c r="AN256" t="s">
        <v>2507</v>
      </c>
      <c r="AO256" t="s">
        <v>2508</v>
      </c>
      <c r="AP256" t="s">
        <v>2509</v>
      </c>
      <c r="AQ256" t="s">
        <v>2510</v>
      </c>
      <c r="AR256" t="s">
        <v>2511</v>
      </c>
      <c r="AS256" t="s">
        <v>2512</v>
      </c>
    </row>
    <row r="257" spans="1:45" x14ac:dyDescent="0.45">
      <c r="A257">
        <v>256</v>
      </c>
      <c r="B257">
        <v>12600</v>
      </c>
      <c r="C257" t="s">
        <v>72</v>
      </c>
      <c r="D257" t="s">
        <v>191</v>
      </c>
      <c r="E257" t="s">
        <v>74</v>
      </c>
      <c r="F257" t="s">
        <v>77</v>
      </c>
      <c r="G257" t="s">
        <v>76</v>
      </c>
      <c r="H257">
        <v>167.09669027968141</v>
      </c>
      <c r="I257">
        <v>4</v>
      </c>
      <c r="J257">
        <v>6</v>
      </c>
      <c r="K257">
        <v>8</v>
      </c>
      <c r="L257">
        <v>-2</v>
      </c>
      <c r="M257">
        <v>7</v>
      </c>
      <c r="N257">
        <v>8</v>
      </c>
      <c r="O257">
        <v>-1</v>
      </c>
      <c r="P257">
        <v>9</v>
      </c>
      <c r="Q257">
        <v>5</v>
      </c>
      <c r="R257">
        <v>4</v>
      </c>
      <c r="S257">
        <v>8</v>
      </c>
      <c r="T257">
        <v>8</v>
      </c>
      <c r="U257">
        <v>0</v>
      </c>
      <c r="V257">
        <v>7</v>
      </c>
      <c r="W257">
        <v>8</v>
      </c>
      <c r="X257">
        <v>-1</v>
      </c>
      <c r="Y257">
        <v>9</v>
      </c>
      <c r="Z257">
        <v>7</v>
      </c>
      <c r="AA257">
        <v>2</v>
      </c>
      <c r="AB257">
        <v>8</v>
      </c>
      <c r="AC257">
        <v>7</v>
      </c>
      <c r="AD257">
        <v>1</v>
      </c>
      <c r="AE257">
        <v>6</v>
      </c>
      <c r="AF257">
        <v>7</v>
      </c>
      <c r="AG257">
        <v>-1</v>
      </c>
      <c r="AH257">
        <v>8</v>
      </c>
      <c r="AI257">
        <v>7</v>
      </c>
      <c r="AJ257">
        <v>1</v>
      </c>
      <c r="AK257" t="s">
        <v>2513</v>
      </c>
      <c r="AL257" t="s">
        <v>2514</v>
      </c>
      <c r="AM257" t="s">
        <v>2515</v>
      </c>
      <c r="AN257" t="s">
        <v>2516</v>
      </c>
      <c r="AO257" t="s">
        <v>2517</v>
      </c>
      <c r="AP257" t="s">
        <v>2518</v>
      </c>
      <c r="AQ257" t="s">
        <v>2519</v>
      </c>
      <c r="AR257" t="s">
        <v>2520</v>
      </c>
      <c r="AS257" t="s">
        <v>2521</v>
      </c>
    </row>
    <row r="258" spans="1:45" x14ac:dyDescent="0.45">
      <c r="A258">
        <v>257</v>
      </c>
      <c r="B258">
        <v>12601</v>
      </c>
      <c r="C258" t="s">
        <v>72</v>
      </c>
      <c r="D258" t="s">
        <v>81</v>
      </c>
      <c r="E258" t="s">
        <v>74</v>
      </c>
      <c r="F258" t="s">
        <v>77</v>
      </c>
      <c r="G258" t="s">
        <v>76</v>
      </c>
      <c r="H258">
        <v>36.263610707498728</v>
      </c>
      <c r="I258">
        <v>1</v>
      </c>
      <c r="J258">
        <v>6</v>
      </c>
      <c r="K258">
        <v>7</v>
      </c>
      <c r="L258">
        <v>-1</v>
      </c>
      <c r="M258">
        <v>6</v>
      </c>
      <c r="N258">
        <v>8</v>
      </c>
      <c r="O258">
        <v>-2</v>
      </c>
      <c r="P258">
        <v>8</v>
      </c>
      <c r="Q258">
        <v>4</v>
      </c>
      <c r="R258">
        <v>4</v>
      </c>
      <c r="S258">
        <v>9</v>
      </c>
      <c r="T258">
        <v>8</v>
      </c>
      <c r="U258">
        <v>1</v>
      </c>
      <c r="V258">
        <v>7</v>
      </c>
      <c r="W258">
        <v>5</v>
      </c>
      <c r="X258">
        <v>2</v>
      </c>
      <c r="Y258">
        <v>9</v>
      </c>
      <c r="Z258">
        <v>7</v>
      </c>
      <c r="AA258">
        <v>2</v>
      </c>
      <c r="AB258">
        <v>6</v>
      </c>
      <c r="AC258">
        <v>5</v>
      </c>
      <c r="AD258">
        <v>1</v>
      </c>
      <c r="AE258">
        <v>7</v>
      </c>
      <c r="AF258">
        <v>6</v>
      </c>
      <c r="AG258">
        <v>1</v>
      </c>
      <c r="AH258">
        <v>8</v>
      </c>
      <c r="AI258">
        <v>6</v>
      </c>
      <c r="AJ258">
        <v>2</v>
      </c>
      <c r="AK258" t="s">
        <v>2522</v>
      </c>
      <c r="AL258" t="s">
        <v>2523</v>
      </c>
      <c r="AM258" t="s">
        <v>2524</v>
      </c>
      <c r="AN258" t="s">
        <v>2525</v>
      </c>
      <c r="AO258" t="s">
        <v>2526</v>
      </c>
      <c r="AP258" t="s">
        <v>2527</v>
      </c>
      <c r="AQ258" t="s">
        <v>2528</v>
      </c>
      <c r="AR258" t="s">
        <v>2529</v>
      </c>
      <c r="AS258" t="s">
        <v>2530</v>
      </c>
    </row>
    <row r="259" spans="1:45" x14ac:dyDescent="0.45">
      <c r="A259">
        <v>258</v>
      </c>
      <c r="B259">
        <v>12602</v>
      </c>
      <c r="C259" t="s">
        <v>78</v>
      </c>
      <c r="D259" t="s">
        <v>79</v>
      </c>
      <c r="E259" t="s">
        <v>74</v>
      </c>
      <c r="F259" t="s">
        <v>77</v>
      </c>
      <c r="G259" t="s">
        <v>76</v>
      </c>
      <c r="H259">
        <v>60.016750374929345</v>
      </c>
      <c r="I259">
        <v>2</v>
      </c>
      <c r="J259">
        <v>6</v>
      </c>
      <c r="K259">
        <v>6</v>
      </c>
      <c r="L259">
        <v>0</v>
      </c>
      <c r="M259">
        <v>7</v>
      </c>
      <c r="N259">
        <v>7</v>
      </c>
      <c r="O259">
        <v>0</v>
      </c>
      <c r="P259">
        <v>9</v>
      </c>
      <c r="Q259">
        <v>2</v>
      </c>
      <c r="R259">
        <v>7</v>
      </c>
      <c r="S259">
        <v>8</v>
      </c>
      <c r="T259">
        <v>7</v>
      </c>
      <c r="U259">
        <v>1</v>
      </c>
      <c r="V259">
        <v>7</v>
      </c>
      <c r="W259">
        <v>5</v>
      </c>
      <c r="X259">
        <v>2</v>
      </c>
      <c r="Y259">
        <v>9</v>
      </c>
      <c r="Z259">
        <v>5</v>
      </c>
      <c r="AA259">
        <v>4</v>
      </c>
      <c r="AB259">
        <v>8</v>
      </c>
      <c r="AC259">
        <v>5</v>
      </c>
      <c r="AD259">
        <v>3</v>
      </c>
      <c r="AE259">
        <v>6</v>
      </c>
      <c r="AF259">
        <v>6</v>
      </c>
      <c r="AG259">
        <v>0</v>
      </c>
      <c r="AH259">
        <v>8</v>
      </c>
      <c r="AI259">
        <v>5</v>
      </c>
      <c r="AJ259">
        <v>3</v>
      </c>
      <c r="AK259" t="s">
        <v>2531</v>
      </c>
      <c r="AL259" t="s">
        <v>2532</v>
      </c>
      <c r="AM259" t="s">
        <v>2533</v>
      </c>
      <c r="AN259" t="s">
        <v>2534</v>
      </c>
      <c r="AO259" t="s">
        <v>2535</v>
      </c>
      <c r="AP259" t="s">
        <v>2536</v>
      </c>
      <c r="AQ259" t="s">
        <v>599</v>
      </c>
      <c r="AR259" t="s">
        <v>2537</v>
      </c>
      <c r="AS259" t="s">
        <v>2538</v>
      </c>
    </row>
    <row r="260" spans="1:45" x14ac:dyDescent="0.45">
      <c r="A260">
        <v>259</v>
      </c>
      <c r="B260">
        <v>12603</v>
      </c>
      <c r="C260" t="s">
        <v>78</v>
      </c>
      <c r="D260" t="s">
        <v>191</v>
      </c>
      <c r="E260" t="s">
        <v>74</v>
      </c>
      <c r="F260" t="s">
        <v>75</v>
      </c>
      <c r="G260" t="s">
        <v>76</v>
      </c>
      <c r="H260">
        <v>132.41059809018466</v>
      </c>
      <c r="I260">
        <v>4</v>
      </c>
      <c r="J260">
        <v>7</v>
      </c>
      <c r="K260">
        <v>2</v>
      </c>
      <c r="L260">
        <v>5</v>
      </c>
      <c r="M260">
        <v>8</v>
      </c>
      <c r="N260">
        <v>1</v>
      </c>
      <c r="O260">
        <v>7</v>
      </c>
      <c r="P260">
        <v>6</v>
      </c>
      <c r="Q260">
        <v>1</v>
      </c>
      <c r="R260">
        <v>5</v>
      </c>
      <c r="S260">
        <v>8</v>
      </c>
      <c r="T260">
        <v>6</v>
      </c>
      <c r="U260">
        <v>2</v>
      </c>
      <c r="V260">
        <v>7</v>
      </c>
      <c r="W260">
        <v>2</v>
      </c>
      <c r="X260">
        <v>5</v>
      </c>
      <c r="Y260">
        <v>9</v>
      </c>
      <c r="Z260">
        <v>3</v>
      </c>
      <c r="AA260">
        <v>6</v>
      </c>
      <c r="AB260">
        <v>7</v>
      </c>
      <c r="AC260">
        <v>1</v>
      </c>
      <c r="AD260">
        <v>6</v>
      </c>
      <c r="AE260">
        <v>7</v>
      </c>
      <c r="AF260">
        <v>5</v>
      </c>
      <c r="AG260">
        <v>2</v>
      </c>
      <c r="AH260">
        <v>9</v>
      </c>
      <c r="AI260">
        <v>4</v>
      </c>
      <c r="AJ260">
        <v>5</v>
      </c>
      <c r="AK260" t="s">
        <v>2539</v>
      </c>
      <c r="AL260" t="s">
        <v>2540</v>
      </c>
      <c r="AM260" t="s">
        <v>2541</v>
      </c>
      <c r="AN260" t="s">
        <v>2542</v>
      </c>
      <c r="AO260" t="s">
        <v>2543</v>
      </c>
      <c r="AP260" t="s">
        <v>2544</v>
      </c>
      <c r="AQ260" t="s">
        <v>2545</v>
      </c>
      <c r="AR260" t="s">
        <v>2546</v>
      </c>
      <c r="AS260" t="s">
        <v>2547</v>
      </c>
    </row>
    <row r="261" spans="1:45" x14ac:dyDescent="0.45">
      <c r="A261">
        <v>260</v>
      </c>
      <c r="B261">
        <v>12604</v>
      </c>
      <c r="C261" t="s">
        <v>72</v>
      </c>
      <c r="D261" t="s">
        <v>73</v>
      </c>
      <c r="E261" t="s">
        <v>80</v>
      </c>
      <c r="F261" t="s">
        <v>77</v>
      </c>
      <c r="G261" t="s">
        <v>76</v>
      </c>
      <c r="H261">
        <v>32.087303665472916</v>
      </c>
      <c r="I261">
        <v>2</v>
      </c>
      <c r="J261">
        <v>6</v>
      </c>
      <c r="K261">
        <v>6</v>
      </c>
      <c r="L261">
        <v>0</v>
      </c>
      <c r="M261">
        <v>5</v>
      </c>
      <c r="N261">
        <v>6</v>
      </c>
      <c r="O261">
        <v>-1</v>
      </c>
      <c r="P261">
        <v>7</v>
      </c>
      <c r="Q261">
        <v>7</v>
      </c>
      <c r="R261">
        <v>0</v>
      </c>
      <c r="S261">
        <v>8</v>
      </c>
      <c r="T261">
        <v>6</v>
      </c>
      <c r="U261">
        <v>2</v>
      </c>
      <c r="V261">
        <v>7</v>
      </c>
      <c r="W261">
        <v>5</v>
      </c>
      <c r="X261">
        <v>2</v>
      </c>
      <c r="Y261">
        <v>9</v>
      </c>
      <c r="Z261">
        <v>6</v>
      </c>
      <c r="AA261">
        <v>3</v>
      </c>
      <c r="AB261">
        <v>6</v>
      </c>
      <c r="AC261">
        <v>5</v>
      </c>
      <c r="AD261">
        <v>1</v>
      </c>
      <c r="AE261">
        <v>7</v>
      </c>
      <c r="AF261">
        <v>6</v>
      </c>
      <c r="AG261">
        <v>1</v>
      </c>
      <c r="AH261">
        <v>9</v>
      </c>
      <c r="AI261">
        <v>6</v>
      </c>
      <c r="AJ261">
        <v>3</v>
      </c>
      <c r="AK261" t="s">
        <v>2548</v>
      </c>
      <c r="AL261" t="s">
        <v>2549</v>
      </c>
      <c r="AM261" t="s">
        <v>2550</v>
      </c>
      <c r="AN261" t="s">
        <v>2551</v>
      </c>
      <c r="AO261" t="s">
        <v>2552</v>
      </c>
      <c r="AP261" t="s">
        <v>2553</v>
      </c>
      <c r="AQ261" t="s">
        <v>2554</v>
      </c>
      <c r="AR261" t="s">
        <v>2555</v>
      </c>
      <c r="AS261" t="s">
        <v>2556</v>
      </c>
    </row>
    <row r="262" spans="1:45" x14ac:dyDescent="0.45">
      <c r="A262">
        <v>261</v>
      </c>
      <c r="B262">
        <v>12605</v>
      </c>
      <c r="C262" t="s">
        <v>78</v>
      </c>
      <c r="D262" t="s">
        <v>73</v>
      </c>
      <c r="E262" t="s">
        <v>74</v>
      </c>
      <c r="F262" t="s">
        <v>77</v>
      </c>
      <c r="G262" t="s">
        <v>76</v>
      </c>
      <c r="H262">
        <v>39.062928247312357</v>
      </c>
      <c r="I262">
        <v>1</v>
      </c>
      <c r="J262">
        <v>7</v>
      </c>
      <c r="K262">
        <v>6</v>
      </c>
      <c r="L262">
        <v>1</v>
      </c>
      <c r="M262">
        <v>8</v>
      </c>
      <c r="N262">
        <v>7</v>
      </c>
      <c r="O262">
        <v>1</v>
      </c>
      <c r="P262">
        <v>9</v>
      </c>
      <c r="Q262">
        <v>1</v>
      </c>
      <c r="R262">
        <v>8</v>
      </c>
      <c r="S262">
        <v>9</v>
      </c>
      <c r="T262">
        <v>9</v>
      </c>
      <c r="U262">
        <v>0</v>
      </c>
      <c r="V262">
        <v>8</v>
      </c>
      <c r="W262">
        <v>5</v>
      </c>
      <c r="X262">
        <v>3</v>
      </c>
      <c r="Y262">
        <v>9</v>
      </c>
      <c r="Z262">
        <v>4</v>
      </c>
      <c r="AA262">
        <v>5</v>
      </c>
      <c r="AB262">
        <v>8</v>
      </c>
      <c r="AC262">
        <v>4</v>
      </c>
      <c r="AD262">
        <v>4</v>
      </c>
      <c r="AE262">
        <v>9</v>
      </c>
      <c r="AF262">
        <v>5</v>
      </c>
      <c r="AG262">
        <v>4</v>
      </c>
      <c r="AH262">
        <v>8</v>
      </c>
      <c r="AI262">
        <v>5</v>
      </c>
      <c r="AJ262">
        <v>3</v>
      </c>
      <c r="AK262" t="s">
        <v>2557</v>
      </c>
      <c r="AL262" t="s">
        <v>2558</v>
      </c>
      <c r="AM262" t="s">
        <v>2559</v>
      </c>
      <c r="AN262" t="s">
        <v>2560</v>
      </c>
      <c r="AO262" t="s">
        <v>2561</v>
      </c>
      <c r="AP262" t="s">
        <v>2562</v>
      </c>
      <c r="AQ262" t="s">
        <v>2563</v>
      </c>
      <c r="AR262" t="s">
        <v>2564</v>
      </c>
      <c r="AS262" t="s">
        <v>2565</v>
      </c>
    </row>
    <row r="263" spans="1:45" x14ac:dyDescent="0.45">
      <c r="A263">
        <v>262</v>
      </c>
      <c r="B263">
        <v>12606</v>
      </c>
      <c r="C263" t="s">
        <v>78</v>
      </c>
      <c r="D263" t="s">
        <v>73</v>
      </c>
      <c r="E263" t="s">
        <v>74</v>
      </c>
      <c r="F263" t="s">
        <v>77</v>
      </c>
      <c r="G263" t="s">
        <v>76</v>
      </c>
      <c r="H263">
        <v>48.343753354470955</v>
      </c>
      <c r="I263">
        <v>4</v>
      </c>
      <c r="J263">
        <v>7</v>
      </c>
      <c r="K263">
        <v>9</v>
      </c>
      <c r="L263">
        <v>-2</v>
      </c>
      <c r="M263">
        <v>8</v>
      </c>
      <c r="N263">
        <v>9</v>
      </c>
      <c r="O263">
        <v>-1</v>
      </c>
      <c r="P263">
        <v>9</v>
      </c>
      <c r="Q263">
        <v>8</v>
      </c>
      <c r="R263">
        <v>1</v>
      </c>
      <c r="S263">
        <v>9</v>
      </c>
      <c r="T263">
        <v>9</v>
      </c>
      <c r="U263">
        <v>0</v>
      </c>
      <c r="V263">
        <v>8</v>
      </c>
      <c r="W263">
        <v>8</v>
      </c>
      <c r="X263">
        <v>0</v>
      </c>
      <c r="Y263">
        <v>9</v>
      </c>
      <c r="Z263">
        <v>9</v>
      </c>
      <c r="AA263">
        <v>0</v>
      </c>
      <c r="AB263">
        <v>8</v>
      </c>
      <c r="AC263">
        <v>9</v>
      </c>
      <c r="AD263">
        <v>-1</v>
      </c>
      <c r="AE263">
        <v>9</v>
      </c>
      <c r="AF263">
        <v>8</v>
      </c>
      <c r="AG263">
        <v>1</v>
      </c>
      <c r="AH263">
        <v>10</v>
      </c>
      <c r="AI263">
        <v>8</v>
      </c>
      <c r="AJ263">
        <v>2</v>
      </c>
      <c r="AK263" t="s">
        <v>2566</v>
      </c>
      <c r="AL263" t="s">
        <v>2567</v>
      </c>
      <c r="AM263" t="s">
        <v>2568</v>
      </c>
      <c r="AN263" t="s">
        <v>2569</v>
      </c>
      <c r="AO263" t="s">
        <v>2570</v>
      </c>
      <c r="AP263" t="s">
        <v>2571</v>
      </c>
      <c r="AQ263" t="s">
        <v>2572</v>
      </c>
      <c r="AR263" t="s">
        <v>2573</v>
      </c>
      <c r="AS263" t="s">
        <v>2574</v>
      </c>
    </row>
    <row r="264" spans="1:45" x14ac:dyDescent="0.45">
      <c r="A264">
        <v>263</v>
      </c>
      <c r="B264">
        <v>12607</v>
      </c>
      <c r="C264" t="s">
        <v>78</v>
      </c>
      <c r="D264" t="s">
        <v>73</v>
      </c>
      <c r="E264" t="s">
        <v>74</v>
      </c>
      <c r="F264" t="s">
        <v>75</v>
      </c>
      <c r="G264" t="s">
        <v>76</v>
      </c>
      <c r="H264">
        <v>96.582099489997503</v>
      </c>
      <c r="I264">
        <v>3</v>
      </c>
      <c r="J264">
        <v>8</v>
      </c>
      <c r="K264">
        <v>8</v>
      </c>
      <c r="L264">
        <v>0</v>
      </c>
      <c r="M264">
        <v>9</v>
      </c>
      <c r="N264">
        <v>8</v>
      </c>
      <c r="O264">
        <v>1</v>
      </c>
      <c r="P264">
        <v>8</v>
      </c>
      <c r="Q264">
        <v>5</v>
      </c>
      <c r="R264">
        <v>3</v>
      </c>
      <c r="S264">
        <v>9</v>
      </c>
      <c r="T264">
        <v>7</v>
      </c>
      <c r="U264">
        <v>2</v>
      </c>
      <c r="V264">
        <v>8</v>
      </c>
      <c r="W264">
        <v>7</v>
      </c>
      <c r="X264">
        <v>1</v>
      </c>
      <c r="Y264">
        <v>9</v>
      </c>
      <c r="Z264">
        <v>5</v>
      </c>
      <c r="AA264">
        <v>4</v>
      </c>
      <c r="AB264">
        <v>8</v>
      </c>
      <c r="AC264">
        <v>5</v>
      </c>
      <c r="AD264">
        <v>3</v>
      </c>
      <c r="AE264">
        <v>9</v>
      </c>
      <c r="AF264">
        <v>6</v>
      </c>
      <c r="AG264">
        <v>3</v>
      </c>
      <c r="AH264">
        <v>8</v>
      </c>
      <c r="AI264">
        <v>6</v>
      </c>
      <c r="AJ264">
        <v>2</v>
      </c>
      <c r="AK264" t="s">
        <v>2575</v>
      </c>
      <c r="AL264" t="s">
        <v>2576</v>
      </c>
      <c r="AM264" t="s">
        <v>2577</v>
      </c>
      <c r="AN264" t="s">
        <v>2578</v>
      </c>
      <c r="AO264" t="s">
        <v>2579</v>
      </c>
      <c r="AP264" t="s">
        <v>2580</v>
      </c>
      <c r="AQ264" t="s">
        <v>2581</v>
      </c>
      <c r="AR264" t="s">
        <v>2582</v>
      </c>
      <c r="AS264" t="s">
        <v>2583</v>
      </c>
    </row>
    <row r="265" spans="1:45" x14ac:dyDescent="0.45">
      <c r="A265">
        <v>264</v>
      </c>
      <c r="B265">
        <v>12608</v>
      </c>
      <c r="C265" t="s">
        <v>78</v>
      </c>
      <c r="D265" t="s">
        <v>79</v>
      </c>
      <c r="E265" t="s">
        <v>74</v>
      </c>
      <c r="F265" t="s">
        <v>75</v>
      </c>
      <c r="G265" t="s">
        <v>76</v>
      </c>
      <c r="H265">
        <v>192.82303663729419</v>
      </c>
      <c r="I265">
        <v>3</v>
      </c>
      <c r="J265">
        <v>6</v>
      </c>
      <c r="K265">
        <v>7</v>
      </c>
      <c r="L265">
        <v>-1</v>
      </c>
      <c r="M265">
        <v>7</v>
      </c>
      <c r="N265">
        <v>7</v>
      </c>
      <c r="O265">
        <v>0</v>
      </c>
      <c r="P265">
        <v>9</v>
      </c>
      <c r="Q265">
        <v>7</v>
      </c>
      <c r="R265">
        <v>2</v>
      </c>
      <c r="S265">
        <v>8</v>
      </c>
      <c r="T265">
        <v>8</v>
      </c>
      <c r="U265">
        <v>0</v>
      </c>
      <c r="V265">
        <v>7</v>
      </c>
      <c r="W265">
        <v>7</v>
      </c>
      <c r="X265">
        <v>0</v>
      </c>
      <c r="Y265">
        <v>9</v>
      </c>
      <c r="Z265">
        <v>7</v>
      </c>
      <c r="AA265">
        <v>2</v>
      </c>
      <c r="AB265">
        <v>8</v>
      </c>
      <c r="AC265">
        <v>7</v>
      </c>
      <c r="AD265">
        <v>1</v>
      </c>
      <c r="AE265">
        <v>7</v>
      </c>
      <c r="AF265">
        <v>7</v>
      </c>
      <c r="AG265">
        <v>0</v>
      </c>
      <c r="AH265">
        <v>9</v>
      </c>
      <c r="AI265">
        <v>7</v>
      </c>
      <c r="AJ265">
        <v>2</v>
      </c>
      <c r="AK265" t="s">
        <v>2584</v>
      </c>
      <c r="AL265" t="s">
        <v>2585</v>
      </c>
      <c r="AM265" t="s">
        <v>2586</v>
      </c>
      <c r="AN265" t="s">
        <v>2587</v>
      </c>
      <c r="AO265" t="s">
        <v>2588</v>
      </c>
      <c r="AP265" t="s">
        <v>2589</v>
      </c>
      <c r="AQ265" t="s">
        <v>265</v>
      </c>
      <c r="AR265" t="s">
        <v>2590</v>
      </c>
      <c r="AS265" t="s">
        <v>2591</v>
      </c>
    </row>
    <row r="266" spans="1:45" x14ac:dyDescent="0.45">
      <c r="A266">
        <v>265</v>
      </c>
      <c r="B266">
        <v>12609</v>
      </c>
      <c r="C266" t="s">
        <v>72</v>
      </c>
      <c r="D266" t="s">
        <v>73</v>
      </c>
      <c r="E266" t="s">
        <v>74</v>
      </c>
      <c r="F266" t="s">
        <v>77</v>
      </c>
      <c r="G266" t="s">
        <v>76</v>
      </c>
      <c r="H266">
        <v>27.961883857566292</v>
      </c>
      <c r="I266">
        <v>0</v>
      </c>
      <c r="J266">
        <v>9</v>
      </c>
      <c r="K266">
        <v>6</v>
      </c>
      <c r="L266">
        <v>3</v>
      </c>
      <c r="M266">
        <v>8</v>
      </c>
      <c r="N266">
        <v>5</v>
      </c>
      <c r="O266">
        <v>3</v>
      </c>
      <c r="P266">
        <v>9</v>
      </c>
      <c r="Q266">
        <v>5</v>
      </c>
      <c r="R266">
        <v>4</v>
      </c>
      <c r="S266">
        <v>10</v>
      </c>
      <c r="T266">
        <v>7</v>
      </c>
      <c r="U266">
        <v>3</v>
      </c>
      <c r="V266">
        <v>9</v>
      </c>
      <c r="W266">
        <v>6</v>
      </c>
      <c r="X266">
        <v>3</v>
      </c>
      <c r="Y266">
        <v>9</v>
      </c>
      <c r="Z266">
        <v>7</v>
      </c>
      <c r="AA266">
        <v>2</v>
      </c>
      <c r="AB266">
        <v>9</v>
      </c>
      <c r="AC266">
        <v>5</v>
      </c>
      <c r="AD266">
        <v>4</v>
      </c>
      <c r="AE266">
        <v>7</v>
      </c>
      <c r="AF266">
        <v>6</v>
      </c>
      <c r="AG266">
        <v>1</v>
      </c>
      <c r="AH266">
        <v>8</v>
      </c>
      <c r="AI266">
        <v>6</v>
      </c>
      <c r="AJ266">
        <v>2</v>
      </c>
      <c r="AK266" t="s">
        <v>2592</v>
      </c>
      <c r="AL266" t="s">
        <v>2593</v>
      </c>
      <c r="AM266" t="s">
        <v>2594</v>
      </c>
      <c r="AN266" t="s">
        <v>2595</v>
      </c>
      <c r="AO266" t="s">
        <v>2596</v>
      </c>
      <c r="AP266" t="s">
        <v>2597</v>
      </c>
      <c r="AQ266" t="s">
        <v>2598</v>
      </c>
      <c r="AR266" t="s">
        <v>2599</v>
      </c>
      <c r="AS266" t="s">
        <v>2600</v>
      </c>
    </row>
    <row r="267" spans="1:45" x14ac:dyDescent="0.45">
      <c r="A267">
        <v>266</v>
      </c>
      <c r="B267">
        <v>12610</v>
      </c>
      <c r="C267" t="s">
        <v>72</v>
      </c>
      <c r="D267" t="s">
        <v>191</v>
      </c>
      <c r="E267" t="s">
        <v>74</v>
      </c>
      <c r="F267" t="s">
        <v>77</v>
      </c>
      <c r="G267" t="s">
        <v>76</v>
      </c>
      <c r="H267">
        <v>48.07318258724181</v>
      </c>
      <c r="I267">
        <v>3</v>
      </c>
      <c r="J267">
        <v>7</v>
      </c>
      <c r="K267">
        <v>7</v>
      </c>
      <c r="L267">
        <v>0</v>
      </c>
      <c r="M267">
        <v>8</v>
      </c>
      <c r="N267">
        <v>6</v>
      </c>
      <c r="O267">
        <v>2</v>
      </c>
      <c r="P267">
        <v>9</v>
      </c>
      <c r="Q267">
        <v>6</v>
      </c>
      <c r="R267">
        <v>3</v>
      </c>
      <c r="S267">
        <v>10</v>
      </c>
      <c r="T267">
        <v>6</v>
      </c>
      <c r="U267">
        <v>4</v>
      </c>
      <c r="V267">
        <v>9</v>
      </c>
      <c r="W267">
        <v>7</v>
      </c>
      <c r="X267">
        <v>2</v>
      </c>
      <c r="Y267">
        <v>8</v>
      </c>
      <c r="Z267">
        <v>7</v>
      </c>
      <c r="AA267">
        <v>1</v>
      </c>
      <c r="AB267">
        <v>9</v>
      </c>
      <c r="AC267">
        <v>7</v>
      </c>
      <c r="AD267">
        <v>2</v>
      </c>
      <c r="AE267">
        <v>8</v>
      </c>
      <c r="AF267">
        <v>7</v>
      </c>
      <c r="AG267">
        <v>1</v>
      </c>
      <c r="AH267">
        <v>9</v>
      </c>
      <c r="AI267">
        <v>7</v>
      </c>
      <c r="AJ267">
        <v>2</v>
      </c>
      <c r="AK267" t="s">
        <v>2601</v>
      </c>
      <c r="AL267" t="s">
        <v>2602</v>
      </c>
      <c r="AM267" t="s">
        <v>2603</v>
      </c>
      <c r="AN267" t="s">
        <v>2604</v>
      </c>
      <c r="AO267" t="s">
        <v>2605</v>
      </c>
      <c r="AP267" t="s">
        <v>2606</v>
      </c>
      <c r="AQ267" t="s">
        <v>2607</v>
      </c>
      <c r="AR267" t="s">
        <v>2608</v>
      </c>
      <c r="AS267" t="s">
        <v>2609</v>
      </c>
    </row>
    <row r="268" spans="1:45" x14ac:dyDescent="0.45">
      <c r="A268">
        <v>267</v>
      </c>
      <c r="B268">
        <v>12611</v>
      </c>
      <c r="C268" t="s">
        <v>78</v>
      </c>
      <c r="D268" t="s">
        <v>79</v>
      </c>
      <c r="E268" t="s">
        <v>74</v>
      </c>
      <c r="F268" t="s">
        <v>75</v>
      </c>
      <c r="G268" t="s">
        <v>76</v>
      </c>
      <c r="H268">
        <v>52.976593671361009</v>
      </c>
      <c r="I268">
        <v>2</v>
      </c>
      <c r="J268">
        <v>6</v>
      </c>
      <c r="K268">
        <v>6</v>
      </c>
      <c r="L268">
        <v>0</v>
      </c>
      <c r="M268">
        <v>8</v>
      </c>
      <c r="N268">
        <v>7</v>
      </c>
      <c r="O268">
        <v>1</v>
      </c>
      <c r="P268">
        <v>7</v>
      </c>
      <c r="Q268">
        <v>7</v>
      </c>
      <c r="R268">
        <v>0</v>
      </c>
      <c r="S268">
        <v>9</v>
      </c>
      <c r="T268">
        <v>6</v>
      </c>
      <c r="U268">
        <v>3</v>
      </c>
      <c r="V268">
        <v>8</v>
      </c>
      <c r="W268">
        <v>6</v>
      </c>
      <c r="X268">
        <v>2</v>
      </c>
      <c r="Y268">
        <v>9</v>
      </c>
      <c r="Z268">
        <v>6</v>
      </c>
      <c r="AA268">
        <v>3</v>
      </c>
      <c r="AB268">
        <v>8</v>
      </c>
      <c r="AC268">
        <v>6</v>
      </c>
      <c r="AD268">
        <v>2</v>
      </c>
      <c r="AE268">
        <v>9</v>
      </c>
      <c r="AF268">
        <v>7</v>
      </c>
      <c r="AG268">
        <v>2</v>
      </c>
      <c r="AH268">
        <v>9</v>
      </c>
      <c r="AI268">
        <v>7</v>
      </c>
      <c r="AJ268">
        <v>2</v>
      </c>
      <c r="AK268" t="s">
        <v>2610</v>
      </c>
      <c r="AL268" t="s">
        <v>2611</v>
      </c>
      <c r="AM268" t="s">
        <v>2612</v>
      </c>
      <c r="AN268" t="s">
        <v>2613</v>
      </c>
      <c r="AO268" t="s">
        <v>2614</v>
      </c>
      <c r="AP268" t="s">
        <v>2615</v>
      </c>
      <c r="AQ268" t="s">
        <v>2616</v>
      </c>
      <c r="AR268" t="s">
        <v>2617</v>
      </c>
      <c r="AS268" t="s">
        <v>2618</v>
      </c>
    </row>
    <row r="269" spans="1:45" x14ac:dyDescent="0.45">
      <c r="A269">
        <v>268</v>
      </c>
      <c r="B269">
        <v>12612</v>
      </c>
      <c r="C269" t="s">
        <v>72</v>
      </c>
      <c r="D269" t="s">
        <v>81</v>
      </c>
      <c r="E269" t="s">
        <v>74</v>
      </c>
      <c r="F269" t="s">
        <v>77</v>
      </c>
      <c r="G269" t="s">
        <v>76</v>
      </c>
      <c r="H269">
        <v>23.51261243360954</v>
      </c>
      <c r="I269">
        <v>2</v>
      </c>
      <c r="J269">
        <v>7</v>
      </c>
      <c r="K269">
        <v>7</v>
      </c>
      <c r="L269">
        <v>0</v>
      </c>
      <c r="M269">
        <v>6</v>
      </c>
      <c r="N269">
        <v>7</v>
      </c>
      <c r="O269">
        <v>-1</v>
      </c>
      <c r="P269">
        <v>9</v>
      </c>
      <c r="Q269">
        <v>2</v>
      </c>
      <c r="R269">
        <v>7</v>
      </c>
      <c r="S269">
        <v>8</v>
      </c>
      <c r="T269">
        <v>7</v>
      </c>
      <c r="U269">
        <v>1</v>
      </c>
      <c r="V269">
        <v>9</v>
      </c>
      <c r="W269">
        <v>7</v>
      </c>
      <c r="X269">
        <v>2</v>
      </c>
      <c r="Y269">
        <v>8</v>
      </c>
      <c r="Z269">
        <v>7</v>
      </c>
      <c r="AA269">
        <v>1</v>
      </c>
      <c r="AB269">
        <v>9</v>
      </c>
      <c r="AC269">
        <v>7</v>
      </c>
      <c r="AD269">
        <v>2</v>
      </c>
      <c r="AE269">
        <v>8</v>
      </c>
      <c r="AF269">
        <v>7</v>
      </c>
      <c r="AG269">
        <v>1</v>
      </c>
      <c r="AH269">
        <v>9</v>
      </c>
      <c r="AI269">
        <v>7</v>
      </c>
      <c r="AJ269">
        <v>2</v>
      </c>
      <c r="AK269" t="s">
        <v>2619</v>
      </c>
      <c r="AL269" t="s">
        <v>2620</v>
      </c>
      <c r="AM269" t="s">
        <v>2621</v>
      </c>
      <c r="AN269" t="s">
        <v>2622</v>
      </c>
      <c r="AO269" t="s">
        <v>2623</v>
      </c>
      <c r="AP269" t="s">
        <v>2624</v>
      </c>
      <c r="AQ269" t="s">
        <v>2625</v>
      </c>
      <c r="AR269" t="s">
        <v>254</v>
      </c>
      <c r="AS269" t="s">
        <v>2626</v>
      </c>
    </row>
    <row r="270" spans="1:45" x14ac:dyDescent="0.45">
      <c r="A270">
        <v>269</v>
      </c>
      <c r="B270">
        <v>12613</v>
      </c>
      <c r="C270" t="s">
        <v>78</v>
      </c>
      <c r="D270" t="s">
        <v>79</v>
      </c>
      <c r="E270" t="s">
        <v>74</v>
      </c>
      <c r="F270" t="s">
        <v>75</v>
      </c>
      <c r="G270" t="s">
        <v>76</v>
      </c>
      <c r="H270">
        <v>91.108376806043836</v>
      </c>
      <c r="I270">
        <v>4</v>
      </c>
      <c r="J270">
        <v>8</v>
      </c>
      <c r="K270">
        <v>4</v>
      </c>
      <c r="L270">
        <v>4</v>
      </c>
      <c r="M270">
        <v>9</v>
      </c>
      <c r="N270">
        <v>5</v>
      </c>
      <c r="O270">
        <v>4</v>
      </c>
      <c r="P270">
        <v>7</v>
      </c>
      <c r="Q270">
        <v>2</v>
      </c>
      <c r="R270">
        <v>5</v>
      </c>
      <c r="S270">
        <v>9</v>
      </c>
      <c r="T270">
        <v>6</v>
      </c>
      <c r="U270">
        <v>3</v>
      </c>
      <c r="V270">
        <v>8</v>
      </c>
      <c r="W270">
        <v>3</v>
      </c>
      <c r="X270">
        <v>5</v>
      </c>
      <c r="Y270">
        <v>7</v>
      </c>
      <c r="Z270">
        <v>3</v>
      </c>
      <c r="AA270">
        <v>4</v>
      </c>
      <c r="AB270">
        <v>8</v>
      </c>
      <c r="AC270">
        <v>1</v>
      </c>
      <c r="AD270">
        <v>7</v>
      </c>
      <c r="AE270">
        <v>7</v>
      </c>
      <c r="AF270">
        <v>3</v>
      </c>
      <c r="AG270">
        <v>4</v>
      </c>
      <c r="AH270">
        <v>9</v>
      </c>
      <c r="AI270">
        <v>1</v>
      </c>
      <c r="AJ270">
        <v>8</v>
      </c>
      <c r="AK270" t="s">
        <v>2627</v>
      </c>
      <c r="AL270" t="s">
        <v>2628</v>
      </c>
      <c r="AM270" t="s">
        <v>2629</v>
      </c>
      <c r="AN270" t="s">
        <v>2630</v>
      </c>
      <c r="AO270" t="s">
        <v>2631</v>
      </c>
      <c r="AP270" t="s">
        <v>2632</v>
      </c>
      <c r="AQ270" t="s">
        <v>2633</v>
      </c>
      <c r="AR270" t="s">
        <v>2634</v>
      </c>
      <c r="AS270" t="s">
        <v>2635</v>
      </c>
    </row>
    <row r="271" spans="1:45" x14ac:dyDescent="0.45">
      <c r="A271">
        <v>270</v>
      </c>
      <c r="B271">
        <v>12614</v>
      </c>
      <c r="C271" t="s">
        <v>72</v>
      </c>
      <c r="D271" t="s">
        <v>73</v>
      </c>
      <c r="E271" t="s">
        <v>74</v>
      </c>
      <c r="F271" t="s">
        <v>75</v>
      </c>
      <c r="G271" t="s">
        <v>162</v>
      </c>
      <c r="H271">
        <v>63.755473832752344</v>
      </c>
      <c r="I271">
        <v>0</v>
      </c>
      <c r="J271">
        <v>7</v>
      </c>
      <c r="K271">
        <v>8</v>
      </c>
      <c r="L271">
        <v>-1</v>
      </c>
      <c r="M271">
        <v>7</v>
      </c>
      <c r="N271">
        <v>8</v>
      </c>
      <c r="O271">
        <v>-1</v>
      </c>
      <c r="P271">
        <v>8</v>
      </c>
      <c r="Q271">
        <v>3</v>
      </c>
      <c r="R271">
        <v>5</v>
      </c>
      <c r="S271">
        <v>9</v>
      </c>
      <c r="T271">
        <v>8</v>
      </c>
      <c r="U271">
        <v>1</v>
      </c>
      <c r="V271">
        <v>7</v>
      </c>
      <c r="W271">
        <v>3</v>
      </c>
      <c r="X271">
        <v>4</v>
      </c>
      <c r="Y271">
        <v>9</v>
      </c>
      <c r="Z271">
        <v>1</v>
      </c>
      <c r="AA271">
        <v>8</v>
      </c>
      <c r="AB271">
        <v>8</v>
      </c>
      <c r="AC271">
        <v>8</v>
      </c>
      <c r="AD271">
        <v>0</v>
      </c>
      <c r="AE271">
        <v>7</v>
      </c>
      <c r="AF271">
        <v>6</v>
      </c>
      <c r="AG271">
        <v>1</v>
      </c>
      <c r="AH271">
        <v>9</v>
      </c>
      <c r="AI271">
        <v>7</v>
      </c>
      <c r="AJ271">
        <v>2</v>
      </c>
      <c r="AK271" t="s">
        <v>2636</v>
      </c>
      <c r="AL271" t="s">
        <v>2637</v>
      </c>
      <c r="AM271" t="s">
        <v>2638</v>
      </c>
      <c r="AN271" t="s">
        <v>2639</v>
      </c>
      <c r="AO271" t="s">
        <v>2640</v>
      </c>
      <c r="AP271" t="s">
        <v>2641</v>
      </c>
      <c r="AQ271" t="s">
        <v>2642</v>
      </c>
      <c r="AR271" t="s">
        <v>2643</v>
      </c>
      <c r="AS271" t="s">
        <v>2644</v>
      </c>
    </row>
    <row r="272" spans="1:45" x14ac:dyDescent="0.45">
      <c r="A272">
        <v>271</v>
      </c>
      <c r="B272">
        <v>12615</v>
      </c>
      <c r="C272" t="s">
        <v>72</v>
      </c>
      <c r="D272" t="s">
        <v>73</v>
      </c>
      <c r="E272" t="s">
        <v>74</v>
      </c>
      <c r="F272" t="s">
        <v>75</v>
      </c>
      <c r="G272" t="s">
        <v>76</v>
      </c>
      <c r="H272">
        <v>66.966987427494431</v>
      </c>
      <c r="I272">
        <v>2</v>
      </c>
      <c r="J272">
        <v>7</v>
      </c>
      <c r="K272">
        <v>7</v>
      </c>
      <c r="L272">
        <v>0</v>
      </c>
      <c r="M272">
        <v>8</v>
      </c>
      <c r="N272">
        <v>7</v>
      </c>
      <c r="O272">
        <v>1</v>
      </c>
      <c r="P272">
        <v>9</v>
      </c>
      <c r="Q272">
        <v>4</v>
      </c>
      <c r="R272">
        <v>5</v>
      </c>
      <c r="S272">
        <v>10</v>
      </c>
      <c r="T272">
        <v>7</v>
      </c>
      <c r="U272">
        <v>3</v>
      </c>
      <c r="V272">
        <v>9</v>
      </c>
      <c r="W272">
        <v>7</v>
      </c>
      <c r="X272">
        <v>2</v>
      </c>
      <c r="Y272">
        <v>8</v>
      </c>
      <c r="Z272">
        <v>6</v>
      </c>
      <c r="AA272">
        <v>2</v>
      </c>
      <c r="AB272">
        <v>9</v>
      </c>
      <c r="AC272">
        <v>5</v>
      </c>
      <c r="AD272">
        <v>4</v>
      </c>
      <c r="AE272">
        <v>8</v>
      </c>
      <c r="AF272">
        <v>7</v>
      </c>
      <c r="AG272">
        <v>1</v>
      </c>
      <c r="AH272">
        <v>9</v>
      </c>
      <c r="AI272">
        <v>6</v>
      </c>
      <c r="AJ272">
        <v>3</v>
      </c>
      <c r="AK272" t="s">
        <v>2645</v>
      </c>
      <c r="AL272" t="s">
        <v>2646</v>
      </c>
      <c r="AM272" t="s">
        <v>2647</v>
      </c>
      <c r="AN272" t="s">
        <v>2648</v>
      </c>
      <c r="AO272" t="s">
        <v>2649</v>
      </c>
      <c r="AP272" t="s">
        <v>2650</v>
      </c>
      <c r="AQ272" t="s">
        <v>2651</v>
      </c>
      <c r="AR272" t="s">
        <v>2652</v>
      </c>
      <c r="AS272" t="s">
        <v>2653</v>
      </c>
    </row>
    <row r="273" spans="1:45" x14ac:dyDescent="0.45">
      <c r="A273">
        <v>272</v>
      </c>
      <c r="B273">
        <v>12616</v>
      </c>
      <c r="C273" t="s">
        <v>78</v>
      </c>
      <c r="D273" t="s">
        <v>73</v>
      </c>
      <c r="E273" t="s">
        <v>74</v>
      </c>
      <c r="F273" t="s">
        <v>77</v>
      </c>
      <c r="G273" t="s">
        <v>76</v>
      </c>
      <c r="H273">
        <v>45.135285224602534</v>
      </c>
      <c r="I273">
        <v>1</v>
      </c>
      <c r="J273">
        <v>7</v>
      </c>
      <c r="K273">
        <v>7</v>
      </c>
      <c r="L273">
        <v>0</v>
      </c>
      <c r="M273">
        <v>6</v>
      </c>
      <c r="N273">
        <v>8</v>
      </c>
      <c r="O273">
        <v>-2</v>
      </c>
      <c r="P273">
        <v>7</v>
      </c>
      <c r="Q273">
        <v>2</v>
      </c>
      <c r="R273">
        <v>5</v>
      </c>
      <c r="S273">
        <v>8</v>
      </c>
      <c r="T273">
        <v>6</v>
      </c>
      <c r="U273">
        <v>2</v>
      </c>
      <c r="V273">
        <v>7</v>
      </c>
      <c r="W273">
        <v>6</v>
      </c>
      <c r="X273">
        <v>1</v>
      </c>
      <c r="Y273">
        <v>8</v>
      </c>
      <c r="Z273">
        <v>6</v>
      </c>
      <c r="AA273">
        <v>2</v>
      </c>
      <c r="AB273">
        <v>7</v>
      </c>
      <c r="AC273">
        <v>5</v>
      </c>
      <c r="AD273">
        <v>2</v>
      </c>
      <c r="AE273">
        <v>8</v>
      </c>
      <c r="AF273">
        <v>5</v>
      </c>
      <c r="AG273">
        <v>3</v>
      </c>
      <c r="AH273">
        <v>9</v>
      </c>
      <c r="AI273">
        <v>6</v>
      </c>
      <c r="AJ273">
        <v>3</v>
      </c>
      <c r="AK273" t="s">
        <v>2654</v>
      </c>
      <c r="AL273" t="s">
        <v>2655</v>
      </c>
      <c r="AM273" t="s">
        <v>2656</v>
      </c>
      <c r="AN273" t="s">
        <v>2657</v>
      </c>
      <c r="AO273" t="s">
        <v>2658</v>
      </c>
      <c r="AP273" t="s">
        <v>2659</v>
      </c>
      <c r="AQ273" t="s">
        <v>2660</v>
      </c>
      <c r="AR273" t="s">
        <v>2661</v>
      </c>
      <c r="AS273" t="s">
        <v>2662</v>
      </c>
    </row>
    <row r="274" spans="1:45" x14ac:dyDescent="0.45">
      <c r="A274">
        <v>273</v>
      </c>
      <c r="B274">
        <v>12617</v>
      </c>
      <c r="C274" t="s">
        <v>72</v>
      </c>
      <c r="D274" t="s">
        <v>191</v>
      </c>
      <c r="E274" t="s">
        <v>74</v>
      </c>
      <c r="F274" t="s">
        <v>75</v>
      </c>
      <c r="G274" t="s">
        <v>76</v>
      </c>
      <c r="H274">
        <v>94.51187685135308</v>
      </c>
      <c r="I274">
        <v>4</v>
      </c>
      <c r="J274">
        <v>7</v>
      </c>
      <c r="K274">
        <v>3</v>
      </c>
      <c r="L274">
        <v>4</v>
      </c>
      <c r="M274">
        <v>7</v>
      </c>
      <c r="N274">
        <v>3</v>
      </c>
      <c r="O274">
        <v>4</v>
      </c>
      <c r="P274">
        <v>8</v>
      </c>
      <c r="Q274">
        <v>1</v>
      </c>
      <c r="R274">
        <v>7</v>
      </c>
      <c r="S274">
        <v>9</v>
      </c>
      <c r="T274">
        <v>6</v>
      </c>
      <c r="U274">
        <v>3</v>
      </c>
      <c r="V274">
        <v>7</v>
      </c>
      <c r="W274">
        <v>1</v>
      </c>
      <c r="X274">
        <v>6</v>
      </c>
      <c r="Y274">
        <v>9</v>
      </c>
      <c r="Z274">
        <v>1</v>
      </c>
      <c r="AA274">
        <v>8</v>
      </c>
      <c r="AB274">
        <v>7</v>
      </c>
      <c r="AC274">
        <v>1</v>
      </c>
      <c r="AD274">
        <v>6</v>
      </c>
      <c r="AE274">
        <v>8</v>
      </c>
      <c r="AF274">
        <v>1</v>
      </c>
      <c r="AG274">
        <v>7</v>
      </c>
      <c r="AH274">
        <v>8</v>
      </c>
      <c r="AI274">
        <v>1</v>
      </c>
      <c r="AJ274">
        <v>7</v>
      </c>
      <c r="AK274" t="s">
        <v>2663</v>
      </c>
      <c r="AL274" t="s">
        <v>2664</v>
      </c>
      <c r="AM274" t="s">
        <v>2665</v>
      </c>
      <c r="AN274" t="s">
        <v>2666</v>
      </c>
      <c r="AO274" t="s">
        <v>2667</v>
      </c>
      <c r="AP274" t="s">
        <v>2668</v>
      </c>
      <c r="AQ274" t="s">
        <v>2669</v>
      </c>
      <c r="AR274" t="s">
        <v>2670</v>
      </c>
      <c r="AS274" t="s">
        <v>2671</v>
      </c>
    </row>
    <row r="275" spans="1:45" x14ac:dyDescent="0.45">
      <c r="A275">
        <v>274</v>
      </c>
      <c r="B275">
        <v>12618</v>
      </c>
      <c r="C275" t="s">
        <v>72</v>
      </c>
      <c r="D275" t="s">
        <v>73</v>
      </c>
      <c r="E275" t="s">
        <v>74</v>
      </c>
      <c r="F275" t="s">
        <v>77</v>
      </c>
      <c r="G275" t="s">
        <v>76</v>
      </c>
      <c r="H275">
        <v>65.316219846220875</v>
      </c>
      <c r="I275">
        <v>2</v>
      </c>
      <c r="J275">
        <v>9</v>
      </c>
      <c r="K275">
        <v>6</v>
      </c>
      <c r="L275">
        <v>3</v>
      </c>
      <c r="M275">
        <v>8</v>
      </c>
      <c r="N275">
        <v>6</v>
      </c>
      <c r="O275">
        <v>2</v>
      </c>
      <c r="P275">
        <v>9</v>
      </c>
      <c r="Q275">
        <v>5</v>
      </c>
      <c r="R275">
        <v>4</v>
      </c>
      <c r="S275">
        <v>8</v>
      </c>
      <c r="T275">
        <v>6</v>
      </c>
      <c r="U275">
        <v>2</v>
      </c>
      <c r="V275">
        <v>9</v>
      </c>
      <c r="W275">
        <v>6</v>
      </c>
      <c r="X275">
        <v>3</v>
      </c>
      <c r="Y275">
        <v>8</v>
      </c>
      <c r="Z275">
        <v>6</v>
      </c>
      <c r="AA275">
        <v>2</v>
      </c>
      <c r="AB275">
        <v>9</v>
      </c>
      <c r="AC275">
        <v>6</v>
      </c>
      <c r="AD275">
        <v>3</v>
      </c>
      <c r="AE275">
        <v>8</v>
      </c>
      <c r="AF275">
        <v>6</v>
      </c>
      <c r="AG275">
        <v>2</v>
      </c>
      <c r="AH275">
        <v>9</v>
      </c>
      <c r="AI275">
        <v>6</v>
      </c>
      <c r="AJ275">
        <v>3</v>
      </c>
      <c r="AK275" t="s">
        <v>2672</v>
      </c>
      <c r="AL275" t="s">
        <v>2673</v>
      </c>
      <c r="AM275" t="s">
        <v>2674</v>
      </c>
      <c r="AN275" t="s">
        <v>2675</v>
      </c>
      <c r="AO275" t="s">
        <v>2676</v>
      </c>
      <c r="AP275" t="s">
        <v>2677</v>
      </c>
      <c r="AQ275" t="s">
        <v>2678</v>
      </c>
      <c r="AR275" t="s">
        <v>2679</v>
      </c>
      <c r="AS275" t="s">
        <v>2680</v>
      </c>
    </row>
    <row r="276" spans="1:45" x14ac:dyDescent="0.45">
      <c r="A276">
        <v>275</v>
      </c>
      <c r="B276">
        <v>12619</v>
      </c>
      <c r="C276" t="s">
        <v>72</v>
      </c>
      <c r="D276" t="s">
        <v>79</v>
      </c>
      <c r="E276" t="s">
        <v>74</v>
      </c>
      <c r="F276" t="s">
        <v>75</v>
      </c>
      <c r="G276" t="s">
        <v>76</v>
      </c>
      <c r="H276">
        <v>61.039403417158866</v>
      </c>
      <c r="I276">
        <v>2</v>
      </c>
      <c r="J276">
        <v>5</v>
      </c>
      <c r="K276">
        <v>8</v>
      </c>
      <c r="L276">
        <v>-3</v>
      </c>
      <c r="M276">
        <v>6</v>
      </c>
      <c r="N276">
        <v>9</v>
      </c>
      <c r="O276">
        <v>-3</v>
      </c>
      <c r="P276">
        <v>8</v>
      </c>
      <c r="Q276">
        <v>5</v>
      </c>
      <c r="R276">
        <v>3</v>
      </c>
      <c r="S276">
        <v>7</v>
      </c>
      <c r="T276">
        <v>7</v>
      </c>
      <c r="U276">
        <v>0</v>
      </c>
      <c r="V276">
        <v>6</v>
      </c>
      <c r="W276">
        <v>6</v>
      </c>
      <c r="X276">
        <v>0</v>
      </c>
      <c r="Y276">
        <v>7</v>
      </c>
      <c r="Z276">
        <v>7</v>
      </c>
      <c r="AA276">
        <v>0</v>
      </c>
      <c r="AB276">
        <v>6</v>
      </c>
      <c r="AC276">
        <v>7</v>
      </c>
      <c r="AD276">
        <v>-1</v>
      </c>
      <c r="AE276">
        <v>7</v>
      </c>
      <c r="AF276">
        <v>7</v>
      </c>
      <c r="AG276">
        <v>0</v>
      </c>
      <c r="AH276">
        <v>8</v>
      </c>
      <c r="AI276">
        <v>7</v>
      </c>
      <c r="AJ276">
        <v>1</v>
      </c>
      <c r="AK276" t="s">
        <v>2681</v>
      </c>
      <c r="AL276" t="s">
        <v>2682</v>
      </c>
      <c r="AM276" t="s">
        <v>2683</v>
      </c>
      <c r="AN276" t="s">
        <v>2684</v>
      </c>
      <c r="AO276" t="s">
        <v>2685</v>
      </c>
      <c r="AP276" t="s">
        <v>2686</v>
      </c>
      <c r="AQ276" t="s">
        <v>2687</v>
      </c>
      <c r="AR276" t="s">
        <v>2688</v>
      </c>
      <c r="AS276" t="s">
        <v>2689</v>
      </c>
    </row>
    <row r="277" spans="1:45" x14ac:dyDescent="0.45">
      <c r="A277">
        <v>276</v>
      </c>
      <c r="B277">
        <v>12620</v>
      </c>
      <c r="C277" t="s">
        <v>78</v>
      </c>
      <c r="D277" t="s">
        <v>73</v>
      </c>
      <c r="E277" t="s">
        <v>74</v>
      </c>
      <c r="F277" t="s">
        <v>77</v>
      </c>
      <c r="G277" t="s">
        <v>76</v>
      </c>
      <c r="H277">
        <v>33.603736278304325</v>
      </c>
      <c r="I277">
        <v>1</v>
      </c>
      <c r="J277">
        <v>7</v>
      </c>
      <c r="K277">
        <v>6</v>
      </c>
      <c r="L277">
        <v>1</v>
      </c>
      <c r="M277">
        <v>8</v>
      </c>
      <c r="N277">
        <v>6</v>
      </c>
      <c r="O277">
        <v>2</v>
      </c>
      <c r="P277">
        <v>9</v>
      </c>
      <c r="Q277">
        <v>3</v>
      </c>
      <c r="R277">
        <v>6</v>
      </c>
      <c r="S277">
        <v>10</v>
      </c>
      <c r="T277">
        <v>7</v>
      </c>
      <c r="U277">
        <v>3</v>
      </c>
      <c r="V277">
        <v>8</v>
      </c>
      <c r="W277">
        <v>7</v>
      </c>
      <c r="X277">
        <v>1</v>
      </c>
      <c r="Y277">
        <v>9</v>
      </c>
      <c r="Z277">
        <v>7</v>
      </c>
      <c r="AA277">
        <v>2</v>
      </c>
      <c r="AB277">
        <v>7</v>
      </c>
      <c r="AC277">
        <v>5</v>
      </c>
      <c r="AD277">
        <v>2</v>
      </c>
      <c r="AE277">
        <v>8</v>
      </c>
      <c r="AF277">
        <v>7</v>
      </c>
      <c r="AG277">
        <v>1</v>
      </c>
      <c r="AH277">
        <v>9</v>
      </c>
      <c r="AI277">
        <v>7</v>
      </c>
      <c r="AJ277">
        <v>2</v>
      </c>
      <c r="AK277" t="s">
        <v>2690</v>
      </c>
      <c r="AL277" t="s">
        <v>2691</v>
      </c>
      <c r="AM277" t="s">
        <v>2692</v>
      </c>
      <c r="AN277" t="s">
        <v>2693</v>
      </c>
      <c r="AO277" t="s">
        <v>2694</v>
      </c>
      <c r="AP277" t="s">
        <v>2695</v>
      </c>
      <c r="AQ277" t="s">
        <v>2696</v>
      </c>
      <c r="AR277" t="s">
        <v>2697</v>
      </c>
      <c r="AS277" t="s">
        <v>2698</v>
      </c>
    </row>
    <row r="278" spans="1:45" x14ac:dyDescent="0.45">
      <c r="A278">
        <v>277</v>
      </c>
      <c r="B278">
        <v>12621</v>
      </c>
      <c r="C278" t="s">
        <v>72</v>
      </c>
      <c r="D278" t="s">
        <v>79</v>
      </c>
      <c r="E278" t="s">
        <v>74</v>
      </c>
      <c r="F278" t="s">
        <v>77</v>
      </c>
      <c r="G278" t="s">
        <v>76</v>
      </c>
      <c r="H278">
        <v>78.750453674134562</v>
      </c>
      <c r="I278">
        <v>4</v>
      </c>
      <c r="J278">
        <v>7</v>
      </c>
      <c r="K278">
        <v>8</v>
      </c>
      <c r="L278">
        <v>-1</v>
      </c>
      <c r="M278">
        <v>6</v>
      </c>
      <c r="N278">
        <v>8</v>
      </c>
      <c r="O278">
        <v>-2</v>
      </c>
      <c r="P278">
        <v>8</v>
      </c>
      <c r="Q278">
        <v>6</v>
      </c>
      <c r="R278">
        <v>2</v>
      </c>
      <c r="S278">
        <v>9</v>
      </c>
      <c r="T278">
        <v>7</v>
      </c>
      <c r="U278">
        <v>2</v>
      </c>
      <c r="V278">
        <v>7</v>
      </c>
      <c r="W278">
        <v>7</v>
      </c>
      <c r="X278">
        <v>0</v>
      </c>
      <c r="Y278">
        <v>8</v>
      </c>
      <c r="Z278">
        <v>4</v>
      </c>
      <c r="AA278">
        <v>4</v>
      </c>
      <c r="AB278">
        <v>7</v>
      </c>
      <c r="AC278">
        <v>5</v>
      </c>
      <c r="AD278">
        <v>2</v>
      </c>
      <c r="AE278">
        <v>8</v>
      </c>
      <c r="AF278">
        <v>5</v>
      </c>
      <c r="AG278">
        <v>3</v>
      </c>
      <c r="AH278">
        <v>9</v>
      </c>
      <c r="AI278">
        <v>5</v>
      </c>
      <c r="AJ278">
        <v>4</v>
      </c>
      <c r="AK278" t="s">
        <v>2699</v>
      </c>
      <c r="AL278" t="s">
        <v>2700</v>
      </c>
      <c r="AM278" t="s">
        <v>2701</v>
      </c>
      <c r="AN278" t="s">
        <v>2702</v>
      </c>
      <c r="AO278" t="s">
        <v>2703</v>
      </c>
      <c r="AP278" t="s">
        <v>2704</v>
      </c>
      <c r="AQ278" t="s">
        <v>263</v>
      </c>
      <c r="AR278" t="s">
        <v>2705</v>
      </c>
      <c r="AS278" t="s">
        <v>2706</v>
      </c>
    </row>
    <row r="279" spans="1:45" x14ac:dyDescent="0.45">
      <c r="A279">
        <v>278</v>
      </c>
      <c r="B279">
        <v>12622</v>
      </c>
      <c r="C279" t="s">
        <v>72</v>
      </c>
      <c r="D279" t="s">
        <v>73</v>
      </c>
      <c r="E279" t="s">
        <v>74</v>
      </c>
      <c r="F279" t="s">
        <v>77</v>
      </c>
      <c r="G279" t="s">
        <v>76</v>
      </c>
      <c r="H279">
        <v>63.196717756684855</v>
      </c>
      <c r="I279">
        <v>3</v>
      </c>
      <c r="J279">
        <v>8</v>
      </c>
      <c r="K279">
        <v>6</v>
      </c>
      <c r="L279">
        <v>2</v>
      </c>
      <c r="M279">
        <v>7</v>
      </c>
      <c r="N279">
        <v>7</v>
      </c>
      <c r="O279">
        <v>0</v>
      </c>
      <c r="P279">
        <v>6</v>
      </c>
      <c r="Q279">
        <v>5</v>
      </c>
      <c r="R279">
        <v>1</v>
      </c>
      <c r="S279">
        <v>9</v>
      </c>
      <c r="T279">
        <v>7</v>
      </c>
      <c r="U279">
        <v>2</v>
      </c>
      <c r="V279">
        <v>8</v>
      </c>
      <c r="W279">
        <v>6</v>
      </c>
      <c r="X279">
        <v>2</v>
      </c>
      <c r="Y279">
        <v>9</v>
      </c>
      <c r="Z279">
        <v>6</v>
      </c>
      <c r="AA279">
        <v>3</v>
      </c>
      <c r="AB279">
        <v>7</v>
      </c>
      <c r="AC279">
        <v>6</v>
      </c>
      <c r="AD279">
        <v>1</v>
      </c>
      <c r="AE279">
        <v>8</v>
      </c>
      <c r="AF279">
        <v>6</v>
      </c>
      <c r="AG279">
        <v>2</v>
      </c>
      <c r="AH279">
        <v>9</v>
      </c>
      <c r="AI279">
        <v>6</v>
      </c>
      <c r="AJ279">
        <v>3</v>
      </c>
      <c r="AK279" t="s">
        <v>2707</v>
      </c>
      <c r="AL279" t="s">
        <v>2708</v>
      </c>
      <c r="AM279" t="s">
        <v>2709</v>
      </c>
      <c r="AN279" t="s">
        <v>2710</v>
      </c>
      <c r="AO279" t="s">
        <v>2711</v>
      </c>
      <c r="AP279" t="s">
        <v>2712</v>
      </c>
      <c r="AQ279" t="s">
        <v>2713</v>
      </c>
      <c r="AR279" t="s">
        <v>2714</v>
      </c>
      <c r="AS279" t="s">
        <v>2715</v>
      </c>
    </row>
    <row r="280" spans="1:45" x14ac:dyDescent="0.45">
      <c r="A280">
        <v>279</v>
      </c>
      <c r="B280">
        <v>12623</v>
      </c>
      <c r="C280" t="s">
        <v>78</v>
      </c>
      <c r="D280" t="s">
        <v>73</v>
      </c>
      <c r="E280" t="s">
        <v>74</v>
      </c>
      <c r="F280" t="s">
        <v>75</v>
      </c>
      <c r="G280" t="s">
        <v>162</v>
      </c>
      <c r="H280">
        <v>82.146160335976077</v>
      </c>
      <c r="I280">
        <v>0</v>
      </c>
      <c r="J280">
        <v>7</v>
      </c>
      <c r="K280">
        <v>6</v>
      </c>
      <c r="L280">
        <v>1</v>
      </c>
      <c r="M280">
        <v>6</v>
      </c>
      <c r="N280">
        <v>7</v>
      </c>
      <c r="O280">
        <v>-1</v>
      </c>
      <c r="P280">
        <v>9</v>
      </c>
      <c r="Q280">
        <v>5</v>
      </c>
      <c r="R280">
        <v>4</v>
      </c>
      <c r="S280">
        <v>8</v>
      </c>
      <c r="T280">
        <v>8</v>
      </c>
      <c r="U280">
        <v>0</v>
      </c>
      <c r="V280">
        <v>7</v>
      </c>
      <c r="W280">
        <v>6</v>
      </c>
      <c r="X280">
        <v>1</v>
      </c>
      <c r="Y280">
        <v>9</v>
      </c>
      <c r="Z280">
        <v>3</v>
      </c>
      <c r="AA280">
        <v>6</v>
      </c>
      <c r="AB280">
        <v>7</v>
      </c>
      <c r="AC280">
        <v>6</v>
      </c>
      <c r="AD280">
        <v>1</v>
      </c>
      <c r="AE280">
        <v>6</v>
      </c>
      <c r="AF280">
        <v>8</v>
      </c>
      <c r="AG280">
        <v>-2</v>
      </c>
      <c r="AH280">
        <v>8</v>
      </c>
      <c r="AI280">
        <v>6</v>
      </c>
      <c r="AJ280">
        <v>2</v>
      </c>
      <c r="AK280" t="s">
        <v>2716</v>
      </c>
      <c r="AL280" t="s">
        <v>2717</v>
      </c>
      <c r="AM280" t="s">
        <v>2718</v>
      </c>
      <c r="AN280" t="s">
        <v>2719</v>
      </c>
      <c r="AO280" t="s">
        <v>2720</v>
      </c>
      <c r="AP280" t="s">
        <v>2721</v>
      </c>
      <c r="AQ280" t="s">
        <v>2722</v>
      </c>
      <c r="AR280" t="s">
        <v>2723</v>
      </c>
      <c r="AS280" t="s">
        <v>2724</v>
      </c>
    </row>
    <row r="281" spans="1:45" x14ac:dyDescent="0.45">
      <c r="A281">
        <v>280</v>
      </c>
      <c r="B281">
        <v>12624</v>
      </c>
      <c r="C281" t="s">
        <v>72</v>
      </c>
      <c r="D281" t="s">
        <v>73</v>
      </c>
      <c r="E281" t="s">
        <v>74</v>
      </c>
      <c r="F281" t="s">
        <v>75</v>
      </c>
      <c r="G281" t="s">
        <v>76</v>
      </c>
      <c r="H281">
        <v>70.772828588128235</v>
      </c>
      <c r="I281">
        <v>2</v>
      </c>
      <c r="J281">
        <v>7</v>
      </c>
      <c r="K281">
        <v>4</v>
      </c>
      <c r="L281">
        <v>3</v>
      </c>
      <c r="M281">
        <v>8</v>
      </c>
      <c r="N281">
        <v>4</v>
      </c>
      <c r="O281">
        <v>4</v>
      </c>
      <c r="P281">
        <v>6</v>
      </c>
      <c r="Q281">
        <v>1</v>
      </c>
      <c r="R281">
        <v>5</v>
      </c>
      <c r="S281">
        <v>9</v>
      </c>
      <c r="T281">
        <v>6</v>
      </c>
      <c r="U281">
        <v>3</v>
      </c>
      <c r="V281">
        <v>7</v>
      </c>
      <c r="W281">
        <v>3</v>
      </c>
      <c r="X281">
        <v>4</v>
      </c>
      <c r="Y281">
        <v>9</v>
      </c>
      <c r="Z281">
        <v>2</v>
      </c>
      <c r="AA281">
        <v>7</v>
      </c>
      <c r="AB281">
        <v>8</v>
      </c>
      <c r="AC281">
        <v>1</v>
      </c>
      <c r="AD281">
        <v>7</v>
      </c>
      <c r="AE281">
        <v>7</v>
      </c>
      <c r="AF281">
        <v>5</v>
      </c>
      <c r="AG281">
        <v>2</v>
      </c>
      <c r="AH281">
        <v>9</v>
      </c>
      <c r="AI281">
        <v>4</v>
      </c>
      <c r="AJ281">
        <v>5</v>
      </c>
      <c r="AK281" t="s">
        <v>2725</v>
      </c>
      <c r="AL281" t="s">
        <v>2726</v>
      </c>
      <c r="AM281" t="s">
        <v>2727</v>
      </c>
      <c r="AN281" t="s">
        <v>2728</v>
      </c>
      <c r="AO281" t="s">
        <v>2729</v>
      </c>
      <c r="AP281" t="s">
        <v>2730</v>
      </c>
      <c r="AQ281" t="s">
        <v>2731</v>
      </c>
      <c r="AR281" t="s">
        <v>2732</v>
      </c>
      <c r="AS281" t="s">
        <v>2733</v>
      </c>
    </row>
    <row r="282" spans="1:45" x14ac:dyDescent="0.45">
      <c r="A282">
        <v>281</v>
      </c>
      <c r="B282">
        <v>12625</v>
      </c>
      <c r="C282" t="s">
        <v>72</v>
      </c>
      <c r="D282" t="s">
        <v>79</v>
      </c>
      <c r="E282" t="s">
        <v>74</v>
      </c>
      <c r="F282" t="s">
        <v>75</v>
      </c>
      <c r="G282" t="s">
        <v>76</v>
      </c>
      <c r="H282">
        <v>96.872665591889103</v>
      </c>
      <c r="I282">
        <v>3</v>
      </c>
      <c r="J282">
        <v>8</v>
      </c>
      <c r="K282">
        <v>6</v>
      </c>
      <c r="L282">
        <v>2</v>
      </c>
      <c r="M282">
        <v>9</v>
      </c>
      <c r="N282">
        <v>7</v>
      </c>
      <c r="O282">
        <v>2</v>
      </c>
      <c r="P282">
        <v>8</v>
      </c>
      <c r="Q282">
        <v>4</v>
      </c>
      <c r="R282">
        <v>4</v>
      </c>
      <c r="S282">
        <v>9</v>
      </c>
      <c r="T282">
        <v>8</v>
      </c>
      <c r="U282">
        <v>1</v>
      </c>
      <c r="V282">
        <v>8</v>
      </c>
      <c r="W282">
        <v>6</v>
      </c>
      <c r="X282">
        <v>2</v>
      </c>
      <c r="Y282">
        <v>9</v>
      </c>
      <c r="Z282">
        <v>6</v>
      </c>
      <c r="AA282">
        <v>3</v>
      </c>
      <c r="AB282">
        <v>8</v>
      </c>
      <c r="AC282">
        <v>5</v>
      </c>
      <c r="AD282">
        <v>3</v>
      </c>
      <c r="AE282">
        <v>9</v>
      </c>
      <c r="AF282">
        <v>7</v>
      </c>
      <c r="AG282">
        <v>2</v>
      </c>
      <c r="AH282">
        <v>8</v>
      </c>
      <c r="AI282">
        <v>6</v>
      </c>
      <c r="AJ282">
        <v>2</v>
      </c>
      <c r="AK282" t="s">
        <v>2734</v>
      </c>
      <c r="AL282" t="s">
        <v>2735</v>
      </c>
      <c r="AM282" t="s">
        <v>2736</v>
      </c>
      <c r="AN282" t="s">
        <v>2737</v>
      </c>
      <c r="AO282" t="s">
        <v>2738</v>
      </c>
      <c r="AP282" t="s">
        <v>2739</v>
      </c>
      <c r="AQ282" t="s">
        <v>2740</v>
      </c>
      <c r="AR282" t="s">
        <v>2741</v>
      </c>
      <c r="AS282" t="s">
        <v>2742</v>
      </c>
    </row>
    <row r="283" spans="1:45" x14ac:dyDescent="0.45">
      <c r="A283">
        <v>282</v>
      </c>
      <c r="B283">
        <v>12626</v>
      </c>
      <c r="C283" t="s">
        <v>72</v>
      </c>
      <c r="D283" t="s">
        <v>193</v>
      </c>
      <c r="E283" t="s">
        <v>74</v>
      </c>
      <c r="F283" t="s">
        <v>75</v>
      </c>
      <c r="G283" t="s">
        <v>76</v>
      </c>
      <c r="H283">
        <v>220.3058166118995</v>
      </c>
      <c r="I283">
        <v>4</v>
      </c>
      <c r="J283">
        <v>7</v>
      </c>
      <c r="K283">
        <v>8</v>
      </c>
      <c r="L283">
        <v>-1</v>
      </c>
      <c r="M283">
        <v>8</v>
      </c>
      <c r="N283">
        <v>8</v>
      </c>
      <c r="O283">
        <v>0</v>
      </c>
      <c r="P283">
        <v>9</v>
      </c>
      <c r="Q283">
        <v>9</v>
      </c>
      <c r="R283">
        <v>0</v>
      </c>
      <c r="S283">
        <v>8</v>
      </c>
      <c r="T283">
        <v>9</v>
      </c>
      <c r="U283">
        <v>-1</v>
      </c>
      <c r="V283">
        <v>6</v>
      </c>
      <c r="W283">
        <v>7</v>
      </c>
      <c r="X283">
        <v>-1</v>
      </c>
      <c r="Y283">
        <v>7</v>
      </c>
      <c r="Z283">
        <v>8</v>
      </c>
      <c r="AA283">
        <v>-1</v>
      </c>
      <c r="AB283">
        <v>6</v>
      </c>
      <c r="AC283">
        <v>8</v>
      </c>
      <c r="AD283">
        <v>-2</v>
      </c>
      <c r="AE283">
        <v>5</v>
      </c>
      <c r="AF283">
        <v>8</v>
      </c>
      <c r="AG283">
        <v>-3</v>
      </c>
      <c r="AH283">
        <v>8</v>
      </c>
      <c r="AI283">
        <v>7</v>
      </c>
      <c r="AJ283">
        <v>1</v>
      </c>
      <c r="AK283" t="s">
        <v>2743</v>
      </c>
      <c r="AL283" t="s">
        <v>2744</v>
      </c>
      <c r="AM283" t="s">
        <v>2745</v>
      </c>
      <c r="AN283" t="s">
        <v>2746</v>
      </c>
      <c r="AO283" t="s">
        <v>2747</v>
      </c>
      <c r="AP283" t="s">
        <v>2748</v>
      </c>
      <c r="AQ283" t="s">
        <v>2749</v>
      </c>
      <c r="AR283" t="s">
        <v>2750</v>
      </c>
      <c r="AS283" t="s">
        <v>2751</v>
      </c>
    </row>
    <row r="284" spans="1:45" x14ac:dyDescent="0.45">
      <c r="A284">
        <v>283</v>
      </c>
      <c r="B284">
        <v>12627</v>
      </c>
      <c r="C284" t="s">
        <v>72</v>
      </c>
      <c r="D284" t="s">
        <v>79</v>
      </c>
      <c r="E284" t="s">
        <v>74</v>
      </c>
      <c r="F284" t="s">
        <v>77</v>
      </c>
      <c r="G284" t="s">
        <v>76</v>
      </c>
      <c r="H284">
        <v>67.215088829980886</v>
      </c>
      <c r="I284">
        <v>2</v>
      </c>
      <c r="J284">
        <v>9</v>
      </c>
      <c r="K284">
        <v>5</v>
      </c>
      <c r="L284">
        <v>4</v>
      </c>
      <c r="M284">
        <v>8</v>
      </c>
      <c r="N284">
        <v>5</v>
      </c>
      <c r="O284">
        <v>3</v>
      </c>
      <c r="P284">
        <v>9</v>
      </c>
      <c r="Q284">
        <v>2</v>
      </c>
      <c r="R284">
        <v>7</v>
      </c>
      <c r="S284">
        <v>8</v>
      </c>
      <c r="T284">
        <v>6</v>
      </c>
      <c r="U284">
        <v>2</v>
      </c>
      <c r="V284">
        <v>9</v>
      </c>
      <c r="W284">
        <v>5</v>
      </c>
      <c r="X284">
        <v>4</v>
      </c>
      <c r="Y284">
        <v>8</v>
      </c>
      <c r="Z284">
        <v>4</v>
      </c>
      <c r="AA284">
        <v>4</v>
      </c>
      <c r="AB284">
        <v>9</v>
      </c>
      <c r="AC284">
        <v>5</v>
      </c>
      <c r="AD284">
        <v>4</v>
      </c>
      <c r="AE284">
        <v>8</v>
      </c>
      <c r="AF284">
        <v>5</v>
      </c>
      <c r="AG284">
        <v>3</v>
      </c>
      <c r="AH284">
        <v>9</v>
      </c>
      <c r="AI284">
        <v>4</v>
      </c>
      <c r="AJ284">
        <v>5</v>
      </c>
      <c r="AK284" t="s">
        <v>2752</v>
      </c>
      <c r="AL284" t="s">
        <v>2753</v>
      </c>
      <c r="AM284" t="s">
        <v>2754</v>
      </c>
      <c r="AN284" t="s">
        <v>2755</v>
      </c>
      <c r="AO284" t="s">
        <v>2756</v>
      </c>
      <c r="AP284" t="s">
        <v>2757</v>
      </c>
      <c r="AQ284" t="s">
        <v>2758</v>
      </c>
      <c r="AR284" t="s">
        <v>254</v>
      </c>
      <c r="AS284" t="s">
        <v>2759</v>
      </c>
    </row>
    <row r="285" spans="1:45" x14ac:dyDescent="0.45">
      <c r="A285">
        <v>284</v>
      </c>
      <c r="B285">
        <v>12628</v>
      </c>
      <c r="C285" t="s">
        <v>78</v>
      </c>
      <c r="D285" t="s">
        <v>73</v>
      </c>
      <c r="E285" t="s">
        <v>74</v>
      </c>
      <c r="F285" t="s">
        <v>77</v>
      </c>
      <c r="G285" t="s">
        <v>76</v>
      </c>
      <c r="H285">
        <v>57.766302457784683</v>
      </c>
      <c r="I285">
        <v>2</v>
      </c>
      <c r="J285">
        <v>7</v>
      </c>
      <c r="K285">
        <v>7</v>
      </c>
      <c r="L285">
        <v>0</v>
      </c>
      <c r="M285">
        <v>6</v>
      </c>
      <c r="N285">
        <v>7</v>
      </c>
      <c r="O285">
        <v>-1</v>
      </c>
      <c r="P285">
        <v>8</v>
      </c>
      <c r="Q285">
        <v>5</v>
      </c>
      <c r="R285">
        <v>3</v>
      </c>
      <c r="S285">
        <v>9</v>
      </c>
      <c r="T285">
        <v>7</v>
      </c>
      <c r="U285">
        <v>2</v>
      </c>
      <c r="V285">
        <v>8</v>
      </c>
      <c r="W285">
        <v>5</v>
      </c>
      <c r="X285">
        <v>3</v>
      </c>
      <c r="Y285">
        <v>9</v>
      </c>
      <c r="Z285">
        <v>6</v>
      </c>
      <c r="AA285">
        <v>3</v>
      </c>
      <c r="AB285">
        <v>8</v>
      </c>
      <c r="AC285">
        <v>5</v>
      </c>
      <c r="AD285">
        <v>3</v>
      </c>
      <c r="AE285">
        <v>9</v>
      </c>
      <c r="AF285">
        <v>7</v>
      </c>
      <c r="AG285">
        <v>2</v>
      </c>
      <c r="AH285">
        <v>8</v>
      </c>
      <c r="AI285">
        <v>6</v>
      </c>
      <c r="AJ285">
        <v>2</v>
      </c>
      <c r="AK285" t="s">
        <v>2760</v>
      </c>
      <c r="AL285" t="s">
        <v>2761</v>
      </c>
      <c r="AM285" t="s">
        <v>2762</v>
      </c>
      <c r="AN285" t="s">
        <v>2763</v>
      </c>
      <c r="AO285" t="s">
        <v>2764</v>
      </c>
      <c r="AP285" t="s">
        <v>2765</v>
      </c>
      <c r="AQ285" t="s">
        <v>2766</v>
      </c>
      <c r="AR285" t="s">
        <v>2767</v>
      </c>
      <c r="AS285" t="s">
        <v>2768</v>
      </c>
    </row>
    <row r="286" spans="1:45" x14ac:dyDescent="0.45">
      <c r="A286">
        <v>285</v>
      </c>
      <c r="B286">
        <v>12629</v>
      </c>
      <c r="C286" t="s">
        <v>78</v>
      </c>
      <c r="D286" t="s">
        <v>191</v>
      </c>
      <c r="E286" t="s">
        <v>74</v>
      </c>
      <c r="F286" t="s">
        <v>77</v>
      </c>
      <c r="G286" t="s">
        <v>76</v>
      </c>
      <c r="H286">
        <v>99.46031303063414</v>
      </c>
      <c r="I286">
        <v>3</v>
      </c>
      <c r="J286">
        <v>6</v>
      </c>
      <c r="K286">
        <v>7</v>
      </c>
      <c r="L286">
        <v>-1</v>
      </c>
      <c r="M286">
        <v>5</v>
      </c>
      <c r="N286">
        <v>7</v>
      </c>
      <c r="O286">
        <v>-2</v>
      </c>
      <c r="P286">
        <v>8</v>
      </c>
      <c r="Q286">
        <v>5</v>
      </c>
      <c r="R286">
        <v>3</v>
      </c>
      <c r="S286">
        <v>9</v>
      </c>
      <c r="T286">
        <v>8</v>
      </c>
      <c r="U286">
        <v>1</v>
      </c>
      <c r="V286">
        <v>7</v>
      </c>
      <c r="W286">
        <v>6</v>
      </c>
      <c r="X286">
        <v>1</v>
      </c>
      <c r="Y286">
        <v>9</v>
      </c>
      <c r="Z286">
        <v>6</v>
      </c>
      <c r="AA286">
        <v>3</v>
      </c>
      <c r="AB286">
        <v>8</v>
      </c>
      <c r="AC286">
        <v>6</v>
      </c>
      <c r="AD286">
        <v>2</v>
      </c>
      <c r="AE286">
        <v>7</v>
      </c>
      <c r="AF286">
        <v>7</v>
      </c>
      <c r="AG286">
        <v>0</v>
      </c>
      <c r="AH286">
        <v>8</v>
      </c>
      <c r="AI286">
        <v>7</v>
      </c>
      <c r="AJ286">
        <v>1</v>
      </c>
      <c r="AK286" t="s">
        <v>2769</v>
      </c>
      <c r="AL286" t="s">
        <v>2770</v>
      </c>
      <c r="AM286" t="s">
        <v>2533</v>
      </c>
      <c r="AN286" t="s">
        <v>2771</v>
      </c>
      <c r="AO286" t="s">
        <v>2772</v>
      </c>
      <c r="AP286" t="s">
        <v>2773</v>
      </c>
      <c r="AQ286" t="s">
        <v>82</v>
      </c>
      <c r="AR286" t="s">
        <v>2774</v>
      </c>
      <c r="AS286" t="s">
        <v>2775</v>
      </c>
    </row>
    <row r="287" spans="1:45" x14ac:dyDescent="0.45">
      <c r="A287">
        <v>286</v>
      </c>
      <c r="B287">
        <v>12630</v>
      </c>
      <c r="C287" t="s">
        <v>72</v>
      </c>
      <c r="D287" t="s">
        <v>73</v>
      </c>
      <c r="E287" t="s">
        <v>74</v>
      </c>
      <c r="F287" t="s">
        <v>77</v>
      </c>
      <c r="G287" t="s">
        <v>76</v>
      </c>
      <c r="H287">
        <v>40.982443905549381</v>
      </c>
      <c r="I287">
        <v>0</v>
      </c>
      <c r="J287">
        <v>8</v>
      </c>
      <c r="K287">
        <v>4</v>
      </c>
      <c r="L287">
        <v>4</v>
      </c>
      <c r="M287">
        <v>7</v>
      </c>
      <c r="N287">
        <v>4</v>
      </c>
      <c r="O287">
        <v>3</v>
      </c>
      <c r="P287">
        <v>6</v>
      </c>
      <c r="Q287">
        <v>2</v>
      </c>
      <c r="R287">
        <v>4</v>
      </c>
      <c r="S287">
        <v>8</v>
      </c>
      <c r="T287">
        <v>8</v>
      </c>
      <c r="U287">
        <v>0</v>
      </c>
      <c r="V287">
        <v>7</v>
      </c>
      <c r="W287">
        <v>5</v>
      </c>
      <c r="X287">
        <v>2</v>
      </c>
      <c r="Y287">
        <v>9</v>
      </c>
      <c r="Z287">
        <v>5</v>
      </c>
      <c r="AA287">
        <v>4</v>
      </c>
      <c r="AB287">
        <v>7</v>
      </c>
      <c r="AC287">
        <v>4</v>
      </c>
      <c r="AD287">
        <v>3</v>
      </c>
      <c r="AE287">
        <v>6</v>
      </c>
      <c r="AF287">
        <v>6</v>
      </c>
      <c r="AG287">
        <v>0</v>
      </c>
      <c r="AH287">
        <v>8</v>
      </c>
      <c r="AI287">
        <v>5</v>
      </c>
      <c r="AJ287">
        <v>3</v>
      </c>
      <c r="AK287" t="s">
        <v>2776</v>
      </c>
      <c r="AL287" t="s">
        <v>2777</v>
      </c>
      <c r="AM287" t="s">
        <v>2778</v>
      </c>
      <c r="AN287" t="s">
        <v>2779</v>
      </c>
      <c r="AO287" t="s">
        <v>2780</v>
      </c>
      <c r="AP287" t="s">
        <v>2781</v>
      </c>
      <c r="AQ287" t="s">
        <v>2782</v>
      </c>
      <c r="AR287" t="s">
        <v>2783</v>
      </c>
      <c r="AS287" t="s">
        <v>2784</v>
      </c>
    </row>
    <row r="288" spans="1:45" x14ac:dyDescent="0.45">
      <c r="A288">
        <v>287</v>
      </c>
      <c r="B288">
        <v>12631</v>
      </c>
      <c r="C288" t="s">
        <v>72</v>
      </c>
      <c r="D288" t="s">
        <v>191</v>
      </c>
      <c r="E288" t="s">
        <v>74</v>
      </c>
      <c r="F288" t="s">
        <v>77</v>
      </c>
      <c r="G288" t="s">
        <v>76</v>
      </c>
      <c r="H288">
        <v>67.014852647140088</v>
      </c>
      <c r="I288">
        <v>4</v>
      </c>
      <c r="J288">
        <v>7</v>
      </c>
      <c r="K288">
        <v>10</v>
      </c>
      <c r="L288">
        <v>-3</v>
      </c>
      <c r="M288">
        <v>8</v>
      </c>
      <c r="N288">
        <v>10</v>
      </c>
      <c r="O288">
        <v>-2</v>
      </c>
      <c r="P288">
        <v>9</v>
      </c>
      <c r="Q288">
        <v>7</v>
      </c>
      <c r="R288">
        <v>2</v>
      </c>
      <c r="S288">
        <v>8</v>
      </c>
      <c r="T288">
        <v>7</v>
      </c>
      <c r="U288">
        <v>1</v>
      </c>
      <c r="V288">
        <v>9</v>
      </c>
      <c r="W288">
        <v>8</v>
      </c>
      <c r="X288">
        <v>1</v>
      </c>
      <c r="Y288">
        <v>8</v>
      </c>
      <c r="Z288">
        <v>7</v>
      </c>
      <c r="AA288">
        <v>1</v>
      </c>
      <c r="AB288">
        <v>7</v>
      </c>
      <c r="AC288">
        <v>8</v>
      </c>
      <c r="AD288">
        <v>-1</v>
      </c>
      <c r="AE288">
        <v>9</v>
      </c>
      <c r="AF288">
        <v>8</v>
      </c>
      <c r="AG288">
        <v>1</v>
      </c>
      <c r="AH288">
        <v>8</v>
      </c>
      <c r="AI288">
        <v>8</v>
      </c>
      <c r="AJ288">
        <v>0</v>
      </c>
      <c r="AK288" t="s">
        <v>2785</v>
      </c>
      <c r="AL288" t="s">
        <v>2786</v>
      </c>
      <c r="AM288" t="s">
        <v>2787</v>
      </c>
      <c r="AN288" t="s">
        <v>2788</v>
      </c>
      <c r="AO288" t="s">
        <v>2789</v>
      </c>
      <c r="AP288" t="s">
        <v>2790</v>
      </c>
      <c r="AQ288" t="s">
        <v>2791</v>
      </c>
      <c r="AR288" t="s">
        <v>2792</v>
      </c>
      <c r="AS288" t="s">
        <v>2793</v>
      </c>
    </row>
    <row r="289" spans="1:45" x14ac:dyDescent="0.45">
      <c r="A289">
        <v>288</v>
      </c>
      <c r="B289">
        <v>12632</v>
      </c>
      <c r="C289" t="s">
        <v>78</v>
      </c>
      <c r="D289" t="s">
        <v>81</v>
      </c>
      <c r="E289" t="s">
        <v>74</v>
      </c>
      <c r="F289" t="s">
        <v>77</v>
      </c>
      <c r="G289" t="s">
        <v>76</v>
      </c>
      <c r="H289">
        <v>25.773509379703359</v>
      </c>
      <c r="I289">
        <v>0</v>
      </c>
      <c r="J289">
        <v>7</v>
      </c>
      <c r="K289">
        <v>8</v>
      </c>
      <c r="L289">
        <v>-1</v>
      </c>
      <c r="M289">
        <v>6</v>
      </c>
      <c r="N289">
        <v>8</v>
      </c>
      <c r="O289">
        <v>-2</v>
      </c>
      <c r="P289">
        <v>8</v>
      </c>
      <c r="Q289">
        <v>5</v>
      </c>
      <c r="R289">
        <v>3</v>
      </c>
      <c r="S289">
        <v>9</v>
      </c>
      <c r="T289">
        <v>9</v>
      </c>
      <c r="U289">
        <v>0</v>
      </c>
      <c r="V289">
        <v>7</v>
      </c>
      <c r="W289">
        <v>10</v>
      </c>
      <c r="X289">
        <v>-3</v>
      </c>
      <c r="Y289">
        <v>9</v>
      </c>
      <c r="Z289">
        <v>10</v>
      </c>
      <c r="AA289">
        <v>-1</v>
      </c>
      <c r="AB289">
        <v>7</v>
      </c>
      <c r="AC289">
        <v>9</v>
      </c>
      <c r="AD289">
        <v>-2</v>
      </c>
      <c r="AE289">
        <v>8</v>
      </c>
      <c r="AF289">
        <v>9</v>
      </c>
      <c r="AG289">
        <v>-1</v>
      </c>
      <c r="AH289">
        <v>8</v>
      </c>
      <c r="AI289">
        <v>10</v>
      </c>
      <c r="AJ289">
        <v>-2</v>
      </c>
      <c r="AK289" t="s">
        <v>2794</v>
      </c>
      <c r="AL289" t="s">
        <v>2795</v>
      </c>
      <c r="AM289" t="s">
        <v>2796</v>
      </c>
      <c r="AN289" t="s">
        <v>2797</v>
      </c>
      <c r="AO289" t="s">
        <v>2798</v>
      </c>
      <c r="AP289" t="s">
        <v>2799</v>
      </c>
      <c r="AQ289" t="s">
        <v>2800</v>
      </c>
      <c r="AR289" t="s">
        <v>2801</v>
      </c>
      <c r="AS289" t="s">
        <v>2802</v>
      </c>
    </row>
    <row r="290" spans="1:45" x14ac:dyDescent="0.45">
      <c r="A290">
        <v>289</v>
      </c>
      <c r="B290">
        <v>12633</v>
      </c>
      <c r="C290" t="s">
        <v>72</v>
      </c>
      <c r="D290" t="s">
        <v>73</v>
      </c>
      <c r="E290" t="s">
        <v>74</v>
      </c>
      <c r="F290" t="s">
        <v>190</v>
      </c>
      <c r="G290" t="s">
        <v>76</v>
      </c>
      <c r="H290">
        <v>29.79743673042605</v>
      </c>
      <c r="I290">
        <v>1</v>
      </c>
      <c r="J290">
        <v>7</v>
      </c>
      <c r="K290">
        <v>7</v>
      </c>
      <c r="L290">
        <v>0</v>
      </c>
      <c r="M290">
        <v>8</v>
      </c>
      <c r="N290">
        <v>7</v>
      </c>
      <c r="O290">
        <v>1</v>
      </c>
      <c r="P290">
        <v>7</v>
      </c>
      <c r="Q290">
        <v>5</v>
      </c>
      <c r="R290">
        <v>2</v>
      </c>
      <c r="S290">
        <v>9</v>
      </c>
      <c r="T290">
        <v>6</v>
      </c>
      <c r="U290">
        <v>3</v>
      </c>
      <c r="V290">
        <v>8</v>
      </c>
      <c r="W290">
        <v>5</v>
      </c>
      <c r="X290">
        <v>3</v>
      </c>
      <c r="Y290">
        <v>9</v>
      </c>
      <c r="Z290">
        <v>5</v>
      </c>
      <c r="AA290">
        <v>4</v>
      </c>
      <c r="AB290">
        <v>8</v>
      </c>
      <c r="AC290">
        <v>5</v>
      </c>
      <c r="AD290">
        <v>3</v>
      </c>
      <c r="AE290">
        <v>7</v>
      </c>
      <c r="AF290">
        <v>5</v>
      </c>
      <c r="AG290">
        <v>2</v>
      </c>
      <c r="AH290">
        <v>9</v>
      </c>
      <c r="AI290">
        <v>6</v>
      </c>
      <c r="AJ290">
        <v>3</v>
      </c>
      <c r="AK290" t="s">
        <v>2803</v>
      </c>
      <c r="AL290" t="s">
        <v>2804</v>
      </c>
      <c r="AM290" t="s">
        <v>2805</v>
      </c>
      <c r="AN290" t="s">
        <v>2806</v>
      </c>
      <c r="AO290" t="s">
        <v>2807</v>
      </c>
      <c r="AP290" t="s">
        <v>2808</v>
      </c>
      <c r="AQ290" t="s">
        <v>2809</v>
      </c>
      <c r="AR290" t="s">
        <v>2810</v>
      </c>
      <c r="AS290" t="s">
        <v>2811</v>
      </c>
    </row>
    <row r="291" spans="1:45" x14ac:dyDescent="0.45">
      <c r="A291">
        <v>290</v>
      </c>
      <c r="B291">
        <v>12634</v>
      </c>
      <c r="C291" t="s">
        <v>78</v>
      </c>
      <c r="D291" t="s">
        <v>73</v>
      </c>
      <c r="E291" t="s">
        <v>74</v>
      </c>
      <c r="F291" t="s">
        <v>77</v>
      </c>
      <c r="G291" t="s">
        <v>76</v>
      </c>
      <c r="H291">
        <v>45.104991096016889</v>
      </c>
      <c r="I291">
        <v>2</v>
      </c>
      <c r="J291">
        <v>7</v>
      </c>
      <c r="K291">
        <v>8</v>
      </c>
      <c r="L291">
        <v>-1</v>
      </c>
      <c r="M291">
        <v>6</v>
      </c>
      <c r="N291">
        <v>8</v>
      </c>
      <c r="O291">
        <v>-2</v>
      </c>
      <c r="P291">
        <v>9</v>
      </c>
      <c r="Q291">
        <v>8</v>
      </c>
      <c r="R291">
        <v>1</v>
      </c>
      <c r="S291">
        <v>8</v>
      </c>
      <c r="T291">
        <v>8</v>
      </c>
      <c r="U291">
        <v>0</v>
      </c>
      <c r="V291">
        <v>7</v>
      </c>
      <c r="W291">
        <v>8</v>
      </c>
      <c r="X291">
        <v>-1</v>
      </c>
      <c r="Y291">
        <v>9</v>
      </c>
      <c r="Z291">
        <v>8</v>
      </c>
      <c r="AA291">
        <v>1</v>
      </c>
      <c r="AB291">
        <v>7</v>
      </c>
      <c r="AC291">
        <v>8</v>
      </c>
      <c r="AD291">
        <v>-1</v>
      </c>
      <c r="AE291">
        <v>8</v>
      </c>
      <c r="AF291">
        <v>8</v>
      </c>
      <c r="AG291">
        <v>0</v>
      </c>
      <c r="AH291">
        <v>9</v>
      </c>
      <c r="AI291">
        <v>8</v>
      </c>
      <c r="AJ291">
        <v>1</v>
      </c>
      <c r="AK291" t="s">
        <v>2812</v>
      </c>
      <c r="AL291" t="s">
        <v>2813</v>
      </c>
      <c r="AM291" t="s">
        <v>2814</v>
      </c>
      <c r="AN291" t="s">
        <v>2815</v>
      </c>
      <c r="AO291" t="s">
        <v>2816</v>
      </c>
      <c r="AP291" t="s">
        <v>2817</v>
      </c>
      <c r="AQ291" t="s">
        <v>2818</v>
      </c>
      <c r="AR291" t="s">
        <v>2819</v>
      </c>
      <c r="AS291" t="s">
        <v>2820</v>
      </c>
    </row>
    <row r="292" spans="1:45" x14ac:dyDescent="0.45">
      <c r="A292">
        <v>291</v>
      </c>
      <c r="B292">
        <v>12635</v>
      </c>
      <c r="C292" t="s">
        <v>78</v>
      </c>
      <c r="D292" t="s">
        <v>81</v>
      </c>
      <c r="E292" t="s">
        <v>74</v>
      </c>
      <c r="F292" t="s">
        <v>77</v>
      </c>
      <c r="G292" t="s">
        <v>76</v>
      </c>
      <c r="H292">
        <v>61.339928034608413</v>
      </c>
      <c r="I292">
        <v>2</v>
      </c>
      <c r="J292">
        <v>7</v>
      </c>
      <c r="K292">
        <v>9</v>
      </c>
      <c r="L292">
        <v>-2</v>
      </c>
      <c r="M292">
        <v>8</v>
      </c>
      <c r="N292">
        <v>9</v>
      </c>
      <c r="O292">
        <v>-1</v>
      </c>
      <c r="P292">
        <v>9</v>
      </c>
      <c r="Q292">
        <v>3</v>
      </c>
      <c r="R292">
        <v>6</v>
      </c>
      <c r="S292">
        <v>9</v>
      </c>
      <c r="T292">
        <v>10</v>
      </c>
      <c r="U292">
        <v>-1</v>
      </c>
      <c r="V292">
        <v>6</v>
      </c>
      <c r="W292">
        <v>8</v>
      </c>
      <c r="X292">
        <v>-2</v>
      </c>
      <c r="Y292">
        <v>8</v>
      </c>
      <c r="Z292">
        <v>8</v>
      </c>
      <c r="AA292">
        <v>0</v>
      </c>
      <c r="AB292">
        <v>7</v>
      </c>
      <c r="AC292">
        <v>6</v>
      </c>
      <c r="AD292">
        <v>1</v>
      </c>
      <c r="AE292">
        <v>8</v>
      </c>
      <c r="AF292">
        <v>8</v>
      </c>
      <c r="AG292">
        <v>0</v>
      </c>
      <c r="AH292">
        <v>9</v>
      </c>
      <c r="AI292">
        <v>8</v>
      </c>
      <c r="AJ292">
        <v>1</v>
      </c>
      <c r="AK292" t="s">
        <v>2821</v>
      </c>
      <c r="AL292" t="s">
        <v>2822</v>
      </c>
      <c r="AM292" t="s">
        <v>2823</v>
      </c>
      <c r="AN292" t="s">
        <v>2824</v>
      </c>
      <c r="AO292" t="s">
        <v>2825</v>
      </c>
      <c r="AP292" t="s">
        <v>2826</v>
      </c>
      <c r="AQ292" t="s">
        <v>2827</v>
      </c>
      <c r="AR292" t="s">
        <v>2828</v>
      </c>
      <c r="AS292" t="s">
        <v>2829</v>
      </c>
    </row>
    <row r="293" spans="1:45" x14ac:dyDescent="0.45">
      <c r="A293">
        <v>292</v>
      </c>
      <c r="B293">
        <v>12636</v>
      </c>
      <c r="C293" t="s">
        <v>72</v>
      </c>
      <c r="D293" t="s">
        <v>193</v>
      </c>
      <c r="E293" t="s">
        <v>74</v>
      </c>
      <c r="F293" t="s">
        <v>75</v>
      </c>
      <c r="G293" t="s">
        <v>162</v>
      </c>
      <c r="H293">
        <v>51.316450442993485</v>
      </c>
      <c r="I293">
        <v>2</v>
      </c>
      <c r="J293">
        <v>8</v>
      </c>
      <c r="K293">
        <v>6</v>
      </c>
      <c r="L293">
        <v>2</v>
      </c>
      <c r="M293">
        <v>7</v>
      </c>
      <c r="N293">
        <v>6</v>
      </c>
      <c r="O293">
        <v>1</v>
      </c>
      <c r="P293">
        <v>9</v>
      </c>
      <c r="Q293">
        <v>1</v>
      </c>
      <c r="R293">
        <v>8</v>
      </c>
      <c r="S293">
        <v>8</v>
      </c>
      <c r="T293">
        <v>6</v>
      </c>
      <c r="U293">
        <v>2</v>
      </c>
      <c r="V293">
        <v>9</v>
      </c>
      <c r="W293">
        <v>5</v>
      </c>
      <c r="X293">
        <v>4</v>
      </c>
      <c r="Y293">
        <v>8</v>
      </c>
      <c r="Z293">
        <v>6</v>
      </c>
      <c r="AA293">
        <v>2</v>
      </c>
      <c r="AB293">
        <v>9</v>
      </c>
      <c r="AC293">
        <v>5</v>
      </c>
      <c r="AD293">
        <v>4</v>
      </c>
      <c r="AE293">
        <v>8</v>
      </c>
      <c r="AF293">
        <v>6</v>
      </c>
      <c r="AG293">
        <v>2</v>
      </c>
      <c r="AH293">
        <v>9</v>
      </c>
      <c r="AI293">
        <v>6</v>
      </c>
      <c r="AJ293">
        <v>3</v>
      </c>
      <c r="AK293" t="s">
        <v>2830</v>
      </c>
      <c r="AL293" t="s">
        <v>2831</v>
      </c>
      <c r="AM293" t="s">
        <v>2832</v>
      </c>
      <c r="AN293" t="s">
        <v>2833</v>
      </c>
      <c r="AO293" t="s">
        <v>2834</v>
      </c>
      <c r="AP293" t="s">
        <v>2835</v>
      </c>
      <c r="AQ293" t="s">
        <v>2836</v>
      </c>
      <c r="AR293" t="s">
        <v>2837</v>
      </c>
      <c r="AS293" t="s">
        <v>2838</v>
      </c>
    </row>
    <row r="294" spans="1:45" x14ac:dyDescent="0.45">
      <c r="A294">
        <v>293</v>
      </c>
      <c r="B294">
        <v>12637</v>
      </c>
      <c r="C294" t="s">
        <v>72</v>
      </c>
      <c r="D294" t="s">
        <v>81</v>
      </c>
      <c r="E294" t="s">
        <v>74</v>
      </c>
      <c r="F294" t="s">
        <v>77</v>
      </c>
      <c r="G294" t="s">
        <v>76</v>
      </c>
      <c r="H294">
        <v>36.76426561228746</v>
      </c>
      <c r="I294">
        <v>1</v>
      </c>
      <c r="J294">
        <v>7</v>
      </c>
      <c r="K294">
        <v>8</v>
      </c>
      <c r="L294">
        <v>-1</v>
      </c>
      <c r="M294">
        <v>8</v>
      </c>
      <c r="N294">
        <v>8</v>
      </c>
      <c r="O294">
        <v>0</v>
      </c>
      <c r="P294">
        <v>7</v>
      </c>
      <c r="Q294">
        <v>5</v>
      </c>
      <c r="R294">
        <v>2</v>
      </c>
      <c r="S294">
        <v>9</v>
      </c>
      <c r="T294">
        <v>8</v>
      </c>
      <c r="U294">
        <v>1</v>
      </c>
      <c r="V294">
        <v>6</v>
      </c>
      <c r="W294">
        <v>5</v>
      </c>
      <c r="X294">
        <v>1</v>
      </c>
      <c r="Y294">
        <v>7</v>
      </c>
      <c r="Z294">
        <v>6</v>
      </c>
      <c r="AA294">
        <v>1</v>
      </c>
      <c r="AB294">
        <v>6</v>
      </c>
      <c r="AC294">
        <v>5</v>
      </c>
      <c r="AD294">
        <v>1</v>
      </c>
      <c r="AE294">
        <v>5</v>
      </c>
      <c r="AF294">
        <v>6</v>
      </c>
      <c r="AG294">
        <v>-1</v>
      </c>
      <c r="AH294">
        <v>8</v>
      </c>
      <c r="AI294">
        <v>6</v>
      </c>
      <c r="AJ294">
        <v>2</v>
      </c>
      <c r="AK294" t="s">
        <v>2839</v>
      </c>
      <c r="AL294" t="s">
        <v>2840</v>
      </c>
      <c r="AM294" t="s">
        <v>2841</v>
      </c>
      <c r="AN294" t="s">
        <v>2842</v>
      </c>
      <c r="AO294" t="s">
        <v>2843</v>
      </c>
      <c r="AP294" t="s">
        <v>2844</v>
      </c>
      <c r="AQ294" t="s">
        <v>2845</v>
      </c>
      <c r="AR294" t="s">
        <v>2846</v>
      </c>
      <c r="AS294" t="s">
        <v>2847</v>
      </c>
    </row>
    <row r="295" spans="1:45" x14ac:dyDescent="0.45">
      <c r="A295">
        <v>294</v>
      </c>
      <c r="B295">
        <v>12638</v>
      </c>
      <c r="C295" t="s">
        <v>72</v>
      </c>
      <c r="D295" t="s">
        <v>81</v>
      </c>
      <c r="E295" t="s">
        <v>74</v>
      </c>
      <c r="F295" t="s">
        <v>77</v>
      </c>
      <c r="G295" t="s">
        <v>76</v>
      </c>
      <c r="H295">
        <v>49.63187851692156</v>
      </c>
      <c r="I295">
        <v>3</v>
      </c>
      <c r="J295">
        <v>6</v>
      </c>
      <c r="K295">
        <v>6</v>
      </c>
      <c r="L295">
        <v>0</v>
      </c>
      <c r="M295">
        <v>7</v>
      </c>
      <c r="N295">
        <v>6</v>
      </c>
      <c r="O295">
        <v>1</v>
      </c>
      <c r="P295">
        <v>8</v>
      </c>
      <c r="Q295">
        <v>3</v>
      </c>
      <c r="R295">
        <v>5</v>
      </c>
      <c r="S295">
        <v>9</v>
      </c>
      <c r="T295">
        <v>7</v>
      </c>
      <c r="U295">
        <v>2</v>
      </c>
      <c r="V295">
        <v>7</v>
      </c>
      <c r="W295">
        <v>5</v>
      </c>
      <c r="X295">
        <v>2</v>
      </c>
      <c r="Y295">
        <v>8</v>
      </c>
      <c r="Z295">
        <v>6</v>
      </c>
      <c r="AA295">
        <v>2</v>
      </c>
      <c r="AB295">
        <v>7</v>
      </c>
      <c r="AC295">
        <v>5</v>
      </c>
      <c r="AD295">
        <v>2</v>
      </c>
      <c r="AE295">
        <v>6</v>
      </c>
      <c r="AF295">
        <v>5</v>
      </c>
      <c r="AG295">
        <v>1</v>
      </c>
      <c r="AH295">
        <v>8</v>
      </c>
      <c r="AI295">
        <v>6</v>
      </c>
      <c r="AJ295">
        <v>2</v>
      </c>
      <c r="AK295" t="s">
        <v>2848</v>
      </c>
      <c r="AL295" t="s">
        <v>2849</v>
      </c>
      <c r="AM295" t="s">
        <v>2850</v>
      </c>
      <c r="AN295" t="s">
        <v>2851</v>
      </c>
      <c r="AO295" t="s">
        <v>2852</v>
      </c>
      <c r="AP295" t="s">
        <v>2853</v>
      </c>
      <c r="AQ295" t="s">
        <v>2854</v>
      </c>
      <c r="AR295" t="s">
        <v>2855</v>
      </c>
      <c r="AS295" t="s">
        <v>2856</v>
      </c>
    </row>
    <row r="296" spans="1:45" x14ac:dyDescent="0.45">
      <c r="A296">
        <v>295</v>
      </c>
      <c r="B296">
        <v>12639</v>
      </c>
      <c r="C296" t="s">
        <v>78</v>
      </c>
      <c r="D296" t="s">
        <v>189</v>
      </c>
      <c r="E296" t="s">
        <v>74</v>
      </c>
      <c r="F296" t="s">
        <v>77</v>
      </c>
      <c r="G296" t="s">
        <v>76</v>
      </c>
      <c r="H296">
        <v>25.984365789218586</v>
      </c>
      <c r="I296">
        <v>0</v>
      </c>
      <c r="J296">
        <v>7</v>
      </c>
      <c r="K296">
        <v>8</v>
      </c>
      <c r="L296">
        <v>-1</v>
      </c>
      <c r="M296">
        <v>6</v>
      </c>
      <c r="N296">
        <v>9</v>
      </c>
      <c r="O296">
        <v>-3</v>
      </c>
      <c r="P296">
        <v>9</v>
      </c>
      <c r="Q296">
        <v>9</v>
      </c>
      <c r="R296">
        <v>0</v>
      </c>
      <c r="S296">
        <v>10</v>
      </c>
      <c r="T296">
        <v>10</v>
      </c>
      <c r="U296">
        <v>0</v>
      </c>
      <c r="V296">
        <v>8</v>
      </c>
      <c r="W296">
        <v>8</v>
      </c>
      <c r="X296">
        <v>0</v>
      </c>
      <c r="Y296">
        <v>9</v>
      </c>
      <c r="Z296">
        <v>8</v>
      </c>
      <c r="AA296">
        <v>1</v>
      </c>
      <c r="AB296">
        <v>8</v>
      </c>
      <c r="AC296">
        <v>9</v>
      </c>
      <c r="AD296">
        <v>-1</v>
      </c>
      <c r="AE296">
        <v>7</v>
      </c>
      <c r="AF296">
        <v>10</v>
      </c>
      <c r="AG296">
        <v>-3</v>
      </c>
      <c r="AH296">
        <v>9</v>
      </c>
      <c r="AI296">
        <v>10</v>
      </c>
      <c r="AJ296">
        <v>-1</v>
      </c>
      <c r="AK296" t="s">
        <v>2857</v>
      </c>
      <c r="AL296" t="s">
        <v>2858</v>
      </c>
      <c r="AM296" t="s">
        <v>2859</v>
      </c>
      <c r="AN296" t="s">
        <v>2860</v>
      </c>
      <c r="AO296" t="s">
        <v>2861</v>
      </c>
      <c r="AP296" t="s">
        <v>2862</v>
      </c>
      <c r="AQ296" t="s">
        <v>2863</v>
      </c>
      <c r="AR296" t="s">
        <v>2864</v>
      </c>
      <c r="AS296" t="s">
        <v>2865</v>
      </c>
    </row>
    <row r="297" spans="1:45" x14ac:dyDescent="0.45">
      <c r="A297">
        <v>296</v>
      </c>
      <c r="B297">
        <v>12640</v>
      </c>
      <c r="C297" t="s">
        <v>78</v>
      </c>
      <c r="D297" t="s">
        <v>193</v>
      </c>
      <c r="E297" t="s">
        <v>74</v>
      </c>
      <c r="F297" t="s">
        <v>77</v>
      </c>
      <c r="G297" t="s">
        <v>76</v>
      </c>
      <c r="H297">
        <v>12</v>
      </c>
      <c r="I297">
        <v>0</v>
      </c>
      <c r="J297">
        <v>6</v>
      </c>
      <c r="K297">
        <v>7</v>
      </c>
      <c r="L297">
        <v>-1</v>
      </c>
      <c r="M297">
        <v>7</v>
      </c>
      <c r="N297">
        <v>7</v>
      </c>
      <c r="O297">
        <v>0</v>
      </c>
      <c r="P297">
        <v>8</v>
      </c>
      <c r="Q297">
        <v>6</v>
      </c>
      <c r="R297">
        <v>2</v>
      </c>
      <c r="S297">
        <v>9</v>
      </c>
      <c r="T297">
        <v>7</v>
      </c>
      <c r="U297">
        <v>2</v>
      </c>
      <c r="V297">
        <v>8</v>
      </c>
      <c r="W297">
        <v>7</v>
      </c>
      <c r="X297">
        <v>1</v>
      </c>
      <c r="Y297">
        <v>9</v>
      </c>
      <c r="Z297">
        <v>1</v>
      </c>
      <c r="AA297">
        <v>8</v>
      </c>
      <c r="AB297">
        <v>8</v>
      </c>
      <c r="AC297">
        <v>5</v>
      </c>
      <c r="AD297">
        <v>3</v>
      </c>
      <c r="AE297">
        <v>7</v>
      </c>
      <c r="AF297">
        <v>7</v>
      </c>
      <c r="AG297">
        <v>0</v>
      </c>
      <c r="AH297">
        <v>9</v>
      </c>
      <c r="AI297">
        <v>7</v>
      </c>
      <c r="AJ297">
        <v>2</v>
      </c>
      <c r="AK297" t="s">
        <v>2866</v>
      </c>
      <c r="AL297" t="s">
        <v>2867</v>
      </c>
      <c r="AM297" t="s">
        <v>2868</v>
      </c>
      <c r="AN297" t="s">
        <v>2869</v>
      </c>
      <c r="AO297" t="s">
        <v>2870</v>
      </c>
      <c r="AP297" t="s">
        <v>2871</v>
      </c>
      <c r="AQ297" t="s">
        <v>2872</v>
      </c>
      <c r="AR297" t="s">
        <v>2873</v>
      </c>
      <c r="AS297" t="s">
        <v>2874</v>
      </c>
    </row>
    <row r="298" spans="1:45" x14ac:dyDescent="0.45">
      <c r="A298">
        <v>297</v>
      </c>
      <c r="B298">
        <v>12641</v>
      </c>
      <c r="C298" t="s">
        <v>72</v>
      </c>
      <c r="D298" t="s">
        <v>73</v>
      </c>
      <c r="E298" t="s">
        <v>74</v>
      </c>
      <c r="F298" t="s">
        <v>77</v>
      </c>
      <c r="G298" t="s">
        <v>76</v>
      </c>
      <c r="H298">
        <v>68.317760226526588</v>
      </c>
      <c r="I298">
        <v>2</v>
      </c>
      <c r="J298">
        <v>8</v>
      </c>
      <c r="K298">
        <v>5</v>
      </c>
      <c r="L298">
        <v>3</v>
      </c>
      <c r="M298">
        <v>9</v>
      </c>
      <c r="N298">
        <v>10</v>
      </c>
      <c r="O298">
        <v>-1</v>
      </c>
      <c r="P298">
        <v>8</v>
      </c>
      <c r="Q298">
        <v>5</v>
      </c>
      <c r="R298">
        <v>3</v>
      </c>
      <c r="S298">
        <v>9</v>
      </c>
      <c r="T298">
        <v>5</v>
      </c>
      <c r="U298">
        <v>4</v>
      </c>
      <c r="V298">
        <v>8</v>
      </c>
      <c r="W298">
        <v>2</v>
      </c>
      <c r="X298">
        <v>6</v>
      </c>
      <c r="Y298">
        <v>9</v>
      </c>
      <c r="Z298">
        <v>3</v>
      </c>
      <c r="AA298">
        <v>6</v>
      </c>
      <c r="AB298">
        <v>8</v>
      </c>
      <c r="AC298">
        <v>2</v>
      </c>
      <c r="AD298">
        <v>6</v>
      </c>
      <c r="AE298">
        <v>9</v>
      </c>
      <c r="AF298">
        <v>5</v>
      </c>
      <c r="AG298">
        <v>4</v>
      </c>
      <c r="AH298">
        <v>9</v>
      </c>
      <c r="AI298">
        <v>5</v>
      </c>
      <c r="AJ298">
        <v>4</v>
      </c>
      <c r="AK298" t="s">
        <v>2875</v>
      </c>
      <c r="AL298" t="s">
        <v>2876</v>
      </c>
      <c r="AM298" t="s">
        <v>2877</v>
      </c>
      <c r="AN298" t="s">
        <v>2878</v>
      </c>
      <c r="AO298" t="s">
        <v>2879</v>
      </c>
      <c r="AP298" t="s">
        <v>2880</v>
      </c>
      <c r="AQ298" t="s">
        <v>2881</v>
      </c>
      <c r="AR298" t="s">
        <v>2882</v>
      </c>
      <c r="AS298" t="s">
        <v>2883</v>
      </c>
    </row>
    <row r="299" spans="1:45" x14ac:dyDescent="0.45">
      <c r="A299">
        <v>298</v>
      </c>
      <c r="B299">
        <v>12642</v>
      </c>
      <c r="C299" t="s">
        <v>78</v>
      </c>
      <c r="D299" t="s">
        <v>73</v>
      </c>
      <c r="E299" t="s">
        <v>74</v>
      </c>
      <c r="F299" t="s">
        <v>77</v>
      </c>
      <c r="G299" t="s">
        <v>162</v>
      </c>
      <c r="H299">
        <v>12</v>
      </c>
      <c r="I299">
        <v>0</v>
      </c>
      <c r="J299">
        <v>8</v>
      </c>
      <c r="K299">
        <v>5</v>
      </c>
      <c r="L299">
        <v>3</v>
      </c>
      <c r="M299">
        <v>7</v>
      </c>
      <c r="N299">
        <v>5</v>
      </c>
      <c r="O299">
        <v>2</v>
      </c>
      <c r="P299">
        <v>9</v>
      </c>
      <c r="Q299">
        <v>5</v>
      </c>
      <c r="R299">
        <v>4</v>
      </c>
      <c r="S299">
        <v>8</v>
      </c>
      <c r="T299">
        <v>10</v>
      </c>
      <c r="U299">
        <v>-2</v>
      </c>
      <c r="V299">
        <v>9</v>
      </c>
      <c r="W299">
        <v>10</v>
      </c>
      <c r="X299">
        <v>-1</v>
      </c>
      <c r="Y299">
        <v>8</v>
      </c>
      <c r="Z299">
        <v>5</v>
      </c>
      <c r="AA299">
        <v>3</v>
      </c>
      <c r="AB299">
        <v>9</v>
      </c>
      <c r="AC299">
        <v>5</v>
      </c>
      <c r="AD299">
        <v>4</v>
      </c>
      <c r="AE299">
        <v>8</v>
      </c>
      <c r="AF299">
        <v>5</v>
      </c>
      <c r="AG299">
        <v>3</v>
      </c>
      <c r="AH299">
        <v>9</v>
      </c>
      <c r="AI299">
        <v>5</v>
      </c>
      <c r="AJ299">
        <v>4</v>
      </c>
      <c r="AK299" t="s">
        <v>2884</v>
      </c>
      <c r="AL299" t="s">
        <v>2885</v>
      </c>
      <c r="AM299" t="s">
        <v>2886</v>
      </c>
      <c r="AN299" t="s">
        <v>2887</v>
      </c>
      <c r="AO299" t="s">
        <v>2888</v>
      </c>
      <c r="AP299" t="s">
        <v>2889</v>
      </c>
      <c r="AQ299" t="s">
        <v>2890</v>
      </c>
      <c r="AR299" t="s">
        <v>2891</v>
      </c>
      <c r="AS299" t="s">
        <v>2892</v>
      </c>
    </row>
    <row r="300" spans="1:45" x14ac:dyDescent="0.45">
      <c r="A300">
        <v>299</v>
      </c>
      <c r="B300">
        <v>12643</v>
      </c>
      <c r="C300" t="s">
        <v>78</v>
      </c>
      <c r="D300" t="s">
        <v>73</v>
      </c>
      <c r="E300" t="s">
        <v>74</v>
      </c>
      <c r="F300" t="s">
        <v>75</v>
      </c>
      <c r="G300" t="s">
        <v>76</v>
      </c>
      <c r="H300">
        <v>32.44069611738707</v>
      </c>
      <c r="I300">
        <v>0</v>
      </c>
      <c r="J300">
        <v>8</v>
      </c>
      <c r="K300">
        <v>10</v>
      </c>
      <c r="L300">
        <v>-2</v>
      </c>
      <c r="M300">
        <v>7</v>
      </c>
      <c r="N300">
        <v>10</v>
      </c>
      <c r="O300">
        <v>-3</v>
      </c>
      <c r="P300">
        <v>9</v>
      </c>
      <c r="Q300">
        <v>10</v>
      </c>
      <c r="R300">
        <v>-1</v>
      </c>
      <c r="S300">
        <v>9</v>
      </c>
      <c r="T300">
        <v>10</v>
      </c>
      <c r="U300">
        <v>-1</v>
      </c>
      <c r="V300">
        <v>7</v>
      </c>
      <c r="W300">
        <v>10</v>
      </c>
      <c r="X300">
        <v>-3</v>
      </c>
      <c r="Y300">
        <v>8</v>
      </c>
      <c r="Z300">
        <v>10</v>
      </c>
      <c r="AA300">
        <v>-2</v>
      </c>
      <c r="AB300">
        <v>7</v>
      </c>
      <c r="AC300">
        <v>10</v>
      </c>
      <c r="AD300">
        <v>-3</v>
      </c>
      <c r="AE300">
        <v>8</v>
      </c>
      <c r="AF300">
        <v>10</v>
      </c>
      <c r="AG300">
        <v>-2</v>
      </c>
      <c r="AH300">
        <v>9</v>
      </c>
      <c r="AI300">
        <v>10</v>
      </c>
      <c r="AJ300">
        <v>-1</v>
      </c>
      <c r="AK300" t="s">
        <v>2893</v>
      </c>
      <c r="AL300" t="s">
        <v>2894</v>
      </c>
      <c r="AM300" t="s">
        <v>2895</v>
      </c>
      <c r="AN300" t="s">
        <v>2896</v>
      </c>
      <c r="AO300" t="s">
        <v>2897</v>
      </c>
      <c r="AP300" t="s">
        <v>2898</v>
      </c>
      <c r="AQ300" t="s">
        <v>2899</v>
      </c>
      <c r="AR300" t="s">
        <v>2900</v>
      </c>
      <c r="AS300" t="s">
        <v>2901</v>
      </c>
    </row>
    <row r="301" spans="1:45" x14ac:dyDescent="0.45">
      <c r="A301">
        <v>300</v>
      </c>
      <c r="B301">
        <v>12644</v>
      </c>
      <c r="C301" t="s">
        <v>78</v>
      </c>
      <c r="D301" t="s">
        <v>73</v>
      </c>
      <c r="E301" t="s">
        <v>74</v>
      </c>
      <c r="F301" t="s">
        <v>77</v>
      </c>
      <c r="G301" t="s">
        <v>76</v>
      </c>
      <c r="H301">
        <v>25.493077285704377</v>
      </c>
      <c r="I301">
        <v>1</v>
      </c>
      <c r="J301">
        <v>7</v>
      </c>
      <c r="K301">
        <v>9</v>
      </c>
      <c r="L301">
        <v>-2</v>
      </c>
      <c r="M301">
        <v>8</v>
      </c>
      <c r="N301">
        <v>9</v>
      </c>
      <c r="O301">
        <v>-1</v>
      </c>
      <c r="P301">
        <v>9</v>
      </c>
      <c r="Q301">
        <v>8</v>
      </c>
      <c r="R301">
        <v>1</v>
      </c>
      <c r="S301">
        <v>10</v>
      </c>
      <c r="T301">
        <v>10</v>
      </c>
      <c r="U301">
        <v>0</v>
      </c>
      <c r="V301">
        <v>6</v>
      </c>
      <c r="W301">
        <v>8</v>
      </c>
      <c r="X301">
        <v>-2</v>
      </c>
      <c r="Y301">
        <v>8</v>
      </c>
      <c r="Z301">
        <v>8</v>
      </c>
      <c r="AA301">
        <v>0</v>
      </c>
      <c r="AB301">
        <v>7</v>
      </c>
      <c r="AC301">
        <v>10</v>
      </c>
      <c r="AD301">
        <v>-3</v>
      </c>
      <c r="AE301">
        <v>6</v>
      </c>
      <c r="AF301">
        <v>9</v>
      </c>
      <c r="AG301">
        <v>-3</v>
      </c>
      <c r="AH301">
        <v>9</v>
      </c>
      <c r="AI301">
        <v>9</v>
      </c>
      <c r="AJ301">
        <v>0</v>
      </c>
      <c r="AK301" t="s">
        <v>2902</v>
      </c>
      <c r="AL301" t="s">
        <v>2903</v>
      </c>
      <c r="AM301" t="s">
        <v>2533</v>
      </c>
      <c r="AN301" t="s">
        <v>222</v>
      </c>
      <c r="AO301" t="s">
        <v>268</v>
      </c>
      <c r="AP301" t="s">
        <v>2904</v>
      </c>
      <c r="AQ301" t="s">
        <v>2905</v>
      </c>
      <c r="AR301" t="s">
        <v>2906</v>
      </c>
      <c r="AS301" t="s">
        <v>2907</v>
      </c>
    </row>
    <row r="302" spans="1:45" x14ac:dyDescent="0.45">
      <c r="A302">
        <v>301</v>
      </c>
      <c r="B302">
        <v>12645</v>
      </c>
      <c r="C302" t="s">
        <v>78</v>
      </c>
      <c r="D302" t="s">
        <v>81</v>
      </c>
      <c r="E302" t="s">
        <v>74</v>
      </c>
      <c r="F302" t="s">
        <v>77</v>
      </c>
      <c r="G302" t="s">
        <v>76</v>
      </c>
      <c r="H302">
        <v>12</v>
      </c>
      <c r="I302">
        <v>0</v>
      </c>
      <c r="J302">
        <v>7</v>
      </c>
      <c r="K302">
        <v>8</v>
      </c>
      <c r="L302">
        <v>-1</v>
      </c>
      <c r="M302">
        <v>8</v>
      </c>
      <c r="N302">
        <v>7</v>
      </c>
      <c r="O302">
        <v>1</v>
      </c>
      <c r="P302">
        <v>9</v>
      </c>
      <c r="Q302">
        <v>9</v>
      </c>
      <c r="R302">
        <v>0</v>
      </c>
      <c r="S302">
        <v>10</v>
      </c>
      <c r="T302">
        <v>5</v>
      </c>
      <c r="U302">
        <v>5</v>
      </c>
      <c r="V302">
        <v>8</v>
      </c>
      <c r="W302">
        <v>7</v>
      </c>
      <c r="X302">
        <v>1</v>
      </c>
      <c r="Y302">
        <v>9</v>
      </c>
      <c r="Z302">
        <v>7</v>
      </c>
      <c r="AA302">
        <v>2</v>
      </c>
      <c r="AB302">
        <v>7</v>
      </c>
      <c r="AC302">
        <v>7</v>
      </c>
      <c r="AD302">
        <v>0</v>
      </c>
      <c r="AE302">
        <v>6</v>
      </c>
      <c r="AF302">
        <v>6</v>
      </c>
      <c r="AG302">
        <v>0</v>
      </c>
      <c r="AH302">
        <v>9</v>
      </c>
      <c r="AI302">
        <v>7</v>
      </c>
      <c r="AJ302">
        <v>2</v>
      </c>
      <c r="AK302" t="s">
        <v>2908</v>
      </c>
      <c r="AL302" t="s">
        <v>2909</v>
      </c>
      <c r="AM302" t="s">
        <v>2910</v>
      </c>
      <c r="AN302" t="s">
        <v>2911</v>
      </c>
      <c r="AO302" t="s">
        <v>2912</v>
      </c>
      <c r="AP302" t="s">
        <v>2913</v>
      </c>
      <c r="AQ302" t="s">
        <v>2914</v>
      </c>
      <c r="AR302" t="s">
        <v>2915</v>
      </c>
      <c r="AS302" t="s">
        <v>2916</v>
      </c>
    </row>
    <row r="303" spans="1:45" x14ac:dyDescent="0.45">
      <c r="A303">
        <v>302</v>
      </c>
      <c r="B303">
        <v>12646</v>
      </c>
      <c r="C303" t="s">
        <v>72</v>
      </c>
      <c r="D303" t="s">
        <v>73</v>
      </c>
      <c r="E303" t="s">
        <v>74</v>
      </c>
      <c r="F303" t="s">
        <v>77</v>
      </c>
      <c r="G303" t="s">
        <v>76</v>
      </c>
      <c r="H303">
        <v>29.180053897591208</v>
      </c>
      <c r="I303">
        <v>0</v>
      </c>
      <c r="J303">
        <v>8</v>
      </c>
      <c r="K303">
        <v>7</v>
      </c>
      <c r="L303">
        <v>1</v>
      </c>
      <c r="M303">
        <v>7</v>
      </c>
      <c r="N303">
        <v>7</v>
      </c>
      <c r="O303">
        <v>0</v>
      </c>
      <c r="P303">
        <v>8</v>
      </c>
      <c r="Q303">
        <v>4</v>
      </c>
      <c r="R303">
        <v>4</v>
      </c>
      <c r="S303">
        <v>9</v>
      </c>
      <c r="T303">
        <v>8</v>
      </c>
      <c r="U303">
        <v>1</v>
      </c>
      <c r="V303">
        <v>8</v>
      </c>
      <c r="W303">
        <v>7</v>
      </c>
      <c r="X303">
        <v>1</v>
      </c>
      <c r="Y303">
        <v>9</v>
      </c>
      <c r="Z303">
        <v>7</v>
      </c>
      <c r="AA303">
        <v>2</v>
      </c>
      <c r="AB303">
        <v>8</v>
      </c>
      <c r="AC303">
        <v>5</v>
      </c>
      <c r="AD303">
        <v>3</v>
      </c>
      <c r="AE303">
        <v>7</v>
      </c>
      <c r="AF303">
        <v>5</v>
      </c>
      <c r="AG303">
        <v>2</v>
      </c>
      <c r="AH303">
        <v>9</v>
      </c>
      <c r="AI303">
        <v>7</v>
      </c>
      <c r="AJ303">
        <v>2</v>
      </c>
      <c r="AK303" t="s">
        <v>2917</v>
      </c>
      <c r="AL303" t="s">
        <v>2918</v>
      </c>
      <c r="AM303" t="s">
        <v>2919</v>
      </c>
      <c r="AN303" t="s">
        <v>2920</v>
      </c>
      <c r="AO303" t="s">
        <v>2921</v>
      </c>
      <c r="AP303" t="s">
        <v>2922</v>
      </c>
      <c r="AQ303" t="s">
        <v>2923</v>
      </c>
      <c r="AR303" t="s">
        <v>2924</v>
      </c>
      <c r="AS303" t="s">
        <v>2925</v>
      </c>
    </row>
    <row r="304" spans="1:45" x14ac:dyDescent="0.45">
      <c r="A304">
        <v>303</v>
      </c>
      <c r="B304">
        <v>12647</v>
      </c>
      <c r="C304" t="s">
        <v>78</v>
      </c>
      <c r="D304" t="s">
        <v>73</v>
      </c>
      <c r="E304" t="s">
        <v>74</v>
      </c>
      <c r="F304" t="s">
        <v>77</v>
      </c>
      <c r="G304" t="s">
        <v>76</v>
      </c>
      <c r="H304">
        <v>24.889605446300539</v>
      </c>
      <c r="I304">
        <v>2</v>
      </c>
      <c r="J304">
        <v>7</v>
      </c>
      <c r="K304">
        <v>6</v>
      </c>
      <c r="L304">
        <v>1</v>
      </c>
      <c r="M304">
        <v>7</v>
      </c>
      <c r="N304">
        <v>10</v>
      </c>
      <c r="O304">
        <v>-3</v>
      </c>
      <c r="P304">
        <v>8</v>
      </c>
      <c r="Q304">
        <v>5</v>
      </c>
      <c r="R304">
        <v>3</v>
      </c>
      <c r="S304">
        <v>9</v>
      </c>
      <c r="T304">
        <v>4</v>
      </c>
      <c r="U304">
        <v>5</v>
      </c>
      <c r="V304">
        <v>8</v>
      </c>
      <c r="W304">
        <v>3</v>
      </c>
      <c r="X304">
        <v>5</v>
      </c>
      <c r="Y304">
        <v>9</v>
      </c>
      <c r="Z304">
        <v>7</v>
      </c>
      <c r="AA304">
        <v>2</v>
      </c>
      <c r="AB304">
        <v>8</v>
      </c>
      <c r="AC304">
        <v>4</v>
      </c>
      <c r="AD304">
        <v>4</v>
      </c>
      <c r="AE304">
        <v>9</v>
      </c>
      <c r="AF304">
        <v>4</v>
      </c>
      <c r="AG304">
        <v>5</v>
      </c>
      <c r="AH304">
        <v>9</v>
      </c>
      <c r="AI304">
        <v>5</v>
      </c>
      <c r="AJ304">
        <v>4</v>
      </c>
      <c r="AK304" t="s">
        <v>2926</v>
      </c>
      <c r="AL304" t="s">
        <v>2927</v>
      </c>
      <c r="AM304" t="s">
        <v>2928</v>
      </c>
      <c r="AN304" t="s">
        <v>2929</v>
      </c>
      <c r="AO304" t="s">
        <v>2930</v>
      </c>
      <c r="AP304" t="s">
        <v>2931</v>
      </c>
      <c r="AQ304" t="s">
        <v>2932</v>
      </c>
      <c r="AR304" t="s">
        <v>2933</v>
      </c>
      <c r="AS304" t="s">
        <v>2934</v>
      </c>
    </row>
    <row r="305" spans="1:45" x14ac:dyDescent="0.45">
      <c r="A305">
        <v>304</v>
      </c>
      <c r="B305">
        <v>12648</v>
      </c>
      <c r="C305" t="s">
        <v>78</v>
      </c>
      <c r="D305" t="s">
        <v>81</v>
      </c>
      <c r="E305" t="s">
        <v>74</v>
      </c>
      <c r="F305" t="s">
        <v>75</v>
      </c>
      <c r="G305" t="s">
        <v>76</v>
      </c>
      <c r="H305">
        <v>12</v>
      </c>
      <c r="I305">
        <v>0</v>
      </c>
      <c r="J305">
        <v>6</v>
      </c>
      <c r="K305">
        <v>10</v>
      </c>
      <c r="L305">
        <v>-4</v>
      </c>
      <c r="M305">
        <v>7</v>
      </c>
      <c r="N305">
        <v>10</v>
      </c>
      <c r="O305">
        <v>-3</v>
      </c>
      <c r="P305">
        <v>8</v>
      </c>
      <c r="Q305">
        <v>10</v>
      </c>
      <c r="R305">
        <v>-2</v>
      </c>
      <c r="S305">
        <v>9</v>
      </c>
      <c r="T305">
        <v>10</v>
      </c>
      <c r="U305">
        <v>-1</v>
      </c>
      <c r="V305">
        <v>7</v>
      </c>
      <c r="W305">
        <v>10</v>
      </c>
      <c r="X305">
        <v>-3</v>
      </c>
      <c r="Y305">
        <v>9</v>
      </c>
      <c r="Z305">
        <v>10</v>
      </c>
      <c r="AA305">
        <v>-1</v>
      </c>
      <c r="AB305">
        <v>7</v>
      </c>
      <c r="AC305">
        <v>10</v>
      </c>
      <c r="AD305">
        <v>-3</v>
      </c>
      <c r="AE305">
        <v>6</v>
      </c>
      <c r="AF305">
        <v>10</v>
      </c>
      <c r="AG305">
        <v>-4</v>
      </c>
      <c r="AH305">
        <v>9</v>
      </c>
      <c r="AI305">
        <v>10</v>
      </c>
      <c r="AJ305">
        <v>-1</v>
      </c>
      <c r="AK305" t="s">
        <v>2935</v>
      </c>
      <c r="AL305" t="s">
        <v>2936</v>
      </c>
      <c r="AM305" t="s">
        <v>2937</v>
      </c>
      <c r="AN305" t="s">
        <v>2938</v>
      </c>
      <c r="AO305" t="s">
        <v>2939</v>
      </c>
      <c r="AP305" t="s">
        <v>2940</v>
      </c>
      <c r="AQ305" t="s">
        <v>2941</v>
      </c>
      <c r="AR305" t="s">
        <v>2942</v>
      </c>
      <c r="AS305" t="s">
        <v>2943</v>
      </c>
    </row>
    <row r="306" spans="1:45" x14ac:dyDescent="0.45">
      <c r="A306">
        <v>305</v>
      </c>
      <c r="B306">
        <v>12649</v>
      </c>
      <c r="C306" t="s">
        <v>78</v>
      </c>
      <c r="D306" t="s">
        <v>73</v>
      </c>
      <c r="E306" t="s">
        <v>74</v>
      </c>
      <c r="F306" t="s">
        <v>77</v>
      </c>
      <c r="G306" t="s">
        <v>76</v>
      </c>
      <c r="H306">
        <v>32.57063773134351</v>
      </c>
      <c r="I306">
        <v>0</v>
      </c>
      <c r="J306">
        <v>7</v>
      </c>
      <c r="K306">
        <v>7</v>
      </c>
      <c r="L306">
        <v>0</v>
      </c>
      <c r="M306">
        <v>6</v>
      </c>
      <c r="N306">
        <v>9</v>
      </c>
      <c r="O306">
        <v>-3</v>
      </c>
      <c r="P306">
        <v>7</v>
      </c>
      <c r="Q306">
        <v>8</v>
      </c>
      <c r="R306">
        <v>-1</v>
      </c>
      <c r="S306">
        <v>8</v>
      </c>
      <c r="T306">
        <v>6</v>
      </c>
      <c r="U306">
        <v>2</v>
      </c>
      <c r="V306">
        <v>6</v>
      </c>
      <c r="W306">
        <v>5</v>
      </c>
      <c r="X306">
        <v>1</v>
      </c>
      <c r="Y306">
        <v>8</v>
      </c>
      <c r="Z306">
        <v>3</v>
      </c>
      <c r="AA306">
        <v>5</v>
      </c>
      <c r="AB306">
        <v>6</v>
      </c>
      <c r="AC306">
        <v>9</v>
      </c>
      <c r="AD306">
        <v>-3</v>
      </c>
      <c r="AE306">
        <v>7</v>
      </c>
      <c r="AF306">
        <v>3</v>
      </c>
      <c r="AG306">
        <v>4</v>
      </c>
      <c r="AH306">
        <v>8</v>
      </c>
      <c r="AI306">
        <v>4</v>
      </c>
      <c r="AJ306">
        <v>4</v>
      </c>
      <c r="AK306" t="s">
        <v>2944</v>
      </c>
      <c r="AL306" t="s">
        <v>2945</v>
      </c>
      <c r="AM306" t="s">
        <v>2946</v>
      </c>
      <c r="AN306" t="s">
        <v>2947</v>
      </c>
      <c r="AO306" t="s">
        <v>2948</v>
      </c>
      <c r="AP306" t="s">
        <v>2949</v>
      </c>
      <c r="AQ306" t="s">
        <v>2950</v>
      </c>
      <c r="AR306" t="s">
        <v>2951</v>
      </c>
      <c r="AS306" t="s">
        <v>2952</v>
      </c>
    </row>
    <row r="307" spans="1:45" x14ac:dyDescent="0.45">
      <c r="A307">
        <v>306</v>
      </c>
      <c r="B307">
        <v>12650</v>
      </c>
      <c r="C307" t="s">
        <v>72</v>
      </c>
      <c r="D307" t="s">
        <v>79</v>
      </c>
      <c r="E307" t="s">
        <v>74</v>
      </c>
      <c r="F307" t="s">
        <v>77</v>
      </c>
      <c r="G307" t="s">
        <v>76</v>
      </c>
      <c r="H307">
        <v>67.890443679752039</v>
      </c>
      <c r="I307">
        <v>3</v>
      </c>
      <c r="J307">
        <v>6</v>
      </c>
      <c r="K307">
        <v>3</v>
      </c>
      <c r="L307">
        <v>3</v>
      </c>
      <c r="M307">
        <v>5</v>
      </c>
      <c r="N307">
        <v>8</v>
      </c>
      <c r="O307">
        <v>-3</v>
      </c>
      <c r="P307">
        <v>8</v>
      </c>
      <c r="Q307">
        <v>8</v>
      </c>
      <c r="R307">
        <v>0</v>
      </c>
      <c r="S307">
        <v>9</v>
      </c>
      <c r="T307">
        <v>4</v>
      </c>
      <c r="U307">
        <v>5</v>
      </c>
      <c r="V307">
        <v>7</v>
      </c>
      <c r="W307">
        <v>4</v>
      </c>
      <c r="X307">
        <v>3</v>
      </c>
      <c r="Y307">
        <v>9</v>
      </c>
      <c r="Z307">
        <v>3</v>
      </c>
      <c r="AA307">
        <v>6</v>
      </c>
      <c r="AB307">
        <v>8</v>
      </c>
      <c r="AC307">
        <v>7</v>
      </c>
      <c r="AD307">
        <v>1</v>
      </c>
      <c r="AE307">
        <v>7</v>
      </c>
      <c r="AF307">
        <v>5</v>
      </c>
      <c r="AG307">
        <v>2</v>
      </c>
      <c r="AH307">
        <v>9</v>
      </c>
      <c r="AI307">
        <v>5</v>
      </c>
      <c r="AJ307">
        <v>4</v>
      </c>
      <c r="AK307" t="s">
        <v>2953</v>
      </c>
      <c r="AL307" t="s">
        <v>2954</v>
      </c>
      <c r="AM307" t="s">
        <v>2955</v>
      </c>
      <c r="AN307" t="s">
        <v>2956</v>
      </c>
      <c r="AO307" t="s">
        <v>2957</v>
      </c>
      <c r="AP307" t="s">
        <v>2958</v>
      </c>
      <c r="AQ307" t="s">
        <v>2959</v>
      </c>
      <c r="AR307" t="s">
        <v>2960</v>
      </c>
      <c r="AS307" t="s">
        <v>2961</v>
      </c>
    </row>
    <row r="308" spans="1:45" x14ac:dyDescent="0.45">
      <c r="A308">
        <v>307</v>
      </c>
      <c r="B308">
        <v>12651</v>
      </c>
      <c r="C308" t="s">
        <v>72</v>
      </c>
      <c r="D308" t="s">
        <v>193</v>
      </c>
      <c r="E308" t="s">
        <v>74</v>
      </c>
      <c r="F308" t="s">
        <v>75</v>
      </c>
      <c r="G308" t="s">
        <v>162</v>
      </c>
      <c r="H308">
        <v>12.333176127212651</v>
      </c>
      <c r="I308">
        <v>2</v>
      </c>
      <c r="J308">
        <v>5</v>
      </c>
      <c r="K308">
        <v>2</v>
      </c>
      <c r="L308">
        <v>3</v>
      </c>
      <c r="M308">
        <v>5</v>
      </c>
      <c r="N308">
        <v>2</v>
      </c>
      <c r="O308">
        <v>3</v>
      </c>
      <c r="P308">
        <v>8</v>
      </c>
      <c r="Q308">
        <v>2</v>
      </c>
      <c r="R308">
        <v>6</v>
      </c>
      <c r="S308">
        <v>7</v>
      </c>
      <c r="T308">
        <v>1</v>
      </c>
      <c r="U308">
        <v>6</v>
      </c>
      <c r="V308">
        <v>8</v>
      </c>
      <c r="W308">
        <v>2</v>
      </c>
      <c r="X308">
        <v>6</v>
      </c>
      <c r="Y308">
        <v>9</v>
      </c>
      <c r="Z308">
        <v>2</v>
      </c>
      <c r="AA308">
        <v>7</v>
      </c>
      <c r="AB308">
        <v>7</v>
      </c>
      <c r="AC308">
        <v>2</v>
      </c>
      <c r="AD308">
        <v>5</v>
      </c>
      <c r="AE308">
        <v>8</v>
      </c>
      <c r="AF308">
        <v>2</v>
      </c>
      <c r="AG308">
        <v>6</v>
      </c>
      <c r="AH308">
        <v>9</v>
      </c>
      <c r="AI308">
        <v>2</v>
      </c>
      <c r="AJ308">
        <v>7</v>
      </c>
      <c r="AK308" t="s">
        <v>2962</v>
      </c>
      <c r="AL308" t="s">
        <v>2963</v>
      </c>
      <c r="AM308" t="s">
        <v>2964</v>
      </c>
      <c r="AN308" t="s">
        <v>2965</v>
      </c>
      <c r="AO308" t="s">
        <v>2966</v>
      </c>
      <c r="AP308" t="s">
        <v>2967</v>
      </c>
      <c r="AQ308" t="s">
        <v>2968</v>
      </c>
      <c r="AR308" t="s">
        <v>2969</v>
      </c>
      <c r="AS308" t="s">
        <v>2970</v>
      </c>
    </row>
    <row r="309" spans="1:45" x14ac:dyDescent="0.45">
      <c r="A309">
        <v>308</v>
      </c>
      <c r="B309">
        <v>12652</v>
      </c>
      <c r="C309" t="s">
        <v>72</v>
      </c>
      <c r="D309" t="s">
        <v>79</v>
      </c>
      <c r="E309" t="s">
        <v>74</v>
      </c>
      <c r="F309" t="s">
        <v>75</v>
      </c>
      <c r="G309" t="s">
        <v>76</v>
      </c>
      <c r="H309">
        <v>219.2113405072491</v>
      </c>
      <c r="I309">
        <v>2</v>
      </c>
      <c r="J309">
        <v>6</v>
      </c>
      <c r="K309">
        <v>10</v>
      </c>
      <c r="L309">
        <v>-4</v>
      </c>
      <c r="M309">
        <v>7</v>
      </c>
      <c r="N309">
        <v>8</v>
      </c>
      <c r="O309">
        <v>-1</v>
      </c>
      <c r="P309">
        <v>8</v>
      </c>
      <c r="Q309">
        <v>8</v>
      </c>
      <c r="R309">
        <v>0</v>
      </c>
      <c r="S309">
        <v>9</v>
      </c>
      <c r="T309">
        <v>8</v>
      </c>
      <c r="U309">
        <v>1</v>
      </c>
      <c r="V309">
        <v>8</v>
      </c>
      <c r="W309">
        <v>10</v>
      </c>
      <c r="X309">
        <v>-2</v>
      </c>
      <c r="Y309">
        <v>9</v>
      </c>
      <c r="Z309">
        <v>10</v>
      </c>
      <c r="AA309">
        <v>-1</v>
      </c>
      <c r="AB309">
        <v>8</v>
      </c>
      <c r="AC309">
        <v>6</v>
      </c>
      <c r="AD309">
        <v>2</v>
      </c>
      <c r="AE309">
        <v>9</v>
      </c>
      <c r="AF309">
        <v>8</v>
      </c>
      <c r="AG309">
        <v>1</v>
      </c>
      <c r="AH309">
        <v>8</v>
      </c>
      <c r="AI309">
        <v>8</v>
      </c>
      <c r="AJ309">
        <v>0</v>
      </c>
      <c r="AK309" t="s">
        <v>2971</v>
      </c>
      <c r="AL309" t="s">
        <v>2972</v>
      </c>
      <c r="AM309" t="s">
        <v>2973</v>
      </c>
      <c r="AN309" t="s">
        <v>2974</v>
      </c>
      <c r="AO309" t="s">
        <v>2975</v>
      </c>
      <c r="AP309" t="s">
        <v>2976</v>
      </c>
      <c r="AQ309" t="s">
        <v>2977</v>
      </c>
      <c r="AR309" t="s">
        <v>2978</v>
      </c>
      <c r="AS309" t="s">
        <v>2979</v>
      </c>
    </row>
    <row r="310" spans="1:45" x14ac:dyDescent="0.45">
      <c r="A310">
        <v>309</v>
      </c>
      <c r="B310">
        <v>12653</v>
      </c>
      <c r="C310" t="s">
        <v>78</v>
      </c>
      <c r="D310" t="s">
        <v>73</v>
      </c>
      <c r="E310" t="s">
        <v>74</v>
      </c>
      <c r="F310" t="s">
        <v>77</v>
      </c>
      <c r="G310" t="s">
        <v>76</v>
      </c>
      <c r="H310">
        <v>57.593945901295918</v>
      </c>
      <c r="I310">
        <v>1</v>
      </c>
      <c r="J310">
        <v>8</v>
      </c>
      <c r="K310">
        <v>10</v>
      </c>
      <c r="L310">
        <v>-2</v>
      </c>
      <c r="M310">
        <v>9</v>
      </c>
      <c r="N310">
        <v>10</v>
      </c>
      <c r="O310">
        <v>-1</v>
      </c>
      <c r="P310">
        <v>7</v>
      </c>
      <c r="Q310">
        <v>10</v>
      </c>
      <c r="R310">
        <v>-3</v>
      </c>
      <c r="S310">
        <v>9</v>
      </c>
      <c r="T310">
        <v>10</v>
      </c>
      <c r="U310">
        <v>-1</v>
      </c>
      <c r="V310">
        <v>8</v>
      </c>
      <c r="W310">
        <v>10</v>
      </c>
      <c r="X310">
        <v>-2</v>
      </c>
      <c r="Y310">
        <v>9</v>
      </c>
      <c r="Z310">
        <v>9</v>
      </c>
      <c r="AA310">
        <v>0</v>
      </c>
      <c r="AB310">
        <v>8</v>
      </c>
      <c r="AC310">
        <v>9</v>
      </c>
      <c r="AD310">
        <v>-1</v>
      </c>
      <c r="AE310">
        <v>9</v>
      </c>
      <c r="AF310">
        <v>10</v>
      </c>
      <c r="AG310">
        <v>-1</v>
      </c>
      <c r="AH310">
        <v>8</v>
      </c>
      <c r="AI310">
        <v>10</v>
      </c>
      <c r="AJ310">
        <v>-2</v>
      </c>
      <c r="AK310" t="s">
        <v>2980</v>
      </c>
      <c r="AL310" t="s">
        <v>2981</v>
      </c>
      <c r="AM310" t="s">
        <v>2982</v>
      </c>
      <c r="AN310" t="s">
        <v>2983</v>
      </c>
      <c r="AO310" t="s">
        <v>2984</v>
      </c>
      <c r="AP310" t="s">
        <v>2985</v>
      </c>
      <c r="AQ310" t="s">
        <v>2986</v>
      </c>
      <c r="AR310" t="s">
        <v>2987</v>
      </c>
      <c r="AS310" t="s">
        <v>2988</v>
      </c>
    </row>
    <row r="311" spans="1:45" x14ac:dyDescent="0.45">
      <c r="A311">
        <v>310</v>
      </c>
      <c r="B311">
        <v>12654</v>
      </c>
      <c r="C311" t="s">
        <v>72</v>
      </c>
      <c r="D311" t="s">
        <v>189</v>
      </c>
      <c r="E311" t="s">
        <v>74</v>
      </c>
      <c r="F311" t="s">
        <v>77</v>
      </c>
      <c r="G311" t="s">
        <v>76</v>
      </c>
      <c r="H311">
        <v>20.941939360557114</v>
      </c>
      <c r="I311">
        <v>0</v>
      </c>
      <c r="J311">
        <v>7</v>
      </c>
      <c r="K311">
        <v>7</v>
      </c>
      <c r="L311">
        <v>0</v>
      </c>
      <c r="M311">
        <v>8</v>
      </c>
      <c r="N311">
        <v>7</v>
      </c>
      <c r="O311">
        <v>1</v>
      </c>
      <c r="P311">
        <v>7</v>
      </c>
      <c r="Q311">
        <v>5</v>
      </c>
      <c r="R311">
        <v>2</v>
      </c>
      <c r="S311">
        <v>9</v>
      </c>
      <c r="T311">
        <v>8</v>
      </c>
      <c r="U311">
        <v>1</v>
      </c>
      <c r="V311">
        <v>6</v>
      </c>
      <c r="W311">
        <v>8</v>
      </c>
      <c r="X311">
        <v>-2</v>
      </c>
      <c r="Y311">
        <v>9</v>
      </c>
      <c r="Z311">
        <v>9</v>
      </c>
      <c r="AA311">
        <v>0</v>
      </c>
      <c r="AB311">
        <v>8</v>
      </c>
      <c r="AC311">
        <v>9</v>
      </c>
      <c r="AD311">
        <v>-1</v>
      </c>
      <c r="AE311">
        <v>7</v>
      </c>
      <c r="AF311">
        <v>9</v>
      </c>
      <c r="AG311">
        <v>-2</v>
      </c>
      <c r="AH311">
        <v>9</v>
      </c>
      <c r="AI311">
        <v>10</v>
      </c>
      <c r="AJ311">
        <v>-1</v>
      </c>
      <c r="AK311" t="s">
        <v>2989</v>
      </c>
      <c r="AL311" t="s">
        <v>2990</v>
      </c>
      <c r="AM311" t="s">
        <v>2991</v>
      </c>
      <c r="AN311" t="s">
        <v>2992</v>
      </c>
      <c r="AO311" t="s">
        <v>2993</v>
      </c>
      <c r="AP311" t="s">
        <v>2994</v>
      </c>
      <c r="AQ311" t="s">
        <v>2995</v>
      </c>
      <c r="AR311" t="s">
        <v>2996</v>
      </c>
      <c r="AS311" t="s">
        <v>2997</v>
      </c>
    </row>
    <row r="312" spans="1:45" x14ac:dyDescent="0.45">
      <c r="A312">
        <v>311</v>
      </c>
      <c r="B312">
        <v>12655</v>
      </c>
      <c r="C312" t="s">
        <v>72</v>
      </c>
      <c r="D312" t="s">
        <v>189</v>
      </c>
      <c r="E312" t="s">
        <v>74</v>
      </c>
      <c r="F312" t="s">
        <v>77</v>
      </c>
      <c r="G312" t="s">
        <v>76</v>
      </c>
      <c r="H312">
        <v>16.669150897098412</v>
      </c>
      <c r="I312">
        <v>0</v>
      </c>
      <c r="J312">
        <v>7</v>
      </c>
      <c r="K312">
        <v>6</v>
      </c>
      <c r="L312">
        <v>1</v>
      </c>
      <c r="M312">
        <v>6</v>
      </c>
      <c r="N312">
        <v>5</v>
      </c>
      <c r="O312">
        <v>1</v>
      </c>
      <c r="P312">
        <v>8</v>
      </c>
      <c r="Q312">
        <v>4</v>
      </c>
      <c r="R312">
        <v>4</v>
      </c>
      <c r="S312">
        <v>9</v>
      </c>
      <c r="T312">
        <v>7</v>
      </c>
      <c r="U312">
        <v>2</v>
      </c>
      <c r="V312">
        <v>7</v>
      </c>
      <c r="W312">
        <v>5</v>
      </c>
      <c r="X312">
        <v>2</v>
      </c>
      <c r="Y312">
        <v>8</v>
      </c>
      <c r="Z312">
        <v>6</v>
      </c>
      <c r="AA312">
        <v>2</v>
      </c>
      <c r="AB312">
        <v>7</v>
      </c>
      <c r="AC312">
        <v>6</v>
      </c>
      <c r="AD312">
        <v>1</v>
      </c>
      <c r="AE312">
        <v>6</v>
      </c>
      <c r="AF312">
        <v>7</v>
      </c>
      <c r="AG312">
        <v>-1</v>
      </c>
      <c r="AH312">
        <v>9</v>
      </c>
      <c r="AI312">
        <v>7</v>
      </c>
      <c r="AJ312">
        <v>2</v>
      </c>
      <c r="AK312" t="s">
        <v>2998</v>
      </c>
      <c r="AL312" t="s">
        <v>2999</v>
      </c>
      <c r="AM312" t="s">
        <v>3000</v>
      </c>
      <c r="AN312" t="s">
        <v>3001</v>
      </c>
      <c r="AO312" t="s">
        <v>3002</v>
      </c>
      <c r="AP312" t="s">
        <v>3003</v>
      </c>
      <c r="AQ312" t="s">
        <v>3004</v>
      </c>
      <c r="AR312" t="s">
        <v>3005</v>
      </c>
      <c r="AS312" t="s">
        <v>3006</v>
      </c>
    </row>
    <row r="313" spans="1:45" x14ac:dyDescent="0.45">
      <c r="A313">
        <v>312</v>
      </c>
      <c r="B313">
        <v>12656</v>
      </c>
      <c r="C313" t="s">
        <v>78</v>
      </c>
      <c r="D313" t="s">
        <v>81</v>
      </c>
      <c r="E313" t="s">
        <v>74</v>
      </c>
      <c r="F313" t="s">
        <v>77</v>
      </c>
      <c r="G313" t="s">
        <v>76</v>
      </c>
      <c r="H313">
        <v>21.162094279206197</v>
      </c>
      <c r="I313">
        <v>0</v>
      </c>
      <c r="J313">
        <v>6</v>
      </c>
      <c r="K313">
        <v>8</v>
      </c>
      <c r="L313">
        <v>-2</v>
      </c>
      <c r="M313">
        <v>7</v>
      </c>
      <c r="N313">
        <v>9</v>
      </c>
      <c r="O313">
        <v>-2</v>
      </c>
      <c r="P313">
        <v>9</v>
      </c>
      <c r="Q313">
        <v>10</v>
      </c>
      <c r="R313">
        <v>-1</v>
      </c>
      <c r="S313">
        <v>10</v>
      </c>
      <c r="T313">
        <v>10</v>
      </c>
      <c r="U313">
        <v>0</v>
      </c>
      <c r="V313">
        <v>7</v>
      </c>
      <c r="W313">
        <v>8</v>
      </c>
      <c r="X313">
        <v>-1</v>
      </c>
      <c r="Y313">
        <v>9</v>
      </c>
      <c r="Z313">
        <v>9</v>
      </c>
      <c r="AA313">
        <v>0</v>
      </c>
      <c r="AB313">
        <v>8</v>
      </c>
      <c r="AC313">
        <v>8</v>
      </c>
      <c r="AD313">
        <v>0</v>
      </c>
      <c r="AE313">
        <v>9</v>
      </c>
      <c r="AF313">
        <v>8</v>
      </c>
      <c r="AG313">
        <v>1</v>
      </c>
      <c r="AH313">
        <v>9</v>
      </c>
      <c r="AI313">
        <v>10</v>
      </c>
      <c r="AJ313">
        <v>-1</v>
      </c>
      <c r="AK313" t="s">
        <v>3007</v>
      </c>
      <c r="AL313" t="s">
        <v>3008</v>
      </c>
      <c r="AM313" t="s">
        <v>3009</v>
      </c>
      <c r="AN313" t="s">
        <v>3010</v>
      </c>
      <c r="AO313" t="s">
        <v>3011</v>
      </c>
      <c r="AP313" t="s">
        <v>3012</v>
      </c>
      <c r="AQ313" t="s">
        <v>3013</v>
      </c>
      <c r="AR313" t="s">
        <v>1638</v>
      </c>
      <c r="AS313" t="s">
        <v>3014</v>
      </c>
    </row>
    <row r="314" spans="1:45" x14ac:dyDescent="0.45">
      <c r="A314">
        <v>313</v>
      </c>
      <c r="B314">
        <v>12657</v>
      </c>
      <c r="C314" t="s">
        <v>78</v>
      </c>
      <c r="D314" t="s">
        <v>189</v>
      </c>
      <c r="E314" t="s">
        <v>74</v>
      </c>
      <c r="F314" t="s">
        <v>77</v>
      </c>
      <c r="G314" t="s">
        <v>76</v>
      </c>
      <c r="H314">
        <v>16.672525263306586</v>
      </c>
      <c r="I314">
        <v>0</v>
      </c>
      <c r="J314">
        <v>6</v>
      </c>
      <c r="K314">
        <v>6</v>
      </c>
      <c r="L314">
        <v>0</v>
      </c>
      <c r="M314">
        <v>7</v>
      </c>
      <c r="N314">
        <v>6</v>
      </c>
      <c r="O314">
        <v>1</v>
      </c>
      <c r="P314">
        <v>8</v>
      </c>
      <c r="Q314">
        <v>7</v>
      </c>
      <c r="R314">
        <v>1</v>
      </c>
      <c r="S314">
        <v>9</v>
      </c>
      <c r="T314">
        <v>7</v>
      </c>
      <c r="U314">
        <v>2</v>
      </c>
      <c r="V314">
        <v>7</v>
      </c>
      <c r="W314">
        <v>7</v>
      </c>
      <c r="X314">
        <v>0</v>
      </c>
      <c r="Y314">
        <v>8</v>
      </c>
      <c r="Z314">
        <v>8</v>
      </c>
      <c r="AA314">
        <v>0</v>
      </c>
      <c r="AB314">
        <v>9</v>
      </c>
      <c r="AC314">
        <v>5</v>
      </c>
      <c r="AD314">
        <v>4</v>
      </c>
      <c r="AE314">
        <v>7</v>
      </c>
      <c r="AF314">
        <v>5</v>
      </c>
      <c r="AG314">
        <v>2</v>
      </c>
      <c r="AH314">
        <v>9</v>
      </c>
      <c r="AI314">
        <v>8</v>
      </c>
      <c r="AJ314">
        <v>1</v>
      </c>
      <c r="AK314" t="s">
        <v>3015</v>
      </c>
      <c r="AL314" t="s">
        <v>3016</v>
      </c>
      <c r="AM314" t="s">
        <v>3017</v>
      </c>
      <c r="AN314" t="s">
        <v>3018</v>
      </c>
      <c r="AO314" t="s">
        <v>3019</v>
      </c>
      <c r="AP314" t="s">
        <v>3020</v>
      </c>
      <c r="AQ314" t="s">
        <v>3021</v>
      </c>
      <c r="AR314" t="s">
        <v>3022</v>
      </c>
      <c r="AS314" t="s">
        <v>3023</v>
      </c>
    </row>
    <row r="315" spans="1:45" x14ac:dyDescent="0.45">
      <c r="A315">
        <v>314</v>
      </c>
      <c r="B315">
        <v>12658</v>
      </c>
      <c r="C315" t="s">
        <v>72</v>
      </c>
      <c r="D315" t="s">
        <v>189</v>
      </c>
      <c r="E315" t="s">
        <v>74</v>
      </c>
      <c r="F315" t="s">
        <v>77</v>
      </c>
      <c r="G315" t="s">
        <v>76</v>
      </c>
      <c r="H315">
        <v>16.853699332144384</v>
      </c>
      <c r="I315">
        <v>0</v>
      </c>
      <c r="J315">
        <v>6</v>
      </c>
      <c r="K315">
        <v>7</v>
      </c>
      <c r="L315">
        <v>-1</v>
      </c>
      <c r="M315">
        <v>7</v>
      </c>
      <c r="N315">
        <v>8</v>
      </c>
      <c r="O315">
        <v>-1</v>
      </c>
      <c r="P315">
        <v>8</v>
      </c>
      <c r="Q315">
        <v>8</v>
      </c>
      <c r="R315">
        <v>0</v>
      </c>
      <c r="S315">
        <v>9</v>
      </c>
      <c r="T315">
        <v>8</v>
      </c>
      <c r="U315">
        <v>1</v>
      </c>
      <c r="V315">
        <v>7</v>
      </c>
      <c r="W315">
        <v>5</v>
      </c>
      <c r="X315">
        <v>2</v>
      </c>
      <c r="Y315">
        <v>9</v>
      </c>
      <c r="Z315">
        <v>8</v>
      </c>
      <c r="AA315">
        <v>1</v>
      </c>
      <c r="AB315">
        <v>7</v>
      </c>
      <c r="AC315">
        <v>6</v>
      </c>
      <c r="AD315">
        <v>1</v>
      </c>
      <c r="AE315">
        <v>8</v>
      </c>
      <c r="AF315">
        <v>6</v>
      </c>
      <c r="AG315">
        <v>2</v>
      </c>
      <c r="AH315">
        <v>9</v>
      </c>
      <c r="AI315">
        <v>8</v>
      </c>
      <c r="AJ315">
        <v>1</v>
      </c>
      <c r="AK315" t="s">
        <v>3024</v>
      </c>
      <c r="AL315" t="s">
        <v>3025</v>
      </c>
      <c r="AM315" t="s">
        <v>3026</v>
      </c>
      <c r="AN315" t="s">
        <v>3027</v>
      </c>
      <c r="AO315" t="s">
        <v>3028</v>
      </c>
      <c r="AP315" t="s">
        <v>3029</v>
      </c>
      <c r="AQ315" t="s">
        <v>3030</v>
      </c>
      <c r="AR315" t="s">
        <v>3031</v>
      </c>
      <c r="AS315" t="s">
        <v>3032</v>
      </c>
    </row>
    <row r="316" spans="1:45" x14ac:dyDescent="0.45">
      <c r="A316">
        <v>315</v>
      </c>
      <c r="B316">
        <v>12659</v>
      </c>
      <c r="C316" t="s">
        <v>78</v>
      </c>
      <c r="D316" t="s">
        <v>189</v>
      </c>
      <c r="E316" t="s">
        <v>74</v>
      </c>
      <c r="F316" t="s">
        <v>77</v>
      </c>
      <c r="G316" t="s">
        <v>76</v>
      </c>
      <c r="H316">
        <v>19.883375120681503</v>
      </c>
      <c r="I316">
        <v>0</v>
      </c>
      <c r="J316">
        <v>7</v>
      </c>
      <c r="K316">
        <v>4</v>
      </c>
      <c r="L316">
        <v>3</v>
      </c>
      <c r="M316">
        <v>8</v>
      </c>
      <c r="N316">
        <v>5</v>
      </c>
      <c r="O316">
        <v>3</v>
      </c>
      <c r="P316">
        <v>9</v>
      </c>
      <c r="Q316">
        <v>5</v>
      </c>
      <c r="R316">
        <v>4</v>
      </c>
      <c r="S316">
        <v>10</v>
      </c>
      <c r="T316">
        <v>7</v>
      </c>
      <c r="U316">
        <v>3</v>
      </c>
      <c r="V316">
        <v>9</v>
      </c>
      <c r="W316">
        <v>5</v>
      </c>
      <c r="X316">
        <v>4</v>
      </c>
      <c r="Y316">
        <v>8</v>
      </c>
      <c r="Z316">
        <v>8</v>
      </c>
      <c r="AA316">
        <v>0</v>
      </c>
      <c r="AB316">
        <v>9</v>
      </c>
      <c r="AC316">
        <v>5</v>
      </c>
      <c r="AD316">
        <v>4</v>
      </c>
      <c r="AE316">
        <v>8</v>
      </c>
      <c r="AF316">
        <v>6</v>
      </c>
      <c r="AG316">
        <v>2</v>
      </c>
      <c r="AH316">
        <v>9</v>
      </c>
      <c r="AI316">
        <v>8</v>
      </c>
      <c r="AJ316">
        <v>1</v>
      </c>
      <c r="AK316" t="s">
        <v>3033</v>
      </c>
      <c r="AL316" t="s">
        <v>3034</v>
      </c>
      <c r="AM316" t="s">
        <v>3035</v>
      </c>
      <c r="AN316" t="s">
        <v>3036</v>
      </c>
      <c r="AO316" t="s">
        <v>3037</v>
      </c>
      <c r="AP316" t="s">
        <v>3038</v>
      </c>
      <c r="AQ316" t="s">
        <v>3039</v>
      </c>
      <c r="AR316" t="s">
        <v>3040</v>
      </c>
      <c r="AS316" t="s">
        <v>3041</v>
      </c>
    </row>
    <row r="317" spans="1:45" x14ac:dyDescent="0.45">
      <c r="A317">
        <v>316</v>
      </c>
      <c r="B317">
        <v>12660</v>
      </c>
      <c r="C317" t="s">
        <v>72</v>
      </c>
      <c r="D317" t="s">
        <v>81</v>
      </c>
      <c r="E317" t="s">
        <v>74</v>
      </c>
      <c r="F317" t="s">
        <v>77</v>
      </c>
      <c r="G317" t="s">
        <v>76</v>
      </c>
      <c r="H317">
        <v>23.434193889157577</v>
      </c>
      <c r="I317">
        <v>0</v>
      </c>
      <c r="J317">
        <v>7</v>
      </c>
      <c r="K317">
        <v>6</v>
      </c>
      <c r="L317">
        <v>1</v>
      </c>
      <c r="M317">
        <v>8</v>
      </c>
      <c r="N317">
        <v>8</v>
      </c>
      <c r="O317">
        <v>0</v>
      </c>
      <c r="P317">
        <v>9</v>
      </c>
      <c r="Q317">
        <v>5</v>
      </c>
      <c r="R317">
        <v>4</v>
      </c>
      <c r="S317">
        <v>9</v>
      </c>
      <c r="T317">
        <v>6</v>
      </c>
      <c r="U317">
        <v>3</v>
      </c>
      <c r="V317">
        <v>7</v>
      </c>
      <c r="W317">
        <v>6</v>
      </c>
      <c r="X317">
        <v>1</v>
      </c>
      <c r="Y317">
        <v>9</v>
      </c>
      <c r="Z317">
        <v>7</v>
      </c>
      <c r="AA317">
        <v>2</v>
      </c>
      <c r="AB317">
        <v>7</v>
      </c>
      <c r="AC317">
        <v>6</v>
      </c>
      <c r="AD317">
        <v>1</v>
      </c>
      <c r="AE317">
        <v>8</v>
      </c>
      <c r="AF317">
        <v>7</v>
      </c>
      <c r="AG317">
        <v>1</v>
      </c>
      <c r="AH317">
        <v>9</v>
      </c>
      <c r="AI317">
        <v>7</v>
      </c>
      <c r="AJ317">
        <v>2</v>
      </c>
      <c r="AK317" t="s">
        <v>3042</v>
      </c>
      <c r="AL317" t="s">
        <v>3043</v>
      </c>
      <c r="AM317" t="s">
        <v>3044</v>
      </c>
      <c r="AN317" t="s">
        <v>1626</v>
      </c>
      <c r="AO317" t="s">
        <v>3045</v>
      </c>
      <c r="AP317" t="s">
        <v>3046</v>
      </c>
      <c r="AQ317" t="s">
        <v>3047</v>
      </c>
      <c r="AR317" t="s">
        <v>3048</v>
      </c>
      <c r="AS317" t="s">
        <v>3049</v>
      </c>
    </row>
    <row r="318" spans="1:45" x14ac:dyDescent="0.45">
      <c r="A318">
        <v>317</v>
      </c>
      <c r="B318">
        <v>12661</v>
      </c>
      <c r="C318" t="s">
        <v>72</v>
      </c>
      <c r="D318" t="s">
        <v>189</v>
      </c>
      <c r="E318" t="s">
        <v>74</v>
      </c>
      <c r="F318" t="s">
        <v>77</v>
      </c>
      <c r="G318" t="s">
        <v>76</v>
      </c>
      <c r="H318">
        <v>13.189205483468264</v>
      </c>
      <c r="I318">
        <v>0</v>
      </c>
      <c r="J318">
        <v>8</v>
      </c>
      <c r="K318">
        <v>7</v>
      </c>
      <c r="L318">
        <v>1</v>
      </c>
      <c r="M318">
        <v>9</v>
      </c>
      <c r="N318">
        <v>7</v>
      </c>
      <c r="O318">
        <v>2</v>
      </c>
      <c r="P318">
        <v>8</v>
      </c>
      <c r="Q318">
        <v>5</v>
      </c>
      <c r="R318">
        <v>3</v>
      </c>
      <c r="S318">
        <v>9</v>
      </c>
      <c r="T318">
        <v>8</v>
      </c>
      <c r="U318">
        <v>1</v>
      </c>
      <c r="V318">
        <v>8</v>
      </c>
      <c r="W318">
        <v>5</v>
      </c>
      <c r="X318">
        <v>3</v>
      </c>
      <c r="Y318">
        <v>9</v>
      </c>
      <c r="Z318">
        <v>8</v>
      </c>
      <c r="AA318">
        <v>1</v>
      </c>
      <c r="AB318">
        <v>8</v>
      </c>
      <c r="AC318">
        <v>5</v>
      </c>
      <c r="AD318">
        <v>3</v>
      </c>
      <c r="AE318">
        <v>9</v>
      </c>
      <c r="AF318">
        <v>7</v>
      </c>
      <c r="AG318">
        <v>2</v>
      </c>
      <c r="AH318">
        <v>8</v>
      </c>
      <c r="AI318">
        <v>8</v>
      </c>
      <c r="AJ318">
        <v>0</v>
      </c>
      <c r="AK318" t="s">
        <v>3050</v>
      </c>
      <c r="AL318" t="s">
        <v>3051</v>
      </c>
      <c r="AM318" t="s">
        <v>3052</v>
      </c>
      <c r="AN318" t="s">
        <v>3053</v>
      </c>
      <c r="AO318" t="s">
        <v>3054</v>
      </c>
      <c r="AP318" t="s">
        <v>3055</v>
      </c>
      <c r="AQ318" t="s">
        <v>3056</v>
      </c>
      <c r="AR318" t="s">
        <v>3057</v>
      </c>
      <c r="AS318" t="s">
        <v>3058</v>
      </c>
    </row>
    <row r="319" spans="1:45" x14ac:dyDescent="0.45">
      <c r="A319">
        <v>318</v>
      </c>
      <c r="B319">
        <v>12662</v>
      </c>
      <c r="C319" t="s">
        <v>72</v>
      </c>
      <c r="D319" t="s">
        <v>81</v>
      </c>
      <c r="E319" t="s">
        <v>74</v>
      </c>
      <c r="F319" t="s">
        <v>75</v>
      </c>
      <c r="G319" t="s">
        <v>76</v>
      </c>
      <c r="H319">
        <v>21.746024411486641</v>
      </c>
      <c r="I319">
        <v>0</v>
      </c>
      <c r="J319">
        <v>7</v>
      </c>
      <c r="K319">
        <v>4</v>
      </c>
      <c r="L319">
        <v>3</v>
      </c>
      <c r="M319">
        <v>6</v>
      </c>
      <c r="N319">
        <v>4</v>
      </c>
      <c r="O319">
        <v>2</v>
      </c>
      <c r="P319">
        <v>8</v>
      </c>
      <c r="Q319">
        <v>6</v>
      </c>
      <c r="R319">
        <v>2</v>
      </c>
      <c r="S319">
        <v>9</v>
      </c>
      <c r="T319">
        <v>7</v>
      </c>
      <c r="U319">
        <v>2</v>
      </c>
      <c r="V319">
        <v>7</v>
      </c>
      <c r="W319">
        <v>5</v>
      </c>
      <c r="X319">
        <v>2</v>
      </c>
      <c r="Y319">
        <v>8</v>
      </c>
      <c r="Z319">
        <v>8</v>
      </c>
      <c r="AA319">
        <v>0</v>
      </c>
      <c r="AB319">
        <v>7</v>
      </c>
      <c r="AC319">
        <v>5</v>
      </c>
      <c r="AD319">
        <v>2</v>
      </c>
      <c r="AE319">
        <v>8</v>
      </c>
      <c r="AF319">
        <v>5</v>
      </c>
      <c r="AG319">
        <v>3</v>
      </c>
      <c r="AH319">
        <v>9</v>
      </c>
      <c r="AI319">
        <v>8</v>
      </c>
      <c r="AJ319">
        <v>1</v>
      </c>
      <c r="AK319" t="s">
        <v>3059</v>
      </c>
      <c r="AL319" t="s">
        <v>3060</v>
      </c>
      <c r="AM319" t="s">
        <v>3061</v>
      </c>
      <c r="AN319" t="s">
        <v>3062</v>
      </c>
      <c r="AO319" t="s">
        <v>3063</v>
      </c>
      <c r="AP319" t="s">
        <v>3064</v>
      </c>
      <c r="AQ319" t="s">
        <v>3065</v>
      </c>
      <c r="AR319" t="s">
        <v>3066</v>
      </c>
      <c r="AS319" t="s">
        <v>3067</v>
      </c>
    </row>
    <row r="320" spans="1:45" x14ac:dyDescent="0.45">
      <c r="A320">
        <v>319</v>
      </c>
      <c r="B320">
        <v>12663</v>
      </c>
      <c r="C320" t="s">
        <v>72</v>
      </c>
      <c r="D320" t="s">
        <v>189</v>
      </c>
      <c r="E320" t="s">
        <v>74</v>
      </c>
      <c r="F320" t="s">
        <v>77</v>
      </c>
      <c r="G320" t="s">
        <v>76</v>
      </c>
      <c r="H320">
        <v>15.418228397582919</v>
      </c>
      <c r="I320">
        <v>0</v>
      </c>
      <c r="J320">
        <v>7</v>
      </c>
      <c r="K320">
        <v>8</v>
      </c>
      <c r="L320">
        <v>-1</v>
      </c>
      <c r="M320">
        <v>9</v>
      </c>
      <c r="N320">
        <v>8</v>
      </c>
      <c r="O320">
        <v>1</v>
      </c>
      <c r="P320">
        <v>9</v>
      </c>
      <c r="Q320">
        <v>10</v>
      </c>
      <c r="R320">
        <v>-1</v>
      </c>
      <c r="S320">
        <v>10</v>
      </c>
      <c r="T320">
        <v>10</v>
      </c>
      <c r="U320">
        <v>0</v>
      </c>
      <c r="V320">
        <v>9</v>
      </c>
      <c r="W320">
        <v>9</v>
      </c>
      <c r="X320">
        <v>0</v>
      </c>
      <c r="Y320">
        <v>10</v>
      </c>
      <c r="Z320">
        <v>10</v>
      </c>
      <c r="AA320">
        <v>0</v>
      </c>
      <c r="AB320">
        <v>9</v>
      </c>
      <c r="AC320">
        <v>8</v>
      </c>
      <c r="AD320">
        <v>1</v>
      </c>
      <c r="AE320">
        <v>8</v>
      </c>
      <c r="AF320">
        <v>8</v>
      </c>
      <c r="AG320">
        <v>0</v>
      </c>
      <c r="AH320">
        <v>9</v>
      </c>
      <c r="AI320">
        <v>10</v>
      </c>
      <c r="AJ320">
        <v>-1</v>
      </c>
      <c r="AK320" t="s">
        <v>3068</v>
      </c>
      <c r="AL320" t="s">
        <v>3069</v>
      </c>
      <c r="AM320" t="s">
        <v>3070</v>
      </c>
      <c r="AN320" t="s">
        <v>3071</v>
      </c>
      <c r="AO320" t="s">
        <v>3072</v>
      </c>
      <c r="AP320" t="s">
        <v>3073</v>
      </c>
      <c r="AQ320" t="s">
        <v>3074</v>
      </c>
      <c r="AR320" t="s">
        <v>3075</v>
      </c>
      <c r="AS320" t="s">
        <v>3076</v>
      </c>
    </row>
    <row r="321" spans="1:45" x14ac:dyDescent="0.45">
      <c r="A321">
        <v>320</v>
      </c>
      <c r="B321">
        <v>12664</v>
      </c>
      <c r="C321" t="s">
        <v>78</v>
      </c>
      <c r="D321" t="s">
        <v>73</v>
      </c>
      <c r="E321" t="s">
        <v>74</v>
      </c>
      <c r="F321" t="s">
        <v>75</v>
      </c>
      <c r="G321" t="s">
        <v>76</v>
      </c>
      <c r="H321">
        <v>30.473517806818467</v>
      </c>
      <c r="I321">
        <v>0</v>
      </c>
      <c r="J321">
        <v>7</v>
      </c>
      <c r="K321">
        <v>5</v>
      </c>
      <c r="L321">
        <v>2</v>
      </c>
      <c r="M321">
        <v>8</v>
      </c>
      <c r="N321">
        <v>7</v>
      </c>
      <c r="O321">
        <v>1</v>
      </c>
      <c r="P321">
        <v>6</v>
      </c>
      <c r="Q321">
        <v>7</v>
      </c>
      <c r="R321">
        <v>-1</v>
      </c>
      <c r="S321">
        <v>9</v>
      </c>
      <c r="T321">
        <v>9</v>
      </c>
      <c r="U321">
        <v>0</v>
      </c>
      <c r="V321">
        <v>7</v>
      </c>
      <c r="W321">
        <v>5</v>
      </c>
      <c r="X321">
        <v>2</v>
      </c>
      <c r="Y321">
        <v>9</v>
      </c>
      <c r="Z321">
        <v>6</v>
      </c>
      <c r="AA321">
        <v>3</v>
      </c>
      <c r="AB321">
        <v>8</v>
      </c>
      <c r="AC321">
        <v>5</v>
      </c>
      <c r="AD321">
        <v>3</v>
      </c>
      <c r="AE321">
        <v>9</v>
      </c>
      <c r="AF321">
        <v>7</v>
      </c>
      <c r="AG321">
        <v>2</v>
      </c>
      <c r="AH321">
        <v>9</v>
      </c>
      <c r="AI321">
        <v>7</v>
      </c>
      <c r="AJ321">
        <v>2</v>
      </c>
      <c r="AK321" t="s">
        <v>3077</v>
      </c>
      <c r="AL321" t="s">
        <v>3078</v>
      </c>
      <c r="AM321" t="s">
        <v>3079</v>
      </c>
      <c r="AN321" t="s">
        <v>3080</v>
      </c>
      <c r="AO321" t="s">
        <v>3081</v>
      </c>
      <c r="AP321" t="s">
        <v>3082</v>
      </c>
      <c r="AQ321" t="s">
        <v>3083</v>
      </c>
      <c r="AR321" t="s">
        <v>3084</v>
      </c>
      <c r="AS321" t="s">
        <v>3085</v>
      </c>
    </row>
    <row r="322" spans="1:45" x14ac:dyDescent="0.45">
      <c r="A322">
        <v>321</v>
      </c>
      <c r="B322">
        <v>12665</v>
      </c>
      <c r="C322" t="s">
        <v>72</v>
      </c>
      <c r="D322" t="s">
        <v>189</v>
      </c>
      <c r="E322" t="s">
        <v>74</v>
      </c>
      <c r="F322" t="s">
        <v>77</v>
      </c>
      <c r="G322" t="s">
        <v>76</v>
      </c>
      <c r="H322">
        <v>16.256873801040314</v>
      </c>
      <c r="I322">
        <v>0</v>
      </c>
      <c r="J322">
        <v>7</v>
      </c>
      <c r="K322">
        <v>8</v>
      </c>
      <c r="L322">
        <v>-1</v>
      </c>
      <c r="M322">
        <v>6</v>
      </c>
      <c r="N322">
        <v>8</v>
      </c>
      <c r="O322">
        <v>-2</v>
      </c>
      <c r="P322">
        <v>8</v>
      </c>
      <c r="Q322">
        <v>7</v>
      </c>
      <c r="R322">
        <v>1</v>
      </c>
      <c r="S322">
        <v>9</v>
      </c>
      <c r="T322">
        <v>9</v>
      </c>
      <c r="U322">
        <v>0</v>
      </c>
      <c r="V322">
        <v>7</v>
      </c>
      <c r="W322">
        <v>9</v>
      </c>
      <c r="X322">
        <v>-2</v>
      </c>
      <c r="Y322">
        <v>9</v>
      </c>
      <c r="Z322">
        <v>9</v>
      </c>
      <c r="AA322">
        <v>0</v>
      </c>
      <c r="AB322">
        <v>8</v>
      </c>
      <c r="AC322">
        <v>7</v>
      </c>
      <c r="AD322">
        <v>1</v>
      </c>
      <c r="AE322">
        <v>7</v>
      </c>
      <c r="AF322">
        <v>9</v>
      </c>
      <c r="AG322">
        <v>-2</v>
      </c>
      <c r="AH322">
        <v>8</v>
      </c>
      <c r="AI322">
        <v>9</v>
      </c>
      <c r="AJ322">
        <v>-1</v>
      </c>
      <c r="AK322" t="s">
        <v>3086</v>
      </c>
      <c r="AL322" t="s">
        <v>3087</v>
      </c>
      <c r="AM322" t="s">
        <v>3088</v>
      </c>
      <c r="AN322" t="s">
        <v>3089</v>
      </c>
      <c r="AO322" t="s">
        <v>3090</v>
      </c>
      <c r="AP322" t="s">
        <v>3091</v>
      </c>
      <c r="AQ322" t="s">
        <v>3092</v>
      </c>
      <c r="AR322" t="s">
        <v>3093</v>
      </c>
      <c r="AS322" t="s">
        <v>3094</v>
      </c>
    </row>
    <row r="323" spans="1:45" x14ac:dyDescent="0.45">
      <c r="A323">
        <v>322</v>
      </c>
      <c r="B323">
        <v>12666</v>
      </c>
      <c r="C323" t="s">
        <v>78</v>
      </c>
      <c r="D323" t="s">
        <v>81</v>
      </c>
      <c r="E323" t="s">
        <v>74</v>
      </c>
      <c r="F323" t="s">
        <v>77</v>
      </c>
      <c r="G323" t="s">
        <v>76</v>
      </c>
      <c r="H323">
        <v>25.362896743820713</v>
      </c>
      <c r="I323">
        <v>0</v>
      </c>
      <c r="J323">
        <v>7</v>
      </c>
      <c r="K323">
        <v>5</v>
      </c>
      <c r="L323">
        <v>2</v>
      </c>
      <c r="M323">
        <v>6</v>
      </c>
      <c r="N323">
        <v>5</v>
      </c>
      <c r="O323">
        <v>1</v>
      </c>
      <c r="P323">
        <v>9</v>
      </c>
      <c r="Q323">
        <v>5</v>
      </c>
      <c r="R323">
        <v>4</v>
      </c>
      <c r="S323">
        <v>9</v>
      </c>
      <c r="T323">
        <v>7</v>
      </c>
      <c r="U323">
        <v>2</v>
      </c>
      <c r="V323">
        <v>8</v>
      </c>
      <c r="W323">
        <v>5</v>
      </c>
      <c r="X323">
        <v>3</v>
      </c>
      <c r="Y323">
        <v>9</v>
      </c>
      <c r="Z323">
        <v>7</v>
      </c>
      <c r="AA323">
        <v>2</v>
      </c>
      <c r="AB323">
        <v>8</v>
      </c>
      <c r="AC323">
        <v>5</v>
      </c>
      <c r="AD323">
        <v>3</v>
      </c>
      <c r="AE323">
        <v>9</v>
      </c>
      <c r="AF323">
        <v>5</v>
      </c>
      <c r="AG323">
        <v>4</v>
      </c>
      <c r="AH323">
        <v>8</v>
      </c>
      <c r="AI323">
        <v>7</v>
      </c>
      <c r="AJ323">
        <v>1</v>
      </c>
      <c r="AK323" t="s">
        <v>3095</v>
      </c>
      <c r="AL323" t="s">
        <v>3096</v>
      </c>
      <c r="AM323" t="s">
        <v>3097</v>
      </c>
      <c r="AN323" t="s">
        <v>3098</v>
      </c>
      <c r="AO323" t="s">
        <v>3099</v>
      </c>
      <c r="AP323" t="s">
        <v>3100</v>
      </c>
      <c r="AQ323" t="s">
        <v>253</v>
      </c>
      <c r="AR323" t="s">
        <v>3101</v>
      </c>
      <c r="AS323" t="s">
        <v>3102</v>
      </c>
    </row>
    <row r="324" spans="1:45" x14ac:dyDescent="0.45">
      <c r="A324">
        <v>323</v>
      </c>
      <c r="B324">
        <v>12667</v>
      </c>
      <c r="C324" t="s">
        <v>78</v>
      </c>
      <c r="D324" t="s">
        <v>81</v>
      </c>
      <c r="E324" t="s">
        <v>74</v>
      </c>
      <c r="F324" t="s">
        <v>75</v>
      </c>
      <c r="G324" t="s">
        <v>76</v>
      </c>
      <c r="H324">
        <v>23.326446966869465</v>
      </c>
      <c r="I324">
        <v>0</v>
      </c>
      <c r="J324">
        <v>7</v>
      </c>
      <c r="K324">
        <v>7</v>
      </c>
      <c r="L324">
        <v>0</v>
      </c>
      <c r="M324">
        <v>9</v>
      </c>
      <c r="N324">
        <v>7</v>
      </c>
      <c r="O324">
        <v>2</v>
      </c>
      <c r="P324">
        <v>8</v>
      </c>
      <c r="Q324">
        <v>8</v>
      </c>
      <c r="R324">
        <v>0</v>
      </c>
      <c r="S324">
        <v>9</v>
      </c>
      <c r="T324">
        <v>8</v>
      </c>
      <c r="U324">
        <v>1</v>
      </c>
      <c r="V324">
        <v>8</v>
      </c>
      <c r="W324">
        <v>6</v>
      </c>
      <c r="X324">
        <v>2</v>
      </c>
      <c r="Y324">
        <v>9</v>
      </c>
      <c r="Z324">
        <v>7</v>
      </c>
      <c r="AA324">
        <v>2</v>
      </c>
      <c r="AB324">
        <v>8</v>
      </c>
      <c r="AC324">
        <v>6</v>
      </c>
      <c r="AD324">
        <v>2</v>
      </c>
      <c r="AE324">
        <v>9</v>
      </c>
      <c r="AF324">
        <v>7</v>
      </c>
      <c r="AG324">
        <v>2</v>
      </c>
      <c r="AH324">
        <v>10</v>
      </c>
      <c r="AI324">
        <v>7</v>
      </c>
      <c r="AJ324">
        <v>3</v>
      </c>
      <c r="AK324" t="s">
        <v>3103</v>
      </c>
      <c r="AL324" t="s">
        <v>3104</v>
      </c>
      <c r="AM324" t="s">
        <v>3105</v>
      </c>
      <c r="AN324" t="s">
        <v>3106</v>
      </c>
      <c r="AO324" t="s">
        <v>3107</v>
      </c>
      <c r="AP324" t="s">
        <v>3108</v>
      </c>
      <c r="AQ324" t="s">
        <v>3109</v>
      </c>
      <c r="AR324" t="s">
        <v>3110</v>
      </c>
      <c r="AS324" t="s">
        <v>3111</v>
      </c>
    </row>
    <row r="325" spans="1:45" x14ac:dyDescent="0.45">
      <c r="A325">
        <v>324</v>
      </c>
      <c r="B325">
        <v>12668</v>
      </c>
      <c r="C325" t="s">
        <v>72</v>
      </c>
      <c r="D325" t="s">
        <v>189</v>
      </c>
      <c r="E325" t="s">
        <v>74</v>
      </c>
      <c r="F325" t="s">
        <v>77</v>
      </c>
      <c r="G325" t="s">
        <v>76</v>
      </c>
      <c r="H325">
        <v>12</v>
      </c>
      <c r="I325">
        <v>0</v>
      </c>
      <c r="J325">
        <v>7</v>
      </c>
      <c r="K325">
        <v>7</v>
      </c>
      <c r="L325">
        <v>0</v>
      </c>
      <c r="M325">
        <v>7</v>
      </c>
      <c r="N325">
        <v>7</v>
      </c>
      <c r="O325">
        <v>0</v>
      </c>
      <c r="P325">
        <v>9</v>
      </c>
      <c r="Q325">
        <v>5</v>
      </c>
      <c r="R325">
        <v>4</v>
      </c>
      <c r="S325">
        <v>9</v>
      </c>
      <c r="T325">
        <v>7</v>
      </c>
      <c r="U325">
        <v>2</v>
      </c>
      <c r="V325">
        <v>8</v>
      </c>
      <c r="W325">
        <v>7</v>
      </c>
      <c r="X325">
        <v>1</v>
      </c>
      <c r="Y325">
        <v>9</v>
      </c>
      <c r="Z325">
        <v>7</v>
      </c>
      <c r="AA325">
        <v>2</v>
      </c>
      <c r="AB325">
        <v>8</v>
      </c>
      <c r="AC325">
        <v>5</v>
      </c>
      <c r="AD325">
        <v>3</v>
      </c>
      <c r="AE325">
        <v>9</v>
      </c>
      <c r="AF325">
        <v>5</v>
      </c>
      <c r="AG325">
        <v>4</v>
      </c>
      <c r="AH325">
        <v>8</v>
      </c>
      <c r="AI325">
        <v>8</v>
      </c>
      <c r="AJ325">
        <v>0</v>
      </c>
      <c r="AK325" t="s">
        <v>3112</v>
      </c>
      <c r="AL325" t="s">
        <v>3113</v>
      </c>
      <c r="AM325" t="s">
        <v>3114</v>
      </c>
      <c r="AN325" t="s">
        <v>3115</v>
      </c>
      <c r="AO325" t="s">
        <v>3116</v>
      </c>
      <c r="AP325" t="s">
        <v>3117</v>
      </c>
      <c r="AQ325" t="s">
        <v>3118</v>
      </c>
      <c r="AR325" t="s">
        <v>3119</v>
      </c>
      <c r="AS325" t="s">
        <v>3120</v>
      </c>
    </row>
    <row r="326" spans="1:45" x14ac:dyDescent="0.45">
      <c r="A326">
        <v>325</v>
      </c>
      <c r="B326">
        <v>12669</v>
      </c>
      <c r="C326" t="s">
        <v>78</v>
      </c>
      <c r="D326" t="s">
        <v>73</v>
      </c>
      <c r="E326" t="s">
        <v>74</v>
      </c>
      <c r="F326" t="s">
        <v>77</v>
      </c>
      <c r="G326" t="s">
        <v>76</v>
      </c>
      <c r="H326">
        <v>35.101855093697857</v>
      </c>
      <c r="I326">
        <v>1</v>
      </c>
      <c r="J326">
        <v>6</v>
      </c>
      <c r="K326">
        <v>2</v>
      </c>
      <c r="L326">
        <v>4</v>
      </c>
      <c r="M326">
        <v>8</v>
      </c>
      <c r="N326">
        <v>2</v>
      </c>
      <c r="O326">
        <v>6</v>
      </c>
      <c r="P326">
        <v>7</v>
      </c>
      <c r="Q326">
        <v>6</v>
      </c>
      <c r="R326">
        <v>1</v>
      </c>
      <c r="S326">
        <v>9</v>
      </c>
      <c r="T326">
        <v>7</v>
      </c>
      <c r="U326">
        <v>2</v>
      </c>
      <c r="V326">
        <v>8</v>
      </c>
      <c r="W326">
        <v>2</v>
      </c>
      <c r="X326">
        <v>6</v>
      </c>
      <c r="Y326">
        <v>9</v>
      </c>
      <c r="Z326">
        <v>5</v>
      </c>
      <c r="AA326">
        <v>4</v>
      </c>
      <c r="AB326">
        <v>8</v>
      </c>
      <c r="AC326">
        <v>5</v>
      </c>
      <c r="AD326">
        <v>3</v>
      </c>
      <c r="AE326">
        <v>7</v>
      </c>
      <c r="AF326">
        <v>6</v>
      </c>
      <c r="AG326">
        <v>1</v>
      </c>
      <c r="AH326">
        <v>9</v>
      </c>
      <c r="AI326">
        <v>5</v>
      </c>
      <c r="AJ326">
        <v>4</v>
      </c>
      <c r="AK326" t="s">
        <v>3121</v>
      </c>
      <c r="AL326" t="s">
        <v>3122</v>
      </c>
      <c r="AM326" t="s">
        <v>3123</v>
      </c>
      <c r="AN326" t="s">
        <v>3124</v>
      </c>
      <c r="AO326" t="s">
        <v>3125</v>
      </c>
      <c r="AP326" t="s">
        <v>3126</v>
      </c>
      <c r="AQ326" t="s">
        <v>3127</v>
      </c>
      <c r="AR326" t="s">
        <v>3128</v>
      </c>
      <c r="AS326" t="s">
        <v>3129</v>
      </c>
    </row>
    <row r="327" spans="1:45" x14ac:dyDescent="0.45">
      <c r="A327">
        <v>326</v>
      </c>
      <c r="B327">
        <v>12670</v>
      </c>
      <c r="C327" t="s">
        <v>72</v>
      </c>
      <c r="D327" t="s">
        <v>79</v>
      </c>
      <c r="E327" t="s">
        <v>74</v>
      </c>
      <c r="F327" t="s">
        <v>77</v>
      </c>
      <c r="G327" t="s">
        <v>76</v>
      </c>
      <c r="H327">
        <v>58.561444966306951</v>
      </c>
      <c r="I327">
        <v>2</v>
      </c>
      <c r="J327">
        <v>7</v>
      </c>
      <c r="K327">
        <v>8</v>
      </c>
      <c r="L327">
        <v>-1</v>
      </c>
      <c r="M327">
        <v>7</v>
      </c>
      <c r="N327">
        <v>9</v>
      </c>
      <c r="O327">
        <v>-2</v>
      </c>
      <c r="P327">
        <v>9</v>
      </c>
      <c r="Q327">
        <v>9</v>
      </c>
      <c r="R327">
        <v>0</v>
      </c>
      <c r="S327">
        <v>9</v>
      </c>
      <c r="T327">
        <v>10</v>
      </c>
      <c r="U327">
        <v>-1</v>
      </c>
      <c r="V327">
        <v>8</v>
      </c>
      <c r="W327">
        <v>8</v>
      </c>
      <c r="X327">
        <v>0</v>
      </c>
      <c r="Y327">
        <v>9</v>
      </c>
      <c r="Z327">
        <v>10</v>
      </c>
      <c r="AA327">
        <v>-1</v>
      </c>
      <c r="AB327">
        <v>8</v>
      </c>
      <c r="AC327">
        <v>9</v>
      </c>
      <c r="AD327">
        <v>-1</v>
      </c>
      <c r="AE327">
        <v>7</v>
      </c>
      <c r="AF327">
        <v>9</v>
      </c>
      <c r="AG327">
        <v>-2</v>
      </c>
      <c r="AH327">
        <v>9</v>
      </c>
      <c r="AI327">
        <v>10</v>
      </c>
      <c r="AJ327">
        <v>-1</v>
      </c>
      <c r="AK327" t="s">
        <v>3130</v>
      </c>
      <c r="AL327" t="s">
        <v>3131</v>
      </c>
      <c r="AM327" t="s">
        <v>3132</v>
      </c>
      <c r="AN327" t="s">
        <v>3133</v>
      </c>
      <c r="AO327" t="s">
        <v>3134</v>
      </c>
      <c r="AP327" t="s">
        <v>3135</v>
      </c>
      <c r="AQ327" t="s">
        <v>3136</v>
      </c>
      <c r="AR327" t="s">
        <v>3137</v>
      </c>
      <c r="AS327" t="s">
        <v>3138</v>
      </c>
    </row>
    <row r="328" spans="1:45" x14ac:dyDescent="0.45">
      <c r="A328">
        <v>327</v>
      </c>
      <c r="B328">
        <v>12671</v>
      </c>
      <c r="C328" t="s">
        <v>72</v>
      </c>
      <c r="D328" t="s">
        <v>81</v>
      </c>
      <c r="E328" t="s">
        <v>74</v>
      </c>
      <c r="F328" t="s">
        <v>77</v>
      </c>
      <c r="G328" t="s">
        <v>76</v>
      </c>
      <c r="H328">
        <v>19.035889284805496</v>
      </c>
      <c r="I328">
        <v>0</v>
      </c>
      <c r="J328">
        <v>7</v>
      </c>
      <c r="K328">
        <v>7</v>
      </c>
      <c r="L328">
        <v>0</v>
      </c>
      <c r="M328">
        <v>6</v>
      </c>
      <c r="N328">
        <v>7</v>
      </c>
      <c r="O328">
        <v>-1</v>
      </c>
      <c r="P328">
        <v>9</v>
      </c>
      <c r="Q328">
        <v>7</v>
      </c>
      <c r="R328">
        <v>2</v>
      </c>
      <c r="S328">
        <v>8</v>
      </c>
      <c r="T328">
        <v>9</v>
      </c>
      <c r="U328">
        <v>-1</v>
      </c>
      <c r="V328">
        <v>5</v>
      </c>
      <c r="W328">
        <v>7</v>
      </c>
      <c r="X328">
        <v>-2</v>
      </c>
      <c r="Y328">
        <v>7</v>
      </c>
      <c r="Z328">
        <v>8</v>
      </c>
      <c r="AA328">
        <v>-1</v>
      </c>
      <c r="AB328">
        <v>6</v>
      </c>
      <c r="AC328">
        <v>5</v>
      </c>
      <c r="AD328">
        <v>1</v>
      </c>
      <c r="AE328">
        <v>5</v>
      </c>
      <c r="AF328">
        <v>7</v>
      </c>
      <c r="AG328">
        <v>-2</v>
      </c>
      <c r="AH328">
        <v>9</v>
      </c>
      <c r="AI328">
        <v>8</v>
      </c>
      <c r="AJ328">
        <v>1</v>
      </c>
      <c r="AK328" t="s">
        <v>3139</v>
      </c>
      <c r="AL328" t="s">
        <v>3140</v>
      </c>
      <c r="AM328" t="s">
        <v>3141</v>
      </c>
      <c r="AN328" t="s">
        <v>3142</v>
      </c>
      <c r="AO328" t="s">
        <v>3143</v>
      </c>
      <c r="AP328" t="s">
        <v>3144</v>
      </c>
      <c r="AQ328" t="s">
        <v>3145</v>
      </c>
      <c r="AR328" t="s">
        <v>3146</v>
      </c>
      <c r="AS328" t="s">
        <v>3147</v>
      </c>
    </row>
    <row r="329" spans="1:45" x14ac:dyDescent="0.45">
      <c r="A329">
        <v>328</v>
      </c>
      <c r="B329">
        <v>12672</v>
      </c>
      <c r="C329" t="s">
        <v>78</v>
      </c>
      <c r="D329" t="s">
        <v>79</v>
      </c>
      <c r="E329" t="s">
        <v>74</v>
      </c>
      <c r="F329" t="s">
        <v>75</v>
      </c>
      <c r="G329" t="s">
        <v>76</v>
      </c>
      <c r="H329">
        <v>83.392659369885664</v>
      </c>
      <c r="I329">
        <v>3</v>
      </c>
      <c r="J329">
        <v>8</v>
      </c>
      <c r="K329">
        <v>7</v>
      </c>
      <c r="L329">
        <v>1</v>
      </c>
      <c r="M329">
        <v>7</v>
      </c>
      <c r="N329">
        <v>8</v>
      </c>
      <c r="O329">
        <v>-1</v>
      </c>
      <c r="P329">
        <v>9</v>
      </c>
      <c r="Q329">
        <v>9</v>
      </c>
      <c r="R329">
        <v>0</v>
      </c>
      <c r="S329">
        <v>10</v>
      </c>
      <c r="T329">
        <v>9</v>
      </c>
      <c r="U329">
        <v>1</v>
      </c>
      <c r="V329">
        <v>7</v>
      </c>
      <c r="W329">
        <v>9</v>
      </c>
      <c r="X329">
        <v>-2</v>
      </c>
      <c r="Y329">
        <v>9</v>
      </c>
      <c r="Z329">
        <v>8</v>
      </c>
      <c r="AA329">
        <v>1</v>
      </c>
      <c r="AB329">
        <v>8</v>
      </c>
      <c r="AC329">
        <v>7</v>
      </c>
      <c r="AD329">
        <v>1</v>
      </c>
      <c r="AE329">
        <v>7</v>
      </c>
      <c r="AF329">
        <v>7</v>
      </c>
      <c r="AG329">
        <v>0</v>
      </c>
      <c r="AH329">
        <v>9</v>
      </c>
      <c r="AI329">
        <v>9</v>
      </c>
      <c r="AJ329">
        <v>0</v>
      </c>
      <c r="AK329" t="s">
        <v>3148</v>
      </c>
      <c r="AL329" t="s">
        <v>3149</v>
      </c>
      <c r="AM329" t="s">
        <v>3150</v>
      </c>
      <c r="AN329" t="s">
        <v>3151</v>
      </c>
      <c r="AO329" t="s">
        <v>3152</v>
      </c>
      <c r="AP329" t="s">
        <v>3153</v>
      </c>
      <c r="AQ329" t="s">
        <v>3154</v>
      </c>
      <c r="AR329" t="s">
        <v>3155</v>
      </c>
      <c r="AS329" t="s">
        <v>3156</v>
      </c>
    </row>
    <row r="330" spans="1:45" x14ac:dyDescent="0.45">
      <c r="A330">
        <v>329</v>
      </c>
      <c r="B330">
        <v>12673</v>
      </c>
      <c r="C330" t="s">
        <v>72</v>
      </c>
      <c r="D330" t="s">
        <v>81</v>
      </c>
      <c r="E330" t="s">
        <v>74</v>
      </c>
      <c r="F330" t="s">
        <v>77</v>
      </c>
      <c r="G330" t="s">
        <v>76</v>
      </c>
      <c r="H330">
        <v>13.491123587526593</v>
      </c>
      <c r="I330">
        <v>0</v>
      </c>
      <c r="J330">
        <v>7</v>
      </c>
      <c r="K330">
        <v>7</v>
      </c>
      <c r="L330">
        <v>0</v>
      </c>
      <c r="M330">
        <v>6</v>
      </c>
      <c r="N330">
        <v>7</v>
      </c>
      <c r="O330">
        <v>-1</v>
      </c>
      <c r="P330">
        <v>8</v>
      </c>
      <c r="Q330">
        <v>9</v>
      </c>
      <c r="R330">
        <v>-1</v>
      </c>
      <c r="S330">
        <v>9</v>
      </c>
      <c r="T330">
        <v>9</v>
      </c>
      <c r="U330">
        <v>0</v>
      </c>
      <c r="V330">
        <v>7</v>
      </c>
      <c r="W330">
        <v>9</v>
      </c>
      <c r="X330">
        <v>-2</v>
      </c>
      <c r="Y330">
        <v>8</v>
      </c>
      <c r="Z330">
        <v>9</v>
      </c>
      <c r="AA330">
        <v>-1</v>
      </c>
      <c r="AB330">
        <v>7</v>
      </c>
      <c r="AC330">
        <v>5</v>
      </c>
      <c r="AD330">
        <v>2</v>
      </c>
      <c r="AE330">
        <v>6</v>
      </c>
      <c r="AF330">
        <v>6</v>
      </c>
      <c r="AG330">
        <v>0</v>
      </c>
      <c r="AH330">
        <v>8</v>
      </c>
      <c r="AI330">
        <v>9</v>
      </c>
      <c r="AJ330">
        <v>-1</v>
      </c>
      <c r="AK330" t="s">
        <v>3157</v>
      </c>
      <c r="AL330" t="s">
        <v>3158</v>
      </c>
      <c r="AM330" t="s">
        <v>3159</v>
      </c>
      <c r="AN330" t="s">
        <v>3160</v>
      </c>
      <c r="AO330" t="s">
        <v>3161</v>
      </c>
      <c r="AP330" t="s">
        <v>3162</v>
      </c>
      <c r="AQ330" t="s">
        <v>3163</v>
      </c>
      <c r="AR330" t="s">
        <v>3164</v>
      </c>
      <c r="AS330" t="s">
        <v>3165</v>
      </c>
    </row>
    <row r="331" spans="1:45" x14ac:dyDescent="0.45">
      <c r="A331">
        <v>330</v>
      </c>
      <c r="B331">
        <v>12674</v>
      </c>
      <c r="C331" t="s">
        <v>78</v>
      </c>
      <c r="D331" t="s">
        <v>189</v>
      </c>
      <c r="E331" t="s">
        <v>74</v>
      </c>
      <c r="F331" t="s">
        <v>77</v>
      </c>
      <c r="G331" t="s">
        <v>76</v>
      </c>
      <c r="H331">
        <v>13.455637584605176</v>
      </c>
      <c r="I331">
        <v>0</v>
      </c>
      <c r="J331">
        <v>6</v>
      </c>
      <c r="K331">
        <v>3</v>
      </c>
      <c r="L331">
        <v>3</v>
      </c>
      <c r="M331">
        <v>6</v>
      </c>
      <c r="N331">
        <v>3</v>
      </c>
      <c r="O331">
        <v>3</v>
      </c>
      <c r="P331">
        <v>9</v>
      </c>
      <c r="Q331">
        <v>5</v>
      </c>
      <c r="R331">
        <v>4</v>
      </c>
      <c r="S331">
        <v>8</v>
      </c>
      <c r="T331">
        <v>6</v>
      </c>
      <c r="U331">
        <v>2</v>
      </c>
      <c r="V331">
        <v>9</v>
      </c>
      <c r="W331">
        <v>4</v>
      </c>
      <c r="X331">
        <v>5</v>
      </c>
      <c r="Y331">
        <v>8</v>
      </c>
      <c r="Z331">
        <v>5</v>
      </c>
      <c r="AA331">
        <v>3</v>
      </c>
      <c r="AB331">
        <v>9</v>
      </c>
      <c r="AC331">
        <v>5</v>
      </c>
      <c r="AD331">
        <v>4</v>
      </c>
      <c r="AE331">
        <v>8</v>
      </c>
      <c r="AF331">
        <v>5</v>
      </c>
      <c r="AG331">
        <v>3</v>
      </c>
      <c r="AH331">
        <v>9</v>
      </c>
      <c r="AI331">
        <v>5</v>
      </c>
      <c r="AJ331">
        <v>4</v>
      </c>
      <c r="AK331" t="s">
        <v>3166</v>
      </c>
      <c r="AL331" t="s">
        <v>3167</v>
      </c>
      <c r="AM331" t="s">
        <v>3168</v>
      </c>
      <c r="AN331" t="s">
        <v>3169</v>
      </c>
      <c r="AO331" t="s">
        <v>3170</v>
      </c>
      <c r="AP331" t="s">
        <v>3171</v>
      </c>
      <c r="AQ331" t="s">
        <v>3172</v>
      </c>
      <c r="AR331" t="s">
        <v>3173</v>
      </c>
      <c r="AS331" t="s">
        <v>3174</v>
      </c>
    </row>
    <row r="332" spans="1:45" x14ac:dyDescent="0.45">
      <c r="A332">
        <v>331</v>
      </c>
      <c r="B332">
        <v>12675</v>
      </c>
      <c r="C332" t="s">
        <v>78</v>
      </c>
      <c r="D332" t="s">
        <v>73</v>
      </c>
      <c r="E332" t="s">
        <v>74</v>
      </c>
      <c r="F332" t="s">
        <v>77</v>
      </c>
      <c r="G332" t="s">
        <v>76</v>
      </c>
      <c r="H332">
        <v>26.633126491530575</v>
      </c>
      <c r="I332">
        <v>1</v>
      </c>
      <c r="J332">
        <v>8</v>
      </c>
      <c r="K332">
        <v>4</v>
      </c>
      <c r="L332">
        <v>4</v>
      </c>
      <c r="M332">
        <v>8</v>
      </c>
      <c r="N332">
        <v>4</v>
      </c>
      <c r="O332">
        <v>4</v>
      </c>
      <c r="P332">
        <v>9</v>
      </c>
      <c r="Q332">
        <v>5</v>
      </c>
      <c r="R332">
        <v>4</v>
      </c>
      <c r="S332">
        <v>9</v>
      </c>
      <c r="T332">
        <v>6</v>
      </c>
      <c r="U332">
        <v>3</v>
      </c>
      <c r="V332">
        <v>7</v>
      </c>
      <c r="W332">
        <v>4</v>
      </c>
      <c r="X332">
        <v>3</v>
      </c>
      <c r="Y332">
        <v>8</v>
      </c>
      <c r="Z332">
        <v>5</v>
      </c>
      <c r="AA332">
        <v>3</v>
      </c>
      <c r="AB332">
        <v>7</v>
      </c>
      <c r="AC332">
        <v>3</v>
      </c>
      <c r="AD332">
        <v>4</v>
      </c>
      <c r="AE332">
        <v>8</v>
      </c>
      <c r="AF332">
        <v>4</v>
      </c>
      <c r="AG332">
        <v>4</v>
      </c>
      <c r="AH332">
        <v>9</v>
      </c>
      <c r="AI332">
        <v>5</v>
      </c>
      <c r="AJ332">
        <v>4</v>
      </c>
      <c r="AK332" t="s">
        <v>3175</v>
      </c>
      <c r="AL332" t="s">
        <v>3176</v>
      </c>
      <c r="AM332" t="s">
        <v>3177</v>
      </c>
      <c r="AN332" t="s">
        <v>3178</v>
      </c>
      <c r="AO332" t="s">
        <v>3179</v>
      </c>
      <c r="AP332" t="s">
        <v>3180</v>
      </c>
      <c r="AQ332" t="s">
        <v>3181</v>
      </c>
      <c r="AR332" t="s">
        <v>3182</v>
      </c>
      <c r="AS332" t="s">
        <v>3183</v>
      </c>
    </row>
    <row r="333" spans="1:45" x14ac:dyDescent="0.45">
      <c r="A333">
        <v>332</v>
      </c>
      <c r="B333">
        <v>12676</v>
      </c>
      <c r="C333" t="s">
        <v>72</v>
      </c>
      <c r="D333" t="s">
        <v>189</v>
      </c>
      <c r="E333" t="s">
        <v>74</v>
      </c>
      <c r="F333" t="s">
        <v>77</v>
      </c>
      <c r="G333" t="s">
        <v>76</v>
      </c>
      <c r="H333">
        <v>21.494607292331743</v>
      </c>
      <c r="I333">
        <v>0</v>
      </c>
      <c r="J333">
        <v>7</v>
      </c>
      <c r="K333">
        <v>7</v>
      </c>
      <c r="L333">
        <v>0</v>
      </c>
      <c r="M333">
        <v>8</v>
      </c>
      <c r="N333">
        <v>7</v>
      </c>
      <c r="O333">
        <v>1</v>
      </c>
      <c r="P333">
        <v>9</v>
      </c>
      <c r="Q333">
        <v>9</v>
      </c>
      <c r="R333">
        <v>0</v>
      </c>
      <c r="S333">
        <v>8</v>
      </c>
      <c r="T333">
        <v>9</v>
      </c>
      <c r="U333">
        <v>-1</v>
      </c>
      <c r="V333">
        <v>9</v>
      </c>
      <c r="W333">
        <v>8</v>
      </c>
      <c r="X333">
        <v>1</v>
      </c>
      <c r="Y333">
        <v>8</v>
      </c>
      <c r="Z333">
        <v>9</v>
      </c>
      <c r="AA333">
        <v>-1</v>
      </c>
      <c r="AB333">
        <v>9</v>
      </c>
      <c r="AC333">
        <v>7</v>
      </c>
      <c r="AD333">
        <v>2</v>
      </c>
      <c r="AE333">
        <v>7</v>
      </c>
      <c r="AF333">
        <v>9</v>
      </c>
      <c r="AG333">
        <v>-2</v>
      </c>
      <c r="AH333">
        <v>9</v>
      </c>
      <c r="AI333">
        <v>9</v>
      </c>
      <c r="AJ333">
        <v>0</v>
      </c>
      <c r="AK333" t="s">
        <v>3184</v>
      </c>
      <c r="AL333" t="s">
        <v>3185</v>
      </c>
      <c r="AM333" t="s">
        <v>3186</v>
      </c>
      <c r="AN333" t="s">
        <v>3187</v>
      </c>
      <c r="AO333" t="s">
        <v>3188</v>
      </c>
      <c r="AP333" t="s">
        <v>3189</v>
      </c>
      <c r="AQ333" t="s">
        <v>3190</v>
      </c>
      <c r="AR333" t="s">
        <v>3191</v>
      </c>
      <c r="AS333" t="s">
        <v>3192</v>
      </c>
    </row>
    <row r="334" spans="1:45" x14ac:dyDescent="0.45">
      <c r="A334">
        <v>333</v>
      </c>
      <c r="B334">
        <v>12677</v>
      </c>
      <c r="C334" t="s">
        <v>78</v>
      </c>
      <c r="D334" t="s">
        <v>79</v>
      </c>
      <c r="E334" t="s">
        <v>74</v>
      </c>
      <c r="F334" t="s">
        <v>75</v>
      </c>
      <c r="G334" t="s">
        <v>76</v>
      </c>
      <c r="H334">
        <v>86.95655635314948</v>
      </c>
      <c r="I334">
        <v>1</v>
      </c>
      <c r="J334">
        <v>6</v>
      </c>
      <c r="K334">
        <v>6</v>
      </c>
      <c r="L334">
        <v>0</v>
      </c>
      <c r="M334">
        <v>8</v>
      </c>
      <c r="N334">
        <v>6</v>
      </c>
      <c r="O334">
        <v>2</v>
      </c>
      <c r="P334">
        <v>9</v>
      </c>
      <c r="Q334">
        <v>8</v>
      </c>
      <c r="R334">
        <v>1</v>
      </c>
      <c r="S334">
        <v>8</v>
      </c>
      <c r="T334">
        <v>8</v>
      </c>
      <c r="U334">
        <v>0</v>
      </c>
      <c r="V334">
        <v>7</v>
      </c>
      <c r="W334">
        <v>6</v>
      </c>
      <c r="X334">
        <v>1</v>
      </c>
      <c r="Y334">
        <v>9</v>
      </c>
      <c r="Z334">
        <v>7</v>
      </c>
      <c r="AA334">
        <v>2</v>
      </c>
      <c r="AB334">
        <v>7</v>
      </c>
      <c r="AC334">
        <v>6</v>
      </c>
      <c r="AD334">
        <v>1</v>
      </c>
      <c r="AE334">
        <v>8</v>
      </c>
      <c r="AF334">
        <v>7</v>
      </c>
      <c r="AG334">
        <v>1</v>
      </c>
      <c r="AH334">
        <v>9</v>
      </c>
      <c r="AI334">
        <v>7</v>
      </c>
      <c r="AJ334">
        <v>2</v>
      </c>
      <c r="AK334" t="s">
        <v>3193</v>
      </c>
      <c r="AL334" t="s">
        <v>3194</v>
      </c>
      <c r="AM334" t="s">
        <v>3195</v>
      </c>
      <c r="AN334" t="s">
        <v>3196</v>
      </c>
      <c r="AO334" t="s">
        <v>3197</v>
      </c>
      <c r="AP334" t="s">
        <v>3198</v>
      </c>
      <c r="AQ334" t="s">
        <v>3199</v>
      </c>
      <c r="AR334" t="s">
        <v>3200</v>
      </c>
      <c r="AS334" t="s">
        <v>3201</v>
      </c>
    </row>
    <row r="335" spans="1:45" x14ac:dyDescent="0.45">
      <c r="A335">
        <v>334</v>
      </c>
      <c r="B335">
        <v>12678</v>
      </c>
      <c r="C335" t="s">
        <v>72</v>
      </c>
      <c r="D335" t="s">
        <v>191</v>
      </c>
      <c r="E335" t="s">
        <v>74</v>
      </c>
      <c r="F335" t="s">
        <v>75</v>
      </c>
      <c r="G335" t="s">
        <v>162</v>
      </c>
      <c r="H335">
        <v>143.22514320672158</v>
      </c>
      <c r="I335">
        <v>3</v>
      </c>
      <c r="J335">
        <v>6</v>
      </c>
      <c r="K335">
        <v>2</v>
      </c>
      <c r="L335">
        <v>4</v>
      </c>
      <c r="M335">
        <v>7</v>
      </c>
      <c r="N335">
        <v>2</v>
      </c>
      <c r="O335">
        <v>5</v>
      </c>
      <c r="P335">
        <v>5</v>
      </c>
      <c r="Q335">
        <v>3</v>
      </c>
      <c r="R335">
        <v>2</v>
      </c>
      <c r="S335">
        <v>8</v>
      </c>
      <c r="T335">
        <v>5</v>
      </c>
      <c r="U335">
        <v>3</v>
      </c>
      <c r="V335">
        <v>6</v>
      </c>
      <c r="W335">
        <v>1</v>
      </c>
      <c r="X335">
        <v>5</v>
      </c>
      <c r="Y335">
        <v>9</v>
      </c>
      <c r="Z335">
        <v>1</v>
      </c>
      <c r="AA335">
        <v>8</v>
      </c>
      <c r="AB335">
        <v>7</v>
      </c>
      <c r="AC335">
        <v>1</v>
      </c>
      <c r="AD335">
        <v>6</v>
      </c>
      <c r="AE335">
        <v>6</v>
      </c>
      <c r="AF335">
        <v>3</v>
      </c>
      <c r="AG335">
        <v>3</v>
      </c>
      <c r="AH335">
        <v>8</v>
      </c>
      <c r="AI335">
        <v>1</v>
      </c>
      <c r="AJ335">
        <v>7</v>
      </c>
      <c r="AK335" t="s">
        <v>3202</v>
      </c>
      <c r="AL335" t="s">
        <v>3203</v>
      </c>
      <c r="AM335" t="s">
        <v>3204</v>
      </c>
      <c r="AN335" t="s">
        <v>3205</v>
      </c>
      <c r="AO335" t="s">
        <v>3206</v>
      </c>
      <c r="AP335" t="s">
        <v>3207</v>
      </c>
      <c r="AQ335" t="s">
        <v>3208</v>
      </c>
      <c r="AR335" t="s">
        <v>3209</v>
      </c>
      <c r="AS335" t="s">
        <v>3210</v>
      </c>
    </row>
    <row r="336" spans="1:45" x14ac:dyDescent="0.45">
      <c r="A336">
        <v>335</v>
      </c>
      <c r="B336">
        <v>12679</v>
      </c>
      <c r="C336" t="s">
        <v>78</v>
      </c>
      <c r="D336" t="s">
        <v>189</v>
      </c>
      <c r="E336" t="s">
        <v>74</v>
      </c>
      <c r="F336" t="s">
        <v>77</v>
      </c>
      <c r="G336" t="s">
        <v>76</v>
      </c>
      <c r="H336">
        <v>14.806608746231747</v>
      </c>
      <c r="I336">
        <v>0</v>
      </c>
      <c r="J336">
        <v>7</v>
      </c>
      <c r="K336">
        <v>7</v>
      </c>
      <c r="L336">
        <v>0</v>
      </c>
      <c r="M336">
        <v>8</v>
      </c>
      <c r="N336">
        <v>7</v>
      </c>
      <c r="O336">
        <v>1</v>
      </c>
      <c r="P336">
        <v>6</v>
      </c>
      <c r="Q336">
        <v>8</v>
      </c>
      <c r="R336">
        <v>-2</v>
      </c>
      <c r="S336">
        <v>9</v>
      </c>
      <c r="T336">
        <v>10</v>
      </c>
      <c r="U336">
        <v>-1</v>
      </c>
      <c r="V336">
        <v>7</v>
      </c>
      <c r="W336">
        <v>9</v>
      </c>
      <c r="X336">
        <v>-2</v>
      </c>
      <c r="Y336">
        <v>8</v>
      </c>
      <c r="Z336">
        <v>10</v>
      </c>
      <c r="AA336">
        <v>-2</v>
      </c>
      <c r="AB336">
        <v>7</v>
      </c>
      <c r="AC336">
        <v>8</v>
      </c>
      <c r="AD336">
        <v>-1</v>
      </c>
      <c r="AE336">
        <v>8</v>
      </c>
      <c r="AF336">
        <v>8</v>
      </c>
      <c r="AG336">
        <v>0</v>
      </c>
      <c r="AH336">
        <v>9</v>
      </c>
      <c r="AI336">
        <v>10</v>
      </c>
      <c r="AJ336">
        <v>-1</v>
      </c>
      <c r="AK336" t="s">
        <v>3211</v>
      </c>
      <c r="AL336" t="s">
        <v>3212</v>
      </c>
      <c r="AM336" t="s">
        <v>3213</v>
      </c>
      <c r="AN336" t="s">
        <v>3214</v>
      </c>
      <c r="AO336" t="s">
        <v>3215</v>
      </c>
      <c r="AP336" t="s">
        <v>3216</v>
      </c>
      <c r="AQ336" t="s">
        <v>3217</v>
      </c>
      <c r="AR336" t="s">
        <v>3218</v>
      </c>
      <c r="AS336" t="s">
        <v>3219</v>
      </c>
    </row>
    <row r="337" spans="1:45" x14ac:dyDescent="0.45">
      <c r="A337">
        <v>336</v>
      </c>
      <c r="B337">
        <v>12680</v>
      </c>
      <c r="C337" t="s">
        <v>72</v>
      </c>
      <c r="D337" t="s">
        <v>81</v>
      </c>
      <c r="E337" t="s">
        <v>74</v>
      </c>
      <c r="F337" t="s">
        <v>77</v>
      </c>
      <c r="G337" t="s">
        <v>76</v>
      </c>
      <c r="H337">
        <v>20.793069406099796</v>
      </c>
      <c r="I337">
        <v>0</v>
      </c>
      <c r="J337">
        <v>7</v>
      </c>
      <c r="K337">
        <v>4</v>
      </c>
      <c r="L337">
        <v>3</v>
      </c>
      <c r="M337">
        <v>8</v>
      </c>
      <c r="N337">
        <v>5</v>
      </c>
      <c r="O337">
        <v>3</v>
      </c>
      <c r="P337">
        <v>9</v>
      </c>
      <c r="Q337">
        <v>5</v>
      </c>
      <c r="R337">
        <v>4</v>
      </c>
      <c r="S337">
        <v>9</v>
      </c>
      <c r="T337">
        <v>6</v>
      </c>
      <c r="U337">
        <v>3</v>
      </c>
      <c r="V337">
        <v>8</v>
      </c>
      <c r="W337">
        <v>5</v>
      </c>
      <c r="X337">
        <v>3</v>
      </c>
      <c r="Y337">
        <v>9</v>
      </c>
      <c r="Z337">
        <v>6</v>
      </c>
      <c r="AA337">
        <v>3</v>
      </c>
      <c r="AB337">
        <v>8</v>
      </c>
      <c r="AC337">
        <v>5</v>
      </c>
      <c r="AD337">
        <v>3</v>
      </c>
      <c r="AE337">
        <v>7</v>
      </c>
      <c r="AF337">
        <v>5</v>
      </c>
      <c r="AG337">
        <v>2</v>
      </c>
      <c r="AH337">
        <v>9</v>
      </c>
      <c r="AI337">
        <v>6</v>
      </c>
      <c r="AJ337">
        <v>3</v>
      </c>
      <c r="AK337" t="s">
        <v>3220</v>
      </c>
      <c r="AL337" t="s">
        <v>3221</v>
      </c>
      <c r="AM337" t="s">
        <v>264</v>
      </c>
      <c r="AN337" t="s">
        <v>3222</v>
      </c>
      <c r="AO337" t="s">
        <v>570</v>
      </c>
      <c r="AP337" t="s">
        <v>3223</v>
      </c>
      <c r="AQ337" t="s">
        <v>3224</v>
      </c>
      <c r="AR337" t="s">
        <v>3225</v>
      </c>
      <c r="AS337" t="s">
        <v>3226</v>
      </c>
    </row>
    <row r="338" spans="1:45" x14ac:dyDescent="0.45">
      <c r="A338">
        <v>337</v>
      </c>
      <c r="B338">
        <v>12681</v>
      </c>
      <c r="C338" t="s">
        <v>78</v>
      </c>
      <c r="D338" t="s">
        <v>73</v>
      </c>
      <c r="E338" t="s">
        <v>74</v>
      </c>
      <c r="F338" t="s">
        <v>77</v>
      </c>
      <c r="G338" t="s">
        <v>76</v>
      </c>
      <c r="H338">
        <v>26.515504121593221</v>
      </c>
      <c r="I338">
        <v>0</v>
      </c>
      <c r="J338">
        <v>7</v>
      </c>
      <c r="K338">
        <v>7</v>
      </c>
      <c r="L338">
        <v>0</v>
      </c>
      <c r="M338">
        <v>6</v>
      </c>
      <c r="N338">
        <v>8</v>
      </c>
      <c r="O338">
        <v>-2</v>
      </c>
      <c r="P338">
        <v>9</v>
      </c>
      <c r="Q338">
        <v>7</v>
      </c>
      <c r="R338">
        <v>2</v>
      </c>
      <c r="S338">
        <v>8</v>
      </c>
      <c r="T338">
        <v>7</v>
      </c>
      <c r="U338">
        <v>1</v>
      </c>
      <c r="V338">
        <v>9</v>
      </c>
      <c r="W338">
        <v>6</v>
      </c>
      <c r="X338">
        <v>3</v>
      </c>
      <c r="Y338">
        <v>8</v>
      </c>
      <c r="Z338">
        <v>8</v>
      </c>
      <c r="AA338">
        <v>0</v>
      </c>
      <c r="AB338">
        <v>9</v>
      </c>
      <c r="AC338">
        <v>6</v>
      </c>
      <c r="AD338">
        <v>3</v>
      </c>
      <c r="AE338">
        <v>8</v>
      </c>
      <c r="AF338">
        <v>8</v>
      </c>
      <c r="AG338">
        <v>0</v>
      </c>
      <c r="AH338">
        <v>9</v>
      </c>
      <c r="AI338">
        <v>8</v>
      </c>
      <c r="AJ338">
        <v>1</v>
      </c>
      <c r="AK338" t="s">
        <v>3227</v>
      </c>
      <c r="AL338" t="s">
        <v>3228</v>
      </c>
      <c r="AM338" t="s">
        <v>3229</v>
      </c>
      <c r="AN338" t="s">
        <v>3230</v>
      </c>
      <c r="AO338" t="s">
        <v>3231</v>
      </c>
      <c r="AP338" t="s">
        <v>3232</v>
      </c>
      <c r="AQ338" t="s">
        <v>3233</v>
      </c>
      <c r="AR338" t="s">
        <v>262</v>
      </c>
      <c r="AS338" t="s">
        <v>3234</v>
      </c>
    </row>
    <row r="339" spans="1:45" x14ac:dyDescent="0.45">
      <c r="A339">
        <v>338</v>
      </c>
      <c r="B339">
        <v>12682</v>
      </c>
      <c r="C339" t="s">
        <v>78</v>
      </c>
      <c r="D339" t="s">
        <v>189</v>
      </c>
      <c r="E339" t="s">
        <v>74</v>
      </c>
      <c r="F339" t="s">
        <v>77</v>
      </c>
      <c r="G339" t="s">
        <v>76</v>
      </c>
      <c r="H339">
        <v>13.586592018886273</v>
      </c>
      <c r="I339">
        <v>0</v>
      </c>
      <c r="J339">
        <v>7</v>
      </c>
      <c r="K339">
        <v>8</v>
      </c>
      <c r="L339">
        <v>-1</v>
      </c>
      <c r="M339">
        <v>8</v>
      </c>
      <c r="N339">
        <v>8</v>
      </c>
      <c r="O339">
        <v>0</v>
      </c>
      <c r="P339">
        <v>9</v>
      </c>
      <c r="Q339">
        <v>9</v>
      </c>
      <c r="R339">
        <v>0</v>
      </c>
      <c r="S339">
        <v>9</v>
      </c>
      <c r="T339">
        <v>9</v>
      </c>
      <c r="U339">
        <v>0</v>
      </c>
      <c r="V339">
        <v>6</v>
      </c>
      <c r="W339">
        <v>8</v>
      </c>
      <c r="X339">
        <v>-2</v>
      </c>
      <c r="Y339">
        <v>7</v>
      </c>
      <c r="Z339">
        <v>9</v>
      </c>
      <c r="AA339">
        <v>-2</v>
      </c>
      <c r="AB339">
        <v>6</v>
      </c>
      <c r="AC339">
        <v>10</v>
      </c>
      <c r="AD339">
        <v>-4</v>
      </c>
      <c r="AE339">
        <v>5</v>
      </c>
      <c r="AF339">
        <v>9</v>
      </c>
      <c r="AG339">
        <v>-4</v>
      </c>
      <c r="AH339">
        <v>8</v>
      </c>
      <c r="AI339">
        <v>10</v>
      </c>
      <c r="AJ339">
        <v>-2</v>
      </c>
      <c r="AK339" t="s">
        <v>3235</v>
      </c>
      <c r="AL339" t="s">
        <v>3236</v>
      </c>
      <c r="AM339" t="s">
        <v>3237</v>
      </c>
      <c r="AN339" t="s">
        <v>3238</v>
      </c>
      <c r="AO339" t="s">
        <v>3239</v>
      </c>
      <c r="AP339" t="s">
        <v>3240</v>
      </c>
      <c r="AQ339" t="s">
        <v>3241</v>
      </c>
      <c r="AR339" t="s">
        <v>3242</v>
      </c>
      <c r="AS339" t="s">
        <v>3243</v>
      </c>
    </row>
    <row r="340" spans="1:45" x14ac:dyDescent="0.45">
      <c r="A340">
        <v>339</v>
      </c>
      <c r="B340">
        <v>12683</v>
      </c>
      <c r="C340" t="s">
        <v>72</v>
      </c>
      <c r="D340" t="s">
        <v>189</v>
      </c>
      <c r="E340" t="s">
        <v>74</v>
      </c>
      <c r="F340" t="s">
        <v>77</v>
      </c>
      <c r="G340" t="s">
        <v>76</v>
      </c>
      <c r="H340">
        <v>14.936353682077161</v>
      </c>
      <c r="I340">
        <v>0</v>
      </c>
      <c r="J340">
        <v>7</v>
      </c>
      <c r="K340">
        <v>7</v>
      </c>
      <c r="L340">
        <v>0</v>
      </c>
      <c r="M340">
        <v>6</v>
      </c>
      <c r="N340">
        <v>7</v>
      </c>
      <c r="O340">
        <v>-1</v>
      </c>
      <c r="P340">
        <v>8</v>
      </c>
      <c r="Q340">
        <v>8</v>
      </c>
      <c r="R340">
        <v>0</v>
      </c>
      <c r="S340">
        <v>9</v>
      </c>
      <c r="T340">
        <v>8</v>
      </c>
      <c r="U340">
        <v>1</v>
      </c>
      <c r="V340">
        <v>7</v>
      </c>
      <c r="W340">
        <v>6</v>
      </c>
      <c r="X340">
        <v>1</v>
      </c>
      <c r="Y340">
        <v>9</v>
      </c>
      <c r="Z340">
        <v>7</v>
      </c>
      <c r="AA340">
        <v>2</v>
      </c>
      <c r="AB340">
        <v>7</v>
      </c>
      <c r="AC340">
        <v>6</v>
      </c>
      <c r="AD340">
        <v>1</v>
      </c>
      <c r="AE340">
        <v>8</v>
      </c>
      <c r="AF340">
        <v>6</v>
      </c>
      <c r="AG340">
        <v>2</v>
      </c>
      <c r="AH340">
        <v>9</v>
      </c>
      <c r="AI340">
        <v>7</v>
      </c>
      <c r="AJ340">
        <v>2</v>
      </c>
      <c r="AK340" t="s">
        <v>3244</v>
      </c>
      <c r="AL340" t="s">
        <v>3245</v>
      </c>
      <c r="AM340" t="s">
        <v>3246</v>
      </c>
      <c r="AN340" t="s">
        <v>3247</v>
      </c>
      <c r="AO340" t="s">
        <v>3248</v>
      </c>
      <c r="AP340" t="s">
        <v>3249</v>
      </c>
      <c r="AQ340" t="s">
        <v>3250</v>
      </c>
      <c r="AR340" t="s">
        <v>3251</v>
      </c>
      <c r="AS340" t="s">
        <v>3252</v>
      </c>
    </row>
    <row r="341" spans="1:45" x14ac:dyDescent="0.45">
      <c r="A341">
        <v>340</v>
      </c>
      <c r="B341">
        <v>12684</v>
      </c>
      <c r="C341" t="s">
        <v>78</v>
      </c>
      <c r="D341" t="s">
        <v>81</v>
      </c>
      <c r="E341" t="s">
        <v>74</v>
      </c>
      <c r="F341" t="s">
        <v>77</v>
      </c>
      <c r="G341" t="s">
        <v>76</v>
      </c>
      <c r="H341">
        <v>16.718147872687155</v>
      </c>
      <c r="I341">
        <v>0</v>
      </c>
      <c r="J341">
        <v>9</v>
      </c>
      <c r="K341">
        <v>7</v>
      </c>
      <c r="L341">
        <v>2</v>
      </c>
      <c r="M341">
        <v>8</v>
      </c>
      <c r="N341">
        <v>8</v>
      </c>
      <c r="O341">
        <v>0</v>
      </c>
      <c r="P341">
        <v>9</v>
      </c>
      <c r="Q341">
        <v>8</v>
      </c>
      <c r="R341">
        <v>1</v>
      </c>
      <c r="S341">
        <v>9</v>
      </c>
      <c r="T341">
        <v>8</v>
      </c>
      <c r="U341">
        <v>1</v>
      </c>
      <c r="V341">
        <v>8</v>
      </c>
      <c r="W341">
        <v>5</v>
      </c>
      <c r="X341">
        <v>3</v>
      </c>
      <c r="Y341">
        <v>9</v>
      </c>
      <c r="Z341">
        <v>8</v>
      </c>
      <c r="AA341">
        <v>1</v>
      </c>
      <c r="AB341">
        <v>8</v>
      </c>
      <c r="AC341">
        <v>5</v>
      </c>
      <c r="AD341">
        <v>3</v>
      </c>
      <c r="AE341">
        <v>9</v>
      </c>
      <c r="AF341">
        <v>8</v>
      </c>
      <c r="AG341">
        <v>1</v>
      </c>
      <c r="AH341">
        <v>8</v>
      </c>
      <c r="AI341">
        <v>8</v>
      </c>
      <c r="AJ341">
        <v>0</v>
      </c>
      <c r="AK341" t="s">
        <v>3253</v>
      </c>
      <c r="AL341" t="s">
        <v>3254</v>
      </c>
      <c r="AM341" t="s">
        <v>3255</v>
      </c>
      <c r="AN341" t="s">
        <v>3256</v>
      </c>
      <c r="AO341" t="s">
        <v>3257</v>
      </c>
      <c r="AP341" t="s">
        <v>3258</v>
      </c>
      <c r="AQ341" t="s">
        <v>3259</v>
      </c>
      <c r="AR341" t="s">
        <v>3260</v>
      </c>
      <c r="AS341" t="s">
        <v>3261</v>
      </c>
    </row>
    <row r="342" spans="1:45" x14ac:dyDescent="0.45">
      <c r="A342">
        <v>341</v>
      </c>
      <c r="B342">
        <v>12685</v>
      </c>
      <c r="C342" t="s">
        <v>72</v>
      </c>
      <c r="D342" t="s">
        <v>189</v>
      </c>
      <c r="E342" t="s">
        <v>74</v>
      </c>
      <c r="F342" t="s">
        <v>77</v>
      </c>
      <c r="G342" t="s">
        <v>76</v>
      </c>
      <c r="H342">
        <v>12</v>
      </c>
      <c r="I342">
        <v>0</v>
      </c>
      <c r="J342">
        <v>8</v>
      </c>
      <c r="K342">
        <v>8</v>
      </c>
      <c r="L342">
        <v>0</v>
      </c>
      <c r="M342">
        <v>9</v>
      </c>
      <c r="N342">
        <v>8</v>
      </c>
      <c r="O342">
        <v>1</v>
      </c>
      <c r="P342">
        <v>8</v>
      </c>
      <c r="Q342">
        <v>8</v>
      </c>
      <c r="R342">
        <v>0</v>
      </c>
      <c r="S342">
        <v>9</v>
      </c>
      <c r="T342">
        <v>9</v>
      </c>
      <c r="U342">
        <v>0</v>
      </c>
      <c r="V342">
        <v>8</v>
      </c>
      <c r="W342">
        <v>8</v>
      </c>
      <c r="X342">
        <v>0</v>
      </c>
      <c r="Y342">
        <v>9</v>
      </c>
      <c r="Z342">
        <v>8</v>
      </c>
      <c r="AA342">
        <v>1</v>
      </c>
      <c r="AB342">
        <v>8</v>
      </c>
      <c r="AC342">
        <v>7</v>
      </c>
      <c r="AD342">
        <v>1</v>
      </c>
      <c r="AE342">
        <v>9</v>
      </c>
      <c r="AF342">
        <v>7</v>
      </c>
      <c r="AG342">
        <v>2</v>
      </c>
      <c r="AH342">
        <v>9</v>
      </c>
      <c r="AI342">
        <v>8</v>
      </c>
      <c r="AJ342">
        <v>1</v>
      </c>
      <c r="AK342" t="s">
        <v>3262</v>
      </c>
      <c r="AL342" t="s">
        <v>3263</v>
      </c>
      <c r="AM342" t="s">
        <v>3264</v>
      </c>
      <c r="AN342" t="s">
        <v>3265</v>
      </c>
      <c r="AO342" t="s">
        <v>3266</v>
      </c>
      <c r="AP342" t="s">
        <v>3267</v>
      </c>
      <c r="AQ342" t="s">
        <v>3268</v>
      </c>
      <c r="AR342" t="s">
        <v>3269</v>
      </c>
      <c r="AS342" t="s">
        <v>3270</v>
      </c>
    </row>
    <row r="343" spans="1:45" x14ac:dyDescent="0.45">
      <c r="A343">
        <v>342</v>
      </c>
      <c r="B343">
        <v>12686</v>
      </c>
      <c r="C343" t="s">
        <v>78</v>
      </c>
      <c r="D343" t="s">
        <v>189</v>
      </c>
      <c r="E343" t="s">
        <v>74</v>
      </c>
      <c r="F343" t="s">
        <v>77</v>
      </c>
      <c r="G343" t="s">
        <v>76</v>
      </c>
      <c r="H343">
        <v>12</v>
      </c>
      <c r="I343">
        <v>0</v>
      </c>
      <c r="J343">
        <v>7</v>
      </c>
      <c r="K343">
        <v>5</v>
      </c>
      <c r="L343">
        <v>2</v>
      </c>
      <c r="M343">
        <v>8</v>
      </c>
      <c r="N343">
        <v>5</v>
      </c>
      <c r="O343">
        <v>3</v>
      </c>
      <c r="P343">
        <v>7</v>
      </c>
      <c r="Q343">
        <v>6</v>
      </c>
      <c r="R343">
        <v>1</v>
      </c>
      <c r="S343">
        <v>9</v>
      </c>
      <c r="T343">
        <v>7</v>
      </c>
      <c r="U343">
        <v>2</v>
      </c>
      <c r="V343">
        <v>8</v>
      </c>
      <c r="W343">
        <v>5</v>
      </c>
      <c r="X343">
        <v>3</v>
      </c>
      <c r="Y343">
        <v>9</v>
      </c>
      <c r="Z343">
        <v>8</v>
      </c>
      <c r="AA343">
        <v>1</v>
      </c>
      <c r="AB343">
        <v>8</v>
      </c>
      <c r="AC343">
        <v>6</v>
      </c>
      <c r="AD343">
        <v>2</v>
      </c>
      <c r="AE343">
        <v>8</v>
      </c>
      <c r="AF343">
        <v>6</v>
      </c>
      <c r="AG343">
        <v>2</v>
      </c>
      <c r="AH343">
        <v>9</v>
      </c>
      <c r="AI343">
        <v>7</v>
      </c>
      <c r="AJ343">
        <v>2</v>
      </c>
      <c r="AK343" t="s">
        <v>3271</v>
      </c>
      <c r="AL343" t="s">
        <v>3272</v>
      </c>
      <c r="AM343" t="s">
        <v>3273</v>
      </c>
      <c r="AN343" t="s">
        <v>3274</v>
      </c>
      <c r="AO343" t="s">
        <v>3275</v>
      </c>
      <c r="AP343" t="s">
        <v>3276</v>
      </c>
      <c r="AQ343" t="s">
        <v>3277</v>
      </c>
      <c r="AR343" t="s">
        <v>3278</v>
      </c>
      <c r="AS343" t="s">
        <v>3279</v>
      </c>
    </row>
    <row r="344" spans="1:45" x14ac:dyDescent="0.45">
      <c r="A344">
        <v>343</v>
      </c>
      <c r="B344">
        <v>12687</v>
      </c>
      <c r="C344" t="s">
        <v>78</v>
      </c>
      <c r="D344" t="s">
        <v>81</v>
      </c>
      <c r="E344" t="s">
        <v>74</v>
      </c>
      <c r="F344" t="s">
        <v>77</v>
      </c>
      <c r="G344" t="s">
        <v>76</v>
      </c>
      <c r="H344">
        <v>15.381319407352597</v>
      </c>
      <c r="I344">
        <v>0</v>
      </c>
      <c r="J344">
        <v>7</v>
      </c>
      <c r="K344">
        <v>7</v>
      </c>
      <c r="L344">
        <v>0</v>
      </c>
      <c r="M344">
        <v>8</v>
      </c>
      <c r="N344">
        <v>7</v>
      </c>
      <c r="O344">
        <v>1</v>
      </c>
      <c r="P344">
        <v>6</v>
      </c>
      <c r="Q344">
        <v>8</v>
      </c>
      <c r="R344">
        <v>-2</v>
      </c>
      <c r="S344">
        <v>9</v>
      </c>
      <c r="T344">
        <v>7</v>
      </c>
      <c r="U344">
        <v>2</v>
      </c>
      <c r="V344">
        <v>7</v>
      </c>
      <c r="W344">
        <v>8</v>
      </c>
      <c r="X344">
        <v>-1</v>
      </c>
      <c r="Y344">
        <v>9</v>
      </c>
      <c r="Z344">
        <v>8</v>
      </c>
      <c r="AA344">
        <v>1</v>
      </c>
      <c r="AB344">
        <v>8</v>
      </c>
      <c r="AC344">
        <v>8</v>
      </c>
      <c r="AD344">
        <v>0</v>
      </c>
      <c r="AE344">
        <v>7</v>
      </c>
      <c r="AF344">
        <v>7</v>
      </c>
      <c r="AG344">
        <v>0</v>
      </c>
      <c r="AH344">
        <v>9</v>
      </c>
      <c r="AI344">
        <v>8</v>
      </c>
      <c r="AJ344">
        <v>1</v>
      </c>
      <c r="AK344" t="s">
        <v>3280</v>
      </c>
      <c r="AL344" t="s">
        <v>3281</v>
      </c>
      <c r="AM344" t="s">
        <v>3282</v>
      </c>
      <c r="AN344" t="s">
        <v>3283</v>
      </c>
      <c r="AO344" t="s">
        <v>3284</v>
      </c>
      <c r="AP344" t="s">
        <v>3285</v>
      </c>
      <c r="AQ344" t="s">
        <v>3286</v>
      </c>
      <c r="AR344" t="s">
        <v>3287</v>
      </c>
      <c r="AS344" t="s">
        <v>3288</v>
      </c>
    </row>
    <row r="345" spans="1:45" x14ac:dyDescent="0.45">
      <c r="A345">
        <v>344</v>
      </c>
      <c r="B345">
        <v>12688</v>
      </c>
      <c r="C345" t="s">
        <v>78</v>
      </c>
      <c r="D345" t="s">
        <v>73</v>
      </c>
      <c r="E345" t="s">
        <v>74</v>
      </c>
      <c r="F345" t="s">
        <v>75</v>
      </c>
      <c r="G345" t="s">
        <v>76</v>
      </c>
      <c r="H345">
        <v>67.320076132262471</v>
      </c>
      <c r="I345">
        <v>2</v>
      </c>
      <c r="J345">
        <v>6</v>
      </c>
      <c r="K345">
        <v>7</v>
      </c>
      <c r="L345">
        <v>-1</v>
      </c>
      <c r="M345">
        <v>6</v>
      </c>
      <c r="N345">
        <v>7</v>
      </c>
      <c r="O345">
        <v>-1</v>
      </c>
      <c r="P345">
        <v>8</v>
      </c>
      <c r="Q345">
        <v>5</v>
      </c>
      <c r="R345">
        <v>3</v>
      </c>
      <c r="S345">
        <v>9</v>
      </c>
      <c r="T345">
        <v>8</v>
      </c>
      <c r="U345">
        <v>1</v>
      </c>
      <c r="V345">
        <v>7</v>
      </c>
      <c r="W345">
        <v>6</v>
      </c>
      <c r="X345">
        <v>1</v>
      </c>
      <c r="Y345">
        <v>8</v>
      </c>
      <c r="Z345">
        <v>5</v>
      </c>
      <c r="AA345">
        <v>3</v>
      </c>
      <c r="AB345">
        <v>6</v>
      </c>
      <c r="AC345">
        <v>5</v>
      </c>
      <c r="AD345">
        <v>1</v>
      </c>
      <c r="AE345">
        <v>7</v>
      </c>
      <c r="AF345">
        <v>6</v>
      </c>
      <c r="AG345">
        <v>1</v>
      </c>
      <c r="AH345">
        <v>9</v>
      </c>
      <c r="AI345">
        <v>5</v>
      </c>
      <c r="AJ345">
        <v>4</v>
      </c>
      <c r="AK345" t="s">
        <v>3289</v>
      </c>
      <c r="AL345" t="s">
        <v>3290</v>
      </c>
      <c r="AM345" t="s">
        <v>3291</v>
      </c>
      <c r="AN345" t="s">
        <v>3292</v>
      </c>
      <c r="AO345" t="s">
        <v>3293</v>
      </c>
      <c r="AP345" t="s">
        <v>3294</v>
      </c>
      <c r="AQ345" t="s">
        <v>3295</v>
      </c>
      <c r="AR345" t="s">
        <v>3296</v>
      </c>
      <c r="AS345" t="s">
        <v>3297</v>
      </c>
    </row>
    <row r="346" spans="1:45" x14ac:dyDescent="0.45">
      <c r="A346">
        <v>345</v>
      </c>
      <c r="B346">
        <v>12689</v>
      </c>
      <c r="C346" t="s">
        <v>72</v>
      </c>
      <c r="D346" t="s">
        <v>81</v>
      </c>
      <c r="E346" t="s">
        <v>74</v>
      </c>
      <c r="F346" t="s">
        <v>77</v>
      </c>
      <c r="G346" t="s">
        <v>76</v>
      </c>
      <c r="H346">
        <v>12.069918907792498</v>
      </c>
      <c r="I346">
        <v>0</v>
      </c>
      <c r="J346">
        <v>7</v>
      </c>
      <c r="K346">
        <v>7</v>
      </c>
      <c r="L346">
        <v>0</v>
      </c>
      <c r="M346">
        <v>7</v>
      </c>
      <c r="N346">
        <v>7</v>
      </c>
      <c r="O346">
        <v>0</v>
      </c>
      <c r="P346">
        <v>9</v>
      </c>
      <c r="Q346">
        <v>5</v>
      </c>
      <c r="R346">
        <v>4</v>
      </c>
      <c r="S346">
        <v>8</v>
      </c>
      <c r="T346">
        <v>8</v>
      </c>
      <c r="U346">
        <v>0</v>
      </c>
      <c r="V346">
        <v>6</v>
      </c>
      <c r="W346">
        <v>7</v>
      </c>
      <c r="X346">
        <v>-1</v>
      </c>
      <c r="Y346">
        <v>8</v>
      </c>
      <c r="Z346">
        <v>7</v>
      </c>
      <c r="AA346">
        <v>1</v>
      </c>
      <c r="AB346">
        <v>7</v>
      </c>
      <c r="AC346">
        <v>6</v>
      </c>
      <c r="AD346">
        <v>1</v>
      </c>
      <c r="AE346">
        <v>6</v>
      </c>
      <c r="AF346">
        <v>7</v>
      </c>
      <c r="AG346">
        <v>-1</v>
      </c>
      <c r="AH346">
        <v>9</v>
      </c>
      <c r="AI346">
        <v>7</v>
      </c>
      <c r="AJ346">
        <v>2</v>
      </c>
      <c r="AK346" t="s">
        <v>3298</v>
      </c>
      <c r="AL346" t="s">
        <v>3299</v>
      </c>
      <c r="AM346" t="s">
        <v>3300</v>
      </c>
      <c r="AN346" t="s">
        <v>3301</v>
      </c>
      <c r="AO346" t="s">
        <v>3302</v>
      </c>
      <c r="AP346" t="s">
        <v>3303</v>
      </c>
      <c r="AQ346" t="s">
        <v>3304</v>
      </c>
      <c r="AR346" t="s">
        <v>3305</v>
      </c>
      <c r="AS346" t="s">
        <v>3306</v>
      </c>
    </row>
    <row r="347" spans="1:45" x14ac:dyDescent="0.45">
      <c r="A347">
        <v>346</v>
      </c>
      <c r="B347">
        <v>12690</v>
      </c>
      <c r="C347" t="s">
        <v>72</v>
      </c>
      <c r="D347" t="s">
        <v>73</v>
      </c>
      <c r="E347" t="s">
        <v>74</v>
      </c>
      <c r="F347" t="s">
        <v>77</v>
      </c>
      <c r="G347" t="s">
        <v>76</v>
      </c>
      <c r="H347">
        <v>28.869904376097207</v>
      </c>
      <c r="I347">
        <v>1</v>
      </c>
      <c r="J347">
        <v>7</v>
      </c>
      <c r="K347">
        <v>9</v>
      </c>
      <c r="L347">
        <v>-2</v>
      </c>
      <c r="M347">
        <v>8</v>
      </c>
      <c r="N347">
        <v>8</v>
      </c>
      <c r="O347">
        <v>0</v>
      </c>
      <c r="P347">
        <v>6</v>
      </c>
      <c r="Q347">
        <v>8</v>
      </c>
      <c r="R347">
        <v>-2</v>
      </c>
      <c r="S347">
        <v>7</v>
      </c>
      <c r="T347">
        <v>9</v>
      </c>
      <c r="U347">
        <v>-2</v>
      </c>
      <c r="V347">
        <v>7</v>
      </c>
      <c r="W347">
        <v>7</v>
      </c>
      <c r="X347">
        <v>0</v>
      </c>
      <c r="Y347">
        <v>8</v>
      </c>
      <c r="Z347">
        <v>8</v>
      </c>
      <c r="AA347">
        <v>0</v>
      </c>
      <c r="AB347">
        <v>7</v>
      </c>
      <c r="AC347">
        <v>7</v>
      </c>
      <c r="AD347">
        <v>0</v>
      </c>
      <c r="AE347">
        <v>6</v>
      </c>
      <c r="AF347">
        <v>7</v>
      </c>
      <c r="AG347">
        <v>-1</v>
      </c>
      <c r="AH347">
        <v>9</v>
      </c>
      <c r="AI347">
        <v>8</v>
      </c>
      <c r="AJ347">
        <v>1</v>
      </c>
      <c r="AK347" t="s">
        <v>3307</v>
      </c>
      <c r="AL347" t="s">
        <v>3308</v>
      </c>
      <c r="AM347" t="s">
        <v>3309</v>
      </c>
      <c r="AN347" t="s">
        <v>3310</v>
      </c>
      <c r="AO347" t="s">
        <v>3311</v>
      </c>
      <c r="AP347" t="s">
        <v>3312</v>
      </c>
      <c r="AQ347" t="s">
        <v>3313</v>
      </c>
      <c r="AR347" t="s">
        <v>3314</v>
      </c>
      <c r="AS347" t="s">
        <v>3315</v>
      </c>
    </row>
    <row r="348" spans="1:45" x14ac:dyDescent="0.45">
      <c r="A348">
        <v>347</v>
      </c>
      <c r="B348">
        <v>12691</v>
      </c>
      <c r="C348" t="s">
        <v>72</v>
      </c>
      <c r="D348" t="s">
        <v>81</v>
      </c>
      <c r="E348" t="s">
        <v>74</v>
      </c>
      <c r="F348" t="s">
        <v>77</v>
      </c>
      <c r="G348" t="s">
        <v>76</v>
      </c>
      <c r="H348">
        <v>18.18328571339428</v>
      </c>
      <c r="I348">
        <v>0</v>
      </c>
      <c r="J348">
        <v>5</v>
      </c>
      <c r="K348">
        <v>8</v>
      </c>
      <c r="L348">
        <v>-3</v>
      </c>
      <c r="M348">
        <v>4</v>
      </c>
      <c r="N348">
        <v>8</v>
      </c>
      <c r="O348">
        <v>-4</v>
      </c>
      <c r="P348">
        <v>7</v>
      </c>
      <c r="Q348">
        <v>7</v>
      </c>
      <c r="R348">
        <v>0</v>
      </c>
      <c r="S348">
        <v>8</v>
      </c>
      <c r="T348">
        <v>8</v>
      </c>
      <c r="U348">
        <v>0</v>
      </c>
      <c r="V348">
        <v>6</v>
      </c>
      <c r="W348">
        <v>6</v>
      </c>
      <c r="X348">
        <v>0</v>
      </c>
      <c r="Y348">
        <v>7</v>
      </c>
      <c r="Z348">
        <v>8</v>
      </c>
      <c r="AA348">
        <v>-1</v>
      </c>
      <c r="AB348">
        <v>5</v>
      </c>
      <c r="AC348">
        <v>6</v>
      </c>
      <c r="AD348">
        <v>-1</v>
      </c>
      <c r="AE348">
        <v>6</v>
      </c>
      <c r="AF348">
        <v>6</v>
      </c>
      <c r="AG348">
        <v>0</v>
      </c>
      <c r="AH348">
        <v>8</v>
      </c>
      <c r="AI348">
        <v>8</v>
      </c>
      <c r="AJ348">
        <v>0</v>
      </c>
      <c r="AK348" t="s">
        <v>3316</v>
      </c>
      <c r="AL348" t="s">
        <v>3317</v>
      </c>
      <c r="AM348" t="s">
        <v>3318</v>
      </c>
      <c r="AN348" t="s">
        <v>3319</v>
      </c>
      <c r="AO348" t="s">
        <v>3320</v>
      </c>
      <c r="AP348" t="s">
        <v>3321</v>
      </c>
      <c r="AQ348" t="s">
        <v>3322</v>
      </c>
      <c r="AR348" t="s">
        <v>3323</v>
      </c>
      <c r="AS348" t="s">
        <v>3324</v>
      </c>
    </row>
    <row r="349" spans="1:45" x14ac:dyDescent="0.45">
      <c r="A349">
        <v>348</v>
      </c>
      <c r="B349">
        <v>12692</v>
      </c>
      <c r="C349" t="s">
        <v>72</v>
      </c>
      <c r="D349" t="s">
        <v>81</v>
      </c>
      <c r="E349" t="s">
        <v>74</v>
      </c>
      <c r="F349" t="s">
        <v>77</v>
      </c>
      <c r="G349" t="s">
        <v>76</v>
      </c>
      <c r="H349">
        <v>21.829935364779054</v>
      </c>
      <c r="I349">
        <v>0</v>
      </c>
      <c r="J349">
        <v>7</v>
      </c>
      <c r="K349">
        <v>8</v>
      </c>
      <c r="L349">
        <v>-1</v>
      </c>
      <c r="M349">
        <v>7</v>
      </c>
      <c r="N349">
        <v>8</v>
      </c>
      <c r="O349">
        <v>-1</v>
      </c>
      <c r="P349">
        <v>6</v>
      </c>
      <c r="Q349">
        <v>7</v>
      </c>
      <c r="R349">
        <v>-1</v>
      </c>
      <c r="S349">
        <v>8</v>
      </c>
      <c r="T349">
        <v>7</v>
      </c>
      <c r="U349">
        <v>1</v>
      </c>
      <c r="V349">
        <v>9</v>
      </c>
      <c r="W349">
        <v>6</v>
      </c>
      <c r="X349">
        <v>3</v>
      </c>
      <c r="Y349">
        <v>8</v>
      </c>
      <c r="Z349">
        <v>7</v>
      </c>
      <c r="AA349">
        <v>1</v>
      </c>
      <c r="AB349">
        <v>9</v>
      </c>
      <c r="AC349">
        <v>6</v>
      </c>
      <c r="AD349">
        <v>3</v>
      </c>
      <c r="AE349">
        <v>7</v>
      </c>
      <c r="AF349">
        <v>6</v>
      </c>
      <c r="AG349">
        <v>1</v>
      </c>
      <c r="AH349">
        <v>9</v>
      </c>
      <c r="AI349">
        <v>7</v>
      </c>
      <c r="AJ349">
        <v>2</v>
      </c>
      <c r="AK349" t="s">
        <v>3325</v>
      </c>
      <c r="AL349" t="s">
        <v>3326</v>
      </c>
      <c r="AM349" t="s">
        <v>3327</v>
      </c>
      <c r="AN349" t="s">
        <v>3328</v>
      </c>
      <c r="AO349" t="s">
        <v>3329</v>
      </c>
      <c r="AP349" t="s">
        <v>3330</v>
      </c>
      <c r="AQ349" t="s">
        <v>3331</v>
      </c>
      <c r="AR349" t="s">
        <v>3332</v>
      </c>
      <c r="AS349" t="s">
        <v>3333</v>
      </c>
    </row>
    <row r="350" spans="1:45" x14ac:dyDescent="0.45">
      <c r="A350">
        <v>349</v>
      </c>
      <c r="B350">
        <v>12693</v>
      </c>
      <c r="C350" t="s">
        <v>72</v>
      </c>
      <c r="D350" t="s">
        <v>81</v>
      </c>
      <c r="E350" t="s">
        <v>74</v>
      </c>
      <c r="F350" t="s">
        <v>77</v>
      </c>
      <c r="G350" t="s">
        <v>76</v>
      </c>
      <c r="H350">
        <v>18.940736922102833</v>
      </c>
      <c r="I350">
        <v>0</v>
      </c>
      <c r="J350">
        <v>6</v>
      </c>
      <c r="K350">
        <v>4</v>
      </c>
      <c r="L350">
        <v>2</v>
      </c>
      <c r="M350">
        <v>7</v>
      </c>
      <c r="N350">
        <v>4</v>
      </c>
      <c r="O350">
        <v>3</v>
      </c>
      <c r="P350">
        <v>8</v>
      </c>
      <c r="Q350">
        <v>5</v>
      </c>
      <c r="R350">
        <v>3</v>
      </c>
      <c r="S350">
        <v>9</v>
      </c>
      <c r="T350">
        <v>7</v>
      </c>
      <c r="U350">
        <v>2</v>
      </c>
      <c r="V350">
        <v>7</v>
      </c>
      <c r="W350">
        <v>5</v>
      </c>
      <c r="X350">
        <v>2</v>
      </c>
      <c r="Y350">
        <v>9</v>
      </c>
      <c r="Z350">
        <v>6</v>
      </c>
      <c r="AA350">
        <v>3</v>
      </c>
      <c r="AB350">
        <v>6</v>
      </c>
      <c r="AC350">
        <v>6</v>
      </c>
      <c r="AD350">
        <v>0</v>
      </c>
      <c r="AE350">
        <v>7</v>
      </c>
      <c r="AF350">
        <v>6</v>
      </c>
      <c r="AG350">
        <v>1</v>
      </c>
      <c r="AH350">
        <v>9</v>
      </c>
      <c r="AI350">
        <v>6</v>
      </c>
      <c r="AJ350">
        <v>3</v>
      </c>
      <c r="AK350" t="s">
        <v>3334</v>
      </c>
      <c r="AL350" t="s">
        <v>3335</v>
      </c>
      <c r="AM350" t="s">
        <v>3336</v>
      </c>
      <c r="AN350" t="s">
        <v>3337</v>
      </c>
      <c r="AO350" t="s">
        <v>3338</v>
      </c>
      <c r="AP350" t="s">
        <v>3339</v>
      </c>
      <c r="AQ350" t="s">
        <v>3340</v>
      </c>
      <c r="AR350" t="s">
        <v>3341</v>
      </c>
      <c r="AS350" t="s">
        <v>3342</v>
      </c>
    </row>
    <row r="351" spans="1:45" x14ac:dyDescent="0.45">
      <c r="A351">
        <v>350</v>
      </c>
      <c r="B351">
        <v>12694</v>
      </c>
      <c r="C351" t="s">
        <v>72</v>
      </c>
      <c r="D351" t="s">
        <v>81</v>
      </c>
      <c r="E351" t="s">
        <v>74</v>
      </c>
      <c r="F351" t="s">
        <v>77</v>
      </c>
      <c r="G351" t="s">
        <v>76</v>
      </c>
      <c r="H351">
        <v>25.591899975098052</v>
      </c>
      <c r="I351">
        <v>0</v>
      </c>
      <c r="J351">
        <v>7</v>
      </c>
      <c r="K351">
        <v>7</v>
      </c>
      <c r="L351">
        <v>0</v>
      </c>
      <c r="M351">
        <v>8</v>
      </c>
      <c r="N351">
        <v>7</v>
      </c>
      <c r="O351">
        <v>1</v>
      </c>
      <c r="P351">
        <v>9</v>
      </c>
      <c r="Q351">
        <v>8</v>
      </c>
      <c r="R351">
        <v>1</v>
      </c>
      <c r="S351">
        <v>8</v>
      </c>
      <c r="T351">
        <v>8</v>
      </c>
      <c r="U351">
        <v>0</v>
      </c>
      <c r="V351">
        <v>9</v>
      </c>
      <c r="W351">
        <v>7</v>
      </c>
      <c r="X351">
        <v>2</v>
      </c>
      <c r="Y351">
        <v>8</v>
      </c>
      <c r="Z351">
        <v>7</v>
      </c>
      <c r="AA351">
        <v>1</v>
      </c>
      <c r="AB351">
        <v>9</v>
      </c>
      <c r="AC351">
        <v>8</v>
      </c>
      <c r="AD351">
        <v>1</v>
      </c>
      <c r="AE351">
        <v>8</v>
      </c>
      <c r="AF351">
        <v>7</v>
      </c>
      <c r="AG351">
        <v>1</v>
      </c>
      <c r="AH351">
        <v>9</v>
      </c>
      <c r="AI351">
        <v>8</v>
      </c>
      <c r="AJ351">
        <v>1</v>
      </c>
      <c r="AK351" t="s">
        <v>3343</v>
      </c>
      <c r="AL351" t="s">
        <v>3344</v>
      </c>
      <c r="AM351" t="s">
        <v>3345</v>
      </c>
      <c r="AN351" t="s">
        <v>3346</v>
      </c>
      <c r="AO351" t="s">
        <v>3347</v>
      </c>
      <c r="AP351" t="s">
        <v>3348</v>
      </c>
      <c r="AQ351" t="s">
        <v>3349</v>
      </c>
      <c r="AR351" t="s">
        <v>3350</v>
      </c>
      <c r="AS351" t="s">
        <v>3351</v>
      </c>
    </row>
    <row r="352" spans="1:45" x14ac:dyDescent="0.45">
      <c r="A352">
        <v>351</v>
      </c>
      <c r="B352">
        <v>12695</v>
      </c>
      <c r="C352" t="s">
        <v>72</v>
      </c>
      <c r="D352" t="s">
        <v>73</v>
      </c>
      <c r="E352" t="s">
        <v>74</v>
      </c>
      <c r="F352" t="s">
        <v>77</v>
      </c>
      <c r="G352" t="s">
        <v>76</v>
      </c>
      <c r="H352">
        <v>35.271364870345501</v>
      </c>
      <c r="I352">
        <v>2</v>
      </c>
      <c r="J352">
        <v>7</v>
      </c>
      <c r="K352">
        <v>8</v>
      </c>
      <c r="L352">
        <v>-1</v>
      </c>
      <c r="M352">
        <v>7</v>
      </c>
      <c r="N352">
        <v>8</v>
      </c>
      <c r="O352">
        <v>-1</v>
      </c>
      <c r="P352">
        <v>8</v>
      </c>
      <c r="Q352">
        <v>6</v>
      </c>
      <c r="R352">
        <v>2</v>
      </c>
      <c r="S352">
        <v>9</v>
      </c>
      <c r="T352">
        <v>7</v>
      </c>
      <c r="U352">
        <v>2</v>
      </c>
      <c r="V352">
        <v>7</v>
      </c>
      <c r="W352">
        <v>6</v>
      </c>
      <c r="X352">
        <v>1</v>
      </c>
      <c r="Y352">
        <v>9</v>
      </c>
      <c r="Z352">
        <v>7</v>
      </c>
      <c r="AA352">
        <v>2</v>
      </c>
      <c r="AB352">
        <v>7</v>
      </c>
      <c r="AC352">
        <v>5</v>
      </c>
      <c r="AD352">
        <v>2</v>
      </c>
      <c r="AE352">
        <v>8</v>
      </c>
      <c r="AF352">
        <v>7</v>
      </c>
      <c r="AG352">
        <v>1</v>
      </c>
      <c r="AH352">
        <v>9</v>
      </c>
      <c r="AI352">
        <v>7</v>
      </c>
      <c r="AJ352">
        <v>2</v>
      </c>
      <c r="AK352" t="s">
        <v>3352</v>
      </c>
      <c r="AL352" t="s">
        <v>3353</v>
      </c>
      <c r="AM352" t="s">
        <v>3354</v>
      </c>
      <c r="AN352" t="s">
        <v>3355</v>
      </c>
      <c r="AO352" t="s">
        <v>3356</v>
      </c>
      <c r="AP352" t="s">
        <v>3357</v>
      </c>
      <c r="AQ352" t="s">
        <v>3358</v>
      </c>
      <c r="AR352" t="s">
        <v>3359</v>
      </c>
      <c r="AS352" t="s">
        <v>3360</v>
      </c>
    </row>
    <row r="353" spans="1:45" x14ac:dyDescent="0.45">
      <c r="A353">
        <v>352</v>
      </c>
      <c r="B353">
        <v>12696</v>
      </c>
      <c r="C353" t="s">
        <v>72</v>
      </c>
      <c r="D353" t="s">
        <v>73</v>
      </c>
      <c r="E353" t="s">
        <v>74</v>
      </c>
      <c r="F353" t="s">
        <v>77</v>
      </c>
      <c r="G353" t="s">
        <v>76</v>
      </c>
      <c r="H353">
        <v>27.965344578082892</v>
      </c>
      <c r="I353">
        <v>1</v>
      </c>
      <c r="J353">
        <v>7</v>
      </c>
      <c r="K353">
        <v>6</v>
      </c>
      <c r="L353">
        <v>1</v>
      </c>
      <c r="M353">
        <v>8</v>
      </c>
      <c r="N353">
        <v>6</v>
      </c>
      <c r="O353">
        <v>2</v>
      </c>
      <c r="P353">
        <v>9</v>
      </c>
      <c r="Q353">
        <v>8</v>
      </c>
      <c r="R353">
        <v>1</v>
      </c>
      <c r="S353">
        <v>8</v>
      </c>
      <c r="T353">
        <v>7</v>
      </c>
      <c r="U353">
        <v>1</v>
      </c>
      <c r="V353">
        <v>7</v>
      </c>
      <c r="W353">
        <v>7</v>
      </c>
      <c r="X353">
        <v>0</v>
      </c>
      <c r="Y353">
        <v>9</v>
      </c>
      <c r="Z353">
        <v>7</v>
      </c>
      <c r="AA353">
        <v>2</v>
      </c>
      <c r="AB353">
        <v>8</v>
      </c>
      <c r="AC353">
        <v>5</v>
      </c>
      <c r="AD353">
        <v>3</v>
      </c>
      <c r="AE353">
        <v>9</v>
      </c>
      <c r="AF353">
        <v>6</v>
      </c>
      <c r="AG353">
        <v>3</v>
      </c>
      <c r="AH353">
        <v>8</v>
      </c>
      <c r="AI353">
        <v>7</v>
      </c>
      <c r="AJ353">
        <v>1</v>
      </c>
      <c r="AK353" t="s">
        <v>3361</v>
      </c>
      <c r="AL353" t="s">
        <v>3362</v>
      </c>
      <c r="AM353" t="s">
        <v>3363</v>
      </c>
      <c r="AN353" t="s">
        <v>3364</v>
      </c>
      <c r="AO353" t="s">
        <v>3365</v>
      </c>
      <c r="AP353" t="s">
        <v>3366</v>
      </c>
      <c r="AQ353" t="s">
        <v>3367</v>
      </c>
      <c r="AR353" t="s">
        <v>3368</v>
      </c>
      <c r="AS353" t="s">
        <v>3369</v>
      </c>
    </row>
    <row r="354" spans="1:45" x14ac:dyDescent="0.45">
      <c r="A354">
        <v>353</v>
      </c>
      <c r="B354">
        <v>12697</v>
      </c>
      <c r="C354" t="s">
        <v>78</v>
      </c>
      <c r="D354" t="s">
        <v>79</v>
      </c>
      <c r="E354" t="s">
        <v>74</v>
      </c>
      <c r="F354" t="s">
        <v>77</v>
      </c>
      <c r="G354" t="s">
        <v>76</v>
      </c>
      <c r="H354">
        <v>84.867868707700836</v>
      </c>
      <c r="I354">
        <v>4</v>
      </c>
      <c r="J354">
        <v>7</v>
      </c>
      <c r="K354">
        <v>7</v>
      </c>
      <c r="L354">
        <v>0</v>
      </c>
      <c r="M354">
        <v>8</v>
      </c>
      <c r="N354">
        <v>7</v>
      </c>
      <c r="O354">
        <v>1</v>
      </c>
      <c r="P354">
        <v>9</v>
      </c>
      <c r="Q354">
        <v>8</v>
      </c>
      <c r="R354">
        <v>1</v>
      </c>
      <c r="S354">
        <v>9</v>
      </c>
      <c r="T354">
        <v>8</v>
      </c>
      <c r="U354">
        <v>1</v>
      </c>
      <c r="V354">
        <v>8</v>
      </c>
      <c r="W354">
        <v>6</v>
      </c>
      <c r="X354">
        <v>2</v>
      </c>
      <c r="Y354">
        <v>9</v>
      </c>
      <c r="Z354">
        <v>7</v>
      </c>
      <c r="AA354">
        <v>2</v>
      </c>
      <c r="AB354">
        <v>8</v>
      </c>
      <c r="AC354">
        <v>5</v>
      </c>
      <c r="AD354">
        <v>3</v>
      </c>
      <c r="AE354">
        <v>9</v>
      </c>
      <c r="AF354">
        <v>7</v>
      </c>
      <c r="AG354">
        <v>2</v>
      </c>
      <c r="AH354">
        <v>8</v>
      </c>
      <c r="AI354">
        <v>7</v>
      </c>
      <c r="AJ354">
        <v>1</v>
      </c>
      <c r="AK354" t="s">
        <v>3370</v>
      </c>
      <c r="AL354" t="s">
        <v>3371</v>
      </c>
      <c r="AM354" t="s">
        <v>3372</v>
      </c>
      <c r="AN354" t="s">
        <v>3373</v>
      </c>
      <c r="AO354" t="s">
        <v>3374</v>
      </c>
      <c r="AP354" t="s">
        <v>3375</v>
      </c>
      <c r="AQ354" t="s">
        <v>3376</v>
      </c>
      <c r="AR354" t="s">
        <v>3377</v>
      </c>
      <c r="AS354" t="s">
        <v>3378</v>
      </c>
    </row>
    <row r="355" spans="1:45" x14ac:dyDescent="0.45">
      <c r="A355">
        <v>354</v>
      </c>
      <c r="B355">
        <v>12698</v>
      </c>
      <c r="C355" t="s">
        <v>72</v>
      </c>
      <c r="D355" t="s">
        <v>189</v>
      </c>
      <c r="E355" t="s">
        <v>74</v>
      </c>
      <c r="F355" t="s">
        <v>77</v>
      </c>
      <c r="G355" t="s">
        <v>76</v>
      </c>
      <c r="H355">
        <v>13.292739428794732</v>
      </c>
      <c r="I355">
        <v>0</v>
      </c>
      <c r="J355">
        <v>6</v>
      </c>
      <c r="K355">
        <v>9</v>
      </c>
      <c r="L355">
        <v>-3</v>
      </c>
      <c r="M355">
        <v>6</v>
      </c>
      <c r="N355">
        <v>9</v>
      </c>
      <c r="O355">
        <v>-3</v>
      </c>
      <c r="P355">
        <v>9</v>
      </c>
      <c r="Q355">
        <v>10</v>
      </c>
      <c r="R355">
        <v>-1</v>
      </c>
      <c r="S355">
        <v>9</v>
      </c>
      <c r="T355">
        <v>10</v>
      </c>
      <c r="U355">
        <v>-1</v>
      </c>
      <c r="V355">
        <v>8</v>
      </c>
      <c r="W355">
        <v>9</v>
      </c>
      <c r="X355">
        <v>-1</v>
      </c>
      <c r="Y355">
        <v>8</v>
      </c>
      <c r="Z355">
        <v>10</v>
      </c>
      <c r="AA355">
        <v>-2</v>
      </c>
      <c r="AB355">
        <v>7</v>
      </c>
      <c r="AC355">
        <v>8</v>
      </c>
      <c r="AD355">
        <v>-1</v>
      </c>
      <c r="AE355">
        <v>6</v>
      </c>
      <c r="AF355">
        <v>8</v>
      </c>
      <c r="AG355">
        <v>-2</v>
      </c>
      <c r="AH355">
        <v>8</v>
      </c>
      <c r="AI355">
        <v>9</v>
      </c>
      <c r="AJ355">
        <v>-1</v>
      </c>
      <c r="AK355" t="s">
        <v>3379</v>
      </c>
      <c r="AL355" t="s">
        <v>3380</v>
      </c>
      <c r="AM355" t="s">
        <v>3381</v>
      </c>
      <c r="AN355" t="s">
        <v>3382</v>
      </c>
      <c r="AO355" t="s">
        <v>3383</v>
      </c>
      <c r="AP355" t="s">
        <v>3384</v>
      </c>
      <c r="AQ355" t="s">
        <v>3385</v>
      </c>
      <c r="AR355" t="s">
        <v>3386</v>
      </c>
      <c r="AS355" t="s">
        <v>3387</v>
      </c>
    </row>
    <row r="356" spans="1:45" x14ac:dyDescent="0.45">
      <c r="A356">
        <v>355</v>
      </c>
      <c r="B356">
        <v>12699</v>
      </c>
      <c r="C356" t="s">
        <v>78</v>
      </c>
      <c r="D356" t="s">
        <v>189</v>
      </c>
      <c r="E356" t="s">
        <v>74</v>
      </c>
      <c r="F356" t="s">
        <v>77</v>
      </c>
      <c r="G356" t="s">
        <v>76</v>
      </c>
      <c r="H356">
        <v>12.502771161707546</v>
      </c>
      <c r="I356">
        <v>0</v>
      </c>
      <c r="J356">
        <v>8</v>
      </c>
      <c r="K356">
        <v>7</v>
      </c>
      <c r="L356">
        <v>1</v>
      </c>
      <c r="M356">
        <v>7</v>
      </c>
      <c r="N356">
        <v>8</v>
      </c>
      <c r="O356">
        <v>-1</v>
      </c>
      <c r="P356">
        <v>9</v>
      </c>
      <c r="Q356">
        <v>8</v>
      </c>
      <c r="R356">
        <v>1</v>
      </c>
      <c r="S356">
        <v>10</v>
      </c>
      <c r="T356">
        <v>9</v>
      </c>
      <c r="U356">
        <v>1</v>
      </c>
      <c r="V356">
        <v>9</v>
      </c>
      <c r="W356">
        <v>8</v>
      </c>
      <c r="X356">
        <v>1</v>
      </c>
      <c r="Y356">
        <v>8</v>
      </c>
      <c r="Z356">
        <v>10</v>
      </c>
      <c r="AA356">
        <v>-2</v>
      </c>
      <c r="AB356">
        <v>9</v>
      </c>
      <c r="AC356">
        <v>8</v>
      </c>
      <c r="AD356">
        <v>1</v>
      </c>
      <c r="AE356">
        <v>7</v>
      </c>
      <c r="AF356">
        <v>8</v>
      </c>
      <c r="AG356">
        <v>-1</v>
      </c>
      <c r="AH356">
        <v>9</v>
      </c>
      <c r="AI356">
        <v>9</v>
      </c>
      <c r="AJ356">
        <v>0</v>
      </c>
      <c r="AK356" t="s">
        <v>3388</v>
      </c>
      <c r="AL356" t="s">
        <v>3389</v>
      </c>
      <c r="AM356" t="s">
        <v>3390</v>
      </c>
      <c r="AN356" t="s">
        <v>3391</v>
      </c>
      <c r="AO356" t="s">
        <v>3392</v>
      </c>
      <c r="AP356" t="s">
        <v>3393</v>
      </c>
      <c r="AQ356" t="s">
        <v>3394</v>
      </c>
      <c r="AR356" t="s">
        <v>3395</v>
      </c>
      <c r="AS356" t="s">
        <v>3396</v>
      </c>
    </row>
    <row r="357" spans="1:45" x14ac:dyDescent="0.45">
      <c r="A357">
        <v>356</v>
      </c>
      <c r="B357">
        <v>12700</v>
      </c>
      <c r="C357" t="s">
        <v>78</v>
      </c>
      <c r="D357" t="s">
        <v>189</v>
      </c>
      <c r="E357" t="s">
        <v>74</v>
      </c>
      <c r="F357" t="s">
        <v>77</v>
      </c>
      <c r="G357" t="s">
        <v>76</v>
      </c>
      <c r="H357">
        <v>15.742557486937738</v>
      </c>
      <c r="I357">
        <v>0</v>
      </c>
      <c r="J357">
        <v>6</v>
      </c>
      <c r="K357">
        <v>7</v>
      </c>
      <c r="L357">
        <v>-1</v>
      </c>
      <c r="M357">
        <v>7</v>
      </c>
      <c r="N357">
        <v>7</v>
      </c>
      <c r="O357">
        <v>0</v>
      </c>
      <c r="P357">
        <v>9</v>
      </c>
      <c r="Q357">
        <v>8</v>
      </c>
      <c r="R357">
        <v>1</v>
      </c>
      <c r="S357">
        <v>8</v>
      </c>
      <c r="T357">
        <v>10</v>
      </c>
      <c r="U357">
        <v>-2</v>
      </c>
      <c r="V357">
        <v>6</v>
      </c>
      <c r="W357">
        <v>9</v>
      </c>
      <c r="X357">
        <v>-3</v>
      </c>
      <c r="Y357">
        <v>8</v>
      </c>
      <c r="Z357">
        <v>10</v>
      </c>
      <c r="AA357">
        <v>-2</v>
      </c>
      <c r="AB357">
        <v>7</v>
      </c>
      <c r="AC357">
        <v>8</v>
      </c>
      <c r="AD357">
        <v>-1</v>
      </c>
      <c r="AE357">
        <v>8</v>
      </c>
      <c r="AF357">
        <v>8</v>
      </c>
      <c r="AG357">
        <v>0</v>
      </c>
      <c r="AH357">
        <v>9</v>
      </c>
      <c r="AI357">
        <v>10</v>
      </c>
      <c r="AJ357">
        <v>-1</v>
      </c>
      <c r="AK357" t="s">
        <v>3397</v>
      </c>
      <c r="AL357" t="s">
        <v>3398</v>
      </c>
      <c r="AM357" t="s">
        <v>3399</v>
      </c>
      <c r="AN357" t="s">
        <v>3400</v>
      </c>
      <c r="AO357" t="s">
        <v>3401</v>
      </c>
      <c r="AP357" t="s">
        <v>3402</v>
      </c>
      <c r="AQ357" t="s">
        <v>599</v>
      </c>
      <c r="AR357" t="s">
        <v>3403</v>
      </c>
      <c r="AS357" t="s">
        <v>3404</v>
      </c>
    </row>
    <row r="358" spans="1:45" x14ac:dyDescent="0.45">
      <c r="A358">
        <v>357</v>
      </c>
      <c r="B358">
        <v>12701</v>
      </c>
      <c r="C358" t="s">
        <v>78</v>
      </c>
      <c r="D358" t="s">
        <v>81</v>
      </c>
      <c r="E358" t="s">
        <v>74</v>
      </c>
      <c r="F358" t="s">
        <v>77</v>
      </c>
      <c r="G358" t="s">
        <v>76</v>
      </c>
      <c r="H358">
        <v>25.957773442227086</v>
      </c>
      <c r="I358">
        <v>0</v>
      </c>
      <c r="J358">
        <v>9</v>
      </c>
      <c r="K358">
        <v>9</v>
      </c>
      <c r="L358">
        <v>0</v>
      </c>
      <c r="M358">
        <v>8</v>
      </c>
      <c r="N358">
        <v>9</v>
      </c>
      <c r="O358">
        <v>-1</v>
      </c>
      <c r="P358">
        <v>9</v>
      </c>
      <c r="Q358">
        <v>8</v>
      </c>
      <c r="R358">
        <v>1</v>
      </c>
      <c r="S358">
        <v>10</v>
      </c>
      <c r="T358">
        <v>9</v>
      </c>
      <c r="U358">
        <v>1</v>
      </c>
      <c r="V358">
        <v>9</v>
      </c>
      <c r="W358">
        <v>8</v>
      </c>
      <c r="X358">
        <v>1</v>
      </c>
      <c r="Y358">
        <v>8</v>
      </c>
      <c r="Z358">
        <v>8</v>
      </c>
      <c r="AA358">
        <v>0</v>
      </c>
      <c r="AB358">
        <v>9</v>
      </c>
      <c r="AC358">
        <v>7</v>
      </c>
      <c r="AD358">
        <v>2</v>
      </c>
      <c r="AE358">
        <v>8</v>
      </c>
      <c r="AF358">
        <v>7</v>
      </c>
      <c r="AG358">
        <v>1</v>
      </c>
      <c r="AH358">
        <v>9</v>
      </c>
      <c r="AI358">
        <v>8</v>
      </c>
      <c r="AJ358">
        <v>1</v>
      </c>
      <c r="AK358" t="s">
        <v>3405</v>
      </c>
      <c r="AL358" t="s">
        <v>3406</v>
      </c>
      <c r="AM358" t="s">
        <v>3407</v>
      </c>
      <c r="AN358" t="s">
        <v>3408</v>
      </c>
      <c r="AO358" t="s">
        <v>3409</v>
      </c>
      <c r="AP358" t="s">
        <v>3410</v>
      </c>
      <c r="AQ358" t="s">
        <v>3411</v>
      </c>
      <c r="AR358" t="s">
        <v>3412</v>
      </c>
      <c r="AS358" t="s">
        <v>3413</v>
      </c>
    </row>
    <row r="359" spans="1:45" x14ac:dyDescent="0.45">
      <c r="A359">
        <v>358</v>
      </c>
      <c r="B359">
        <v>12702</v>
      </c>
      <c r="C359" t="s">
        <v>72</v>
      </c>
      <c r="D359" t="s">
        <v>189</v>
      </c>
      <c r="E359" t="s">
        <v>74</v>
      </c>
      <c r="F359" t="s">
        <v>77</v>
      </c>
      <c r="G359" t="s">
        <v>76</v>
      </c>
      <c r="H359">
        <v>15.110265671808389</v>
      </c>
      <c r="I359">
        <v>0</v>
      </c>
      <c r="J359">
        <v>6</v>
      </c>
      <c r="K359">
        <v>7</v>
      </c>
      <c r="L359">
        <v>-1</v>
      </c>
      <c r="M359">
        <v>6</v>
      </c>
      <c r="N359">
        <v>7</v>
      </c>
      <c r="O359">
        <v>-1</v>
      </c>
      <c r="P359">
        <v>9</v>
      </c>
      <c r="Q359">
        <v>7</v>
      </c>
      <c r="R359">
        <v>2</v>
      </c>
      <c r="S359">
        <v>8</v>
      </c>
      <c r="T359">
        <v>8</v>
      </c>
      <c r="U359">
        <v>0</v>
      </c>
      <c r="V359">
        <v>7</v>
      </c>
      <c r="W359">
        <v>7</v>
      </c>
      <c r="X359">
        <v>0</v>
      </c>
      <c r="Y359">
        <v>9</v>
      </c>
      <c r="Z359">
        <v>9</v>
      </c>
      <c r="AA359">
        <v>0</v>
      </c>
      <c r="AB359">
        <v>7</v>
      </c>
      <c r="AC359">
        <v>8</v>
      </c>
      <c r="AD359">
        <v>-1</v>
      </c>
      <c r="AE359">
        <v>8</v>
      </c>
      <c r="AF359">
        <v>8</v>
      </c>
      <c r="AG359">
        <v>0</v>
      </c>
      <c r="AH359">
        <v>9</v>
      </c>
      <c r="AI359">
        <v>8</v>
      </c>
      <c r="AJ359">
        <v>1</v>
      </c>
      <c r="AK359" t="s">
        <v>3414</v>
      </c>
      <c r="AL359" t="s">
        <v>3415</v>
      </c>
      <c r="AM359" t="s">
        <v>3416</v>
      </c>
      <c r="AN359" t="s">
        <v>3417</v>
      </c>
      <c r="AO359" t="s">
        <v>3418</v>
      </c>
      <c r="AP359" t="s">
        <v>3419</v>
      </c>
      <c r="AQ359" t="s">
        <v>3420</v>
      </c>
      <c r="AR359" t="s">
        <v>3421</v>
      </c>
      <c r="AS359" t="s">
        <v>3422</v>
      </c>
    </row>
    <row r="360" spans="1:45" x14ac:dyDescent="0.45">
      <c r="A360">
        <v>359</v>
      </c>
      <c r="B360">
        <v>12703</v>
      </c>
      <c r="C360" t="s">
        <v>72</v>
      </c>
      <c r="D360" t="s">
        <v>81</v>
      </c>
      <c r="E360" t="s">
        <v>74</v>
      </c>
      <c r="F360" t="s">
        <v>77</v>
      </c>
      <c r="G360" t="s">
        <v>76</v>
      </c>
      <c r="H360">
        <v>18.218602068343287</v>
      </c>
      <c r="I360">
        <v>1</v>
      </c>
      <c r="J360">
        <v>7</v>
      </c>
      <c r="K360">
        <v>4</v>
      </c>
      <c r="L360">
        <v>3</v>
      </c>
      <c r="M360">
        <v>8</v>
      </c>
      <c r="N360">
        <v>5</v>
      </c>
      <c r="O360">
        <v>3</v>
      </c>
      <c r="P360">
        <v>9</v>
      </c>
      <c r="Q360">
        <v>6</v>
      </c>
      <c r="R360">
        <v>3</v>
      </c>
      <c r="S360">
        <v>9</v>
      </c>
      <c r="T360">
        <v>7</v>
      </c>
      <c r="U360">
        <v>2</v>
      </c>
      <c r="V360">
        <v>8</v>
      </c>
      <c r="W360">
        <v>7</v>
      </c>
      <c r="X360">
        <v>1</v>
      </c>
      <c r="Y360">
        <v>9</v>
      </c>
      <c r="Z360">
        <v>6</v>
      </c>
      <c r="AA360">
        <v>3</v>
      </c>
      <c r="AB360">
        <v>8</v>
      </c>
      <c r="AC360">
        <v>4</v>
      </c>
      <c r="AD360">
        <v>4</v>
      </c>
      <c r="AE360">
        <v>7</v>
      </c>
      <c r="AF360">
        <v>6</v>
      </c>
      <c r="AG360">
        <v>1</v>
      </c>
      <c r="AH360">
        <v>9</v>
      </c>
      <c r="AI360">
        <v>7</v>
      </c>
      <c r="AJ360">
        <v>2</v>
      </c>
      <c r="AK360" t="s">
        <v>3423</v>
      </c>
      <c r="AL360" t="s">
        <v>3424</v>
      </c>
      <c r="AM360" t="s">
        <v>3425</v>
      </c>
      <c r="AN360" t="s">
        <v>3426</v>
      </c>
      <c r="AO360" t="s">
        <v>3427</v>
      </c>
      <c r="AP360" t="s">
        <v>3428</v>
      </c>
      <c r="AQ360" t="s">
        <v>3429</v>
      </c>
      <c r="AR360" t="s">
        <v>3430</v>
      </c>
      <c r="AS360" t="s">
        <v>3431</v>
      </c>
    </row>
    <row r="361" spans="1:45" x14ac:dyDescent="0.45">
      <c r="A361">
        <v>360</v>
      </c>
      <c r="B361">
        <v>12704</v>
      </c>
      <c r="C361" t="s">
        <v>78</v>
      </c>
      <c r="D361" t="s">
        <v>81</v>
      </c>
      <c r="E361" t="s">
        <v>74</v>
      </c>
      <c r="F361" t="s">
        <v>77</v>
      </c>
      <c r="G361" t="s">
        <v>76</v>
      </c>
      <c r="H361">
        <v>18.514557326781983</v>
      </c>
      <c r="I361">
        <v>0</v>
      </c>
      <c r="J361">
        <v>7</v>
      </c>
      <c r="K361">
        <v>9</v>
      </c>
      <c r="L361">
        <v>-2</v>
      </c>
      <c r="M361">
        <v>7</v>
      </c>
      <c r="N361">
        <v>8</v>
      </c>
      <c r="O361">
        <v>-1</v>
      </c>
      <c r="P361">
        <v>8</v>
      </c>
      <c r="Q361">
        <v>8</v>
      </c>
      <c r="R361">
        <v>0</v>
      </c>
      <c r="S361">
        <v>9</v>
      </c>
      <c r="T361">
        <v>8</v>
      </c>
      <c r="U361">
        <v>1</v>
      </c>
      <c r="V361">
        <v>7</v>
      </c>
      <c r="W361">
        <v>7</v>
      </c>
      <c r="X361">
        <v>0</v>
      </c>
      <c r="Y361">
        <v>8</v>
      </c>
      <c r="Z361">
        <v>7</v>
      </c>
      <c r="AA361">
        <v>1</v>
      </c>
      <c r="AB361">
        <v>7</v>
      </c>
      <c r="AC361">
        <v>6</v>
      </c>
      <c r="AD361">
        <v>1</v>
      </c>
      <c r="AE361">
        <v>8</v>
      </c>
      <c r="AF361">
        <v>7</v>
      </c>
      <c r="AG361">
        <v>1</v>
      </c>
      <c r="AH361">
        <v>9</v>
      </c>
      <c r="AI361">
        <v>8</v>
      </c>
      <c r="AJ361">
        <v>1</v>
      </c>
      <c r="AK361" t="s">
        <v>3432</v>
      </c>
      <c r="AL361" t="s">
        <v>3433</v>
      </c>
      <c r="AM361" t="s">
        <v>3434</v>
      </c>
      <c r="AN361" t="s">
        <v>3435</v>
      </c>
      <c r="AO361" t="s">
        <v>3436</v>
      </c>
      <c r="AP361" t="s">
        <v>3437</v>
      </c>
      <c r="AQ361" t="s">
        <v>3438</v>
      </c>
      <c r="AR361" t="s">
        <v>3439</v>
      </c>
      <c r="AS361" t="s">
        <v>3440</v>
      </c>
    </row>
    <row r="362" spans="1:45" x14ac:dyDescent="0.45">
      <c r="A362">
        <v>361</v>
      </c>
      <c r="B362">
        <v>12705</v>
      </c>
      <c r="C362" t="s">
        <v>72</v>
      </c>
      <c r="D362" t="s">
        <v>189</v>
      </c>
      <c r="E362" t="s">
        <v>74</v>
      </c>
      <c r="F362" t="s">
        <v>77</v>
      </c>
      <c r="G362" t="s">
        <v>76</v>
      </c>
      <c r="H362">
        <v>12</v>
      </c>
      <c r="I362">
        <v>0</v>
      </c>
      <c r="J362">
        <v>6</v>
      </c>
      <c r="K362">
        <v>7</v>
      </c>
      <c r="L362">
        <v>-1</v>
      </c>
      <c r="M362">
        <v>7</v>
      </c>
      <c r="N362">
        <v>7</v>
      </c>
      <c r="O362">
        <v>0</v>
      </c>
      <c r="P362">
        <v>8</v>
      </c>
      <c r="Q362">
        <v>8</v>
      </c>
      <c r="R362">
        <v>0</v>
      </c>
      <c r="S362">
        <v>9</v>
      </c>
      <c r="T362">
        <v>9</v>
      </c>
      <c r="U362">
        <v>0</v>
      </c>
      <c r="V362">
        <v>7</v>
      </c>
      <c r="W362">
        <v>7</v>
      </c>
      <c r="X362">
        <v>0</v>
      </c>
      <c r="Y362">
        <v>9</v>
      </c>
      <c r="Z362">
        <v>10</v>
      </c>
      <c r="AA362">
        <v>-1</v>
      </c>
      <c r="AB362">
        <v>8</v>
      </c>
      <c r="AC362">
        <v>8</v>
      </c>
      <c r="AD362">
        <v>0</v>
      </c>
      <c r="AE362">
        <v>7</v>
      </c>
      <c r="AF362">
        <v>8</v>
      </c>
      <c r="AG362">
        <v>-1</v>
      </c>
      <c r="AH362">
        <v>9</v>
      </c>
      <c r="AI362">
        <v>10</v>
      </c>
      <c r="AJ362">
        <v>-1</v>
      </c>
      <c r="AK362" t="s">
        <v>3441</v>
      </c>
      <c r="AL362" t="s">
        <v>3442</v>
      </c>
      <c r="AM362" t="s">
        <v>3443</v>
      </c>
      <c r="AN362" t="s">
        <v>3444</v>
      </c>
      <c r="AO362" t="s">
        <v>3445</v>
      </c>
      <c r="AP362" t="s">
        <v>3446</v>
      </c>
      <c r="AQ362" t="s">
        <v>3447</v>
      </c>
      <c r="AR362" t="s">
        <v>3448</v>
      </c>
      <c r="AS362" t="s">
        <v>3449</v>
      </c>
    </row>
    <row r="363" spans="1:45" x14ac:dyDescent="0.45">
      <c r="A363">
        <v>362</v>
      </c>
      <c r="B363">
        <v>12706</v>
      </c>
      <c r="C363" t="s">
        <v>72</v>
      </c>
      <c r="D363" t="s">
        <v>189</v>
      </c>
      <c r="E363" t="s">
        <v>74</v>
      </c>
      <c r="F363" t="s">
        <v>77</v>
      </c>
      <c r="G363" t="s">
        <v>76</v>
      </c>
      <c r="H363">
        <v>16.270761270443494</v>
      </c>
      <c r="I363">
        <v>0</v>
      </c>
      <c r="J363">
        <v>8</v>
      </c>
      <c r="K363">
        <v>3</v>
      </c>
      <c r="L363">
        <v>5</v>
      </c>
      <c r="M363">
        <v>9</v>
      </c>
      <c r="N363">
        <v>3</v>
      </c>
      <c r="O363">
        <v>6</v>
      </c>
      <c r="P363">
        <v>9</v>
      </c>
      <c r="Q363">
        <v>5</v>
      </c>
      <c r="R363">
        <v>4</v>
      </c>
      <c r="S363">
        <v>9</v>
      </c>
      <c r="T363">
        <v>6</v>
      </c>
      <c r="U363">
        <v>3</v>
      </c>
      <c r="V363">
        <v>8</v>
      </c>
      <c r="W363">
        <v>5</v>
      </c>
      <c r="X363">
        <v>3</v>
      </c>
      <c r="Y363">
        <v>9</v>
      </c>
      <c r="Z363">
        <v>6</v>
      </c>
      <c r="AA363">
        <v>3</v>
      </c>
      <c r="AB363">
        <v>8</v>
      </c>
      <c r="AC363">
        <v>4</v>
      </c>
      <c r="AD363">
        <v>4</v>
      </c>
      <c r="AE363">
        <v>9</v>
      </c>
      <c r="AF363">
        <v>6</v>
      </c>
      <c r="AG363">
        <v>3</v>
      </c>
      <c r="AH363">
        <v>9</v>
      </c>
      <c r="AI363">
        <v>6</v>
      </c>
      <c r="AJ363">
        <v>3</v>
      </c>
      <c r="AK363" t="s">
        <v>3450</v>
      </c>
      <c r="AL363" t="s">
        <v>3451</v>
      </c>
      <c r="AM363" t="s">
        <v>3452</v>
      </c>
      <c r="AN363" t="s">
        <v>3453</v>
      </c>
      <c r="AO363" t="s">
        <v>3454</v>
      </c>
      <c r="AP363" t="s">
        <v>3455</v>
      </c>
      <c r="AQ363" t="s">
        <v>3456</v>
      </c>
      <c r="AR363" t="s">
        <v>3457</v>
      </c>
      <c r="AS363" t="s">
        <v>3458</v>
      </c>
    </row>
    <row r="364" spans="1:45" x14ac:dyDescent="0.45">
      <c r="A364">
        <v>363</v>
      </c>
      <c r="B364">
        <v>12707</v>
      </c>
      <c r="C364" t="s">
        <v>78</v>
      </c>
      <c r="D364" t="s">
        <v>81</v>
      </c>
      <c r="E364" t="s">
        <v>74</v>
      </c>
      <c r="F364" t="s">
        <v>77</v>
      </c>
      <c r="G364" t="s">
        <v>76</v>
      </c>
      <c r="H364">
        <v>25.836097824113111</v>
      </c>
      <c r="I364">
        <v>1</v>
      </c>
      <c r="J364">
        <v>6</v>
      </c>
      <c r="K364">
        <v>8</v>
      </c>
      <c r="L364">
        <v>-2</v>
      </c>
      <c r="M364">
        <v>6</v>
      </c>
      <c r="N364">
        <v>8</v>
      </c>
      <c r="O364">
        <v>-2</v>
      </c>
      <c r="P364">
        <v>8</v>
      </c>
      <c r="Q364">
        <v>5</v>
      </c>
      <c r="R364">
        <v>3</v>
      </c>
      <c r="S364">
        <v>9</v>
      </c>
      <c r="T364">
        <v>7</v>
      </c>
      <c r="U364">
        <v>2</v>
      </c>
      <c r="V364">
        <v>7</v>
      </c>
      <c r="W364">
        <v>5</v>
      </c>
      <c r="X364">
        <v>2</v>
      </c>
      <c r="Y364">
        <v>8</v>
      </c>
      <c r="Z364">
        <v>8</v>
      </c>
      <c r="AA364">
        <v>0</v>
      </c>
      <c r="AB364">
        <v>7</v>
      </c>
      <c r="AC364">
        <v>5</v>
      </c>
      <c r="AD364">
        <v>2</v>
      </c>
      <c r="AE364">
        <v>6</v>
      </c>
      <c r="AF364">
        <v>7</v>
      </c>
      <c r="AG364">
        <v>-1</v>
      </c>
      <c r="AH364">
        <v>9</v>
      </c>
      <c r="AI364">
        <v>8</v>
      </c>
      <c r="AJ364">
        <v>1</v>
      </c>
      <c r="AK364" t="s">
        <v>3459</v>
      </c>
      <c r="AL364" t="s">
        <v>3460</v>
      </c>
      <c r="AM364" t="s">
        <v>3461</v>
      </c>
      <c r="AN364" t="s">
        <v>3462</v>
      </c>
      <c r="AO364" t="s">
        <v>3463</v>
      </c>
      <c r="AP364" t="s">
        <v>3464</v>
      </c>
      <c r="AQ364" t="s">
        <v>3465</v>
      </c>
      <c r="AR364" t="s">
        <v>3466</v>
      </c>
      <c r="AS364" t="s">
        <v>3467</v>
      </c>
    </row>
    <row r="365" spans="1:45" x14ac:dyDescent="0.45">
      <c r="A365">
        <v>364</v>
      </c>
      <c r="B365">
        <v>12708</v>
      </c>
      <c r="C365" t="s">
        <v>78</v>
      </c>
      <c r="D365" t="s">
        <v>73</v>
      </c>
      <c r="E365" t="s">
        <v>74</v>
      </c>
      <c r="F365" t="s">
        <v>77</v>
      </c>
      <c r="G365" t="s">
        <v>76</v>
      </c>
      <c r="H365">
        <v>18.182181126099756</v>
      </c>
      <c r="I365">
        <v>1</v>
      </c>
      <c r="J365">
        <v>7</v>
      </c>
      <c r="K365">
        <v>4</v>
      </c>
      <c r="L365">
        <v>3</v>
      </c>
      <c r="M365">
        <v>8</v>
      </c>
      <c r="N365">
        <v>5</v>
      </c>
      <c r="O365">
        <v>3</v>
      </c>
      <c r="P365">
        <v>6</v>
      </c>
      <c r="Q365">
        <v>5</v>
      </c>
      <c r="R365">
        <v>1</v>
      </c>
      <c r="S365">
        <v>9</v>
      </c>
      <c r="T365">
        <v>7</v>
      </c>
      <c r="U365">
        <v>2</v>
      </c>
      <c r="V365">
        <v>8</v>
      </c>
      <c r="W365">
        <v>5</v>
      </c>
      <c r="X365">
        <v>3</v>
      </c>
      <c r="Y365">
        <v>9</v>
      </c>
      <c r="Z365">
        <v>7</v>
      </c>
      <c r="AA365">
        <v>2</v>
      </c>
      <c r="AB365">
        <v>8</v>
      </c>
      <c r="AC365">
        <v>5</v>
      </c>
      <c r="AD365">
        <v>3</v>
      </c>
      <c r="AE365">
        <v>9</v>
      </c>
      <c r="AF365">
        <v>6</v>
      </c>
      <c r="AG365">
        <v>3</v>
      </c>
      <c r="AH365">
        <v>8</v>
      </c>
      <c r="AI365">
        <v>7</v>
      </c>
      <c r="AJ365">
        <v>1</v>
      </c>
      <c r="AK365" t="s">
        <v>3468</v>
      </c>
      <c r="AL365" t="s">
        <v>3469</v>
      </c>
      <c r="AM365" t="s">
        <v>3470</v>
      </c>
      <c r="AN365" t="s">
        <v>3471</v>
      </c>
      <c r="AO365" t="s">
        <v>3472</v>
      </c>
      <c r="AP365" t="s">
        <v>3473</v>
      </c>
      <c r="AQ365" t="s">
        <v>3474</v>
      </c>
      <c r="AR365" t="s">
        <v>3475</v>
      </c>
      <c r="AS365" t="s">
        <v>3476</v>
      </c>
    </row>
    <row r="366" spans="1:45" x14ac:dyDescent="0.45">
      <c r="A366">
        <v>365</v>
      </c>
      <c r="B366">
        <v>12709</v>
      </c>
      <c r="C366" t="s">
        <v>72</v>
      </c>
      <c r="D366" t="s">
        <v>81</v>
      </c>
      <c r="E366" t="s">
        <v>74</v>
      </c>
      <c r="F366" t="s">
        <v>77</v>
      </c>
      <c r="G366" t="s">
        <v>76</v>
      </c>
      <c r="H366">
        <v>46.942828274849099</v>
      </c>
      <c r="I366">
        <v>0</v>
      </c>
      <c r="J366">
        <v>6</v>
      </c>
      <c r="K366">
        <v>9</v>
      </c>
      <c r="L366">
        <v>-3</v>
      </c>
      <c r="M366">
        <v>8</v>
      </c>
      <c r="N366">
        <v>9</v>
      </c>
      <c r="O366">
        <v>-1</v>
      </c>
      <c r="P366">
        <v>7</v>
      </c>
      <c r="Q366">
        <v>8</v>
      </c>
      <c r="R366">
        <v>-1</v>
      </c>
      <c r="S366">
        <v>9</v>
      </c>
      <c r="T366">
        <v>9</v>
      </c>
      <c r="U366">
        <v>0</v>
      </c>
      <c r="V366">
        <v>7</v>
      </c>
      <c r="W366">
        <v>9</v>
      </c>
      <c r="X366">
        <v>-2</v>
      </c>
      <c r="Y366">
        <v>8</v>
      </c>
      <c r="Z366">
        <v>7</v>
      </c>
      <c r="AA366">
        <v>1</v>
      </c>
      <c r="AB366">
        <v>7</v>
      </c>
      <c r="AC366">
        <v>7</v>
      </c>
      <c r="AD366">
        <v>0</v>
      </c>
      <c r="AE366">
        <v>6</v>
      </c>
      <c r="AF366">
        <v>7</v>
      </c>
      <c r="AG366">
        <v>-1</v>
      </c>
      <c r="AH366">
        <v>8</v>
      </c>
      <c r="AI366">
        <v>7</v>
      </c>
      <c r="AJ366">
        <v>1</v>
      </c>
      <c r="AK366" t="s">
        <v>3477</v>
      </c>
      <c r="AL366" t="s">
        <v>3478</v>
      </c>
      <c r="AM366" t="s">
        <v>3479</v>
      </c>
      <c r="AN366" t="s">
        <v>3480</v>
      </c>
      <c r="AO366" t="s">
        <v>3481</v>
      </c>
      <c r="AP366" t="s">
        <v>3482</v>
      </c>
      <c r="AQ366" t="s">
        <v>82</v>
      </c>
      <c r="AR366" t="s">
        <v>3483</v>
      </c>
      <c r="AS366" t="s">
        <v>3484</v>
      </c>
    </row>
    <row r="367" spans="1:45" x14ac:dyDescent="0.45">
      <c r="A367">
        <v>366</v>
      </c>
      <c r="B367">
        <v>12710</v>
      </c>
      <c r="C367" t="s">
        <v>78</v>
      </c>
      <c r="D367" t="s">
        <v>73</v>
      </c>
      <c r="E367" t="s">
        <v>74</v>
      </c>
      <c r="F367" t="s">
        <v>75</v>
      </c>
      <c r="G367" t="s">
        <v>76</v>
      </c>
      <c r="H367">
        <v>68.883594394844124</v>
      </c>
      <c r="I367">
        <v>1</v>
      </c>
      <c r="J367">
        <v>8</v>
      </c>
      <c r="K367">
        <v>7</v>
      </c>
      <c r="L367">
        <v>1</v>
      </c>
      <c r="M367">
        <v>8</v>
      </c>
      <c r="N367">
        <v>8</v>
      </c>
      <c r="O367">
        <v>0</v>
      </c>
      <c r="P367">
        <v>7</v>
      </c>
      <c r="Q367">
        <v>8</v>
      </c>
      <c r="R367">
        <v>-1</v>
      </c>
      <c r="S367">
        <v>9</v>
      </c>
      <c r="T367">
        <v>8</v>
      </c>
      <c r="U367">
        <v>1</v>
      </c>
      <c r="V367">
        <v>7</v>
      </c>
      <c r="W367">
        <v>5</v>
      </c>
      <c r="X367">
        <v>2</v>
      </c>
      <c r="Y367">
        <v>9</v>
      </c>
      <c r="Z367">
        <v>6</v>
      </c>
      <c r="AA367">
        <v>3</v>
      </c>
      <c r="AB367">
        <v>7</v>
      </c>
      <c r="AC367">
        <v>5</v>
      </c>
      <c r="AD367">
        <v>2</v>
      </c>
      <c r="AE367">
        <v>8</v>
      </c>
      <c r="AF367">
        <v>6</v>
      </c>
      <c r="AG367">
        <v>2</v>
      </c>
      <c r="AH367">
        <v>9</v>
      </c>
      <c r="AI367">
        <v>6</v>
      </c>
      <c r="AJ367">
        <v>3</v>
      </c>
      <c r="AK367" t="s">
        <v>3485</v>
      </c>
      <c r="AL367" t="s">
        <v>3486</v>
      </c>
      <c r="AM367" t="s">
        <v>3487</v>
      </c>
      <c r="AN367" t="s">
        <v>3488</v>
      </c>
      <c r="AO367" t="s">
        <v>3489</v>
      </c>
      <c r="AP367" t="s">
        <v>3490</v>
      </c>
      <c r="AQ367" t="s">
        <v>3491</v>
      </c>
      <c r="AR367" t="s">
        <v>3492</v>
      </c>
      <c r="AS367" t="s">
        <v>3493</v>
      </c>
    </row>
    <row r="368" spans="1:45" x14ac:dyDescent="0.45">
      <c r="A368">
        <v>367</v>
      </c>
      <c r="B368">
        <v>12711</v>
      </c>
      <c r="C368" t="s">
        <v>72</v>
      </c>
      <c r="D368" t="s">
        <v>189</v>
      </c>
      <c r="E368" t="s">
        <v>74</v>
      </c>
      <c r="F368" t="s">
        <v>77</v>
      </c>
      <c r="G368" t="s">
        <v>76</v>
      </c>
      <c r="H368">
        <v>16.818679472200255</v>
      </c>
      <c r="I368">
        <v>0</v>
      </c>
      <c r="J368">
        <v>6</v>
      </c>
      <c r="K368">
        <v>8</v>
      </c>
      <c r="L368">
        <v>-2</v>
      </c>
      <c r="M368">
        <v>5</v>
      </c>
      <c r="N368">
        <v>9</v>
      </c>
      <c r="O368">
        <v>-4</v>
      </c>
      <c r="P368">
        <v>9</v>
      </c>
      <c r="Q368">
        <v>8</v>
      </c>
      <c r="R368">
        <v>1</v>
      </c>
      <c r="S368">
        <v>8</v>
      </c>
      <c r="T368">
        <v>8</v>
      </c>
      <c r="U368">
        <v>0</v>
      </c>
      <c r="V368">
        <v>9</v>
      </c>
      <c r="W368">
        <v>9</v>
      </c>
      <c r="X368">
        <v>0</v>
      </c>
      <c r="Y368">
        <v>8</v>
      </c>
      <c r="Z368">
        <v>10</v>
      </c>
      <c r="AA368">
        <v>-2</v>
      </c>
      <c r="AB368">
        <v>9</v>
      </c>
      <c r="AC368">
        <v>10</v>
      </c>
      <c r="AD368">
        <v>-1</v>
      </c>
      <c r="AE368">
        <v>7</v>
      </c>
      <c r="AF368">
        <v>9</v>
      </c>
      <c r="AG368">
        <v>-2</v>
      </c>
      <c r="AH368">
        <v>9</v>
      </c>
      <c r="AI368">
        <v>10</v>
      </c>
      <c r="AJ368">
        <v>-1</v>
      </c>
      <c r="AK368" t="s">
        <v>3494</v>
      </c>
      <c r="AL368" t="s">
        <v>3495</v>
      </c>
      <c r="AM368" t="s">
        <v>3496</v>
      </c>
      <c r="AN368" t="s">
        <v>3497</v>
      </c>
      <c r="AO368" t="s">
        <v>3498</v>
      </c>
      <c r="AP368" t="s">
        <v>3499</v>
      </c>
      <c r="AQ368" t="s">
        <v>3500</v>
      </c>
      <c r="AR368" t="s">
        <v>3501</v>
      </c>
      <c r="AS368" t="s">
        <v>3502</v>
      </c>
    </row>
    <row r="369" spans="1:45" x14ac:dyDescent="0.45">
      <c r="A369">
        <v>368</v>
      </c>
      <c r="B369">
        <v>12712</v>
      </c>
      <c r="C369" t="s">
        <v>72</v>
      </c>
      <c r="D369" t="s">
        <v>81</v>
      </c>
      <c r="E369" t="s">
        <v>74</v>
      </c>
      <c r="F369" t="s">
        <v>75</v>
      </c>
      <c r="G369" t="s">
        <v>76</v>
      </c>
      <c r="H369">
        <v>29.223706589345699</v>
      </c>
      <c r="I369">
        <v>2</v>
      </c>
      <c r="J369">
        <v>7</v>
      </c>
      <c r="K369">
        <v>7</v>
      </c>
      <c r="L369">
        <v>0</v>
      </c>
      <c r="M369">
        <v>9</v>
      </c>
      <c r="N369">
        <v>7</v>
      </c>
      <c r="O369">
        <v>2</v>
      </c>
      <c r="P369">
        <v>8</v>
      </c>
      <c r="Q369">
        <v>8</v>
      </c>
      <c r="R369">
        <v>0</v>
      </c>
      <c r="S369">
        <v>9</v>
      </c>
      <c r="T369">
        <v>8</v>
      </c>
      <c r="U369">
        <v>1</v>
      </c>
      <c r="V369">
        <v>7</v>
      </c>
      <c r="W369">
        <v>6</v>
      </c>
      <c r="X369">
        <v>1</v>
      </c>
      <c r="Y369">
        <v>9</v>
      </c>
      <c r="Z369">
        <v>8</v>
      </c>
      <c r="AA369">
        <v>1</v>
      </c>
      <c r="AB369">
        <v>8</v>
      </c>
      <c r="AC369">
        <v>6</v>
      </c>
      <c r="AD369">
        <v>2</v>
      </c>
      <c r="AE369">
        <v>7</v>
      </c>
      <c r="AF369">
        <v>7</v>
      </c>
      <c r="AG369">
        <v>0</v>
      </c>
      <c r="AH369">
        <v>9</v>
      </c>
      <c r="AI369">
        <v>8</v>
      </c>
      <c r="AJ369">
        <v>1</v>
      </c>
      <c r="AK369" t="s">
        <v>3503</v>
      </c>
      <c r="AL369" t="s">
        <v>3504</v>
      </c>
      <c r="AM369" t="s">
        <v>3505</v>
      </c>
      <c r="AN369" t="s">
        <v>3506</v>
      </c>
      <c r="AO369" t="s">
        <v>3507</v>
      </c>
      <c r="AP369" t="s">
        <v>3508</v>
      </c>
      <c r="AQ369" t="s">
        <v>3509</v>
      </c>
      <c r="AR369" t="s">
        <v>3510</v>
      </c>
      <c r="AS369" t="s">
        <v>3511</v>
      </c>
    </row>
    <row r="370" spans="1:45" x14ac:dyDescent="0.45">
      <c r="A370">
        <v>369</v>
      </c>
      <c r="B370">
        <v>12713</v>
      </c>
      <c r="C370" t="s">
        <v>78</v>
      </c>
      <c r="D370" t="s">
        <v>81</v>
      </c>
      <c r="E370" t="s">
        <v>74</v>
      </c>
      <c r="F370" t="s">
        <v>77</v>
      </c>
      <c r="G370" t="s">
        <v>76</v>
      </c>
      <c r="H370">
        <v>14.334666874127459</v>
      </c>
      <c r="I370">
        <v>0</v>
      </c>
      <c r="J370">
        <v>7</v>
      </c>
      <c r="K370">
        <v>6</v>
      </c>
      <c r="L370">
        <v>1</v>
      </c>
      <c r="M370">
        <v>8</v>
      </c>
      <c r="N370">
        <v>6</v>
      </c>
      <c r="O370">
        <v>2</v>
      </c>
      <c r="P370">
        <v>9</v>
      </c>
      <c r="Q370">
        <v>8</v>
      </c>
      <c r="R370">
        <v>1</v>
      </c>
      <c r="S370">
        <v>9</v>
      </c>
      <c r="T370">
        <v>9</v>
      </c>
      <c r="U370">
        <v>0</v>
      </c>
      <c r="V370">
        <v>8</v>
      </c>
      <c r="W370">
        <v>8</v>
      </c>
      <c r="X370">
        <v>0</v>
      </c>
      <c r="Y370">
        <v>9</v>
      </c>
      <c r="Z370">
        <v>8</v>
      </c>
      <c r="AA370">
        <v>1</v>
      </c>
      <c r="AB370">
        <v>8</v>
      </c>
      <c r="AC370">
        <v>5</v>
      </c>
      <c r="AD370">
        <v>3</v>
      </c>
      <c r="AE370">
        <v>9</v>
      </c>
      <c r="AF370">
        <v>7</v>
      </c>
      <c r="AG370">
        <v>2</v>
      </c>
      <c r="AH370">
        <v>10</v>
      </c>
      <c r="AI370">
        <v>8</v>
      </c>
      <c r="AJ370">
        <v>2</v>
      </c>
      <c r="AK370" t="s">
        <v>3512</v>
      </c>
      <c r="AL370" t="s">
        <v>3513</v>
      </c>
      <c r="AM370" t="s">
        <v>3514</v>
      </c>
      <c r="AN370" t="s">
        <v>3515</v>
      </c>
      <c r="AO370" t="s">
        <v>3516</v>
      </c>
      <c r="AP370" t="s">
        <v>3517</v>
      </c>
      <c r="AQ370" t="s">
        <v>3518</v>
      </c>
      <c r="AR370" t="s">
        <v>258</v>
      </c>
      <c r="AS370" t="s">
        <v>3519</v>
      </c>
    </row>
    <row r="371" spans="1:45" x14ac:dyDescent="0.45">
      <c r="A371">
        <v>370</v>
      </c>
      <c r="B371">
        <v>12714</v>
      </c>
      <c r="C371" t="s">
        <v>78</v>
      </c>
      <c r="D371" t="s">
        <v>189</v>
      </c>
      <c r="E371" t="s">
        <v>74</v>
      </c>
      <c r="F371" t="s">
        <v>77</v>
      </c>
      <c r="G371" t="s">
        <v>76</v>
      </c>
      <c r="H371">
        <v>18.287658310058934</v>
      </c>
      <c r="I371">
        <v>0</v>
      </c>
      <c r="J371">
        <v>7</v>
      </c>
      <c r="K371">
        <v>6</v>
      </c>
      <c r="L371">
        <v>1</v>
      </c>
      <c r="M371">
        <v>8</v>
      </c>
      <c r="N371">
        <v>7</v>
      </c>
      <c r="O371">
        <v>1</v>
      </c>
      <c r="P371">
        <v>9</v>
      </c>
      <c r="Q371">
        <v>7</v>
      </c>
      <c r="R371">
        <v>2</v>
      </c>
      <c r="S371">
        <v>9</v>
      </c>
      <c r="T371">
        <v>9</v>
      </c>
      <c r="U371">
        <v>0</v>
      </c>
      <c r="V371">
        <v>8</v>
      </c>
      <c r="W371">
        <v>7</v>
      </c>
      <c r="X371">
        <v>1</v>
      </c>
      <c r="Y371">
        <v>9</v>
      </c>
      <c r="Z371">
        <v>9</v>
      </c>
      <c r="AA371">
        <v>0</v>
      </c>
      <c r="AB371">
        <v>8</v>
      </c>
      <c r="AC371">
        <v>9</v>
      </c>
      <c r="AD371">
        <v>-1</v>
      </c>
      <c r="AE371">
        <v>9</v>
      </c>
      <c r="AF371">
        <v>9</v>
      </c>
      <c r="AG371">
        <v>0</v>
      </c>
      <c r="AH371">
        <v>9</v>
      </c>
      <c r="AI371">
        <v>9</v>
      </c>
      <c r="AJ371">
        <v>0</v>
      </c>
      <c r="AK371" t="s">
        <v>3520</v>
      </c>
      <c r="AL371" t="s">
        <v>3521</v>
      </c>
      <c r="AM371" t="s">
        <v>3522</v>
      </c>
      <c r="AN371" t="s">
        <v>3523</v>
      </c>
      <c r="AO371" t="s">
        <v>3524</v>
      </c>
      <c r="AP371" t="s">
        <v>3525</v>
      </c>
      <c r="AQ371" t="s">
        <v>3526</v>
      </c>
      <c r="AR371" t="s">
        <v>3527</v>
      </c>
      <c r="AS371" t="s">
        <v>3528</v>
      </c>
    </row>
    <row r="372" spans="1:45" x14ac:dyDescent="0.45">
      <c r="A372">
        <v>371</v>
      </c>
      <c r="B372">
        <v>12715</v>
      </c>
      <c r="C372" t="s">
        <v>78</v>
      </c>
      <c r="D372" t="s">
        <v>79</v>
      </c>
      <c r="E372" t="s">
        <v>74</v>
      </c>
      <c r="F372" t="s">
        <v>75</v>
      </c>
      <c r="G372" t="s">
        <v>76</v>
      </c>
      <c r="H372">
        <v>57.925657763033932</v>
      </c>
      <c r="I372">
        <v>3</v>
      </c>
      <c r="J372">
        <v>8</v>
      </c>
      <c r="K372">
        <v>4</v>
      </c>
      <c r="L372">
        <v>4</v>
      </c>
      <c r="M372">
        <v>9</v>
      </c>
      <c r="N372">
        <v>4</v>
      </c>
      <c r="O372">
        <v>5</v>
      </c>
      <c r="P372">
        <v>8</v>
      </c>
      <c r="Q372">
        <v>5</v>
      </c>
      <c r="R372">
        <v>3</v>
      </c>
      <c r="S372">
        <v>9</v>
      </c>
      <c r="T372">
        <v>5</v>
      </c>
      <c r="U372">
        <v>4</v>
      </c>
      <c r="V372">
        <v>8</v>
      </c>
      <c r="W372">
        <v>5</v>
      </c>
      <c r="X372">
        <v>3</v>
      </c>
      <c r="Y372">
        <v>9</v>
      </c>
      <c r="Z372">
        <v>4</v>
      </c>
      <c r="AA372">
        <v>5</v>
      </c>
      <c r="AB372">
        <v>8</v>
      </c>
      <c r="AC372">
        <v>5</v>
      </c>
      <c r="AD372">
        <v>3</v>
      </c>
      <c r="AE372">
        <v>9</v>
      </c>
      <c r="AF372">
        <v>6</v>
      </c>
      <c r="AG372">
        <v>3</v>
      </c>
      <c r="AH372">
        <v>10</v>
      </c>
      <c r="AI372">
        <v>5</v>
      </c>
      <c r="AJ372">
        <v>5</v>
      </c>
      <c r="AK372" t="s">
        <v>3529</v>
      </c>
      <c r="AL372" t="s">
        <v>3530</v>
      </c>
      <c r="AM372" t="s">
        <v>3531</v>
      </c>
      <c r="AN372" t="s">
        <v>3532</v>
      </c>
      <c r="AO372" t="s">
        <v>3533</v>
      </c>
      <c r="AP372" t="s">
        <v>3534</v>
      </c>
      <c r="AQ372" t="s">
        <v>3535</v>
      </c>
      <c r="AR372" t="s">
        <v>3536</v>
      </c>
      <c r="AS372" t="s">
        <v>3537</v>
      </c>
    </row>
    <row r="373" spans="1:45" x14ac:dyDescent="0.45">
      <c r="A373">
        <v>372</v>
      </c>
      <c r="B373">
        <v>12716</v>
      </c>
      <c r="C373" t="s">
        <v>72</v>
      </c>
      <c r="D373" t="s">
        <v>73</v>
      </c>
      <c r="E373" t="s">
        <v>74</v>
      </c>
      <c r="F373" t="s">
        <v>77</v>
      </c>
      <c r="G373" t="s">
        <v>76</v>
      </c>
      <c r="H373">
        <v>32.5114094180405</v>
      </c>
      <c r="I373">
        <v>2</v>
      </c>
      <c r="J373">
        <v>7</v>
      </c>
      <c r="K373">
        <v>6</v>
      </c>
      <c r="L373">
        <v>1</v>
      </c>
      <c r="M373">
        <v>8</v>
      </c>
      <c r="N373">
        <v>6</v>
      </c>
      <c r="O373">
        <v>2</v>
      </c>
      <c r="P373">
        <v>9</v>
      </c>
      <c r="Q373">
        <v>8</v>
      </c>
      <c r="R373">
        <v>1</v>
      </c>
      <c r="S373">
        <v>10</v>
      </c>
      <c r="T373">
        <v>8</v>
      </c>
      <c r="U373">
        <v>2</v>
      </c>
      <c r="V373">
        <v>7</v>
      </c>
      <c r="W373">
        <v>6</v>
      </c>
      <c r="X373">
        <v>1</v>
      </c>
      <c r="Y373">
        <v>9</v>
      </c>
      <c r="Z373">
        <v>7</v>
      </c>
      <c r="AA373">
        <v>2</v>
      </c>
      <c r="AB373">
        <v>6</v>
      </c>
      <c r="AC373">
        <v>5</v>
      </c>
      <c r="AD373">
        <v>1</v>
      </c>
      <c r="AE373">
        <v>8</v>
      </c>
      <c r="AF373">
        <v>6</v>
      </c>
      <c r="AG373">
        <v>2</v>
      </c>
      <c r="AH373">
        <v>9</v>
      </c>
      <c r="AI373">
        <v>6</v>
      </c>
      <c r="AJ373">
        <v>3</v>
      </c>
      <c r="AK373" t="s">
        <v>3538</v>
      </c>
      <c r="AL373" t="s">
        <v>3539</v>
      </c>
      <c r="AM373" t="s">
        <v>3540</v>
      </c>
      <c r="AN373" t="s">
        <v>3541</v>
      </c>
      <c r="AO373" t="s">
        <v>3542</v>
      </c>
      <c r="AP373" t="s">
        <v>3543</v>
      </c>
      <c r="AQ373" t="s">
        <v>3544</v>
      </c>
      <c r="AR373" t="s">
        <v>3545</v>
      </c>
      <c r="AS373" t="s">
        <v>3546</v>
      </c>
    </row>
    <row r="374" spans="1:45" x14ac:dyDescent="0.45">
      <c r="A374">
        <v>373</v>
      </c>
      <c r="B374">
        <v>12717</v>
      </c>
      <c r="C374" t="s">
        <v>72</v>
      </c>
      <c r="D374" t="s">
        <v>73</v>
      </c>
      <c r="E374" t="s">
        <v>74</v>
      </c>
      <c r="F374" t="s">
        <v>77</v>
      </c>
      <c r="G374" t="s">
        <v>76</v>
      </c>
      <c r="H374">
        <v>74.379603978091083</v>
      </c>
      <c r="I374">
        <v>2</v>
      </c>
      <c r="J374">
        <v>7</v>
      </c>
      <c r="K374">
        <v>8</v>
      </c>
      <c r="L374">
        <v>-1</v>
      </c>
      <c r="M374">
        <v>8</v>
      </c>
      <c r="N374">
        <v>8</v>
      </c>
      <c r="O374">
        <v>0</v>
      </c>
      <c r="P374">
        <v>9</v>
      </c>
      <c r="Q374">
        <v>9</v>
      </c>
      <c r="R374">
        <v>0</v>
      </c>
      <c r="S374">
        <v>8</v>
      </c>
      <c r="T374">
        <v>9</v>
      </c>
      <c r="U374">
        <v>-1</v>
      </c>
      <c r="W374">
        <v>5</v>
      </c>
      <c r="Z374">
        <v>5</v>
      </c>
      <c r="AC374">
        <v>5</v>
      </c>
      <c r="AF374">
        <v>6</v>
      </c>
      <c r="AI374">
        <v>5</v>
      </c>
      <c r="AK374" t="s">
        <v>202</v>
      </c>
      <c r="AL374" t="s">
        <v>202</v>
      </c>
      <c r="AM374" t="s">
        <v>202</v>
      </c>
      <c r="AN374" t="s">
        <v>202</v>
      </c>
      <c r="AO374" t="s">
        <v>202</v>
      </c>
      <c r="AP374" t="s">
        <v>202</v>
      </c>
      <c r="AQ374" t="s">
        <v>202</v>
      </c>
      <c r="AR374" t="s">
        <v>202</v>
      </c>
      <c r="AS374" t="s">
        <v>202</v>
      </c>
    </row>
    <row r="375" spans="1:45" x14ac:dyDescent="0.45">
      <c r="A375">
        <v>374</v>
      </c>
      <c r="B375">
        <v>12718</v>
      </c>
      <c r="C375" t="s">
        <v>72</v>
      </c>
      <c r="D375" t="s">
        <v>73</v>
      </c>
      <c r="E375" t="s">
        <v>74</v>
      </c>
      <c r="F375" t="s">
        <v>77</v>
      </c>
      <c r="G375" t="s">
        <v>76</v>
      </c>
      <c r="H375">
        <v>32.601505194681039</v>
      </c>
      <c r="I375">
        <v>1</v>
      </c>
      <c r="J375">
        <v>8</v>
      </c>
      <c r="K375">
        <v>6</v>
      </c>
      <c r="L375">
        <v>2</v>
      </c>
      <c r="M375">
        <v>7</v>
      </c>
      <c r="N375">
        <v>6</v>
      </c>
      <c r="O375">
        <v>1</v>
      </c>
      <c r="P375">
        <v>6</v>
      </c>
      <c r="Q375">
        <v>7</v>
      </c>
      <c r="R375">
        <v>-1</v>
      </c>
      <c r="S375">
        <v>8</v>
      </c>
      <c r="T375">
        <v>7</v>
      </c>
      <c r="U375">
        <v>1</v>
      </c>
      <c r="V375">
        <v>9</v>
      </c>
      <c r="W375">
        <v>6</v>
      </c>
      <c r="X375">
        <v>3</v>
      </c>
      <c r="Y375">
        <v>9</v>
      </c>
      <c r="Z375">
        <v>6</v>
      </c>
      <c r="AA375">
        <v>3</v>
      </c>
      <c r="AB375">
        <v>8</v>
      </c>
      <c r="AC375">
        <v>6</v>
      </c>
      <c r="AD375">
        <v>2</v>
      </c>
      <c r="AE375">
        <v>9</v>
      </c>
      <c r="AF375">
        <v>6</v>
      </c>
      <c r="AG375">
        <v>3</v>
      </c>
      <c r="AH375">
        <v>9</v>
      </c>
      <c r="AI375">
        <v>6</v>
      </c>
      <c r="AJ375">
        <v>3</v>
      </c>
      <c r="AK375" t="s">
        <v>3547</v>
      </c>
      <c r="AL375" t="s">
        <v>3548</v>
      </c>
      <c r="AM375" t="s">
        <v>3549</v>
      </c>
      <c r="AN375" t="s">
        <v>3550</v>
      </c>
      <c r="AO375" t="s">
        <v>3551</v>
      </c>
      <c r="AP375" t="s">
        <v>3552</v>
      </c>
      <c r="AQ375" t="s">
        <v>3553</v>
      </c>
      <c r="AR375" t="s">
        <v>3554</v>
      </c>
      <c r="AS375" t="s">
        <v>3555</v>
      </c>
    </row>
    <row r="376" spans="1:45" x14ac:dyDescent="0.45">
      <c r="A376">
        <v>375</v>
      </c>
      <c r="B376">
        <v>12719</v>
      </c>
      <c r="C376" t="s">
        <v>72</v>
      </c>
      <c r="D376" t="s">
        <v>73</v>
      </c>
      <c r="E376" t="s">
        <v>74</v>
      </c>
      <c r="F376" t="s">
        <v>77</v>
      </c>
      <c r="G376" t="s">
        <v>76</v>
      </c>
      <c r="H376">
        <v>59.657926275255136</v>
      </c>
      <c r="I376">
        <v>1</v>
      </c>
      <c r="J376">
        <v>8</v>
      </c>
      <c r="K376">
        <v>8</v>
      </c>
      <c r="L376">
        <v>0</v>
      </c>
      <c r="M376">
        <v>9</v>
      </c>
      <c r="N376">
        <v>8</v>
      </c>
      <c r="O376">
        <v>1</v>
      </c>
      <c r="P376">
        <v>8</v>
      </c>
      <c r="Q376">
        <v>8</v>
      </c>
      <c r="R376">
        <v>0</v>
      </c>
      <c r="S376">
        <v>9</v>
      </c>
      <c r="T376">
        <v>8</v>
      </c>
      <c r="U376">
        <v>1</v>
      </c>
      <c r="V376">
        <v>7</v>
      </c>
      <c r="W376">
        <v>7</v>
      </c>
      <c r="X376">
        <v>0</v>
      </c>
      <c r="Y376">
        <v>9</v>
      </c>
      <c r="Z376">
        <v>6</v>
      </c>
      <c r="AA376">
        <v>3</v>
      </c>
      <c r="AB376">
        <v>8</v>
      </c>
      <c r="AC376">
        <v>6</v>
      </c>
      <c r="AD376">
        <v>2</v>
      </c>
      <c r="AE376">
        <v>7</v>
      </c>
      <c r="AF376">
        <v>5</v>
      </c>
      <c r="AG376">
        <v>2</v>
      </c>
      <c r="AH376">
        <v>9</v>
      </c>
      <c r="AI376">
        <v>7</v>
      </c>
      <c r="AJ376">
        <v>2</v>
      </c>
      <c r="AK376" t="s">
        <v>3556</v>
      </c>
      <c r="AL376" t="s">
        <v>3557</v>
      </c>
      <c r="AM376" t="s">
        <v>3558</v>
      </c>
      <c r="AN376" t="s">
        <v>3559</v>
      </c>
      <c r="AO376" t="s">
        <v>3560</v>
      </c>
      <c r="AP376" t="s">
        <v>3561</v>
      </c>
      <c r="AQ376" t="s">
        <v>3562</v>
      </c>
      <c r="AR376" t="s">
        <v>3563</v>
      </c>
      <c r="AS376" t="s">
        <v>3564</v>
      </c>
    </row>
    <row r="377" spans="1:45" x14ac:dyDescent="0.45">
      <c r="A377">
        <v>376</v>
      </c>
      <c r="B377">
        <v>12720</v>
      </c>
      <c r="C377" t="s">
        <v>72</v>
      </c>
      <c r="D377" t="s">
        <v>81</v>
      </c>
      <c r="E377" t="s">
        <v>74</v>
      </c>
      <c r="F377" t="s">
        <v>77</v>
      </c>
      <c r="G377" t="s">
        <v>76</v>
      </c>
      <c r="H377">
        <v>18.785665330489277</v>
      </c>
      <c r="I377">
        <v>0</v>
      </c>
      <c r="J377">
        <v>8</v>
      </c>
      <c r="K377">
        <v>6</v>
      </c>
      <c r="L377">
        <v>2</v>
      </c>
      <c r="M377">
        <v>7</v>
      </c>
      <c r="N377">
        <v>6</v>
      </c>
      <c r="O377">
        <v>1</v>
      </c>
      <c r="P377">
        <v>9</v>
      </c>
      <c r="Q377">
        <v>5</v>
      </c>
      <c r="R377">
        <v>4</v>
      </c>
      <c r="S377">
        <v>9</v>
      </c>
      <c r="T377">
        <v>7</v>
      </c>
      <c r="U377">
        <v>2</v>
      </c>
      <c r="V377">
        <v>7</v>
      </c>
      <c r="W377">
        <v>6</v>
      </c>
      <c r="X377">
        <v>1</v>
      </c>
      <c r="Y377">
        <v>8</v>
      </c>
      <c r="Z377">
        <v>7</v>
      </c>
      <c r="AA377">
        <v>1</v>
      </c>
      <c r="AB377">
        <v>7</v>
      </c>
      <c r="AC377">
        <v>5</v>
      </c>
      <c r="AD377">
        <v>2</v>
      </c>
      <c r="AE377">
        <v>8</v>
      </c>
      <c r="AF377">
        <v>6</v>
      </c>
      <c r="AG377">
        <v>2</v>
      </c>
      <c r="AH377">
        <v>8</v>
      </c>
      <c r="AI377">
        <v>7</v>
      </c>
      <c r="AJ377">
        <v>1</v>
      </c>
      <c r="AK377" t="s">
        <v>3565</v>
      </c>
      <c r="AL377" t="s">
        <v>3566</v>
      </c>
      <c r="AM377" t="s">
        <v>3567</v>
      </c>
      <c r="AN377" t="s">
        <v>3568</v>
      </c>
      <c r="AO377" t="s">
        <v>3569</v>
      </c>
      <c r="AP377" t="s">
        <v>3570</v>
      </c>
      <c r="AQ377" t="s">
        <v>3571</v>
      </c>
      <c r="AR377" t="s">
        <v>3572</v>
      </c>
      <c r="AS377" t="s">
        <v>3573</v>
      </c>
    </row>
    <row r="378" spans="1:45" x14ac:dyDescent="0.45">
      <c r="A378">
        <v>377</v>
      </c>
      <c r="B378">
        <v>12721</v>
      </c>
      <c r="C378" t="s">
        <v>78</v>
      </c>
      <c r="D378" t="s">
        <v>81</v>
      </c>
      <c r="E378" t="s">
        <v>74</v>
      </c>
      <c r="F378" t="s">
        <v>77</v>
      </c>
      <c r="G378" t="s">
        <v>76</v>
      </c>
      <c r="H378">
        <v>13.875214382941952</v>
      </c>
      <c r="I378">
        <v>0</v>
      </c>
      <c r="J378">
        <v>7</v>
      </c>
      <c r="K378">
        <v>7</v>
      </c>
      <c r="L378">
        <v>0</v>
      </c>
      <c r="M378">
        <v>8</v>
      </c>
      <c r="N378">
        <v>8</v>
      </c>
      <c r="O378">
        <v>0</v>
      </c>
      <c r="P378">
        <v>9</v>
      </c>
      <c r="Q378">
        <v>7</v>
      </c>
      <c r="R378">
        <v>2</v>
      </c>
      <c r="S378">
        <v>9</v>
      </c>
      <c r="T378">
        <v>7</v>
      </c>
      <c r="U378">
        <v>2</v>
      </c>
      <c r="V378">
        <v>8</v>
      </c>
      <c r="W378">
        <v>8</v>
      </c>
      <c r="X378">
        <v>0</v>
      </c>
      <c r="Y378">
        <v>9</v>
      </c>
      <c r="Z378">
        <v>9</v>
      </c>
      <c r="AA378">
        <v>0</v>
      </c>
      <c r="AB378">
        <v>8</v>
      </c>
      <c r="AC378">
        <v>7</v>
      </c>
      <c r="AD378">
        <v>1</v>
      </c>
      <c r="AE378">
        <v>9</v>
      </c>
      <c r="AF378">
        <v>7</v>
      </c>
      <c r="AG378">
        <v>2</v>
      </c>
      <c r="AH378">
        <v>9</v>
      </c>
      <c r="AI378">
        <v>8</v>
      </c>
      <c r="AJ378">
        <v>1</v>
      </c>
      <c r="AK378" t="s">
        <v>3574</v>
      </c>
      <c r="AL378" t="s">
        <v>3575</v>
      </c>
      <c r="AM378" t="s">
        <v>3576</v>
      </c>
      <c r="AN378" t="s">
        <v>3577</v>
      </c>
      <c r="AO378" t="s">
        <v>3578</v>
      </c>
      <c r="AP378" t="s">
        <v>3579</v>
      </c>
      <c r="AQ378" t="s">
        <v>3580</v>
      </c>
      <c r="AR378" t="s">
        <v>3581</v>
      </c>
      <c r="AS378" t="s">
        <v>3582</v>
      </c>
    </row>
    <row r="379" spans="1:45" x14ac:dyDescent="0.45">
      <c r="A379">
        <v>378</v>
      </c>
      <c r="B379">
        <v>12722</v>
      </c>
      <c r="C379" t="s">
        <v>72</v>
      </c>
      <c r="D379" t="s">
        <v>189</v>
      </c>
      <c r="E379" t="s">
        <v>74</v>
      </c>
      <c r="F379" t="s">
        <v>77</v>
      </c>
      <c r="G379" t="s">
        <v>76</v>
      </c>
      <c r="H379">
        <v>18.12689272860187</v>
      </c>
      <c r="I379">
        <v>0</v>
      </c>
      <c r="J379">
        <v>7</v>
      </c>
      <c r="K379">
        <v>6</v>
      </c>
      <c r="L379">
        <v>1</v>
      </c>
      <c r="M379">
        <v>6</v>
      </c>
      <c r="N379">
        <v>7</v>
      </c>
      <c r="O379">
        <v>-1</v>
      </c>
      <c r="P379">
        <v>8</v>
      </c>
      <c r="Q379">
        <v>5</v>
      </c>
      <c r="R379">
        <v>3</v>
      </c>
      <c r="S379">
        <v>9</v>
      </c>
      <c r="T379">
        <v>8</v>
      </c>
      <c r="U379">
        <v>1</v>
      </c>
      <c r="V379">
        <v>7</v>
      </c>
      <c r="W379">
        <v>7</v>
      </c>
      <c r="X379">
        <v>0</v>
      </c>
      <c r="Y379">
        <v>8</v>
      </c>
      <c r="Z379">
        <v>7</v>
      </c>
      <c r="AA379">
        <v>1</v>
      </c>
      <c r="AB379">
        <v>7</v>
      </c>
      <c r="AC379">
        <v>7</v>
      </c>
      <c r="AD379">
        <v>0</v>
      </c>
      <c r="AE379">
        <v>6</v>
      </c>
      <c r="AF379">
        <v>7</v>
      </c>
      <c r="AG379">
        <v>-1</v>
      </c>
      <c r="AH379">
        <v>9</v>
      </c>
      <c r="AI379">
        <v>8</v>
      </c>
      <c r="AJ379">
        <v>1</v>
      </c>
      <c r="AK379" t="s">
        <v>3583</v>
      </c>
      <c r="AL379" t="s">
        <v>3584</v>
      </c>
      <c r="AM379" t="s">
        <v>3585</v>
      </c>
      <c r="AN379" t="s">
        <v>3586</v>
      </c>
      <c r="AO379" t="s">
        <v>3587</v>
      </c>
      <c r="AP379" t="s">
        <v>3588</v>
      </c>
      <c r="AQ379" t="s">
        <v>3589</v>
      </c>
      <c r="AR379" t="s">
        <v>3590</v>
      </c>
      <c r="AS379" t="s">
        <v>3591</v>
      </c>
    </row>
    <row r="380" spans="1:45" x14ac:dyDescent="0.45">
      <c r="A380">
        <v>379</v>
      </c>
      <c r="B380">
        <v>12723</v>
      </c>
      <c r="C380" t="s">
        <v>72</v>
      </c>
      <c r="D380" t="s">
        <v>189</v>
      </c>
      <c r="E380" t="s">
        <v>74</v>
      </c>
      <c r="F380" t="s">
        <v>77</v>
      </c>
      <c r="G380" t="s">
        <v>76</v>
      </c>
      <c r="H380">
        <v>14.773397892892959</v>
      </c>
      <c r="I380">
        <v>0</v>
      </c>
      <c r="J380">
        <v>6</v>
      </c>
      <c r="K380">
        <v>8</v>
      </c>
      <c r="L380">
        <v>-2</v>
      </c>
      <c r="M380">
        <v>7</v>
      </c>
      <c r="N380">
        <v>8</v>
      </c>
      <c r="O380">
        <v>-1</v>
      </c>
      <c r="P380">
        <v>9</v>
      </c>
      <c r="Q380">
        <v>9</v>
      </c>
      <c r="R380">
        <v>0</v>
      </c>
      <c r="S380">
        <v>8</v>
      </c>
      <c r="T380">
        <v>9</v>
      </c>
      <c r="U380">
        <v>-1</v>
      </c>
      <c r="V380">
        <v>7</v>
      </c>
      <c r="W380">
        <v>7</v>
      </c>
      <c r="X380">
        <v>0</v>
      </c>
      <c r="Y380">
        <v>9</v>
      </c>
      <c r="Z380">
        <v>9</v>
      </c>
      <c r="AA380">
        <v>0</v>
      </c>
      <c r="AB380">
        <v>8</v>
      </c>
      <c r="AC380">
        <v>7</v>
      </c>
      <c r="AD380">
        <v>1</v>
      </c>
      <c r="AE380">
        <v>6</v>
      </c>
      <c r="AF380">
        <v>7</v>
      </c>
      <c r="AG380">
        <v>-1</v>
      </c>
      <c r="AH380">
        <v>9</v>
      </c>
      <c r="AI380">
        <v>9</v>
      </c>
      <c r="AJ380">
        <v>0</v>
      </c>
      <c r="AK380" t="s">
        <v>3592</v>
      </c>
      <c r="AL380" t="s">
        <v>3593</v>
      </c>
      <c r="AM380" t="s">
        <v>3594</v>
      </c>
      <c r="AN380" t="s">
        <v>3595</v>
      </c>
      <c r="AO380" t="s">
        <v>3596</v>
      </c>
      <c r="AP380" t="s">
        <v>270</v>
      </c>
      <c r="AQ380" t="s">
        <v>3597</v>
      </c>
      <c r="AR380" t="s">
        <v>3598</v>
      </c>
      <c r="AS380" t="s">
        <v>3599</v>
      </c>
    </row>
    <row r="381" spans="1:45" x14ac:dyDescent="0.45">
      <c r="A381">
        <v>380</v>
      </c>
      <c r="B381">
        <v>12724</v>
      </c>
      <c r="C381" t="s">
        <v>78</v>
      </c>
      <c r="D381" t="s">
        <v>189</v>
      </c>
      <c r="E381" t="s">
        <v>74</v>
      </c>
      <c r="F381" t="s">
        <v>77</v>
      </c>
      <c r="G381" t="s">
        <v>76</v>
      </c>
      <c r="H381">
        <v>18.438804071098293</v>
      </c>
      <c r="I381">
        <v>0</v>
      </c>
      <c r="J381">
        <v>7</v>
      </c>
      <c r="K381">
        <v>8</v>
      </c>
      <c r="L381">
        <v>-1</v>
      </c>
      <c r="M381">
        <v>9</v>
      </c>
      <c r="N381">
        <v>8</v>
      </c>
      <c r="O381">
        <v>1</v>
      </c>
      <c r="P381">
        <v>8</v>
      </c>
      <c r="Q381">
        <v>5</v>
      </c>
      <c r="R381">
        <v>3</v>
      </c>
      <c r="S381">
        <v>9</v>
      </c>
      <c r="T381">
        <v>8</v>
      </c>
      <c r="U381">
        <v>1</v>
      </c>
      <c r="V381">
        <v>6</v>
      </c>
      <c r="W381">
        <v>6</v>
      </c>
      <c r="X381">
        <v>0</v>
      </c>
      <c r="Y381">
        <v>8</v>
      </c>
      <c r="Z381">
        <v>9</v>
      </c>
      <c r="AA381">
        <v>-1</v>
      </c>
      <c r="AB381">
        <v>7</v>
      </c>
      <c r="AC381">
        <v>5</v>
      </c>
      <c r="AD381">
        <v>2</v>
      </c>
      <c r="AE381">
        <v>6</v>
      </c>
      <c r="AF381">
        <v>7</v>
      </c>
      <c r="AG381">
        <v>-1</v>
      </c>
      <c r="AH381">
        <v>9</v>
      </c>
      <c r="AI381">
        <v>8</v>
      </c>
      <c r="AJ381">
        <v>1</v>
      </c>
      <c r="AK381" t="s">
        <v>3600</v>
      </c>
      <c r="AL381" t="s">
        <v>3601</v>
      </c>
      <c r="AM381" t="s">
        <v>3602</v>
      </c>
      <c r="AN381" t="s">
        <v>3603</v>
      </c>
      <c r="AO381" t="s">
        <v>3604</v>
      </c>
      <c r="AP381" t="s">
        <v>3605</v>
      </c>
      <c r="AQ381" t="s">
        <v>3606</v>
      </c>
      <c r="AR381" t="s">
        <v>3607</v>
      </c>
      <c r="AS381" t="s">
        <v>3608</v>
      </c>
    </row>
    <row r="382" spans="1:45" x14ac:dyDescent="0.45">
      <c r="A382">
        <v>381</v>
      </c>
      <c r="B382">
        <v>12725</v>
      </c>
      <c r="C382" t="s">
        <v>78</v>
      </c>
      <c r="D382" t="s">
        <v>189</v>
      </c>
      <c r="E382" t="s">
        <v>74</v>
      </c>
      <c r="F382" t="s">
        <v>190</v>
      </c>
      <c r="G382" t="s">
        <v>76</v>
      </c>
      <c r="H382">
        <v>13.350333994675893</v>
      </c>
      <c r="I382">
        <v>0</v>
      </c>
      <c r="J382">
        <v>4</v>
      </c>
      <c r="K382">
        <v>9</v>
      </c>
      <c r="L382">
        <v>-5</v>
      </c>
      <c r="M382">
        <v>5</v>
      </c>
      <c r="N382">
        <v>9</v>
      </c>
      <c r="O382">
        <v>-4</v>
      </c>
      <c r="P382">
        <v>8</v>
      </c>
      <c r="Q382">
        <v>8</v>
      </c>
      <c r="R382">
        <v>0</v>
      </c>
      <c r="S382">
        <v>9</v>
      </c>
      <c r="T382">
        <v>9</v>
      </c>
      <c r="U382">
        <v>0</v>
      </c>
      <c r="V382">
        <v>6</v>
      </c>
      <c r="W382">
        <v>8</v>
      </c>
      <c r="X382">
        <v>-2</v>
      </c>
      <c r="Y382">
        <v>9</v>
      </c>
      <c r="Z382">
        <v>10</v>
      </c>
      <c r="AA382">
        <v>-1</v>
      </c>
      <c r="AB382">
        <v>7</v>
      </c>
      <c r="AC382">
        <v>8</v>
      </c>
      <c r="AD382">
        <v>-1</v>
      </c>
      <c r="AE382">
        <v>6</v>
      </c>
      <c r="AF382">
        <v>8</v>
      </c>
      <c r="AG382">
        <v>-2</v>
      </c>
      <c r="AH382">
        <v>8</v>
      </c>
      <c r="AI382">
        <v>10</v>
      </c>
      <c r="AJ382">
        <v>-2</v>
      </c>
      <c r="AK382" t="s">
        <v>3609</v>
      </c>
      <c r="AL382" t="s">
        <v>3610</v>
      </c>
      <c r="AM382" t="s">
        <v>3611</v>
      </c>
      <c r="AN382" t="s">
        <v>3612</v>
      </c>
      <c r="AO382" t="s">
        <v>3613</v>
      </c>
      <c r="AP382" t="s">
        <v>3614</v>
      </c>
      <c r="AQ382" t="s">
        <v>253</v>
      </c>
      <c r="AR382" t="s">
        <v>3615</v>
      </c>
      <c r="AS382" t="s">
        <v>3616</v>
      </c>
    </row>
    <row r="383" spans="1:45" x14ac:dyDescent="0.45">
      <c r="A383">
        <v>382</v>
      </c>
      <c r="B383">
        <v>12726</v>
      </c>
      <c r="C383" t="s">
        <v>72</v>
      </c>
      <c r="D383" t="s">
        <v>189</v>
      </c>
      <c r="E383" t="s">
        <v>74</v>
      </c>
      <c r="F383" t="s">
        <v>77</v>
      </c>
      <c r="G383" t="s">
        <v>76</v>
      </c>
      <c r="H383">
        <v>21.258895760174006</v>
      </c>
      <c r="I383">
        <v>1</v>
      </c>
      <c r="J383">
        <v>7</v>
      </c>
      <c r="K383">
        <v>5</v>
      </c>
      <c r="L383">
        <v>2</v>
      </c>
      <c r="M383">
        <v>6</v>
      </c>
      <c r="N383">
        <v>5</v>
      </c>
      <c r="O383">
        <v>1</v>
      </c>
      <c r="P383">
        <v>9</v>
      </c>
      <c r="Q383">
        <v>4</v>
      </c>
      <c r="R383">
        <v>5</v>
      </c>
      <c r="S383">
        <v>8</v>
      </c>
      <c r="T383">
        <v>8</v>
      </c>
      <c r="U383">
        <v>0</v>
      </c>
      <c r="V383">
        <v>9</v>
      </c>
      <c r="W383">
        <v>4</v>
      </c>
      <c r="X383">
        <v>5</v>
      </c>
      <c r="Y383">
        <v>8</v>
      </c>
      <c r="Z383">
        <v>8</v>
      </c>
      <c r="AA383">
        <v>0</v>
      </c>
      <c r="AB383">
        <v>9</v>
      </c>
      <c r="AC383">
        <v>4</v>
      </c>
      <c r="AD383">
        <v>5</v>
      </c>
      <c r="AE383">
        <v>7</v>
      </c>
      <c r="AF383">
        <v>5</v>
      </c>
      <c r="AG383">
        <v>2</v>
      </c>
      <c r="AH383">
        <v>9</v>
      </c>
      <c r="AI383">
        <v>7</v>
      </c>
      <c r="AJ383">
        <v>2</v>
      </c>
      <c r="AK383" t="s">
        <v>3617</v>
      </c>
      <c r="AL383" t="s">
        <v>3618</v>
      </c>
      <c r="AM383" t="s">
        <v>3619</v>
      </c>
      <c r="AN383" t="s">
        <v>3620</v>
      </c>
      <c r="AO383" t="s">
        <v>3621</v>
      </c>
      <c r="AP383" t="s">
        <v>3622</v>
      </c>
      <c r="AQ383" t="s">
        <v>3623</v>
      </c>
      <c r="AR383" t="s">
        <v>3624</v>
      </c>
      <c r="AS383" t="s">
        <v>3625</v>
      </c>
    </row>
    <row r="384" spans="1:45" x14ac:dyDescent="0.45">
      <c r="A384">
        <v>383</v>
      </c>
      <c r="B384">
        <v>12727</v>
      </c>
      <c r="C384" t="s">
        <v>78</v>
      </c>
      <c r="D384" t="s">
        <v>191</v>
      </c>
      <c r="E384" t="s">
        <v>74</v>
      </c>
      <c r="F384" t="s">
        <v>75</v>
      </c>
      <c r="G384" t="s">
        <v>76</v>
      </c>
      <c r="H384">
        <v>90.414380698726006</v>
      </c>
      <c r="I384">
        <v>2</v>
      </c>
      <c r="J384">
        <v>7</v>
      </c>
      <c r="K384">
        <v>1</v>
      </c>
      <c r="L384">
        <v>6</v>
      </c>
      <c r="M384">
        <v>8</v>
      </c>
      <c r="N384">
        <v>1</v>
      </c>
      <c r="O384">
        <v>7</v>
      </c>
      <c r="P384">
        <v>9</v>
      </c>
      <c r="Q384">
        <v>4</v>
      </c>
      <c r="R384">
        <v>5</v>
      </c>
      <c r="S384">
        <v>10</v>
      </c>
      <c r="T384">
        <v>5</v>
      </c>
      <c r="U384">
        <v>5</v>
      </c>
      <c r="V384">
        <v>9</v>
      </c>
      <c r="W384">
        <v>5</v>
      </c>
      <c r="X384">
        <v>4</v>
      </c>
      <c r="Y384">
        <v>8</v>
      </c>
      <c r="Z384">
        <v>4</v>
      </c>
      <c r="AA384">
        <v>4</v>
      </c>
      <c r="AB384">
        <v>9</v>
      </c>
      <c r="AC384">
        <v>4</v>
      </c>
      <c r="AD384">
        <v>5</v>
      </c>
      <c r="AE384">
        <v>7</v>
      </c>
      <c r="AF384">
        <v>5</v>
      </c>
      <c r="AG384">
        <v>2</v>
      </c>
      <c r="AH384">
        <v>9</v>
      </c>
      <c r="AI384">
        <v>3</v>
      </c>
      <c r="AJ384">
        <v>6</v>
      </c>
      <c r="AK384" t="s">
        <v>3626</v>
      </c>
      <c r="AL384" t="s">
        <v>3627</v>
      </c>
      <c r="AM384" t="s">
        <v>3628</v>
      </c>
      <c r="AN384" t="s">
        <v>3629</v>
      </c>
      <c r="AO384" t="s">
        <v>3630</v>
      </c>
      <c r="AP384" t="s">
        <v>3631</v>
      </c>
      <c r="AQ384" t="s">
        <v>3632</v>
      </c>
      <c r="AR384" t="s">
        <v>3633</v>
      </c>
      <c r="AS384" t="s">
        <v>3634</v>
      </c>
    </row>
    <row r="385" spans="1:45" x14ac:dyDescent="0.45">
      <c r="A385">
        <v>384</v>
      </c>
      <c r="B385">
        <v>12728</v>
      </c>
      <c r="C385" t="s">
        <v>78</v>
      </c>
      <c r="D385" t="s">
        <v>189</v>
      </c>
      <c r="E385" t="s">
        <v>74</v>
      </c>
      <c r="F385" t="s">
        <v>77</v>
      </c>
      <c r="G385" t="s">
        <v>76</v>
      </c>
      <c r="H385">
        <v>12</v>
      </c>
      <c r="I385">
        <v>0</v>
      </c>
      <c r="J385">
        <v>5</v>
      </c>
      <c r="K385">
        <v>7</v>
      </c>
      <c r="L385">
        <v>-2</v>
      </c>
      <c r="M385">
        <v>6</v>
      </c>
      <c r="N385">
        <v>7</v>
      </c>
      <c r="O385">
        <v>-1</v>
      </c>
      <c r="P385">
        <v>9</v>
      </c>
      <c r="Q385">
        <v>7</v>
      </c>
      <c r="R385">
        <v>2</v>
      </c>
      <c r="S385">
        <v>8</v>
      </c>
      <c r="T385">
        <v>9</v>
      </c>
      <c r="U385">
        <v>-1</v>
      </c>
      <c r="V385">
        <v>7</v>
      </c>
      <c r="W385">
        <v>8</v>
      </c>
      <c r="X385">
        <v>-1</v>
      </c>
      <c r="Y385">
        <v>9</v>
      </c>
      <c r="Z385">
        <v>10</v>
      </c>
      <c r="AA385">
        <v>-1</v>
      </c>
      <c r="AB385">
        <v>8</v>
      </c>
      <c r="AC385">
        <v>8</v>
      </c>
      <c r="AD385">
        <v>0</v>
      </c>
      <c r="AE385">
        <v>9</v>
      </c>
      <c r="AF385">
        <v>7</v>
      </c>
      <c r="AG385">
        <v>2</v>
      </c>
      <c r="AH385">
        <v>8</v>
      </c>
      <c r="AI385">
        <v>10</v>
      </c>
      <c r="AJ385">
        <v>-2</v>
      </c>
      <c r="AK385" t="s">
        <v>3635</v>
      </c>
      <c r="AL385" t="s">
        <v>3636</v>
      </c>
      <c r="AM385" t="s">
        <v>3637</v>
      </c>
      <c r="AN385" t="s">
        <v>3638</v>
      </c>
      <c r="AO385" t="s">
        <v>3639</v>
      </c>
      <c r="AP385" t="s">
        <v>3640</v>
      </c>
      <c r="AQ385" t="s">
        <v>2456</v>
      </c>
      <c r="AR385" t="s">
        <v>3641</v>
      </c>
      <c r="AS385" t="s">
        <v>2811</v>
      </c>
    </row>
    <row r="386" spans="1:45" x14ac:dyDescent="0.45">
      <c r="A386">
        <v>385</v>
      </c>
      <c r="B386">
        <v>12729</v>
      </c>
      <c r="C386" t="s">
        <v>78</v>
      </c>
      <c r="D386" t="s">
        <v>79</v>
      </c>
      <c r="E386" t="s">
        <v>74</v>
      </c>
      <c r="F386" t="s">
        <v>77</v>
      </c>
      <c r="G386" t="s">
        <v>76</v>
      </c>
      <c r="H386">
        <v>37.094163354900736</v>
      </c>
      <c r="I386">
        <v>2</v>
      </c>
      <c r="J386">
        <v>8</v>
      </c>
      <c r="K386">
        <v>3</v>
      </c>
      <c r="L386">
        <v>5</v>
      </c>
      <c r="M386">
        <v>8</v>
      </c>
      <c r="N386">
        <v>3</v>
      </c>
      <c r="O386">
        <v>5</v>
      </c>
      <c r="P386">
        <v>9</v>
      </c>
      <c r="Q386">
        <v>4</v>
      </c>
      <c r="R386">
        <v>5</v>
      </c>
      <c r="S386">
        <v>10</v>
      </c>
      <c r="T386">
        <v>6</v>
      </c>
      <c r="U386">
        <v>4</v>
      </c>
      <c r="V386">
        <v>9</v>
      </c>
      <c r="W386">
        <v>4</v>
      </c>
      <c r="X386">
        <v>5</v>
      </c>
      <c r="Y386">
        <v>9</v>
      </c>
      <c r="Z386">
        <v>5</v>
      </c>
      <c r="AA386">
        <v>4</v>
      </c>
      <c r="AB386">
        <v>8</v>
      </c>
      <c r="AC386">
        <v>4</v>
      </c>
      <c r="AD386">
        <v>4</v>
      </c>
      <c r="AE386">
        <v>9</v>
      </c>
      <c r="AF386">
        <v>5</v>
      </c>
      <c r="AG386">
        <v>4</v>
      </c>
      <c r="AH386">
        <v>10</v>
      </c>
      <c r="AI386">
        <v>5</v>
      </c>
      <c r="AJ386">
        <v>5</v>
      </c>
      <c r="AK386" t="s">
        <v>3642</v>
      </c>
      <c r="AL386" t="s">
        <v>3643</v>
      </c>
      <c r="AM386" t="s">
        <v>3644</v>
      </c>
      <c r="AN386" t="s">
        <v>3645</v>
      </c>
      <c r="AO386" t="s">
        <v>3646</v>
      </c>
      <c r="AP386" t="s">
        <v>3647</v>
      </c>
      <c r="AQ386" t="s">
        <v>3648</v>
      </c>
      <c r="AR386" t="s">
        <v>3649</v>
      </c>
      <c r="AS386" t="s">
        <v>3650</v>
      </c>
    </row>
    <row r="387" spans="1:45" x14ac:dyDescent="0.45">
      <c r="A387">
        <v>386</v>
      </c>
      <c r="B387">
        <v>12730</v>
      </c>
      <c r="C387" t="s">
        <v>72</v>
      </c>
      <c r="D387" t="s">
        <v>81</v>
      </c>
      <c r="E387" t="s">
        <v>74</v>
      </c>
      <c r="F387" t="s">
        <v>75</v>
      </c>
      <c r="G387" t="s">
        <v>76</v>
      </c>
      <c r="H387">
        <v>29.255482617924837</v>
      </c>
      <c r="I387">
        <v>0</v>
      </c>
      <c r="J387">
        <v>5</v>
      </c>
      <c r="K387">
        <v>8</v>
      </c>
      <c r="L387">
        <v>-3</v>
      </c>
      <c r="M387">
        <v>6</v>
      </c>
      <c r="N387">
        <v>8</v>
      </c>
      <c r="O387">
        <v>-2</v>
      </c>
      <c r="P387">
        <v>8</v>
      </c>
      <c r="Q387">
        <v>9</v>
      </c>
      <c r="R387">
        <v>-1</v>
      </c>
      <c r="S387">
        <v>9</v>
      </c>
      <c r="T387">
        <v>8</v>
      </c>
      <c r="U387">
        <v>1</v>
      </c>
      <c r="V387">
        <v>7</v>
      </c>
      <c r="W387">
        <v>7</v>
      </c>
      <c r="X387">
        <v>0</v>
      </c>
      <c r="Y387">
        <v>9</v>
      </c>
      <c r="Z387">
        <v>8</v>
      </c>
      <c r="AA387">
        <v>1</v>
      </c>
      <c r="AB387">
        <v>7</v>
      </c>
      <c r="AC387">
        <v>7</v>
      </c>
      <c r="AD387">
        <v>0</v>
      </c>
      <c r="AE387">
        <v>8</v>
      </c>
      <c r="AF387">
        <v>7</v>
      </c>
      <c r="AG387">
        <v>1</v>
      </c>
      <c r="AH387">
        <v>7</v>
      </c>
      <c r="AI387">
        <v>8</v>
      </c>
      <c r="AJ387">
        <v>-1</v>
      </c>
      <c r="AK387" t="s">
        <v>3651</v>
      </c>
      <c r="AL387" t="s">
        <v>3652</v>
      </c>
      <c r="AM387" t="s">
        <v>3653</v>
      </c>
      <c r="AN387" t="s">
        <v>3654</v>
      </c>
      <c r="AO387" t="s">
        <v>3655</v>
      </c>
      <c r="AP387" t="s">
        <v>3656</v>
      </c>
      <c r="AQ387" t="s">
        <v>3657</v>
      </c>
      <c r="AR387" t="s">
        <v>3658</v>
      </c>
      <c r="AS387" t="s">
        <v>3659</v>
      </c>
    </row>
    <row r="388" spans="1:45" x14ac:dyDescent="0.45">
      <c r="A388">
        <v>387</v>
      </c>
      <c r="B388">
        <v>12731</v>
      </c>
      <c r="C388" t="s">
        <v>78</v>
      </c>
      <c r="D388" t="s">
        <v>73</v>
      </c>
      <c r="E388" t="s">
        <v>74</v>
      </c>
      <c r="F388" t="s">
        <v>77</v>
      </c>
      <c r="G388" t="s">
        <v>76</v>
      </c>
      <c r="H388">
        <v>55.697175084285476</v>
      </c>
      <c r="I388">
        <v>2</v>
      </c>
      <c r="J388">
        <v>7</v>
      </c>
      <c r="K388">
        <v>5</v>
      </c>
      <c r="L388">
        <v>2</v>
      </c>
      <c r="M388">
        <v>6</v>
      </c>
      <c r="N388">
        <v>5</v>
      </c>
      <c r="O388">
        <v>1</v>
      </c>
      <c r="P388">
        <v>8</v>
      </c>
      <c r="Q388">
        <v>5</v>
      </c>
      <c r="R388">
        <v>3</v>
      </c>
      <c r="S388">
        <v>9</v>
      </c>
      <c r="T388">
        <v>5</v>
      </c>
      <c r="U388">
        <v>4</v>
      </c>
      <c r="V388">
        <v>7</v>
      </c>
      <c r="W388">
        <v>5</v>
      </c>
      <c r="X388">
        <v>2</v>
      </c>
      <c r="Y388">
        <v>9</v>
      </c>
      <c r="Z388">
        <v>5</v>
      </c>
      <c r="AA388">
        <v>4</v>
      </c>
      <c r="AB388">
        <v>7</v>
      </c>
      <c r="AC388">
        <v>5</v>
      </c>
      <c r="AD388">
        <v>2</v>
      </c>
      <c r="AE388">
        <v>8</v>
      </c>
      <c r="AF388">
        <v>5</v>
      </c>
      <c r="AG388">
        <v>3</v>
      </c>
      <c r="AH388">
        <v>9</v>
      </c>
      <c r="AI388">
        <v>5</v>
      </c>
      <c r="AJ388">
        <v>4</v>
      </c>
      <c r="AK388" t="s">
        <v>3660</v>
      </c>
      <c r="AL388" t="s">
        <v>3661</v>
      </c>
      <c r="AM388" t="s">
        <v>3662</v>
      </c>
      <c r="AN388" t="s">
        <v>3663</v>
      </c>
      <c r="AO388" t="s">
        <v>3664</v>
      </c>
      <c r="AP388" t="s">
        <v>3665</v>
      </c>
      <c r="AQ388" t="s">
        <v>3666</v>
      </c>
      <c r="AR388" t="s">
        <v>3667</v>
      </c>
      <c r="AS388" t="s">
        <v>3668</v>
      </c>
    </row>
    <row r="389" spans="1:45" x14ac:dyDescent="0.45">
      <c r="A389">
        <v>388</v>
      </c>
      <c r="B389">
        <v>12732</v>
      </c>
      <c r="C389" t="s">
        <v>78</v>
      </c>
      <c r="D389" t="s">
        <v>189</v>
      </c>
      <c r="E389" t="s">
        <v>74</v>
      </c>
      <c r="F389" t="s">
        <v>77</v>
      </c>
      <c r="G389" t="s">
        <v>76</v>
      </c>
      <c r="H389">
        <v>15.020886174324577</v>
      </c>
      <c r="I389">
        <v>0</v>
      </c>
      <c r="J389">
        <v>9</v>
      </c>
      <c r="K389">
        <v>7</v>
      </c>
      <c r="L389">
        <v>2</v>
      </c>
      <c r="M389">
        <v>8</v>
      </c>
      <c r="N389">
        <v>7</v>
      </c>
      <c r="O389">
        <v>1</v>
      </c>
      <c r="P389">
        <v>9</v>
      </c>
      <c r="Q389">
        <v>5</v>
      </c>
      <c r="R389">
        <v>4</v>
      </c>
      <c r="S389">
        <v>8</v>
      </c>
      <c r="T389">
        <v>8</v>
      </c>
      <c r="U389">
        <v>0</v>
      </c>
      <c r="V389">
        <v>9</v>
      </c>
      <c r="W389">
        <v>6</v>
      </c>
      <c r="X389">
        <v>3</v>
      </c>
      <c r="Y389">
        <v>8</v>
      </c>
      <c r="Z389">
        <v>8</v>
      </c>
      <c r="AA389">
        <v>0</v>
      </c>
      <c r="AB389">
        <v>9</v>
      </c>
      <c r="AC389">
        <v>5</v>
      </c>
      <c r="AD389">
        <v>4</v>
      </c>
      <c r="AE389">
        <v>8</v>
      </c>
      <c r="AF389">
        <v>5</v>
      </c>
      <c r="AG389">
        <v>3</v>
      </c>
      <c r="AH389">
        <v>9</v>
      </c>
      <c r="AI389">
        <v>8</v>
      </c>
      <c r="AJ389">
        <v>1</v>
      </c>
      <c r="AK389" t="s">
        <v>3669</v>
      </c>
      <c r="AL389" t="s">
        <v>3670</v>
      </c>
      <c r="AM389" t="s">
        <v>3671</v>
      </c>
      <c r="AN389" t="s">
        <v>3672</v>
      </c>
      <c r="AO389" t="s">
        <v>3673</v>
      </c>
      <c r="AP389" t="s">
        <v>3674</v>
      </c>
      <c r="AQ389" t="s">
        <v>3675</v>
      </c>
      <c r="AR389" t="s">
        <v>3676</v>
      </c>
      <c r="AS389" t="s">
        <v>3677</v>
      </c>
    </row>
    <row r="390" spans="1:45" x14ac:dyDescent="0.45">
      <c r="A390">
        <v>389</v>
      </c>
      <c r="B390">
        <v>12733</v>
      </c>
      <c r="C390" t="s">
        <v>78</v>
      </c>
      <c r="D390" t="s">
        <v>81</v>
      </c>
      <c r="E390" t="s">
        <v>74</v>
      </c>
      <c r="F390" t="s">
        <v>77</v>
      </c>
      <c r="G390" t="s">
        <v>76</v>
      </c>
      <c r="H390">
        <v>21.98653578409694</v>
      </c>
      <c r="I390">
        <v>0</v>
      </c>
      <c r="J390">
        <v>6</v>
      </c>
      <c r="K390">
        <v>6</v>
      </c>
      <c r="L390">
        <v>0</v>
      </c>
      <c r="M390">
        <v>7</v>
      </c>
      <c r="N390">
        <v>8</v>
      </c>
      <c r="O390">
        <v>-1</v>
      </c>
      <c r="P390">
        <v>8</v>
      </c>
      <c r="Q390">
        <v>7</v>
      </c>
      <c r="R390">
        <v>1</v>
      </c>
      <c r="S390">
        <v>9</v>
      </c>
      <c r="T390">
        <v>8</v>
      </c>
      <c r="U390">
        <v>1</v>
      </c>
      <c r="V390">
        <v>7</v>
      </c>
      <c r="W390">
        <v>6</v>
      </c>
      <c r="X390">
        <v>1</v>
      </c>
      <c r="Y390">
        <v>8</v>
      </c>
      <c r="Z390">
        <v>8</v>
      </c>
      <c r="AA390">
        <v>0</v>
      </c>
      <c r="AB390">
        <v>7</v>
      </c>
      <c r="AC390">
        <v>5</v>
      </c>
      <c r="AD390">
        <v>2</v>
      </c>
      <c r="AE390">
        <v>6</v>
      </c>
      <c r="AF390">
        <v>5</v>
      </c>
      <c r="AG390">
        <v>1</v>
      </c>
      <c r="AH390">
        <v>9</v>
      </c>
      <c r="AI390">
        <v>8</v>
      </c>
      <c r="AJ390">
        <v>1</v>
      </c>
      <c r="AK390" t="s">
        <v>3678</v>
      </c>
      <c r="AL390" t="s">
        <v>3679</v>
      </c>
      <c r="AM390" t="s">
        <v>3680</v>
      </c>
      <c r="AN390" t="s">
        <v>3681</v>
      </c>
      <c r="AO390" t="s">
        <v>3682</v>
      </c>
      <c r="AP390" t="s">
        <v>3683</v>
      </c>
      <c r="AQ390" t="s">
        <v>3684</v>
      </c>
      <c r="AR390" t="s">
        <v>3685</v>
      </c>
      <c r="AS390" t="s">
        <v>3686</v>
      </c>
    </row>
    <row r="391" spans="1:45" x14ac:dyDescent="0.45">
      <c r="A391">
        <v>390</v>
      </c>
      <c r="B391">
        <v>12734</v>
      </c>
      <c r="C391" t="s">
        <v>72</v>
      </c>
      <c r="D391" t="s">
        <v>79</v>
      </c>
      <c r="E391" t="s">
        <v>74</v>
      </c>
      <c r="F391" t="s">
        <v>75</v>
      </c>
      <c r="G391" t="s">
        <v>76</v>
      </c>
      <c r="H391">
        <v>35.315906845948973</v>
      </c>
      <c r="I391">
        <v>3</v>
      </c>
      <c r="J391">
        <v>5</v>
      </c>
      <c r="K391">
        <v>10</v>
      </c>
      <c r="L391">
        <v>-5</v>
      </c>
      <c r="M391">
        <v>7</v>
      </c>
      <c r="N391">
        <v>10</v>
      </c>
      <c r="O391">
        <v>-3</v>
      </c>
      <c r="P391">
        <v>8</v>
      </c>
      <c r="Q391">
        <v>5</v>
      </c>
      <c r="R391">
        <v>3</v>
      </c>
      <c r="S391">
        <v>9</v>
      </c>
      <c r="T391">
        <v>9</v>
      </c>
      <c r="U391">
        <v>0</v>
      </c>
      <c r="V391">
        <v>6</v>
      </c>
      <c r="W391">
        <v>7</v>
      </c>
      <c r="X391">
        <v>-1</v>
      </c>
      <c r="Y391">
        <v>8</v>
      </c>
      <c r="Z391">
        <v>8</v>
      </c>
      <c r="AA391">
        <v>0</v>
      </c>
      <c r="AB391">
        <v>7</v>
      </c>
      <c r="AC391">
        <v>5</v>
      </c>
      <c r="AD391">
        <v>2</v>
      </c>
      <c r="AE391">
        <v>6</v>
      </c>
      <c r="AF391">
        <v>5</v>
      </c>
      <c r="AG391">
        <v>1</v>
      </c>
      <c r="AH391">
        <v>9</v>
      </c>
      <c r="AI391">
        <v>8</v>
      </c>
      <c r="AJ391">
        <v>1</v>
      </c>
      <c r="AK391" t="s">
        <v>3687</v>
      </c>
      <c r="AL391" t="s">
        <v>3688</v>
      </c>
      <c r="AM391" t="s">
        <v>3689</v>
      </c>
      <c r="AN391" t="s">
        <v>3690</v>
      </c>
      <c r="AO391" t="s">
        <v>3691</v>
      </c>
      <c r="AP391" t="s">
        <v>3692</v>
      </c>
      <c r="AQ391" t="s">
        <v>3693</v>
      </c>
      <c r="AR391" t="s">
        <v>3694</v>
      </c>
      <c r="AS391" t="s">
        <v>3695</v>
      </c>
    </row>
    <row r="392" spans="1:45" x14ac:dyDescent="0.45">
      <c r="A392">
        <v>391</v>
      </c>
      <c r="B392">
        <v>12735</v>
      </c>
      <c r="C392" t="s">
        <v>78</v>
      </c>
      <c r="D392" t="s">
        <v>81</v>
      </c>
      <c r="E392" t="s">
        <v>74</v>
      </c>
      <c r="F392" t="s">
        <v>77</v>
      </c>
      <c r="G392" t="s">
        <v>76</v>
      </c>
      <c r="H392">
        <v>13.913131000062391</v>
      </c>
      <c r="I392">
        <v>0</v>
      </c>
      <c r="J392">
        <v>6</v>
      </c>
      <c r="K392">
        <v>4</v>
      </c>
      <c r="L392">
        <v>2</v>
      </c>
      <c r="M392">
        <v>6</v>
      </c>
      <c r="N392">
        <v>5</v>
      </c>
      <c r="O392">
        <v>1</v>
      </c>
      <c r="P392">
        <v>7</v>
      </c>
      <c r="Q392">
        <v>7</v>
      </c>
      <c r="R392">
        <v>0</v>
      </c>
      <c r="S392">
        <v>8</v>
      </c>
      <c r="T392">
        <v>7</v>
      </c>
      <c r="U392">
        <v>1</v>
      </c>
      <c r="V392">
        <v>7</v>
      </c>
      <c r="W392">
        <v>5</v>
      </c>
      <c r="X392">
        <v>2</v>
      </c>
      <c r="Y392">
        <v>9</v>
      </c>
      <c r="Z392">
        <v>7</v>
      </c>
      <c r="AA392">
        <v>2</v>
      </c>
      <c r="AB392">
        <v>7</v>
      </c>
      <c r="AC392">
        <v>5</v>
      </c>
      <c r="AD392">
        <v>2</v>
      </c>
      <c r="AE392">
        <v>8</v>
      </c>
      <c r="AF392">
        <v>5</v>
      </c>
      <c r="AG392">
        <v>3</v>
      </c>
      <c r="AH392">
        <v>9</v>
      </c>
      <c r="AI392">
        <v>7</v>
      </c>
      <c r="AJ392">
        <v>2</v>
      </c>
      <c r="AK392" t="s">
        <v>3696</v>
      </c>
      <c r="AL392" t="s">
        <v>3697</v>
      </c>
      <c r="AM392" t="s">
        <v>3698</v>
      </c>
      <c r="AN392" t="s">
        <v>3699</v>
      </c>
      <c r="AO392" t="s">
        <v>3700</v>
      </c>
      <c r="AP392" t="s">
        <v>3701</v>
      </c>
      <c r="AQ392" t="s">
        <v>3702</v>
      </c>
      <c r="AR392" t="s">
        <v>3703</v>
      </c>
      <c r="AS392" t="s">
        <v>3704</v>
      </c>
    </row>
    <row r="393" spans="1:45" x14ac:dyDescent="0.45">
      <c r="A393">
        <v>392</v>
      </c>
      <c r="B393">
        <v>12736</v>
      </c>
      <c r="C393" t="s">
        <v>72</v>
      </c>
      <c r="D393" t="s">
        <v>193</v>
      </c>
      <c r="E393" t="s">
        <v>74</v>
      </c>
      <c r="F393" t="s">
        <v>75</v>
      </c>
      <c r="G393" t="s">
        <v>76</v>
      </c>
      <c r="H393">
        <v>134.44292884597559</v>
      </c>
      <c r="I393">
        <v>4</v>
      </c>
      <c r="J393">
        <v>9</v>
      </c>
      <c r="K393">
        <v>2</v>
      </c>
      <c r="L393">
        <v>7</v>
      </c>
      <c r="M393">
        <v>8</v>
      </c>
      <c r="N393">
        <v>3</v>
      </c>
      <c r="O393">
        <v>5</v>
      </c>
      <c r="P393">
        <v>9</v>
      </c>
      <c r="Q393">
        <v>3</v>
      </c>
      <c r="R393">
        <v>6</v>
      </c>
      <c r="S393">
        <v>8</v>
      </c>
      <c r="T393">
        <v>6</v>
      </c>
      <c r="U393">
        <v>2</v>
      </c>
      <c r="V393">
        <v>9</v>
      </c>
      <c r="W393">
        <v>5</v>
      </c>
      <c r="X393">
        <v>4</v>
      </c>
      <c r="Y393">
        <v>8</v>
      </c>
      <c r="Z393">
        <v>5</v>
      </c>
      <c r="AA393">
        <v>3</v>
      </c>
      <c r="AB393">
        <v>9</v>
      </c>
      <c r="AC393">
        <v>5</v>
      </c>
      <c r="AD393">
        <v>4</v>
      </c>
      <c r="AE393">
        <v>8</v>
      </c>
      <c r="AF393">
        <v>5</v>
      </c>
      <c r="AG393">
        <v>3</v>
      </c>
      <c r="AH393">
        <v>9</v>
      </c>
      <c r="AI393">
        <v>5</v>
      </c>
      <c r="AJ393">
        <v>4</v>
      </c>
      <c r="AK393" t="s">
        <v>3705</v>
      </c>
      <c r="AL393" t="s">
        <v>3706</v>
      </c>
      <c r="AM393" t="s">
        <v>3707</v>
      </c>
      <c r="AN393" t="s">
        <v>3708</v>
      </c>
      <c r="AO393" t="s">
        <v>3709</v>
      </c>
      <c r="AP393" t="s">
        <v>3710</v>
      </c>
      <c r="AQ393" t="s">
        <v>3711</v>
      </c>
      <c r="AR393" t="s">
        <v>3712</v>
      </c>
      <c r="AS393" t="s">
        <v>3713</v>
      </c>
    </row>
    <row r="394" spans="1:45" x14ac:dyDescent="0.45">
      <c r="A394">
        <v>393</v>
      </c>
      <c r="B394">
        <v>12737</v>
      </c>
      <c r="C394" t="s">
        <v>72</v>
      </c>
      <c r="D394" t="s">
        <v>73</v>
      </c>
      <c r="E394" t="s">
        <v>74</v>
      </c>
      <c r="F394" t="s">
        <v>77</v>
      </c>
      <c r="G394" t="s">
        <v>76</v>
      </c>
      <c r="H394">
        <v>24.670203317883299</v>
      </c>
      <c r="I394">
        <v>2</v>
      </c>
      <c r="J394">
        <v>5</v>
      </c>
      <c r="K394">
        <v>7</v>
      </c>
      <c r="L394">
        <v>-2</v>
      </c>
      <c r="M394">
        <v>7</v>
      </c>
      <c r="N394">
        <v>7</v>
      </c>
      <c r="O394">
        <v>0</v>
      </c>
      <c r="P394">
        <v>8</v>
      </c>
      <c r="Q394">
        <v>5</v>
      </c>
      <c r="R394">
        <v>3</v>
      </c>
      <c r="S394">
        <v>9</v>
      </c>
      <c r="T394">
        <v>8</v>
      </c>
      <c r="U394">
        <v>1</v>
      </c>
      <c r="V394">
        <v>8</v>
      </c>
      <c r="W394">
        <v>7</v>
      </c>
      <c r="X394">
        <v>1</v>
      </c>
      <c r="Y394">
        <v>9</v>
      </c>
      <c r="Z394">
        <v>7</v>
      </c>
      <c r="AA394">
        <v>2</v>
      </c>
      <c r="AB394">
        <v>8</v>
      </c>
      <c r="AC394">
        <v>5</v>
      </c>
      <c r="AD394">
        <v>3</v>
      </c>
      <c r="AE394">
        <v>7</v>
      </c>
      <c r="AF394">
        <v>6</v>
      </c>
      <c r="AG394">
        <v>1</v>
      </c>
      <c r="AH394">
        <v>9</v>
      </c>
      <c r="AI394">
        <v>7</v>
      </c>
      <c r="AJ394">
        <v>2</v>
      </c>
      <c r="AK394" t="s">
        <v>3714</v>
      </c>
      <c r="AL394" t="s">
        <v>3715</v>
      </c>
      <c r="AM394" t="s">
        <v>3716</v>
      </c>
      <c r="AN394" t="s">
        <v>3717</v>
      </c>
      <c r="AO394" t="s">
        <v>199</v>
      </c>
      <c r="AP394" t="s">
        <v>3718</v>
      </c>
      <c r="AQ394" t="s">
        <v>3719</v>
      </c>
      <c r="AR394" t="s">
        <v>203</v>
      </c>
      <c r="AS394" t="s">
        <v>3720</v>
      </c>
    </row>
    <row r="395" spans="1:45" x14ac:dyDescent="0.45">
      <c r="A395">
        <v>394</v>
      </c>
      <c r="B395">
        <v>12738</v>
      </c>
      <c r="C395" t="s">
        <v>78</v>
      </c>
      <c r="D395" t="s">
        <v>81</v>
      </c>
      <c r="E395" t="s">
        <v>74</v>
      </c>
      <c r="F395" t="s">
        <v>77</v>
      </c>
      <c r="G395" t="s">
        <v>76</v>
      </c>
      <c r="H395">
        <v>12</v>
      </c>
      <c r="I395">
        <v>1</v>
      </c>
      <c r="J395">
        <v>7</v>
      </c>
      <c r="K395">
        <v>9</v>
      </c>
      <c r="L395">
        <v>-2</v>
      </c>
      <c r="M395">
        <v>6</v>
      </c>
      <c r="N395">
        <v>9</v>
      </c>
      <c r="O395">
        <v>-3</v>
      </c>
      <c r="P395">
        <v>9</v>
      </c>
      <c r="Q395">
        <v>9</v>
      </c>
      <c r="R395">
        <v>0</v>
      </c>
      <c r="S395">
        <v>8</v>
      </c>
      <c r="T395">
        <v>7</v>
      </c>
      <c r="U395">
        <v>1</v>
      </c>
      <c r="V395">
        <v>9</v>
      </c>
      <c r="W395">
        <v>8</v>
      </c>
      <c r="X395">
        <v>1</v>
      </c>
      <c r="Y395">
        <v>8</v>
      </c>
      <c r="Z395">
        <v>6</v>
      </c>
      <c r="AA395">
        <v>2</v>
      </c>
      <c r="AB395">
        <v>7</v>
      </c>
      <c r="AC395">
        <v>8</v>
      </c>
      <c r="AD395">
        <v>-1</v>
      </c>
      <c r="AE395">
        <v>6</v>
      </c>
      <c r="AF395">
        <v>10</v>
      </c>
      <c r="AG395">
        <v>-4</v>
      </c>
      <c r="AH395">
        <v>8</v>
      </c>
      <c r="AI395">
        <v>10</v>
      </c>
      <c r="AJ395">
        <v>-2</v>
      </c>
      <c r="AK395" t="s">
        <v>3721</v>
      </c>
      <c r="AL395" t="s">
        <v>3722</v>
      </c>
      <c r="AM395" t="s">
        <v>3723</v>
      </c>
      <c r="AN395" t="s">
        <v>3724</v>
      </c>
      <c r="AO395" t="s">
        <v>3725</v>
      </c>
      <c r="AP395" t="s">
        <v>3726</v>
      </c>
      <c r="AQ395" t="s">
        <v>3727</v>
      </c>
      <c r="AR395" t="s">
        <v>3728</v>
      </c>
      <c r="AS395" t="s">
        <v>3729</v>
      </c>
    </row>
    <row r="396" spans="1:45" x14ac:dyDescent="0.45">
      <c r="A396">
        <v>395</v>
      </c>
      <c r="B396">
        <v>12739</v>
      </c>
      <c r="C396" t="s">
        <v>78</v>
      </c>
      <c r="D396" t="s">
        <v>191</v>
      </c>
      <c r="E396" t="s">
        <v>74</v>
      </c>
      <c r="F396" t="s">
        <v>77</v>
      </c>
      <c r="G396" t="s">
        <v>76</v>
      </c>
      <c r="H396">
        <v>36.801474328622469</v>
      </c>
      <c r="I396">
        <v>1</v>
      </c>
      <c r="J396">
        <v>7</v>
      </c>
      <c r="K396">
        <v>7</v>
      </c>
      <c r="L396">
        <v>0</v>
      </c>
      <c r="M396">
        <v>9</v>
      </c>
      <c r="N396">
        <v>7</v>
      </c>
      <c r="O396">
        <v>2</v>
      </c>
      <c r="P396">
        <v>8</v>
      </c>
      <c r="Q396">
        <v>5</v>
      </c>
      <c r="R396">
        <v>3</v>
      </c>
      <c r="S396">
        <v>9</v>
      </c>
      <c r="T396">
        <v>7</v>
      </c>
      <c r="U396">
        <v>2</v>
      </c>
      <c r="V396">
        <v>8</v>
      </c>
      <c r="W396">
        <v>5</v>
      </c>
      <c r="X396">
        <v>3</v>
      </c>
      <c r="Y396">
        <v>9</v>
      </c>
      <c r="Z396">
        <v>6</v>
      </c>
      <c r="AA396">
        <v>3</v>
      </c>
      <c r="AB396">
        <v>8</v>
      </c>
      <c r="AC396">
        <v>5</v>
      </c>
      <c r="AD396">
        <v>3</v>
      </c>
      <c r="AE396">
        <v>9</v>
      </c>
      <c r="AF396">
        <v>6</v>
      </c>
      <c r="AG396">
        <v>3</v>
      </c>
      <c r="AH396">
        <v>10</v>
      </c>
      <c r="AI396">
        <v>6</v>
      </c>
      <c r="AJ396">
        <v>4</v>
      </c>
      <c r="AK396" t="s">
        <v>225</v>
      </c>
      <c r="AL396" t="s">
        <v>3730</v>
      </c>
      <c r="AM396" t="s">
        <v>3731</v>
      </c>
      <c r="AN396" t="s">
        <v>3732</v>
      </c>
      <c r="AO396" t="s">
        <v>3733</v>
      </c>
      <c r="AP396" t="s">
        <v>3734</v>
      </c>
      <c r="AQ396" t="s">
        <v>3735</v>
      </c>
      <c r="AR396" t="s">
        <v>3736</v>
      </c>
      <c r="AS396" t="s">
        <v>3737</v>
      </c>
    </row>
    <row r="397" spans="1:45" x14ac:dyDescent="0.45">
      <c r="A397">
        <v>396</v>
      </c>
      <c r="B397">
        <v>12740</v>
      </c>
      <c r="C397" t="s">
        <v>72</v>
      </c>
      <c r="D397" t="s">
        <v>73</v>
      </c>
      <c r="E397" t="s">
        <v>74</v>
      </c>
      <c r="F397" t="s">
        <v>190</v>
      </c>
      <c r="G397" t="s">
        <v>76</v>
      </c>
      <c r="H397">
        <v>28.414981546846931</v>
      </c>
      <c r="I397">
        <v>1</v>
      </c>
      <c r="J397">
        <v>6</v>
      </c>
      <c r="K397">
        <v>2</v>
      </c>
      <c r="L397">
        <v>4</v>
      </c>
      <c r="M397">
        <v>5</v>
      </c>
      <c r="N397">
        <v>2</v>
      </c>
      <c r="O397">
        <v>3</v>
      </c>
      <c r="P397">
        <v>8</v>
      </c>
      <c r="Q397">
        <v>4</v>
      </c>
      <c r="R397">
        <v>4</v>
      </c>
      <c r="S397">
        <v>7</v>
      </c>
      <c r="T397">
        <v>5</v>
      </c>
      <c r="U397">
        <v>2</v>
      </c>
      <c r="V397">
        <v>6</v>
      </c>
      <c r="W397">
        <v>5</v>
      </c>
      <c r="X397">
        <v>1</v>
      </c>
      <c r="Y397">
        <v>8</v>
      </c>
      <c r="Z397">
        <v>3</v>
      </c>
      <c r="AA397">
        <v>5</v>
      </c>
      <c r="AB397">
        <v>5</v>
      </c>
      <c r="AC397">
        <v>5</v>
      </c>
      <c r="AD397">
        <v>0</v>
      </c>
      <c r="AE397">
        <v>7</v>
      </c>
      <c r="AF397">
        <v>5</v>
      </c>
      <c r="AG397">
        <v>2</v>
      </c>
      <c r="AH397">
        <v>8</v>
      </c>
      <c r="AI397">
        <v>5</v>
      </c>
      <c r="AJ397">
        <v>3</v>
      </c>
      <c r="AK397" t="s">
        <v>3738</v>
      </c>
      <c r="AL397" t="s">
        <v>3739</v>
      </c>
      <c r="AM397" t="s">
        <v>3740</v>
      </c>
      <c r="AN397" t="s">
        <v>3741</v>
      </c>
      <c r="AO397" t="s">
        <v>3742</v>
      </c>
      <c r="AP397" t="s">
        <v>3743</v>
      </c>
      <c r="AQ397" t="s">
        <v>3744</v>
      </c>
      <c r="AR397" t="s">
        <v>3745</v>
      </c>
      <c r="AS397" t="s">
        <v>3746</v>
      </c>
    </row>
    <row r="398" spans="1:45" x14ac:dyDescent="0.45">
      <c r="A398">
        <v>397</v>
      </c>
      <c r="B398">
        <v>12741</v>
      </c>
      <c r="C398" t="s">
        <v>72</v>
      </c>
      <c r="D398" t="s">
        <v>81</v>
      </c>
      <c r="E398" t="s">
        <v>74</v>
      </c>
      <c r="F398" t="s">
        <v>77</v>
      </c>
      <c r="G398" t="s">
        <v>76</v>
      </c>
      <c r="H398">
        <v>25.252540362353248</v>
      </c>
      <c r="I398">
        <v>0</v>
      </c>
      <c r="J398">
        <v>8</v>
      </c>
      <c r="K398">
        <v>8</v>
      </c>
      <c r="L398">
        <v>0</v>
      </c>
      <c r="M398">
        <v>8</v>
      </c>
      <c r="N398">
        <v>8</v>
      </c>
      <c r="O398">
        <v>0</v>
      </c>
      <c r="P398">
        <v>9</v>
      </c>
      <c r="Q398">
        <v>7</v>
      </c>
      <c r="R398">
        <v>2</v>
      </c>
      <c r="S398">
        <v>9</v>
      </c>
      <c r="T398">
        <v>7</v>
      </c>
      <c r="U398">
        <v>2</v>
      </c>
      <c r="V398">
        <v>7</v>
      </c>
      <c r="W398">
        <v>7</v>
      </c>
      <c r="X398">
        <v>0</v>
      </c>
      <c r="Y398">
        <v>8</v>
      </c>
      <c r="Z398">
        <v>8</v>
      </c>
      <c r="AA398">
        <v>0</v>
      </c>
      <c r="AB398">
        <v>7</v>
      </c>
      <c r="AC398">
        <v>7</v>
      </c>
      <c r="AD398">
        <v>0</v>
      </c>
      <c r="AE398">
        <v>6</v>
      </c>
      <c r="AF398">
        <v>8</v>
      </c>
      <c r="AG398">
        <v>-2</v>
      </c>
      <c r="AH398">
        <v>8</v>
      </c>
      <c r="AI398">
        <v>8</v>
      </c>
      <c r="AJ398">
        <v>0</v>
      </c>
      <c r="AK398" t="s">
        <v>3747</v>
      </c>
      <c r="AL398" t="s">
        <v>3748</v>
      </c>
      <c r="AM398" t="s">
        <v>3749</v>
      </c>
      <c r="AN398" t="s">
        <v>3750</v>
      </c>
      <c r="AO398" t="s">
        <v>3751</v>
      </c>
      <c r="AP398" t="s">
        <v>3752</v>
      </c>
      <c r="AQ398" t="s">
        <v>3753</v>
      </c>
      <c r="AR398" t="s">
        <v>3754</v>
      </c>
      <c r="AS398" t="s">
        <v>3755</v>
      </c>
    </row>
    <row r="399" spans="1:45" x14ac:dyDescent="0.45">
      <c r="A399">
        <v>398</v>
      </c>
      <c r="B399">
        <v>12742</v>
      </c>
      <c r="C399" t="s">
        <v>72</v>
      </c>
      <c r="D399" t="s">
        <v>189</v>
      </c>
      <c r="E399" t="s">
        <v>74</v>
      </c>
      <c r="F399" t="s">
        <v>77</v>
      </c>
      <c r="G399" t="s">
        <v>76</v>
      </c>
      <c r="H399">
        <v>12</v>
      </c>
      <c r="I399">
        <v>0</v>
      </c>
      <c r="J399">
        <v>7</v>
      </c>
      <c r="K399">
        <v>9</v>
      </c>
      <c r="L399">
        <v>-2</v>
      </c>
      <c r="M399">
        <v>8</v>
      </c>
      <c r="N399">
        <v>9</v>
      </c>
      <c r="O399">
        <v>-1</v>
      </c>
      <c r="P399">
        <v>9</v>
      </c>
      <c r="Q399">
        <v>8</v>
      </c>
      <c r="R399">
        <v>1</v>
      </c>
      <c r="S399">
        <v>9</v>
      </c>
      <c r="T399">
        <v>9</v>
      </c>
      <c r="U399">
        <v>0</v>
      </c>
      <c r="V399">
        <v>8</v>
      </c>
      <c r="W399">
        <v>7</v>
      </c>
      <c r="X399">
        <v>1</v>
      </c>
      <c r="Y399">
        <v>9</v>
      </c>
      <c r="Z399">
        <v>9</v>
      </c>
      <c r="AA399">
        <v>0</v>
      </c>
      <c r="AB399">
        <v>8</v>
      </c>
      <c r="AC399">
        <v>8</v>
      </c>
      <c r="AD399">
        <v>0</v>
      </c>
      <c r="AE399">
        <v>7</v>
      </c>
      <c r="AF399">
        <v>8</v>
      </c>
      <c r="AG399">
        <v>-1</v>
      </c>
      <c r="AH399">
        <v>9</v>
      </c>
      <c r="AI399">
        <v>8</v>
      </c>
      <c r="AJ399">
        <v>1</v>
      </c>
      <c r="AK399" t="s">
        <v>3756</v>
      </c>
      <c r="AL399" t="s">
        <v>3757</v>
      </c>
      <c r="AM399" t="s">
        <v>3758</v>
      </c>
      <c r="AN399" t="s">
        <v>3759</v>
      </c>
      <c r="AO399" t="s">
        <v>3760</v>
      </c>
      <c r="AP399" t="s">
        <v>3761</v>
      </c>
      <c r="AQ399" t="s">
        <v>3762</v>
      </c>
      <c r="AR399" t="s">
        <v>3763</v>
      </c>
      <c r="AS399" t="s">
        <v>3764</v>
      </c>
    </row>
    <row r="400" spans="1:45" x14ac:dyDescent="0.45">
      <c r="A400">
        <v>399</v>
      </c>
      <c r="B400">
        <v>12743</v>
      </c>
      <c r="C400" t="s">
        <v>72</v>
      </c>
      <c r="D400" t="s">
        <v>81</v>
      </c>
      <c r="E400" t="s">
        <v>74</v>
      </c>
      <c r="F400" t="s">
        <v>75</v>
      </c>
      <c r="G400" t="s">
        <v>76</v>
      </c>
      <c r="H400">
        <v>24.811244643832339</v>
      </c>
      <c r="I400">
        <v>0</v>
      </c>
      <c r="J400">
        <v>7</v>
      </c>
      <c r="K400">
        <v>7</v>
      </c>
      <c r="L400">
        <v>0</v>
      </c>
      <c r="M400">
        <v>8</v>
      </c>
      <c r="N400">
        <v>7</v>
      </c>
      <c r="O400">
        <v>1</v>
      </c>
      <c r="P400">
        <v>7</v>
      </c>
      <c r="Q400">
        <v>5</v>
      </c>
      <c r="R400">
        <v>2</v>
      </c>
      <c r="S400">
        <v>9</v>
      </c>
      <c r="T400">
        <v>8</v>
      </c>
      <c r="U400">
        <v>1</v>
      </c>
      <c r="V400">
        <v>8</v>
      </c>
      <c r="W400">
        <v>7</v>
      </c>
      <c r="X400">
        <v>1</v>
      </c>
      <c r="Y400">
        <v>9</v>
      </c>
      <c r="Z400">
        <v>8</v>
      </c>
      <c r="AA400">
        <v>1</v>
      </c>
      <c r="AB400">
        <v>8</v>
      </c>
      <c r="AC400">
        <v>6</v>
      </c>
      <c r="AD400">
        <v>2</v>
      </c>
      <c r="AE400">
        <v>7</v>
      </c>
      <c r="AF400">
        <v>6</v>
      </c>
      <c r="AG400">
        <v>1</v>
      </c>
      <c r="AH400">
        <v>9</v>
      </c>
      <c r="AI400">
        <v>8</v>
      </c>
      <c r="AJ400">
        <v>1</v>
      </c>
      <c r="AK400" t="s">
        <v>3765</v>
      </c>
      <c r="AL400" t="s">
        <v>3766</v>
      </c>
      <c r="AM400" t="s">
        <v>3767</v>
      </c>
      <c r="AN400" t="s">
        <v>3768</v>
      </c>
      <c r="AO400" t="s">
        <v>3769</v>
      </c>
      <c r="AP400" t="s">
        <v>3770</v>
      </c>
      <c r="AQ400" t="s">
        <v>3771</v>
      </c>
      <c r="AR400" t="s">
        <v>3772</v>
      </c>
      <c r="AS400" t="s">
        <v>3773</v>
      </c>
    </row>
    <row r="401" spans="1:45" x14ac:dyDescent="0.45">
      <c r="A401">
        <v>400</v>
      </c>
      <c r="B401">
        <v>12744</v>
      </c>
      <c r="C401" t="s">
        <v>72</v>
      </c>
      <c r="D401" t="s">
        <v>79</v>
      </c>
      <c r="E401" t="s">
        <v>74</v>
      </c>
      <c r="F401" t="s">
        <v>77</v>
      </c>
      <c r="G401" t="s">
        <v>76</v>
      </c>
      <c r="H401">
        <v>37.311246644564896</v>
      </c>
      <c r="I401">
        <v>3</v>
      </c>
      <c r="J401">
        <v>8</v>
      </c>
      <c r="K401">
        <v>8</v>
      </c>
      <c r="L401">
        <v>0</v>
      </c>
      <c r="M401">
        <v>9</v>
      </c>
      <c r="N401">
        <v>9</v>
      </c>
      <c r="O401">
        <v>0</v>
      </c>
      <c r="P401">
        <v>8</v>
      </c>
      <c r="Q401">
        <v>8</v>
      </c>
      <c r="R401">
        <v>0</v>
      </c>
      <c r="S401">
        <v>9</v>
      </c>
      <c r="T401">
        <v>8</v>
      </c>
      <c r="U401">
        <v>1</v>
      </c>
      <c r="V401">
        <v>8</v>
      </c>
      <c r="W401">
        <v>7</v>
      </c>
      <c r="X401">
        <v>1</v>
      </c>
      <c r="Y401">
        <v>9</v>
      </c>
      <c r="Z401">
        <v>7</v>
      </c>
      <c r="AA401">
        <v>2</v>
      </c>
      <c r="AB401">
        <v>8</v>
      </c>
      <c r="AC401">
        <v>7</v>
      </c>
      <c r="AD401">
        <v>1</v>
      </c>
      <c r="AE401">
        <v>9</v>
      </c>
      <c r="AF401">
        <v>7</v>
      </c>
      <c r="AG401">
        <v>2</v>
      </c>
      <c r="AH401">
        <v>8</v>
      </c>
      <c r="AI401">
        <v>8</v>
      </c>
      <c r="AJ401">
        <v>0</v>
      </c>
      <c r="AK401" t="s">
        <v>3774</v>
      </c>
      <c r="AL401" t="s">
        <v>3775</v>
      </c>
      <c r="AM401" t="s">
        <v>3776</v>
      </c>
      <c r="AN401" t="s">
        <v>3777</v>
      </c>
      <c r="AO401" t="s">
        <v>3778</v>
      </c>
      <c r="AP401" t="s">
        <v>3779</v>
      </c>
      <c r="AQ401" t="s">
        <v>3780</v>
      </c>
      <c r="AR401" t="s">
        <v>3781</v>
      </c>
      <c r="AS401" t="s">
        <v>3782</v>
      </c>
    </row>
    <row r="402" spans="1:45" x14ac:dyDescent="0.45">
      <c r="A402">
        <v>401</v>
      </c>
      <c r="B402">
        <v>12745</v>
      </c>
      <c r="C402" t="s">
        <v>72</v>
      </c>
      <c r="D402" t="s">
        <v>81</v>
      </c>
      <c r="E402" t="s">
        <v>80</v>
      </c>
      <c r="F402" t="s">
        <v>77</v>
      </c>
      <c r="G402" t="s">
        <v>76</v>
      </c>
      <c r="H402">
        <v>13.230576735736584</v>
      </c>
      <c r="I402">
        <v>0</v>
      </c>
      <c r="J402">
        <v>7</v>
      </c>
      <c r="K402">
        <v>4</v>
      </c>
      <c r="L402">
        <v>3</v>
      </c>
      <c r="M402">
        <v>6</v>
      </c>
      <c r="N402">
        <v>4</v>
      </c>
      <c r="O402">
        <v>2</v>
      </c>
      <c r="P402">
        <v>8</v>
      </c>
      <c r="Q402">
        <v>3</v>
      </c>
      <c r="R402">
        <v>5</v>
      </c>
      <c r="S402">
        <v>9</v>
      </c>
      <c r="T402">
        <v>5</v>
      </c>
      <c r="U402">
        <v>4</v>
      </c>
      <c r="V402">
        <v>8</v>
      </c>
      <c r="W402">
        <v>5</v>
      </c>
      <c r="X402">
        <v>3</v>
      </c>
      <c r="Y402">
        <v>7</v>
      </c>
      <c r="Z402">
        <v>2</v>
      </c>
      <c r="AA402">
        <v>5</v>
      </c>
      <c r="AB402">
        <v>9</v>
      </c>
      <c r="AC402">
        <v>2</v>
      </c>
      <c r="AD402">
        <v>7</v>
      </c>
      <c r="AE402">
        <v>8</v>
      </c>
      <c r="AF402">
        <v>5</v>
      </c>
      <c r="AG402">
        <v>3</v>
      </c>
      <c r="AH402">
        <v>9</v>
      </c>
      <c r="AI402">
        <v>2</v>
      </c>
      <c r="AJ402">
        <v>7</v>
      </c>
      <c r="AK402" t="s">
        <v>3783</v>
      </c>
      <c r="AL402" t="s">
        <v>3784</v>
      </c>
      <c r="AM402" t="s">
        <v>3785</v>
      </c>
      <c r="AN402" t="s">
        <v>3786</v>
      </c>
      <c r="AO402" t="s">
        <v>3787</v>
      </c>
      <c r="AP402" t="s">
        <v>3788</v>
      </c>
      <c r="AQ402" t="s">
        <v>3789</v>
      </c>
      <c r="AR402" t="s">
        <v>3790</v>
      </c>
      <c r="AS402" t="s">
        <v>3791</v>
      </c>
    </row>
    <row r="403" spans="1:45" x14ac:dyDescent="0.45">
      <c r="A403">
        <v>402</v>
      </c>
      <c r="B403">
        <v>12746</v>
      </c>
      <c r="C403" t="s">
        <v>78</v>
      </c>
      <c r="D403" t="s">
        <v>193</v>
      </c>
      <c r="E403" t="s">
        <v>74</v>
      </c>
      <c r="F403" t="s">
        <v>75</v>
      </c>
      <c r="G403" t="s">
        <v>76</v>
      </c>
      <c r="H403">
        <v>223.22624100216419</v>
      </c>
      <c r="I403">
        <v>4</v>
      </c>
      <c r="J403">
        <v>7</v>
      </c>
      <c r="K403">
        <v>7</v>
      </c>
      <c r="L403">
        <v>0</v>
      </c>
      <c r="M403">
        <v>6</v>
      </c>
      <c r="N403">
        <v>7</v>
      </c>
      <c r="O403">
        <v>-1</v>
      </c>
      <c r="P403">
        <v>8</v>
      </c>
      <c r="Q403">
        <v>4</v>
      </c>
      <c r="R403">
        <v>4</v>
      </c>
      <c r="S403">
        <v>9</v>
      </c>
      <c r="T403">
        <v>6</v>
      </c>
      <c r="U403">
        <v>3</v>
      </c>
      <c r="V403">
        <v>8</v>
      </c>
      <c r="W403">
        <v>5</v>
      </c>
      <c r="X403">
        <v>3</v>
      </c>
      <c r="Y403">
        <v>9</v>
      </c>
      <c r="Z403">
        <v>4</v>
      </c>
      <c r="AA403">
        <v>5</v>
      </c>
      <c r="AB403">
        <v>8</v>
      </c>
      <c r="AC403">
        <v>5</v>
      </c>
      <c r="AD403">
        <v>3</v>
      </c>
      <c r="AE403">
        <v>7</v>
      </c>
      <c r="AF403">
        <v>5</v>
      </c>
      <c r="AG403">
        <v>2</v>
      </c>
      <c r="AH403">
        <v>9</v>
      </c>
      <c r="AI403">
        <v>5</v>
      </c>
      <c r="AJ403">
        <v>4</v>
      </c>
      <c r="AK403" t="s">
        <v>3792</v>
      </c>
      <c r="AL403" t="s">
        <v>3793</v>
      </c>
      <c r="AM403" t="s">
        <v>3794</v>
      </c>
      <c r="AN403" t="s">
        <v>3795</v>
      </c>
      <c r="AO403" t="s">
        <v>3796</v>
      </c>
      <c r="AP403" t="s">
        <v>3797</v>
      </c>
      <c r="AQ403" t="s">
        <v>3798</v>
      </c>
      <c r="AR403" t="s">
        <v>3799</v>
      </c>
      <c r="AS403" t="s">
        <v>3800</v>
      </c>
    </row>
    <row r="404" spans="1:45" x14ac:dyDescent="0.45">
      <c r="A404">
        <v>403</v>
      </c>
      <c r="B404">
        <v>12747</v>
      </c>
      <c r="C404" t="s">
        <v>72</v>
      </c>
      <c r="D404" t="s">
        <v>81</v>
      </c>
      <c r="E404" t="s">
        <v>74</v>
      </c>
      <c r="F404" t="s">
        <v>77</v>
      </c>
      <c r="G404" t="s">
        <v>76</v>
      </c>
      <c r="H404">
        <v>29.431749745655683</v>
      </c>
      <c r="I404">
        <v>0</v>
      </c>
      <c r="J404">
        <v>7</v>
      </c>
      <c r="K404">
        <v>7</v>
      </c>
      <c r="L404">
        <v>0</v>
      </c>
      <c r="M404">
        <v>8</v>
      </c>
      <c r="N404">
        <v>7</v>
      </c>
      <c r="O404">
        <v>1</v>
      </c>
      <c r="P404">
        <v>9</v>
      </c>
      <c r="Q404">
        <v>7</v>
      </c>
      <c r="R404">
        <v>2</v>
      </c>
      <c r="S404">
        <v>8</v>
      </c>
      <c r="T404">
        <v>7</v>
      </c>
      <c r="U404">
        <v>1</v>
      </c>
      <c r="V404">
        <v>6</v>
      </c>
      <c r="W404">
        <v>7</v>
      </c>
      <c r="X404">
        <v>-1</v>
      </c>
      <c r="Y404">
        <v>9</v>
      </c>
      <c r="Z404">
        <v>7</v>
      </c>
      <c r="AA404">
        <v>2</v>
      </c>
      <c r="AB404">
        <v>7</v>
      </c>
      <c r="AC404">
        <v>7</v>
      </c>
      <c r="AD404">
        <v>0</v>
      </c>
      <c r="AE404">
        <v>8</v>
      </c>
      <c r="AF404">
        <v>7</v>
      </c>
      <c r="AG404">
        <v>1</v>
      </c>
      <c r="AH404">
        <v>9</v>
      </c>
      <c r="AI404">
        <v>7</v>
      </c>
      <c r="AJ404">
        <v>2</v>
      </c>
      <c r="AK404" t="s">
        <v>3801</v>
      </c>
      <c r="AL404" t="s">
        <v>3802</v>
      </c>
      <c r="AM404" t="s">
        <v>3803</v>
      </c>
      <c r="AN404" t="s">
        <v>3804</v>
      </c>
      <c r="AO404" t="s">
        <v>3805</v>
      </c>
      <c r="AP404" t="s">
        <v>3806</v>
      </c>
      <c r="AQ404" t="s">
        <v>3807</v>
      </c>
      <c r="AR404" t="s">
        <v>3808</v>
      </c>
      <c r="AS404" t="s">
        <v>3809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A1E5-5B85-4FCC-8D5E-A7011AE70633}">
  <dimension ref="A1:Q404"/>
  <sheetViews>
    <sheetView topLeftCell="O1" workbookViewId="0">
      <selection activeCell="O1" sqref="O1"/>
    </sheetView>
  </sheetViews>
  <sheetFormatPr defaultRowHeight="14.25" x14ac:dyDescent="0.45"/>
  <cols>
    <col min="1" max="1" width="15.265625" bestFit="1" customWidth="1"/>
    <col min="2" max="2" width="17.3984375" bestFit="1" customWidth="1"/>
    <col min="3" max="3" width="16.3984375" bestFit="1" customWidth="1"/>
    <col min="4" max="4" width="26.59765625" hidden="1" customWidth="1"/>
    <col min="5" max="5" width="24.796875" bestFit="1" customWidth="1"/>
    <col min="6" max="6" width="45.796875" bestFit="1" customWidth="1"/>
    <col min="7" max="7" width="80.53125" bestFit="1" customWidth="1"/>
    <col min="8" max="8" width="65.33203125" bestFit="1" customWidth="1"/>
    <col min="9" max="17" width="80.53125" bestFit="1" customWidth="1"/>
  </cols>
  <sheetData>
    <row r="1" spans="1:17" x14ac:dyDescent="0.45">
      <c r="A1" t="s">
        <v>83</v>
      </c>
      <c r="B1" t="s">
        <v>84</v>
      </c>
      <c r="C1" t="s">
        <v>85</v>
      </c>
      <c r="D1" t="s">
        <v>86</v>
      </c>
      <c r="E1" t="s">
        <v>87</v>
      </c>
      <c r="F1" t="s">
        <v>88</v>
      </c>
      <c r="G1" t="s">
        <v>89</v>
      </c>
      <c r="H1" t="s">
        <v>90</v>
      </c>
      <c r="I1" t="s">
        <v>91</v>
      </c>
      <c r="J1" t="s">
        <v>92</v>
      </c>
      <c r="K1" t="s">
        <v>93</v>
      </c>
      <c r="L1" t="s">
        <v>94</v>
      </c>
      <c r="M1" t="s">
        <v>95</v>
      </c>
      <c r="N1" t="s">
        <v>96</v>
      </c>
      <c r="O1" t="s">
        <v>97</v>
      </c>
      <c r="P1" t="s">
        <v>98</v>
      </c>
      <c r="Q1" t="s">
        <v>99</v>
      </c>
    </row>
    <row r="2" spans="1:17" x14ac:dyDescent="0.45">
      <c r="A2" s="19">
        <v>46016.586805555555</v>
      </c>
      <c r="B2" t="s">
        <v>72</v>
      </c>
      <c r="C2" t="s">
        <v>81</v>
      </c>
      <c r="D2" t="s">
        <v>74</v>
      </c>
      <c r="E2" t="s">
        <v>77</v>
      </c>
      <c r="F2" t="s">
        <v>100</v>
      </c>
      <c r="G2" t="s">
        <v>104</v>
      </c>
      <c r="H2" t="s">
        <v>102</v>
      </c>
      <c r="I2">
        <v>10</v>
      </c>
      <c r="J2">
        <v>8</v>
      </c>
      <c r="K2">
        <v>5</v>
      </c>
      <c r="L2">
        <v>5</v>
      </c>
      <c r="M2">
        <v>10</v>
      </c>
      <c r="N2">
        <v>10</v>
      </c>
      <c r="O2">
        <v>10</v>
      </c>
      <c r="P2">
        <v>10</v>
      </c>
      <c r="Q2">
        <v>10</v>
      </c>
    </row>
    <row r="3" spans="1:17" x14ac:dyDescent="0.45">
      <c r="A3" s="19">
        <v>46016.586805555555</v>
      </c>
      <c r="B3" t="s">
        <v>72</v>
      </c>
      <c r="C3" t="s">
        <v>81</v>
      </c>
      <c r="D3" t="s">
        <v>74</v>
      </c>
      <c r="E3" t="s">
        <v>77</v>
      </c>
      <c r="F3" t="s">
        <v>100</v>
      </c>
      <c r="G3" t="s">
        <v>104</v>
      </c>
      <c r="H3" t="s">
        <v>110</v>
      </c>
      <c r="I3">
        <v>8</v>
      </c>
      <c r="J3">
        <v>8</v>
      </c>
      <c r="K3">
        <v>6</v>
      </c>
      <c r="L3">
        <v>9</v>
      </c>
      <c r="M3">
        <v>10</v>
      </c>
      <c r="N3">
        <v>9</v>
      </c>
      <c r="O3">
        <v>8</v>
      </c>
      <c r="P3">
        <v>9</v>
      </c>
      <c r="Q3">
        <v>10</v>
      </c>
    </row>
    <row r="4" spans="1:17" x14ac:dyDescent="0.45">
      <c r="A4" s="19">
        <v>46016.588194444441</v>
      </c>
      <c r="B4" t="s">
        <v>78</v>
      </c>
      <c r="C4" t="s">
        <v>79</v>
      </c>
      <c r="D4" t="s">
        <v>74</v>
      </c>
      <c r="E4" t="s">
        <v>75</v>
      </c>
      <c r="F4" t="s">
        <v>100</v>
      </c>
      <c r="G4" t="s">
        <v>111</v>
      </c>
      <c r="H4" t="s">
        <v>106</v>
      </c>
      <c r="I4">
        <v>6</v>
      </c>
      <c r="J4">
        <v>5</v>
      </c>
      <c r="K4">
        <v>4</v>
      </c>
      <c r="L4">
        <v>5</v>
      </c>
      <c r="M4">
        <v>4</v>
      </c>
      <c r="N4">
        <v>4</v>
      </c>
      <c r="O4">
        <v>4</v>
      </c>
      <c r="P4">
        <v>10</v>
      </c>
      <c r="Q4">
        <v>4</v>
      </c>
    </row>
    <row r="5" spans="1:17" x14ac:dyDescent="0.45">
      <c r="A5" s="19">
        <v>46016.588194444441</v>
      </c>
      <c r="B5" t="s">
        <v>72</v>
      </c>
      <c r="C5" t="s">
        <v>189</v>
      </c>
      <c r="D5" t="s">
        <v>74</v>
      </c>
      <c r="E5" t="s">
        <v>77</v>
      </c>
      <c r="F5" t="s">
        <v>100</v>
      </c>
      <c r="G5" t="s">
        <v>194</v>
      </c>
      <c r="H5" t="s">
        <v>110</v>
      </c>
      <c r="I5">
        <v>10</v>
      </c>
      <c r="J5">
        <v>10</v>
      </c>
      <c r="K5">
        <v>8</v>
      </c>
      <c r="L5">
        <v>9</v>
      </c>
      <c r="M5">
        <v>9</v>
      </c>
      <c r="N5">
        <v>7</v>
      </c>
      <c r="O5">
        <v>10</v>
      </c>
      <c r="P5">
        <v>7</v>
      </c>
      <c r="Q5">
        <v>10</v>
      </c>
    </row>
    <row r="6" spans="1:17" x14ac:dyDescent="0.45">
      <c r="A6" s="19">
        <v>46016.588888888888</v>
      </c>
      <c r="B6" t="s">
        <v>72</v>
      </c>
      <c r="C6" t="s">
        <v>81</v>
      </c>
      <c r="D6" t="s">
        <v>74</v>
      </c>
      <c r="E6" t="s">
        <v>77</v>
      </c>
      <c r="F6" t="s">
        <v>100</v>
      </c>
      <c r="G6" t="s">
        <v>194</v>
      </c>
      <c r="H6" t="s">
        <v>110</v>
      </c>
      <c r="I6">
        <v>9</v>
      </c>
      <c r="J6">
        <v>9</v>
      </c>
      <c r="K6">
        <v>10</v>
      </c>
      <c r="L6">
        <v>9</v>
      </c>
      <c r="M6">
        <v>9</v>
      </c>
      <c r="N6">
        <v>9</v>
      </c>
      <c r="O6">
        <v>9</v>
      </c>
      <c r="P6">
        <v>9</v>
      </c>
      <c r="Q6">
        <v>9</v>
      </c>
    </row>
    <row r="7" spans="1:17" x14ac:dyDescent="0.45">
      <c r="A7" s="19">
        <v>46016.595138888886</v>
      </c>
      <c r="B7" t="s">
        <v>72</v>
      </c>
      <c r="C7" t="s">
        <v>73</v>
      </c>
      <c r="D7" t="s">
        <v>74</v>
      </c>
      <c r="E7" t="s">
        <v>75</v>
      </c>
      <c r="F7" t="s">
        <v>100</v>
      </c>
      <c r="G7" t="s">
        <v>107</v>
      </c>
      <c r="H7" t="s">
        <v>195</v>
      </c>
      <c r="I7">
        <v>8</v>
      </c>
      <c r="J7">
        <v>8</v>
      </c>
      <c r="K7">
        <v>5</v>
      </c>
      <c r="L7">
        <v>8</v>
      </c>
      <c r="M7">
        <v>6</v>
      </c>
      <c r="N7">
        <v>6</v>
      </c>
      <c r="O7">
        <v>4</v>
      </c>
      <c r="P7">
        <v>5</v>
      </c>
      <c r="Q7">
        <v>6</v>
      </c>
    </row>
    <row r="8" spans="1:17" x14ac:dyDescent="0.45">
      <c r="A8" s="19">
        <v>46016.59652777778</v>
      </c>
      <c r="B8" t="s">
        <v>72</v>
      </c>
      <c r="C8" t="s">
        <v>73</v>
      </c>
      <c r="D8" t="s">
        <v>74</v>
      </c>
      <c r="E8" t="s">
        <v>77</v>
      </c>
      <c r="F8" t="s">
        <v>100</v>
      </c>
      <c r="G8" t="s">
        <v>196</v>
      </c>
      <c r="H8" t="s">
        <v>105</v>
      </c>
      <c r="I8">
        <v>5</v>
      </c>
      <c r="J8">
        <v>4</v>
      </c>
      <c r="K8">
        <v>4</v>
      </c>
      <c r="L8">
        <v>6</v>
      </c>
      <c r="M8">
        <v>6</v>
      </c>
      <c r="N8">
        <v>7</v>
      </c>
      <c r="O8">
        <v>2</v>
      </c>
      <c r="P8">
        <v>4</v>
      </c>
      <c r="Q8">
        <v>4</v>
      </c>
    </row>
    <row r="9" spans="1:17" x14ac:dyDescent="0.45">
      <c r="A9" s="19">
        <v>46016.602777777778</v>
      </c>
      <c r="B9" t="s">
        <v>78</v>
      </c>
      <c r="C9" t="s">
        <v>79</v>
      </c>
      <c r="D9" t="s">
        <v>74</v>
      </c>
      <c r="E9" t="s">
        <v>75</v>
      </c>
      <c r="F9" t="s">
        <v>100</v>
      </c>
      <c r="G9" t="s">
        <v>194</v>
      </c>
      <c r="H9" t="s">
        <v>105</v>
      </c>
      <c r="I9">
        <v>1</v>
      </c>
      <c r="J9">
        <v>1</v>
      </c>
      <c r="K9">
        <v>2</v>
      </c>
      <c r="L9">
        <v>3</v>
      </c>
      <c r="M9">
        <v>6</v>
      </c>
      <c r="N9">
        <v>2</v>
      </c>
      <c r="O9">
        <v>7</v>
      </c>
      <c r="P9">
        <v>3</v>
      </c>
      <c r="Q9">
        <v>3</v>
      </c>
    </row>
    <row r="10" spans="1:17" x14ac:dyDescent="0.45">
      <c r="A10" s="19">
        <v>46016.649305555555</v>
      </c>
      <c r="B10" t="s">
        <v>72</v>
      </c>
      <c r="C10" t="s">
        <v>81</v>
      </c>
      <c r="D10" t="s">
        <v>80</v>
      </c>
      <c r="E10" t="s">
        <v>77</v>
      </c>
      <c r="F10" t="s">
        <v>103</v>
      </c>
      <c r="G10" t="s">
        <v>104</v>
      </c>
      <c r="H10" t="s">
        <v>102</v>
      </c>
      <c r="I10">
        <v>10</v>
      </c>
      <c r="J10">
        <v>10</v>
      </c>
      <c r="K10">
        <v>8</v>
      </c>
      <c r="L10">
        <v>7</v>
      </c>
      <c r="M10">
        <v>7</v>
      </c>
      <c r="N10">
        <v>5</v>
      </c>
      <c r="O10">
        <v>5</v>
      </c>
      <c r="P10">
        <v>9</v>
      </c>
      <c r="Q10">
        <v>8</v>
      </c>
    </row>
    <row r="11" spans="1:17" x14ac:dyDescent="0.45">
      <c r="A11" s="19">
        <v>46016.660416666666</v>
      </c>
      <c r="B11" t="s">
        <v>72</v>
      </c>
      <c r="C11" t="s">
        <v>81</v>
      </c>
      <c r="D11" t="s">
        <v>74</v>
      </c>
      <c r="E11" t="s">
        <v>77</v>
      </c>
      <c r="F11" t="s">
        <v>100</v>
      </c>
      <c r="G11" t="s">
        <v>196</v>
      </c>
      <c r="H11" t="s">
        <v>110</v>
      </c>
      <c r="I11">
        <v>7</v>
      </c>
      <c r="J11">
        <v>10</v>
      </c>
      <c r="K11">
        <v>1</v>
      </c>
      <c r="L11">
        <v>5</v>
      </c>
      <c r="M11">
        <v>8</v>
      </c>
      <c r="N11">
        <v>5</v>
      </c>
      <c r="O11">
        <v>5</v>
      </c>
      <c r="P11">
        <v>5</v>
      </c>
      <c r="Q11">
        <v>10</v>
      </c>
    </row>
    <row r="12" spans="1:17" x14ac:dyDescent="0.45">
      <c r="A12" s="19">
        <v>46016.661111111112</v>
      </c>
      <c r="B12" t="s">
        <v>78</v>
      </c>
      <c r="C12" t="s">
        <v>73</v>
      </c>
      <c r="D12" t="s">
        <v>74</v>
      </c>
      <c r="E12" t="s">
        <v>75</v>
      </c>
      <c r="F12" t="s">
        <v>103</v>
      </c>
      <c r="G12" t="s">
        <v>109</v>
      </c>
      <c r="H12" t="s">
        <v>195</v>
      </c>
      <c r="I12">
        <v>10</v>
      </c>
      <c r="J12">
        <v>3</v>
      </c>
      <c r="K12">
        <v>1</v>
      </c>
      <c r="L12">
        <v>7</v>
      </c>
      <c r="M12">
        <v>1</v>
      </c>
      <c r="N12">
        <v>5</v>
      </c>
      <c r="O12">
        <v>1</v>
      </c>
      <c r="P12">
        <v>8</v>
      </c>
      <c r="Q12">
        <v>6</v>
      </c>
    </row>
    <row r="13" spans="1:17" x14ac:dyDescent="0.45">
      <c r="A13" s="19">
        <v>46016.709027777775</v>
      </c>
      <c r="B13" t="s">
        <v>72</v>
      </c>
      <c r="C13" t="s">
        <v>189</v>
      </c>
      <c r="D13" t="s">
        <v>74</v>
      </c>
      <c r="E13" t="s">
        <v>77</v>
      </c>
      <c r="F13" t="s">
        <v>100</v>
      </c>
      <c r="G13" t="s">
        <v>194</v>
      </c>
      <c r="H13" t="s">
        <v>110</v>
      </c>
      <c r="I13">
        <v>5</v>
      </c>
      <c r="J13">
        <v>8</v>
      </c>
      <c r="K13">
        <v>5</v>
      </c>
      <c r="L13">
        <v>5</v>
      </c>
      <c r="M13">
        <v>6</v>
      </c>
      <c r="N13">
        <v>5</v>
      </c>
      <c r="O13">
        <v>5</v>
      </c>
      <c r="P13">
        <v>5</v>
      </c>
      <c r="Q13">
        <v>5</v>
      </c>
    </row>
    <row r="14" spans="1:17" x14ac:dyDescent="0.45">
      <c r="A14" s="19">
        <v>46016.745833333334</v>
      </c>
      <c r="B14" t="s">
        <v>72</v>
      </c>
      <c r="C14" t="s">
        <v>189</v>
      </c>
      <c r="D14" t="s">
        <v>74</v>
      </c>
      <c r="E14" t="s">
        <v>77</v>
      </c>
      <c r="F14" t="s">
        <v>100</v>
      </c>
      <c r="G14" t="s">
        <v>194</v>
      </c>
      <c r="H14" t="s">
        <v>110</v>
      </c>
      <c r="I14">
        <v>8</v>
      </c>
      <c r="J14">
        <v>7</v>
      </c>
      <c r="K14">
        <v>7</v>
      </c>
      <c r="L14">
        <v>7</v>
      </c>
      <c r="M14">
        <v>7</v>
      </c>
      <c r="N14">
        <v>8</v>
      </c>
      <c r="O14">
        <v>7</v>
      </c>
      <c r="P14">
        <v>7</v>
      </c>
      <c r="Q14">
        <v>7</v>
      </c>
    </row>
    <row r="15" spans="1:17" x14ac:dyDescent="0.45">
      <c r="A15" s="19">
        <v>46016.844444444447</v>
      </c>
      <c r="B15" t="s">
        <v>72</v>
      </c>
      <c r="C15" t="s">
        <v>73</v>
      </c>
      <c r="D15" t="s">
        <v>74</v>
      </c>
      <c r="E15" t="s">
        <v>75</v>
      </c>
      <c r="F15" t="s">
        <v>100</v>
      </c>
      <c r="G15" t="s">
        <v>196</v>
      </c>
      <c r="H15" t="s">
        <v>110</v>
      </c>
      <c r="I15">
        <v>10</v>
      </c>
      <c r="J15">
        <v>10</v>
      </c>
      <c r="K15">
        <v>8</v>
      </c>
      <c r="L15">
        <v>8</v>
      </c>
      <c r="M15">
        <v>8</v>
      </c>
      <c r="N15">
        <v>6</v>
      </c>
      <c r="O15">
        <v>6</v>
      </c>
      <c r="P15">
        <v>5</v>
      </c>
      <c r="Q15">
        <v>5</v>
      </c>
    </row>
    <row r="16" spans="1:17" x14ac:dyDescent="0.45">
      <c r="A16" s="19">
        <v>46016.84652777778</v>
      </c>
      <c r="B16" t="s">
        <v>78</v>
      </c>
      <c r="C16" t="s">
        <v>73</v>
      </c>
      <c r="D16" t="s">
        <v>74</v>
      </c>
      <c r="E16" t="s">
        <v>75</v>
      </c>
      <c r="F16" t="s">
        <v>100</v>
      </c>
      <c r="G16" t="s">
        <v>109</v>
      </c>
      <c r="H16" t="s">
        <v>105</v>
      </c>
      <c r="I16">
        <v>7</v>
      </c>
      <c r="J16">
        <v>9</v>
      </c>
      <c r="K16">
        <v>3</v>
      </c>
      <c r="L16">
        <v>6</v>
      </c>
      <c r="M16">
        <v>1</v>
      </c>
      <c r="N16">
        <v>1</v>
      </c>
      <c r="O16">
        <v>1</v>
      </c>
      <c r="P16">
        <v>1</v>
      </c>
      <c r="Q16">
        <v>1</v>
      </c>
    </row>
    <row r="17" spans="1:17" x14ac:dyDescent="0.45">
      <c r="A17" s="19">
        <v>46016.881249999999</v>
      </c>
      <c r="B17" t="s">
        <v>78</v>
      </c>
      <c r="C17" t="s">
        <v>79</v>
      </c>
      <c r="D17" t="s">
        <v>74</v>
      </c>
      <c r="E17" t="s">
        <v>75</v>
      </c>
      <c r="F17" t="s">
        <v>100</v>
      </c>
      <c r="G17" t="s">
        <v>107</v>
      </c>
      <c r="H17" t="s">
        <v>195</v>
      </c>
      <c r="I17">
        <v>8</v>
      </c>
      <c r="J17">
        <v>8</v>
      </c>
      <c r="K17">
        <v>8</v>
      </c>
      <c r="L17">
        <v>9</v>
      </c>
      <c r="M17">
        <v>7</v>
      </c>
      <c r="N17">
        <v>7</v>
      </c>
      <c r="O17">
        <v>9</v>
      </c>
      <c r="P17">
        <v>8</v>
      </c>
      <c r="Q17">
        <v>7</v>
      </c>
    </row>
    <row r="18" spans="1:17" x14ac:dyDescent="0.45">
      <c r="A18" s="19">
        <v>46016.885416666664</v>
      </c>
      <c r="B18" t="s">
        <v>72</v>
      </c>
      <c r="C18" t="s">
        <v>81</v>
      </c>
      <c r="D18" t="s">
        <v>74</v>
      </c>
      <c r="E18" t="s">
        <v>77</v>
      </c>
      <c r="F18" t="s">
        <v>100</v>
      </c>
      <c r="G18" t="s">
        <v>196</v>
      </c>
      <c r="H18" t="s">
        <v>105</v>
      </c>
      <c r="I18">
        <v>6</v>
      </c>
      <c r="J18">
        <v>7</v>
      </c>
      <c r="K18">
        <v>5</v>
      </c>
      <c r="L18">
        <v>5</v>
      </c>
      <c r="M18">
        <v>6</v>
      </c>
      <c r="N18">
        <v>7</v>
      </c>
      <c r="O18">
        <v>3</v>
      </c>
      <c r="P18">
        <v>4</v>
      </c>
      <c r="Q18">
        <v>5</v>
      </c>
    </row>
    <row r="19" spans="1:17" x14ac:dyDescent="0.45">
      <c r="A19" s="19">
        <v>46016.907638888886</v>
      </c>
      <c r="B19" t="s">
        <v>78</v>
      </c>
      <c r="C19" t="s">
        <v>79</v>
      </c>
      <c r="D19" t="s">
        <v>74</v>
      </c>
      <c r="E19" t="s">
        <v>77</v>
      </c>
      <c r="F19" t="s">
        <v>103</v>
      </c>
      <c r="G19" t="s">
        <v>104</v>
      </c>
      <c r="H19" t="s">
        <v>110</v>
      </c>
      <c r="I19">
        <v>6</v>
      </c>
      <c r="J19">
        <v>8</v>
      </c>
      <c r="K19">
        <v>7</v>
      </c>
      <c r="L19">
        <v>8</v>
      </c>
      <c r="M19">
        <v>8</v>
      </c>
      <c r="N19">
        <v>7</v>
      </c>
      <c r="O19">
        <v>7</v>
      </c>
      <c r="P19">
        <v>6</v>
      </c>
      <c r="Q19">
        <v>8</v>
      </c>
    </row>
    <row r="20" spans="1:17" x14ac:dyDescent="0.45">
      <c r="A20" s="19">
        <v>46016.910416666666</v>
      </c>
      <c r="B20" t="s">
        <v>78</v>
      </c>
      <c r="C20" t="s">
        <v>79</v>
      </c>
      <c r="D20" t="s">
        <v>74</v>
      </c>
      <c r="E20" t="s">
        <v>77</v>
      </c>
      <c r="F20" t="s">
        <v>100</v>
      </c>
      <c r="G20" t="s">
        <v>108</v>
      </c>
      <c r="H20" t="s">
        <v>195</v>
      </c>
      <c r="I20">
        <v>10</v>
      </c>
      <c r="J20">
        <v>10</v>
      </c>
      <c r="K20">
        <v>5</v>
      </c>
      <c r="L20">
        <v>5</v>
      </c>
      <c r="M20">
        <v>5</v>
      </c>
      <c r="N20">
        <v>3</v>
      </c>
      <c r="O20">
        <v>2</v>
      </c>
      <c r="P20">
        <v>5</v>
      </c>
      <c r="Q20">
        <v>8</v>
      </c>
    </row>
    <row r="21" spans="1:17" x14ac:dyDescent="0.45">
      <c r="A21" s="19">
        <v>46017.081250000003</v>
      </c>
      <c r="B21" t="s">
        <v>78</v>
      </c>
      <c r="C21" t="s">
        <v>73</v>
      </c>
      <c r="D21" t="s">
        <v>74</v>
      </c>
      <c r="E21" t="s">
        <v>75</v>
      </c>
      <c r="F21" t="s">
        <v>100</v>
      </c>
      <c r="G21" t="s">
        <v>111</v>
      </c>
      <c r="H21" t="s">
        <v>105</v>
      </c>
      <c r="I21">
        <v>9</v>
      </c>
      <c r="J21">
        <v>9</v>
      </c>
      <c r="K21">
        <v>7</v>
      </c>
      <c r="L21">
        <v>9</v>
      </c>
      <c r="M21">
        <v>7</v>
      </c>
      <c r="N21">
        <v>8</v>
      </c>
      <c r="O21">
        <v>5</v>
      </c>
      <c r="P21">
        <v>5</v>
      </c>
      <c r="Q21">
        <v>6</v>
      </c>
    </row>
    <row r="22" spans="1:17" x14ac:dyDescent="0.45">
      <c r="A22" s="19">
        <v>46017.3125</v>
      </c>
      <c r="B22" t="s">
        <v>72</v>
      </c>
      <c r="C22" t="s">
        <v>79</v>
      </c>
      <c r="D22" t="s">
        <v>74</v>
      </c>
      <c r="E22" t="s">
        <v>77</v>
      </c>
      <c r="F22" t="s">
        <v>100</v>
      </c>
      <c r="G22" t="s">
        <v>108</v>
      </c>
      <c r="H22" t="s">
        <v>106</v>
      </c>
      <c r="I22">
        <v>10</v>
      </c>
      <c r="J22">
        <v>10</v>
      </c>
      <c r="K22">
        <v>8</v>
      </c>
      <c r="L22">
        <v>7</v>
      </c>
      <c r="M22">
        <v>7</v>
      </c>
      <c r="N22">
        <v>7</v>
      </c>
      <c r="O22">
        <v>2</v>
      </c>
      <c r="P22">
        <v>3</v>
      </c>
      <c r="Q22">
        <v>3</v>
      </c>
    </row>
    <row r="23" spans="1:17" x14ac:dyDescent="0.45">
      <c r="A23" s="19">
        <v>46017.362500000003</v>
      </c>
      <c r="B23" t="s">
        <v>72</v>
      </c>
      <c r="C23" t="s">
        <v>189</v>
      </c>
      <c r="D23" t="s">
        <v>74</v>
      </c>
      <c r="E23" t="s">
        <v>77</v>
      </c>
      <c r="F23" t="s">
        <v>100</v>
      </c>
      <c r="G23" t="s">
        <v>104</v>
      </c>
      <c r="H23" t="s">
        <v>110</v>
      </c>
      <c r="I23">
        <v>8</v>
      </c>
      <c r="J23">
        <v>8</v>
      </c>
      <c r="K23">
        <v>5</v>
      </c>
      <c r="L23">
        <v>8</v>
      </c>
      <c r="M23">
        <v>8</v>
      </c>
      <c r="N23">
        <v>8</v>
      </c>
      <c r="O23">
        <v>8</v>
      </c>
      <c r="P23">
        <v>8</v>
      </c>
      <c r="Q23">
        <v>8</v>
      </c>
    </row>
    <row r="24" spans="1:17" x14ac:dyDescent="0.45">
      <c r="A24" s="19">
        <v>46017.4</v>
      </c>
      <c r="B24" t="s">
        <v>72</v>
      </c>
      <c r="C24" t="s">
        <v>79</v>
      </c>
      <c r="D24" t="s">
        <v>74</v>
      </c>
      <c r="E24" t="s">
        <v>75</v>
      </c>
      <c r="F24" t="s">
        <v>100</v>
      </c>
      <c r="G24" t="s">
        <v>107</v>
      </c>
      <c r="H24" t="s">
        <v>106</v>
      </c>
      <c r="I24">
        <v>5</v>
      </c>
      <c r="J24">
        <v>5</v>
      </c>
      <c r="K24">
        <v>5</v>
      </c>
      <c r="L24">
        <v>5</v>
      </c>
      <c r="M24">
        <v>5</v>
      </c>
      <c r="N24">
        <v>5</v>
      </c>
      <c r="O24">
        <v>5</v>
      </c>
      <c r="P24">
        <v>5</v>
      </c>
      <c r="Q24">
        <v>5</v>
      </c>
    </row>
    <row r="25" spans="1:17" x14ac:dyDescent="0.45">
      <c r="A25" s="19">
        <v>46017.484027777777</v>
      </c>
      <c r="B25" t="s">
        <v>72</v>
      </c>
      <c r="C25" t="s">
        <v>73</v>
      </c>
      <c r="D25" t="s">
        <v>80</v>
      </c>
      <c r="E25" t="s">
        <v>77</v>
      </c>
      <c r="F25" t="s">
        <v>100</v>
      </c>
      <c r="G25" t="s">
        <v>101</v>
      </c>
      <c r="H25" t="s">
        <v>105</v>
      </c>
      <c r="I25">
        <v>9</v>
      </c>
      <c r="J25">
        <v>8</v>
      </c>
      <c r="K25">
        <v>6</v>
      </c>
      <c r="L25">
        <v>9</v>
      </c>
      <c r="M25">
        <v>8</v>
      </c>
      <c r="N25">
        <v>10</v>
      </c>
      <c r="O25">
        <v>6</v>
      </c>
      <c r="P25">
        <v>6</v>
      </c>
      <c r="Q25">
        <v>8</v>
      </c>
    </row>
    <row r="26" spans="1:17" x14ac:dyDescent="0.45">
      <c r="A26" s="19">
        <v>46017.486111111109</v>
      </c>
      <c r="B26" t="s">
        <v>78</v>
      </c>
      <c r="C26" t="s">
        <v>73</v>
      </c>
      <c r="D26" t="s">
        <v>74</v>
      </c>
      <c r="E26" t="s">
        <v>75</v>
      </c>
      <c r="F26" t="s">
        <v>100</v>
      </c>
      <c r="G26" t="s">
        <v>109</v>
      </c>
      <c r="H26" t="s">
        <v>102</v>
      </c>
      <c r="I26">
        <v>6</v>
      </c>
      <c r="J26">
        <v>7</v>
      </c>
      <c r="K26">
        <v>5</v>
      </c>
      <c r="L26">
        <v>6</v>
      </c>
      <c r="M26">
        <v>7</v>
      </c>
      <c r="N26">
        <v>7</v>
      </c>
      <c r="O26">
        <v>3</v>
      </c>
      <c r="P26">
        <v>3</v>
      </c>
      <c r="Q26">
        <v>5</v>
      </c>
    </row>
    <row r="27" spans="1:17" x14ac:dyDescent="0.45">
      <c r="A27" s="19">
        <v>46017.489583333336</v>
      </c>
      <c r="B27" t="s">
        <v>78</v>
      </c>
      <c r="C27" t="s">
        <v>73</v>
      </c>
      <c r="D27" t="s">
        <v>74</v>
      </c>
      <c r="E27" t="s">
        <v>75</v>
      </c>
      <c r="F27" t="s">
        <v>100</v>
      </c>
      <c r="G27" t="s">
        <v>194</v>
      </c>
      <c r="H27" t="s">
        <v>195</v>
      </c>
      <c r="I27">
        <v>10</v>
      </c>
      <c r="J27">
        <v>10</v>
      </c>
      <c r="K27">
        <v>10</v>
      </c>
      <c r="L27">
        <v>6</v>
      </c>
      <c r="M27">
        <v>6</v>
      </c>
      <c r="N27">
        <v>10</v>
      </c>
      <c r="O27">
        <v>1</v>
      </c>
      <c r="P27">
        <v>4</v>
      </c>
      <c r="Q27">
        <v>10</v>
      </c>
    </row>
    <row r="28" spans="1:17" x14ac:dyDescent="0.45">
      <c r="A28" s="19">
        <v>46017.504166666666</v>
      </c>
      <c r="B28" t="s">
        <v>78</v>
      </c>
      <c r="C28" t="s">
        <v>189</v>
      </c>
      <c r="D28" t="s">
        <v>74</v>
      </c>
      <c r="E28" t="s">
        <v>77</v>
      </c>
      <c r="F28" t="s">
        <v>100</v>
      </c>
      <c r="G28" t="s">
        <v>194</v>
      </c>
      <c r="H28" t="s">
        <v>110</v>
      </c>
      <c r="I28">
        <v>1</v>
      </c>
      <c r="J28">
        <v>1</v>
      </c>
      <c r="K28">
        <v>1</v>
      </c>
      <c r="L28">
        <v>1</v>
      </c>
      <c r="M28">
        <v>1</v>
      </c>
      <c r="N28">
        <v>1</v>
      </c>
      <c r="O28">
        <v>1</v>
      </c>
      <c r="P28">
        <v>1</v>
      </c>
      <c r="Q28">
        <v>1</v>
      </c>
    </row>
    <row r="29" spans="1:17" x14ac:dyDescent="0.45">
      <c r="A29" s="19">
        <v>46017.504166666666</v>
      </c>
      <c r="B29" t="s">
        <v>78</v>
      </c>
      <c r="C29" t="s">
        <v>81</v>
      </c>
      <c r="D29" t="s">
        <v>74</v>
      </c>
      <c r="E29" t="s">
        <v>77</v>
      </c>
      <c r="F29" t="s">
        <v>100</v>
      </c>
      <c r="G29" t="s">
        <v>104</v>
      </c>
      <c r="H29" t="s">
        <v>110</v>
      </c>
      <c r="I29">
        <v>1</v>
      </c>
      <c r="J29">
        <v>1</v>
      </c>
      <c r="K29">
        <v>1</v>
      </c>
      <c r="L29">
        <v>1</v>
      </c>
      <c r="M29">
        <v>1</v>
      </c>
      <c r="N29">
        <v>1</v>
      </c>
      <c r="O29">
        <v>1</v>
      </c>
      <c r="P29">
        <v>1</v>
      </c>
      <c r="Q29">
        <v>1</v>
      </c>
    </row>
    <row r="30" spans="1:17" x14ac:dyDescent="0.45">
      <c r="A30" s="19">
        <v>46017.504861111112</v>
      </c>
      <c r="B30" t="s">
        <v>72</v>
      </c>
      <c r="C30" t="s">
        <v>189</v>
      </c>
      <c r="D30" t="s">
        <v>74</v>
      </c>
      <c r="E30" t="s">
        <v>77</v>
      </c>
      <c r="F30" t="s">
        <v>100</v>
      </c>
      <c r="G30" t="s">
        <v>104</v>
      </c>
      <c r="H30" t="s">
        <v>110</v>
      </c>
      <c r="I30">
        <v>10</v>
      </c>
      <c r="J30">
        <v>10</v>
      </c>
      <c r="K30">
        <v>9</v>
      </c>
      <c r="L30">
        <v>10</v>
      </c>
      <c r="M30">
        <v>10</v>
      </c>
      <c r="N30">
        <v>9</v>
      </c>
      <c r="O30">
        <v>10</v>
      </c>
      <c r="P30">
        <v>10</v>
      </c>
      <c r="Q30">
        <v>10</v>
      </c>
    </row>
    <row r="31" spans="1:17" x14ac:dyDescent="0.45">
      <c r="A31" s="19">
        <v>46017.504861111112</v>
      </c>
      <c r="B31" t="s">
        <v>72</v>
      </c>
      <c r="C31" t="s">
        <v>189</v>
      </c>
      <c r="D31" t="s">
        <v>74</v>
      </c>
      <c r="E31" t="s">
        <v>77</v>
      </c>
      <c r="F31" t="s">
        <v>100</v>
      </c>
      <c r="G31" t="s">
        <v>104</v>
      </c>
      <c r="H31" t="s">
        <v>110</v>
      </c>
      <c r="I31">
        <v>10</v>
      </c>
      <c r="J31">
        <v>10</v>
      </c>
      <c r="K31">
        <v>9</v>
      </c>
      <c r="L31">
        <v>10</v>
      </c>
      <c r="M31">
        <v>10</v>
      </c>
      <c r="N31">
        <v>10</v>
      </c>
      <c r="O31">
        <v>10</v>
      </c>
      <c r="P31">
        <v>10</v>
      </c>
      <c r="Q31">
        <v>10</v>
      </c>
    </row>
    <row r="32" spans="1:17" x14ac:dyDescent="0.45">
      <c r="A32" s="19">
        <v>46017.504861111112</v>
      </c>
      <c r="B32" t="s">
        <v>72</v>
      </c>
      <c r="C32" t="s">
        <v>81</v>
      </c>
      <c r="D32" t="s">
        <v>74</v>
      </c>
      <c r="E32" t="s">
        <v>77</v>
      </c>
      <c r="F32" t="s">
        <v>100</v>
      </c>
      <c r="G32" t="s">
        <v>101</v>
      </c>
      <c r="H32" t="s">
        <v>110</v>
      </c>
      <c r="I32">
        <v>10</v>
      </c>
      <c r="J32">
        <v>7</v>
      </c>
      <c r="K32">
        <v>10</v>
      </c>
      <c r="L32">
        <v>7</v>
      </c>
      <c r="M32">
        <v>10</v>
      </c>
      <c r="N32">
        <v>10</v>
      </c>
      <c r="O32">
        <v>3</v>
      </c>
      <c r="P32">
        <v>5</v>
      </c>
      <c r="Q32">
        <v>8</v>
      </c>
    </row>
    <row r="33" spans="1:17" x14ac:dyDescent="0.45">
      <c r="A33" s="19">
        <v>46017.505555555559</v>
      </c>
      <c r="B33" t="s">
        <v>72</v>
      </c>
      <c r="C33" t="s">
        <v>189</v>
      </c>
      <c r="D33" t="s">
        <v>74</v>
      </c>
      <c r="E33" t="s">
        <v>77</v>
      </c>
      <c r="F33" t="s">
        <v>100</v>
      </c>
      <c r="G33" t="s">
        <v>101</v>
      </c>
      <c r="H33" t="s">
        <v>110</v>
      </c>
      <c r="I33">
        <v>5</v>
      </c>
      <c r="J33">
        <v>5</v>
      </c>
      <c r="K33">
        <v>5</v>
      </c>
      <c r="L33">
        <v>5</v>
      </c>
      <c r="M33">
        <v>5</v>
      </c>
      <c r="N33">
        <v>5</v>
      </c>
      <c r="O33">
        <v>5</v>
      </c>
      <c r="P33">
        <v>5</v>
      </c>
      <c r="Q33">
        <v>5</v>
      </c>
    </row>
    <row r="34" spans="1:17" x14ac:dyDescent="0.45">
      <c r="A34" s="19">
        <v>46017.505555555559</v>
      </c>
      <c r="B34" t="s">
        <v>72</v>
      </c>
      <c r="C34" t="s">
        <v>81</v>
      </c>
      <c r="D34" t="s">
        <v>74</v>
      </c>
      <c r="E34" t="s">
        <v>77</v>
      </c>
      <c r="F34" t="s">
        <v>100</v>
      </c>
      <c r="G34" t="s">
        <v>101</v>
      </c>
      <c r="H34" t="s">
        <v>110</v>
      </c>
      <c r="I34">
        <v>8</v>
      </c>
      <c r="J34">
        <v>9</v>
      </c>
      <c r="K34">
        <v>7</v>
      </c>
      <c r="L34">
        <v>8</v>
      </c>
      <c r="M34">
        <v>8</v>
      </c>
      <c r="N34">
        <v>8</v>
      </c>
      <c r="O34">
        <v>3</v>
      </c>
      <c r="P34">
        <v>6</v>
      </c>
      <c r="Q34">
        <v>7</v>
      </c>
    </row>
    <row r="35" spans="1:17" x14ac:dyDescent="0.45">
      <c r="A35" s="19">
        <v>46017.505555555559</v>
      </c>
      <c r="B35" t="s">
        <v>78</v>
      </c>
      <c r="C35" t="s">
        <v>81</v>
      </c>
      <c r="D35" t="s">
        <v>74</v>
      </c>
      <c r="E35" t="s">
        <v>77</v>
      </c>
      <c r="F35" t="s">
        <v>100</v>
      </c>
      <c r="G35" t="s">
        <v>104</v>
      </c>
      <c r="H35" t="s">
        <v>102</v>
      </c>
      <c r="I35">
        <v>10</v>
      </c>
      <c r="J35">
        <v>10</v>
      </c>
      <c r="K35">
        <v>10</v>
      </c>
      <c r="L35">
        <v>10</v>
      </c>
      <c r="M35">
        <v>10</v>
      </c>
      <c r="N35">
        <v>10</v>
      </c>
      <c r="O35">
        <v>10</v>
      </c>
      <c r="P35">
        <v>10</v>
      </c>
      <c r="Q35">
        <v>10</v>
      </c>
    </row>
    <row r="36" spans="1:17" x14ac:dyDescent="0.45">
      <c r="A36" s="19">
        <v>46017.509722222225</v>
      </c>
      <c r="B36" t="s">
        <v>72</v>
      </c>
      <c r="C36" t="s">
        <v>73</v>
      </c>
      <c r="D36" t="s">
        <v>74</v>
      </c>
      <c r="E36" t="s">
        <v>190</v>
      </c>
      <c r="F36" t="s">
        <v>100</v>
      </c>
      <c r="G36" t="s">
        <v>104</v>
      </c>
      <c r="H36" t="s">
        <v>106</v>
      </c>
      <c r="I36">
        <v>10</v>
      </c>
      <c r="J36">
        <v>10</v>
      </c>
      <c r="K36">
        <v>10</v>
      </c>
      <c r="L36">
        <v>10</v>
      </c>
      <c r="M36">
        <v>10</v>
      </c>
      <c r="N36">
        <v>10</v>
      </c>
      <c r="O36">
        <v>10</v>
      </c>
      <c r="P36">
        <v>10</v>
      </c>
      <c r="Q36">
        <v>10</v>
      </c>
    </row>
    <row r="37" spans="1:17" x14ac:dyDescent="0.45">
      <c r="A37" s="19">
        <v>46017.510416666664</v>
      </c>
      <c r="B37" t="s">
        <v>72</v>
      </c>
      <c r="C37" t="s">
        <v>189</v>
      </c>
      <c r="D37" t="s">
        <v>74</v>
      </c>
      <c r="E37" t="s">
        <v>77</v>
      </c>
      <c r="F37" t="s">
        <v>100</v>
      </c>
      <c r="G37" t="s">
        <v>104</v>
      </c>
      <c r="H37" t="s">
        <v>110</v>
      </c>
      <c r="I37">
        <v>10</v>
      </c>
      <c r="J37">
        <v>9</v>
      </c>
      <c r="K37">
        <v>10</v>
      </c>
      <c r="L37">
        <v>8</v>
      </c>
      <c r="M37">
        <v>10</v>
      </c>
      <c r="N37">
        <v>9</v>
      </c>
      <c r="O37">
        <v>10</v>
      </c>
      <c r="P37">
        <v>10</v>
      </c>
      <c r="Q37">
        <v>10</v>
      </c>
    </row>
    <row r="38" spans="1:17" x14ac:dyDescent="0.45">
      <c r="A38" s="19">
        <v>46017.511111111111</v>
      </c>
      <c r="B38" t="s">
        <v>78</v>
      </c>
      <c r="C38" t="s">
        <v>189</v>
      </c>
      <c r="D38" t="s">
        <v>74</v>
      </c>
      <c r="E38" t="s">
        <v>77</v>
      </c>
      <c r="F38" t="s">
        <v>100</v>
      </c>
      <c r="G38" t="s">
        <v>104</v>
      </c>
      <c r="H38" t="s">
        <v>110</v>
      </c>
      <c r="I38">
        <v>10</v>
      </c>
      <c r="J38">
        <v>10</v>
      </c>
      <c r="K38">
        <v>10</v>
      </c>
      <c r="L38">
        <v>10</v>
      </c>
      <c r="M38">
        <v>9</v>
      </c>
      <c r="N38">
        <v>9</v>
      </c>
      <c r="O38">
        <v>9</v>
      </c>
      <c r="P38">
        <v>9</v>
      </c>
      <c r="Q38">
        <v>8</v>
      </c>
    </row>
    <row r="39" spans="1:17" x14ac:dyDescent="0.45">
      <c r="A39" s="19">
        <v>46017.511111111111</v>
      </c>
      <c r="B39" t="s">
        <v>72</v>
      </c>
      <c r="C39" t="s">
        <v>73</v>
      </c>
      <c r="D39" t="s">
        <v>74</v>
      </c>
      <c r="E39" t="s">
        <v>77</v>
      </c>
      <c r="F39" t="s">
        <v>100</v>
      </c>
      <c r="G39" t="s">
        <v>109</v>
      </c>
      <c r="H39" t="s">
        <v>102</v>
      </c>
      <c r="I39">
        <v>8</v>
      </c>
      <c r="J39">
        <v>8</v>
      </c>
      <c r="K39">
        <v>8</v>
      </c>
      <c r="L39">
        <v>8</v>
      </c>
      <c r="M39">
        <v>8</v>
      </c>
      <c r="N39">
        <v>8</v>
      </c>
      <c r="O39">
        <v>8</v>
      </c>
      <c r="P39">
        <v>8</v>
      </c>
      <c r="Q39">
        <v>8</v>
      </c>
    </row>
    <row r="40" spans="1:17" x14ac:dyDescent="0.45">
      <c r="A40" s="19">
        <v>46017.511111111111</v>
      </c>
      <c r="B40" t="s">
        <v>78</v>
      </c>
      <c r="C40" t="s">
        <v>81</v>
      </c>
      <c r="D40" t="s">
        <v>74</v>
      </c>
      <c r="E40" t="s">
        <v>77</v>
      </c>
      <c r="F40" t="s">
        <v>100</v>
      </c>
      <c r="G40" t="s">
        <v>104</v>
      </c>
      <c r="H40" t="s">
        <v>110</v>
      </c>
      <c r="I40">
        <v>10</v>
      </c>
      <c r="J40">
        <v>10</v>
      </c>
      <c r="K40">
        <v>10</v>
      </c>
      <c r="L40">
        <v>10</v>
      </c>
      <c r="M40">
        <v>10</v>
      </c>
      <c r="N40">
        <v>10</v>
      </c>
      <c r="O40">
        <v>10</v>
      </c>
      <c r="P40">
        <v>10</v>
      </c>
      <c r="Q40">
        <v>10</v>
      </c>
    </row>
    <row r="41" spans="1:17" x14ac:dyDescent="0.45">
      <c r="A41" s="19">
        <v>46017.511111111111</v>
      </c>
      <c r="B41" t="s">
        <v>78</v>
      </c>
      <c r="C41" t="s">
        <v>73</v>
      </c>
      <c r="D41" t="s">
        <v>74</v>
      </c>
      <c r="E41" t="s">
        <v>77</v>
      </c>
      <c r="F41" t="s">
        <v>100</v>
      </c>
      <c r="G41" t="s">
        <v>108</v>
      </c>
      <c r="H41" t="s">
        <v>102</v>
      </c>
      <c r="I41">
        <v>8</v>
      </c>
      <c r="J41">
        <v>8</v>
      </c>
      <c r="K41">
        <v>6</v>
      </c>
      <c r="L41">
        <v>8</v>
      </c>
      <c r="M41">
        <v>7</v>
      </c>
      <c r="N41">
        <v>8</v>
      </c>
      <c r="O41">
        <v>5</v>
      </c>
      <c r="P41">
        <v>6</v>
      </c>
      <c r="Q41">
        <v>7</v>
      </c>
    </row>
    <row r="42" spans="1:17" x14ac:dyDescent="0.45">
      <c r="A42" s="19">
        <v>46017.511805555558</v>
      </c>
      <c r="B42" t="s">
        <v>78</v>
      </c>
      <c r="C42" t="s">
        <v>73</v>
      </c>
      <c r="D42" t="s">
        <v>74</v>
      </c>
      <c r="E42" t="s">
        <v>77</v>
      </c>
      <c r="F42" t="s">
        <v>100</v>
      </c>
      <c r="G42" t="s">
        <v>107</v>
      </c>
      <c r="H42" t="s">
        <v>105</v>
      </c>
      <c r="I42">
        <v>9</v>
      </c>
      <c r="J42">
        <v>8</v>
      </c>
      <c r="K42">
        <v>7</v>
      </c>
      <c r="L42">
        <v>8</v>
      </c>
      <c r="M42">
        <v>7</v>
      </c>
      <c r="N42">
        <v>4</v>
      </c>
      <c r="O42">
        <v>2</v>
      </c>
      <c r="P42">
        <v>8</v>
      </c>
      <c r="Q42">
        <v>8</v>
      </c>
    </row>
    <row r="43" spans="1:17" x14ac:dyDescent="0.45">
      <c r="A43" s="19">
        <v>46017.513194444444</v>
      </c>
      <c r="B43" t="s">
        <v>72</v>
      </c>
      <c r="C43" t="s">
        <v>73</v>
      </c>
      <c r="D43" t="s">
        <v>74</v>
      </c>
      <c r="E43" t="s">
        <v>77</v>
      </c>
      <c r="F43" t="s">
        <v>100</v>
      </c>
      <c r="G43" t="s">
        <v>109</v>
      </c>
      <c r="H43" t="s">
        <v>106</v>
      </c>
      <c r="I43">
        <v>10</v>
      </c>
      <c r="J43">
        <v>10</v>
      </c>
      <c r="K43">
        <v>9</v>
      </c>
      <c r="L43">
        <v>8</v>
      </c>
      <c r="M43">
        <v>7</v>
      </c>
      <c r="N43">
        <v>9</v>
      </c>
      <c r="O43">
        <v>9</v>
      </c>
      <c r="P43">
        <v>8</v>
      </c>
      <c r="Q43">
        <v>8</v>
      </c>
    </row>
    <row r="44" spans="1:17" x14ac:dyDescent="0.45">
      <c r="A44" s="19">
        <v>46017.515277777777</v>
      </c>
      <c r="B44" t="s">
        <v>72</v>
      </c>
      <c r="C44" t="s">
        <v>73</v>
      </c>
      <c r="D44" t="s">
        <v>74</v>
      </c>
      <c r="E44" t="s">
        <v>77</v>
      </c>
      <c r="F44" t="s">
        <v>100</v>
      </c>
      <c r="G44" t="s">
        <v>108</v>
      </c>
      <c r="H44" t="s">
        <v>105</v>
      </c>
      <c r="I44">
        <v>6</v>
      </c>
      <c r="J44">
        <v>6</v>
      </c>
      <c r="K44">
        <v>8</v>
      </c>
      <c r="L44">
        <v>10</v>
      </c>
      <c r="M44">
        <v>9</v>
      </c>
      <c r="N44">
        <v>1</v>
      </c>
      <c r="O44">
        <v>7</v>
      </c>
      <c r="P44">
        <v>7</v>
      </c>
      <c r="Q44">
        <v>8</v>
      </c>
    </row>
    <row r="45" spans="1:17" x14ac:dyDescent="0.45">
      <c r="A45" s="19">
        <v>46017.515972222223</v>
      </c>
      <c r="B45" t="s">
        <v>78</v>
      </c>
      <c r="C45" t="s">
        <v>73</v>
      </c>
      <c r="D45" t="s">
        <v>74</v>
      </c>
      <c r="E45" t="s">
        <v>77</v>
      </c>
      <c r="F45" t="s">
        <v>100</v>
      </c>
      <c r="G45" t="s">
        <v>101</v>
      </c>
      <c r="H45" t="s">
        <v>102</v>
      </c>
      <c r="I45">
        <v>8</v>
      </c>
      <c r="J45">
        <v>8</v>
      </c>
      <c r="K45">
        <v>8</v>
      </c>
      <c r="L45">
        <v>8</v>
      </c>
      <c r="M45">
        <v>8</v>
      </c>
      <c r="N45">
        <v>8</v>
      </c>
      <c r="O45">
        <v>9</v>
      </c>
      <c r="P45">
        <v>5</v>
      </c>
      <c r="Q45">
        <v>9</v>
      </c>
    </row>
    <row r="46" spans="1:17" x14ac:dyDescent="0.45">
      <c r="A46" s="19">
        <v>46017.518750000003</v>
      </c>
      <c r="B46" t="s">
        <v>72</v>
      </c>
      <c r="C46" t="s">
        <v>79</v>
      </c>
      <c r="D46" t="s">
        <v>74</v>
      </c>
      <c r="E46" t="s">
        <v>77</v>
      </c>
      <c r="F46" t="s">
        <v>100</v>
      </c>
      <c r="G46" t="s">
        <v>101</v>
      </c>
      <c r="H46" t="s">
        <v>105</v>
      </c>
      <c r="I46">
        <v>10</v>
      </c>
      <c r="J46">
        <v>10</v>
      </c>
      <c r="K46">
        <v>10</v>
      </c>
      <c r="L46">
        <v>9</v>
      </c>
      <c r="M46">
        <v>10</v>
      </c>
      <c r="N46">
        <v>10</v>
      </c>
      <c r="O46">
        <v>10</v>
      </c>
      <c r="P46">
        <v>10</v>
      </c>
      <c r="Q46">
        <v>10</v>
      </c>
    </row>
    <row r="47" spans="1:17" x14ac:dyDescent="0.45">
      <c r="A47" s="19">
        <v>46017.519444444442</v>
      </c>
      <c r="B47" t="s">
        <v>72</v>
      </c>
      <c r="C47" t="s">
        <v>191</v>
      </c>
      <c r="D47" t="s">
        <v>80</v>
      </c>
      <c r="E47" t="s">
        <v>77</v>
      </c>
      <c r="F47" t="s">
        <v>100</v>
      </c>
      <c r="G47" t="s">
        <v>194</v>
      </c>
      <c r="H47" t="s">
        <v>105</v>
      </c>
      <c r="I47">
        <v>1</v>
      </c>
      <c r="J47">
        <v>1</v>
      </c>
      <c r="K47">
        <v>2</v>
      </c>
      <c r="L47">
        <v>1</v>
      </c>
      <c r="M47">
        <v>1</v>
      </c>
      <c r="N47">
        <v>1</v>
      </c>
      <c r="O47">
        <v>1</v>
      </c>
      <c r="P47">
        <v>1</v>
      </c>
      <c r="Q47">
        <v>1</v>
      </c>
    </row>
    <row r="48" spans="1:17" x14ac:dyDescent="0.45">
      <c r="A48" s="19">
        <v>46017.519444444442</v>
      </c>
      <c r="B48" t="s">
        <v>78</v>
      </c>
      <c r="C48" t="s">
        <v>73</v>
      </c>
      <c r="D48" t="s">
        <v>74</v>
      </c>
      <c r="E48" t="s">
        <v>77</v>
      </c>
      <c r="F48" t="s">
        <v>100</v>
      </c>
      <c r="G48" t="s">
        <v>194</v>
      </c>
      <c r="H48" t="s">
        <v>110</v>
      </c>
      <c r="I48">
        <v>8</v>
      </c>
      <c r="J48">
        <v>8</v>
      </c>
      <c r="K48">
        <v>8</v>
      </c>
      <c r="L48">
        <v>7</v>
      </c>
      <c r="M48">
        <v>6</v>
      </c>
      <c r="N48">
        <v>8</v>
      </c>
      <c r="O48">
        <v>8</v>
      </c>
      <c r="P48">
        <v>9</v>
      </c>
      <c r="Q48">
        <v>8</v>
      </c>
    </row>
    <row r="49" spans="1:17" x14ac:dyDescent="0.45">
      <c r="A49" s="19">
        <v>46017.520138888889</v>
      </c>
      <c r="B49" t="s">
        <v>72</v>
      </c>
      <c r="C49" t="s">
        <v>73</v>
      </c>
      <c r="D49" t="s">
        <v>74</v>
      </c>
      <c r="E49" t="s">
        <v>77</v>
      </c>
      <c r="F49" t="s">
        <v>100</v>
      </c>
      <c r="G49" t="s">
        <v>109</v>
      </c>
      <c r="H49" t="s">
        <v>106</v>
      </c>
      <c r="I49">
        <v>10</v>
      </c>
      <c r="J49">
        <v>10</v>
      </c>
      <c r="K49">
        <v>10</v>
      </c>
      <c r="L49">
        <v>10</v>
      </c>
      <c r="M49">
        <v>10</v>
      </c>
      <c r="N49">
        <v>10</v>
      </c>
      <c r="O49">
        <v>10</v>
      </c>
      <c r="P49">
        <v>10</v>
      </c>
      <c r="Q49">
        <v>10</v>
      </c>
    </row>
    <row r="50" spans="1:17" x14ac:dyDescent="0.45">
      <c r="A50" s="19">
        <v>46017.520138888889</v>
      </c>
      <c r="B50" t="s">
        <v>78</v>
      </c>
      <c r="C50" t="s">
        <v>73</v>
      </c>
      <c r="D50" t="s">
        <v>74</v>
      </c>
      <c r="E50" t="s">
        <v>77</v>
      </c>
      <c r="F50" t="s">
        <v>100</v>
      </c>
      <c r="G50" t="s">
        <v>108</v>
      </c>
      <c r="H50" t="s">
        <v>105</v>
      </c>
      <c r="I50">
        <v>8</v>
      </c>
      <c r="J50">
        <v>8</v>
      </c>
      <c r="K50">
        <v>7</v>
      </c>
      <c r="L50">
        <v>8</v>
      </c>
      <c r="M50">
        <v>6</v>
      </c>
      <c r="N50">
        <v>8</v>
      </c>
      <c r="O50">
        <v>6</v>
      </c>
      <c r="P50">
        <v>5</v>
      </c>
      <c r="Q50">
        <v>8</v>
      </c>
    </row>
    <row r="51" spans="1:17" x14ac:dyDescent="0.45">
      <c r="A51" s="19">
        <v>46017.521527777775</v>
      </c>
      <c r="B51" t="s">
        <v>72</v>
      </c>
      <c r="C51" t="s">
        <v>73</v>
      </c>
      <c r="D51" t="s">
        <v>74</v>
      </c>
      <c r="E51" t="s">
        <v>77</v>
      </c>
      <c r="F51" t="s">
        <v>100</v>
      </c>
      <c r="G51" t="s">
        <v>196</v>
      </c>
      <c r="H51" t="s">
        <v>106</v>
      </c>
      <c r="I51">
        <v>10</v>
      </c>
      <c r="J51">
        <v>10</v>
      </c>
      <c r="K51">
        <v>10</v>
      </c>
      <c r="L51">
        <v>8</v>
      </c>
      <c r="M51">
        <v>8</v>
      </c>
      <c r="N51">
        <v>8</v>
      </c>
      <c r="O51">
        <v>8</v>
      </c>
      <c r="P51">
        <v>8</v>
      </c>
      <c r="Q51">
        <v>8</v>
      </c>
    </row>
    <row r="52" spans="1:17" x14ac:dyDescent="0.45">
      <c r="A52" s="19">
        <v>46017.526388888888</v>
      </c>
      <c r="B52" t="s">
        <v>78</v>
      </c>
      <c r="C52" t="s">
        <v>81</v>
      </c>
      <c r="D52" t="s">
        <v>74</v>
      </c>
      <c r="E52" t="s">
        <v>77</v>
      </c>
      <c r="F52" t="s">
        <v>100</v>
      </c>
      <c r="G52" t="s">
        <v>104</v>
      </c>
      <c r="H52" t="s">
        <v>110</v>
      </c>
      <c r="I52">
        <v>10</v>
      </c>
      <c r="J52">
        <v>10</v>
      </c>
      <c r="K52">
        <v>10</v>
      </c>
      <c r="L52">
        <v>10</v>
      </c>
      <c r="M52">
        <v>10</v>
      </c>
      <c r="N52">
        <v>10</v>
      </c>
      <c r="O52">
        <v>10</v>
      </c>
      <c r="P52">
        <v>10</v>
      </c>
      <c r="Q52">
        <v>10</v>
      </c>
    </row>
    <row r="53" spans="1:17" x14ac:dyDescent="0.45">
      <c r="A53" s="19">
        <v>46017.52847222222</v>
      </c>
      <c r="B53" t="s">
        <v>72</v>
      </c>
      <c r="C53" t="s">
        <v>81</v>
      </c>
      <c r="D53" t="s">
        <v>74</v>
      </c>
      <c r="E53" t="s">
        <v>77</v>
      </c>
      <c r="F53" t="s">
        <v>100</v>
      </c>
      <c r="G53" t="s">
        <v>196</v>
      </c>
      <c r="H53" t="s">
        <v>102</v>
      </c>
      <c r="I53">
        <v>10</v>
      </c>
      <c r="J53">
        <v>10</v>
      </c>
      <c r="K53">
        <v>10</v>
      </c>
      <c r="L53">
        <v>10</v>
      </c>
      <c r="M53">
        <v>10</v>
      </c>
      <c r="N53">
        <v>10</v>
      </c>
      <c r="O53">
        <v>10</v>
      </c>
      <c r="P53">
        <v>10</v>
      </c>
      <c r="Q53">
        <v>8</v>
      </c>
    </row>
    <row r="54" spans="1:17" x14ac:dyDescent="0.45">
      <c r="A54" s="19">
        <v>46017.53125</v>
      </c>
      <c r="B54" t="s">
        <v>78</v>
      </c>
      <c r="C54" t="s">
        <v>81</v>
      </c>
      <c r="D54" t="s">
        <v>74</v>
      </c>
      <c r="E54" t="s">
        <v>75</v>
      </c>
      <c r="F54" t="s">
        <v>100</v>
      </c>
      <c r="G54" t="s">
        <v>104</v>
      </c>
      <c r="H54" t="s">
        <v>105</v>
      </c>
      <c r="I54">
        <v>10</v>
      </c>
      <c r="J54">
        <v>10</v>
      </c>
      <c r="K54">
        <v>10</v>
      </c>
      <c r="L54">
        <v>10</v>
      </c>
      <c r="M54">
        <v>10</v>
      </c>
      <c r="N54">
        <v>10</v>
      </c>
      <c r="O54">
        <v>10</v>
      </c>
      <c r="P54">
        <v>10</v>
      </c>
      <c r="Q54">
        <v>10</v>
      </c>
    </row>
    <row r="55" spans="1:17" x14ac:dyDescent="0.45">
      <c r="A55" s="19">
        <v>46017.53125</v>
      </c>
      <c r="B55" t="s">
        <v>72</v>
      </c>
      <c r="C55" t="s">
        <v>79</v>
      </c>
      <c r="D55" t="s">
        <v>74</v>
      </c>
      <c r="E55" t="s">
        <v>77</v>
      </c>
      <c r="F55" t="s">
        <v>100</v>
      </c>
      <c r="G55" t="s">
        <v>109</v>
      </c>
      <c r="H55" t="s">
        <v>105</v>
      </c>
      <c r="I55">
        <v>8</v>
      </c>
      <c r="J55">
        <v>7</v>
      </c>
      <c r="K55">
        <v>7</v>
      </c>
      <c r="L55">
        <v>8</v>
      </c>
      <c r="M55">
        <v>7</v>
      </c>
      <c r="N55">
        <v>8</v>
      </c>
      <c r="O55">
        <v>7</v>
      </c>
      <c r="P55">
        <v>7</v>
      </c>
      <c r="Q55">
        <v>8</v>
      </c>
    </row>
    <row r="56" spans="1:17" x14ac:dyDescent="0.45">
      <c r="A56" s="19">
        <v>46017.533333333333</v>
      </c>
      <c r="B56" t="s">
        <v>72</v>
      </c>
      <c r="C56" t="s">
        <v>73</v>
      </c>
      <c r="D56" t="s">
        <v>74</v>
      </c>
      <c r="E56" t="s">
        <v>77</v>
      </c>
      <c r="F56" t="s">
        <v>100</v>
      </c>
      <c r="G56" t="s">
        <v>109</v>
      </c>
      <c r="H56" t="s">
        <v>102</v>
      </c>
      <c r="I56">
        <v>10</v>
      </c>
      <c r="J56">
        <v>9</v>
      </c>
      <c r="K56">
        <v>3</v>
      </c>
      <c r="L56">
        <v>4</v>
      </c>
      <c r="M56">
        <v>3</v>
      </c>
      <c r="N56">
        <v>3</v>
      </c>
      <c r="O56">
        <v>1</v>
      </c>
      <c r="P56">
        <v>1</v>
      </c>
      <c r="Q56">
        <v>3</v>
      </c>
    </row>
    <row r="57" spans="1:17" x14ac:dyDescent="0.45">
      <c r="A57" s="19">
        <v>46017.537499999999</v>
      </c>
      <c r="B57" t="s">
        <v>78</v>
      </c>
      <c r="C57" t="s">
        <v>81</v>
      </c>
      <c r="D57" t="s">
        <v>74</v>
      </c>
      <c r="E57" t="s">
        <v>77</v>
      </c>
      <c r="F57" t="s">
        <v>100</v>
      </c>
      <c r="G57" t="s">
        <v>194</v>
      </c>
      <c r="H57" t="s">
        <v>110</v>
      </c>
      <c r="I57">
        <v>10</v>
      </c>
      <c r="J57">
        <v>10</v>
      </c>
      <c r="K57">
        <v>9</v>
      </c>
      <c r="L57">
        <v>10</v>
      </c>
      <c r="M57">
        <v>9</v>
      </c>
      <c r="N57">
        <v>10</v>
      </c>
      <c r="O57">
        <v>9</v>
      </c>
      <c r="P57">
        <v>10</v>
      </c>
      <c r="Q57">
        <v>9</v>
      </c>
    </row>
    <row r="58" spans="1:17" x14ac:dyDescent="0.45">
      <c r="A58" s="19">
        <v>46017.55972222222</v>
      </c>
      <c r="B58" t="s">
        <v>72</v>
      </c>
      <c r="C58" t="s">
        <v>73</v>
      </c>
      <c r="D58" t="s">
        <v>74</v>
      </c>
      <c r="E58" t="s">
        <v>77</v>
      </c>
      <c r="F58" t="s">
        <v>100</v>
      </c>
      <c r="G58" t="s">
        <v>104</v>
      </c>
      <c r="H58" t="s">
        <v>105</v>
      </c>
      <c r="I58">
        <v>10</v>
      </c>
      <c r="J58">
        <v>10</v>
      </c>
      <c r="K58">
        <v>1</v>
      </c>
      <c r="L58">
        <v>5</v>
      </c>
      <c r="M58">
        <v>7</v>
      </c>
      <c r="N58">
        <v>10</v>
      </c>
      <c r="O58">
        <v>9</v>
      </c>
      <c r="P58">
        <v>9</v>
      </c>
      <c r="Q58">
        <v>10</v>
      </c>
    </row>
    <row r="59" spans="1:17" x14ac:dyDescent="0.45">
      <c r="A59" s="19">
        <v>46017.580555555556</v>
      </c>
      <c r="B59" t="s">
        <v>72</v>
      </c>
      <c r="C59" t="s">
        <v>79</v>
      </c>
      <c r="D59" t="s">
        <v>74</v>
      </c>
      <c r="E59" t="s">
        <v>75</v>
      </c>
      <c r="F59" t="s">
        <v>100</v>
      </c>
      <c r="G59" t="s">
        <v>101</v>
      </c>
      <c r="H59" t="s">
        <v>102</v>
      </c>
      <c r="I59">
        <v>5</v>
      </c>
      <c r="J59">
        <v>5</v>
      </c>
      <c r="K59">
        <v>4</v>
      </c>
      <c r="L59">
        <v>8</v>
      </c>
      <c r="M59">
        <v>5</v>
      </c>
      <c r="N59">
        <v>7</v>
      </c>
      <c r="O59">
        <v>7</v>
      </c>
      <c r="P59">
        <v>7</v>
      </c>
      <c r="Q59">
        <v>7</v>
      </c>
    </row>
    <row r="60" spans="1:17" x14ac:dyDescent="0.45">
      <c r="A60" s="19">
        <v>46017.626388888886</v>
      </c>
      <c r="B60" t="s">
        <v>72</v>
      </c>
      <c r="C60" t="s">
        <v>189</v>
      </c>
      <c r="D60" t="s">
        <v>74</v>
      </c>
      <c r="E60" t="s">
        <v>77</v>
      </c>
      <c r="F60" t="s">
        <v>103</v>
      </c>
      <c r="G60" t="s">
        <v>194</v>
      </c>
      <c r="H60" t="s">
        <v>110</v>
      </c>
      <c r="I60">
        <v>9</v>
      </c>
      <c r="J60">
        <v>9</v>
      </c>
      <c r="K60">
        <v>9</v>
      </c>
      <c r="L60">
        <v>7</v>
      </c>
      <c r="M60">
        <v>7</v>
      </c>
      <c r="N60">
        <v>8</v>
      </c>
      <c r="O60">
        <v>8</v>
      </c>
      <c r="P60">
        <v>6</v>
      </c>
      <c r="Q60">
        <v>5</v>
      </c>
    </row>
    <row r="61" spans="1:17" x14ac:dyDescent="0.45">
      <c r="A61" s="19">
        <v>46017.688194444447</v>
      </c>
      <c r="B61" t="s">
        <v>78</v>
      </c>
      <c r="C61" t="s">
        <v>81</v>
      </c>
      <c r="D61" t="s">
        <v>74</v>
      </c>
      <c r="E61" t="s">
        <v>77</v>
      </c>
      <c r="F61" t="s">
        <v>100</v>
      </c>
      <c r="G61" t="s">
        <v>104</v>
      </c>
      <c r="H61" t="s">
        <v>110</v>
      </c>
      <c r="I61">
        <v>5</v>
      </c>
      <c r="J61">
        <v>5</v>
      </c>
      <c r="K61">
        <v>5</v>
      </c>
      <c r="L61">
        <v>5</v>
      </c>
      <c r="M61">
        <v>5</v>
      </c>
      <c r="N61">
        <v>8</v>
      </c>
      <c r="O61">
        <v>4</v>
      </c>
      <c r="P61">
        <v>5</v>
      </c>
      <c r="Q61">
        <v>5</v>
      </c>
    </row>
    <row r="62" spans="1:17" x14ac:dyDescent="0.45">
      <c r="A62" s="19">
        <v>46017.698611111111</v>
      </c>
      <c r="B62" t="s">
        <v>72</v>
      </c>
      <c r="C62" t="s">
        <v>73</v>
      </c>
      <c r="D62" t="s">
        <v>74</v>
      </c>
      <c r="E62" t="s">
        <v>75</v>
      </c>
      <c r="F62" t="s">
        <v>100</v>
      </c>
      <c r="G62" t="s">
        <v>196</v>
      </c>
      <c r="H62" t="s">
        <v>102</v>
      </c>
      <c r="I62">
        <v>8</v>
      </c>
      <c r="J62">
        <v>9</v>
      </c>
      <c r="K62">
        <v>9</v>
      </c>
      <c r="L62">
        <v>9</v>
      </c>
      <c r="M62">
        <v>9</v>
      </c>
      <c r="N62">
        <v>8</v>
      </c>
      <c r="O62">
        <v>8</v>
      </c>
      <c r="P62">
        <v>8</v>
      </c>
      <c r="Q62">
        <v>9</v>
      </c>
    </row>
    <row r="63" spans="1:17" x14ac:dyDescent="0.45">
      <c r="A63" s="19">
        <v>46017.711111111108</v>
      </c>
      <c r="B63" t="s">
        <v>72</v>
      </c>
      <c r="C63" t="s">
        <v>81</v>
      </c>
      <c r="D63" t="s">
        <v>74</v>
      </c>
      <c r="E63" t="s">
        <v>75</v>
      </c>
      <c r="F63" t="s">
        <v>100</v>
      </c>
      <c r="G63" t="s">
        <v>101</v>
      </c>
      <c r="H63" t="s">
        <v>110</v>
      </c>
      <c r="I63">
        <v>9</v>
      </c>
      <c r="J63">
        <v>9</v>
      </c>
      <c r="K63">
        <v>7</v>
      </c>
      <c r="L63">
        <v>6</v>
      </c>
      <c r="M63">
        <v>7</v>
      </c>
      <c r="N63">
        <v>5</v>
      </c>
      <c r="O63">
        <v>6</v>
      </c>
      <c r="P63">
        <v>8</v>
      </c>
      <c r="Q63">
        <v>5</v>
      </c>
    </row>
    <row r="64" spans="1:17" x14ac:dyDescent="0.45">
      <c r="A64" s="19">
        <v>46017.80972222222</v>
      </c>
      <c r="B64" t="s">
        <v>72</v>
      </c>
      <c r="C64" t="s">
        <v>191</v>
      </c>
      <c r="D64" t="s">
        <v>80</v>
      </c>
      <c r="E64" t="s">
        <v>77</v>
      </c>
      <c r="F64" t="s">
        <v>100</v>
      </c>
      <c r="G64" t="s">
        <v>196</v>
      </c>
      <c r="H64" t="s">
        <v>102</v>
      </c>
      <c r="I64">
        <v>9</v>
      </c>
      <c r="J64">
        <v>9</v>
      </c>
      <c r="K64">
        <v>9</v>
      </c>
      <c r="L64">
        <v>9</v>
      </c>
      <c r="M64">
        <v>8</v>
      </c>
      <c r="N64">
        <v>9</v>
      </c>
      <c r="O64">
        <v>9</v>
      </c>
      <c r="P64">
        <v>8</v>
      </c>
      <c r="Q64">
        <v>7</v>
      </c>
    </row>
    <row r="65" spans="1:17" x14ac:dyDescent="0.45">
      <c r="A65" s="19">
        <v>46018.36041666667</v>
      </c>
      <c r="B65" t="s">
        <v>72</v>
      </c>
      <c r="C65" t="s">
        <v>73</v>
      </c>
      <c r="D65" t="s">
        <v>74</v>
      </c>
      <c r="E65" t="s">
        <v>77</v>
      </c>
      <c r="F65" t="s">
        <v>103</v>
      </c>
      <c r="G65" t="s">
        <v>108</v>
      </c>
      <c r="H65" t="s">
        <v>105</v>
      </c>
      <c r="I65">
        <v>9</v>
      </c>
      <c r="J65">
        <v>10</v>
      </c>
      <c r="K65">
        <v>9</v>
      </c>
      <c r="L65">
        <v>10</v>
      </c>
      <c r="M65">
        <v>10</v>
      </c>
      <c r="N65">
        <v>5</v>
      </c>
      <c r="O65">
        <v>10</v>
      </c>
      <c r="P65">
        <v>7</v>
      </c>
      <c r="Q65">
        <v>9</v>
      </c>
    </row>
    <row r="66" spans="1:17" x14ac:dyDescent="0.45">
      <c r="A66" s="19">
        <v>46019.6</v>
      </c>
      <c r="B66" t="s">
        <v>72</v>
      </c>
      <c r="C66" t="s">
        <v>79</v>
      </c>
      <c r="D66" t="s">
        <v>80</v>
      </c>
      <c r="E66" t="s">
        <v>77</v>
      </c>
      <c r="F66" t="s">
        <v>100</v>
      </c>
      <c r="G66" t="s">
        <v>194</v>
      </c>
      <c r="H66" t="s">
        <v>105</v>
      </c>
      <c r="I66">
        <v>10</v>
      </c>
      <c r="J66">
        <v>10</v>
      </c>
      <c r="K66">
        <v>10</v>
      </c>
      <c r="L66">
        <v>10</v>
      </c>
      <c r="M66">
        <v>10</v>
      </c>
      <c r="N66">
        <v>10</v>
      </c>
      <c r="O66">
        <v>10</v>
      </c>
      <c r="P66">
        <v>10</v>
      </c>
      <c r="Q66">
        <v>10</v>
      </c>
    </row>
    <row r="67" spans="1:17" x14ac:dyDescent="0.45">
      <c r="A67" s="19">
        <v>46019.604166666664</v>
      </c>
      <c r="B67" t="s">
        <v>72</v>
      </c>
      <c r="C67" t="s">
        <v>81</v>
      </c>
      <c r="D67" t="s">
        <v>74</v>
      </c>
      <c r="E67" t="s">
        <v>190</v>
      </c>
      <c r="F67" t="s">
        <v>100</v>
      </c>
      <c r="G67" t="s">
        <v>104</v>
      </c>
      <c r="H67" t="s">
        <v>110</v>
      </c>
      <c r="I67">
        <v>7</v>
      </c>
      <c r="J67">
        <v>5</v>
      </c>
      <c r="K67">
        <v>3</v>
      </c>
      <c r="L67">
        <v>5</v>
      </c>
      <c r="M67">
        <v>4</v>
      </c>
      <c r="N67">
        <v>3</v>
      </c>
      <c r="O67">
        <v>5</v>
      </c>
      <c r="P67">
        <v>6</v>
      </c>
      <c r="Q67">
        <v>6</v>
      </c>
    </row>
    <row r="68" spans="1:17" x14ac:dyDescent="0.45">
      <c r="A68" s="19">
        <v>46019.626388888886</v>
      </c>
      <c r="B68" t="s">
        <v>78</v>
      </c>
      <c r="C68" t="s">
        <v>79</v>
      </c>
      <c r="D68" t="s">
        <v>74</v>
      </c>
      <c r="E68" t="s">
        <v>75</v>
      </c>
      <c r="F68" t="s">
        <v>100</v>
      </c>
      <c r="G68" t="s">
        <v>107</v>
      </c>
      <c r="H68" t="s">
        <v>105</v>
      </c>
      <c r="I68">
        <v>5</v>
      </c>
      <c r="J68">
        <v>5</v>
      </c>
      <c r="K68">
        <v>4</v>
      </c>
      <c r="L68">
        <v>4</v>
      </c>
      <c r="M68">
        <v>2</v>
      </c>
      <c r="N68">
        <v>3</v>
      </c>
      <c r="O68">
        <v>2</v>
      </c>
      <c r="P68">
        <v>3</v>
      </c>
      <c r="Q68">
        <v>3</v>
      </c>
    </row>
    <row r="69" spans="1:17" x14ac:dyDescent="0.45">
      <c r="A69" s="19">
        <v>46019.645833333336</v>
      </c>
      <c r="B69" t="s">
        <v>72</v>
      </c>
      <c r="C69" t="s">
        <v>79</v>
      </c>
      <c r="D69" t="s">
        <v>74</v>
      </c>
      <c r="E69" t="s">
        <v>77</v>
      </c>
      <c r="F69" t="s">
        <v>100</v>
      </c>
      <c r="G69" t="s">
        <v>111</v>
      </c>
      <c r="H69" t="s">
        <v>105</v>
      </c>
      <c r="I69">
        <v>4</v>
      </c>
      <c r="J69">
        <v>3</v>
      </c>
      <c r="K69">
        <v>1</v>
      </c>
      <c r="L69">
        <v>5</v>
      </c>
      <c r="M69">
        <v>4</v>
      </c>
      <c r="N69">
        <v>3</v>
      </c>
      <c r="O69">
        <v>1</v>
      </c>
      <c r="P69">
        <v>3</v>
      </c>
      <c r="Q69">
        <v>5</v>
      </c>
    </row>
    <row r="70" spans="1:17" x14ac:dyDescent="0.45">
      <c r="A70" s="19">
        <v>46019.647916666669</v>
      </c>
      <c r="B70" t="s">
        <v>78</v>
      </c>
      <c r="C70" t="s">
        <v>81</v>
      </c>
      <c r="D70" t="s">
        <v>74</v>
      </c>
      <c r="E70" t="s">
        <v>77</v>
      </c>
      <c r="F70" t="s">
        <v>100</v>
      </c>
      <c r="G70" t="s">
        <v>196</v>
      </c>
      <c r="H70" t="s">
        <v>110</v>
      </c>
      <c r="I70">
        <v>7</v>
      </c>
      <c r="J70">
        <v>7</v>
      </c>
      <c r="K70">
        <v>8</v>
      </c>
      <c r="L70">
        <v>9</v>
      </c>
      <c r="M70">
        <v>8</v>
      </c>
      <c r="N70">
        <v>10</v>
      </c>
      <c r="O70">
        <v>9</v>
      </c>
      <c r="P70">
        <v>9</v>
      </c>
      <c r="Q70">
        <v>9</v>
      </c>
    </row>
    <row r="71" spans="1:17" x14ac:dyDescent="0.45">
      <c r="A71" s="19">
        <v>46019.648611111108</v>
      </c>
      <c r="B71" t="s">
        <v>78</v>
      </c>
      <c r="C71" t="s">
        <v>79</v>
      </c>
      <c r="D71" t="s">
        <v>74</v>
      </c>
      <c r="E71" t="s">
        <v>75</v>
      </c>
      <c r="F71" t="s">
        <v>103</v>
      </c>
      <c r="G71" t="s">
        <v>108</v>
      </c>
      <c r="H71" t="s">
        <v>102</v>
      </c>
      <c r="I71">
        <v>6</v>
      </c>
      <c r="J71">
        <v>6</v>
      </c>
      <c r="K71">
        <v>5</v>
      </c>
      <c r="L71">
        <v>5</v>
      </c>
      <c r="M71">
        <v>5</v>
      </c>
      <c r="N71">
        <v>1</v>
      </c>
      <c r="O71">
        <v>5</v>
      </c>
      <c r="P71">
        <v>5</v>
      </c>
      <c r="Q71">
        <v>5</v>
      </c>
    </row>
    <row r="72" spans="1:17" x14ac:dyDescent="0.45">
      <c r="A72" s="19">
        <v>46019.650694444441</v>
      </c>
      <c r="B72" t="s">
        <v>72</v>
      </c>
      <c r="C72" t="s">
        <v>73</v>
      </c>
      <c r="D72" t="s">
        <v>74</v>
      </c>
      <c r="E72" t="s">
        <v>75</v>
      </c>
      <c r="F72" t="s">
        <v>100</v>
      </c>
      <c r="G72" t="s">
        <v>101</v>
      </c>
      <c r="H72" t="s">
        <v>105</v>
      </c>
      <c r="I72">
        <v>3</v>
      </c>
      <c r="J72">
        <v>3</v>
      </c>
      <c r="K72">
        <v>3</v>
      </c>
      <c r="L72">
        <v>5</v>
      </c>
      <c r="M72">
        <v>3</v>
      </c>
      <c r="N72">
        <v>3</v>
      </c>
      <c r="O72">
        <v>3</v>
      </c>
      <c r="P72">
        <v>3</v>
      </c>
      <c r="Q72">
        <v>4</v>
      </c>
    </row>
    <row r="73" spans="1:17" x14ac:dyDescent="0.45">
      <c r="A73" s="19">
        <v>46019.652083333334</v>
      </c>
      <c r="B73" t="s">
        <v>78</v>
      </c>
      <c r="C73" t="s">
        <v>73</v>
      </c>
      <c r="D73" t="s">
        <v>74</v>
      </c>
      <c r="E73" t="s">
        <v>77</v>
      </c>
      <c r="F73" t="s">
        <v>103</v>
      </c>
      <c r="G73" t="s">
        <v>196</v>
      </c>
      <c r="H73" t="s">
        <v>106</v>
      </c>
      <c r="I73">
        <v>8</v>
      </c>
      <c r="J73">
        <v>8</v>
      </c>
      <c r="K73">
        <v>4</v>
      </c>
      <c r="L73">
        <v>2</v>
      </c>
      <c r="M73">
        <v>6</v>
      </c>
      <c r="N73">
        <v>3</v>
      </c>
      <c r="O73">
        <v>8</v>
      </c>
      <c r="P73">
        <v>4</v>
      </c>
      <c r="Q73">
        <v>8</v>
      </c>
    </row>
    <row r="74" spans="1:17" x14ac:dyDescent="0.45">
      <c r="A74" s="19">
        <v>46019.658333333333</v>
      </c>
      <c r="B74" t="s">
        <v>78</v>
      </c>
      <c r="C74" t="s">
        <v>189</v>
      </c>
      <c r="D74" t="s">
        <v>74</v>
      </c>
      <c r="E74" t="s">
        <v>192</v>
      </c>
      <c r="F74" t="s">
        <v>100</v>
      </c>
      <c r="G74" t="s">
        <v>104</v>
      </c>
      <c r="H74" t="s">
        <v>110</v>
      </c>
      <c r="I74">
        <v>5</v>
      </c>
      <c r="J74">
        <v>5</v>
      </c>
      <c r="K74">
        <v>5</v>
      </c>
      <c r="L74">
        <v>5</v>
      </c>
      <c r="M74">
        <v>5</v>
      </c>
      <c r="N74">
        <v>10</v>
      </c>
      <c r="O74">
        <v>5</v>
      </c>
      <c r="P74">
        <v>5</v>
      </c>
      <c r="Q74">
        <v>10</v>
      </c>
    </row>
    <row r="75" spans="1:17" x14ac:dyDescent="0.45">
      <c r="A75" s="19">
        <v>46019.685416666667</v>
      </c>
      <c r="B75" t="s">
        <v>72</v>
      </c>
      <c r="C75" t="s">
        <v>73</v>
      </c>
      <c r="D75" t="s">
        <v>74</v>
      </c>
      <c r="E75" t="s">
        <v>77</v>
      </c>
      <c r="F75" t="s">
        <v>103</v>
      </c>
      <c r="G75" t="s">
        <v>196</v>
      </c>
      <c r="H75" t="s">
        <v>102</v>
      </c>
      <c r="I75">
        <v>5</v>
      </c>
      <c r="J75">
        <v>10</v>
      </c>
      <c r="K75">
        <v>2</v>
      </c>
      <c r="L75">
        <v>8</v>
      </c>
      <c r="M75">
        <v>5</v>
      </c>
      <c r="N75">
        <v>5</v>
      </c>
      <c r="O75">
        <v>1</v>
      </c>
      <c r="P75">
        <v>4</v>
      </c>
      <c r="Q75">
        <v>5</v>
      </c>
    </row>
    <row r="76" spans="1:17" x14ac:dyDescent="0.45">
      <c r="A76" s="19">
        <v>46019.6875</v>
      </c>
      <c r="B76" t="s">
        <v>78</v>
      </c>
      <c r="C76" t="s">
        <v>79</v>
      </c>
      <c r="D76" t="s">
        <v>74</v>
      </c>
      <c r="E76" t="s">
        <v>75</v>
      </c>
      <c r="F76" t="s">
        <v>100</v>
      </c>
      <c r="G76" t="s">
        <v>111</v>
      </c>
      <c r="H76" t="s">
        <v>105</v>
      </c>
      <c r="I76">
        <v>8</v>
      </c>
      <c r="J76">
        <v>9</v>
      </c>
      <c r="K76">
        <v>9</v>
      </c>
      <c r="L76">
        <v>9</v>
      </c>
      <c r="M76">
        <v>3</v>
      </c>
      <c r="N76">
        <v>3</v>
      </c>
      <c r="O76">
        <v>2</v>
      </c>
      <c r="P76">
        <v>2</v>
      </c>
      <c r="Q76">
        <v>6</v>
      </c>
    </row>
    <row r="77" spans="1:17" x14ac:dyDescent="0.45">
      <c r="A77" s="19">
        <v>46019.693749999999</v>
      </c>
      <c r="B77" t="s">
        <v>78</v>
      </c>
      <c r="C77" t="s">
        <v>79</v>
      </c>
      <c r="D77" t="s">
        <v>80</v>
      </c>
      <c r="E77" t="s">
        <v>192</v>
      </c>
      <c r="F77" t="s">
        <v>103</v>
      </c>
      <c r="G77" t="s">
        <v>104</v>
      </c>
      <c r="H77" t="s">
        <v>106</v>
      </c>
      <c r="I77">
        <v>5</v>
      </c>
      <c r="J77">
        <v>5</v>
      </c>
      <c r="K77">
        <v>5</v>
      </c>
      <c r="L77">
        <v>5</v>
      </c>
      <c r="M77">
        <v>5</v>
      </c>
      <c r="N77">
        <v>5</v>
      </c>
      <c r="O77">
        <v>5</v>
      </c>
      <c r="P77">
        <v>5</v>
      </c>
      <c r="Q77">
        <v>5</v>
      </c>
    </row>
    <row r="78" spans="1:17" x14ac:dyDescent="0.45">
      <c r="A78" s="19">
        <v>46019.697222222225</v>
      </c>
      <c r="B78" t="s">
        <v>72</v>
      </c>
      <c r="C78" t="s">
        <v>191</v>
      </c>
      <c r="D78" t="s">
        <v>74</v>
      </c>
      <c r="E78" t="s">
        <v>77</v>
      </c>
      <c r="F78" t="s">
        <v>100</v>
      </c>
      <c r="G78" t="s">
        <v>104</v>
      </c>
      <c r="H78" t="s">
        <v>105</v>
      </c>
      <c r="I78">
        <v>8</v>
      </c>
      <c r="J78">
        <v>8</v>
      </c>
      <c r="K78">
        <v>8</v>
      </c>
      <c r="L78">
        <v>8</v>
      </c>
      <c r="M78">
        <v>9</v>
      </c>
      <c r="N78">
        <v>7</v>
      </c>
      <c r="O78">
        <v>9</v>
      </c>
      <c r="P78">
        <v>10</v>
      </c>
      <c r="Q78">
        <v>8</v>
      </c>
    </row>
    <row r="79" spans="1:17" x14ac:dyDescent="0.45">
      <c r="A79" s="19">
        <v>46019.699305555558</v>
      </c>
      <c r="B79" t="s">
        <v>72</v>
      </c>
      <c r="C79" t="s">
        <v>73</v>
      </c>
      <c r="D79" t="s">
        <v>74</v>
      </c>
      <c r="E79" t="s">
        <v>75</v>
      </c>
      <c r="F79" t="s">
        <v>100</v>
      </c>
      <c r="G79" t="s">
        <v>109</v>
      </c>
      <c r="H79" t="s">
        <v>105</v>
      </c>
      <c r="I79">
        <v>8</v>
      </c>
      <c r="J79">
        <v>7</v>
      </c>
      <c r="K79">
        <v>9</v>
      </c>
      <c r="L79">
        <v>8</v>
      </c>
      <c r="M79">
        <v>8</v>
      </c>
      <c r="N79">
        <v>8</v>
      </c>
      <c r="O79">
        <v>6</v>
      </c>
      <c r="P79">
        <v>6</v>
      </c>
      <c r="Q79">
        <v>7</v>
      </c>
    </row>
    <row r="80" spans="1:17" x14ac:dyDescent="0.45">
      <c r="A80" s="19">
        <v>46019.737500000003</v>
      </c>
      <c r="B80" t="s">
        <v>72</v>
      </c>
      <c r="C80" t="s">
        <v>193</v>
      </c>
      <c r="D80" t="s">
        <v>74</v>
      </c>
      <c r="E80" t="s">
        <v>192</v>
      </c>
      <c r="F80" t="s">
        <v>197</v>
      </c>
      <c r="G80" t="s">
        <v>104</v>
      </c>
      <c r="H80" t="s">
        <v>110</v>
      </c>
      <c r="I80">
        <v>6</v>
      </c>
      <c r="J80">
        <v>2</v>
      </c>
      <c r="K80">
        <v>3</v>
      </c>
      <c r="L80">
        <v>2</v>
      </c>
      <c r="M80">
        <v>3</v>
      </c>
      <c r="N80">
        <v>7</v>
      </c>
      <c r="O80">
        <v>5</v>
      </c>
      <c r="P80">
        <v>5</v>
      </c>
      <c r="Q80">
        <v>7</v>
      </c>
    </row>
    <row r="81" spans="1:17" x14ac:dyDescent="0.45">
      <c r="A81" s="19">
        <v>46019.746527777781</v>
      </c>
      <c r="B81" t="s">
        <v>78</v>
      </c>
      <c r="C81" t="s">
        <v>81</v>
      </c>
      <c r="D81" t="s">
        <v>74</v>
      </c>
      <c r="E81" t="s">
        <v>77</v>
      </c>
      <c r="F81" t="s">
        <v>100</v>
      </c>
      <c r="G81" t="s">
        <v>104</v>
      </c>
      <c r="H81" t="s">
        <v>110</v>
      </c>
      <c r="I81">
        <v>8</v>
      </c>
      <c r="J81">
        <v>8</v>
      </c>
      <c r="K81">
        <v>8</v>
      </c>
      <c r="L81">
        <v>8</v>
      </c>
      <c r="M81">
        <v>8</v>
      </c>
      <c r="N81">
        <v>8</v>
      </c>
      <c r="O81">
        <v>8</v>
      </c>
      <c r="P81">
        <v>8</v>
      </c>
      <c r="Q81">
        <v>8</v>
      </c>
    </row>
    <row r="82" spans="1:17" x14ac:dyDescent="0.45">
      <c r="A82" s="19">
        <v>46019.775694444441</v>
      </c>
      <c r="B82" t="s">
        <v>78</v>
      </c>
      <c r="C82" t="s">
        <v>193</v>
      </c>
      <c r="D82" t="s">
        <v>74</v>
      </c>
      <c r="E82" t="s">
        <v>75</v>
      </c>
      <c r="F82" t="s">
        <v>197</v>
      </c>
      <c r="G82" t="s">
        <v>194</v>
      </c>
      <c r="H82" t="s">
        <v>110</v>
      </c>
      <c r="I82">
        <v>7</v>
      </c>
      <c r="J82">
        <v>7</v>
      </c>
      <c r="K82">
        <v>5</v>
      </c>
      <c r="L82">
        <v>5</v>
      </c>
      <c r="M82">
        <v>6</v>
      </c>
      <c r="N82">
        <v>5</v>
      </c>
      <c r="O82">
        <v>8</v>
      </c>
      <c r="P82">
        <v>6</v>
      </c>
      <c r="Q82">
        <v>8</v>
      </c>
    </row>
    <row r="83" spans="1:17" x14ac:dyDescent="0.45">
      <c r="A83" s="19">
        <v>46019.807638888888</v>
      </c>
      <c r="B83" t="s">
        <v>72</v>
      </c>
      <c r="C83" t="s">
        <v>193</v>
      </c>
      <c r="D83" t="s">
        <v>74</v>
      </c>
      <c r="E83" t="s">
        <v>77</v>
      </c>
      <c r="F83" t="s">
        <v>197</v>
      </c>
      <c r="G83" t="s">
        <v>104</v>
      </c>
      <c r="H83" t="s">
        <v>102</v>
      </c>
      <c r="I83">
        <v>8</v>
      </c>
      <c r="J83">
        <v>9</v>
      </c>
      <c r="K83">
        <v>5</v>
      </c>
      <c r="L83">
        <v>5</v>
      </c>
      <c r="M83">
        <v>5</v>
      </c>
      <c r="N83">
        <v>5</v>
      </c>
      <c r="O83">
        <v>1</v>
      </c>
      <c r="P83">
        <v>5</v>
      </c>
      <c r="Q83">
        <v>5</v>
      </c>
    </row>
    <row r="84" spans="1:17" x14ac:dyDescent="0.45">
      <c r="A84" s="19">
        <v>46019.814583333333</v>
      </c>
      <c r="B84" t="s">
        <v>72</v>
      </c>
      <c r="C84" t="s">
        <v>79</v>
      </c>
      <c r="D84" t="s">
        <v>74</v>
      </c>
      <c r="E84" t="s">
        <v>75</v>
      </c>
      <c r="F84" t="s">
        <v>100</v>
      </c>
      <c r="G84" t="s">
        <v>104</v>
      </c>
      <c r="H84" t="s">
        <v>105</v>
      </c>
      <c r="I84">
        <v>10</v>
      </c>
      <c r="J84">
        <v>8</v>
      </c>
      <c r="K84">
        <v>8</v>
      </c>
      <c r="L84">
        <v>7</v>
      </c>
      <c r="M84">
        <v>7</v>
      </c>
      <c r="N84">
        <v>6</v>
      </c>
      <c r="O84">
        <v>7</v>
      </c>
      <c r="P84">
        <v>6</v>
      </c>
      <c r="Q84">
        <v>8</v>
      </c>
    </row>
    <row r="85" spans="1:17" x14ac:dyDescent="0.45">
      <c r="A85" s="19">
        <v>46019.818055555559</v>
      </c>
      <c r="B85" t="s">
        <v>72</v>
      </c>
      <c r="C85" t="s">
        <v>73</v>
      </c>
      <c r="D85" t="s">
        <v>74</v>
      </c>
      <c r="E85" t="s">
        <v>190</v>
      </c>
      <c r="F85" t="s">
        <v>100</v>
      </c>
      <c r="G85" t="s">
        <v>104</v>
      </c>
      <c r="H85" t="s">
        <v>102</v>
      </c>
      <c r="I85">
        <v>6</v>
      </c>
      <c r="J85">
        <v>7</v>
      </c>
      <c r="K85">
        <v>5</v>
      </c>
      <c r="L85">
        <v>5</v>
      </c>
      <c r="M85">
        <v>5</v>
      </c>
      <c r="N85">
        <v>5</v>
      </c>
      <c r="O85">
        <v>5</v>
      </c>
      <c r="P85">
        <v>5</v>
      </c>
      <c r="Q85">
        <v>5</v>
      </c>
    </row>
    <row r="86" spans="1:17" x14ac:dyDescent="0.45">
      <c r="A86" s="19">
        <v>46019.819444444445</v>
      </c>
      <c r="B86" t="s">
        <v>72</v>
      </c>
      <c r="C86" t="s">
        <v>79</v>
      </c>
      <c r="D86" t="s">
        <v>74</v>
      </c>
      <c r="E86" t="s">
        <v>77</v>
      </c>
      <c r="F86" t="s">
        <v>100</v>
      </c>
      <c r="G86" t="s">
        <v>104</v>
      </c>
      <c r="H86" t="s">
        <v>105</v>
      </c>
      <c r="I86">
        <v>9</v>
      </c>
      <c r="J86">
        <v>9</v>
      </c>
      <c r="K86">
        <v>8</v>
      </c>
      <c r="L86">
        <v>9</v>
      </c>
      <c r="M86">
        <v>9</v>
      </c>
      <c r="N86">
        <v>9</v>
      </c>
      <c r="O86">
        <v>7</v>
      </c>
      <c r="P86">
        <v>8</v>
      </c>
      <c r="Q86">
        <v>8</v>
      </c>
    </row>
    <row r="87" spans="1:17" x14ac:dyDescent="0.45">
      <c r="A87" s="19">
        <v>46019.820138888892</v>
      </c>
      <c r="B87" t="s">
        <v>78</v>
      </c>
      <c r="C87" t="s">
        <v>73</v>
      </c>
      <c r="D87" t="s">
        <v>80</v>
      </c>
      <c r="E87" t="s">
        <v>77</v>
      </c>
      <c r="F87" t="s">
        <v>100</v>
      </c>
      <c r="G87" t="s">
        <v>104</v>
      </c>
      <c r="H87" t="s">
        <v>110</v>
      </c>
      <c r="I87">
        <v>5</v>
      </c>
      <c r="J87">
        <v>5</v>
      </c>
      <c r="K87">
        <v>10</v>
      </c>
      <c r="L87">
        <v>4</v>
      </c>
      <c r="M87">
        <v>4</v>
      </c>
      <c r="N87">
        <v>5</v>
      </c>
      <c r="O87">
        <v>5</v>
      </c>
      <c r="P87">
        <v>8</v>
      </c>
      <c r="Q87">
        <v>8</v>
      </c>
    </row>
    <row r="88" spans="1:17" x14ac:dyDescent="0.45">
      <c r="A88" s="19">
        <v>46019.824999999997</v>
      </c>
      <c r="B88" t="s">
        <v>78</v>
      </c>
      <c r="C88" t="s">
        <v>79</v>
      </c>
      <c r="D88" t="s">
        <v>74</v>
      </c>
      <c r="E88" t="s">
        <v>77</v>
      </c>
      <c r="F88" t="s">
        <v>100</v>
      </c>
      <c r="G88" t="s">
        <v>104</v>
      </c>
      <c r="H88" t="s">
        <v>105</v>
      </c>
      <c r="I88">
        <v>10</v>
      </c>
      <c r="J88">
        <v>9</v>
      </c>
      <c r="K88">
        <v>9</v>
      </c>
      <c r="L88">
        <v>9</v>
      </c>
      <c r="M88">
        <v>9</v>
      </c>
      <c r="N88">
        <v>9</v>
      </c>
      <c r="O88">
        <v>10</v>
      </c>
      <c r="P88">
        <v>9</v>
      </c>
      <c r="Q88">
        <v>10</v>
      </c>
    </row>
    <row r="89" spans="1:17" x14ac:dyDescent="0.45">
      <c r="A89" s="19">
        <v>46019.836805555555</v>
      </c>
      <c r="B89" t="s">
        <v>72</v>
      </c>
      <c r="C89" t="s">
        <v>79</v>
      </c>
      <c r="D89" t="s">
        <v>74</v>
      </c>
      <c r="E89" t="s">
        <v>192</v>
      </c>
      <c r="F89" t="s">
        <v>100</v>
      </c>
      <c r="G89" t="s">
        <v>194</v>
      </c>
      <c r="H89" t="s">
        <v>105</v>
      </c>
      <c r="I89">
        <v>10</v>
      </c>
      <c r="J89">
        <v>10</v>
      </c>
      <c r="K89">
        <v>10</v>
      </c>
      <c r="L89">
        <v>10</v>
      </c>
      <c r="M89">
        <v>10</v>
      </c>
      <c r="N89">
        <v>10</v>
      </c>
      <c r="O89">
        <v>10</v>
      </c>
      <c r="P89">
        <v>10</v>
      </c>
      <c r="Q89">
        <v>10</v>
      </c>
    </row>
    <row r="90" spans="1:17" x14ac:dyDescent="0.45">
      <c r="A90" s="19">
        <v>46019.838888888888</v>
      </c>
      <c r="B90" t="s">
        <v>72</v>
      </c>
      <c r="C90" t="s">
        <v>73</v>
      </c>
      <c r="D90" t="s">
        <v>74</v>
      </c>
      <c r="E90" t="s">
        <v>190</v>
      </c>
      <c r="F90" t="s">
        <v>100</v>
      </c>
      <c r="G90" t="s">
        <v>194</v>
      </c>
      <c r="H90" t="s">
        <v>102</v>
      </c>
      <c r="I90">
        <v>10</v>
      </c>
      <c r="J90">
        <v>9</v>
      </c>
      <c r="K90">
        <v>9</v>
      </c>
      <c r="L90">
        <v>9</v>
      </c>
      <c r="M90">
        <v>10</v>
      </c>
      <c r="N90">
        <v>9</v>
      </c>
      <c r="O90">
        <v>9</v>
      </c>
      <c r="P90">
        <v>8</v>
      </c>
      <c r="Q90">
        <v>9</v>
      </c>
    </row>
    <row r="91" spans="1:17" x14ac:dyDescent="0.45">
      <c r="A91" s="19">
        <v>46019.84097222222</v>
      </c>
      <c r="B91" t="s">
        <v>72</v>
      </c>
      <c r="C91" t="s">
        <v>73</v>
      </c>
      <c r="D91" t="s">
        <v>80</v>
      </c>
      <c r="E91" t="s">
        <v>77</v>
      </c>
      <c r="F91" t="s">
        <v>100</v>
      </c>
      <c r="G91" t="s">
        <v>194</v>
      </c>
      <c r="H91" t="s">
        <v>195</v>
      </c>
      <c r="I91">
        <v>6</v>
      </c>
      <c r="J91">
        <v>10</v>
      </c>
      <c r="K91">
        <v>8</v>
      </c>
      <c r="L91">
        <v>9</v>
      </c>
      <c r="M91">
        <v>9</v>
      </c>
      <c r="N91">
        <v>9</v>
      </c>
      <c r="O91">
        <v>8</v>
      </c>
      <c r="P91">
        <v>8</v>
      </c>
      <c r="Q91">
        <v>9</v>
      </c>
    </row>
    <row r="92" spans="1:17" x14ac:dyDescent="0.45">
      <c r="A92" s="19">
        <v>46019.848611111112</v>
      </c>
      <c r="B92" t="s">
        <v>72</v>
      </c>
      <c r="C92" t="s">
        <v>73</v>
      </c>
      <c r="D92" t="s">
        <v>74</v>
      </c>
      <c r="E92" t="s">
        <v>77</v>
      </c>
      <c r="F92" t="s">
        <v>100</v>
      </c>
      <c r="G92" t="s">
        <v>194</v>
      </c>
      <c r="H92" t="s">
        <v>105</v>
      </c>
      <c r="I92">
        <v>10</v>
      </c>
      <c r="J92">
        <v>9</v>
      </c>
      <c r="K92">
        <v>9</v>
      </c>
      <c r="L92">
        <v>9</v>
      </c>
      <c r="M92">
        <v>10</v>
      </c>
      <c r="N92">
        <v>9</v>
      </c>
      <c r="O92">
        <v>8</v>
      </c>
      <c r="P92">
        <v>8</v>
      </c>
      <c r="Q92">
        <v>10</v>
      </c>
    </row>
    <row r="93" spans="1:17" x14ac:dyDescent="0.45">
      <c r="A93" s="19">
        <v>46019.859722222223</v>
      </c>
      <c r="B93" t="s">
        <v>78</v>
      </c>
      <c r="C93" t="s">
        <v>73</v>
      </c>
      <c r="D93" t="s">
        <v>74</v>
      </c>
      <c r="E93" t="s">
        <v>77</v>
      </c>
      <c r="F93" t="s">
        <v>100</v>
      </c>
      <c r="G93" t="s">
        <v>194</v>
      </c>
      <c r="H93" t="s">
        <v>105</v>
      </c>
      <c r="I93">
        <v>10</v>
      </c>
      <c r="J93">
        <v>10</v>
      </c>
      <c r="K93">
        <v>10</v>
      </c>
      <c r="L93">
        <v>10</v>
      </c>
      <c r="M93">
        <v>10</v>
      </c>
      <c r="N93">
        <v>1</v>
      </c>
      <c r="O93">
        <v>10</v>
      </c>
      <c r="P93">
        <v>10</v>
      </c>
      <c r="Q93">
        <v>10</v>
      </c>
    </row>
    <row r="94" spans="1:17" x14ac:dyDescent="0.45">
      <c r="A94" s="19">
        <v>46019.859722222223</v>
      </c>
      <c r="B94" t="s">
        <v>78</v>
      </c>
      <c r="C94" t="s">
        <v>73</v>
      </c>
      <c r="D94" t="s">
        <v>74</v>
      </c>
      <c r="E94" t="s">
        <v>77</v>
      </c>
      <c r="F94" t="s">
        <v>100</v>
      </c>
      <c r="G94" t="s">
        <v>109</v>
      </c>
      <c r="H94" t="s">
        <v>105</v>
      </c>
      <c r="I94">
        <v>5</v>
      </c>
      <c r="J94">
        <v>8</v>
      </c>
      <c r="K94">
        <v>4</v>
      </c>
      <c r="L94">
        <v>9</v>
      </c>
      <c r="M94">
        <v>7</v>
      </c>
      <c r="N94">
        <v>5</v>
      </c>
      <c r="O94">
        <v>7</v>
      </c>
      <c r="P94">
        <v>8</v>
      </c>
      <c r="Q94">
        <v>10</v>
      </c>
    </row>
    <row r="95" spans="1:17" x14ac:dyDescent="0.45">
      <c r="A95" s="19">
        <v>46019.88958333333</v>
      </c>
      <c r="B95" t="s">
        <v>72</v>
      </c>
      <c r="C95" t="s">
        <v>73</v>
      </c>
      <c r="D95" t="s">
        <v>74</v>
      </c>
      <c r="E95" t="s">
        <v>75</v>
      </c>
      <c r="F95" t="s">
        <v>100</v>
      </c>
      <c r="G95" t="s">
        <v>194</v>
      </c>
      <c r="H95" t="s">
        <v>110</v>
      </c>
      <c r="I95">
        <v>9</v>
      </c>
      <c r="J95">
        <v>7</v>
      </c>
      <c r="K95">
        <v>5</v>
      </c>
      <c r="L95">
        <v>7</v>
      </c>
      <c r="M95">
        <v>5</v>
      </c>
      <c r="N95">
        <v>8</v>
      </c>
      <c r="O95">
        <v>5</v>
      </c>
      <c r="P95">
        <v>5</v>
      </c>
      <c r="Q95">
        <v>7</v>
      </c>
    </row>
    <row r="96" spans="1:17" x14ac:dyDescent="0.45">
      <c r="A96" s="19">
        <v>46019.900694444441</v>
      </c>
      <c r="B96" t="s">
        <v>72</v>
      </c>
      <c r="C96" t="s">
        <v>79</v>
      </c>
      <c r="D96" t="s">
        <v>74</v>
      </c>
      <c r="E96" t="s">
        <v>77</v>
      </c>
      <c r="F96" t="s">
        <v>100</v>
      </c>
      <c r="G96" t="s">
        <v>109</v>
      </c>
      <c r="H96" t="s">
        <v>106</v>
      </c>
      <c r="I96">
        <v>4</v>
      </c>
      <c r="J96">
        <v>6</v>
      </c>
      <c r="K96">
        <v>5</v>
      </c>
      <c r="L96">
        <v>5</v>
      </c>
      <c r="M96">
        <v>4</v>
      </c>
      <c r="N96">
        <v>4</v>
      </c>
      <c r="O96">
        <v>3</v>
      </c>
      <c r="P96">
        <v>4</v>
      </c>
      <c r="Q96">
        <v>3</v>
      </c>
    </row>
    <row r="97" spans="1:17" x14ac:dyDescent="0.45">
      <c r="A97" s="19">
        <v>46019.902083333334</v>
      </c>
      <c r="B97" t="s">
        <v>78</v>
      </c>
      <c r="C97" t="s">
        <v>189</v>
      </c>
      <c r="D97" t="s">
        <v>74</v>
      </c>
      <c r="E97" t="s">
        <v>77</v>
      </c>
      <c r="F97" t="s">
        <v>100</v>
      </c>
      <c r="G97" t="s">
        <v>194</v>
      </c>
      <c r="H97" t="s">
        <v>110</v>
      </c>
      <c r="I97">
        <v>8</v>
      </c>
      <c r="J97">
        <v>7</v>
      </c>
      <c r="K97">
        <v>5</v>
      </c>
      <c r="L97">
        <v>7</v>
      </c>
      <c r="M97">
        <v>7</v>
      </c>
      <c r="N97">
        <v>5</v>
      </c>
      <c r="O97">
        <v>5</v>
      </c>
      <c r="P97">
        <v>7</v>
      </c>
      <c r="Q97">
        <v>7</v>
      </c>
    </row>
    <row r="98" spans="1:17" x14ac:dyDescent="0.45">
      <c r="A98" s="19">
        <v>46019.902777777781</v>
      </c>
      <c r="B98" t="s">
        <v>72</v>
      </c>
      <c r="C98" t="s">
        <v>193</v>
      </c>
      <c r="D98" t="s">
        <v>74</v>
      </c>
      <c r="E98" t="s">
        <v>77</v>
      </c>
      <c r="F98" t="s">
        <v>103</v>
      </c>
      <c r="G98" t="s">
        <v>108</v>
      </c>
      <c r="H98" t="s">
        <v>195</v>
      </c>
      <c r="I98">
        <v>6</v>
      </c>
      <c r="J98">
        <v>6</v>
      </c>
      <c r="K98">
        <v>5</v>
      </c>
      <c r="L98">
        <v>5</v>
      </c>
      <c r="M98">
        <v>5</v>
      </c>
      <c r="N98">
        <v>5</v>
      </c>
      <c r="O98">
        <v>5</v>
      </c>
      <c r="P98">
        <v>5</v>
      </c>
      <c r="Q98">
        <v>5</v>
      </c>
    </row>
    <row r="99" spans="1:17" x14ac:dyDescent="0.45">
      <c r="A99" s="19">
        <v>46019.90347222222</v>
      </c>
      <c r="B99" t="s">
        <v>72</v>
      </c>
      <c r="C99" t="s">
        <v>73</v>
      </c>
      <c r="D99" t="s">
        <v>80</v>
      </c>
      <c r="E99" t="s">
        <v>77</v>
      </c>
      <c r="F99" t="s">
        <v>100</v>
      </c>
      <c r="G99" t="s">
        <v>196</v>
      </c>
      <c r="H99" t="s">
        <v>110</v>
      </c>
      <c r="I99">
        <v>8</v>
      </c>
      <c r="J99">
        <v>8</v>
      </c>
      <c r="K99">
        <v>5</v>
      </c>
      <c r="L99">
        <v>8</v>
      </c>
      <c r="M99">
        <v>6</v>
      </c>
      <c r="N99">
        <v>9</v>
      </c>
      <c r="O99">
        <v>5</v>
      </c>
      <c r="P99">
        <v>7</v>
      </c>
      <c r="Q99">
        <v>8</v>
      </c>
    </row>
    <row r="100" spans="1:17" x14ac:dyDescent="0.45">
      <c r="A100" s="19">
        <v>46019.904861111114</v>
      </c>
      <c r="B100" t="s">
        <v>78</v>
      </c>
      <c r="C100" t="s">
        <v>81</v>
      </c>
      <c r="D100" t="s">
        <v>74</v>
      </c>
      <c r="E100" t="s">
        <v>77</v>
      </c>
      <c r="F100" t="s">
        <v>100</v>
      </c>
      <c r="G100" t="s">
        <v>101</v>
      </c>
      <c r="H100" t="s">
        <v>102</v>
      </c>
      <c r="I100">
        <v>6</v>
      </c>
      <c r="J100">
        <v>6</v>
      </c>
      <c r="K100">
        <v>3</v>
      </c>
      <c r="L100">
        <v>6</v>
      </c>
      <c r="M100">
        <v>5</v>
      </c>
      <c r="N100">
        <v>6</v>
      </c>
      <c r="O100">
        <v>5</v>
      </c>
      <c r="P100">
        <v>6</v>
      </c>
      <c r="Q100">
        <v>6</v>
      </c>
    </row>
    <row r="101" spans="1:17" x14ac:dyDescent="0.45">
      <c r="A101" s="19">
        <v>46020.206944444442</v>
      </c>
      <c r="B101" t="s">
        <v>72</v>
      </c>
      <c r="C101" t="s">
        <v>193</v>
      </c>
      <c r="D101" t="s">
        <v>74</v>
      </c>
      <c r="E101" t="s">
        <v>77</v>
      </c>
      <c r="F101" t="s">
        <v>100</v>
      </c>
      <c r="G101" t="s">
        <v>104</v>
      </c>
      <c r="H101" t="s">
        <v>102</v>
      </c>
      <c r="I101">
        <v>8</v>
      </c>
      <c r="J101">
        <v>8</v>
      </c>
      <c r="K101">
        <v>8</v>
      </c>
      <c r="L101">
        <v>10</v>
      </c>
      <c r="M101">
        <v>10</v>
      </c>
      <c r="N101">
        <v>10</v>
      </c>
      <c r="O101">
        <v>10</v>
      </c>
      <c r="P101">
        <v>10</v>
      </c>
      <c r="Q101">
        <v>10</v>
      </c>
    </row>
    <row r="102" spans="1:17" x14ac:dyDescent="0.45">
      <c r="A102" s="19">
        <v>46020.280555555553</v>
      </c>
      <c r="B102" t="s">
        <v>72</v>
      </c>
      <c r="C102" t="s">
        <v>191</v>
      </c>
      <c r="D102" t="s">
        <v>74</v>
      </c>
      <c r="E102" t="s">
        <v>75</v>
      </c>
      <c r="F102" t="s">
        <v>100</v>
      </c>
      <c r="G102" t="s">
        <v>107</v>
      </c>
      <c r="H102" t="s">
        <v>195</v>
      </c>
      <c r="I102">
        <v>8</v>
      </c>
      <c r="J102">
        <v>8</v>
      </c>
      <c r="K102">
        <v>7</v>
      </c>
      <c r="L102">
        <v>8</v>
      </c>
      <c r="M102">
        <v>8</v>
      </c>
      <c r="N102">
        <v>7</v>
      </c>
      <c r="O102">
        <v>7</v>
      </c>
      <c r="P102">
        <v>7</v>
      </c>
      <c r="Q102">
        <v>8</v>
      </c>
    </row>
    <row r="103" spans="1:17" x14ac:dyDescent="0.45">
      <c r="A103" s="19">
        <v>46020.28125</v>
      </c>
      <c r="B103" t="s">
        <v>78</v>
      </c>
      <c r="C103" t="s">
        <v>189</v>
      </c>
      <c r="D103" t="s">
        <v>74</v>
      </c>
      <c r="E103" t="s">
        <v>77</v>
      </c>
      <c r="F103" t="s">
        <v>100</v>
      </c>
      <c r="G103" t="s">
        <v>104</v>
      </c>
      <c r="H103" t="s">
        <v>110</v>
      </c>
      <c r="I103">
        <v>5</v>
      </c>
      <c r="J103">
        <v>5</v>
      </c>
      <c r="K103">
        <v>5</v>
      </c>
      <c r="L103">
        <v>5</v>
      </c>
      <c r="M103">
        <v>5</v>
      </c>
      <c r="N103">
        <v>5</v>
      </c>
      <c r="O103">
        <v>5</v>
      </c>
      <c r="P103">
        <v>5</v>
      </c>
      <c r="Q103">
        <v>5</v>
      </c>
    </row>
    <row r="104" spans="1:17" x14ac:dyDescent="0.45">
      <c r="A104" s="19">
        <v>46020.282638888886</v>
      </c>
      <c r="B104" t="s">
        <v>72</v>
      </c>
      <c r="C104" t="s">
        <v>193</v>
      </c>
      <c r="D104" t="s">
        <v>74</v>
      </c>
      <c r="E104" t="s">
        <v>77</v>
      </c>
      <c r="F104" t="s">
        <v>100</v>
      </c>
      <c r="G104" t="s">
        <v>109</v>
      </c>
      <c r="H104" t="s">
        <v>105</v>
      </c>
      <c r="I104">
        <v>8</v>
      </c>
      <c r="J104">
        <v>8</v>
      </c>
      <c r="K104">
        <v>5</v>
      </c>
      <c r="L104">
        <v>8</v>
      </c>
      <c r="M104">
        <v>5</v>
      </c>
      <c r="N104">
        <v>5</v>
      </c>
      <c r="O104">
        <v>6</v>
      </c>
      <c r="P104">
        <v>6</v>
      </c>
      <c r="Q104">
        <v>5</v>
      </c>
    </row>
    <row r="105" spans="1:17" x14ac:dyDescent="0.45">
      <c r="A105" s="19">
        <v>46020.282638888886</v>
      </c>
      <c r="B105" t="s">
        <v>78</v>
      </c>
      <c r="C105" t="s">
        <v>73</v>
      </c>
      <c r="D105" t="s">
        <v>74</v>
      </c>
      <c r="E105" t="s">
        <v>77</v>
      </c>
      <c r="F105" t="s">
        <v>100</v>
      </c>
      <c r="G105" t="s">
        <v>196</v>
      </c>
      <c r="H105" t="s">
        <v>110</v>
      </c>
      <c r="I105">
        <v>6</v>
      </c>
      <c r="J105">
        <v>7</v>
      </c>
      <c r="K105">
        <v>6</v>
      </c>
      <c r="L105">
        <v>8</v>
      </c>
      <c r="M105">
        <v>6</v>
      </c>
      <c r="N105">
        <v>7</v>
      </c>
      <c r="O105">
        <v>6</v>
      </c>
      <c r="P105">
        <v>6</v>
      </c>
      <c r="Q105">
        <v>7</v>
      </c>
    </row>
    <row r="106" spans="1:17" x14ac:dyDescent="0.45">
      <c r="A106" s="19">
        <v>46020.347916666666</v>
      </c>
      <c r="B106" t="s">
        <v>78</v>
      </c>
      <c r="C106" t="s">
        <v>81</v>
      </c>
      <c r="D106" t="s">
        <v>74</v>
      </c>
      <c r="E106" t="s">
        <v>77</v>
      </c>
      <c r="F106" t="s">
        <v>100</v>
      </c>
      <c r="G106" t="s">
        <v>104</v>
      </c>
      <c r="H106" t="s">
        <v>102</v>
      </c>
      <c r="I106">
        <v>9</v>
      </c>
      <c r="J106">
        <v>10</v>
      </c>
      <c r="K106">
        <v>8</v>
      </c>
      <c r="L106">
        <v>8</v>
      </c>
      <c r="M106">
        <v>9</v>
      </c>
      <c r="N106">
        <v>9</v>
      </c>
      <c r="O106">
        <v>8</v>
      </c>
      <c r="P106">
        <v>6</v>
      </c>
      <c r="Q106">
        <v>9</v>
      </c>
    </row>
    <row r="107" spans="1:17" x14ac:dyDescent="0.45">
      <c r="A107" s="19">
        <v>46020.356249999997</v>
      </c>
      <c r="B107" t="s">
        <v>72</v>
      </c>
      <c r="C107" t="s">
        <v>81</v>
      </c>
      <c r="D107" t="s">
        <v>74</v>
      </c>
      <c r="E107" t="s">
        <v>77</v>
      </c>
      <c r="F107" t="s">
        <v>100</v>
      </c>
      <c r="G107" t="s">
        <v>194</v>
      </c>
      <c r="H107" t="s">
        <v>110</v>
      </c>
      <c r="I107">
        <v>10</v>
      </c>
      <c r="J107">
        <v>5</v>
      </c>
      <c r="K107">
        <v>8</v>
      </c>
      <c r="L107">
        <v>8</v>
      </c>
      <c r="M107">
        <v>10</v>
      </c>
      <c r="N107">
        <v>10</v>
      </c>
      <c r="O107">
        <v>10</v>
      </c>
      <c r="P107">
        <v>10</v>
      </c>
      <c r="Q107">
        <v>10</v>
      </c>
    </row>
    <row r="108" spans="1:17" x14ac:dyDescent="0.45">
      <c r="A108" s="19">
        <v>46020.36041666667</v>
      </c>
      <c r="B108" t="s">
        <v>72</v>
      </c>
      <c r="C108" t="s">
        <v>79</v>
      </c>
      <c r="D108" t="s">
        <v>74</v>
      </c>
      <c r="E108" t="s">
        <v>77</v>
      </c>
      <c r="F108" t="s">
        <v>100</v>
      </c>
      <c r="G108" t="s">
        <v>101</v>
      </c>
      <c r="H108" t="s">
        <v>102</v>
      </c>
      <c r="I108">
        <v>7</v>
      </c>
      <c r="J108">
        <v>7</v>
      </c>
      <c r="K108">
        <v>7</v>
      </c>
      <c r="L108">
        <v>7</v>
      </c>
      <c r="M108">
        <v>7</v>
      </c>
      <c r="N108">
        <v>7</v>
      </c>
      <c r="O108">
        <v>7</v>
      </c>
      <c r="P108">
        <v>7</v>
      </c>
      <c r="Q108">
        <v>8</v>
      </c>
    </row>
    <row r="109" spans="1:17" x14ac:dyDescent="0.45">
      <c r="A109" s="19">
        <v>46020.369444444441</v>
      </c>
      <c r="B109" t="s">
        <v>72</v>
      </c>
      <c r="C109" t="s">
        <v>79</v>
      </c>
      <c r="D109" t="s">
        <v>74</v>
      </c>
      <c r="E109" t="s">
        <v>77</v>
      </c>
      <c r="F109" t="s">
        <v>100</v>
      </c>
      <c r="G109" t="s">
        <v>104</v>
      </c>
      <c r="H109" t="s">
        <v>102</v>
      </c>
      <c r="I109">
        <v>5</v>
      </c>
      <c r="J109">
        <v>10</v>
      </c>
      <c r="K109">
        <v>5</v>
      </c>
      <c r="L109">
        <v>5</v>
      </c>
      <c r="M109">
        <v>5</v>
      </c>
      <c r="N109">
        <v>5</v>
      </c>
      <c r="O109">
        <v>8</v>
      </c>
      <c r="P109">
        <v>5</v>
      </c>
      <c r="Q109">
        <v>6</v>
      </c>
    </row>
    <row r="110" spans="1:17" x14ac:dyDescent="0.45">
      <c r="A110" s="19">
        <v>46020.377083333333</v>
      </c>
      <c r="B110" t="s">
        <v>72</v>
      </c>
      <c r="C110" t="s">
        <v>79</v>
      </c>
      <c r="D110" t="s">
        <v>74</v>
      </c>
      <c r="E110" t="s">
        <v>77</v>
      </c>
      <c r="F110" t="s">
        <v>100</v>
      </c>
      <c r="G110" t="s">
        <v>104</v>
      </c>
      <c r="H110" t="s">
        <v>102</v>
      </c>
      <c r="I110">
        <v>10</v>
      </c>
      <c r="J110">
        <v>10</v>
      </c>
      <c r="K110">
        <v>10</v>
      </c>
      <c r="L110">
        <v>10</v>
      </c>
      <c r="M110">
        <v>10</v>
      </c>
      <c r="N110">
        <v>10</v>
      </c>
      <c r="O110">
        <v>10</v>
      </c>
      <c r="P110">
        <v>10</v>
      </c>
      <c r="Q110">
        <v>10</v>
      </c>
    </row>
    <row r="111" spans="1:17" x14ac:dyDescent="0.45">
      <c r="A111" s="19">
        <v>46020.381944444445</v>
      </c>
      <c r="B111" t="s">
        <v>78</v>
      </c>
      <c r="C111" t="s">
        <v>73</v>
      </c>
      <c r="D111" t="s">
        <v>74</v>
      </c>
      <c r="E111" t="s">
        <v>77</v>
      </c>
      <c r="F111" t="s">
        <v>100</v>
      </c>
      <c r="G111" t="s">
        <v>111</v>
      </c>
      <c r="H111" t="s">
        <v>105</v>
      </c>
      <c r="I111">
        <v>7</v>
      </c>
      <c r="J111">
        <v>6</v>
      </c>
      <c r="K111">
        <v>8</v>
      </c>
      <c r="L111">
        <v>8</v>
      </c>
      <c r="M111">
        <v>7</v>
      </c>
      <c r="N111">
        <v>6</v>
      </c>
      <c r="O111">
        <v>5</v>
      </c>
      <c r="P111">
        <v>5</v>
      </c>
      <c r="Q111">
        <v>8</v>
      </c>
    </row>
    <row r="112" spans="1:17" x14ac:dyDescent="0.45">
      <c r="A112" s="19">
        <v>46020.398611111108</v>
      </c>
      <c r="B112" t="s">
        <v>78</v>
      </c>
      <c r="C112" t="s">
        <v>191</v>
      </c>
      <c r="D112" t="s">
        <v>74</v>
      </c>
      <c r="E112" t="s">
        <v>77</v>
      </c>
      <c r="F112" t="s">
        <v>100</v>
      </c>
      <c r="G112" t="s">
        <v>101</v>
      </c>
      <c r="H112" t="s">
        <v>102</v>
      </c>
      <c r="I112">
        <v>8</v>
      </c>
      <c r="J112">
        <v>8</v>
      </c>
      <c r="K112">
        <v>6</v>
      </c>
      <c r="L112">
        <v>7</v>
      </c>
      <c r="M112">
        <v>6</v>
      </c>
      <c r="N112">
        <v>7</v>
      </c>
      <c r="O112">
        <v>5</v>
      </c>
      <c r="P112">
        <v>5</v>
      </c>
      <c r="Q112">
        <v>5</v>
      </c>
    </row>
    <row r="113" spans="1:17" x14ac:dyDescent="0.45">
      <c r="A113" s="19">
        <v>46020.4</v>
      </c>
      <c r="B113" t="s">
        <v>72</v>
      </c>
      <c r="C113" t="s">
        <v>79</v>
      </c>
      <c r="D113" t="s">
        <v>74</v>
      </c>
      <c r="E113" t="s">
        <v>77</v>
      </c>
      <c r="F113" t="s">
        <v>100</v>
      </c>
      <c r="G113" t="s">
        <v>196</v>
      </c>
      <c r="H113" t="s">
        <v>105</v>
      </c>
      <c r="I113">
        <v>7</v>
      </c>
      <c r="J113">
        <v>8</v>
      </c>
      <c r="K113">
        <v>8</v>
      </c>
      <c r="L113">
        <v>8</v>
      </c>
      <c r="M113">
        <v>8</v>
      </c>
      <c r="N113">
        <v>8</v>
      </c>
      <c r="O113">
        <v>8</v>
      </c>
      <c r="P113">
        <v>8</v>
      </c>
      <c r="Q113">
        <v>8</v>
      </c>
    </row>
    <row r="114" spans="1:17" x14ac:dyDescent="0.45">
      <c r="A114" s="19">
        <v>46020.409722222219</v>
      </c>
      <c r="B114" t="s">
        <v>72</v>
      </c>
      <c r="C114" t="s">
        <v>73</v>
      </c>
      <c r="D114" t="s">
        <v>74</v>
      </c>
      <c r="E114" t="s">
        <v>77</v>
      </c>
      <c r="F114" t="s">
        <v>100</v>
      </c>
      <c r="G114" t="s">
        <v>194</v>
      </c>
      <c r="H114" t="s">
        <v>106</v>
      </c>
      <c r="I114">
        <v>1</v>
      </c>
      <c r="J114">
        <v>1</v>
      </c>
      <c r="K114">
        <v>1</v>
      </c>
      <c r="L114">
        <v>1</v>
      </c>
      <c r="M114">
        <v>1</v>
      </c>
      <c r="N114">
        <v>1</v>
      </c>
      <c r="O114">
        <v>1</v>
      </c>
      <c r="P114">
        <v>1</v>
      </c>
      <c r="Q114">
        <v>1</v>
      </c>
    </row>
    <row r="115" spans="1:17" x14ac:dyDescent="0.45">
      <c r="A115" s="19">
        <v>46020.418749999997</v>
      </c>
      <c r="B115" t="s">
        <v>72</v>
      </c>
      <c r="C115" t="s">
        <v>79</v>
      </c>
      <c r="D115" t="s">
        <v>74</v>
      </c>
      <c r="E115" t="s">
        <v>77</v>
      </c>
      <c r="F115" t="s">
        <v>100</v>
      </c>
      <c r="G115" t="s">
        <v>196</v>
      </c>
      <c r="H115" t="s">
        <v>195</v>
      </c>
      <c r="I115">
        <v>10</v>
      </c>
      <c r="J115">
        <v>10</v>
      </c>
      <c r="K115">
        <v>10</v>
      </c>
      <c r="L115">
        <v>10</v>
      </c>
      <c r="M115">
        <v>10</v>
      </c>
      <c r="N115">
        <v>10</v>
      </c>
      <c r="O115">
        <v>10</v>
      </c>
      <c r="P115">
        <v>10</v>
      </c>
      <c r="Q115">
        <v>10</v>
      </c>
    </row>
    <row r="116" spans="1:17" x14ac:dyDescent="0.45">
      <c r="A116" s="19">
        <v>46020.420138888891</v>
      </c>
      <c r="B116" t="s">
        <v>72</v>
      </c>
      <c r="C116" t="s">
        <v>79</v>
      </c>
      <c r="D116" t="s">
        <v>74</v>
      </c>
      <c r="E116" t="s">
        <v>75</v>
      </c>
      <c r="F116" t="s">
        <v>100</v>
      </c>
      <c r="G116" t="s">
        <v>104</v>
      </c>
      <c r="H116" t="s">
        <v>195</v>
      </c>
      <c r="I116">
        <v>1</v>
      </c>
      <c r="J116">
        <v>1</v>
      </c>
      <c r="K116">
        <v>1</v>
      </c>
      <c r="L116">
        <v>1</v>
      </c>
      <c r="M116">
        <v>1</v>
      </c>
      <c r="N116">
        <v>1</v>
      </c>
      <c r="O116">
        <v>1</v>
      </c>
      <c r="P116">
        <v>1</v>
      </c>
      <c r="Q116">
        <v>1</v>
      </c>
    </row>
    <row r="117" spans="1:17" x14ac:dyDescent="0.45">
      <c r="A117" s="19">
        <v>46020.493055555555</v>
      </c>
      <c r="B117" t="s">
        <v>72</v>
      </c>
      <c r="C117" t="s">
        <v>79</v>
      </c>
      <c r="D117" t="s">
        <v>74</v>
      </c>
      <c r="E117" t="s">
        <v>75</v>
      </c>
      <c r="F117" t="s">
        <v>100</v>
      </c>
      <c r="G117" t="s">
        <v>104</v>
      </c>
      <c r="H117" t="s">
        <v>110</v>
      </c>
      <c r="I117">
        <v>9</v>
      </c>
      <c r="J117">
        <v>9</v>
      </c>
      <c r="K117">
        <v>9</v>
      </c>
      <c r="L117">
        <v>9</v>
      </c>
      <c r="M117">
        <v>9</v>
      </c>
      <c r="N117">
        <v>9</v>
      </c>
      <c r="O117">
        <v>9</v>
      </c>
      <c r="P117">
        <v>8</v>
      </c>
      <c r="Q117">
        <v>9</v>
      </c>
    </row>
    <row r="118" spans="1:17" x14ac:dyDescent="0.45">
      <c r="A118" s="19">
        <v>46020.506944444445</v>
      </c>
      <c r="B118" t="s">
        <v>72</v>
      </c>
      <c r="C118" t="s">
        <v>79</v>
      </c>
      <c r="D118" t="s">
        <v>74</v>
      </c>
      <c r="E118" t="s">
        <v>77</v>
      </c>
      <c r="F118" t="s">
        <v>100</v>
      </c>
      <c r="G118" t="s">
        <v>111</v>
      </c>
      <c r="H118" t="s">
        <v>110</v>
      </c>
      <c r="I118">
        <v>8</v>
      </c>
      <c r="J118">
        <v>9</v>
      </c>
      <c r="K118">
        <v>8</v>
      </c>
      <c r="L118">
        <v>6</v>
      </c>
      <c r="M118">
        <v>8</v>
      </c>
      <c r="N118">
        <v>8</v>
      </c>
      <c r="O118">
        <v>8</v>
      </c>
      <c r="P118">
        <v>8</v>
      </c>
      <c r="Q118">
        <v>6</v>
      </c>
    </row>
    <row r="119" spans="1:17" x14ac:dyDescent="0.45">
      <c r="A119" s="19">
        <v>46020.542361111111</v>
      </c>
      <c r="B119" t="s">
        <v>78</v>
      </c>
      <c r="C119" t="s">
        <v>73</v>
      </c>
      <c r="D119" t="s">
        <v>74</v>
      </c>
      <c r="E119" t="s">
        <v>75</v>
      </c>
      <c r="F119" t="s">
        <v>100</v>
      </c>
      <c r="G119" t="s">
        <v>109</v>
      </c>
      <c r="H119" t="s">
        <v>102</v>
      </c>
      <c r="I119">
        <v>4</v>
      </c>
      <c r="J119">
        <v>1</v>
      </c>
      <c r="K119">
        <v>1</v>
      </c>
      <c r="L119">
        <v>5</v>
      </c>
      <c r="M119">
        <v>1</v>
      </c>
      <c r="N119">
        <v>3</v>
      </c>
      <c r="O119">
        <v>1</v>
      </c>
      <c r="P119">
        <v>1</v>
      </c>
      <c r="Q119">
        <v>5</v>
      </c>
    </row>
    <row r="120" spans="1:17" x14ac:dyDescent="0.45">
      <c r="A120" s="19">
        <v>46020.543055555558</v>
      </c>
      <c r="B120" t="s">
        <v>72</v>
      </c>
      <c r="C120" t="s">
        <v>193</v>
      </c>
      <c r="D120" t="s">
        <v>74</v>
      </c>
      <c r="E120" t="s">
        <v>77</v>
      </c>
      <c r="F120" t="s">
        <v>100</v>
      </c>
      <c r="G120" t="s">
        <v>111</v>
      </c>
      <c r="H120" t="s">
        <v>195</v>
      </c>
      <c r="I120">
        <v>8</v>
      </c>
      <c r="J120">
        <v>8</v>
      </c>
      <c r="K120">
        <v>6</v>
      </c>
      <c r="L120">
        <v>9</v>
      </c>
      <c r="M120">
        <v>8</v>
      </c>
      <c r="N120">
        <v>7</v>
      </c>
      <c r="O120">
        <v>7</v>
      </c>
      <c r="P120">
        <v>7</v>
      </c>
      <c r="Q120">
        <v>7</v>
      </c>
    </row>
    <row r="121" spans="1:17" x14ac:dyDescent="0.45">
      <c r="A121" s="19">
        <v>46020.543749999997</v>
      </c>
      <c r="B121" t="s">
        <v>72</v>
      </c>
      <c r="C121" t="s">
        <v>79</v>
      </c>
      <c r="D121" t="s">
        <v>80</v>
      </c>
      <c r="E121" t="s">
        <v>77</v>
      </c>
      <c r="F121" t="s">
        <v>100</v>
      </c>
      <c r="G121" t="s">
        <v>101</v>
      </c>
      <c r="H121" t="s">
        <v>106</v>
      </c>
      <c r="I121">
        <v>6</v>
      </c>
      <c r="J121">
        <v>6</v>
      </c>
      <c r="K121">
        <v>6</v>
      </c>
      <c r="L121">
        <v>6</v>
      </c>
      <c r="M121">
        <v>6</v>
      </c>
      <c r="N121">
        <v>6</v>
      </c>
      <c r="O121">
        <v>6</v>
      </c>
      <c r="P121">
        <v>6</v>
      </c>
      <c r="Q121">
        <v>6</v>
      </c>
    </row>
    <row r="122" spans="1:17" x14ac:dyDescent="0.45">
      <c r="A122" s="19">
        <v>46020.544444444444</v>
      </c>
      <c r="B122" t="s">
        <v>78</v>
      </c>
      <c r="C122" t="s">
        <v>191</v>
      </c>
      <c r="D122" t="s">
        <v>74</v>
      </c>
      <c r="E122" t="s">
        <v>75</v>
      </c>
      <c r="F122" t="s">
        <v>103</v>
      </c>
      <c r="G122" t="s">
        <v>108</v>
      </c>
      <c r="H122" t="s">
        <v>195</v>
      </c>
      <c r="I122">
        <v>1</v>
      </c>
      <c r="J122">
        <v>1</v>
      </c>
      <c r="K122">
        <v>1</v>
      </c>
      <c r="L122">
        <v>5</v>
      </c>
      <c r="M122">
        <v>1</v>
      </c>
      <c r="N122">
        <v>1</v>
      </c>
      <c r="O122">
        <v>1</v>
      </c>
      <c r="P122">
        <v>1</v>
      </c>
      <c r="Q122">
        <v>5</v>
      </c>
    </row>
    <row r="123" spans="1:17" x14ac:dyDescent="0.45">
      <c r="A123" s="19">
        <v>46020.545138888891</v>
      </c>
      <c r="B123" t="s">
        <v>78</v>
      </c>
      <c r="C123" t="s">
        <v>79</v>
      </c>
      <c r="D123" t="s">
        <v>74</v>
      </c>
      <c r="E123" t="s">
        <v>77</v>
      </c>
      <c r="F123" t="s">
        <v>100</v>
      </c>
      <c r="G123" t="s">
        <v>108</v>
      </c>
      <c r="H123" t="s">
        <v>110</v>
      </c>
      <c r="I123">
        <v>4</v>
      </c>
      <c r="J123">
        <v>4</v>
      </c>
      <c r="K123">
        <v>2</v>
      </c>
      <c r="L123">
        <v>5</v>
      </c>
      <c r="M123">
        <v>1</v>
      </c>
      <c r="N123">
        <v>1</v>
      </c>
      <c r="O123">
        <v>1</v>
      </c>
      <c r="P123">
        <v>4</v>
      </c>
      <c r="Q123">
        <v>4</v>
      </c>
    </row>
    <row r="124" spans="1:17" x14ac:dyDescent="0.45">
      <c r="A124" s="19">
        <v>46020.54583333333</v>
      </c>
      <c r="B124" t="s">
        <v>72</v>
      </c>
      <c r="C124" t="s">
        <v>189</v>
      </c>
      <c r="D124" t="s">
        <v>74</v>
      </c>
      <c r="E124" t="s">
        <v>77</v>
      </c>
      <c r="F124" t="s">
        <v>100</v>
      </c>
      <c r="G124" t="s">
        <v>194</v>
      </c>
      <c r="H124" t="s">
        <v>110</v>
      </c>
      <c r="I124">
        <v>7</v>
      </c>
      <c r="J124">
        <v>7</v>
      </c>
      <c r="K124">
        <v>7</v>
      </c>
      <c r="L124">
        <v>7</v>
      </c>
      <c r="M124">
        <v>7</v>
      </c>
      <c r="N124">
        <v>7</v>
      </c>
      <c r="O124">
        <v>7</v>
      </c>
      <c r="P124">
        <v>7</v>
      </c>
      <c r="Q124">
        <v>8</v>
      </c>
    </row>
    <row r="125" spans="1:17" x14ac:dyDescent="0.45">
      <c r="A125" s="19">
        <v>46020.589583333334</v>
      </c>
      <c r="B125" t="s">
        <v>72</v>
      </c>
      <c r="C125" t="s">
        <v>191</v>
      </c>
      <c r="D125" t="s">
        <v>74</v>
      </c>
      <c r="E125" t="s">
        <v>75</v>
      </c>
      <c r="F125" t="s">
        <v>100</v>
      </c>
      <c r="G125" t="s">
        <v>109</v>
      </c>
      <c r="H125" t="s">
        <v>102</v>
      </c>
      <c r="I125">
        <v>10</v>
      </c>
      <c r="J125">
        <v>9</v>
      </c>
      <c r="K125">
        <v>10</v>
      </c>
      <c r="L125">
        <v>10</v>
      </c>
      <c r="M125">
        <v>10</v>
      </c>
      <c r="N125">
        <v>8</v>
      </c>
      <c r="O125">
        <v>9</v>
      </c>
      <c r="P125">
        <v>9</v>
      </c>
      <c r="Q125">
        <v>9</v>
      </c>
    </row>
    <row r="126" spans="1:17" x14ac:dyDescent="0.45">
      <c r="A126" s="19">
        <v>46020.590277777781</v>
      </c>
      <c r="B126" t="s">
        <v>72</v>
      </c>
      <c r="C126" t="s">
        <v>189</v>
      </c>
      <c r="D126" t="s">
        <v>74</v>
      </c>
      <c r="E126" t="s">
        <v>77</v>
      </c>
      <c r="F126" t="s">
        <v>100</v>
      </c>
      <c r="G126" t="s">
        <v>104</v>
      </c>
      <c r="H126" t="s">
        <v>105</v>
      </c>
      <c r="I126">
        <v>10</v>
      </c>
      <c r="J126">
        <v>10</v>
      </c>
      <c r="K126">
        <v>10</v>
      </c>
      <c r="L126">
        <v>10</v>
      </c>
      <c r="M126">
        <v>10</v>
      </c>
      <c r="N126">
        <v>10</v>
      </c>
      <c r="O126">
        <v>10</v>
      </c>
      <c r="P126">
        <v>10</v>
      </c>
      <c r="Q126">
        <v>10</v>
      </c>
    </row>
    <row r="127" spans="1:17" x14ac:dyDescent="0.45">
      <c r="A127" s="19">
        <v>46020.601388888892</v>
      </c>
      <c r="B127" t="s">
        <v>78</v>
      </c>
      <c r="C127" t="s">
        <v>81</v>
      </c>
      <c r="D127" t="s">
        <v>74</v>
      </c>
      <c r="E127" t="s">
        <v>77</v>
      </c>
      <c r="F127" t="s">
        <v>100</v>
      </c>
      <c r="G127" t="s">
        <v>101</v>
      </c>
      <c r="H127" t="s">
        <v>110</v>
      </c>
      <c r="I127">
        <v>8</v>
      </c>
      <c r="J127">
        <v>8</v>
      </c>
      <c r="K127">
        <v>5</v>
      </c>
      <c r="L127">
        <v>8</v>
      </c>
      <c r="M127">
        <v>8</v>
      </c>
      <c r="N127">
        <v>8</v>
      </c>
      <c r="O127">
        <v>7</v>
      </c>
      <c r="P127">
        <v>7</v>
      </c>
      <c r="Q127">
        <v>8</v>
      </c>
    </row>
    <row r="128" spans="1:17" x14ac:dyDescent="0.45">
      <c r="A128" s="19">
        <v>46020.602083333331</v>
      </c>
      <c r="B128" t="s">
        <v>72</v>
      </c>
      <c r="C128" t="s">
        <v>79</v>
      </c>
      <c r="D128" t="s">
        <v>74</v>
      </c>
      <c r="E128" t="s">
        <v>77</v>
      </c>
      <c r="F128" t="s">
        <v>100</v>
      </c>
      <c r="G128" t="s">
        <v>108</v>
      </c>
      <c r="H128" t="s">
        <v>195</v>
      </c>
      <c r="I128">
        <v>1</v>
      </c>
      <c r="J128">
        <v>1</v>
      </c>
      <c r="K128">
        <v>1</v>
      </c>
      <c r="L128">
        <v>5</v>
      </c>
      <c r="M128">
        <v>1</v>
      </c>
      <c r="N128">
        <v>1</v>
      </c>
      <c r="O128">
        <v>1</v>
      </c>
      <c r="P128">
        <v>5</v>
      </c>
      <c r="Q128">
        <v>5</v>
      </c>
    </row>
    <row r="129" spans="1:17" x14ac:dyDescent="0.45">
      <c r="A129" s="19">
        <v>46020.602777777778</v>
      </c>
      <c r="B129" t="s">
        <v>78</v>
      </c>
      <c r="C129" t="s">
        <v>191</v>
      </c>
      <c r="D129" t="s">
        <v>74</v>
      </c>
      <c r="E129" t="s">
        <v>77</v>
      </c>
      <c r="F129" t="s">
        <v>100</v>
      </c>
      <c r="G129" t="s">
        <v>108</v>
      </c>
      <c r="H129" t="s">
        <v>195</v>
      </c>
      <c r="I129">
        <v>6</v>
      </c>
      <c r="J129">
        <v>6</v>
      </c>
      <c r="K129">
        <v>6</v>
      </c>
      <c r="L129">
        <v>8</v>
      </c>
      <c r="M129">
        <v>6</v>
      </c>
      <c r="N129">
        <v>3</v>
      </c>
      <c r="O129">
        <v>5</v>
      </c>
      <c r="P129">
        <v>5</v>
      </c>
      <c r="Q129">
        <v>4</v>
      </c>
    </row>
    <row r="130" spans="1:17" x14ac:dyDescent="0.45">
      <c r="A130" s="19">
        <v>46020.603472222225</v>
      </c>
      <c r="B130" t="s">
        <v>78</v>
      </c>
      <c r="C130" t="s">
        <v>191</v>
      </c>
      <c r="D130" t="s">
        <v>74</v>
      </c>
      <c r="E130" t="s">
        <v>75</v>
      </c>
      <c r="F130" t="s">
        <v>100</v>
      </c>
      <c r="G130" t="s">
        <v>108</v>
      </c>
      <c r="H130" t="s">
        <v>106</v>
      </c>
      <c r="I130">
        <v>6</v>
      </c>
      <c r="J130">
        <v>6</v>
      </c>
      <c r="K130">
        <v>4</v>
      </c>
      <c r="L130">
        <v>5</v>
      </c>
      <c r="M130">
        <v>5</v>
      </c>
      <c r="N130">
        <v>1</v>
      </c>
      <c r="O130">
        <v>5</v>
      </c>
      <c r="P130">
        <v>4</v>
      </c>
      <c r="Q130">
        <v>5</v>
      </c>
    </row>
    <row r="131" spans="1:17" x14ac:dyDescent="0.45">
      <c r="A131" s="19">
        <v>46020.603472222225</v>
      </c>
      <c r="B131" t="s">
        <v>72</v>
      </c>
      <c r="C131" t="s">
        <v>193</v>
      </c>
      <c r="D131" t="s">
        <v>74</v>
      </c>
      <c r="E131" t="s">
        <v>75</v>
      </c>
      <c r="F131" t="s">
        <v>100</v>
      </c>
      <c r="G131" t="s">
        <v>107</v>
      </c>
      <c r="H131" t="s">
        <v>105</v>
      </c>
      <c r="I131">
        <v>5</v>
      </c>
      <c r="J131">
        <v>5</v>
      </c>
      <c r="K131">
        <v>1</v>
      </c>
      <c r="L131">
        <v>4</v>
      </c>
      <c r="M131">
        <v>2</v>
      </c>
      <c r="N131">
        <v>1</v>
      </c>
      <c r="O131">
        <v>1</v>
      </c>
      <c r="P131">
        <v>1</v>
      </c>
      <c r="Q131">
        <v>5</v>
      </c>
    </row>
    <row r="132" spans="1:17" x14ac:dyDescent="0.45">
      <c r="A132" s="19">
        <v>46020.604861111111</v>
      </c>
      <c r="B132" t="s">
        <v>72</v>
      </c>
      <c r="C132" t="s">
        <v>73</v>
      </c>
      <c r="D132" t="s">
        <v>74</v>
      </c>
      <c r="E132" t="s">
        <v>75</v>
      </c>
      <c r="F132" t="s">
        <v>100</v>
      </c>
      <c r="G132" t="s">
        <v>107</v>
      </c>
      <c r="H132" t="s">
        <v>102</v>
      </c>
      <c r="I132">
        <v>8</v>
      </c>
      <c r="J132">
        <v>9</v>
      </c>
      <c r="K132">
        <v>5</v>
      </c>
      <c r="L132">
        <v>5</v>
      </c>
      <c r="M132">
        <v>5</v>
      </c>
      <c r="N132">
        <v>4</v>
      </c>
      <c r="O132">
        <v>5</v>
      </c>
      <c r="P132">
        <v>5</v>
      </c>
      <c r="Q132">
        <v>5</v>
      </c>
    </row>
    <row r="133" spans="1:17" x14ac:dyDescent="0.45">
      <c r="A133" s="19">
        <v>46020.604861111111</v>
      </c>
      <c r="B133" t="s">
        <v>78</v>
      </c>
      <c r="C133" t="s">
        <v>189</v>
      </c>
      <c r="D133" t="s">
        <v>74</v>
      </c>
      <c r="E133" t="s">
        <v>77</v>
      </c>
      <c r="F133" t="s">
        <v>100</v>
      </c>
      <c r="G133" t="s">
        <v>104</v>
      </c>
      <c r="H133" t="s">
        <v>110</v>
      </c>
      <c r="I133">
        <v>9</v>
      </c>
      <c r="J133">
        <v>9</v>
      </c>
      <c r="K133">
        <v>9</v>
      </c>
      <c r="L133">
        <v>9</v>
      </c>
      <c r="M133">
        <v>7</v>
      </c>
      <c r="N133">
        <v>10</v>
      </c>
      <c r="O133">
        <v>5</v>
      </c>
      <c r="P133">
        <v>5</v>
      </c>
      <c r="Q133">
        <v>9</v>
      </c>
    </row>
    <row r="134" spans="1:17" x14ac:dyDescent="0.45">
      <c r="A134" s="19">
        <v>46020.605555555558</v>
      </c>
      <c r="B134" t="s">
        <v>78</v>
      </c>
      <c r="C134" t="s">
        <v>81</v>
      </c>
      <c r="D134" t="s">
        <v>74</v>
      </c>
      <c r="E134" t="s">
        <v>190</v>
      </c>
      <c r="F134" t="s">
        <v>100</v>
      </c>
      <c r="G134" t="s">
        <v>109</v>
      </c>
      <c r="H134" t="s">
        <v>110</v>
      </c>
      <c r="I134">
        <v>5</v>
      </c>
      <c r="J134">
        <v>5</v>
      </c>
      <c r="K134">
        <v>5</v>
      </c>
      <c r="L134">
        <v>5</v>
      </c>
      <c r="M134">
        <v>5</v>
      </c>
      <c r="N134">
        <v>5</v>
      </c>
      <c r="O134">
        <v>5</v>
      </c>
      <c r="P134">
        <v>5</v>
      </c>
      <c r="Q134">
        <v>5</v>
      </c>
    </row>
    <row r="135" spans="1:17" x14ac:dyDescent="0.45">
      <c r="A135" s="19">
        <v>46020.606249999997</v>
      </c>
      <c r="B135" t="s">
        <v>72</v>
      </c>
      <c r="C135" t="s">
        <v>189</v>
      </c>
      <c r="D135" t="s">
        <v>74</v>
      </c>
      <c r="E135" t="s">
        <v>77</v>
      </c>
      <c r="F135" t="s">
        <v>100</v>
      </c>
      <c r="G135" t="s">
        <v>196</v>
      </c>
      <c r="H135" t="s">
        <v>110</v>
      </c>
      <c r="I135">
        <v>9</v>
      </c>
      <c r="J135">
        <v>9</v>
      </c>
      <c r="K135">
        <v>5</v>
      </c>
      <c r="L135">
        <v>9</v>
      </c>
      <c r="M135">
        <v>8</v>
      </c>
      <c r="N135">
        <v>10</v>
      </c>
      <c r="O135">
        <v>5</v>
      </c>
      <c r="P135">
        <v>5</v>
      </c>
      <c r="Q135">
        <v>7</v>
      </c>
    </row>
    <row r="136" spans="1:17" x14ac:dyDescent="0.45">
      <c r="A136" s="19">
        <v>46020.609027777777</v>
      </c>
      <c r="B136" t="s">
        <v>78</v>
      </c>
      <c r="C136" t="s">
        <v>189</v>
      </c>
      <c r="D136" t="s">
        <v>74</v>
      </c>
      <c r="E136" t="s">
        <v>77</v>
      </c>
      <c r="F136" t="s">
        <v>100</v>
      </c>
      <c r="G136" t="s">
        <v>104</v>
      </c>
      <c r="H136" t="s">
        <v>110</v>
      </c>
      <c r="I136">
        <v>5</v>
      </c>
      <c r="J136">
        <v>5</v>
      </c>
      <c r="K136">
        <v>5</v>
      </c>
      <c r="L136">
        <v>6</v>
      </c>
      <c r="M136">
        <v>6</v>
      </c>
      <c r="N136">
        <v>6</v>
      </c>
      <c r="O136">
        <v>6</v>
      </c>
      <c r="P136">
        <v>6</v>
      </c>
      <c r="Q136">
        <v>6</v>
      </c>
    </row>
    <row r="137" spans="1:17" x14ac:dyDescent="0.45">
      <c r="A137" s="19">
        <v>46020.613194444442</v>
      </c>
      <c r="B137" t="s">
        <v>72</v>
      </c>
      <c r="C137" t="s">
        <v>193</v>
      </c>
      <c r="D137" t="s">
        <v>74</v>
      </c>
      <c r="E137" t="s">
        <v>77</v>
      </c>
      <c r="F137" t="s">
        <v>197</v>
      </c>
      <c r="G137" t="s">
        <v>194</v>
      </c>
      <c r="H137" t="s">
        <v>110</v>
      </c>
      <c r="I137">
        <v>8</v>
      </c>
      <c r="J137">
        <v>8</v>
      </c>
      <c r="K137">
        <v>8</v>
      </c>
      <c r="L137">
        <v>8</v>
      </c>
      <c r="M137">
        <v>10</v>
      </c>
      <c r="N137">
        <v>10</v>
      </c>
      <c r="O137">
        <v>10</v>
      </c>
      <c r="P137">
        <v>10</v>
      </c>
      <c r="Q137">
        <v>10</v>
      </c>
    </row>
    <row r="138" spans="1:17" x14ac:dyDescent="0.45">
      <c r="A138" s="19">
        <v>46020.637499999997</v>
      </c>
      <c r="B138" t="s">
        <v>78</v>
      </c>
      <c r="C138" t="s">
        <v>191</v>
      </c>
      <c r="D138" t="s">
        <v>74</v>
      </c>
      <c r="E138" t="s">
        <v>77</v>
      </c>
      <c r="F138" t="s">
        <v>100</v>
      </c>
      <c r="G138" t="s">
        <v>108</v>
      </c>
      <c r="H138" t="s">
        <v>195</v>
      </c>
      <c r="I138">
        <v>8</v>
      </c>
      <c r="J138">
        <v>8</v>
      </c>
      <c r="K138">
        <v>8</v>
      </c>
      <c r="L138">
        <v>8</v>
      </c>
      <c r="M138">
        <v>8</v>
      </c>
      <c r="N138">
        <v>8</v>
      </c>
      <c r="O138">
        <v>5</v>
      </c>
      <c r="P138">
        <v>7</v>
      </c>
      <c r="Q138">
        <v>8</v>
      </c>
    </row>
    <row r="139" spans="1:17" x14ac:dyDescent="0.45">
      <c r="A139" s="19">
        <v>46020.640972222223</v>
      </c>
      <c r="B139" t="s">
        <v>72</v>
      </c>
      <c r="C139" t="s">
        <v>81</v>
      </c>
      <c r="D139" t="s">
        <v>74</v>
      </c>
      <c r="E139" t="s">
        <v>75</v>
      </c>
      <c r="F139" t="s">
        <v>100</v>
      </c>
      <c r="G139" t="s">
        <v>104</v>
      </c>
      <c r="H139" t="s">
        <v>110</v>
      </c>
      <c r="I139">
        <v>8</v>
      </c>
      <c r="J139">
        <v>9</v>
      </c>
      <c r="K139">
        <v>7</v>
      </c>
      <c r="L139">
        <v>7</v>
      </c>
      <c r="M139">
        <v>6</v>
      </c>
      <c r="N139">
        <v>6</v>
      </c>
      <c r="O139">
        <v>2</v>
      </c>
      <c r="P139">
        <v>5</v>
      </c>
      <c r="Q139">
        <v>6</v>
      </c>
    </row>
    <row r="140" spans="1:17" x14ac:dyDescent="0.45">
      <c r="A140" s="19">
        <v>46020.852083333331</v>
      </c>
      <c r="B140" t="s">
        <v>72</v>
      </c>
      <c r="C140" t="s">
        <v>79</v>
      </c>
      <c r="D140" t="s">
        <v>74</v>
      </c>
      <c r="E140" t="s">
        <v>75</v>
      </c>
      <c r="F140" t="s">
        <v>100</v>
      </c>
      <c r="G140" t="s">
        <v>108</v>
      </c>
      <c r="H140" t="s">
        <v>105</v>
      </c>
      <c r="I140">
        <v>5</v>
      </c>
      <c r="J140">
        <v>4</v>
      </c>
      <c r="K140">
        <v>7</v>
      </c>
      <c r="L140">
        <v>6</v>
      </c>
      <c r="M140">
        <v>3</v>
      </c>
      <c r="N140">
        <v>4</v>
      </c>
      <c r="O140">
        <v>4</v>
      </c>
      <c r="P140">
        <v>5</v>
      </c>
      <c r="Q140">
        <v>5</v>
      </c>
    </row>
    <row r="141" spans="1:17" x14ac:dyDescent="0.45">
      <c r="A141" s="19">
        <v>46020.888888888891</v>
      </c>
      <c r="B141" t="s">
        <v>72</v>
      </c>
      <c r="C141" t="s">
        <v>73</v>
      </c>
      <c r="D141" t="s">
        <v>74</v>
      </c>
      <c r="E141" t="s">
        <v>77</v>
      </c>
      <c r="F141" t="s">
        <v>100</v>
      </c>
      <c r="G141" t="s">
        <v>101</v>
      </c>
      <c r="H141" t="s">
        <v>102</v>
      </c>
      <c r="I141">
        <v>10</v>
      </c>
      <c r="J141">
        <v>9</v>
      </c>
      <c r="K141">
        <v>9</v>
      </c>
      <c r="L141">
        <v>9</v>
      </c>
      <c r="M141">
        <v>8</v>
      </c>
      <c r="N141">
        <v>8</v>
      </c>
      <c r="O141">
        <v>8</v>
      </c>
      <c r="P141">
        <v>8</v>
      </c>
      <c r="Q141">
        <v>10</v>
      </c>
    </row>
    <row r="142" spans="1:17" x14ac:dyDescent="0.45">
      <c r="A142" s="19">
        <v>46020.88958333333</v>
      </c>
      <c r="B142" t="s">
        <v>78</v>
      </c>
      <c r="C142" t="s">
        <v>73</v>
      </c>
      <c r="D142" t="s">
        <v>74</v>
      </c>
      <c r="E142" t="s">
        <v>77</v>
      </c>
      <c r="F142" t="s">
        <v>100</v>
      </c>
      <c r="G142" t="s">
        <v>101</v>
      </c>
      <c r="H142" t="s">
        <v>102</v>
      </c>
      <c r="I142">
        <v>8</v>
      </c>
      <c r="J142">
        <v>7</v>
      </c>
      <c r="K142">
        <v>6</v>
      </c>
      <c r="L142">
        <v>6</v>
      </c>
      <c r="M142">
        <v>5</v>
      </c>
      <c r="N142">
        <v>5</v>
      </c>
      <c r="O142">
        <v>3</v>
      </c>
      <c r="P142">
        <v>3</v>
      </c>
      <c r="Q142">
        <v>5</v>
      </c>
    </row>
    <row r="143" spans="1:17" x14ac:dyDescent="0.45">
      <c r="A143" s="19">
        <v>46021.341666666667</v>
      </c>
      <c r="B143" t="s">
        <v>78</v>
      </c>
      <c r="C143" t="s">
        <v>79</v>
      </c>
      <c r="D143" t="s">
        <v>74</v>
      </c>
      <c r="E143" t="s">
        <v>75</v>
      </c>
      <c r="F143" t="s">
        <v>100</v>
      </c>
      <c r="G143" t="s">
        <v>194</v>
      </c>
      <c r="H143" t="s">
        <v>102</v>
      </c>
      <c r="I143">
        <v>5</v>
      </c>
      <c r="J143">
        <v>6</v>
      </c>
      <c r="K143">
        <v>5</v>
      </c>
      <c r="L143">
        <v>7</v>
      </c>
      <c r="M143">
        <v>6</v>
      </c>
      <c r="N143">
        <v>6</v>
      </c>
      <c r="O143">
        <v>6</v>
      </c>
      <c r="P143">
        <v>7</v>
      </c>
      <c r="Q143">
        <v>7</v>
      </c>
    </row>
    <row r="144" spans="1:17" x14ac:dyDescent="0.45">
      <c r="A144" s="19">
        <v>46021.448611111111</v>
      </c>
      <c r="B144" t="s">
        <v>78</v>
      </c>
      <c r="C144" t="s">
        <v>73</v>
      </c>
      <c r="D144" t="s">
        <v>74</v>
      </c>
      <c r="E144" t="s">
        <v>75</v>
      </c>
      <c r="F144" t="s">
        <v>100</v>
      </c>
      <c r="G144" t="s">
        <v>108</v>
      </c>
      <c r="H144" t="s">
        <v>110</v>
      </c>
      <c r="I144">
        <v>1</v>
      </c>
      <c r="J144">
        <v>1</v>
      </c>
      <c r="K144">
        <v>8</v>
      </c>
      <c r="L144">
        <v>8</v>
      </c>
      <c r="M144">
        <v>8</v>
      </c>
      <c r="N144">
        <v>8</v>
      </c>
      <c r="O144">
        <v>8</v>
      </c>
      <c r="P144">
        <v>8</v>
      </c>
      <c r="Q144">
        <v>8</v>
      </c>
    </row>
    <row r="145" spans="1:17" x14ac:dyDescent="0.45">
      <c r="A145" s="19">
        <v>46021.449305555558</v>
      </c>
      <c r="B145" t="s">
        <v>72</v>
      </c>
      <c r="C145" t="s">
        <v>191</v>
      </c>
      <c r="D145" t="s">
        <v>74</v>
      </c>
      <c r="E145" t="s">
        <v>77</v>
      </c>
      <c r="F145" t="s">
        <v>100</v>
      </c>
      <c r="G145" t="s">
        <v>111</v>
      </c>
      <c r="H145" t="s">
        <v>105</v>
      </c>
      <c r="I145">
        <v>9</v>
      </c>
      <c r="J145">
        <v>9</v>
      </c>
      <c r="K145">
        <v>9</v>
      </c>
      <c r="L145">
        <v>9</v>
      </c>
      <c r="M145">
        <v>10</v>
      </c>
      <c r="N145">
        <v>5</v>
      </c>
      <c r="O145">
        <v>9</v>
      </c>
      <c r="P145">
        <v>9</v>
      </c>
      <c r="Q145">
        <v>10</v>
      </c>
    </row>
    <row r="146" spans="1:17" x14ac:dyDescent="0.45">
      <c r="A146" s="19">
        <v>46021.451388888891</v>
      </c>
      <c r="B146" t="s">
        <v>72</v>
      </c>
      <c r="C146" t="s">
        <v>79</v>
      </c>
      <c r="D146" t="s">
        <v>74</v>
      </c>
      <c r="E146" t="s">
        <v>77</v>
      </c>
      <c r="F146" t="s">
        <v>100</v>
      </c>
      <c r="G146" t="s">
        <v>111</v>
      </c>
      <c r="H146" t="s">
        <v>105</v>
      </c>
      <c r="I146">
        <v>10</v>
      </c>
      <c r="J146">
        <v>10</v>
      </c>
      <c r="K146">
        <v>9</v>
      </c>
      <c r="L146">
        <v>6</v>
      </c>
      <c r="M146">
        <v>6</v>
      </c>
      <c r="N146">
        <v>3</v>
      </c>
      <c r="O146">
        <v>5</v>
      </c>
      <c r="P146">
        <v>5</v>
      </c>
      <c r="Q146">
        <v>1</v>
      </c>
    </row>
    <row r="147" spans="1:17" x14ac:dyDescent="0.45">
      <c r="A147" s="19">
        <v>46021.45416666667</v>
      </c>
      <c r="B147" t="s">
        <v>72</v>
      </c>
      <c r="C147" t="s">
        <v>79</v>
      </c>
      <c r="D147" t="s">
        <v>74</v>
      </c>
      <c r="E147" t="s">
        <v>77</v>
      </c>
      <c r="F147" t="s">
        <v>100</v>
      </c>
      <c r="G147" t="s">
        <v>107</v>
      </c>
      <c r="H147" t="s">
        <v>106</v>
      </c>
      <c r="I147">
        <v>8</v>
      </c>
      <c r="J147">
        <v>8</v>
      </c>
      <c r="K147">
        <v>5</v>
      </c>
      <c r="L147">
        <v>5</v>
      </c>
      <c r="M147">
        <v>5</v>
      </c>
      <c r="N147">
        <v>3</v>
      </c>
      <c r="O147">
        <v>5</v>
      </c>
      <c r="P147">
        <v>5</v>
      </c>
      <c r="Q147">
        <v>5</v>
      </c>
    </row>
    <row r="148" spans="1:17" x14ac:dyDescent="0.45">
      <c r="A148" s="19">
        <v>46021.457638888889</v>
      </c>
      <c r="B148" t="s">
        <v>72</v>
      </c>
      <c r="C148" t="s">
        <v>193</v>
      </c>
      <c r="D148" t="s">
        <v>74</v>
      </c>
      <c r="E148" t="s">
        <v>75</v>
      </c>
      <c r="F148" t="s">
        <v>100</v>
      </c>
      <c r="G148" t="s">
        <v>108</v>
      </c>
      <c r="H148" t="s">
        <v>110</v>
      </c>
      <c r="I148">
        <v>7</v>
      </c>
      <c r="J148">
        <v>7</v>
      </c>
      <c r="K148">
        <v>1</v>
      </c>
      <c r="L148">
        <v>6</v>
      </c>
      <c r="M148">
        <v>3</v>
      </c>
      <c r="N148">
        <v>5</v>
      </c>
      <c r="O148">
        <v>1</v>
      </c>
      <c r="P148">
        <v>4</v>
      </c>
      <c r="Q148">
        <v>5</v>
      </c>
    </row>
    <row r="149" spans="1:17" x14ac:dyDescent="0.45">
      <c r="A149" s="19">
        <v>46021.461805555555</v>
      </c>
      <c r="B149" t="s">
        <v>78</v>
      </c>
      <c r="C149" t="s">
        <v>81</v>
      </c>
      <c r="D149" t="s">
        <v>74</v>
      </c>
      <c r="E149" t="s">
        <v>77</v>
      </c>
      <c r="F149" t="s">
        <v>100</v>
      </c>
      <c r="G149" t="s">
        <v>196</v>
      </c>
      <c r="H149" t="s">
        <v>110</v>
      </c>
      <c r="I149">
        <v>6</v>
      </c>
      <c r="J149">
        <v>6</v>
      </c>
      <c r="K149">
        <v>5</v>
      </c>
      <c r="L149">
        <v>7</v>
      </c>
      <c r="M149">
        <v>5</v>
      </c>
      <c r="N149">
        <v>7</v>
      </c>
      <c r="O149">
        <v>5</v>
      </c>
      <c r="P149">
        <v>6</v>
      </c>
      <c r="Q149">
        <v>7</v>
      </c>
    </row>
    <row r="150" spans="1:17" x14ac:dyDescent="0.45">
      <c r="A150" s="19">
        <v>46021.464583333334</v>
      </c>
      <c r="B150" t="s">
        <v>72</v>
      </c>
      <c r="C150" t="s">
        <v>79</v>
      </c>
      <c r="D150" t="s">
        <v>74</v>
      </c>
      <c r="E150" t="s">
        <v>77</v>
      </c>
      <c r="F150" t="s">
        <v>100</v>
      </c>
      <c r="G150" t="s">
        <v>108</v>
      </c>
      <c r="H150" t="s">
        <v>106</v>
      </c>
      <c r="I150">
        <v>10</v>
      </c>
      <c r="J150">
        <v>10</v>
      </c>
      <c r="K150">
        <v>7</v>
      </c>
      <c r="L150">
        <v>8</v>
      </c>
      <c r="M150">
        <v>8</v>
      </c>
      <c r="N150">
        <v>4</v>
      </c>
      <c r="O150">
        <v>1</v>
      </c>
      <c r="P150">
        <v>3</v>
      </c>
      <c r="Q150">
        <v>6</v>
      </c>
    </row>
    <row r="151" spans="1:17" x14ac:dyDescent="0.45">
      <c r="A151" s="19">
        <v>46021.474999999999</v>
      </c>
      <c r="B151" t="s">
        <v>72</v>
      </c>
      <c r="C151" t="s">
        <v>79</v>
      </c>
      <c r="D151" t="s">
        <v>74</v>
      </c>
      <c r="E151" t="s">
        <v>77</v>
      </c>
      <c r="F151" t="s">
        <v>100</v>
      </c>
      <c r="G151" t="s">
        <v>111</v>
      </c>
      <c r="H151" t="s">
        <v>105</v>
      </c>
      <c r="I151">
        <v>7</v>
      </c>
      <c r="J151">
        <v>10</v>
      </c>
      <c r="K151">
        <v>5</v>
      </c>
      <c r="L151">
        <v>7</v>
      </c>
      <c r="M151">
        <v>7</v>
      </c>
      <c r="N151">
        <v>7</v>
      </c>
      <c r="O151">
        <v>7</v>
      </c>
      <c r="P151">
        <v>7</v>
      </c>
      <c r="Q151">
        <v>10</v>
      </c>
    </row>
    <row r="152" spans="1:17" x14ac:dyDescent="0.45">
      <c r="A152" s="19">
        <v>46021.487500000003</v>
      </c>
      <c r="B152" t="s">
        <v>72</v>
      </c>
      <c r="C152" t="s">
        <v>73</v>
      </c>
      <c r="D152" t="s">
        <v>74</v>
      </c>
      <c r="E152" t="s">
        <v>77</v>
      </c>
      <c r="F152" t="s">
        <v>100</v>
      </c>
      <c r="G152" t="s">
        <v>107</v>
      </c>
      <c r="H152" t="s">
        <v>105</v>
      </c>
      <c r="I152">
        <v>8</v>
      </c>
      <c r="J152">
        <v>8</v>
      </c>
      <c r="K152">
        <v>8</v>
      </c>
      <c r="L152">
        <v>8</v>
      </c>
      <c r="M152">
        <v>8</v>
      </c>
      <c r="N152">
        <v>8</v>
      </c>
      <c r="O152">
        <v>8</v>
      </c>
      <c r="P152">
        <v>8</v>
      </c>
      <c r="Q152">
        <v>8</v>
      </c>
    </row>
    <row r="153" spans="1:17" x14ac:dyDescent="0.45">
      <c r="A153" s="19">
        <v>46021.506944444445</v>
      </c>
      <c r="B153" t="s">
        <v>72</v>
      </c>
      <c r="C153" t="s">
        <v>79</v>
      </c>
      <c r="D153" t="s">
        <v>74</v>
      </c>
      <c r="E153" t="s">
        <v>75</v>
      </c>
      <c r="F153" t="s">
        <v>100</v>
      </c>
      <c r="G153" t="s">
        <v>107</v>
      </c>
      <c r="H153" t="s">
        <v>105</v>
      </c>
      <c r="I153">
        <v>10</v>
      </c>
      <c r="J153">
        <v>10</v>
      </c>
      <c r="K153">
        <v>10</v>
      </c>
      <c r="L153">
        <v>10</v>
      </c>
      <c r="M153">
        <v>10</v>
      </c>
      <c r="N153">
        <v>10</v>
      </c>
      <c r="O153">
        <v>10</v>
      </c>
      <c r="P153">
        <v>10</v>
      </c>
      <c r="Q153">
        <v>10</v>
      </c>
    </row>
    <row r="154" spans="1:17" x14ac:dyDescent="0.45">
      <c r="A154" s="19">
        <v>46021.51458333333</v>
      </c>
      <c r="B154" t="s">
        <v>78</v>
      </c>
      <c r="C154" t="s">
        <v>73</v>
      </c>
      <c r="D154" t="s">
        <v>74</v>
      </c>
      <c r="E154" t="s">
        <v>77</v>
      </c>
      <c r="F154" t="s">
        <v>100</v>
      </c>
      <c r="G154" t="s">
        <v>194</v>
      </c>
      <c r="H154" t="s">
        <v>102</v>
      </c>
      <c r="I154">
        <v>7</v>
      </c>
      <c r="J154">
        <v>7</v>
      </c>
      <c r="K154">
        <v>5</v>
      </c>
      <c r="L154">
        <v>7</v>
      </c>
      <c r="M154">
        <v>7</v>
      </c>
      <c r="N154">
        <v>7</v>
      </c>
      <c r="O154">
        <v>7</v>
      </c>
      <c r="P154">
        <v>7</v>
      </c>
      <c r="Q154">
        <v>7</v>
      </c>
    </row>
    <row r="155" spans="1:17" x14ac:dyDescent="0.45">
      <c r="A155" s="19">
        <v>46021.613888888889</v>
      </c>
      <c r="B155" t="s">
        <v>72</v>
      </c>
      <c r="C155" t="s">
        <v>81</v>
      </c>
      <c r="D155" t="s">
        <v>74</v>
      </c>
      <c r="E155" t="s">
        <v>77</v>
      </c>
      <c r="F155" t="s">
        <v>100</v>
      </c>
      <c r="G155" t="s">
        <v>194</v>
      </c>
      <c r="H155" t="s">
        <v>105</v>
      </c>
      <c r="I155">
        <v>7</v>
      </c>
      <c r="J155">
        <v>8</v>
      </c>
      <c r="K155">
        <v>8</v>
      </c>
      <c r="L155">
        <v>8</v>
      </c>
      <c r="M155">
        <v>6</v>
      </c>
      <c r="N155">
        <v>8</v>
      </c>
      <c r="O155">
        <v>5</v>
      </c>
      <c r="P155">
        <v>8</v>
      </c>
      <c r="Q155">
        <v>8</v>
      </c>
    </row>
    <row r="156" spans="1:17" x14ac:dyDescent="0.45">
      <c r="A156" s="19">
        <v>46021.785416666666</v>
      </c>
      <c r="B156" t="s">
        <v>72</v>
      </c>
      <c r="C156" t="s">
        <v>73</v>
      </c>
      <c r="D156" t="s">
        <v>74</v>
      </c>
      <c r="E156" t="s">
        <v>75</v>
      </c>
      <c r="F156" t="s">
        <v>100</v>
      </c>
      <c r="G156" t="s">
        <v>111</v>
      </c>
      <c r="H156" t="s">
        <v>102</v>
      </c>
      <c r="I156">
        <v>10</v>
      </c>
      <c r="J156">
        <v>10</v>
      </c>
      <c r="K156">
        <v>10</v>
      </c>
      <c r="L156">
        <v>10</v>
      </c>
      <c r="M156">
        <v>10</v>
      </c>
      <c r="N156">
        <v>10</v>
      </c>
      <c r="O156">
        <v>10</v>
      </c>
      <c r="P156">
        <v>10</v>
      </c>
      <c r="Q156">
        <v>10</v>
      </c>
    </row>
    <row r="157" spans="1:17" x14ac:dyDescent="0.45">
      <c r="A157" s="19">
        <v>46021.790972222225</v>
      </c>
      <c r="B157" t="s">
        <v>72</v>
      </c>
      <c r="C157" t="s">
        <v>73</v>
      </c>
      <c r="D157" t="s">
        <v>74</v>
      </c>
      <c r="E157" t="s">
        <v>75</v>
      </c>
      <c r="F157" t="s">
        <v>100</v>
      </c>
      <c r="G157" t="s">
        <v>101</v>
      </c>
      <c r="H157" t="s">
        <v>102</v>
      </c>
      <c r="I157">
        <v>10</v>
      </c>
      <c r="J157">
        <v>10</v>
      </c>
      <c r="K157">
        <v>10</v>
      </c>
      <c r="L157">
        <v>10</v>
      </c>
      <c r="M157">
        <v>10</v>
      </c>
      <c r="N157">
        <v>10</v>
      </c>
      <c r="O157">
        <v>10</v>
      </c>
      <c r="P157">
        <v>10</v>
      </c>
      <c r="Q157">
        <v>10</v>
      </c>
    </row>
    <row r="158" spans="1:17" x14ac:dyDescent="0.45">
      <c r="A158" s="19">
        <v>46021.80972222222</v>
      </c>
      <c r="B158" t="s">
        <v>78</v>
      </c>
      <c r="C158" t="s">
        <v>73</v>
      </c>
      <c r="D158" t="s">
        <v>74</v>
      </c>
      <c r="E158" t="s">
        <v>77</v>
      </c>
      <c r="F158" t="s">
        <v>100</v>
      </c>
      <c r="G158" t="s">
        <v>107</v>
      </c>
      <c r="H158" t="s">
        <v>195</v>
      </c>
      <c r="I158">
        <v>10</v>
      </c>
      <c r="J158">
        <v>10</v>
      </c>
      <c r="K158">
        <v>1</v>
      </c>
      <c r="L158">
        <v>10</v>
      </c>
      <c r="M158">
        <v>1</v>
      </c>
      <c r="N158">
        <v>1</v>
      </c>
      <c r="O158">
        <v>1</v>
      </c>
      <c r="P158">
        <v>1</v>
      </c>
      <c r="Q158">
        <v>6</v>
      </c>
    </row>
    <row r="159" spans="1:17" x14ac:dyDescent="0.45">
      <c r="A159" s="19">
        <v>46021.82708333333</v>
      </c>
      <c r="B159" t="s">
        <v>72</v>
      </c>
      <c r="C159" t="s">
        <v>73</v>
      </c>
      <c r="D159" t="s">
        <v>74</v>
      </c>
      <c r="E159" t="s">
        <v>77</v>
      </c>
      <c r="F159" t="s">
        <v>100</v>
      </c>
      <c r="G159" t="s">
        <v>107</v>
      </c>
      <c r="H159" t="s">
        <v>105</v>
      </c>
      <c r="I159">
        <v>7</v>
      </c>
      <c r="J159">
        <v>8</v>
      </c>
      <c r="K159">
        <v>6</v>
      </c>
      <c r="L159">
        <v>6</v>
      </c>
      <c r="M159">
        <v>7</v>
      </c>
      <c r="N159">
        <v>5</v>
      </c>
      <c r="O159">
        <v>6</v>
      </c>
      <c r="P159">
        <v>7</v>
      </c>
      <c r="Q159">
        <v>7</v>
      </c>
    </row>
    <row r="160" spans="1:17" x14ac:dyDescent="0.45">
      <c r="A160" s="19">
        <v>46023.439583333333</v>
      </c>
      <c r="B160" t="s">
        <v>78</v>
      </c>
      <c r="C160" t="s">
        <v>79</v>
      </c>
      <c r="D160" t="s">
        <v>74</v>
      </c>
      <c r="E160" t="s">
        <v>77</v>
      </c>
      <c r="F160" t="s">
        <v>100</v>
      </c>
      <c r="G160" t="s">
        <v>109</v>
      </c>
      <c r="H160" t="s">
        <v>110</v>
      </c>
      <c r="I160">
        <v>2</v>
      </c>
      <c r="J160">
        <v>7</v>
      </c>
      <c r="K160">
        <v>10</v>
      </c>
      <c r="L160">
        <v>2</v>
      </c>
      <c r="M160">
        <v>10</v>
      </c>
      <c r="N160">
        <v>5</v>
      </c>
      <c r="O160">
        <v>10</v>
      </c>
      <c r="P160">
        <v>3</v>
      </c>
      <c r="Q160">
        <v>3</v>
      </c>
    </row>
    <row r="161" spans="1:17" x14ac:dyDescent="0.45">
      <c r="A161" s="19">
        <v>46023.634027777778</v>
      </c>
      <c r="B161" t="s">
        <v>72</v>
      </c>
      <c r="C161" t="s">
        <v>73</v>
      </c>
      <c r="D161" t="s">
        <v>74</v>
      </c>
      <c r="E161" t="s">
        <v>75</v>
      </c>
      <c r="F161" t="s">
        <v>100</v>
      </c>
      <c r="G161" t="s">
        <v>109</v>
      </c>
      <c r="H161" t="s">
        <v>110</v>
      </c>
      <c r="I161">
        <v>9</v>
      </c>
      <c r="J161">
        <v>9</v>
      </c>
      <c r="K161">
        <v>10</v>
      </c>
      <c r="L161">
        <v>2</v>
      </c>
      <c r="M161">
        <v>9</v>
      </c>
      <c r="N161">
        <v>9</v>
      </c>
      <c r="O161">
        <v>6</v>
      </c>
      <c r="P161">
        <v>8</v>
      </c>
      <c r="Q161">
        <v>10</v>
      </c>
    </row>
    <row r="162" spans="1:17" x14ac:dyDescent="0.45">
      <c r="A162" s="19">
        <v>46023.636805555558</v>
      </c>
      <c r="B162" t="s">
        <v>72</v>
      </c>
      <c r="C162" t="s">
        <v>73</v>
      </c>
      <c r="D162" t="s">
        <v>74</v>
      </c>
      <c r="E162" t="s">
        <v>77</v>
      </c>
      <c r="F162" t="s">
        <v>100</v>
      </c>
      <c r="G162" t="s">
        <v>104</v>
      </c>
      <c r="H162" t="s">
        <v>110</v>
      </c>
      <c r="I162">
        <v>7</v>
      </c>
      <c r="J162">
        <v>5</v>
      </c>
      <c r="K162">
        <v>7</v>
      </c>
      <c r="L162">
        <v>5</v>
      </c>
      <c r="M162">
        <v>3</v>
      </c>
      <c r="N162">
        <v>4</v>
      </c>
      <c r="O162">
        <v>1</v>
      </c>
      <c r="P162">
        <v>5</v>
      </c>
      <c r="Q162">
        <v>5</v>
      </c>
    </row>
    <row r="163" spans="1:17" x14ac:dyDescent="0.45">
      <c r="A163" s="19">
        <v>46023.646527777775</v>
      </c>
      <c r="B163" t="s">
        <v>72</v>
      </c>
      <c r="C163" t="s">
        <v>81</v>
      </c>
      <c r="D163" t="s">
        <v>74</v>
      </c>
      <c r="E163" t="s">
        <v>77</v>
      </c>
      <c r="F163" t="s">
        <v>100</v>
      </c>
      <c r="G163" t="s">
        <v>194</v>
      </c>
      <c r="H163" t="s">
        <v>110</v>
      </c>
      <c r="I163">
        <v>3</v>
      </c>
      <c r="J163">
        <v>8</v>
      </c>
      <c r="K163">
        <v>4</v>
      </c>
      <c r="L163">
        <v>5</v>
      </c>
      <c r="M163">
        <v>5</v>
      </c>
      <c r="N163">
        <v>5</v>
      </c>
      <c r="O163">
        <v>5</v>
      </c>
      <c r="P163">
        <v>5</v>
      </c>
      <c r="Q163">
        <v>5</v>
      </c>
    </row>
    <row r="164" spans="1:17" x14ac:dyDescent="0.45">
      <c r="A164" s="19">
        <v>46024.313194444447</v>
      </c>
      <c r="B164" t="s">
        <v>72</v>
      </c>
      <c r="C164" t="s">
        <v>81</v>
      </c>
      <c r="D164" t="s">
        <v>74</v>
      </c>
      <c r="E164" t="s">
        <v>77</v>
      </c>
      <c r="F164" t="s">
        <v>100</v>
      </c>
      <c r="G164" t="s">
        <v>104</v>
      </c>
      <c r="H164" t="s">
        <v>110</v>
      </c>
      <c r="I164">
        <v>10</v>
      </c>
      <c r="J164">
        <v>10</v>
      </c>
      <c r="K164">
        <v>10</v>
      </c>
      <c r="L164">
        <v>10</v>
      </c>
      <c r="M164">
        <v>10</v>
      </c>
      <c r="N164">
        <v>10</v>
      </c>
      <c r="O164">
        <v>10</v>
      </c>
      <c r="P164">
        <v>10</v>
      </c>
      <c r="Q164">
        <v>10</v>
      </c>
    </row>
    <row r="165" spans="1:17" x14ac:dyDescent="0.45">
      <c r="A165" s="19">
        <v>46024.386805555558</v>
      </c>
      <c r="B165" t="s">
        <v>72</v>
      </c>
      <c r="C165" t="s">
        <v>79</v>
      </c>
      <c r="D165" t="s">
        <v>74</v>
      </c>
      <c r="E165" t="s">
        <v>77</v>
      </c>
      <c r="F165" t="s">
        <v>100</v>
      </c>
      <c r="G165" t="s">
        <v>109</v>
      </c>
      <c r="H165" t="s">
        <v>105</v>
      </c>
      <c r="I165">
        <v>8</v>
      </c>
      <c r="J165">
        <v>9</v>
      </c>
      <c r="K165">
        <v>9</v>
      </c>
      <c r="L165">
        <v>9</v>
      </c>
      <c r="M165">
        <v>5</v>
      </c>
      <c r="N165">
        <v>7</v>
      </c>
      <c r="O165">
        <v>5</v>
      </c>
      <c r="P165">
        <v>7</v>
      </c>
      <c r="Q165">
        <v>7</v>
      </c>
    </row>
    <row r="166" spans="1:17" x14ac:dyDescent="0.45">
      <c r="A166" s="19">
        <v>46024.598611111112</v>
      </c>
      <c r="B166" t="s">
        <v>72</v>
      </c>
      <c r="C166" t="s">
        <v>73</v>
      </c>
      <c r="D166" t="s">
        <v>74</v>
      </c>
      <c r="E166" t="s">
        <v>75</v>
      </c>
      <c r="F166" t="s">
        <v>100</v>
      </c>
      <c r="G166" t="s">
        <v>109</v>
      </c>
      <c r="H166" t="s">
        <v>110</v>
      </c>
      <c r="I166">
        <v>5</v>
      </c>
      <c r="J166">
        <v>5</v>
      </c>
      <c r="K166">
        <v>6</v>
      </c>
      <c r="L166">
        <v>6</v>
      </c>
      <c r="M166">
        <v>6</v>
      </c>
      <c r="N166">
        <v>6</v>
      </c>
      <c r="O166">
        <v>5</v>
      </c>
      <c r="P166">
        <v>7</v>
      </c>
      <c r="Q166">
        <v>8</v>
      </c>
    </row>
    <row r="167" spans="1:17" x14ac:dyDescent="0.45">
      <c r="A167" s="19">
        <v>46024.702777777777</v>
      </c>
      <c r="B167" t="s">
        <v>72</v>
      </c>
      <c r="C167" t="s">
        <v>73</v>
      </c>
      <c r="D167" t="s">
        <v>74</v>
      </c>
      <c r="E167" t="s">
        <v>75</v>
      </c>
      <c r="F167" t="s">
        <v>100</v>
      </c>
      <c r="G167" t="s">
        <v>109</v>
      </c>
      <c r="H167" t="s">
        <v>102</v>
      </c>
      <c r="I167">
        <v>10</v>
      </c>
      <c r="J167">
        <v>8</v>
      </c>
      <c r="K167">
        <v>10</v>
      </c>
      <c r="L167">
        <v>10</v>
      </c>
      <c r="M167">
        <v>10</v>
      </c>
      <c r="N167">
        <v>10</v>
      </c>
      <c r="O167">
        <v>10</v>
      </c>
      <c r="P167">
        <v>10</v>
      </c>
      <c r="Q167">
        <v>8</v>
      </c>
    </row>
    <row r="168" spans="1:17" x14ac:dyDescent="0.45">
      <c r="A168" s="19">
        <v>46024.763888888891</v>
      </c>
      <c r="B168" t="s">
        <v>78</v>
      </c>
      <c r="C168" t="s">
        <v>73</v>
      </c>
      <c r="D168" t="s">
        <v>74</v>
      </c>
      <c r="E168" t="s">
        <v>75</v>
      </c>
      <c r="F168" t="s">
        <v>100</v>
      </c>
      <c r="G168" t="s">
        <v>107</v>
      </c>
      <c r="H168" t="s">
        <v>110</v>
      </c>
      <c r="I168">
        <v>5</v>
      </c>
      <c r="J168">
        <v>8</v>
      </c>
      <c r="K168">
        <v>5</v>
      </c>
      <c r="L168">
        <v>8</v>
      </c>
      <c r="M168">
        <v>4</v>
      </c>
      <c r="N168">
        <v>5</v>
      </c>
      <c r="O168">
        <v>1</v>
      </c>
      <c r="P168">
        <v>5</v>
      </c>
      <c r="Q168">
        <v>5</v>
      </c>
    </row>
    <row r="169" spans="1:17" x14ac:dyDescent="0.45">
      <c r="A169" s="19">
        <v>46025.34097222222</v>
      </c>
      <c r="B169" t="s">
        <v>72</v>
      </c>
      <c r="C169" t="s">
        <v>81</v>
      </c>
      <c r="D169" t="s">
        <v>74</v>
      </c>
      <c r="E169" t="s">
        <v>77</v>
      </c>
      <c r="F169" t="s">
        <v>100</v>
      </c>
      <c r="G169" t="s">
        <v>196</v>
      </c>
      <c r="H169" t="s">
        <v>110</v>
      </c>
      <c r="I169">
        <v>7</v>
      </c>
      <c r="J169">
        <v>7</v>
      </c>
      <c r="K169">
        <v>8</v>
      </c>
      <c r="L169">
        <v>8</v>
      </c>
      <c r="M169">
        <v>7</v>
      </c>
      <c r="N169">
        <v>8</v>
      </c>
      <c r="O169">
        <v>8</v>
      </c>
      <c r="P169">
        <v>8</v>
      </c>
      <c r="Q169">
        <v>9</v>
      </c>
    </row>
    <row r="170" spans="1:17" x14ac:dyDescent="0.45">
      <c r="A170" s="19">
        <v>46025.374305555553</v>
      </c>
      <c r="B170" t="s">
        <v>78</v>
      </c>
      <c r="C170" t="s">
        <v>79</v>
      </c>
      <c r="D170" t="s">
        <v>74</v>
      </c>
      <c r="E170" t="s">
        <v>77</v>
      </c>
      <c r="F170" t="s">
        <v>100</v>
      </c>
      <c r="G170" t="s">
        <v>109</v>
      </c>
      <c r="H170" t="s">
        <v>110</v>
      </c>
      <c r="I170">
        <v>8</v>
      </c>
      <c r="J170">
        <v>8</v>
      </c>
      <c r="K170">
        <v>7</v>
      </c>
      <c r="L170">
        <v>8</v>
      </c>
      <c r="M170">
        <v>7</v>
      </c>
      <c r="N170">
        <v>7</v>
      </c>
      <c r="O170">
        <v>7</v>
      </c>
      <c r="P170">
        <v>8</v>
      </c>
      <c r="Q170">
        <v>8</v>
      </c>
    </row>
    <row r="171" spans="1:17" x14ac:dyDescent="0.45">
      <c r="A171" s="19">
        <v>46026.574999999997</v>
      </c>
      <c r="B171" t="s">
        <v>78</v>
      </c>
      <c r="C171" t="s">
        <v>81</v>
      </c>
      <c r="D171" t="s">
        <v>74</v>
      </c>
      <c r="E171" t="s">
        <v>77</v>
      </c>
      <c r="F171" t="s">
        <v>103</v>
      </c>
      <c r="G171" t="s">
        <v>104</v>
      </c>
      <c r="H171" t="s">
        <v>110</v>
      </c>
      <c r="I171">
        <v>5</v>
      </c>
      <c r="J171">
        <v>8</v>
      </c>
      <c r="K171">
        <v>7</v>
      </c>
      <c r="L171">
        <v>8</v>
      </c>
      <c r="M171">
        <v>1</v>
      </c>
      <c r="N171">
        <v>2</v>
      </c>
      <c r="O171">
        <v>3</v>
      </c>
      <c r="P171">
        <v>3</v>
      </c>
      <c r="Q171">
        <v>7</v>
      </c>
    </row>
    <row r="172" spans="1:17" x14ac:dyDescent="0.45">
      <c r="A172" s="19">
        <v>46026.576388888891</v>
      </c>
      <c r="B172" t="s">
        <v>78</v>
      </c>
      <c r="C172" t="s">
        <v>189</v>
      </c>
      <c r="D172" t="s">
        <v>74</v>
      </c>
      <c r="E172" t="s">
        <v>77</v>
      </c>
      <c r="F172" t="s">
        <v>100</v>
      </c>
      <c r="G172" t="s">
        <v>194</v>
      </c>
      <c r="H172" t="s">
        <v>110</v>
      </c>
      <c r="I172">
        <v>6</v>
      </c>
      <c r="J172">
        <v>7</v>
      </c>
      <c r="K172">
        <v>5</v>
      </c>
      <c r="L172">
        <v>7</v>
      </c>
      <c r="M172">
        <v>7</v>
      </c>
      <c r="N172">
        <v>7</v>
      </c>
      <c r="O172">
        <v>5</v>
      </c>
      <c r="P172">
        <v>7</v>
      </c>
      <c r="Q172">
        <v>7</v>
      </c>
    </row>
    <row r="173" spans="1:17" x14ac:dyDescent="0.45">
      <c r="A173" s="19">
        <v>46026.57708333333</v>
      </c>
      <c r="B173" t="s">
        <v>78</v>
      </c>
      <c r="C173" t="s">
        <v>191</v>
      </c>
      <c r="D173" t="s">
        <v>74</v>
      </c>
      <c r="E173" t="s">
        <v>75</v>
      </c>
      <c r="F173" t="s">
        <v>100</v>
      </c>
      <c r="G173" t="s">
        <v>108</v>
      </c>
      <c r="H173" t="s">
        <v>195</v>
      </c>
      <c r="I173">
        <v>8</v>
      </c>
      <c r="J173">
        <v>8</v>
      </c>
      <c r="K173">
        <v>8</v>
      </c>
      <c r="L173">
        <v>9</v>
      </c>
      <c r="M173">
        <v>9</v>
      </c>
      <c r="N173">
        <v>5</v>
      </c>
      <c r="O173">
        <v>5</v>
      </c>
      <c r="P173">
        <v>8</v>
      </c>
      <c r="Q173">
        <v>6</v>
      </c>
    </row>
    <row r="174" spans="1:17" x14ac:dyDescent="0.45">
      <c r="A174" s="19">
        <v>46026.577777777777</v>
      </c>
      <c r="B174" t="s">
        <v>72</v>
      </c>
      <c r="C174" t="s">
        <v>79</v>
      </c>
      <c r="D174" t="s">
        <v>74</v>
      </c>
      <c r="E174" t="s">
        <v>77</v>
      </c>
      <c r="F174" t="s">
        <v>100</v>
      </c>
      <c r="G174" t="s">
        <v>107</v>
      </c>
      <c r="H174" t="s">
        <v>106</v>
      </c>
      <c r="I174">
        <v>5</v>
      </c>
      <c r="J174">
        <v>5</v>
      </c>
      <c r="K174">
        <v>4</v>
      </c>
      <c r="L174">
        <v>6</v>
      </c>
      <c r="M174">
        <v>5</v>
      </c>
      <c r="N174">
        <v>4</v>
      </c>
      <c r="O174">
        <v>4</v>
      </c>
      <c r="P174">
        <v>5</v>
      </c>
      <c r="Q174">
        <v>5</v>
      </c>
    </row>
    <row r="175" spans="1:17" x14ac:dyDescent="0.45">
      <c r="A175" s="19">
        <v>46026.578472222223</v>
      </c>
      <c r="B175" t="s">
        <v>72</v>
      </c>
      <c r="C175" t="s">
        <v>81</v>
      </c>
      <c r="D175" t="s">
        <v>74</v>
      </c>
      <c r="E175" t="s">
        <v>77</v>
      </c>
      <c r="F175" t="s">
        <v>100</v>
      </c>
      <c r="G175" t="s">
        <v>109</v>
      </c>
      <c r="H175" t="s">
        <v>102</v>
      </c>
      <c r="I175">
        <v>6</v>
      </c>
      <c r="J175">
        <v>6</v>
      </c>
      <c r="K175">
        <v>6</v>
      </c>
      <c r="L175">
        <v>6</v>
      </c>
      <c r="M175">
        <v>7</v>
      </c>
      <c r="N175">
        <v>7</v>
      </c>
      <c r="O175">
        <v>5</v>
      </c>
      <c r="P175">
        <v>7</v>
      </c>
      <c r="Q175">
        <v>6</v>
      </c>
    </row>
    <row r="176" spans="1:17" x14ac:dyDescent="0.45">
      <c r="A176" s="19">
        <v>46026.57916666667</v>
      </c>
      <c r="B176" t="s">
        <v>72</v>
      </c>
      <c r="C176" t="s">
        <v>191</v>
      </c>
      <c r="D176" t="s">
        <v>74</v>
      </c>
      <c r="E176" t="s">
        <v>75</v>
      </c>
      <c r="F176" t="s">
        <v>100</v>
      </c>
      <c r="G176" t="s">
        <v>108</v>
      </c>
      <c r="H176" t="s">
        <v>106</v>
      </c>
      <c r="I176">
        <v>4</v>
      </c>
      <c r="J176">
        <v>5</v>
      </c>
      <c r="K176">
        <v>4</v>
      </c>
      <c r="L176">
        <v>6</v>
      </c>
      <c r="M176">
        <v>4</v>
      </c>
      <c r="N176">
        <v>4</v>
      </c>
      <c r="O176">
        <v>4</v>
      </c>
      <c r="P176">
        <v>5</v>
      </c>
      <c r="Q176">
        <v>4</v>
      </c>
    </row>
    <row r="177" spans="1:17" x14ac:dyDescent="0.45">
      <c r="A177" s="19">
        <v>46026.57916666667</v>
      </c>
      <c r="B177" t="s">
        <v>72</v>
      </c>
      <c r="C177" t="s">
        <v>193</v>
      </c>
      <c r="D177" t="s">
        <v>80</v>
      </c>
      <c r="E177" t="s">
        <v>75</v>
      </c>
      <c r="F177" t="s">
        <v>100</v>
      </c>
      <c r="G177" t="s">
        <v>108</v>
      </c>
      <c r="H177" t="s">
        <v>110</v>
      </c>
      <c r="I177">
        <v>2</v>
      </c>
      <c r="J177">
        <v>4</v>
      </c>
      <c r="K177">
        <v>3</v>
      </c>
      <c r="L177">
        <v>5</v>
      </c>
      <c r="M177">
        <v>4</v>
      </c>
      <c r="N177">
        <v>1</v>
      </c>
      <c r="O177">
        <v>1</v>
      </c>
      <c r="P177">
        <v>4</v>
      </c>
      <c r="Q177">
        <v>4</v>
      </c>
    </row>
    <row r="178" spans="1:17" x14ac:dyDescent="0.45">
      <c r="A178" s="19">
        <v>46026.580555555556</v>
      </c>
      <c r="B178" t="s">
        <v>72</v>
      </c>
      <c r="C178" t="s">
        <v>191</v>
      </c>
      <c r="D178" t="s">
        <v>74</v>
      </c>
      <c r="E178" t="s">
        <v>75</v>
      </c>
      <c r="F178" t="s">
        <v>100</v>
      </c>
      <c r="G178" t="s">
        <v>107</v>
      </c>
      <c r="H178" t="s">
        <v>105</v>
      </c>
      <c r="I178">
        <v>4</v>
      </c>
      <c r="J178">
        <v>4</v>
      </c>
      <c r="K178">
        <v>3</v>
      </c>
      <c r="L178">
        <v>5</v>
      </c>
      <c r="M178">
        <v>3</v>
      </c>
      <c r="N178">
        <v>2</v>
      </c>
      <c r="O178">
        <v>1</v>
      </c>
      <c r="P178">
        <v>1</v>
      </c>
      <c r="Q178">
        <v>1</v>
      </c>
    </row>
    <row r="179" spans="1:17" x14ac:dyDescent="0.45">
      <c r="A179" s="19">
        <v>46026.580555555556</v>
      </c>
      <c r="B179" t="s">
        <v>72</v>
      </c>
      <c r="C179" t="s">
        <v>193</v>
      </c>
      <c r="D179" t="s">
        <v>74</v>
      </c>
      <c r="E179" t="s">
        <v>77</v>
      </c>
      <c r="F179" t="s">
        <v>100</v>
      </c>
      <c r="G179" t="s">
        <v>109</v>
      </c>
      <c r="H179" t="s">
        <v>195</v>
      </c>
      <c r="I179">
        <v>6</v>
      </c>
      <c r="J179">
        <v>7</v>
      </c>
      <c r="K179">
        <v>6</v>
      </c>
      <c r="L179">
        <v>6</v>
      </c>
      <c r="M179">
        <v>6</v>
      </c>
      <c r="N179">
        <v>7</v>
      </c>
      <c r="O179">
        <v>5</v>
      </c>
      <c r="P179">
        <v>6</v>
      </c>
      <c r="Q179">
        <v>7</v>
      </c>
    </row>
    <row r="180" spans="1:17" x14ac:dyDescent="0.45">
      <c r="A180" s="19">
        <v>46026.581944444442</v>
      </c>
      <c r="B180" t="s">
        <v>72</v>
      </c>
      <c r="C180" t="s">
        <v>73</v>
      </c>
      <c r="D180" t="s">
        <v>74</v>
      </c>
      <c r="E180" t="s">
        <v>75</v>
      </c>
      <c r="F180" t="s">
        <v>100</v>
      </c>
      <c r="G180" t="s">
        <v>101</v>
      </c>
      <c r="H180" t="s">
        <v>102</v>
      </c>
      <c r="I180">
        <v>7</v>
      </c>
      <c r="J180">
        <v>7</v>
      </c>
      <c r="K180">
        <v>7</v>
      </c>
      <c r="L180">
        <v>8</v>
      </c>
      <c r="M180">
        <v>7</v>
      </c>
      <c r="N180">
        <v>8</v>
      </c>
      <c r="O180">
        <v>7</v>
      </c>
      <c r="P180">
        <v>7</v>
      </c>
      <c r="Q180">
        <v>8</v>
      </c>
    </row>
    <row r="181" spans="1:17" x14ac:dyDescent="0.45">
      <c r="A181" s="19">
        <v>46026.582638888889</v>
      </c>
      <c r="B181" t="s">
        <v>72</v>
      </c>
      <c r="C181" t="s">
        <v>79</v>
      </c>
      <c r="D181" t="s">
        <v>74</v>
      </c>
      <c r="E181" t="s">
        <v>77</v>
      </c>
      <c r="F181" t="s">
        <v>100</v>
      </c>
      <c r="G181" t="s">
        <v>111</v>
      </c>
      <c r="H181" t="s">
        <v>102</v>
      </c>
      <c r="I181">
        <v>5</v>
      </c>
      <c r="J181">
        <v>5</v>
      </c>
      <c r="K181">
        <v>5</v>
      </c>
      <c r="L181">
        <v>7</v>
      </c>
      <c r="M181">
        <v>5</v>
      </c>
      <c r="N181">
        <v>6</v>
      </c>
      <c r="O181">
        <v>5</v>
      </c>
      <c r="P181">
        <v>7</v>
      </c>
      <c r="Q181">
        <v>7</v>
      </c>
    </row>
    <row r="182" spans="1:17" x14ac:dyDescent="0.45">
      <c r="A182" s="19">
        <v>46026.7</v>
      </c>
      <c r="B182" t="s">
        <v>72</v>
      </c>
      <c r="C182" t="s">
        <v>73</v>
      </c>
      <c r="D182" t="s">
        <v>74</v>
      </c>
      <c r="E182" t="s">
        <v>75</v>
      </c>
      <c r="F182" t="s">
        <v>100</v>
      </c>
      <c r="G182" t="s">
        <v>111</v>
      </c>
      <c r="H182" t="s">
        <v>105</v>
      </c>
      <c r="I182">
        <v>6</v>
      </c>
      <c r="J182">
        <v>7</v>
      </c>
      <c r="K182">
        <v>7</v>
      </c>
      <c r="L182">
        <v>8</v>
      </c>
      <c r="M182">
        <v>8</v>
      </c>
      <c r="N182">
        <v>7</v>
      </c>
      <c r="O182">
        <v>5</v>
      </c>
      <c r="P182">
        <v>7</v>
      </c>
      <c r="Q182">
        <v>7</v>
      </c>
    </row>
    <row r="183" spans="1:17" x14ac:dyDescent="0.45">
      <c r="A183" s="19">
        <v>46026.700694444444</v>
      </c>
      <c r="B183" t="s">
        <v>72</v>
      </c>
      <c r="C183" t="s">
        <v>81</v>
      </c>
      <c r="D183" t="s">
        <v>74</v>
      </c>
      <c r="E183" t="s">
        <v>77</v>
      </c>
      <c r="F183" t="s">
        <v>100</v>
      </c>
      <c r="G183" t="s">
        <v>101</v>
      </c>
      <c r="H183" t="s">
        <v>110</v>
      </c>
      <c r="I183">
        <v>8</v>
      </c>
      <c r="J183">
        <v>8</v>
      </c>
      <c r="K183">
        <v>5</v>
      </c>
      <c r="L183">
        <v>8</v>
      </c>
      <c r="M183">
        <v>6</v>
      </c>
      <c r="N183">
        <v>8</v>
      </c>
      <c r="O183">
        <v>6</v>
      </c>
      <c r="P183">
        <v>7</v>
      </c>
      <c r="Q183">
        <v>7</v>
      </c>
    </row>
    <row r="184" spans="1:17" x14ac:dyDescent="0.45">
      <c r="A184" s="19">
        <v>46026.701388888891</v>
      </c>
      <c r="B184" t="s">
        <v>78</v>
      </c>
      <c r="C184" t="s">
        <v>193</v>
      </c>
      <c r="D184" t="s">
        <v>74</v>
      </c>
      <c r="E184" t="s">
        <v>75</v>
      </c>
      <c r="F184" t="s">
        <v>100</v>
      </c>
      <c r="G184" t="s">
        <v>108</v>
      </c>
      <c r="H184" t="s">
        <v>106</v>
      </c>
      <c r="I184">
        <v>2</v>
      </c>
      <c r="J184">
        <v>5</v>
      </c>
      <c r="K184">
        <v>3</v>
      </c>
      <c r="L184">
        <v>5</v>
      </c>
      <c r="M184">
        <v>3</v>
      </c>
      <c r="N184">
        <v>2</v>
      </c>
      <c r="O184">
        <v>1</v>
      </c>
      <c r="P184">
        <v>5</v>
      </c>
      <c r="Q184">
        <v>5</v>
      </c>
    </row>
    <row r="185" spans="1:17" x14ac:dyDescent="0.45">
      <c r="A185" s="19">
        <v>46026.70208333333</v>
      </c>
      <c r="B185" t="s">
        <v>78</v>
      </c>
      <c r="C185" t="s">
        <v>189</v>
      </c>
      <c r="D185" t="s">
        <v>74</v>
      </c>
      <c r="E185" t="s">
        <v>77</v>
      </c>
      <c r="F185" t="s">
        <v>100</v>
      </c>
      <c r="G185" t="s">
        <v>104</v>
      </c>
      <c r="H185" t="s">
        <v>110</v>
      </c>
      <c r="I185">
        <v>6</v>
      </c>
      <c r="J185">
        <v>6</v>
      </c>
      <c r="K185">
        <v>5</v>
      </c>
      <c r="L185">
        <v>9</v>
      </c>
      <c r="M185">
        <v>7</v>
      </c>
      <c r="N185">
        <v>8</v>
      </c>
      <c r="O185">
        <v>5</v>
      </c>
      <c r="P185">
        <v>7</v>
      </c>
      <c r="Q185">
        <v>7</v>
      </c>
    </row>
    <row r="186" spans="1:17" x14ac:dyDescent="0.45">
      <c r="A186" s="19">
        <v>46026.702777777777</v>
      </c>
      <c r="B186" t="s">
        <v>72</v>
      </c>
      <c r="C186" t="s">
        <v>79</v>
      </c>
      <c r="D186" t="s">
        <v>80</v>
      </c>
      <c r="E186" t="s">
        <v>77</v>
      </c>
      <c r="F186" t="s">
        <v>103</v>
      </c>
      <c r="G186" t="s">
        <v>109</v>
      </c>
      <c r="H186" t="s">
        <v>106</v>
      </c>
      <c r="I186">
        <v>7</v>
      </c>
      <c r="J186">
        <v>7</v>
      </c>
      <c r="K186">
        <v>6</v>
      </c>
      <c r="L186">
        <v>8</v>
      </c>
      <c r="M186">
        <v>5</v>
      </c>
      <c r="N186">
        <v>5</v>
      </c>
      <c r="O186">
        <v>5</v>
      </c>
      <c r="P186">
        <v>6</v>
      </c>
      <c r="Q186">
        <v>5</v>
      </c>
    </row>
    <row r="187" spans="1:17" x14ac:dyDescent="0.45">
      <c r="A187" s="19">
        <v>46026.70416666667</v>
      </c>
      <c r="B187" t="s">
        <v>72</v>
      </c>
      <c r="C187" t="s">
        <v>193</v>
      </c>
      <c r="D187" t="s">
        <v>74</v>
      </c>
      <c r="E187" t="s">
        <v>77</v>
      </c>
      <c r="F187" t="s">
        <v>197</v>
      </c>
      <c r="G187" t="s">
        <v>104</v>
      </c>
      <c r="H187" t="s">
        <v>110</v>
      </c>
      <c r="I187">
        <v>7</v>
      </c>
      <c r="J187">
        <v>7</v>
      </c>
      <c r="K187">
        <v>5</v>
      </c>
      <c r="L187">
        <v>7</v>
      </c>
      <c r="M187">
        <v>5</v>
      </c>
      <c r="N187">
        <v>5</v>
      </c>
      <c r="O187">
        <v>5</v>
      </c>
      <c r="P187">
        <v>5</v>
      </c>
      <c r="Q187">
        <v>6</v>
      </c>
    </row>
    <row r="188" spans="1:17" x14ac:dyDescent="0.45">
      <c r="A188" s="19">
        <v>46026.709027777775</v>
      </c>
      <c r="B188" t="s">
        <v>78</v>
      </c>
      <c r="C188" t="s">
        <v>79</v>
      </c>
      <c r="D188" t="s">
        <v>74</v>
      </c>
      <c r="E188" t="s">
        <v>75</v>
      </c>
      <c r="F188" t="s">
        <v>100</v>
      </c>
      <c r="G188" t="s">
        <v>109</v>
      </c>
      <c r="H188" t="s">
        <v>105</v>
      </c>
      <c r="I188">
        <v>6</v>
      </c>
      <c r="J188">
        <v>7</v>
      </c>
      <c r="K188">
        <v>6</v>
      </c>
      <c r="L188">
        <v>7</v>
      </c>
      <c r="M188">
        <v>6</v>
      </c>
      <c r="N188">
        <v>6</v>
      </c>
      <c r="O188">
        <v>5</v>
      </c>
      <c r="P188">
        <v>5</v>
      </c>
      <c r="Q188">
        <v>6</v>
      </c>
    </row>
    <row r="189" spans="1:17" x14ac:dyDescent="0.45">
      <c r="A189" s="19">
        <v>46026.729861111111</v>
      </c>
      <c r="B189" t="s">
        <v>78</v>
      </c>
      <c r="C189" t="s">
        <v>81</v>
      </c>
      <c r="D189" t="s">
        <v>74</v>
      </c>
      <c r="E189" t="s">
        <v>77</v>
      </c>
      <c r="F189" t="s">
        <v>100</v>
      </c>
      <c r="G189" t="s">
        <v>101</v>
      </c>
      <c r="H189" t="s">
        <v>102</v>
      </c>
      <c r="I189">
        <v>5</v>
      </c>
      <c r="J189">
        <v>5</v>
      </c>
      <c r="K189">
        <v>4</v>
      </c>
      <c r="L189">
        <v>6</v>
      </c>
      <c r="M189">
        <v>5</v>
      </c>
      <c r="N189">
        <v>5</v>
      </c>
      <c r="O189">
        <v>5</v>
      </c>
      <c r="P189">
        <v>5</v>
      </c>
      <c r="Q189">
        <v>5</v>
      </c>
    </row>
    <row r="190" spans="1:17" x14ac:dyDescent="0.45">
      <c r="A190" s="19">
        <v>46026.955555555556</v>
      </c>
      <c r="B190" t="s">
        <v>78</v>
      </c>
      <c r="C190" t="s">
        <v>79</v>
      </c>
      <c r="D190" t="s">
        <v>74</v>
      </c>
      <c r="E190" t="s">
        <v>77</v>
      </c>
      <c r="F190" t="s">
        <v>100</v>
      </c>
      <c r="G190" t="s">
        <v>111</v>
      </c>
      <c r="H190" t="s">
        <v>105</v>
      </c>
      <c r="I190">
        <v>8</v>
      </c>
      <c r="J190">
        <v>8</v>
      </c>
      <c r="K190">
        <v>5</v>
      </c>
      <c r="L190">
        <v>7</v>
      </c>
      <c r="M190">
        <v>6</v>
      </c>
      <c r="N190">
        <v>8</v>
      </c>
      <c r="O190">
        <v>5</v>
      </c>
      <c r="P190">
        <v>7</v>
      </c>
      <c r="Q190">
        <v>8</v>
      </c>
    </row>
    <row r="191" spans="1:17" x14ac:dyDescent="0.45">
      <c r="A191" s="19">
        <v>46027.578472222223</v>
      </c>
      <c r="B191" t="s">
        <v>78</v>
      </c>
      <c r="C191" t="s">
        <v>81</v>
      </c>
      <c r="D191" t="s">
        <v>74</v>
      </c>
      <c r="E191" t="s">
        <v>75</v>
      </c>
      <c r="F191" t="s">
        <v>100</v>
      </c>
      <c r="G191" t="s">
        <v>101</v>
      </c>
      <c r="H191" t="s">
        <v>110</v>
      </c>
      <c r="I191">
        <v>7</v>
      </c>
      <c r="J191">
        <v>7</v>
      </c>
      <c r="K191">
        <v>7</v>
      </c>
      <c r="L191">
        <v>8</v>
      </c>
      <c r="M191">
        <v>3</v>
      </c>
      <c r="N191">
        <v>3</v>
      </c>
      <c r="O191">
        <v>2</v>
      </c>
      <c r="P191">
        <v>3</v>
      </c>
      <c r="Q191">
        <v>8</v>
      </c>
    </row>
    <row r="192" spans="1:17" x14ac:dyDescent="0.45">
      <c r="A192" s="19">
        <v>46029.68472222222</v>
      </c>
      <c r="B192" t="s">
        <v>78</v>
      </c>
      <c r="C192" t="s">
        <v>73</v>
      </c>
      <c r="D192" t="s">
        <v>74</v>
      </c>
      <c r="E192" t="s">
        <v>75</v>
      </c>
      <c r="F192" t="s">
        <v>100</v>
      </c>
      <c r="G192" t="s">
        <v>111</v>
      </c>
      <c r="H192" t="s">
        <v>106</v>
      </c>
      <c r="I192">
        <v>7</v>
      </c>
      <c r="J192">
        <v>7</v>
      </c>
      <c r="K192">
        <v>6</v>
      </c>
      <c r="L192">
        <v>8</v>
      </c>
      <c r="M192">
        <v>7</v>
      </c>
      <c r="N192">
        <v>8</v>
      </c>
      <c r="O192">
        <v>7</v>
      </c>
      <c r="P192">
        <v>7</v>
      </c>
      <c r="Q192">
        <v>7</v>
      </c>
    </row>
    <row r="193" spans="1:17" x14ac:dyDescent="0.45">
      <c r="A193" s="19">
        <v>46029.685416666667</v>
      </c>
      <c r="B193" t="s">
        <v>72</v>
      </c>
      <c r="C193" t="s">
        <v>189</v>
      </c>
      <c r="D193" t="s">
        <v>74</v>
      </c>
      <c r="E193" t="s">
        <v>77</v>
      </c>
      <c r="F193" t="s">
        <v>100</v>
      </c>
      <c r="G193" t="s">
        <v>196</v>
      </c>
      <c r="H193" t="s">
        <v>110</v>
      </c>
      <c r="I193">
        <v>8</v>
      </c>
      <c r="J193">
        <v>8</v>
      </c>
      <c r="K193">
        <v>9</v>
      </c>
      <c r="L193">
        <v>9</v>
      </c>
      <c r="M193">
        <v>9</v>
      </c>
      <c r="N193">
        <v>9</v>
      </c>
      <c r="O193">
        <v>8</v>
      </c>
      <c r="P193">
        <v>8</v>
      </c>
      <c r="Q193">
        <v>9</v>
      </c>
    </row>
    <row r="194" spans="1:17" x14ac:dyDescent="0.45">
      <c r="A194" s="19">
        <v>46030.411111111112</v>
      </c>
      <c r="B194" t="s">
        <v>72</v>
      </c>
      <c r="C194" t="s">
        <v>79</v>
      </c>
      <c r="D194" t="s">
        <v>74</v>
      </c>
      <c r="E194" t="s">
        <v>77</v>
      </c>
      <c r="F194" t="s">
        <v>100</v>
      </c>
      <c r="G194" t="s">
        <v>101</v>
      </c>
      <c r="H194" t="s">
        <v>105</v>
      </c>
      <c r="I194">
        <v>1</v>
      </c>
      <c r="J194">
        <v>1</v>
      </c>
      <c r="K194">
        <v>7</v>
      </c>
      <c r="L194">
        <v>5</v>
      </c>
      <c r="M194">
        <v>5</v>
      </c>
      <c r="N194">
        <v>7</v>
      </c>
      <c r="O194">
        <v>2</v>
      </c>
      <c r="P194">
        <v>5</v>
      </c>
      <c r="Q194">
        <v>5</v>
      </c>
    </row>
    <row r="195" spans="1:17" x14ac:dyDescent="0.45">
      <c r="A195" s="19">
        <v>46030.574305555558</v>
      </c>
      <c r="B195" t="s">
        <v>72</v>
      </c>
      <c r="C195" t="s">
        <v>73</v>
      </c>
      <c r="D195" t="s">
        <v>74</v>
      </c>
      <c r="E195" t="s">
        <v>77</v>
      </c>
      <c r="F195" t="s">
        <v>100</v>
      </c>
      <c r="G195" t="s">
        <v>196</v>
      </c>
      <c r="H195" t="s">
        <v>102</v>
      </c>
      <c r="I195">
        <v>10</v>
      </c>
      <c r="J195">
        <v>10</v>
      </c>
      <c r="K195">
        <v>6</v>
      </c>
      <c r="L195">
        <v>4</v>
      </c>
      <c r="M195">
        <v>8</v>
      </c>
      <c r="N195">
        <v>3</v>
      </c>
      <c r="O195">
        <v>10</v>
      </c>
      <c r="P195">
        <v>10</v>
      </c>
      <c r="Q195">
        <v>10</v>
      </c>
    </row>
    <row r="196" spans="1:17" x14ac:dyDescent="0.45">
      <c r="A196" s="19">
        <v>46030.636805555558</v>
      </c>
      <c r="B196" t="s">
        <v>72</v>
      </c>
      <c r="C196" t="s">
        <v>81</v>
      </c>
      <c r="D196" t="s">
        <v>74</v>
      </c>
      <c r="E196" t="s">
        <v>77</v>
      </c>
      <c r="F196" t="s">
        <v>100</v>
      </c>
      <c r="G196" t="s">
        <v>104</v>
      </c>
      <c r="H196" t="s">
        <v>102</v>
      </c>
      <c r="I196">
        <v>9</v>
      </c>
      <c r="J196">
        <v>9</v>
      </c>
      <c r="K196">
        <v>5</v>
      </c>
      <c r="L196">
        <v>5</v>
      </c>
      <c r="M196">
        <v>7</v>
      </c>
      <c r="N196">
        <v>7</v>
      </c>
      <c r="O196">
        <v>8</v>
      </c>
      <c r="P196">
        <v>8</v>
      </c>
      <c r="Q196">
        <v>8</v>
      </c>
    </row>
    <row r="197" spans="1:17" x14ac:dyDescent="0.45">
      <c r="A197" s="19">
        <v>46030.640277777777</v>
      </c>
      <c r="B197" t="s">
        <v>78</v>
      </c>
      <c r="C197" t="s">
        <v>79</v>
      </c>
      <c r="D197" t="s">
        <v>74</v>
      </c>
      <c r="E197" t="s">
        <v>77</v>
      </c>
      <c r="F197" t="s">
        <v>100</v>
      </c>
      <c r="G197" t="s">
        <v>104</v>
      </c>
      <c r="H197" t="s">
        <v>105</v>
      </c>
      <c r="I197">
        <v>9</v>
      </c>
      <c r="J197">
        <v>9</v>
      </c>
      <c r="K197">
        <v>9</v>
      </c>
      <c r="L197">
        <v>9</v>
      </c>
      <c r="M197">
        <v>9</v>
      </c>
      <c r="N197">
        <v>9</v>
      </c>
      <c r="O197">
        <v>9</v>
      </c>
      <c r="P197">
        <v>9</v>
      </c>
      <c r="Q197">
        <v>9</v>
      </c>
    </row>
    <row r="198" spans="1:17" x14ac:dyDescent="0.45">
      <c r="A198" s="19">
        <v>46030.640972222223</v>
      </c>
      <c r="B198" t="s">
        <v>72</v>
      </c>
      <c r="C198" t="s">
        <v>79</v>
      </c>
      <c r="D198" t="s">
        <v>74</v>
      </c>
      <c r="E198" t="s">
        <v>75</v>
      </c>
      <c r="F198" t="s">
        <v>100</v>
      </c>
      <c r="G198" t="s">
        <v>104</v>
      </c>
      <c r="H198" t="s">
        <v>106</v>
      </c>
      <c r="I198">
        <v>9</v>
      </c>
      <c r="J198">
        <v>10</v>
      </c>
      <c r="K198">
        <v>10</v>
      </c>
      <c r="L198">
        <v>9</v>
      </c>
      <c r="M198">
        <v>10</v>
      </c>
      <c r="N198">
        <v>10</v>
      </c>
      <c r="O198">
        <v>10</v>
      </c>
      <c r="P198">
        <v>9</v>
      </c>
      <c r="Q198">
        <v>10</v>
      </c>
    </row>
    <row r="199" spans="1:17" x14ac:dyDescent="0.45">
      <c r="A199" s="19">
        <v>46030.681250000001</v>
      </c>
      <c r="B199" t="s">
        <v>72</v>
      </c>
      <c r="C199" t="s">
        <v>79</v>
      </c>
      <c r="D199" t="s">
        <v>74</v>
      </c>
      <c r="E199" t="s">
        <v>75</v>
      </c>
      <c r="F199" t="s">
        <v>100</v>
      </c>
      <c r="G199" t="s">
        <v>104</v>
      </c>
      <c r="H199" t="s">
        <v>105</v>
      </c>
      <c r="I199">
        <v>5</v>
      </c>
      <c r="J199">
        <v>5</v>
      </c>
      <c r="K199">
        <v>5</v>
      </c>
      <c r="L199">
        <v>5</v>
      </c>
      <c r="M199">
        <v>5</v>
      </c>
      <c r="N199">
        <v>5</v>
      </c>
      <c r="O199">
        <v>5</v>
      </c>
      <c r="P199">
        <v>4</v>
      </c>
      <c r="Q199">
        <v>5</v>
      </c>
    </row>
    <row r="200" spans="1:17" x14ac:dyDescent="0.45">
      <c r="A200" s="19">
        <v>46031.374305555553</v>
      </c>
      <c r="B200" t="s">
        <v>72</v>
      </c>
      <c r="C200" t="s">
        <v>193</v>
      </c>
      <c r="D200" t="s">
        <v>74</v>
      </c>
      <c r="E200" t="s">
        <v>75</v>
      </c>
      <c r="F200" t="s">
        <v>197</v>
      </c>
      <c r="G200" t="s">
        <v>194</v>
      </c>
      <c r="H200" t="s">
        <v>102</v>
      </c>
      <c r="I200">
        <v>9</v>
      </c>
      <c r="J200">
        <v>8</v>
      </c>
      <c r="K200">
        <v>9</v>
      </c>
      <c r="L200">
        <v>9</v>
      </c>
      <c r="M200">
        <v>8</v>
      </c>
      <c r="N200">
        <v>9</v>
      </c>
      <c r="O200">
        <v>10</v>
      </c>
      <c r="P200">
        <v>9</v>
      </c>
      <c r="Q200">
        <v>10</v>
      </c>
    </row>
    <row r="201" spans="1:17" x14ac:dyDescent="0.45">
      <c r="A201" s="19">
        <v>46031.390277777777</v>
      </c>
      <c r="B201" t="s">
        <v>78</v>
      </c>
      <c r="C201" t="s">
        <v>191</v>
      </c>
      <c r="D201" t="s">
        <v>74</v>
      </c>
      <c r="E201" t="s">
        <v>77</v>
      </c>
      <c r="F201" t="s">
        <v>100</v>
      </c>
      <c r="G201" t="s">
        <v>107</v>
      </c>
      <c r="H201" t="s">
        <v>106</v>
      </c>
      <c r="I201">
        <v>4</v>
      </c>
      <c r="J201">
        <v>4</v>
      </c>
      <c r="K201">
        <v>3</v>
      </c>
      <c r="L201">
        <v>5</v>
      </c>
      <c r="M201">
        <v>4</v>
      </c>
      <c r="N201">
        <v>5</v>
      </c>
      <c r="O201">
        <v>1</v>
      </c>
      <c r="P201">
        <v>5</v>
      </c>
      <c r="Q201">
        <v>5</v>
      </c>
    </row>
    <row r="202" spans="1:17" x14ac:dyDescent="0.45">
      <c r="A202" s="19">
        <v>46031.390972222223</v>
      </c>
      <c r="B202" t="s">
        <v>72</v>
      </c>
      <c r="C202" t="s">
        <v>193</v>
      </c>
      <c r="D202" t="s">
        <v>74</v>
      </c>
      <c r="E202" t="s">
        <v>75</v>
      </c>
      <c r="F202" t="s">
        <v>100</v>
      </c>
      <c r="G202" t="s">
        <v>111</v>
      </c>
      <c r="H202" t="s">
        <v>102</v>
      </c>
      <c r="I202">
        <v>5</v>
      </c>
      <c r="J202">
        <v>5</v>
      </c>
      <c r="K202">
        <v>1</v>
      </c>
      <c r="L202">
        <v>5</v>
      </c>
      <c r="M202">
        <v>4</v>
      </c>
      <c r="N202">
        <v>2</v>
      </c>
      <c r="O202">
        <v>2</v>
      </c>
      <c r="P202">
        <v>5</v>
      </c>
      <c r="Q202">
        <v>4</v>
      </c>
    </row>
    <row r="203" spans="1:17" x14ac:dyDescent="0.45">
      <c r="A203" s="19">
        <v>46031.39166666667</v>
      </c>
      <c r="B203" t="s">
        <v>72</v>
      </c>
      <c r="C203" t="s">
        <v>79</v>
      </c>
      <c r="D203" t="s">
        <v>74</v>
      </c>
      <c r="E203" t="s">
        <v>77</v>
      </c>
      <c r="F203" t="s">
        <v>100</v>
      </c>
      <c r="G203" t="s">
        <v>107</v>
      </c>
      <c r="H203" t="s">
        <v>195</v>
      </c>
      <c r="I203">
        <v>6</v>
      </c>
      <c r="J203">
        <v>8</v>
      </c>
      <c r="K203">
        <v>8</v>
      </c>
      <c r="L203">
        <v>9</v>
      </c>
      <c r="M203">
        <v>7</v>
      </c>
      <c r="N203">
        <v>7</v>
      </c>
      <c r="O203">
        <v>7</v>
      </c>
      <c r="P203">
        <v>8</v>
      </c>
      <c r="Q203">
        <v>8</v>
      </c>
    </row>
    <row r="204" spans="1:17" x14ac:dyDescent="0.45">
      <c r="A204" s="19">
        <v>46031.39166666667</v>
      </c>
      <c r="B204" t="s">
        <v>72</v>
      </c>
      <c r="C204" t="s">
        <v>191</v>
      </c>
      <c r="D204" t="s">
        <v>74</v>
      </c>
      <c r="E204" t="s">
        <v>75</v>
      </c>
      <c r="F204" t="s">
        <v>100</v>
      </c>
      <c r="G204" t="s">
        <v>108</v>
      </c>
      <c r="H204" t="s">
        <v>106</v>
      </c>
      <c r="I204">
        <v>5</v>
      </c>
      <c r="J204">
        <v>5</v>
      </c>
      <c r="K204">
        <v>5</v>
      </c>
      <c r="L204">
        <v>5</v>
      </c>
      <c r="M204">
        <v>5</v>
      </c>
      <c r="N204">
        <v>5</v>
      </c>
      <c r="O204">
        <v>5</v>
      </c>
      <c r="P204">
        <v>5</v>
      </c>
      <c r="Q204">
        <v>5</v>
      </c>
    </row>
    <row r="205" spans="1:17" x14ac:dyDescent="0.45">
      <c r="A205" s="19">
        <v>46031.392361111109</v>
      </c>
      <c r="B205" t="s">
        <v>72</v>
      </c>
      <c r="C205" t="s">
        <v>73</v>
      </c>
      <c r="D205" t="s">
        <v>74</v>
      </c>
      <c r="E205" t="s">
        <v>77</v>
      </c>
      <c r="F205" t="s">
        <v>100</v>
      </c>
      <c r="G205" t="s">
        <v>109</v>
      </c>
      <c r="H205" t="s">
        <v>102</v>
      </c>
      <c r="I205">
        <v>7</v>
      </c>
      <c r="J205">
        <v>7</v>
      </c>
      <c r="K205">
        <v>7</v>
      </c>
      <c r="L205">
        <v>8</v>
      </c>
      <c r="M205">
        <v>7</v>
      </c>
      <c r="N205">
        <v>7</v>
      </c>
      <c r="O205">
        <v>7</v>
      </c>
      <c r="P205">
        <v>7</v>
      </c>
      <c r="Q205">
        <v>7</v>
      </c>
    </row>
    <row r="206" spans="1:17" x14ac:dyDescent="0.45">
      <c r="A206" s="19">
        <v>46031.393055555556</v>
      </c>
      <c r="B206" t="s">
        <v>72</v>
      </c>
      <c r="C206" t="s">
        <v>73</v>
      </c>
      <c r="D206" t="s">
        <v>74</v>
      </c>
      <c r="E206" t="s">
        <v>75</v>
      </c>
      <c r="F206" t="s">
        <v>100</v>
      </c>
      <c r="G206" t="s">
        <v>101</v>
      </c>
      <c r="H206" t="s">
        <v>110</v>
      </c>
      <c r="I206">
        <v>3</v>
      </c>
      <c r="J206">
        <v>1</v>
      </c>
      <c r="K206">
        <v>1</v>
      </c>
      <c r="L206">
        <v>5</v>
      </c>
      <c r="M206">
        <v>1</v>
      </c>
      <c r="N206">
        <v>1</v>
      </c>
      <c r="O206">
        <v>1</v>
      </c>
      <c r="P206">
        <v>4</v>
      </c>
      <c r="Q206">
        <v>5</v>
      </c>
    </row>
    <row r="207" spans="1:17" x14ac:dyDescent="0.45">
      <c r="A207" s="19">
        <v>46031.395833333336</v>
      </c>
      <c r="B207" t="s">
        <v>72</v>
      </c>
      <c r="C207" t="s">
        <v>79</v>
      </c>
      <c r="D207" t="s">
        <v>74</v>
      </c>
      <c r="E207" t="s">
        <v>77</v>
      </c>
      <c r="F207" t="s">
        <v>100</v>
      </c>
      <c r="G207" t="s">
        <v>111</v>
      </c>
      <c r="H207" t="s">
        <v>102</v>
      </c>
      <c r="I207">
        <v>8</v>
      </c>
      <c r="J207">
        <v>8</v>
      </c>
      <c r="K207">
        <v>5</v>
      </c>
      <c r="L207">
        <v>7</v>
      </c>
      <c r="M207">
        <v>7</v>
      </c>
      <c r="N207">
        <v>6</v>
      </c>
      <c r="O207">
        <v>6</v>
      </c>
      <c r="P207">
        <v>7</v>
      </c>
      <c r="Q207">
        <v>7</v>
      </c>
    </row>
    <row r="208" spans="1:17" x14ac:dyDescent="0.45">
      <c r="A208" s="19">
        <v>46031.397222222222</v>
      </c>
      <c r="B208" t="s">
        <v>78</v>
      </c>
      <c r="C208" t="s">
        <v>73</v>
      </c>
      <c r="D208" t="s">
        <v>74</v>
      </c>
      <c r="E208" t="s">
        <v>77</v>
      </c>
      <c r="F208" t="s">
        <v>100</v>
      </c>
      <c r="G208" t="s">
        <v>111</v>
      </c>
      <c r="H208" t="s">
        <v>105</v>
      </c>
      <c r="I208">
        <v>4</v>
      </c>
      <c r="J208">
        <v>3</v>
      </c>
      <c r="K208">
        <v>1</v>
      </c>
      <c r="L208">
        <v>2</v>
      </c>
      <c r="M208">
        <v>1</v>
      </c>
      <c r="N208">
        <v>1</v>
      </c>
      <c r="O208">
        <v>1</v>
      </c>
      <c r="P208">
        <v>4</v>
      </c>
      <c r="Q208">
        <v>2</v>
      </c>
    </row>
    <row r="209" spans="1:17" x14ac:dyDescent="0.45">
      <c r="A209" s="19">
        <v>46031.397222222222</v>
      </c>
      <c r="B209" t="s">
        <v>72</v>
      </c>
      <c r="C209" t="s">
        <v>73</v>
      </c>
      <c r="D209" t="s">
        <v>74</v>
      </c>
      <c r="E209" t="s">
        <v>75</v>
      </c>
      <c r="F209" t="s">
        <v>100</v>
      </c>
      <c r="G209" t="s">
        <v>109</v>
      </c>
      <c r="H209" t="s">
        <v>102</v>
      </c>
      <c r="I209">
        <v>7</v>
      </c>
      <c r="J209">
        <v>8</v>
      </c>
      <c r="K209">
        <v>6</v>
      </c>
      <c r="L209">
        <v>7</v>
      </c>
      <c r="M209">
        <v>6</v>
      </c>
      <c r="N209">
        <v>7</v>
      </c>
      <c r="O209">
        <v>6</v>
      </c>
      <c r="P209">
        <v>6</v>
      </c>
      <c r="Q209">
        <v>6</v>
      </c>
    </row>
    <row r="210" spans="1:17" x14ac:dyDescent="0.45">
      <c r="A210" s="19">
        <v>46031.397916666669</v>
      </c>
      <c r="B210" t="s">
        <v>72</v>
      </c>
      <c r="C210" t="s">
        <v>73</v>
      </c>
      <c r="D210" t="s">
        <v>74</v>
      </c>
      <c r="E210" t="s">
        <v>77</v>
      </c>
      <c r="F210" t="s">
        <v>100</v>
      </c>
      <c r="G210" t="s">
        <v>109</v>
      </c>
      <c r="H210" t="s">
        <v>110</v>
      </c>
      <c r="I210">
        <v>6</v>
      </c>
      <c r="J210">
        <v>6</v>
      </c>
      <c r="K210">
        <v>6</v>
      </c>
      <c r="L210">
        <v>6</v>
      </c>
      <c r="M210">
        <v>6</v>
      </c>
      <c r="N210">
        <v>5</v>
      </c>
      <c r="O210">
        <v>6</v>
      </c>
      <c r="P210">
        <v>6</v>
      </c>
      <c r="Q210">
        <v>6</v>
      </c>
    </row>
    <row r="211" spans="1:17" x14ac:dyDescent="0.45">
      <c r="A211" s="19">
        <v>46031.398611111108</v>
      </c>
      <c r="B211" t="s">
        <v>78</v>
      </c>
      <c r="C211" t="s">
        <v>73</v>
      </c>
      <c r="D211" t="s">
        <v>74</v>
      </c>
      <c r="E211" t="s">
        <v>77</v>
      </c>
      <c r="F211" t="s">
        <v>100</v>
      </c>
      <c r="G211" t="s">
        <v>101</v>
      </c>
      <c r="H211" t="s">
        <v>110</v>
      </c>
      <c r="I211">
        <v>7</v>
      </c>
      <c r="J211">
        <v>7</v>
      </c>
      <c r="K211">
        <v>8</v>
      </c>
      <c r="L211">
        <v>8</v>
      </c>
      <c r="M211">
        <v>8</v>
      </c>
      <c r="N211">
        <v>9</v>
      </c>
      <c r="O211">
        <v>8</v>
      </c>
      <c r="P211">
        <v>8</v>
      </c>
      <c r="Q211">
        <v>8</v>
      </c>
    </row>
    <row r="212" spans="1:17" x14ac:dyDescent="0.45">
      <c r="A212" s="19">
        <v>46031.399305555555</v>
      </c>
      <c r="B212" t="s">
        <v>72</v>
      </c>
      <c r="C212" t="s">
        <v>73</v>
      </c>
      <c r="D212" t="s">
        <v>74</v>
      </c>
      <c r="E212" t="s">
        <v>77</v>
      </c>
      <c r="F212" t="s">
        <v>100</v>
      </c>
      <c r="G212" t="s">
        <v>111</v>
      </c>
      <c r="H212" t="s">
        <v>102</v>
      </c>
      <c r="I212">
        <v>7</v>
      </c>
      <c r="J212">
        <v>7</v>
      </c>
      <c r="K212">
        <v>7</v>
      </c>
      <c r="L212">
        <v>7</v>
      </c>
      <c r="M212">
        <v>7</v>
      </c>
      <c r="N212">
        <v>7</v>
      </c>
      <c r="O212">
        <v>7</v>
      </c>
      <c r="P212">
        <v>7</v>
      </c>
      <c r="Q212">
        <v>7</v>
      </c>
    </row>
    <row r="213" spans="1:17" x14ac:dyDescent="0.45">
      <c r="A213" s="19">
        <v>46031.399305555555</v>
      </c>
      <c r="B213" t="s">
        <v>72</v>
      </c>
      <c r="C213" t="s">
        <v>73</v>
      </c>
      <c r="D213" t="s">
        <v>74</v>
      </c>
      <c r="E213" t="s">
        <v>77</v>
      </c>
      <c r="F213" t="s">
        <v>100</v>
      </c>
      <c r="G213" t="s">
        <v>111</v>
      </c>
      <c r="H213" t="s">
        <v>110</v>
      </c>
      <c r="I213">
        <v>5</v>
      </c>
      <c r="J213">
        <v>5</v>
      </c>
      <c r="K213">
        <v>1</v>
      </c>
      <c r="L213">
        <v>5</v>
      </c>
      <c r="M213">
        <v>5</v>
      </c>
      <c r="N213">
        <v>5</v>
      </c>
      <c r="O213">
        <v>4</v>
      </c>
      <c r="P213">
        <v>5</v>
      </c>
      <c r="Q213">
        <v>5</v>
      </c>
    </row>
    <row r="214" spans="1:17" x14ac:dyDescent="0.45">
      <c r="A214" s="19">
        <v>46031.4</v>
      </c>
      <c r="B214" t="s">
        <v>72</v>
      </c>
      <c r="C214" t="s">
        <v>73</v>
      </c>
      <c r="D214" t="s">
        <v>74</v>
      </c>
      <c r="E214" t="s">
        <v>77</v>
      </c>
      <c r="F214" t="s">
        <v>100</v>
      </c>
      <c r="G214" t="s">
        <v>111</v>
      </c>
      <c r="H214" t="s">
        <v>195</v>
      </c>
      <c r="I214">
        <v>7</v>
      </c>
      <c r="J214">
        <v>8</v>
      </c>
      <c r="K214">
        <v>8</v>
      </c>
      <c r="L214">
        <v>8</v>
      </c>
      <c r="M214">
        <v>8</v>
      </c>
      <c r="N214">
        <v>8</v>
      </c>
      <c r="O214">
        <v>8</v>
      </c>
      <c r="P214">
        <v>8</v>
      </c>
      <c r="Q214">
        <v>8</v>
      </c>
    </row>
    <row r="215" spans="1:17" x14ac:dyDescent="0.45">
      <c r="A215" s="19">
        <v>46031.400694444441</v>
      </c>
      <c r="B215" t="s">
        <v>72</v>
      </c>
      <c r="C215" t="s">
        <v>73</v>
      </c>
      <c r="D215" t="s">
        <v>74</v>
      </c>
      <c r="E215" t="s">
        <v>75</v>
      </c>
      <c r="F215" t="s">
        <v>100</v>
      </c>
      <c r="G215" t="s">
        <v>111</v>
      </c>
      <c r="H215" t="s">
        <v>195</v>
      </c>
      <c r="I215">
        <v>9</v>
      </c>
      <c r="J215">
        <v>9</v>
      </c>
      <c r="K215">
        <v>9</v>
      </c>
      <c r="L215">
        <v>9</v>
      </c>
      <c r="M215">
        <v>9</v>
      </c>
      <c r="N215">
        <v>9</v>
      </c>
      <c r="O215">
        <v>9</v>
      </c>
      <c r="P215">
        <v>9</v>
      </c>
      <c r="Q215">
        <v>9</v>
      </c>
    </row>
    <row r="216" spans="1:17" x14ac:dyDescent="0.45">
      <c r="A216" s="19">
        <v>46031.400694444441</v>
      </c>
      <c r="B216" t="s">
        <v>72</v>
      </c>
      <c r="C216" t="s">
        <v>73</v>
      </c>
      <c r="D216" t="s">
        <v>74</v>
      </c>
      <c r="E216" t="s">
        <v>75</v>
      </c>
      <c r="F216" t="s">
        <v>100</v>
      </c>
      <c r="G216" t="s">
        <v>196</v>
      </c>
      <c r="H216" t="s">
        <v>105</v>
      </c>
      <c r="I216">
        <v>5</v>
      </c>
      <c r="J216">
        <v>5</v>
      </c>
      <c r="K216">
        <v>5</v>
      </c>
      <c r="L216">
        <v>5</v>
      </c>
      <c r="M216">
        <v>5</v>
      </c>
      <c r="N216">
        <v>5</v>
      </c>
      <c r="O216">
        <v>5</v>
      </c>
      <c r="P216">
        <v>5</v>
      </c>
      <c r="Q216">
        <v>5</v>
      </c>
    </row>
    <row r="217" spans="1:17" x14ac:dyDescent="0.45">
      <c r="A217" s="19">
        <v>46031.400694444441</v>
      </c>
      <c r="B217" t="s">
        <v>72</v>
      </c>
      <c r="C217" t="s">
        <v>73</v>
      </c>
      <c r="D217" t="s">
        <v>74</v>
      </c>
      <c r="E217" t="s">
        <v>75</v>
      </c>
      <c r="F217" t="s">
        <v>100</v>
      </c>
      <c r="G217" t="s">
        <v>109</v>
      </c>
      <c r="H217" t="s">
        <v>102</v>
      </c>
      <c r="I217">
        <v>6</v>
      </c>
      <c r="J217">
        <v>7</v>
      </c>
      <c r="K217">
        <v>7</v>
      </c>
      <c r="L217">
        <v>7</v>
      </c>
      <c r="M217">
        <v>6</v>
      </c>
      <c r="N217">
        <v>7</v>
      </c>
      <c r="O217">
        <v>7</v>
      </c>
      <c r="P217">
        <v>7</v>
      </c>
      <c r="Q217">
        <v>7</v>
      </c>
    </row>
    <row r="218" spans="1:17" x14ac:dyDescent="0.45">
      <c r="A218" s="19">
        <v>46031.401388888888</v>
      </c>
      <c r="B218" t="s">
        <v>78</v>
      </c>
      <c r="C218" t="s">
        <v>73</v>
      </c>
      <c r="D218" t="s">
        <v>74</v>
      </c>
      <c r="E218" t="s">
        <v>77</v>
      </c>
      <c r="F218" t="s">
        <v>100</v>
      </c>
      <c r="G218" t="s">
        <v>109</v>
      </c>
      <c r="H218" t="s">
        <v>110</v>
      </c>
      <c r="I218">
        <v>5</v>
      </c>
      <c r="J218">
        <v>5</v>
      </c>
      <c r="K218">
        <v>5</v>
      </c>
      <c r="L218">
        <v>6</v>
      </c>
      <c r="M218">
        <v>5</v>
      </c>
      <c r="N218">
        <v>5</v>
      </c>
      <c r="O218">
        <v>5</v>
      </c>
      <c r="P218">
        <v>5</v>
      </c>
      <c r="Q218">
        <v>5</v>
      </c>
    </row>
    <row r="219" spans="1:17" x14ac:dyDescent="0.45">
      <c r="A219" s="19">
        <v>46031.402083333334</v>
      </c>
      <c r="B219" t="s">
        <v>72</v>
      </c>
      <c r="C219" t="s">
        <v>73</v>
      </c>
      <c r="D219" t="s">
        <v>74</v>
      </c>
      <c r="E219" t="s">
        <v>77</v>
      </c>
      <c r="F219" t="s">
        <v>100</v>
      </c>
      <c r="G219" t="s">
        <v>111</v>
      </c>
      <c r="H219" t="s">
        <v>106</v>
      </c>
      <c r="I219">
        <v>6</v>
      </c>
      <c r="J219">
        <v>7</v>
      </c>
      <c r="K219">
        <v>7</v>
      </c>
      <c r="L219">
        <v>7</v>
      </c>
      <c r="M219">
        <v>7</v>
      </c>
      <c r="N219">
        <v>7</v>
      </c>
      <c r="O219">
        <v>7</v>
      </c>
      <c r="P219">
        <v>7</v>
      </c>
      <c r="Q219">
        <v>7</v>
      </c>
    </row>
    <row r="220" spans="1:17" x14ac:dyDescent="0.45">
      <c r="A220" s="19">
        <v>46031.402777777781</v>
      </c>
      <c r="B220" t="s">
        <v>78</v>
      </c>
      <c r="C220" t="s">
        <v>193</v>
      </c>
      <c r="D220" t="s">
        <v>74</v>
      </c>
      <c r="E220" t="s">
        <v>75</v>
      </c>
      <c r="F220" t="s">
        <v>100</v>
      </c>
      <c r="G220" t="s">
        <v>108</v>
      </c>
      <c r="H220" t="s">
        <v>105</v>
      </c>
      <c r="I220">
        <v>7</v>
      </c>
      <c r="J220">
        <v>8</v>
      </c>
      <c r="K220">
        <v>8</v>
      </c>
      <c r="L220">
        <v>8</v>
      </c>
      <c r="M220">
        <v>8</v>
      </c>
      <c r="N220">
        <v>5</v>
      </c>
      <c r="O220">
        <v>5</v>
      </c>
      <c r="P220">
        <v>7</v>
      </c>
      <c r="Q220">
        <v>6</v>
      </c>
    </row>
    <row r="221" spans="1:17" x14ac:dyDescent="0.45">
      <c r="A221" s="19">
        <v>46031.402777777781</v>
      </c>
      <c r="B221" t="s">
        <v>72</v>
      </c>
      <c r="C221" t="s">
        <v>191</v>
      </c>
      <c r="D221" t="s">
        <v>74</v>
      </c>
      <c r="E221" t="s">
        <v>75</v>
      </c>
      <c r="F221" t="s">
        <v>100</v>
      </c>
      <c r="G221" t="s">
        <v>108</v>
      </c>
      <c r="H221" t="s">
        <v>102</v>
      </c>
      <c r="I221">
        <v>10</v>
      </c>
      <c r="J221">
        <v>10</v>
      </c>
      <c r="K221">
        <v>6</v>
      </c>
      <c r="L221">
        <v>9</v>
      </c>
      <c r="M221">
        <v>9</v>
      </c>
      <c r="N221">
        <v>9</v>
      </c>
      <c r="O221">
        <v>9</v>
      </c>
      <c r="P221">
        <v>8</v>
      </c>
      <c r="Q221">
        <v>8</v>
      </c>
    </row>
    <row r="222" spans="1:17" x14ac:dyDescent="0.45">
      <c r="A222" s="19">
        <v>46031.40347222222</v>
      </c>
      <c r="B222" t="s">
        <v>72</v>
      </c>
      <c r="C222" t="s">
        <v>79</v>
      </c>
      <c r="D222" t="s">
        <v>74</v>
      </c>
      <c r="E222" t="s">
        <v>77</v>
      </c>
      <c r="F222" t="s">
        <v>100</v>
      </c>
      <c r="G222" t="s">
        <v>111</v>
      </c>
      <c r="H222" t="s">
        <v>102</v>
      </c>
      <c r="I222">
        <v>4</v>
      </c>
      <c r="J222">
        <v>4</v>
      </c>
      <c r="K222">
        <v>4</v>
      </c>
      <c r="L222">
        <v>6</v>
      </c>
      <c r="M222">
        <v>5</v>
      </c>
      <c r="N222">
        <v>6</v>
      </c>
      <c r="O222">
        <v>5</v>
      </c>
      <c r="P222">
        <v>6</v>
      </c>
      <c r="Q222">
        <v>5</v>
      </c>
    </row>
    <row r="223" spans="1:17" x14ac:dyDescent="0.45">
      <c r="A223" s="19">
        <v>46031.404861111114</v>
      </c>
      <c r="B223" t="s">
        <v>72</v>
      </c>
      <c r="C223" t="s">
        <v>191</v>
      </c>
      <c r="D223" t="s">
        <v>74</v>
      </c>
      <c r="E223" t="s">
        <v>77</v>
      </c>
      <c r="F223" t="s">
        <v>100</v>
      </c>
      <c r="G223" t="s">
        <v>111</v>
      </c>
      <c r="H223" t="s">
        <v>105</v>
      </c>
      <c r="I223">
        <v>4</v>
      </c>
      <c r="J223">
        <v>5</v>
      </c>
      <c r="K223">
        <v>4</v>
      </c>
      <c r="L223">
        <v>5</v>
      </c>
      <c r="M223">
        <v>5</v>
      </c>
      <c r="N223">
        <v>5</v>
      </c>
      <c r="O223">
        <v>5</v>
      </c>
      <c r="P223">
        <v>5</v>
      </c>
      <c r="Q223">
        <v>5</v>
      </c>
    </row>
    <row r="224" spans="1:17" x14ac:dyDescent="0.45">
      <c r="A224" s="19">
        <v>46031.405555555553</v>
      </c>
      <c r="B224" t="s">
        <v>78</v>
      </c>
      <c r="C224" t="s">
        <v>73</v>
      </c>
      <c r="D224" t="s">
        <v>74</v>
      </c>
      <c r="E224" t="s">
        <v>77</v>
      </c>
      <c r="F224" t="s">
        <v>100</v>
      </c>
      <c r="G224" t="s">
        <v>111</v>
      </c>
      <c r="H224" t="s">
        <v>105</v>
      </c>
      <c r="I224">
        <v>6</v>
      </c>
      <c r="J224">
        <v>6</v>
      </c>
      <c r="K224">
        <v>7</v>
      </c>
      <c r="L224">
        <v>7</v>
      </c>
      <c r="M224">
        <v>6</v>
      </c>
      <c r="N224">
        <v>6</v>
      </c>
      <c r="O224">
        <v>8</v>
      </c>
      <c r="P224">
        <v>8</v>
      </c>
      <c r="Q224">
        <v>7</v>
      </c>
    </row>
    <row r="225" spans="1:17" x14ac:dyDescent="0.45">
      <c r="A225" s="19">
        <v>46031.405555555553</v>
      </c>
      <c r="B225" t="s">
        <v>72</v>
      </c>
      <c r="C225" t="s">
        <v>73</v>
      </c>
      <c r="D225" t="s">
        <v>74</v>
      </c>
      <c r="E225" t="s">
        <v>75</v>
      </c>
      <c r="F225" t="s">
        <v>100</v>
      </c>
      <c r="G225" t="s">
        <v>111</v>
      </c>
      <c r="H225" t="s">
        <v>110</v>
      </c>
      <c r="I225">
        <v>7</v>
      </c>
      <c r="J225">
        <v>7</v>
      </c>
      <c r="K225">
        <v>7</v>
      </c>
      <c r="L225">
        <v>7</v>
      </c>
      <c r="M225">
        <v>7</v>
      </c>
      <c r="N225">
        <v>7</v>
      </c>
      <c r="O225">
        <v>7</v>
      </c>
      <c r="P225">
        <v>7</v>
      </c>
      <c r="Q225">
        <v>7</v>
      </c>
    </row>
    <row r="226" spans="1:17" x14ac:dyDescent="0.45">
      <c r="A226" s="19">
        <v>46031.40625</v>
      </c>
      <c r="B226" t="s">
        <v>72</v>
      </c>
      <c r="C226" t="s">
        <v>73</v>
      </c>
      <c r="D226" t="s">
        <v>74</v>
      </c>
      <c r="E226" t="s">
        <v>77</v>
      </c>
      <c r="F226" t="s">
        <v>100</v>
      </c>
      <c r="G226" t="s">
        <v>109</v>
      </c>
      <c r="H226" t="s">
        <v>102</v>
      </c>
      <c r="I226">
        <v>6</v>
      </c>
      <c r="J226">
        <v>6</v>
      </c>
      <c r="K226">
        <v>7</v>
      </c>
      <c r="L226">
        <v>7</v>
      </c>
      <c r="M226">
        <v>5</v>
      </c>
      <c r="N226">
        <v>6</v>
      </c>
      <c r="O226">
        <v>6</v>
      </c>
      <c r="P226">
        <v>6</v>
      </c>
      <c r="Q226">
        <v>7</v>
      </c>
    </row>
    <row r="227" spans="1:17" x14ac:dyDescent="0.45">
      <c r="A227" s="19">
        <v>46031.406944444447</v>
      </c>
      <c r="B227" t="s">
        <v>72</v>
      </c>
      <c r="C227" t="s">
        <v>193</v>
      </c>
      <c r="D227" t="s">
        <v>74</v>
      </c>
      <c r="E227" t="s">
        <v>75</v>
      </c>
      <c r="F227" t="s">
        <v>100</v>
      </c>
      <c r="G227" t="s">
        <v>107</v>
      </c>
      <c r="H227" t="s">
        <v>105</v>
      </c>
      <c r="I227">
        <v>7</v>
      </c>
      <c r="J227">
        <v>7</v>
      </c>
      <c r="K227">
        <v>6</v>
      </c>
      <c r="L227">
        <v>7</v>
      </c>
      <c r="M227">
        <v>7</v>
      </c>
      <c r="N227">
        <v>7</v>
      </c>
      <c r="O227">
        <v>7</v>
      </c>
      <c r="P227">
        <v>7</v>
      </c>
      <c r="Q227">
        <v>7</v>
      </c>
    </row>
    <row r="228" spans="1:17" x14ac:dyDescent="0.45">
      <c r="A228" s="19">
        <v>46031.407638888886</v>
      </c>
      <c r="B228" t="s">
        <v>72</v>
      </c>
      <c r="C228" t="s">
        <v>81</v>
      </c>
      <c r="D228" t="s">
        <v>74</v>
      </c>
      <c r="E228" t="s">
        <v>77</v>
      </c>
      <c r="F228" t="s">
        <v>100</v>
      </c>
      <c r="G228" t="s">
        <v>101</v>
      </c>
      <c r="H228" t="s">
        <v>110</v>
      </c>
      <c r="I228">
        <v>6</v>
      </c>
      <c r="J228">
        <v>6</v>
      </c>
      <c r="K228">
        <v>6</v>
      </c>
      <c r="L228">
        <v>6</v>
      </c>
      <c r="M228">
        <v>6</v>
      </c>
      <c r="N228">
        <v>6</v>
      </c>
      <c r="O228">
        <v>6</v>
      </c>
      <c r="P228">
        <v>6</v>
      </c>
      <c r="Q228">
        <v>6</v>
      </c>
    </row>
    <row r="229" spans="1:17" x14ac:dyDescent="0.45">
      <c r="A229" s="19">
        <v>46031.407638888886</v>
      </c>
      <c r="B229" t="s">
        <v>72</v>
      </c>
      <c r="C229" t="s">
        <v>81</v>
      </c>
      <c r="D229" t="s">
        <v>74</v>
      </c>
      <c r="E229" t="s">
        <v>77</v>
      </c>
      <c r="F229" t="s">
        <v>100</v>
      </c>
      <c r="G229" t="s">
        <v>196</v>
      </c>
      <c r="H229" t="s">
        <v>105</v>
      </c>
      <c r="I229">
        <v>8</v>
      </c>
      <c r="J229">
        <v>9</v>
      </c>
      <c r="K229">
        <v>7</v>
      </c>
      <c r="L229">
        <v>8</v>
      </c>
      <c r="M229">
        <v>9</v>
      </c>
      <c r="N229">
        <v>8</v>
      </c>
      <c r="O229">
        <v>8</v>
      </c>
      <c r="P229">
        <v>8</v>
      </c>
      <c r="Q229">
        <v>8</v>
      </c>
    </row>
    <row r="230" spans="1:17" x14ac:dyDescent="0.45">
      <c r="A230" s="19">
        <v>46031.408333333333</v>
      </c>
      <c r="B230" t="s">
        <v>72</v>
      </c>
      <c r="C230" t="s">
        <v>73</v>
      </c>
      <c r="D230" t="s">
        <v>74</v>
      </c>
      <c r="E230" t="s">
        <v>77</v>
      </c>
      <c r="F230" t="s">
        <v>100</v>
      </c>
      <c r="G230" t="s">
        <v>111</v>
      </c>
      <c r="H230" t="s">
        <v>105</v>
      </c>
      <c r="I230">
        <v>6</v>
      </c>
      <c r="J230">
        <v>6</v>
      </c>
      <c r="K230">
        <v>6</v>
      </c>
      <c r="L230">
        <v>6</v>
      </c>
      <c r="M230">
        <v>6</v>
      </c>
      <c r="N230">
        <v>7</v>
      </c>
      <c r="O230">
        <v>6</v>
      </c>
      <c r="P230">
        <v>6</v>
      </c>
      <c r="Q230">
        <v>7</v>
      </c>
    </row>
    <row r="231" spans="1:17" x14ac:dyDescent="0.45">
      <c r="A231" s="19">
        <v>46031.40902777778</v>
      </c>
      <c r="B231" t="s">
        <v>72</v>
      </c>
      <c r="C231" t="s">
        <v>79</v>
      </c>
      <c r="D231" t="s">
        <v>74</v>
      </c>
      <c r="E231" t="s">
        <v>75</v>
      </c>
      <c r="F231" t="s">
        <v>100</v>
      </c>
      <c r="G231" t="s">
        <v>107</v>
      </c>
      <c r="H231" t="s">
        <v>195</v>
      </c>
      <c r="I231">
        <v>4</v>
      </c>
      <c r="J231">
        <v>5</v>
      </c>
      <c r="K231">
        <v>1</v>
      </c>
      <c r="L231">
        <v>6</v>
      </c>
      <c r="M231">
        <v>4</v>
      </c>
      <c r="N231">
        <v>4</v>
      </c>
      <c r="O231">
        <v>5</v>
      </c>
      <c r="P231">
        <v>5</v>
      </c>
      <c r="Q231">
        <v>5</v>
      </c>
    </row>
    <row r="232" spans="1:17" x14ac:dyDescent="0.45">
      <c r="A232" s="19">
        <v>46031.40902777778</v>
      </c>
      <c r="B232" t="s">
        <v>78</v>
      </c>
      <c r="C232" t="s">
        <v>193</v>
      </c>
      <c r="D232" t="s">
        <v>74</v>
      </c>
      <c r="E232" t="s">
        <v>75</v>
      </c>
      <c r="F232" t="s">
        <v>100</v>
      </c>
      <c r="G232" t="s">
        <v>108</v>
      </c>
      <c r="H232" t="s">
        <v>195</v>
      </c>
      <c r="I232">
        <v>8</v>
      </c>
      <c r="J232">
        <v>8</v>
      </c>
      <c r="K232">
        <v>8</v>
      </c>
      <c r="L232">
        <v>8</v>
      </c>
      <c r="M232">
        <v>7</v>
      </c>
      <c r="N232">
        <v>7</v>
      </c>
      <c r="O232">
        <v>8</v>
      </c>
      <c r="P232">
        <v>7</v>
      </c>
      <c r="Q232">
        <v>8</v>
      </c>
    </row>
    <row r="233" spans="1:17" x14ac:dyDescent="0.45">
      <c r="A233" s="19">
        <v>46031.409722222219</v>
      </c>
      <c r="B233" t="s">
        <v>78</v>
      </c>
      <c r="C233" t="s">
        <v>73</v>
      </c>
      <c r="D233" t="s">
        <v>74</v>
      </c>
      <c r="E233" t="s">
        <v>77</v>
      </c>
      <c r="F233" t="s">
        <v>100</v>
      </c>
      <c r="G233" t="s">
        <v>111</v>
      </c>
      <c r="H233" t="s">
        <v>105</v>
      </c>
      <c r="I233">
        <v>6</v>
      </c>
      <c r="J233">
        <v>6</v>
      </c>
      <c r="K233">
        <v>6</v>
      </c>
      <c r="L233">
        <v>6</v>
      </c>
      <c r="M233">
        <v>6</v>
      </c>
      <c r="N233">
        <v>6</v>
      </c>
      <c r="O233">
        <v>6</v>
      </c>
      <c r="P233">
        <v>6</v>
      </c>
      <c r="Q233">
        <v>6</v>
      </c>
    </row>
    <row r="234" spans="1:17" x14ac:dyDescent="0.45">
      <c r="A234" s="19">
        <v>46031.409722222219</v>
      </c>
      <c r="B234" t="s">
        <v>72</v>
      </c>
      <c r="C234" t="s">
        <v>79</v>
      </c>
      <c r="D234" t="s">
        <v>74</v>
      </c>
      <c r="E234" t="s">
        <v>77</v>
      </c>
      <c r="F234" t="s">
        <v>100</v>
      </c>
      <c r="G234" t="s">
        <v>104</v>
      </c>
      <c r="H234" t="s">
        <v>102</v>
      </c>
      <c r="I234">
        <v>8</v>
      </c>
      <c r="J234">
        <v>8</v>
      </c>
      <c r="K234">
        <v>8</v>
      </c>
      <c r="L234">
        <v>8</v>
      </c>
      <c r="M234">
        <v>9</v>
      </c>
      <c r="N234">
        <v>8</v>
      </c>
      <c r="O234">
        <v>8</v>
      </c>
      <c r="P234">
        <v>8</v>
      </c>
      <c r="Q234">
        <v>10</v>
      </c>
    </row>
    <row r="235" spans="1:17" x14ac:dyDescent="0.45">
      <c r="A235" s="19">
        <v>46031.409722222219</v>
      </c>
      <c r="B235" t="s">
        <v>72</v>
      </c>
      <c r="C235" t="s">
        <v>191</v>
      </c>
      <c r="D235" t="s">
        <v>74</v>
      </c>
      <c r="E235" t="s">
        <v>75</v>
      </c>
      <c r="F235" t="s">
        <v>100</v>
      </c>
      <c r="G235" t="s">
        <v>107</v>
      </c>
      <c r="H235" t="s">
        <v>106</v>
      </c>
      <c r="I235">
        <v>4</v>
      </c>
      <c r="J235">
        <v>4</v>
      </c>
      <c r="K235">
        <v>4</v>
      </c>
      <c r="L235">
        <v>4</v>
      </c>
      <c r="M235">
        <v>1</v>
      </c>
      <c r="N235">
        <v>3</v>
      </c>
      <c r="O235">
        <v>1</v>
      </c>
      <c r="P235">
        <v>1</v>
      </c>
      <c r="Q235">
        <v>1</v>
      </c>
    </row>
    <row r="236" spans="1:17" x14ac:dyDescent="0.45">
      <c r="A236" s="19">
        <v>46031.410416666666</v>
      </c>
      <c r="B236" t="s">
        <v>72</v>
      </c>
      <c r="C236" t="s">
        <v>73</v>
      </c>
      <c r="D236" t="s">
        <v>74</v>
      </c>
      <c r="E236" t="s">
        <v>77</v>
      </c>
      <c r="F236" t="s">
        <v>100</v>
      </c>
      <c r="G236" t="s">
        <v>109</v>
      </c>
      <c r="H236" t="s">
        <v>110</v>
      </c>
      <c r="I236">
        <v>6</v>
      </c>
      <c r="J236">
        <v>6</v>
      </c>
      <c r="K236">
        <v>1</v>
      </c>
      <c r="L236">
        <v>6</v>
      </c>
      <c r="M236">
        <v>5</v>
      </c>
      <c r="N236">
        <v>6</v>
      </c>
      <c r="O236">
        <v>5</v>
      </c>
      <c r="P236">
        <v>6</v>
      </c>
      <c r="Q236">
        <v>6</v>
      </c>
    </row>
    <row r="237" spans="1:17" x14ac:dyDescent="0.45">
      <c r="A237" s="19">
        <v>46031.411111111112</v>
      </c>
      <c r="B237" t="s">
        <v>72</v>
      </c>
      <c r="C237" t="s">
        <v>73</v>
      </c>
      <c r="D237" t="s">
        <v>74</v>
      </c>
      <c r="E237" t="s">
        <v>75</v>
      </c>
      <c r="F237" t="s">
        <v>100</v>
      </c>
      <c r="G237" t="s">
        <v>111</v>
      </c>
      <c r="H237" t="s">
        <v>106</v>
      </c>
      <c r="I237">
        <v>7</v>
      </c>
      <c r="J237">
        <v>7</v>
      </c>
      <c r="K237">
        <v>7</v>
      </c>
      <c r="L237">
        <v>7</v>
      </c>
      <c r="M237">
        <v>7</v>
      </c>
      <c r="N237">
        <v>7</v>
      </c>
      <c r="O237">
        <v>7</v>
      </c>
      <c r="P237">
        <v>7</v>
      </c>
      <c r="Q237">
        <v>7</v>
      </c>
    </row>
    <row r="238" spans="1:17" x14ac:dyDescent="0.45">
      <c r="A238" s="19">
        <v>46031.418749999997</v>
      </c>
      <c r="B238" t="s">
        <v>78</v>
      </c>
      <c r="C238" t="s">
        <v>73</v>
      </c>
      <c r="D238" t="s">
        <v>74</v>
      </c>
      <c r="E238" t="s">
        <v>75</v>
      </c>
      <c r="F238" t="s">
        <v>103</v>
      </c>
      <c r="G238" t="s">
        <v>104</v>
      </c>
      <c r="H238" t="s">
        <v>106</v>
      </c>
      <c r="I238">
        <v>10</v>
      </c>
      <c r="J238">
        <v>10</v>
      </c>
      <c r="K238">
        <v>4</v>
      </c>
      <c r="L238">
        <v>6</v>
      </c>
      <c r="M238">
        <v>3</v>
      </c>
      <c r="N238">
        <v>1</v>
      </c>
      <c r="O238">
        <v>1</v>
      </c>
      <c r="P238">
        <v>3</v>
      </c>
      <c r="Q238">
        <v>1</v>
      </c>
    </row>
    <row r="239" spans="1:17" x14ac:dyDescent="0.45">
      <c r="A239" s="19">
        <v>46031.427083333336</v>
      </c>
      <c r="B239" t="s">
        <v>72</v>
      </c>
      <c r="C239" t="s">
        <v>73</v>
      </c>
      <c r="D239" t="s">
        <v>74</v>
      </c>
      <c r="E239" t="s">
        <v>75</v>
      </c>
      <c r="F239" t="s">
        <v>100</v>
      </c>
      <c r="G239" t="s">
        <v>101</v>
      </c>
      <c r="H239" t="s">
        <v>102</v>
      </c>
      <c r="I239">
        <v>8</v>
      </c>
      <c r="J239">
        <v>10</v>
      </c>
      <c r="K239">
        <v>8</v>
      </c>
      <c r="L239">
        <v>10</v>
      </c>
      <c r="M239">
        <v>9</v>
      </c>
      <c r="N239">
        <v>8</v>
      </c>
      <c r="O239">
        <v>7</v>
      </c>
      <c r="P239">
        <v>9</v>
      </c>
      <c r="Q239">
        <v>9</v>
      </c>
    </row>
    <row r="240" spans="1:17" x14ac:dyDescent="0.45">
      <c r="A240" s="19">
        <v>46031.440972222219</v>
      </c>
      <c r="B240" t="s">
        <v>78</v>
      </c>
      <c r="C240" t="s">
        <v>193</v>
      </c>
      <c r="D240" t="s">
        <v>74</v>
      </c>
      <c r="E240" t="s">
        <v>75</v>
      </c>
      <c r="F240" t="s">
        <v>100</v>
      </c>
      <c r="G240" t="s">
        <v>107</v>
      </c>
      <c r="H240" t="s">
        <v>195</v>
      </c>
      <c r="I240">
        <v>6</v>
      </c>
      <c r="J240">
        <v>6</v>
      </c>
      <c r="K240">
        <v>6</v>
      </c>
      <c r="L240">
        <v>6</v>
      </c>
      <c r="M240">
        <v>6</v>
      </c>
      <c r="N240">
        <v>6</v>
      </c>
      <c r="O240">
        <v>6</v>
      </c>
      <c r="P240">
        <v>7</v>
      </c>
      <c r="Q240">
        <v>6</v>
      </c>
    </row>
    <row r="241" spans="1:17" x14ac:dyDescent="0.45">
      <c r="A241" s="19">
        <v>46031.441666666666</v>
      </c>
      <c r="B241" t="s">
        <v>72</v>
      </c>
      <c r="C241" t="s">
        <v>73</v>
      </c>
      <c r="D241" t="s">
        <v>74</v>
      </c>
      <c r="E241" t="s">
        <v>77</v>
      </c>
      <c r="F241" t="s">
        <v>100</v>
      </c>
      <c r="G241" t="s">
        <v>111</v>
      </c>
      <c r="H241" t="s">
        <v>106</v>
      </c>
      <c r="I241">
        <v>8</v>
      </c>
      <c r="J241">
        <v>8</v>
      </c>
      <c r="K241">
        <v>8</v>
      </c>
      <c r="L241">
        <v>8</v>
      </c>
      <c r="M241">
        <v>8</v>
      </c>
      <c r="N241">
        <v>8</v>
      </c>
      <c r="O241">
        <v>8</v>
      </c>
      <c r="P241">
        <v>8</v>
      </c>
      <c r="Q241">
        <v>8</v>
      </c>
    </row>
    <row r="242" spans="1:17" x14ac:dyDescent="0.45">
      <c r="A242" s="19">
        <v>46031.441666666666</v>
      </c>
      <c r="B242" t="s">
        <v>72</v>
      </c>
      <c r="C242" t="s">
        <v>73</v>
      </c>
      <c r="D242" t="s">
        <v>74</v>
      </c>
      <c r="E242" t="s">
        <v>75</v>
      </c>
      <c r="F242" t="s">
        <v>100</v>
      </c>
      <c r="G242" t="s">
        <v>111</v>
      </c>
      <c r="H242" t="s">
        <v>102</v>
      </c>
      <c r="I242">
        <v>7</v>
      </c>
      <c r="J242">
        <v>6</v>
      </c>
      <c r="K242">
        <v>7</v>
      </c>
      <c r="L242">
        <v>7</v>
      </c>
      <c r="M242">
        <v>8</v>
      </c>
      <c r="N242">
        <v>8</v>
      </c>
      <c r="O242">
        <v>8</v>
      </c>
      <c r="P242">
        <v>8</v>
      </c>
      <c r="Q242">
        <v>8</v>
      </c>
    </row>
    <row r="243" spans="1:17" x14ac:dyDescent="0.45">
      <c r="A243" s="19">
        <v>46031.441666666666</v>
      </c>
      <c r="B243" t="s">
        <v>78</v>
      </c>
      <c r="C243" t="s">
        <v>73</v>
      </c>
      <c r="D243" t="s">
        <v>74</v>
      </c>
      <c r="E243" t="s">
        <v>77</v>
      </c>
      <c r="F243" t="s">
        <v>100</v>
      </c>
      <c r="G243" t="s">
        <v>111</v>
      </c>
      <c r="H243" t="s">
        <v>105</v>
      </c>
      <c r="I243">
        <v>6</v>
      </c>
      <c r="J243">
        <v>5</v>
      </c>
      <c r="K243">
        <v>5</v>
      </c>
      <c r="L243">
        <v>7</v>
      </c>
      <c r="M243">
        <v>7</v>
      </c>
      <c r="N243">
        <v>7</v>
      </c>
      <c r="O243">
        <v>7</v>
      </c>
      <c r="P243">
        <v>8</v>
      </c>
      <c r="Q243">
        <v>8</v>
      </c>
    </row>
    <row r="244" spans="1:17" x14ac:dyDescent="0.45">
      <c r="A244" s="19">
        <v>46031.442361111112</v>
      </c>
      <c r="B244" t="s">
        <v>78</v>
      </c>
      <c r="C244" t="s">
        <v>191</v>
      </c>
      <c r="D244" t="s">
        <v>74</v>
      </c>
      <c r="E244" t="s">
        <v>77</v>
      </c>
      <c r="F244" t="s">
        <v>100</v>
      </c>
      <c r="G244" t="s">
        <v>107</v>
      </c>
      <c r="H244" t="s">
        <v>105</v>
      </c>
      <c r="I244">
        <v>6</v>
      </c>
      <c r="J244">
        <v>6</v>
      </c>
      <c r="K244">
        <v>6</v>
      </c>
      <c r="L244">
        <v>6</v>
      </c>
      <c r="M244">
        <v>6</v>
      </c>
      <c r="N244">
        <v>6</v>
      </c>
      <c r="O244">
        <v>6</v>
      </c>
      <c r="P244">
        <v>6</v>
      </c>
      <c r="Q244">
        <v>6</v>
      </c>
    </row>
    <row r="245" spans="1:17" x14ac:dyDescent="0.45">
      <c r="A245" s="19">
        <v>46031.442361111112</v>
      </c>
      <c r="B245" t="s">
        <v>72</v>
      </c>
      <c r="C245" t="s">
        <v>79</v>
      </c>
      <c r="D245" t="s">
        <v>74</v>
      </c>
      <c r="E245" t="s">
        <v>75</v>
      </c>
      <c r="F245" t="s">
        <v>100</v>
      </c>
      <c r="G245" t="s">
        <v>111</v>
      </c>
      <c r="H245" t="s">
        <v>106</v>
      </c>
      <c r="I245">
        <v>7</v>
      </c>
      <c r="J245">
        <v>6</v>
      </c>
      <c r="K245">
        <v>6</v>
      </c>
      <c r="L245">
        <v>8</v>
      </c>
      <c r="M245">
        <v>6</v>
      </c>
      <c r="N245">
        <v>6</v>
      </c>
      <c r="O245">
        <v>6</v>
      </c>
      <c r="P245">
        <v>6</v>
      </c>
      <c r="Q245">
        <v>6</v>
      </c>
    </row>
    <row r="246" spans="1:17" x14ac:dyDescent="0.45">
      <c r="A246" s="19">
        <v>46031.443055555559</v>
      </c>
      <c r="B246" t="s">
        <v>78</v>
      </c>
      <c r="C246" t="s">
        <v>79</v>
      </c>
      <c r="D246" t="s">
        <v>74</v>
      </c>
      <c r="E246" t="s">
        <v>75</v>
      </c>
      <c r="F246" t="s">
        <v>100</v>
      </c>
      <c r="G246" t="s">
        <v>108</v>
      </c>
      <c r="H246" t="s">
        <v>110</v>
      </c>
      <c r="I246">
        <v>4</v>
      </c>
      <c r="J246">
        <v>4</v>
      </c>
      <c r="K246">
        <v>1</v>
      </c>
      <c r="L246">
        <v>4</v>
      </c>
      <c r="M246">
        <v>4</v>
      </c>
      <c r="N246">
        <v>4</v>
      </c>
      <c r="O246">
        <v>5</v>
      </c>
      <c r="P246">
        <v>5</v>
      </c>
      <c r="Q246">
        <v>5</v>
      </c>
    </row>
    <row r="247" spans="1:17" x14ac:dyDescent="0.45">
      <c r="A247" s="19">
        <v>46031.443749999999</v>
      </c>
      <c r="B247" t="s">
        <v>78</v>
      </c>
      <c r="C247" t="s">
        <v>73</v>
      </c>
      <c r="D247" t="s">
        <v>74</v>
      </c>
      <c r="E247" t="s">
        <v>77</v>
      </c>
      <c r="F247" t="s">
        <v>100</v>
      </c>
      <c r="G247" t="s">
        <v>101</v>
      </c>
      <c r="H247" t="s">
        <v>110</v>
      </c>
      <c r="I247">
        <v>6</v>
      </c>
      <c r="J247">
        <v>7</v>
      </c>
      <c r="K247">
        <v>7</v>
      </c>
      <c r="L247">
        <v>7</v>
      </c>
      <c r="M247">
        <v>7</v>
      </c>
      <c r="N247">
        <v>7</v>
      </c>
      <c r="O247">
        <v>7</v>
      </c>
      <c r="P247">
        <v>7</v>
      </c>
      <c r="Q247">
        <v>7</v>
      </c>
    </row>
    <row r="248" spans="1:17" x14ac:dyDescent="0.45">
      <c r="A248" s="19">
        <v>46031.444444444445</v>
      </c>
      <c r="B248" t="s">
        <v>72</v>
      </c>
      <c r="C248" t="s">
        <v>191</v>
      </c>
      <c r="D248" t="s">
        <v>74</v>
      </c>
      <c r="E248" t="s">
        <v>75</v>
      </c>
      <c r="F248" t="s">
        <v>100</v>
      </c>
      <c r="G248" t="s">
        <v>111</v>
      </c>
      <c r="H248" t="s">
        <v>195</v>
      </c>
      <c r="I248">
        <v>8</v>
      </c>
      <c r="J248">
        <v>8</v>
      </c>
      <c r="K248">
        <v>8</v>
      </c>
      <c r="L248">
        <v>8</v>
      </c>
      <c r="M248">
        <v>8</v>
      </c>
      <c r="N248">
        <v>8</v>
      </c>
      <c r="O248">
        <v>8</v>
      </c>
      <c r="P248">
        <v>8</v>
      </c>
      <c r="Q248">
        <v>8</v>
      </c>
    </row>
    <row r="249" spans="1:17" x14ac:dyDescent="0.45">
      <c r="A249" s="19">
        <v>46031.464583333334</v>
      </c>
      <c r="B249" t="s">
        <v>72</v>
      </c>
      <c r="C249" t="s">
        <v>79</v>
      </c>
      <c r="D249" t="s">
        <v>74</v>
      </c>
      <c r="E249" t="s">
        <v>77</v>
      </c>
      <c r="F249" t="s">
        <v>100</v>
      </c>
      <c r="G249" t="s">
        <v>109</v>
      </c>
      <c r="H249" t="s">
        <v>102</v>
      </c>
      <c r="I249">
        <v>7</v>
      </c>
      <c r="J249">
        <v>7</v>
      </c>
      <c r="K249">
        <v>7</v>
      </c>
      <c r="L249">
        <v>7</v>
      </c>
      <c r="M249">
        <v>7</v>
      </c>
      <c r="N249">
        <v>7</v>
      </c>
      <c r="O249">
        <v>7</v>
      </c>
      <c r="P249">
        <v>7</v>
      </c>
      <c r="Q249">
        <v>7</v>
      </c>
    </row>
    <row r="250" spans="1:17" x14ac:dyDescent="0.45">
      <c r="A250" s="19">
        <v>46031.464583333334</v>
      </c>
      <c r="B250" t="s">
        <v>78</v>
      </c>
      <c r="C250" t="s">
        <v>193</v>
      </c>
      <c r="D250" t="s">
        <v>74</v>
      </c>
      <c r="E250" t="s">
        <v>75</v>
      </c>
      <c r="F250" t="s">
        <v>100</v>
      </c>
      <c r="G250" t="s">
        <v>107</v>
      </c>
      <c r="H250" t="s">
        <v>106</v>
      </c>
      <c r="I250">
        <v>9</v>
      </c>
      <c r="J250">
        <v>9</v>
      </c>
      <c r="K250">
        <v>9</v>
      </c>
      <c r="L250">
        <v>9</v>
      </c>
      <c r="M250">
        <v>9</v>
      </c>
      <c r="N250">
        <v>9</v>
      </c>
      <c r="O250">
        <v>9</v>
      </c>
      <c r="P250">
        <v>9</v>
      </c>
      <c r="Q250">
        <v>9</v>
      </c>
    </row>
    <row r="251" spans="1:17" x14ac:dyDescent="0.45">
      <c r="A251" s="19">
        <v>46031.465277777781</v>
      </c>
      <c r="B251" t="s">
        <v>72</v>
      </c>
      <c r="C251" t="s">
        <v>73</v>
      </c>
      <c r="D251" t="s">
        <v>74</v>
      </c>
      <c r="E251" t="s">
        <v>77</v>
      </c>
      <c r="F251" t="s">
        <v>100</v>
      </c>
      <c r="G251" t="s">
        <v>111</v>
      </c>
      <c r="H251" t="s">
        <v>106</v>
      </c>
      <c r="I251">
        <v>7</v>
      </c>
      <c r="J251">
        <v>6</v>
      </c>
      <c r="K251">
        <v>5</v>
      </c>
      <c r="L251">
        <v>6</v>
      </c>
      <c r="M251">
        <v>6</v>
      </c>
      <c r="N251">
        <v>6</v>
      </c>
      <c r="O251">
        <v>6</v>
      </c>
      <c r="P251">
        <v>6</v>
      </c>
      <c r="Q251">
        <v>7</v>
      </c>
    </row>
    <row r="252" spans="1:17" x14ac:dyDescent="0.45">
      <c r="A252" s="19">
        <v>46031.465277777781</v>
      </c>
      <c r="B252" t="s">
        <v>72</v>
      </c>
      <c r="C252" t="s">
        <v>73</v>
      </c>
      <c r="D252" t="s">
        <v>74</v>
      </c>
      <c r="E252" t="s">
        <v>77</v>
      </c>
      <c r="F252" t="s">
        <v>100</v>
      </c>
      <c r="G252" t="s">
        <v>109</v>
      </c>
      <c r="H252" t="s">
        <v>195</v>
      </c>
      <c r="I252">
        <v>8</v>
      </c>
      <c r="J252">
        <v>8</v>
      </c>
      <c r="K252">
        <v>8</v>
      </c>
      <c r="L252">
        <v>9</v>
      </c>
      <c r="M252">
        <v>8</v>
      </c>
      <c r="N252">
        <v>10</v>
      </c>
      <c r="O252">
        <v>7</v>
      </c>
      <c r="P252">
        <v>7</v>
      </c>
      <c r="Q252">
        <v>10</v>
      </c>
    </row>
    <row r="253" spans="1:17" x14ac:dyDescent="0.45">
      <c r="A253" s="19">
        <v>46031.46597222222</v>
      </c>
      <c r="B253" t="s">
        <v>72</v>
      </c>
      <c r="C253" t="s">
        <v>191</v>
      </c>
      <c r="D253" t="s">
        <v>74</v>
      </c>
      <c r="E253" t="s">
        <v>77</v>
      </c>
      <c r="F253" t="s">
        <v>100</v>
      </c>
      <c r="G253" t="s">
        <v>111</v>
      </c>
      <c r="H253" t="s">
        <v>106</v>
      </c>
      <c r="I253">
        <v>6</v>
      </c>
      <c r="J253">
        <v>6</v>
      </c>
      <c r="K253">
        <v>1</v>
      </c>
      <c r="L253">
        <v>6</v>
      </c>
      <c r="M253">
        <v>5</v>
      </c>
      <c r="N253">
        <v>6</v>
      </c>
      <c r="O253">
        <v>6</v>
      </c>
      <c r="P253">
        <v>6</v>
      </c>
      <c r="Q253">
        <v>6</v>
      </c>
    </row>
    <row r="254" spans="1:17" x14ac:dyDescent="0.45">
      <c r="A254" s="19">
        <v>46031.466666666667</v>
      </c>
      <c r="B254" t="s">
        <v>78</v>
      </c>
      <c r="C254" t="s">
        <v>79</v>
      </c>
      <c r="D254" t="s">
        <v>74</v>
      </c>
      <c r="E254" t="s">
        <v>75</v>
      </c>
      <c r="F254" t="s">
        <v>100</v>
      </c>
      <c r="G254" t="s">
        <v>107</v>
      </c>
      <c r="H254" t="s">
        <v>195</v>
      </c>
      <c r="I254">
        <v>8</v>
      </c>
      <c r="J254">
        <v>8</v>
      </c>
      <c r="K254">
        <v>3</v>
      </c>
      <c r="L254">
        <v>9</v>
      </c>
      <c r="M254">
        <v>8</v>
      </c>
      <c r="N254">
        <v>8</v>
      </c>
      <c r="O254">
        <v>8</v>
      </c>
      <c r="P254">
        <v>8</v>
      </c>
      <c r="Q254">
        <v>8</v>
      </c>
    </row>
    <row r="255" spans="1:17" x14ac:dyDescent="0.45">
      <c r="A255" s="19">
        <v>46031.466666666667</v>
      </c>
      <c r="B255" t="s">
        <v>78</v>
      </c>
      <c r="C255" t="s">
        <v>79</v>
      </c>
      <c r="D255" t="s">
        <v>74</v>
      </c>
      <c r="E255" t="s">
        <v>75</v>
      </c>
      <c r="F255" t="s">
        <v>100</v>
      </c>
      <c r="G255" t="s">
        <v>107</v>
      </c>
      <c r="H255" t="s">
        <v>102</v>
      </c>
      <c r="I255">
        <v>4</v>
      </c>
      <c r="J255">
        <v>3</v>
      </c>
      <c r="K255">
        <v>1</v>
      </c>
      <c r="L255">
        <v>7</v>
      </c>
      <c r="M255">
        <v>3</v>
      </c>
      <c r="N255">
        <v>6</v>
      </c>
      <c r="O255">
        <v>5</v>
      </c>
      <c r="P255">
        <v>6</v>
      </c>
      <c r="Q255">
        <v>6</v>
      </c>
    </row>
    <row r="256" spans="1:17" x14ac:dyDescent="0.45">
      <c r="A256" s="19">
        <v>46031.467361111114</v>
      </c>
      <c r="B256" t="s">
        <v>72</v>
      </c>
      <c r="C256" t="s">
        <v>73</v>
      </c>
      <c r="D256" t="s">
        <v>74</v>
      </c>
      <c r="E256" t="s">
        <v>75</v>
      </c>
      <c r="F256" t="s">
        <v>100</v>
      </c>
      <c r="G256" t="s">
        <v>111</v>
      </c>
      <c r="H256" t="s">
        <v>102</v>
      </c>
      <c r="I256">
        <v>6</v>
      </c>
      <c r="J256">
        <v>6</v>
      </c>
      <c r="K256">
        <v>1</v>
      </c>
      <c r="L256">
        <v>7</v>
      </c>
      <c r="M256">
        <v>5</v>
      </c>
      <c r="N256">
        <v>6</v>
      </c>
      <c r="O256">
        <v>6</v>
      </c>
      <c r="P256">
        <v>6</v>
      </c>
      <c r="Q256">
        <v>6</v>
      </c>
    </row>
    <row r="257" spans="1:17" x14ac:dyDescent="0.45">
      <c r="A257" s="19">
        <v>46031.468055555553</v>
      </c>
      <c r="B257" t="s">
        <v>72</v>
      </c>
      <c r="C257" t="s">
        <v>191</v>
      </c>
      <c r="D257" t="s">
        <v>74</v>
      </c>
      <c r="E257" t="s">
        <v>77</v>
      </c>
      <c r="F257" t="s">
        <v>100</v>
      </c>
      <c r="G257" t="s">
        <v>108</v>
      </c>
      <c r="H257" t="s">
        <v>195</v>
      </c>
      <c r="I257">
        <v>8</v>
      </c>
      <c r="J257">
        <v>8</v>
      </c>
      <c r="K257">
        <v>5</v>
      </c>
      <c r="L257">
        <v>8</v>
      </c>
      <c r="M257">
        <v>8</v>
      </c>
      <c r="N257">
        <v>7</v>
      </c>
      <c r="O257">
        <v>7</v>
      </c>
      <c r="P257">
        <v>7</v>
      </c>
      <c r="Q257">
        <v>7</v>
      </c>
    </row>
    <row r="258" spans="1:17" x14ac:dyDescent="0.45">
      <c r="A258" s="19">
        <v>46031.46875</v>
      </c>
      <c r="B258" t="s">
        <v>72</v>
      </c>
      <c r="C258" t="s">
        <v>81</v>
      </c>
      <c r="D258" t="s">
        <v>74</v>
      </c>
      <c r="E258" t="s">
        <v>77</v>
      </c>
      <c r="F258" t="s">
        <v>100</v>
      </c>
      <c r="G258" t="s">
        <v>109</v>
      </c>
      <c r="H258" t="s">
        <v>102</v>
      </c>
      <c r="I258">
        <v>7</v>
      </c>
      <c r="J258">
        <v>8</v>
      </c>
      <c r="K258">
        <v>4</v>
      </c>
      <c r="L258">
        <v>8</v>
      </c>
      <c r="M258">
        <v>5</v>
      </c>
      <c r="N258">
        <v>7</v>
      </c>
      <c r="O258">
        <v>5</v>
      </c>
      <c r="P258">
        <v>6</v>
      </c>
      <c r="Q258">
        <v>6</v>
      </c>
    </row>
    <row r="259" spans="1:17" x14ac:dyDescent="0.45">
      <c r="A259" s="19">
        <v>46031.46875</v>
      </c>
      <c r="B259" t="s">
        <v>78</v>
      </c>
      <c r="C259" t="s">
        <v>79</v>
      </c>
      <c r="D259" t="s">
        <v>74</v>
      </c>
      <c r="E259" t="s">
        <v>77</v>
      </c>
      <c r="F259" t="s">
        <v>100</v>
      </c>
      <c r="G259" t="s">
        <v>111</v>
      </c>
      <c r="H259" t="s">
        <v>105</v>
      </c>
      <c r="I259">
        <v>6</v>
      </c>
      <c r="J259">
        <v>7</v>
      </c>
      <c r="K259">
        <v>2</v>
      </c>
      <c r="L259">
        <v>7</v>
      </c>
      <c r="M259">
        <v>5</v>
      </c>
      <c r="N259">
        <v>5</v>
      </c>
      <c r="O259">
        <v>5</v>
      </c>
      <c r="P259">
        <v>6</v>
      </c>
      <c r="Q259">
        <v>5</v>
      </c>
    </row>
    <row r="260" spans="1:17" x14ac:dyDescent="0.45">
      <c r="A260" s="19">
        <v>46031.469444444447</v>
      </c>
      <c r="B260" t="s">
        <v>78</v>
      </c>
      <c r="C260" t="s">
        <v>191</v>
      </c>
      <c r="D260" t="s">
        <v>74</v>
      </c>
      <c r="E260" t="s">
        <v>75</v>
      </c>
      <c r="F260" t="s">
        <v>100</v>
      </c>
      <c r="G260" t="s">
        <v>108</v>
      </c>
      <c r="H260" t="s">
        <v>195</v>
      </c>
      <c r="I260">
        <v>2</v>
      </c>
      <c r="J260">
        <v>1</v>
      </c>
      <c r="K260">
        <v>1</v>
      </c>
      <c r="L260">
        <v>6</v>
      </c>
      <c r="M260">
        <v>2</v>
      </c>
      <c r="N260">
        <v>3</v>
      </c>
      <c r="O260">
        <v>1</v>
      </c>
      <c r="P260">
        <v>5</v>
      </c>
      <c r="Q260">
        <v>4</v>
      </c>
    </row>
    <row r="261" spans="1:17" x14ac:dyDescent="0.45">
      <c r="A261" s="19">
        <v>46031.470138888886</v>
      </c>
      <c r="B261" t="s">
        <v>72</v>
      </c>
      <c r="C261" t="s">
        <v>73</v>
      </c>
      <c r="D261" t="s">
        <v>80</v>
      </c>
      <c r="E261" t="s">
        <v>77</v>
      </c>
      <c r="F261" t="s">
        <v>100</v>
      </c>
      <c r="G261" t="s">
        <v>109</v>
      </c>
      <c r="H261" t="s">
        <v>105</v>
      </c>
      <c r="I261">
        <v>6</v>
      </c>
      <c r="J261">
        <v>6</v>
      </c>
      <c r="K261">
        <v>7</v>
      </c>
      <c r="L261">
        <v>6</v>
      </c>
      <c r="M261">
        <v>5</v>
      </c>
      <c r="N261">
        <v>6</v>
      </c>
      <c r="O261">
        <v>5</v>
      </c>
      <c r="P261">
        <v>6</v>
      </c>
      <c r="Q261">
        <v>6</v>
      </c>
    </row>
    <row r="262" spans="1:17" x14ac:dyDescent="0.45">
      <c r="A262" s="19">
        <v>46031.470833333333</v>
      </c>
      <c r="B262" t="s">
        <v>78</v>
      </c>
      <c r="C262" t="s">
        <v>73</v>
      </c>
      <c r="D262" t="s">
        <v>74</v>
      </c>
      <c r="E262" t="s">
        <v>77</v>
      </c>
      <c r="F262" t="s">
        <v>100</v>
      </c>
      <c r="G262" t="s">
        <v>109</v>
      </c>
      <c r="H262" t="s">
        <v>102</v>
      </c>
      <c r="I262">
        <v>6</v>
      </c>
      <c r="J262">
        <v>7</v>
      </c>
      <c r="K262">
        <v>1</v>
      </c>
      <c r="L262">
        <v>9</v>
      </c>
      <c r="M262">
        <v>5</v>
      </c>
      <c r="N262">
        <v>4</v>
      </c>
      <c r="O262">
        <v>4</v>
      </c>
      <c r="P262">
        <v>5</v>
      </c>
      <c r="Q262">
        <v>5</v>
      </c>
    </row>
    <row r="263" spans="1:17" x14ac:dyDescent="0.45">
      <c r="A263" s="19">
        <v>46031.47152777778</v>
      </c>
      <c r="B263" t="s">
        <v>78</v>
      </c>
      <c r="C263" t="s">
        <v>73</v>
      </c>
      <c r="D263" t="s">
        <v>74</v>
      </c>
      <c r="E263" t="s">
        <v>77</v>
      </c>
      <c r="F263" t="s">
        <v>100</v>
      </c>
      <c r="G263" t="s">
        <v>111</v>
      </c>
      <c r="H263" t="s">
        <v>195</v>
      </c>
      <c r="I263">
        <v>9</v>
      </c>
      <c r="J263">
        <v>9</v>
      </c>
      <c r="K263">
        <v>8</v>
      </c>
      <c r="L263">
        <v>9</v>
      </c>
      <c r="M263">
        <v>8</v>
      </c>
      <c r="N263">
        <v>9</v>
      </c>
      <c r="O263">
        <v>9</v>
      </c>
      <c r="P263">
        <v>8</v>
      </c>
      <c r="Q263">
        <v>8</v>
      </c>
    </row>
    <row r="264" spans="1:17" x14ac:dyDescent="0.45">
      <c r="A264" s="19">
        <v>46031.472222222219</v>
      </c>
      <c r="B264" t="s">
        <v>78</v>
      </c>
      <c r="C264" t="s">
        <v>73</v>
      </c>
      <c r="D264" t="s">
        <v>74</v>
      </c>
      <c r="E264" t="s">
        <v>75</v>
      </c>
      <c r="F264" t="s">
        <v>100</v>
      </c>
      <c r="G264" t="s">
        <v>107</v>
      </c>
      <c r="H264" t="s">
        <v>106</v>
      </c>
      <c r="I264">
        <v>8</v>
      </c>
      <c r="J264">
        <v>8</v>
      </c>
      <c r="K264">
        <v>5</v>
      </c>
      <c r="L264">
        <v>7</v>
      </c>
      <c r="M264">
        <v>7</v>
      </c>
      <c r="N264">
        <v>5</v>
      </c>
      <c r="O264">
        <v>5</v>
      </c>
      <c r="P264">
        <v>6</v>
      </c>
      <c r="Q264">
        <v>6</v>
      </c>
    </row>
    <row r="265" spans="1:17" x14ac:dyDescent="0.45">
      <c r="A265" s="19">
        <v>46031.472222222219</v>
      </c>
      <c r="B265" t="s">
        <v>78</v>
      </c>
      <c r="C265" t="s">
        <v>79</v>
      </c>
      <c r="D265" t="s">
        <v>74</v>
      </c>
      <c r="E265" t="s">
        <v>75</v>
      </c>
      <c r="F265" t="s">
        <v>100</v>
      </c>
      <c r="G265" t="s">
        <v>108</v>
      </c>
      <c r="H265" t="s">
        <v>106</v>
      </c>
      <c r="I265">
        <v>7</v>
      </c>
      <c r="J265">
        <v>7</v>
      </c>
      <c r="K265">
        <v>7</v>
      </c>
      <c r="L265">
        <v>8</v>
      </c>
      <c r="M265">
        <v>7</v>
      </c>
      <c r="N265">
        <v>7</v>
      </c>
      <c r="O265">
        <v>7</v>
      </c>
      <c r="P265">
        <v>7</v>
      </c>
      <c r="Q265">
        <v>7</v>
      </c>
    </row>
    <row r="266" spans="1:17" x14ac:dyDescent="0.45">
      <c r="A266" s="19">
        <v>46031.472916666666</v>
      </c>
      <c r="B266" t="s">
        <v>72</v>
      </c>
      <c r="C266" t="s">
        <v>73</v>
      </c>
      <c r="D266" t="s">
        <v>74</v>
      </c>
      <c r="E266" t="s">
        <v>77</v>
      </c>
      <c r="F266" t="s">
        <v>100</v>
      </c>
      <c r="G266" t="s">
        <v>101</v>
      </c>
      <c r="H266" t="s">
        <v>110</v>
      </c>
      <c r="I266">
        <v>6</v>
      </c>
      <c r="J266">
        <v>5</v>
      </c>
      <c r="K266">
        <v>5</v>
      </c>
      <c r="L266">
        <v>7</v>
      </c>
      <c r="M266">
        <v>6</v>
      </c>
      <c r="N266">
        <v>7</v>
      </c>
      <c r="O266">
        <v>5</v>
      </c>
      <c r="P266">
        <v>6</v>
      </c>
      <c r="Q266">
        <v>6</v>
      </c>
    </row>
    <row r="267" spans="1:17" x14ac:dyDescent="0.45">
      <c r="A267" s="19">
        <v>46031.473611111112</v>
      </c>
      <c r="B267" t="s">
        <v>72</v>
      </c>
      <c r="C267" t="s">
        <v>191</v>
      </c>
      <c r="D267" t="s">
        <v>74</v>
      </c>
      <c r="E267" t="s">
        <v>77</v>
      </c>
      <c r="F267" t="s">
        <v>100</v>
      </c>
      <c r="G267" t="s">
        <v>111</v>
      </c>
      <c r="H267" t="s">
        <v>106</v>
      </c>
      <c r="I267">
        <v>7</v>
      </c>
      <c r="J267">
        <v>6</v>
      </c>
      <c r="K267">
        <v>6</v>
      </c>
      <c r="L267">
        <v>6</v>
      </c>
      <c r="M267">
        <v>7</v>
      </c>
      <c r="N267">
        <v>7</v>
      </c>
      <c r="O267">
        <v>7</v>
      </c>
      <c r="P267">
        <v>7</v>
      </c>
      <c r="Q267">
        <v>7</v>
      </c>
    </row>
    <row r="268" spans="1:17" x14ac:dyDescent="0.45">
      <c r="A268" s="19">
        <v>46031.473611111112</v>
      </c>
      <c r="B268" t="s">
        <v>78</v>
      </c>
      <c r="C268" t="s">
        <v>79</v>
      </c>
      <c r="D268" t="s">
        <v>74</v>
      </c>
      <c r="E268" t="s">
        <v>75</v>
      </c>
      <c r="F268" t="s">
        <v>100</v>
      </c>
      <c r="G268" t="s">
        <v>111</v>
      </c>
      <c r="H268" t="s">
        <v>105</v>
      </c>
      <c r="I268">
        <v>6</v>
      </c>
      <c r="J268">
        <v>7</v>
      </c>
      <c r="K268">
        <v>7</v>
      </c>
      <c r="L268">
        <v>6</v>
      </c>
      <c r="M268">
        <v>6</v>
      </c>
      <c r="N268">
        <v>6</v>
      </c>
      <c r="O268">
        <v>6</v>
      </c>
      <c r="P268">
        <v>7</v>
      </c>
      <c r="Q268">
        <v>7</v>
      </c>
    </row>
    <row r="269" spans="1:17" x14ac:dyDescent="0.45">
      <c r="A269" s="19">
        <v>46031.474305555559</v>
      </c>
      <c r="B269" t="s">
        <v>72</v>
      </c>
      <c r="C269" t="s">
        <v>81</v>
      </c>
      <c r="D269" t="s">
        <v>74</v>
      </c>
      <c r="E269" t="s">
        <v>77</v>
      </c>
      <c r="F269" t="s">
        <v>100</v>
      </c>
      <c r="G269" t="s">
        <v>101</v>
      </c>
      <c r="H269" t="s">
        <v>105</v>
      </c>
      <c r="I269">
        <v>7</v>
      </c>
      <c r="J269">
        <v>7</v>
      </c>
      <c r="K269">
        <v>2</v>
      </c>
      <c r="L269">
        <v>7</v>
      </c>
      <c r="M269">
        <v>7</v>
      </c>
      <c r="N269">
        <v>7</v>
      </c>
      <c r="O269">
        <v>7</v>
      </c>
      <c r="P269">
        <v>7</v>
      </c>
      <c r="Q269">
        <v>7</v>
      </c>
    </row>
    <row r="270" spans="1:17" x14ac:dyDescent="0.45">
      <c r="A270" s="19">
        <v>46031.474999999999</v>
      </c>
      <c r="B270" t="s">
        <v>78</v>
      </c>
      <c r="C270" t="s">
        <v>79</v>
      </c>
      <c r="D270" t="s">
        <v>74</v>
      </c>
      <c r="E270" t="s">
        <v>75</v>
      </c>
      <c r="F270" t="s">
        <v>100</v>
      </c>
      <c r="G270" t="s">
        <v>107</v>
      </c>
      <c r="H270" t="s">
        <v>195</v>
      </c>
      <c r="I270">
        <v>4</v>
      </c>
      <c r="J270">
        <v>5</v>
      </c>
      <c r="K270">
        <v>2</v>
      </c>
      <c r="L270">
        <v>6</v>
      </c>
      <c r="M270">
        <v>3</v>
      </c>
      <c r="N270">
        <v>3</v>
      </c>
      <c r="O270">
        <v>1</v>
      </c>
      <c r="P270">
        <v>3</v>
      </c>
      <c r="Q270">
        <v>1</v>
      </c>
    </row>
    <row r="271" spans="1:17" x14ac:dyDescent="0.45">
      <c r="A271" s="19">
        <v>46031.525000000001</v>
      </c>
      <c r="B271" t="s">
        <v>72</v>
      </c>
      <c r="C271" t="s">
        <v>73</v>
      </c>
      <c r="D271" t="s">
        <v>74</v>
      </c>
      <c r="E271" t="s">
        <v>75</v>
      </c>
      <c r="F271" t="s">
        <v>103</v>
      </c>
      <c r="G271" t="s">
        <v>111</v>
      </c>
      <c r="H271" t="s">
        <v>110</v>
      </c>
      <c r="I271">
        <v>8</v>
      </c>
      <c r="J271">
        <v>8</v>
      </c>
      <c r="K271">
        <v>3</v>
      </c>
      <c r="L271">
        <v>8</v>
      </c>
      <c r="M271">
        <v>3</v>
      </c>
      <c r="N271">
        <v>1</v>
      </c>
      <c r="O271">
        <v>8</v>
      </c>
      <c r="P271">
        <v>6</v>
      </c>
      <c r="Q271">
        <v>7</v>
      </c>
    </row>
    <row r="272" spans="1:17" x14ac:dyDescent="0.45">
      <c r="A272" s="19">
        <v>46031.607638888891</v>
      </c>
      <c r="B272" t="s">
        <v>72</v>
      </c>
      <c r="C272" t="s">
        <v>73</v>
      </c>
      <c r="D272" t="s">
        <v>74</v>
      </c>
      <c r="E272" t="s">
        <v>75</v>
      </c>
      <c r="F272" t="s">
        <v>100</v>
      </c>
      <c r="G272" t="s">
        <v>111</v>
      </c>
      <c r="H272" t="s">
        <v>105</v>
      </c>
      <c r="I272">
        <v>7</v>
      </c>
      <c r="J272">
        <v>7</v>
      </c>
      <c r="K272">
        <v>4</v>
      </c>
      <c r="L272">
        <v>7</v>
      </c>
      <c r="M272">
        <v>7</v>
      </c>
      <c r="N272">
        <v>6</v>
      </c>
      <c r="O272">
        <v>5</v>
      </c>
      <c r="P272">
        <v>7</v>
      </c>
      <c r="Q272">
        <v>6</v>
      </c>
    </row>
    <row r="273" spans="1:17" x14ac:dyDescent="0.45">
      <c r="A273" s="19">
        <v>46031.607638888891</v>
      </c>
      <c r="B273" t="s">
        <v>78</v>
      </c>
      <c r="C273" t="s">
        <v>73</v>
      </c>
      <c r="D273" t="s">
        <v>74</v>
      </c>
      <c r="E273" t="s">
        <v>77</v>
      </c>
      <c r="F273" t="s">
        <v>100</v>
      </c>
      <c r="G273" t="s">
        <v>109</v>
      </c>
      <c r="H273" t="s">
        <v>102</v>
      </c>
      <c r="I273">
        <v>7</v>
      </c>
      <c r="J273">
        <v>8</v>
      </c>
      <c r="K273">
        <v>2</v>
      </c>
      <c r="L273">
        <v>6</v>
      </c>
      <c r="M273">
        <v>6</v>
      </c>
      <c r="N273">
        <v>6</v>
      </c>
      <c r="O273">
        <v>5</v>
      </c>
      <c r="P273">
        <v>5</v>
      </c>
      <c r="Q273">
        <v>6</v>
      </c>
    </row>
    <row r="274" spans="1:17" x14ac:dyDescent="0.45">
      <c r="A274" s="19">
        <v>46031.60833333333</v>
      </c>
      <c r="B274" t="s">
        <v>72</v>
      </c>
      <c r="C274" t="s">
        <v>191</v>
      </c>
      <c r="D274" t="s">
        <v>74</v>
      </c>
      <c r="E274" t="s">
        <v>75</v>
      </c>
      <c r="F274" t="s">
        <v>100</v>
      </c>
      <c r="G274" t="s">
        <v>107</v>
      </c>
      <c r="H274" t="s">
        <v>195</v>
      </c>
      <c r="I274">
        <v>3</v>
      </c>
      <c r="J274">
        <v>3</v>
      </c>
      <c r="K274">
        <v>1</v>
      </c>
      <c r="L274">
        <v>6</v>
      </c>
      <c r="M274">
        <v>1</v>
      </c>
      <c r="N274">
        <v>1</v>
      </c>
      <c r="O274">
        <v>1</v>
      </c>
      <c r="P274">
        <v>1</v>
      </c>
      <c r="Q274">
        <v>1</v>
      </c>
    </row>
    <row r="275" spans="1:17" x14ac:dyDescent="0.45">
      <c r="A275" s="19">
        <v>46031.609027777777</v>
      </c>
      <c r="B275" t="s">
        <v>72</v>
      </c>
      <c r="C275" t="s">
        <v>73</v>
      </c>
      <c r="D275" t="s">
        <v>74</v>
      </c>
      <c r="E275" t="s">
        <v>77</v>
      </c>
      <c r="F275" t="s">
        <v>100</v>
      </c>
      <c r="G275" t="s">
        <v>111</v>
      </c>
      <c r="H275" t="s">
        <v>105</v>
      </c>
      <c r="I275">
        <v>6</v>
      </c>
      <c r="J275">
        <v>6</v>
      </c>
      <c r="K275">
        <v>5</v>
      </c>
      <c r="L275">
        <v>6</v>
      </c>
      <c r="M275">
        <v>6</v>
      </c>
      <c r="N275">
        <v>6</v>
      </c>
      <c r="O275">
        <v>6</v>
      </c>
      <c r="P275">
        <v>6</v>
      </c>
      <c r="Q275">
        <v>6</v>
      </c>
    </row>
    <row r="276" spans="1:17" x14ac:dyDescent="0.45">
      <c r="A276" s="19">
        <v>46031.609027777777</v>
      </c>
      <c r="B276" t="s">
        <v>72</v>
      </c>
      <c r="C276" t="s">
        <v>79</v>
      </c>
      <c r="D276" t="s">
        <v>74</v>
      </c>
      <c r="E276" t="s">
        <v>75</v>
      </c>
      <c r="F276" t="s">
        <v>100</v>
      </c>
      <c r="G276" t="s">
        <v>111</v>
      </c>
      <c r="H276" t="s">
        <v>105</v>
      </c>
      <c r="I276">
        <v>8</v>
      </c>
      <c r="J276">
        <v>9</v>
      </c>
      <c r="K276">
        <v>5</v>
      </c>
      <c r="L276">
        <v>7</v>
      </c>
      <c r="M276">
        <v>6</v>
      </c>
      <c r="N276">
        <v>7</v>
      </c>
      <c r="O276">
        <v>7</v>
      </c>
      <c r="P276">
        <v>7</v>
      </c>
      <c r="Q276">
        <v>7</v>
      </c>
    </row>
    <row r="277" spans="1:17" x14ac:dyDescent="0.45">
      <c r="A277" s="19">
        <v>46031.609722222223</v>
      </c>
      <c r="B277" t="s">
        <v>78</v>
      </c>
      <c r="C277" t="s">
        <v>73</v>
      </c>
      <c r="D277" t="s">
        <v>74</v>
      </c>
      <c r="E277" t="s">
        <v>77</v>
      </c>
      <c r="F277" t="s">
        <v>100</v>
      </c>
      <c r="G277" t="s">
        <v>109</v>
      </c>
      <c r="H277" t="s">
        <v>102</v>
      </c>
      <c r="I277">
        <v>6</v>
      </c>
      <c r="J277">
        <v>6</v>
      </c>
      <c r="K277">
        <v>3</v>
      </c>
      <c r="L277">
        <v>7</v>
      </c>
      <c r="M277">
        <v>7</v>
      </c>
      <c r="N277">
        <v>7</v>
      </c>
      <c r="O277">
        <v>5</v>
      </c>
      <c r="P277">
        <v>7</v>
      </c>
      <c r="Q277">
        <v>7</v>
      </c>
    </row>
    <row r="278" spans="1:17" x14ac:dyDescent="0.45">
      <c r="A278" s="19">
        <v>46031.61041666667</v>
      </c>
      <c r="B278" t="s">
        <v>72</v>
      </c>
      <c r="C278" t="s">
        <v>79</v>
      </c>
      <c r="D278" t="s">
        <v>74</v>
      </c>
      <c r="E278" t="s">
        <v>77</v>
      </c>
      <c r="F278" t="s">
        <v>100</v>
      </c>
      <c r="G278" t="s">
        <v>107</v>
      </c>
      <c r="H278" t="s">
        <v>195</v>
      </c>
      <c r="I278">
        <v>8</v>
      </c>
      <c r="J278">
        <v>8</v>
      </c>
      <c r="K278">
        <v>6</v>
      </c>
      <c r="L278">
        <v>7</v>
      </c>
      <c r="M278">
        <v>7</v>
      </c>
      <c r="N278">
        <v>4</v>
      </c>
      <c r="O278">
        <v>5</v>
      </c>
      <c r="P278">
        <v>5</v>
      </c>
      <c r="Q278">
        <v>5</v>
      </c>
    </row>
    <row r="279" spans="1:17" x14ac:dyDescent="0.45">
      <c r="A279" s="19">
        <v>46031.61041666667</v>
      </c>
      <c r="B279" t="s">
        <v>72</v>
      </c>
      <c r="C279" t="s">
        <v>73</v>
      </c>
      <c r="D279" t="s">
        <v>74</v>
      </c>
      <c r="E279" t="s">
        <v>77</v>
      </c>
      <c r="F279" t="s">
        <v>100</v>
      </c>
      <c r="G279" t="s">
        <v>111</v>
      </c>
      <c r="H279" t="s">
        <v>106</v>
      </c>
      <c r="I279">
        <v>6</v>
      </c>
      <c r="J279">
        <v>7</v>
      </c>
      <c r="K279">
        <v>5</v>
      </c>
      <c r="L279">
        <v>7</v>
      </c>
      <c r="M279">
        <v>6</v>
      </c>
      <c r="N279">
        <v>6</v>
      </c>
      <c r="O279">
        <v>6</v>
      </c>
      <c r="P279">
        <v>6</v>
      </c>
      <c r="Q279">
        <v>6</v>
      </c>
    </row>
    <row r="280" spans="1:17" x14ac:dyDescent="0.45">
      <c r="A280" s="19">
        <v>46031.618750000001</v>
      </c>
      <c r="B280" t="s">
        <v>78</v>
      </c>
      <c r="C280" t="s">
        <v>73</v>
      </c>
      <c r="D280" t="s">
        <v>74</v>
      </c>
      <c r="E280" t="s">
        <v>75</v>
      </c>
      <c r="F280" t="s">
        <v>103</v>
      </c>
      <c r="G280" t="s">
        <v>107</v>
      </c>
      <c r="H280" t="s">
        <v>110</v>
      </c>
      <c r="I280">
        <v>6</v>
      </c>
      <c r="J280">
        <v>7</v>
      </c>
      <c r="K280">
        <v>5</v>
      </c>
      <c r="L280">
        <v>8</v>
      </c>
      <c r="M280">
        <v>6</v>
      </c>
      <c r="N280">
        <v>3</v>
      </c>
      <c r="O280">
        <v>6</v>
      </c>
      <c r="P280">
        <v>8</v>
      </c>
      <c r="Q280">
        <v>6</v>
      </c>
    </row>
    <row r="281" spans="1:17" x14ac:dyDescent="0.45">
      <c r="A281" s="19">
        <v>46031.635416666664</v>
      </c>
      <c r="B281" t="s">
        <v>72</v>
      </c>
      <c r="C281" t="s">
        <v>73</v>
      </c>
      <c r="D281" t="s">
        <v>74</v>
      </c>
      <c r="E281" t="s">
        <v>75</v>
      </c>
      <c r="F281" t="s">
        <v>100</v>
      </c>
      <c r="G281" t="s">
        <v>107</v>
      </c>
      <c r="H281" t="s">
        <v>105</v>
      </c>
      <c r="I281">
        <v>4</v>
      </c>
      <c r="J281">
        <v>4</v>
      </c>
      <c r="K281">
        <v>1</v>
      </c>
      <c r="L281">
        <v>6</v>
      </c>
      <c r="M281">
        <v>3</v>
      </c>
      <c r="N281">
        <v>2</v>
      </c>
      <c r="O281">
        <v>1</v>
      </c>
      <c r="P281">
        <v>5</v>
      </c>
      <c r="Q281">
        <v>4</v>
      </c>
    </row>
    <row r="282" spans="1:17" x14ac:dyDescent="0.45">
      <c r="A282" s="19">
        <v>46031.636111111111</v>
      </c>
      <c r="B282" t="s">
        <v>72</v>
      </c>
      <c r="C282" t="s">
        <v>79</v>
      </c>
      <c r="D282" t="s">
        <v>74</v>
      </c>
      <c r="E282" t="s">
        <v>75</v>
      </c>
      <c r="F282" t="s">
        <v>100</v>
      </c>
      <c r="G282" t="s">
        <v>107</v>
      </c>
      <c r="H282" t="s">
        <v>106</v>
      </c>
      <c r="I282">
        <v>6</v>
      </c>
      <c r="J282">
        <v>7</v>
      </c>
      <c r="K282">
        <v>4</v>
      </c>
      <c r="L282">
        <v>8</v>
      </c>
      <c r="M282">
        <v>6</v>
      </c>
      <c r="N282">
        <v>6</v>
      </c>
      <c r="O282">
        <v>5</v>
      </c>
      <c r="P282">
        <v>7</v>
      </c>
      <c r="Q282">
        <v>6</v>
      </c>
    </row>
    <row r="283" spans="1:17" x14ac:dyDescent="0.45">
      <c r="A283" s="19">
        <v>46031.636111111111</v>
      </c>
      <c r="B283" t="s">
        <v>72</v>
      </c>
      <c r="C283" t="s">
        <v>193</v>
      </c>
      <c r="D283" t="s">
        <v>74</v>
      </c>
      <c r="E283" t="s">
        <v>75</v>
      </c>
      <c r="F283" t="s">
        <v>100</v>
      </c>
      <c r="G283" t="s">
        <v>108</v>
      </c>
      <c r="H283" t="s">
        <v>195</v>
      </c>
      <c r="I283">
        <v>8</v>
      </c>
      <c r="J283">
        <v>8</v>
      </c>
      <c r="K283">
        <v>9</v>
      </c>
      <c r="L283">
        <v>9</v>
      </c>
      <c r="M283">
        <v>7</v>
      </c>
      <c r="N283">
        <v>8</v>
      </c>
      <c r="O283">
        <v>8</v>
      </c>
      <c r="P283">
        <v>8</v>
      </c>
      <c r="Q283">
        <v>7</v>
      </c>
    </row>
    <row r="284" spans="1:17" x14ac:dyDescent="0.45">
      <c r="A284" s="19">
        <v>46031.636805555558</v>
      </c>
      <c r="B284" t="s">
        <v>72</v>
      </c>
      <c r="C284" t="s">
        <v>79</v>
      </c>
      <c r="D284" t="s">
        <v>74</v>
      </c>
      <c r="E284" t="s">
        <v>77</v>
      </c>
      <c r="F284" t="s">
        <v>100</v>
      </c>
      <c r="G284" t="s">
        <v>111</v>
      </c>
      <c r="H284" t="s">
        <v>105</v>
      </c>
      <c r="I284">
        <v>5</v>
      </c>
      <c r="J284">
        <v>5</v>
      </c>
      <c r="K284">
        <v>2</v>
      </c>
      <c r="L284">
        <v>6</v>
      </c>
      <c r="M284">
        <v>5</v>
      </c>
      <c r="N284">
        <v>4</v>
      </c>
      <c r="O284">
        <v>5</v>
      </c>
      <c r="P284">
        <v>5</v>
      </c>
      <c r="Q284">
        <v>4</v>
      </c>
    </row>
    <row r="285" spans="1:17" x14ac:dyDescent="0.45">
      <c r="A285" s="19">
        <v>46031.637499999997</v>
      </c>
      <c r="B285" t="s">
        <v>78</v>
      </c>
      <c r="C285" t="s">
        <v>73</v>
      </c>
      <c r="D285" t="s">
        <v>74</v>
      </c>
      <c r="E285" t="s">
        <v>77</v>
      </c>
      <c r="F285" t="s">
        <v>100</v>
      </c>
      <c r="G285" t="s">
        <v>111</v>
      </c>
      <c r="H285" t="s">
        <v>105</v>
      </c>
      <c r="I285">
        <v>7</v>
      </c>
      <c r="J285">
        <v>7</v>
      </c>
      <c r="K285">
        <v>5</v>
      </c>
      <c r="L285">
        <v>7</v>
      </c>
      <c r="M285">
        <v>5</v>
      </c>
      <c r="N285">
        <v>6</v>
      </c>
      <c r="O285">
        <v>5</v>
      </c>
      <c r="P285">
        <v>7</v>
      </c>
      <c r="Q285">
        <v>6</v>
      </c>
    </row>
    <row r="286" spans="1:17" x14ac:dyDescent="0.45">
      <c r="A286" s="19">
        <v>46031.640277777777</v>
      </c>
      <c r="B286" t="s">
        <v>78</v>
      </c>
      <c r="C286" t="s">
        <v>191</v>
      </c>
      <c r="D286" t="s">
        <v>74</v>
      </c>
      <c r="E286" t="s">
        <v>77</v>
      </c>
      <c r="F286" t="s">
        <v>100</v>
      </c>
      <c r="G286" t="s">
        <v>107</v>
      </c>
      <c r="H286" t="s">
        <v>106</v>
      </c>
      <c r="I286">
        <v>7</v>
      </c>
      <c r="J286">
        <v>7</v>
      </c>
      <c r="K286">
        <v>5</v>
      </c>
      <c r="L286">
        <v>8</v>
      </c>
      <c r="M286">
        <v>6</v>
      </c>
      <c r="N286">
        <v>6</v>
      </c>
      <c r="O286">
        <v>6</v>
      </c>
      <c r="P286">
        <v>7</v>
      </c>
      <c r="Q286">
        <v>7</v>
      </c>
    </row>
    <row r="287" spans="1:17" x14ac:dyDescent="0.45">
      <c r="A287" s="19">
        <v>46031.640972222223</v>
      </c>
      <c r="B287" t="s">
        <v>72</v>
      </c>
      <c r="C287" t="s">
        <v>73</v>
      </c>
      <c r="D287" t="s">
        <v>74</v>
      </c>
      <c r="E287" t="s">
        <v>77</v>
      </c>
      <c r="F287" t="s">
        <v>100</v>
      </c>
      <c r="G287" t="s">
        <v>109</v>
      </c>
      <c r="H287" t="s">
        <v>110</v>
      </c>
      <c r="I287">
        <v>4</v>
      </c>
      <c r="J287">
        <v>4</v>
      </c>
      <c r="K287">
        <v>2</v>
      </c>
      <c r="L287">
        <v>8</v>
      </c>
      <c r="M287">
        <v>5</v>
      </c>
      <c r="N287">
        <v>5</v>
      </c>
      <c r="O287">
        <v>4</v>
      </c>
      <c r="P287">
        <v>6</v>
      </c>
      <c r="Q287">
        <v>5</v>
      </c>
    </row>
    <row r="288" spans="1:17" x14ac:dyDescent="0.45">
      <c r="A288" s="19">
        <v>46031.64166666667</v>
      </c>
      <c r="B288" t="s">
        <v>72</v>
      </c>
      <c r="C288" t="s">
        <v>191</v>
      </c>
      <c r="D288" t="s">
        <v>74</v>
      </c>
      <c r="E288" t="s">
        <v>77</v>
      </c>
      <c r="F288" t="s">
        <v>100</v>
      </c>
      <c r="G288" t="s">
        <v>111</v>
      </c>
      <c r="H288" t="s">
        <v>195</v>
      </c>
      <c r="I288">
        <v>10</v>
      </c>
      <c r="J288">
        <v>10</v>
      </c>
      <c r="K288">
        <v>7</v>
      </c>
      <c r="L288">
        <v>7</v>
      </c>
      <c r="M288">
        <v>8</v>
      </c>
      <c r="N288">
        <v>7</v>
      </c>
      <c r="O288">
        <v>8</v>
      </c>
      <c r="P288">
        <v>8</v>
      </c>
      <c r="Q288">
        <v>8</v>
      </c>
    </row>
    <row r="289" spans="1:17" x14ac:dyDescent="0.45">
      <c r="A289" s="19">
        <v>46031.642361111109</v>
      </c>
      <c r="B289" t="s">
        <v>78</v>
      </c>
      <c r="C289" t="s">
        <v>81</v>
      </c>
      <c r="D289" t="s">
        <v>74</v>
      </c>
      <c r="E289" t="s">
        <v>77</v>
      </c>
      <c r="F289" t="s">
        <v>100</v>
      </c>
      <c r="G289" t="s">
        <v>101</v>
      </c>
      <c r="H289" t="s">
        <v>110</v>
      </c>
      <c r="I289">
        <v>8</v>
      </c>
      <c r="J289">
        <v>8</v>
      </c>
      <c r="K289">
        <v>5</v>
      </c>
      <c r="L289">
        <v>9</v>
      </c>
      <c r="M289">
        <v>10</v>
      </c>
      <c r="N289">
        <v>10</v>
      </c>
      <c r="O289">
        <v>9</v>
      </c>
      <c r="P289">
        <v>9</v>
      </c>
      <c r="Q289">
        <v>10</v>
      </c>
    </row>
    <row r="290" spans="1:17" x14ac:dyDescent="0.45">
      <c r="A290" s="19">
        <v>46031.642361111109</v>
      </c>
      <c r="B290" t="s">
        <v>72</v>
      </c>
      <c r="C290" t="s">
        <v>73</v>
      </c>
      <c r="D290" t="s">
        <v>74</v>
      </c>
      <c r="E290" t="s">
        <v>190</v>
      </c>
      <c r="F290" t="s">
        <v>100</v>
      </c>
      <c r="G290" t="s">
        <v>101</v>
      </c>
      <c r="H290" t="s">
        <v>102</v>
      </c>
      <c r="I290">
        <v>7</v>
      </c>
      <c r="J290">
        <v>7</v>
      </c>
      <c r="K290">
        <v>5</v>
      </c>
      <c r="L290">
        <v>6</v>
      </c>
      <c r="M290">
        <v>5</v>
      </c>
      <c r="N290">
        <v>5</v>
      </c>
      <c r="O290">
        <v>5</v>
      </c>
      <c r="P290">
        <v>5</v>
      </c>
      <c r="Q290">
        <v>6</v>
      </c>
    </row>
    <row r="291" spans="1:17" x14ac:dyDescent="0.45">
      <c r="A291" s="19">
        <v>46031.643055555556</v>
      </c>
      <c r="B291" t="s">
        <v>78</v>
      </c>
      <c r="C291" t="s">
        <v>73</v>
      </c>
      <c r="D291" t="s">
        <v>74</v>
      </c>
      <c r="E291" t="s">
        <v>77</v>
      </c>
      <c r="F291" t="s">
        <v>100</v>
      </c>
      <c r="G291" t="s">
        <v>109</v>
      </c>
      <c r="H291" t="s">
        <v>105</v>
      </c>
      <c r="I291">
        <v>8</v>
      </c>
      <c r="J291">
        <v>8</v>
      </c>
      <c r="K291">
        <v>8</v>
      </c>
      <c r="L291">
        <v>8</v>
      </c>
      <c r="M291">
        <v>8</v>
      </c>
      <c r="N291">
        <v>8</v>
      </c>
      <c r="O291">
        <v>8</v>
      </c>
      <c r="P291">
        <v>8</v>
      </c>
      <c r="Q291">
        <v>8</v>
      </c>
    </row>
    <row r="292" spans="1:17" x14ac:dyDescent="0.45">
      <c r="A292" s="19">
        <v>46031.643055555556</v>
      </c>
      <c r="B292" t="s">
        <v>78</v>
      </c>
      <c r="C292" t="s">
        <v>81</v>
      </c>
      <c r="D292" t="s">
        <v>74</v>
      </c>
      <c r="E292" t="s">
        <v>77</v>
      </c>
      <c r="F292" t="s">
        <v>100</v>
      </c>
      <c r="G292" t="s">
        <v>111</v>
      </c>
      <c r="H292" t="s">
        <v>105</v>
      </c>
      <c r="I292">
        <v>9</v>
      </c>
      <c r="J292">
        <v>9</v>
      </c>
      <c r="K292">
        <v>3</v>
      </c>
      <c r="L292">
        <v>10</v>
      </c>
      <c r="M292">
        <v>8</v>
      </c>
      <c r="N292">
        <v>8</v>
      </c>
      <c r="O292">
        <v>6</v>
      </c>
      <c r="P292">
        <v>8</v>
      </c>
      <c r="Q292">
        <v>8</v>
      </c>
    </row>
    <row r="293" spans="1:17" x14ac:dyDescent="0.45">
      <c r="A293" s="19">
        <v>46031.643750000003</v>
      </c>
      <c r="B293" t="s">
        <v>72</v>
      </c>
      <c r="C293" t="s">
        <v>193</v>
      </c>
      <c r="D293" t="s">
        <v>74</v>
      </c>
      <c r="E293" t="s">
        <v>75</v>
      </c>
      <c r="F293" t="s">
        <v>197</v>
      </c>
      <c r="G293" t="s">
        <v>111</v>
      </c>
      <c r="H293" t="s">
        <v>105</v>
      </c>
      <c r="I293">
        <v>6</v>
      </c>
      <c r="J293">
        <v>6</v>
      </c>
      <c r="K293">
        <v>1</v>
      </c>
      <c r="L293">
        <v>6</v>
      </c>
      <c r="M293">
        <v>5</v>
      </c>
      <c r="N293">
        <v>6</v>
      </c>
      <c r="O293">
        <v>5</v>
      </c>
      <c r="P293">
        <v>6</v>
      </c>
      <c r="Q293">
        <v>6</v>
      </c>
    </row>
    <row r="294" spans="1:17" x14ac:dyDescent="0.45">
      <c r="A294" s="19">
        <v>46031.645833333336</v>
      </c>
      <c r="B294" t="s">
        <v>72</v>
      </c>
      <c r="C294" t="s">
        <v>81</v>
      </c>
      <c r="D294" t="s">
        <v>74</v>
      </c>
      <c r="E294" t="s">
        <v>77</v>
      </c>
      <c r="F294" t="s">
        <v>100</v>
      </c>
      <c r="G294" t="s">
        <v>109</v>
      </c>
      <c r="H294" t="s">
        <v>102</v>
      </c>
      <c r="I294">
        <v>8</v>
      </c>
      <c r="J294">
        <v>8</v>
      </c>
      <c r="K294">
        <v>5</v>
      </c>
      <c r="L294">
        <v>8</v>
      </c>
      <c r="M294">
        <v>5</v>
      </c>
      <c r="N294">
        <v>6</v>
      </c>
      <c r="O294">
        <v>5</v>
      </c>
      <c r="P294">
        <v>6</v>
      </c>
      <c r="Q294">
        <v>6</v>
      </c>
    </row>
    <row r="295" spans="1:17" x14ac:dyDescent="0.45">
      <c r="A295" s="19">
        <v>46031.646527777775</v>
      </c>
      <c r="B295" t="s">
        <v>72</v>
      </c>
      <c r="C295" t="s">
        <v>81</v>
      </c>
      <c r="D295" t="s">
        <v>74</v>
      </c>
      <c r="E295" t="s">
        <v>77</v>
      </c>
      <c r="F295" t="s">
        <v>100</v>
      </c>
      <c r="G295" t="s">
        <v>111</v>
      </c>
      <c r="H295" t="s">
        <v>106</v>
      </c>
      <c r="I295">
        <v>6</v>
      </c>
      <c r="J295">
        <v>6</v>
      </c>
      <c r="K295">
        <v>3</v>
      </c>
      <c r="L295">
        <v>7</v>
      </c>
      <c r="M295">
        <v>5</v>
      </c>
      <c r="N295">
        <v>6</v>
      </c>
      <c r="O295">
        <v>5</v>
      </c>
      <c r="P295">
        <v>5</v>
      </c>
      <c r="Q295">
        <v>6</v>
      </c>
    </row>
    <row r="296" spans="1:17" x14ac:dyDescent="0.45">
      <c r="A296" s="19">
        <v>46031.647222222222</v>
      </c>
      <c r="B296" t="s">
        <v>78</v>
      </c>
      <c r="C296" t="s">
        <v>189</v>
      </c>
      <c r="D296" t="s">
        <v>74</v>
      </c>
      <c r="E296" t="s">
        <v>77</v>
      </c>
      <c r="F296" t="s">
        <v>100</v>
      </c>
      <c r="G296" t="s">
        <v>101</v>
      </c>
      <c r="H296" t="s">
        <v>110</v>
      </c>
      <c r="I296">
        <v>8</v>
      </c>
      <c r="J296">
        <v>9</v>
      </c>
      <c r="K296">
        <v>9</v>
      </c>
      <c r="L296">
        <v>10</v>
      </c>
      <c r="M296">
        <v>8</v>
      </c>
      <c r="N296">
        <v>8</v>
      </c>
      <c r="O296">
        <v>9</v>
      </c>
      <c r="P296">
        <v>10</v>
      </c>
      <c r="Q296">
        <v>10</v>
      </c>
    </row>
    <row r="297" spans="1:17" x14ac:dyDescent="0.45">
      <c r="A297" s="19">
        <v>46031.684027777781</v>
      </c>
      <c r="B297" t="s">
        <v>78</v>
      </c>
      <c r="C297" t="s">
        <v>193</v>
      </c>
      <c r="D297" t="s">
        <v>74</v>
      </c>
      <c r="E297" t="s">
        <v>77</v>
      </c>
      <c r="F297" t="s">
        <v>100</v>
      </c>
      <c r="G297" t="s">
        <v>194</v>
      </c>
      <c r="H297" t="s">
        <v>110</v>
      </c>
      <c r="I297">
        <v>7</v>
      </c>
      <c r="J297">
        <v>7</v>
      </c>
      <c r="K297">
        <v>6</v>
      </c>
      <c r="L297">
        <v>7</v>
      </c>
      <c r="M297">
        <v>7</v>
      </c>
      <c r="N297">
        <v>1</v>
      </c>
      <c r="O297">
        <v>5</v>
      </c>
      <c r="P297">
        <v>7</v>
      </c>
      <c r="Q297">
        <v>7</v>
      </c>
    </row>
    <row r="298" spans="1:17" x14ac:dyDescent="0.45">
      <c r="A298" s="19">
        <v>46031.701388888891</v>
      </c>
      <c r="B298" t="s">
        <v>72</v>
      </c>
      <c r="C298" t="s">
        <v>73</v>
      </c>
      <c r="D298" t="s">
        <v>74</v>
      </c>
      <c r="E298" t="s">
        <v>77</v>
      </c>
      <c r="F298" t="s">
        <v>100</v>
      </c>
      <c r="G298" t="s">
        <v>111</v>
      </c>
      <c r="H298" t="s">
        <v>105</v>
      </c>
      <c r="I298">
        <v>5</v>
      </c>
      <c r="J298">
        <v>10</v>
      </c>
      <c r="K298">
        <v>5</v>
      </c>
      <c r="L298">
        <v>5</v>
      </c>
      <c r="M298">
        <v>2</v>
      </c>
      <c r="N298">
        <v>3</v>
      </c>
      <c r="O298">
        <v>2</v>
      </c>
      <c r="P298">
        <v>5</v>
      </c>
      <c r="Q298">
        <v>5</v>
      </c>
    </row>
    <row r="299" spans="1:17" x14ac:dyDescent="0.45">
      <c r="A299" s="19">
        <v>46031.705555555556</v>
      </c>
      <c r="B299" t="s">
        <v>78</v>
      </c>
      <c r="C299" t="s">
        <v>73</v>
      </c>
      <c r="D299" t="s">
        <v>74</v>
      </c>
      <c r="E299" t="s">
        <v>77</v>
      </c>
      <c r="F299" t="s">
        <v>197</v>
      </c>
      <c r="G299" t="s">
        <v>194</v>
      </c>
      <c r="H299" t="s">
        <v>110</v>
      </c>
      <c r="I299">
        <v>5</v>
      </c>
      <c r="J299">
        <v>5</v>
      </c>
      <c r="K299">
        <v>5</v>
      </c>
      <c r="L299">
        <v>10</v>
      </c>
      <c r="M299">
        <v>10</v>
      </c>
      <c r="N299">
        <v>5</v>
      </c>
      <c r="O299">
        <v>5</v>
      </c>
      <c r="P299">
        <v>5</v>
      </c>
      <c r="Q299">
        <v>5</v>
      </c>
    </row>
    <row r="300" spans="1:17" x14ac:dyDescent="0.45">
      <c r="A300" s="19">
        <v>46031.716666666667</v>
      </c>
      <c r="B300" t="s">
        <v>78</v>
      </c>
      <c r="C300" t="s">
        <v>73</v>
      </c>
      <c r="D300" t="s">
        <v>74</v>
      </c>
      <c r="E300" t="s">
        <v>75</v>
      </c>
      <c r="F300" t="s">
        <v>100</v>
      </c>
      <c r="G300" t="s">
        <v>109</v>
      </c>
      <c r="H300" t="s">
        <v>110</v>
      </c>
      <c r="I300">
        <v>10</v>
      </c>
      <c r="J300">
        <v>10</v>
      </c>
      <c r="K300">
        <v>10</v>
      </c>
      <c r="L300">
        <v>10</v>
      </c>
      <c r="M300">
        <v>10</v>
      </c>
      <c r="N300">
        <v>10</v>
      </c>
      <c r="O300">
        <v>10</v>
      </c>
      <c r="P300">
        <v>10</v>
      </c>
      <c r="Q300">
        <v>10</v>
      </c>
    </row>
    <row r="301" spans="1:17" x14ac:dyDescent="0.45">
      <c r="A301" s="19">
        <v>46031.716666666667</v>
      </c>
      <c r="B301" t="s">
        <v>78</v>
      </c>
      <c r="C301" t="s">
        <v>73</v>
      </c>
      <c r="D301" t="s">
        <v>74</v>
      </c>
      <c r="E301" t="s">
        <v>77</v>
      </c>
      <c r="F301" t="s">
        <v>100</v>
      </c>
      <c r="G301" t="s">
        <v>101</v>
      </c>
      <c r="H301" t="s">
        <v>102</v>
      </c>
      <c r="I301">
        <v>9</v>
      </c>
      <c r="J301">
        <v>9</v>
      </c>
      <c r="K301">
        <v>8</v>
      </c>
      <c r="L301">
        <v>10</v>
      </c>
      <c r="M301">
        <v>8</v>
      </c>
      <c r="N301">
        <v>8</v>
      </c>
      <c r="O301">
        <v>10</v>
      </c>
      <c r="P301">
        <v>9</v>
      </c>
      <c r="Q301">
        <v>9</v>
      </c>
    </row>
    <row r="302" spans="1:17" x14ac:dyDescent="0.45">
      <c r="A302" s="19">
        <v>46031.774305555555</v>
      </c>
      <c r="B302" t="s">
        <v>78</v>
      </c>
      <c r="C302" t="s">
        <v>81</v>
      </c>
      <c r="D302" t="s">
        <v>74</v>
      </c>
      <c r="E302" t="s">
        <v>77</v>
      </c>
      <c r="F302" t="s">
        <v>100</v>
      </c>
      <c r="G302" t="s">
        <v>194</v>
      </c>
      <c r="H302" t="s">
        <v>110</v>
      </c>
      <c r="I302">
        <v>8</v>
      </c>
      <c r="J302">
        <v>7</v>
      </c>
      <c r="K302">
        <v>9</v>
      </c>
      <c r="L302">
        <v>5</v>
      </c>
      <c r="M302">
        <v>7</v>
      </c>
      <c r="N302">
        <v>7</v>
      </c>
      <c r="O302">
        <v>7</v>
      </c>
      <c r="P302">
        <v>6</v>
      </c>
      <c r="Q302">
        <v>7</v>
      </c>
    </row>
    <row r="303" spans="1:17" x14ac:dyDescent="0.45">
      <c r="A303" s="19">
        <v>46031.786111111112</v>
      </c>
      <c r="B303" t="s">
        <v>72</v>
      </c>
      <c r="C303" t="s">
        <v>73</v>
      </c>
      <c r="D303" t="s">
        <v>74</v>
      </c>
      <c r="E303" t="s">
        <v>77</v>
      </c>
      <c r="F303" t="s">
        <v>100</v>
      </c>
      <c r="G303" t="s">
        <v>101</v>
      </c>
      <c r="H303" t="s">
        <v>110</v>
      </c>
      <c r="I303">
        <v>7</v>
      </c>
      <c r="J303">
        <v>7</v>
      </c>
      <c r="K303">
        <v>4</v>
      </c>
      <c r="L303">
        <v>8</v>
      </c>
      <c r="M303">
        <v>7</v>
      </c>
      <c r="N303">
        <v>7</v>
      </c>
      <c r="O303">
        <v>5</v>
      </c>
      <c r="P303">
        <v>5</v>
      </c>
      <c r="Q303">
        <v>7</v>
      </c>
    </row>
    <row r="304" spans="1:17" x14ac:dyDescent="0.45">
      <c r="A304" s="19">
        <v>46031.789583333331</v>
      </c>
      <c r="B304" t="s">
        <v>78</v>
      </c>
      <c r="C304" t="s">
        <v>73</v>
      </c>
      <c r="D304" t="s">
        <v>74</v>
      </c>
      <c r="E304" t="s">
        <v>77</v>
      </c>
      <c r="F304" t="s">
        <v>100</v>
      </c>
      <c r="G304" t="s">
        <v>101</v>
      </c>
      <c r="H304" t="s">
        <v>105</v>
      </c>
      <c r="I304">
        <v>6</v>
      </c>
      <c r="J304">
        <v>10</v>
      </c>
      <c r="K304">
        <v>5</v>
      </c>
      <c r="L304">
        <v>4</v>
      </c>
      <c r="M304">
        <v>3</v>
      </c>
      <c r="N304">
        <v>7</v>
      </c>
      <c r="O304">
        <v>4</v>
      </c>
      <c r="P304">
        <v>4</v>
      </c>
      <c r="Q304">
        <v>5</v>
      </c>
    </row>
    <row r="305" spans="1:17" x14ac:dyDescent="0.45">
      <c r="A305" s="19">
        <v>46031.790277777778</v>
      </c>
      <c r="B305" t="s">
        <v>78</v>
      </c>
      <c r="C305" t="s">
        <v>81</v>
      </c>
      <c r="D305" t="s">
        <v>74</v>
      </c>
      <c r="E305" t="s">
        <v>75</v>
      </c>
      <c r="F305" t="s">
        <v>100</v>
      </c>
      <c r="G305" t="s">
        <v>194</v>
      </c>
      <c r="H305" t="s">
        <v>110</v>
      </c>
      <c r="I305">
        <v>10</v>
      </c>
      <c r="J305">
        <v>10</v>
      </c>
      <c r="K305">
        <v>10</v>
      </c>
      <c r="L305">
        <v>10</v>
      </c>
      <c r="M305">
        <v>10</v>
      </c>
      <c r="N305">
        <v>10</v>
      </c>
      <c r="O305">
        <v>10</v>
      </c>
      <c r="P305">
        <v>10</v>
      </c>
      <c r="Q305">
        <v>10</v>
      </c>
    </row>
    <row r="306" spans="1:17" x14ac:dyDescent="0.45">
      <c r="A306" s="19">
        <v>46031.79791666667</v>
      </c>
      <c r="B306" t="s">
        <v>78</v>
      </c>
      <c r="C306" t="s">
        <v>73</v>
      </c>
      <c r="D306" t="s">
        <v>74</v>
      </c>
      <c r="E306" t="s">
        <v>77</v>
      </c>
      <c r="F306" t="s">
        <v>100</v>
      </c>
      <c r="G306" t="s">
        <v>109</v>
      </c>
      <c r="H306" t="s">
        <v>110</v>
      </c>
      <c r="I306">
        <v>7</v>
      </c>
      <c r="J306">
        <v>9</v>
      </c>
      <c r="K306">
        <v>8</v>
      </c>
      <c r="L306">
        <v>6</v>
      </c>
      <c r="M306">
        <v>5</v>
      </c>
      <c r="N306">
        <v>3</v>
      </c>
      <c r="O306">
        <v>9</v>
      </c>
      <c r="P306">
        <v>3</v>
      </c>
      <c r="Q306">
        <v>4</v>
      </c>
    </row>
    <row r="307" spans="1:17" x14ac:dyDescent="0.45">
      <c r="A307" s="19">
        <v>46031.8</v>
      </c>
      <c r="B307" t="s">
        <v>72</v>
      </c>
      <c r="C307" t="s">
        <v>79</v>
      </c>
      <c r="D307" t="s">
        <v>74</v>
      </c>
      <c r="E307" t="s">
        <v>77</v>
      </c>
      <c r="F307" t="s">
        <v>100</v>
      </c>
      <c r="G307" t="s">
        <v>111</v>
      </c>
      <c r="H307" t="s">
        <v>106</v>
      </c>
      <c r="I307">
        <v>3</v>
      </c>
      <c r="J307">
        <v>8</v>
      </c>
      <c r="K307">
        <v>8</v>
      </c>
      <c r="L307">
        <v>4</v>
      </c>
      <c r="M307">
        <v>4</v>
      </c>
      <c r="N307">
        <v>3</v>
      </c>
      <c r="O307">
        <v>7</v>
      </c>
      <c r="P307">
        <v>5</v>
      </c>
      <c r="Q307">
        <v>5</v>
      </c>
    </row>
    <row r="308" spans="1:17" x14ac:dyDescent="0.45">
      <c r="A308" s="19">
        <v>46031.804861111108</v>
      </c>
      <c r="B308" t="s">
        <v>72</v>
      </c>
      <c r="C308" t="s">
        <v>193</v>
      </c>
      <c r="D308" t="s">
        <v>74</v>
      </c>
      <c r="E308" t="s">
        <v>75</v>
      </c>
      <c r="F308" t="s">
        <v>197</v>
      </c>
      <c r="G308" t="s">
        <v>104</v>
      </c>
      <c r="H308" t="s">
        <v>105</v>
      </c>
      <c r="I308">
        <v>2</v>
      </c>
      <c r="J308">
        <v>2</v>
      </c>
      <c r="K308">
        <v>2</v>
      </c>
      <c r="L308">
        <v>1</v>
      </c>
      <c r="M308">
        <v>2</v>
      </c>
      <c r="N308">
        <v>2</v>
      </c>
      <c r="O308">
        <v>2</v>
      </c>
      <c r="P308">
        <v>2</v>
      </c>
      <c r="Q308">
        <v>2</v>
      </c>
    </row>
    <row r="309" spans="1:17" x14ac:dyDescent="0.45">
      <c r="A309" s="19">
        <v>46032.306944444441</v>
      </c>
      <c r="B309" t="s">
        <v>72</v>
      </c>
      <c r="C309" t="s">
        <v>79</v>
      </c>
      <c r="D309" t="s">
        <v>74</v>
      </c>
      <c r="E309" t="s">
        <v>75</v>
      </c>
      <c r="F309" t="s">
        <v>100</v>
      </c>
      <c r="G309" t="s">
        <v>108</v>
      </c>
      <c r="H309" t="s">
        <v>105</v>
      </c>
      <c r="I309">
        <v>10</v>
      </c>
      <c r="J309">
        <v>8</v>
      </c>
      <c r="K309">
        <v>8</v>
      </c>
      <c r="L309">
        <v>8</v>
      </c>
      <c r="M309">
        <v>10</v>
      </c>
      <c r="N309">
        <v>10</v>
      </c>
      <c r="O309">
        <v>6</v>
      </c>
      <c r="P309">
        <v>8</v>
      </c>
      <c r="Q309">
        <v>8</v>
      </c>
    </row>
    <row r="310" spans="1:17" x14ac:dyDescent="0.45">
      <c r="A310" s="19">
        <v>46032.379166666666</v>
      </c>
      <c r="B310" t="s">
        <v>78</v>
      </c>
      <c r="C310" t="s">
        <v>73</v>
      </c>
      <c r="D310" t="s">
        <v>74</v>
      </c>
      <c r="E310" t="s">
        <v>77</v>
      </c>
      <c r="F310" t="s">
        <v>100</v>
      </c>
      <c r="G310" t="s">
        <v>111</v>
      </c>
      <c r="H310" t="s">
        <v>102</v>
      </c>
      <c r="I310">
        <v>10</v>
      </c>
      <c r="J310">
        <v>10</v>
      </c>
      <c r="K310">
        <v>10</v>
      </c>
      <c r="L310">
        <v>10</v>
      </c>
      <c r="M310">
        <v>10</v>
      </c>
      <c r="N310">
        <v>9</v>
      </c>
      <c r="O310">
        <v>9</v>
      </c>
      <c r="P310">
        <v>10</v>
      </c>
      <c r="Q310">
        <v>10</v>
      </c>
    </row>
    <row r="311" spans="1:17" x14ac:dyDescent="0.45">
      <c r="A311" s="19">
        <v>46032.577777777777</v>
      </c>
      <c r="B311" t="s">
        <v>72</v>
      </c>
      <c r="C311" t="s">
        <v>189</v>
      </c>
      <c r="D311" t="s">
        <v>74</v>
      </c>
      <c r="E311" t="s">
        <v>77</v>
      </c>
      <c r="F311" t="s">
        <v>100</v>
      </c>
      <c r="G311" t="s">
        <v>196</v>
      </c>
      <c r="H311" t="s">
        <v>110</v>
      </c>
      <c r="I311">
        <v>7</v>
      </c>
      <c r="J311">
        <v>7</v>
      </c>
      <c r="K311">
        <v>5</v>
      </c>
      <c r="L311">
        <v>8</v>
      </c>
      <c r="M311">
        <v>8</v>
      </c>
      <c r="N311">
        <v>9</v>
      </c>
      <c r="O311">
        <v>9</v>
      </c>
      <c r="P311">
        <v>9</v>
      </c>
      <c r="Q311">
        <v>10</v>
      </c>
    </row>
    <row r="312" spans="1:17" x14ac:dyDescent="0.45">
      <c r="A312" s="19">
        <v>46032.577777777777</v>
      </c>
      <c r="B312" t="s">
        <v>72</v>
      </c>
      <c r="C312" t="s">
        <v>189</v>
      </c>
      <c r="D312" t="s">
        <v>74</v>
      </c>
      <c r="E312" t="s">
        <v>77</v>
      </c>
      <c r="F312" t="s">
        <v>100</v>
      </c>
      <c r="G312" t="s">
        <v>104</v>
      </c>
      <c r="H312" t="s">
        <v>110</v>
      </c>
      <c r="I312">
        <v>6</v>
      </c>
      <c r="J312">
        <v>5</v>
      </c>
      <c r="K312">
        <v>4</v>
      </c>
      <c r="L312">
        <v>7</v>
      </c>
      <c r="M312">
        <v>5</v>
      </c>
      <c r="N312">
        <v>6</v>
      </c>
      <c r="O312">
        <v>6</v>
      </c>
      <c r="P312">
        <v>7</v>
      </c>
      <c r="Q312">
        <v>7</v>
      </c>
    </row>
    <row r="313" spans="1:17" x14ac:dyDescent="0.45">
      <c r="A313" s="19">
        <v>46032.581250000003</v>
      </c>
      <c r="B313" t="s">
        <v>78</v>
      </c>
      <c r="C313" t="s">
        <v>81</v>
      </c>
      <c r="D313" t="s">
        <v>74</v>
      </c>
      <c r="E313" t="s">
        <v>77</v>
      </c>
      <c r="F313" t="s">
        <v>100</v>
      </c>
      <c r="G313" t="s">
        <v>196</v>
      </c>
      <c r="H313" t="s">
        <v>110</v>
      </c>
      <c r="I313">
        <v>8</v>
      </c>
      <c r="J313">
        <v>9</v>
      </c>
      <c r="K313">
        <v>10</v>
      </c>
      <c r="L313">
        <v>10</v>
      </c>
      <c r="M313">
        <v>8</v>
      </c>
      <c r="N313">
        <v>9</v>
      </c>
      <c r="O313">
        <v>8</v>
      </c>
      <c r="P313">
        <v>8</v>
      </c>
      <c r="Q313">
        <v>10</v>
      </c>
    </row>
    <row r="314" spans="1:17" x14ac:dyDescent="0.45">
      <c r="A314" s="19">
        <v>46033.399305555555</v>
      </c>
      <c r="B314" t="s">
        <v>78</v>
      </c>
      <c r="C314" t="s">
        <v>189</v>
      </c>
      <c r="D314" t="s">
        <v>74</v>
      </c>
      <c r="E314" t="s">
        <v>77</v>
      </c>
      <c r="F314" t="s">
        <v>100</v>
      </c>
      <c r="G314" t="s">
        <v>104</v>
      </c>
      <c r="H314" t="s">
        <v>110</v>
      </c>
      <c r="I314">
        <v>6</v>
      </c>
      <c r="J314">
        <v>6</v>
      </c>
      <c r="K314">
        <v>7</v>
      </c>
      <c r="L314">
        <v>7</v>
      </c>
      <c r="M314">
        <v>7</v>
      </c>
      <c r="N314">
        <v>8</v>
      </c>
      <c r="O314">
        <v>5</v>
      </c>
      <c r="P314">
        <v>5</v>
      </c>
      <c r="Q314">
        <v>8</v>
      </c>
    </row>
    <row r="315" spans="1:17" x14ac:dyDescent="0.45">
      <c r="A315" s="19">
        <v>46033.431250000001</v>
      </c>
      <c r="B315" t="s">
        <v>72</v>
      </c>
      <c r="C315" t="s">
        <v>189</v>
      </c>
      <c r="D315" t="s">
        <v>74</v>
      </c>
      <c r="E315" t="s">
        <v>77</v>
      </c>
      <c r="F315" t="s">
        <v>100</v>
      </c>
      <c r="G315" t="s">
        <v>104</v>
      </c>
      <c r="H315" t="s">
        <v>110</v>
      </c>
      <c r="I315">
        <v>7</v>
      </c>
      <c r="J315">
        <v>8</v>
      </c>
      <c r="K315">
        <v>8</v>
      </c>
      <c r="L315">
        <v>8</v>
      </c>
      <c r="M315">
        <v>5</v>
      </c>
      <c r="N315">
        <v>8</v>
      </c>
      <c r="O315">
        <v>6</v>
      </c>
      <c r="P315">
        <v>6</v>
      </c>
      <c r="Q315">
        <v>8</v>
      </c>
    </row>
    <row r="316" spans="1:17" x14ac:dyDescent="0.45">
      <c r="A316" s="19">
        <v>46033.888194444444</v>
      </c>
      <c r="B316" t="s">
        <v>78</v>
      </c>
      <c r="C316" t="s">
        <v>189</v>
      </c>
      <c r="D316" t="s">
        <v>74</v>
      </c>
      <c r="E316" t="s">
        <v>77</v>
      </c>
      <c r="F316" t="s">
        <v>100</v>
      </c>
      <c r="G316" t="s">
        <v>196</v>
      </c>
      <c r="H316" t="s">
        <v>110</v>
      </c>
      <c r="I316">
        <v>4</v>
      </c>
      <c r="J316">
        <v>5</v>
      </c>
      <c r="K316">
        <v>5</v>
      </c>
      <c r="L316">
        <v>7</v>
      </c>
      <c r="M316">
        <v>5</v>
      </c>
      <c r="N316">
        <v>8</v>
      </c>
      <c r="O316">
        <v>5</v>
      </c>
      <c r="P316">
        <v>6</v>
      </c>
      <c r="Q316">
        <v>8</v>
      </c>
    </row>
    <row r="317" spans="1:17" x14ac:dyDescent="0.45">
      <c r="A317" s="19">
        <v>46033.888888888891</v>
      </c>
      <c r="B317" t="s">
        <v>72</v>
      </c>
      <c r="C317" t="s">
        <v>81</v>
      </c>
      <c r="D317" t="s">
        <v>74</v>
      </c>
      <c r="E317" t="s">
        <v>77</v>
      </c>
      <c r="F317" t="s">
        <v>100</v>
      </c>
      <c r="G317" t="s">
        <v>101</v>
      </c>
      <c r="H317" t="s">
        <v>110</v>
      </c>
      <c r="I317">
        <v>6</v>
      </c>
      <c r="J317">
        <v>8</v>
      </c>
      <c r="K317">
        <v>5</v>
      </c>
      <c r="L317">
        <v>6</v>
      </c>
      <c r="M317">
        <v>6</v>
      </c>
      <c r="N317">
        <v>7</v>
      </c>
      <c r="O317">
        <v>6</v>
      </c>
      <c r="P317">
        <v>7</v>
      </c>
      <c r="Q317">
        <v>7</v>
      </c>
    </row>
    <row r="318" spans="1:17" x14ac:dyDescent="0.45">
      <c r="A318" s="19">
        <v>46034.478472222225</v>
      </c>
      <c r="B318" t="s">
        <v>72</v>
      </c>
      <c r="C318" t="s">
        <v>189</v>
      </c>
      <c r="D318" t="s">
        <v>74</v>
      </c>
      <c r="E318" t="s">
        <v>77</v>
      </c>
      <c r="F318" t="s">
        <v>100</v>
      </c>
      <c r="G318" t="s">
        <v>104</v>
      </c>
      <c r="H318" t="s">
        <v>110</v>
      </c>
      <c r="I318">
        <v>7</v>
      </c>
      <c r="J318">
        <v>7</v>
      </c>
      <c r="K318">
        <v>5</v>
      </c>
      <c r="L318">
        <v>8</v>
      </c>
      <c r="M318">
        <v>5</v>
      </c>
      <c r="N318">
        <v>8</v>
      </c>
      <c r="O318">
        <v>5</v>
      </c>
      <c r="P318">
        <v>7</v>
      </c>
      <c r="Q318">
        <v>8</v>
      </c>
    </row>
    <row r="319" spans="1:17" x14ac:dyDescent="0.45">
      <c r="A319" s="19">
        <v>46034.479166666664</v>
      </c>
      <c r="B319" t="s">
        <v>72</v>
      </c>
      <c r="C319" t="s">
        <v>81</v>
      </c>
      <c r="D319" t="s">
        <v>74</v>
      </c>
      <c r="E319" t="s">
        <v>75</v>
      </c>
      <c r="F319" t="s">
        <v>100</v>
      </c>
      <c r="G319" t="s">
        <v>196</v>
      </c>
      <c r="H319" t="s">
        <v>110</v>
      </c>
      <c r="I319">
        <v>4</v>
      </c>
      <c r="J319">
        <v>4</v>
      </c>
      <c r="K319">
        <v>6</v>
      </c>
      <c r="L319">
        <v>7</v>
      </c>
      <c r="M319">
        <v>5</v>
      </c>
      <c r="N319">
        <v>8</v>
      </c>
      <c r="O319">
        <v>5</v>
      </c>
      <c r="P319">
        <v>5</v>
      </c>
      <c r="Q319">
        <v>8</v>
      </c>
    </row>
    <row r="320" spans="1:17" x14ac:dyDescent="0.45">
      <c r="A320" s="19">
        <v>46034.479861111111</v>
      </c>
      <c r="B320" t="s">
        <v>72</v>
      </c>
      <c r="C320" t="s">
        <v>189</v>
      </c>
      <c r="D320" t="s">
        <v>74</v>
      </c>
      <c r="E320" t="s">
        <v>77</v>
      </c>
      <c r="F320" t="s">
        <v>100</v>
      </c>
      <c r="G320" t="s">
        <v>104</v>
      </c>
      <c r="H320" t="s">
        <v>110</v>
      </c>
      <c r="I320">
        <v>8</v>
      </c>
      <c r="J320">
        <v>8</v>
      </c>
      <c r="K320">
        <v>10</v>
      </c>
      <c r="L320">
        <v>10</v>
      </c>
      <c r="M320">
        <v>9</v>
      </c>
      <c r="N320">
        <v>10</v>
      </c>
      <c r="O320">
        <v>8</v>
      </c>
      <c r="P320">
        <v>8</v>
      </c>
      <c r="Q320">
        <v>10</v>
      </c>
    </row>
    <row r="321" spans="1:17" x14ac:dyDescent="0.45">
      <c r="A321" s="19">
        <v>46034.480555555558</v>
      </c>
      <c r="B321" t="s">
        <v>78</v>
      </c>
      <c r="C321" t="s">
        <v>73</v>
      </c>
      <c r="D321" t="s">
        <v>74</v>
      </c>
      <c r="E321" t="s">
        <v>75</v>
      </c>
      <c r="F321" t="s">
        <v>100</v>
      </c>
      <c r="G321" t="s">
        <v>101</v>
      </c>
      <c r="H321" t="s">
        <v>110</v>
      </c>
      <c r="I321">
        <v>5</v>
      </c>
      <c r="J321">
        <v>7</v>
      </c>
      <c r="K321">
        <v>7</v>
      </c>
      <c r="L321">
        <v>9</v>
      </c>
      <c r="M321">
        <v>5</v>
      </c>
      <c r="N321">
        <v>6</v>
      </c>
      <c r="O321">
        <v>5</v>
      </c>
      <c r="P321">
        <v>7</v>
      </c>
      <c r="Q321">
        <v>7</v>
      </c>
    </row>
    <row r="322" spans="1:17" x14ac:dyDescent="0.45">
      <c r="A322" s="19">
        <v>46034.481249999997</v>
      </c>
      <c r="B322" t="s">
        <v>72</v>
      </c>
      <c r="C322" t="s">
        <v>189</v>
      </c>
      <c r="D322" t="s">
        <v>74</v>
      </c>
      <c r="E322" t="s">
        <v>77</v>
      </c>
      <c r="F322" t="s">
        <v>100</v>
      </c>
      <c r="G322" t="s">
        <v>104</v>
      </c>
      <c r="H322" t="s">
        <v>110</v>
      </c>
      <c r="I322">
        <v>8</v>
      </c>
      <c r="J322">
        <v>8</v>
      </c>
      <c r="K322">
        <v>7</v>
      </c>
      <c r="L322">
        <v>9</v>
      </c>
      <c r="M322">
        <v>9</v>
      </c>
      <c r="N322">
        <v>9</v>
      </c>
      <c r="O322">
        <v>7</v>
      </c>
      <c r="P322">
        <v>9</v>
      </c>
      <c r="Q322">
        <v>9</v>
      </c>
    </row>
    <row r="323" spans="1:17" x14ac:dyDescent="0.45">
      <c r="A323" s="19">
        <v>46034.481944444444</v>
      </c>
      <c r="B323" t="s">
        <v>78</v>
      </c>
      <c r="C323" t="s">
        <v>81</v>
      </c>
      <c r="D323" t="s">
        <v>74</v>
      </c>
      <c r="E323" t="s">
        <v>77</v>
      </c>
      <c r="F323" t="s">
        <v>100</v>
      </c>
      <c r="G323" t="s">
        <v>101</v>
      </c>
      <c r="H323" t="s">
        <v>110</v>
      </c>
      <c r="I323">
        <v>5</v>
      </c>
      <c r="J323">
        <v>5</v>
      </c>
      <c r="K323">
        <v>5</v>
      </c>
      <c r="L323">
        <v>7</v>
      </c>
      <c r="M323">
        <v>5</v>
      </c>
      <c r="N323">
        <v>7</v>
      </c>
      <c r="O323">
        <v>5</v>
      </c>
      <c r="P323">
        <v>5</v>
      </c>
      <c r="Q323">
        <v>7</v>
      </c>
    </row>
    <row r="324" spans="1:17" x14ac:dyDescent="0.45">
      <c r="A324" s="19">
        <v>46034.484027777777</v>
      </c>
      <c r="B324" t="s">
        <v>78</v>
      </c>
      <c r="C324" t="s">
        <v>81</v>
      </c>
      <c r="D324" t="s">
        <v>74</v>
      </c>
      <c r="E324" t="s">
        <v>75</v>
      </c>
      <c r="F324" t="s">
        <v>100</v>
      </c>
      <c r="G324" t="s">
        <v>101</v>
      </c>
      <c r="H324" t="s">
        <v>110</v>
      </c>
      <c r="I324">
        <v>7</v>
      </c>
      <c r="J324">
        <v>7</v>
      </c>
      <c r="K324">
        <v>8</v>
      </c>
      <c r="L324">
        <v>8</v>
      </c>
      <c r="M324">
        <v>6</v>
      </c>
      <c r="N324">
        <v>7</v>
      </c>
      <c r="O324">
        <v>6</v>
      </c>
      <c r="P324">
        <v>7</v>
      </c>
      <c r="Q324">
        <v>7</v>
      </c>
    </row>
    <row r="325" spans="1:17" x14ac:dyDescent="0.45">
      <c r="A325" s="19">
        <v>46034.484722222223</v>
      </c>
      <c r="B325" t="s">
        <v>72</v>
      </c>
      <c r="C325" t="s">
        <v>189</v>
      </c>
      <c r="D325" t="s">
        <v>74</v>
      </c>
      <c r="E325" t="s">
        <v>77</v>
      </c>
      <c r="F325" t="s">
        <v>100</v>
      </c>
      <c r="G325" t="s">
        <v>194</v>
      </c>
      <c r="H325" t="s">
        <v>110</v>
      </c>
      <c r="I325">
        <v>7</v>
      </c>
      <c r="J325">
        <v>7</v>
      </c>
      <c r="K325">
        <v>5</v>
      </c>
      <c r="L325">
        <v>7</v>
      </c>
      <c r="M325">
        <v>7</v>
      </c>
      <c r="N325">
        <v>7</v>
      </c>
      <c r="O325">
        <v>5</v>
      </c>
      <c r="P325">
        <v>5</v>
      </c>
      <c r="Q325">
        <v>8</v>
      </c>
    </row>
    <row r="326" spans="1:17" x14ac:dyDescent="0.45">
      <c r="A326" s="19">
        <v>46034.48541666667</v>
      </c>
      <c r="B326" t="s">
        <v>78</v>
      </c>
      <c r="C326" t="s">
        <v>73</v>
      </c>
      <c r="D326" t="s">
        <v>74</v>
      </c>
      <c r="E326" t="s">
        <v>77</v>
      </c>
      <c r="F326" t="s">
        <v>100</v>
      </c>
      <c r="G326" t="s">
        <v>109</v>
      </c>
      <c r="H326" t="s">
        <v>102</v>
      </c>
      <c r="I326">
        <v>2</v>
      </c>
      <c r="J326">
        <v>2</v>
      </c>
      <c r="K326">
        <v>6</v>
      </c>
      <c r="L326">
        <v>7</v>
      </c>
      <c r="M326">
        <v>2</v>
      </c>
      <c r="N326">
        <v>5</v>
      </c>
      <c r="O326">
        <v>5</v>
      </c>
      <c r="P326">
        <v>6</v>
      </c>
      <c r="Q326">
        <v>5</v>
      </c>
    </row>
    <row r="327" spans="1:17" x14ac:dyDescent="0.45">
      <c r="A327" s="19">
        <v>46034.486111111109</v>
      </c>
      <c r="B327" t="s">
        <v>72</v>
      </c>
      <c r="C327" t="s">
        <v>79</v>
      </c>
      <c r="D327" t="s">
        <v>74</v>
      </c>
      <c r="E327" t="s">
        <v>77</v>
      </c>
      <c r="F327" t="s">
        <v>100</v>
      </c>
      <c r="G327" t="s">
        <v>111</v>
      </c>
      <c r="H327" t="s">
        <v>105</v>
      </c>
      <c r="I327">
        <v>8</v>
      </c>
      <c r="J327">
        <v>9</v>
      </c>
      <c r="K327">
        <v>9</v>
      </c>
      <c r="L327">
        <v>10</v>
      </c>
      <c r="M327">
        <v>8</v>
      </c>
      <c r="N327">
        <v>10</v>
      </c>
      <c r="O327">
        <v>9</v>
      </c>
      <c r="P327">
        <v>9</v>
      </c>
      <c r="Q327">
        <v>10</v>
      </c>
    </row>
    <row r="328" spans="1:17" x14ac:dyDescent="0.45">
      <c r="A328" s="19">
        <v>46034.486805555556</v>
      </c>
      <c r="B328" t="s">
        <v>72</v>
      </c>
      <c r="C328" t="s">
        <v>81</v>
      </c>
      <c r="D328" t="s">
        <v>74</v>
      </c>
      <c r="E328" t="s">
        <v>77</v>
      </c>
      <c r="F328" t="s">
        <v>100</v>
      </c>
      <c r="G328" t="s">
        <v>196</v>
      </c>
      <c r="H328" t="s">
        <v>110</v>
      </c>
      <c r="I328">
        <v>7</v>
      </c>
      <c r="J328">
        <v>7</v>
      </c>
      <c r="K328">
        <v>7</v>
      </c>
      <c r="L328">
        <v>9</v>
      </c>
      <c r="M328">
        <v>7</v>
      </c>
      <c r="N328">
        <v>8</v>
      </c>
      <c r="O328">
        <v>5</v>
      </c>
      <c r="P328">
        <v>7</v>
      </c>
      <c r="Q328">
        <v>8</v>
      </c>
    </row>
    <row r="329" spans="1:17" x14ac:dyDescent="0.45">
      <c r="A329" s="19">
        <v>46034.488888888889</v>
      </c>
      <c r="B329" t="s">
        <v>78</v>
      </c>
      <c r="C329" t="s">
        <v>79</v>
      </c>
      <c r="D329" t="s">
        <v>74</v>
      </c>
      <c r="E329" t="s">
        <v>75</v>
      </c>
      <c r="F329" t="s">
        <v>100</v>
      </c>
      <c r="G329" t="s">
        <v>107</v>
      </c>
      <c r="H329" t="s">
        <v>106</v>
      </c>
      <c r="I329">
        <v>7</v>
      </c>
      <c r="J329">
        <v>8</v>
      </c>
      <c r="K329">
        <v>9</v>
      </c>
      <c r="L329">
        <v>9</v>
      </c>
      <c r="M329">
        <v>9</v>
      </c>
      <c r="N329">
        <v>8</v>
      </c>
      <c r="O329">
        <v>7</v>
      </c>
      <c r="P329">
        <v>7</v>
      </c>
      <c r="Q329">
        <v>9</v>
      </c>
    </row>
    <row r="330" spans="1:17" x14ac:dyDescent="0.45">
      <c r="A330" s="19">
        <v>46034.490972222222</v>
      </c>
      <c r="B330" t="s">
        <v>72</v>
      </c>
      <c r="C330" t="s">
        <v>81</v>
      </c>
      <c r="D330" t="s">
        <v>74</v>
      </c>
      <c r="E330" t="s">
        <v>77</v>
      </c>
      <c r="F330" t="s">
        <v>100</v>
      </c>
      <c r="G330" t="s">
        <v>104</v>
      </c>
      <c r="H330" t="s">
        <v>110</v>
      </c>
      <c r="I330">
        <v>7</v>
      </c>
      <c r="J330">
        <v>7</v>
      </c>
      <c r="K330">
        <v>9</v>
      </c>
      <c r="L330">
        <v>9</v>
      </c>
      <c r="M330">
        <v>9</v>
      </c>
      <c r="N330">
        <v>9</v>
      </c>
      <c r="O330">
        <v>5</v>
      </c>
      <c r="P330">
        <v>6</v>
      </c>
      <c r="Q330">
        <v>9</v>
      </c>
    </row>
    <row r="331" spans="1:17" x14ac:dyDescent="0.45">
      <c r="A331" s="19">
        <v>46034.490972222222</v>
      </c>
      <c r="B331" t="s">
        <v>78</v>
      </c>
      <c r="C331" t="s">
        <v>189</v>
      </c>
      <c r="D331" t="s">
        <v>74</v>
      </c>
      <c r="E331" t="s">
        <v>77</v>
      </c>
      <c r="F331" t="s">
        <v>100</v>
      </c>
      <c r="G331" t="s">
        <v>104</v>
      </c>
      <c r="H331" t="s">
        <v>110</v>
      </c>
      <c r="I331">
        <v>3</v>
      </c>
      <c r="J331">
        <v>3</v>
      </c>
      <c r="K331">
        <v>5</v>
      </c>
      <c r="L331">
        <v>6</v>
      </c>
      <c r="M331">
        <v>4</v>
      </c>
      <c r="N331">
        <v>5</v>
      </c>
      <c r="O331">
        <v>5</v>
      </c>
      <c r="P331">
        <v>5</v>
      </c>
      <c r="Q331">
        <v>5</v>
      </c>
    </row>
    <row r="332" spans="1:17" x14ac:dyDescent="0.45">
      <c r="A332" s="19">
        <v>46034.507638888892</v>
      </c>
      <c r="B332" t="s">
        <v>78</v>
      </c>
      <c r="C332" t="s">
        <v>73</v>
      </c>
      <c r="D332" t="s">
        <v>74</v>
      </c>
      <c r="E332" t="s">
        <v>77</v>
      </c>
      <c r="F332" t="s">
        <v>100</v>
      </c>
      <c r="G332" t="s">
        <v>101</v>
      </c>
      <c r="H332" t="s">
        <v>102</v>
      </c>
      <c r="I332">
        <v>4</v>
      </c>
      <c r="J332">
        <v>4</v>
      </c>
      <c r="K332">
        <v>5</v>
      </c>
      <c r="L332">
        <v>6</v>
      </c>
      <c r="M332">
        <v>4</v>
      </c>
      <c r="N332">
        <v>5</v>
      </c>
      <c r="O332">
        <v>3</v>
      </c>
      <c r="P332">
        <v>4</v>
      </c>
      <c r="Q332">
        <v>5</v>
      </c>
    </row>
    <row r="333" spans="1:17" x14ac:dyDescent="0.45">
      <c r="A333" s="19">
        <v>46034.508333333331</v>
      </c>
      <c r="B333" t="s">
        <v>72</v>
      </c>
      <c r="C333" t="s">
        <v>189</v>
      </c>
      <c r="D333" t="s">
        <v>74</v>
      </c>
      <c r="E333" t="s">
        <v>77</v>
      </c>
      <c r="F333" t="s">
        <v>100</v>
      </c>
      <c r="G333" t="s">
        <v>196</v>
      </c>
      <c r="H333" t="s">
        <v>110</v>
      </c>
      <c r="I333">
        <v>7</v>
      </c>
      <c r="J333">
        <v>7</v>
      </c>
      <c r="K333">
        <v>9</v>
      </c>
      <c r="L333">
        <v>9</v>
      </c>
      <c r="M333">
        <v>8</v>
      </c>
      <c r="N333">
        <v>9</v>
      </c>
      <c r="O333">
        <v>7</v>
      </c>
      <c r="P333">
        <v>9</v>
      </c>
      <c r="Q333">
        <v>9</v>
      </c>
    </row>
    <row r="334" spans="1:17" x14ac:dyDescent="0.45">
      <c r="A334" s="19">
        <v>46034.509027777778</v>
      </c>
      <c r="B334" t="s">
        <v>78</v>
      </c>
      <c r="C334" t="s">
        <v>79</v>
      </c>
      <c r="D334" t="s">
        <v>74</v>
      </c>
      <c r="E334" t="s">
        <v>75</v>
      </c>
      <c r="F334" t="s">
        <v>100</v>
      </c>
      <c r="G334" t="s">
        <v>107</v>
      </c>
      <c r="H334" t="s">
        <v>102</v>
      </c>
      <c r="I334">
        <v>6</v>
      </c>
      <c r="J334">
        <v>6</v>
      </c>
      <c r="K334">
        <v>8</v>
      </c>
      <c r="L334">
        <v>8</v>
      </c>
      <c r="M334">
        <v>6</v>
      </c>
      <c r="N334">
        <v>7</v>
      </c>
      <c r="O334">
        <v>6</v>
      </c>
      <c r="P334">
        <v>7</v>
      </c>
      <c r="Q334">
        <v>7</v>
      </c>
    </row>
    <row r="335" spans="1:17" x14ac:dyDescent="0.45">
      <c r="A335" s="19">
        <v>46034.509722222225</v>
      </c>
      <c r="B335" t="s">
        <v>72</v>
      </c>
      <c r="C335" t="s">
        <v>191</v>
      </c>
      <c r="D335" t="s">
        <v>74</v>
      </c>
      <c r="E335" t="s">
        <v>75</v>
      </c>
      <c r="F335" t="s">
        <v>103</v>
      </c>
      <c r="G335" t="s">
        <v>108</v>
      </c>
      <c r="H335" t="s">
        <v>106</v>
      </c>
      <c r="I335">
        <v>2</v>
      </c>
      <c r="J335">
        <v>2</v>
      </c>
      <c r="K335">
        <v>3</v>
      </c>
      <c r="L335">
        <v>5</v>
      </c>
      <c r="M335">
        <v>1</v>
      </c>
      <c r="N335">
        <v>1</v>
      </c>
      <c r="O335">
        <v>1</v>
      </c>
      <c r="P335">
        <v>3</v>
      </c>
      <c r="Q335">
        <v>1</v>
      </c>
    </row>
    <row r="336" spans="1:17" x14ac:dyDescent="0.45">
      <c r="A336" s="19">
        <v>46034.513888888891</v>
      </c>
      <c r="B336" t="s">
        <v>78</v>
      </c>
      <c r="C336" t="s">
        <v>189</v>
      </c>
      <c r="D336" t="s">
        <v>74</v>
      </c>
      <c r="E336" t="s">
        <v>77</v>
      </c>
      <c r="F336" t="s">
        <v>100</v>
      </c>
      <c r="G336" t="s">
        <v>104</v>
      </c>
      <c r="H336" t="s">
        <v>110</v>
      </c>
      <c r="I336">
        <v>7</v>
      </c>
      <c r="J336">
        <v>7</v>
      </c>
      <c r="K336">
        <v>8</v>
      </c>
      <c r="L336">
        <v>10</v>
      </c>
      <c r="M336">
        <v>9</v>
      </c>
      <c r="N336">
        <v>10</v>
      </c>
      <c r="O336">
        <v>8</v>
      </c>
      <c r="P336">
        <v>8</v>
      </c>
      <c r="Q336">
        <v>10</v>
      </c>
    </row>
    <row r="337" spans="1:17" x14ac:dyDescent="0.45">
      <c r="A337" s="19">
        <v>46034.51458333333</v>
      </c>
      <c r="B337" t="s">
        <v>72</v>
      </c>
      <c r="C337" t="s">
        <v>81</v>
      </c>
      <c r="D337" t="s">
        <v>74</v>
      </c>
      <c r="E337" t="s">
        <v>77</v>
      </c>
      <c r="F337" t="s">
        <v>100</v>
      </c>
      <c r="G337" t="s">
        <v>196</v>
      </c>
      <c r="H337" t="s">
        <v>110</v>
      </c>
      <c r="I337">
        <v>4</v>
      </c>
      <c r="J337">
        <v>5</v>
      </c>
      <c r="K337">
        <v>5</v>
      </c>
      <c r="L337">
        <v>6</v>
      </c>
      <c r="M337">
        <v>5</v>
      </c>
      <c r="N337">
        <v>6</v>
      </c>
      <c r="O337">
        <v>5</v>
      </c>
      <c r="P337">
        <v>5</v>
      </c>
      <c r="Q337">
        <v>6</v>
      </c>
    </row>
    <row r="338" spans="1:17" x14ac:dyDescent="0.45">
      <c r="A338" s="19">
        <v>46034.515277777777</v>
      </c>
      <c r="B338" t="s">
        <v>78</v>
      </c>
      <c r="C338" t="s">
        <v>73</v>
      </c>
      <c r="D338" t="s">
        <v>74</v>
      </c>
      <c r="E338" t="s">
        <v>77</v>
      </c>
      <c r="F338" t="s">
        <v>100</v>
      </c>
      <c r="G338" t="s">
        <v>101</v>
      </c>
      <c r="H338" t="s">
        <v>110</v>
      </c>
      <c r="I338">
        <v>7</v>
      </c>
      <c r="J338">
        <v>8</v>
      </c>
      <c r="K338">
        <v>7</v>
      </c>
      <c r="L338">
        <v>7</v>
      </c>
      <c r="M338">
        <v>6</v>
      </c>
      <c r="N338">
        <v>8</v>
      </c>
      <c r="O338">
        <v>6</v>
      </c>
      <c r="P338">
        <v>8</v>
      </c>
      <c r="Q338">
        <v>8</v>
      </c>
    </row>
    <row r="339" spans="1:17" x14ac:dyDescent="0.45">
      <c r="A339" s="19">
        <v>46034.515972222223</v>
      </c>
      <c r="B339" t="s">
        <v>78</v>
      </c>
      <c r="C339" t="s">
        <v>189</v>
      </c>
      <c r="D339" t="s">
        <v>74</v>
      </c>
      <c r="E339" t="s">
        <v>77</v>
      </c>
      <c r="F339" t="s">
        <v>100</v>
      </c>
      <c r="G339" t="s">
        <v>104</v>
      </c>
      <c r="H339" t="s">
        <v>110</v>
      </c>
      <c r="I339">
        <v>8</v>
      </c>
      <c r="J339">
        <v>8</v>
      </c>
      <c r="K339">
        <v>9</v>
      </c>
      <c r="L339">
        <v>9</v>
      </c>
      <c r="M339">
        <v>8</v>
      </c>
      <c r="N339">
        <v>9</v>
      </c>
      <c r="O339">
        <v>10</v>
      </c>
      <c r="P339">
        <v>9</v>
      </c>
      <c r="Q339">
        <v>10</v>
      </c>
    </row>
    <row r="340" spans="1:17" x14ac:dyDescent="0.45">
      <c r="A340" s="19">
        <v>46034.515972222223</v>
      </c>
      <c r="B340" t="s">
        <v>72</v>
      </c>
      <c r="C340" t="s">
        <v>189</v>
      </c>
      <c r="D340" t="s">
        <v>74</v>
      </c>
      <c r="E340" t="s">
        <v>77</v>
      </c>
      <c r="F340" t="s">
        <v>100</v>
      </c>
      <c r="G340" t="s">
        <v>104</v>
      </c>
      <c r="H340" t="s">
        <v>110</v>
      </c>
      <c r="I340">
        <v>7</v>
      </c>
      <c r="J340">
        <v>7</v>
      </c>
      <c r="K340">
        <v>8</v>
      </c>
      <c r="L340">
        <v>8</v>
      </c>
      <c r="M340">
        <v>6</v>
      </c>
      <c r="N340">
        <v>7</v>
      </c>
      <c r="O340">
        <v>6</v>
      </c>
      <c r="P340">
        <v>6</v>
      </c>
      <c r="Q340">
        <v>7</v>
      </c>
    </row>
    <row r="341" spans="1:17" x14ac:dyDescent="0.45">
      <c r="A341" s="19">
        <v>46034.591666666667</v>
      </c>
      <c r="B341" t="s">
        <v>78</v>
      </c>
      <c r="C341" t="s">
        <v>81</v>
      </c>
      <c r="D341" t="s">
        <v>74</v>
      </c>
      <c r="E341" t="s">
        <v>77</v>
      </c>
      <c r="F341" t="s">
        <v>100</v>
      </c>
      <c r="G341" t="s">
        <v>104</v>
      </c>
      <c r="H341" t="s">
        <v>110</v>
      </c>
      <c r="I341">
        <v>7</v>
      </c>
      <c r="J341">
        <v>8</v>
      </c>
      <c r="K341">
        <v>8</v>
      </c>
      <c r="L341">
        <v>8</v>
      </c>
      <c r="M341">
        <v>5</v>
      </c>
      <c r="N341">
        <v>8</v>
      </c>
      <c r="O341">
        <v>5</v>
      </c>
      <c r="P341">
        <v>8</v>
      </c>
      <c r="Q341">
        <v>8</v>
      </c>
    </row>
    <row r="342" spans="1:17" x14ac:dyDescent="0.45">
      <c r="A342" s="19">
        <v>46034.592361111114</v>
      </c>
      <c r="B342" t="s">
        <v>72</v>
      </c>
      <c r="C342" t="s">
        <v>189</v>
      </c>
      <c r="D342" t="s">
        <v>74</v>
      </c>
      <c r="E342" t="s">
        <v>77</v>
      </c>
      <c r="F342" t="s">
        <v>100</v>
      </c>
      <c r="G342" t="s">
        <v>194</v>
      </c>
      <c r="H342" t="s">
        <v>110</v>
      </c>
      <c r="I342">
        <v>8</v>
      </c>
      <c r="J342">
        <v>8</v>
      </c>
      <c r="K342">
        <v>8</v>
      </c>
      <c r="L342">
        <v>9</v>
      </c>
      <c r="M342">
        <v>8</v>
      </c>
      <c r="N342">
        <v>8</v>
      </c>
      <c r="O342">
        <v>7</v>
      </c>
      <c r="P342">
        <v>7</v>
      </c>
      <c r="Q342">
        <v>8</v>
      </c>
    </row>
    <row r="343" spans="1:17" x14ac:dyDescent="0.45">
      <c r="A343" s="19">
        <v>46034.593055555553</v>
      </c>
      <c r="B343" t="s">
        <v>78</v>
      </c>
      <c r="C343" t="s">
        <v>189</v>
      </c>
      <c r="D343" t="s">
        <v>74</v>
      </c>
      <c r="E343" t="s">
        <v>77</v>
      </c>
      <c r="F343" t="s">
        <v>100</v>
      </c>
      <c r="G343" t="s">
        <v>194</v>
      </c>
      <c r="H343" t="s">
        <v>110</v>
      </c>
      <c r="I343">
        <v>5</v>
      </c>
      <c r="J343">
        <v>5</v>
      </c>
      <c r="K343">
        <v>6</v>
      </c>
      <c r="L343">
        <v>7</v>
      </c>
      <c r="M343">
        <v>5</v>
      </c>
      <c r="N343">
        <v>8</v>
      </c>
      <c r="O343">
        <v>6</v>
      </c>
      <c r="P343">
        <v>6</v>
      </c>
      <c r="Q343">
        <v>7</v>
      </c>
    </row>
    <row r="344" spans="1:17" x14ac:dyDescent="0.45">
      <c r="A344" s="19">
        <v>46034.59375</v>
      </c>
      <c r="B344" t="s">
        <v>78</v>
      </c>
      <c r="C344" t="s">
        <v>81</v>
      </c>
      <c r="D344" t="s">
        <v>74</v>
      </c>
      <c r="E344" t="s">
        <v>77</v>
      </c>
      <c r="F344" t="s">
        <v>100</v>
      </c>
      <c r="G344" t="s">
        <v>104</v>
      </c>
      <c r="H344" t="s">
        <v>110</v>
      </c>
      <c r="I344">
        <v>7</v>
      </c>
      <c r="J344">
        <v>7</v>
      </c>
      <c r="K344">
        <v>8</v>
      </c>
      <c r="L344">
        <v>7</v>
      </c>
      <c r="M344">
        <v>8</v>
      </c>
      <c r="N344">
        <v>8</v>
      </c>
      <c r="O344">
        <v>8</v>
      </c>
      <c r="P344">
        <v>7</v>
      </c>
      <c r="Q344">
        <v>8</v>
      </c>
    </row>
    <row r="345" spans="1:17" x14ac:dyDescent="0.45">
      <c r="A345" s="19">
        <v>46034.594444444447</v>
      </c>
      <c r="B345" t="s">
        <v>78</v>
      </c>
      <c r="C345" t="s">
        <v>73</v>
      </c>
      <c r="D345" t="s">
        <v>74</v>
      </c>
      <c r="E345" t="s">
        <v>75</v>
      </c>
      <c r="F345" t="s">
        <v>100</v>
      </c>
      <c r="G345" t="s">
        <v>111</v>
      </c>
      <c r="H345" t="s">
        <v>105</v>
      </c>
      <c r="I345">
        <v>7</v>
      </c>
      <c r="J345">
        <v>7</v>
      </c>
      <c r="K345">
        <v>5</v>
      </c>
      <c r="L345">
        <v>8</v>
      </c>
      <c r="M345">
        <v>6</v>
      </c>
      <c r="N345">
        <v>5</v>
      </c>
      <c r="O345">
        <v>5</v>
      </c>
      <c r="P345">
        <v>6</v>
      </c>
      <c r="Q345">
        <v>5</v>
      </c>
    </row>
    <row r="346" spans="1:17" x14ac:dyDescent="0.45">
      <c r="A346" s="19">
        <v>46034.602777777778</v>
      </c>
      <c r="B346" t="s">
        <v>72</v>
      </c>
      <c r="C346" t="s">
        <v>81</v>
      </c>
      <c r="D346" t="s">
        <v>74</v>
      </c>
      <c r="E346" t="s">
        <v>77</v>
      </c>
      <c r="F346" t="s">
        <v>100</v>
      </c>
      <c r="G346" t="s">
        <v>104</v>
      </c>
      <c r="H346" t="s">
        <v>110</v>
      </c>
      <c r="I346">
        <v>7</v>
      </c>
      <c r="J346">
        <v>7</v>
      </c>
      <c r="K346">
        <v>5</v>
      </c>
      <c r="L346">
        <v>8</v>
      </c>
      <c r="M346">
        <v>7</v>
      </c>
      <c r="N346">
        <v>7</v>
      </c>
      <c r="O346">
        <v>6</v>
      </c>
      <c r="P346">
        <v>7</v>
      </c>
      <c r="Q346">
        <v>7</v>
      </c>
    </row>
    <row r="347" spans="1:17" x14ac:dyDescent="0.45">
      <c r="A347" s="19">
        <v>46034.603472222225</v>
      </c>
      <c r="B347" t="s">
        <v>72</v>
      </c>
      <c r="C347" t="s">
        <v>73</v>
      </c>
      <c r="D347" t="s">
        <v>74</v>
      </c>
      <c r="E347" t="s">
        <v>77</v>
      </c>
      <c r="F347" t="s">
        <v>100</v>
      </c>
      <c r="G347" t="s">
        <v>101</v>
      </c>
      <c r="H347" t="s">
        <v>102</v>
      </c>
      <c r="I347">
        <v>9</v>
      </c>
      <c r="J347">
        <v>8</v>
      </c>
      <c r="K347">
        <v>8</v>
      </c>
      <c r="L347">
        <v>9</v>
      </c>
      <c r="M347">
        <v>7</v>
      </c>
      <c r="N347">
        <v>8</v>
      </c>
      <c r="O347">
        <v>7</v>
      </c>
      <c r="P347">
        <v>7</v>
      </c>
      <c r="Q347">
        <v>8</v>
      </c>
    </row>
    <row r="348" spans="1:17" x14ac:dyDescent="0.45">
      <c r="A348" s="19">
        <v>46034.606249999997</v>
      </c>
      <c r="B348" t="s">
        <v>72</v>
      </c>
      <c r="C348" t="s">
        <v>81</v>
      </c>
      <c r="D348" t="s">
        <v>74</v>
      </c>
      <c r="E348" t="s">
        <v>77</v>
      </c>
      <c r="F348" t="s">
        <v>100</v>
      </c>
      <c r="G348" t="s">
        <v>196</v>
      </c>
      <c r="H348" t="s">
        <v>110</v>
      </c>
      <c r="I348">
        <v>8</v>
      </c>
      <c r="J348">
        <v>8</v>
      </c>
      <c r="K348">
        <v>7</v>
      </c>
      <c r="L348">
        <v>8</v>
      </c>
      <c r="M348">
        <v>6</v>
      </c>
      <c r="N348">
        <v>8</v>
      </c>
      <c r="O348">
        <v>6</v>
      </c>
      <c r="P348">
        <v>6</v>
      </c>
      <c r="Q348">
        <v>8</v>
      </c>
    </row>
    <row r="349" spans="1:17" x14ac:dyDescent="0.45">
      <c r="A349" s="19">
        <v>46034.652083333334</v>
      </c>
      <c r="B349" t="s">
        <v>72</v>
      </c>
      <c r="C349" t="s">
        <v>81</v>
      </c>
      <c r="D349" t="s">
        <v>74</v>
      </c>
      <c r="E349" t="s">
        <v>77</v>
      </c>
      <c r="F349" t="s">
        <v>100</v>
      </c>
      <c r="G349" t="s">
        <v>196</v>
      </c>
      <c r="H349" t="s">
        <v>110</v>
      </c>
      <c r="I349">
        <v>8</v>
      </c>
      <c r="J349">
        <v>8</v>
      </c>
      <c r="K349">
        <v>7</v>
      </c>
      <c r="L349">
        <v>7</v>
      </c>
      <c r="M349">
        <v>6</v>
      </c>
      <c r="N349">
        <v>7</v>
      </c>
      <c r="O349">
        <v>6</v>
      </c>
      <c r="P349">
        <v>6</v>
      </c>
      <c r="Q349">
        <v>7</v>
      </c>
    </row>
    <row r="350" spans="1:17" x14ac:dyDescent="0.45">
      <c r="A350" s="19">
        <v>46034.654166666667</v>
      </c>
      <c r="B350" t="s">
        <v>72</v>
      </c>
      <c r="C350" t="s">
        <v>81</v>
      </c>
      <c r="D350" t="s">
        <v>74</v>
      </c>
      <c r="E350" t="s">
        <v>77</v>
      </c>
      <c r="F350" t="s">
        <v>100</v>
      </c>
      <c r="G350" t="s">
        <v>196</v>
      </c>
      <c r="H350" t="s">
        <v>110</v>
      </c>
      <c r="I350">
        <v>4</v>
      </c>
      <c r="J350">
        <v>4</v>
      </c>
      <c r="K350">
        <v>5</v>
      </c>
      <c r="L350">
        <v>7</v>
      </c>
      <c r="M350">
        <v>5</v>
      </c>
      <c r="N350">
        <v>6</v>
      </c>
      <c r="O350">
        <v>6</v>
      </c>
      <c r="P350">
        <v>6</v>
      </c>
      <c r="Q350">
        <v>6</v>
      </c>
    </row>
    <row r="351" spans="1:17" x14ac:dyDescent="0.45">
      <c r="A351" s="19">
        <v>46034.654166666667</v>
      </c>
      <c r="B351" t="s">
        <v>72</v>
      </c>
      <c r="C351" t="s">
        <v>81</v>
      </c>
      <c r="D351" t="s">
        <v>74</v>
      </c>
      <c r="E351" t="s">
        <v>77</v>
      </c>
      <c r="F351" t="s">
        <v>100</v>
      </c>
      <c r="G351" t="s">
        <v>101</v>
      </c>
      <c r="H351" t="s">
        <v>110</v>
      </c>
      <c r="I351">
        <v>7</v>
      </c>
      <c r="J351">
        <v>7</v>
      </c>
      <c r="K351">
        <v>8</v>
      </c>
      <c r="L351">
        <v>8</v>
      </c>
      <c r="M351">
        <v>7</v>
      </c>
      <c r="N351">
        <v>7</v>
      </c>
      <c r="O351">
        <v>8</v>
      </c>
      <c r="P351">
        <v>7</v>
      </c>
      <c r="Q351">
        <v>8</v>
      </c>
    </row>
    <row r="352" spans="1:17" x14ac:dyDescent="0.45">
      <c r="A352" s="19">
        <v>46034.654861111114</v>
      </c>
      <c r="B352" t="s">
        <v>72</v>
      </c>
      <c r="C352" t="s">
        <v>73</v>
      </c>
      <c r="D352" t="s">
        <v>74</v>
      </c>
      <c r="E352" t="s">
        <v>77</v>
      </c>
      <c r="F352" t="s">
        <v>100</v>
      </c>
      <c r="G352" t="s">
        <v>109</v>
      </c>
      <c r="H352" t="s">
        <v>105</v>
      </c>
      <c r="I352">
        <v>8</v>
      </c>
      <c r="J352">
        <v>8</v>
      </c>
      <c r="K352">
        <v>6</v>
      </c>
      <c r="L352">
        <v>7</v>
      </c>
      <c r="M352">
        <v>6</v>
      </c>
      <c r="N352">
        <v>7</v>
      </c>
      <c r="O352">
        <v>5</v>
      </c>
      <c r="P352">
        <v>7</v>
      </c>
      <c r="Q352">
        <v>7</v>
      </c>
    </row>
    <row r="353" spans="1:17" x14ac:dyDescent="0.45">
      <c r="A353" s="19">
        <v>46034.7</v>
      </c>
      <c r="B353" t="s">
        <v>72</v>
      </c>
      <c r="C353" t="s">
        <v>73</v>
      </c>
      <c r="D353" t="s">
        <v>74</v>
      </c>
      <c r="E353" t="s">
        <v>77</v>
      </c>
      <c r="F353" t="s">
        <v>100</v>
      </c>
      <c r="G353" t="s">
        <v>101</v>
      </c>
      <c r="H353" t="s">
        <v>102</v>
      </c>
      <c r="I353">
        <v>6</v>
      </c>
      <c r="J353">
        <v>6</v>
      </c>
      <c r="K353">
        <v>8</v>
      </c>
      <c r="L353">
        <v>7</v>
      </c>
      <c r="M353">
        <v>7</v>
      </c>
      <c r="N353">
        <v>7</v>
      </c>
      <c r="O353">
        <v>5</v>
      </c>
      <c r="P353">
        <v>6</v>
      </c>
      <c r="Q353">
        <v>7</v>
      </c>
    </row>
    <row r="354" spans="1:17" x14ac:dyDescent="0.45">
      <c r="A354" s="19">
        <v>46034.700694444444</v>
      </c>
      <c r="B354" t="s">
        <v>78</v>
      </c>
      <c r="C354" t="s">
        <v>79</v>
      </c>
      <c r="D354" t="s">
        <v>74</v>
      </c>
      <c r="E354" t="s">
        <v>77</v>
      </c>
      <c r="F354" t="s">
        <v>100</v>
      </c>
      <c r="G354" t="s">
        <v>107</v>
      </c>
      <c r="H354" t="s">
        <v>195</v>
      </c>
      <c r="I354">
        <v>7</v>
      </c>
      <c r="J354">
        <v>7</v>
      </c>
      <c r="K354">
        <v>8</v>
      </c>
      <c r="L354">
        <v>8</v>
      </c>
      <c r="M354">
        <v>6</v>
      </c>
      <c r="N354">
        <v>7</v>
      </c>
      <c r="O354">
        <v>5</v>
      </c>
      <c r="P354">
        <v>7</v>
      </c>
      <c r="Q354">
        <v>7</v>
      </c>
    </row>
    <row r="355" spans="1:17" x14ac:dyDescent="0.45">
      <c r="A355" s="19">
        <v>46034.701388888891</v>
      </c>
      <c r="B355" t="s">
        <v>72</v>
      </c>
      <c r="C355" t="s">
        <v>189</v>
      </c>
      <c r="D355" t="s">
        <v>74</v>
      </c>
      <c r="E355" t="s">
        <v>77</v>
      </c>
      <c r="F355" t="s">
        <v>100</v>
      </c>
      <c r="G355" t="s">
        <v>104</v>
      </c>
      <c r="H355" t="s">
        <v>110</v>
      </c>
      <c r="I355">
        <v>9</v>
      </c>
      <c r="J355">
        <v>9</v>
      </c>
      <c r="K355">
        <v>10</v>
      </c>
      <c r="L355">
        <v>10</v>
      </c>
      <c r="M355">
        <v>9</v>
      </c>
      <c r="N355">
        <v>10</v>
      </c>
      <c r="O355">
        <v>8</v>
      </c>
      <c r="P355">
        <v>8</v>
      </c>
      <c r="Q355">
        <v>9</v>
      </c>
    </row>
    <row r="356" spans="1:17" x14ac:dyDescent="0.45">
      <c r="A356" s="19">
        <v>46034.720138888886</v>
      </c>
      <c r="B356" t="s">
        <v>78</v>
      </c>
      <c r="C356" t="s">
        <v>189</v>
      </c>
      <c r="D356" t="s">
        <v>74</v>
      </c>
      <c r="E356" t="s">
        <v>77</v>
      </c>
      <c r="F356" t="s">
        <v>100</v>
      </c>
      <c r="G356" t="s">
        <v>104</v>
      </c>
      <c r="H356" t="s">
        <v>110</v>
      </c>
      <c r="I356">
        <v>7</v>
      </c>
      <c r="J356">
        <v>8</v>
      </c>
      <c r="K356">
        <v>8</v>
      </c>
      <c r="L356">
        <v>9</v>
      </c>
      <c r="M356">
        <v>8</v>
      </c>
      <c r="N356">
        <v>10</v>
      </c>
      <c r="O356">
        <v>8</v>
      </c>
      <c r="P356">
        <v>8</v>
      </c>
      <c r="Q356">
        <v>9</v>
      </c>
    </row>
    <row r="357" spans="1:17" x14ac:dyDescent="0.45">
      <c r="A357" s="19">
        <v>46034.753472222219</v>
      </c>
      <c r="B357" t="s">
        <v>78</v>
      </c>
      <c r="C357" t="s">
        <v>189</v>
      </c>
      <c r="D357" t="s">
        <v>74</v>
      </c>
      <c r="E357" t="s">
        <v>77</v>
      </c>
      <c r="F357" t="s">
        <v>100</v>
      </c>
      <c r="G357" t="s">
        <v>104</v>
      </c>
      <c r="H357" t="s">
        <v>110</v>
      </c>
      <c r="I357">
        <v>7</v>
      </c>
      <c r="J357">
        <v>7</v>
      </c>
      <c r="K357">
        <v>8</v>
      </c>
      <c r="L357">
        <v>10</v>
      </c>
      <c r="M357">
        <v>9</v>
      </c>
      <c r="N357">
        <v>10</v>
      </c>
      <c r="O357">
        <v>8</v>
      </c>
      <c r="P357">
        <v>8</v>
      </c>
      <c r="Q357">
        <v>10</v>
      </c>
    </row>
    <row r="358" spans="1:17" x14ac:dyDescent="0.45">
      <c r="A358" s="19">
        <v>46034.769444444442</v>
      </c>
      <c r="B358" t="s">
        <v>78</v>
      </c>
      <c r="C358" t="s">
        <v>81</v>
      </c>
      <c r="D358" t="s">
        <v>74</v>
      </c>
      <c r="E358" t="s">
        <v>77</v>
      </c>
      <c r="F358" t="s">
        <v>100</v>
      </c>
      <c r="G358" t="s">
        <v>101</v>
      </c>
      <c r="H358" t="s">
        <v>110</v>
      </c>
      <c r="I358">
        <v>9</v>
      </c>
      <c r="J358">
        <v>9</v>
      </c>
      <c r="K358">
        <v>8</v>
      </c>
      <c r="L358">
        <v>9</v>
      </c>
      <c r="M358">
        <v>8</v>
      </c>
      <c r="N358">
        <v>8</v>
      </c>
      <c r="O358">
        <v>7</v>
      </c>
      <c r="P358">
        <v>7</v>
      </c>
      <c r="Q358">
        <v>8</v>
      </c>
    </row>
    <row r="359" spans="1:17" x14ac:dyDescent="0.45">
      <c r="A359" s="19">
        <v>46034.770138888889</v>
      </c>
      <c r="B359" t="s">
        <v>72</v>
      </c>
      <c r="C359" t="s">
        <v>189</v>
      </c>
      <c r="D359" t="s">
        <v>74</v>
      </c>
      <c r="E359" t="s">
        <v>77</v>
      </c>
      <c r="F359" t="s">
        <v>100</v>
      </c>
      <c r="G359" t="s">
        <v>104</v>
      </c>
      <c r="H359" t="s">
        <v>110</v>
      </c>
      <c r="I359">
        <v>7</v>
      </c>
      <c r="J359">
        <v>7</v>
      </c>
      <c r="K359">
        <v>7</v>
      </c>
      <c r="L359">
        <v>8</v>
      </c>
      <c r="M359">
        <v>7</v>
      </c>
      <c r="N359">
        <v>9</v>
      </c>
      <c r="O359">
        <v>8</v>
      </c>
      <c r="P359">
        <v>8</v>
      </c>
      <c r="Q359">
        <v>8</v>
      </c>
    </row>
    <row r="360" spans="1:17" x14ac:dyDescent="0.45">
      <c r="A360" s="19">
        <v>46034.770833333336</v>
      </c>
      <c r="B360" t="s">
        <v>72</v>
      </c>
      <c r="C360" t="s">
        <v>81</v>
      </c>
      <c r="D360" t="s">
        <v>74</v>
      </c>
      <c r="E360" t="s">
        <v>77</v>
      </c>
      <c r="F360" t="s">
        <v>100</v>
      </c>
      <c r="G360" t="s">
        <v>196</v>
      </c>
      <c r="H360" t="s">
        <v>102</v>
      </c>
      <c r="I360">
        <v>4</v>
      </c>
      <c r="J360">
        <v>5</v>
      </c>
      <c r="K360">
        <v>6</v>
      </c>
      <c r="L360">
        <v>7</v>
      </c>
      <c r="M360">
        <v>7</v>
      </c>
      <c r="N360">
        <v>6</v>
      </c>
      <c r="O360">
        <v>4</v>
      </c>
      <c r="P360">
        <v>6</v>
      </c>
      <c r="Q360">
        <v>7</v>
      </c>
    </row>
    <row r="361" spans="1:17" x14ac:dyDescent="0.45">
      <c r="A361" s="19">
        <v>46034.893750000003</v>
      </c>
      <c r="B361" t="s">
        <v>78</v>
      </c>
      <c r="C361" t="s">
        <v>81</v>
      </c>
      <c r="D361" t="s">
        <v>74</v>
      </c>
      <c r="E361" t="s">
        <v>77</v>
      </c>
      <c r="F361" t="s">
        <v>100</v>
      </c>
      <c r="G361" t="s">
        <v>196</v>
      </c>
      <c r="H361" t="s">
        <v>110</v>
      </c>
      <c r="I361">
        <v>9</v>
      </c>
      <c r="J361">
        <v>8</v>
      </c>
      <c r="K361">
        <v>8</v>
      </c>
      <c r="L361">
        <v>8</v>
      </c>
      <c r="M361">
        <v>7</v>
      </c>
      <c r="N361">
        <v>7</v>
      </c>
      <c r="O361">
        <v>6</v>
      </c>
      <c r="P361">
        <v>7</v>
      </c>
      <c r="Q361">
        <v>8</v>
      </c>
    </row>
    <row r="362" spans="1:17" x14ac:dyDescent="0.45">
      <c r="A362" s="19">
        <v>46034.894444444442</v>
      </c>
      <c r="B362" t="s">
        <v>72</v>
      </c>
      <c r="C362" t="s">
        <v>189</v>
      </c>
      <c r="D362" t="s">
        <v>74</v>
      </c>
      <c r="E362" t="s">
        <v>77</v>
      </c>
      <c r="F362" t="s">
        <v>100</v>
      </c>
      <c r="G362" t="s">
        <v>194</v>
      </c>
      <c r="H362" t="s">
        <v>110</v>
      </c>
      <c r="I362">
        <v>7</v>
      </c>
      <c r="J362">
        <v>7</v>
      </c>
      <c r="K362">
        <v>8</v>
      </c>
      <c r="L362">
        <v>9</v>
      </c>
      <c r="M362">
        <v>7</v>
      </c>
      <c r="N362">
        <v>10</v>
      </c>
      <c r="O362">
        <v>8</v>
      </c>
      <c r="P362">
        <v>8</v>
      </c>
      <c r="Q362">
        <v>10</v>
      </c>
    </row>
    <row r="363" spans="1:17" x14ac:dyDescent="0.45">
      <c r="A363" s="19">
        <v>46034.895138888889</v>
      </c>
      <c r="B363" t="s">
        <v>72</v>
      </c>
      <c r="C363" t="s">
        <v>189</v>
      </c>
      <c r="D363" t="s">
        <v>74</v>
      </c>
      <c r="E363" t="s">
        <v>77</v>
      </c>
      <c r="F363" t="s">
        <v>100</v>
      </c>
      <c r="G363" t="s">
        <v>104</v>
      </c>
      <c r="H363" t="s">
        <v>110</v>
      </c>
      <c r="I363">
        <v>3</v>
      </c>
      <c r="J363">
        <v>3</v>
      </c>
      <c r="K363">
        <v>5</v>
      </c>
      <c r="L363">
        <v>6</v>
      </c>
      <c r="M363">
        <v>5</v>
      </c>
      <c r="N363">
        <v>6</v>
      </c>
      <c r="O363">
        <v>4</v>
      </c>
      <c r="P363">
        <v>6</v>
      </c>
      <c r="Q363">
        <v>6</v>
      </c>
    </row>
    <row r="364" spans="1:17" x14ac:dyDescent="0.45">
      <c r="A364" s="19">
        <v>46034.9</v>
      </c>
      <c r="B364" t="s">
        <v>78</v>
      </c>
      <c r="C364" t="s">
        <v>81</v>
      </c>
      <c r="D364" t="s">
        <v>74</v>
      </c>
      <c r="E364" t="s">
        <v>77</v>
      </c>
      <c r="F364" t="s">
        <v>100</v>
      </c>
      <c r="G364" t="s">
        <v>101</v>
      </c>
      <c r="H364" t="s">
        <v>102</v>
      </c>
      <c r="I364">
        <v>8</v>
      </c>
      <c r="J364">
        <v>8</v>
      </c>
      <c r="K364">
        <v>5</v>
      </c>
      <c r="L364">
        <v>7</v>
      </c>
      <c r="M364">
        <v>5</v>
      </c>
      <c r="N364">
        <v>8</v>
      </c>
      <c r="O364">
        <v>5</v>
      </c>
      <c r="P364">
        <v>7</v>
      </c>
      <c r="Q364">
        <v>8</v>
      </c>
    </row>
    <row r="365" spans="1:17" x14ac:dyDescent="0.45">
      <c r="A365" s="19">
        <v>46034.900694444441</v>
      </c>
      <c r="B365" t="s">
        <v>78</v>
      </c>
      <c r="C365" t="s">
        <v>73</v>
      </c>
      <c r="D365" t="s">
        <v>74</v>
      </c>
      <c r="E365" t="s">
        <v>77</v>
      </c>
      <c r="F365" t="s">
        <v>100</v>
      </c>
      <c r="G365" t="s">
        <v>196</v>
      </c>
      <c r="H365" t="s">
        <v>102</v>
      </c>
      <c r="I365">
        <v>4</v>
      </c>
      <c r="J365">
        <v>5</v>
      </c>
      <c r="K365">
        <v>5</v>
      </c>
      <c r="L365">
        <v>7</v>
      </c>
      <c r="M365">
        <v>5</v>
      </c>
      <c r="N365">
        <v>7</v>
      </c>
      <c r="O365">
        <v>5</v>
      </c>
      <c r="P365">
        <v>6</v>
      </c>
      <c r="Q365">
        <v>7</v>
      </c>
    </row>
    <row r="366" spans="1:17" x14ac:dyDescent="0.45">
      <c r="A366" s="19">
        <v>46034.901388888888</v>
      </c>
      <c r="B366" t="s">
        <v>72</v>
      </c>
      <c r="C366" t="s">
        <v>81</v>
      </c>
      <c r="D366" t="s">
        <v>74</v>
      </c>
      <c r="E366" t="s">
        <v>77</v>
      </c>
      <c r="F366" t="s">
        <v>100</v>
      </c>
      <c r="G366" t="s">
        <v>109</v>
      </c>
      <c r="H366" t="s">
        <v>110</v>
      </c>
      <c r="I366">
        <v>9</v>
      </c>
      <c r="J366">
        <v>9</v>
      </c>
      <c r="K366">
        <v>8</v>
      </c>
      <c r="L366">
        <v>9</v>
      </c>
      <c r="M366">
        <v>9</v>
      </c>
      <c r="N366">
        <v>7</v>
      </c>
      <c r="O366">
        <v>7</v>
      </c>
      <c r="P366">
        <v>7</v>
      </c>
      <c r="Q366">
        <v>7</v>
      </c>
    </row>
    <row r="367" spans="1:17" x14ac:dyDescent="0.45">
      <c r="A367" s="19">
        <v>46034.90347222222</v>
      </c>
      <c r="B367" t="s">
        <v>78</v>
      </c>
      <c r="C367" t="s">
        <v>73</v>
      </c>
      <c r="D367" t="s">
        <v>74</v>
      </c>
      <c r="E367" t="s">
        <v>75</v>
      </c>
      <c r="F367" t="s">
        <v>100</v>
      </c>
      <c r="G367" t="s">
        <v>111</v>
      </c>
      <c r="H367" t="s">
        <v>102</v>
      </c>
      <c r="I367">
        <v>7</v>
      </c>
      <c r="J367">
        <v>8</v>
      </c>
      <c r="K367">
        <v>8</v>
      </c>
      <c r="L367">
        <v>8</v>
      </c>
      <c r="M367">
        <v>5</v>
      </c>
      <c r="N367">
        <v>6</v>
      </c>
      <c r="O367">
        <v>5</v>
      </c>
      <c r="P367">
        <v>6</v>
      </c>
      <c r="Q367">
        <v>6</v>
      </c>
    </row>
    <row r="368" spans="1:17" x14ac:dyDescent="0.45">
      <c r="A368" s="19">
        <v>46034.904861111114</v>
      </c>
      <c r="B368" t="s">
        <v>72</v>
      </c>
      <c r="C368" t="s">
        <v>189</v>
      </c>
      <c r="D368" t="s">
        <v>74</v>
      </c>
      <c r="E368" t="s">
        <v>77</v>
      </c>
      <c r="F368" t="s">
        <v>100</v>
      </c>
      <c r="G368" t="s">
        <v>104</v>
      </c>
      <c r="H368" t="s">
        <v>110</v>
      </c>
      <c r="I368">
        <v>8</v>
      </c>
      <c r="J368">
        <v>9</v>
      </c>
      <c r="K368">
        <v>8</v>
      </c>
      <c r="L368">
        <v>8</v>
      </c>
      <c r="M368">
        <v>9</v>
      </c>
      <c r="N368">
        <v>10</v>
      </c>
      <c r="O368">
        <v>10</v>
      </c>
      <c r="P368">
        <v>9</v>
      </c>
      <c r="Q368">
        <v>10</v>
      </c>
    </row>
    <row r="369" spans="1:17" x14ac:dyDescent="0.45">
      <c r="A369" s="19">
        <v>46034.904861111114</v>
      </c>
      <c r="B369" t="s">
        <v>72</v>
      </c>
      <c r="C369" t="s">
        <v>81</v>
      </c>
      <c r="D369" t="s">
        <v>74</v>
      </c>
      <c r="E369" t="s">
        <v>75</v>
      </c>
      <c r="F369" t="s">
        <v>100</v>
      </c>
      <c r="G369" t="s">
        <v>101</v>
      </c>
      <c r="H369" t="s">
        <v>105</v>
      </c>
      <c r="I369">
        <v>7</v>
      </c>
      <c r="J369">
        <v>7</v>
      </c>
      <c r="K369">
        <v>8</v>
      </c>
      <c r="L369">
        <v>8</v>
      </c>
      <c r="M369">
        <v>6</v>
      </c>
      <c r="N369">
        <v>8</v>
      </c>
      <c r="O369">
        <v>6</v>
      </c>
      <c r="P369">
        <v>7</v>
      </c>
      <c r="Q369">
        <v>8</v>
      </c>
    </row>
    <row r="370" spans="1:17" x14ac:dyDescent="0.45">
      <c r="A370" s="19">
        <v>46034.907638888886</v>
      </c>
      <c r="B370" t="s">
        <v>78</v>
      </c>
      <c r="C370" t="s">
        <v>81</v>
      </c>
      <c r="D370" t="s">
        <v>74</v>
      </c>
      <c r="E370" t="s">
        <v>77</v>
      </c>
      <c r="F370" t="s">
        <v>100</v>
      </c>
      <c r="G370" t="s">
        <v>104</v>
      </c>
      <c r="H370" t="s">
        <v>110</v>
      </c>
      <c r="I370">
        <v>6</v>
      </c>
      <c r="J370">
        <v>6</v>
      </c>
      <c r="K370">
        <v>8</v>
      </c>
      <c r="L370">
        <v>9</v>
      </c>
      <c r="M370">
        <v>8</v>
      </c>
      <c r="N370">
        <v>8</v>
      </c>
      <c r="O370">
        <v>5</v>
      </c>
      <c r="P370">
        <v>7</v>
      </c>
      <c r="Q370">
        <v>8</v>
      </c>
    </row>
    <row r="371" spans="1:17" x14ac:dyDescent="0.45">
      <c r="A371" s="19">
        <v>46034.908333333333</v>
      </c>
      <c r="B371" t="s">
        <v>78</v>
      </c>
      <c r="C371" t="s">
        <v>189</v>
      </c>
      <c r="D371" t="s">
        <v>74</v>
      </c>
      <c r="E371" t="s">
        <v>77</v>
      </c>
      <c r="F371" t="s">
        <v>100</v>
      </c>
      <c r="G371" t="s">
        <v>196</v>
      </c>
      <c r="H371" t="s">
        <v>110</v>
      </c>
      <c r="I371">
        <v>6</v>
      </c>
      <c r="J371">
        <v>7</v>
      </c>
      <c r="K371">
        <v>7</v>
      </c>
      <c r="L371">
        <v>9</v>
      </c>
      <c r="M371">
        <v>7</v>
      </c>
      <c r="N371">
        <v>9</v>
      </c>
      <c r="O371">
        <v>9</v>
      </c>
      <c r="P371">
        <v>9</v>
      </c>
      <c r="Q371">
        <v>9</v>
      </c>
    </row>
    <row r="372" spans="1:17" x14ac:dyDescent="0.45">
      <c r="A372" s="19">
        <v>46034.90902777778</v>
      </c>
      <c r="B372" t="s">
        <v>78</v>
      </c>
      <c r="C372" t="s">
        <v>79</v>
      </c>
      <c r="D372" t="s">
        <v>74</v>
      </c>
      <c r="E372" t="s">
        <v>75</v>
      </c>
      <c r="F372" t="s">
        <v>100</v>
      </c>
      <c r="G372" t="s">
        <v>111</v>
      </c>
      <c r="H372" t="s">
        <v>106</v>
      </c>
      <c r="I372">
        <v>4</v>
      </c>
      <c r="J372">
        <v>4</v>
      </c>
      <c r="K372">
        <v>5</v>
      </c>
      <c r="L372">
        <v>5</v>
      </c>
      <c r="M372">
        <v>5</v>
      </c>
      <c r="N372">
        <v>4</v>
      </c>
      <c r="O372">
        <v>5</v>
      </c>
      <c r="P372">
        <v>6</v>
      </c>
      <c r="Q372">
        <v>5</v>
      </c>
    </row>
    <row r="373" spans="1:17" x14ac:dyDescent="0.45">
      <c r="A373" s="19">
        <v>46034.909722222219</v>
      </c>
      <c r="B373" t="s">
        <v>72</v>
      </c>
      <c r="C373" t="s">
        <v>73</v>
      </c>
      <c r="D373" t="s">
        <v>74</v>
      </c>
      <c r="E373" t="s">
        <v>77</v>
      </c>
      <c r="F373" t="s">
        <v>100</v>
      </c>
      <c r="G373" t="s">
        <v>109</v>
      </c>
      <c r="H373" t="s">
        <v>105</v>
      </c>
      <c r="I373">
        <v>6</v>
      </c>
      <c r="J373">
        <v>6</v>
      </c>
      <c r="K373">
        <v>8</v>
      </c>
      <c r="L373">
        <v>8</v>
      </c>
      <c r="M373">
        <v>6</v>
      </c>
      <c r="N373">
        <v>7</v>
      </c>
      <c r="O373">
        <v>5</v>
      </c>
      <c r="P373">
        <v>6</v>
      </c>
      <c r="Q373">
        <v>6</v>
      </c>
    </row>
    <row r="374" spans="1:17" x14ac:dyDescent="0.45">
      <c r="A374" s="19">
        <v>46034.910416666666</v>
      </c>
      <c r="B374" t="s">
        <v>72</v>
      </c>
      <c r="C374" t="s">
        <v>73</v>
      </c>
      <c r="D374" t="s">
        <v>74</v>
      </c>
      <c r="E374" t="s">
        <v>77</v>
      </c>
      <c r="F374" t="s">
        <v>100</v>
      </c>
      <c r="G374" t="s">
        <v>107</v>
      </c>
      <c r="H374" t="s">
        <v>105</v>
      </c>
      <c r="I374">
        <v>8</v>
      </c>
      <c r="J374">
        <v>8</v>
      </c>
      <c r="K374">
        <v>9</v>
      </c>
      <c r="L374">
        <v>9</v>
      </c>
      <c r="M374">
        <v>5</v>
      </c>
      <c r="N374">
        <v>5</v>
      </c>
      <c r="O374">
        <v>5</v>
      </c>
      <c r="P374">
        <v>6</v>
      </c>
      <c r="Q374">
        <v>5</v>
      </c>
    </row>
    <row r="375" spans="1:17" x14ac:dyDescent="0.45">
      <c r="A375" s="19">
        <v>46034.940972222219</v>
      </c>
      <c r="B375" t="s">
        <v>72</v>
      </c>
      <c r="C375" t="s">
        <v>73</v>
      </c>
      <c r="D375" t="s">
        <v>74</v>
      </c>
      <c r="E375" t="s">
        <v>77</v>
      </c>
      <c r="F375" t="s">
        <v>100</v>
      </c>
      <c r="G375" t="s">
        <v>109</v>
      </c>
      <c r="H375" t="s">
        <v>102</v>
      </c>
      <c r="I375">
        <v>6</v>
      </c>
      <c r="J375">
        <v>6</v>
      </c>
      <c r="K375">
        <v>7</v>
      </c>
      <c r="L375">
        <v>7</v>
      </c>
      <c r="M375">
        <v>6</v>
      </c>
      <c r="N375">
        <v>6</v>
      </c>
      <c r="O375">
        <v>6</v>
      </c>
      <c r="P375">
        <v>6</v>
      </c>
      <c r="Q375">
        <v>6</v>
      </c>
    </row>
    <row r="376" spans="1:17" x14ac:dyDescent="0.45">
      <c r="A376" s="19">
        <v>46034.96875</v>
      </c>
      <c r="B376" t="s">
        <v>72</v>
      </c>
      <c r="C376" t="s">
        <v>73</v>
      </c>
      <c r="D376" t="s">
        <v>74</v>
      </c>
      <c r="E376" t="s">
        <v>77</v>
      </c>
      <c r="F376" t="s">
        <v>100</v>
      </c>
      <c r="G376" t="s">
        <v>111</v>
      </c>
      <c r="H376" t="s">
        <v>102</v>
      </c>
      <c r="I376">
        <v>8</v>
      </c>
      <c r="J376">
        <v>8</v>
      </c>
      <c r="K376">
        <v>8</v>
      </c>
      <c r="L376">
        <v>8</v>
      </c>
      <c r="M376">
        <v>7</v>
      </c>
      <c r="N376">
        <v>6</v>
      </c>
      <c r="O376">
        <v>6</v>
      </c>
      <c r="P376">
        <v>5</v>
      </c>
      <c r="Q376">
        <v>7</v>
      </c>
    </row>
    <row r="377" spans="1:17" x14ac:dyDescent="0.45">
      <c r="A377" s="19">
        <v>46035.28125</v>
      </c>
      <c r="B377" t="s">
        <v>72</v>
      </c>
      <c r="C377" t="s">
        <v>81</v>
      </c>
      <c r="D377" t="s">
        <v>74</v>
      </c>
      <c r="E377" t="s">
        <v>77</v>
      </c>
      <c r="F377" t="s">
        <v>100</v>
      </c>
      <c r="G377" t="s">
        <v>196</v>
      </c>
      <c r="H377" t="s">
        <v>110</v>
      </c>
      <c r="I377">
        <v>6</v>
      </c>
      <c r="J377">
        <v>6</v>
      </c>
      <c r="K377">
        <v>5</v>
      </c>
      <c r="L377">
        <v>7</v>
      </c>
      <c r="M377">
        <v>6</v>
      </c>
      <c r="N377">
        <v>7</v>
      </c>
      <c r="O377">
        <v>5</v>
      </c>
      <c r="P377">
        <v>6</v>
      </c>
      <c r="Q377">
        <v>7</v>
      </c>
    </row>
    <row r="378" spans="1:17" x14ac:dyDescent="0.45">
      <c r="A378" s="19">
        <v>46035.343055555553</v>
      </c>
      <c r="B378" t="s">
        <v>78</v>
      </c>
      <c r="C378" t="s">
        <v>81</v>
      </c>
      <c r="D378" t="s">
        <v>74</v>
      </c>
      <c r="E378" t="s">
        <v>77</v>
      </c>
      <c r="F378" t="s">
        <v>100</v>
      </c>
      <c r="G378" t="s">
        <v>104</v>
      </c>
      <c r="H378" t="s">
        <v>110</v>
      </c>
      <c r="I378">
        <v>7</v>
      </c>
      <c r="J378">
        <v>8</v>
      </c>
      <c r="K378">
        <v>7</v>
      </c>
      <c r="L378">
        <v>7</v>
      </c>
      <c r="M378">
        <v>8</v>
      </c>
      <c r="N378">
        <v>9</v>
      </c>
      <c r="O378">
        <v>7</v>
      </c>
      <c r="P378">
        <v>7</v>
      </c>
      <c r="Q378">
        <v>8</v>
      </c>
    </row>
    <row r="379" spans="1:17" x14ac:dyDescent="0.45">
      <c r="A379" s="19">
        <v>46035.34375</v>
      </c>
      <c r="B379" t="s">
        <v>72</v>
      </c>
      <c r="C379" t="s">
        <v>189</v>
      </c>
      <c r="D379" t="s">
        <v>74</v>
      </c>
      <c r="E379" t="s">
        <v>77</v>
      </c>
      <c r="F379" t="s">
        <v>100</v>
      </c>
      <c r="G379" t="s">
        <v>196</v>
      </c>
      <c r="H379" t="s">
        <v>110</v>
      </c>
      <c r="I379">
        <v>6</v>
      </c>
      <c r="J379">
        <v>7</v>
      </c>
      <c r="K379">
        <v>5</v>
      </c>
      <c r="L379">
        <v>8</v>
      </c>
      <c r="M379">
        <v>7</v>
      </c>
      <c r="N379">
        <v>7</v>
      </c>
      <c r="O379">
        <v>7</v>
      </c>
      <c r="P379">
        <v>7</v>
      </c>
      <c r="Q379">
        <v>8</v>
      </c>
    </row>
    <row r="380" spans="1:17" x14ac:dyDescent="0.45">
      <c r="A380" s="19">
        <v>46035.345138888886</v>
      </c>
      <c r="B380" t="s">
        <v>72</v>
      </c>
      <c r="C380" t="s">
        <v>189</v>
      </c>
      <c r="D380" t="s">
        <v>74</v>
      </c>
      <c r="E380" t="s">
        <v>77</v>
      </c>
      <c r="F380" t="s">
        <v>100</v>
      </c>
      <c r="G380" t="s">
        <v>104</v>
      </c>
      <c r="H380" t="s">
        <v>110</v>
      </c>
      <c r="I380">
        <v>8</v>
      </c>
      <c r="J380">
        <v>8</v>
      </c>
      <c r="K380">
        <v>9</v>
      </c>
      <c r="L380">
        <v>9</v>
      </c>
      <c r="M380">
        <v>7</v>
      </c>
      <c r="N380">
        <v>9</v>
      </c>
      <c r="O380">
        <v>7</v>
      </c>
      <c r="P380">
        <v>7</v>
      </c>
      <c r="Q380">
        <v>9</v>
      </c>
    </row>
    <row r="381" spans="1:17" x14ac:dyDescent="0.45">
      <c r="A381" s="19">
        <v>46035.354861111111</v>
      </c>
      <c r="B381" t="s">
        <v>78</v>
      </c>
      <c r="C381" t="s">
        <v>189</v>
      </c>
      <c r="D381" t="s">
        <v>74</v>
      </c>
      <c r="E381" t="s">
        <v>77</v>
      </c>
      <c r="F381" t="s">
        <v>100</v>
      </c>
      <c r="G381" t="s">
        <v>196</v>
      </c>
      <c r="H381" t="s">
        <v>110</v>
      </c>
      <c r="I381">
        <v>8</v>
      </c>
      <c r="J381">
        <v>8</v>
      </c>
      <c r="K381">
        <v>5</v>
      </c>
      <c r="L381">
        <v>8</v>
      </c>
      <c r="M381">
        <v>6</v>
      </c>
      <c r="N381">
        <v>9</v>
      </c>
      <c r="O381">
        <v>5</v>
      </c>
      <c r="P381">
        <v>7</v>
      </c>
      <c r="Q381">
        <v>8</v>
      </c>
    </row>
    <row r="382" spans="1:17" x14ac:dyDescent="0.45">
      <c r="A382" s="19">
        <v>46035.370138888888</v>
      </c>
      <c r="B382" t="s">
        <v>78</v>
      </c>
      <c r="C382" t="s">
        <v>189</v>
      </c>
      <c r="D382" t="s">
        <v>74</v>
      </c>
      <c r="E382" t="s">
        <v>190</v>
      </c>
      <c r="F382" t="s">
        <v>100</v>
      </c>
      <c r="G382" t="s">
        <v>104</v>
      </c>
      <c r="H382" t="s">
        <v>110</v>
      </c>
      <c r="I382">
        <v>9</v>
      </c>
      <c r="J382">
        <v>9</v>
      </c>
      <c r="K382">
        <v>8</v>
      </c>
      <c r="L382">
        <v>9</v>
      </c>
      <c r="M382">
        <v>8</v>
      </c>
      <c r="N382">
        <v>10</v>
      </c>
      <c r="O382">
        <v>8</v>
      </c>
      <c r="P382">
        <v>8</v>
      </c>
      <c r="Q382">
        <v>10</v>
      </c>
    </row>
    <row r="383" spans="1:17" x14ac:dyDescent="0.45">
      <c r="A383" s="19">
        <v>46035.370833333334</v>
      </c>
      <c r="B383" t="s">
        <v>72</v>
      </c>
      <c r="C383" t="s">
        <v>189</v>
      </c>
      <c r="D383" t="s">
        <v>74</v>
      </c>
      <c r="E383" t="s">
        <v>77</v>
      </c>
      <c r="F383" t="s">
        <v>100</v>
      </c>
      <c r="G383" t="s">
        <v>196</v>
      </c>
      <c r="H383" t="s">
        <v>102</v>
      </c>
      <c r="I383">
        <v>5</v>
      </c>
      <c r="J383">
        <v>5</v>
      </c>
      <c r="K383">
        <v>4</v>
      </c>
      <c r="L383">
        <v>8</v>
      </c>
      <c r="M383">
        <v>4</v>
      </c>
      <c r="N383">
        <v>8</v>
      </c>
      <c r="O383">
        <v>4</v>
      </c>
      <c r="P383">
        <v>5</v>
      </c>
      <c r="Q383">
        <v>7</v>
      </c>
    </row>
    <row r="384" spans="1:17" x14ac:dyDescent="0.45">
      <c r="A384" s="19">
        <v>46035.371527777781</v>
      </c>
      <c r="B384" t="s">
        <v>78</v>
      </c>
      <c r="C384" t="s">
        <v>191</v>
      </c>
      <c r="D384" t="s">
        <v>74</v>
      </c>
      <c r="E384" t="s">
        <v>75</v>
      </c>
      <c r="F384" t="s">
        <v>100</v>
      </c>
      <c r="G384" t="s">
        <v>107</v>
      </c>
      <c r="H384" t="s">
        <v>105</v>
      </c>
      <c r="I384">
        <v>1</v>
      </c>
      <c r="J384">
        <v>1</v>
      </c>
      <c r="K384">
        <v>4</v>
      </c>
      <c r="L384">
        <v>5</v>
      </c>
      <c r="M384">
        <v>5</v>
      </c>
      <c r="N384">
        <v>4</v>
      </c>
      <c r="O384">
        <v>4</v>
      </c>
      <c r="P384">
        <v>5</v>
      </c>
      <c r="Q384">
        <v>3</v>
      </c>
    </row>
    <row r="385" spans="1:17" x14ac:dyDescent="0.45">
      <c r="A385" s="19">
        <v>46035.388888888891</v>
      </c>
      <c r="B385" t="s">
        <v>78</v>
      </c>
      <c r="C385" t="s">
        <v>189</v>
      </c>
      <c r="D385" t="s">
        <v>74</v>
      </c>
      <c r="E385" t="s">
        <v>77</v>
      </c>
      <c r="F385" t="s">
        <v>100</v>
      </c>
      <c r="G385" t="s">
        <v>194</v>
      </c>
      <c r="H385" t="s">
        <v>110</v>
      </c>
      <c r="I385">
        <v>7</v>
      </c>
      <c r="J385">
        <v>7</v>
      </c>
      <c r="K385">
        <v>7</v>
      </c>
      <c r="L385">
        <v>9</v>
      </c>
      <c r="M385">
        <v>8</v>
      </c>
      <c r="N385">
        <v>10</v>
      </c>
      <c r="O385">
        <v>8</v>
      </c>
      <c r="P385">
        <v>7</v>
      </c>
      <c r="Q385">
        <v>10</v>
      </c>
    </row>
    <row r="386" spans="1:17" x14ac:dyDescent="0.45">
      <c r="A386" s="19">
        <v>46035.40625</v>
      </c>
      <c r="B386" t="s">
        <v>78</v>
      </c>
      <c r="C386" t="s">
        <v>79</v>
      </c>
      <c r="D386" t="s">
        <v>74</v>
      </c>
      <c r="E386" t="s">
        <v>77</v>
      </c>
      <c r="F386" t="s">
        <v>100</v>
      </c>
      <c r="G386" t="s">
        <v>109</v>
      </c>
      <c r="H386" t="s">
        <v>105</v>
      </c>
      <c r="I386">
        <v>3</v>
      </c>
      <c r="J386">
        <v>3</v>
      </c>
      <c r="K386">
        <v>4</v>
      </c>
      <c r="L386">
        <v>6</v>
      </c>
      <c r="M386">
        <v>4</v>
      </c>
      <c r="N386">
        <v>5</v>
      </c>
      <c r="O386">
        <v>4</v>
      </c>
      <c r="P386">
        <v>5</v>
      </c>
      <c r="Q386">
        <v>5</v>
      </c>
    </row>
    <row r="387" spans="1:17" x14ac:dyDescent="0.45">
      <c r="A387" s="19">
        <v>46035.406944444447</v>
      </c>
      <c r="B387" t="s">
        <v>72</v>
      </c>
      <c r="C387" t="s">
        <v>81</v>
      </c>
      <c r="D387" t="s">
        <v>74</v>
      </c>
      <c r="E387" t="s">
        <v>75</v>
      </c>
      <c r="F387" t="s">
        <v>100</v>
      </c>
      <c r="G387" t="s">
        <v>101</v>
      </c>
      <c r="H387" t="s">
        <v>110</v>
      </c>
      <c r="I387">
        <v>8</v>
      </c>
      <c r="J387">
        <v>8</v>
      </c>
      <c r="K387">
        <v>9</v>
      </c>
      <c r="L387">
        <v>8</v>
      </c>
      <c r="M387">
        <v>7</v>
      </c>
      <c r="N387">
        <v>8</v>
      </c>
      <c r="O387">
        <v>7</v>
      </c>
      <c r="P387">
        <v>7</v>
      </c>
      <c r="Q387">
        <v>8</v>
      </c>
    </row>
    <row r="388" spans="1:17" x14ac:dyDescent="0.45">
      <c r="A388" s="19">
        <v>46035.431250000001</v>
      </c>
      <c r="B388" t="s">
        <v>78</v>
      </c>
      <c r="C388" t="s">
        <v>73</v>
      </c>
      <c r="D388" t="s">
        <v>74</v>
      </c>
      <c r="E388" t="s">
        <v>77</v>
      </c>
      <c r="F388" t="s">
        <v>100</v>
      </c>
      <c r="G388" t="s">
        <v>111</v>
      </c>
      <c r="H388" t="s">
        <v>105</v>
      </c>
      <c r="I388">
        <v>5</v>
      </c>
      <c r="J388">
        <v>5</v>
      </c>
      <c r="K388">
        <v>5</v>
      </c>
      <c r="L388">
        <v>5</v>
      </c>
      <c r="M388">
        <v>5</v>
      </c>
      <c r="N388">
        <v>5</v>
      </c>
      <c r="O388">
        <v>5</v>
      </c>
      <c r="P388">
        <v>5</v>
      </c>
      <c r="Q388">
        <v>5</v>
      </c>
    </row>
    <row r="389" spans="1:17" x14ac:dyDescent="0.45">
      <c r="A389" s="19">
        <v>46035.459722222222</v>
      </c>
      <c r="B389" t="s">
        <v>78</v>
      </c>
      <c r="C389" t="s">
        <v>189</v>
      </c>
      <c r="D389" t="s">
        <v>74</v>
      </c>
      <c r="E389" t="s">
        <v>77</v>
      </c>
      <c r="F389" t="s">
        <v>100</v>
      </c>
      <c r="G389" t="s">
        <v>104</v>
      </c>
      <c r="H389" t="s">
        <v>110</v>
      </c>
      <c r="I389">
        <v>7</v>
      </c>
      <c r="J389">
        <v>7</v>
      </c>
      <c r="K389">
        <v>5</v>
      </c>
      <c r="L389">
        <v>8</v>
      </c>
      <c r="M389">
        <v>6</v>
      </c>
      <c r="N389">
        <v>8</v>
      </c>
      <c r="O389">
        <v>5</v>
      </c>
      <c r="P389">
        <v>5</v>
      </c>
      <c r="Q389">
        <v>8</v>
      </c>
    </row>
    <row r="390" spans="1:17" x14ac:dyDescent="0.45">
      <c r="A390" s="19">
        <v>46035.465277777781</v>
      </c>
      <c r="B390" t="s">
        <v>78</v>
      </c>
      <c r="C390" t="s">
        <v>81</v>
      </c>
      <c r="D390" t="s">
        <v>74</v>
      </c>
      <c r="E390" t="s">
        <v>77</v>
      </c>
      <c r="F390" t="s">
        <v>100</v>
      </c>
      <c r="G390" t="s">
        <v>196</v>
      </c>
      <c r="H390" t="s">
        <v>110</v>
      </c>
      <c r="I390">
        <v>6</v>
      </c>
      <c r="J390">
        <v>8</v>
      </c>
      <c r="K390">
        <v>7</v>
      </c>
      <c r="L390">
        <v>8</v>
      </c>
      <c r="M390">
        <v>6</v>
      </c>
      <c r="N390">
        <v>8</v>
      </c>
      <c r="O390">
        <v>5</v>
      </c>
      <c r="P390">
        <v>5</v>
      </c>
      <c r="Q390">
        <v>8</v>
      </c>
    </row>
    <row r="391" spans="1:17" x14ac:dyDescent="0.45">
      <c r="A391" s="19">
        <v>46035.46597222222</v>
      </c>
      <c r="B391" t="s">
        <v>72</v>
      </c>
      <c r="C391" t="s">
        <v>79</v>
      </c>
      <c r="D391" t="s">
        <v>74</v>
      </c>
      <c r="E391" t="s">
        <v>75</v>
      </c>
      <c r="F391" t="s">
        <v>100</v>
      </c>
      <c r="G391" t="s">
        <v>109</v>
      </c>
      <c r="H391" t="s">
        <v>106</v>
      </c>
      <c r="I391">
        <v>10</v>
      </c>
      <c r="J391">
        <v>10</v>
      </c>
      <c r="K391">
        <v>5</v>
      </c>
      <c r="L391">
        <v>9</v>
      </c>
      <c r="M391">
        <v>7</v>
      </c>
      <c r="N391">
        <v>8</v>
      </c>
      <c r="O391">
        <v>5</v>
      </c>
      <c r="P391">
        <v>5</v>
      </c>
      <c r="Q391">
        <v>8</v>
      </c>
    </row>
    <row r="392" spans="1:17" x14ac:dyDescent="0.45">
      <c r="A392" s="19">
        <v>46035.466666666667</v>
      </c>
      <c r="B392" t="s">
        <v>78</v>
      </c>
      <c r="C392" t="s">
        <v>81</v>
      </c>
      <c r="D392" t="s">
        <v>74</v>
      </c>
      <c r="E392" t="s">
        <v>77</v>
      </c>
      <c r="F392" t="s">
        <v>100</v>
      </c>
      <c r="G392" t="s">
        <v>104</v>
      </c>
      <c r="H392" t="s">
        <v>110</v>
      </c>
      <c r="I392">
        <v>4</v>
      </c>
      <c r="J392">
        <v>5</v>
      </c>
      <c r="K392">
        <v>7</v>
      </c>
      <c r="L392">
        <v>7</v>
      </c>
      <c r="M392">
        <v>5</v>
      </c>
      <c r="N392">
        <v>7</v>
      </c>
      <c r="O392">
        <v>5</v>
      </c>
      <c r="P392">
        <v>5</v>
      </c>
      <c r="Q392">
        <v>7</v>
      </c>
    </row>
    <row r="393" spans="1:17" x14ac:dyDescent="0.45">
      <c r="A393" s="19">
        <v>46035.467361111114</v>
      </c>
      <c r="B393" t="s">
        <v>72</v>
      </c>
      <c r="C393" t="s">
        <v>193</v>
      </c>
      <c r="D393" t="s">
        <v>74</v>
      </c>
      <c r="E393" t="s">
        <v>75</v>
      </c>
      <c r="F393" t="s">
        <v>100</v>
      </c>
      <c r="G393" t="s">
        <v>108</v>
      </c>
      <c r="H393" t="s">
        <v>195</v>
      </c>
      <c r="I393">
        <v>2</v>
      </c>
      <c r="J393">
        <v>3</v>
      </c>
      <c r="K393">
        <v>3</v>
      </c>
      <c r="L393">
        <v>6</v>
      </c>
      <c r="M393">
        <v>5</v>
      </c>
      <c r="N393">
        <v>5</v>
      </c>
      <c r="O393">
        <v>5</v>
      </c>
      <c r="P393">
        <v>5</v>
      </c>
      <c r="Q393">
        <v>5</v>
      </c>
    </row>
    <row r="394" spans="1:17" x14ac:dyDescent="0.45">
      <c r="A394" s="19">
        <v>46035.468055555553</v>
      </c>
      <c r="B394" t="s">
        <v>72</v>
      </c>
      <c r="C394" t="s">
        <v>73</v>
      </c>
      <c r="D394" t="s">
        <v>74</v>
      </c>
      <c r="E394" t="s">
        <v>77</v>
      </c>
      <c r="F394" t="s">
        <v>100</v>
      </c>
      <c r="G394" t="s">
        <v>101</v>
      </c>
      <c r="H394" t="s">
        <v>105</v>
      </c>
      <c r="I394">
        <v>7</v>
      </c>
      <c r="J394">
        <v>7</v>
      </c>
      <c r="K394">
        <v>5</v>
      </c>
      <c r="L394">
        <v>8</v>
      </c>
      <c r="M394">
        <v>7</v>
      </c>
      <c r="N394">
        <v>7</v>
      </c>
      <c r="O394">
        <v>5</v>
      </c>
      <c r="P394">
        <v>6</v>
      </c>
      <c r="Q394">
        <v>7</v>
      </c>
    </row>
    <row r="395" spans="1:17" x14ac:dyDescent="0.45">
      <c r="A395" s="19">
        <v>46035.476388888892</v>
      </c>
      <c r="B395" t="s">
        <v>78</v>
      </c>
      <c r="C395" t="s">
        <v>81</v>
      </c>
      <c r="D395" t="s">
        <v>74</v>
      </c>
      <c r="E395" t="s">
        <v>77</v>
      </c>
      <c r="F395" t="s">
        <v>100</v>
      </c>
      <c r="G395" t="s">
        <v>194</v>
      </c>
      <c r="H395" t="s">
        <v>102</v>
      </c>
      <c r="I395">
        <v>9</v>
      </c>
      <c r="J395">
        <v>9</v>
      </c>
      <c r="K395">
        <v>9</v>
      </c>
      <c r="L395">
        <v>7</v>
      </c>
      <c r="M395">
        <v>8</v>
      </c>
      <c r="N395">
        <v>6</v>
      </c>
      <c r="O395">
        <v>8</v>
      </c>
      <c r="P395">
        <v>10</v>
      </c>
      <c r="Q395">
        <v>10</v>
      </c>
    </row>
    <row r="396" spans="1:17" x14ac:dyDescent="0.45">
      <c r="A396" s="19">
        <v>46035.526388888888</v>
      </c>
      <c r="B396" t="s">
        <v>78</v>
      </c>
      <c r="C396" t="s">
        <v>191</v>
      </c>
      <c r="D396" t="s">
        <v>74</v>
      </c>
      <c r="E396" t="s">
        <v>77</v>
      </c>
      <c r="F396" t="s">
        <v>100</v>
      </c>
      <c r="G396" t="s">
        <v>109</v>
      </c>
      <c r="H396" t="s">
        <v>102</v>
      </c>
      <c r="I396">
        <v>7</v>
      </c>
      <c r="J396">
        <v>7</v>
      </c>
      <c r="K396">
        <v>5</v>
      </c>
      <c r="L396">
        <v>7</v>
      </c>
      <c r="M396">
        <v>5</v>
      </c>
      <c r="N396">
        <v>6</v>
      </c>
      <c r="O396">
        <v>5</v>
      </c>
      <c r="P396">
        <v>6</v>
      </c>
      <c r="Q396">
        <v>6</v>
      </c>
    </row>
    <row r="397" spans="1:17" x14ac:dyDescent="0.45">
      <c r="A397" s="19">
        <v>46035.527083333334</v>
      </c>
      <c r="B397" t="s">
        <v>72</v>
      </c>
      <c r="C397" t="s">
        <v>73</v>
      </c>
      <c r="D397" t="s">
        <v>74</v>
      </c>
      <c r="E397" t="s">
        <v>190</v>
      </c>
      <c r="F397" t="s">
        <v>100</v>
      </c>
      <c r="G397" t="s">
        <v>101</v>
      </c>
      <c r="H397" t="s">
        <v>102</v>
      </c>
      <c r="I397">
        <v>2</v>
      </c>
      <c r="J397">
        <v>2</v>
      </c>
      <c r="K397">
        <v>4</v>
      </c>
      <c r="L397">
        <v>5</v>
      </c>
      <c r="M397">
        <v>5</v>
      </c>
      <c r="N397">
        <v>3</v>
      </c>
      <c r="O397">
        <v>5</v>
      </c>
      <c r="P397">
        <v>5</v>
      </c>
      <c r="Q397">
        <v>5</v>
      </c>
    </row>
    <row r="398" spans="1:17" x14ac:dyDescent="0.45">
      <c r="A398" s="19">
        <v>46035.527777777781</v>
      </c>
      <c r="B398" t="s">
        <v>72</v>
      </c>
      <c r="C398" t="s">
        <v>81</v>
      </c>
      <c r="D398" t="s">
        <v>74</v>
      </c>
      <c r="E398" t="s">
        <v>77</v>
      </c>
      <c r="F398" t="s">
        <v>100</v>
      </c>
      <c r="G398" t="s">
        <v>101</v>
      </c>
      <c r="H398" t="s">
        <v>110</v>
      </c>
      <c r="I398">
        <v>8</v>
      </c>
      <c r="J398">
        <v>8</v>
      </c>
      <c r="K398">
        <v>7</v>
      </c>
      <c r="L398">
        <v>7</v>
      </c>
      <c r="M398">
        <v>7</v>
      </c>
      <c r="N398">
        <v>8</v>
      </c>
      <c r="O398">
        <v>7</v>
      </c>
      <c r="P398">
        <v>8</v>
      </c>
      <c r="Q398">
        <v>8</v>
      </c>
    </row>
    <row r="399" spans="1:17" x14ac:dyDescent="0.45">
      <c r="A399" s="19">
        <v>46035.527777777781</v>
      </c>
      <c r="B399" t="s">
        <v>72</v>
      </c>
      <c r="C399" t="s">
        <v>189</v>
      </c>
      <c r="D399" t="s">
        <v>74</v>
      </c>
      <c r="E399" t="s">
        <v>77</v>
      </c>
      <c r="F399" t="s">
        <v>100</v>
      </c>
      <c r="G399" t="s">
        <v>194</v>
      </c>
      <c r="H399" t="s">
        <v>110</v>
      </c>
      <c r="I399">
        <v>9</v>
      </c>
      <c r="J399">
        <v>9</v>
      </c>
      <c r="K399">
        <v>8</v>
      </c>
      <c r="L399">
        <v>9</v>
      </c>
      <c r="M399">
        <v>7</v>
      </c>
      <c r="N399">
        <v>9</v>
      </c>
      <c r="O399">
        <v>8</v>
      </c>
      <c r="P399">
        <v>8</v>
      </c>
      <c r="Q399">
        <v>8</v>
      </c>
    </row>
    <row r="400" spans="1:17" x14ac:dyDescent="0.45">
      <c r="A400" s="19">
        <v>46035.52847222222</v>
      </c>
      <c r="B400" t="s">
        <v>72</v>
      </c>
      <c r="C400" t="s">
        <v>81</v>
      </c>
      <c r="D400" t="s">
        <v>74</v>
      </c>
      <c r="E400" t="s">
        <v>75</v>
      </c>
      <c r="F400" t="s">
        <v>100</v>
      </c>
      <c r="G400" t="s">
        <v>101</v>
      </c>
      <c r="H400" t="s">
        <v>110</v>
      </c>
      <c r="I400">
        <v>7</v>
      </c>
      <c r="J400">
        <v>7</v>
      </c>
      <c r="K400">
        <v>5</v>
      </c>
      <c r="L400">
        <v>8</v>
      </c>
      <c r="M400">
        <v>7</v>
      </c>
      <c r="N400">
        <v>8</v>
      </c>
      <c r="O400">
        <v>6</v>
      </c>
      <c r="P400">
        <v>6</v>
      </c>
      <c r="Q400">
        <v>8</v>
      </c>
    </row>
    <row r="401" spans="1:17" x14ac:dyDescent="0.45">
      <c r="A401" s="19">
        <v>46035.529166666667</v>
      </c>
      <c r="B401" t="s">
        <v>72</v>
      </c>
      <c r="C401" t="s">
        <v>79</v>
      </c>
      <c r="D401" t="s">
        <v>74</v>
      </c>
      <c r="E401" t="s">
        <v>77</v>
      </c>
      <c r="F401" t="s">
        <v>100</v>
      </c>
      <c r="G401" t="s">
        <v>109</v>
      </c>
      <c r="H401" t="s">
        <v>106</v>
      </c>
      <c r="I401">
        <v>8</v>
      </c>
      <c r="J401">
        <v>9</v>
      </c>
      <c r="K401">
        <v>8</v>
      </c>
      <c r="L401">
        <v>8</v>
      </c>
      <c r="M401">
        <v>7</v>
      </c>
      <c r="N401">
        <v>7</v>
      </c>
      <c r="O401">
        <v>7</v>
      </c>
      <c r="P401">
        <v>7</v>
      </c>
      <c r="Q401">
        <v>8</v>
      </c>
    </row>
    <row r="402" spans="1:17" x14ac:dyDescent="0.45">
      <c r="A402" s="19">
        <v>46035.529166666667</v>
      </c>
      <c r="B402" t="s">
        <v>72</v>
      </c>
      <c r="C402" t="s">
        <v>81</v>
      </c>
      <c r="D402" t="s">
        <v>80</v>
      </c>
      <c r="E402" t="s">
        <v>77</v>
      </c>
      <c r="F402" t="s">
        <v>100</v>
      </c>
      <c r="G402" t="s">
        <v>104</v>
      </c>
      <c r="H402" t="s">
        <v>110</v>
      </c>
      <c r="I402">
        <v>4</v>
      </c>
      <c r="J402">
        <v>4</v>
      </c>
      <c r="K402">
        <v>3</v>
      </c>
      <c r="L402">
        <v>5</v>
      </c>
      <c r="M402">
        <v>5</v>
      </c>
      <c r="N402">
        <v>2</v>
      </c>
      <c r="O402">
        <v>2</v>
      </c>
      <c r="P402">
        <v>5</v>
      </c>
      <c r="Q402">
        <v>2</v>
      </c>
    </row>
    <row r="403" spans="1:17" x14ac:dyDescent="0.45">
      <c r="A403" s="19">
        <v>46035.532638888886</v>
      </c>
      <c r="B403" t="s">
        <v>78</v>
      </c>
      <c r="C403" t="s">
        <v>193</v>
      </c>
      <c r="D403" t="s">
        <v>74</v>
      </c>
      <c r="E403" t="s">
        <v>75</v>
      </c>
      <c r="F403" t="s">
        <v>100</v>
      </c>
      <c r="G403" t="s">
        <v>108</v>
      </c>
      <c r="H403" t="s">
        <v>195</v>
      </c>
      <c r="I403">
        <v>7</v>
      </c>
      <c r="J403">
        <v>7</v>
      </c>
      <c r="K403">
        <v>4</v>
      </c>
      <c r="L403">
        <v>6</v>
      </c>
      <c r="M403">
        <v>5</v>
      </c>
      <c r="N403">
        <v>4</v>
      </c>
      <c r="O403">
        <v>5</v>
      </c>
      <c r="P403">
        <v>5</v>
      </c>
      <c r="Q403">
        <v>5</v>
      </c>
    </row>
    <row r="404" spans="1:17" x14ac:dyDescent="0.45">
      <c r="A404" s="19">
        <v>46035.53402777778</v>
      </c>
      <c r="B404" t="s">
        <v>72</v>
      </c>
      <c r="C404" t="s">
        <v>81</v>
      </c>
      <c r="D404" t="s">
        <v>74</v>
      </c>
      <c r="E404" t="s">
        <v>77</v>
      </c>
      <c r="F404" t="s">
        <v>100</v>
      </c>
      <c r="G404" t="s">
        <v>101</v>
      </c>
      <c r="H404" t="s">
        <v>110</v>
      </c>
      <c r="I404">
        <v>7</v>
      </c>
      <c r="J404">
        <v>7</v>
      </c>
      <c r="K404">
        <v>7</v>
      </c>
      <c r="L404">
        <v>7</v>
      </c>
      <c r="M404">
        <v>7</v>
      </c>
      <c r="N404">
        <v>7</v>
      </c>
      <c r="O404">
        <v>7</v>
      </c>
      <c r="P404">
        <v>7</v>
      </c>
      <c r="Q404">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0F7-2B84-40C6-9388-EA08AD4F398E}">
  <dimension ref="A1:BI409"/>
  <sheetViews>
    <sheetView workbookViewId="0">
      <selection activeCell="BE2" sqref="BE2:BE404"/>
    </sheetView>
  </sheetViews>
  <sheetFormatPr defaultRowHeight="14.25" x14ac:dyDescent="0.45"/>
  <cols>
    <col min="7" max="8"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127</v>
      </c>
      <c r="S1" s="21" t="s">
        <v>126</v>
      </c>
      <c r="T1" s="21" t="s">
        <v>128</v>
      </c>
      <c r="U1" s="18" t="s">
        <v>129</v>
      </c>
      <c r="V1" s="22" t="s">
        <v>48</v>
      </c>
      <c r="W1" s="22" t="s">
        <v>130</v>
      </c>
      <c r="X1" s="22" t="s">
        <v>131</v>
      </c>
      <c r="Y1" s="22" t="s">
        <v>132</v>
      </c>
      <c r="Z1" s="20" t="s">
        <v>133</v>
      </c>
      <c r="AA1" s="21" t="s">
        <v>51</v>
      </c>
      <c r="AB1" s="21" t="s">
        <v>134</v>
      </c>
      <c r="AC1" s="21" t="s">
        <v>135</v>
      </c>
      <c r="AD1" s="21" t="s">
        <v>136</v>
      </c>
      <c r="AE1" s="18" t="s">
        <v>137</v>
      </c>
      <c r="AF1" s="22" t="s">
        <v>54</v>
      </c>
      <c r="AG1" s="22" t="s">
        <v>138</v>
      </c>
      <c r="AH1" s="22" t="s">
        <v>139</v>
      </c>
      <c r="AI1" s="22" t="s">
        <v>140</v>
      </c>
      <c r="AJ1" s="22" t="s">
        <v>141</v>
      </c>
      <c r="AK1" s="21" t="s">
        <v>57</v>
      </c>
      <c r="AL1" s="21" t="s">
        <v>142</v>
      </c>
      <c r="AM1" s="21" t="s">
        <v>143</v>
      </c>
      <c r="AN1" s="21" t="s">
        <v>144</v>
      </c>
      <c r="AO1" s="21" t="s">
        <v>145</v>
      </c>
      <c r="AP1" s="22" t="s">
        <v>60</v>
      </c>
      <c r="AQ1" s="22" t="s">
        <v>146</v>
      </c>
      <c r="AR1" s="22" t="s">
        <v>147</v>
      </c>
      <c r="AS1" s="22" t="s">
        <v>148</v>
      </c>
      <c r="AT1" s="22" t="s">
        <v>149</v>
      </c>
      <c r="AU1" s="21" t="s">
        <v>63</v>
      </c>
      <c r="AV1" s="21" t="s">
        <v>150</v>
      </c>
      <c r="AW1" s="21" t="s">
        <v>151</v>
      </c>
      <c r="AX1" s="21" t="s">
        <v>152</v>
      </c>
      <c r="AY1" s="21" t="s">
        <v>153</v>
      </c>
      <c r="AZ1" s="22" t="s">
        <v>66</v>
      </c>
      <c r="BA1" s="22" t="s">
        <v>154</v>
      </c>
      <c r="BB1" s="22" t="s">
        <v>155</v>
      </c>
      <c r="BC1" s="22" t="s">
        <v>156</v>
      </c>
      <c r="BD1" s="22" t="s">
        <v>157</v>
      </c>
      <c r="BE1" s="21" t="s">
        <v>69</v>
      </c>
      <c r="BF1" s="21" t="s">
        <v>158</v>
      </c>
      <c r="BG1" s="21" t="s">
        <v>159</v>
      </c>
      <c r="BH1" s="21" t="s">
        <v>160</v>
      </c>
      <c r="BI1" s="21" t="s">
        <v>161</v>
      </c>
    </row>
    <row r="2" spans="1:61" x14ac:dyDescent="0.45">
      <c r="A2" s="30">
        <f>step3_validation[[#This Row],[Persona_ID]]</f>
        <v>1</v>
      </c>
      <c r="B2" s="31">
        <f>step3_validation[[#This Row],[Used_Seed]]</f>
        <v>12345</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13.136680112335849</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5</v>
      </c>
      <c r="R2" t="str">
        <f>IF(AND(Q2&gt;=1,Q2&lt;5),"Oppose",IF(AND(Q2&gt;=5,Q2&lt;8),"Neutral",IF(AND(Q2&gt;=8,Q2&lt;=10),"Support","")))</f>
        <v>Neutral</v>
      </c>
      <c r="S2">
        <f>survey_responses[[#This Row],[Tôi tin rằng với các quy định quản lý thuế hiện nay, hành vi gian lận hoặc trốn thuế sẽ dễ dàng bị phát hiện và xử lý nghiêm. - HUMAN-ENF1]]</f>
        <v>10</v>
      </c>
      <c r="T2" t="str">
        <f>IF(AND(S2&gt;=1,S2&lt;5),"Oppose",IF(AND(S2&gt;=5,S2&lt;8),"Neutral",IF(AND(S2&gt;=8,S2&lt;=10),"Support","")))</f>
        <v>Support</v>
      </c>
      <c r="U2" s="32">
        <f>ABS(S2-Q2)</f>
        <v>5</v>
      </c>
      <c r="V2">
        <f>step3_validation[[#This Row],[AI_ENF2]]</f>
        <v>6</v>
      </c>
      <c r="W2" t="str">
        <f>IF(AND(V2&gt;=1,V2&lt;5),"Oppose",IF(AND(V2&gt;=5,V2&lt;8),"Neutral",IF(AND(V2&gt;=8,V2&lt;=10),"Support","")))</f>
        <v>Neutral</v>
      </c>
      <c r="X2">
        <f>survey_responses[[#This Row],[Tôi tin rằng Nhà nước, cơ quan thuế có đủ khả năng và công nghệ để phát hiện, xử lý nghiêm các hành vi trốn thuế. - HUMAN-ENF2]]</f>
        <v>8</v>
      </c>
      <c r="Y2" t="str">
        <f>IF(AND(X2&gt;=1,X2&lt;5),"Oppose",IF(AND(X2&gt;=5,X2&lt;8),"Neutral",IF(AND(X2&gt;=8,X2&lt;=10),"Support","")))</f>
        <v>Support</v>
      </c>
      <c r="Z2" s="32">
        <f>ABS(X2-V2)</f>
        <v>2</v>
      </c>
      <c r="AA2">
        <f>step3_validation[[#This Row],[AI_FAC1]]</f>
        <v>8</v>
      </c>
      <c r="AB2" t="str">
        <f>IF(AND(AA2&gt;=1,AA2&lt;5),"Oppose",IF(AND(AA2&gt;=5,AA2&lt;8),"Neutral",IF(AND(AA2&gt;=8,AA2&lt;=10),"Support","")))</f>
        <v>Support</v>
      </c>
      <c r="AC2">
        <f>survey_responses[[#This Row],[Các thủ tục khai báo thuế VÀ/HOẶC quy trình làm việc với cơ quan thuế đơn giản, tiện lợi, nhanh chóng hơn so với trước đây. - HUMAN-FAC1]]</f>
        <v>5</v>
      </c>
      <c r="AD2" t="str">
        <f>IF(AND(AC2&gt;=1,AC2&lt;5),"Oppose",IF(AND(AC2&gt;=5,AC2&lt;8),"Neutral",IF(AND(AC2&gt;=8,AC2&lt;=10),"Support","")))</f>
        <v>Neutral</v>
      </c>
      <c r="AE2" s="32">
        <f>ABS(AC2-AA2)</f>
        <v>3</v>
      </c>
      <c r="AF2">
        <f>step3_validation[[#This Row],[AI_FAC2]]</f>
        <v>9</v>
      </c>
      <c r="AG2" t="str">
        <f>IF(AND(AF2&gt;=1,AF2&lt;5),"Oppose",IF(AND(AF2&gt;=5,AF2&lt;8),"Neutral",IF(AND(AF2&gt;=8,AF2&lt;=10),"Support","")))</f>
        <v>Support</v>
      </c>
      <c r="AH2">
        <f>survey_responses[[#This Row],[So với trước đây, tôi thấy cách tính thuế và các bậc thuế trong phương án mới đơn giản, dễ hiểu và dễ thực hiện hơn. - HUMAN-FAC2]]</f>
        <v>5</v>
      </c>
      <c r="AI2" t="str">
        <f>IF(AND(AH2&gt;=1,AH2&lt;5),"Oppose",IF(AND(AH2&gt;=5,AH2&lt;8),"Neutral",IF(AND(AH2&gt;=8,AH2&lt;=10),"Support","")))</f>
        <v>Neutral</v>
      </c>
      <c r="AJ2" s="32">
        <f>ABS(AH2-AF2)</f>
        <v>4</v>
      </c>
      <c r="AK2">
        <f>step3_validation[[#This Row],[AI_TRU1]]</f>
        <v>4</v>
      </c>
      <c r="AL2" t="str">
        <f>IF(AND(AK2&gt;=1,AK2&lt;5),"Oppose",IF(AND(AK2&gt;=5,AK2&lt;8),"Neutral",IF(AND(AK2&gt;=8,AK2&lt;=10),"Support","")))</f>
        <v>Oppose</v>
      </c>
      <c r="AM2">
        <f>survey_responses[[#This Row],[Tôi tin rằng Nhà nước, cơ quan thuế sẽ thực thi chính sách mới một cách khách quan, công tâm và đối xử bình đẳng với mọi người nộp thuế.  - HUMAN-TRU1]]</f>
        <v>10</v>
      </c>
      <c r="AN2" t="str">
        <f>IF(AND(AM2&gt;=1,AM2&lt;5),"Oppose",IF(AND(AM2&gt;=5,AM2&lt;8),"Neutral",IF(AND(AM2&gt;=8,AM2&lt;=10),"Support","")))</f>
        <v>Support</v>
      </c>
      <c r="AO2" s="32">
        <f>ABS(AM2-AK2)</f>
        <v>6</v>
      </c>
      <c r="AP2">
        <f>step3_validation[[#This Row],[AI_TRU2]]</f>
        <v>7</v>
      </c>
      <c r="AQ2" t="str">
        <f>IF(AND(AP2&gt;=1,AP2&lt;5),"Oppose",IF(AND(AP2&gt;=5,AP2&lt;8),"Neutral",IF(AND(AP2&gt;=8,AP2&lt;=10),"Support","")))</f>
        <v>Neutral</v>
      </c>
      <c r="AR2">
        <f>survey_responses[[#This Row],[Tôi thấy mức thuế tôi phải đóng theo phương án mới là công bằng (người thu nhập như tôi đóng mức này là hợp lý). - HUMAN-TRU2]]</f>
        <v>10</v>
      </c>
      <c r="AS2" t="str">
        <f>IF(AND(AR2&gt;=1,AR2&lt;5),"Oppose",IF(AND(AR2&gt;=5,AR2&lt;8),"Neutral",IF(AND(AR2&gt;=8,AR2&lt;=10),"Support","")))</f>
        <v>Support</v>
      </c>
      <c r="AT2" s="32">
        <f>ABS(AR2-AP2)</f>
        <v>3</v>
      </c>
      <c r="AU2">
        <f>step3_validation[[#This Row],[AI_TRU3]]</f>
        <v>6</v>
      </c>
      <c r="AV2" t="str">
        <f>IF(AND(AU2&gt;=1,AU2&lt;5),"Oppose",IF(AND(AU2&gt;=5,AU2&lt;8),"Neutral",IF(AND(AU2&gt;=8,AU2&lt;=10),"Support","")))</f>
        <v>Neutral</v>
      </c>
      <c r="AW2">
        <f>survey_responses[[#This Row],[Tôi tin tưởng số tiền thuế tôi đóng sẽ được Nhà nước sử dụng hiệu quả để cải thiện dịch vụ công (y tế, đường xá...). - HUMAN-TRU3]]</f>
        <v>10</v>
      </c>
      <c r="AX2" t="str">
        <f>IF(AND(AW2&gt;=1,AW2&lt;5),"Oppose",IF(AND(AW2&gt;=5,AW2&lt;8),"Neutral",IF(AND(AW2&gt;=8,AW2&lt;=10),"Support","")))</f>
        <v>Support</v>
      </c>
      <c r="AY2" s="32">
        <f>ABS(AW2-AU2)</f>
        <v>4</v>
      </c>
      <c r="AZ2">
        <f>step3_validation[[#This Row],[AI_TRU4]]</f>
        <v>5</v>
      </c>
      <c r="BA2" t="str">
        <f>IF(AND(AZ2&gt;=1,AZ2&lt;5),"Oppose",IF(AND(AZ2&gt;=5,AZ2&lt;8),"Neutral",IF(AND(AZ2&gt;=8,AZ2&lt;=10),"Support","")))</f>
        <v>Neutral</v>
      </c>
      <c r="BB2">
        <f>survey_responses[[#This Row],[Tôi thấy Nhà nước đã giải thích rõ ràng, minh bạch về lý do và mục tiêu của việc sửa đổi thuế lần này. - HUMAN-TRU4]]</f>
        <v>10</v>
      </c>
      <c r="BC2" t="str">
        <f>IF(AND(BB2&gt;=1,BB2&lt;5),"Oppose",IF(AND(BB2&gt;=5,BB2&lt;8),"Neutral",IF(AND(BB2&gt;=8,BB2&lt;=10),"Support","")))</f>
        <v>Support</v>
      </c>
      <c r="BD2" s="32">
        <f>ABS(BB2-AZ2)</f>
        <v>5</v>
      </c>
      <c r="BE2">
        <f>step3_validation[[#This Row],[AI_OUT1]]</f>
        <v>8</v>
      </c>
      <c r="BF2" t="str">
        <f>IF(AND(BE2&gt;=1,BE2&lt;5),"Oppose",IF(AND(BE2&gt;=5,BE2&lt;8),"Neutral",IF(AND(BE2&gt;=8,BE2&lt;=10),"Support","")))</f>
        <v>Support</v>
      </c>
      <c r="BG2">
        <f>survey_responses[[#This Row],[Sau khi xem xét các quyền lợi và nghĩa vụ, bạn có ủng hộ và tuân thủ chính sách mới hiện nay? - HUMAN-OUT1]]</f>
        <v>10</v>
      </c>
      <c r="BH2" t="str">
        <f>IF(AND(BG2&gt;=1,BG2&lt;5),"Oppose",IF(AND(BG2&gt;=5,BG2&lt;8),"Neutral",IF(AND(BG2&gt;=8,BG2&lt;=10),"Support","")))</f>
        <v>Support</v>
      </c>
      <c r="BI2" s="32">
        <f>ABS(BG2-BE2)</f>
        <v>2</v>
      </c>
    </row>
    <row r="3" spans="1:61" x14ac:dyDescent="0.45">
      <c r="A3" s="30">
        <f>step3_validation[[#This Row],[Persona_ID]]</f>
        <v>2</v>
      </c>
      <c r="B3" s="31">
        <f>step3_validation[[#This Row],[Used_Seed]]</f>
        <v>12346</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14.367362109435824</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3</v>
      </c>
      <c r="R3" t="str">
        <f t="shared" ref="R3:R66" si="0">IF(AND(Q3&gt;=1,Q3&lt;5),"Oppose",IF(AND(Q3&gt;=5,Q3&lt;8),"Neutral",IF(AND(Q3&gt;=8,Q3&lt;=10),"Support","")))</f>
        <v>Oppose</v>
      </c>
      <c r="S3">
        <f>survey_responses[[#This Row],[Tôi tin rằng với các quy định quản lý thuế hiện nay, hành vi gian lận hoặc trốn thuế sẽ dễ dàng bị phát hiện và xử lý nghiêm. - HUMAN-ENF1]]</f>
        <v>8</v>
      </c>
      <c r="T3" t="str">
        <f t="shared" ref="T3:T66" si="1">IF(AND(S3&gt;=1,S3&lt;5),"Oppose",IF(AND(S3&gt;=5,S3&lt;8),"Neutral",IF(AND(S3&gt;=8,S3&lt;=10),"Support","")))</f>
        <v>Support</v>
      </c>
      <c r="U3" s="32">
        <f t="shared" ref="U3:U66" si="2">ABS(S3-Q3)</f>
        <v>5</v>
      </c>
      <c r="V3">
        <f>step3_validation[[#This Row],[AI_ENF2]]</f>
        <v>4</v>
      </c>
      <c r="W3" t="str">
        <f t="shared" ref="W3:W66" si="3">IF(AND(V3&gt;=1,V3&lt;5),"Oppose",IF(AND(V3&gt;=5,V3&lt;8),"Neutral",IF(AND(V3&gt;=8,V3&lt;=10),"Support","")))</f>
        <v>Oppose</v>
      </c>
      <c r="X3">
        <f>survey_responses[[#This Row],[Tôi tin rằng Nhà nước, cơ quan thuế có đủ khả năng và công nghệ để phát hiện, xử lý nghiêm các hành vi trốn thuế. - HUMAN-ENF2]]</f>
        <v>8</v>
      </c>
      <c r="Y3" t="str">
        <f t="shared" ref="Y3:Y66" si="4">IF(AND(X3&gt;=1,X3&lt;5),"Oppose",IF(AND(X3&gt;=5,X3&lt;8),"Neutral",IF(AND(X3&gt;=8,X3&lt;=10),"Support","")))</f>
        <v>Support</v>
      </c>
      <c r="Z3" s="32">
        <f t="shared" ref="Z3:Z66" si="5">ABS(X3-V3)</f>
        <v>4</v>
      </c>
      <c r="AA3">
        <f>step3_validation[[#This Row],[AI_FAC1]]</f>
        <v>8</v>
      </c>
      <c r="AB3" t="str">
        <f t="shared" ref="AB3:AB66" si="6">IF(AND(AA3&gt;=1,AA3&lt;5),"Oppose",IF(AND(AA3&gt;=5,AA3&lt;8),"Neutral",IF(AND(AA3&gt;=8,AA3&lt;=10),"Support","")))</f>
        <v>Support</v>
      </c>
      <c r="AC3">
        <f>survey_responses[[#This Row],[Các thủ tục khai báo thuế VÀ/HOẶC quy trình làm việc với cơ quan thuế đơn giản, tiện lợi, nhanh chóng hơn so với trước đây. - HUMAN-FAC1]]</f>
        <v>6</v>
      </c>
      <c r="AD3" t="str">
        <f t="shared" ref="AD3:AD66" si="7">IF(AND(AC3&gt;=1,AC3&lt;5),"Oppose",IF(AND(AC3&gt;=5,AC3&lt;8),"Neutral",IF(AND(AC3&gt;=8,AC3&lt;=10),"Support","")))</f>
        <v>Neutral</v>
      </c>
      <c r="AE3" s="32">
        <f t="shared" ref="AE3:AE66" si="8">ABS(AC3-AA3)</f>
        <v>2</v>
      </c>
      <c r="AF3">
        <f>step3_validation[[#This Row],[AI_FAC2]]</f>
        <v>9</v>
      </c>
      <c r="AG3" t="str">
        <f t="shared" ref="AG3:AG66" si="9">IF(AND(AF3&gt;=1,AF3&lt;5),"Oppose",IF(AND(AF3&gt;=5,AF3&lt;8),"Neutral",IF(AND(AF3&gt;=8,AF3&lt;=10),"Support","")))</f>
        <v>Support</v>
      </c>
      <c r="AH3">
        <f>survey_responses[[#This Row],[So với trước đây, tôi thấy cách tính thuế và các bậc thuế trong phương án mới đơn giản, dễ hiểu và dễ thực hiện hơn. - HUMAN-FAC2]]</f>
        <v>9</v>
      </c>
      <c r="AI3" t="str">
        <f t="shared" ref="AI3:AI66" si="10">IF(AND(AH3&gt;=1,AH3&lt;5),"Oppose",IF(AND(AH3&gt;=5,AH3&lt;8),"Neutral",IF(AND(AH3&gt;=8,AH3&lt;=10),"Support","")))</f>
        <v>Support</v>
      </c>
      <c r="AJ3" s="32">
        <f t="shared" ref="AJ3:AJ66" si="11">ABS(AH3-AF3)</f>
        <v>0</v>
      </c>
      <c r="AK3">
        <f>step3_validation[[#This Row],[AI_TRU1]]</f>
        <v>6</v>
      </c>
      <c r="AL3" t="str">
        <f t="shared" ref="AL3:AL66" si="12">IF(AND(AK3&gt;=1,AK3&lt;5),"Oppose",IF(AND(AK3&gt;=5,AK3&lt;8),"Neutral",IF(AND(AK3&gt;=8,AK3&lt;=10),"Support","")))</f>
        <v>Neutral</v>
      </c>
      <c r="AM3">
        <f>survey_responses[[#This Row],[Tôi tin rằng Nhà nước, cơ quan thuế sẽ thực thi chính sách mới một cách khách quan, công tâm và đối xử bình đẳng với mọi người nộp thuế.  - HUMAN-TRU1]]</f>
        <v>10</v>
      </c>
      <c r="AN3" t="str">
        <f t="shared" ref="AN3:AN66" si="13">IF(AND(AM3&gt;=1,AM3&lt;5),"Oppose",IF(AND(AM3&gt;=5,AM3&lt;8),"Neutral",IF(AND(AM3&gt;=8,AM3&lt;=10),"Support","")))</f>
        <v>Support</v>
      </c>
      <c r="AO3" s="32">
        <f t="shared" ref="AO3:AO66" si="14">ABS(AM3-AK3)</f>
        <v>4</v>
      </c>
      <c r="AP3">
        <f>step3_validation[[#This Row],[AI_TRU2]]</f>
        <v>7</v>
      </c>
      <c r="AQ3" t="str">
        <f t="shared" ref="AQ3:AQ66" si="15">IF(AND(AP3&gt;=1,AP3&lt;5),"Oppose",IF(AND(AP3&gt;=5,AP3&lt;8),"Neutral",IF(AND(AP3&gt;=8,AP3&lt;=10),"Support","")))</f>
        <v>Neutral</v>
      </c>
      <c r="AR3">
        <f>survey_responses[[#This Row],[Tôi thấy mức thuế tôi phải đóng theo phương án mới là công bằng (người thu nhập như tôi đóng mức này là hợp lý). - HUMAN-TRU2]]</f>
        <v>9</v>
      </c>
      <c r="AS3" t="str">
        <f t="shared" ref="AS3:AS66" si="16">IF(AND(AR3&gt;=1,AR3&lt;5),"Oppose",IF(AND(AR3&gt;=5,AR3&lt;8),"Neutral",IF(AND(AR3&gt;=8,AR3&lt;=10),"Support","")))</f>
        <v>Support</v>
      </c>
      <c r="AT3" s="32">
        <f t="shared" ref="AT3:AT66" si="17">ABS(AR3-AP3)</f>
        <v>2</v>
      </c>
      <c r="AU3">
        <f>step3_validation[[#This Row],[AI_TRU3]]</f>
        <v>5</v>
      </c>
      <c r="AV3" t="str">
        <f t="shared" ref="AV3:AV66" si="18">IF(AND(AU3&gt;=1,AU3&lt;5),"Oppose",IF(AND(AU3&gt;=5,AU3&lt;8),"Neutral",IF(AND(AU3&gt;=8,AU3&lt;=10),"Support","")))</f>
        <v>Neutral</v>
      </c>
      <c r="AW3">
        <f>survey_responses[[#This Row],[Tôi tin tưởng số tiền thuế tôi đóng sẽ được Nhà nước sử dụng hiệu quả để cải thiện dịch vụ công (y tế, đường xá...). - HUMAN-TRU3]]</f>
        <v>8</v>
      </c>
      <c r="AX3" t="str">
        <f t="shared" ref="AX3:AX66" si="19">IF(AND(AW3&gt;=1,AW3&lt;5),"Oppose",IF(AND(AW3&gt;=5,AW3&lt;8),"Neutral",IF(AND(AW3&gt;=8,AW3&lt;=10),"Support","")))</f>
        <v>Support</v>
      </c>
      <c r="AY3" s="32">
        <f t="shared" ref="AY3:AY66" si="20">ABS(AW3-AU3)</f>
        <v>3</v>
      </c>
      <c r="AZ3">
        <f>step3_validation[[#This Row],[AI_TRU4]]</f>
        <v>7</v>
      </c>
      <c r="BA3" t="str">
        <f t="shared" ref="BA3:BA66" si="21">IF(AND(AZ3&gt;=1,AZ3&lt;5),"Oppose",IF(AND(AZ3&gt;=5,AZ3&lt;8),"Neutral",IF(AND(AZ3&gt;=8,AZ3&lt;=10),"Support","")))</f>
        <v>Neutral</v>
      </c>
      <c r="BB3">
        <f>survey_responses[[#This Row],[Tôi thấy Nhà nước đã giải thích rõ ràng, minh bạch về lý do và mục tiêu của việc sửa đổi thuế lần này. - HUMAN-TRU4]]</f>
        <v>9</v>
      </c>
      <c r="BC3" t="str">
        <f t="shared" ref="BC3:BC66" si="22">IF(AND(BB3&gt;=1,BB3&lt;5),"Oppose",IF(AND(BB3&gt;=5,BB3&lt;8),"Neutral",IF(AND(BB3&gt;=8,BB3&lt;=10),"Support","")))</f>
        <v>Support</v>
      </c>
      <c r="BD3" s="32">
        <f t="shared" ref="BD3:BD66" si="23">ABS(BB3-AZ3)</f>
        <v>2</v>
      </c>
      <c r="BE3">
        <f>step3_validation[[#This Row],[AI_OUT1]]</f>
        <v>8</v>
      </c>
      <c r="BF3" t="str">
        <f t="shared" ref="BF3:BF66" si="24">IF(AND(BE3&gt;=1,BE3&lt;5),"Oppose",IF(AND(BE3&gt;=5,BE3&lt;8),"Neutral",IF(AND(BE3&gt;=8,BE3&lt;=10),"Support","")))</f>
        <v>Support</v>
      </c>
      <c r="BG3">
        <f>survey_responses[[#This Row],[Sau khi xem xét các quyền lợi và nghĩa vụ, bạn có ủng hộ và tuân thủ chính sách mới hiện nay? - HUMAN-OUT1]]</f>
        <v>10</v>
      </c>
      <c r="BH3" t="str">
        <f t="shared" ref="BH3:BH66" si="25">IF(AND(BG3&gt;=1,BG3&lt;5),"Oppose",IF(AND(BG3&gt;=5,BG3&lt;8),"Neutral",IF(AND(BG3&gt;=8,BG3&lt;=10),"Support","")))</f>
        <v>Support</v>
      </c>
      <c r="BI3" s="32">
        <f t="shared" ref="BI3:BI66" si="26">ABS(BG3-BE3)</f>
        <v>2</v>
      </c>
    </row>
    <row r="4" spans="1:61" x14ac:dyDescent="0.45">
      <c r="A4" s="30">
        <f>step3_validation[[#This Row],[Persona_ID]]</f>
        <v>3</v>
      </c>
      <c r="B4" s="31">
        <f>step3_validation[[#This Row],[Used_Seed]]</f>
        <v>12347</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68.743161446629699</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3</v>
      </c>
      <c r="R4" t="str">
        <f t="shared" si="0"/>
        <v>Oppose</v>
      </c>
      <c r="S4">
        <f>survey_responses[[#This Row],[Tôi tin rằng với các quy định quản lý thuế hiện nay, hành vi gian lận hoặc trốn thuế sẽ dễ dàng bị phát hiện và xử lý nghiêm. - HUMAN-ENF1]]</f>
        <v>6</v>
      </c>
      <c r="T4" t="str">
        <f t="shared" si="1"/>
        <v>Neutral</v>
      </c>
      <c r="U4" s="32">
        <f t="shared" si="2"/>
        <v>3</v>
      </c>
      <c r="V4">
        <f>step3_validation[[#This Row],[AI_ENF2]]</f>
        <v>4</v>
      </c>
      <c r="W4" t="str">
        <f t="shared" si="3"/>
        <v>Oppose</v>
      </c>
      <c r="X4">
        <f>survey_responses[[#This Row],[Tôi tin rằng Nhà nước, cơ quan thuế có đủ khả năng và công nghệ để phát hiện, xử lý nghiêm các hành vi trốn thuế. - HUMAN-ENF2]]</f>
        <v>5</v>
      </c>
      <c r="Y4" t="str">
        <f t="shared" si="4"/>
        <v>Neutral</v>
      </c>
      <c r="Z4" s="32">
        <f t="shared" si="5"/>
        <v>1</v>
      </c>
      <c r="AA4">
        <f>step3_validation[[#This Row],[AI_FAC1]]</f>
        <v>9</v>
      </c>
      <c r="AB4" t="str">
        <f t="shared" si="6"/>
        <v>Support</v>
      </c>
      <c r="AC4">
        <f>survey_responses[[#This Row],[Các thủ tục khai báo thuế VÀ/HOẶC quy trình làm việc với cơ quan thuế đơn giản, tiện lợi, nhanh chóng hơn so với trước đây. - HUMAN-FAC1]]</f>
        <v>4</v>
      </c>
      <c r="AD4" t="str">
        <f t="shared" si="7"/>
        <v>Oppose</v>
      </c>
      <c r="AE4" s="32">
        <f t="shared" si="8"/>
        <v>5</v>
      </c>
      <c r="AF4">
        <f>step3_validation[[#This Row],[AI_FAC2]]</f>
        <v>10</v>
      </c>
      <c r="AG4" t="str">
        <f t="shared" si="9"/>
        <v>Support</v>
      </c>
      <c r="AH4">
        <f>survey_responses[[#This Row],[So với trước đây, tôi thấy cách tính thuế và các bậc thuế trong phương án mới đơn giản, dễ hiểu và dễ thực hiện hơn. - HUMAN-FAC2]]</f>
        <v>5</v>
      </c>
      <c r="AI4" t="str">
        <f t="shared" si="10"/>
        <v>Neutral</v>
      </c>
      <c r="AJ4" s="32">
        <f t="shared" si="11"/>
        <v>5</v>
      </c>
      <c r="AK4">
        <f>step3_validation[[#This Row],[AI_TRU1]]</f>
        <v>7</v>
      </c>
      <c r="AL4" t="str">
        <f t="shared" si="12"/>
        <v>Neutral</v>
      </c>
      <c r="AM4">
        <f>survey_responses[[#This Row],[Tôi tin rằng Nhà nước, cơ quan thuế sẽ thực thi chính sách mới một cách khách quan, công tâm và đối xử bình đẳng với mọi người nộp thuế.  - HUMAN-TRU1]]</f>
        <v>4</v>
      </c>
      <c r="AN4" t="str">
        <f t="shared" si="13"/>
        <v>Oppose</v>
      </c>
      <c r="AO4" s="32">
        <f t="shared" si="14"/>
        <v>3</v>
      </c>
      <c r="AP4">
        <f>step3_validation[[#This Row],[AI_TRU2]]</f>
        <v>9</v>
      </c>
      <c r="AQ4" t="str">
        <f t="shared" si="15"/>
        <v>Support</v>
      </c>
      <c r="AR4">
        <f>survey_responses[[#This Row],[Tôi thấy mức thuế tôi phải đóng theo phương án mới là công bằng (người thu nhập như tôi đóng mức này là hợp lý). - HUMAN-TRU2]]</f>
        <v>4</v>
      </c>
      <c r="AS4" t="str">
        <f t="shared" si="16"/>
        <v>Oppose</v>
      </c>
      <c r="AT4" s="32">
        <f t="shared" si="17"/>
        <v>5</v>
      </c>
      <c r="AU4">
        <f>step3_validation[[#This Row],[AI_TRU3]]</f>
        <v>8</v>
      </c>
      <c r="AV4" t="str">
        <f t="shared" si="18"/>
        <v>Support</v>
      </c>
      <c r="AW4">
        <f>survey_responses[[#This Row],[Tôi tin tưởng số tiền thuế tôi đóng sẽ được Nhà nước sử dụng hiệu quả để cải thiện dịch vụ công (y tế, đường xá...). - HUMAN-TRU3]]</f>
        <v>4</v>
      </c>
      <c r="AX4" t="str">
        <f t="shared" si="19"/>
        <v>Oppose</v>
      </c>
      <c r="AY4" s="32">
        <f t="shared" si="20"/>
        <v>4</v>
      </c>
      <c r="AZ4">
        <f>step3_validation[[#This Row],[AI_TRU4]]</f>
        <v>9</v>
      </c>
      <c r="BA4" t="str">
        <f t="shared" si="21"/>
        <v>Support</v>
      </c>
      <c r="BB4">
        <f>survey_responses[[#This Row],[Tôi thấy Nhà nước đã giải thích rõ ràng, minh bạch về lý do và mục tiêu của việc sửa đổi thuế lần này. - HUMAN-TRU4]]</f>
        <v>10</v>
      </c>
      <c r="BC4" t="str">
        <f t="shared" si="22"/>
        <v>Support</v>
      </c>
      <c r="BD4" s="32">
        <f t="shared" si="23"/>
        <v>1</v>
      </c>
      <c r="BE4">
        <f>step3_validation[[#This Row],[AI_OUT1]]</f>
        <v>10</v>
      </c>
      <c r="BF4" t="str">
        <f t="shared" si="24"/>
        <v>Support</v>
      </c>
      <c r="BG4">
        <f>survey_responses[[#This Row],[Sau khi xem xét các quyền lợi và nghĩa vụ, bạn có ủng hộ và tuân thủ chính sách mới hiện nay? - HUMAN-OUT1]]</f>
        <v>4</v>
      </c>
      <c r="BH4" t="str">
        <f t="shared" si="25"/>
        <v>Oppose</v>
      </c>
      <c r="BI4" s="32">
        <f t="shared" si="26"/>
        <v>6</v>
      </c>
    </row>
    <row r="5" spans="1:61" x14ac:dyDescent="0.45">
      <c r="A5" s="30">
        <f>step3_validation[[#This Row],[Persona_ID]]</f>
        <v>4</v>
      </c>
      <c r="B5" s="31">
        <f>step3_validation[[#This Row],[Used_Seed]]</f>
        <v>12348</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6</v>
      </c>
      <c r="R5" t="str">
        <f t="shared" si="0"/>
        <v>Neutral</v>
      </c>
      <c r="S5">
        <f>survey_responses[[#This Row],[Tôi tin rằng với các quy định quản lý thuế hiện nay, hành vi gian lận hoặc trốn thuế sẽ dễ dàng bị phát hiện và xử lý nghiêm. - HUMAN-ENF1]]</f>
        <v>10</v>
      </c>
      <c r="T5" t="str">
        <f t="shared" si="1"/>
        <v>Support</v>
      </c>
      <c r="U5" s="32">
        <f t="shared" si="2"/>
        <v>4</v>
      </c>
      <c r="V5">
        <f>step3_validation[[#This Row],[AI_ENF2]]</f>
        <v>7</v>
      </c>
      <c r="W5" t="str">
        <f t="shared" si="3"/>
        <v>Neutral</v>
      </c>
      <c r="X5">
        <f>survey_responses[[#This Row],[Tôi tin rằng Nhà nước, cơ quan thuế có đủ khả năng và công nghệ để phát hiện, xử lý nghiêm các hành vi trốn thuế. - HUMAN-ENF2]]</f>
        <v>10</v>
      </c>
      <c r="Y5" t="str">
        <f t="shared" si="4"/>
        <v>Support</v>
      </c>
      <c r="Z5" s="32">
        <f t="shared" si="5"/>
        <v>3</v>
      </c>
      <c r="AA5">
        <f>step3_validation[[#This Row],[AI_FAC1]]</f>
        <v>8</v>
      </c>
      <c r="AB5" t="str">
        <f t="shared" si="6"/>
        <v>Support</v>
      </c>
      <c r="AC5">
        <f>survey_responses[[#This Row],[Các thủ tục khai báo thuế VÀ/HOẶC quy trình làm việc với cơ quan thuế đơn giản, tiện lợi, nhanh chóng hơn so với trước đây. - HUMAN-FAC1]]</f>
        <v>8</v>
      </c>
      <c r="AD5" t="str">
        <f t="shared" si="7"/>
        <v>Support</v>
      </c>
      <c r="AE5" s="32">
        <f t="shared" si="8"/>
        <v>0</v>
      </c>
      <c r="AF5">
        <f>step3_validation[[#This Row],[AI_FAC2]]</f>
        <v>9</v>
      </c>
      <c r="AG5" t="str">
        <f t="shared" si="9"/>
        <v>Support</v>
      </c>
      <c r="AH5">
        <f>survey_responses[[#This Row],[So với trước đây, tôi thấy cách tính thuế và các bậc thuế trong phương án mới đơn giản, dễ hiểu và dễ thực hiện hơn. - HUMAN-FAC2]]</f>
        <v>9</v>
      </c>
      <c r="AI5" t="str">
        <f t="shared" si="10"/>
        <v>Support</v>
      </c>
      <c r="AJ5" s="32">
        <f t="shared" si="11"/>
        <v>0</v>
      </c>
      <c r="AK5">
        <f>step3_validation[[#This Row],[AI_TRU1]]</f>
        <v>7</v>
      </c>
      <c r="AL5" t="str">
        <f t="shared" si="12"/>
        <v>Neutral</v>
      </c>
      <c r="AM5">
        <f>survey_responses[[#This Row],[Tôi tin rằng Nhà nước, cơ quan thuế sẽ thực thi chính sách mới một cách khách quan, công tâm và đối xử bình đẳng với mọi người nộp thuế.  - HUMAN-TRU1]]</f>
        <v>9</v>
      </c>
      <c r="AN5" t="str">
        <f t="shared" si="13"/>
        <v>Support</v>
      </c>
      <c r="AO5" s="32">
        <f t="shared" si="14"/>
        <v>2</v>
      </c>
      <c r="AP5">
        <f>step3_validation[[#This Row],[AI_TRU2]]</f>
        <v>8</v>
      </c>
      <c r="AQ5" t="str">
        <f t="shared" si="15"/>
        <v>Support</v>
      </c>
      <c r="AR5">
        <f>survey_responses[[#This Row],[Tôi thấy mức thuế tôi phải đóng theo phương án mới là công bằng (người thu nhập như tôi đóng mức này là hợp lý). - HUMAN-TRU2]]</f>
        <v>7</v>
      </c>
      <c r="AS5" t="str">
        <f t="shared" si="16"/>
        <v>Neutral</v>
      </c>
      <c r="AT5" s="32">
        <f t="shared" si="17"/>
        <v>1</v>
      </c>
      <c r="AU5">
        <f>step3_validation[[#This Row],[AI_TRU3]]</f>
        <v>7</v>
      </c>
      <c r="AV5" t="str">
        <f t="shared" si="18"/>
        <v>Neutral</v>
      </c>
      <c r="AW5">
        <f>survey_responses[[#This Row],[Tôi tin tưởng số tiền thuế tôi đóng sẽ được Nhà nước sử dụng hiệu quả để cải thiện dịch vụ công (y tế, đường xá...). - HUMAN-TRU3]]</f>
        <v>10</v>
      </c>
      <c r="AX5" t="str">
        <f t="shared" si="19"/>
        <v>Support</v>
      </c>
      <c r="AY5" s="32">
        <f t="shared" si="20"/>
        <v>3</v>
      </c>
      <c r="AZ5">
        <f>step3_validation[[#This Row],[AI_TRU4]]</f>
        <v>6</v>
      </c>
      <c r="BA5" t="str">
        <f t="shared" si="21"/>
        <v>Neutral</v>
      </c>
      <c r="BB5">
        <f>survey_responses[[#This Row],[Tôi thấy Nhà nước đã giải thích rõ ràng, minh bạch về lý do và mục tiêu của việc sửa đổi thuế lần này. - HUMAN-TRU4]]</f>
        <v>7</v>
      </c>
      <c r="BC5" t="str">
        <f t="shared" si="22"/>
        <v>Neutral</v>
      </c>
      <c r="BD5" s="32">
        <f t="shared" si="23"/>
        <v>1</v>
      </c>
      <c r="BE5">
        <f>step3_validation[[#This Row],[AI_OUT1]]</f>
        <v>8</v>
      </c>
      <c r="BF5" t="str">
        <f t="shared" si="24"/>
        <v>Support</v>
      </c>
      <c r="BG5">
        <f>survey_responses[[#This Row],[Sau khi xem xét các quyền lợi và nghĩa vụ, bạn có ủng hộ và tuân thủ chính sách mới hiện nay? - HUMAN-OUT1]]</f>
        <v>10</v>
      </c>
      <c r="BH5" t="str">
        <f t="shared" si="25"/>
        <v>Support</v>
      </c>
      <c r="BI5" s="32">
        <f t="shared" si="26"/>
        <v>2</v>
      </c>
    </row>
    <row r="6" spans="1:61" x14ac:dyDescent="0.45">
      <c r="A6" s="30">
        <f>step3_validation[[#This Row],[Persona_ID]]</f>
        <v>5</v>
      </c>
      <c r="B6" s="31">
        <f>step3_validation[[#This Row],[Used_Seed]]</f>
        <v>12349</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6</v>
      </c>
      <c r="R6" t="str">
        <f t="shared" si="0"/>
        <v>Neutral</v>
      </c>
      <c r="S6">
        <f>survey_responses[[#This Row],[Tôi tin rằng với các quy định quản lý thuế hiện nay, hành vi gian lận hoặc trốn thuế sẽ dễ dàng bị phát hiện và xử lý nghiêm. - HUMAN-ENF1]]</f>
        <v>9</v>
      </c>
      <c r="T6" t="str">
        <f t="shared" si="1"/>
        <v>Support</v>
      </c>
      <c r="U6" s="32">
        <f t="shared" si="2"/>
        <v>3</v>
      </c>
      <c r="V6">
        <f>step3_validation[[#This Row],[AI_ENF2]]</f>
        <v>7</v>
      </c>
      <c r="W6" t="str">
        <f t="shared" si="3"/>
        <v>Neutral</v>
      </c>
      <c r="X6">
        <f>survey_responses[[#This Row],[Tôi tin rằng Nhà nước, cơ quan thuế có đủ khả năng và công nghệ để phát hiện, xử lý nghiêm các hành vi trốn thuế. - HUMAN-ENF2]]</f>
        <v>9</v>
      </c>
      <c r="Y6" t="str">
        <f t="shared" si="4"/>
        <v>Support</v>
      </c>
      <c r="Z6" s="32">
        <f t="shared" si="5"/>
        <v>2</v>
      </c>
      <c r="AA6">
        <f>step3_validation[[#This Row],[AI_FAC1]]</f>
        <v>9</v>
      </c>
      <c r="AB6" t="str">
        <f t="shared" si="6"/>
        <v>Support</v>
      </c>
      <c r="AC6">
        <f>survey_responses[[#This Row],[Các thủ tục khai báo thuế VÀ/HOẶC quy trình làm việc với cơ quan thuế đơn giản, tiện lợi, nhanh chóng hơn so với trước đây. - HUMAN-FAC1]]</f>
        <v>10</v>
      </c>
      <c r="AD6" t="str">
        <f t="shared" si="7"/>
        <v>Support</v>
      </c>
      <c r="AE6" s="32">
        <f t="shared" si="8"/>
        <v>1</v>
      </c>
      <c r="AF6">
        <f>step3_validation[[#This Row],[AI_FAC2]]</f>
        <v>10</v>
      </c>
      <c r="AG6" t="str">
        <f t="shared" si="9"/>
        <v>Support</v>
      </c>
      <c r="AH6">
        <f>survey_responses[[#This Row],[So với trước đây, tôi thấy cách tính thuế và các bậc thuế trong phương án mới đơn giản, dễ hiểu và dễ thực hiện hơn. - HUMAN-FAC2]]</f>
        <v>9</v>
      </c>
      <c r="AI6" t="str">
        <f t="shared" si="10"/>
        <v>Support</v>
      </c>
      <c r="AJ6" s="32">
        <f t="shared" si="11"/>
        <v>1</v>
      </c>
      <c r="AK6">
        <f>step3_validation[[#This Row],[AI_TRU1]]</f>
        <v>8</v>
      </c>
      <c r="AL6" t="str">
        <f t="shared" si="12"/>
        <v>Support</v>
      </c>
      <c r="AM6">
        <f>survey_responses[[#This Row],[Tôi tin rằng Nhà nước, cơ quan thuế sẽ thực thi chính sách mới một cách khách quan, công tâm và đối xử bình đẳng với mọi người nộp thuế.  - HUMAN-TRU1]]</f>
        <v>9</v>
      </c>
      <c r="AN6" t="str">
        <f t="shared" si="13"/>
        <v>Support</v>
      </c>
      <c r="AO6" s="32">
        <f t="shared" si="14"/>
        <v>1</v>
      </c>
      <c r="AP6">
        <f>step3_validation[[#This Row],[AI_TRU2]]</f>
        <v>9</v>
      </c>
      <c r="AQ6" t="str">
        <f t="shared" si="15"/>
        <v>Support</v>
      </c>
      <c r="AR6">
        <f>survey_responses[[#This Row],[Tôi thấy mức thuế tôi phải đóng theo phương án mới là công bằng (người thu nhập như tôi đóng mức này là hợp lý). - HUMAN-TRU2]]</f>
        <v>9</v>
      </c>
      <c r="AS6" t="str">
        <f t="shared" si="16"/>
        <v>Support</v>
      </c>
      <c r="AT6" s="32">
        <f t="shared" si="17"/>
        <v>0</v>
      </c>
      <c r="AU6">
        <f>step3_validation[[#This Row],[AI_TRU3]]</f>
        <v>7</v>
      </c>
      <c r="AV6" t="str">
        <f t="shared" si="18"/>
        <v>Neutral</v>
      </c>
      <c r="AW6">
        <f>survey_responses[[#This Row],[Tôi tin tưởng số tiền thuế tôi đóng sẽ được Nhà nước sử dụng hiệu quả để cải thiện dịch vụ công (y tế, đường xá...). - HUMAN-TRU3]]</f>
        <v>9</v>
      </c>
      <c r="AX6" t="str">
        <f t="shared" si="19"/>
        <v>Support</v>
      </c>
      <c r="AY6" s="32">
        <f t="shared" si="20"/>
        <v>2</v>
      </c>
      <c r="AZ6">
        <f>step3_validation[[#This Row],[AI_TRU4]]</f>
        <v>8</v>
      </c>
      <c r="BA6" t="str">
        <f t="shared" si="21"/>
        <v>Support</v>
      </c>
      <c r="BB6">
        <f>survey_responses[[#This Row],[Tôi thấy Nhà nước đã giải thích rõ ràng, minh bạch về lý do và mục tiêu của việc sửa đổi thuế lần này. - HUMAN-TRU4]]</f>
        <v>9</v>
      </c>
      <c r="BC6" t="str">
        <f t="shared" si="22"/>
        <v>Support</v>
      </c>
      <c r="BD6" s="32">
        <f t="shared" si="23"/>
        <v>1</v>
      </c>
      <c r="BE6">
        <f>step3_validation[[#This Row],[AI_OUT1]]</f>
        <v>9</v>
      </c>
      <c r="BF6" t="str">
        <f t="shared" si="24"/>
        <v>Support</v>
      </c>
      <c r="BG6">
        <f>survey_responses[[#This Row],[Sau khi xem xét các quyền lợi và nghĩa vụ, bạn có ủng hộ và tuân thủ chính sách mới hiện nay? - HUMAN-OUT1]]</f>
        <v>9</v>
      </c>
      <c r="BH6" t="str">
        <f t="shared" si="25"/>
        <v>Support</v>
      </c>
      <c r="BI6" s="32">
        <f t="shared" si="26"/>
        <v>0</v>
      </c>
    </row>
    <row r="7" spans="1:61" x14ac:dyDescent="0.45">
      <c r="A7" s="30">
        <f>step3_validation[[#This Row],[Persona_ID]]</f>
        <v>6</v>
      </c>
      <c r="B7" s="31">
        <f>step3_validation[[#This Row],[Used_Seed]]</f>
        <v>12350</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100.9242271447424</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6</v>
      </c>
      <c r="R7" t="str">
        <f t="shared" si="0"/>
        <v>Neutral</v>
      </c>
      <c r="S7">
        <f>survey_responses[[#This Row],[Tôi tin rằng với các quy định quản lý thuế hiện nay, hành vi gian lận hoặc trốn thuế sẽ dễ dàng bị phát hiện và xử lý nghiêm. - HUMAN-ENF1]]</f>
        <v>8</v>
      </c>
      <c r="T7" t="str">
        <f t="shared" si="1"/>
        <v>Support</v>
      </c>
      <c r="U7" s="32">
        <f t="shared" si="2"/>
        <v>2</v>
      </c>
      <c r="V7">
        <f>step3_validation[[#This Row],[AI_ENF2]]</f>
        <v>8</v>
      </c>
      <c r="W7" t="str">
        <f t="shared" si="3"/>
        <v>Support</v>
      </c>
      <c r="X7">
        <f>survey_responses[[#This Row],[Tôi tin rằng Nhà nước, cơ quan thuế có đủ khả năng và công nghệ để phát hiện, xử lý nghiêm các hành vi trốn thuế. - HUMAN-ENF2]]</f>
        <v>8</v>
      </c>
      <c r="Y7" t="str">
        <f t="shared" si="4"/>
        <v>Support</v>
      </c>
      <c r="Z7" s="32">
        <f t="shared" si="5"/>
        <v>0</v>
      </c>
      <c r="AA7">
        <f>step3_validation[[#This Row],[AI_FAC1]]</f>
        <v>9</v>
      </c>
      <c r="AB7" t="str">
        <f t="shared" si="6"/>
        <v>Support</v>
      </c>
      <c r="AC7">
        <f>survey_responses[[#This Row],[Các thủ tục khai báo thuế VÀ/HOẶC quy trình làm việc với cơ quan thuế đơn giản, tiện lợi, nhanh chóng hơn so với trước đây. - HUMAN-FAC1]]</f>
        <v>5</v>
      </c>
      <c r="AD7" t="str">
        <f t="shared" si="7"/>
        <v>Neutral</v>
      </c>
      <c r="AE7" s="32">
        <f t="shared" si="8"/>
        <v>4</v>
      </c>
      <c r="AF7">
        <f>step3_validation[[#This Row],[AI_FAC2]]</f>
        <v>10</v>
      </c>
      <c r="AG7" t="str">
        <f t="shared" si="9"/>
        <v>Support</v>
      </c>
      <c r="AH7">
        <f>survey_responses[[#This Row],[So với trước đây, tôi thấy cách tính thuế và các bậc thuế trong phương án mới đơn giản, dễ hiểu và dễ thực hiện hơn. - HUMAN-FAC2]]</f>
        <v>8</v>
      </c>
      <c r="AI7" t="str">
        <f t="shared" si="10"/>
        <v>Support</v>
      </c>
      <c r="AJ7" s="32">
        <f t="shared" si="11"/>
        <v>2</v>
      </c>
      <c r="AK7">
        <f>step3_validation[[#This Row],[AI_TRU1]]</f>
        <v>9</v>
      </c>
      <c r="AL7" t="str">
        <f t="shared" si="12"/>
        <v>Support</v>
      </c>
      <c r="AM7">
        <f>survey_responses[[#This Row],[Tôi tin rằng Nhà nước, cơ quan thuế sẽ thực thi chính sách mới một cách khách quan, công tâm và đối xử bình đẳng với mọi người nộp thuế.  - HUMAN-TRU1]]</f>
        <v>6</v>
      </c>
      <c r="AN7" t="str">
        <f t="shared" si="13"/>
        <v>Neutral</v>
      </c>
      <c r="AO7" s="32">
        <f t="shared" si="14"/>
        <v>3</v>
      </c>
      <c r="AP7">
        <f>step3_validation[[#This Row],[AI_TRU2]]</f>
        <v>8</v>
      </c>
      <c r="AQ7" t="str">
        <f t="shared" si="15"/>
        <v>Support</v>
      </c>
      <c r="AR7">
        <f>survey_responses[[#This Row],[Tôi thấy mức thuế tôi phải đóng theo phương án mới là công bằng (người thu nhập như tôi đóng mức này là hợp lý). - HUMAN-TRU2]]</f>
        <v>6</v>
      </c>
      <c r="AS7" t="str">
        <f t="shared" si="16"/>
        <v>Neutral</v>
      </c>
      <c r="AT7" s="32">
        <f t="shared" si="17"/>
        <v>2</v>
      </c>
      <c r="AU7">
        <f>step3_validation[[#This Row],[AI_TRU3]]</f>
        <v>7</v>
      </c>
      <c r="AV7" t="str">
        <f t="shared" si="18"/>
        <v>Neutral</v>
      </c>
      <c r="AW7">
        <f>survey_responses[[#This Row],[Tôi tin tưởng số tiền thuế tôi đóng sẽ được Nhà nước sử dụng hiệu quả để cải thiện dịch vụ công (y tế, đường xá...). - HUMAN-TRU3]]</f>
        <v>4</v>
      </c>
      <c r="AX7" t="str">
        <f t="shared" si="19"/>
        <v>Oppose</v>
      </c>
      <c r="AY7" s="32">
        <f t="shared" si="20"/>
        <v>3</v>
      </c>
      <c r="AZ7">
        <f>step3_validation[[#This Row],[AI_TRU4]]</f>
        <v>8</v>
      </c>
      <c r="BA7" t="str">
        <f t="shared" si="21"/>
        <v>Support</v>
      </c>
      <c r="BB7">
        <f>survey_responses[[#This Row],[Tôi thấy Nhà nước đã giải thích rõ ràng, minh bạch về lý do và mục tiêu của việc sửa đổi thuế lần này. - HUMAN-TRU4]]</f>
        <v>5</v>
      </c>
      <c r="BC7" t="str">
        <f t="shared" si="22"/>
        <v>Neutral</v>
      </c>
      <c r="BD7" s="32">
        <f t="shared" si="23"/>
        <v>3</v>
      </c>
      <c r="BE7">
        <f>step3_validation[[#This Row],[AI_OUT1]]</f>
        <v>9</v>
      </c>
      <c r="BF7" t="str">
        <f t="shared" si="24"/>
        <v>Support</v>
      </c>
      <c r="BG7">
        <f>survey_responses[[#This Row],[Sau khi xem xét các quyền lợi và nghĩa vụ, bạn có ủng hộ và tuân thủ chính sách mới hiện nay? - HUMAN-OUT1]]</f>
        <v>6</v>
      </c>
      <c r="BH7" t="str">
        <f t="shared" si="25"/>
        <v>Neutral</v>
      </c>
      <c r="BI7" s="32">
        <f t="shared" si="26"/>
        <v>3</v>
      </c>
    </row>
    <row r="8" spans="1:61" x14ac:dyDescent="0.45">
      <c r="A8" s="30">
        <f>step3_validation[[#This Row],[Persona_ID]]</f>
        <v>7</v>
      </c>
      <c r="B8" s="31">
        <f>step3_validation[[#This Row],[Used_Seed]]</f>
        <v>12351</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18.691318692838557</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6</v>
      </c>
      <c r="R8" t="str">
        <f t="shared" si="0"/>
        <v>Neutral</v>
      </c>
      <c r="S8">
        <f>survey_responses[[#This Row],[Tôi tin rằng với các quy định quản lý thuế hiện nay, hành vi gian lận hoặc trốn thuế sẽ dễ dàng bị phát hiện và xử lý nghiêm. - HUMAN-ENF1]]</f>
        <v>5</v>
      </c>
      <c r="T8" t="str">
        <f t="shared" si="1"/>
        <v>Neutral</v>
      </c>
      <c r="U8" s="32">
        <f t="shared" si="2"/>
        <v>1</v>
      </c>
      <c r="V8">
        <f>step3_validation[[#This Row],[AI_ENF2]]</f>
        <v>7</v>
      </c>
      <c r="W8" t="str">
        <f t="shared" si="3"/>
        <v>Neutral</v>
      </c>
      <c r="X8">
        <f>survey_responses[[#This Row],[Tôi tin rằng Nhà nước, cơ quan thuế có đủ khả năng và công nghệ để phát hiện, xử lý nghiêm các hành vi trốn thuế. - HUMAN-ENF2]]</f>
        <v>4</v>
      </c>
      <c r="Y8" t="str">
        <f t="shared" si="4"/>
        <v>Oppose</v>
      </c>
      <c r="Z8" s="32">
        <f t="shared" si="5"/>
        <v>3</v>
      </c>
      <c r="AA8">
        <f>step3_validation[[#This Row],[AI_FAC1]]</f>
        <v>8</v>
      </c>
      <c r="AB8" t="str">
        <f t="shared" si="6"/>
        <v>Support</v>
      </c>
      <c r="AC8">
        <f>survey_responses[[#This Row],[Các thủ tục khai báo thuế VÀ/HOẶC quy trình làm việc với cơ quan thuế đơn giản, tiện lợi, nhanh chóng hơn so với trước đây. - HUMAN-FAC1]]</f>
        <v>4</v>
      </c>
      <c r="AD8" t="str">
        <f t="shared" si="7"/>
        <v>Oppose</v>
      </c>
      <c r="AE8" s="32">
        <f t="shared" si="8"/>
        <v>4</v>
      </c>
      <c r="AF8">
        <f>step3_validation[[#This Row],[AI_FAC2]]</f>
        <v>9</v>
      </c>
      <c r="AG8" t="str">
        <f t="shared" si="9"/>
        <v>Support</v>
      </c>
      <c r="AH8">
        <f>survey_responses[[#This Row],[So với trước đây, tôi thấy cách tính thuế và các bậc thuế trong phương án mới đơn giản, dễ hiểu và dễ thực hiện hơn. - HUMAN-FAC2]]</f>
        <v>6</v>
      </c>
      <c r="AI8" t="str">
        <f t="shared" si="10"/>
        <v>Neutral</v>
      </c>
      <c r="AJ8" s="32">
        <f t="shared" si="11"/>
        <v>3</v>
      </c>
      <c r="AK8">
        <f>step3_validation[[#This Row],[AI_TRU1]]</f>
        <v>7</v>
      </c>
      <c r="AL8" t="str">
        <f t="shared" si="12"/>
        <v>Neutral</v>
      </c>
      <c r="AM8">
        <f>survey_responses[[#This Row],[Tôi tin rằng Nhà nước, cơ quan thuế sẽ thực thi chính sách mới một cách khách quan, công tâm và đối xử bình đẳng với mọi người nộp thuế.  - HUMAN-TRU1]]</f>
        <v>6</v>
      </c>
      <c r="AN8" t="str">
        <f t="shared" si="13"/>
        <v>Neutral</v>
      </c>
      <c r="AO8" s="32">
        <f t="shared" si="14"/>
        <v>1</v>
      </c>
      <c r="AP8">
        <f>step3_validation[[#This Row],[AI_TRU2]]</f>
        <v>9</v>
      </c>
      <c r="AQ8" t="str">
        <f t="shared" si="15"/>
        <v>Support</v>
      </c>
      <c r="AR8">
        <f>survey_responses[[#This Row],[Tôi thấy mức thuế tôi phải đóng theo phương án mới là công bằng (người thu nhập như tôi đóng mức này là hợp lý). - HUMAN-TRU2]]</f>
        <v>7</v>
      </c>
      <c r="AS8" t="str">
        <f t="shared" si="16"/>
        <v>Neutral</v>
      </c>
      <c r="AT8" s="32">
        <f t="shared" si="17"/>
        <v>2</v>
      </c>
      <c r="AU8">
        <f>step3_validation[[#This Row],[AI_TRU3]]</f>
        <v>8</v>
      </c>
      <c r="AV8" t="str">
        <f t="shared" si="18"/>
        <v>Support</v>
      </c>
      <c r="AW8">
        <f>survey_responses[[#This Row],[Tôi tin tưởng số tiền thuế tôi đóng sẽ được Nhà nước sử dụng hiệu quả để cải thiện dịch vụ công (y tế, đường xá...). - HUMAN-TRU3]]</f>
        <v>2</v>
      </c>
      <c r="AX8" t="str">
        <f t="shared" si="19"/>
        <v>Oppose</v>
      </c>
      <c r="AY8" s="32">
        <f t="shared" si="20"/>
        <v>6</v>
      </c>
      <c r="AZ8">
        <f>step3_validation[[#This Row],[AI_TRU4]]</f>
        <v>6</v>
      </c>
      <c r="BA8" t="str">
        <f t="shared" si="21"/>
        <v>Neutral</v>
      </c>
      <c r="BB8">
        <f>survey_responses[[#This Row],[Tôi thấy Nhà nước đã giải thích rõ ràng, minh bạch về lý do và mục tiêu của việc sửa đổi thuế lần này. - HUMAN-TRU4]]</f>
        <v>4</v>
      </c>
      <c r="BC8" t="str">
        <f t="shared" si="22"/>
        <v>Oppose</v>
      </c>
      <c r="BD8" s="32">
        <f t="shared" si="23"/>
        <v>2</v>
      </c>
      <c r="BE8">
        <f>step3_validation[[#This Row],[AI_OUT1]]</f>
        <v>9</v>
      </c>
      <c r="BF8" t="str">
        <f t="shared" si="24"/>
        <v>Support</v>
      </c>
      <c r="BG8">
        <f>survey_responses[[#This Row],[Sau khi xem xét các quyền lợi và nghĩa vụ, bạn có ủng hộ và tuân thủ chính sách mới hiện nay? - HUMAN-OUT1]]</f>
        <v>4</v>
      </c>
      <c r="BH8" t="str">
        <f t="shared" si="25"/>
        <v>Oppose</v>
      </c>
      <c r="BI8" s="32">
        <f t="shared" si="26"/>
        <v>5</v>
      </c>
    </row>
    <row r="9" spans="1:61" x14ac:dyDescent="0.45">
      <c r="A9" s="30">
        <f>step3_validation[[#This Row],[Persona_ID]]</f>
        <v>8</v>
      </c>
      <c r="B9" s="31">
        <f>step3_validation[[#This Row],[Used_Seed]]</f>
        <v>12352</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t="str">
        <f t="shared" si="0"/>
        <v>Neutral</v>
      </c>
      <c r="S9">
        <f>survey_responses[[#This Row],[Tôi tin rằng với các quy định quản lý thuế hiện nay, hành vi gian lận hoặc trốn thuế sẽ dễ dàng bị phát hiện và xử lý nghiêm. - HUMAN-ENF1]]</f>
        <v>1</v>
      </c>
      <c r="T9" t="str">
        <f t="shared" si="1"/>
        <v>Oppose</v>
      </c>
      <c r="U9" s="32">
        <f t="shared" si="2"/>
        <v>6</v>
      </c>
      <c r="V9">
        <f>step3_validation[[#This Row],[AI_ENF2]]</f>
        <v>6</v>
      </c>
      <c r="W9" t="str">
        <f t="shared" si="3"/>
        <v>Neutral</v>
      </c>
      <c r="X9">
        <f>survey_responses[[#This Row],[Tôi tin rằng Nhà nước, cơ quan thuế có đủ khả năng và công nghệ để phát hiện, xử lý nghiêm các hành vi trốn thuế. - HUMAN-ENF2]]</f>
        <v>1</v>
      </c>
      <c r="Y9" t="str">
        <f t="shared" si="4"/>
        <v>Oppose</v>
      </c>
      <c r="Z9" s="32">
        <f t="shared" si="5"/>
        <v>5</v>
      </c>
      <c r="AA9">
        <f>step3_validation[[#This Row],[AI_FAC1]]</f>
        <v>4</v>
      </c>
      <c r="AB9" t="str">
        <f t="shared" si="6"/>
        <v>Oppose</v>
      </c>
      <c r="AC9">
        <f>survey_responses[[#This Row],[Các thủ tục khai báo thuế VÀ/HOẶC quy trình làm việc với cơ quan thuế đơn giản, tiện lợi, nhanh chóng hơn so với trước đây. - HUMAN-FAC1]]</f>
        <v>2</v>
      </c>
      <c r="AD9" t="str">
        <f t="shared" si="7"/>
        <v>Oppose</v>
      </c>
      <c r="AE9" s="32">
        <f t="shared" si="8"/>
        <v>2</v>
      </c>
      <c r="AF9">
        <f>step3_validation[[#This Row],[AI_FAC2]]</f>
        <v>8</v>
      </c>
      <c r="AG9" t="str">
        <f t="shared" si="9"/>
        <v>Support</v>
      </c>
      <c r="AH9">
        <f>survey_responses[[#This Row],[So với trước đây, tôi thấy cách tính thuế và các bậc thuế trong phương án mới đơn giản, dễ hiểu và dễ thực hiện hơn. - HUMAN-FAC2]]</f>
        <v>3</v>
      </c>
      <c r="AI9" t="str">
        <f t="shared" si="10"/>
        <v>Oppose</v>
      </c>
      <c r="AJ9" s="32">
        <f t="shared" si="11"/>
        <v>5</v>
      </c>
      <c r="AK9">
        <f>step3_validation[[#This Row],[AI_TRU1]]</f>
        <v>9</v>
      </c>
      <c r="AL9" t="str">
        <f t="shared" si="12"/>
        <v>Support</v>
      </c>
      <c r="AM9">
        <f>survey_responses[[#This Row],[Tôi tin rằng Nhà nước, cơ quan thuế sẽ thực thi chính sách mới một cách khách quan, công tâm và đối xử bình đẳng với mọi người nộp thuế.  - HUMAN-TRU1]]</f>
        <v>6</v>
      </c>
      <c r="AN9" t="str">
        <f t="shared" si="13"/>
        <v>Neutral</v>
      </c>
      <c r="AO9" s="32">
        <f t="shared" si="14"/>
        <v>3</v>
      </c>
      <c r="AP9">
        <f>step3_validation[[#This Row],[AI_TRU2]]</f>
        <v>8</v>
      </c>
      <c r="AQ9" t="str">
        <f t="shared" si="15"/>
        <v>Support</v>
      </c>
      <c r="AR9">
        <f>survey_responses[[#This Row],[Tôi thấy mức thuế tôi phải đóng theo phương án mới là công bằng (người thu nhập như tôi đóng mức này là hợp lý). - HUMAN-TRU2]]</f>
        <v>2</v>
      </c>
      <c r="AS9" t="str">
        <f t="shared" si="16"/>
        <v>Oppose</v>
      </c>
      <c r="AT9" s="32">
        <f t="shared" si="17"/>
        <v>6</v>
      </c>
      <c r="AU9">
        <f>step3_validation[[#This Row],[AI_TRU3]]</f>
        <v>9</v>
      </c>
      <c r="AV9" t="str">
        <f t="shared" si="18"/>
        <v>Support</v>
      </c>
      <c r="AW9">
        <f>survey_responses[[#This Row],[Tôi tin tưởng số tiền thuế tôi đóng sẽ được Nhà nước sử dụng hiệu quả để cải thiện dịch vụ công (y tế, đường xá...). - HUMAN-TRU3]]</f>
        <v>7</v>
      </c>
      <c r="AX9" t="str">
        <f t="shared" si="19"/>
        <v>Neutral</v>
      </c>
      <c r="AY9" s="32">
        <f t="shared" si="20"/>
        <v>2</v>
      </c>
      <c r="AZ9">
        <f>step3_validation[[#This Row],[AI_TRU4]]</f>
        <v>7</v>
      </c>
      <c r="BA9" t="str">
        <f t="shared" si="21"/>
        <v>Neutral</v>
      </c>
      <c r="BB9">
        <f>survey_responses[[#This Row],[Tôi thấy Nhà nước đã giải thích rõ ràng, minh bạch về lý do và mục tiêu của việc sửa đổi thuế lần này. - HUMAN-TRU4]]</f>
        <v>3</v>
      </c>
      <c r="BC9" t="str">
        <f t="shared" si="22"/>
        <v>Oppose</v>
      </c>
      <c r="BD9" s="32">
        <f t="shared" si="23"/>
        <v>4</v>
      </c>
      <c r="BE9">
        <f>step3_validation[[#This Row],[AI_OUT1]]</f>
        <v>9</v>
      </c>
      <c r="BF9" t="str">
        <f t="shared" si="24"/>
        <v>Support</v>
      </c>
      <c r="BG9">
        <f>survey_responses[[#This Row],[Sau khi xem xét các quyền lợi và nghĩa vụ, bạn có ủng hộ và tuân thủ chính sách mới hiện nay? - HUMAN-OUT1]]</f>
        <v>3</v>
      </c>
      <c r="BH9" t="str">
        <f t="shared" si="25"/>
        <v>Oppose</v>
      </c>
      <c r="BI9" s="32">
        <f t="shared" si="26"/>
        <v>6</v>
      </c>
    </row>
    <row r="10" spans="1:61" x14ac:dyDescent="0.45">
      <c r="A10" s="30">
        <f>step3_validation[[#This Row],[Persona_ID]]</f>
        <v>9</v>
      </c>
      <c r="B10" s="31">
        <f>step3_validation[[#This Row],[Used_Seed]]</f>
        <v>12353</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14.325396151387569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t="str">
        <f t="shared" si="0"/>
        <v>Neutral</v>
      </c>
      <c r="S10">
        <f>survey_responses[[#This Row],[Tôi tin rằng với các quy định quản lý thuế hiện nay, hành vi gian lận hoặc trốn thuế sẽ dễ dàng bị phát hiện và xử lý nghiêm. - HUMAN-ENF1]]</f>
        <v>10</v>
      </c>
      <c r="T10" t="str">
        <f t="shared" si="1"/>
        <v>Support</v>
      </c>
      <c r="U10" s="32">
        <f t="shared" si="2"/>
        <v>3</v>
      </c>
      <c r="V10">
        <f>step3_validation[[#This Row],[AI_ENF2]]</f>
        <v>6</v>
      </c>
      <c r="W10" t="str">
        <f t="shared" si="3"/>
        <v>Neutral</v>
      </c>
      <c r="X10">
        <f>survey_responses[[#This Row],[Tôi tin rằng Nhà nước, cơ quan thuế có đủ khả năng và công nghệ để phát hiện, xử lý nghiêm các hành vi trốn thuế. - HUMAN-ENF2]]</f>
        <v>10</v>
      </c>
      <c r="Y10" t="str">
        <f t="shared" si="4"/>
        <v>Support</v>
      </c>
      <c r="Z10" s="32">
        <f t="shared" si="5"/>
        <v>4</v>
      </c>
      <c r="AA10">
        <f>step3_validation[[#This Row],[AI_FAC1]]</f>
        <v>9</v>
      </c>
      <c r="AB10" t="str">
        <f t="shared" si="6"/>
        <v>Support</v>
      </c>
      <c r="AC10">
        <f>survey_responses[[#This Row],[Các thủ tục khai báo thuế VÀ/HOẶC quy trình làm việc với cơ quan thuế đơn giản, tiện lợi, nhanh chóng hơn so với trước đây. - HUMAN-FAC1]]</f>
        <v>8</v>
      </c>
      <c r="AD10" t="str">
        <f t="shared" si="7"/>
        <v>Support</v>
      </c>
      <c r="AE10" s="32">
        <f t="shared" si="8"/>
        <v>1</v>
      </c>
      <c r="AF10">
        <f>step3_validation[[#This Row],[AI_FAC2]]</f>
        <v>8</v>
      </c>
      <c r="AG10" t="str">
        <f t="shared" si="9"/>
        <v>Support</v>
      </c>
      <c r="AH10">
        <f>survey_responses[[#This Row],[So với trước đây, tôi thấy cách tính thuế và các bậc thuế trong phương án mới đơn giản, dễ hiểu và dễ thực hiện hơn. - HUMAN-FAC2]]</f>
        <v>7</v>
      </c>
      <c r="AI10" t="str">
        <f t="shared" si="10"/>
        <v>Neutral</v>
      </c>
      <c r="AJ10" s="32">
        <f t="shared" si="11"/>
        <v>1</v>
      </c>
      <c r="AK10">
        <f>step3_validation[[#This Row],[AI_TRU1]]</f>
        <v>7</v>
      </c>
      <c r="AL10" t="str">
        <f t="shared" si="12"/>
        <v>Neutral</v>
      </c>
      <c r="AM10">
        <f>survey_responses[[#This Row],[Tôi tin rằng Nhà nước, cơ quan thuế sẽ thực thi chính sách mới một cách khách quan, công tâm và đối xử bình đẳng với mọi người nộp thuế.  - HUMAN-TRU1]]</f>
        <v>7</v>
      </c>
      <c r="AN10" t="str">
        <f t="shared" si="13"/>
        <v>Neutral</v>
      </c>
      <c r="AO10" s="32">
        <f t="shared" si="14"/>
        <v>0</v>
      </c>
      <c r="AP10">
        <f>step3_validation[[#This Row],[AI_TRU2]]</f>
        <v>8</v>
      </c>
      <c r="AQ10" t="str">
        <f t="shared" si="15"/>
        <v>Support</v>
      </c>
      <c r="AR10">
        <f>survey_responses[[#This Row],[Tôi thấy mức thuế tôi phải đóng theo phương án mới là công bằng (người thu nhập như tôi đóng mức này là hợp lý). - HUMAN-TRU2]]</f>
        <v>5</v>
      </c>
      <c r="AS10" t="str">
        <f t="shared" si="16"/>
        <v>Neutral</v>
      </c>
      <c r="AT10" s="32">
        <f t="shared" si="17"/>
        <v>3</v>
      </c>
      <c r="AU10">
        <f>step3_validation[[#This Row],[AI_TRU3]]</f>
        <v>7</v>
      </c>
      <c r="AV10" t="str">
        <f t="shared" si="18"/>
        <v>Neutral</v>
      </c>
      <c r="AW10">
        <f>survey_responses[[#This Row],[Tôi tin tưởng số tiền thuế tôi đóng sẽ được Nhà nước sử dụng hiệu quả để cải thiện dịch vụ công (y tế, đường xá...). - HUMAN-TRU3]]</f>
        <v>5</v>
      </c>
      <c r="AX10" t="str">
        <f t="shared" si="19"/>
        <v>Neutral</v>
      </c>
      <c r="AY10" s="32">
        <f t="shared" si="20"/>
        <v>2</v>
      </c>
      <c r="AZ10">
        <f>step3_validation[[#This Row],[AI_TRU4]]</f>
        <v>6</v>
      </c>
      <c r="BA10" t="str">
        <f t="shared" si="21"/>
        <v>Neutral</v>
      </c>
      <c r="BB10">
        <f>survey_responses[[#This Row],[Tôi thấy Nhà nước đã giải thích rõ ràng, minh bạch về lý do và mục tiêu của việc sửa đổi thuế lần này. - HUMAN-TRU4]]</f>
        <v>9</v>
      </c>
      <c r="BC10" t="str">
        <f t="shared" si="22"/>
        <v>Support</v>
      </c>
      <c r="BD10" s="32">
        <f t="shared" si="23"/>
        <v>3</v>
      </c>
      <c r="BE10">
        <f>step3_validation[[#This Row],[AI_OUT1]]</f>
        <v>8</v>
      </c>
      <c r="BF10" t="str">
        <f t="shared" si="24"/>
        <v>Support</v>
      </c>
      <c r="BG10">
        <f>survey_responses[[#This Row],[Sau khi xem xét các quyền lợi và nghĩa vụ, bạn có ủng hộ và tuân thủ chính sách mới hiện nay? - HUMAN-OUT1]]</f>
        <v>8</v>
      </c>
      <c r="BH10" t="str">
        <f t="shared" si="25"/>
        <v>Support</v>
      </c>
      <c r="BI10" s="32">
        <f t="shared" si="26"/>
        <v>0</v>
      </c>
    </row>
    <row r="11" spans="1:61" x14ac:dyDescent="0.45">
      <c r="A11" s="30">
        <f>step3_validation[[#This Row],[Persona_ID]]</f>
        <v>10</v>
      </c>
      <c r="B11" s="31">
        <f>step3_validation[[#This Row],[Used_Seed]]</f>
        <v>12354</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19.914375440519994</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6</v>
      </c>
      <c r="R11" t="str">
        <f t="shared" si="0"/>
        <v>Neutral</v>
      </c>
      <c r="S11">
        <f>survey_responses[[#This Row],[Tôi tin rằng với các quy định quản lý thuế hiện nay, hành vi gian lận hoặc trốn thuế sẽ dễ dàng bị phát hiện và xử lý nghiêm. - HUMAN-ENF1]]</f>
        <v>7</v>
      </c>
      <c r="T11" t="str">
        <f t="shared" si="1"/>
        <v>Neutral</v>
      </c>
      <c r="U11" s="32">
        <f t="shared" si="2"/>
        <v>1</v>
      </c>
      <c r="V11">
        <f>step3_validation[[#This Row],[AI_ENF2]]</f>
        <v>7</v>
      </c>
      <c r="W11" t="str">
        <f t="shared" si="3"/>
        <v>Neutral</v>
      </c>
      <c r="X11">
        <f>survey_responses[[#This Row],[Tôi tin rằng Nhà nước, cơ quan thuế có đủ khả năng và công nghệ để phát hiện, xử lý nghiêm các hành vi trốn thuế. - HUMAN-ENF2]]</f>
        <v>10</v>
      </c>
      <c r="Y11" t="str">
        <f t="shared" si="4"/>
        <v>Support</v>
      </c>
      <c r="Z11" s="32">
        <f t="shared" si="5"/>
        <v>3</v>
      </c>
      <c r="AA11">
        <f>step3_validation[[#This Row],[AI_FAC1]]</f>
        <v>8</v>
      </c>
      <c r="AB11" t="str">
        <f t="shared" si="6"/>
        <v>Support</v>
      </c>
      <c r="AC11">
        <f>survey_responses[[#This Row],[Các thủ tục khai báo thuế VÀ/HOẶC quy trình làm việc với cơ quan thuế đơn giản, tiện lợi, nhanh chóng hơn so với trước đây. - HUMAN-FAC1]]</f>
        <v>1</v>
      </c>
      <c r="AD11" t="str">
        <f t="shared" si="7"/>
        <v>Oppose</v>
      </c>
      <c r="AE11" s="32">
        <f t="shared" si="8"/>
        <v>7</v>
      </c>
      <c r="AF11">
        <f>step3_validation[[#This Row],[AI_FAC2]]</f>
        <v>9</v>
      </c>
      <c r="AG11" t="str">
        <f t="shared" si="9"/>
        <v>Support</v>
      </c>
      <c r="AH11">
        <f>survey_responses[[#This Row],[So với trước đây, tôi thấy cách tính thuế và các bậc thuế trong phương án mới đơn giản, dễ hiểu và dễ thực hiện hơn. - HUMAN-FAC2]]</f>
        <v>5</v>
      </c>
      <c r="AI11" t="str">
        <f t="shared" si="10"/>
        <v>Neutral</v>
      </c>
      <c r="AJ11" s="32">
        <f t="shared" si="11"/>
        <v>4</v>
      </c>
      <c r="AK11">
        <f>step3_validation[[#This Row],[AI_TRU1]]</f>
        <v>7</v>
      </c>
      <c r="AL11" t="str">
        <f t="shared" si="12"/>
        <v>Neutral</v>
      </c>
      <c r="AM11">
        <f>survey_responses[[#This Row],[Tôi tin rằng Nhà nước, cơ quan thuế sẽ thực thi chính sách mới một cách khách quan, công tâm và đối xử bình đẳng với mọi người nộp thuế.  - HUMAN-TRU1]]</f>
        <v>8</v>
      </c>
      <c r="AN11" t="str">
        <f t="shared" si="13"/>
        <v>Support</v>
      </c>
      <c r="AO11" s="32">
        <f t="shared" si="14"/>
        <v>1</v>
      </c>
      <c r="AP11">
        <f>step3_validation[[#This Row],[AI_TRU2]]</f>
        <v>9</v>
      </c>
      <c r="AQ11" t="str">
        <f t="shared" si="15"/>
        <v>Support</v>
      </c>
      <c r="AR11">
        <f>survey_responses[[#This Row],[Tôi thấy mức thuế tôi phải đóng theo phương án mới là công bằng (người thu nhập như tôi đóng mức này là hợp lý). - HUMAN-TRU2]]</f>
        <v>5</v>
      </c>
      <c r="AS11" t="str">
        <f t="shared" si="16"/>
        <v>Neutral</v>
      </c>
      <c r="AT11" s="32">
        <f t="shared" si="17"/>
        <v>4</v>
      </c>
      <c r="AU11">
        <f>step3_validation[[#This Row],[AI_TRU3]]</f>
        <v>8</v>
      </c>
      <c r="AV11" t="str">
        <f t="shared" si="18"/>
        <v>Support</v>
      </c>
      <c r="AW11">
        <f>survey_responses[[#This Row],[Tôi tin tưởng số tiền thuế tôi đóng sẽ được Nhà nước sử dụng hiệu quả để cải thiện dịch vụ công (y tế, đường xá...). - HUMAN-TRU3]]</f>
        <v>5</v>
      </c>
      <c r="AX11" t="str">
        <f t="shared" si="19"/>
        <v>Neutral</v>
      </c>
      <c r="AY11" s="32">
        <f t="shared" si="20"/>
        <v>3</v>
      </c>
      <c r="AZ11">
        <f>step3_validation[[#This Row],[AI_TRU4]]</f>
        <v>9</v>
      </c>
      <c r="BA11" t="str">
        <f t="shared" si="21"/>
        <v>Support</v>
      </c>
      <c r="BB11">
        <f>survey_responses[[#This Row],[Tôi thấy Nhà nước đã giải thích rõ ràng, minh bạch về lý do và mục tiêu của việc sửa đổi thuế lần này. - HUMAN-TRU4]]</f>
        <v>5</v>
      </c>
      <c r="BC11" t="str">
        <f t="shared" si="22"/>
        <v>Neutral</v>
      </c>
      <c r="BD11" s="32">
        <f t="shared" si="23"/>
        <v>4</v>
      </c>
      <c r="BE11">
        <f>step3_validation[[#This Row],[AI_OUT1]]</f>
        <v>8</v>
      </c>
      <c r="BF11" t="str">
        <f t="shared" si="24"/>
        <v>Support</v>
      </c>
      <c r="BG11">
        <f>survey_responses[[#This Row],[Sau khi xem xét các quyền lợi và nghĩa vụ, bạn có ủng hộ và tuân thủ chính sách mới hiện nay? - HUMAN-OUT1]]</f>
        <v>10</v>
      </c>
      <c r="BH11" t="str">
        <f t="shared" si="25"/>
        <v>Support</v>
      </c>
      <c r="BI11" s="32">
        <f t="shared" si="26"/>
        <v>2</v>
      </c>
    </row>
    <row r="12" spans="1:61" x14ac:dyDescent="0.45">
      <c r="A12" s="30">
        <f>step3_validation[[#This Row],[Persona_ID]]</f>
        <v>11</v>
      </c>
      <c r="B12" s="31">
        <f>step3_validation[[#This Row],[Used_Seed]]</f>
        <v>12355</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42.066556778740022</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6</v>
      </c>
      <c r="R12" t="str">
        <f t="shared" si="0"/>
        <v>Neutral</v>
      </c>
      <c r="S12">
        <f>survey_responses[[#This Row],[Tôi tin rằng với các quy định quản lý thuế hiện nay, hành vi gian lận hoặc trốn thuế sẽ dễ dàng bị phát hiện và xử lý nghiêm. - HUMAN-ENF1]]</f>
        <v>10</v>
      </c>
      <c r="T12" t="str">
        <f t="shared" si="1"/>
        <v>Support</v>
      </c>
      <c r="U12" s="32">
        <f t="shared" si="2"/>
        <v>4</v>
      </c>
      <c r="V12">
        <f>step3_validation[[#This Row],[AI_ENF2]]</f>
        <v>7</v>
      </c>
      <c r="W12" t="str">
        <f t="shared" si="3"/>
        <v>Neutral</v>
      </c>
      <c r="X12">
        <f>survey_responses[[#This Row],[Tôi tin rằng Nhà nước, cơ quan thuế có đủ khả năng và công nghệ để phát hiện, xử lý nghiêm các hành vi trốn thuế. - HUMAN-ENF2]]</f>
        <v>3</v>
      </c>
      <c r="Y12" t="str">
        <f t="shared" si="4"/>
        <v>Oppose</v>
      </c>
      <c r="Z12" s="32">
        <f t="shared" si="5"/>
        <v>4</v>
      </c>
      <c r="AA12">
        <f>step3_validation[[#This Row],[AI_FAC1]]</f>
        <v>8</v>
      </c>
      <c r="AB12" t="str">
        <f t="shared" si="6"/>
        <v>Support</v>
      </c>
      <c r="AC12">
        <f>survey_responses[[#This Row],[Các thủ tục khai báo thuế VÀ/HOẶC quy trình làm việc với cơ quan thuế đơn giản, tiện lợi, nhanh chóng hơn so với trước đây. - HUMAN-FAC1]]</f>
        <v>1</v>
      </c>
      <c r="AD12" t="str">
        <f t="shared" si="7"/>
        <v>Oppose</v>
      </c>
      <c r="AE12" s="32">
        <f t="shared" si="8"/>
        <v>7</v>
      </c>
      <c r="AF12">
        <f>step3_validation[[#This Row],[AI_FAC2]]</f>
        <v>9</v>
      </c>
      <c r="AG12" t="str">
        <f t="shared" si="9"/>
        <v>Support</v>
      </c>
      <c r="AH12">
        <f>survey_responses[[#This Row],[So với trước đây, tôi thấy cách tính thuế và các bậc thuế trong phương án mới đơn giản, dễ hiểu và dễ thực hiện hơn. - HUMAN-FAC2]]</f>
        <v>7</v>
      </c>
      <c r="AI12" t="str">
        <f t="shared" si="10"/>
        <v>Neutral</v>
      </c>
      <c r="AJ12" s="32">
        <f t="shared" si="11"/>
        <v>2</v>
      </c>
      <c r="AK12">
        <f>step3_validation[[#This Row],[AI_TRU1]]</f>
        <v>7</v>
      </c>
      <c r="AL12" t="str">
        <f t="shared" si="12"/>
        <v>Neutral</v>
      </c>
      <c r="AM12">
        <f>survey_responses[[#This Row],[Tôi tin rằng Nhà nước, cơ quan thuế sẽ thực thi chính sách mới một cách khách quan, công tâm và đối xử bình đẳng với mọi người nộp thuế.  - HUMAN-TRU1]]</f>
        <v>1</v>
      </c>
      <c r="AN12" t="str">
        <f t="shared" si="13"/>
        <v>Oppose</v>
      </c>
      <c r="AO12" s="32">
        <f t="shared" si="14"/>
        <v>6</v>
      </c>
      <c r="AP12">
        <f>step3_validation[[#This Row],[AI_TRU2]]</f>
        <v>9</v>
      </c>
      <c r="AQ12" t="str">
        <f t="shared" si="15"/>
        <v>Support</v>
      </c>
      <c r="AR12">
        <f>survey_responses[[#This Row],[Tôi thấy mức thuế tôi phải đóng theo phương án mới là công bằng (người thu nhập như tôi đóng mức này là hợp lý). - HUMAN-TRU2]]</f>
        <v>5</v>
      </c>
      <c r="AS12" t="str">
        <f t="shared" si="16"/>
        <v>Neutral</v>
      </c>
      <c r="AT12" s="32">
        <f t="shared" si="17"/>
        <v>4</v>
      </c>
      <c r="AU12">
        <f>step3_validation[[#This Row],[AI_TRU3]]</f>
        <v>8</v>
      </c>
      <c r="AV12" t="str">
        <f t="shared" si="18"/>
        <v>Support</v>
      </c>
      <c r="AW12">
        <f>survey_responses[[#This Row],[Tôi tin tưởng số tiền thuế tôi đóng sẽ được Nhà nước sử dụng hiệu quả để cải thiện dịch vụ công (y tế, đường xá...). - HUMAN-TRU3]]</f>
        <v>1</v>
      </c>
      <c r="AX12" t="str">
        <f t="shared" si="19"/>
        <v>Oppose</v>
      </c>
      <c r="AY12" s="32">
        <f t="shared" si="20"/>
        <v>7</v>
      </c>
      <c r="AZ12">
        <f>step3_validation[[#This Row],[AI_TRU4]]</f>
        <v>7</v>
      </c>
      <c r="BA12" t="str">
        <f t="shared" si="21"/>
        <v>Neutral</v>
      </c>
      <c r="BB12">
        <f>survey_responses[[#This Row],[Tôi thấy Nhà nước đã giải thích rõ ràng, minh bạch về lý do và mục tiêu của việc sửa đổi thuế lần này. - HUMAN-TRU4]]</f>
        <v>8</v>
      </c>
      <c r="BC12" t="str">
        <f t="shared" si="22"/>
        <v>Support</v>
      </c>
      <c r="BD12" s="32">
        <f t="shared" si="23"/>
        <v>1</v>
      </c>
      <c r="BE12">
        <f>step3_validation[[#This Row],[AI_OUT1]]</f>
        <v>8</v>
      </c>
      <c r="BF12" t="str">
        <f t="shared" si="24"/>
        <v>Support</v>
      </c>
      <c r="BG12">
        <f>survey_responses[[#This Row],[Sau khi xem xét các quyền lợi và nghĩa vụ, bạn có ủng hộ và tuân thủ chính sách mới hiện nay? - HUMAN-OUT1]]</f>
        <v>6</v>
      </c>
      <c r="BH12" t="str">
        <f t="shared" si="25"/>
        <v>Neutral</v>
      </c>
      <c r="BI12" s="32">
        <f t="shared" si="26"/>
        <v>2</v>
      </c>
    </row>
    <row r="13" spans="1:61" x14ac:dyDescent="0.45">
      <c r="A13" s="30">
        <f>step3_validation[[#This Row],[Persona_ID]]</f>
        <v>12</v>
      </c>
      <c r="B13" s="31">
        <f>step3_validation[[#This Row],[Used_Seed]]</f>
        <v>12356</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8</v>
      </c>
      <c r="R13" t="str">
        <f t="shared" si="0"/>
        <v>Support</v>
      </c>
      <c r="S13">
        <f>survey_responses[[#This Row],[Tôi tin rằng với các quy định quản lý thuế hiện nay, hành vi gian lận hoặc trốn thuế sẽ dễ dàng bị phát hiện và xử lý nghiêm. - HUMAN-ENF1]]</f>
        <v>5</v>
      </c>
      <c r="T13" t="str">
        <f t="shared" si="1"/>
        <v>Neutral</v>
      </c>
      <c r="U13" s="32">
        <f t="shared" si="2"/>
        <v>3</v>
      </c>
      <c r="V13">
        <f>step3_validation[[#This Row],[AI_ENF2]]</f>
        <v>8</v>
      </c>
      <c r="W13" t="str">
        <f t="shared" si="3"/>
        <v>Support</v>
      </c>
      <c r="X13">
        <f>survey_responses[[#This Row],[Tôi tin rằng Nhà nước, cơ quan thuế có đủ khả năng và công nghệ để phát hiện, xử lý nghiêm các hành vi trốn thuế. - HUMAN-ENF2]]</f>
        <v>8</v>
      </c>
      <c r="Y13" t="str">
        <f t="shared" si="4"/>
        <v>Support</v>
      </c>
      <c r="Z13" s="32">
        <f t="shared" si="5"/>
        <v>0</v>
      </c>
      <c r="AA13">
        <f>step3_validation[[#This Row],[AI_FAC1]]</f>
        <v>9</v>
      </c>
      <c r="AB13" t="str">
        <f t="shared" si="6"/>
        <v>Support</v>
      </c>
      <c r="AC13">
        <f>survey_responses[[#This Row],[Các thủ tục khai báo thuế VÀ/HOẶC quy trình làm việc với cơ quan thuế đơn giản, tiện lợi, nhanh chóng hơn so với trước đây. - HUMAN-FAC1]]</f>
        <v>5</v>
      </c>
      <c r="AD13" t="str">
        <f t="shared" si="7"/>
        <v>Neutral</v>
      </c>
      <c r="AE13" s="32">
        <f t="shared" si="8"/>
        <v>4</v>
      </c>
      <c r="AF13">
        <f>step3_validation[[#This Row],[AI_FAC2]]</f>
        <v>9</v>
      </c>
      <c r="AG13" t="str">
        <f t="shared" si="9"/>
        <v>Support</v>
      </c>
      <c r="AH13">
        <f>survey_responses[[#This Row],[So với trước đây, tôi thấy cách tính thuế và các bậc thuế trong phương án mới đơn giản, dễ hiểu và dễ thực hiện hơn. - HUMAN-FAC2]]</f>
        <v>5</v>
      </c>
      <c r="AI13" t="str">
        <f t="shared" si="10"/>
        <v>Neutral</v>
      </c>
      <c r="AJ13" s="32">
        <f t="shared" si="11"/>
        <v>4</v>
      </c>
      <c r="AK13">
        <f>step3_validation[[#This Row],[AI_TRU1]]</f>
        <v>8</v>
      </c>
      <c r="AL13" t="str">
        <f t="shared" si="12"/>
        <v>Support</v>
      </c>
      <c r="AM13">
        <f>survey_responses[[#This Row],[Tôi tin rằng Nhà nước, cơ quan thuế sẽ thực thi chính sách mới một cách khách quan, công tâm và đối xử bình đẳng với mọi người nộp thuế.  - HUMAN-TRU1]]</f>
        <v>6</v>
      </c>
      <c r="AN13" t="str">
        <f t="shared" si="13"/>
        <v>Neutral</v>
      </c>
      <c r="AO13" s="32">
        <f t="shared" si="14"/>
        <v>2</v>
      </c>
      <c r="AP13">
        <f>step3_validation[[#This Row],[AI_TRU2]]</f>
        <v>9</v>
      </c>
      <c r="AQ13" t="str">
        <f t="shared" si="15"/>
        <v>Support</v>
      </c>
      <c r="AR13">
        <f>survey_responses[[#This Row],[Tôi thấy mức thuế tôi phải đóng theo phương án mới là công bằng (người thu nhập như tôi đóng mức này là hợp lý). - HUMAN-TRU2]]</f>
        <v>5</v>
      </c>
      <c r="AS13" t="str">
        <f t="shared" si="16"/>
        <v>Neutral</v>
      </c>
      <c r="AT13" s="32">
        <f t="shared" si="17"/>
        <v>4</v>
      </c>
      <c r="AU13">
        <f>step3_validation[[#This Row],[AI_TRU3]]</f>
        <v>8</v>
      </c>
      <c r="AV13" t="str">
        <f t="shared" si="18"/>
        <v>Support</v>
      </c>
      <c r="AW13">
        <f>survey_responses[[#This Row],[Tôi tin tưởng số tiền thuế tôi đóng sẽ được Nhà nước sử dụng hiệu quả để cải thiện dịch vụ công (y tế, đường xá...). - HUMAN-TRU3]]</f>
        <v>5</v>
      </c>
      <c r="AX13" t="str">
        <f t="shared" si="19"/>
        <v>Neutral</v>
      </c>
      <c r="AY13" s="32">
        <f t="shared" si="20"/>
        <v>3</v>
      </c>
      <c r="AZ13">
        <f>step3_validation[[#This Row],[AI_TRU4]]</f>
        <v>9</v>
      </c>
      <c r="BA13" t="str">
        <f t="shared" si="21"/>
        <v>Support</v>
      </c>
      <c r="BB13">
        <f>survey_responses[[#This Row],[Tôi thấy Nhà nước đã giải thích rõ ràng, minh bạch về lý do và mục tiêu của việc sửa đổi thuế lần này. - HUMAN-TRU4]]</f>
        <v>5</v>
      </c>
      <c r="BC13" t="str">
        <f t="shared" si="22"/>
        <v>Neutral</v>
      </c>
      <c r="BD13" s="32">
        <f t="shared" si="23"/>
        <v>4</v>
      </c>
      <c r="BE13">
        <f>step3_validation[[#This Row],[AI_OUT1]]</f>
        <v>9</v>
      </c>
      <c r="BF13" t="str">
        <f t="shared" si="24"/>
        <v>Support</v>
      </c>
      <c r="BG13">
        <f>survey_responses[[#This Row],[Sau khi xem xét các quyền lợi và nghĩa vụ, bạn có ủng hộ và tuân thủ chính sách mới hiện nay? - HUMAN-OUT1]]</f>
        <v>5</v>
      </c>
      <c r="BH13" t="str">
        <f t="shared" si="25"/>
        <v>Neutral</v>
      </c>
      <c r="BI13" s="32">
        <f t="shared" si="26"/>
        <v>4</v>
      </c>
    </row>
    <row r="14" spans="1:61" x14ac:dyDescent="0.45">
      <c r="A14" s="30">
        <f>step3_validation[[#This Row],[Persona_ID]]</f>
        <v>13</v>
      </c>
      <c r="B14" s="31">
        <f>step3_validation[[#This Row],[Used_Seed]]</f>
        <v>12357</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7</v>
      </c>
      <c r="R14" t="str">
        <f t="shared" si="0"/>
        <v>Neutral</v>
      </c>
      <c r="S14">
        <f>survey_responses[[#This Row],[Tôi tin rằng với các quy định quản lý thuế hiện nay, hành vi gian lận hoặc trốn thuế sẽ dễ dàng bị phát hiện và xử lý nghiêm. - HUMAN-ENF1]]</f>
        <v>8</v>
      </c>
      <c r="T14" t="str">
        <f t="shared" si="1"/>
        <v>Support</v>
      </c>
      <c r="U14" s="32">
        <f t="shared" si="2"/>
        <v>1</v>
      </c>
      <c r="V14">
        <f>step3_validation[[#This Row],[AI_ENF2]]</f>
        <v>9</v>
      </c>
      <c r="W14" t="str">
        <f t="shared" si="3"/>
        <v>Support</v>
      </c>
      <c r="X14">
        <f>survey_responses[[#This Row],[Tôi tin rằng Nhà nước, cơ quan thuế có đủ khả năng và công nghệ để phát hiện, xử lý nghiêm các hành vi trốn thuế. - HUMAN-ENF2]]</f>
        <v>7</v>
      </c>
      <c r="Y14" t="str">
        <f t="shared" si="4"/>
        <v>Neutral</v>
      </c>
      <c r="Z14" s="32">
        <f t="shared" si="5"/>
        <v>2</v>
      </c>
      <c r="AA14">
        <f>step3_validation[[#This Row],[AI_FAC1]]</f>
        <v>8</v>
      </c>
      <c r="AB14" t="str">
        <f t="shared" si="6"/>
        <v>Support</v>
      </c>
      <c r="AC14">
        <f>survey_responses[[#This Row],[Các thủ tục khai báo thuế VÀ/HOẶC quy trình làm việc với cơ quan thuế đơn giản, tiện lợi, nhanh chóng hơn so với trước đây. - HUMAN-FAC1]]</f>
        <v>7</v>
      </c>
      <c r="AD14" t="str">
        <f t="shared" si="7"/>
        <v>Neutral</v>
      </c>
      <c r="AE14" s="32">
        <f t="shared" si="8"/>
        <v>1</v>
      </c>
      <c r="AF14">
        <f>step3_validation[[#This Row],[AI_FAC2]]</f>
        <v>9</v>
      </c>
      <c r="AG14" t="str">
        <f t="shared" si="9"/>
        <v>Support</v>
      </c>
      <c r="AH14">
        <f>survey_responses[[#This Row],[So với trước đây, tôi thấy cách tính thuế và các bậc thuế trong phương án mới đơn giản, dễ hiểu và dễ thực hiện hơn. - HUMAN-FAC2]]</f>
        <v>7</v>
      </c>
      <c r="AI14" t="str">
        <f t="shared" si="10"/>
        <v>Neutral</v>
      </c>
      <c r="AJ14" s="32">
        <f t="shared" si="11"/>
        <v>2</v>
      </c>
      <c r="AK14">
        <f>step3_validation[[#This Row],[AI_TRU1]]</f>
        <v>8</v>
      </c>
      <c r="AL14" t="str">
        <f t="shared" si="12"/>
        <v>Support</v>
      </c>
      <c r="AM14">
        <f>survey_responses[[#This Row],[Tôi tin rằng Nhà nước, cơ quan thuế sẽ thực thi chính sách mới một cách khách quan, công tâm và đối xử bình đẳng với mọi người nộp thuế.  - HUMAN-TRU1]]</f>
        <v>7</v>
      </c>
      <c r="AN14" t="str">
        <f t="shared" si="13"/>
        <v>Neutral</v>
      </c>
      <c r="AO14" s="32">
        <f t="shared" si="14"/>
        <v>1</v>
      </c>
      <c r="AP14">
        <f>step3_validation[[#This Row],[AI_TRU2]]</f>
        <v>9</v>
      </c>
      <c r="AQ14" t="str">
        <f t="shared" si="15"/>
        <v>Support</v>
      </c>
      <c r="AR14">
        <f>survey_responses[[#This Row],[Tôi thấy mức thuế tôi phải đóng theo phương án mới là công bằng (người thu nhập như tôi đóng mức này là hợp lý). - HUMAN-TRU2]]</f>
        <v>8</v>
      </c>
      <c r="AS14" t="str">
        <f t="shared" si="16"/>
        <v>Support</v>
      </c>
      <c r="AT14" s="32">
        <f t="shared" si="17"/>
        <v>1</v>
      </c>
      <c r="AU14">
        <f>step3_validation[[#This Row],[AI_TRU3]]</f>
        <v>8</v>
      </c>
      <c r="AV14" t="str">
        <f t="shared" si="18"/>
        <v>Support</v>
      </c>
      <c r="AW14">
        <f>survey_responses[[#This Row],[Tôi tin tưởng số tiền thuế tôi đóng sẽ được Nhà nước sử dụng hiệu quả để cải thiện dịch vụ công (y tế, đường xá...). - HUMAN-TRU3]]</f>
        <v>7</v>
      </c>
      <c r="AX14" t="str">
        <f t="shared" si="19"/>
        <v>Neutral</v>
      </c>
      <c r="AY14" s="32">
        <f t="shared" si="20"/>
        <v>1</v>
      </c>
      <c r="AZ14">
        <f>step3_validation[[#This Row],[AI_TRU4]]</f>
        <v>9</v>
      </c>
      <c r="BA14" t="str">
        <f t="shared" si="21"/>
        <v>Support</v>
      </c>
      <c r="BB14">
        <f>survey_responses[[#This Row],[Tôi thấy Nhà nước đã giải thích rõ ràng, minh bạch về lý do và mục tiêu của việc sửa đổi thuế lần này. - HUMAN-TRU4]]</f>
        <v>7</v>
      </c>
      <c r="BC14" t="str">
        <f t="shared" si="22"/>
        <v>Neutral</v>
      </c>
      <c r="BD14" s="32">
        <f t="shared" si="23"/>
        <v>2</v>
      </c>
      <c r="BE14">
        <f>step3_validation[[#This Row],[AI_OUT1]]</f>
        <v>10</v>
      </c>
      <c r="BF14" t="str">
        <f t="shared" si="24"/>
        <v>Support</v>
      </c>
      <c r="BG14">
        <f>survey_responses[[#This Row],[Sau khi xem xét các quyền lợi và nghĩa vụ, bạn có ủng hộ và tuân thủ chính sách mới hiện nay? - HUMAN-OUT1]]</f>
        <v>7</v>
      </c>
      <c r="BH14" t="str">
        <f t="shared" si="25"/>
        <v>Neutral</v>
      </c>
      <c r="BI14" s="32">
        <f t="shared" si="26"/>
        <v>3</v>
      </c>
    </row>
    <row r="15" spans="1:61" x14ac:dyDescent="0.45">
      <c r="A15" s="30">
        <f>step3_validation[[#This Row],[Persona_ID]]</f>
        <v>14</v>
      </c>
      <c r="B15" s="31">
        <f>step3_validation[[#This Row],[Used_Seed]]</f>
        <v>12358</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19.120867691875361</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8</v>
      </c>
      <c r="R15" t="str">
        <f t="shared" si="0"/>
        <v>Support</v>
      </c>
      <c r="S15">
        <f>survey_responses[[#This Row],[Tôi tin rằng với các quy định quản lý thuế hiện nay, hành vi gian lận hoặc trốn thuế sẽ dễ dàng bị phát hiện và xử lý nghiêm. - HUMAN-ENF1]]</f>
        <v>10</v>
      </c>
      <c r="T15" t="str">
        <f t="shared" si="1"/>
        <v>Support</v>
      </c>
      <c r="U15" s="32">
        <f t="shared" si="2"/>
        <v>2</v>
      </c>
      <c r="V15">
        <f>step3_validation[[#This Row],[AI_ENF2]]</f>
        <v>8</v>
      </c>
      <c r="W15" t="str">
        <f t="shared" si="3"/>
        <v>Support</v>
      </c>
      <c r="X15">
        <f>survey_responses[[#This Row],[Tôi tin rằng Nhà nước, cơ quan thuế có đủ khả năng và công nghệ để phát hiện, xử lý nghiêm các hành vi trốn thuế. - HUMAN-ENF2]]</f>
        <v>10</v>
      </c>
      <c r="Y15" t="str">
        <f t="shared" si="4"/>
        <v>Support</v>
      </c>
      <c r="Z15" s="32">
        <f t="shared" si="5"/>
        <v>2</v>
      </c>
      <c r="AA15">
        <f>step3_validation[[#This Row],[AI_FAC1]]</f>
        <v>9</v>
      </c>
      <c r="AB15" t="str">
        <f t="shared" si="6"/>
        <v>Support</v>
      </c>
      <c r="AC15">
        <f>survey_responses[[#This Row],[Các thủ tục khai báo thuế VÀ/HOẶC quy trình làm việc với cơ quan thuế đơn giản, tiện lợi, nhanh chóng hơn so với trước đây. - HUMAN-FAC1]]</f>
        <v>8</v>
      </c>
      <c r="AD15" t="str">
        <f t="shared" si="7"/>
        <v>Support</v>
      </c>
      <c r="AE15" s="32">
        <f t="shared" si="8"/>
        <v>1</v>
      </c>
      <c r="AF15">
        <f>step3_validation[[#This Row],[AI_FAC2]]</f>
        <v>8</v>
      </c>
      <c r="AG15" t="str">
        <f t="shared" si="9"/>
        <v>Support</v>
      </c>
      <c r="AH15">
        <f>survey_responses[[#This Row],[So với trước đây, tôi thấy cách tính thuế và các bậc thuế trong phương án mới đơn giản, dễ hiểu và dễ thực hiện hơn. - HUMAN-FAC2]]</f>
        <v>8</v>
      </c>
      <c r="AI15" t="str">
        <f t="shared" si="10"/>
        <v>Support</v>
      </c>
      <c r="AJ15" s="32">
        <f t="shared" si="11"/>
        <v>0</v>
      </c>
      <c r="AK15">
        <f>step3_validation[[#This Row],[AI_TRU1]]</f>
        <v>9</v>
      </c>
      <c r="AL15" t="str">
        <f t="shared" si="12"/>
        <v>Support</v>
      </c>
      <c r="AM15">
        <f>survey_responses[[#This Row],[Tôi tin rằng Nhà nước, cơ quan thuế sẽ thực thi chính sách mới một cách khách quan, công tâm và đối xử bình đẳng với mọi người nộp thuế.  - HUMAN-TRU1]]</f>
        <v>8</v>
      </c>
      <c r="AN15" t="str">
        <f t="shared" si="13"/>
        <v>Support</v>
      </c>
      <c r="AO15" s="32">
        <f t="shared" si="14"/>
        <v>1</v>
      </c>
      <c r="AP15">
        <f>step3_validation[[#This Row],[AI_TRU2]]</f>
        <v>8</v>
      </c>
      <c r="AQ15" t="str">
        <f t="shared" si="15"/>
        <v>Support</v>
      </c>
      <c r="AR15">
        <f>survey_responses[[#This Row],[Tôi thấy mức thuế tôi phải đóng theo phương án mới là công bằng (người thu nhập như tôi đóng mức này là hợp lý). - HUMAN-TRU2]]</f>
        <v>6</v>
      </c>
      <c r="AS15" t="str">
        <f t="shared" si="16"/>
        <v>Neutral</v>
      </c>
      <c r="AT15" s="32">
        <f t="shared" si="17"/>
        <v>2</v>
      </c>
      <c r="AU15">
        <f>step3_validation[[#This Row],[AI_TRU3]]</f>
        <v>9</v>
      </c>
      <c r="AV15" t="str">
        <f t="shared" si="18"/>
        <v>Support</v>
      </c>
      <c r="AW15">
        <f>survey_responses[[#This Row],[Tôi tin tưởng số tiền thuế tôi đóng sẽ được Nhà nước sử dụng hiệu quả để cải thiện dịch vụ công (y tế, đường xá...). - HUMAN-TRU3]]</f>
        <v>6</v>
      </c>
      <c r="AX15" t="str">
        <f t="shared" si="19"/>
        <v>Neutral</v>
      </c>
      <c r="AY15" s="32">
        <f t="shared" si="20"/>
        <v>3</v>
      </c>
      <c r="AZ15">
        <f>step3_validation[[#This Row],[AI_TRU4]]</f>
        <v>8</v>
      </c>
      <c r="BA15" t="str">
        <f t="shared" si="21"/>
        <v>Support</v>
      </c>
      <c r="BB15">
        <f>survey_responses[[#This Row],[Tôi thấy Nhà nước đã giải thích rõ ràng, minh bạch về lý do và mục tiêu của việc sửa đổi thuế lần này. - HUMAN-TRU4]]</f>
        <v>5</v>
      </c>
      <c r="BC15" t="str">
        <f t="shared" si="22"/>
        <v>Neutral</v>
      </c>
      <c r="BD15" s="32">
        <f t="shared" si="23"/>
        <v>3</v>
      </c>
      <c r="BE15">
        <f>step3_validation[[#This Row],[AI_OUT1]]</f>
        <v>9</v>
      </c>
      <c r="BF15" t="str">
        <f t="shared" si="24"/>
        <v>Support</v>
      </c>
      <c r="BG15">
        <f>survey_responses[[#This Row],[Sau khi xem xét các quyền lợi và nghĩa vụ, bạn có ủng hộ và tuân thủ chính sách mới hiện nay? - HUMAN-OUT1]]</f>
        <v>5</v>
      </c>
      <c r="BH15" t="str">
        <f t="shared" si="25"/>
        <v>Neutral</v>
      </c>
      <c r="BI15" s="32">
        <f t="shared" si="26"/>
        <v>4</v>
      </c>
    </row>
    <row r="16" spans="1:61" x14ac:dyDescent="0.45">
      <c r="A16" s="30">
        <f>step3_validation[[#This Row],[Persona_ID]]</f>
        <v>15</v>
      </c>
      <c r="B16" s="31">
        <f>step3_validation[[#This Row],[Used_Seed]]</f>
        <v>12359</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33.088932394530367</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9</v>
      </c>
      <c r="R16" t="str">
        <f t="shared" si="0"/>
        <v>Support</v>
      </c>
      <c r="S16">
        <f>survey_responses[[#This Row],[Tôi tin rằng với các quy định quản lý thuế hiện nay, hành vi gian lận hoặc trốn thuế sẽ dễ dàng bị phát hiện và xử lý nghiêm. - HUMAN-ENF1]]</f>
        <v>7</v>
      </c>
      <c r="T16" t="str">
        <f t="shared" si="1"/>
        <v>Neutral</v>
      </c>
      <c r="U16" s="32">
        <f t="shared" si="2"/>
        <v>2</v>
      </c>
      <c r="V16">
        <f>step3_validation[[#This Row],[AI_ENF2]]</f>
        <v>9</v>
      </c>
      <c r="W16" t="str">
        <f t="shared" si="3"/>
        <v>Support</v>
      </c>
      <c r="X16">
        <f>survey_responses[[#This Row],[Tôi tin rằng Nhà nước, cơ quan thuế có đủ khả năng và công nghệ để phát hiện, xử lý nghiêm các hành vi trốn thuế. - HUMAN-ENF2]]</f>
        <v>9</v>
      </c>
      <c r="Y16" t="str">
        <f t="shared" si="4"/>
        <v>Support</v>
      </c>
      <c r="Z16" s="32">
        <f t="shared" si="5"/>
        <v>0</v>
      </c>
      <c r="AA16">
        <f>step3_validation[[#This Row],[AI_FAC1]]</f>
        <v>8</v>
      </c>
      <c r="AB16" t="str">
        <f t="shared" si="6"/>
        <v>Support</v>
      </c>
      <c r="AC16">
        <f>survey_responses[[#This Row],[Các thủ tục khai báo thuế VÀ/HOẶC quy trình làm việc với cơ quan thuế đơn giản, tiện lợi, nhanh chóng hơn so với trước đây. - HUMAN-FAC1]]</f>
        <v>3</v>
      </c>
      <c r="AD16" t="str">
        <f t="shared" si="7"/>
        <v>Oppose</v>
      </c>
      <c r="AE16" s="32">
        <f t="shared" si="8"/>
        <v>5</v>
      </c>
      <c r="AF16">
        <f>step3_validation[[#This Row],[AI_FAC2]]</f>
        <v>8</v>
      </c>
      <c r="AG16" t="str">
        <f t="shared" si="9"/>
        <v>Support</v>
      </c>
      <c r="AH16">
        <f>survey_responses[[#This Row],[So với trước đây, tôi thấy cách tính thuế và các bậc thuế trong phương án mới đơn giản, dễ hiểu và dễ thực hiện hơn. - HUMAN-FAC2]]</f>
        <v>6</v>
      </c>
      <c r="AI16" t="str">
        <f t="shared" si="10"/>
        <v>Neutral</v>
      </c>
      <c r="AJ16" s="32">
        <f t="shared" si="11"/>
        <v>2</v>
      </c>
      <c r="AK16">
        <f>step3_validation[[#This Row],[AI_TRU1]]</f>
        <v>9</v>
      </c>
      <c r="AL16" t="str">
        <f t="shared" si="12"/>
        <v>Support</v>
      </c>
      <c r="AM16">
        <f>survey_responses[[#This Row],[Tôi tin rằng Nhà nước, cơ quan thuế sẽ thực thi chính sách mới một cách khách quan, công tâm và đối xử bình đẳng với mọi người nộp thuế.  - HUMAN-TRU1]]</f>
        <v>1</v>
      </c>
      <c r="AN16" t="str">
        <f t="shared" si="13"/>
        <v>Oppose</v>
      </c>
      <c r="AO16" s="32">
        <f t="shared" si="14"/>
        <v>8</v>
      </c>
      <c r="AP16">
        <f>step3_validation[[#This Row],[AI_TRU2]]</f>
        <v>9</v>
      </c>
      <c r="AQ16" t="str">
        <f t="shared" si="15"/>
        <v>Support</v>
      </c>
      <c r="AR16">
        <f>survey_responses[[#This Row],[Tôi thấy mức thuế tôi phải đóng theo phương án mới là công bằng (người thu nhập như tôi đóng mức này là hợp lý). - HUMAN-TRU2]]</f>
        <v>1</v>
      </c>
      <c r="AS16" t="str">
        <f t="shared" si="16"/>
        <v>Oppose</v>
      </c>
      <c r="AT16" s="32">
        <f t="shared" si="17"/>
        <v>8</v>
      </c>
      <c r="AU16">
        <f>step3_validation[[#This Row],[AI_TRU3]]</f>
        <v>9</v>
      </c>
      <c r="AV16" t="str">
        <f t="shared" si="18"/>
        <v>Support</v>
      </c>
      <c r="AW16">
        <f>survey_responses[[#This Row],[Tôi tin tưởng số tiền thuế tôi đóng sẽ được Nhà nước sử dụng hiệu quả để cải thiện dịch vụ công (y tế, đường xá...). - HUMAN-TRU3]]</f>
        <v>1</v>
      </c>
      <c r="AX16" t="str">
        <f t="shared" si="19"/>
        <v>Oppose</v>
      </c>
      <c r="AY16" s="32">
        <f t="shared" si="20"/>
        <v>8</v>
      </c>
      <c r="AZ16">
        <f>step3_validation[[#This Row],[AI_TRU4]]</f>
        <v>9</v>
      </c>
      <c r="BA16" t="str">
        <f t="shared" si="21"/>
        <v>Support</v>
      </c>
      <c r="BB16">
        <f>survey_responses[[#This Row],[Tôi thấy Nhà nước đã giải thích rõ ràng, minh bạch về lý do và mục tiêu của việc sửa đổi thuế lần này. - HUMAN-TRU4]]</f>
        <v>1</v>
      </c>
      <c r="BC16" t="str">
        <f t="shared" si="22"/>
        <v>Oppose</v>
      </c>
      <c r="BD16" s="32">
        <f t="shared" si="23"/>
        <v>8</v>
      </c>
      <c r="BE16">
        <f>step3_validation[[#This Row],[AI_OUT1]]</f>
        <v>9</v>
      </c>
      <c r="BF16" t="str">
        <f t="shared" si="24"/>
        <v>Support</v>
      </c>
      <c r="BG16">
        <f>survey_responses[[#This Row],[Sau khi xem xét các quyền lợi và nghĩa vụ, bạn có ủng hộ và tuân thủ chính sách mới hiện nay? - HUMAN-OUT1]]</f>
        <v>1</v>
      </c>
      <c r="BH16" t="str">
        <f t="shared" si="25"/>
        <v>Oppose</v>
      </c>
      <c r="BI16" s="32">
        <f t="shared" si="26"/>
        <v>8</v>
      </c>
    </row>
    <row r="17" spans="1:61" x14ac:dyDescent="0.45">
      <c r="A17" s="30">
        <f>step3_validation[[#This Row],[Persona_ID]]</f>
        <v>16</v>
      </c>
      <c r="B17" s="31">
        <f>step3_validation[[#This Row],[Used_Seed]]</f>
        <v>12360</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83.97191403487318</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9</v>
      </c>
      <c r="R17" t="str">
        <f t="shared" si="0"/>
        <v>Support</v>
      </c>
      <c r="S17">
        <f>survey_responses[[#This Row],[Tôi tin rằng với các quy định quản lý thuế hiện nay, hành vi gian lận hoặc trốn thuế sẽ dễ dàng bị phát hiện và xử lý nghiêm. - HUMAN-ENF1]]</f>
        <v>8</v>
      </c>
      <c r="T17" t="str">
        <f t="shared" si="1"/>
        <v>Support</v>
      </c>
      <c r="U17" s="32">
        <f t="shared" si="2"/>
        <v>1</v>
      </c>
      <c r="V17">
        <f>step3_validation[[#This Row],[AI_ENF2]]</f>
        <v>8</v>
      </c>
      <c r="W17" t="str">
        <f t="shared" si="3"/>
        <v>Support</v>
      </c>
      <c r="X17">
        <f>survey_responses[[#This Row],[Tôi tin rằng Nhà nước, cơ quan thuế có đủ khả năng và công nghệ để phát hiện, xử lý nghiêm các hành vi trốn thuế. - HUMAN-ENF2]]</f>
        <v>8</v>
      </c>
      <c r="Y17" t="str">
        <f t="shared" si="4"/>
        <v>Support</v>
      </c>
      <c r="Z17" s="32">
        <f t="shared" si="5"/>
        <v>0</v>
      </c>
      <c r="AA17">
        <f>step3_validation[[#This Row],[AI_FAC1]]</f>
        <v>9</v>
      </c>
      <c r="AB17" t="str">
        <f t="shared" si="6"/>
        <v>Support</v>
      </c>
      <c r="AC17">
        <f>survey_responses[[#This Row],[Các thủ tục khai báo thuế VÀ/HOẶC quy trình làm việc với cơ quan thuế đơn giản, tiện lợi, nhanh chóng hơn so với trước đây. - HUMAN-FAC1]]</f>
        <v>8</v>
      </c>
      <c r="AD17" t="str">
        <f t="shared" si="7"/>
        <v>Support</v>
      </c>
      <c r="AE17" s="32">
        <f t="shared" si="8"/>
        <v>1</v>
      </c>
      <c r="AF17">
        <f>step3_validation[[#This Row],[AI_FAC2]]</f>
        <v>8</v>
      </c>
      <c r="AG17" t="str">
        <f t="shared" si="9"/>
        <v>Support</v>
      </c>
      <c r="AH17">
        <f>survey_responses[[#This Row],[So với trước đây, tôi thấy cách tính thuế và các bậc thuế trong phương án mới đơn giản, dễ hiểu và dễ thực hiện hơn. - HUMAN-FAC2]]</f>
        <v>9</v>
      </c>
      <c r="AI17" t="str">
        <f t="shared" si="10"/>
        <v>Support</v>
      </c>
      <c r="AJ17" s="32">
        <f t="shared" si="11"/>
        <v>1</v>
      </c>
      <c r="AK17">
        <f>step3_validation[[#This Row],[AI_TRU1]]</f>
        <v>9</v>
      </c>
      <c r="AL17" t="str">
        <f t="shared" si="12"/>
        <v>Support</v>
      </c>
      <c r="AM17">
        <f>survey_responses[[#This Row],[Tôi tin rằng Nhà nước, cơ quan thuế sẽ thực thi chính sách mới một cách khách quan, công tâm và đối xử bình đẳng với mọi người nộp thuế.  - HUMAN-TRU1]]</f>
        <v>7</v>
      </c>
      <c r="AN17" t="str">
        <f t="shared" si="13"/>
        <v>Neutral</v>
      </c>
      <c r="AO17" s="32">
        <f t="shared" si="14"/>
        <v>2</v>
      </c>
      <c r="AP17">
        <f>step3_validation[[#This Row],[AI_TRU2]]</f>
        <v>8</v>
      </c>
      <c r="AQ17" t="str">
        <f t="shared" si="15"/>
        <v>Support</v>
      </c>
      <c r="AR17">
        <f>survey_responses[[#This Row],[Tôi thấy mức thuế tôi phải đóng theo phương án mới là công bằng (người thu nhập như tôi đóng mức này là hợp lý). - HUMAN-TRU2]]</f>
        <v>7</v>
      </c>
      <c r="AS17" t="str">
        <f t="shared" si="16"/>
        <v>Neutral</v>
      </c>
      <c r="AT17" s="32">
        <f t="shared" si="17"/>
        <v>1</v>
      </c>
      <c r="AU17">
        <f>step3_validation[[#This Row],[AI_TRU3]]</f>
        <v>9</v>
      </c>
      <c r="AV17" t="str">
        <f t="shared" si="18"/>
        <v>Support</v>
      </c>
      <c r="AW17">
        <f>survey_responses[[#This Row],[Tôi tin tưởng số tiền thuế tôi đóng sẽ được Nhà nước sử dụng hiệu quả để cải thiện dịch vụ công (y tế, đường xá...). - HUMAN-TRU3]]</f>
        <v>9</v>
      </c>
      <c r="AX17" t="str">
        <f t="shared" si="19"/>
        <v>Support</v>
      </c>
      <c r="AY17" s="32">
        <f t="shared" si="20"/>
        <v>0</v>
      </c>
      <c r="AZ17">
        <f>step3_validation[[#This Row],[AI_TRU4]]</f>
        <v>8</v>
      </c>
      <c r="BA17" t="str">
        <f t="shared" si="21"/>
        <v>Support</v>
      </c>
      <c r="BB17">
        <f>survey_responses[[#This Row],[Tôi thấy Nhà nước đã giải thích rõ ràng, minh bạch về lý do và mục tiêu của việc sửa đổi thuế lần này. - HUMAN-TRU4]]</f>
        <v>8</v>
      </c>
      <c r="BC17" t="str">
        <f t="shared" si="22"/>
        <v>Support</v>
      </c>
      <c r="BD17" s="32">
        <f t="shared" si="23"/>
        <v>0</v>
      </c>
      <c r="BE17">
        <f>step3_validation[[#This Row],[AI_OUT1]]</f>
        <v>9</v>
      </c>
      <c r="BF17" t="str">
        <f t="shared" si="24"/>
        <v>Support</v>
      </c>
      <c r="BG17">
        <f>survey_responses[[#This Row],[Sau khi xem xét các quyền lợi và nghĩa vụ, bạn có ủng hộ và tuân thủ chính sách mới hiện nay? - HUMAN-OUT1]]</f>
        <v>7</v>
      </c>
      <c r="BH17" t="str">
        <f t="shared" si="25"/>
        <v>Neutral</v>
      </c>
      <c r="BI17" s="32">
        <f t="shared" si="26"/>
        <v>2</v>
      </c>
    </row>
    <row r="18" spans="1:61" x14ac:dyDescent="0.45">
      <c r="A18" s="30">
        <f>step3_validation[[#This Row],[Persona_ID]]</f>
        <v>17</v>
      </c>
      <c r="B18" s="31">
        <f>step3_validation[[#This Row],[Used_Seed]]</f>
        <v>12361</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20.16566114604132</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7</v>
      </c>
      <c r="R18" t="str">
        <f t="shared" si="0"/>
        <v>Neutral</v>
      </c>
      <c r="S18">
        <f>survey_responses[[#This Row],[Tôi tin rằng với các quy định quản lý thuế hiện nay, hành vi gian lận hoặc trốn thuế sẽ dễ dàng bị phát hiện và xử lý nghiêm. - HUMAN-ENF1]]</f>
        <v>6</v>
      </c>
      <c r="T18" t="str">
        <f t="shared" si="1"/>
        <v>Neutral</v>
      </c>
      <c r="U18" s="32">
        <f t="shared" si="2"/>
        <v>1</v>
      </c>
      <c r="V18">
        <f>step3_validation[[#This Row],[AI_ENF2]]</f>
        <v>8</v>
      </c>
      <c r="W18" t="str">
        <f t="shared" si="3"/>
        <v>Support</v>
      </c>
      <c r="X18">
        <f>survey_responses[[#This Row],[Tôi tin rằng Nhà nước, cơ quan thuế có đủ khả năng và công nghệ để phát hiện, xử lý nghiêm các hành vi trốn thuế. - HUMAN-ENF2]]</f>
        <v>7</v>
      </c>
      <c r="Y18" t="str">
        <f t="shared" si="4"/>
        <v>Neutral</v>
      </c>
      <c r="Z18" s="32">
        <f t="shared" si="5"/>
        <v>1</v>
      </c>
      <c r="AA18">
        <f>step3_validation[[#This Row],[AI_FAC1]]</f>
        <v>9</v>
      </c>
      <c r="AB18" t="str">
        <f t="shared" si="6"/>
        <v>Support</v>
      </c>
      <c r="AC18">
        <f>survey_responses[[#This Row],[Các thủ tục khai báo thuế VÀ/HOẶC quy trình làm việc với cơ quan thuế đơn giản, tiện lợi, nhanh chóng hơn so với trước đây. - HUMAN-FAC1]]</f>
        <v>5</v>
      </c>
      <c r="AD18" t="str">
        <f t="shared" si="7"/>
        <v>Neutral</v>
      </c>
      <c r="AE18" s="32">
        <f t="shared" si="8"/>
        <v>4</v>
      </c>
      <c r="AF18">
        <f>step3_validation[[#This Row],[AI_FAC2]]</f>
        <v>9</v>
      </c>
      <c r="AG18" t="str">
        <f t="shared" si="9"/>
        <v>Support</v>
      </c>
      <c r="AH18">
        <f>survey_responses[[#This Row],[So với trước đây, tôi thấy cách tính thuế và các bậc thuế trong phương án mới đơn giản, dễ hiểu và dễ thực hiện hơn. - HUMAN-FAC2]]</f>
        <v>5</v>
      </c>
      <c r="AI18" t="str">
        <f t="shared" si="10"/>
        <v>Neutral</v>
      </c>
      <c r="AJ18" s="32">
        <f t="shared" si="11"/>
        <v>4</v>
      </c>
      <c r="AK18">
        <f>step3_validation[[#This Row],[AI_TRU1]]</f>
        <v>8</v>
      </c>
      <c r="AL18" t="str">
        <f t="shared" si="12"/>
        <v>Support</v>
      </c>
      <c r="AM18">
        <f>survey_responses[[#This Row],[Tôi tin rằng Nhà nước, cơ quan thuế sẽ thực thi chính sách mới một cách khách quan, công tâm và đối xử bình đẳng với mọi người nộp thuế.  - HUMAN-TRU1]]</f>
        <v>6</v>
      </c>
      <c r="AN18" t="str">
        <f t="shared" si="13"/>
        <v>Neutral</v>
      </c>
      <c r="AO18" s="32">
        <f t="shared" si="14"/>
        <v>2</v>
      </c>
      <c r="AP18">
        <f>step3_validation[[#This Row],[AI_TRU2]]</f>
        <v>9</v>
      </c>
      <c r="AQ18" t="str">
        <f t="shared" si="15"/>
        <v>Support</v>
      </c>
      <c r="AR18">
        <f>survey_responses[[#This Row],[Tôi thấy mức thuế tôi phải đóng theo phương án mới là công bằng (người thu nhập như tôi đóng mức này là hợp lý). - HUMAN-TRU2]]</f>
        <v>7</v>
      </c>
      <c r="AS18" t="str">
        <f t="shared" si="16"/>
        <v>Neutral</v>
      </c>
      <c r="AT18" s="32">
        <f t="shared" si="17"/>
        <v>2</v>
      </c>
      <c r="AU18">
        <f>step3_validation[[#This Row],[AI_TRU3]]</f>
        <v>8</v>
      </c>
      <c r="AV18" t="str">
        <f t="shared" si="18"/>
        <v>Support</v>
      </c>
      <c r="AW18">
        <f>survey_responses[[#This Row],[Tôi tin tưởng số tiền thuế tôi đóng sẽ được Nhà nước sử dụng hiệu quả để cải thiện dịch vụ công (y tế, đường xá...). - HUMAN-TRU3]]</f>
        <v>3</v>
      </c>
      <c r="AX18" t="str">
        <f t="shared" si="19"/>
        <v>Oppose</v>
      </c>
      <c r="AY18" s="32">
        <f t="shared" si="20"/>
        <v>5</v>
      </c>
      <c r="AZ18">
        <f>step3_validation[[#This Row],[AI_TRU4]]</f>
        <v>7</v>
      </c>
      <c r="BA18" t="str">
        <f t="shared" si="21"/>
        <v>Neutral</v>
      </c>
      <c r="BB18">
        <f>survey_responses[[#This Row],[Tôi thấy Nhà nước đã giải thích rõ ràng, minh bạch về lý do và mục tiêu của việc sửa đổi thuế lần này. - HUMAN-TRU4]]</f>
        <v>4</v>
      </c>
      <c r="BC18" t="str">
        <f t="shared" si="22"/>
        <v>Oppose</v>
      </c>
      <c r="BD18" s="32">
        <f t="shared" si="23"/>
        <v>3</v>
      </c>
      <c r="BE18">
        <f>step3_validation[[#This Row],[AI_OUT1]]</f>
        <v>9</v>
      </c>
      <c r="BF18" t="str">
        <f t="shared" si="24"/>
        <v>Support</v>
      </c>
      <c r="BG18">
        <f>survey_responses[[#This Row],[Sau khi xem xét các quyền lợi và nghĩa vụ, bạn có ủng hộ và tuân thủ chính sách mới hiện nay? - HUMAN-OUT1]]</f>
        <v>5</v>
      </c>
      <c r="BH18" t="str">
        <f t="shared" si="25"/>
        <v>Neutral</v>
      </c>
      <c r="BI18" s="32">
        <f t="shared" si="26"/>
        <v>4</v>
      </c>
    </row>
    <row r="19" spans="1:61" x14ac:dyDescent="0.45">
      <c r="A19" s="30">
        <f>step3_validation[[#This Row],[Persona_ID]]</f>
        <v>18</v>
      </c>
      <c r="B19" s="31">
        <f>step3_validation[[#This Row],[Used_Seed]]</f>
        <v>12362</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14.778987131493366</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8</v>
      </c>
      <c r="R19" t="str">
        <f t="shared" si="0"/>
        <v>Support</v>
      </c>
      <c r="S19">
        <f>survey_responses[[#This Row],[Tôi tin rằng với các quy định quản lý thuế hiện nay, hành vi gian lận hoặc trốn thuế sẽ dễ dàng bị phát hiện và xử lý nghiêm. - HUMAN-ENF1]]</f>
        <v>6</v>
      </c>
      <c r="T19" t="str">
        <f t="shared" si="1"/>
        <v>Neutral</v>
      </c>
      <c r="U19" s="32">
        <f t="shared" si="2"/>
        <v>2</v>
      </c>
      <c r="V19">
        <f>step3_validation[[#This Row],[AI_ENF2]]</f>
        <v>9</v>
      </c>
      <c r="W19" t="str">
        <f t="shared" si="3"/>
        <v>Support</v>
      </c>
      <c r="X19">
        <f>survey_responses[[#This Row],[Tôi tin rằng Nhà nước, cơ quan thuế có đủ khả năng và công nghệ để phát hiện, xử lý nghiêm các hành vi trốn thuế. - HUMAN-ENF2]]</f>
        <v>8</v>
      </c>
      <c r="Y19" t="str">
        <f t="shared" si="4"/>
        <v>Support</v>
      </c>
      <c r="Z19" s="32">
        <f t="shared" si="5"/>
        <v>1</v>
      </c>
      <c r="AA19">
        <f>step3_validation[[#This Row],[AI_FAC1]]</f>
        <v>9</v>
      </c>
      <c r="AB19" t="str">
        <f t="shared" si="6"/>
        <v>Support</v>
      </c>
      <c r="AC19">
        <f>survey_responses[[#This Row],[Các thủ tục khai báo thuế VÀ/HOẶC quy trình làm việc với cơ quan thuế đơn giản, tiện lợi, nhanh chóng hơn so với trước đây. - HUMAN-FAC1]]</f>
        <v>7</v>
      </c>
      <c r="AD19" t="str">
        <f t="shared" si="7"/>
        <v>Neutral</v>
      </c>
      <c r="AE19" s="32">
        <f t="shared" si="8"/>
        <v>2</v>
      </c>
      <c r="AF19">
        <f>step3_validation[[#This Row],[AI_FAC2]]</f>
        <v>8</v>
      </c>
      <c r="AG19" t="str">
        <f t="shared" si="9"/>
        <v>Support</v>
      </c>
      <c r="AH19">
        <f>survey_responses[[#This Row],[So với trước đây, tôi thấy cách tính thuế và các bậc thuế trong phương án mới đơn giản, dễ hiểu và dễ thực hiện hơn. - HUMAN-FAC2]]</f>
        <v>8</v>
      </c>
      <c r="AI19" t="str">
        <f t="shared" si="10"/>
        <v>Support</v>
      </c>
      <c r="AJ19" s="32">
        <f t="shared" si="11"/>
        <v>0</v>
      </c>
      <c r="AK19">
        <f>step3_validation[[#This Row],[AI_TRU1]]</f>
        <v>9</v>
      </c>
      <c r="AL19" t="str">
        <f t="shared" si="12"/>
        <v>Support</v>
      </c>
      <c r="AM19">
        <f>survey_responses[[#This Row],[Tôi tin rằng Nhà nước, cơ quan thuế sẽ thực thi chính sách mới một cách khách quan, công tâm và đối xử bình đẳng với mọi người nộp thuế.  - HUMAN-TRU1]]</f>
        <v>8</v>
      </c>
      <c r="AN19" t="str">
        <f t="shared" si="13"/>
        <v>Support</v>
      </c>
      <c r="AO19" s="32">
        <f t="shared" si="14"/>
        <v>1</v>
      </c>
      <c r="AP19">
        <f>step3_validation[[#This Row],[AI_TRU2]]</f>
        <v>8</v>
      </c>
      <c r="AQ19" t="str">
        <f t="shared" si="15"/>
        <v>Support</v>
      </c>
      <c r="AR19">
        <f>survey_responses[[#This Row],[Tôi thấy mức thuế tôi phải đóng theo phương án mới là công bằng (người thu nhập như tôi đóng mức này là hợp lý). - HUMAN-TRU2]]</f>
        <v>7</v>
      </c>
      <c r="AS19" t="str">
        <f t="shared" si="16"/>
        <v>Neutral</v>
      </c>
      <c r="AT19" s="32">
        <f t="shared" si="17"/>
        <v>1</v>
      </c>
      <c r="AU19">
        <f>step3_validation[[#This Row],[AI_TRU3]]</f>
        <v>9</v>
      </c>
      <c r="AV19" t="str">
        <f t="shared" si="18"/>
        <v>Support</v>
      </c>
      <c r="AW19">
        <f>survey_responses[[#This Row],[Tôi tin tưởng số tiền thuế tôi đóng sẽ được Nhà nước sử dụng hiệu quả để cải thiện dịch vụ công (y tế, đường xá...). - HUMAN-TRU3]]</f>
        <v>7</v>
      </c>
      <c r="AX19" t="str">
        <f t="shared" si="19"/>
        <v>Neutral</v>
      </c>
      <c r="AY19" s="32">
        <f t="shared" si="20"/>
        <v>2</v>
      </c>
      <c r="AZ19">
        <f>step3_validation[[#This Row],[AI_TRU4]]</f>
        <v>8</v>
      </c>
      <c r="BA19" t="str">
        <f t="shared" si="21"/>
        <v>Support</v>
      </c>
      <c r="BB19">
        <f>survey_responses[[#This Row],[Tôi thấy Nhà nước đã giải thích rõ ràng, minh bạch về lý do và mục tiêu của việc sửa đổi thuế lần này. - HUMAN-TRU4]]</f>
        <v>6</v>
      </c>
      <c r="BC19" t="str">
        <f t="shared" si="22"/>
        <v>Neutral</v>
      </c>
      <c r="BD19" s="32">
        <f t="shared" si="23"/>
        <v>2</v>
      </c>
      <c r="BE19">
        <f>step3_validation[[#This Row],[AI_OUT1]]</f>
        <v>9</v>
      </c>
      <c r="BF19" t="str">
        <f t="shared" si="24"/>
        <v>Support</v>
      </c>
      <c r="BG19">
        <f>survey_responses[[#This Row],[Sau khi xem xét các quyền lợi và nghĩa vụ, bạn có ủng hộ và tuân thủ chính sách mới hiện nay? - HUMAN-OUT1]]</f>
        <v>8</v>
      </c>
      <c r="BH19" t="str">
        <f t="shared" si="25"/>
        <v>Support</v>
      </c>
      <c r="BI19" s="32">
        <f t="shared" si="26"/>
        <v>1</v>
      </c>
    </row>
    <row r="20" spans="1:61" x14ac:dyDescent="0.45">
      <c r="A20" s="30">
        <f>step3_validation[[#This Row],[Persona_ID]]</f>
        <v>19</v>
      </c>
      <c r="B20" s="31">
        <f>step3_validation[[#This Row],[Used_Seed]]</f>
        <v>12363</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106.0420861707336</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9</v>
      </c>
      <c r="R20" t="str">
        <f t="shared" si="0"/>
        <v>Support</v>
      </c>
      <c r="S20">
        <f>survey_responses[[#This Row],[Tôi tin rằng với các quy định quản lý thuế hiện nay, hành vi gian lận hoặc trốn thuế sẽ dễ dàng bị phát hiện và xử lý nghiêm. - HUMAN-ENF1]]</f>
        <v>10</v>
      </c>
      <c r="T20" t="str">
        <f t="shared" si="1"/>
        <v>Support</v>
      </c>
      <c r="U20" s="32">
        <f t="shared" si="2"/>
        <v>1</v>
      </c>
      <c r="V20">
        <f>step3_validation[[#This Row],[AI_ENF2]]</f>
        <v>8</v>
      </c>
      <c r="W20" t="str">
        <f t="shared" si="3"/>
        <v>Support</v>
      </c>
      <c r="X20">
        <f>survey_responses[[#This Row],[Tôi tin rằng Nhà nước, cơ quan thuế có đủ khả năng và công nghệ để phát hiện, xử lý nghiêm các hành vi trốn thuế. - HUMAN-ENF2]]</f>
        <v>10</v>
      </c>
      <c r="Y20" t="str">
        <f t="shared" si="4"/>
        <v>Support</v>
      </c>
      <c r="Z20" s="32">
        <f t="shared" si="5"/>
        <v>2</v>
      </c>
      <c r="AA20">
        <f>step3_validation[[#This Row],[AI_FAC1]]</f>
        <v>9</v>
      </c>
      <c r="AB20" t="str">
        <f t="shared" si="6"/>
        <v>Support</v>
      </c>
      <c r="AC20">
        <f>survey_responses[[#This Row],[Các thủ tục khai báo thuế VÀ/HOẶC quy trình làm việc với cơ quan thuế đơn giản, tiện lợi, nhanh chóng hơn so với trước đây. - HUMAN-FAC1]]</f>
        <v>5</v>
      </c>
      <c r="AD20" t="str">
        <f t="shared" si="7"/>
        <v>Neutral</v>
      </c>
      <c r="AE20" s="32">
        <f t="shared" si="8"/>
        <v>4</v>
      </c>
      <c r="AF20">
        <f>step3_validation[[#This Row],[AI_FAC2]]</f>
        <v>8</v>
      </c>
      <c r="AG20" t="str">
        <f t="shared" si="9"/>
        <v>Support</v>
      </c>
      <c r="AH20">
        <f>survey_responses[[#This Row],[So với trước đây, tôi thấy cách tính thuế và các bậc thuế trong phương án mới đơn giản, dễ hiểu và dễ thực hiện hơn. - HUMAN-FAC2]]</f>
        <v>5</v>
      </c>
      <c r="AI20" t="str">
        <f t="shared" si="10"/>
        <v>Neutral</v>
      </c>
      <c r="AJ20" s="32">
        <f t="shared" si="11"/>
        <v>3</v>
      </c>
      <c r="AK20">
        <f>step3_validation[[#This Row],[AI_TRU1]]</f>
        <v>9</v>
      </c>
      <c r="AL20" t="str">
        <f t="shared" si="12"/>
        <v>Support</v>
      </c>
      <c r="AM20">
        <f>survey_responses[[#This Row],[Tôi tin rằng Nhà nước, cơ quan thuế sẽ thực thi chính sách mới một cách khách quan, công tâm và đối xử bình đẳng với mọi người nộp thuế.  - HUMAN-TRU1]]</f>
        <v>5</v>
      </c>
      <c r="AN20" t="str">
        <f t="shared" si="13"/>
        <v>Neutral</v>
      </c>
      <c r="AO20" s="32">
        <f t="shared" si="14"/>
        <v>4</v>
      </c>
      <c r="AP20">
        <f>step3_validation[[#This Row],[AI_TRU2]]</f>
        <v>8</v>
      </c>
      <c r="AQ20" t="str">
        <f t="shared" si="15"/>
        <v>Support</v>
      </c>
      <c r="AR20">
        <f>survey_responses[[#This Row],[Tôi thấy mức thuế tôi phải đóng theo phương án mới là công bằng (người thu nhập như tôi đóng mức này là hợp lý). - HUMAN-TRU2]]</f>
        <v>3</v>
      </c>
      <c r="AS20" t="str">
        <f t="shared" si="16"/>
        <v>Oppose</v>
      </c>
      <c r="AT20" s="32">
        <f t="shared" si="17"/>
        <v>5</v>
      </c>
      <c r="AU20">
        <f>step3_validation[[#This Row],[AI_TRU3]]</f>
        <v>9</v>
      </c>
      <c r="AV20" t="str">
        <f t="shared" si="18"/>
        <v>Support</v>
      </c>
      <c r="AW20">
        <f>survey_responses[[#This Row],[Tôi tin tưởng số tiền thuế tôi đóng sẽ được Nhà nước sử dụng hiệu quả để cải thiện dịch vụ công (y tế, đường xá...). - HUMAN-TRU3]]</f>
        <v>2</v>
      </c>
      <c r="AX20" t="str">
        <f t="shared" si="19"/>
        <v>Oppose</v>
      </c>
      <c r="AY20" s="32">
        <f t="shared" si="20"/>
        <v>7</v>
      </c>
      <c r="AZ20">
        <f>step3_validation[[#This Row],[AI_TRU4]]</f>
        <v>8</v>
      </c>
      <c r="BA20" t="str">
        <f t="shared" si="21"/>
        <v>Support</v>
      </c>
      <c r="BB20">
        <f>survey_responses[[#This Row],[Tôi thấy Nhà nước đã giải thích rõ ràng, minh bạch về lý do và mục tiêu của việc sửa đổi thuế lần này. - HUMAN-TRU4]]</f>
        <v>5</v>
      </c>
      <c r="BC20" t="str">
        <f t="shared" si="22"/>
        <v>Neutral</v>
      </c>
      <c r="BD20" s="32">
        <f t="shared" si="23"/>
        <v>3</v>
      </c>
      <c r="BE20">
        <f>step3_validation[[#This Row],[AI_OUT1]]</f>
        <v>9</v>
      </c>
      <c r="BF20" t="str">
        <f t="shared" si="24"/>
        <v>Support</v>
      </c>
      <c r="BG20">
        <f>survey_responses[[#This Row],[Sau khi xem xét các quyền lợi và nghĩa vụ, bạn có ủng hộ và tuân thủ chính sách mới hiện nay? - HUMAN-OUT1]]</f>
        <v>8</v>
      </c>
      <c r="BH20" t="str">
        <f t="shared" si="25"/>
        <v>Support</v>
      </c>
      <c r="BI20" s="32">
        <f t="shared" si="26"/>
        <v>1</v>
      </c>
    </row>
    <row r="21" spans="1:61" x14ac:dyDescent="0.45">
      <c r="A21" s="30">
        <f>step3_validation[[#This Row],[Persona_ID]]</f>
        <v>20</v>
      </c>
      <c r="B21" s="31">
        <f>step3_validation[[#This Row],[Used_Seed]]</f>
        <v>12364</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67.573479496414791</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8</v>
      </c>
      <c r="R21" t="str">
        <f t="shared" si="0"/>
        <v>Support</v>
      </c>
      <c r="S21">
        <f>survey_responses[[#This Row],[Tôi tin rằng với các quy định quản lý thuế hiện nay, hành vi gian lận hoặc trốn thuế sẽ dễ dàng bị phát hiện và xử lý nghiêm. - HUMAN-ENF1]]</f>
        <v>9</v>
      </c>
      <c r="T21" t="str">
        <f t="shared" si="1"/>
        <v>Support</v>
      </c>
      <c r="U21" s="32">
        <f t="shared" si="2"/>
        <v>1</v>
      </c>
      <c r="V21">
        <f>step3_validation[[#This Row],[AI_ENF2]]</f>
        <v>9</v>
      </c>
      <c r="W21" t="str">
        <f t="shared" si="3"/>
        <v>Support</v>
      </c>
      <c r="X21">
        <f>survey_responses[[#This Row],[Tôi tin rằng Nhà nước, cơ quan thuế có đủ khả năng và công nghệ để phát hiện, xử lý nghiêm các hành vi trốn thuế. - HUMAN-ENF2]]</f>
        <v>9</v>
      </c>
      <c r="Y21" t="str">
        <f t="shared" si="4"/>
        <v>Support</v>
      </c>
      <c r="Z21" s="32">
        <f t="shared" si="5"/>
        <v>0</v>
      </c>
      <c r="AA21">
        <f>step3_validation[[#This Row],[AI_FAC1]]</f>
        <v>8</v>
      </c>
      <c r="AB21" t="str">
        <f t="shared" si="6"/>
        <v>Support</v>
      </c>
      <c r="AC21">
        <f>survey_responses[[#This Row],[Các thủ tục khai báo thuế VÀ/HOẶC quy trình làm việc với cơ quan thuế đơn giản, tiện lợi, nhanh chóng hơn so với trước đây. - HUMAN-FAC1]]</f>
        <v>7</v>
      </c>
      <c r="AD21" t="str">
        <f t="shared" si="7"/>
        <v>Neutral</v>
      </c>
      <c r="AE21" s="32">
        <f t="shared" si="8"/>
        <v>1</v>
      </c>
      <c r="AF21">
        <f>step3_validation[[#This Row],[AI_FAC2]]</f>
        <v>9</v>
      </c>
      <c r="AG21" t="str">
        <f t="shared" si="9"/>
        <v>Support</v>
      </c>
      <c r="AH21">
        <f>survey_responses[[#This Row],[So với trước đây, tôi thấy cách tính thuế và các bậc thuế trong phương án mới đơn giản, dễ hiểu và dễ thực hiện hơn. - HUMAN-FAC2]]</f>
        <v>9</v>
      </c>
      <c r="AI21" t="str">
        <f t="shared" si="10"/>
        <v>Support</v>
      </c>
      <c r="AJ21" s="32">
        <f t="shared" si="11"/>
        <v>0</v>
      </c>
      <c r="AK21">
        <f>step3_validation[[#This Row],[AI_TRU1]]</f>
        <v>7</v>
      </c>
      <c r="AL21" t="str">
        <f t="shared" si="12"/>
        <v>Neutral</v>
      </c>
      <c r="AM21">
        <f>survey_responses[[#This Row],[Tôi tin rằng Nhà nước, cơ quan thuế sẽ thực thi chính sách mới một cách khách quan, công tâm và đối xử bình đẳng với mọi người nộp thuế.  - HUMAN-TRU1]]</f>
        <v>7</v>
      </c>
      <c r="AN21" t="str">
        <f t="shared" si="13"/>
        <v>Neutral</v>
      </c>
      <c r="AO21" s="32">
        <f t="shared" si="14"/>
        <v>0</v>
      </c>
      <c r="AP21">
        <f>step3_validation[[#This Row],[AI_TRU2]]</f>
        <v>9</v>
      </c>
      <c r="AQ21" t="str">
        <f t="shared" si="15"/>
        <v>Support</v>
      </c>
      <c r="AR21">
        <f>survey_responses[[#This Row],[Tôi thấy mức thuế tôi phải đóng theo phương án mới là công bằng (người thu nhập như tôi đóng mức này là hợp lý). - HUMAN-TRU2]]</f>
        <v>8</v>
      </c>
      <c r="AS21" t="str">
        <f t="shared" si="16"/>
        <v>Support</v>
      </c>
      <c r="AT21" s="32">
        <f t="shared" si="17"/>
        <v>1</v>
      </c>
      <c r="AU21">
        <f>step3_validation[[#This Row],[AI_TRU3]]</f>
        <v>8</v>
      </c>
      <c r="AV21" t="str">
        <f t="shared" si="18"/>
        <v>Support</v>
      </c>
      <c r="AW21">
        <f>survey_responses[[#This Row],[Tôi tin tưởng số tiền thuế tôi đóng sẽ được Nhà nước sử dụng hiệu quả để cải thiện dịch vụ công (y tế, đường xá...). - HUMAN-TRU3]]</f>
        <v>5</v>
      </c>
      <c r="AX21" t="str">
        <f t="shared" si="19"/>
        <v>Neutral</v>
      </c>
      <c r="AY21" s="32">
        <f t="shared" si="20"/>
        <v>3</v>
      </c>
      <c r="AZ21">
        <f>step3_validation[[#This Row],[AI_TRU4]]</f>
        <v>7</v>
      </c>
      <c r="BA21" t="str">
        <f t="shared" si="21"/>
        <v>Neutral</v>
      </c>
      <c r="BB21">
        <f>survey_responses[[#This Row],[Tôi thấy Nhà nước đã giải thích rõ ràng, minh bạch về lý do và mục tiêu của việc sửa đổi thuế lần này. - HUMAN-TRU4]]</f>
        <v>5</v>
      </c>
      <c r="BC21" t="str">
        <f t="shared" si="22"/>
        <v>Neutral</v>
      </c>
      <c r="BD21" s="32">
        <f t="shared" si="23"/>
        <v>2</v>
      </c>
      <c r="BE21">
        <f>step3_validation[[#This Row],[AI_OUT1]]</f>
        <v>9</v>
      </c>
      <c r="BF21" t="str">
        <f t="shared" si="24"/>
        <v>Support</v>
      </c>
      <c r="BG21">
        <f>survey_responses[[#This Row],[Sau khi xem xét các quyền lợi và nghĩa vụ, bạn có ủng hộ và tuân thủ chính sách mới hiện nay? - HUMAN-OUT1]]</f>
        <v>6</v>
      </c>
      <c r="BH21" t="str">
        <f t="shared" si="25"/>
        <v>Neutral</v>
      </c>
      <c r="BI21" s="32">
        <f t="shared" si="26"/>
        <v>3</v>
      </c>
    </row>
    <row r="22" spans="1:61" x14ac:dyDescent="0.45">
      <c r="A22" s="30">
        <f>step3_validation[[#This Row],[Persona_ID]]</f>
        <v>21</v>
      </c>
      <c r="B22" s="31">
        <f>step3_validation[[#This Row],[Used_Seed]]</f>
        <v>12365</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116.26419431137634</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6</v>
      </c>
      <c r="R22" t="str">
        <f t="shared" si="0"/>
        <v>Neutral</v>
      </c>
      <c r="S22">
        <f>survey_responses[[#This Row],[Tôi tin rằng với các quy định quản lý thuế hiện nay, hành vi gian lận hoặc trốn thuế sẽ dễ dàng bị phát hiện và xử lý nghiêm. - HUMAN-ENF1]]</f>
        <v>10</v>
      </c>
      <c r="T22" t="str">
        <f t="shared" si="1"/>
        <v>Support</v>
      </c>
      <c r="U22" s="32">
        <f t="shared" si="2"/>
        <v>4</v>
      </c>
      <c r="V22">
        <f>step3_validation[[#This Row],[AI_ENF2]]</f>
        <v>7</v>
      </c>
      <c r="W22" t="str">
        <f t="shared" si="3"/>
        <v>Neutral</v>
      </c>
      <c r="X22">
        <f>survey_responses[[#This Row],[Tôi tin rằng Nhà nước, cơ quan thuế có đủ khả năng và công nghệ để phát hiện, xử lý nghiêm các hành vi trốn thuế. - HUMAN-ENF2]]</f>
        <v>10</v>
      </c>
      <c r="Y22" t="str">
        <f t="shared" si="4"/>
        <v>Support</v>
      </c>
      <c r="Z22" s="32">
        <f t="shared" si="5"/>
        <v>3</v>
      </c>
      <c r="AA22">
        <f>step3_validation[[#This Row],[AI_FAC1]]</f>
        <v>9</v>
      </c>
      <c r="AB22" t="str">
        <f t="shared" si="6"/>
        <v>Support</v>
      </c>
      <c r="AC22">
        <f>survey_responses[[#This Row],[Các thủ tục khai báo thuế VÀ/HOẶC quy trình làm việc với cơ quan thuế đơn giản, tiện lợi, nhanh chóng hơn so với trước đây. - HUMAN-FAC1]]</f>
        <v>8</v>
      </c>
      <c r="AD22" t="str">
        <f t="shared" si="7"/>
        <v>Support</v>
      </c>
      <c r="AE22" s="32">
        <f t="shared" si="8"/>
        <v>1</v>
      </c>
      <c r="AF22">
        <f>step3_validation[[#This Row],[AI_FAC2]]</f>
        <v>8</v>
      </c>
      <c r="AG22" t="str">
        <f t="shared" si="9"/>
        <v>Support</v>
      </c>
      <c r="AH22">
        <f>survey_responses[[#This Row],[So với trước đây, tôi thấy cách tính thuế và các bậc thuế trong phương án mới đơn giản, dễ hiểu và dễ thực hiện hơn. - HUMAN-FAC2]]</f>
        <v>7</v>
      </c>
      <c r="AI22" t="str">
        <f t="shared" si="10"/>
        <v>Neutral</v>
      </c>
      <c r="AJ22" s="32">
        <f t="shared" si="11"/>
        <v>1</v>
      </c>
      <c r="AK22">
        <f>step3_validation[[#This Row],[AI_TRU1]]</f>
        <v>7</v>
      </c>
      <c r="AL22" t="str">
        <f t="shared" si="12"/>
        <v>Neutral</v>
      </c>
      <c r="AM22">
        <f>survey_responses[[#This Row],[Tôi tin rằng Nhà nước, cơ quan thuế sẽ thực thi chính sách mới một cách khách quan, công tâm và đối xử bình đẳng với mọi người nộp thuế.  - HUMAN-TRU1]]</f>
        <v>7</v>
      </c>
      <c r="AN22" t="str">
        <f t="shared" si="13"/>
        <v>Neutral</v>
      </c>
      <c r="AO22" s="32">
        <f t="shared" si="14"/>
        <v>0</v>
      </c>
      <c r="AP22">
        <f>step3_validation[[#This Row],[AI_TRU2]]</f>
        <v>9</v>
      </c>
      <c r="AQ22" t="str">
        <f t="shared" si="15"/>
        <v>Support</v>
      </c>
      <c r="AR22">
        <f>survey_responses[[#This Row],[Tôi thấy mức thuế tôi phải đóng theo phương án mới là công bằng (người thu nhập như tôi đóng mức này là hợp lý). - HUMAN-TRU2]]</f>
        <v>7</v>
      </c>
      <c r="AS22" t="str">
        <f t="shared" si="16"/>
        <v>Neutral</v>
      </c>
      <c r="AT22" s="32">
        <f t="shared" si="17"/>
        <v>2</v>
      </c>
      <c r="AU22">
        <f>step3_validation[[#This Row],[AI_TRU3]]</f>
        <v>6</v>
      </c>
      <c r="AV22" t="str">
        <f t="shared" si="18"/>
        <v>Neutral</v>
      </c>
      <c r="AW22">
        <f>survey_responses[[#This Row],[Tôi tin tưởng số tiền thuế tôi đóng sẽ được Nhà nước sử dụng hiệu quả để cải thiện dịch vụ công (y tế, đường xá...). - HUMAN-TRU3]]</f>
        <v>2</v>
      </c>
      <c r="AX22" t="str">
        <f t="shared" si="19"/>
        <v>Oppose</v>
      </c>
      <c r="AY22" s="32">
        <f t="shared" si="20"/>
        <v>4</v>
      </c>
      <c r="AZ22">
        <f>step3_validation[[#This Row],[AI_TRU4]]</f>
        <v>8</v>
      </c>
      <c r="BA22" t="str">
        <f t="shared" si="21"/>
        <v>Support</v>
      </c>
      <c r="BB22">
        <f>survey_responses[[#This Row],[Tôi thấy Nhà nước đã giải thích rõ ràng, minh bạch về lý do và mục tiêu của việc sửa đổi thuế lần này. - HUMAN-TRU4]]</f>
        <v>3</v>
      </c>
      <c r="BC22" t="str">
        <f t="shared" si="22"/>
        <v>Oppose</v>
      </c>
      <c r="BD22" s="32">
        <f t="shared" si="23"/>
        <v>5</v>
      </c>
      <c r="BE22">
        <f>step3_validation[[#This Row],[AI_OUT1]]</f>
        <v>9</v>
      </c>
      <c r="BF22" t="str">
        <f t="shared" si="24"/>
        <v>Support</v>
      </c>
      <c r="BG22">
        <f>survey_responses[[#This Row],[Sau khi xem xét các quyền lợi và nghĩa vụ, bạn có ủng hộ và tuân thủ chính sách mới hiện nay? - HUMAN-OUT1]]</f>
        <v>3</v>
      </c>
      <c r="BH22" t="str">
        <f t="shared" si="25"/>
        <v>Oppose</v>
      </c>
      <c r="BI22" s="32">
        <f t="shared" si="26"/>
        <v>6</v>
      </c>
    </row>
    <row r="23" spans="1:61" x14ac:dyDescent="0.45">
      <c r="A23" s="30">
        <f>step3_validation[[#This Row],[Persona_ID]]</f>
        <v>22</v>
      </c>
      <c r="B23" s="31">
        <f>step3_validation[[#This Row],[Used_Seed]]</f>
        <v>12366</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15.160051629906439</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t="str">
        <f t="shared" si="0"/>
        <v>Neutral</v>
      </c>
      <c r="S23">
        <f>survey_responses[[#This Row],[Tôi tin rằng với các quy định quản lý thuế hiện nay, hành vi gian lận hoặc trốn thuế sẽ dễ dàng bị phát hiện và xử lý nghiêm. - HUMAN-ENF1]]</f>
        <v>8</v>
      </c>
      <c r="T23" t="str">
        <f t="shared" si="1"/>
        <v>Support</v>
      </c>
      <c r="U23" s="32">
        <f t="shared" si="2"/>
        <v>1</v>
      </c>
      <c r="V23">
        <f>step3_validation[[#This Row],[AI_ENF2]]</f>
        <v>6</v>
      </c>
      <c r="W23" t="str">
        <f t="shared" si="3"/>
        <v>Neutral</v>
      </c>
      <c r="X23">
        <f>survey_responses[[#This Row],[Tôi tin rằng Nhà nước, cơ quan thuế có đủ khả năng và công nghệ để phát hiện, xử lý nghiêm các hành vi trốn thuế. - HUMAN-ENF2]]</f>
        <v>8</v>
      </c>
      <c r="Y23" t="str">
        <f t="shared" si="4"/>
        <v>Support</v>
      </c>
      <c r="Z23" s="32">
        <f t="shared" si="5"/>
        <v>2</v>
      </c>
      <c r="AA23">
        <f>step3_validation[[#This Row],[AI_FAC1]]</f>
        <v>8</v>
      </c>
      <c r="AB23" t="str">
        <f t="shared" si="6"/>
        <v>Support</v>
      </c>
      <c r="AC23">
        <f>survey_responses[[#This Row],[Các thủ tục khai báo thuế VÀ/HOẶC quy trình làm việc với cơ quan thuế đơn giản, tiện lợi, nhanh chóng hơn so với trước đây. - HUMAN-FAC1]]</f>
        <v>5</v>
      </c>
      <c r="AD23" t="str">
        <f t="shared" si="7"/>
        <v>Neutral</v>
      </c>
      <c r="AE23" s="32">
        <f t="shared" si="8"/>
        <v>3</v>
      </c>
      <c r="AF23">
        <f>step3_validation[[#This Row],[AI_FAC2]]</f>
        <v>9</v>
      </c>
      <c r="AG23" t="str">
        <f t="shared" si="9"/>
        <v>Support</v>
      </c>
      <c r="AH23">
        <f>survey_responses[[#This Row],[So với trước đây, tôi thấy cách tính thuế và các bậc thuế trong phương án mới đơn giản, dễ hiểu và dễ thực hiện hơn. - HUMAN-FAC2]]</f>
        <v>8</v>
      </c>
      <c r="AI23" t="str">
        <f t="shared" si="10"/>
        <v>Support</v>
      </c>
      <c r="AJ23" s="32">
        <f t="shared" si="11"/>
        <v>1</v>
      </c>
      <c r="AK23">
        <f>step3_validation[[#This Row],[AI_TRU1]]</f>
        <v>7</v>
      </c>
      <c r="AL23" t="str">
        <f t="shared" si="12"/>
        <v>Neutral</v>
      </c>
      <c r="AM23">
        <f>survey_responses[[#This Row],[Tôi tin rằng Nhà nước, cơ quan thuế sẽ thực thi chính sách mới một cách khách quan, công tâm và đối xử bình đẳng với mọi người nộp thuế.  - HUMAN-TRU1]]</f>
        <v>8</v>
      </c>
      <c r="AN23" t="str">
        <f t="shared" si="13"/>
        <v>Support</v>
      </c>
      <c r="AO23" s="32">
        <f t="shared" si="14"/>
        <v>1</v>
      </c>
      <c r="AP23">
        <f>step3_validation[[#This Row],[AI_TRU2]]</f>
        <v>9</v>
      </c>
      <c r="AQ23" t="str">
        <f t="shared" si="15"/>
        <v>Support</v>
      </c>
      <c r="AR23">
        <f>survey_responses[[#This Row],[Tôi thấy mức thuế tôi phải đóng theo phương án mới là công bằng (người thu nhập như tôi đóng mức này là hợp lý). - HUMAN-TRU2]]</f>
        <v>8</v>
      </c>
      <c r="AS23" t="str">
        <f t="shared" si="16"/>
        <v>Support</v>
      </c>
      <c r="AT23" s="32">
        <f t="shared" si="17"/>
        <v>1</v>
      </c>
      <c r="AU23">
        <f>step3_validation[[#This Row],[AI_TRU3]]</f>
        <v>7</v>
      </c>
      <c r="AV23" t="str">
        <f t="shared" si="18"/>
        <v>Neutral</v>
      </c>
      <c r="AW23">
        <f>survey_responses[[#This Row],[Tôi tin tưởng số tiền thuế tôi đóng sẽ được Nhà nước sử dụng hiệu quả để cải thiện dịch vụ công (y tế, đường xá...). - HUMAN-TRU3]]</f>
        <v>8</v>
      </c>
      <c r="AX23" t="str">
        <f t="shared" si="19"/>
        <v>Support</v>
      </c>
      <c r="AY23" s="32">
        <f t="shared" si="20"/>
        <v>1</v>
      </c>
      <c r="AZ23">
        <f>step3_validation[[#This Row],[AI_TRU4]]</f>
        <v>6</v>
      </c>
      <c r="BA23" t="str">
        <f t="shared" si="21"/>
        <v>Neutral</v>
      </c>
      <c r="BB23">
        <f>survey_responses[[#This Row],[Tôi thấy Nhà nước đã giải thích rõ ràng, minh bạch về lý do và mục tiêu của việc sửa đổi thuế lần này. - HUMAN-TRU4]]</f>
        <v>8</v>
      </c>
      <c r="BC23" t="str">
        <f t="shared" si="22"/>
        <v>Support</v>
      </c>
      <c r="BD23" s="32">
        <f t="shared" si="23"/>
        <v>2</v>
      </c>
      <c r="BE23">
        <f>step3_validation[[#This Row],[AI_OUT1]]</f>
        <v>8</v>
      </c>
      <c r="BF23" t="str">
        <f t="shared" si="24"/>
        <v>Support</v>
      </c>
      <c r="BG23">
        <f>survey_responses[[#This Row],[Sau khi xem xét các quyền lợi và nghĩa vụ, bạn có ủng hộ và tuân thủ chính sách mới hiện nay? - HUMAN-OUT1]]</f>
        <v>8</v>
      </c>
      <c r="BH23" t="str">
        <f t="shared" si="25"/>
        <v>Support</v>
      </c>
      <c r="BI23" s="32">
        <f t="shared" si="26"/>
        <v>0</v>
      </c>
    </row>
    <row r="24" spans="1:61" x14ac:dyDescent="0.45">
      <c r="A24" s="30">
        <f>step3_validation[[#This Row],[Persona_ID]]</f>
        <v>23</v>
      </c>
      <c r="B24" s="31">
        <f>step3_validation[[#This Row],[Used_Seed]]</f>
        <v>12367</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79.228395760830907</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6</v>
      </c>
      <c r="R24" t="str">
        <f t="shared" si="0"/>
        <v>Neutral</v>
      </c>
      <c r="S24">
        <f>survey_responses[[#This Row],[Tôi tin rằng với các quy định quản lý thuế hiện nay, hành vi gian lận hoặc trốn thuế sẽ dễ dàng bị phát hiện và xử lý nghiêm. - HUMAN-ENF1]]</f>
        <v>5</v>
      </c>
      <c r="T24" t="str">
        <f t="shared" si="1"/>
        <v>Neutral</v>
      </c>
      <c r="U24" s="32">
        <f t="shared" si="2"/>
        <v>1</v>
      </c>
      <c r="V24">
        <f>step3_validation[[#This Row],[AI_ENF2]]</f>
        <v>7</v>
      </c>
      <c r="W24" t="str">
        <f t="shared" si="3"/>
        <v>Neutral</v>
      </c>
      <c r="X24">
        <f>survey_responses[[#This Row],[Tôi tin rằng Nhà nước, cơ quan thuế có đủ khả năng và công nghệ để phát hiện, xử lý nghiêm các hành vi trốn thuế. - HUMAN-ENF2]]</f>
        <v>5</v>
      </c>
      <c r="Y24" t="str">
        <f t="shared" si="4"/>
        <v>Neutral</v>
      </c>
      <c r="Z24" s="32">
        <f t="shared" si="5"/>
        <v>2</v>
      </c>
      <c r="AA24">
        <f>step3_validation[[#This Row],[AI_FAC1]]</f>
        <v>6</v>
      </c>
      <c r="AB24" t="str">
        <f t="shared" si="6"/>
        <v>Neutral</v>
      </c>
      <c r="AC24">
        <f>survey_responses[[#This Row],[Các thủ tục khai báo thuế VÀ/HOẶC quy trình làm việc với cơ quan thuế đơn giản, tiện lợi, nhanh chóng hơn so với trước đây. - HUMAN-FAC1]]</f>
        <v>5</v>
      </c>
      <c r="AD24" t="str">
        <f t="shared" si="7"/>
        <v>Neutral</v>
      </c>
      <c r="AE24" s="32">
        <f t="shared" si="8"/>
        <v>1</v>
      </c>
      <c r="AF24">
        <f>step3_validation[[#This Row],[AI_FAC2]]</f>
        <v>8</v>
      </c>
      <c r="AG24" t="str">
        <f t="shared" si="9"/>
        <v>Support</v>
      </c>
      <c r="AH24">
        <f>survey_responses[[#This Row],[So với trước đây, tôi thấy cách tính thuế và các bậc thuế trong phương án mới đơn giản, dễ hiểu và dễ thực hiện hơn. - HUMAN-FAC2]]</f>
        <v>5</v>
      </c>
      <c r="AI24" t="str">
        <f t="shared" si="10"/>
        <v>Neutral</v>
      </c>
      <c r="AJ24" s="32">
        <f t="shared" si="11"/>
        <v>3</v>
      </c>
      <c r="AK24">
        <f>step3_validation[[#This Row],[AI_TRU1]]</f>
        <v>7</v>
      </c>
      <c r="AL24" t="str">
        <f t="shared" si="12"/>
        <v>Neutral</v>
      </c>
      <c r="AM24">
        <f>survey_responses[[#This Row],[Tôi tin rằng Nhà nước, cơ quan thuế sẽ thực thi chính sách mới một cách khách quan, công tâm và đối xử bình đẳng với mọi người nộp thuế.  - HUMAN-TRU1]]</f>
        <v>5</v>
      </c>
      <c r="AN24" t="str">
        <f t="shared" si="13"/>
        <v>Neutral</v>
      </c>
      <c r="AO24" s="32">
        <f t="shared" si="14"/>
        <v>2</v>
      </c>
      <c r="AP24">
        <f>step3_validation[[#This Row],[AI_TRU2]]</f>
        <v>9</v>
      </c>
      <c r="AQ24" t="str">
        <f t="shared" si="15"/>
        <v>Support</v>
      </c>
      <c r="AR24">
        <f>survey_responses[[#This Row],[Tôi thấy mức thuế tôi phải đóng theo phương án mới là công bằng (người thu nhập như tôi đóng mức này là hợp lý). - HUMAN-TRU2]]</f>
        <v>5</v>
      </c>
      <c r="AS24" t="str">
        <f t="shared" si="16"/>
        <v>Neutral</v>
      </c>
      <c r="AT24" s="32">
        <f t="shared" si="17"/>
        <v>4</v>
      </c>
      <c r="AU24">
        <f>step3_validation[[#This Row],[AI_TRU3]]</f>
        <v>6</v>
      </c>
      <c r="AV24" t="str">
        <f t="shared" si="18"/>
        <v>Neutral</v>
      </c>
      <c r="AW24">
        <f>survey_responses[[#This Row],[Tôi tin tưởng số tiền thuế tôi đóng sẽ được Nhà nước sử dụng hiệu quả để cải thiện dịch vụ công (y tế, đường xá...). - HUMAN-TRU3]]</f>
        <v>5</v>
      </c>
      <c r="AX24" t="str">
        <f t="shared" si="19"/>
        <v>Neutral</v>
      </c>
      <c r="AY24" s="32">
        <f t="shared" si="20"/>
        <v>1</v>
      </c>
      <c r="AZ24">
        <f>step3_validation[[#This Row],[AI_TRU4]]</f>
        <v>7</v>
      </c>
      <c r="BA24" t="str">
        <f t="shared" si="21"/>
        <v>Neutral</v>
      </c>
      <c r="BB24">
        <f>survey_responses[[#This Row],[Tôi thấy Nhà nước đã giải thích rõ ràng, minh bạch về lý do và mục tiêu của việc sửa đổi thuế lần này. - HUMAN-TRU4]]</f>
        <v>5</v>
      </c>
      <c r="BC24" t="str">
        <f t="shared" si="22"/>
        <v>Neutral</v>
      </c>
      <c r="BD24" s="32">
        <f t="shared" si="23"/>
        <v>2</v>
      </c>
      <c r="BE24">
        <f>step3_validation[[#This Row],[AI_OUT1]]</f>
        <v>9</v>
      </c>
      <c r="BF24" t="str">
        <f t="shared" si="24"/>
        <v>Support</v>
      </c>
      <c r="BG24">
        <f>survey_responses[[#This Row],[Sau khi xem xét các quyền lợi và nghĩa vụ, bạn có ủng hộ và tuân thủ chính sách mới hiện nay? - HUMAN-OUT1]]</f>
        <v>5</v>
      </c>
      <c r="BH24" t="str">
        <f t="shared" si="25"/>
        <v>Neutral</v>
      </c>
      <c r="BI24" s="32">
        <f t="shared" si="26"/>
        <v>4</v>
      </c>
    </row>
    <row r="25" spans="1:61" x14ac:dyDescent="0.45">
      <c r="A25" s="30">
        <f>step3_validation[[#This Row],[Persona_ID]]</f>
        <v>24</v>
      </c>
      <c r="B25" s="31">
        <f>step3_validation[[#This Row],[Used_Seed]]</f>
        <v>12368</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27.667757486993665</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6</v>
      </c>
      <c r="R25" t="str">
        <f t="shared" si="0"/>
        <v>Neutral</v>
      </c>
      <c r="S25">
        <f>survey_responses[[#This Row],[Tôi tin rằng với các quy định quản lý thuế hiện nay, hành vi gian lận hoặc trốn thuế sẽ dễ dàng bị phát hiện và xử lý nghiêm. - HUMAN-ENF1]]</f>
        <v>9</v>
      </c>
      <c r="T25" t="str">
        <f t="shared" si="1"/>
        <v>Support</v>
      </c>
      <c r="U25" s="32">
        <f t="shared" si="2"/>
        <v>3</v>
      </c>
      <c r="V25">
        <f>step3_validation[[#This Row],[AI_ENF2]]</f>
        <v>7</v>
      </c>
      <c r="W25" t="str">
        <f t="shared" si="3"/>
        <v>Neutral</v>
      </c>
      <c r="X25">
        <f>survey_responses[[#This Row],[Tôi tin rằng Nhà nước, cơ quan thuế có đủ khả năng và công nghệ để phát hiện, xử lý nghiêm các hành vi trốn thuế. - HUMAN-ENF2]]</f>
        <v>8</v>
      </c>
      <c r="Y25" t="str">
        <f t="shared" si="4"/>
        <v>Support</v>
      </c>
      <c r="Z25" s="32">
        <f t="shared" si="5"/>
        <v>1</v>
      </c>
      <c r="AA25">
        <f>step3_validation[[#This Row],[AI_FAC1]]</f>
        <v>8</v>
      </c>
      <c r="AB25" t="str">
        <f t="shared" si="6"/>
        <v>Support</v>
      </c>
      <c r="AC25">
        <f>survey_responses[[#This Row],[Các thủ tục khai báo thuế VÀ/HOẶC quy trình làm việc với cơ quan thuế đơn giản, tiện lợi, nhanh chóng hơn so với trước đây. - HUMAN-FAC1]]</f>
        <v>6</v>
      </c>
      <c r="AD25" t="str">
        <f t="shared" si="7"/>
        <v>Neutral</v>
      </c>
      <c r="AE25" s="32">
        <f t="shared" si="8"/>
        <v>2</v>
      </c>
      <c r="AF25">
        <f>step3_validation[[#This Row],[AI_FAC2]]</f>
        <v>9</v>
      </c>
      <c r="AG25" t="str">
        <f t="shared" si="9"/>
        <v>Support</v>
      </c>
      <c r="AH25">
        <f>survey_responses[[#This Row],[So với trước đây, tôi thấy cách tính thuế và các bậc thuế trong phương án mới đơn giản, dễ hiểu và dễ thực hiện hơn. - HUMAN-FAC2]]</f>
        <v>9</v>
      </c>
      <c r="AI25" t="str">
        <f t="shared" si="10"/>
        <v>Support</v>
      </c>
      <c r="AJ25" s="32">
        <f t="shared" si="11"/>
        <v>0</v>
      </c>
      <c r="AK25">
        <f>step3_validation[[#This Row],[AI_TRU1]]</f>
        <v>7</v>
      </c>
      <c r="AL25" t="str">
        <f t="shared" si="12"/>
        <v>Neutral</v>
      </c>
      <c r="AM25">
        <f>survey_responses[[#This Row],[Tôi tin rằng Nhà nước, cơ quan thuế sẽ thực thi chính sách mới một cách khách quan, công tâm và đối xử bình đẳng với mọi người nộp thuế.  - HUMAN-TRU1]]</f>
        <v>8</v>
      </c>
      <c r="AN25" t="str">
        <f t="shared" si="13"/>
        <v>Support</v>
      </c>
      <c r="AO25" s="32">
        <f t="shared" si="14"/>
        <v>1</v>
      </c>
      <c r="AP25">
        <f>step3_validation[[#This Row],[AI_TRU2]]</f>
        <v>8</v>
      </c>
      <c r="AQ25" t="str">
        <f t="shared" si="15"/>
        <v>Support</v>
      </c>
      <c r="AR25">
        <f>survey_responses[[#This Row],[Tôi thấy mức thuế tôi phải đóng theo phương án mới là công bằng (người thu nhập như tôi đóng mức này là hợp lý). - HUMAN-TRU2]]</f>
        <v>10</v>
      </c>
      <c r="AS25" t="str">
        <f t="shared" si="16"/>
        <v>Support</v>
      </c>
      <c r="AT25" s="32">
        <f t="shared" si="17"/>
        <v>2</v>
      </c>
      <c r="AU25">
        <f>step3_validation[[#This Row],[AI_TRU3]]</f>
        <v>7</v>
      </c>
      <c r="AV25" t="str">
        <f t="shared" si="18"/>
        <v>Neutral</v>
      </c>
      <c r="AW25">
        <f>survey_responses[[#This Row],[Tôi tin tưởng số tiền thuế tôi đóng sẽ được Nhà nước sử dụng hiệu quả để cải thiện dịch vụ công (y tế, đường xá...). - HUMAN-TRU3]]</f>
        <v>6</v>
      </c>
      <c r="AX25" t="str">
        <f t="shared" si="19"/>
        <v>Neutral</v>
      </c>
      <c r="AY25" s="32">
        <f t="shared" si="20"/>
        <v>1</v>
      </c>
      <c r="AZ25">
        <f>step3_validation[[#This Row],[AI_TRU4]]</f>
        <v>8</v>
      </c>
      <c r="BA25" t="str">
        <f t="shared" si="21"/>
        <v>Support</v>
      </c>
      <c r="BB25">
        <f>survey_responses[[#This Row],[Tôi thấy Nhà nước đã giải thích rõ ràng, minh bạch về lý do và mục tiêu của việc sửa đổi thuế lần này. - HUMAN-TRU4]]</f>
        <v>6</v>
      </c>
      <c r="BC25" t="str">
        <f t="shared" si="22"/>
        <v>Neutral</v>
      </c>
      <c r="BD25" s="32">
        <f t="shared" si="23"/>
        <v>2</v>
      </c>
      <c r="BE25">
        <f>step3_validation[[#This Row],[AI_OUT1]]</f>
        <v>9</v>
      </c>
      <c r="BF25" t="str">
        <f t="shared" si="24"/>
        <v>Support</v>
      </c>
      <c r="BG25">
        <f>survey_responses[[#This Row],[Sau khi xem xét các quyền lợi và nghĩa vụ, bạn có ủng hộ và tuân thủ chính sách mới hiện nay? - HUMAN-OUT1]]</f>
        <v>8</v>
      </c>
      <c r="BH25" t="str">
        <f t="shared" si="25"/>
        <v>Support</v>
      </c>
      <c r="BI25" s="32">
        <f t="shared" si="26"/>
        <v>1</v>
      </c>
    </row>
    <row r="26" spans="1:61" x14ac:dyDescent="0.45">
      <c r="A26" s="30">
        <f>step3_validation[[#This Row],[Persona_ID]]</f>
        <v>25</v>
      </c>
      <c r="B26" s="31">
        <f>step3_validation[[#This Row],[Used_Seed]]</f>
        <v>12369</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40.060721030723165</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t="str">
        <f t="shared" si="0"/>
        <v>Neutral</v>
      </c>
      <c r="S26">
        <f>survey_responses[[#This Row],[Tôi tin rằng với các quy định quản lý thuế hiện nay, hành vi gian lận hoặc trốn thuế sẽ dễ dàng bị phát hiện và xử lý nghiêm. - HUMAN-ENF1]]</f>
        <v>6</v>
      </c>
      <c r="T26" t="str">
        <f t="shared" si="1"/>
        <v>Neutral</v>
      </c>
      <c r="U26" s="32">
        <f t="shared" si="2"/>
        <v>1</v>
      </c>
      <c r="V26">
        <f>step3_validation[[#This Row],[AI_ENF2]]</f>
        <v>6</v>
      </c>
      <c r="W26" t="str">
        <f t="shared" si="3"/>
        <v>Neutral</v>
      </c>
      <c r="X26">
        <f>survey_responses[[#This Row],[Tôi tin rằng Nhà nước, cơ quan thuế có đủ khả năng và công nghệ để phát hiện, xử lý nghiêm các hành vi trốn thuế. - HUMAN-ENF2]]</f>
        <v>7</v>
      </c>
      <c r="Y26" t="str">
        <f t="shared" si="4"/>
        <v>Neutral</v>
      </c>
      <c r="Z26" s="32">
        <f t="shared" si="5"/>
        <v>1</v>
      </c>
      <c r="AA26">
        <f>step3_validation[[#This Row],[AI_FAC1]]</f>
        <v>8</v>
      </c>
      <c r="AB26" t="str">
        <f t="shared" si="6"/>
        <v>Support</v>
      </c>
      <c r="AC26">
        <f>survey_responses[[#This Row],[Các thủ tục khai báo thuế VÀ/HOẶC quy trình làm việc với cơ quan thuế đơn giản, tiện lợi, nhanh chóng hơn so với trước đây. - HUMAN-FAC1]]</f>
        <v>5</v>
      </c>
      <c r="AD26" t="str">
        <f t="shared" si="7"/>
        <v>Neutral</v>
      </c>
      <c r="AE26" s="32">
        <f t="shared" si="8"/>
        <v>3</v>
      </c>
      <c r="AF26">
        <f>step3_validation[[#This Row],[AI_FAC2]]</f>
        <v>7</v>
      </c>
      <c r="AG26" t="str">
        <f t="shared" si="9"/>
        <v>Neutral</v>
      </c>
      <c r="AH26">
        <f>survey_responses[[#This Row],[So với trước đây, tôi thấy cách tính thuế và các bậc thuế trong phương án mới đơn giản, dễ hiểu và dễ thực hiện hơn. - HUMAN-FAC2]]</f>
        <v>6</v>
      </c>
      <c r="AI26" t="str">
        <f t="shared" si="10"/>
        <v>Neutral</v>
      </c>
      <c r="AJ26" s="32">
        <f t="shared" si="11"/>
        <v>1</v>
      </c>
      <c r="AK26">
        <f>step3_validation[[#This Row],[AI_TRU1]]</f>
        <v>8</v>
      </c>
      <c r="AL26" t="str">
        <f t="shared" si="12"/>
        <v>Support</v>
      </c>
      <c r="AM26">
        <f>survey_responses[[#This Row],[Tôi tin rằng Nhà nước, cơ quan thuế sẽ thực thi chính sách mới một cách khách quan, công tâm và đối xử bình đẳng với mọi người nộp thuế.  - HUMAN-TRU1]]</f>
        <v>7</v>
      </c>
      <c r="AN26" t="str">
        <f t="shared" si="13"/>
        <v>Neutral</v>
      </c>
      <c r="AO26" s="32">
        <f t="shared" si="14"/>
        <v>1</v>
      </c>
      <c r="AP26">
        <f>step3_validation[[#This Row],[AI_TRU2]]</f>
        <v>9</v>
      </c>
      <c r="AQ26" t="str">
        <f t="shared" si="15"/>
        <v>Support</v>
      </c>
      <c r="AR26">
        <f>survey_responses[[#This Row],[Tôi thấy mức thuế tôi phải đóng theo phương án mới là công bằng (người thu nhập như tôi đóng mức này là hợp lý). - HUMAN-TRU2]]</f>
        <v>7</v>
      </c>
      <c r="AS26" t="str">
        <f t="shared" si="16"/>
        <v>Neutral</v>
      </c>
      <c r="AT26" s="32">
        <f t="shared" si="17"/>
        <v>2</v>
      </c>
      <c r="AU26">
        <f>step3_validation[[#This Row],[AI_TRU3]]</f>
        <v>7</v>
      </c>
      <c r="AV26" t="str">
        <f t="shared" si="18"/>
        <v>Neutral</v>
      </c>
      <c r="AW26">
        <f>survey_responses[[#This Row],[Tôi tin tưởng số tiền thuế tôi đóng sẽ được Nhà nước sử dụng hiệu quả để cải thiện dịch vụ công (y tế, đường xá...). - HUMAN-TRU3]]</f>
        <v>3</v>
      </c>
      <c r="AX26" t="str">
        <f t="shared" si="19"/>
        <v>Oppose</v>
      </c>
      <c r="AY26" s="32">
        <f t="shared" si="20"/>
        <v>4</v>
      </c>
      <c r="AZ26">
        <f>step3_validation[[#This Row],[AI_TRU4]]</f>
        <v>9</v>
      </c>
      <c r="BA26" t="str">
        <f t="shared" si="21"/>
        <v>Support</v>
      </c>
      <c r="BB26">
        <f>survey_responses[[#This Row],[Tôi thấy Nhà nước đã giải thích rõ ràng, minh bạch về lý do và mục tiêu của việc sửa đổi thuế lần này. - HUMAN-TRU4]]</f>
        <v>3</v>
      </c>
      <c r="BC26" t="str">
        <f t="shared" si="22"/>
        <v>Oppose</v>
      </c>
      <c r="BD26" s="32">
        <f t="shared" si="23"/>
        <v>6</v>
      </c>
      <c r="BE26">
        <f>step3_validation[[#This Row],[AI_OUT1]]</f>
        <v>8</v>
      </c>
      <c r="BF26" t="str">
        <f t="shared" si="24"/>
        <v>Support</v>
      </c>
      <c r="BG26">
        <f>survey_responses[[#This Row],[Sau khi xem xét các quyền lợi và nghĩa vụ, bạn có ủng hộ và tuân thủ chính sách mới hiện nay? - HUMAN-OUT1]]</f>
        <v>5</v>
      </c>
      <c r="BH26" t="str">
        <f t="shared" si="25"/>
        <v>Neutral</v>
      </c>
      <c r="BI26" s="32">
        <f t="shared" si="26"/>
        <v>3</v>
      </c>
    </row>
    <row r="27" spans="1:61" x14ac:dyDescent="0.45">
      <c r="A27" s="30">
        <f>step3_validation[[#This Row],[Persona_ID]]</f>
        <v>26</v>
      </c>
      <c r="B27" s="31">
        <f>step3_validation[[#This Row],[Used_Seed]]</f>
        <v>12370</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8</v>
      </c>
      <c r="R27" t="str">
        <f t="shared" si="0"/>
        <v>Support</v>
      </c>
      <c r="S27">
        <f>survey_responses[[#This Row],[Tôi tin rằng với các quy định quản lý thuế hiện nay, hành vi gian lận hoặc trốn thuế sẽ dễ dàng bị phát hiện và xử lý nghiêm. - HUMAN-ENF1]]</f>
        <v>10</v>
      </c>
      <c r="T27" t="str">
        <f t="shared" si="1"/>
        <v>Support</v>
      </c>
      <c r="U27" s="32">
        <f t="shared" si="2"/>
        <v>2</v>
      </c>
      <c r="V27">
        <f>step3_validation[[#This Row],[AI_ENF2]]</f>
        <v>9</v>
      </c>
      <c r="W27" t="str">
        <f t="shared" si="3"/>
        <v>Support</v>
      </c>
      <c r="X27">
        <f>survey_responses[[#This Row],[Tôi tin rằng Nhà nước, cơ quan thuế có đủ khả năng và công nghệ để phát hiện, xử lý nghiêm các hành vi trốn thuế. - HUMAN-ENF2]]</f>
        <v>10</v>
      </c>
      <c r="Y27" t="str">
        <f t="shared" si="4"/>
        <v>Support</v>
      </c>
      <c r="Z27" s="32">
        <f t="shared" si="5"/>
        <v>1</v>
      </c>
      <c r="AA27">
        <f>step3_validation[[#This Row],[AI_FAC1]]</f>
        <v>6</v>
      </c>
      <c r="AB27" t="str">
        <f t="shared" si="6"/>
        <v>Neutral</v>
      </c>
      <c r="AC27">
        <f>survey_responses[[#This Row],[Các thủ tục khai báo thuế VÀ/HOẶC quy trình làm việc với cơ quan thuế đơn giản, tiện lợi, nhanh chóng hơn so với trước đây. - HUMAN-FAC1]]</f>
        <v>10</v>
      </c>
      <c r="AD27" t="str">
        <f t="shared" si="7"/>
        <v>Support</v>
      </c>
      <c r="AE27" s="32">
        <f t="shared" si="8"/>
        <v>4</v>
      </c>
      <c r="AF27">
        <f>step3_validation[[#This Row],[AI_FAC2]]</f>
        <v>8</v>
      </c>
      <c r="AG27" t="str">
        <f t="shared" si="9"/>
        <v>Support</v>
      </c>
      <c r="AH27">
        <f>survey_responses[[#This Row],[So với trước đây, tôi thấy cách tính thuế và các bậc thuế trong phương án mới đơn giản, dễ hiểu và dễ thực hiện hơn. - HUMAN-FAC2]]</f>
        <v>6</v>
      </c>
      <c r="AI27" t="str">
        <f t="shared" si="10"/>
        <v>Neutral</v>
      </c>
      <c r="AJ27" s="32">
        <f t="shared" si="11"/>
        <v>2</v>
      </c>
      <c r="AK27">
        <f>step3_validation[[#This Row],[AI_TRU1]]</f>
        <v>9</v>
      </c>
      <c r="AL27" t="str">
        <f t="shared" si="12"/>
        <v>Support</v>
      </c>
      <c r="AM27">
        <f>survey_responses[[#This Row],[Tôi tin rằng Nhà nước, cơ quan thuế sẽ thực thi chính sách mới một cách khách quan, công tâm và đối xử bình đẳng với mọi người nộp thuế.  - HUMAN-TRU1]]</f>
        <v>6</v>
      </c>
      <c r="AN27" t="str">
        <f t="shared" si="13"/>
        <v>Neutral</v>
      </c>
      <c r="AO27" s="32">
        <f t="shared" si="14"/>
        <v>3</v>
      </c>
      <c r="AP27">
        <f>step3_validation[[#This Row],[AI_TRU2]]</f>
        <v>8</v>
      </c>
      <c r="AQ27" t="str">
        <f t="shared" si="15"/>
        <v>Support</v>
      </c>
      <c r="AR27">
        <f>survey_responses[[#This Row],[Tôi thấy mức thuế tôi phải đóng theo phương án mới là công bằng (người thu nhập như tôi đóng mức này là hợp lý). - HUMAN-TRU2]]</f>
        <v>10</v>
      </c>
      <c r="AS27" t="str">
        <f t="shared" si="16"/>
        <v>Support</v>
      </c>
      <c r="AT27" s="32">
        <f t="shared" si="17"/>
        <v>2</v>
      </c>
      <c r="AU27">
        <f>step3_validation[[#This Row],[AI_TRU3]]</f>
        <v>9</v>
      </c>
      <c r="AV27" t="str">
        <f t="shared" si="18"/>
        <v>Support</v>
      </c>
      <c r="AW27">
        <f>survey_responses[[#This Row],[Tôi tin tưởng số tiền thuế tôi đóng sẽ được Nhà nước sử dụng hiệu quả để cải thiện dịch vụ công (y tế, đường xá...). - HUMAN-TRU3]]</f>
        <v>1</v>
      </c>
      <c r="AX27" t="str">
        <f t="shared" si="19"/>
        <v>Oppose</v>
      </c>
      <c r="AY27" s="32">
        <f t="shared" si="20"/>
        <v>8</v>
      </c>
      <c r="AZ27">
        <f>step3_validation[[#This Row],[AI_TRU4]]</f>
        <v>8</v>
      </c>
      <c r="BA27" t="str">
        <f t="shared" si="21"/>
        <v>Support</v>
      </c>
      <c r="BB27">
        <f>survey_responses[[#This Row],[Tôi thấy Nhà nước đã giải thích rõ ràng, minh bạch về lý do và mục tiêu của việc sửa đổi thuế lần này. - HUMAN-TRU4]]</f>
        <v>4</v>
      </c>
      <c r="BC27" t="str">
        <f t="shared" si="22"/>
        <v>Oppose</v>
      </c>
      <c r="BD27" s="32">
        <f t="shared" si="23"/>
        <v>4</v>
      </c>
      <c r="BE27">
        <f>step3_validation[[#This Row],[AI_OUT1]]</f>
        <v>9</v>
      </c>
      <c r="BF27" t="str">
        <f t="shared" si="24"/>
        <v>Support</v>
      </c>
      <c r="BG27">
        <f>survey_responses[[#This Row],[Sau khi xem xét các quyền lợi và nghĩa vụ, bạn có ủng hộ và tuân thủ chính sách mới hiện nay? - HUMAN-OUT1]]</f>
        <v>10</v>
      </c>
      <c r="BH27" t="str">
        <f t="shared" si="25"/>
        <v>Support</v>
      </c>
      <c r="BI27" s="32">
        <f t="shared" si="26"/>
        <v>1</v>
      </c>
    </row>
    <row r="28" spans="1:61" x14ac:dyDescent="0.45">
      <c r="A28" s="30">
        <f>step3_validation[[#This Row],[Persona_ID]]</f>
        <v>27</v>
      </c>
      <c r="B28" s="31">
        <f>step3_validation[[#This Row],[Used_Seed]]</f>
        <v>12371</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t="str">
        <f t="shared" si="0"/>
        <v>Neutral</v>
      </c>
      <c r="S28">
        <f>survey_responses[[#This Row],[Tôi tin rằng với các quy định quản lý thuế hiện nay, hành vi gian lận hoặc trốn thuế sẽ dễ dàng bị phát hiện và xử lý nghiêm. - HUMAN-ENF1]]</f>
        <v>1</v>
      </c>
      <c r="T28" t="str">
        <f t="shared" si="1"/>
        <v>Oppose</v>
      </c>
      <c r="U28" s="32">
        <f t="shared" si="2"/>
        <v>6</v>
      </c>
      <c r="V28">
        <f>step3_validation[[#This Row],[AI_ENF2]]</f>
        <v>8</v>
      </c>
      <c r="W28" t="str">
        <f t="shared" si="3"/>
        <v>Support</v>
      </c>
      <c r="X28">
        <f>survey_responses[[#This Row],[Tôi tin rằng Nhà nước, cơ quan thuế có đủ khả năng và công nghệ để phát hiện, xử lý nghiêm các hành vi trốn thuế. - HUMAN-ENF2]]</f>
        <v>1</v>
      </c>
      <c r="Y28" t="str">
        <f t="shared" si="4"/>
        <v>Oppose</v>
      </c>
      <c r="Z28" s="32">
        <f t="shared" si="5"/>
        <v>7</v>
      </c>
      <c r="AA28">
        <f>step3_validation[[#This Row],[AI_FAC1]]</f>
        <v>6</v>
      </c>
      <c r="AB28" t="str">
        <f t="shared" si="6"/>
        <v>Neutral</v>
      </c>
      <c r="AC28">
        <f>survey_responses[[#This Row],[Các thủ tục khai báo thuế VÀ/HOẶC quy trình làm việc với cơ quan thuế đơn giản, tiện lợi, nhanh chóng hơn so với trước đây. - HUMAN-FAC1]]</f>
        <v>1</v>
      </c>
      <c r="AD28" t="str">
        <f t="shared" si="7"/>
        <v>Oppose</v>
      </c>
      <c r="AE28" s="32">
        <f t="shared" si="8"/>
        <v>5</v>
      </c>
      <c r="AF28">
        <f>step3_validation[[#This Row],[AI_FAC2]]</f>
        <v>9</v>
      </c>
      <c r="AG28" t="str">
        <f t="shared" si="9"/>
        <v>Support</v>
      </c>
      <c r="AH28">
        <f>survey_responses[[#This Row],[So với trước đây, tôi thấy cách tính thuế và các bậc thuế trong phương án mới đơn giản, dễ hiểu và dễ thực hiện hơn. - HUMAN-FAC2]]</f>
        <v>1</v>
      </c>
      <c r="AI28" t="str">
        <f t="shared" si="10"/>
        <v>Oppose</v>
      </c>
      <c r="AJ28" s="32">
        <f t="shared" si="11"/>
        <v>8</v>
      </c>
      <c r="AK28">
        <f>step3_validation[[#This Row],[AI_TRU1]]</f>
        <v>7</v>
      </c>
      <c r="AL28" t="str">
        <f t="shared" si="12"/>
        <v>Neutral</v>
      </c>
      <c r="AM28">
        <f>survey_responses[[#This Row],[Tôi tin rằng Nhà nước, cơ quan thuế sẽ thực thi chính sách mới một cách khách quan, công tâm và đối xử bình đẳng với mọi người nộp thuế.  - HUMAN-TRU1]]</f>
        <v>1</v>
      </c>
      <c r="AN28" t="str">
        <f t="shared" si="13"/>
        <v>Oppose</v>
      </c>
      <c r="AO28" s="32">
        <f t="shared" si="14"/>
        <v>6</v>
      </c>
      <c r="AP28">
        <f>step3_validation[[#This Row],[AI_TRU2]]</f>
        <v>8</v>
      </c>
      <c r="AQ28" t="str">
        <f t="shared" si="15"/>
        <v>Support</v>
      </c>
      <c r="AR28">
        <f>survey_responses[[#This Row],[Tôi thấy mức thuế tôi phải đóng theo phương án mới là công bằng (người thu nhập như tôi đóng mức này là hợp lý). - HUMAN-TRU2]]</f>
        <v>1</v>
      </c>
      <c r="AS28" t="str">
        <f t="shared" si="16"/>
        <v>Oppose</v>
      </c>
      <c r="AT28" s="32">
        <f t="shared" si="17"/>
        <v>7</v>
      </c>
      <c r="AU28">
        <f>step3_validation[[#This Row],[AI_TRU3]]</f>
        <v>7</v>
      </c>
      <c r="AV28" t="str">
        <f t="shared" si="18"/>
        <v>Neutral</v>
      </c>
      <c r="AW28">
        <f>survey_responses[[#This Row],[Tôi tin tưởng số tiền thuế tôi đóng sẽ được Nhà nước sử dụng hiệu quả để cải thiện dịch vụ công (y tế, đường xá...). - HUMAN-TRU3]]</f>
        <v>1</v>
      </c>
      <c r="AX28" t="str">
        <f t="shared" si="19"/>
        <v>Oppose</v>
      </c>
      <c r="AY28" s="32">
        <f t="shared" si="20"/>
        <v>6</v>
      </c>
      <c r="AZ28">
        <f>step3_validation[[#This Row],[AI_TRU4]]</f>
        <v>6</v>
      </c>
      <c r="BA28" t="str">
        <f t="shared" si="21"/>
        <v>Neutral</v>
      </c>
      <c r="BB28">
        <f>survey_responses[[#This Row],[Tôi thấy Nhà nước đã giải thích rõ ràng, minh bạch về lý do và mục tiêu của việc sửa đổi thuế lần này. - HUMAN-TRU4]]</f>
        <v>1</v>
      </c>
      <c r="BC28" t="str">
        <f t="shared" si="22"/>
        <v>Oppose</v>
      </c>
      <c r="BD28" s="32">
        <f t="shared" si="23"/>
        <v>5</v>
      </c>
      <c r="BE28">
        <f>step3_validation[[#This Row],[AI_OUT1]]</f>
        <v>9</v>
      </c>
      <c r="BF28" t="str">
        <f t="shared" si="24"/>
        <v>Support</v>
      </c>
      <c r="BG28">
        <f>survey_responses[[#This Row],[Sau khi xem xét các quyền lợi và nghĩa vụ, bạn có ủng hộ và tuân thủ chính sách mới hiện nay? - HUMAN-OUT1]]</f>
        <v>1</v>
      </c>
      <c r="BH28" t="str">
        <f t="shared" si="25"/>
        <v>Oppose</v>
      </c>
      <c r="BI28" s="32">
        <f t="shared" si="26"/>
        <v>8</v>
      </c>
    </row>
    <row r="29" spans="1:61" x14ac:dyDescent="0.45">
      <c r="A29" s="30">
        <f>step3_validation[[#This Row],[Persona_ID]]</f>
        <v>28</v>
      </c>
      <c r="B29" s="31">
        <f>step3_validation[[#This Row],[Used_Seed]]</f>
        <v>12372</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13.092916963171589</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7</v>
      </c>
      <c r="R29" t="str">
        <f t="shared" si="0"/>
        <v>Neutral</v>
      </c>
      <c r="S29">
        <f>survey_responses[[#This Row],[Tôi tin rằng với các quy định quản lý thuế hiện nay, hành vi gian lận hoặc trốn thuế sẽ dễ dàng bị phát hiện và xử lý nghiêm. - HUMAN-ENF1]]</f>
        <v>1</v>
      </c>
      <c r="T29" t="str">
        <f t="shared" si="1"/>
        <v>Oppose</v>
      </c>
      <c r="U29" s="32">
        <f t="shared" si="2"/>
        <v>6</v>
      </c>
      <c r="V29">
        <f>step3_validation[[#This Row],[AI_ENF2]]</f>
        <v>8</v>
      </c>
      <c r="W29" t="str">
        <f t="shared" si="3"/>
        <v>Support</v>
      </c>
      <c r="X29">
        <f>survey_responses[[#This Row],[Tôi tin rằng Nhà nước, cơ quan thuế có đủ khả năng và công nghệ để phát hiện, xử lý nghiêm các hành vi trốn thuế. - HUMAN-ENF2]]</f>
        <v>1</v>
      </c>
      <c r="Y29" t="str">
        <f t="shared" si="4"/>
        <v>Oppose</v>
      </c>
      <c r="Z29" s="32">
        <f t="shared" si="5"/>
        <v>7</v>
      </c>
      <c r="AA29">
        <f>step3_validation[[#This Row],[AI_FAC1]]</f>
        <v>9</v>
      </c>
      <c r="AB29" t="str">
        <f t="shared" si="6"/>
        <v>Support</v>
      </c>
      <c r="AC29">
        <f>survey_responses[[#This Row],[Các thủ tục khai báo thuế VÀ/HOẶC quy trình làm việc với cơ quan thuế đơn giản, tiện lợi, nhanh chóng hơn so với trước đây. - HUMAN-FAC1]]</f>
        <v>1</v>
      </c>
      <c r="AD29" t="str">
        <f t="shared" si="7"/>
        <v>Oppose</v>
      </c>
      <c r="AE29" s="32">
        <f t="shared" si="8"/>
        <v>8</v>
      </c>
      <c r="AF29">
        <f>step3_validation[[#This Row],[AI_FAC2]]</f>
        <v>10</v>
      </c>
      <c r="AG29" t="str">
        <f t="shared" si="9"/>
        <v>Support</v>
      </c>
      <c r="AH29">
        <f>survey_responses[[#This Row],[So với trước đây, tôi thấy cách tính thuế và các bậc thuế trong phương án mới đơn giản, dễ hiểu và dễ thực hiện hơn. - HUMAN-FAC2]]</f>
        <v>1</v>
      </c>
      <c r="AI29" t="str">
        <f t="shared" si="10"/>
        <v>Oppose</v>
      </c>
      <c r="AJ29" s="32">
        <f t="shared" si="11"/>
        <v>9</v>
      </c>
      <c r="AK29">
        <f>step3_validation[[#This Row],[AI_TRU1]]</f>
        <v>8</v>
      </c>
      <c r="AL29" t="str">
        <f t="shared" si="12"/>
        <v>Support</v>
      </c>
      <c r="AM29">
        <f>survey_responses[[#This Row],[Tôi tin rằng Nhà nước, cơ quan thuế sẽ thực thi chính sách mới một cách khách quan, công tâm và đối xử bình đẳng với mọi người nộp thuế.  - HUMAN-TRU1]]</f>
        <v>1</v>
      </c>
      <c r="AN29" t="str">
        <f t="shared" si="13"/>
        <v>Oppose</v>
      </c>
      <c r="AO29" s="32">
        <f t="shared" si="14"/>
        <v>7</v>
      </c>
      <c r="AP29">
        <f>step3_validation[[#This Row],[AI_TRU2]]</f>
        <v>9</v>
      </c>
      <c r="AQ29" t="str">
        <f t="shared" si="15"/>
        <v>Support</v>
      </c>
      <c r="AR29">
        <f>survey_responses[[#This Row],[Tôi thấy mức thuế tôi phải đóng theo phương án mới là công bằng (người thu nhập như tôi đóng mức này là hợp lý). - HUMAN-TRU2]]</f>
        <v>1</v>
      </c>
      <c r="AS29" t="str">
        <f t="shared" si="16"/>
        <v>Oppose</v>
      </c>
      <c r="AT29" s="32">
        <f t="shared" si="17"/>
        <v>8</v>
      </c>
      <c r="AU29">
        <f>step3_validation[[#This Row],[AI_TRU3]]</f>
        <v>7</v>
      </c>
      <c r="AV29" t="str">
        <f t="shared" si="18"/>
        <v>Neutral</v>
      </c>
      <c r="AW29">
        <f>survey_responses[[#This Row],[Tôi tin tưởng số tiền thuế tôi đóng sẽ được Nhà nước sử dụng hiệu quả để cải thiện dịch vụ công (y tế, đường xá...). - HUMAN-TRU3]]</f>
        <v>1</v>
      </c>
      <c r="AX29" t="str">
        <f t="shared" si="19"/>
        <v>Oppose</v>
      </c>
      <c r="AY29" s="32">
        <f t="shared" si="20"/>
        <v>6</v>
      </c>
      <c r="AZ29">
        <f>step3_validation[[#This Row],[AI_TRU4]]</f>
        <v>8</v>
      </c>
      <c r="BA29" t="str">
        <f t="shared" si="21"/>
        <v>Support</v>
      </c>
      <c r="BB29">
        <f>survey_responses[[#This Row],[Tôi thấy Nhà nước đã giải thích rõ ràng, minh bạch về lý do và mục tiêu của việc sửa đổi thuế lần này. - HUMAN-TRU4]]</f>
        <v>1</v>
      </c>
      <c r="BC29" t="str">
        <f t="shared" si="22"/>
        <v>Oppose</v>
      </c>
      <c r="BD29" s="32">
        <f t="shared" si="23"/>
        <v>7</v>
      </c>
      <c r="BE29">
        <f>step3_validation[[#This Row],[AI_OUT1]]</f>
        <v>9</v>
      </c>
      <c r="BF29" t="str">
        <f t="shared" si="24"/>
        <v>Support</v>
      </c>
      <c r="BG29">
        <f>survey_responses[[#This Row],[Sau khi xem xét các quyền lợi và nghĩa vụ, bạn có ủng hộ và tuân thủ chính sách mới hiện nay? - HUMAN-OUT1]]</f>
        <v>1</v>
      </c>
      <c r="BH29" t="str">
        <f t="shared" si="25"/>
        <v>Oppose</v>
      </c>
      <c r="BI29" s="32">
        <f t="shared" si="26"/>
        <v>8</v>
      </c>
    </row>
    <row r="30" spans="1:61" x14ac:dyDescent="0.45">
      <c r="A30" s="30">
        <f>step3_validation[[#This Row],[Persona_ID]]</f>
        <v>29</v>
      </c>
      <c r="B30" s="31">
        <f>step3_validation[[#This Row],[Used_Seed]]</f>
        <v>12373</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14.715388617498849</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6</v>
      </c>
      <c r="R30" t="str">
        <f t="shared" si="0"/>
        <v>Neutral</v>
      </c>
      <c r="S30">
        <f>survey_responses[[#This Row],[Tôi tin rằng với các quy định quản lý thuế hiện nay, hành vi gian lận hoặc trốn thuế sẽ dễ dàng bị phát hiện và xử lý nghiêm. - HUMAN-ENF1]]</f>
        <v>10</v>
      </c>
      <c r="T30" t="str">
        <f t="shared" si="1"/>
        <v>Support</v>
      </c>
      <c r="U30" s="32">
        <f t="shared" si="2"/>
        <v>4</v>
      </c>
      <c r="V30">
        <f>step3_validation[[#This Row],[AI_ENF2]]</f>
        <v>7</v>
      </c>
      <c r="W30" t="str">
        <f t="shared" si="3"/>
        <v>Neutral</v>
      </c>
      <c r="X30">
        <f>survey_responses[[#This Row],[Tôi tin rằng Nhà nước, cơ quan thuế có đủ khả năng và công nghệ để phát hiện, xử lý nghiêm các hành vi trốn thuế. - HUMAN-ENF2]]</f>
        <v>10</v>
      </c>
      <c r="Y30" t="str">
        <f t="shared" si="4"/>
        <v>Support</v>
      </c>
      <c r="Z30" s="32">
        <f t="shared" si="5"/>
        <v>3</v>
      </c>
      <c r="AA30">
        <f>step3_validation[[#This Row],[AI_FAC1]]</f>
        <v>8</v>
      </c>
      <c r="AB30" t="str">
        <f t="shared" si="6"/>
        <v>Support</v>
      </c>
      <c r="AC30">
        <f>survey_responses[[#This Row],[Các thủ tục khai báo thuế VÀ/HOẶC quy trình làm việc với cơ quan thuế đơn giản, tiện lợi, nhanh chóng hơn so với trước đây. - HUMAN-FAC1]]</f>
        <v>9</v>
      </c>
      <c r="AD30" t="str">
        <f t="shared" si="7"/>
        <v>Support</v>
      </c>
      <c r="AE30" s="32">
        <f t="shared" si="8"/>
        <v>1</v>
      </c>
      <c r="AF30">
        <f>step3_validation[[#This Row],[AI_FAC2]]</f>
        <v>9</v>
      </c>
      <c r="AG30" t="str">
        <f t="shared" si="9"/>
        <v>Support</v>
      </c>
      <c r="AH30">
        <f>survey_responses[[#This Row],[So với trước đây, tôi thấy cách tính thuế và các bậc thuế trong phương án mới đơn giản, dễ hiểu và dễ thực hiện hơn. - HUMAN-FAC2]]</f>
        <v>10</v>
      </c>
      <c r="AI30" t="str">
        <f t="shared" si="10"/>
        <v>Support</v>
      </c>
      <c r="AJ30" s="32">
        <f t="shared" si="11"/>
        <v>1</v>
      </c>
      <c r="AK30">
        <f>step3_validation[[#This Row],[AI_TRU1]]</f>
        <v>7</v>
      </c>
      <c r="AL30" t="str">
        <f t="shared" si="12"/>
        <v>Neutral</v>
      </c>
      <c r="AM30">
        <f>survey_responses[[#This Row],[Tôi tin rằng Nhà nước, cơ quan thuế sẽ thực thi chính sách mới một cách khách quan, công tâm và đối xử bình đẳng với mọi người nộp thuế.  - HUMAN-TRU1]]</f>
        <v>10</v>
      </c>
      <c r="AN30" t="str">
        <f t="shared" si="13"/>
        <v>Support</v>
      </c>
      <c r="AO30" s="32">
        <f t="shared" si="14"/>
        <v>3</v>
      </c>
      <c r="AP30">
        <f>step3_validation[[#This Row],[AI_TRU2]]</f>
        <v>9</v>
      </c>
      <c r="AQ30" t="str">
        <f t="shared" si="15"/>
        <v>Support</v>
      </c>
      <c r="AR30">
        <f>survey_responses[[#This Row],[Tôi thấy mức thuế tôi phải đóng theo phương án mới là công bằng (người thu nhập như tôi đóng mức này là hợp lý). - HUMAN-TRU2]]</f>
        <v>9</v>
      </c>
      <c r="AS30" t="str">
        <f t="shared" si="16"/>
        <v>Support</v>
      </c>
      <c r="AT30" s="32">
        <f t="shared" si="17"/>
        <v>0</v>
      </c>
      <c r="AU30">
        <f>step3_validation[[#This Row],[AI_TRU3]]</f>
        <v>6</v>
      </c>
      <c r="AV30" t="str">
        <f t="shared" si="18"/>
        <v>Neutral</v>
      </c>
      <c r="AW30">
        <f>survey_responses[[#This Row],[Tôi tin tưởng số tiền thuế tôi đóng sẽ được Nhà nước sử dụng hiệu quả để cải thiện dịch vụ công (y tế, đường xá...). - HUMAN-TRU3]]</f>
        <v>10</v>
      </c>
      <c r="AX30" t="str">
        <f t="shared" si="19"/>
        <v>Support</v>
      </c>
      <c r="AY30" s="32">
        <f t="shared" si="20"/>
        <v>4</v>
      </c>
      <c r="AZ30">
        <f>step3_validation[[#This Row],[AI_TRU4]]</f>
        <v>8</v>
      </c>
      <c r="BA30" t="str">
        <f t="shared" si="21"/>
        <v>Support</v>
      </c>
      <c r="BB30">
        <f>survey_responses[[#This Row],[Tôi thấy Nhà nước đã giải thích rõ ràng, minh bạch về lý do và mục tiêu của việc sửa đổi thuế lần này. - HUMAN-TRU4]]</f>
        <v>10</v>
      </c>
      <c r="BC30" t="str">
        <f t="shared" si="22"/>
        <v>Support</v>
      </c>
      <c r="BD30" s="32">
        <f t="shared" si="23"/>
        <v>2</v>
      </c>
      <c r="BE30">
        <f>step3_validation[[#This Row],[AI_OUT1]]</f>
        <v>9</v>
      </c>
      <c r="BF30" t="str">
        <f t="shared" si="24"/>
        <v>Support</v>
      </c>
      <c r="BG30">
        <f>survey_responses[[#This Row],[Sau khi xem xét các quyền lợi và nghĩa vụ, bạn có ủng hộ và tuân thủ chính sách mới hiện nay? - HUMAN-OUT1]]</f>
        <v>10</v>
      </c>
      <c r="BH30" t="str">
        <f t="shared" si="25"/>
        <v>Support</v>
      </c>
      <c r="BI30" s="32">
        <f t="shared" si="26"/>
        <v>1</v>
      </c>
    </row>
    <row r="31" spans="1:61" x14ac:dyDescent="0.45">
      <c r="A31" s="30">
        <f>step3_validation[[#This Row],[Persona_ID]]</f>
        <v>30</v>
      </c>
      <c r="B31" s="31">
        <f>step3_validation[[#This Row],[Used_Seed]]</f>
        <v>12374</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13.119903841367227</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7</v>
      </c>
      <c r="R31" t="str">
        <f t="shared" si="0"/>
        <v>Neutral</v>
      </c>
      <c r="S31">
        <f>survey_responses[[#This Row],[Tôi tin rằng với các quy định quản lý thuế hiện nay, hành vi gian lận hoặc trốn thuế sẽ dễ dàng bị phát hiện và xử lý nghiêm. - HUMAN-ENF1]]</f>
        <v>10</v>
      </c>
      <c r="T31" t="str">
        <f t="shared" si="1"/>
        <v>Support</v>
      </c>
      <c r="U31" s="32">
        <f t="shared" si="2"/>
        <v>3</v>
      </c>
      <c r="V31">
        <f>step3_validation[[#This Row],[AI_ENF2]]</f>
        <v>8</v>
      </c>
      <c r="W31" t="str">
        <f t="shared" si="3"/>
        <v>Support</v>
      </c>
      <c r="X31">
        <f>survey_responses[[#This Row],[Tôi tin rằng Nhà nước, cơ quan thuế có đủ khả năng và công nghệ để phát hiện, xử lý nghiêm các hành vi trốn thuế. - HUMAN-ENF2]]</f>
        <v>10</v>
      </c>
      <c r="Y31" t="str">
        <f t="shared" si="4"/>
        <v>Support</v>
      </c>
      <c r="Z31" s="32">
        <f t="shared" si="5"/>
        <v>2</v>
      </c>
      <c r="AA31">
        <f>step3_validation[[#This Row],[AI_FAC1]]</f>
        <v>9</v>
      </c>
      <c r="AB31" t="str">
        <f t="shared" si="6"/>
        <v>Support</v>
      </c>
      <c r="AC31">
        <f>survey_responses[[#This Row],[Các thủ tục khai báo thuế VÀ/HOẶC quy trình làm việc với cơ quan thuế đơn giản, tiện lợi, nhanh chóng hơn so với trước đây. - HUMAN-FAC1]]</f>
        <v>9</v>
      </c>
      <c r="AD31" t="str">
        <f t="shared" si="7"/>
        <v>Support</v>
      </c>
      <c r="AE31" s="32">
        <f t="shared" si="8"/>
        <v>0</v>
      </c>
      <c r="AF31">
        <f>step3_validation[[#This Row],[AI_FAC2]]</f>
        <v>9</v>
      </c>
      <c r="AG31" t="str">
        <f t="shared" si="9"/>
        <v>Support</v>
      </c>
      <c r="AH31">
        <f>survey_responses[[#This Row],[So với trước đây, tôi thấy cách tính thuế và các bậc thuế trong phương án mới đơn giản, dễ hiểu và dễ thực hiện hơn. - HUMAN-FAC2]]</f>
        <v>10</v>
      </c>
      <c r="AI31" t="str">
        <f t="shared" si="10"/>
        <v>Support</v>
      </c>
      <c r="AJ31" s="32">
        <f t="shared" si="11"/>
        <v>1</v>
      </c>
      <c r="AK31">
        <f>step3_validation[[#This Row],[AI_TRU1]]</f>
        <v>6</v>
      </c>
      <c r="AL31" t="str">
        <f t="shared" si="12"/>
        <v>Neutral</v>
      </c>
      <c r="AM31">
        <f>survey_responses[[#This Row],[Tôi tin rằng Nhà nước, cơ quan thuế sẽ thực thi chính sách mới một cách khách quan, công tâm và đối xử bình đẳng với mọi người nộp thuế.  - HUMAN-TRU1]]</f>
        <v>10</v>
      </c>
      <c r="AN31" t="str">
        <f t="shared" si="13"/>
        <v>Support</v>
      </c>
      <c r="AO31" s="32">
        <f t="shared" si="14"/>
        <v>4</v>
      </c>
      <c r="AP31">
        <f>step3_validation[[#This Row],[AI_TRU2]]</f>
        <v>9</v>
      </c>
      <c r="AQ31" t="str">
        <f t="shared" si="15"/>
        <v>Support</v>
      </c>
      <c r="AR31">
        <f>survey_responses[[#This Row],[Tôi thấy mức thuế tôi phải đóng theo phương án mới là công bằng (người thu nhập như tôi đóng mức này là hợp lý). - HUMAN-TRU2]]</f>
        <v>10</v>
      </c>
      <c r="AS31" t="str">
        <f t="shared" si="16"/>
        <v>Support</v>
      </c>
      <c r="AT31" s="32">
        <f t="shared" si="17"/>
        <v>1</v>
      </c>
      <c r="AU31">
        <f>step3_validation[[#This Row],[AI_TRU3]]</f>
        <v>7</v>
      </c>
      <c r="AV31" t="str">
        <f t="shared" si="18"/>
        <v>Neutral</v>
      </c>
      <c r="AW31">
        <f>survey_responses[[#This Row],[Tôi tin tưởng số tiền thuế tôi đóng sẽ được Nhà nước sử dụng hiệu quả để cải thiện dịch vụ công (y tế, đường xá...). - HUMAN-TRU3]]</f>
        <v>10</v>
      </c>
      <c r="AX31" t="str">
        <f t="shared" si="19"/>
        <v>Support</v>
      </c>
      <c r="AY31" s="32">
        <f t="shared" si="20"/>
        <v>3</v>
      </c>
      <c r="AZ31">
        <f>step3_validation[[#This Row],[AI_TRU4]]</f>
        <v>8</v>
      </c>
      <c r="BA31" t="str">
        <f t="shared" si="21"/>
        <v>Support</v>
      </c>
      <c r="BB31">
        <f>survey_responses[[#This Row],[Tôi thấy Nhà nước đã giải thích rõ ràng, minh bạch về lý do và mục tiêu của việc sửa đổi thuế lần này. - HUMAN-TRU4]]</f>
        <v>10</v>
      </c>
      <c r="BC31" t="str">
        <f t="shared" si="22"/>
        <v>Support</v>
      </c>
      <c r="BD31" s="32">
        <f t="shared" si="23"/>
        <v>2</v>
      </c>
      <c r="BE31">
        <f>step3_validation[[#This Row],[AI_OUT1]]</f>
        <v>9</v>
      </c>
      <c r="BF31" t="str">
        <f t="shared" si="24"/>
        <v>Support</v>
      </c>
      <c r="BG31">
        <f>survey_responses[[#This Row],[Sau khi xem xét các quyền lợi và nghĩa vụ, bạn có ủng hộ và tuân thủ chính sách mới hiện nay? - HUMAN-OUT1]]</f>
        <v>10</v>
      </c>
      <c r="BH31" t="str">
        <f t="shared" si="25"/>
        <v>Support</v>
      </c>
      <c r="BI31" s="32">
        <f t="shared" si="26"/>
        <v>1</v>
      </c>
    </row>
    <row r="32" spans="1:61" x14ac:dyDescent="0.45">
      <c r="A32" s="30">
        <f>step3_validation[[#This Row],[Persona_ID]]</f>
        <v>31</v>
      </c>
      <c r="B32" s="31">
        <f>step3_validation[[#This Row],[Used_Seed]]</f>
        <v>12375</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27.295945965192793</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6</v>
      </c>
      <c r="R32" t="str">
        <f t="shared" si="0"/>
        <v>Neutral</v>
      </c>
      <c r="S32">
        <f>survey_responses[[#This Row],[Tôi tin rằng với các quy định quản lý thuế hiện nay, hành vi gian lận hoặc trốn thuế sẽ dễ dàng bị phát hiện và xử lý nghiêm. - HUMAN-ENF1]]</f>
        <v>10</v>
      </c>
      <c r="T32" t="str">
        <f t="shared" si="1"/>
        <v>Support</v>
      </c>
      <c r="U32" s="32">
        <f t="shared" si="2"/>
        <v>4</v>
      </c>
      <c r="V32">
        <f>step3_validation[[#This Row],[AI_ENF2]]</f>
        <v>6</v>
      </c>
      <c r="W32" t="str">
        <f t="shared" si="3"/>
        <v>Neutral</v>
      </c>
      <c r="X32">
        <f>survey_responses[[#This Row],[Tôi tin rằng Nhà nước, cơ quan thuế có đủ khả năng và công nghệ để phát hiện, xử lý nghiêm các hành vi trốn thuế. - HUMAN-ENF2]]</f>
        <v>7</v>
      </c>
      <c r="Y32" t="str">
        <f t="shared" si="4"/>
        <v>Neutral</v>
      </c>
      <c r="Z32" s="32">
        <f t="shared" si="5"/>
        <v>1</v>
      </c>
      <c r="AA32">
        <f>step3_validation[[#This Row],[AI_FAC1]]</f>
        <v>7</v>
      </c>
      <c r="AB32" t="str">
        <f t="shared" si="6"/>
        <v>Neutral</v>
      </c>
      <c r="AC32">
        <f>survey_responses[[#This Row],[Các thủ tục khai báo thuế VÀ/HOẶC quy trình làm việc với cơ quan thuế đơn giản, tiện lợi, nhanh chóng hơn so với trước đây. - HUMAN-FAC1]]</f>
        <v>10</v>
      </c>
      <c r="AD32" t="str">
        <f t="shared" si="7"/>
        <v>Support</v>
      </c>
      <c r="AE32" s="32">
        <f t="shared" si="8"/>
        <v>3</v>
      </c>
      <c r="AF32">
        <f>step3_validation[[#This Row],[AI_FAC2]]</f>
        <v>7</v>
      </c>
      <c r="AG32" t="str">
        <f t="shared" si="9"/>
        <v>Neutral</v>
      </c>
      <c r="AH32">
        <f>survey_responses[[#This Row],[So với trước đây, tôi thấy cách tính thuế và các bậc thuế trong phương án mới đơn giản, dễ hiểu và dễ thực hiện hơn. - HUMAN-FAC2]]</f>
        <v>7</v>
      </c>
      <c r="AI32" t="str">
        <f t="shared" si="10"/>
        <v>Neutral</v>
      </c>
      <c r="AJ32" s="32">
        <f t="shared" si="11"/>
        <v>0</v>
      </c>
      <c r="AK32">
        <f>step3_validation[[#This Row],[AI_TRU1]]</f>
        <v>6</v>
      </c>
      <c r="AL32" t="str">
        <f t="shared" si="12"/>
        <v>Neutral</v>
      </c>
      <c r="AM32">
        <f>survey_responses[[#This Row],[Tôi tin rằng Nhà nước, cơ quan thuế sẽ thực thi chính sách mới một cách khách quan, công tâm và đối xử bình đẳng với mọi người nộp thuế.  - HUMAN-TRU1]]</f>
        <v>10</v>
      </c>
      <c r="AN32" t="str">
        <f t="shared" si="13"/>
        <v>Support</v>
      </c>
      <c r="AO32" s="32">
        <f t="shared" si="14"/>
        <v>4</v>
      </c>
      <c r="AP32">
        <f>step3_validation[[#This Row],[AI_TRU2]]</f>
        <v>7</v>
      </c>
      <c r="AQ32" t="str">
        <f t="shared" si="15"/>
        <v>Neutral</v>
      </c>
      <c r="AR32">
        <f>survey_responses[[#This Row],[Tôi thấy mức thuế tôi phải đóng theo phương án mới là công bằng (người thu nhập như tôi đóng mức này là hợp lý). - HUMAN-TRU2]]</f>
        <v>10</v>
      </c>
      <c r="AS32" t="str">
        <f t="shared" si="16"/>
        <v>Support</v>
      </c>
      <c r="AT32" s="32">
        <f t="shared" si="17"/>
        <v>3</v>
      </c>
      <c r="AU32">
        <f>step3_validation[[#This Row],[AI_TRU3]]</f>
        <v>6</v>
      </c>
      <c r="AV32" t="str">
        <f t="shared" si="18"/>
        <v>Neutral</v>
      </c>
      <c r="AW32">
        <f>survey_responses[[#This Row],[Tôi tin tưởng số tiền thuế tôi đóng sẽ được Nhà nước sử dụng hiệu quả để cải thiện dịch vụ công (y tế, đường xá...). - HUMAN-TRU3]]</f>
        <v>3</v>
      </c>
      <c r="AX32" t="str">
        <f t="shared" si="19"/>
        <v>Oppose</v>
      </c>
      <c r="AY32" s="32">
        <f t="shared" si="20"/>
        <v>3</v>
      </c>
      <c r="AZ32">
        <f>step3_validation[[#This Row],[AI_TRU4]]</f>
        <v>5</v>
      </c>
      <c r="BA32" t="str">
        <f t="shared" si="21"/>
        <v>Neutral</v>
      </c>
      <c r="BB32">
        <f>survey_responses[[#This Row],[Tôi thấy Nhà nước đã giải thích rõ ràng, minh bạch về lý do và mục tiêu của việc sửa đổi thuế lần này. - HUMAN-TRU4]]</f>
        <v>5</v>
      </c>
      <c r="BC32" t="str">
        <f t="shared" si="22"/>
        <v>Neutral</v>
      </c>
      <c r="BD32" s="32">
        <f t="shared" si="23"/>
        <v>0</v>
      </c>
      <c r="BE32">
        <f>step3_validation[[#This Row],[AI_OUT1]]</f>
        <v>8</v>
      </c>
      <c r="BF32" t="str">
        <f t="shared" si="24"/>
        <v>Support</v>
      </c>
      <c r="BG32">
        <f>survey_responses[[#This Row],[Sau khi xem xét các quyền lợi và nghĩa vụ, bạn có ủng hộ và tuân thủ chính sách mới hiện nay? - HUMAN-OUT1]]</f>
        <v>8</v>
      </c>
      <c r="BH32" t="str">
        <f t="shared" si="25"/>
        <v>Support</v>
      </c>
      <c r="BI32" s="32">
        <f t="shared" si="26"/>
        <v>0</v>
      </c>
    </row>
    <row r="33" spans="1:61" x14ac:dyDescent="0.45">
      <c r="A33" s="30">
        <f>step3_validation[[#This Row],[Persona_ID]]</f>
        <v>32</v>
      </c>
      <c r="B33" s="31">
        <f>step3_validation[[#This Row],[Used_Seed]]</f>
        <v>12376</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29.138658898904062</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6</v>
      </c>
      <c r="R33" t="str">
        <f t="shared" si="0"/>
        <v>Neutral</v>
      </c>
      <c r="S33">
        <f>survey_responses[[#This Row],[Tôi tin rằng với các quy định quản lý thuế hiện nay, hành vi gian lận hoặc trốn thuế sẽ dễ dàng bị phát hiện và xử lý nghiêm. - HUMAN-ENF1]]</f>
        <v>5</v>
      </c>
      <c r="T33" t="str">
        <f t="shared" si="1"/>
        <v>Neutral</v>
      </c>
      <c r="U33" s="32">
        <f t="shared" si="2"/>
        <v>1</v>
      </c>
      <c r="V33">
        <f>step3_validation[[#This Row],[AI_ENF2]]</f>
        <v>7</v>
      </c>
      <c r="W33" t="str">
        <f t="shared" si="3"/>
        <v>Neutral</v>
      </c>
      <c r="X33">
        <f>survey_responses[[#This Row],[Tôi tin rằng Nhà nước, cơ quan thuế có đủ khả năng và công nghệ để phát hiện, xử lý nghiêm các hành vi trốn thuế. - HUMAN-ENF2]]</f>
        <v>5</v>
      </c>
      <c r="Y33" t="str">
        <f t="shared" si="4"/>
        <v>Neutral</v>
      </c>
      <c r="Z33" s="32">
        <f t="shared" si="5"/>
        <v>2</v>
      </c>
      <c r="AA33">
        <f>step3_validation[[#This Row],[AI_FAC1]]</f>
        <v>9</v>
      </c>
      <c r="AB33" t="str">
        <f t="shared" si="6"/>
        <v>Support</v>
      </c>
      <c r="AC33">
        <f>survey_responses[[#This Row],[Các thủ tục khai báo thuế VÀ/HOẶC quy trình làm việc với cơ quan thuế đơn giản, tiện lợi, nhanh chóng hơn so với trước đây. - HUMAN-FAC1]]</f>
        <v>5</v>
      </c>
      <c r="AD33" t="str">
        <f t="shared" si="7"/>
        <v>Neutral</v>
      </c>
      <c r="AE33" s="32">
        <f t="shared" si="8"/>
        <v>4</v>
      </c>
      <c r="AF33">
        <f>step3_validation[[#This Row],[AI_FAC2]]</f>
        <v>8</v>
      </c>
      <c r="AG33" t="str">
        <f t="shared" si="9"/>
        <v>Support</v>
      </c>
      <c r="AH33">
        <f>survey_responses[[#This Row],[So với trước đây, tôi thấy cách tính thuế và các bậc thuế trong phương án mới đơn giản, dễ hiểu và dễ thực hiện hơn. - HUMAN-FAC2]]</f>
        <v>5</v>
      </c>
      <c r="AI33" t="str">
        <f t="shared" si="10"/>
        <v>Neutral</v>
      </c>
      <c r="AJ33" s="32">
        <f t="shared" si="11"/>
        <v>3</v>
      </c>
      <c r="AK33">
        <f>step3_validation[[#This Row],[AI_TRU1]]</f>
        <v>7</v>
      </c>
      <c r="AL33" t="str">
        <f t="shared" si="12"/>
        <v>Neutral</v>
      </c>
      <c r="AM33">
        <f>survey_responses[[#This Row],[Tôi tin rằng Nhà nước, cơ quan thuế sẽ thực thi chính sách mới một cách khách quan, công tâm và đối xử bình đẳng với mọi người nộp thuế.  - HUMAN-TRU1]]</f>
        <v>5</v>
      </c>
      <c r="AN33" t="str">
        <f t="shared" si="13"/>
        <v>Neutral</v>
      </c>
      <c r="AO33" s="32">
        <f t="shared" si="14"/>
        <v>2</v>
      </c>
      <c r="AP33">
        <f>step3_validation[[#This Row],[AI_TRU2]]</f>
        <v>8</v>
      </c>
      <c r="AQ33" t="str">
        <f t="shared" si="15"/>
        <v>Support</v>
      </c>
      <c r="AR33">
        <f>survey_responses[[#This Row],[Tôi thấy mức thuế tôi phải đóng theo phương án mới là công bằng (người thu nhập như tôi đóng mức này là hợp lý). - HUMAN-TRU2]]</f>
        <v>5</v>
      </c>
      <c r="AS33" t="str">
        <f t="shared" si="16"/>
        <v>Neutral</v>
      </c>
      <c r="AT33" s="32">
        <f t="shared" si="17"/>
        <v>3</v>
      </c>
      <c r="AU33">
        <f>step3_validation[[#This Row],[AI_TRU3]]</f>
        <v>8</v>
      </c>
      <c r="AV33" t="str">
        <f t="shared" si="18"/>
        <v>Support</v>
      </c>
      <c r="AW33">
        <f>survey_responses[[#This Row],[Tôi tin tưởng số tiền thuế tôi đóng sẽ được Nhà nước sử dụng hiệu quả để cải thiện dịch vụ công (y tế, đường xá...). - HUMAN-TRU3]]</f>
        <v>5</v>
      </c>
      <c r="AX33" t="str">
        <f t="shared" si="19"/>
        <v>Neutral</v>
      </c>
      <c r="AY33" s="32">
        <f t="shared" si="20"/>
        <v>3</v>
      </c>
      <c r="AZ33">
        <f>step3_validation[[#This Row],[AI_TRU4]]</f>
        <v>7</v>
      </c>
      <c r="BA33" t="str">
        <f t="shared" si="21"/>
        <v>Neutral</v>
      </c>
      <c r="BB33">
        <f>survey_responses[[#This Row],[Tôi thấy Nhà nước đã giải thích rõ ràng, minh bạch về lý do và mục tiêu của việc sửa đổi thuế lần này. - HUMAN-TRU4]]</f>
        <v>5</v>
      </c>
      <c r="BC33" t="str">
        <f t="shared" si="22"/>
        <v>Neutral</v>
      </c>
      <c r="BD33" s="32">
        <f t="shared" si="23"/>
        <v>2</v>
      </c>
      <c r="BE33">
        <f>step3_validation[[#This Row],[AI_OUT1]]</f>
        <v>9</v>
      </c>
      <c r="BF33" t="str">
        <f t="shared" si="24"/>
        <v>Support</v>
      </c>
      <c r="BG33">
        <f>survey_responses[[#This Row],[Sau khi xem xét các quyền lợi và nghĩa vụ, bạn có ủng hộ và tuân thủ chính sách mới hiện nay? - HUMAN-OUT1]]</f>
        <v>5</v>
      </c>
      <c r="BH33" t="str">
        <f t="shared" si="25"/>
        <v>Neutral</v>
      </c>
      <c r="BI33" s="32">
        <f t="shared" si="26"/>
        <v>4</v>
      </c>
    </row>
    <row r="34" spans="1:61" x14ac:dyDescent="0.45">
      <c r="A34" s="30">
        <f>step3_validation[[#This Row],[Persona_ID]]</f>
        <v>33</v>
      </c>
      <c r="B34" s="31">
        <f>step3_validation[[#This Row],[Used_Seed]]</f>
        <v>12377</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29.609550179087222</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t="str">
        <f t="shared" si="0"/>
        <v>Neutral</v>
      </c>
      <c r="S34">
        <f>survey_responses[[#This Row],[Tôi tin rằng với các quy định quản lý thuế hiện nay, hành vi gian lận hoặc trốn thuế sẽ dễ dàng bị phát hiện và xử lý nghiêm. - HUMAN-ENF1]]</f>
        <v>8</v>
      </c>
      <c r="T34" t="str">
        <f t="shared" si="1"/>
        <v>Support</v>
      </c>
      <c r="U34" s="32">
        <f t="shared" si="2"/>
        <v>1</v>
      </c>
      <c r="V34">
        <f>step3_validation[[#This Row],[AI_ENF2]]</f>
        <v>6</v>
      </c>
      <c r="W34" t="str">
        <f t="shared" si="3"/>
        <v>Neutral</v>
      </c>
      <c r="X34">
        <f>survey_responses[[#This Row],[Tôi tin rằng Nhà nước, cơ quan thuế có đủ khả năng và công nghệ để phát hiện, xử lý nghiêm các hành vi trốn thuế. - HUMAN-ENF2]]</f>
        <v>9</v>
      </c>
      <c r="Y34" t="str">
        <f t="shared" si="4"/>
        <v>Support</v>
      </c>
      <c r="Z34" s="32">
        <f t="shared" si="5"/>
        <v>3</v>
      </c>
      <c r="AA34">
        <f>step3_validation[[#This Row],[AI_FAC1]]</f>
        <v>9</v>
      </c>
      <c r="AB34" t="str">
        <f t="shared" si="6"/>
        <v>Support</v>
      </c>
      <c r="AC34">
        <f>survey_responses[[#This Row],[Các thủ tục khai báo thuế VÀ/HOẶC quy trình làm việc với cơ quan thuế đơn giản, tiện lợi, nhanh chóng hơn so với trước đây. - HUMAN-FAC1]]</f>
        <v>7</v>
      </c>
      <c r="AD34" t="str">
        <f t="shared" si="7"/>
        <v>Neutral</v>
      </c>
      <c r="AE34" s="32">
        <f t="shared" si="8"/>
        <v>2</v>
      </c>
      <c r="AF34">
        <f>step3_validation[[#This Row],[AI_FAC2]]</f>
        <v>8</v>
      </c>
      <c r="AG34" t="str">
        <f t="shared" si="9"/>
        <v>Support</v>
      </c>
      <c r="AH34">
        <f>survey_responses[[#This Row],[So với trước đây, tôi thấy cách tính thuế và các bậc thuế trong phương án mới đơn giản, dễ hiểu và dễ thực hiện hơn. - HUMAN-FAC2]]</f>
        <v>8</v>
      </c>
      <c r="AI34" t="str">
        <f t="shared" si="10"/>
        <v>Support</v>
      </c>
      <c r="AJ34" s="32">
        <f t="shared" si="11"/>
        <v>0</v>
      </c>
      <c r="AK34">
        <f>step3_validation[[#This Row],[AI_TRU1]]</f>
        <v>4</v>
      </c>
      <c r="AL34" t="str">
        <f t="shared" si="12"/>
        <v>Oppose</v>
      </c>
      <c r="AM34">
        <f>survey_responses[[#This Row],[Tôi tin rằng Nhà nước, cơ quan thuế sẽ thực thi chính sách mới một cách khách quan, công tâm và đối xử bình đẳng với mọi người nộp thuế.  - HUMAN-TRU1]]</f>
        <v>8</v>
      </c>
      <c r="AN34" t="str">
        <f t="shared" si="13"/>
        <v>Support</v>
      </c>
      <c r="AO34" s="32">
        <f t="shared" si="14"/>
        <v>4</v>
      </c>
      <c r="AP34">
        <f>step3_validation[[#This Row],[AI_TRU2]]</f>
        <v>6</v>
      </c>
      <c r="AQ34" t="str">
        <f t="shared" si="15"/>
        <v>Neutral</v>
      </c>
      <c r="AR34">
        <f>survey_responses[[#This Row],[Tôi thấy mức thuế tôi phải đóng theo phương án mới là công bằng (người thu nhập như tôi đóng mức này là hợp lý). - HUMAN-TRU2]]</f>
        <v>8</v>
      </c>
      <c r="AS34" t="str">
        <f t="shared" si="16"/>
        <v>Support</v>
      </c>
      <c r="AT34" s="32">
        <f t="shared" si="17"/>
        <v>2</v>
      </c>
      <c r="AU34">
        <f>step3_validation[[#This Row],[AI_TRU3]]</f>
        <v>5</v>
      </c>
      <c r="AV34" t="str">
        <f t="shared" si="18"/>
        <v>Neutral</v>
      </c>
      <c r="AW34">
        <f>survey_responses[[#This Row],[Tôi tin tưởng số tiền thuế tôi đóng sẽ được Nhà nước sử dụng hiệu quả để cải thiện dịch vụ công (y tế, đường xá...). - HUMAN-TRU3]]</f>
        <v>3</v>
      </c>
      <c r="AX34" t="str">
        <f t="shared" si="19"/>
        <v>Oppose</v>
      </c>
      <c r="AY34" s="32">
        <f t="shared" si="20"/>
        <v>2</v>
      </c>
      <c r="AZ34">
        <f>step3_validation[[#This Row],[AI_TRU4]]</f>
        <v>6</v>
      </c>
      <c r="BA34" t="str">
        <f t="shared" si="21"/>
        <v>Neutral</v>
      </c>
      <c r="BB34">
        <f>survey_responses[[#This Row],[Tôi thấy Nhà nước đã giải thích rõ ràng, minh bạch về lý do và mục tiêu của việc sửa đổi thuế lần này. - HUMAN-TRU4]]</f>
        <v>6</v>
      </c>
      <c r="BC34" t="str">
        <f t="shared" si="22"/>
        <v>Neutral</v>
      </c>
      <c r="BD34" s="32">
        <f t="shared" si="23"/>
        <v>0</v>
      </c>
      <c r="BE34">
        <f>step3_validation[[#This Row],[AI_OUT1]]</f>
        <v>9</v>
      </c>
      <c r="BF34" t="str">
        <f t="shared" si="24"/>
        <v>Support</v>
      </c>
      <c r="BG34">
        <f>survey_responses[[#This Row],[Sau khi xem xét các quyền lợi và nghĩa vụ, bạn có ủng hộ và tuân thủ chính sách mới hiện nay? - HUMAN-OUT1]]</f>
        <v>7</v>
      </c>
      <c r="BH34" t="str">
        <f t="shared" si="25"/>
        <v>Neutral</v>
      </c>
      <c r="BI34" s="32">
        <f t="shared" si="26"/>
        <v>2</v>
      </c>
    </row>
    <row r="35" spans="1:61" x14ac:dyDescent="0.45">
      <c r="A35" s="30">
        <f>step3_validation[[#This Row],[Persona_ID]]</f>
        <v>34</v>
      </c>
      <c r="B35" s="31">
        <f>step3_validation[[#This Row],[Used_Seed]]</f>
        <v>12378</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12.238145044249537</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6</v>
      </c>
      <c r="R35" t="str">
        <f t="shared" si="0"/>
        <v>Neutral</v>
      </c>
      <c r="S35">
        <f>survey_responses[[#This Row],[Tôi tin rằng với các quy định quản lý thuế hiện nay, hành vi gian lận hoặc trốn thuế sẽ dễ dàng bị phát hiện và xử lý nghiêm. - HUMAN-ENF1]]</f>
        <v>10</v>
      </c>
      <c r="T35" t="str">
        <f t="shared" si="1"/>
        <v>Support</v>
      </c>
      <c r="U35" s="32">
        <f t="shared" si="2"/>
        <v>4</v>
      </c>
      <c r="V35">
        <f>step3_validation[[#This Row],[AI_ENF2]]</f>
        <v>7</v>
      </c>
      <c r="W35" t="str">
        <f t="shared" si="3"/>
        <v>Neutral</v>
      </c>
      <c r="X35">
        <f>survey_responses[[#This Row],[Tôi tin rằng Nhà nước, cơ quan thuế có đủ khả năng và công nghệ để phát hiện, xử lý nghiêm các hành vi trốn thuế. - HUMAN-ENF2]]</f>
        <v>10</v>
      </c>
      <c r="Y35" t="str">
        <f t="shared" si="4"/>
        <v>Support</v>
      </c>
      <c r="Z35" s="32">
        <f t="shared" si="5"/>
        <v>3</v>
      </c>
      <c r="AA35">
        <f>step3_validation[[#This Row],[AI_FAC1]]</f>
        <v>9</v>
      </c>
      <c r="AB35" t="str">
        <f t="shared" si="6"/>
        <v>Support</v>
      </c>
      <c r="AC35">
        <f>survey_responses[[#This Row],[Các thủ tục khai báo thuế VÀ/HOẶC quy trình làm việc với cơ quan thuế đơn giản, tiện lợi, nhanh chóng hơn so với trước đây. - HUMAN-FAC1]]</f>
        <v>10</v>
      </c>
      <c r="AD35" t="str">
        <f t="shared" si="7"/>
        <v>Support</v>
      </c>
      <c r="AE35" s="32">
        <f t="shared" si="8"/>
        <v>1</v>
      </c>
      <c r="AF35">
        <f>step3_validation[[#This Row],[AI_FAC2]]</f>
        <v>8</v>
      </c>
      <c r="AG35" t="str">
        <f t="shared" si="9"/>
        <v>Support</v>
      </c>
      <c r="AH35">
        <f>survey_responses[[#This Row],[So với trước đây, tôi thấy cách tính thuế và các bậc thuế trong phương án mới đơn giản, dễ hiểu và dễ thực hiện hơn. - HUMAN-FAC2]]</f>
        <v>10</v>
      </c>
      <c r="AI35" t="str">
        <f t="shared" si="10"/>
        <v>Support</v>
      </c>
      <c r="AJ35" s="32">
        <f t="shared" si="11"/>
        <v>2</v>
      </c>
      <c r="AK35">
        <f>step3_validation[[#This Row],[AI_TRU1]]</f>
        <v>9</v>
      </c>
      <c r="AL35" t="str">
        <f t="shared" si="12"/>
        <v>Support</v>
      </c>
      <c r="AM35">
        <f>survey_responses[[#This Row],[Tôi tin rằng Nhà nước, cơ quan thuế sẽ thực thi chính sách mới một cách khách quan, công tâm và đối xử bình đẳng với mọi người nộp thuế.  - HUMAN-TRU1]]</f>
        <v>10</v>
      </c>
      <c r="AN35" t="str">
        <f t="shared" si="13"/>
        <v>Support</v>
      </c>
      <c r="AO35" s="32">
        <f t="shared" si="14"/>
        <v>1</v>
      </c>
      <c r="AP35">
        <f>step3_validation[[#This Row],[AI_TRU2]]</f>
        <v>8</v>
      </c>
      <c r="AQ35" t="str">
        <f t="shared" si="15"/>
        <v>Support</v>
      </c>
      <c r="AR35">
        <f>survey_responses[[#This Row],[Tôi thấy mức thuế tôi phải đóng theo phương án mới là công bằng (người thu nhập như tôi đóng mức này là hợp lý). - HUMAN-TRU2]]</f>
        <v>10</v>
      </c>
      <c r="AS35" t="str">
        <f t="shared" si="16"/>
        <v>Support</v>
      </c>
      <c r="AT35" s="32">
        <f t="shared" si="17"/>
        <v>2</v>
      </c>
      <c r="AU35">
        <f>step3_validation[[#This Row],[AI_TRU3]]</f>
        <v>9</v>
      </c>
      <c r="AV35" t="str">
        <f t="shared" si="18"/>
        <v>Support</v>
      </c>
      <c r="AW35">
        <f>survey_responses[[#This Row],[Tôi tin tưởng số tiền thuế tôi đóng sẽ được Nhà nước sử dụng hiệu quả để cải thiện dịch vụ công (y tế, đường xá...). - HUMAN-TRU3]]</f>
        <v>10</v>
      </c>
      <c r="AX35" t="str">
        <f t="shared" si="19"/>
        <v>Support</v>
      </c>
      <c r="AY35" s="32">
        <f t="shared" si="20"/>
        <v>1</v>
      </c>
      <c r="AZ35">
        <f>step3_validation[[#This Row],[AI_TRU4]]</f>
        <v>8</v>
      </c>
      <c r="BA35" t="str">
        <f t="shared" si="21"/>
        <v>Support</v>
      </c>
      <c r="BB35">
        <f>survey_responses[[#This Row],[Tôi thấy Nhà nước đã giải thích rõ ràng, minh bạch về lý do và mục tiêu của việc sửa đổi thuế lần này. - HUMAN-TRU4]]</f>
        <v>10</v>
      </c>
      <c r="BC35" t="str">
        <f t="shared" si="22"/>
        <v>Support</v>
      </c>
      <c r="BD35" s="32">
        <f t="shared" si="23"/>
        <v>2</v>
      </c>
      <c r="BE35">
        <f>step3_validation[[#This Row],[AI_OUT1]]</f>
        <v>9</v>
      </c>
      <c r="BF35" t="str">
        <f t="shared" si="24"/>
        <v>Support</v>
      </c>
      <c r="BG35">
        <f>survey_responses[[#This Row],[Sau khi xem xét các quyền lợi và nghĩa vụ, bạn có ủng hộ và tuân thủ chính sách mới hiện nay? - HUMAN-OUT1]]</f>
        <v>10</v>
      </c>
      <c r="BH35" t="str">
        <f t="shared" si="25"/>
        <v>Support</v>
      </c>
      <c r="BI35" s="32">
        <f t="shared" si="26"/>
        <v>1</v>
      </c>
    </row>
    <row r="36" spans="1:61" x14ac:dyDescent="0.45">
      <c r="A36" s="30">
        <f>step3_validation[[#This Row],[Persona_ID]]</f>
        <v>35</v>
      </c>
      <c r="B36" s="31">
        <f>step3_validation[[#This Row],[Used_Seed]]</f>
        <v>12379</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12.199839148378798</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7</v>
      </c>
      <c r="R36" t="str">
        <f t="shared" si="0"/>
        <v>Neutral</v>
      </c>
      <c r="S36">
        <f>survey_responses[[#This Row],[Tôi tin rằng với các quy định quản lý thuế hiện nay, hành vi gian lận hoặc trốn thuế sẽ dễ dàng bị phát hiện và xử lý nghiêm. - HUMAN-ENF1]]</f>
        <v>10</v>
      </c>
      <c r="T36" t="str">
        <f t="shared" si="1"/>
        <v>Support</v>
      </c>
      <c r="U36" s="32">
        <f t="shared" si="2"/>
        <v>3</v>
      </c>
      <c r="V36">
        <f>step3_validation[[#This Row],[AI_ENF2]]</f>
        <v>8</v>
      </c>
      <c r="W36" t="str">
        <f t="shared" si="3"/>
        <v>Support</v>
      </c>
      <c r="X36">
        <f>survey_responses[[#This Row],[Tôi tin rằng Nhà nước, cơ quan thuế có đủ khả năng và công nghệ để phát hiện, xử lý nghiêm các hành vi trốn thuế. - HUMAN-ENF2]]</f>
        <v>10</v>
      </c>
      <c r="Y36" t="str">
        <f t="shared" si="4"/>
        <v>Support</v>
      </c>
      <c r="Z36" s="32">
        <f t="shared" si="5"/>
        <v>2</v>
      </c>
      <c r="AA36">
        <f>step3_validation[[#This Row],[AI_FAC1]]</f>
        <v>9</v>
      </c>
      <c r="AB36" t="str">
        <f t="shared" si="6"/>
        <v>Support</v>
      </c>
      <c r="AC36">
        <f>survey_responses[[#This Row],[Các thủ tục khai báo thuế VÀ/HOẶC quy trình làm việc với cơ quan thuế đơn giản, tiện lợi, nhanh chóng hơn so với trước đây. - HUMAN-FAC1]]</f>
        <v>10</v>
      </c>
      <c r="AD36" t="str">
        <f t="shared" si="7"/>
        <v>Support</v>
      </c>
      <c r="AE36" s="32">
        <f t="shared" si="8"/>
        <v>1</v>
      </c>
      <c r="AF36">
        <f>step3_validation[[#This Row],[AI_FAC2]]</f>
        <v>9</v>
      </c>
      <c r="AG36" t="str">
        <f t="shared" si="9"/>
        <v>Support</v>
      </c>
      <c r="AH36">
        <f>survey_responses[[#This Row],[So với trước đây, tôi thấy cách tính thuế và các bậc thuế trong phương án mới đơn giản, dễ hiểu và dễ thực hiện hơn. - HUMAN-FAC2]]</f>
        <v>10</v>
      </c>
      <c r="AI36" t="str">
        <f t="shared" si="10"/>
        <v>Support</v>
      </c>
      <c r="AJ36" s="32">
        <f t="shared" si="11"/>
        <v>1</v>
      </c>
      <c r="AK36">
        <f>step3_validation[[#This Row],[AI_TRU1]]</f>
        <v>8</v>
      </c>
      <c r="AL36" t="str">
        <f t="shared" si="12"/>
        <v>Support</v>
      </c>
      <c r="AM36">
        <f>survey_responses[[#This Row],[Tôi tin rằng Nhà nước, cơ quan thuế sẽ thực thi chính sách mới một cách khách quan, công tâm và đối xử bình đẳng với mọi người nộp thuế.  - HUMAN-TRU1]]</f>
        <v>10</v>
      </c>
      <c r="AN36" t="str">
        <f t="shared" si="13"/>
        <v>Support</v>
      </c>
      <c r="AO36" s="32">
        <f t="shared" si="14"/>
        <v>2</v>
      </c>
      <c r="AP36">
        <f>step3_validation[[#This Row],[AI_TRU2]]</f>
        <v>9</v>
      </c>
      <c r="AQ36" t="str">
        <f t="shared" si="15"/>
        <v>Support</v>
      </c>
      <c r="AR36">
        <f>survey_responses[[#This Row],[Tôi thấy mức thuế tôi phải đóng theo phương án mới là công bằng (người thu nhập như tôi đóng mức này là hợp lý). - HUMAN-TRU2]]</f>
        <v>10</v>
      </c>
      <c r="AS36" t="str">
        <f t="shared" si="16"/>
        <v>Support</v>
      </c>
      <c r="AT36" s="32">
        <f t="shared" si="17"/>
        <v>1</v>
      </c>
      <c r="AU36">
        <f>step3_validation[[#This Row],[AI_TRU3]]</f>
        <v>8</v>
      </c>
      <c r="AV36" t="str">
        <f t="shared" si="18"/>
        <v>Support</v>
      </c>
      <c r="AW36">
        <f>survey_responses[[#This Row],[Tôi tin tưởng số tiền thuế tôi đóng sẽ được Nhà nước sử dụng hiệu quả để cải thiện dịch vụ công (y tế, đường xá...). - HUMAN-TRU3]]</f>
        <v>10</v>
      </c>
      <c r="AX36" t="str">
        <f t="shared" si="19"/>
        <v>Support</v>
      </c>
      <c r="AY36" s="32">
        <f t="shared" si="20"/>
        <v>2</v>
      </c>
      <c r="AZ36">
        <f>step3_validation[[#This Row],[AI_TRU4]]</f>
        <v>9</v>
      </c>
      <c r="BA36" t="str">
        <f t="shared" si="21"/>
        <v>Support</v>
      </c>
      <c r="BB36">
        <f>survey_responses[[#This Row],[Tôi thấy Nhà nước đã giải thích rõ ràng, minh bạch về lý do và mục tiêu của việc sửa đổi thuế lần này. - HUMAN-TRU4]]</f>
        <v>10</v>
      </c>
      <c r="BC36" t="str">
        <f t="shared" si="22"/>
        <v>Support</v>
      </c>
      <c r="BD36" s="32">
        <f t="shared" si="23"/>
        <v>1</v>
      </c>
      <c r="BE36">
        <f>step3_validation[[#This Row],[AI_OUT1]]</f>
        <v>10</v>
      </c>
      <c r="BF36" t="str">
        <f t="shared" si="24"/>
        <v>Support</v>
      </c>
      <c r="BG36">
        <f>survey_responses[[#This Row],[Sau khi xem xét các quyền lợi và nghĩa vụ, bạn có ủng hộ và tuân thủ chính sách mới hiện nay? - HUMAN-OUT1]]</f>
        <v>10</v>
      </c>
      <c r="BH36" t="str">
        <f t="shared" si="25"/>
        <v>Support</v>
      </c>
      <c r="BI36" s="32">
        <f t="shared" si="26"/>
        <v>0</v>
      </c>
    </row>
    <row r="37" spans="1:61" x14ac:dyDescent="0.45">
      <c r="A37" s="30">
        <f>step3_validation[[#This Row],[Persona_ID]]</f>
        <v>36</v>
      </c>
      <c r="B37" s="31">
        <f>step3_validation[[#This Row],[Used_Seed]]</f>
        <v>12380</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12.036573186404826</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6</v>
      </c>
      <c r="R37" t="str">
        <f t="shared" si="0"/>
        <v>Neutral</v>
      </c>
      <c r="S37">
        <f>survey_responses[[#This Row],[Tôi tin rằng với các quy định quản lý thuế hiện nay, hành vi gian lận hoặc trốn thuế sẽ dễ dàng bị phát hiện và xử lý nghiêm. - HUMAN-ENF1]]</f>
        <v>10</v>
      </c>
      <c r="T37" t="str">
        <f t="shared" si="1"/>
        <v>Support</v>
      </c>
      <c r="U37" s="32">
        <f t="shared" si="2"/>
        <v>4</v>
      </c>
      <c r="V37">
        <f>step3_validation[[#This Row],[AI_ENF2]]</f>
        <v>5</v>
      </c>
      <c r="W37" t="str">
        <f t="shared" si="3"/>
        <v>Neutral</v>
      </c>
      <c r="X37">
        <f>survey_responses[[#This Row],[Tôi tin rằng Nhà nước, cơ quan thuế có đủ khả năng và công nghệ để phát hiện, xử lý nghiêm các hành vi trốn thuế. - HUMAN-ENF2]]</f>
        <v>9</v>
      </c>
      <c r="Y37" t="str">
        <f t="shared" si="4"/>
        <v>Support</v>
      </c>
      <c r="Z37" s="32">
        <f t="shared" si="5"/>
        <v>4</v>
      </c>
      <c r="AA37">
        <f>step3_validation[[#This Row],[AI_FAC1]]</f>
        <v>8</v>
      </c>
      <c r="AB37" t="str">
        <f t="shared" si="6"/>
        <v>Support</v>
      </c>
      <c r="AC37">
        <f>survey_responses[[#This Row],[Các thủ tục khai báo thuế VÀ/HOẶC quy trình làm việc với cơ quan thuế đơn giản, tiện lợi, nhanh chóng hơn so với trước đây. - HUMAN-FAC1]]</f>
        <v>10</v>
      </c>
      <c r="AD37" t="str">
        <f t="shared" si="7"/>
        <v>Support</v>
      </c>
      <c r="AE37" s="32">
        <f t="shared" si="8"/>
        <v>2</v>
      </c>
      <c r="AF37">
        <f>step3_validation[[#This Row],[AI_FAC2]]</f>
        <v>9</v>
      </c>
      <c r="AG37" t="str">
        <f t="shared" si="9"/>
        <v>Support</v>
      </c>
      <c r="AH37">
        <f>survey_responses[[#This Row],[So với trước đây, tôi thấy cách tính thuế và các bậc thuế trong phương án mới đơn giản, dễ hiểu và dễ thực hiện hơn. - HUMAN-FAC2]]</f>
        <v>8</v>
      </c>
      <c r="AI37" t="str">
        <f t="shared" si="10"/>
        <v>Support</v>
      </c>
      <c r="AJ37" s="32">
        <f t="shared" si="11"/>
        <v>1</v>
      </c>
      <c r="AK37">
        <f>step3_validation[[#This Row],[AI_TRU1]]</f>
        <v>7</v>
      </c>
      <c r="AL37" t="str">
        <f t="shared" si="12"/>
        <v>Neutral</v>
      </c>
      <c r="AM37">
        <f>survey_responses[[#This Row],[Tôi tin rằng Nhà nước, cơ quan thuế sẽ thực thi chính sách mới một cách khách quan, công tâm và đối xử bình đẳng với mọi người nộp thuế.  - HUMAN-TRU1]]</f>
        <v>10</v>
      </c>
      <c r="AN37" t="str">
        <f t="shared" si="13"/>
        <v>Support</v>
      </c>
      <c r="AO37" s="32">
        <f t="shared" si="14"/>
        <v>3</v>
      </c>
      <c r="AP37">
        <f>step3_validation[[#This Row],[AI_TRU2]]</f>
        <v>8</v>
      </c>
      <c r="AQ37" t="str">
        <f t="shared" si="15"/>
        <v>Support</v>
      </c>
      <c r="AR37">
        <f>survey_responses[[#This Row],[Tôi thấy mức thuế tôi phải đóng theo phương án mới là công bằng (người thu nhập như tôi đóng mức này là hợp lý). - HUMAN-TRU2]]</f>
        <v>9</v>
      </c>
      <c r="AS37" t="str">
        <f t="shared" si="16"/>
        <v>Support</v>
      </c>
      <c r="AT37" s="32">
        <f t="shared" si="17"/>
        <v>1</v>
      </c>
      <c r="AU37">
        <f>step3_validation[[#This Row],[AI_TRU3]]</f>
        <v>7</v>
      </c>
      <c r="AV37" t="str">
        <f t="shared" si="18"/>
        <v>Neutral</v>
      </c>
      <c r="AW37">
        <f>survey_responses[[#This Row],[Tôi tin tưởng số tiền thuế tôi đóng sẽ được Nhà nước sử dụng hiệu quả để cải thiện dịch vụ công (y tế, đường xá...). - HUMAN-TRU3]]</f>
        <v>10</v>
      </c>
      <c r="AX37" t="str">
        <f t="shared" si="19"/>
        <v>Support</v>
      </c>
      <c r="AY37" s="32">
        <f t="shared" si="20"/>
        <v>3</v>
      </c>
      <c r="AZ37">
        <f>step3_validation[[#This Row],[AI_TRU4]]</f>
        <v>6</v>
      </c>
      <c r="BA37" t="str">
        <f t="shared" si="21"/>
        <v>Neutral</v>
      </c>
      <c r="BB37">
        <f>survey_responses[[#This Row],[Tôi thấy Nhà nước đã giải thích rõ ràng, minh bạch về lý do và mục tiêu của việc sửa đổi thuế lần này. - HUMAN-TRU4]]</f>
        <v>10</v>
      </c>
      <c r="BC37" t="str">
        <f t="shared" si="22"/>
        <v>Support</v>
      </c>
      <c r="BD37" s="32">
        <f t="shared" si="23"/>
        <v>4</v>
      </c>
      <c r="BE37">
        <f>step3_validation[[#This Row],[AI_OUT1]]</f>
        <v>8</v>
      </c>
      <c r="BF37" t="str">
        <f t="shared" si="24"/>
        <v>Support</v>
      </c>
      <c r="BG37">
        <f>survey_responses[[#This Row],[Sau khi xem xét các quyền lợi và nghĩa vụ, bạn có ủng hộ và tuân thủ chính sách mới hiện nay? - HUMAN-OUT1]]</f>
        <v>10</v>
      </c>
      <c r="BH37" t="str">
        <f t="shared" si="25"/>
        <v>Support</v>
      </c>
      <c r="BI37" s="32">
        <f t="shared" si="26"/>
        <v>2</v>
      </c>
    </row>
    <row r="38" spans="1:61" x14ac:dyDescent="0.45">
      <c r="A38" s="30">
        <f>step3_validation[[#This Row],[Persona_ID]]</f>
        <v>37</v>
      </c>
      <c r="B38" s="31">
        <f>step3_validation[[#This Row],[Used_Seed]]</f>
        <v>12381</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12.284195665474812</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8</v>
      </c>
      <c r="R38" t="str">
        <f t="shared" si="0"/>
        <v>Support</v>
      </c>
      <c r="S38">
        <f>survey_responses[[#This Row],[Tôi tin rằng với các quy định quản lý thuế hiện nay, hành vi gian lận hoặc trốn thuế sẽ dễ dàng bị phát hiện và xử lý nghiêm. - HUMAN-ENF1]]</f>
        <v>10</v>
      </c>
      <c r="T38" t="str">
        <f t="shared" si="1"/>
        <v>Support</v>
      </c>
      <c r="U38" s="32">
        <f t="shared" si="2"/>
        <v>2</v>
      </c>
      <c r="V38">
        <f>step3_validation[[#This Row],[AI_ENF2]]</f>
        <v>9</v>
      </c>
      <c r="W38" t="str">
        <f t="shared" si="3"/>
        <v>Support</v>
      </c>
      <c r="X38">
        <f>survey_responses[[#This Row],[Tôi tin rằng Nhà nước, cơ quan thuế có đủ khả năng và công nghệ để phát hiện, xử lý nghiêm các hành vi trốn thuế. - HUMAN-ENF2]]</f>
        <v>10</v>
      </c>
      <c r="Y38" t="str">
        <f t="shared" si="4"/>
        <v>Support</v>
      </c>
      <c r="Z38" s="32">
        <f t="shared" si="5"/>
        <v>1</v>
      </c>
      <c r="AA38">
        <f>step3_validation[[#This Row],[AI_FAC1]]</f>
        <v>8</v>
      </c>
      <c r="AB38" t="str">
        <f t="shared" si="6"/>
        <v>Support</v>
      </c>
      <c r="AC38">
        <f>survey_responses[[#This Row],[Các thủ tục khai báo thuế VÀ/HOẶC quy trình làm việc với cơ quan thuế đơn giản, tiện lợi, nhanh chóng hơn so với trước đây. - HUMAN-FAC1]]</f>
        <v>10</v>
      </c>
      <c r="AD38" t="str">
        <f t="shared" si="7"/>
        <v>Support</v>
      </c>
      <c r="AE38" s="32">
        <f t="shared" si="8"/>
        <v>2</v>
      </c>
      <c r="AF38">
        <f>step3_validation[[#This Row],[AI_FAC2]]</f>
        <v>9</v>
      </c>
      <c r="AG38" t="str">
        <f t="shared" si="9"/>
        <v>Support</v>
      </c>
      <c r="AH38">
        <f>survey_responses[[#This Row],[So với trước đây, tôi thấy cách tính thuế và các bậc thuế trong phương án mới đơn giản, dễ hiểu và dễ thực hiện hơn. - HUMAN-FAC2]]</f>
        <v>10</v>
      </c>
      <c r="AI38" t="str">
        <f t="shared" si="10"/>
        <v>Support</v>
      </c>
      <c r="AJ38" s="32">
        <f t="shared" si="11"/>
        <v>1</v>
      </c>
      <c r="AK38">
        <f>step3_validation[[#This Row],[AI_TRU1]]</f>
        <v>8</v>
      </c>
      <c r="AL38" t="str">
        <f t="shared" si="12"/>
        <v>Support</v>
      </c>
      <c r="AM38">
        <f>survey_responses[[#This Row],[Tôi tin rằng Nhà nước, cơ quan thuế sẽ thực thi chính sách mới một cách khách quan, công tâm và đối xử bình đẳng với mọi người nộp thuế.  - HUMAN-TRU1]]</f>
        <v>9</v>
      </c>
      <c r="AN38" t="str">
        <f t="shared" si="13"/>
        <v>Support</v>
      </c>
      <c r="AO38" s="32">
        <f t="shared" si="14"/>
        <v>1</v>
      </c>
      <c r="AP38">
        <f>step3_validation[[#This Row],[AI_TRU2]]</f>
        <v>9</v>
      </c>
      <c r="AQ38" t="str">
        <f t="shared" si="15"/>
        <v>Support</v>
      </c>
      <c r="AR38">
        <f>survey_responses[[#This Row],[Tôi thấy mức thuế tôi phải đóng theo phương án mới là công bằng (người thu nhập như tôi đóng mức này là hợp lý). - HUMAN-TRU2]]</f>
        <v>9</v>
      </c>
      <c r="AS38" t="str">
        <f t="shared" si="16"/>
        <v>Support</v>
      </c>
      <c r="AT38" s="32">
        <f t="shared" si="17"/>
        <v>0</v>
      </c>
      <c r="AU38">
        <f>step3_validation[[#This Row],[AI_TRU3]]</f>
        <v>8</v>
      </c>
      <c r="AV38" t="str">
        <f t="shared" si="18"/>
        <v>Support</v>
      </c>
      <c r="AW38">
        <f>survey_responses[[#This Row],[Tôi tin tưởng số tiền thuế tôi đóng sẽ được Nhà nước sử dụng hiệu quả để cải thiện dịch vụ công (y tế, đường xá...). - HUMAN-TRU3]]</f>
        <v>9</v>
      </c>
      <c r="AX38" t="str">
        <f t="shared" si="19"/>
        <v>Support</v>
      </c>
      <c r="AY38" s="32">
        <f t="shared" si="20"/>
        <v>1</v>
      </c>
      <c r="AZ38">
        <f>step3_validation[[#This Row],[AI_TRU4]]</f>
        <v>9</v>
      </c>
      <c r="BA38" t="str">
        <f t="shared" si="21"/>
        <v>Support</v>
      </c>
      <c r="BB38">
        <f>survey_responses[[#This Row],[Tôi thấy Nhà nước đã giải thích rõ ràng, minh bạch về lý do và mục tiêu của việc sửa đổi thuế lần này. - HUMAN-TRU4]]</f>
        <v>9</v>
      </c>
      <c r="BC38" t="str">
        <f t="shared" si="22"/>
        <v>Support</v>
      </c>
      <c r="BD38" s="32">
        <f t="shared" si="23"/>
        <v>0</v>
      </c>
      <c r="BE38">
        <f>step3_validation[[#This Row],[AI_OUT1]]</f>
        <v>8</v>
      </c>
      <c r="BF38" t="str">
        <f t="shared" si="24"/>
        <v>Support</v>
      </c>
      <c r="BG38">
        <f>survey_responses[[#This Row],[Sau khi xem xét các quyền lợi và nghĩa vụ, bạn có ủng hộ và tuân thủ chính sách mới hiện nay? - HUMAN-OUT1]]</f>
        <v>8</v>
      </c>
      <c r="BH38" t="str">
        <f t="shared" si="25"/>
        <v>Support</v>
      </c>
      <c r="BI38" s="32">
        <f t="shared" si="26"/>
        <v>0</v>
      </c>
    </row>
    <row r="39" spans="1:61" x14ac:dyDescent="0.45">
      <c r="A39" s="30">
        <f>step3_validation[[#This Row],[Persona_ID]]</f>
        <v>38</v>
      </c>
      <c r="B39" s="31">
        <f>step3_validation[[#This Row],[Used_Seed]]</f>
        <v>12382</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46.409239854903745</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t="str">
        <f t="shared" si="0"/>
        <v>Neutral</v>
      </c>
      <c r="S39">
        <f>survey_responses[[#This Row],[Tôi tin rằng với các quy định quản lý thuế hiện nay, hành vi gian lận hoặc trốn thuế sẽ dễ dàng bị phát hiện và xử lý nghiêm. - HUMAN-ENF1]]</f>
        <v>8</v>
      </c>
      <c r="T39" t="str">
        <f t="shared" si="1"/>
        <v>Support</v>
      </c>
      <c r="U39" s="32">
        <f t="shared" si="2"/>
        <v>1</v>
      </c>
      <c r="V39">
        <f>step3_validation[[#This Row],[AI_ENF2]]</f>
        <v>8</v>
      </c>
      <c r="W39" t="str">
        <f t="shared" si="3"/>
        <v>Support</v>
      </c>
      <c r="X39">
        <f>survey_responses[[#This Row],[Tôi tin rằng Nhà nước, cơ quan thuế có đủ khả năng và công nghệ để phát hiện, xử lý nghiêm các hành vi trốn thuế. - HUMAN-ENF2]]</f>
        <v>8</v>
      </c>
      <c r="Y39" t="str">
        <f t="shared" si="4"/>
        <v>Support</v>
      </c>
      <c r="Z39" s="32">
        <f t="shared" si="5"/>
        <v>0</v>
      </c>
      <c r="AA39">
        <f>step3_validation[[#This Row],[AI_FAC1]]</f>
        <v>7</v>
      </c>
      <c r="AB39" t="str">
        <f t="shared" si="6"/>
        <v>Neutral</v>
      </c>
      <c r="AC39">
        <f>survey_responses[[#This Row],[Các thủ tục khai báo thuế VÀ/HOẶC quy trình làm việc với cơ quan thuế đơn giản, tiện lợi, nhanh chóng hơn so với trước đây. - HUMAN-FAC1]]</f>
        <v>8</v>
      </c>
      <c r="AD39" t="str">
        <f t="shared" si="7"/>
        <v>Support</v>
      </c>
      <c r="AE39" s="32">
        <f t="shared" si="8"/>
        <v>1</v>
      </c>
      <c r="AF39">
        <f>step3_validation[[#This Row],[AI_FAC2]]</f>
        <v>9</v>
      </c>
      <c r="AG39" t="str">
        <f t="shared" si="9"/>
        <v>Support</v>
      </c>
      <c r="AH39">
        <f>survey_responses[[#This Row],[So với trước đây, tôi thấy cách tính thuế và các bậc thuế trong phương án mới đơn giản, dễ hiểu và dễ thực hiện hơn. - HUMAN-FAC2]]</f>
        <v>8</v>
      </c>
      <c r="AI39" t="str">
        <f t="shared" si="10"/>
        <v>Support</v>
      </c>
      <c r="AJ39" s="32">
        <f t="shared" si="11"/>
        <v>1</v>
      </c>
      <c r="AK39">
        <f>step3_validation[[#This Row],[AI_TRU1]]</f>
        <v>8</v>
      </c>
      <c r="AL39" t="str">
        <f t="shared" si="12"/>
        <v>Support</v>
      </c>
      <c r="AM39">
        <f>survey_responses[[#This Row],[Tôi tin rằng Nhà nước, cơ quan thuế sẽ thực thi chính sách mới một cách khách quan, công tâm và đối xử bình đẳng với mọi người nộp thuế.  - HUMAN-TRU1]]</f>
        <v>8</v>
      </c>
      <c r="AN39" t="str">
        <f t="shared" si="13"/>
        <v>Support</v>
      </c>
      <c r="AO39" s="32">
        <f t="shared" si="14"/>
        <v>0</v>
      </c>
      <c r="AP39">
        <f>step3_validation[[#This Row],[AI_TRU2]]</f>
        <v>9</v>
      </c>
      <c r="AQ39" t="str">
        <f t="shared" si="15"/>
        <v>Support</v>
      </c>
      <c r="AR39">
        <f>survey_responses[[#This Row],[Tôi thấy mức thuế tôi phải đóng theo phương án mới là công bằng (người thu nhập như tôi đóng mức này là hợp lý). - HUMAN-TRU2]]</f>
        <v>8</v>
      </c>
      <c r="AS39" t="str">
        <f t="shared" si="16"/>
        <v>Support</v>
      </c>
      <c r="AT39" s="32">
        <f t="shared" si="17"/>
        <v>1</v>
      </c>
      <c r="AU39">
        <f>step3_validation[[#This Row],[AI_TRU3]]</f>
        <v>8</v>
      </c>
      <c r="AV39" t="str">
        <f t="shared" si="18"/>
        <v>Support</v>
      </c>
      <c r="AW39">
        <f>survey_responses[[#This Row],[Tôi tin tưởng số tiền thuế tôi đóng sẽ được Nhà nước sử dụng hiệu quả để cải thiện dịch vụ công (y tế, đường xá...). - HUMAN-TRU3]]</f>
        <v>8</v>
      </c>
      <c r="AX39" t="str">
        <f t="shared" si="19"/>
        <v>Support</v>
      </c>
      <c r="AY39" s="32">
        <f t="shared" si="20"/>
        <v>0</v>
      </c>
      <c r="AZ39">
        <f>step3_validation[[#This Row],[AI_TRU4]]</f>
        <v>9</v>
      </c>
      <c r="BA39" t="str">
        <f t="shared" si="21"/>
        <v>Support</v>
      </c>
      <c r="BB39">
        <f>survey_responses[[#This Row],[Tôi thấy Nhà nước đã giải thích rõ ràng, minh bạch về lý do và mục tiêu của việc sửa đổi thuế lần này. - HUMAN-TRU4]]</f>
        <v>8</v>
      </c>
      <c r="BC39" t="str">
        <f t="shared" si="22"/>
        <v>Support</v>
      </c>
      <c r="BD39" s="32">
        <f t="shared" si="23"/>
        <v>1</v>
      </c>
      <c r="BE39">
        <f>step3_validation[[#This Row],[AI_OUT1]]</f>
        <v>8</v>
      </c>
      <c r="BF39" t="str">
        <f t="shared" si="24"/>
        <v>Support</v>
      </c>
      <c r="BG39">
        <f>survey_responses[[#This Row],[Sau khi xem xét các quyền lợi và nghĩa vụ, bạn có ủng hộ và tuân thủ chính sách mới hiện nay? - HUMAN-OUT1]]</f>
        <v>8</v>
      </c>
      <c r="BH39" t="str">
        <f t="shared" si="25"/>
        <v>Support</v>
      </c>
      <c r="BI39" s="32">
        <f t="shared" si="26"/>
        <v>0</v>
      </c>
    </row>
    <row r="40" spans="1:61" x14ac:dyDescent="0.45">
      <c r="A40" s="30">
        <f>step3_validation[[#This Row],[Persona_ID]]</f>
        <v>39</v>
      </c>
      <c r="B40" s="31">
        <f>step3_validation[[#This Row],[Used_Seed]]</f>
        <v>12383</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14.660964797434934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8</v>
      </c>
      <c r="R40" t="str">
        <f t="shared" si="0"/>
        <v>Support</v>
      </c>
      <c r="S40">
        <f>survey_responses[[#This Row],[Tôi tin rằng với các quy định quản lý thuế hiện nay, hành vi gian lận hoặc trốn thuế sẽ dễ dàng bị phát hiện và xử lý nghiêm. - HUMAN-ENF1]]</f>
        <v>10</v>
      </c>
      <c r="T40" t="str">
        <f t="shared" si="1"/>
        <v>Support</v>
      </c>
      <c r="U40" s="32">
        <f t="shared" si="2"/>
        <v>2</v>
      </c>
      <c r="V40">
        <f>step3_validation[[#This Row],[AI_ENF2]]</f>
        <v>9</v>
      </c>
      <c r="W40" t="str">
        <f t="shared" si="3"/>
        <v>Support</v>
      </c>
      <c r="X40">
        <f>survey_responses[[#This Row],[Tôi tin rằng Nhà nước, cơ quan thuế có đủ khả năng và công nghệ để phát hiện, xử lý nghiêm các hành vi trốn thuế. - HUMAN-ENF2]]</f>
        <v>10</v>
      </c>
      <c r="Y40" t="str">
        <f t="shared" si="4"/>
        <v>Support</v>
      </c>
      <c r="Z40" s="32">
        <f t="shared" si="5"/>
        <v>1</v>
      </c>
      <c r="AA40">
        <f>step3_validation[[#This Row],[AI_FAC1]]</f>
        <v>8</v>
      </c>
      <c r="AB40" t="str">
        <f t="shared" si="6"/>
        <v>Support</v>
      </c>
      <c r="AC40">
        <f>survey_responses[[#This Row],[Các thủ tục khai báo thuế VÀ/HOẶC quy trình làm việc với cơ quan thuế đơn giản, tiện lợi, nhanh chóng hơn so với trước đây. - HUMAN-FAC1]]</f>
        <v>10</v>
      </c>
      <c r="AD40" t="str">
        <f t="shared" si="7"/>
        <v>Support</v>
      </c>
      <c r="AE40" s="32">
        <f t="shared" si="8"/>
        <v>2</v>
      </c>
      <c r="AF40">
        <f>step3_validation[[#This Row],[AI_FAC2]]</f>
        <v>9</v>
      </c>
      <c r="AG40" t="str">
        <f t="shared" si="9"/>
        <v>Support</v>
      </c>
      <c r="AH40">
        <f>survey_responses[[#This Row],[So với trước đây, tôi thấy cách tính thuế và các bậc thuế trong phương án mới đơn giản, dễ hiểu và dễ thực hiện hơn. - HUMAN-FAC2]]</f>
        <v>10</v>
      </c>
      <c r="AI40" t="str">
        <f t="shared" si="10"/>
        <v>Support</v>
      </c>
      <c r="AJ40" s="32">
        <f t="shared" si="11"/>
        <v>1</v>
      </c>
      <c r="AK40">
        <f>step3_validation[[#This Row],[AI_TRU1]]</f>
        <v>8</v>
      </c>
      <c r="AL40" t="str">
        <f t="shared" si="12"/>
        <v>Support</v>
      </c>
      <c r="AM40">
        <f>survey_responses[[#This Row],[Tôi tin rằng Nhà nước, cơ quan thuế sẽ thực thi chính sách mới một cách khách quan, công tâm và đối xử bình đẳng với mọi người nộp thuế.  - HUMAN-TRU1]]</f>
        <v>10</v>
      </c>
      <c r="AN40" t="str">
        <f t="shared" si="13"/>
        <v>Support</v>
      </c>
      <c r="AO40" s="32">
        <f t="shared" si="14"/>
        <v>2</v>
      </c>
      <c r="AP40">
        <f>step3_validation[[#This Row],[AI_TRU2]]</f>
        <v>9</v>
      </c>
      <c r="AQ40" t="str">
        <f t="shared" si="15"/>
        <v>Support</v>
      </c>
      <c r="AR40">
        <f>survey_responses[[#This Row],[Tôi thấy mức thuế tôi phải đóng theo phương án mới là công bằng (người thu nhập như tôi đóng mức này là hợp lý). - HUMAN-TRU2]]</f>
        <v>10</v>
      </c>
      <c r="AS40" t="str">
        <f t="shared" si="16"/>
        <v>Support</v>
      </c>
      <c r="AT40" s="32">
        <f t="shared" si="17"/>
        <v>1</v>
      </c>
      <c r="AU40">
        <f>step3_validation[[#This Row],[AI_TRU3]]</f>
        <v>8</v>
      </c>
      <c r="AV40" t="str">
        <f t="shared" si="18"/>
        <v>Support</v>
      </c>
      <c r="AW40">
        <f>survey_responses[[#This Row],[Tôi tin tưởng số tiền thuế tôi đóng sẽ được Nhà nước sử dụng hiệu quả để cải thiện dịch vụ công (y tế, đường xá...). - HUMAN-TRU3]]</f>
        <v>10</v>
      </c>
      <c r="AX40" t="str">
        <f t="shared" si="19"/>
        <v>Support</v>
      </c>
      <c r="AY40" s="32">
        <f t="shared" si="20"/>
        <v>2</v>
      </c>
      <c r="AZ40">
        <f>step3_validation[[#This Row],[AI_TRU4]]</f>
        <v>9</v>
      </c>
      <c r="BA40" t="str">
        <f t="shared" si="21"/>
        <v>Support</v>
      </c>
      <c r="BB40">
        <f>survey_responses[[#This Row],[Tôi thấy Nhà nước đã giải thích rõ ràng, minh bạch về lý do và mục tiêu của việc sửa đổi thuế lần này. - HUMAN-TRU4]]</f>
        <v>10</v>
      </c>
      <c r="BC40" t="str">
        <f t="shared" si="22"/>
        <v>Support</v>
      </c>
      <c r="BD40" s="32">
        <f t="shared" si="23"/>
        <v>1</v>
      </c>
      <c r="BE40">
        <f>step3_validation[[#This Row],[AI_OUT1]]</f>
        <v>10</v>
      </c>
      <c r="BF40" t="str">
        <f t="shared" si="24"/>
        <v>Support</v>
      </c>
      <c r="BG40">
        <f>survey_responses[[#This Row],[Sau khi xem xét các quyền lợi và nghĩa vụ, bạn có ủng hộ và tuân thủ chính sách mới hiện nay? - HUMAN-OUT1]]</f>
        <v>10</v>
      </c>
      <c r="BH40" t="str">
        <f t="shared" si="25"/>
        <v>Support</v>
      </c>
      <c r="BI40" s="32">
        <f t="shared" si="26"/>
        <v>0</v>
      </c>
    </row>
    <row r="41" spans="1:61" x14ac:dyDescent="0.45">
      <c r="A41" s="30">
        <f>step3_validation[[#This Row],[Persona_ID]]</f>
        <v>40</v>
      </c>
      <c r="B41" s="31">
        <f>step3_validation[[#This Row],[Used_Seed]]</f>
        <v>12384</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127.22034440499482</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9</v>
      </c>
      <c r="R41" t="str">
        <f t="shared" si="0"/>
        <v>Support</v>
      </c>
      <c r="S41">
        <f>survey_responses[[#This Row],[Tôi tin rằng với các quy định quản lý thuế hiện nay, hành vi gian lận hoặc trốn thuế sẽ dễ dàng bị phát hiện và xử lý nghiêm. - HUMAN-ENF1]]</f>
        <v>8</v>
      </c>
      <c r="T41" t="str">
        <f t="shared" si="1"/>
        <v>Support</v>
      </c>
      <c r="U41" s="32">
        <f t="shared" si="2"/>
        <v>1</v>
      </c>
      <c r="V41">
        <f>step3_validation[[#This Row],[AI_ENF2]]</f>
        <v>8</v>
      </c>
      <c r="W41" t="str">
        <f t="shared" si="3"/>
        <v>Support</v>
      </c>
      <c r="X41">
        <f>survey_responses[[#This Row],[Tôi tin rằng Nhà nước, cơ quan thuế có đủ khả năng và công nghệ để phát hiện, xử lý nghiêm các hành vi trốn thuế. - HUMAN-ENF2]]</f>
        <v>8</v>
      </c>
      <c r="Y41" t="str">
        <f t="shared" si="4"/>
        <v>Support</v>
      </c>
      <c r="Z41" s="32">
        <f t="shared" si="5"/>
        <v>0</v>
      </c>
      <c r="AA41">
        <f>step3_validation[[#This Row],[AI_FAC1]]</f>
        <v>7</v>
      </c>
      <c r="AB41" t="str">
        <f t="shared" si="6"/>
        <v>Neutral</v>
      </c>
      <c r="AC41">
        <f>survey_responses[[#This Row],[Các thủ tục khai báo thuế VÀ/HOẶC quy trình làm việc với cơ quan thuế đơn giản, tiện lợi, nhanh chóng hơn so với trước đây. - HUMAN-FAC1]]</f>
        <v>6</v>
      </c>
      <c r="AD41" t="str">
        <f t="shared" si="7"/>
        <v>Neutral</v>
      </c>
      <c r="AE41" s="32">
        <f t="shared" si="8"/>
        <v>1</v>
      </c>
      <c r="AF41">
        <f>step3_validation[[#This Row],[AI_FAC2]]</f>
        <v>8</v>
      </c>
      <c r="AG41" t="str">
        <f t="shared" si="9"/>
        <v>Support</v>
      </c>
      <c r="AH41">
        <f>survey_responses[[#This Row],[So với trước đây, tôi thấy cách tính thuế và các bậc thuế trong phương án mới đơn giản, dễ hiểu và dễ thực hiện hơn. - HUMAN-FAC2]]</f>
        <v>8</v>
      </c>
      <c r="AI41" t="str">
        <f t="shared" si="10"/>
        <v>Support</v>
      </c>
      <c r="AJ41" s="32">
        <f t="shared" si="11"/>
        <v>0</v>
      </c>
      <c r="AK41">
        <f>step3_validation[[#This Row],[AI_TRU1]]</f>
        <v>9</v>
      </c>
      <c r="AL41" t="str">
        <f t="shared" si="12"/>
        <v>Support</v>
      </c>
      <c r="AM41">
        <f>survey_responses[[#This Row],[Tôi tin rằng Nhà nước, cơ quan thuế sẽ thực thi chính sách mới một cách khách quan, công tâm và đối xử bình đẳng với mọi người nộp thuế.  - HUMAN-TRU1]]</f>
        <v>7</v>
      </c>
      <c r="AN41" t="str">
        <f t="shared" si="13"/>
        <v>Neutral</v>
      </c>
      <c r="AO41" s="32">
        <f t="shared" si="14"/>
        <v>2</v>
      </c>
      <c r="AP41">
        <f>step3_validation[[#This Row],[AI_TRU2]]</f>
        <v>8</v>
      </c>
      <c r="AQ41" t="str">
        <f t="shared" si="15"/>
        <v>Support</v>
      </c>
      <c r="AR41">
        <f>survey_responses[[#This Row],[Tôi thấy mức thuế tôi phải đóng theo phương án mới là công bằng (người thu nhập như tôi đóng mức này là hợp lý). - HUMAN-TRU2]]</f>
        <v>8</v>
      </c>
      <c r="AS41" t="str">
        <f t="shared" si="16"/>
        <v>Support</v>
      </c>
      <c r="AT41" s="32">
        <f t="shared" si="17"/>
        <v>0</v>
      </c>
      <c r="AU41">
        <f>step3_validation[[#This Row],[AI_TRU3]]</f>
        <v>9</v>
      </c>
      <c r="AV41" t="str">
        <f t="shared" si="18"/>
        <v>Support</v>
      </c>
      <c r="AW41">
        <f>survey_responses[[#This Row],[Tôi tin tưởng số tiền thuế tôi đóng sẽ được Nhà nước sử dụng hiệu quả để cải thiện dịch vụ công (y tế, đường xá...). - HUMAN-TRU3]]</f>
        <v>5</v>
      </c>
      <c r="AX41" t="str">
        <f t="shared" si="19"/>
        <v>Neutral</v>
      </c>
      <c r="AY41" s="32">
        <f t="shared" si="20"/>
        <v>4</v>
      </c>
      <c r="AZ41">
        <f>step3_validation[[#This Row],[AI_TRU4]]</f>
        <v>8</v>
      </c>
      <c r="BA41" t="str">
        <f t="shared" si="21"/>
        <v>Support</v>
      </c>
      <c r="BB41">
        <f>survey_responses[[#This Row],[Tôi thấy Nhà nước đã giải thích rõ ràng, minh bạch về lý do và mục tiêu của việc sửa đổi thuế lần này. - HUMAN-TRU4]]</f>
        <v>6</v>
      </c>
      <c r="BC41" t="str">
        <f t="shared" si="22"/>
        <v>Neutral</v>
      </c>
      <c r="BD41" s="32">
        <f t="shared" si="23"/>
        <v>2</v>
      </c>
      <c r="BE41">
        <f>step3_validation[[#This Row],[AI_OUT1]]</f>
        <v>9</v>
      </c>
      <c r="BF41" t="str">
        <f t="shared" si="24"/>
        <v>Support</v>
      </c>
      <c r="BG41">
        <f>survey_responses[[#This Row],[Sau khi xem xét các quyền lợi và nghĩa vụ, bạn có ủng hộ và tuân thủ chính sách mới hiện nay? - HUMAN-OUT1]]</f>
        <v>7</v>
      </c>
      <c r="BH41" t="str">
        <f t="shared" si="25"/>
        <v>Neutral</v>
      </c>
      <c r="BI41" s="32">
        <f t="shared" si="26"/>
        <v>2</v>
      </c>
    </row>
    <row r="42" spans="1:61" x14ac:dyDescent="0.45">
      <c r="A42" s="30">
        <f>step3_validation[[#This Row],[Persona_ID]]</f>
        <v>41</v>
      </c>
      <c r="B42" s="31">
        <f>step3_validation[[#This Row],[Used_Seed]]</f>
        <v>12385</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75.800182024381115</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8</v>
      </c>
      <c r="R42" t="str">
        <f t="shared" si="0"/>
        <v>Support</v>
      </c>
      <c r="S42">
        <f>survey_responses[[#This Row],[Tôi tin rằng với các quy định quản lý thuế hiện nay, hành vi gian lận hoặc trốn thuế sẽ dễ dàng bị phát hiện và xử lý nghiêm. - HUMAN-ENF1]]</f>
        <v>9</v>
      </c>
      <c r="T42" t="str">
        <f t="shared" si="1"/>
        <v>Support</v>
      </c>
      <c r="U42" s="32">
        <f t="shared" si="2"/>
        <v>1</v>
      </c>
      <c r="V42">
        <f>step3_validation[[#This Row],[AI_ENF2]]</f>
        <v>7</v>
      </c>
      <c r="W42" t="str">
        <f t="shared" si="3"/>
        <v>Neutral</v>
      </c>
      <c r="X42">
        <f>survey_responses[[#This Row],[Tôi tin rằng Nhà nước, cơ quan thuế có đủ khả năng và công nghệ để phát hiện, xử lý nghiêm các hành vi trốn thuế. - HUMAN-ENF2]]</f>
        <v>8</v>
      </c>
      <c r="Y42" t="str">
        <f t="shared" si="4"/>
        <v>Support</v>
      </c>
      <c r="Z42" s="32">
        <f t="shared" si="5"/>
        <v>1</v>
      </c>
      <c r="AA42">
        <f>step3_validation[[#This Row],[AI_FAC1]]</f>
        <v>9</v>
      </c>
      <c r="AB42" t="str">
        <f t="shared" si="6"/>
        <v>Support</v>
      </c>
      <c r="AC42">
        <f>survey_responses[[#This Row],[Các thủ tục khai báo thuế VÀ/HOẶC quy trình làm việc với cơ quan thuế đơn giản, tiện lợi, nhanh chóng hơn so với trước đây. - HUMAN-FAC1]]</f>
        <v>7</v>
      </c>
      <c r="AD42" t="str">
        <f t="shared" si="7"/>
        <v>Neutral</v>
      </c>
      <c r="AE42" s="32">
        <f t="shared" si="8"/>
        <v>2</v>
      </c>
      <c r="AF42">
        <f>step3_validation[[#This Row],[AI_FAC2]]</f>
        <v>8</v>
      </c>
      <c r="AG42" t="str">
        <f t="shared" si="9"/>
        <v>Support</v>
      </c>
      <c r="AH42">
        <f>survey_responses[[#This Row],[So với trước đây, tôi thấy cách tính thuế và các bậc thuế trong phương án mới đơn giản, dễ hiểu và dễ thực hiện hơn. - HUMAN-FAC2]]</f>
        <v>8</v>
      </c>
      <c r="AI42" t="str">
        <f t="shared" si="10"/>
        <v>Support</v>
      </c>
      <c r="AJ42" s="32">
        <f t="shared" si="11"/>
        <v>0</v>
      </c>
      <c r="AK42">
        <f>step3_validation[[#This Row],[AI_TRU1]]</f>
        <v>9</v>
      </c>
      <c r="AL42" t="str">
        <f t="shared" si="12"/>
        <v>Support</v>
      </c>
      <c r="AM42">
        <f>survey_responses[[#This Row],[Tôi tin rằng Nhà nước, cơ quan thuế sẽ thực thi chính sách mới một cách khách quan, công tâm và đối xử bình đẳng với mọi người nộp thuế.  - HUMAN-TRU1]]</f>
        <v>7</v>
      </c>
      <c r="AN42" t="str">
        <f t="shared" si="13"/>
        <v>Neutral</v>
      </c>
      <c r="AO42" s="32">
        <f t="shared" si="14"/>
        <v>2</v>
      </c>
      <c r="AP42">
        <f>step3_validation[[#This Row],[AI_TRU2]]</f>
        <v>8</v>
      </c>
      <c r="AQ42" t="str">
        <f t="shared" si="15"/>
        <v>Support</v>
      </c>
      <c r="AR42">
        <f>survey_responses[[#This Row],[Tôi thấy mức thuế tôi phải đóng theo phương án mới là công bằng (người thu nhập như tôi đóng mức này là hợp lý). - HUMAN-TRU2]]</f>
        <v>4</v>
      </c>
      <c r="AS42" t="str">
        <f t="shared" si="16"/>
        <v>Oppose</v>
      </c>
      <c r="AT42" s="32">
        <f t="shared" si="17"/>
        <v>4</v>
      </c>
      <c r="AU42">
        <f>step3_validation[[#This Row],[AI_TRU3]]</f>
        <v>9</v>
      </c>
      <c r="AV42" t="str">
        <f t="shared" si="18"/>
        <v>Support</v>
      </c>
      <c r="AW42">
        <f>survey_responses[[#This Row],[Tôi tin tưởng số tiền thuế tôi đóng sẽ được Nhà nước sử dụng hiệu quả để cải thiện dịch vụ công (y tế, đường xá...). - HUMAN-TRU3]]</f>
        <v>2</v>
      </c>
      <c r="AX42" t="str">
        <f t="shared" si="19"/>
        <v>Oppose</v>
      </c>
      <c r="AY42" s="32">
        <f t="shared" si="20"/>
        <v>7</v>
      </c>
      <c r="AZ42">
        <f>step3_validation[[#This Row],[AI_TRU4]]</f>
        <v>8</v>
      </c>
      <c r="BA42" t="str">
        <f t="shared" si="21"/>
        <v>Support</v>
      </c>
      <c r="BB42">
        <f>survey_responses[[#This Row],[Tôi thấy Nhà nước đã giải thích rõ ràng, minh bạch về lý do và mục tiêu của việc sửa đổi thuế lần này. - HUMAN-TRU4]]</f>
        <v>8</v>
      </c>
      <c r="BC42" t="str">
        <f t="shared" si="22"/>
        <v>Support</v>
      </c>
      <c r="BD42" s="32">
        <f t="shared" si="23"/>
        <v>0</v>
      </c>
      <c r="BE42">
        <f>step3_validation[[#This Row],[AI_OUT1]]</f>
        <v>9</v>
      </c>
      <c r="BF42" t="str">
        <f t="shared" si="24"/>
        <v>Support</v>
      </c>
      <c r="BG42">
        <f>survey_responses[[#This Row],[Sau khi xem xét các quyền lợi và nghĩa vụ, bạn có ủng hộ và tuân thủ chính sách mới hiện nay? - HUMAN-OUT1]]</f>
        <v>8</v>
      </c>
      <c r="BH42" t="str">
        <f t="shared" si="25"/>
        <v>Support</v>
      </c>
      <c r="BI42" s="32">
        <f t="shared" si="26"/>
        <v>1</v>
      </c>
    </row>
    <row r="43" spans="1:61" x14ac:dyDescent="0.45">
      <c r="A43" s="30">
        <f>step3_validation[[#This Row],[Persona_ID]]</f>
        <v>42</v>
      </c>
      <c r="B43" s="31">
        <f>step3_validation[[#This Row],[Used_Seed]]</f>
        <v>12386</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44.832411102554097</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t="str">
        <f t="shared" si="0"/>
        <v>Neutral</v>
      </c>
      <c r="S43">
        <f>survey_responses[[#This Row],[Tôi tin rằng với các quy định quản lý thuế hiện nay, hành vi gian lận hoặc trốn thuế sẽ dễ dàng bị phát hiện và xử lý nghiêm. - HUMAN-ENF1]]</f>
        <v>10</v>
      </c>
      <c r="T43" t="str">
        <f t="shared" si="1"/>
        <v>Support</v>
      </c>
      <c r="U43" s="32">
        <f t="shared" si="2"/>
        <v>3</v>
      </c>
      <c r="V43">
        <f>step3_validation[[#This Row],[AI_ENF2]]</f>
        <v>8</v>
      </c>
      <c r="W43" t="str">
        <f t="shared" si="3"/>
        <v>Support</v>
      </c>
      <c r="X43">
        <f>survey_responses[[#This Row],[Tôi tin rằng Nhà nước, cơ quan thuế có đủ khả năng và công nghệ để phát hiện, xử lý nghiêm các hành vi trốn thuế. - HUMAN-ENF2]]</f>
        <v>10</v>
      </c>
      <c r="Y43" t="str">
        <f t="shared" si="4"/>
        <v>Support</v>
      </c>
      <c r="Z43" s="32">
        <f t="shared" si="5"/>
        <v>2</v>
      </c>
      <c r="AA43">
        <f>step3_validation[[#This Row],[AI_FAC1]]</f>
        <v>9</v>
      </c>
      <c r="AB43" t="str">
        <f t="shared" si="6"/>
        <v>Support</v>
      </c>
      <c r="AC43">
        <f>survey_responses[[#This Row],[Các thủ tục khai báo thuế VÀ/HOẶC quy trình làm việc với cơ quan thuế đơn giản, tiện lợi, nhanh chóng hơn so với trước đây. - HUMAN-FAC1]]</f>
        <v>9</v>
      </c>
      <c r="AD43" t="str">
        <f t="shared" si="7"/>
        <v>Support</v>
      </c>
      <c r="AE43" s="32">
        <f t="shared" si="8"/>
        <v>0</v>
      </c>
      <c r="AF43">
        <f>step3_validation[[#This Row],[AI_FAC2]]</f>
        <v>9</v>
      </c>
      <c r="AG43" t="str">
        <f t="shared" si="9"/>
        <v>Support</v>
      </c>
      <c r="AH43">
        <f>survey_responses[[#This Row],[So với trước đây, tôi thấy cách tính thuế và các bậc thuế trong phương án mới đơn giản, dễ hiểu và dễ thực hiện hơn. - HUMAN-FAC2]]</f>
        <v>8</v>
      </c>
      <c r="AI43" t="str">
        <f t="shared" si="10"/>
        <v>Support</v>
      </c>
      <c r="AJ43" s="32">
        <f t="shared" si="11"/>
        <v>1</v>
      </c>
      <c r="AK43">
        <f>step3_validation[[#This Row],[AI_TRU1]]</f>
        <v>7</v>
      </c>
      <c r="AL43" t="str">
        <f t="shared" si="12"/>
        <v>Neutral</v>
      </c>
      <c r="AM43">
        <f>survey_responses[[#This Row],[Tôi tin rằng Nhà nước, cơ quan thuế sẽ thực thi chính sách mới một cách khách quan, công tâm và đối xử bình đẳng với mọi người nộp thuế.  - HUMAN-TRU1]]</f>
        <v>7</v>
      </c>
      <c r="AN43" t="str">
        <f t="shared" si="13"/>
        <v>Neutral</v>
      </c>
      <c r="AO43" s="32">
        <f t="shared" si="14"/>
        <v>0</v>
      </c>
      <c r="AP43">
        <f>step3_validation[[#This Row],[AI_TRU2]]</f>
        <v>9</v>
      </c>
      <c r="AQ43" t="str">
        <f t="shared" si="15"/>
        <v>Support</v>
      </c>
      <c r="AR43">
        <f>survey_responses[[#This Row],[Tôi thấy mức thuế tôi phải đóng theo phương án mới là công bằng (người thu nhập như tôi đóng mức này là hợp lý). - HUMAN-TRU2]]</f>
        <v>9</v>
      </c>
      <c r="AS43" t="str">
        <f t="shared" si="16"/>
        <v>Support</v>
      </c>
      <c r="AT43" s="32">
        <f t="shared" si="17"/>
        <v>0</v>
      </c>
      <c r="AU43">
        <f>step3_validation[[#This Row],[AI_TRU3]]</f>
        <v>8</v>
      </c>
      <c r="AV43" t="str">
        <f t="shared" si="18"/>
        <v>Support</v>
      </c>
      <c r="AW43">
        <f>survey_responses[[#This Row],[Tôi tin tưởng số tiền thuế tôi đóng sẽ được Nhà nước sử dụng hiệu quả để cải thiện dịch vụ công (y tế, đường xá...). - HUMAN-TRU3]]</f>
        <v>9</v>
      </c>
      <c r="AX43" t="str">
        <f t="shared" si="19"/>
        <v>Support</v>
      </c>
      <c r="AY43" s="32">
        <f t="shared" si="20"/>
        <v>1</v>
      </c>
      <c r="AZ43">
        <f>step3_validation[[#This Row],[AI_TRU4]]</f>
        <v>7</v>
      </c>
      <c r="BA43" t="str">
        <f t="shared" si="21"/>
        <v>Neutral</v>
      </c>
      <c r="BB43">
        <f>survey_responses[[#This Row],[Tôi thấy Nhà nước đã giải thích rõ ràng, minh bạch về lý do và mục tiêu của việc sửa đổi thuế lần này. - HUMAN-TRU4]]</f>
        <v>8</v>
      </c>
      <c r="BC43" t="str">
        <f t="shared" si="22"/>
        <v>Support</v>
      </c>
      <c r="BD43" s="32">
        <f t="shared" si="23"/>
        <v>1</v>
      </c>
      <c r="BE43">
        <f>step3_validation[[#This Row],[AI_OUT1]]</f>
        <v>9</v>
      </c>
      <c r="BF43" t="str">
        <f t="shared" si="24"/>
        <v>Support</v>
      </c>
      <c r="BG43">
        <f>survey_responses[[#This Row],[Sau khi xem xét các quyền lợi và nghĩa vụ, bạn có ủng hộ và tuân thủ chính sách mới hiện nay? - HUMAN-OUT1]]</f>
        <v>8</v>
      </c>
      <c r="BH43" t="str">
        <f t="shared" si="25"/>
        <v>Support</v>
      </c>
      <c r="BI43" s="32">
        <f t="shared" si="26"/>
        <v>1</v>
      </c>
    </row>
    <row r="44" spans="1:61" x14ac:dyDescent="0.45">
      <c r="A44" s="30">
        <f>step3_validation[[#This Row],[Persona_ID]]</f>
        <v>43</v>
      </c>
      <c r="B44" s="31">
        <f>step3_validation[[#This Row],[Used_Seed]]</f>
        <v>12387</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181.46460242033686</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6</v>
      </c>
      <c r="R44" t="str">
        <f t="shared" si="0"/>
        <v>Neutral</v>
      </c>
      <c r="S44">
        <f>survey_responses[[#This Row],[Tôi tin rằng với các quy định quản lý thuế hiện nay, hành vi gian lận hoặc trốn thuế sẽ dễ dàng bị phát hiện và xử lý nghiêm. - HUMAN-ENF1]]</f>
        <v>6</v>
      </c>
      <c r="T44" t="str">
        <f t="shared" si="1"/>
        <v>Neutral</v>
      </c>
      <c r="U44" s="32">
        <f t="shared" si="2"/>
        <v>0</v>
      </c>
      <c r="V44">
        <f>step3_validation[[#This Row],[AI_ENF2]]</f>
        <v>7</v>
      </c>
      <c r="W44" t="str">
        <f t="shared" si="3"/>
        <v>Neutral</v>
      </c>
      <c r="X44">
        <f>survey_responses[[#This Row],[Tôi tin rằng Nhà nước, cơ quan thuế có đủ khả năng và công nghệ để phát hiện, xử lý nghiêm các hành vi trốn thuế. - HUMAN-ENF2]]</f>
        <v>6</v>
      </c>
      <c r="Y44" t="str">
        <f t="shared" si="4"/>
        <v>Neutral</v>
      </c>
      <c r="Z44" s="32">
        <f t="shared" si="5"/>
        <v>1</v>
      </c>
      <c r="AA44">
        <f>step3_validation[[#This Row],[AI_FAC1]]</f>
        <v>8</v>
      </c>
      <c r="AB44" t="str">
        <f t="shared" si="6"/>
        <v>Support</v>
      </c>
      <c r="AC44">
        <f>survey_responses[[#This Row],[Các thủ tục khai báo thuế VÀ/HOẶC quy trình làm việc với cơ quan thuế đơn giản, tiện lợi, nhanh chóng hơn so với trước đây. - HUMAN-FAC1]]</f>
        <v>8</v>
      </c>
      <c r="AD44" t="str">
        <f t="shared" si="7"/>
        <v>Support</v>
      </c>
      <c r="AE44" s="32">
        <f t="shared" si="8"/>
        <v>0</v>
      </c>
      <c r="AF44">
        <f>step3_validation[[#This Row],[AI_FAC2]]</f>
        <v>9</v>
      </c>
      <c r="AG44" t="str">
        <f t="shared" si="9"/>
        <v>Support</v>
      </c>
      <c r="AH44">
        <f>survey_responses[[#This Row],[So với trước đây, tôi thấy cách tính thuế và các bậc thuế trong phương án mới đơn giản, dễ hiểu và dễ thực hiện hơn. - HUMAN-FAC2]]</f>
        <v>10</v>
      </c>
      <c r="AI44" t="str">
        <f t="shared" si="10"/>
        <v>Support</v>
      </c>
      <c r="AJ44" s="32">
        <f t="shared" si="11"/>
        <v>1</v>
      </c>
      <c r="AK44">
        <f>step3_validation[[#This Row],[AI_TRU1]]</f>
        <v>8</v>
      </c>
      <c r="AL44" t="str">
        <f t="shared" si="12"/>
        <v>Support</v>
      </c>
      <c r="AM44">
        <f>survey_responses[[#This Row],[Tôi tin rằng Nhà nước, cơ quan thuế sẽ thực thi chính sách mới một cách khách quan, công tâm và đối xử bình đẳng với mọi người nộp thuế.  - HUMAN-TRU1]]</f>
        <v>9</v>
      </c>
      <c r="AN44" t="str">
        <f t="shared" si="13"/>
        <v>Support</v>
      </c>
      <c r="AO44" s="32">
        <f t="shared" si="14"/>
        <v>1</v>
      </c>
      <c r="AP44">
        <f>step3_validation[[#This Row],[AI_TRU2]]</f>
        <v>9</v>
      </c>
      <c r="AQ44" t="str">
        <f t="shared" si="15"/>
        <v>Support</v>
      </c>
      <c r="AR44">
        <f>survey_responses[[#This Row],[Tôi thấy mức thuế tôi phải đóng theo phương án mới là công bằng (người thu nhập như tôi đóng mức này là hợp lý). - HUMAN-TRU2]]</f>
        <v>1</v>
      </c>
      <c r="AS44" t="str">
        <f t="shared" si="16"/>
        <v>Oppose</v>
      </c>
      <c r="AT44" s="32">
        <f t="shared" si="17"/>
        <v>8</v>
      </c>
      <c r="AU44">
        <f>step3_validation[[#This Row],[AI_TRU3]]</f>
        <v>8</v>
      </c>
      <c r="AV44" t="str">
        <f t="shared" si="18"/>
        <v>Support</v>
      </c>
      <c r="AW44">
        <f>survey_responses[[#This Row],[Tôi tin tưởng số tiền thuế tôi đóng sẽ được Nhà nước sử dụng hiệu quả để cải thiện dịch vụ công (y tế, đường xá...). - HUMAN-TRU3]]</f>
        <v>7</v>
      </c>
      <c r="AX44" t="str">
        <f t="shared" si="19"/>
        <v>Neutral</v>
      </c>
      <c r="AY44" s="32">
        <f t="shared" si="20"/>
        <v>1</v>
      </c>
      <c r="AZ44">
        <f>step3_validation[[#This Row],[AI_TRU4]]</f>
        <v>7</v>
      </c>
      <c r="BA44" t="str">
        <f t="shared" si="21"/>
        <v>Neutral</v>
      </c>
      <c r="BB44">
        <f>survey_responses[[#This Row],[Tôi thấy Nhà nước đã giải thích rõ ràng, minh bạch về lý do và mục tiêu của việc sửa đổi thuế lần này. - HUMAN-TRU4]]</f>
        <v>7</v>
      </c>
      <c r="BC44" t="str">
        <f t="shared" si="22"/>
        <v>Neutral</v>
      </c>
      <c r="BD44" s="32">
        <f t="shared" si="23"/>
        <v>0</v>
      </c>
      <c r="BE44">
        <f>step3_validation[[#This Row],[AI_OUT1]]</f>
        <v>9</v>
      </c>
      <c r="BF44" t="str">
        <f t="shared" si="24"/>
        <v>Support</v>
      </c>
      <c r="BG44">
        <f>survey_responses[[#This Row],[Sau khi xem xét các quyền lợi và nghĩa vụ, bạn có ủng hộ và tuân thủ chính sách mới hiện nay? - HUMAN-OUT1]]</f>
        <v>8</v>
      </c>
      <c r="BH44" t="str">
        <f t="shared" si="25"/>
        <v>Support</v>
      </c>
      <c r="BI44" s="32">
        <f t="shared" si="26"/>
        <v>1</v>
      </c>
    </row>
    <row r="45" spans="1:61" x14ac:dyDescent="0.45">
      <c r="A45" s="30">
        <f>step3_validation[[#This Row],[Persona_ID]]</f>
        <v>44</v>
      </c>
      <c r="B45" s="31">
        <f>step3_validation[[#This Row],[Used_Seed]]</f>
        <v>12388</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27.035028786955039</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t="str">
        <f t="shared" si="0"/>
        <v>Neutral</v>
      </c>
      <c r="S45">
        <f>survey_responses[[#This Row],[Tôi tin rằng với các quy định quản lý thuế hiện nay, hành vi gian lận hoặc trốn thuế sẽ dễ dàng bị phát hiện và xử lý nghiêm. - HUMAN-ENF1]]</f>
        <v>8</v>
      </c>
      <c r="T45" t="str">
        <f t="shared" si="1"/>
        <v>Support</v>
      </c>
      <c r="U45" s="32">
        <f t="shared" si="2"/>
        <v>1</v>
      </c>
      <c r="V45">
        <f>step3_validation[[#This Row],[AI_ENF2]]</f>
        <v>8</v>
      </c>
      <c r="W45" t="str">
        <f t="shared" si="3"/>
        <v>Support</v>
      </c>
      <c r="X45">
        <f>survey_responses[[#This Row],[Tôi tin rằng Nhà nước, cơ quan thuế có đủ khả năng và công nghệ để phát hiện, xử lý nghiêm các hành vi trốn thuế. - HUMAN-ENF2]]</f>
        <v>8</v>
      </c>
      <c r="Y45" t="str">
        <f t="shared" si="4"/>
        <v>Support</v>
      </c>
      <c r="Z45" s="32">
        <f t="shared" si="5"/>
        <v>0</v>
      </c>
      <c r="AA45">
        <f>step3_validation[[#This Row],[AI_FAC1]]</f>
        <v>9</v>
      </c>
      <c r="AB45" t="str">
        <f t="shared" si="6"/>
        <v>Support</v>
      </c>
      <c r="AC45">
        <f>survey_responses[[#This Row],[Các thủ tục khai báo thuế VÀ/HOẶC quy trình làm việc với cơ quan thuế đơn giản, tiện lợi, nhanh chóng hơn so với trước đây. - HUMAN-FAC1]]</f>
        <v>8</v>
      </c>
      <c r="AD45" t="str">
        <f t="shared" si="7"/>
        <v>Support</v>
      </c>
      <c r="AE45" s="32">
        <f t="shared" si="8"/>
        <v>1</v>
      </c>
      <c r="AF45">
        <f>step3_validation[[#This Row],[AI_FAC2]]</f>
        <v>10</v>
      </c>
      <c r="AG45" t="str">
        <f t="shared" si="9"/>
        <v>Support</v>
      </c>
      <c r="AH45">
        <f>survey_responses[[#This Row],[So với trước đây, tôi thấy cách tính thuế và các bậc thuế trong phương án mới đơn giản, dễ hiểu và dễ thực hiện hơn. - HUMAN-FAC2]]</f>
        <v>8</v>
      </c>
      <c r="AI45" t="str">
        <f t="shared" si="10"/>
        <v>Support</v>
      </c>
      <c r="AJ45" s="32">
        <f t="shared" si="11"/>
        <v>2</v>
      </c>
      <c r="AK45">
        <f>step3_validation[[#This Row],[AI_TRU1]]</f>
        <v>9</v>
      </c>
      <c r="AL45" t="str">
        <f t="shared" si="12"/>
        <v>Support</v>
      </c>
      <c r="AM45">
        <f>survey_responses[[#This Row],[Tôi tin rằng Nhà nước, cơ quan thuế sẽ thực thi chính sách mới một cách khách quan, công tâm và đối xử bình đẳng với mọi người nộp thuế.  - HUMAN-TRU1]]</f>
        <v>8</v>
      </c>
      <c r="AN45" t="str">
        <f t="shared" si="13"/>
        <v>Support</v>
      </c>
      <c r="AO45" s="32">
        <f t="shared" si="14"/>
        <v>1</v>
      </c>
      <c r="AP45">
        <f>step3_validation[[#This Row],[AI_TRU2]]</f>
        <v>8</v>
      </c>
      <c r="AQ45" t="str">
        <f t="shared" si="15"/>
        <v>Support</v>
      </c>
      <c r="AR45">
        <f>survey_responses[[#This Row],[Tôi thấy mức thuế tôi phải đóng theo phương án mới là công bằng (người thu nhập như tôi đóng mức này là hợp lý). - HUMAN-TRU2]]</f>
        <v>8</v>
      </c>
      <c r="AS45" t="str">
        <f t="shared" si="16"/>
        <v>Support</v>
      </c>
      <c r="AT45" s="32">
        <f t="shared" si="17"/>
        <v>0</v>
      </c>
      <c r="AU45">
        <f>step3_validation[[#This Row],[AI_TRU3]]</f>
        <v>9</v>
      </c>
      <c r="AV45" t="str">
        <f t="shared" si="18"/>
        <v>Support</v>
      </c>
      <c r="AW45">
        <f>survey_responses[[#This Row],[Tôi tin tưởng số tiền thuế tôi đóng sẽ được Nhà nước sử dụng hiệu quả để cải thiện dịch vụ công (y tế, đường xá...). - HUMAN-TRU3]]</f>
        <v>9</v>
      </c>
      <c r="AX45" t="str">
        <f t="shared" si="19"/>
        <v>Support</v>
      </c>
      <c r="AY45" s="32">
        <f t="shared" si="20"/>
        <v>0</v>
      </c>
      <c r="AZ45">
        <f>step3_validation[[#This Row],[AI_TRU4]]</f>
        <v>8</v>
      </c>
      <c r="BA45" t="str">
        <f t="shared" si="21"/>
        <v>Support</v>
      </c>
      <c r="BB45">
        <f>survey_responses[[#This Row],[Tôi thấy Nhà nước đã giải thích rõ ràng, minh bạch về lý do và mục tiêu của việc sửa đổi thuế lần này. - HUMAN-TRU4]]</f>
        <v>5</v>
      </c>
      <c r="BC45" t="str">
        <f t="shared" si="22"/>
        <v>Neutral</v>
      </c>
      <c r="BD45" s="32">
        <f t="shared" si="23"/>
        <v>3</v>
      </c>
      <c r="BE45">
        <f>step3_validation[[#This Row],[AI_OUT1]]</f>
        <v>9</v>
      </c>
      <c r="BF45" t="str">
        <f t="shared" si="24"/>
        <v>Support</v>
      </c>
      <c r="BG45">
        <f>survey_responses[[#This Row],[Sau khi xem xét các quyền lợi và nghĩa vụ, bạn có ủng hộ và tuân thủ chính sách mới hiện nay? - HUMAN-OUT1]]</f>
        <v>9</v>
      </c>
      <c r="BH45" t="str">
        <f t="shared" si="25"/>
        <v>Support</v>
      </c>
      <c r="BI45" s="32">
        <f t="shared" si="26"/>
        <v>0</v>
      </c>
    </row>
    <row r="46" spans="1:61" x14ac:dyDescent="0.45">
      <c r="A46" s="30">
        <f>step3_validation[[#This Row],[Persona_ID]]</f>
        <v>45</v>
      </c>
      <c r="B46" s="31">
        <f>step3_validation[[#This Row],[Used_Seed]]</f>
        <v>12389</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26.332748776775741</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8</v>
      </c>
      <c r="R46" t="str">
        <f t="shared" si="0"/>
        <v>Support</v>
      </c>
      <c r="S46">
        <f>survey_responses[[#This Row],[Tôi tin rằng với các quy định quản lý thuế hiện nay, hành vi gian lận hoặc trốn thuế sẽ dễ dàng bị phát hiện và xử lý nghiêm. - HUMAN-ENF1]]</f>
        <v>10</v>
      </c>
      <c r="T46" t="str">
        <f t="shared" si="1"/>
        <v>Support</v>
      </c>
      <c r="U46" s="32">
        <f t="shared" si="2"/>
        <v>2</v>
      </c>
      <c r="V46">
        <f>step3_validation[[#This Row],[AI_ENF2]]</f>
        <v>7</v>
      </c>
      <c r="W46" t="str">
        <f t="shared" si="3"/>
        <v>Neutral</v>
      </c>
      <c r="X46">
        <f>survey_responses[[#This Row],[Tôi tin rằng Nhà nước, cơ quan thuế có đủ khả năng và công nghệ để phát hiện, xử lý nghiêm các hành vi trốn thuế. - HUMAN-ENF2]]</f>
        <v>10</v>
      </c>
      <c r="Y46" t="str">
        <f t="shared" si="4"/>
        <v>Support</v>
      </c>
      <c r="Z46" s="32">
        <f t="shared" si="5"/>
        <v>3</v>
      </c>
      <c r="AA46">
        <f>step3_validation[[#This Row],[AI_FAC1]]</f>
        <v>9</v>
      </c>
      <c r="AB46" t="str">
        <f t="shared" si="6"/>
        <v>Support</v>
      </c>
      <c r="AC46">
        <f>survey_responses[[#This Row],[Các thủ tục khai báo thuế VÀ/HOẶC quy trình làm việc với cơ quan thuế đơn giản, tiện lợi, nhanh chóng hơn so với trước đây. - HUMAN-FAC1]]</f>
        <v>10</v>
      </c>
      <c r="AD46" t="str">
        <f t="shared" si="7"/>
        <v>Support</v>
      </c>
      <c r="AE46" s="32">
        <f t="shared" si="8"/>
        <v>1</v>
      </c>
      <c r="AF46">
        <f>step3_validation[[#This Row],[AI_FAC2]]</f>
        <v>8</v>
      </c>
      <c r="AG46" t="str">
        <f t="shared" si="9"/>
        <v>Support</v>
      </c>
      <c r="AH46">
        <f>survey_responses[[#This Row],[So với trước đây, tôi thấy cách tính thuế và các bậc thuế trong phương án mới đơn giản, dễ hiểu và dễ thực hiện hơn. - HUMAN-FAC2]]</f>
        <v>9</v>
      </c>
      <c r="AI46" t="str">
        <f t="shared" si="10"/>
        <v>Support</v>
      </c>
      <c r="AJ46" s="32">
        <f t="shared" si="11"/>
        <v>1</v>
      </c>
      <c r="AK46">
        <f>step3_validation[[#This Row],[AI_TRU1]]</f>
        <v>9</v>
      </c>
      <c r="AL46" t="str">
        <f t="shared" si="12"/>
        <v>Support</v>
      </c>
      <c r="AM46">
        <f>survey_responses[[#This Row],[Tôi tin rằng Nhà nước, cơ quan thuế sẽ thực thi chính sách mới một cách khách quan, công tâm và đối xử bình đẳng với mọi người nộp thuế.  - HUMAN-TRU1]]</f>
        <v>10</v>
      </c>
      <c r="AN46" t="str">
        <f t="shared" si="13"/>
        <v>Support</v>
      </c>
      <c r="AO46" s="32">
        <f t="shared" si="14"/>
        <v>1</v>
      </c>
      <c r="AP46">
        <f>step3_validation[[#This Row],[AI_TRU2]]</f>
        <v>9</v>
      </c>
      <c r="AQ46" t="str">
        <f t="shared" si="15"/>
        <v>Support</v>
      </c>
      <c r="AR46">
        <f>survey_responses[[#This Row],[Tôi thấy mức thuế tôi phải đóng theo phương án mới là công bằng (người thu nhập như tôi đóng mức này là hợp lý). - HUMAN-TRU2]]</f>
        <v>10</v>
      </c>
      <c r="AS46" t="str">
        <f t="shared" si="16"/>
        <v>Support</v>
      </c>
      <c r="AT46" s="32">
        <f t="shared" si="17"/>
        <v>1</v>
      </c>
      <c r="AU46">
        <f>step3_validation[[#This Row],[AI_TRU3]]</f>
        <v>8</v>
      </c>
      <c r="AV46" t="str">
        <f t="shared" si="18"/>
        <v>Support</v>
      </c>
      <c r="AW46">
        <f>survey_responses[[#This Row],[Tôi tin tưởng số tiền thuế tôi đóng sẽ được Nhà nước sử dụng hiệu quả để cải thiện dịch vụ công (y tế, đường xá...). - HUMAN-TRU3]]</f>
        <v>10</v>
      </c>
      <c r="AX46" t="str">
        <f t="shared" si="19"/>
        <v>Support</v>
      </c>
      <c r="AY46" s="32">
        <f t="shared" si="20"/>
        <v>2</v>
      </c>
      <c r="AZ46">
        <f>step3_validation[[#This Row],[AI_TRU4]]</f>
        <v>7</v>
      </c>
      <c r="BA46" t="str">
        <f t="shared" si="21"/>
        <v>Neutral</v>
      </c>
      <c r="BB46">
        <f>survey_responses[[#This Row],[Tôi thấy Nhà nước đã giải thích rõ ràng, minh bạch về lý do và mục tiêu của việc sửa đổi thuế lần này. - HUMAN-TRU4]]</f>
        <v>10</v>
      </c>
      <c r="BC46" t="str">
        <f t="shared" si="22"/>
        <v>Support</v>
      </c>
      <c r="BD46" s="32">
        <f t="shared" si="23"/>
        <v>3</v>
      </c>
      <c r="BE46">
        <f>step3_validation[[#This Row],[AI_OUT1]]</f>
        <v>9</v>
      </c>
      <c r="BF46" t="str">
        <f t="shared" si="24"/>
        <v>Support</v>
      </c>
      <c r="BG46">
        <f>survey_responses[[#This Row],[Sau khi xem xét các quyền lợi và nghĩa vụ, bạn có ủng hộ và tuân thủ chính sách mới hiện nay? - HUMAN-OUT1]]</f>
        <v>10</v>
      </c>
      <c r="BH46" t="str">
        <f t="shared" si="25"/>
        <v>Support</v>
      </c>
      <c r="BI46" s="32">
        <f t="shared" si="26"/>
        <v>1</v>
      </c>
    </row>
    <row r="47" spans="1:61" x14ac:dyDescent="0.45">
      <c r="A47" s="30">
        <f>step3_validation[[#This Row],[Persona_ID]]</f>
        <v>46</v>
      </c>
      <c r="B47" s="31">
        <f>step3_validation[[#This Row],[Used_Seed]]</f>
        <v>12390</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7</v>
      </c>
      <c r="R47" t="str">
        <f t="shared" si="0"/>
        <v>Neutral</v>
      </c>
      <c r="S47">
        <f>survey_responses[[#This Row],[Tôi tin rằng với các quy định quản lý thuế hiện nay, hành vi gian lận hoặc trốn thuế sẽ dễ dàng bị phát hiện và xử lý nghiêm. - HUMAN-ENF1]]</f>
        <v>1</v>
      </c>
      <c r="T47" t="str">
        <f t="shared" si="1"/>
        <v>Oppose</v>
      </c>
      <c r="U47" s="32">
        <f t="shared" si="2"/>
        <v>6</v>
      </c>
      <c r="V47">
        <f>step3_validation[[#This Row],[AI_ENF2]]</f>
        <v>6</v>
      </c>
      <c r="W47" t="str">
        <f t="shared" si="3"/>
        <v>Neutral</v>
      </c>
      <c r="X47">
        <f>survey_responses[[#This Row],[Tôi tin rằng Nhà nước, cơ quan thuế có đủ khả năng và công nghệ để phát hiện, xử lý nghiêm các hành vi trốn thuế. - HUMAN-ENF2]]</f>
        <v>1</v>
      </c>
      <c r="Y47" t="str">
        <f t="shared" si="4"/>
        <v>Oppose</v>
      </c>
      <c r="Z47" s="32">
        <f t="shared" si="5"/>
        <v>5</v>
      </c>
      <c r="AA47">
        <f>step3_validation[[#This Row],[AI_FAC1]]</f>
        <v>8</v>
      </c>
      <c r="AB47" t="str">
        <f t="shared" si="6"/>
        <v>Support</v>
      </c>
      <c r="AC47">
        <f>survey_responses[[#This Row],[Các thủ tục khai báo thuế VÀ/HOẶC quy trình làm việc với cơ quan thuế đơn giản, tiện lợi, nhanh chóng hơn so với trước đây. - HUMAN-FAC1]]</f>
        <v>2</v>
      </c>
      <c r="AD47" t="str">
        <f t="shared" si="7"/>
        <v>Oppose</v>
      </c>
      <c r="AE47" s="32">
        <f t="shared" si="8"/>
        <v>6</v>
      </c>
      <c r="AF47">
        <f>step3_validation[[#This Row],[AI_FAC2]]</f>
        <v>9</v>
      </c>
      <c r="AG47" t="str">
        <f t="shared" si="9"/>
        <v>Support</v>
      </c>
      <c r="AH47">
        <f>survey_responses[[#This Row],[So với trước đây, tôi thấy cách tính thuế và các bậc thuế trong phương án mới đơn giản, dễ hiểu và dễ thực hiện hơn. - HUMAN-FAC2]]</f>
        <v>1</v>
      </c>
      <c r="AI47" t="str">
        <f t="shared" si="10"/>
        <v>Oppose</v>
      </c>
      <c r="AJ47" s="32">
        <f t="shared" si="11"/>
        <v>8</v>
      </c>
      <c r="AK47">
        <f>step3_validation[[#This Row],[AI_TRU1]]</f>
        <v>8</v>
      </c>
      <c r="AL47" t="str">
        <f t="shared" si="12"/>
        <v>Support</v>
      </c>
      <c r="AM47">
        <f>survey_responses[[#This Row],[Tôi tin rằng Nhà nước, cơ quan thuế sẽ thực thi chính sách mới một cách khách quan, công tâm và đối xử bình đẳng với mọi người nộp thuế.  - HUMAN-TRU1]]</f>
        <v>1</v>
      </c>
      <c r="AN47" t="str">
        <f t="shared" si="13"/>
        <v>Oppose</v>
      </c>
      <c r="AO47" s="32">
        <f t="shared" si="14"/>
        <v>7</v>
      </c>
      <c r="AP47">
        <f>step3_validation[[#This Row],[AI_TRU2]]</f>
        <v>9</v>
      </c>
      <c r="AQ47" t="str">
        <f t="shared" si="15"/>
        <v>Support</v>
      </c>
      <c r="AR47">
        <f>survey_responses[[#This Row],[Tôi thấy mức thuế tôi phải đóng theo phương án mới là công bằng (người thu nhập như tôi đóng mức này là hợp lý). - HUMAN-TRU2]]</f>
        <v>1</v>
      </c>
      <c r="AS47" t="str">
        <f t="shared" si="16"/>
        <v>Oppose</v>
      </c>
      <c r="AT47" s="32">
        <f t="shared" si="17"/>
        <v>8</v>
      </c>
      <c r="AU47">
        <f>step3_validation[[#This Row],[AI_TRU3]]</f>
        <v>8</v>
      </c>
      <c r="AV47" t="str">
        <f t="shared" si="18"/>
        <v>Support</v>
      </c>
      <c r="AW47">
        <f>survey_responses[[#This Row],[Tôi tin tưởng số tiền thuế tôi đóng sẽ được Nhà nước sử dụng hiệu quả để cải thiện dịch vụ công (y tế, đường xá...). - HUMAN-TRU3]]</f>
        <v>1</v>
      </c>
      <c r="AX47" t="str">
        <f t="shared" si="19"/>
        <v>Oppose</v>
      </c>
      <c r="AY47" s="32">
        <f t="shared" si="20"/>
        <v>7</v>
      </c>
      <c r="AZ47">
        <f>step3_validation[[#This Row],[AI_TRU4]]</f>
        <v>9</v>
      </c>
      <c r="BA47" t="str">
        <f t="shared" si="21"/>
        <v>Support</v>
      </c>
      <c r="BB47">
        <f>survey_responses[[#This Row],[Tôi thấy Nhà nước đã giải thích rõ ràng, minh bạch về lý do và mục tiêu của việc sửa đổi thuế lần này. - HUMAN-TRU4]]</f>
        <v>1</v>
      </c>
      <c r="BC47" t="str">
        <f t="shared" si="22"/>
        <v>Oppose</v>
      </c>
      <c r="BD47" s="32">
        <f t="shared" si="23"/>
        <v>8</v>
      </c>
      <c r="BE47">
        <f>step3_validation[[#This Row],[AI_OUT1]]</f>
        <v>10</v>
      </c>
      <c r="BF47" t="str">
        <f t="shared" si="24"/>
        <v>Support</v>
      </c>
      <c r="BG47">
        <f>survey_responses[[#This Row],[Sau khi xem xét các quyền lợi và nghĩa vụ, bạn có ủng hộ và tuân thủ chính sách mới hiện nay? - HUMAN-OUT1]]</f>
        <v>1</v>
      </c>
      <c r="BH47" t="str">
        <f t="shared" si="25"/>
        <v>Oppose</v>
      </c>
      <c r="BI47" s="32">
        <f t="shared" si="26"/>
        <v>9</v>
      </c>
    </row>
    <row r="48" spans="1:61" x14ac:dyDescent="0.45">
      <c r="A48" s="30">
        <f>step3_validation[[#This Row],[Persona_ID]]</f>
        <v>47</v>
      </c>
      <c r="B48" s="31">
        <f>step3_validation[[#This Row],[Used_Seed]]</f>
        <v>12391</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6</v>
      </c>
      <c r="R48" t="str">
        <f t="shared" si="0"/>
        <v>Neutral</v>
      </c>
      <c r="S48">
        <f>survey_responses[[#This Row],[Tôi tin rằng với các quy định quản lý thuế hiện nay, hành vi gian lận hoặc trốn thuế sẽ dễ dàng bị phát hiện và xử lý nghiêm. - HUMAN-ENF1]]</f>
        <v>8</v>
      </c>
      <c r="T48" t="str">
        <f t="shared" si="1"/>
        <v>Support</v>
      </c>
      <c r="U48" s="32">
        <f t="shared" si="2"/>
        <v>2</v>
      </c>
      <c r="V48">
        <f>step3_validation[[#This Row],[AI_ENF2]]</f>
        <v>7</v>
      </c>
      <c r="W48" t="str">
        <f t="shared" si="3"/>
        <v>Neutral</v>
      </c>
      <c r="X48">
        <f>survey_responses[[#This Row],[Tôi tin rằng Nhà nước, cơ quan thuế có đủ khả năng và công nghệ để phát hiện, xử lý nghiêm các hành vi trốn thuế. - HUMAN-ENF2]]</f>
        <v>8</v>
      </c>
      <c r="Y48" t="str">
        <f t="shared" si="4"/>
        <v>Support</v>
      </c>
      <c r="Z48" s="32">
        <f t="shared" si="5"/>
        <v>1</v>
      </c>
      <c r="AA48">
        <f>step3_validation[[#This Row],[AI_FAC1]]</f>
        <v>9</v>
      </c>
      <c r="AB48" t="str">
        <f t="shared" si="6"/>
        <v>Support</v>
      </c>
      <c r="AC48">
        <f>survey_responses[[#This Row],[Các thủ tục khai báo thuế VÀ/HOẶC quy trình làm việc với cơ quan thuế đơn giản, tiện lợi, nhanh chóng hơn so với trước đây. - HUMAN-FAC1]]</f>
        <v>8</v>
      </c>
      <c r="AD48" t="str">
        <f t="shared" si="7"/>
        <v>Support</v>
      </c>
      <c r="AE48" s="32">
        <f t="shared" si="8"/>
        <v>1</v>
      </c>
      <c r="AF48">
        <f>step3_validation[[#This Row],[AI_FAC2]]</f>
        <v>9</v>
      </c>
      <c r="AG48" t="str">
        <f t="shared" si="9"/>
        <v>Support</v>
      </c>
      <c r="AH48">
        <f>survey_responses[[#This Row],[So với trước đây, tôi thấy cách tính thuế và các bậc thuế trong phương án mới đơn giản, dễ hiểu và dễ thực hiện hơn. - HUMAN-FAC2]]</f>
        <v>7</v>
      </c>
      <c r="AI48" t="str">
        <f t="shared" si="10"/>
        <v>Neutral</v>
      </c>
      <c r="AJ48" s="32">
        <f t="shared" si="11"/>
        <v>2</v>
      </c>
      <c r="AK48">
        <f>step3_validation[[#This Row],[AI_TRU1]]</f>
        <v>7</v>
      </c>
      <c r="AL48" t="str">
        <f t="shared" si="12"/>
        <v>Neutral</v>
      </c>
      <c r="AM48">
        <f>survey_responses[[#This Row],[Tôi tin rằng Nhà nước, cơ quan thuế sẽ thực thi chính sách mới một cách khách quan, công tâm và đối xử bình đẳng với mọi người nộp thuế.  - HUMAN-TRU1]]</f>
        <v>6</v>
      </c>
      <c r="AN48" t="str">
        <f t="shared" si="13"/>
        <v>Neutral</v>
      </c>
      <c r="AO48" s="32">
        <f t="shared" si="14"/>
        <v>1</v>
      </c>
      <c r="AP48">
        <f>step3_validation[[#This Row],[AI_TRU2]]</f>
        <v>9</v>
      </c>
      <c r="AQ48" t="str">
        <f t="shared" si="15"/>
        <v>Support</v>
      </c>
      <c r="AR48">
        <f>survey_responses[[#This Row],[Tôi thấy mức thuế tôi phải đóng theo phương án mới là công bằng (người thu nhập như tôi đóng mức này là hợp lý). - HUMAN-TRU2]]</f>
        <v>8</v>
      </c>
      <c r="AS48" t="str">
        <f t="shared" si="16"/>
        <v>Support</v>
      </c>
      <c r="AT48" s="32">
        <f t="shared" si="17"/>
        <v>1</v>
      </c>
      <c r="AU48">
        <f>step3_validation[[#This Row],[AI_TRU3]]</f>
        <v>8</v>
      </c>
      <c r="AV48" t="str">
        <f t="shared" si="18"/>
        <v>Support</v>
      </c>
      <c r="AW48">
        <f>survey_responses[[#This Row],[Tôi tin tưởng số tiền thuế tôi đóng sẽ được Nhà nước sử dụng hiệu quả để cải thiện dịch vụ công (y tế, đường xá...). - HUMAN-TRU3]]</f>
        <v>8</v>
      </c>
      <c r="AX48" t="str">
        <f t="shared" si="19"/>
        <v>Support</v>
      </c>
      <c r="AY48" s="32">
        <f t="shared" si="20"/>
        <v>0</v>
      </c>
      <c r="AZ48">
        <f>step3_validation[[#This Row],[AI_TRU4]]</f>
        <v>7</v>
      </c>
      <c r="BA48" t="str">
        <f t="shared" si="21"/>
        <v>Neutral</v>
      </c>
      <c r="BB48">
        <f>survey_responses[[#This Row],[Tôi thấy Nhà nước đã giải thích rõ ràng, minh bạch về lý do và mục tiêu của việc sửa đổi thuế lần này. - HUMAN-TRU4]]</f>
        <v>9</v>
      </c>
      <c r="BC48" t="str">
        <f t="shared" si="22"/>
        <v>Support</v>
      </c>
      <c r="BD48" s="32">
        <f t="shared" si="23"/>
        <v>2</v>
      </c>
      <c r="BE48">
        <f>step3_validation[[#This Row],[AI_OUT1]]</f>
        <v>9</v>
      </c>
      <c r="BF48" t="str">
        <f t="shared" si="24"/>
        <v>Support</v>
      </c>
      <c r="BG48">
        <f>survey_responses[[#This Row],[Sau khi xem xét các quyền lợi và nghĩa vụ, bạn có ủng hộ và tuân thủ chính sách mới hiện nay? - HUMAN-OUT1]]</f>
        <v>8</v>
      </c>
      <c r="BH48" t="str">
        <f t="shared" si="25"/>
        <v>Support</v>
      </c>
      <c r="BI48" s="32">
        <f t="shared" si="26"/>
        <v>1</v>
      </c>
    </row>
    <row r="49" spans="1:61" x14ac:dyDescent="0.45">
      <c r="A49" s="30">
        <f>step3_validation[[#This Row],[Persona_ID]]</f>
        <v>48</v>
      </c>
      <c r="B49" s="31">
        <f>step3_validation[[#This Row],[Used_Seed]]</f>
        <v>12392</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34.345379820134994</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6</v>
      </c>
      <c r="R49" t="str">
        <f t="shared" si="0"/>
        <v>Neutral</v>
      </c>
      <c r="S49">
        <f>survey_responses[[#This Row],[Tôi tin rằng với các quy định quản lý thuế hiện nay, hành vi gian lận hoặc trốn thuế sẽ dễ dàng bị phát hiện và xử lý nghiêm. - HUMAN-ENF1]]</f>
        <v>10</v>
      </c>
      <c r="T49" t="str">
        <f t="shared" si="1"/>
        <v>Support</v>
      </c>
      <c r="U49" s="32">
        <f t="shared" si="2"/>
        <v>4</v>
      </c>
      <c r="V49">
        <f>step3_validation[[#This Row],[AI_ENF2]]</f>
        <v>6</v>
      </c>
      <c r="W49" t="str">
        <f t="shared" si="3"/>
        <v>Neutral</v>
      </c>
      <c r="X49">
        <f>survey_responses[[#This Row],[Tôi tin rằng Nhà nước, cơ quan thuế có đủ khả năng và công nghệ để phát hiện, xử lý nghiêm các hành vi trốn thuế. - HUMAN-ENF2]]</f>
        <v>10</v>
      </c>
      <c r="Y49" t="str">
        <f t="shared" si="4"/>
        <v>Support</v>
      </c>
      <c r="Z49" s="32">
        <f t="shared" si="5"/>
        <v>4</v>
      </c>
      <c r="AA49">
        <f>step3_validation[[#This Row],[AI_FAC1]]</f>
        <v>8</v>
      </c>
      <c r="AB49" t="str">
        <f t="shared" si="6"/>
        <v>Support</v>
      </c>
      <c r="AC49">
        <f>survey_responses[[#This Row],[Các thủ tục khai báo thuế VÀ/HOẶC quy trình làm việc với cơ quan thuế đơn giản, tiện lợi, nhanh chóng hơn so với trước đây. - HUMAN-FAC1]]</f>
        <v>10</v>
      </c>
      <c r="AD49" t="str">
        <f t="shared" si="7"/>
        <v>Support</v>
      </c>
      <c r="AE49" s="32">
        <f t="shared" si="8"/>
        <v>2</v>
      </c>
      <c r="AF49">
        <f>step3_validation[[#This Row],[AI_FAC2]]</f>
        <v>9</v>
      </c>
      <c r="AG49" t="str">
        <f t="shared" si="9"/>
        <v>Support</v>
      </c>
      <c r="AH49">
        <f>survey_responses[[#This Row],[So với trước đây, tôi thấy cách tính thuế và các bậc thuế trong phương án mới đơn giản, dễ hiểu và dễ thực hiện hơn. - HUMAN-FAC2]]</f>
        <v>10</v>
      </c>
      <c r="AI49" t="str">
        <f t="shared" si="10"/>
        <v>Support</v>
      </c>
      <c r="AJ49" s="32">
        <f t="shared" si="11"/>
        <v>1</v>
      </c>
      <c r="AK49">
        <f>step3_validation[[#This Row],[AI_TRU1]]</f>
        <v>7</v>
      </c>
      <c r="AL49" t="str">
        <f t="shared" si="12"/>
        <v>Neutral</v>
      </c>
      <c r="AM49">
        <f>survey_responses[[#This Row],[Tôi tin rằng Nhà nước, cơ quan thuế sẽ thực thi chính sách mới một cách khách quan, công tâm và đối xử bình đẳng với mọi người nộp thuế.  - HUMAN-TRU1]]</f>
        <v>10</v>
      </c>
      <c r="AN49" t="str">
        <f t="shared" si="13"/>
        <v>Support</v>
      </c>
      <c r="AO49" s="32">
        <f t="shared" si="14"/>
        <v>3</v>
      </c>
      <c r="AP49">
        <f>step3_validation[[#This Row],[AI_TRU2]]</f>
        <v>6</v>
      </c>
      <c r="AQ49" t="str">
        <f t="shared" si="15"/>
        <v>Neutral</v>
      </c>
      <c r="AR49">
        <f>survey_responses[[#This Row],[Tôi thấy mức thuế tôi phải đóng theo phương án mới là công bằng (người thu nhập như tôi đóng mức này là hợp lý). - HUMAN-TRU2]]</f>
        <v>10</v>
      </c>
      <c r="AS49" t="str">
        <f t="shared" si="16"/>
        <v>Support</v>
      </c>
      <c r="AT49" s="32">
        <f t="shared" si="17"/>
        <v>4</v>
      </c>
      <c r="AU49">
        <f>step3_validation[[#This Row],[AI_TRU3]]</f>
        <v>5</v>
      </c>
      <c r="AV49" t="str">
        <f t="shared" si="18"/>
        <v>Neutral</v>
      </c>
      <c r="AW49">
        <f>survey_responses[[#This Row],[Tôi tin tưởng số tiền thuế tôi đóng sẽ được Nhà nước sử dụng hiệu quả để cải thiện dịch vụ công (y tế, đường xá...). - HUMAN-TRU3]]</f>
        <v>10</v>
      </c>
      <c r="AX49" t="str">
        <f t="shared" si="19"/>
        <v>Support</v>
      </c>
      <c r="AY49" s="32">
        <f t="shared" si="20"/>
        <v>5</v>
      </c>
      <c r="AZ49">
        <f>step3_validation[[#This Row],[AI_TRU4]]</f>
        <v>7</v>
      </c>
      <c r="BA49" t="str">
        <f t="shared" si="21"/>
        <v>Neutral</v>
      </c>
      <c r="BB49">
        <f>survey_responses[[#This Row],[Tôi thấy Nhà nước đã giải thích rõ ràng, minh bạch về lý do và mục tiêu của việc sửa đổi thuế lần này. - HUMAN-TRU4]]</f>
        <v>10</v>
      </c>
      <c r="BC49" t="str">
        <f t="shared" si="22"/>
        <v>Support</v>
      </c>
      <c r="BD49" s="32">
        <f t="shared" si="23"/>
        <v>3</v>
      </c>
      <c r="BE49">
        <f>step3_validation[[#This Row],[AI_OUT1]]</f>
        <v>8</v>
      </c>
      <c r="BF49" t="str">
        <f t="shared" si="24"/>
        <v>Support</v>
      </c>
      <c r="BG49">
        <f>survey_responses[[#This Row],[Sau khi xem xét các quyền lợi và nghĩa vụ, bạn có ủng hộ và tuân thủ chính sách mới hiện nay? - HUMAN-OUT1]]</f>
        <v>10</v>
      </c>
      <c r="BH49" t="str">
        <f t="shared" si="25"/>
        <v>Support</v>
      </c>
      <c r="BI49" s="32">
        <f t="shared" si="26"/>
        <v>2</v>
      </c>
    </row>
    <row r="50" spans="1:61" x14ac:dyDescent="0.45">
      <c r="A50" s="30">
        <f>step3_validation[[#This Row],[Persona_ID]]</f>
        <v>49</v>
      </c>
      <c r="B50" s="31">
        <f>step3_validation[[#This Row],[Used_Seed]]</f>
        <v>12393</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108.15945156406887</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9</v>
      </c>
      <c r="R50" t="str">
        <f t="shared" si="0"/>
        <v>Support</v>
      </c>
      <c r="S50">
        <f>survey_responses[[#This Row],[Tôi tin rằng với các quy định quản lý thuế hiện nay, hành vi gian lận hoặc trốn thuế sẽ dễ dàng bị phát hiện và xử lý nghiêm. - HUMAN-ENF1]]</f>
        <v>8</v>
      </c>
      <c r="T50" t="str">
        <f t="shared" si="1"/>
        <v>Support</v>
      </c>
      <c r="U50" s="32">
        <f t="shared" si="2"/>
        <v>1</v>
      </c>
      <c r="V50">
        <f>step3_validation[[#This Row],[AI_ENF2]]</f>
        <v>9</v>
      </c>
      <c r="W50" t="str">
        <f t="shared" si="3"/>
        <v>Support</v>
      </c>
      <c r="X50">
        <f>survey_responses[[#This Row],[Tôi tin rằng Nhà nước, cơ quan thuế có đủ khả năng và công nghệ để phát hiện, xử lý nghiêm các hành vi trốn thuế. - HUMAN-ENF2]]</f>
        <v>8</v>
      </c>
      <c r="Y50" t="str">
        <f t="shared" si="4"/>
        <v>Support</v>
      </c>
      <c r="Z50" s="32">
        <f t="shared" si="5"/>
        <v>1</v>
      </c>
      <c r="AA50">
        <f>step3_validation[[#This Row],[AI_FAC1]]</f>
        <v>8</v>
      </c>
      <c r="AB50" t="str">
        <f t="shared" si="6"/>
        <v>Support</v>
      </c>
      <c r="AC50">
        <f>survey_responses[[#This Row],[Các thủ tục khai báo thuế VÀ/HOẶC quy trình làm việc với cơ quan thuế đơn giản, tiện lợi, nhanh chóng hơn so với trước đây. - HUMAN-FAC1]]</f>
        <v>7</v>
      </c>
      <c r="AD50" t="str">
        <f t="shared" si="7"/>
        <v>Neutral</v>
      </c>
      <c r="AE50" s="32">
        <f t="shared" si="8"/>
        <v>1</v>
      </c>
      <c r="AF50">
        <f>step3_validation[[#This Row],[AI_FAC2]]</f>
        <v>9</v>
      </c>
      <c r="AG50" t="str">
        <f t="shared" si="9"/>
        <v>Support</v>
      </c>
      <c r="AH50">
        <f>survey_responses[[#This Row],[So với trước đây, tôi thấy cách tính thuế và các bậc thuế trong phương án mới đơn giản, dễ hiểu và dễ thực hiện hơn. - HUMAN-FAC2]]</f>
        <v>8</v>
      </c>
      <c r="AI50" t="str">
        <f t="shared" si="10"/>
        <v>Support</v>
      </c>
      <c r="AJ50" s="32">
        <f t="shared" si="11"/>
        <v>1</v>
      </c>
      <c r="AK50">
        <f>step3_validation[[#This Row],[AI_TRU1]]</f>
        <v>8</v>
      </c>
      <c r="AL50" t="str">
        <f t="shared" si="12"/>
        <v>Support</v>
      </c>
      <c r="AM50">
        <f>survey_responses[[#This Row],[Tôi tin rằng Nhà nước, cơ quan thuế sẽ thực thi chính sách mới một cách khách quan, công tâm và đối xử bình đẳng với mọi người nộp thuế.  - HUMAN-TRU1]]</f>
        <v>6</v>
      </c>
      <c r="AN50" t="str">
        <f t="shared" si="13"/>
        <v>Neutral</v>
      </c>
      <c r="AO50" s="32">
        <f t="shared" si="14"/>
        <v>2</v>
      </c>
      <c r="AP50">
        <f>step3_validation[[#This Row],[AI_TRU2]]</f>
        <v>9</v>
      </c>
      <c r="AQ50" t="str">
        <f t="shared" si="15"/>
        <v>Support</v>
      </c>
      <c r="AR50">
        <f>survey_responses[[#This Row],[Tôi thấy mức thuế tôi phải đóng theo phương án mới là công bằng (người thu nhập như tôi đóng mức này là hợp lý). - HUMAN-TRU2]]</f>
        <v>8</v>
      </c>
      <c r="AS50" t="str">
        <f t="shared" si="16"/>
        <v>Support</v>
      </c>
      <c r="AT50" s="32">
        <f t="shared" si="17"/>
        <v>1</v>
      </c>
      <c r="AU50">
        <f>step3_validation[[#This Row],[AI_TRU3]]</f>
        <v>8</v>
      </c>
      <c r="AV50" t="str">
        <f t="shared" si="18"/>
        <v>Support</v>
      </c>
      <c r="AW50">
        <f>survey_responses[[#This Row],[Tôi tin tưởng số tiền thuế tôi đóng sẽ được Nhà nước sử dụng hiệu quả để cải thiện dịch vụ công (y tế, đường xá...). - HUMAN-TRU3]]</f>
        <v>6</v>
      </c>
      <c r="AX50" t="str">
        <f t="shared" si="19"/>
        <v>Neutral</v>
      </c>
      <c r="AY50" s="32">
        <f t="shared" si="20"/>
        <v>2</v>
      </c>
      <c r="AZ50">
        <f>step3_validation[[#This Row],[AI_TRU4]]</f>
        <v>7</v>
      </c>
      <c r="BA50" t="str">
        <f t="shared" si="21"/>
        <v>Neutral</v>
      </c>
      <c r="BB50">
        <f>survey_responses[[#This Row],[Tôi thấy Nhà nước đã giải thích rõ ràng, minh bạch về lý do và mục tiêu của việc sửa đổi thuế lần này. - HUMAN-TRU4]]</f>
        <v>5</v>
      </c>
      <c r="BC50" t="str">
        <f t="shared" si="22"/>
        <v>Neutral</v>
      </c>
      <c r="BD50" s="32">
        <f t="shared" si="23"/>
        <v>2</v>
      </c>
      <c r="BE50">
        <f>step3_validation[[#This Row],[AI_OUT1]]</f>
        <v>9</v>
      </c>
      <c r="BF50" t="str">
        <f t="shared" si="24"/>
        <v>Support</v>
      </c>
      <c r="BG50">
        <f>survey_responses[[#This Row],[Sau khi xem xét các quyền lợi và nghĩa vụ, bạn có ủng hộ và tuân thủ chính sách mới hiện nay? - HUMAN-OUT1]]</f>
        <v>8</v>
      </c>
      <c r="BH50" t="str">
        <f t="shared" si="25"/>
        <v>Support</v>
      </c>
      <c r="BI50" s="32">
        <f t="shared" si="26"/>
        <v>1</v>
      </c>
    </row>
    <row r="51" spans="1:61" x14ac:dyDescent="0.45">
      <c r="A51" s="30">
        <f>step3_validation[[#This Row],[Persona_ID]]</f>
        <v>50</v>
      </c>
      <c r="B51" s="31">
        <f>step3_validation[[#This Row],[Used_Seed]]</f>
        <v>12394</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20.174158865869114</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t="str">
        <f t="shared" si="0"/>
        <v>Neutral</v>
      </c>
      <c r="S51">
        <f>survey_responses[[#This Row],[Tôi tin rằng với các quy định quản lý thuế hiện nay, hành vi gian lận hoặc trốn thuế sẽ dễ dàng bị phát hiện và xử lý nghiêm. - HUMAN-ENF1]]</f>
        <v>10</v>
      </c>
      <c r="T51" t="str">
        <f t="shared" si="1"/>
        <v>Support</v>
      </c>
      <c r="U51" s="32">
        <f t="shared" si="2"/>
        <v>3</v>
      </c>
      <c r="V51">
        <f>step3_validation[[#This Row],[AI_ENF2]]</f>
        <v>6</v>
      </c>
      <c r="W51" t="str">
        <f t="shared" si="3"/>
        <v>Neutral</v>
      </c>
      <c r="X51">
        <f>survey_responses[[#This Row],[Tôi tin rằng Nhà nước, cơ quan thuế có đủ khả năng và công nghệ để phát hiện, xử lý nghiêm các hành vi trốn thuế. - HUMAN-ENF2]]</f>
        <v>10</v>
      </c>
      <c r="Y51" t="str">
        <f t="shared" si="4"/>
        <v>Support</v>
      </c>
      <c r="Z51" s="32">
        <f t="shared" si="5"/>
        <v>4</v>
      </c>
      <c r="AA51">
        <f>step3_validation[[#This Row],[AI_FAC1]]</f>
        <v>9</v>
      </c>
      <c r="AB51" t="str">
        <f t="shared" si="6"/>
        <v>Support</v>
      </c>
      <c r="AC51">
        <f>survey_responses[[#This Row],[Các thủ tục khai báo thuế VÀ/HOẶC quy trình làm việc với cơ quan thuế đơn giản, tiện lợi, nhanh chóng hơn so với trước đây. - HUMAN-FAC1]]</f>
        <v>10</v>
      </c>
      <c r="AD51" t="str">
        <f t="shared" si="7"/>
        <v>Support</v>
      </c>
      <c r="AE51" s="32">
        <f t="shared" si="8"/>
        <v>1</v>
      </c>
      <c r="AF51">
        <f>step3_validation[[#This Row],[AI_FAC2]]</f>
        <v>8</v>
      </c>
      <c r="AG51" t="str">
        <f t="shared" si="9"/>
        <v>Support</v>
      </c>
      <c r="AH51">
        <f>survey_responses[[#This Row],[So với trước đây, tôi thấy cách tính thuế và các bậc thuế trong phương án mới đơn giản, dễ hiểu và dễ thực hiện hơn. - HUMAN-FAC2]]</f>
        <v>8</v>
      </c>
      <c r="AI51" t="str">
        <f t="shared" si="10"/>
        <v>Support</v>
      </c>
      <c r="AJ51" s="32">
        <f t="shared" si="11"/>
        <v>0</v>
      </c>
      <c r="AK51">
        <f>step3_validation[[#This Row],[AI_TRU1]]</f>
        <v>9</v>
      </c>
      <c r="AL51" t="str">
        <f t="shared" si="12"/>
        <v>Support</v>
      </c>
      <c r="AM51">
        <f>survey_responses[[#This Row],[Tôi tin rằng Nhà nước, cơ quan thuế sẽ thực thi chính sách mới một cách khách quan, công tâm và đối xử bình đẳng với mọi người nộp thuế.  - HUMAN-TRU1]]</f>
        <v>8</v>
      </c>
      <c r="AN51" t="str">
        <f t="shared" si="13"/>
        <v>Support</v>
      </c>
      <c r="AO51" s="32">
        <f t="shared" si="14"/>
        <v>1</v>
      </c>
      <c r="AP51">
        <f>step3_validation[[#This Row],[AI_TRU2]]</f>
        <v>8</v>
      </c>
      <c r="AQ51" t="str">
        <f t="shared" si="15"/>
        <v>Support</v>
      </c>
      <c r="AR51">
        <f>survey_responses[[#This Row],[Tôi thấy mức thuế tôi phải đóng theo phương án mới là công bằng (người thu nhập như tôi đóng mức này là hợp lý). - HUMAN-TRU2]]</f>
        <v>8</v>
      </c>
      <c r="AS51" t="str">
        <f t="shared" si="16"/>
        <v>Support</v>
      </c>
      <c r="AT51" s="32">
        <f t="shared" si="17"/>
        <v>0</v>
      </c>
      <c r="AU51">
        <f>step3_validation[[#This Row],[AI_TRU3]]</f>
        <v>7</v>
      </c>
      <c r="AV51" t="str">
        <f t="shared" si="18"/>
        <v>Neutral</v>
      </c>
      <c r="AW51">
        <f>survey_responses[[#This Row],[Tôi tin tưởng số tiền thuế tôi đóng sẽ được Nhà nước sử dụng hiệu quả để cải thiện dịch vụ công (y tế, đường xá...). - HUMAN-TRU3]]</f>
        <v>8</v>
      </c>
      <c r="AX51" t="str">
        <f t="shared" si="19"/>
        <v>Support</v>
      </c>
      <c r="AY51" s="32">
        <f t="shared" si="20"/>
        <v>1</v>
      </c>
      <c r="AZ51">
        <f>step3_validation[[#This Row],[AI_TRU4]]</f>
        <v>6</v>
      </c>
      <c r="BA51" t="str">
        <f t="shared" si="21"/>
        <v>Neutral</v>
      </c>
      <c r="BB51">
        <f>survey_responses[[#This Row],[Tôi thấy Nhà nước đã giải thích rõ ràng, minh bạch về lý do và mục tiêu của việc sửa đổi thuế lần này. - HUMAN-TRU4]]</f>
        <v>8</v>
      </c>
      <c r="BC51" t="str">
        <f t="shared" si="22"/>
        <v>Support</v>
      </c>
      <c r="BD51" s="32">
        <f t="shared" si="23"/>
        <v>2</v>
      </c>
      <c r="BE51">
        <f>step3_validation[[#This Row],[AI_OUT1]]</f>
        <v>8</v>
      </c>
      <c r="BF51" t="str">
        <f t="shared" si="24"/>
        <v>Support</v>
      </c>
      <c r="BG51">
        <f>survey_responses[[#This Row],[Sau khi xem xét các quyền lợi và nghĩa vụ, bạn có ủng hộ và tuân thủ chính sách mới hiện nay? - HUMAN-OUT1]]</f>
        <v>8</v>
      </c>
      <c r="BH51" t="str">
        <f t="shared" si="25"/>
        <v>Support</v>
      </c>
      <c r="BI51" s="32">
        <f t="shared" si="26"/>
        <v>0</v>
      </c>
    </row>
    <row r="52" spans="1:61" x14ac:dyDescent="0.45">
      <c r="A52" s="30">
        <f>step3_validation[[#This Row],[Persona_ID]]</f>
        <v>51</v>
      </c>
      <c r="B52" s="31">
        <f>step3_validation[[#This Row],[Used_Seed]]</f>
        <v>12395</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12.655826388712205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6</v>
      </c>
      <c r="R52" t="str">
        <f t="shared" si="0"/>
        <v>Neutral</v>
      </c>
      <c r="S52">
        <f>survey_responses[[#This Row],[Tôi tin rằng với các quy định quản lý thuế hiện nay, hành vi gian lận hoặc trốn thuế sẽ dễ dàng bị phát hiện và xử lý nghiêm. - HUMAN-ENF1]]</f>
        <v>10</v>
      </c>
      <c r="T52" t="str">
        <f t="shared" si="1"/>
        <v>Support</v>
      </c>
      <c r="U52" s="32">
        <f t="shared" si="2"/>
        <v>4</v>
      </c>
      <c r="V52">
        <f>step3_validation[[#This Row],[AI_ENF2]]</f>
        <v>7</v>
      </c>
      <c r="W52" t="str">
        <f t="shared" si="3"/>
        <v>Neutral</v>
      </c>
      <c r="X52">
        <f>survey_responses[[#This Row],[Tôi tin rằng Nhà nước, cơ quan thuế có đủ khả năng và công nghệ để phát hiện, xử lý nghiêm các hành vi trốn thuế. - HUMAN-ENF2]]</f>
        <v>10</v>
      </c>
      <c r="Y52" t="str">
        <f t="shared" si="4"/>
        <v>Support</v>
      </c>
      <c r="Z52" s="32">
        <f t="shared" si="5"/>
        <v>3</v>
      </c>
      <c r="AA52">
        <f>step3_validation[[#This Row],[AI_FAC1]]</f>
        <v>9</v>
      </c>
      <c r="AB52" t="str">
        <f t="shared" si="6"/>
        <v>Support</v>
      </c>
      <c r="AC52">
        <f>survey_responses[[#This Row],[Các thủ tục khai báo thuế VÀ/HOẶC quy trình làm việc với cơ quan thuế đơn giản, tiện lợi, nhanh chóng hơn so với trước đây. - HUMAN-FAC1]]</f>
        <v>10</v>
      </c>
      <c r="AD52" t="str">
        <f t="shared" si="7"/>
        <v>Support</v>
      </c>
      <c r="AE52" s="32">
        <f t="shared" si="8"/>
        <v>1</v>
      </c>
      <c r="AF52">
        <f>step3_validation[[#This Row],[AI_FAC2]]</f>
        <v>8</v>
      </c>
      <c r="AG52" t="str">
        <f t="shared" si="9"/>
        <v>Support</v>
      </c>
      <c r="AH52">
        <f>survey_responses[[#This Row],[So với trước đây, tôi thấy cách tính thuế và các bậc thuế trong phương án mới đơn giản, dễ hiểu và dễ thực hiện hơn. - HUMAN-FAC2]]</f>
        <v>10</v>
      </c>
      <c r="AI52" t="str">
        <f t="shared" si="10"/>
        <v>Support</v>
      </c>
      <c r="AJ52" s="32">
        <f t="shared" si="11"/>
        <v>2</v>
      </c>
      <c r="AK52">
        <f>step3_validation[[#This Row],[AI_TRU1]]</f>
        <v>9</v>
      </c>
      <c r="AL52" t="str">
        <f t="shared" si="12"/>
        <v>Support</v>
      </c>
      <c r="AM52">
        <f>survey_responses[[#This Row],[Tôi tin rằng Nhà nước, cơ quan thuế sẽ thực thi chính sách mới một cách khách quan, công tâm và đối xử bình đẳng với mọi người nộp thuế.  - HUMAN-TRU1]]</f>
        <v>10</v>
      </c>
      <c r="AN52" t="str">
        <f t="shared" si="13"/>
        <v>Support</v>
      </c>
      <c r="AO52" s="32">
        <f t="shared" si="14"/>
        <v>1</v>
      </c>
      <c r="AP52">
        <f>step3_validation[[#This Row],[AI_TRU2]]</f>
        <v>9</v>
      </c>
      <c r="AQ52" t="str">
        <f t="shared" si="15"/>
        <v>Support</v>
      </c>
      <c r="AR52">
        <f>survey_responses[[#This Row],[Tôi thấy mức thuế tôi phải đóng theo phương án mới là công bằng (người thu nhập như tôi đóng mức này là hợp lý). - HUMAN-TRU2]]</f>
        <v>10</v>
      </c>
      <c r="AS52" t="str">
        <f t="shared" si="16"/>
        <v>Support</v>
      </c>
      <c r="AT52" s="32">
        <f t="shared" si="17"/>
        <v>1</v>
      </c>
      <c r="AU52">
        <f>step3_validation[[#This Row],[AI_TRU3]]</f>
        <v>7</v>
      </c>
      <c r="AV52" t="str">
        <f t="shared" si="18"/>
        <v>Neutral</v>
      </c>
      <c r="AW52">
        <f>survey_responses[[#This Row],[Tôi tin tưởng số tiền thuế tôi đóng sẽ được Nhà nước sử dụng hiệu quả để cải thiện dịch vụ công (y tế, đường xá...). - HUMAN-TRU3]]</f>
        <v>10</v>
      </c>
      <c r="AX52" t="str">
        <f t="shared" si="19"/>
        <v>Support</v>
      </c>
      <c r="AY52" s="32">
        <f t="shared" si="20"/>
        <v>3</v>
      </c>
      <c r="AZ52">
        <f>step3_validation[[#This Row],[AI_TRU4]]</f>
        <v>8</v>
      </c>
      <c r="BA52" t="str">
        <f t="shared" si="21"/>
        <v>Support</v>
      </c>
      <c r="BB52">
        <f>survey_responses[[#This Row],[Tôi thấy Nhà nước đã giải thích rõ ràng, minh bạch về lý do và mục tiêu của việc sửa đổi thuế lần này. - HUMAN-TRU4]]</f>
        <v>10</v>
      </c>
      <c r="BC52" t="str">
        <f t="shared" si="22"/>
        <v>Support</v>
      </c>
      <c r="BD52" s="32">
        <f t="shared" si="23"/>
        <v>2</v>
      </c>
      <c r="BE52">
        <f>step3_validation[[#This Row],[AI_OUT1]]</f>
        <v>9</v>
      </c>
      <c r="BF52" t="str">
        <f t="shared" si="24"/>
        <v>Support</v>
      </c>
      <c r="BG52">
        <f>survey_responses[[#This Row],[Sau khi xem xét các quyền lợi và nghĩa vụ, bạn có ủng hộ và tuân thủ chính sách mới hiện nay? - HUMAN-OUT1]]</f>
        <v>10</v>
      </c>
      <c r="BH52" t="str">
        <f t="shared" si="25"/>
        <v>Support</v>
      </c>
      <c r="BI52" s="32">
        <f t="shared" si="26"/>
        <v>1</v>
      </c>
    </row>
    <row r="53" spans="1:61" x14ac:dyDescent="0.45">
      <c r="A53" s="30">
        <f>step3_validation[[#This Row],[Persona_ID]]</f>
        <v>52</v>
      </c>
      <c r="B53" s="31">
        <f>step3_validation[[#This Row],[Used_Seed]]</f>
        <v>12396</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18.604831155484682</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t="str">
        <f t="shared" si="0"/>
        <v>Neutral</v>
      </c>
      <c r="S53">
        <f>survey_responses[[#This Row],[Tôi tin rằng với các quy định quản lý thuế hiện nay, hành vi gian lận hoặc trốn thuế sẽ dễ dàng bị phát hiện và xử lý nghiêm. - HUMAN-ENF1]]</f>
        <v>10</v>
      </c>
      <c r="T53" t="str">
        <f t="shared" si="1"/>
        <v>Support</v>
      </c>
      <c r="U53" s="32">
        <f t="shared" si="2"/>
        <v>3</v>
      </c>
      <c r="V53">
        <f>step3_validation[[#This Row],[AI_ENF2]]</f>
        <v>8</v>
      </c>
      <c r="W53" t="str">
        <f t="shared" si="3"/>
        <v>Support</v>
      </c>
      <c r="X53">
        <f>survey_responses[[#This Row],[Tôi tin rằng Nhà nước, cơ quan thuế có đủ khả năng và công nghệ để phát hiện, xử lý nghiêm các hành vi trốn thuế. - HUMAN-ENF2]]</f>
        <v>10</v>
      </c>
      <c r="Y53" t="str">
        <f t="shared" si="4"/>
        <v>Support</v>
      </c>
      <c r="Z53" s="32">
        <f t="shared" si="5"/>
        <v>2</v>
      </c>
      <c r="AA53">
        <f>step3_validation[[#This Row],[AI_FAC1]]</f>
        <v>9</v>
      </c>
      <c r="AB53" t="str">
        <f t="shared" si="6"/>
        <v>Support</v>
      </c>
      <c r="AC53">
        <f>survey_responses[[#This Row],[Các thủ tục khai báo thuế VÀ/HOẶC quy trình làm việc với cơ quan thuế đơn giản, tiện lợi, nhanh chóng hơn so với trước đây. - HUMAN-FAC1]]</f>
        <v>10</v>
      </c>
      <c r="AD53" t="str">
        <f t="shared" si="7"/>
        <v>Support</v>
      </c>
      <c r="AE53" s="32">
        <f t="shared" si="8"/>
        <v>1</v>
      </c>
      <c r="AF53">
        <f>step3_validation[[#This Row],[AI_FAC2]]</f>
        <v>8</v>
      </c>
      <c r="AG53" t="str">
        <f t="shared" si="9"/>
        <v>Support</v>
      </c>
      <c r="AH53">
        <f>survey_responses[[#This Row],[So với trước đây, tôi thấy cách tính thuế và các bậc thuế trong phương án mới đơn giản, dễ hiểu và dễ thực hiện hơn. - HUMAN-FAC2]]</f>
        <v>10</v>
      </c>
      <c r="AI53" t="str">
        <f t="shared" si="10"/>
        <v>Support</v>
      </c>
      <c r="AJ53" s="32">
        <f t="shared" si="11"/>
        <v>2</v>
      </c>
      <c r="AK53">
        <f>step3_validation[[#This Row],[AI_TRU1]]</f>
        <v>9</v>
      </c>
      <c r="AL53" t="str">
        <f t="shared" si="12"/>
        <v>Support</v>
      </c>
      <c r="AM53">
        <f>survey_responses[[#This Row],[Tôi tin rằng Nhà nước, cơ quan thuế sẽ thực thi chính sách mới một cách khách quan, công tâm và đối xử bình đẳng với mọi người nộp thuế.  - HUMAN-TRU1]]</f>
        <v>10</v>
      </c>
      <c r="AN53" t="str">
        <f t="shared" si="13"/>
        <v>Support</v>
      </c>
      <c r="AO53" s="32">
        <f t="shared" si="14"/>
        <v>1</v>
      </c>
      <c r="AP53">
        <f>step3_validation[[#This Row],[AI_TRU2]]</f>
        <v>8</v>
      </c>
      <c r="AQ53" t="str">
        <f t="shared" si="15"/>
        <v>Support</v>
      </c>
      <c r="AR53">
        <f>survey_responses[[#This Row],[Tôi thấy mức thuế tôi phải đóng theo phương án mới là công bằng (người thu nhập như tôi đóng mức này là hợp lý). - HUMAN-TRU2]]</f>
        <v>10</v>
      </c>
      <c r="AS53" t="str">
        <f t="shared" si="16"/>
        <v>Support</v>
      </c>
      <c r="AT53" s="32">
        <f t="shared" si="17"/>
        <v>2</v>
      </c>
      <c r="AU53">
        <f>step3_validation[[#This Row],[AI_TRU3]]</f>
        <v>9</v>
      </c>
      <c r="AV53" t="str">
        <f t="shared" si="18"/>
        <v>Support</v>
      </c>
      <c r="AW53">
        <f>survey_responses[[#This Row],[Tôi tin tưởng số tiền thuế tôi đóng sẽ được Nhà nước sử dụng hiệu quả để cải thiện dịch vụ công (y tế, đường xá...). - HUMAN-TRU3]]</f>
        <v>10</v>
      </c>
      <c r="AX53" t="str">
        <f t="shared" si="19"/>
        <v>Support</v>
      </c>
      <c r="AY53" s="32">
        <f t="shared" si="20"/>
        <v>1</v>
      </c>
      <c r="AZ53">
        <f>step3_validation[[#This Row],[AI_TRU4]]</f>
        <v>8</v>
      </c>
      <c r="BA53" t="str">
        <f t="shared" si="21"/>
        <v>Support</v>
      </c>
      <c r="BB53">
        <f>survey_responses[[#This Row],[Tôi thấy Nhà nước đã giải thích rõ ràng, minh bạch về lý do và mục tiêu của việc sửa đổi thuế lần này. - HUMAN-TRU4]]</f>
        <v>10</v>
      </c>
      <c r="BC53" t="str">
        <f t="shared" si="22"/>
        <v>Support</v>
      </c>
      <c r="BD53" s="32">
        <f t="shared" si="23"/>
        <v>2</v>
      </c>
      <c r="BE53">
        <f>step3_validation[[#This Row],[AI_OUT1]]</f>
        <v>9</v>
      </c>
      <c r="BF53" t="str">
        <f t="shared" si="24"/>
        <v>Support</v>
      </c>
      <c r="BG53">
        <f>survey_responses[[#This Row],[Sau khi xem xét các quyền lợi và nghĩa vụ, bạn có ủng hộ và tuân thủ chính sách mới hiện nay? - HUMAN-OUT1]]</f>
        <v>8</v>
      </c>
      <c r="BH53" t="str">
        <f t="shared" si="25"/>
        <v>Support</v>
      </c>
      <c r="BI53" s="32">
        <f t="shared" si="26"/>
        <v>1</v>
      </c>
    </row>
    <row r="54" spans="1:61" x14ac:dyDescent="0.45">
      <c r="A54" s="30">
        <f>step3_validation[[#This Row],[Persona_ID]]</f>
        <v>53</v>
      </c>
      <c r="B54" s="31">
        <f>step3_validation[[#This Row],[Used_Seed]]</f>
        <v>12397</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14.9461250365175</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6</v>
      </c>
      <c r="R54" t="str">
        <f t="shared" si="0"/>
        <v>Neutral</v>
      </c>
      <c r="S54">
        <f>survey_responses[[#This Row],[Tôi tin rằng với các quy định quản lý thuế hiện nay, hành vi gian lận hoặc trốn thuế sẽ dễ dàng bị phát hiện và xử lý nghiêm. - HUMAN-ENF1]]</f>
        <v>10</v>
      </c>
      <c r="T54" t="str">
        <f t="shared" si="1"/>
        <v>Support</v>
      </c>
      <c r="U54" s="32">
        <f t="shared" si="2"/>
        <v>4</v>
      </c>
      <c r="V54">
        <f>step3_validation[[#This Row],[AI_ENF2]]</f>
        <v>6</v>
      </c>
      <c r="W54" t="str">
        <f t="shared" si="3"/>
        <v>Neutral</v>
      </c>
      <c r="X54">
        <f>survey_responses[[#This Row],[Tôi tin rằng Nhà nước, cơ quan thuế có đủ khả năng và công nghệ để phát hiện, xử lý nghiêm các hành vi trốn thuế. - HUMAN-ENF2]]</f>
        <v>10</v>
      </c>
      <c r="Y54" t="str">
        <f t="shared" si="4"/>
        <v>Support</v>
      </c>
      <c r="Z54" s="32">
        <f t="shared" si="5"/>
        <v>4</v>
      </c>
      <c r="AA54">
        <f>step3_validation[[#This Row],[AI_FAC1]]</f>
        <v>7</v>
      </c>
      <c r="AB54" t="str">
        <f t="shared" si="6"/>
        <v>Neutral</v>
      </c>
      <c r="AC54">
        <f>survey_responses[[#This Row],[Các thủ tục khai báo thuế VÀ/HOẶC quy trình làm việc với cơ quan thuế đơn giản, tiện lợi, nhanh chóng hơn so với trước đây. - HUMAN-FAC1]]</f>
        <v>10</v>
      </c>
      <c r="AD54" t="str">
        <f t="shared" si="7"/>
        <v>Support</v>
      </c>
      <c r="AE54" s="32">
        <f t="shared" si="8"/>
        <v>3</v>
      </c>
      <c r="AF54">
        <f>step3_validation[[#This Row],[AI_FAC2]]</f>
        <v>8</v>
      </c>
      <c r="AG54" t="str">
        <f t="shared" si="9"/>
        <v>Support</v>
      </c>
      <c r="AH54">
        <f>survey_responses[[#This Row],[So với trước đây, tôi thấy cách tính thuế và các bậc thuế trong phương án mới đơn giản, dễ hiểu và dễ thực hiện hơn. - HUMAN-FAC2]]</f>
        <v>10</v>
      </c>
      <c r="AI54" t="str">
        <f t="shared" si="10"/>
        <v>Support</v>
      </c>
      <c r="AJ54" s="32">
        <f t="shared" si="11"/>
        <v>2</v>
      </c>
      <c r="AK54">
        <f>step3_validation[[#This Row],[AI_TRU1]]</f>
        <v>9</v>
      </c>
      <c r="AL54" t="str">
        <f t="shared" si="12"/>
        <v>Support</v>
      </c>
      <c r="AM54">
        <f>survey_responses[[#This Row],[Tôi tin rằng Nhà nước, cơ quan thuế sẽ thực thi chính sách mới một cách khách quan, công tâm và đối xử bình đẳng với mọi người nộp thuế.  - HUMAN-TRU1]]</f>
        <v>10</v>
      </c>
      <c r="AN54" t="str">
        <f t="shared" si="13"/>
        <v>Support</v>
      </c>
      <c r="AO54" s="32">
        <f t="shared" si="14"/>
        <v>1</v>
      </c>
      <c r="AP54">
        <f>step3_validation[[#This Row],[AI_TRU2]]</f>
        <v>8</v>
      </c>
      <c r="AQ54" t="str">
        <f t="shared" si="15"/>
        <v>Support</v>
      </c>
      <c r="AR54">
        <f>survey_responses[[#This Row],[Tôi thấy mức thuế tôi phải đóng theo phương án mới là công bằng (người thu nhập như tôi đóng mức này là hợp lý). - HUMAN-TRU2]]</f>
        <v>10</v>
      </c>
      <c r="AS54" t="str">
        <f t="shared" si="16"/>
        <v>Support</v>
      </c>
      <c r="AT54" s="32">
        <f t="shared" si="17"/>
        <v>2</v>
      </c>
      <c r="AU54">
        <f>step3_validation[[#This Row],[AI_TRU3]]</f>
        <v>8</v>
      </c>
      <c r="AV54" t="str">
        <f t="shared" si="18"/>
        <v>Support</v>
      </c>
      <c r="AW54">
        <f>survey_responses[[#This Row],[Tôi tin tưởng số tiền thuế tôi đóng sẽ được Nhà nước sử dụng hiệu quả để cải thiện dịch vụ công (y tế, đường xá...). - HUMAN-TRU3]]</f>
        <v>10</v>
      </c>
      <c r="AX54" t="str">
        <f t="shared" si="19"/>
        <v>Support</v>
      </c>
      <c r="AY54" s="32">
        <f t="shared" si="20"/>
        <v>2</v>
      </c>
      <c r="AZ54">
        <f>step3_validation[[#This Row],[AI_TRU4]]</f>
        <v>9</v>
      </c>
      <c r="BA54" t="str">
        <f t="shared" si="21"/>
        <v>Support</v>
      </c>
      <c r="BB54">
        <f>survey_responses[[#This Row],[Tôi thấy Nhà nước đã giải thích rõ ràng, minh bạch về lý do và mục tiêu của việc sửa đổi thuế lần này. - HUMAN-TRU4]]</f>
        <v>10</v>
      </c>
      <c r="BC54" t="str">
        <f t="shared" si="22"/>
        <v>Support</v>
      </c>
      <c r="BD54" s="32">
        <f t="shared" si="23"/>
        <v>1</v>
      </c>
      <c r="BE54">
        <f>step3_validation[[#This Row],[AI_OUT1]]</f>
        <v>8</v>
      </c>
      <c r="BF54" t="str">
        <f t="shared" si="24"/>
        <v>Support</v>
      </c>
      <c r="BG54">
        <f>survey_responses[[#This Row],[Sau khi xem xét các quyền lợi và nghĩa vụ, bạn có ủng hộ và tuân thủ chính sách mới hiện nay? - HUMAN-OUT1]]</f>
        <v>10</v>
      </c>
      <c r="BH54" t="str">
        <f t="shared" si="25"/>
        <v>Support</v>
      </c>
      <c r="BI54" s="32">
        <f t="shared" si="26"/>
        <v>2</v>
      </c>
    </row>
    <row r="55" spans="1:61" x14ac:dyDescent="0.45">
      <c r="A55" s="30">
        <f>step3_validation[[#This Row],[Persona_ID]]</f>
        <v>54</v>
      </c>
      <c r="B55" s="31">
        <f>step3_validation[[#This Row],[Used_Seed]]</f>
        <v>12398</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36.294419909457389</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6</v>
      </c>
      <c r="R55" t="str">
        <f t="shared" si="0"/>
        <v>Neutral</v>
      </c>
      <c r="S55">
        <f>survey_responses[[#This Row],[Tôi tin rằng với các quy định quản lý thuế hiện nay, hành vi gian lận hoặc trốn thuế sẽ dễ dàng bị phát hiện và xử lý nghiêm. - HUMAN-ENF1]]</f>
        <v>8</v>
      </c>
      <c r="T55" t="str">
        <f t="shared" si="1"/>
        <v>Support</v>
      </c>
      <c r="U55" s="32">
        <f t="shared" si="2"/>
        <v>2</v>
      </c>
      <c r="V55">
        <f>step3_validation[[#This Row],[AI_ENF2]]</f>
        <v>7</v>
      </c>
      <c r="W55" t="str">
        <f t="shared" si="3"/>
        <v>Neutral</v>
      </c>
      <c r="X55">
        <f>survey_responses[[#This Row],[Tôi tin rằng Nhà nước, cơ quan thuế có đủ khả năng và công nghệ để phát hiện, xử lý nghiêm các hành vi trốn thuế. - HUMAN-ENF2]]</f>
        <v>7</v>
      </c>
      <c r="Y55" t="str">
        <f t="shared" si="4"/>
        <v>Neutral</v>
      </c>
      <c r="Z55" s="32">
        <f t="shared" si="5"/>
        <v>0</v>
      </c>
      <c r="AA55">
        <f>step3_validation[[#This Row],[AI_FAC1]]</f>
        <v>8</v>
      </c>
      <c r="AB55" t="str">
        <f t="shared" si="6"/>
        <v>Support</v>
      </c>
      <c r="AC55">
        <f>survey_responses[[#This Row],[Các thủ tục khai báo thuế VÀ/HOẶC quy trình làm việc với cơ quan thuế đơn giản, tiện lợi, nhanh chóng hơn so với trước đây. - HUMAN-FAC1]]</f>
        <v>7</v>
      </c>
      <c r="AD55" t="str">
        <f t="shared" si="7"/>
        <v>Neutral</v>
      </c>
      <c r="AE55" s="32">
        <f t="shared" si="8"/>
        <v>1</v>
      </c>
      <c r="AF55">
        <f>step3_validation[[#This Row],[AI_FAC2]]</f>
        <v>9</v>
      </c>
      <c r="AG55" t="str">
        <f t="shared" si="9"/>
        <v>Support</v>
      </c>
      <c r="AH55">
        <f>survey_responses[[#This Row],[So với trước đây, tôi thấy cách tính thuế và các bậc thuế trong phương án mới đơn giản, dễ hiểu và dễ thực hiện hơn. - HUMAN-FAC2]]</f>
        <v>8</v>
      </c>
      <c r="AI55" t="str">
        <f t="shared" si="10"/>
        <v>Support</v>
      </c>
      <c r="AJ55" s="32">
        <f t="shared" si="11"/>
        <v>1</v>
      </c>
      <c r="AK55">
        <f>step3_validation[[#This Row],[AI_TRU1]]</f>
        <v>8</v>
      </c>
      <c r="AL55" t="str">
        <f t="shared" si="12"/>
        <v>Support</v>
      </c>
      <c r="AM55">
        <f>survey_responses[[#This Row],[Tôi tin rằng Nhà nước, cơ quan thuế sẽ thực thi chính sách mới một cách khách quan, công tâm và đối xử bình đẳng với mọi người nộp thuế.  - HUMAN-TRU1]]</f>
        <v>7</v>
      </c>
      <c r="AN55" t="str">
        <f t="shared" si="13"/>
        <v>Neutral</v>
      </c>
      <c r="AO55" s="32">
        <f t="shared" si="14"/>
        <v>1</v>
      </c>
      <c r="AP55">
        <f>step3_validation[[#This Row],[AI_TRU2]]</f>
        <v>9</v>
      </c>
      <c r="AQ55" t="str">
        <f t="shared" si="15"/>
        <v>Support</v>
      </c>
      <c r="AR55">
        <f>survey_responses[[#This Row],[Tôi thấy mức thuế tôi phải đóng theo phương án mới là công bằng (người thu nhập như tôi đóng mức này là hợp lý). - HUMAN-TRU2]]</f>
        <v>8</v>
      </c>
      <c r="AS55" t="str">
        <f t="shared" si="16"/>
        <v>Support</v>
      </c>
      <c r="AT55" s="32">
        <f t="shared" si="17"/>
        <v>1</v>
      </c>
      <c r="AU55">
        <f>step3_validation[[#This Row],[AI_TRU3]]</f>
        <v>7</v>
      </c>
      <c r="AV55" t="str">
        <f t="shared" si="18"/>
        <v>Neutral</v>
      </c>
      <c r="AW55">
        <f>survey_responses[[#This Row],[Tôi tin tưởng số tiền thuế tôi đóng sẽ được Nhà nước sử dụng hiệu quả để cải thiện dịch vụ công (y tế, đường xá...). - HUMAN-TRU3]]</f>
        <v>7</v>
      </c>
      <c r="AX55" t="str">
        <f t="shared" si="19"/>
        <v>Neutral</v>
      </c>
      <c r="AY55" s="32">
        <f t="shared" si="20"/>
        <v>0</v>
      </c>
      <c r="AZ55">
        <f>step3_validation[[#This Row],[AI_TRU4]]</f>
        <v>8</v>
      </c>
      <c r="BA55" t="str">
        <f t="shared" si="21"/>
        <v>Support</v>
      </c>
      <c r="BB55">
        <f>survey_responses[[#This Row],[Tôi thấy Nhà nước đã giải thích rõ ràng, minh bạch về lý do và mục tiêu của việc sửa đổi thuế lần này. - HUMAN-TRU4]]</f>
        <v>7</v>
      </c>
      <c r="BC55" t="str">
        <f t="shared" si="22"/>
        <v>Neutral</v>
      </c>
      <c r="BD55" s="32">
        <f t="shared" si="23"/>
        <v>1</v>
      </c>
      <c r="BE55">
        <f>step3_validation[[#This Row],[AI_OUT1]]</f>
        <v>9</v>
      </c>
      <c r="BF55" t="str">
        <f t="shared" si="24"/>
        <v>Support</v>
      </c>
      <c r="BG55">
        <f>survey_responses[[#This Row],[Sau khi xem xét các quyền lợi và nghĩa vụ, bạn có ủng hộ và tuân thủ chính sách mới hiện nay? - HUMAN-OUT1]]</f>
        <v>8</v>
      </c>
      <c r="BH55" t="str">
        <f t="shared" si="25"/>
        <v>Support</v>
      </c>
      <c r="BI55" s="32">
        <f t="shared" si="26"/>
        <v>1</v>
      </c>
    </row>
    <row r="56" spans="1:61" x14ac:dyDescent="0.45">
      <c r="A56" s="30">
        <f>step3_validation[[#This Row],[Persona_ID]]</f>
        <v>55</v>
      </c>
      <c r="B56" s="31">
        <f>step3_validation[[#This Row],[Used_Seed]]</f>
        <v>12399</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43.726389203210836</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7</v>
      </c>
      <c r="R56" t="str">
        <f t="shared" si="0"/>
        <v>Neutral</v>
      </c>
      <c r="S56">
        <f>survey_responses[[#This Row],[Tôi tin rằng với các quy định quản lý thuế hiện nay, hành vi gian lận hoặc trốn thuế sẽ dễ dàng bị phát hiện và xử lý nghiêm. - HUMAN-ENF1]]</f>
        <v>10</v>
      </c>
      <c r="T56" t="str">
        <f t="shared" si="1"/>
        <v>Support</v>
      </c>
      <c r="U56" s="32">
        <f t="shared" si="2"/>
        <v>3</v>
      </c>
      <c r="V56">
        <f>step3_validation[[#This Row],[AI_ENF2]]</f>
        <v>6</v>
      </c>
      <c r="W56" t="str">
        <f t="shared" si="3"/>
        <v>Neutral</v>
      </c>
      <c r="X56">
        <f>survey_responses[[#This Row],[Tôi tin rằng Nhà nước, cơ quan thuế có đủ khả năng và công nghệ để phát hiện, xử lý nghiêm các hành vi trốn thuế. - HUMAN-ENF2]]</f>
        <v>9</v>
      </c>
      <c r="Y56" t="str">
        <f t="shared" si="4"/>
        <v>Support</v>
      </c>
      <c r="Z56" s="32">
        <f t="shared" si="5"/>
        <v>3</v>
      </c>
      <c r="AA56">
        <f>step3_validation[[#This Row],[AI_FAC1]]</f>
        <v>9</v>
      </c>
      <c r="AB56" t="str">
        <f t="shared" si="6"/>
        <v>Support</v>
      </c>
      <c r="AC56">
        <f>survey_responses[[#This Row],[Các thủ tục khai báo thuế VÀ/HOẶC quy trình làm việc với cơ quan thuế đơn giản, tiện lợi, nhanh chóng hơn so với trước đây. - HUMAN-FAC1]]</f>
        <v>3</v>
      </c>
      <c r="AD56" t="str">
        <f t="shared" si="7"/>
        <v>Oppose</v>
      </c>
      <c r="AE56" s="32">
        <f t="shared" si="8"/>
        <v>6</v>
      </c>
      <c r="AF56">
        <f>step3_validation[[#This Row],[AI_FAC2]]</f>
        <v>8</v>
      </c>
      <c r="AG56" t="str">
        <f t="shared" si="9"/>
        <v>Support</v>
      </c>
      <c r="AH56">
        <f>survey_responses[[#This Row],[So với trước đây, tôi thấy cách tính thuế và các bậc thuế trong phương án mới đơn giản, dễ hiểu và dễ thực hiện hơn. - HUMAN-FAC2]]</f>
        <v>4</v>
      </c>
      <c r="AI56" t="str">
        <f t="shared" si="10"/>
        <v>Oppose</v>
      </c>
      <c r="AJ56" s="32">
        <f t="shared" si="11"/>
        <v>4</v>
      </c>
      <c r="AK56">
        <f>step3_validation[[#This Row],[AI_TRU1]]</f>
        <v>7</v>
      </c>
      <c r="AL56" t="str">
        <f t="shared" si="12"/>
        <v>Neutral</v>
      </c>
      <c r="AM56">
        <f>survey_responses[[#This Row],[Tôi tin rằng Nhà nước, cơ quan thuế sẽ thực thi chính sách mới một cách khách quan, công tâm và đối xử bình đẳng với mọi người nộp thuế.  - HUMAN-TRU1]]</f>
        <v>3</v>
      </c>
      <c r="AN56" t="str">
        <f t="shared" si="13"/>
        <v>Oppose</v>
      </c>
      <c r="AO56" s="32">
        <f t="shared" si="14"/>
        <v>4</v>
      </c>
      <c r="AP56">
        <f>step3_validation[[#This Row],[AI_TRU2]]</f>
        <v>8</v>
      </c>
      <c r="AQ56" t="str">
        <f t="shared" si="15"/>
        <v>Support</v>
      </c>
      <c r="AR56">
        <f>survey_responses[[#This Row],[Tôi thấy mức thuế tôi phải đóng theo phương án mới là công bằng (người thu nhập như tôi đóng mức này là hợp lý). - HUMAN-TRU2]]</f>
        <v>3</v>
      </c>
      <c r="AS56" t="str">
        <f t="shared" si="16"/>
        <v>Oppose</v>
      </c>
      <c r="AT56" s="32">
        <f t="shared" si="17"/>
        <v>5</v>
      </c>
      <c r="AU56">
        <f>step3_validation[[#This Row],[AI_TRU3]]</f>
        <v>7</v>
      </c>
      <c r="AV56" t="str">
        <f t="shared" si="18"/>
        <v>Neutral</v>
      </c>
      <c r="AW56">
        <f>survey_responses[[#This Row],[Tôi tin tưởng số tiền thuế tôi đóng sẽ được Nhà nước sử dụng hiệu quả để cải thiện dịch vụ công (y tế, đường xá...). - HUMAN-TRU3]]</f>
        <v>1</v>
      </c>
      <c r="AX56" t="str">
        <f t="shared" si="19"/>
        <v>Oppose</v>
      </c>
      <c r="AY56" s="32">
        <f t="shared" si="20"/>
        <v>6</v>
      </c>
      <c r="AZ56">
        <f>step3_validation[[#This Row],[AI_TRU4]]</f>
        <v>6</v>
      </c>
      <c r="BA56" t="str">
        <f t="shared" si="21"/>
        <v>Neutral</v>
      </c>
      <c r="BB56">
        <f>survey_responses[[#This Row],[Tôi thấy Nhà nước đã giải thích rõ ràng, minh bạch về lý do và mục tiêu của việc sửa đổi thuế lần này. - HUMAN-TRU4]]</f>
        <v>1</v>
      </c>
      <c r="BC56" t="str">
        <f t="shared" si="22"/>
        <v>Oppose</v>
      </c>
      <c r="BD56" s="32">
        <f t="shared" si="23"/>
        <v>5</v>
      </c>
      <c r="BE56">
        <f>step3_validation[[#This Row],[AI_OUT1]]</f>
        <v>8</v>
      </c>
      <c r="BF56" t="str">
        <f t="shared" si="24"/>
        <v>Support</v>
      </c>
      <c r="BG56">
        <f>survey_responses[[#This Row],[Sau khi xem xét các quyền lợi và nghĩa vụ, bạn có ủng hộ và tuân thủ chính sách mới hiện nay? - HUMAN-OUT1]]</f>
        <v>3</v>
      </c>
      <c r="BH56" t="str">
        <f t="shared" si="25"/>
        <v>Oppose</v>
      </c>
      <c r="BI56" s="32">
        <f t="shared" si="26"/>
        <v>5</v>
      </c>
    </row>
    <row r="57" spans="1:61" x14ac:dyDescent="0.45">
      <c r="A57" s="30">
        <f>step3_validation[[#This Row],[Persona_ID]]</f>
        <v>56</v>
      </c>
      <c r="B57" s="31">
        <f>step3_validation[[#This Row],[Used_Seed]]</f>
        <v>12400</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t="str">
        <f t="shared" si="0"/>
        <v>Neutral</v>
      </c>
      <c r="S57">
        <f>survey_responses[[#This Row],[Tôi tin rằng với các quy định quản lý thuế hiện nay, hành vi gian lận hoặc trốn thuế sẽ dễ dàng bị phát hiện và xử lý nghiêm. - HUMAN-ENF1]]</f>
        <v>10</v>
      </c>
      <c r="T57" t="str">
        <f t="shared" si="1"/>
        <v>Support</v>
      </c>
      <c r="U57" s="32">
        <f t="shared" si="2"/>
        <v>3</v>
      </c>
      <c r="V57">
        <f>step3_validation[[#This Row],[AI_ENF2]]</f>
        <v>6</v>
      </c>
      <c r="W57" t="str">
        <f t="shared" si="3"/>
        <v>Neutral</v>
      </c>
      <c r="X57">
        <f>survey_responses[[#This Row],[Tôi tin rằng Nhà nước, cơ quan thuế có đủ khả năng và công nghệ để phát hiện, xử lý nghiêm các hành vi trốn thuế. - HUMAN-ENF2]]</f>
        <v>10</v>
      </c>
      <c r="Y57" t="str">
        <f t="shared" si="4"/>
        <v>Support</v>
      </c>
      <c r="Z57" s="32">
        <f t="shared" si="5"/>
        <v>4</v>
      </c>
      <c r="AA57">
        <f>step3_validation[[#This Row],[AI_FAC1]]</f>
        <v>9</v>
      </c>
      <c r="AB57" t="str">
        <f t="shared" si="6"/>
        <v>Support</v>
      </c>
      <c r="AC57">
        <f>survey_responses[[#This Row],[Các thủ tục khai báo thuế VÀ/HOẶC quy trình làm việc với cơ quan thuế đơn giản, tiện lợi, nhanh chóng hơn so với trước đây. - HUMAN-FAC1]]</f>
        <v>9</v>
      </c>
      <c r="AD57" t="str">
        <f t="shared" si="7"/>
        <v>Support</v>
      </c>
      <c r="AE57" s="32">
        <f t="shared" si="8"/>
        <v>0</v>
      </c>
      <c r="AF57">
        <f>step3_validation[[#This Row],[AI_FAC2]]</f>
        <v>8</v>
      </c>
      <c r="AG57" t="str">
        <f t="shared" si="9"/>
        <v>Support</v>
      </c>
      <c r="AH57">
        <f>survey_responses[[#This Row],[So với trước đây, tôi thấy cách tính thuế và các bậc thuế trong phương án mới đơn giản, dễ hiểu và dễ thực hiện hơn. - HUMAN-FAC2]]</f>
        <v>10</v>
      </c>
      <c r="AI57" t="str">
        <f t="shared" si="10"/>
        <v>Support</v>
      </c>
      <c r="AJ57" s="32">
        <f t="shared" si="11"/>
        <v>2</v>
      </c>
      <c r="AK57">
        <f>step3_validation[[#This Row],[AI_TRU1]]</f>
        <v>9</v>
      </c>
      <c r="AL57" t="str">
        <f t="shared" si="12"/>
        <v>Support</v>
      </c>
      <c r="AM57">
        <f>survey_responses[[#This Row],[Tôi tin rằng Nhà nước, cơ quan thuế sẽ thực thi chính sách mới một cách khách quan, công tâm và đối xử bình đẳng với mọi người nộp thuế.  - HUMAN-TRU1]]</f>
        <v>9</v>
      </c>
      <c r="AN57" t="str">
        <f t="shared" si="13"/>
        <v>Support</v>
      </c>
      <c r="AO57" s="32">
        <f t="shared" si="14"/>
        <v>0</v>
      </c>
      <c r="AP57">
        <f>step3_validation[[#This Row],[AI_TRU2]]</f>
        <v>8</v>
      </c>
      <c r="AQ57" t="str">
        <f t="shared" si="15"/>
        <v>Support</v>
      </c>
      <c r="AR57">
        <f>survey_responses[[#This Row],[Tôi thấy mức thuế tôi phải đóng theo phương án mới là công bằng (người thu nhập như tôi đóng mức này là hợp lý). - HUMAN-TRU2]]</f>
        <v>10</v>
      </c>
      <c r="AS57" t="str">
        <f t="shared" si="16"/>
        <v>Support</v>
      </c>
      <c r="AT57" s="32">
        <f t="shared" si="17"/>
        <v>2</v>
      </c>
      <c r="AU57">
        <f>step3_validation[[#This Row],[AI_TRU3]]</f>
        <v>9</v>
      </c>
      <c r="AV57" t="str">
        <f t="shared" si="18"/>
        <v>Support</v>
      </c>
      <c r="AW57">
        <f>survey_responses[[#This Row],[Tôi tin tưởng số tiền thuế tôi đóng sẽ được Nhà nước sử dụng hiệu quả để cải thiện dịch vụ công (y tế, đường xá...). - HUMAN-TRU3]]</f>
        <v>9</v>
      </c>
      <c r="AX57" t="str">
        <f t="shared" si="19"/>
        <v>Support</v>
      </c>
      <c r="AY57" s="32">
        <f t="shared" si="20"/>
        <v>0</v>
      </c>
      <c r="AZ57">
        <f>step3_validation[[#This Row],[AI_TRU4]]</f>
        <v>8</v>
      </c>
      <c r="BA57" t="str">
        <f t="shared" si="21"/>
        <v>Support</v>
      </c>
      <c r="BB57">
        <f>survey_responses[[#This Row],[Tôi thấy Nhà nước đã giải thích rõ ràng, minh bạch về lý do và mục tiêu của việc sửa đổi thuế lần này. - HUMAN-TRU4]]</f>
        <v>10</v>
      </c>
      <c r="BC57" t="str">
        <f t="shared" si="22"/>
        <v>Support</v>
      </c>
      <c r="BD57" s="32">
        <f t="shared" si="23"/>
        <v>2</v>
      </c>
      <c r="BE57">
        <f>step3_validation[[#This Row],[AI_OUT1]]</f>
        <v>9</v>
      </c>
      <c r="BF57" t="str">
        <f t="shared" si="24"/>
        <v>Support</v>
      </c>
      <c r="BG57">
        <f>survey_responses[[#This Row],[Sau khi xem xét các quyền lợi và nghĩa vụ, bạn có ủng hộ và tuân thủ chính sách mới hiện nay? - HUMAN-OUT1]]</f>
        <v>9</v>
      </c>
      <c r="BH57" t="str">
        <f t="shared" si="25"/>
        <v>Support</v>
      </c>
      <c r="BI57" s="32">
        <f t="shared" si="26"/>
        <v>0</v>
      </c>
    </row>
    <row r="58" spans="1:61" x14ac:dyDescent="0.45">
      <c r="A58" s="30">
        <f>step3_validation[[#This Row],[Persona_ID]]</f>
        <v>57</v>
      </c>
      <c r="B58" s="31">
        <f>step3_validation[[#This Row],[Used_Seed]]</f>
        <v>12401</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13.601403136374421</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t="str">
        <f t="shared" si="0"/>
        <v>Neutral</v>
      </c>
      <c r="S58">
        <f>survey_responses[[#This Row],[Tôi tin rằng với các quy định quản lý thuế hiện nay, hành vi gian lận hoặc trốn thuế sẽ dễ dàng bị phát hiện và xử lý nghiêm. - HUMAN-ENF1]]</f>
        <v>10</v>
      </c>
      <c r="T58" t="str">
        <f t="shared" si="1"/>
        <v>Support</v>
      </c>
      <c r="U58" s="32">
        <f t="shared" si="2"/>
        <v>3</v>
      </c>
      <c r="V58">
        <f>step3_validation[[#This Row],[AI_ENF2]]</f>
        <v>6</v>
      </c>
      <c r="W58" t="str">
        <f t="shared" si="3"/>
        <v>Neutral</v>
      </c>
      <c r="X58">
        <f>survey_responses[[#This Row],[Tôi tin rằng Nhà nước, cơ quan thuế có đủ khả năng và công nghệ để phát hiện, xử lý nghiêm các hành vi trốn thuế. - HUMAN-ENF2]]</f>
        <v>10</v>
      </c>
      <c r="Y58" t="str">
        <f t="shared" si="4"/>
        <v>Support</v>
      </c>
      <c r="Z58" s="32">
        <f t="shared" si="5"/>
        <v>4</v>
      </c>
      <c r="AA58">
        <f>step3_validation[[#This Row],[AI_FAC1]]</f>
        <v>9</v>
      </c>
      <c r="AB58" t="str">
        <f t="shared" si="6"/>
        <v>Support</v>
      </c>
      <c r="AC58">
        <f>survey_responses[[#This Row],[Các thủ tục khai báo thuế VÀ/HOẶC quy trình làm việc với cơ quan thuế đơn giản, tiện lợi, nhanh chóng hơn so với trước đây. - HUMAN-FAC1]]</f>
        <v>1</v>
      </c>
      <c r="AD58" t="str">
        <f t="shared" si="7"/>
        <v>Oppose</v>
      </c>
      <c r="AE58" s="32">
        <f t="shared" si="8"/>
        <v>8</v>
      </c>
      <c r="AF58">
        <f>step3_validation[[#This Row],[AI_FAC2]]</f>
        <v>8</v>
      </c>
      <c r="AG58" t="str">
        <f t="shared" si="9"/>
        <v>Support</v>
      </c>
      <c r="AH58">
        <f>survey_responses[[#This Row],[So với trước đây, tôi thấy cách tính thuế và các bậc thuế trong phương án mới đơn giản, dễ hiểu và dễ thực hiện hơn. - HUMAN-FAC2]]</f>
        <v>5</v>
      </c>
      <c r="AI58" t="str">
        <f t="shared" si="10"/>
        <v>Neutral</v>
      </c>
      <c r="AJ58" s="32">
        <f t="shared" si="11"/>
        <v>3</v>
      </c>
      <c r="AK58">
        <f>step3_validation[[#This Row],[AI_TRU1]]</f>
        <v>9</v>
      </c>
      <c r="AL58" t="str">
        <f t="shared" si="12"/>
        <v>Support</v>
      </c>
      <c r="AM58">
        <f>survey_responses[[#This Row],[Tôi tin rằng Nhà nước, cơ quan thuế sẽ thực thi chính sách mới một cách khách quan, công tâm và đối xử bình đẳng với mọi người nộp thuế.  - HUMAN-TRU1]]</f>
        <v>7</v>
      </c>
      <c r="AN58" t="str">
        <f t="shared" si="13"/>
        <v>Neutral</v>
      </c>
      <c r="AO58" s="32">
        <f t="shared" si="14"/>
        <v>2</v>
      </c>
      <c r="AP58">
        <f>step3_validation[[#This Row],[AI_TRU2]]</f>
        <v>8</v>
      </c>
      <c r="AQ58" t="str">
        <f t="shared" si="15"/>
        <v>Support</v>
      </c>
      <c r="AR58">
        <f>survey_responses[[#This Row],[Tôi thấy mức thuế tôi phải đóng theo phương án mới là công bằng (người thu nhập như tôi đóng mức này là hợp lý). - HUMAN-TRU2]]</f>
        <v>10</v>
      </c>
      <c r="AS58" t="str">
        <f t="shared" si="16"/>
        <v>Support</v>
      </c>
      <c r="AT58" s="32">
        <f t="shared" si="17"/>
        <v>2</v>
      </c>
      <c r="AU58">
        <f>step3_validation[[#This Row],[AI_TRU3]]</f>
        <v>9</v>
      </c>
      <c r="AV58" t="str">
        <f t="shared" si="18"/>
        <v>Support</v>
      </c>
      <c r="AW58">
        <f>survey_responses[[#This Row],[Tôi tin tưởng số tiền thuế tôi đóng sẽ được Nhà nước sử dụng hiệu quả để cải thiện dịch vụ công (y tế, đường xá...). - HUMAN-TRU3]]</f>
        <v>9</v>
      </c>
      <c r="AX58" t="str">
        <f t="shared" si="19"/>
        <v>Support</v>
      </c>
      <c r="AY58" s="32">
        <f t="shared" si="20"/>
        <v>0</v>
      </c>
      <c r="AZ58">
        <f>step3_validation[[#This Row],[AI_TRU4]]</f>
        <v>8</v>
      </c>
      <c r="BA58" t="str">
        <f t="shared" si="21"/>
        <v>Support</v>
      </c>
      <c r="BB58">
        <f>survey_responses[[#This Row],[Tôi thấy Nhà nước đã giải thích rõ ràng, minh bạch về lý do và mục tiêu của việc sửa đổi thuế lần này. - HUMAN-TRU4]]</f>
        <v>9</v>
      </c>
      <c r="BC58" t="str">
        <f t="shared" si="22"/>
        <v>Support</v>
      </c>
      <c r="BD58" s="32">
        <f t="shared" si="23"/>
        <v>1</v>
      </c>
      <c r="BE58">
        <f>step3_validation[[#This Row],[AI_OUT1]]</f>
        <v>9</v>
      </c>
      <c r="BF58" t="str">
        <f t="shared" si="24"/>
        <v>Support</v>
      </c>
      <c r="BG58">
        <f>survey_responses[[#This Row],[Sau khi xem xét các quyền lợi và nghĩa vụ, bạn có ủng hộ và tuân thủ chính sách mới hiện nay? - HUMAN-OUT1]]</f>
        <v>10</v>
      </c>
      <c r="BH58" t="str">
        <f t="shared" si="25"/>
        <v>Support</v>
      </c>
      <c r="BI58" s="32">
        <f t="shared" si="26"/>
        <v>1</v>
      </c>
    </row>
    <row r="59" spans="1:61" x14ac:dyDescent="0.45">
      <c r="A59" s="30">
        <f>step3_validation[[#This Row],[Persona_ID]]</f>
        <v>58</v>
      </c>
      <c r="B59" s="31">
        <f>step3_validation[[#This Row],[Used_Seed]]</f>
        <v>12402</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23.182107525731588</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6</v>
      </c>
      <c r="R59" t="str">
        <f t="shared" si="0"/>
        <v>Neutral</v>
      </c>
      <c r="S59">
        <f>survey_responses[[#This Row],[Tôi tin rằng với các quy định quản lý thuế hiện nay, hành vi gian lận hoặc trốn thuế sẽ dễ dàng bị phát hiện và xử lý nghiêm. - HUMAN-ENF1]]</f>
        <v>5</v>
      </c>
      <c r="T59" t="str">
        <f t="shared" si="1"/>
        <v>Neutral</v>
      </c>
      <c r="U59" s="32">
        <f t="shared" si="2"/>
        <v>1</v>
      </c>
      <c r="V59">
        <f>step3_validation[[#This Row],[AI_ENF2]]</f>
        <v>7</v>
      </c>
      <c r="W59" t="str">
        <f t="shared" si="3"/>
        <v>Neutral</v>
      </c>
      <c r="X59">
        <f>survey_responses[[#This Row],[Tôi tin rằng Nhà nước, cơ quan thuế có đủ khả năng và công nghệ để phát hiện, xử lý nghiêm các hành vi trốn thuế. - HUMAN-ENF2]]</f>
        <v>5</v>
      </c>
      <c r="Y59" t="str">
        <f t="shared" si="4"/>
        <v>Neutral</v>
      </c>
      <c r="Z59" s="32">
        <f t="shared" si="5"/>
        <v>2</v>
      </c>
      <c r="AA59">
        <f>step3_validation[[#This Row],[AI_FAC1]]</f>
        <v>8</v>
      </c>
      <c r="AB59" t="str">
        <f t="shared" si="6"/>
        <v>Support</v>
      </c>
      <c r="AC59">
        <f>survey_responses[[#This Row],[Các thủ tục khai báo thuế VÀ/HOẶC quy trình làm việc với cơ quan thuế đơn giản, tiện lợi, nhanh chóng hơn so với trước đây. - HUMAN-FAC1]]</f>
        <v>4</v>
      </c>
      <c r="AD59" t="str">
        <f t="shared" si="7"/>
        <v>Oppose</v>
      </c>
      <c r="AE59" s="32">
        <f t="shared" si="8"/>
        <v>4</v>
      </c>
      <c r="AF59">
        <f>step3_validation[[#This Row],[AI_FAC2]]</f>
        <v>9</v>
      </c>
      <c r="AG59" t="str">
        <f t="shared" si="9"/>
        <v>Support</v>
      </c>
      <c r="AH59">
        <f>survey_responses[[#This Row],[So với trước đây, tôi thấy cách tính thuế và các bậc thuế trong phương án mới đơn giản, dễ hiểu và dễ thực hiện hơn. - HUMAN-FAC2]]</f>
        <v>8</v>
      </c>
      <c r="AI59" t="str">
        <f t="shared" si="10"/>
        <v>Support</v>
      </c>
      <c r="AJ59" s="32">
        <f t="shared" si="11"/>
        <v>1</v>
      </c>
      <c r="AK59">
        <f>step3_validation[[#This Row],[AI_TRU1]]</f>
        <v>7</v>
      </c>
      <c r="AL59" t="str">
        <f t="shared" si="12"/>
        <v>Neutral</v>
      </c>
      <c r="AM59">
        <f>survey_responses[[#This Row],[Tôi tin rằng Nhà nước, cơ quan thuế sẽ thực thi chính sách mới một cách khách quan, công tâm và đối xử bình đẳng với mọi người nộp thuế.  - HUMAN-TRU1]]</f>
        <v>5</v>
      </c>
      <c r="AN59" t="str">
        <f t="shared" si="13"/>
        <v>Neutral</v>
      </c>
      <c r="AO59" s="32">
        <f t="shared" si="14"/>
        <v>2</v>
      </c>
      <c r="AP59">
        <f>step3_validation[[#This Row],[AI_TRU2]]</f>
        <v>9</v>
      </c>
      <c r="AQ59" t="str">
        <f t="shared" si="15"/>
        <v>Support</v>
      </c>
      <c r="AR59">
        <f>survey_responses[[#This Row],[Tôi thấy mức thuế tôi phải đóng theo phương án mới là công bằng (người thu nhập như tôi đóng mức này là hợp lý). - HUMAN-TRU2]]</f>
        <v>7</v>
      </c>
      <c r="AS59" t="str">
        <f t="shared" si="16"/>
        <v>Neutral</v>
      </c>
      <c r="AT59" s="32">
        <f t="shared" si="17"/>
        <v>2</v>
      </c>
      <c r="AU59">
        <f>step3_validation[[#This Row],[AI_TRU3]]</f>
        <v>7</v>
      </c>
      <c r="AV59" t="str">
        <f t="shared" si="18"/>
        <v>Neutral</v>
      </c>
      <c r="AW59">
        <f>survey_responses[[#This Row],[Tôi tin tưởng số tiền thuế tôi đóng sẽ được Nhà nước sử dụng hiệu quả để cải thiện dịch vụ công (y tế, đường xá...). - HUMAN-TRU3]]</f>
        <v>7</v>
      </c>
      <c r="AX59" t="str">
        <f t="shared" si="19"/>
        <v>Neutral</v>
      </c>
      <c r="AY59" s="32">
        <f t="shared" si="20"/>
        <v>0</v>
      </c>
      <c r="AZ59">
        <f>step3_validation[[#This Row],[AI_TRU4]]</f>
        <v>8</v>
      </c>
      <c r="BA59" t="str">
        <f t="shared" si="21"/>
        <v>Support</v>
      </c>
      <c r="BB59">
        <f>survey_responses[[#This Row],[Tôi thấy Nhà nước đã giải thích rõ ràng, minh bạch về lý do và mục tiêu của việc sửa đổi thuế lần này. - HUMAN-TRU4]]</f>
        <v>7</v>
      </c>
      <c r="BC59" t="str">
        <f t="shared" si="22"/>
        <v>Neutral</v>
      </c>
      <c r="BD59" s="32">
        <f t="shared" si="23"/>
        <v>1</v>
      </c>
      <c r="BE59">
        <f>step3_validation[[#This Row],[AI_OUT1]]</f>
        <v>9</v>
      </c>
      <c r="BF59" t="str">
        <f t="shared" si="24"/>
        <v>Support</v>
      </c>
      <c r="BG59">
        <f>survey_responses[[#This Row],[Sau khi xem xét các quyền lợi và nghĩa vụ, bạn có ủng hộ và tuân thủ chính sách mới hiện nay? - HUMAN-OUT1]]</f>
        <v>7</v>
      </c>
      <c r="BH59" t="str">
        <f t="shared" si="25"/>
        <v>Neutral</v>
      </c>
      <c r="BI59" s="32">
        <f t="shared" si="26"/>
        <v>2</v>
      </c>
    </row>
    <row r="60" spans="1:61" x14ac:dyDescent="0.45">
      <c r="A60" s="30">
        <f>step3_validation[[#This Row],[Persona_ID]]</f>
        <v>59</v>
      </c>
      <c r="B60" s="31">
        <f>step3_validation[[#This Row],[Used_Seed]]</f>
        <v>12403</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8</v>
      </c>
      <c r="R60" t="str">
        <f t="shared" si="0"/>
        <v>Support</v>
      </c>
      <c r="S60">
        <f>survey_responses[[#This Row],[Tôi tin rằng với các quy định quản lý thuế hiện nay, hành vi gian lận hoặc trốn thuế sẽ dễ dàng bị phát hiện và xử lý nghiêm. - HUMAN-ENF1]]</f>
        <v>9</v>
      </c>
      <c r="T60" t="str">
        <f t="shared" si="1"/>
        <v>Support</v>
      </c>
      <c r="U60" s="32">
        <f t="shared" si="2"/>
        <v>1</v>
      </c>
      <c r="V60">
        <f>step3_validation[[#This Row],[AI_ENF2]]</f>
        <v>7</v>
      </c>
      <c r="W60" t="str">
        <f t="shared" si="3"/>
        <v>Neutral</v>
      </c>
      <c r="X60">
        <f>survey_responses[[#This Row],[Tôi tin rằng Nhà nước, cơ quan thuế có đủ khả năng và công nghệ để phát hiện, xử lý nghiêm các hành vi trốn thuế. - HUMAN-ENF2]]</f>
        <v>9</v>
      </c>
      <c r="Y60" t="str">
        <f t="shared" si="4"/>
        <v>Support</v>
      </c>
      <c r="Z60" s="32">
        <f t="shared" si="5"/>
        <v>2</v>
      </c>
      <c r="AA60">
        <f>step3_validation[[#This Row],[AI_FAC1]]</f>
        <v>9</v>
      </c>
      <c r="AB60" t="str">
        <f t="shared" si="6"/>
        <v>Support</v>
      </c>
      <c r="AC60">
        <f>survey_responses[[#This Row],[Các thủ tục khai báo thuế VÀ/HOẶC quy trình làm việc với cơ quan thuế đơn giản, tiện lợi, nhanh chóng hơn so với trước đây. - HUMAN-FAC1]]</f>
        <v>9</v>
      </c>
      <c r="AD60" t="str">
        <f t="shared" si="7"/>
        <v>Support</v>
      </c>
      <c r="AE60" s="32">
        <f t="shared" si="8"/>
        <v>0</v>
      </c>
      <c r="AF60">
        <f>step3_validation[[#This Row],[AI_FAC2]]</f>
        <v>8</v>
      </c>
      <c r="AG60" t="str">
        <f t="shared" si="9"/>
        <v>Support</v>
      </c>
      <c r="AH60">
        <f>survey_responses[[#This Row],[So với trước đây, tôi thấy cách tính thuế và các bậc thuế trong phương án mới đơn giản, dễ hiểu và dễ thực hiện hơn. - HUMAN-FAC2]]</f>
        <v>7</v>
      </c>
      <c r="AI60" t="str">
        <f t="shared" si="10"/>
        <v>Neutral</v>
      </c>
      <c r="AJ60" s="32">
        <f t="shared" si="11"/>
        <v>1</v>
      </c>
      <c r="AK60">
        <f>step3_validation[[#This Row],[AI_TRU1]]</f>
        <v>7</v>
      </c>
      <c r="AL60" t="str">
        <f t="shared" si="12"/>
        <v>Neutral</v>
      </c>
      <c r="AM60">
        <f>survey_responses[[#This Row],[Tôi tin rằng Nhà nước, cơ quan thuế sẽ thực thi chính sách mới một cách khách quan, công tâm và đối xử bình đẳng với mọi người nộp thuế.  - HUMAN-TRU1]]</f>
        <v>7</v>
      </c>
      <c r="AN60" t="str">
        <f t="shared" si="13"/>
        <v>Neutral</v>
      </c>
      <c r="AO60" s="32">
        <f t="shared" si="14"/>
        <v>0</v>
      </c>
      <c r="AP60">
        <f>step3_validation[[#This Row],[AI_TRU2]]</f>
        <v>9</v>
      </c>
      <c r="AQ60" t="str">
        <f t="shared" si="15"/>
        <v>Support</v>
      </c>
      <c r="AR60">
        <f>survey_responses[[#This Row],[Tôi thấy mức thuế tôi phải đóng theo phương án mới là công bằng (người thu nhập như tôi đóng mức này là hợp lý). - HUMAN-TRU2]]</f>
        <v>8</v>
      </c>
      <c r="AS60" t="str">
        <f t="shared" si="16"/>
        <v>Support</v>
      </c>
      <c r="AT60" s="32">
        <f t="shared" si="17"/>
        <v>1</v>
      </c>
      <c r="AU60">
        <f>step3_validation[[#This Row],[AI_TRU3]]</f>
        <v>8</v>
      </c>
      <c r="AV60" t="str">
        <f t="shared" si="18"/>
        <v>Support</v>
      </c>
      <c r="AW60">
        <f>survey_responses[[#This Row],[Tôi tin tưởng số tiền thuế tôi đóng sẽ được Nhà nước sử dụng hiệu quả để cải thiện dịch vụ công (y tế, đường xá...). - HUMAN-TRU3]]</f>
        <v>8</v>
      </c>
      <c r="AX60" t="str">
        <f t="shared" si="19"/>
        <v>Support</v>
      </c>
      <c r="AY60" s="32">
        <f t="shared" si="20"/>
        <v>0</v>
      </c>
      <c r="AZ60">
        <f>step3_validation[[#This Row],[AI_TRU4]]</f>
        <v>7</v>
      </c>
      <c r="BA60" t="str">
        <f t="shared" si="21"/>
        <v>Neutral</v>
      </c>
      <c r="BB60">
        <f>survey_responses[[#This Row],[Tôi thấy Nhà nước đã giải thích rõ ràng, minh bạch về lý do và mục tiêu của việc sửa đổi thuế lần này. - HUMAN-TRU4]]</f>
        <v>6</v>
      </c>
      <c r="BC60" t="str">
        <f t="shared" si="22"/>
        <v>Neutral</v>
      </c>
      <c r="BD60" s="32">
        <f t="shared" si="23"/>
        <v>1</v>
      </c>
      <c r="BE60">
        <f>step3_validation[[#This Row],[AI_OUT1]]</f>
        <v>9</v>
      </c>
      <c r="BF60" t="str">
        <f t="shared" si="24"/>
        <v>Support</v>
      </c>
      <c r="BG60">
        <f>survey_responses[[#This Row],[Sau khi xem xét các quyền lợi và nghĩa vụ, bạn có ủng hộ và tuân thủ chính sách mới hiện nay? - HUMAN-OUT1]]</f>
        <v>5</v>
      </c>
      <c r="BH60" t="str">
        <f t="shared" si="25"/>
        <v>Neutral</v>
      </c>
      <c r="BI60" s="32">
        <f t="shared" si="26"/>
        <v>4</v>
      </c>
    </row>
    <row r="61" spans="1:61" x14ac:dyDescent="0.45">
      <c r="A61" s="30">
        <f>step3_validation[[#This Row],[Persona_ID]]</f>
        <v>60</v>
      </c>
      <c r="B61" s="31">
        <f>step3_validation[[#This Row],[Used_Seed]]</f>
        <v>12404</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16.799528534169426</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t="str">
        <f t="shared" si="0"/>
        <v>Neutral</v>
      </c>
      <c r="S61">
        <f>survey_responses[[#This Row],[Tôi tin rằng với các quy định quản lý thuế hiện nay, hành vi gian lận hoặc trốn thuế sẽ dễ dàng bị phát hiện và xử lý nghiêm. - HUMAN-ENF1]]</f>
        <v>5</v>
      </c>
      <c r="T61" t="str">
        <f t="shared" si="1"/>
        <v>Neutral</v>
      </c>
      <c r="U61" s="32">
        <f t="shared" si="2"/>
        <v>2</v>
      </c>
      <c r="V61">
        <f>step3_validation[[#This Row],[AI_ENF2]]</f>
        <v>8</v>
      </c>
      <c r="W61" t="str">
        <f t="shared" si="3"/>
        <v>Support</v>
      </c>
      <c r="X61">
        <f>survey_responses[[#This Row],[Tôi tin rằng Nhà nước, cơ quan thuế có đủ khả năng và công nghệ để phát hiện, xử lý nghiêm các hành vi trốn thuế. - HUMAN-ENF2]]</f>
        <v>5</v>
      </c>
      <c r="Y61" t="str">
        <f t="shared" si="4"/>
        <v>Neutral</v>
      </c>
      <c r="Z61" s="32">
        <f t="shared" si="5"/>
        <v>3</v>
      </c>
      <c r="AA61">
        <f>step3_validation[[#This Row],[AI_FAC1]]</f>
        <v>9</v>
      </c>
      <c r="AB61" t="str">
        <f t="shared" si="6"/>
        <v>Support</v>
      </c>
      <c r="AC61">
        <f>survey_responses[[#This Row],[Các thủ tục khai báo thuế VÀ/HOẶC quy trình làm việc với cơ quan thuế đơn giản, tiện lợi, nhanh chóng hơn so với trước đây. - HUMAN-FAC1]]</f>
        <v>5</v>
      </c>
      <c r="AD61" t="str">
        <f t="shared" si="7"/>
        <v>Neutral</v>
      </c>
      <c r="AE61" s="32">
        <f t="shared" si="8"/>
        <v>4</v>
      </c>
      <c r="AF61">
        <f>step3_validation[[#This Row],[AI_FAC2]]</f>
        <v>9</v>
      </c>
      <c r="AG61" t="str">
        <f t="shared" si="9"/>
        <v>Support</v>
      </c>
      <c r="AH61">
        <f>survey_responses[[#This Row],[So với trước đây, tôi thấy cách tính thuế và các bậc thuế trong phương án mới đơn giản, dễ hiểu và dễ thực hiện hơn. - HUMAN-FAC2]]</f>
        <v>5</v>
      </c>
      <c r="AI61" t="str">
        <f t="shared" si="10"/>
        <v>Neutral</v>
      </c>
      <c r="AJ61" s="32">
        <f t="shared" si="11"/>
        <v>4</v>
      </c>
      <c r="AK61">
        <f>step3_validation[[#This Row],[AI_TRU1]]</f>
        <v>8</v>
      </c>
      <c r="AL61" t="str">
        <f t="shared" si="12"/>
        <v>Support</v>
      </c>
      <c r="AM61">
        <f>survey_responses[[#This Row],[Tôi tin rằng Nhà nước, cơ quan thuế sẽ thực thi chính sách mới một cách khách quan, công tâm và đối xử bình đẳng với mọi người nộp thuế.  - HUMAN-TRU1]]</f>
        <v>5</v>
      </c>
      <c r="AN61" t="str">
        <f t="shared" si="13"/>
        <v>Neutral</v>
      </c>
      <c r="AO61" s="32">
        <f t="shared" si="14"/>
        <v>3</v>
      </c>
      <c r="AP61">
        <f>step3_validation[[#This Row],[AI_TRU2]]</f>
        <v>9</v>
      </c>
      <c r="AQ61" t="str">
        <f t="shared" si="15"/>
        <v>Support</v>
      </c>
      <c r="AR61">
        <f>survey_responses[[#This Row],[Tôi thấy mức thuế tôi phải đóng theo phương án mới là công bằng (người thu nhập như tôi đóng mức này là hợp lý). - HUMAN-TRU2]]</f>
        <v>8</v>
      </c>
      <c r="AS61" t="str">
        <f t="shared" si="16"/>
        <v>Support</v>
      </c>
      <c r="AT61" s="32">
        <f t="shared" si="17"/>
        <v>1</v>
      </c>
      <c r="AU61">
        <f>step3_validation[[#This Row],[AI_TRU3]]</f>
        <v>8</v>
      </c>
      <c r="AV61" t="str">
        <f t="shared" si="18"/>
        <v>Support</v>
      </c>
      <c r="AW61">
        <f>survey_responses[[#This Row],[Tôi tin tưởng số tiền thuế tôi đóng sẽ được Nhà nước sử dụng hiệu quả để cải thiện dịch vụ công (y tế, đường xá...). - HUMAN-TRU3]]</f>
        <v>4</v>
      </c>
      <c r="AX61" t="str">
        <f t="shared" si="19"/>
        <v>Oppose</v>
      </c>
      <c r="AY61" s="32">
        <f t="shared" si="20"/>
        <v>4</v>
      </c>
      <c r="AZ61">
        <f>step3_validation[[#This Row],[AI_TRU4]]</f>
        <v>9</v>
      </c>
      <c r="BA61" t="str">
        <f t="shared" si="21"/>
        <v>Support</v>
      </c>
      <c r="BB61">
        <f>survey_responses[[#This Row],[Tôi thấy Nhà nước đã giải thích rõ ràng, minh bạch về lý do và mục tiêu của việc sửa đổi thuế lần này. - HUMAN-TRU4]]</f>
        <v>5</v>
      </c>
      <c r="BC61" t="str">
        <f t="shared" si="22"/>
        <v>Neutral</v>
      </c>
      <c r="BD61" s="32">
        <f t="shared" si="23"/>
        <v>4</v>
      </c>
      <c r="BE61">
        <f>step3_validation[[#This Row],[AI_OUT1]]</f>
        <v>10</v>
      </c>
      <c r="BF61" t="str">
        <f t="shared" si="24"/>
        <v>Support</v>
      </c>
      <c r="BG61">
        <f>survey_responses[[#This Row],[Sau khi xem xét các quyền lợi và nghĩa vụ, bạn có ủng hộ và tuân thủ chính sách mới hiện nay? - HUMAN-OUT1]]</f>
        <v>5</v>
      </c>
      <c r="BH61" t="str">
        <f t="shared" si="25"/>
        <v>Neutral</v>
      </c>
      <c r="BI61" s="32">
        <f t="shared" si="26"/>
        <v>5</v>
      </c>
    </row>
    <row r="62" spans="1:61" x14ac:dyDescent="0.45">
      <c r="A62" s="30">
        <f>step3_validation[[#This Row],[Persona_ID]]</f>
        <v>61</v>
      </c>
      <c r="B62" s="31">
        <f>step3_validation[[#This Row],[Used_Seed]]</f>
        <v>12405</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19.765813758228159</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t="str">
        <f t="shared" si="0"/>
        <v>Neutral</v>
      </c>
      <c r="S62">
        <f>survey_responses[[#This Row],[Tôi tin rằng với các quy định quản lý thuế hiện nay, hành vi gian lận hoặc trốn thuế sẽ dễ dàng bị phát hiện và xử lý nghiêm. - HUMAN-ENF1]]</f>
        <v>8</v>
      </c>
      <c r="T62" t="str">
        <f t="shared" si="1"/>
        <v>Support</v>
      </c>
      <c r="U62" s="32">
        <f t="shared" si="2"/>
        <v>1</v>
      </c>
      <c r="V62">
        <f>step3_validation[[#This Row],[AI_ENF2]]</f>
        <v>8</v>
      </c>
      <c r="W62" t="str">
        <f t="shared" si="3"/>
        <v>Support</v>
      </c>
      <c r="X62">
        <f>survey_responses[[#This Row],[Tôi tin rằng Nhà nước, cơ quan thuế có đủ khả năng và công nghệ để phát hiện, xử lý nghiêm các hành vi trốn thuế. - HUMAN-ENF2]]</f>
        <v>9</v>
      </c>
      <c r="Y62" t="str">
        <f t="shared" si="4"/>
        <v>Support</v>
      </c>
      <c r="Z62" s="32">
        <f t="shared" si="5"/>
        <v>1</v>
      </c>
      <c r="AA62">
        <f>step3_validation[[#This Row],[AI_FAC1]]</f>
        <v>9</v>
      </c>
      <c r="AB62" t="str">
        <f t="shared" si="6"/>
        <v>Support</v>
      </c>
      <c r="AC62">
        <f>survey_responses[[#This Row],[Các thủ tục khai báo thuế VÀ/HOẶC quy trình làm việc với cơ quan thuế đơn giản, tiện lợi, nhanh chóng hơn so với trước đây. - HUMAN-FAC1]]</f>
        <v>9</v>
      </c>
      <c r="AD62" t="str">
        <f t="shared" si="7"/>
        <v>Support</v>
      </c>
      <c r="AE62" s="32">
        <f t="shared" si="8"/>
        <v>0</v>
      </c>
      <c r="AF62">
        <f>step3_validation[[#This Row],[AI_FAC2]]</f>
        <v>8</v>
      </c>
      <c r="AG62" t="str">
        <f t="shared" si="9"/>
        <v>Support</v>
      </c>
      <c r="AH62">
        <f>survey_responses[[#This Row],[So với trước đây, tôi thấy cách tính thuế và các bậc thuế trong phương án mới đơn giản, dễ hiểu và dễ thực hiện hơn. - HUMAN-FAC2]]</f>
        <v>9</v>
      </c>
      <c r="AI62" t="str">
        <f t="shared" si="10"/>
        <v>Support</v>
      </c>
      <c r="AJ62" s="32">
        <f t="shared" si="11"/>
        <v>1</v>
      </c>
      <c r="AK62">
        <f>step3_validation[[#This Row],[AI_TRU1]]</f>
        <v>7</v>
      </c>
      <c r="AL62" t="str">
        <f t="shared" si="12"/>
        <v>Neutral</v>
      </c>
      <c r="AM62">
        <f>survey_responses[[#This Row],[Tôi tin rằng Nhà nước, cơ quan thuế sẽ thực thi chính sách mới một cách khách quan, công tâm và đối xử bình đẳng với mọi người nộp thuế.  - HUMAN-TRU1]]</f>
        <v>9</v>
      </c>
      <c r="AN62" t="str">
        <f t="shared" si="13"/>
        <v>Support</v>
      </c>
      <c r="AO62" s="32">
        <f t="shared" si="14"/>
        <v>2</v>
      </c>
      <c r="AP62">
        <f>step3_validation[[#This Row],[AI_TRU2]]</f>
        <v>9</v>
      </c>
      <c r="AQ62" t="str">
        <f t="shared" si="15"/>
        <v>Support</v>
      </c>
      <c r="AR62">
        <f>survey_responses[[#This Row],[Tôi thấy mức thuế tôi phải đóng theo phương án mới là công bằng (người thu nhập như tôi đóng mức này là hợp lý). - HUMAN-TRU2]]</f>
        <v>8</v>
      </c>
      <c r="AS62" t="str">
        <f t="shared" si="16"/>
        <v>Support</v>
      </c>
      <c r="AT62" s="32">
        <f t="shared" si="17"/>
        <v>1</v>
      </c>
      <c r="AU62">
        <f>step3_validation[[#This Row],[AI_TRU3]]</f>
        <v>8</v>
      </c>
      <c r="AV62" t="str">
        <f t="shared" si="18"/>
        <v>Support</v>
      </c>
      <c r="AW62">
        <f>survey_responses[[#This Row],[Tôi tin tưởng số tiền thuế tôi đóng sẽ được Nhà nước sử dụng hiệu quả để cải thiện dịch vụ công (y tế, đường xá...). - HUMAN-TRU3]]</f>
        <v>8</v>
      </c>
      <c r="AX62" t="str">
        <f t="shared" si="19"/>
        <v>Support</v>
      </c>
      <c r="AY62" s="32">
        <f t="shared" si="20"/>
        <v>0</v>
      </c>
      <c r="AZ62">
        <f>step3_validation[[#This Row],[AI_TRU4]]</f>
        <v>7</v>
      </c>
      <c r="BA62" t="str">
        <f t="shared" si="21"/>
        <v>Neutral</v>
      </c>
      <c r="BB62">
        <f>survey_responses[[#This Row],[Tôi thấy Nhà nước đã giải thích rõ ràng, minh bạch về lý do và mục tiêu của việc sửa đổi thuế lần này. - HUMAN-TRU4]]</f>
        <v>8</v>
      </c>
      <c r="BC62" t="str">
        <f t="shared" si="22"/>
        <v>Support</v>
      </c>
      <c r="BD62" s="32">
        <f t="shared" si="23"/>
        <v>1</v>
      </c>
      <c r="BE62">
        <f>step3_validation[[#This Row],[AI_OUT1]]</f>
        <v>9</v>
      </c>
      <c r="BF62" t="str">
        <f t="shared" si="24"/>
        <v>Support</v>
      </c>
      <c r="BG62">
        <f>survey_responses[[#This Row],[Sau khi xem xét các quyền lợi và nghĩa vụ, bạn có ủng hộ và tuân thủ chính sách mới hiện nay? - HUMAN-OUT1]]</f>
        <v>9</v>
      </c>
      <c r="BH62" t="str">
        <f t="shared" si="25"/>
        <v>Support</v>
      </c>
      <c r="BI62" s="32">
        <f t="shared" si="26"/>
        <v>0</v>
      </c>
    </row>
    <row r="63" spans="1:61" x14ac:dyDescent="0.45">
      <c r="A63" s="30">
        <f>step3_validation[[#This Row],[Persona_ID]]</f>
        <v>62</v>
      </c>
      <c r="B63" s="31">
        <f>step3_validation[[#This Row],[Used_Seed]]</f>
        <v>12406</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29.772795733875441</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t="str">
        <f t="shared" si="0"/>
        <v>Neutral</v>
      </c>
      <c r="S63">
        <f>survey_responses[[#This Row],[Tôi tin rằng với các quy định quản lý thuế hiện nay, hành vi gian lận hoặc trốn thuế sẽ dễ dàng bị phát hiện và xử lý nghiêm. - HUMAN-ENF1]]</f>
        <v>9</v>
      </c>
      <c r="T63" t="str">
        <f t="shared" si="1"/>
        <v>Support</v>
      </c>
      <c r="U63" s="32">
        <f t="shared" si="2"/>
        <v>2</v>
      </c>
      <c r="V63">
        <f>step3_validation[[#This Row],[AI_ENF2]]</f>
        <v>6</v>
      </c>
      <c r="W63" t="str">
        <f t="shared" si="3"/>
        <v>Neutral</v>
      </c>
      <c r="X63">
        <f>survey_responses[[#This Row],[Tôi tin rằng Nhà nước, cơ quan thuế có đủ khả năng và công nghệ để phát hiện, xử lý nghiêm các hành vi trốn thuế. - HUMAN-ENF2]]</f>
        <v>9</v>
      </c>
      <c r="Y63" t="str">
        <f t="shared" si="4"/>
        <v>Support</v>
      </c>
      <c r="Z63" s="32">
        <f t="shared" si="5"/>
        <v>3</v>
      </c>
      <c r="AA63">
        <f>step3_validation[[#This Row],[AI_FAC1]]</f>
        <v>8</v>
      </c>
      <c r="AB63" t="str">
        <f t="shared" si="6"/>
        <v>Support</v>
      </c>
      <c r="AC63">
        <f>survey_responses[[#This Row],[Các thủ tục khai báo thuế VÀ/HOẶC quy trình làm việc với cơ quan thuế đơn giản, tiện lợi, nhanh chóng hơn so với trước đây. - HUMAN-FAC1]]</f>
        <v>7</v>
      </c>
      <c r="AD63" t="str">
        <f t="shared" si="7"/>
        <v>Neutral</v>
      </c>
      <c r="AE63" s="32">
        <f t="shared" si="8"/>
        <v>1</v>
      </c>
      <c r="AF63">
        <f>step3_validation[[#This Row],[AI_FAC2]]</f>
        <v>9</v>
      </c>
      <c r="AG63" t="str">
        <f t="shared" si="9"/>
        <v>Support</v>
      </c>
      <c r="AH63">
        <f>survey_responses[[#This Row],[So với trước đây, tôi thấy cách tính thuế và các bậc thuế trong phương án mới đơn giản, dễ hiểu và dễ thực hiện hơn. - HUMAN-FAC2]]</f>
        <v>6</v>
      </c>
      <c r="AI63" t="str">
        <f t="shared" si="10"/>
        <v>Neutral</v>
      </c>
      <c r="AJ63" s="32">
        <f t="shared" si="11"/>
        <v>3</v>
      </c>
      <c r="AK63">
        <f>step3_validation[[#This Row],[AI_TRU1]]</f>
        <v>7</v>
      </c>
      <c r="AL63" t="str">
        <f t="shared" si="12"/>
        <v>Neutral</v>
      </c>
      <c r="AM63">
        <f>survey_responses[[#This Row],[Tôi tin rằng Nhà nước, cơ quan thuế sẽ thực thi chính sách mới một cách khách quan, công tâm và đối xử bình đẳng với mọi người nộp thuế.  - HUMAN-TRU1]]</f>
        <v>7</v>
      </c>
      <c r="AN63" t="str">
        <f t="shared" si="13"/>
        <v>Neutral</v>
      </c>
      <c r="AO63" s="32">
        <f t="shared" si="14"/>
        <v>0</v>
      </c>
      <c r="AP63">
        <f>step3_validation[[#This Row],[AI_TRU2]]</f>
        <v>9</v>
      </c>
      <c r="AQ63" t="str">
        <f t="shared" si="15"/>
        <v>Support</v>
      </c>
      <c r="AR63">
        <f>survey_responses[[#This Row],[Tôi thấy mức thuế tôi phải đóng theo phương án mới là công bằng (người thu nhập như tôi đóng mức này là hợp lý). - HUMAN-TRU2]]</f>
        <v>5</v>
      </c>
      <c r="AS63" t="str">
        <f t="shared" si="16"/>
        <v>Neutral</v>
      </c>
      <c r="AT63" s="32">
        <f t="shared" si="17"/>
        <v>4</v>
      </c>
      <c r="AU63">
        <f>step3_validation[[#This Row],[AI_TRU3]]</f>
        <v>6</v>
      </c>
      <c r="AV63" t="str">
        <f t="shared" si="18"/>
        <v>Neutral</v>
      </c>
      <c r="AW63">
        <f>survey_responses[[#This Row],[Tôi tin tưởng số tiền thuế tôi đóng sẽ được Nhà nước sử dụng hiệu quả để cải thiện dịch vụ công (y tế, đường xá...). - HUMAN-TRU3]]</f>
        <v>6</v>
      </c>
      <c r="AX63" t="str">
        <f t="shared" si="19"/>
        <v>Neutral</v>
      </c>
      <c r="AY63" s="32">
        <f t="shared" si="20"/>
        <v>0</v>
      </c>
      <c r="AZ63">
        <f>step3_validation[[#This Row],[AI_TRU4]]</f>
        <v>8</v>
      </c>
      <c r="BA63" t="str">
        <f t="shared" si="21"/>
        <v>Support</v>
      </c>
      <c r="BB63">
        <f>survey_responses[[#This Row],[Tôi thấy Nhà nước đã giải thích rõ ràng, minh bạch về lý do và mục tiêu của việc sửa đổi thuế lần này. - HUMAN-TRU4]]</f>
        <v>8</v>
      </c>
      <c r="BC63" t="str">
        <f t="shared" si="22"/>
        <v>Support</v>
      </c>
      <c r="BD63" s="32">
        <f t="shared" si="23"/>
        <v>0</v>
      </c>
      <c r="BE63">
        <f>step3_validation[[#This Row],[AI_OUT1]]</f>
        <v>9</v>
      </c>
      <c r="BF63" t="str">
        <f t="shared" si="24"/>
        <v>Support</v>
      </c>
      <c r="BG63">
        <f>survey_responses[[#This Row],[Sau khi xem xét các quyền lợi và nghĩa vụ, bạn có ủng hộ và tuân thủ chính sách mới hiện nay? - HUMAN-OUT1]]</f>
        <v>5</v>
      </c>
      <c r="BH63" t="str">
        <f t="shared" si="25"/>
        <v>Neutral</v>
      </c>
      <c r="BI63" s="32">
        <f t="shared" si="26"/>
        <v>4</v>
      </c>
    </row>
    <row r="64" spans="1:61" x14ac:dyDescent="0.45">
      <c r="A64" s="30">
        <f>step3_validation[[#This Row],[Persona_ID]]</f>
        <v>63</v>
      </c>
      <c r="B64" s="31">
        <f>step3_validation[[#This Row],[Used_Seed]]</f>
        <v>12407</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19.427213280906926</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5</v>
      </c>
      <c r="R64" t="str">
        <f t="shared" si="0"/>
        <v>Neutral</v>
      </c>
      <c r="S64">
        <f>survey_responses[[#This Row],[Tôi tin rằng với các quy định quản lý thuế hiện nay, hành vi gian lận hoặc trốn thuế sẽ dễ dàng bị phát hiện và xử lý nghiêm. - HUMAN-ENF1]]</f>
        <v>9</v>
      </c>
      <c r="T64" t="str">
        <f t="shared" si="1"/>
        <v>Support</v>
      </c>
      <c r="U64" s="32">
        <f t="shared" si="2"/>
        <v>4</v>
      </c>
      <c r="V64">
        <f>step3_validation[[#This Row],[AI_ENF2]]</f>
        <v>7</v>
      </c>
      <c r="W64" t="str">
        <f t="shared" si="3"/>
        <v>Neutral</v>
      </c>
      <c r="X64">
        <f>survey_responses[[#This Row],[Tôi tin rằng Nhà nước, cơ quan thuế có đủ khả năng và công nghệ để phát hiện, xử lý nghiêm các hành vi trốn thuế. - HUMAN-ENF2]]</f>
        <v>9</v>
      </c>
      <c r="Y64" t="str">
        <f t="shared" si="4"/>
        <v>Support</v>
      </c>
      <c r="Z64" s="32">
        <f t="shared" si="5"/>
        <v>2</v>
      </c>
      <c r="AA64">
        <f>step3_validation[[#This Row],[AI_FAC1]]</f>
        <v>8</v>
      </c>
      <c r="AB64" t="str">
        <f t="shared" si="6"/>
        <v>Support</v>
      </c>
      <c r="AC64">
        <f>survey_responses[[#This Row],[Các thủ tục khai báo thuế VÀ/HOẶC quy trình làm việc với cơ quan thuế đơn giản, tiện lợi, nhanh chóng hơn so với trước đây. - HUMAN-FAC1]]</f>
        <v>9</v>
      </c>
      <c r="AD64" t="str">
        <f t="shared" si="7"/>
        <v>Support</v>
      </c>
      <c r="AE64" s="32">
        <f t="shared" si="8"/>
        <v>1</v>
      </c>
      <c r="AF64">
        <f>step3_validation[[#This Row],[AI_FAC2]]</f>
        <v>9</v>
      </c>
      <c r="AG64" t="str">
        <f t="shared" si="9"/>
        <v>Support</v>
      </c>
      <c r="AH64">
        <f>survey_responses[[#This Row],[So với trước đây, tôi thấy cách tính thuế và các bậc thuế trong phương án mới đơn giản, dễ hiểu và dễ thực hiện hơn. - HUMAN-FAC2]]</f>
        <v>9</v>
      </c>
      <c r="AI64" t="str">
        <f t="shared" si="10"/>
        <v>Support</v>
      </c>
      <c r="AJ64" s="32">
        <f t="shared" si="11"/>
        <v>0</v>
      </c>
      <c r="AK64">
        <f>step3_validation[[#This Row],[AI_TRU1]]</f>
        <v>8</v>
      </c>
      <c r="AL64" t="str">
        <f t="shared" si="12"/>
        <v>Support</v>
      </c>
      <c r="AM64">
        <f>survey_responses[[#This Row],[Tôi tin rằng Nhà nước, cơ quan thuế sẽ thực thi chính sách mới một cách khách quan, công tâm và đối xử bình đẳng với mọi người nộp thuế.  - HUMAN-TRU1]]</f>
        <v>8</v>
      </c>
      <c r="AN64" t="str">
        <f t="shared" si="13"/>
        <v>Support</v>
      </c>
      <c r="AO64" s="32">
        <f t="shared" si="14"/>
        <v>0</v>
      </c>
      <c r="AP64">
        <f>step3_validation[[#This Row],[AI_TRU2]]</f>
        <v>9</v>
      </c>
      <c r="AQ64" t="str">
        <f t="shared" si="15"/>
        <v>Support</v>
      </c>
      <c r="AR64">
        <f>survey_responses[[#This Row],[Tôi thấy mức thuế tôi phải đóng theo phương án mới là công bằng (người thu nhập như tôi đóng mức này là hợp lý). - HUMAN-TRU2]]</f>
        <v>9</v>
      </c>
      <c r="AS64" t="str">
        <f t="shared" si="16"/>
        <v>Support</v>
      </c>
      <c r="AT64" s="32">
        <f t="shared" si="17"/>
        <v>0</v>
      </c>
      <c r="AU64">
        <f>step3_validation[[#This Row],[AI_TRU3]]</f>
        <v>7</v>
      </c>
      <c r="AV64" t="str">
        <f t="shared" si="18"/>
        <v>Neutral</v>
      </c>
      <c r="AW64">
        <f>survey_responses[[#This Row],[Tôi tin tưởng số tiền thuế tôi đóng sẽ được Nhà nước sử dụng hiệu quả để cải thiện dịch vụ công (y tế, đường xá...). - HUMAN-TRU3]]</f>
        <v>9</v>
      </c>
      <c r="AX64" t="str">
        <f t="shared" si="19"/>
        <v>Support</v>
      </c>
      <c r="AY64" s="32">
        <f t="shared" si="20"/>
        <v>2</v>
      </c>
      <c r="AZ64">
        <f>step3_validation[[#This Row],[AI_TRU4]]</f>
        <v>8</v>
      </c>
      <c r="BA64" t="str">
        <f t="shared" si="21"/>
        <v>Support</v>
      </c>
      <c r="BB64">
        <f>survey_responses[[#This Row],[Tôi thấy Nhà nước đã giải thích rõ ràng, minh bạch về lý do và mục tiêu của việc sửa đổi thuế lần này. - HUMAN-TRU4]]</f>
        <v>8</v>
      </c>
      <c r="BC64" t="str">
        <f t="shared" si="22"/>
        <v>Support</v>
      </c>
      <c r="BD64" s="32">
        <f t="shared" si="23"/>
        <v>0</v>
      </c>
      <c r="BE64">
        <f>step3_validation[[#This Row],[AI_OUT1]]</f>
        <v>8</v>
      </c>
      <c r="BF64" t="str">
        <f t="shared" si="24"/>
        <v>Support</v>
      </c>
      <c r="BG64">
        <f>survey_responses[[#This Row],[Sau khi xem xét các quyền lợi và nghĩa vụ, bạn có ủng hộ và tuân thủ chính sách mới hiện nay? - HUMAN-OUT1]]</f>
        <v>7</v>
      </c>
      <c r="BH64" t="str">
        <f t="shared" si="25"/>
        <v>Neutral</v>
      </c>
      <c r="BI64" s="32">
        <f t="shared" si="26"/>
        <v>1</v>
      </c>
    </row>
    <row r="65" spans="1:61" x14ac:dyDescent="0.45">
      <c r="A65" s="30">
        <f>step3_validation[[#This Row],[Persona_ID]]</f>
        <v>64</v>
      </c>
      <c r="B65" s="31">
        <f>step3_validation[[#This Row],[Used_Seed]]</f>
        <v>12408</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220.56389065472962</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9</v>
      </c>
      <c r="R65" t="str">
        <f t="shared" si="0"/>
        <v>Support</v>
      </c>
      <c r="S65">
        <f>survey_responses[[#This Row],[Tôi tin rằng với các quy định quản lý thuế hiện nay, hành vi gian lận hoặc trốn thuế sẽ dễ dàng bị phát hiện và xử lý nghiêm. - HUMAN-ENF1]]</f>
        <v>9</v>
      </c>
      <c r="T65" t="str">
        <f t="shared" si="1"/>
        <v>Support</v>
      </c>
      <c r="U65" s="32">
        <f t="shared" si="2"/>
        <v>0</v>
      </c>
      <c r="V65">
        <f>step3_validation[[#This Row],[AI_ENF2]]</f>
        <v>8</v>
      </c>
      <c r="W65" t="str">
        <f t="shared" si="3"/>
        <v>Support</v>
      </c>
      <c r="X65">
        <f>survey_responses[[#This Row],[Tôi tin rằng Nhà nước, cơ quan thuế có đủ khả năng và công nghệ để phát hiện, xử lý nghiêm các hành vi trốn thuế. - HUMAN-ENF2]]</f>
        <v>10</v>
      </c>
      <c r="Y65" t="str">
        <f t="shared" si="4"/>
        <v>Support</v>
      </c>
      <c r="Z65" s="32">
        <f t="shared" si="5"/>
        <v>2</v>
      </c>
      <c r="AA65">
        <f>step3_validation[[#This Row],[AI_FAC1]]</f>
        <v>8</v>
      </c>
      <c r="AB65" t="str">
        <f t="shared" si="6"/>
        <v>Support</v>
      </c>
      <c r="AC65">
        <f>survey_responses[[#This Row],[Các thủ tục khai báo thuế VÀ/HOẶC quy trình làm việc với cơ quan thuế đơn giản, tiện lợi, nhanh chóng hơn so với trước đây. - HUMAN-FAC1]]</f>
        <v>9</v>
      </c>
      <c r="AD65" t="str">
        <f t="shared" si="7"/>
        <v>Support</v>
      </c>
      <c r="AE65" s="32">
        <f t="shared" si="8"/>
        <v>1</v>
      </c>
      <c r="AF65">
        <f>step3_validation[[#This Row],[AI_FAC2]]</f>
        <v>9</v>
      </c>
      <c r="AG65" t="str">
        <f t="shared" si="9"/>
        <v>Support</v>
      </c>
      <c r="AH65">
        <f>survey_responses[[#This Row],[So với trước đây, tôi thấy cách tính thuế và các bậc thuế trong phương án mới đơn giản, dễ hiểu và dễ thực hiện hơn. - HUMAN-FAC2]]</f>
        <v>10</v>
      </c>
      <c r="AI65" t="str">
        <f t="shared" si="10"/>
        <v>Support</v>
      </c>
      <c r="AJ65" s="32">
        <f t="shared" si="11"/>
        <v>1</v>
      </c>
      <c r="AK65">
        <f>step3_validation[[#This Row],[AI_TRU1]]</f>
        <v>9</v>
      </c>
      <c r="AL65" t="str">
        <f t="shared" si="12"/>
        <v>Support</v>
      </c>
      <c r="AM65">
        <f>survey_responses[[#This Row],[Tôi tin rằng Nhà nước, cơ quan thuế sẽ thực thi chính sách mới một cách khách quan, công tâm và đối xử bình đẳng với mọi người nộp thuế.  - HUMAN-TRU1]]</f>
        <v>10</v>
      </c>
      <c r="AN65" t="str">
        <f t="shared" si="13"/>
        <v>Support</v>
      </c>
      <c r="AO65" s="32">
        <f t="shared" si="14"/>
        <v>1</v>
      </c>
      <c r="AP65">
        <f>step3_validation[[#This Row],[AI_TRU2]]</f>
        <v>8</v>
      </c>
      <c r="AQ65" t="str">
        <f t="shared" si="15"/>
        <v>Support</v>
      </c>
      <c r="AR65">
        <f>survey_responses[[#This Row],[Tôi thấy mức thuế tôi phải đóng theo phương án mới là công bằng (người thu nhập như tôi đóng mức này là hợp lý). - HUMAN-TRU2]]</f>
        <v>5</v>
      </c>
      <c r="AS65" t="str">
        <f t="shared" si="16"/>
        <v>Neutral</v>
      </c>
      <c r="AT65" s="32">
        <f t="shared" si="17"/>
        <v>3</v>
      </c>
      <c r="AU65">
        <f>step3_validation[[#This Row],[AI_TRU3]]</f>
        <v>9</v>
      </c>
      <c r="AV65" t="str">
        <f t="shared" si="18"/>
        <v>Support</v>
      </c>
      <c r="AW65">
        <f>survey_responses[[#This Row],[Tôi tin tưởng số tiền thuế tôi đóng sẽ được Nhà nước sử dụng hiệu quả để cải thiện dịch vụ công (y tế, đường xá...). - HUMAN-TRU3]]</f>
        <v>10</v>
      </c>
      <c r="AX65" t="str">
        <f t="shared" si="19"/>
        <v>Support</v>
      </c>
      <c r="AY65" s="32">
        <f t="shared" si="20"/>
        <v>1</v>
      </c>
      <c r="AZ65">
        <f>step3_validation[[#This Row],[AI_TRU4]]</f>
        <v>8</v>
      </c>
      <c r="BA65" t="str">
        <f t="shared" si="21"/>
        <v>Support</v>
      </c>
      <c r="BB65">
        <f>survey_responses[[#This Row],[Tôi thấy Nhà nước đã giải thích rõ ràng, minh bạch về lý do và mục tiêu của việc sửa đổi thuế lần này. - HUMAN-TRU4]]</f>
        <v>7</v>
      </c>
      <c r="BC65" t="str">
        <f t="shared" si="22"/>
        <v>Neutral</v>
      </c>
      <c r="BD65" s="32">
        <f t="shared" si="23"/>
        <v>1</v>
      </c>
      <c r="BE65">
        <f>step3_validation[[#This Row],[AI_OUT1]]</f>
        <v>9</v>
      </c>
      <c r="BF65" t="str">
        <f t="shared" si="24"/>
        <v>Support</v>
      </c>
      <c r="BG65">
        <f>survey_responses[[#This Row],[Sau khi xem xét các quyền lợi và nghĩa vụ, bạn có ủng hộ và tuân thủ chính sách mới hiện nay? - HUMAN-OUT1]]</f>
        <v>9</v>
      </c>
      <c r="BH65" t="str">
        <f t="shared" si="25"/>
        <v>Support</v>
      </c>
      <c r="BI65" s="32">
        <f t="shared" si="26"/>
        <v>0</v>
      </c>
    </row>
    <row r="66" spans="1:61" x14ac:dyDescent="0.45">
      <c r="A66" s="30">
        <f>step3_validation[[#This Row],[Persona_ID]]</f>
        <v>65</v>
      </c>
      <c r="B66" s="31">
        <f>step3_validation[[#This Row],[Used_Seed]]</f>
        <v>12409</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8</v>
      </c>
      <c r="R66" t="str">
        <f t="shared" si="0"/>
        <v>Support</v>
      </c>
      <c r="S66">
        <f>survey_responses[[#This Row],[Tôi tin rằng với các quy định quản lý thuế hiện nay, hành vi gian lận hoặc trốn thuế sẽ dễ dàng bị phát hiện và xử lý nghiêm. - HUMAN-ENF1]]</f>
        <v>10</v>
      </c>
      <c r="T66" t="str">
        <f t="shared" si="1"/>
        <v>Support</v>
      </c>
      <c r="U66" s="32">
        <f t="shared" si="2"/>
        <v>2</v>
      </c>
      <c r="V66">
        <f>step3_validation[[#This Row],[AI_ENF2]]</f>
        <v>9</v>
      </c>
      <c r="W66" t="str">
        <f t="shared" si="3"/>
        <v>Support</v>
      </c>
      <c r="X66">
        <f>survey_responses[[#This Row],[Tôi tin rằng Nhà nước, cơ quan thuế có đủ khả năng và công nghệ để phát hiện, xử lý nghiêm các hành vi trốn thuế. - HUMAN-ENF2]]</f>
        <v>10</v>
      </c>
      <c r="Y66" t="str">
        <f t="shared" si="4"/>
        <v>Support</v>
      </c>
      <c r="Z66" s="32">
        <f t="shared" si="5"/>
        <v>1</v>
      </c>
      <c r="AA66">
        <f>step3_validation[[#This Row],[AI_FAC1]]</f>
        <v>8</v>
      </c>
      <c r="AB66" t="str">
        <f t="shared" si="6"/>
        <v>Support</v>
      </c>
      <c r="AC66">
        <f>survey_responses[[#This Row],[Các thủ tục khai báo thuế VÀ/HOẶC quy trình làm việc với cơ quan thuế đơn giản, tiện lợi, nhanh chóng hơn so với trước đây. - HUMAN-FAC1]]</f>
        <v>10</v>
      </c>
      <c r="AD66" t="str">
        <f t="shared" si="7"/>
        <v>Support</v>
      </c>
      <c r="AE66" s="32">
        <f t="shared" si="8"/>
        <v>2</v>
      </c>
      <c r="AF66">
        <f>step3_validation[[#This Row],[AI_FAC2]]</f>
        <v>9</v>
      </c>
      <c r="AG66" t="str">
        <f t="shared" si="9"/>
        <v>Support</v>
      </c>
      <c r="AH66">
        <f>survey_responses[[#This Row],[So với trước đây, tôi thấy cách tính thuế và các bậc thuế trong phương án mới đơn giản, dễ hiểu và dễ thực hiện hơn. - HUMAN-FAC2]]</f>
        <v>10</v>
      </c>
      <c r="AI66" t="str">
        <f t="shared" si="10"/>
        <v>Support</v>
      </c>
      <c r="AJ66" s="32">
        <f t="shared" si="11"/>
        <v>1</v>
      </c>
      <c r="AK66">
        <f>step3_validation[[#This Row],[AI_TRU1]]</f>
        <v>8</v>
      </c>
      <c r="AL66" t="str">
        <f t="shared" si="12"/>
        <v>Support</v>
      </c>
      <c r="AM66">
        <f>survey_responses[[#This Row],[Tôi tin rằng Nhà nước, cơ quan thuế sẽ thực thi chính sách mới một cách khách quan, công tâm và đối xử bình đẳng với mọi người nộp thuế.  - HUMAN-TRU1]]</f>
        <v>10</v>
      </c>
      <c r="AN66" t="str">
        <f t="shared" si="13"/>
        <v>Support</v>
      </c>
      <c r="AO66" s="32">
        <f t="shared" si="14"/>
        <v>2</v>
      </c>
      <c r="AP66">
        <f>step3_validation[[#This Row],[AI_TRU2]]</f>
        <v>9</v>
      </c>
      <c r="AQ66" t="str">
        <f t="shared" si="15"/>
        <v>Support</v>
      </c>
      <c r="AR66">
        <f>survey_responses[[#This Row],[Tôi thấy mức thuế tôi phải đóng theo phương án mới là công bằng (người thu nhập như tôi đóng mức này là hợp lý). - HUMAN-TRU2]]</f>
        <v>10</v>
      </c>
      <c r="AS66" t="str">
        <f t="shared" si="16"/>
        <v>Support</v>
      </c>
      <c r="AT66" s="32">
        <f t="shared" si="17"/>
        <v>1</v>
      </c>
      <c r="AU66">
        <f>step3_validation[[#This Row],[AI_TRU3]]</f>
        <v>8</v>
      </c>
      <c r="AV66" t="str">
        <f t="shared" si="18"/>
        <v>Support</v>
      </c>
      <c r="AW66">
        <f>survey_responses[[#This Row],[Tôi tin tưởng số tiền thuế tôi đóng sẽ được Nhà nước sử dụng hiệu quả để cải thiện dịch vụ công (y tế, đường xá...). - HUMAN-TRU3]]</f>
        <v>10</v>
      </c>
      <c r="AX66" t="str">
        <f t="shared" si="19"/>
        <v>Support</v>
      </c>
      <c r="AY66" s="32">
        <f t="shared" si="20"/>
        <v>2</v>
      </c>
      <c r="AZ66">
        <f>step3_validation[[#This Row],[AI_TRU4]]</f>
        <v>9</v>
      </c>
      <c r="BA66" t="str">
        <f t="shared" si="21"/>
        <v>Support</v>
      </c>
      <c r="BB66">
        <f>survey_responses[[#This Row],[Tôi thấy Nhà nước đã giải thích rõ ràng, minh bạch về lý do và mục tiêu của việc sửa đổi thuế lần này. - HUMAN-TRU4]]</f>
        <v>10</v>
      </c>
      <c r="BC66" t="str">
        <f t="shared" si="22"/>
        <v>Support</v>
      </c>
      <c r="BD66" s="32">
        <f t="shared" si="23"/>
        <v>1</v>
      </c>
      <c r="BE66">
        <f>step3_validation[[#This Row],[AI_OUT1]]</f>
        <v>8</v>
      </c>
      <c r="BF66" t="str">
        <f t="shared" si="24"/>
        <v>Support</v>
      </c>
      <c r="BG66">
        <f>survey_responses[[#This Row],[Sau khi xem xét các quyền lợi và nghĩa vụ, bạn có ủng hộ và tuân thủ chính sách mới hiện nay? - HUMAN-OUT1]]</f>
        <v>10</v>
      </c>
      <c r="BH66" t="str">
        <f t="shared" si="25"/>
        <v>Support</v>
      </c>
      <c r="BI66" s="32">
        <f t="shared" si="26"/>
        <v>2</v>
      </c>
    </row>
    <row r="67" spans="1:61" x14ac:dyDescent="0.45">
      <c r="A67" s="30">
        <f>step3_validation[[#This Row],[Persona_ID]]</f>
        <v>66</v>
      </c>
      <c r="B67" s="31">
        <f>step3_validation[[#This Row],[Used_Seed]]</f>
        <v>12410</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15.941225843089081</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9</v>
      </c>
      <c r="R67" t="str">
        <f t="shared" ref="R67:R130" si="27">IF(AND(Q67&gt;=1,Q67&lt;5),"Oppose",IF(AND(Q67&gt;=5,Q67&lt;8),"Neutral",IF(AND(Q67&gt;=8,Q67&lt;=10),"Support","")))</f>
        <v>Support</v>
      </c>
      <c r="S67">
        <f>survey_responses[[#This Row],[Tôi tin rằng với các quy định quản lý thuế hiện nay, hành vi gian lận hoặc trốn thuế sẽ dễ dàng bị phát hiện và xử lý nghiêm. - HUMAN-ENF1]]</f>
        <v>7</v>
      </c>
      <c r="T67" t="str">
        <f t="shared" ref="T67:T130" si="28">IF(AND(S67&gt;=1,S67&lt;5),"Oppose",IF(AND(S67&gt;=5,S67&lt;8),"Neutral",IF(AND(S67&gt;=8,S67&lt;=10),"Support","")))</f>
        <v>Neutral</v>
      </c>
      <c r="U67" s="32">
        <f t="shared" ref="U67:U130" si="29">ABS(S67-Q67)</f>
        <v>2</v>
      </c>
      <c r="V67">
        <f>step3_validation[[#This Row],[AI_ENF2]]</f>
        <v>8</v>
      </c>
      <c r="W67" t="str">
        <f t="shared" ref="W67:W130" si="30">IF(AND(V67&gt;=1,V67&lt;5),"Oppose",IF(AND(V67&gt;=5,V67&lt;8),"Neutral",IF(AND(V67&gt;=8,V67&lt;=10),"Support","")))</f>
        <v>Support</v>
      </c>
      <c r="X67">
        <f>survey_responses[[#This Row],[Tôi tin rằng Nhà nước, cơ quan thuế có đủ khả năng và công nghệ để phát hiện, xử lý nghiêm các hành vi trốn thuế. - HUMAN-ENF2]]</f>
        <v>5</v>
      </c>
      <c r="Y67" t="str">
        <f t="shared" ref="Y67:Y130" si="31">IF(AND(X67&gt;=1,X67&lt;5),"Oppose",IF(AND(X67&gt;=5,X67&lt;8),"Neutral",IF(AND(X67&gt;=8,X67&lt;=10),"Support","")))</f>
        <v>Neutral</v>
      </c>
      <c r="Z67" s="32">
        <f t="shared" ref="Z67:Z130" si="32">ABS(X67-V67)</f>
        <v>3</v>
      </c>
      <c r="AA67">
        <f>step3_validation[[#This Row],[AI_FAC1]]</f>
        <v>9</v>
      </c>
      <c r="AB67" t="str">
        <f t="shared" ref="AB67:AB130" si="33">IF(AND(AA67&gt;=1,AA67&lt;5),"Oppose",IF(AND(AA67&gt;=5,AA67&lt;8),"Neutral",IF(AND(AA67&gt;=8,AA67&lt;=10),"Support","")))</f>
        <v>Support</v>
      </c>
      <c r="AC67">
        <f>survey_responses[[#This Row],[Các thủ tục khai báo thuế VÀ/HOẶC quy trình làm việc với cơ quan thuế đơn giản, tiện lợi, nhanh chóng hơn so với trước đây. - HUMAN-FAC1]]</f>
        <v>3</v>
      </c>
      <c r="AD67" t="str">
        <f t="shared" ref="AD67:AD130" si="34">IF(AND(AC67&gt;=1,AC67&lt;5),"Oppose",IF(AND(AC67&gt;=5,AC67&lt;8),"Neutral",IF(AND(AC67&gt;=8,AC67&lt;=10),"Support","")))</f>
        <v>Oppose</v>
      </c>
      <c r="AE67" s="32">
        <f t="shared" ref="AE67:AE130" si="35">ABS(AC67-AA67)</f>
        <v>6</v>
      </c>
      <c r="AF67">
        <f>step3_validation[[#This Row],[AI_FAC2]]</f>
        <v>8</v>
      </c>
      <c r="AG67" t="str">
        <f t="shared" ref="AG67:AG130" si="36">IF(AND(AF67&gt;=1,AF67&lt;5),"Oppose",IF(AND(AF67&gt;=5,AF67&lt;8),"Neutral",IF(AND(AF67&gt;=8,AF67&lt;=10),"Support","")))</f>
        <v>Support</v>
      </c>
      <c r="AH67">
        <f>survey_responses[[#This Row],[So với trước đây, tôi thấy cách tính thuế và các bậc thuế trong phương án mới đơn giản, dễ hiểu và dễ thực hiện hơn. - HUMAN-FAC2]]</f>
        <v>5</v>
      </c>
      <c r="AI67" t="str">
        <f t="shared" ref="AI67:AI130" si="37">IF(AND(AH67&gt;=1,AH67&lt;5),"Oppose",IF(AND(AH67&gt;=5,AH67&lt;8),"Neutral",IF(AND(AH67&gt;=8,AH67&lt;=10),"Support","")))</f>
        <v>Neutral</v>
      </c>
      <c r="AJ67" s="32">
        <f t="shared" ref="AJ67:AJ130" si="38">ABS(AH67-AF67)</f>
        <v>3</v>
      </c>
      <c r="AK67">
        <f>step3_validation[[#This Row],[AI_TRU1]]</f>
        <v>9</v>
      </c>
      <c r="AL67" t="str">
        <f t="shared" ref="AL67:AL130" si="39">IF(AND(AK67&gt;=1,AK67&lt;5),"Oppose",IF(AND(AK67&gt;=5,AK67&lt;8),"Neutral",IF(AND(AK67&gt;=8,AK67&lt;=10),"Support","")))</f>
        <v>Support</v>
      </c>
      <c r="AM67">
        <f>survey_responses[[#This Row],[Tôi tin rằng Nhà nước, cơ quan thuế sẽ thực thi chính sách mới một cách khách quan, công tâm và đối xử bình đẳng với mọi người nộp thuế.  - HUMAN-TRU1]]</f>
        <v>4</v>
      </c>
      <c r="AN67" t="str">
        <f t="shared" ref="AN67:AN130" si="40">IF(AND(AM67&gt;=1,AM67&lt;5),"Oppose",IF(AND(AM67&gt;=5,AM67&lt;8),"Neutral",IF(AND(AM67&gt;=8,AM67&lt;=10),"Support","")))</f>
        <v>Oppose</v>
      </c>
      <c r="AO67" s="32">
        <f t="shared" ref="AO67:AO130" si="41">ABS(AM67-AK67)</f>
        <v>5</v>
      </c>
      <c r="AP67">
        <f>step3_validation[[#This Row],[AI_TRU2]]</f>
        <v>8</v>
      </c>
      <c r="AQ67" t="str">
        <f t="shared" ref="AQ67:AQ130" si="42">IF(AND(AP67&gt;=1,AP67&lt;5),"Oppose",IF(AND(AP67&gt;=5,AP67&lt;8),"Neutral",IF(AND(AP67&gt;=8,AP67&lt;=10),"Support","")))</f>
        <v>Support</v>
      </c>
      <c r="AR67">
        <f>survey_responses[[#This Row],[Tôi thấy mức thuế tôi phải đóng theo phương án mới là công bằng (người thu nhập như tôi đóng mức này là hợp lý). - HUMAN-TRU2]]</f>
        <v>3</v>
      </c>
      <c r="AS67" t="str">
        <f t="shared" ref="AS67:AS130" si="43">IF(AND(AR67&gt;=1,AR67&lt;5),"Oppose",IF(AND(AR67&gt;=5,AR67&lt;8),"Neutral",IF(AND(AR67&gt;=8,AR67&lt;=10),"Support","")))</f>
        <v>Oppose</v>
      </c>
      <c r="AT67" s="32">
        <f t="shared" ref="AT67:AT130" si="44">ABS(AR67-AP67)</f>
        <v>5</v>
      </c>
      <c r="AU67">
        <f>step3_validation[[#This Row],[AI_TRU3]]</f>
        <v>9</v>
      </c>
      <c r="AV67" t="str">
        <f t="shared" ref="AV67:AV130" si="45">IF(AND(AU67&gt;=1,AU67&lt;5),"Oppose",IF(AND(AU67&gt;=5,AU67&lt;8),"Neutral",IF(AND(AU67&gt;=8,AU67&lt;=10),"Support","")))</f>
        <v>Support</v>
      </c>
      <c r="AW67">
        <f>survey_responses[[#This Row],[Tôi tin tưởng số tiền thuế tôi đóng sẽ được Nhà nước sử dụng hiệu quả để cải thiện dịch vụ công (y tế, đường xá...). - HUMAN-TRU3]]</f>
        <v>5</v>
      </c>
      <c r="AX67" t="str">
        <f t="shared" ref="AX67:AX130" si="46">IF(AND(AW67&gt;=1,AW67&lt;5),"Oppose",IF(AND(AW67&gt;=5,AW67&lt;8),"Neutral",IF(AND(AW67&gt;=8,AW67&lt;=10),"Support","")))</f>
        <v>Neutral</v>
      </c>
      <c r="AY67" s="32">
        <f t="shared" ref="AY67:AY130" si="47">ABS(AW67-AU67)</f>
        <v>4</v>
      </c>
      <c r="AZ67">
        <f>step3_validation[[#This Row],[AI_TRU4]]</f>
        <v>8</v>
      </c>
      <c r="BA67" t="str">
        <f t="shared" ref="BA67:BA130" si="48">IF(AND(AZ67&gt;=1,AZ67&lt;5),"Oppose",IF(AND(AZ67&gt;=5,AZ67&lt;8),"Neutral",IF(AND(AZ67&gt;=8,AZ67&lt;=10),"Support","")))</f>
        <v>Support</v>
      </c>
      <c r="BB67">
        <f>survey_responses[[#This Row],[Tôi thấy Nhà nước đã giải thích rõ ràng, minh bạch về lý do và mục tiêu của việc sửa đổi thuế lần này. - HUMAN-TRU4]]</f>
        <v>6</v>
      </c>
      <c r="BC67" t="str">
        <f t="shared" ref="BC67:BC130" si="49">IF(AND(BB67&gt;=1,BB67&lt;5),"Oppose",IF(AND(BB67&gt;=5,BB67&lt;8),"Neutral",IF(AND(BB67&gt;=8,BB67&lt;=10),"Support","")))</f>
        <v>Neutral</v>
      </c>
      <c r="BD67" s="32">
        <f t="shared" ref="BD67:BD130" si="50">ABS(BB67-AZ67)</f>
        <v>2</v>
      </c>
      <c r="BE67">
        <f>step3_validation[[#This Row],[AI_OUT1]]</f>
        <v>9</v>
      </c>
      <c r="BF67" t="str">
        <f t="shared" ref="BF67:BF130" si="51">IF(AND(BE67&gt;=1,BE67&lt;5),"Oppose",IF(AND(BE67&gt;=5,BE67&lt;8),"Neutral",IF(AND(BE67&gt;=8,BE67&lt;=10),"Support","")))</f>
        <v>Support</v>
      </c>
      <c r="BG67">
        <f>survey_responses[[#This Row],[Sau khi xem xét các quyền lợi và nghĩa vụ, bạn có ủng hộ và tuân thủ chính sách mới hiện nay? - HUMAN-OUT1]]</f>
        <v>6</v>
      </c>
      <c r="BH67" t="str">
        <f t="shared" ref="BH67:BH130" si="52">IF(AND(BG67&gt;=1,BG67&lt;5),"Oppose",IF(AND(BG67&gt;=5,BG67&lt;8),"Neutral",IF(AND(BG67&gt;=8,BG67&lt;=10),"Support","")))</f>
        <v>Neutral</v>
      </c>
      <c r="BI67" s="32">
        <f t="shared" ref="BI67:BI130" si="53">ABS(BG67-BE67)</f>
        <v>3</v>
      </c>
    </row>
    <row r="68" spans="1:61" x14ac:dyDescent="0.45">
      <c r="A68" s="30">
        <f>step3_validation[[#This Row],[Persona_ID]]</f>
        <v>67</v>
      </c>
      <c r="B68" s="31">
        <f>step3_validation[[#This Row],[Used_Seed]]</f>
        <v>12411</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74.297528366625542</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8</v>
      </c>
      <c r="R68" t="str">
        <f t="shared" si="27"/>
        <v>Support</v>
      </c>
      <c r="S68">
        <f>survey_responses[[#This Row],[Tôi tin rằng với các quy định quản lý thuế hiện nay, hành vi gian lận hoặc trốn thuế sẽ dễ dàng bị phát hiện và xử lý nghiêm. - HUMAN-ENF1]]</f>
        <v>5</v>
      </c>
      <c r="T68" t="str">
        <f t="shared" si="28"/>
        <v>Neutral</v>
      </c>
      <c r="U68" s="32">
        <f t="shared" si="29"/>
        <v>3</v>
      </c>
      <c r="V68">
        <f>step3_validation[[#This Row],[AI_ENF2]]</f>
        <v>7</v>
      </c>
      <c r="W68" t="str">
        <f t="shared" si="30"/>
        <v>Neutral</v>
      </c>
      <c r="X68">
        <f>survey_responses[[#This Row],[Tôi tin rằng Nhà nước, cơ quan thuế có đủ khả năng và công nghệ để phát hiện, xử lý nghiêm các hành vi trốn thuế. - HUMAN-ENF2]]</f>
        <v>5</v>
      </c>
      <c r="Y68" t="str">
        <f t="shared" si="31"/>
        <v>Neutral</v>
      </c>
      <c r="Z68" s="32">
        <f t="shared" si="32"/>
        <v>2</v>
      </c>
      <c r="AA68">
        <f>step3_validation[[#This Row],[AI_FAC1]]</f>
        <v>9</v>
      </c>
      <c r="AB68" t="str">
        <f t="shared" si="33"/>
        <v>Support</v>
      </c>
      <c r="AC68">
        <f>survey_responses[[#This Row],[Các thủ tục khai báo thuế VÀ/HOẶC quy trình làm việc với cơ quan thuế đơn giản, tiện lợi, nhanh chóng hơn so với trước đây. - HUMAN-FAC1]]</f>
        <v>4</v>
      </c>
      <c r="AD68" t="str">
        <f t="shared" si="34"/>
        <v>Oppose</v>
      </c>
      <c r="AE68" s="32">
        <f t="shared" si="35"/>
        <v>5</v>
      </c>
      <c r="AF68">
        <f>step3_validation[[#This Row],[AI_FAC2]]</f>
        <v>8</v>
      </c>
      <c r="AG68" t="str">
        <f t="shared" si="36"/>
        <v>Support</v>
      </c>
      <c r="AH68">
        <f>survey_responses[[#This Row],[So với trước đây, tôi thấy cách tính thuế và các bậc thuế trong phương án mới đơn giản, dễ hiểu và dễ thực hiện hơn. - HUMAN-FAC2]]</f>
        <v>4</v>
      </c>
      <c r="AI68" t="str">
        <f t="shared" si="37"/>
        <v>Oppose</v>
      </c>
      <c r="AJ68" s="32">
        <f t="shared" si="38"/>
        <v>4</v>
      </c>
      <c r="AK68">
        <f>step3_validation[[#This Row],[AI_TRU1]]</f>
        <v>7</v>
      </c>
      <c r="AL68" t="str">
        <f t="shared" si="39"/>
        <v>Neutral</v>
      </c>
      <c r="AM68">
        <f>survey_responses[[#This Row],[Tôi tin rằng Nhà nước, cơ quan thuế sẽ thực thi chính sách mới một cách khách quan, công tâm và đối xử bình đẳng với mọi người nộp thuế.  - HUMAN-TRU1]]</f>
        <v>2</v>
      </c>
      <c r="AN68" t="str">
        <f t="shared" si="40"/>
        <v>Oppose</v>
      </c>
      <c r="AO68" s="32">
        <f t="shared" si="41"/>
        <v>5</v>
      </c>
      <c r="AP68">
        <f>step3_validation[[#This Row],[AI_TRU2]]</f>
        <v>9</v>
      </c>
      <c r="AQ68" t="str">
        <f t="shared" si="42"/>
        <v>Support</v>
      </c>
      <c r="AR68">
        <f>survey_responses[[#This Row],[Tôi thấy mức thuế tôi phải đóng theo phương án mới là công bằng (người thu nhập như tôi đóng mức này là hợp lý). - HUMAN-TRU2]]</f>
        <v>3</v>
      </c>
      <c r="AS68" t="str">
        <f t="shared" si="43"/>
        <v>Oppose</v>
      </c>
      <c r="AT68" s="32">
        <f t="shared" si="44"/>
        <v>6</v>
      </c>
      <c r="AU68">
        <f>step3_validation[[#This Row],[AI_TRU3]]</f>
        <v>8</v>
      </c>
      <c r="AV68" t="str">
        <f t="shared" si="45"/>
        <v>Support</v>
      </c>
      <c r="AW68">
        <f>survey_responses[[#This Row],[Tôi tin tưởng số tiền thuế tôi đóng sẽ được Nhà nước sử dụng hiệu quả để cải thiện dịch vụ công (y tế, đường xá...). - HUMAN-TRU3]]</f>
        <v>2</v>
      </c>
      <c r="AX68" t="str">
        <f t="shared" si="46"/>
        <v>Oppose</v>
      </c>
      <c r="AY68" s="32">
        <f t="shared" si="47"/>
        <v>6</v>
      </c>
      <c r="AZ68">
        <f>step3_validation[[#This Row],[AI_TRU4]]</f>
        <v>7</v>
      </c>
      <c r="BA68" t="str">
        <f t="shared" si="48"/>
        <v>Neutral</v>
      </c>
      <c r="BB68">
        <f>survey_responses[[#This Row],[Tôi thấy Nhà nước đã giải thích rõ ràng, minh bạch về lý do và mục tiêu của việc sửa đổi thuế lần này. - HUMAN-TRU4]]</f>
        <v>3</v>
      </c>
      <c r="BC68" t="str">
        <f t="shared" si="49"/>
        <v>Oppose</v>
      </c>
      <c r="BD68" s="32">
        <f t="shared" si="50"/>
        <v>4</v>
      </c>
      <c r="BE68">
        <f>step3_validation[[#This Row],[AI_OUT1]]</f>
        <v>9</v>
      </c>
      <c r="BF68" t="str">
        <f t="shared" si="51"/>
        <v>Support</v>
      </c>
      <c r="BG68">
        <f>survey_responses[[#This Row],[Sau khi xem xét các quyền lợi và nghĩa vụ, bạn có ủng hộ và tuân thủ chính sách mới hiện nay? - HUMAN-OUT1]]</f>
        <v>3</v>
      </c>
      <c r="BH68" t="str">
        <f t="shared" si="52"/>
        <v>Oppose</v>
      </c>
      <c r="BI68" s="32">
        <f t="shared" si="53"/>
        <v>6</v>
      </c>
    </row>
    <row r="69" spans="1:61" x14ac:dyDescent="0.45">
      <c r="A69" s="30">
        <f>step3_validation[[#This Row],[Persona_ID]]</f>
        <v>68</v>
      </c>
      <c r="B69" s="31">
        <f>step3_validation[[#This Row],[Used_Seed]]</f>
        <v>12412</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53.094981893488004</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t="str">
        <f t="shared" si="27"/>
        <v>Neutral</v>
      </c>
      <c r="S69">
        <f>survey_responses[[#This Row],[Tôi tin rằng với các quy định quản lý thuế hiện nay, hành vi gian lận hoặc trốn thuế sẽ dễ dàng bị phát hiện và xử lý nghiêm. - HUMAN-ENF1]]</f>
        <v>4</v>
      </c>
      <c r="T69" t="str">
        <f t="shared" si="28"/>
        <v>Oppose</v>
      </c>
      <c r="U69" s="32">
        <f t="shared" si="29"/>
        <v>3</v>
      </c>
      <c r="V69">
        <f>step3_validation[[#This Row],[AI_ENF2]]</f>
        <v>6</v>
      </c>
      <c r="W69" t="str">
        <f t="shared" si="30"/>
        <v>Neutral</v>
      </c>
      <c r="X69">
        <f>survey_responses[[#This Row],[Tôi tin rằng Nhà nước, cơ quan thuế có đủ khả năng và công nghệ để phát hiện, xử lý nghiêm các hành vi trốn thuế. - HUMAN-ENF2]]</f>
        <v>3</v>
      </c>
      <c r="Y69" t="str">
        <f t="shared" si="31"/>
        <v>Oppose</v>
      </c>
      <c r="Z69" s="32">
        <f t="shared" si="32"/>
        <v>3</v>
      </c>
      <c r="AA69">
        <f>step3_validation[[#This Row],[AI_FAC1]]</f>
        <v>9</v>
      </c>
      <c r="AB69" t="str">
        <f t="shared" si="33"/>
        <v>Support</v>
      </c>
      <c r="AC69">
        <f>survey_responses[[#This Row],[Các thủ tục khai báo thuế VÀ/HOẶC quy trình làm việc với cơ quan thuế đơn giản, tiện lợi, nhanh chóng hơn so với trước đây. - HUMAN-FAC1]]</f>
        <v>1</v>
      </c>
      <c r="AD69" t="str">
        <f t="shared" si="34"/>
        <v>Oppose</v>
      </c>
      <c r="AE69" s="32">
        <f t="shared" si="35"/>
        <v>8</v>
      </c>
      <c r="AF69">
        <f>step3_validation[[#This Row],[AI_FAC2]]</f>
        <v>8</v>
      </c>
      <c r="AG69" t="str">
        <f t="shared" si="36"/>
        <v>Support</v>
      </c>
      <c r="AH69">
        <f>survey_responses[[#This Row],[So với trước đây, tôi thấy cách tính thuế và các bậc thuế trong phương án mới đơn giản, dễ hiểu và dễ thực hiện hơn. - HUMAN-FAC2]]</f>
        <v>5</v>
      </c>
      <c r="AI69" t="str">
        <f t="shared" si="37"/>
        <v>Neutral</v>
      </c>
      <c r="AJ69" s="32">
        <f t="shared" si="38"/>
        <v>3</v>
      </c>
      <c r="AK69">
        <f>step3_validation[[#This Row],[AI_TRU1]]</f>
        <v>7</v>
      </c>
      <c r="AL69" t="str">
        <f t="shared" si="39"/>
        <v>Neutral</v>
      </c>
      <c r="AM69">
        <f>survey_responses[[#This Row],[Tôi tin rằng Nhà nước, cơ quan thuế sẽ thực thi chính sách mới một cách khách quan, công tâm và đối xử bình đẳng với mọi người nộp thuế.  - HUMAN-TRU1]]</f>
        <v>4</v>
      </c>
      <c r="AN69" t="str">
        <f t="shared" si="40"/>
        <v>Oppose</v>
      </c>
      <c r="AO69" s="32">
        <f t="shared" si="41"/>
        <v>3</v>
      </c>
      <c r="AP69">
        <f>step3_validation[[#This Row],[AI_TRU2]]</f>
        <v>8</v>
      </c>
      <c r="AQ69" t="str">
        <f t="shared" si="42"/>
        <v>Support</v>
      </c>
      <c r="AR69">
        <f>survey_responses[[#This Row],[Tôi thấy mức thuế tôi phải đóng theo phương án mới là công bằng (người thu nhập như tôi đóng mức này là hợp lý). - HUMAN-TRU2]]</f>
        <v>3</v>
      </c>
      <c r="AS69" t="str">
        <f t="shared" si="43"/>
        <v>Oppose</v>
      </c>
      <c r="AT69" s="32">
        <f t="shared" si="44"/>
        <v>5</v>
      </c>
      <c r="AU69">
        <f>step3_validation[[#This Row],[AI_TRU3]]</f>
        <v>7</v>
      </c>
      <c r="AV69" t="str">
        <f t="shared" si="45"/>
        <v>Neutral</v>
      </c>
      <c r="AW69">
        <f>survey_responses[[#This Row],[Tôi tin tưởng số tiền thuế tôi đóng sẽ được Nhà nước sử dụng hiệu quả để cải thiện dịch vụ công (y tế, đường xá...). - HUMAN-TRU3]]</f>
        <v>1</v>
      </c>
      <c r="AX69" t="str">
        <f t="shared" si="46"/>
        <v>Oppose</v>
      </c>
      <c r="AY69" s="32">
        <f t="shared" si="47"/>
        <v>6</v>
      </c>
      <c r="AZ69">
        <f>step3_validation[[#This Row],[AI_TRU4]]</f>
        <v>8</v>
      </c>
      <c r="BA69" t="str">
        <f t="shared" si="48"/>
        <v>Support</v>
      </c>
      <c r="BB69">
        <f>survey_responses[[#This Row],[Tôi thấy Nhà nước đã giải thích rõ ràng, minh bạch về lý do và mục tiêu của việc sửa đổi thuế lần này. - HUMAN-TRU4]]</f>
        <v>3</v>
      </c>
      <c r="BC69" t="str">
        <f t="shared" si="49"/>
        <v>Oppose</v>
      </c>
      <c r="BD69" s="32">
        <f t="shared" si="50"/>
        <v>5</v>
      </c>
      <c r="BE69">
        <f>step3_validation[[#This Row],[AI_OUT1]]</f>
        <v>9</v>
      </c>
      <c r="BF69" t="str">
        <f t="shared" si="51"/>
        <v>Support</v>
      </c>
      <c r="BG69">
        <f>survey_responses[[#This Row],[Sau khi xem xét các quyền lợi và nghĩa vụ, bạn có ủng hộ và tuân thủ chính sách mới hiện nay? - HUMAN-OUT1]]</f>
        <v>5</v>
      </c>
      <c r="BH69" t="str">
        <f t="shared" si="52"/>
        <v>Neutral</v>
      </c>
      <c r="BI69" s="32">
        <f t="shared" si="53"/>
        <v>4</v>
      </c>
    </row>
    <row r="70" spans="1:61" x14ac:dyDescent="0.45">
      <c r="A70" s="30">
        <f>step3_validation[[#This Row],[Persona_ID]]</f>
        <v>69</v>
      </c>
      <c r="B70" s="31">
        <f>step3_validation[[#This Row],[Used_Seed]]</f>
        <v>12413</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20.004502608983355</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9</v>
      </c>
      <c r="R70" t="str">
        <f t="shared" si="27"/>
        <v>Support</v>
      </c>
      <c r="S70">
        <f>survey_responses[[#This Row],[Tôi tin rằng với các quy định quản lý thuế hiện nay, hành vi gian lận hoặc trốn thuế sẽ dễ dàng bị phát hiện và xử lý nghiêm. - HUMAN-ENF1]]</f>
        <v>7</v>
      </c>
      <c r="T70" t="str">
        <f t="shared" si="28"/>
        <v>Neutral</v>
      </c>
      <c r="U70" s="32">
        <f t="shared" si="29"/>
        <v>2</v>
      </c>
      <c r="V70">
        <f>step3_validation[[#This Row],[AI_ENF2]]</f>
        <v>8</v>
      </c>
      <c r="W70" t="str">
        <f t="shared" si="30"/>
        <v>Support</v>
      </c>
      <c r="X70">
        <f>survey_responses[[#This Row],[Tôi tin rằng Nhà nước, cơ quan thuế có đủ khả năng và công nghệ để phát hiện, xử lý nghiêm các hành vi trốn thuế. - HUMAN-ENF2]]</f>
        <v>7</v>
      </c>
      <c r="Y70" t="str">
        <f t="shared" si="31"/>
        <v>Neutral</v>
      </c>
      <c r="Z70" s="32">
        <f t="shared" si="32"/>
        <v>1</v>
      </c>
      <c r="AA70">
        <f>step3_validation[[#This Row],[AI_FAC1]]</f>
        <v>9</v>
      </c>
      <c r="AB70" t="str">
        <f t="shared" si="33"/>
        <v>Support</v>
      </c>
      <c r="AC70">
        <f>survey_responses[[#This Row],[Các thủ tục khai báo thuế VÀ/HOẶC quy trình làm việc với cơ quan thuế đơn giản, tiện lợi, nhanh chóng hơn so với trước đây. - HUMAN-FAC1]]</f>
        <v>8</v>
      </c>
      <c r="AD70" t="str">
        <f t="shared" si="34"/>
        <v>Support</v>
      </c>
      <c r="AE70" s="32">
        <f t="shared" si="35"/>
        <v>1</v>
      </c>
      <c r="AF70">
        <f>step3_validation[[#This Row],[AI_FAC2]]</f>
        <v>10</v>
      </c>
      <c r="AG70" t="str">
        <f t="shared" si="36"/>
        <v>Support</v>
      </c>
      <c r="AH70">
        <f>survey_responses[[#This Row],[So với trước đây, tôi thấy cách tính thuế và các bậc thuế trong phương án mới đơn giản, dễ hiểu và dễ thực hiện hơn. - HUMAN-FAC2]]</f>
        <v>9</v>
      </c>
      <c r="AI70" t="str">
        <f t="shared" si="37"/>
        <v>Support</v>
      </c>
      <c r="AJ70" s="32">
        <f t="shared" si="38"/>
        <v>1</v>
      </c>
      <c r="AK70">
        <f>step3_validation[[#This Row],[AI_TRU1]]</f>
        <v>9</v>
      </c>
      <c r="AL70" t="str">
        <f t="shared" si="39"/>
        <v>Support</v>
      </c>
      <c r="AM70">
        <f>survey_responses[[#This Row],[Tôi tin rằng Nhà nước, cơ quan thuế sẽ thực thi chính sách mới một cách khách quan, công tâm và đối xử bình đẳng với mọi người nộp thuế.  - HUMAN-TRU1]]</f>
        <v>8</v>
      </c>
      <c r="AN70" t="str">
        <f t="shared" si="40"/>
        <v>Support</v>
      </c>
      <c r="AO70" s="32">
        <f t="shared" si="41"/>
        <v>1</v>
      </c>
      <c r="AP70">
        <f>step3_validation[[#This Row],[AI_TRU2]]</f>
        <v>8</v>
      </c>
      <c r="AQ70" t="str">
        <f t="shared" si="42"/>
        <v>Support</v>
      </c>
      <c r="AR70">
        <f>survey_responses[[#This Row],[Tôi thấy mức thuế tôi phải đóng theo phương án mới là công bằng (người thu nhập như tôi đóng mức này là hợp lý). - HUMAN-TRU2]]</f>
        <v>10</v>
      </c>
      <c r="AS70" t="str">
        <f t="shared" si="43"/>
        <v>Support</v>
      </c>
      <c r="AT70" s="32">
        <f t="shared" si="44"/>
        <v>2</v>
      </c>
      <c r="AU70">
        <f>step3_validation[[#This Row],[AI_TRU3]]</f>
        <v>9</v>
      </c>
      <c r="AV70" t="str">
        <f t="shared" si="45"/>
        <v>Support</v>
      </c>
      <c r="AW70">
        <f>survey_responses[[#This Row],[Tôi tin tưởng số tiền thuế tôi đóng sẽ được Nhà nước sử dụng hiệu quả để cải thiện dịch vụ công (y tế, đường xá...). - HUMAN-TRU3]]</f>
        <v>9</v>
      </c>
      <c r="AX70" t="str">
        <f t="shared" si="46"/>
        <v>Support</v>
      </c>
      <c r="AY70" s="32">
        <f t="shared" si="47"/>
        <v>0</v>
      </c>
      <c r="AZ70">
        <f>step3_validation[[#This Row],[AI_TRU4]]</f>
        <v>10</v>
      </c>
      <c r="BA70" t="str">
        <f t="shared" si="48"/>
        <v>Support</v>
      </c>
      <c r="BB70">
        <f>survey_responses[[#This Row],[Tôi thấy Nhà nước đã giải thích rõ ràng, minh bạch về lý do và mục tiêu của việc sửa đổi thuế lần này. - HUMAN-TRU4]]</f>
        <v>9</v>
      </c>
      <c r="BC70" t="str">
        <f t="shared" si="49"/>
        <v>Support</v>
      </c>
      <c r="BD70" s="32">
        <f t="shared" si="50"/>
        <v>1</v>
      </c>
      <c r="BE70">
        <f>step3_validation[[#This Row],[AI_OUT1]]</f>
        <v>9</v>
      </c>
      <c r="BF70" t="str">
        <f t="shared" si="51"/>
        <v>Support</v>
      </c>
      <c r="BG70">
        <f>survey_responses[[#This Row],[Sau khi xem xét các quyền lợi và nghĩa vụ, bạn có ủng hộ và tuân thủ chính sách mới hiện nay? - HUMAN-OUT1]]</f>
        <v>9</v>
      </c>
      <c r="BH70" t="str">
        <f t="shared" si="52"/>
        <v>Support</v>
      </c>
      <c r="BI70" s="32">
        <f t="shared" si="53"/>
        <v>0</v>
      </c>
    </row>
    <row r="71" spans="1:61" x14ac:dyDescent="0.45">
      <c r="A71" s="30">
        <f>step3_validation[[#This Row],[Persona_ID]]</f>
        <v>70</v>
      </c>
      <c r="B71" s="31">
        <f>step3_validation[[#This Row],[Used_Seed]]</f>
        <v>12414</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176.18011881551902</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t="str">
        <f t="shared" si="27"/>
        <v>Neutral</v>
      </c>
      <c r="S71">
        <f>survey_responses[[#This Row],[Tôi tin rằng với các quy định quản lý thuế hiện nay, hành vi gian lận hoặc trốn thuế sẽ dễ dàng bị phát hiện và xử lý nghiêm. - HUMAN-ENF1]]</f>
        <v>6</v>
      </c>
      <c r="T71" t="str">
        <f t="shared" si="28"/>
        <v>Neutral</v>
      </c>
      <c r="U71" s="32">
        <f t="shared" si="29"/>
        <v>1</v>
      </c>
      <c r="V71">
        <f>step3_validation[[#This Row],[AI_ENF2]]</f>
        <v>7</v>
      </c>
      <c r="W71" t="str">
        <f t="shared" si="30"/>
        <v>Neutral</v>
      </c>
      <c r="X71">
        <f>survey_responses[[#This Row],[Tôi tin rằng Nhà nước, cơ quan thuế có đủ khả năng và công nghệ để phát hiện, xử lý nghiêm các hành vi trốn thuế. - HUMAN-ENF2]]</f>
        <v>6</v>
      </c>
      <c r="Y71" t="str">
        <f t="shared" si="31"/>
        <v>Neutral</v>
      </c>
      <c r="Z71" s="32">
        <f t="shared" si="32"/>
        <v>1</v>
      </c>
      <c r="AA71">
        <f>step3_validation[[#This Row],[AI_FAC1]]</f>
        <v>8</v>
      </c>
      <c r="AB71" t="str">
        <f t="shared" si="33"/>
        <v>Support</v>
      </c>
      <c r="AC71">
        <f>survey_responses[[#This Row],[Các thủ tục khai báo thuế VÀ/HOẶC quy trình làm việc với cơ quan thuế đơn giản, tiện lợi, nhanh chóng hơn so với trước đây. - HUMAN-FAC1]]</f>
        <v>5</v>
      </c>
      <c r="AD71" t="str">
        <f t="shared" si="34"/>
        <v>Neutral</v>
      </c>
      <c r="AE71" s="32">
        <f t="shared" si="35"/>
        <v>3</v>
      </c>
      <c r="AF71">
        <f>step3_validation[[#This Row],[AI_FAC2]]</f>
        <v>9</v>
      </c>
      <c r="AG71" t="str">
        <f t="shared" si="36"/>
        <v>Support</v>
      </c>
      <c r="AH71">
        <f>survey_responses[[#This Row],[So với trước đây, tôi thấy cách tính thuế và các bậc thuế trong phương án mới đơn giản, dễ hiểu và dễ thực hiện hơn. - HUMAN-FAC2]]</f>
        <v>5</v>
      </c>
      <c r="AI71" t="str">
        <f t="shared" si="37"/>
        <v>Neutral</v>
      </c>
      <c r="AJ71" s="32">
        <f t="shared" si="38"/>
        <v>4</v>
      </c>
      <c r="AK71">
        <f>step3_validation[[#This Row],[AI_TRU1]]</f>
        <v>7</v>
      </c>
      <c r="AL71" t="str">
        <f t="shared" si="39"/>
        <v>Neutral</v>
      </c>
      <c r="AM71">
        <f>survey_responses[[#This Row],[Tôi tin rằng Nhà nước, cơ quan thuế sẽ thực thi chính sách mới một cách khách quan, công tâm và đối xử bình đẳng với mọi người nộp thuế.  - HUMAN-TRU1]]</f>
        <v>5</v>
      </c>
      <c r="AN71" t="str">
        <f t="shared" si="40"/>
        <v>Neutral</v>
      </c>
      <c r="AO71" s="32">
        <f t="shared" si="41"/>
        <v>2</v>
      </c>
      <c r="AP71">
        <f>step3_validation[[#This Row],[AI_TRU2]]</f>
        <v>7</v>
      </c>
      <c r="AQ71" t="str">
        <f t="shared" si="42"/>
        <v>Neutral</v>
      </c>
      <c r="AR71">
        <f>survey_responses[[#This Row],[Tôi thấy mức thuế tôi phải đóng theo phương án mới là công bằng (người thu nhập như tôi đóng mức này là hợp lý). - HUMAN-TRU2]]</f>
        <v>1</v>
      </c>
      <c r="AS71" t="str">
        <f t="shared" si="43"/>
        <v>Oppose</v>
      </c>
      <c r="AT71" s="32">
        <f t="shared" si="44"/>
        <v>6</v>
      </c>
      <c r="AU71">
        <f>step3_validation[[#This Row],[AI_TRU3]]</f>
        <v>6</v>
      </c>
      <c r="AV71" t="str">
        <f t="shared" si="45"/>
        <v>Neutral</v>
      </c>
      <c r="AW71">
        <f>survey_responses[[#This Row],[Tôi tin tưởng số tiền thuế tôi đóng sẽ được Nhà nước sử dụng hiệu quả để cải thiện dịch vụ công (y tế, đường xá...). - HUMAN-TRU3]]</f>
        <v>5</v>
      </c>
      <c r="AX71" t="str">
        <f t="shared" si="46"/>
        <v>Neutral</v>
      </c>
      <c r="AY71" s="32">
        <f t="shared" si="47"/>
        <v>1</v>
      </c>
      <c r="AZ71">
        <f>step3_validation[[#This Row],[AI_TRU4]]</f>
        <v>7</v>
      </c>
      <c r="BA71" t="str">
        <f t="shared" si="48"/>
        <v>Neutral</v>
      </c>
      <c r="BB71">
        <f>survey_responses[[#This Row],[Tôi thấy Nhà nước đã giải thích rõ ràng, minh bạch về lý do và mục tiêu của việc sửa đổi thuế lần này. - HUMAN-TRU4]]</f>
        <v>5</v>
      </c>
      <c r="BC71" t="str">
        <f t="shared" si="49"/>
        <v>Neutral</v>
      </c>
      <c r="BD71" s="32">
        <f t="shared" si="50"/>
        <v>2</v>
      </c>
      <c r="BE71">
        <f>step3_validation[[#This Row],[AI_OUT1]]</f>
        <v>8</v>
      </c>
      <c r="BF71" t="str">
        <f t="shared" si="51"/>
        <v>Support</v>
      </c>
      <c r="BG71">
        <f>survey_responses[[#This Row],[Sau khi xem xét các quyền lợi và nghĩa vụ, bạn có ủng hộ và tuân thủ chính sách mới hiện nay? - HUMAN-OUT1]]</f>
        <v>5</v>
      </c>
      <c r="BH71" t="str">
        <f t="shared" si="52"/>
        <v>Neutral</v>
      </c>
      <c r="BI71" s="32">
        <f t="shared" si="53"/>
        <v>3</v>
      </c>
    </row>
    <row r="72" spans="1:61" x14ac:dyDescent="0.45">
      <c r="A72" s="30">
        <f>step3_validation[[#This Row],[Persona_ID]]</f>
        <v>71</v>
      </c>
      <c r="B72" s="31">
        <f>step3_validation[[#This Row],[Used_Seed]]</f>
        <v>12415</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28.784619879217345</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t="str">
        <f t="shared" si="27"/>
        <v>Neutral</v>
      </c>
      <c r="S72">
        <f>survey_responses[[#This Row],[Tôi tin rằng với các quy định quản lý thuế hiện nay, hành vi gian lận hoặc trốn thuế sẽ dễ dàng bị phát hiện và xử lý nghiêm. - HUMAN-ENF1]]</f>
        <v>3</v>
      </c>
      <c r="T72" t="str">
        <f t="shared" si="28"/>
        <v>Oppose</v>
      </c>
      <c r="U72" s="32">
        <f t="shared" si="29"/>
        <v>4</v>
      </c>
      <c r="V72">
        <f>step3_validation[[#This Row],[AI_ENF2]]</f>
        <v>6</v>
      </c>
      <c r="W72" t="str">
        <f t="shared" si="30"/>
        <v>Neutral</v>
      </c>
      <c r="X72">
        <f>survey_responses[[#This Row],[Tôi tin rằng Nhà nước, cơ quan thuế có đủ khả năng và công nghệ để phát hiện, xử lý nghiêm các hành vi trốn thuế. - HUMAN-ENF2]]</f>
        <v>3</v>
      </c>
      <c r="Y72" t="str">
        <f t="shared" si="31"/>
        <v>Oppose</v>
      </c>
      <c r="Z72" s="32">
        <f t="shared" si="32"/>
        <v>3</v>
      </c>
      <c r="AA72">
        <f>step3_validation[[#This Row],[AI_FAC1]]</f>
        <v>8</v>
      </c>
      <c r="AB72" t="str">
        <f t="shared" si="33"/>
        <v>Support</v>
      </c>
      <c r="AC72">
        <f>survey_responses[[#This Row],[Các thủ tục khai báo thuế VÀ/HOẶC quy trình làm việc với cơ quan thuế đơn giản, tiện lợi, nhanh chóng hơn so với trước đây. - HUMAN-FAC1]]</f>
        <v>3</v>
      </c>
      <c r="AD72" t="str">
        <f t="shared" si="34"/>
        <v>Oppose</v>
      </c>
      <c r="AE72" s="32">
        <f t="shared" si="35"/>
        <v>5</v>
      </c>
      <c r="AF72">
        <f>step3_validation[[#This Row],[AI_FAC2]]</f>
        <v>9</v>
      </c>
      <c r="AG72" t="str">
        <f t="shared" si="36"/>
        <v>Support</v>
      </c>
      <c r="AH72">
        <f>survey_responses[[#This Row],[So với trước đây, tôi thấy cách tính thuế và các bậc thuế trong phương án mới đơn giản, dễ hiểu và dễ thực hiện hơn. - HUMAN-FAC2]]</f>
        <v>5</v>
      </c>
      <c r="AI72" t="str">
        <f t="shared" si="37"/>
        <v>Neutral</v>
      </c>
      <c r="AJ72" s="32">
        <f t="shared" si="38"/>
        <v>4</v>
      </c>
      <c r="AK72">
        <f>step3_validation[[#This Row],[AI_TRU1]]</f>
        <v>8</v>
      </c>
      <c r="AL72" t="str">
        <f t="shared" si="39"/>
        <v>Support</v>
      </c>
      <c r="AM72">
        <f>survey_responses[[#This Row],[Tôi tin rằng Nhà nước, cơ quan thuế sẽ thực thi chính sách mới một cách khách quan, công tâm và đối xử bình đẳng với mọi người nộp thuế.  - HUMAN-TRU1]]</f>
        <v>3</v>
      </c>
      <c r="AN72" t="str">
        <f t="shared" si="40"/>
        <v>Oppose</v>
      </c>
      <c r="AO72" s="32">
        <f t="shared" si="41"/>
        <v>5</v>
      </c>
      <c r="AP72">
        <f>step3_validation[[#This Row],[AI_TRU2]]</f>
        <v>9</v>
      </c>
      <c r="AQ72" t="str">
        <f t="shared" si="42"/>
        <v>Support</v>
      </c>
      <c r="AR72">
        <f>survey_responses[[#This Row],[Tôi thấy mức thuế tôi phải đóng theo phương án mới là công bằng (người thu nhập như tôi đóng mức này là hợp lý). - HUMAN-TRU2]]</f>
        <v>3</v>
      </c>
      <c r="AS72" t="str">
        <f t="shared" si="43"/>
        <v>Oppose</v>
      </c>
      <c r="AT72" s="32">
        <f t="shared" si="44"/>
        <v>6</v>
      </c>
      <c r="AU72">
        <f>step3_validation[[#This Row],[AI_TRU3]]</f>
        <v>8</v>
      </c>
      <c r="AV72" t="str">
        <f t="shared" si="45"/>
        <v>Support</v>
      </c>
      <c r="AW72">
        <f>survey_responses[[#This Row],[Tôi tin tưởng số tiền thuế tôi đóng sẽ được Nhà nước sử dụng hiệu quả để cải thiện dịch vụ công (y tế, đường xá...). - HUMAN-TRU3]]</f>
        <v>3</v>
      </c>
      <c r="AX72" t="str">
        <f t="shared" si="46"/>
        <v>Oppose</v>
      </c>
      <c r="AY72" s="32">
        <f t="shared" si="47"/>
        <v>5</v>
      </c>
      <c r="AZ72">
        <f>step3_validation[[#This Row],[AI_TRU4]]</f>
        <v>7</v>
      </c>
      <c r="BA72" t="str">
        <f t="shared" si="48"/>
        <v>Neutral</v>
      </c>
      <c r="BB72">
        <f>survey_responses[[#This Row],[Tôi thấy Nhà nước đã giải thích rõ ràng, minh bạch về lý do và mục tiêu của việc sửa đổi thuế lần này. - HUMAN-TRU4]]</f>
        <v>3</v>
      </c>
      <c r="BC72" t="str">
        <f t="shared" si="49"/>
        <v>Oppose</v>
      </c>
      <c r="BD72" s="32">
        <f t="shared" si="50"/>
        <v>4</v>
      </c>
      <c r="BE72">
        <f>step3_validation[[#This Row],[AI_OUT1]]</f>
        <v>9</v>
      </c>
      <c r="BF72" t="str">
        <f t="shared" si="51"/>
        <v>Support</v>
      </c>
      <c r="BG72">
        <f>survey_responses[[#This Row],[Sau khi xem xét các quyền lợi và nghĩa vụ, bạn có ủng hộ và tuân thủ chính sách mới hiện nay? - HUMAN-OUT1]]</f>
        <v>4</v>
      </c>
      <c r="BH72" t="str">
        <f t="shared" si="52"/>
        <v>Oppose</v>
      </c>
      <c r="BI72" s="32">
        <f t="shared" si="53"/>
        <v>5</v>
      </c>
    </row>
    <row r="73" spans="1:61" x14ac:dyDescent="0.45">
      <c r="A73" s="30">
        <f>step3_validation[[#This Row],[Persona_ID]]</f>
        <v>72</v>
      </c>
      <c r="B73" s="31">
        <f>step3_validation[[#This Row],[Used_Seed]]</f>
        <v>12416</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20.235315403830867</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8</v>
      </c>
      <c r="R73" t="str">
        <f t="shared" si="27"/>
        <v>Support</v>
      </c>
      <c r="S73">
        <f>survey_responses[[#This Row],[Tôi tin rằng với các quy định quản lý thuế hiện nay, hành vi gian lận hoặc trốn thuế sẽ dễ dàng bị phát hiện và xử lý nghiêm. - HUMAN-ENF1]]</f>
        <v>8</v>
      </c>
      <c r="T73" t="str">
        <f t="shared" si="28"/>
        <v>Support</v>
      </c>
      <c r="U73" s="32">
        <f t="shared" si="29"/>
        <v>0</v>
      </c>
      <c r="V73">
        <f>step3_validation[[#This Row],[AI_ENF2]]</f>
        <v>9</v>
      </c>
      <c r="W73" t="str">
        <f t="shared" si="30"/>
        <v>Support</v>
      </c>
      <c r="X73">
        <f>survey_responses[[#This Row],[Tôi tin rằng Nhà nước, cơ quan thuế có đủ khả năng và công nghệ để phát hiện, xử lý nghiêm các hành vi trốn thuế. - HUMAN-ENF2]]</f>
        <v>8</v>
      </c>
      <c r="Y73" t="str">
        <f t="shared" si="31"/>
        <v>Support</v>
      </c>
      <c r="Z73" s="32">
        <f t="shared" si="32"/>
        <v>1</v>
      </c>
      <c r="AA73">
        <f>step3_validation[[#This Row],[AI_FAC1]]</f>
        <v>8</v>
      </c>
      <c r="AB73" t="str">
        <f t="shared" si="33"/>
        <v>Support</v>
      </c>
      <c r="AC73">
        <f>survey_responses[[#This Row],[Các thủ tục khai báo thuế VÀ/HOẶC quy trình làm việc với cơ quan thuế đơn giản, tiện lợi, nhanh chóng hơn so với trước đây. - HUMAN-FAC1]]</f>
        <v>4</v>
      </c>
      <c r="AD73" t="str">
        <f t="shared" si="34"/>
        <v>Oppose</v>
      </c>
      <c r="AE73" s="32">
        <f t="shared" si="35"/>
        <v>4</v>
      </c>
      <c r="AF73">
        <f>step3_validation[[#This Row],[AI_FAC2]]</f>
        <v>9</v>
      </c>
      <c r="AG73" t="str">
        <f t="shared" si="36"/>
        <v>Support</v>
      </c>
      <c r="AH73">
        <f>survey_responses[[#This Row],[So với trước đây, tôi thấy cách tính thuế và các bậc thuế trong phương án mới đơn giản, dễ hiểu và dễ thực hiện hơn. - HUMAN-FAC2]]</f>
        <v>2</v>
      </c>
      <c r="AI73" t="str">
        <f t="shared" si="37"/>
        <v>Oppose</v>
      </c>
      <c r="AJ73" s="32">
        <f t="shared" si="38"/>
        <v>7</v>
      </c>
      <c r="AK73">
        <f>step3_validation[[#This Row],[AI_TRU1]]</f>
        <v>8</v>
      </c>
      <c r="AL73" t="str">
        <f t="shared" si="39"/>
        <v>Support</v>
      </c>
      <c r="AM73">
        <f>survey_responses[[#This Row],[Tôi tin rằng Nhà nước, cơ quan thuế sẽ thực thi chính sách mới một cách khách quan, công tâm và đối xử bình đẳng với mọi người nộp thuế.  - HUMAN-TRU1]]</f>
        <v>6</v>
      </c>
      <c r="AN73" t="str">
        <f t="shared" si="40"/>
        <v>Neutral</v>
      </c>
      <c r="AO73" s="32">
        <f t="shared" si="41"/>
        <v>2</v>
      </c>
      <c r="AP73">
        <f>step3_validation[[#This Row],[AI_TRU2]]</f>
        <v>8</v>
      </c>
      <c r="AQ73" t="str">
        <f t="shared" si="42"/>
        <v>Support</v>
      </c>
      <c r="AR73">
        <f>survey_responses[[#This Row],[Tôi thấy mức thuế tôi phải đóng theo phương án mới là công bằng (người thu nhập như tôi đóng mức này là hợp lý). - HUMAN-TRU2]]</f>
        <v>3</v>
      </c>
      <c r="AS73" t="str">
        <f t="shared" si="43"/>
        <v>Oppose</v>
      </c>
      <c r="AT73" s="32">
        <f t="shared" si="44"/>
        <v>5</v>
      </c>
      <c r="AU73">
        <f>step3_validation[[#This Row],[AI_TRU3]]</f>
        <v>8</v>
      </c>
      <c r="AV73" t="str">
        <f t="shared" si="45"/>
        <v>Support</v>
      </c>
      <c r="AW73">
        <f>survey_responses[[#This Row],[Tôi tin tưởng số tiền thuế tôi đóng sẽ được Nhà nước sử dụng hiệu quả để cải thiện dịch vụ công (y tế, đường xá...). - HUMAN-TRU3]]</f>
        <v>8</v>
      </c>
      <c r="AX73" t="str">
        <f t="shared" si="46"/>
        <v>Support</v>
      </c>
      <c r="AY73" s="32">
        <f t="shared" si="47"/>
        <v>0</v>
      </c>
      <c r="AZ73">
        <f>step3_validation[[#This Row],[AI_TRU4]]</f>
        <v>7</v>
      </c>
      <c r="BA73" t="str">
        <f t="shared" si="48"/>
        <v>Neutral</v>
      </c>
      <c r="BB73">
        <f>survey_responses[[#This Row],[Tôi thấy Nhà nước đã giải thích rõ ràng, minh bạch về lý do và mục tiêu của việc sửa đổi thuế lần này. - HUMAN-TRU4]]</f>
        <v>4</v>
      </c>
      <c r="BC73" t="str">
        <f t="shared" si="49"/>
        <v>Oppose</v>
      </c>
      <c r="BD73" s="32">
        <f t="shared" si="50"/>
        <v>3</v>
      </c>
      <c r="BE73">
        <f>step3_validation[[#This Row],[AI_OUT1]]</f>
        <v>8</v>
      </c>
      <c r="BF73" t="str">
        <f t="shared" si="51"/>
        <v>Support</v>
      </c>
      <c r="BG73">
        <f>survey_responses[[#This Row],[Sau khi xem xét các quyền lợi và nghĩa vụ, bạn có ủng hộ và tuân thủ chính sách mới hiện nay? - HUMAN-OUT1]]</f>
        <v>8</v>
      </c>
      <c r="BH73" t="str">
        <f t="shared" si="52"/>
        <v>Support</v>
      </c>
      <c r="BI73" s="32">
        <f t="shared" si="53"/>
        <v>0</v>
      </c>
    </row>
    <row r="74" spans="1:61" x14ac:dyDescent="0.45">
      <c r="A74" s="30">
        <f>step3_validation[[#This Row],[Persona_ID]]</f>
        <v>73</v>
      </c>
      <c r="B74" s="31">
        <f>step3_validation[[#This Row],[Used_Seed]]</f>
        <v>12417</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14.673189306981197</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t="str">
        <f t="shared" si="27"/>
        <v>Neutral</v>
      </c>
      <c r="S74">
        <f>survey_responses[[#This Row],[Tôi tin rằng với các quy định quản lý thuế hiện nay, hành vi gian lận hoặc trốn thuế sẽ dễ dàng bị phát hiện và xử lý nghiêm. - HUMAN-ENF1]]</f>
        <v>5</v>
      </c>
      <c r="T74" t="str">
        <f t="shared" si="28"/>
        <v>Neutral</v>
      </c>
      <c r="U74" s="32">
        <f t="shared" si="29"/>
        <v>2</v>
      </c>
      <c r="V74">
        <f>step3_validation[[#This Row],[AI_ENF2]]</f>
        <v>7</v>
      </c>
      <c r="W74" t="str">
        <f t="shared" si="30"/>
        <v>Neutral</v>
      </c>
      <c r="X74">
        <f>survey_responses[[#This Row],[Tôi tin rằng Nhà nước, cơ quan thuế có đủ khả năng và công nghệ để phát hiện, xử lý nghiêm các hành vi trốn thuế. - HUMAN-ENF2]]</f>
        <v>5</v>
      </c>
      <c r="Y74" t="str">
        <f t="shared" si="31"/>
        <v>Neutral</v>
      </c>
      <c r="Z74" s="32">
        <f t="shared" si="32"/>
        <v>2</v>
      </c>
      <c r="AA74">
        <f>step3_validation[[#This Row],[AI_FAC1]]</f>
        <v>6</v>
      </c>
      <c r="AB74" t="str">
        <f t="shared" si="33"/>
        <v>Neutral</v>
      </c>
      <c r="AC74">
        <f>survey_responses[[#This Row],[Các thủ tục khai báo thuế VÀ/HOẶC quy trình làm việc với cơ quan thuế đơn giản, tiện lợi, nhanh chóng hơn so với trước đây. - HUMAN-FAC1]]</f>
        <v>5</v>
      </c>
      <c r="AD74" t="str">
        <f t="shared" si="34"/>
        <v>Neutral</v>
      </c>
      <c r="AE74" s="32">
        <f t="shared" si="35"/>
        <v>1</v>
      </c>
      <c r="AF74">
        <f>step3_validation[[#This Row],[AI_FAC2]]</f>
        <v>9</v>
      </c>
      <c r="AG74" t="str">
        <f t="shared" si="36"/>
        <v>Support</v>
      </c>
      <c r="AH74">
        <f>survey_responses[[#This Row],[So với trước đây, tôi thấy cách tính thuế và các bậc thuế trong phương án mới đơn giản, dễ hiểu và dễ thực hiện hơn. - HUMAN-FAC2]]</f>
        <v>5</v>
      </c>
      <c r="AI74" t="str">
        <f t="shared" si="37"/>
        <v>Neutral</v>
      </c>
      <c r="AJ74" s="32">
        <f t="shared" si="38"/>
        <v>4</v>
      </c>
      <c r="AK74">
        <f>step3_validation[[#This Row],[AI_TRU1]]</f>
        <v>8</v>
      </c>
      <c r="AL74" t="str">
        <f t="shared" si="39"/>
        <v>Support</v>
      </c>
      <c r="AM74">
        <f>survey_responses[[#This Row],[Tôi tin rằng Nhà nước, cơ quan thuế sẽ thực thi chính sách mới một cách khách quan, công tâm và đối xử bình đẳng với mọi người nộp thuế.  - HUMAN-TRU1]]</f>
        <v>5</v>
      </c>
      <c r="AN74" t="str">
        <f t="shared" si="40"/>
        <v>Neutral</v>
      </c>
      <c r="AO74" s="32">
        <f t="shared" si="41"/>
        <v>3</v>
      </c>
      <c r="AP74">
        <f>step3_validation[[#This Row],[AI_TRU2]]</f>
        <v>9</v>
      </c>
      <c r="AQ74" t="str">
        <f t="shared" si="42"/>
        <v>Support</v>
      </c>
      <c r="AR74">
        <f>survey_responses[[#This Row],[Tôi thấy mức thuế tôi phải đóng theo phương án mới là công bằng (người thu nhập như tôi đóng mức này là hợp lý). - HUMAN-TRU2]]</f>
        <v>10</v>
      </c>
      <c r="AS74" t="str">
        <f t="shared" si="43"/>
        <v>Support</v>
      </c>
      <c r="AT74" s="32">
        <f t="shared" si="44"/>
        <v>1</v>
      </c>
      <c r="AU74">
        <f>step3_validation[[#This Row],[AI_TRU3]]</f>
        <v>7</v>
      </c>
      <c r="AV74" t="str">
        <f t="shared" si="45"/>
        <v>Neutral</v>
      </c>
      <c r="AW74">
        <f>survey_responses[[#This Row],[Tôi tin tưởng số tiền thuế tôi đóng sẽ được Nhà nước sử dụng hiệu quả để cải thiện dịch vụ công (y tế, đường xá...). - HUMAN-TRU3]]</f>
        <v>5</v>
      </c>
      <c r="AX74" t="str">
        <f t="shared" si="46"/>
        <v>Neutral</v>
      </c>
      <c r="AY74" s="32">
        <f t="shared" si="47"/>
        <v>2</v>
      </c>
      <c r="AZ74">
        <f>step3_validation[[#This Row],[AI_TRU4]]</f>
        <v>8</v>
      </c>
      <c r="BA74" t="str">
        <f t="shared" si="48"/>
        <v>Support</v>
      </c>
      <c r="BB74">
        <f>survey_responses[[#This Row],[Tôi thấy Nhà nước đã giải thích rõ ràng, minh bạch về lý do và mục tiêu của việc sửa đổi thuế lần này. - HUMAN-TRU4]]</f>
        <v>5</v>
      </c>
      <c r="BC74" t="str">
        <f t="shared" si="49"/>
        <v>Neutral</v>
      </c>
      <c r="BD74" s="32">
        <f t="shared" si="50"/>
        <v>3</v>
      </c>
      <c r="BE74">
        <f>step3_validation[[#This Row],[AI_OUT1]]</f>
        <v>9</v>
      </c>
      <c r="BF74" t="str">
        <f t="shared" si="51"/>
        <v>Support</v>
      </c>
      <c r="BG74">
        <f>survey_responses[[#This Row],[Sau khi xem xét các quyền lợi và nghĩa vụ, bạn có ủng hộ và tuân thủ chính sách mới hiện nay? - HUMAN-OUT1]]</f>
        <v>10</v>
      </c>
      <c r="BH74" t="str">
        <f t="shared" si="52"/>
        <v>Support</v>
      </c>
      <c r="BI74" s="32">
        <f t="shared" si="53"/>
        <v>1</v>
      </c>
    </row>
    <row r="75" spans="1:61" x14ac:dyDescent="0.45">
      <c r="A75" s="30">
        <f>step3_validation[[#This Row],[Persona_ID]]</f>
        <v>74</v>
      </c>
      <c r="B75" s="31">
        <f>step3_validation[[#This Row],[Used_Seed]]</f>
        <v>12418</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19.207040619684111</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t="str">
        <f t="shared" si="27"/>
        <v>Neutral</v>
      </c>
      <c r="S75">
        <f>survey_responses[[#This Row],[Tôi tin rằng với các quy định quản lý thuế hiện nay, hành vi gian lận hoặc trốn thuế sẽ dễ dàng bị phát hiện và xử lý nghiêm. - HUMAN-ENF1]]</f>
        <v>5</v>
      </c>
      <c r="T75" t="str">
        <f t="shared" si="28"/>
        <v>Neutral</v>
      </c>
      <c r="U75" s="32">
        <f t="shared" si="29"/>
        <v>2</v>
      </c>
      <c r="V75">
        <f>step3_validation[[#This Row],[AI_ENF2]]</f>
        <v>7</v>
      </c>
      <c r="W75" t="str">
        <f t="shared" si="30"/>
        <v>Neutral</v>
      </c>
      <c r="X75">
        <f>survey_responses[[#This Row],[Tôi tin rằng Nhà nước, cơ quan thuế có đủ khả năng và công nghệ để phát hiện, xử lý nghiêm các hành vi trốn thuế. - HUMAN-ENF2]]</f>
        <v>10</v>
      </c>
      <c r="Y75" t="str">
        <f t="shared" si="31"/>
        <v>Support</v>
      </c>
      <c r="Z75" s="32">
        <f t="shared" si="32"/>
        <v>3</v>
      </c>
      <c r="AA75">
        <f>step3_validation[[#This Row],[AI_FAC1]]</f>
        <v>9</v>
      </c>
      <c r="AB75" t="str">
        <f t="shared" si="33"/>
        <v>Support</v>
      </c>
      <c r="AC75">
        <f>survey_responses[[#This Row],[Các thủ tục khai báo thuế VÀ/HOẶC quy trình làm việc với cơ quan thuế đơn giản, tiện lợi, nhanh chóng hơn so với trước đây. - HUMAN-FAC1]]</f>
        <v>2</v>
      </c>
      <c r="AD75" t="str">
        <f t="shared" si="34"/>
        <v>Oppose</v>
      </c>
      <c r="AE75" s="32">
        <f t="shared" si="35"/>
        <v>7</v>
      </c>
      <c r="AF75">
        <f>step3_validation[[#This Row],[AI_FAC2]]</f>
        <v>9</v>
      </c>
      <c r="AG75" t="str">
        <f t="shared" si="36"/>
        <v>Support</v>
      </c>
      <c r="AH75">
        <f>survey_responses[[#This Row],[So với trước đây, tôi thấy cách tính thuế và các bậc thuế trong phương án mới đơn giản, dễ hiểu và dễ thực hiện hơn. - HUMAN-FAC2]]</f>
        <v>8</v>
      </c>
      <c r="AI75" t="str">
        <f t="shared" si="37"/>
        <v>Support</v>
      </c>
      <c r="AJ75" s="32">
        <f t="shared" si="38"/>
        <v>1</v>
      </c>
      <c r="AK75">
        <f>step3_validation[[#This Row],[AI_TRU1]]</f>
        <v>6</v>
      </c>
      <c r="AL75" t="str">
        <f t="shared" si="39"/>
        <v>Neutral</v>
      </c>
      <c r="AM75">
        <f>survey_responses[[#This Row],[Tôi tin rằng Nhà nước, cơ quan thuế sẽ thực thi chính sách mới một cách khách quan, công tâm và đối xử bình đẳng với mọi người nộp thuế.  - HUMAN-TRU1]]</f>
        <v>5</v>
      </c>
      <c r="AN75" t="str">
        <f t="shared" si="40"/>
        <v>Neutral</v>
      </c>
      <c r="AO75" s="32">
        <f t="shared" si="41"/>
        <v>1</v>
      </c>
      <c r="AP75">
        <f>step3_validation[[#This Row],[AI_TRU2]]</f>
        <v>9</v>
      </c>
      <c r="AQ75" t="str">
        <f t="shared" si="42"/>
        <v>Support</v>
      </c>
      <c r="AR75">
        <f>survey_responses[[#This Row],[Tôi thấy mức thuế tôi phải đóng theo phương án mới là công bằng (người thu nhập như tôi đóng mức này là hợp lý). - HUMAN-TRU2]]</f>
        <v>5</v>
      </c>
      <c r="AS75" t="str">
        <f t="shared" si="43"/>
        <v>Neutral</v>
      </c>
      <c r="AT75" s="32">
        <f t="shared" si="44"/>
        <v>4</v>
      </c>
      <c r="AU75">
        <f>step3_validation[[#This Row],[AI_TRU3]]</f>
        <v>6</v>
      </c>
      <c r="AV75" t="str">
        <f t="shared" si="45"/>
        <v>Neutral</v>
      </c>
      <c r="AW75">
        <f>survey_responses[[#This Row],[Tôi tin tưởng số tiền thuế tôi đóng sẽ được Nhà nước sử dụng hiệu quả để cải thiện dịch vụ công (y tế, đường xá...). - HUMAN-TRU3]]</f>
        <v>1</v>
      </c>
      <c r="AX75" t="str">
        <f t="shared" si="46"/>
        <v>Oppose</v>
      </c>
      <c r="AY75" s="32">
        <f t="shared" si="47"/>
        <v>5</v>
      </c>
      <c r="AZ75">
        <f>step3_validation[[#This Row],[AI_TRU4]]</f>
        <v>6</v>
      </c>
      <c r="BA75" t="str">
        <f t="shared" si="48"/>
        <v>Neutral</v>
      </c>
      <c r="BB75">
        <f>survey_responses[[#This Row],[Tôi thấy Nhà nước đã giải thích rõ ràng, minh bạch về lý do và mục tiêu của việc sửa đổi thuế lần này. - HUMAN-TRU4]]</f>
        <v>4</v>
      </c>
      <c r="BC75" t="str">
        <f t="shared" si="49"/>
        <v>Oppose</v>
      </c>
      <c r="BD75" s="32">
        <f t="shared" si="50"/>
        <v>2</v>
      </c>
      <c r="BE75">
        <f>step3_validation[[#This Row],[AI_OUT1]]</f>
        <v>9</v>
      </c>
      <c r="BF75" t="str">
        <f t="shared" si="51"/>
        <v>Support</v>
      </c>
      <c r="BG75">
        <f>survey_responses[[#This Row],[Sau khi xem xét các quyền lợi và nghĩa vụ, bạn có ủng hộ và tuân thủ chính sách mới hiện nay? - HUMAN-OUT1]]</f>
        <v>5</v>
      </c>
      <c r="BH75" t="str">
        <f t="shared" si="52"/>
        <v>Neutral</v>
      </c>
      <c r="BI75" s="32">
        <f t="shared" si="53"/>
        <v>4</v>
      </c>
    </row>
    <row r="76" spans="1:61" x14ac:dyDescent="0.45">
      <c r="A76" s="30">
        <f>step3_validation[[#This Row],[Persona_ID]]</f>
        <v>75</v>
      </c>
      <c r="B76" s="31">
        <f>step3_validation[[#This Row],[Used_Seed]]</f>
        <v>12419</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52.464608183525499</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7</v>
      </c>
      <c r="R76" t="str">
        <f t="shared" si="27"/>
        <v>Neutral</v>
      </c>
      <c r="S76">
        <f>survey_responses[[#This Row],[Tôi tin rằng với các quy định quản lý thuế hiện nay, hành vi gian lận hoặc trốn thuế sẽ dễ dàng bị phát hiện và xử lý nghiêm. - HUMAN-ENF1]]</f>
        <v>8</v>
      </c>
      <c r="T76" t="str">
        <f t="shared" si="28"/>
        <v>Support</v>
      </c>
      <c r="U76" s="32">
        <f t="shared" si="29"/>
        <v>1</v>
      </c>
      <c r="V76">
        <f>step3_validation[[#This Row],[AI_ENF2]]</f>
        <v>8</v>
      </c>
      <c r="W76" t="str">
        <f t="shared" si="30"/>
        <v>Support</v>
      </c>
      <c r="X76">
        <f>survey_responses[[#This Row],[Tôi tin rằng Nhà nước, cơ quan thuế có đủ khả năng và công nghệ để phát hiện, xử lý nghiêm các hành vi trốn thuế. - HUMAN-ENF2]]</f>
        <v>9</v>
      </c>
      <c r="Y76" t="str">
        <f t="shared" si="31"/>
        <v>Support</v>
      </c>
      <c r="Z76" s="32">
        <f t="shared" si="32"/>
        <v>1</v>
      </c>
      <c r="AA76">
        <f>step3_validation[[#This Row],[AI_FAC1]]</f>
        <v>9</v>
      </c>
      <c r="AB76" t="str">
        <f t="shared" si="33"/>
        <v>Support</v>
      </c>
      <c r="AC76">
        <f>survey_responses[[#This Row],[Các thủ tục khai báo thuế VÀ/HOẶC quy trình làm việc với cơ quan thuế đơn giản, tiện lợi, nhanh chóng hơn so với trước đây. - HUMAN-FAC1]]</f>
        <v>9</v>
      </c>
      <c r="AD76" t="str">
        <f t="shared" si="34"/>
        <v>Support</v>
      </c>
      <c r="AE76" s="32">
        <f t="shared" si="35"/>
        <v>0</v>
      </c>
      <c r="AF76">
        <f>step3_validation[[#This Row],[AI_FAC2]]</f>
        <v>9</v>
      </c>
      <c r="AG76" t="str">
        <f t="shared" si="36"/>
        <v>Support</v>
      </c>
      <c r="AH76">
        <f>survey_responses[[#This Row],[So với trước đây, tôi thấy cách tính thuế và các bậc thuế trong phương án mới đơn giản, dễ hiểu và dễ thực hiện hơn. - HUMAN-FAC2]]</f>
        <v>9</v>
      </c>
      <c r="AI76" t="str">
        <f t="shared" si="37"/>
        <v>Support</v>
      </c>
      <c r="AJ76" s="32">
        <f t="shared" si="38"/>
        <v>0</v>
      </c>
      <c r="AK76">
        <f>step3_validation[[#This Row],[AI_TRU1]]</f>
        <v>7</v>
      </c>
      <c r="AL76" t="str">
        <f t="shared" si="39"/>
        <v>Neutral</v>
      </c>
      <c r="AM76">
        <f>survey_responses[[#This Row],[Tôi tin rằng Nhà nước, cơ quan thuế sẽ thực thi chính sách mới một cách khách quan, công tâm và đối xử bình đẳng với mọi người nộp thuế.  - HUMAN-TRU1]]</f>
        <v>3</v>
      </c>
      <c r="AN76" t="str">
        <f t="shared" si="40"/>
        <v>Oppose</v>
      </c>
      <c r="AO76" s="32">
        <f t="shared" si="41"/>
        <v>4</v>
      </c>
      <c r="AP76">
        <f>step3_validation[[#This Row],[AI_TRU2]]</f>
        <v>8</v>
      </c>
      <c r="AQ76" t="str">
        <f t="shared" si="42"/>
        <v>Support</v>
      </c>
      <c r="AR76">
        <f>survey_responses[[#This Row],[Tôi thấy mức thuế tôi phải đóng theo phương án mới là công bằng (người thu nhập như tôi đóng mức này là hợp lý). - HUMAN-TRU2]]</f>
        <v>3</v>
      </c>
      <c r="AS76" t="str">
        <f t="shared" si="43"/>
        <v>Oppose</v>
      </c>
      <c r="AT76" s="32">
        <f t="shared" si="44"/>
        <v>5</v>
      </c>
      <c r="AU76">
        <f>step3_validation[[#This Row],[AI_TRU3]]</f>
        <v>7</v>
      </c>
      <c r="AV76" t="str">
        <f t="shared" si="45"/>
        <v>Neutral</v>
      </c>
      <c r="AW76">
        <f>survey_responses[[#This Row],[Tôi tin tưởng số tiền thuế tôi đóng sẽ được Nhà nước sử dụng hiệu quả để cải thiện dịch vụ công (y tế, đường xá...). - HUMAN-TRU3]]</f>
        <v>2</v>
      </c>
      <c r="AX76" t="str">
        <f t="shared" si="46"/>
        <v>Oppose</v>
      </c>
      <c r="AY76" s="32">
        <f t="shared" si="47"/>
        <v>5</v>
      </c>
      <c r="AZ76">
        <f>step3_validation[[#This Row],[AI_TRU4]]</f>
        <v>6</v>
      </c>
      <c r="BA76" t="str">
        <f t="shared" si="48"/>
        <v>Neutral</v>
      </c>
      <c r="BB76">
        <f>survey_responses[[#This Row],[Tôi thấy Nhà nước đã giải thích rõ ràng, minh bạch về lý do và mục tiêu của việc sửa đổi thuế lần này. - HUMAN-TRU4]]</f>
        <v>2</v>
      </c>
      <c r="BC76" t="str">
        <f t="shared" si="49"/>
        <v>Oppose</v>
      </c>
      <c r="BD76" s="32">
        <f t="shared" si="50"/>
        <v>4</v>
      </c>
      <c r="BE76">
        <f>step3_validation[[#This Row],[AI_OUT1]]</f>
        <v>9</v>
      </c>
      <c r="BF76" t="str">
        <f t="shared" si="51"/>
        <v>Support</v>
      </c>
      <c r="BG76">
        <f>survey_responses[[#This Row],[Sau khi xem xét các quyền lợi và nghĩa vụ, bạn có ủng hộ và tuân thủ chính sách mới hiện nay? - HUMAN-OUT1]]</f>
        <v>6</v>
      </c>
      <c r="BH76" t="str">
        <f t="shared" si="52"/>
        <v>Neutral</v>
      </c>
      <c r="BI76" s="32">
        <f t="shared" si="53"/>
        <v>3</v>
      </c>
    </row>
    <row r="77" spans="1:61" x14ac:dyDescent="0.45">
      <c r="A77" s="30">
        <f>step3_validation[[#This Row],[Persona_ID]]</f>
        <v>76</v>
      </c>
      <c r="B77" s="31">
        <f>step3_validation[[#This Row],[Used_Seed]]</f>
        <v>12420</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13.707324246743351</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3</v>
      </c>
      <c r="R77" t="str">
        <f t="shared" si="27"/>
        <v>Oppose</v>
      </c>
      <c r="S77">
        <f>survey_responses[[#This Row],[Tôi tin rằng với các quy định quản lý thuế hiện nay, hành vi gian lận hoặc trốn thuế sẽ dễ dàng bị phát hiện và xử lý nghiêm. - HUMAN-ENF1]]</f>
        <v>5</v>
      </c>
      <c r="T77" t="str">
        <f t="shared" si="28"/>
        <v>Neutral</v>
      </c>
      <c r="U77" s="32">
        <f t="shared" si="29"/>
        <v>2</v>
      </c>
      <c r="V77">
        <f>step3_validation[[#This Row],[AI_ENF2]]</f>
        <v>4</v>
      </c>
      <c r="W77" t="str">
        <f t="shared" si="30"/>
        <v>Oppose</v>
      </c>
      <c r="X77">
        <f>survey_responses[[#This Row],[Tôi tin rằng Nhà nước, cơ quan thuế có đủ khả năng và công nghệ để phát hiện, xử lý nghiêm các hành vi trốn thuế. - HUMAN-ENF2]]</f>
        <v>5</v>
      </c>
      <c r="Y77" t="str">
        <f t="shared" si="31"/>
        <v>Neutral</v>
      </c>
      <c r="Z77" s="32">
        <f t="shared" si="32"/>
        <v>1</v>
      </c>
      <c r="AA77">
        <f>step3_validation[[#This Row],[AI_FAC1]]</f>
        <v>6</v>
      </c>
      <c r="AB77" t="str">
        <f t="shared" si="33"/>
        <v>Neutral</v>
      </c>
      <c r="AC77">
        <f>survey_responses[[#This Row],[Các thủ tục khai báo thuế VÀ/HOẶC quy trình làm việc với cơ quan thuế đơn giản, tiện lợi, nhanh chóng hơn so với trước đây. - HUMAN-FAC1]]</f>
        <v>5</v>
      </c>
      <c r="AD77" t="str">
        <f t="shared" si="34"/>
        <v>Neutral</v>
      </c>
      <c r="AE77" s="32">
        <f t="shared" si="35"/>
        <v>1</v>
      </c>
      <c r="AF77">
        <f>step3_validation[[#This Row],[AI_FAC2]]</f>
        <v>8</v>
      </c>
      <c r="AG77" t="str">
        <f t="shared" si="36"/>
        <v>Support</v>
      </c>
      <c r="AH77">
        <f>survey_responses[[#This Row],[So với trước đây, tôi thấy cách tính thuế và các bậc thuế trong phương án mới đơn giản, dễ hiểu và dễ thực hiện hơn. - HUMAN-FAC2]]</f>
        <v>5</v>
      </c>
      <c r="AI77" t="str">
        <f t="shared" si="37"/>
        <v>Neutral</v>
      </c>
      <c r="AJ77" s="32">
        <f t="shared" si="38"/>
        <v>3</v>
      </c>
      <c r="AK77">
        <f>step3_validation[[#This Row],[AI_TRU1]]</f>
        <v>7</v>
      </c>
      <c r="AL77" t="str">
        <f t="shared" si="39"/>
        <v>Neutral</v>
      </c>
      <c r="AM77">
        <f>survey_responses[[#This Row],[Tôi tin rằng Nhà nước, cơ quan thuế sẽ thực thi chính sách mới một cách khách quan, công tâm và đối xử bình đẳng với mọi người nộp thuế.  - HUMAN-TRU1]]</f>
        <v>5</v>
      </c>
      <c r="AN77" t="str">
        <f t="shared" si="40"/>
        <v>Neutral</v>
      </c>
      <c r="AO77" s="32">
        <f t="shared" si="41"/>
        <v>2</v>
      </c>
      <c r="AP77">
        <f>step3_validation[[#This Row],[AI_TRU2]]</f>
        <v>9</v>
      </c>
      <c r="AQ77" t="str">
        <f t="shared" si="42"/>
        <v>Support</v>
      </c>
      <c r="AR77">
        <f>survey_responses[[#This Row],[Tôi thấy mức thuế tôi phải đóng theo phương án mới là công bằng (người thu nhập như tôi đóng mức này là hợp lý). - HUMAN-TRU2]]</f>
        <v>5</v>
      </c>
      <c r="AS77" t="str">
        <f t="shared" si="43"/>
        <v>Neutral</v>
      </c>
      <c r="AT77" s="32">
        <f t="shared" si="44"/>
        <v>4</v>
      </c>
      <c r="AU77">
        <f>step3_validation[[#This Row],[AI_TRU3]]</f>
        <v>8</v>
      </c>
      <c r="AV77" t="str">
        <f t="shared" si="45"/>
        <v>Support</v>
      </c>
      <c r="AW77">
        <f>survey_responses[[#This Row],[Tôi tin tưởng số tiền thuế tôi đóng sẽ được Nhà nước sử dụng hiệu quả để cải thiện dịch vụ công (y tế, đường xá...). - HUMAN-TRU3]]</f>
        <v>5</v>
      </c>
      <c r="AX77" t="str">
        <f t="shared" si="46"/>
        <v>Neutral</v>
      </c>
      <c r="AY77" s="32">
        <f t="shared" si="47"/>
        <v>3</v>
      </c>
      <c r="AZ77">
        <f>step3_validation[[#This Row],[AI_TRU4]]</f>
        <v>6</v>
      </c>
      <c r="BA77" t="str">
        <f t="shared" si="48"/>
        <v>Neutral</v>
      </c>
      <c r="BB77">
        <f>survey_responses[[#This Row],[Tôi thấy Nhà nước đã giải thích rõ ràng, minh bạch về lý do và mục tiêu của việc sửa đổi thuế lần này. - HUMAN-TRU4]]</f>
        <v>5</v>
      </c>
      <c r="BC77" t="str">
        <f t="shared" si="49"/>
        <v>Neutral</v>
      </c>
      <c r="BD77" s="32">
        <f t="shared" si="50"/>
        <v>1</v>
      </c>
      <c r="BE77">
        <f>step3_validation[[#This Row],[AI_OUT1]]</f>
        <v>9</v>
      </c>
      <c r="BF77" t="str">
        <f t="shared" si="51"/>
        <v>Support</v>
      </c>
      <c r="BG77">
        <f>survey_responses[[#This Row],[Sau khi xem xét các quyền lợi và nghĩa vụ, bạn có ủng hộ và tuân thủ chính sách mới hiện nay? - HUMAN-OUT1]]</f>
        <v>5</v>
      </c>
      <c r="BH77" t="str">
        <f t="shared" si="52"/>
        <v>Neutral</v>
      </c>
      <c r="BI77" s="32">
        <f t="shared" si="53"/>
        <v>4</v>
      </c>
    </row>
    <row r="78" spans="1:61" x14ac:dyDescent="0.45">
      <c r="A78" s="30">
        <f>step3_validation[[#This Row],[Persona_ID]]</f>
        <v>77</v>
      </c>
      <c r="B78" s="31">
        <f>step3_validation[[#This Row],[Used_Seed]]</f>
        <v>12421</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15.590317767582842</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7</v>
      </c>
      <c r="R78" t="str">
        <f t="shared" si="27"/>
        <v>Neutral</v>
      </c>
      <c r="S78">
        <f>survey_responses[[#This Row],[Tôi tin rằng với các quy định quản lý thuế hiện nay, hành vi gian lận hoặc trốn thuế sẽ dễ dàng bị phát hiện và xử lý nghiêm. - HUMAN-ENF1]]</f>
        <v>8</v>
      </c>
      <c r="T78" t="str">
        <f t="shared" si="28"/>
        <v>Support</v>
      </c>
      <c r="U78" s="32">
        <f t="shared" si="29"/>
        <v>1</v>
      </c>
      <c r="V78">
        <f>step3_validation[[#This Row],[AI_ENF2]]</f>
        <v>6</v>
      </c>
      <c r="W78" t="str">
        <f t="shared" si="30"/>
        <v>Neutral</v>
      </c>
      <c r="X78">
        <f>survey_responses[[#This Row],[Tôi tin rằng Nhà nước, cơ quan thuế có đủ khả năng và công nghệ để phát hiện, xử lý nghiêm các hành vi trốn thuế. - HUMAN-ENF2]]</f>
        <v>8</v>
      </c>
      <c r="Y78" t="str">
        <f t="shared" si="31"/>
        <v>Support</v>
      </c>
      <c r="Z78" s="32">
        <f t="shared" si="32"/>
        <v>2</v>
      </c>
      <c r="AA78">
        <f>step3_validation[[#This Row],[AI_FAC1]]</f>
        <v>8</v>
      </c>
      <c r="AB78" t="str">
        <f t="shared" si="33"/>
        <v>Support</v>
      </c>
      <c r="AC78">
        <f>survey_responses[[#This Row],[Các thủ tục khai báo thuế VÀ/HOẶC quy trình làm việc với cơ quan thuế đơn giản, tiện lợi, nhanh chóng hơn so với trước đây. - HUMAN-FAC1]]</f>
        <v>8</v>
      </c>
      <c r="AD78" t="str">
        <f t="shared" si="34"/>
        <v>Support</v>
      </c>
      <c r="AE78" s="32">
        <f t="shared" si="35"/>
        <v>0</v>
      </c>
      <c r="AF78">
        <f>step3_validation[[#This Row],[AI_FAC2]]</f>
        <v>9</v>
      </c>
      <c r="AG78" t="str">
        <f t="shared" si="36"/>
        <v>Support</v>
      </c>
      <c r="AH78">
        <f>survey_responses[[#This Row],[So với trước đây, tôi thấy cách tính thuế và các bậc thuế trong phương án mới đơn giản, dễ hiểu và dễ thực hiện hơn. - HUMAN-FAC2]]</f>
        <v>8</v>
      </c>
      <c r="AI78" t="str">
        <f t="shared" si="37"/>
        <v>Support</v>
      </c>
      <c r="AJ78" s="32">
        <f t="shared" si="38"/>
        <v>1</v>
      </c>
      <c r="AK78">
        <f>step3_validation[[#This Row],[AI_TRU1]]</f>
        <v>7</v>
      </c>
      <c r="AL78" t="str">
        <f t="shared" si="39"/>
        <v>Neutral</v>
      </c>
      <c r="AM78">
        <f>survey_responses[[#This Row],[Tôi tin rằng Nhà nước, cơ quan thuế sẽ thực thi chính sách mới một cách khách quan, công tâm và đối xử bình đẳng với mọi người nộp thuế.  - HUMAN-TRU1]]</f>
        <v>9</v>
      </c>
      <c r="AN78" t="str">
        <f t="shared" si="40"/>
        <v>Support</v>
      </c>
      <c r="AO78" s="32">
        <f t="shared" si="41"/>
        <v>2</v>
      </c>
      <c r="AP78">
        <f>step3_validation[[#This Row],[AI_TRU2]]</f>
        <v>9</v>
      </c>
      <c r="AQ78" t="str">
        <f t="shared" si="42"/>
        <v>Support</v>
      </c>
      <c r="AR78">
        <f>survey_responses[[#This Row],[Tôi thấy mức thuế tôi phải đóng theo phương án mới là công bằng (người thu nhập như tôi đóng mức này là hợp lý). - HUMAN-TRU2]]</f>
        <v>7</v>
      </c>
      <c r="AS78" t="str">
        <f t="shared" si="43"/>
        <v>Neutral</v>
      </c>
      <c r="AT78" s="32">
        <f t="shared" si="44"/>
        <v>2</v>
      </c>
      <c r="AU78">
        <f>step3_validation[[#This Row],[AI_TRU3]]</f>
        <v>8</v>
      </c>
      <c r="AV78" t="str">
        <f t="shared" si="45"/>
        <v>Support</v>
      </c>
      <c r="AW78">
        <f>survey_responses[[#This Row],[Tôi tin tưởng số tiền thuế tôi đóng sẽ được Nhà nước sử dụng hiệu quả để cải thiện dịch vụ công (y tế, đường xá...). - HUMAN-TRU3]]</f>
        <v>9</v>
      </c>
      <c r="AX78" t="str">
        <f t="shared" si="46"/>
        <v>Support</v>
      </c>
      <c r="AY78" s="32">
        <f t="shared" si="47"/>
        <v>1</v>
      </c>
      <c r="AZ78">
        <f>step3_validation[[#This Row],[AI_TRU4]]</f>
        <v>7</v>
      </c>
      <c r="BA78" t="str">
        <f t="shared" si="48"/>
        <v>Neutral</v>
      </c>
      <c r="BB78">
        <f>survey_responses[[#This Row],[Tôi thấy Nhà nước đã giải thích rõ ràng, minh bạch về lý do và mục tiêu của việc sửa đổi thuế lần này. - HUMAN-TRU4]]</f>
        <v>10</v>
      </c>
      <c r="BC78" t="str">
        <f t="shared" si="49"/>
        <v>Support</v>
      </c>
      <c r="BD78" s="32">
        <f t="shared" si="50"/>
        <v>3</v>
      </c>
      <c r="BE78">
        <f>step3_validation[[#This Row],[AI_OUT1]]</f>
        <v>9</v>
      </c>
      <c r="BF78" t="str">
        <f t="shared" si="51"/>
        <v>Support</v>
      </c>
      <c r="BG78">
        <f>survey_responses[[#This Row],[Sau khi xem xét các quyền lợi và nghĩa vụ, bạn có ủng hộ và tuân thủ chính sách mới hiện nay? - HUMAN-OUT1]]</f>
        <v>8</v>
      </c>
      <c r="BH78" t="str">
        <f t="shared" si="52"/>
        <v>Support</v>
      </c>
      <c r="BI78" s="32">
        <f t="shared" si="53"/>
        <v>1</v>
      </c>
    </row>
    <row r="79" spans="1:61" x14ac:dyDescent="0.45">
      <c r="A79" s="30">
        <f>step3_validation[[#This Row],[Persona_ID]]</f>
        <v>78</v>
      </c>
      <c r="B79" s="31">
        <f>step3_validation[[#This Row],[Used_Seed]]</f>
        <v>12422</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39.11859631923631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6</v>
      </c>
      <c r="R79" t="str">
        <f t="shared" si="27"/>
        <v>Neutral</v>
      </c>
      <c r="S79">
        <f>survey_responses[[#This Row],[Tôi tin rằng với các quy định quản lý thuế hiện nay, hành vi gian lận hoặc trốn thuế sẽ dễ dàng bị phát hiện và xử lý nghiêm. - HUMAN-ENF1]]</f>
        <v>8</v>
      </c>
      <c r="T79" t="str">
        <f t="shared" si="28"/>
        <v>Support</v>
      </c>
      <c r="U79" s="32">
        <f t="shared" si="29"/>
        <v>2</v>
      </c>
      <c r="V79">
        <f>step3_validation[[#This Row],[AI_ENF2]]</f>
        <v>8</v>
      </c>
      <c r="W79" t="str">
        <f t="shared" si="30"/>
        <v>Support</v>
      </c>
      <c r="X79">
        <f>survey_responses[[#This Row],[Tôi tin rằng Nhà nước, cơ quan thuế có đủ khả năng và công nghệ để phát hiện, xử lý nghiêm các hành vi trốn thuế. - HUMAN-ENF2]]</f>
        <v>7</v>
      </c>
      <c r="Y79" t="str">
        <f t="shared" si="31"/>
        <v>Neutral</v>
      </c>
      <c r="Z79" s="32">
        <f t="shared" si="32"/>
        <v>1</v>
      </c>
      <c r="AA79">
        <f>step3_validation[[#This Row],[AI_FAC1]]</f>
        <v>7</v>
      </c>
      <c r="AB79" t="str">
        <f t="shared" si="33"/>
        <v>Neutral</v>
      </c>
      <c r="AC79">
        <f>survey_responses[[#This Row],[Các thủ tục khai báo thuế VÀ/HOẶC quy trình làm việc với cơ quan thuế đơn giản, tiện lợi, nhanh chóng hơn so với trước đây. - HUMAN-FAC1]]</f>
        <v>9</v>
      </c>
      <c r="AD79" t="str">
        <f t="shared" si="34"/>
        <v>Support</v>
      </c>
      <c r="AE79" s="32">
        <f t="shared" si="35"/>
        <v>2</v>
      </c>
      <c r="AF79">
        <f>step3_validation[[#This Row],[AI_FAC2]]</f>
        <v>9</v>
      </c>
      <c r="AG79" t="str">
        <f t="shared" si="36"/>
        <v>Support</v>
      </c>
      <c r="AH79">
        <f>survey_responses[[#This Row],[So với trước đây, tôi thấy cách tính thuế và các bậc thuế trong phương án mới đơn giản, dễ hiểu và dễ thực hiện hơn. - HUMAN-FAC2]]</f>
        <v>8</v>
      </c>
      <c r="AI79" t="str">
        <f t="shared" si="37"/>
        <v>Support</v>
      </c>
      <c r="AJ79" s="32">
        <f t="shared" si="38"/>
        <v>1</v>
      </c>
      <c r="AK79">
        <f>step3_validation[[#This Row],[AI_TRU1]]</f>
        <v>7</v>
      </c>
      <c r="AL79" t="str">
        <f t="shared" si="39"/>
        <v>Neutral</v>
      </c>
      <c r="AM79">
        <f>survey_responses[[#This Row],[Tôi tin rằng Nhà nước, cơ quan thuế sẽ thực thi chính sách mới một cách khách quan, công tâm và đối xử bình đẳng với mọi người nộp thuế.  - HUMAN-TRU1]]</f>
        <v>8</v>
      </c>
      <c r="AN79" t="str">
        <f t="shared" si="40"/>
        <v>Support</v>
      </c>
      <c r="AO79" s="32">
        <f t="shared" si="41"/>
        <v>1</v>
      </c>
      <c r="AP79">
        <f>step3_validation[[#This Row],[AI_TRU2]]</f>
        <v>9</v>
      </c>
      <c r="AQ79" t="str">
        <f t="shared" si="42"/>
        <v>Support</v>
      </c>
      <c r="AR79">
        <f>survey_responses[[#This Row],[Tôi thấy mức thuế tôi phải đóng theo phương án mới là công bằng (người thu nhập như tôi đóng mức này là hợp lý). - HUMAN-TRU2]]</f>
        <v>8</v>
      </c>
      <c r="AS79" t="str">
        <f t="shared" si="43"/>
        <v>Support</v>
      </c>
      <c r="AT79" s="32">
        <f t="shared" si="44"/>
        <v>1</v>
      </c>
      <c r="AU79">
        <f>step3_validation[[#This Row],[AI_TRU3]]</f>
        <v>7</v>
      </c>
      <c r="AV79" t="str">
        <f t="shared" si="45"/>
        <v>Neutral</v>
      </c>
      <c r="AW79">
        <f>survey_responses[[#This Row],[Tôi tin tưởng số tiền thuế tôi đóng sẽ được Nhà nước sử dụng hiệu quả để cải thiện dịch vụ công (y tế, đường xá...). - HUMAN-TRU3]]</f>
        <v>6</v>
      </c>
      <c r="AX79" t="str">
        <f t="shared" si="46"/>
        <v>Neutral</v>
      </c>
      <c r="AY79" s="32">
        <f t="shared" si="47"/>
        <v>1</v>
      </c>
      <c r="AZ79">
        <f>step3_validation[[#This Row],[AI_TRU4]]</f>
        <v>8</v>
      </c>
      <c r="BA79" t="str">
        <f t="shared" si="48"/>
        <v>Support</v>
      </c>
      <c r="BB79">
        <f>survey_responses[[#This Row],[Tôi thấy Nhà nước đã giải thích rõ ràng, minh bạch về lý do và mục tiêu của việc sửa đổi thuế lần này. - HUMAN-TRU4]]</f>
        <v>6</v>
      </c>
      <c r="BC79" t="str">
        <f t="shared" si="49"/>
        <v>Neutral</v>
      </c>
      <c r="BD79" s="32">
        <f t="shared" si="50"/>
        <v>2</v>
      </c>
      <c r="BE79">
        <f>step3_validation[[#This Row],[AI_OUT1]]</f>
        <v>9</v>
      </c>
      <c r="BF79" t="str">
        <f t="shared" si="51"/>
        <v>Support</v>
      </c>
      <c r="BG79">
        <f>survey_responses[[#This Row],[Sau khi xem xét các quyền lợi và nghĩa vụ, bạn có ủng hộ và tuân thủ chính sách mới hiện nay? - HUMAN-OUT1]]</f>
        <v>7</v>
      </c>
      <c r="BH79" t="str">
        <f t="shared" si="52"/>
        <v>Neutral</v>
      </c>
      <c r="BI79" s="32">
        <f t="shared" si="53"/>
        <v>2</v>
      </c>
    </row>
    <row r="80" spans="1:61" x14ac:dyDescent="0.45">
      <c r="A80" s="30">
        <f>step3_validation[[#This Row],[Persona_ID]]</f>
        <v>79</v>
      </c>
      <c r="B80" s="31">
        <f>step3_validation[[#This Row],[Used_Seed]]</f>
        <v>12423</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15.103633376351024</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5</v>
      </c>
      <c r="R80" t="str">
        <f t="shared" si="27"/>
        <v>Neutral</v>
      </c>
      <c r="S80">
        <f>survey_responses[[#This Row],[Tôi tin rằng với các quy định quản lý thuế hiện nay, hành vi gian lận hoặc trốn thuế sẽ dễ dàng bị phát hiện và xử lý nghiêm. - HUMAN-ENF1]]</f>
        <v>6</v>
      </c>
      <c r="T80" t="str">
        <f t="shared" si="28"/>
        <v>Neutral</v>
      </c>
      <c r="U80" s="32">
        <f t="shared" si="29"/>
        <v>1</v>
      </c>
      <c r="V80">
        <f>step3_validation[[#This Row],[AI_ENF2]]</f>
        <v>6</v>
      </c>
      <c r="W80" t="str">
        <f t="shared" si="30"/>
        <v>Neutral</v>
      </c>
      <c r="X80">
        <f>survey_responses[[#This Row],[Tôi tin rằng Nhà nước, cơ quan thuế có đủ khả năng và công nghệ để phát hiện, xử lý nghiêm các hành vi trốn thuế. - HUMAN-ENF2]]</f>
        <v>2</v>
      </c>
      <c r="Y80" t="str">
        <f t="shared" si="31"/>
        <v>Oppose</v>
      </c>
      <c r="Z80" s="32">
        <f t="shared" si="32"/>
        <v>4</v>
      </c>
      <c r="AA80">
        <f>step3_validation[[#This Row],[AI_FAC1]]</f>
        <v>7</v>
      </c>
      <c r="AB80" t="str">
        <f t="shared" si="33"/>
        <v>Neutral</v>
      </c>
      <c r="AC80">
        <f>survey_responses[[#This Row],[Các thủ tục khai báo thuế VÀ/HOẶC quy trình làm việc với cơ quan thuế đơn giản, tiện lợi, nhanh chóng hơn so với trước đây. - HUMAN-FAC1]]</f>
        <v>3</v>
      </c>
      <c r="AD80" t="str">
        <f t="shared" si="34"/>
        <v>Oppose</v>
      </c>
      <c r="AE80" s="32">
        <f t="shared" si="35"/>
        <v>4</v>
      </c>
      <c r="AF80">
        <f>step3_validation[[#This Row],[AI_FAC2]]</f>
        <v>8</v>
      </c>
      <c r="AG80" t="str">
        <f t="shared" si="36"/>
        <v>Support</v>
      </c>
      <c r="AH80">
        <f>survey_responses[[#This Row],[So với trước đây, tôi thấy cách tính thuế và các bậc thuế trong phương án mới đơn giản, dễ hiểu và dễ thực hiện hơn. - HUMAN-FAC2]]</f>
        <v>2</v>
      </c>
      <c r="AI80" t="str">
        <f t="shared" si="37"/>
        <v>Oppose</v>
      </c>
      <c r="AJ80" s="32">
        <f t="shared" si="38"/>
        <v>6</v>
      </c>
      <c r="AK80">
        <f>step3_validation[[#This Row],[AI_TRU1]]</f>
        <v>7</v>
      </c>
      <c r="AL80" t="str">
        <f t="shared" si="39"/>
        <v>Neutral</v>
      </c>
      <c r="AM80">
        <f>survey_responses[[#This Row],[Tôi tin rằng Nhà nước, cơ quan thuế sẽ thực thi chính sách mới một cách khách quan, công tâm và đối xử bình đẳng với mọi người nộp thuế.  - HUMAN-TRU1]]</f>
        <v>3</v>
      </c>
      <c r="AN80" t="str">
        <f t="shared" si="40"/>
        <v>Oppose</v>
      </c>
      <c r="AO80" s="32">
        <f t="shared" si="41"/>
        <v>4</v>
      </c>
      <c r="AP80">
        <f>step3_validation[[#This Row],[AI_TRU2]]</f>
        <v>9</v>
      </c>
      <c r="AQ80" t="str">
        <f t="shared" si="42"/>
        <v>Support</v>
      </c>
      <c r="AR80">
        <f>survey_responses[[#This Row],[Tôi thấy mức thuế tôi phải đóng theo phương án mới là công bằng (người thu nhập như tôi đóng mức này là hợp lý). - HUMAN-TRU2]]</f>
        <v>7</v>
      </c>
      <c r="AS80" t="str">
        <f t="shared" si="43"/>
        <v>Neutral</v>
      </c>
      <c r="AT80" s="32">
        <f t="shared" si="44"/>
        <v>2</v>
      </c>
      <c r="AU80">
        <f>step3_validation[[#This Row],[AI_TRU3]]</f>
        <v>8</v>
      </c>
      <c r="AV80" t="str">
        <f t="shared" si="45"/>
        <v>Support</v>
      </c>
      <c r="AW80">
        <f>survey_responses[[#This Row],[Tôi tin tưởng số tiền thuế tôi đóng sẽ được Nhà nước sử dụng hiệu quả để cải thiện dịch vụ công (y tế, đường xá...). - HUMAN-TRU3]]</f>
        <v>5</v>
      </c>
      <c r="AX80" t="str">
        <f t="shared" si="46"/>
        <v>Neutral</v>
      </c>
      <c r="AY80" s="32">
        <f t="shared" si="47"/>
        <v>3</v>
      </c>
      <c r="AZ80">
        <f>step3_validation[[#This Row],[AI_TRU4]]</f>
        <v>9</v>
      </c>
      <c r="BA80" t="str">
        <f t="shared" si="48"/>
        <v>Support</v>
      </c>
      <c r="BB80">
        <f>survey_responses[[#This Row],[Tôi thấy Nhà nước đã giải thích rõ ràng, minh bạch về lý do và mục tiêu của việc sửa đổi thuế lần này. - HUMAN-TRU4]]</f>
        <v>5</v>
      </c>
      <c r="BC80" t="str">
        <f t="shared" si="49"/>
        <v>Neutral</v>
      </c>
      <c r="BD80" s="32">
        <f t="shared" si="50"/>
        <v>4</v>
      </c>
      <c r="BE80">
        <f>step3_validation[[#This Row],[AI_OUT1]]</f>
        <v>9</v>
      </c>
      <c r="BF80" t="str">
        <f t="shared" si="51"/>
        <v>Support</v>
      </c>
      <c r="BG80">
        <f>survey_responses[[#This Row],[Sau khi xem xét các quyền lợi và nghĩa vụ, bạn có ủng hộ và tuân thủ chính sách mới hiện nay? - HUMAN-OUT1]]</f>
        <v>7</v>
      </c>
      <c r="BH80" t="str">
        <f t="shared" si="52"/>
        <v>Neutral</v>
      </c>
      <c r="BI80" s="32">
        <f t="shared" si="53"/>
        <v>2</v>
      </c>
    </row>
    <row r="81" spans="1:61" x14ac:dyDescent="0.45">
      <c r="A81" s="30">
        <f>step3_validation[[#This Row],[Persona_ID]]</f>
        <v>80</v>
      </c>
      <c r="B81" s="31">
        <f>step3_validation[[#This Row],[Used_Seed]]</f>
        <v>12424</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14.140176863895586</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8</v>
      </c>
      <c r="R81" t="str">
        <f t="shared" si="27"/>
        <v>Support</v>
      </c>
      <c r="S81">
        <f>survey_responses[[#This Row],[Tôi tin rằng với các quy định quản lý thuế hiện nay, hành vi gian lận hoặc trốn thuế sẽ dễ dàng bị phát hiện và xử lý nghiêm. - HUMAN-ENF1]]</f>
        <v>8</v>
      </c>
      <c r="T81" t="str">
        <f t="shared" si="28"/>
        <v>Support</v>
      </c>
      <c r="U81" s="32">
        <f t="shared" si="29"/>
        <v>0</v>
      </c>
      <c r="V81">
        <f>step3_validation[[#This Row],[AI_ENF2]]</f>
        <v>8</v>
      </c>
      <c r="W81" t="str">
        <f t="shared" si="30"/>
        <v>Support</v>
      </c>
      <c r="X81">
        <f>survey_responses[[#This Row],[Tôi tin rằng Nhà nước, cơ quan thuế có đủ khả năng và công nghệ để phát hiện, xử lý nghiêm các hành vi trốn thuế. - HUMAN-ENF2]]</f>
        <v>8</v>
      </c>
      <c r="Y81" t="str">
        <f t="shared" si="31"/>
        <v>Support</v>
      </c>
      <c r="Z81" s="32">
        <f t="shared" si="32"/>
        <v>0</v>
      </c>
      <c r="AA81">
        <f>step3_validation[[#This Row],[AI_FAC1]]</f>
        <v>9</v>
      </c>
      <c r="AB81" t="str">
        <f t="shared" si="33"/>
        <v>Support</v>
      </c>
      <c r="AC81">
        <f>survey_responses[[#This Row],[Các thủ tục khai báo thuế VÀ/HOẶC quy trình làm việc với cơ quan thuế đơn giản, tiện lợi, nhanh chóng hơn so với trước đây. - HUMAN-FAC1]]</f>
        <v>8</v>
      </c>
      <c r="AD81" t="str">
        <f t="shared" si="34"/>
        <v>Support</v>
      </c>
      <c r="AE81" s="32">
        <f t="shared" si="35"/>
        <v>1</v>
      </c>
      <c r="AF81">
        <f>step3_validation[[#This Row],[AI_FAC2]]</f>
        <v>8</v>
      </c>
      <c r="AG81" t="str">
        <f t="shared" si="36"/>
        <v>Support</v>
      </c>
      <c r="AH81">
        <f>survey_responses[[#This Row],[So với trước đây, tôi thấy cách tính thuế và các bậc thuế trong phương án mới đơn giản, dễ hiểu và dễ thực hiện hơn. - HUMAN-FAC2]]</f>
        <v>8</v>
      </c>
      <c r="AI81" t="str">
        <f t="shared" si="37"/>
        <v>Support</v>
      </c>
      <c r="AJ81" s="32">
        <f t="shared" si="38"/>
        <v>0</v>
      </c>
      <c r="AK81">
        <f>step3_validation[[#This Row],[AI_TRU1]]</f>
        <v>9</v>
      </c>
      <c r="AL81" t="str">
        <f t="shared" si="39"/>
        <v>Support</v>
      </c>
      <c r="AM81">
        <f>survey_responses[[#This Row],[Tôi tin rằng Nhà nước, cơ quan thuế sẽ thực thi chính sách mới một cách khách quan, công tâm và đối xử bình đẳng với mọi người nộp thuế.  - HUMAN-TRU1]]</f>
        <v>8</v>
      </c>
      <c r="AN81" t="str">
        <f t="shared" si="40"/>
        <v>Support</v>
      </c>
      <c r="AO81" s="32">
        <f t="shared" si="41"/>
        <v>1</v>
      </c>
      <c r="AP81">
        <f>step3_validation[[#This Row],[AI_TRU2]]</f>
        <v>8</v>
      </c>
      <c r="AQ81" t="str">
        <f t="shared" si="42"/>
        <v>Support</v>
      </c>
      <c r="AR81">
        <f>survey_responses[[#This Row],[Tôi thấy mức thuế tôi phải đóng theo phương án mới là công bằng (người thu nhập như tôi đóng mức này là hợp lý). - HUMAN-TRU2]]</f>
        <v>8</v>
      </c>
      <c r="AS81" t="str">
        <f t="shared" si="43"/>
        <v>Support</v>
      </c>
      <c r="AT81" s="32">
        <f t="shared" si="44"/>
        <v>0</v>
      </c>
      <c r="AU81">
        <f>step3_validation[[#This Row],[AI_TRU3]]</f>
        <v>9</v>
      </c>
      <c r="AV81" t="str">
        <f t="shared" si="45"/>
        <v>Support</v>
      </c>
      <c r="AW81">
        <f>survey_responses[[#This Row],[Tôi tin tưởng số tiền thuế tôi đóng sẽ được Nhà nước sử dụng hiệu quả để cải thiện dịch vụ công (y tế, đường xá...). - HUMAN-TRU3]]</f>
        <v>8</v>
      </c>
      <c r="AX81" t="str">
        <f t="shared" si="46"/>
        <v>Support</v>
      </c>
      <c r="AY81" s="32">
        <f t="shared" si="47"/>
        <v>1</v>
      </c>
      <c r="AZ81">
        <f>step3_validation[[#This Row],[AI_TRU4]]</f>
        <v>8</v>
      </c>
      <c r="BA81" t="str">
        <f t="shared" si="48"/>
        <v>Support</v>
      </c>
      <c r="BB81">
        <f>survey_responses[[#This Row],[Tôi thấy Nhà nước đã giải thích rõ ràng, minh bạch về lý do và mục tiêu của việc sửa đổi thuế lần này. - HUMAN-TRU4]]</f>
        <v>8</v>
      </c>
      <c r="BC81" t="str">
        <f t="shared" si="49"/>
        <v>Support</v>
      </c>
      <c r="BD81" s="32">
        <f t="shared" si="50"/>
        <v>0</v>
      </c>
      <c r="BE81">
        <f>step3_validation[[#This Row],[AI_OUT1]]</f>
        <v>9</v>
      </c>
      <c r="BF81" t="str">
        <f t="shared" si="51"/>
        <v>Support</v>
      </c>
      <c r="BG81">
        <f>survey_responses[[#This Row],[Sau khi xem xét các quyền lợi và nghĩa vụ, bạn có ủng hộ và tuân thủ chính sách mới hiện nay? - HUMAN-OUT1]]</f>
        <v>8</v>
      </c>
      <c r="BH81" t="str">
        <f t="shared" si="52"/>
        <v>Support</v>
      </c>
      <c r="BI81" s="32">
        <f t="shared" si="53"/>
        <v>1</v>
      </c>
    </row>
    <row r="82" spans="1:61" x14ac:dyDescent="0.45">
      <c r="A82" s="30">
        <f>step3_validation[[#This Row],[Persona_ID]]</f>
        <v>81</v>
      </c>
      <c r="B82" s="31">
        <f>step3_validation[[#This Row],[Used_Seed]]</f>
        <v>12425</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5</v>
      </c>
      <c r="R82" t="str">
        <f t="shared" si="27"/>
        <v>Neutral</v>
      </c>
      <c r="S82">
        <f>survey_responses[[#This Row],[Tôi tin rằng với các quy định quản lý thuế hiện nay, hành vi gian lận hoặc trốn thuế sẽ dễ dàng bị phát hiện và xử lý nghiêm. - HUMAN-ENF1]]</f>
        <v>7</v>
      </c>
      <c r="T82" t="str">
        <f t="shared" si="28"/>
        <v>Neutral</v>
      </c>
      <c r="U82" s="32">
        <f t="shared" si="29"/>
        <v>2</v>
      </c>
      <c r="V82">
        <f>step3_validation[[#This Row],[AI_ENF2]]</f>
        <v>6</v>
      </c>
      <c r="W82" t="str">
        <f t="shared" si="30"/>
        <v>Neutral</v>
      </c>
      <c r="X82">
        <f>survey_responses[[#This Row],[Tôi tin rằng Nhà nước, cơ quan thuế có đủ khả năng và công nghệ để phát hiện, xử lý nghiêm các hành vi trốn thuế. - HUMAN-ENF2]]</f>
        <v>7</v>
      </c>
      <c r="Y82" t="str">
        <f t="shared" si="31"/>
        <v>Neutral</v>
      </c>
      <c r="Z82" s="32">
        <f t="shared" si="32"/>
        <v>1</v>
      </c>
      <c r="AA82">
        <f>step3_validation[[#This Row],[AI_FAC1]]</f>
        <v>9</v>
      </c>
      <c r="AB82" t="str">
        <f t="shared" si="33"/>
        <v>Support</v>
      </c>
      <c r="AC82">
        <f>survey_responses[[#This Row],[Các thủ tục khai báo thuế VÀ/HOẶC quy trình làm việc với cơ quan thuế đơn giản, tiện lợi, nhanh chóng hơn so với trước đây. - HUMAN-FAC1]]</f>
        <v>5</v>
      </c>
      <c r="AD82" t="str">
        <f t="shared" si="34"/>
        <v>Neutral</v>
      </c>
      <c r="AE82" s="32">
        <f t="shared" si="35"/>
        <v>4</v>
      </c>
      <c r="AF82">
        <f>step3_validation[[#This Row],[AI_FAC2]]</f>
        <v>8</v>
      </c>
      <c r="AG82" t="str">
        <f t="shared" si="36"/>
        <v>Support</v>
      </c>
      <c r="AH82">
        <f>survey_responses[[#This Row],[So với trước đây, tôi thấy cách tính thuế và các bậc thuế trong phương án mới đơn giản, dễ hiểu và dễ thực hiện hơn. - HUMAN-FAC2]]</f>
        <v>5</v>
      </c>
      <c r="AI82" t="str">
        <f t="shared" si="37"/>
        <v>Neutral</v>
      </c>
      <c r="AJ82" s="32">
        <f t="shared" si="38"/>
        <v>3</v>
      </c>
      <c r="AK82">
        <f>step3_validation[[#This Row],[AI_TRU1]]</f>
        <v>7</v>
      </c>
      <c r="AL82" t="str">
        <f t="shared" si="39"/>
        <v>Neutral</v>
      </c>
      <c r="AM82">
        <f>survey_responses[[#This Row],[Tôi tin rằng Nhà nước, cơ quan thuế sẽ thực thi chính sách mới một cách khách quan, công tâm và đối xử bình đẳng với mọi người nộp thuế.  - HUMAN-TRU1]]</f>
        <v>6</v>
      </c>
      <c r="AN82" t="str">
        <f t="shared" si="40"/>
        <v>Neutral</v>
      </c>
      <c r="AO82" s="32">
        <f t="shared" si="41"/>
        <v>1</v>
      </c>
      <c r="AP82">
        <f>step3_validation[[#This Row],[AI_TRU2]]</f>
        <v>9</v>
      </c>
      <c r="AQ82" t="str">
        <f t="shared" si="42"/>
        <v>Support</v>
      </c>
      <c r="AR82">
        <f>survey_responses[[#This Row],[Tôi thấy mức thuế tôi phải đóng theo phương án mới là công bằng (người thu nhập như tôi đóng mức này là hợp lý). - HUMAN-TRU2]]</f>
        <v>5</v>
      </c>
      <c r="AS82" t="str">
        <f t="shared" si="43"/>
        <v>Neutral</v>
      </c>
      <c r="AT82" s="32">
        <f t="shared" si="44"/>
        <v>4</v>
      </c>
      <c r="AU82">
        <f>step3_validation[[#This Row],[AI_TRU3]]</f>
        <v>7</v>
      </c>
      <c r="AV82" t="str">
        <f t="shared" si="45"/>
        <v>Neutral</v>
      </c>
      <c r="AW82">
        <f>survey_responses[[#This Row],[Tôi tin tưởng số tiền thuế tôi đóng sẽ được Nhà nước sử dụng hiệu quả để cải thiện dịch vụ công (y tế, đường xá...). - HUMAN-TRU3]]</f>
        <v>8</v>
      </c>
      <c r="AX82" t="str">
        <f t="shared" si="46"/>
        <v>Support</v>
      </c>
      <c r="AY82" s="32">
        <f t="shared" si="47"/>
        <v>1</v>
      </c>
      <c r="AZ82">
        <f>step3_validation[[#This Row],[AI_TRU4]]</f>
        <v>6</v>
      </c>
      <c r="BA82" t="str">
        <f t="shared" si="48"/>
        <v>Neutral</v>
      </c>
      <c r="BB82">
        <f>survey_responses[[#This Row],[Tôi thấy Nhà nước đã giải thích rõ ràng, minh bạch về lý do và mục tiêu của việc sửa đổi thuế lần này. - HUMAN-TRU4]]</f>
        <v>6</v>
      </c>
      <c r="BC82" t="str">
        <f t="shared" si="49"/>
        <v>Neutral</v>
      </c>
      <c r="BD82" s="32">
        <f t="shared" si="50"/>
        <v>0</v>
      </c>
      <c r="BE82">
        <f>step3_validation[[#This Row],[AI_OUT1]]</f>
        <v>9</v>
      </c>
      <c r="BF82" t="str">
        <f t="shared" si="51"/>
        <v>Support</v>
      </c>
      <c r="BG82">
        <f>survey_responses[[#This Row],[Sau khi xem xét các quyền lợi và nghĩa vụ, bạn có ủng hộ và tuân thủ chính sách mới hiện nay? - HUMAN-OUT1]]</f>
        <v>8</v>
      </c>
      <c r="BH82" t="str">
        <f t="shared" si="52"/>
        <v>Support</v>
      </c>
      <c r="BI82" s="32">
        <f t="shared" si="53"/>
        <v>1</v>
      </c>
    </row>
    <row r="83" spans="1:61" x14ac:dyDescent="0.45">
      <c r="A83" s="30">
        <f>step3_validation[[#This Row],[Persona_ID]]</f>
        <v>82</v>
      </c>
      <c r="B83" s="31">
        <f>step3_validation[[#This Row],[Used_Seed]]</f>
        <v>12426</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15.135041924578026</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t="str">
        <f t="shared" si="27"/>
        <v>Neutral</v>
      </c>
      <c r="S83">
        <f>survey_responses[[#This Row],[Tôi tin rằng với các quy định quản lý thuế hiện nay, hành vi gian lận hoặc trốn thuế sẽ dễ dàng bị phát hiện và xử lý nghiêm. - HUMAN-ENF1]]</f>
        <v>8</v>
      </c>
      <c r="T83" t="str">
        <f t="shared" si="28"/>
        <v>Support</v>
      </c>
      <c r="U83" s="32">
        <f t="shared" si="29"/>
        <v>1</v>
      </c>
      <c r="V83">
        <f>step3_validation[[#This Row],[AI_ENF2]]</f>
        <v>8</v>
      </c>
      <c r="W83" t="str">
        <f t="shared" si="30"/>
        <v>Support</v>
      </c>
      <c r="X83">
        <f>survey_responses[[#This Row],[Tôi tin rằng Nhà nước, cơ quan thuế có đủ khả năng và công nghệ để phát hiện, xử lý nghiêm các hành vi trốn thuế. - HUMAN-ENF2]]</f>
        <v>9</v>
      </c>
      <c r="Y83" t="str">
        <f t="shared" si="31"/>
        <v>Support</v>
      </c>
      <c r="Z83" s="32">
        <f t="shared" si="32"/>
        <v>1</v>
      </c>
      <c r="AA83">
        <f>step3_validation[[#This Row],[AI_FAC1]]</f>
        <v>9</v>
      </c>
      <c r="AB83" t="str">
        <f t="shared" si="33"/>
        <v>Support</v>
      </c>
      <c r="AC83">
        <f>survey_responses[[#This Row],[Các thủ tục khai báo thuế VÀ/HOẶC quy trình làm việc với cơ quan thuế đơn giản, tiện lợi, nhanh chóng hơn so với trước đây. - HUMAN-FAC1]]</f>
        <v>5</v>
      </c>
      <c r="AD83" t="str">
        <f t="shared" si="34"/>
        <v>Neutral</v>
      </c>
      <c r="AE83" s="32">
        <f t="shared" si="35"/>
        <v>4</v>
      </c>
      <c r="AF83">
        <f>step3_validation[[#This Row],[AI_FAC2]]</f>
        <v>10</v>
      </c>
      <c r="AG83" t="str">
        <f t="shared" si="36"/>
        <v>Support</v>
      </c>
      <c r="AH83">
        <f>survey_responses[[#This Row],[So với trước đây, tôi thấy cách tính thuế và các bậc thuế trong phương án mới đơn giản, dễ hiểu và dễ thực hiện hơn. - HUMAN-FAC2]]</f>
        <v>5</v>
      </c>
      <c r="AI83" t="str">
        <f t="shared" si="37"/>
        <v>Neutral</v>
      </c>
      <c r="AJ83" s="32">
        <f t="shared" si="38"/>
        <v>5</v>
      </c>
      <c r="AK83">
        <f>step3_validation[[#This Row],[AI_TRU1]]</f>
        <v>7</v>
      </c>
      <c r="AL83" t="str">
        <f t="shared" si="39"/>
        <v>Neutral</v>
      </c>
      <c r="AM83">
        <f>survey_responses[[#This Row],[Tôi tin rằng Nhà nước, cơ quan thuế sẽ thực thi chính sách mới một cách khách quan, công tâm và đối xử bình đẳng với mọi người nộp thuế.  - HUMAN-TRU1]]</f>
        <v>5</v>
      </c>
      <c r="AN83" t="str">
        <f t="shared" si="40"/>
        <v>Neutral</v>
      </c>
      <c r="AO83" s="32">
        <f t="shared" si="41"/>
        <v>2</v>
      </c>
      <c r="AP83">
        <f>step3_validation[[#This Row],[AI_TRU2]]</f>
        <v>8</v>
      </c>
      <c r="AQ83" t="str">
        <f t="shared" si="42"/>
        <v>Support</v>
      </c>
      <c r="AR83">
        <f>survey_responses[[#This Row],[Tôi thấy mức thuế tôi phải đóng theo phương án mới là công bằng (người thu nhập như tôi đóng mức này là hợp lý). - HUMAN-TRU2]]</f>
        <v>5</v>
      </c>
      <c r="AS83" t="str">
        <f t="shared" si="43"/>
        <v>Neutral</v>
      </c>
      <c r="AT83" s="32">
        <f t="shared" si="44"/>
        <v>3</v>
      </c>
      <c r="AU83">
        <f>step3_validation[[#This Row],[AI_TRU3]]</f>
        <v>7</v>
      </c>
      <c r="AV83" t="str">
        <f t="shared" si="45"/>
        <v>Neutral</v>
      </c>
      <c r="AW83">
        <f>survey_responses[[#This Row],[Tôi tin tưởng số tiền thuế tôi đóng sẽ được Nhà nước sử dụng hiệu quả để cải thiện dịch vụ công (y tế, đường xá...). - HUMAN-TRU3]]</f>
        <v>1</v>
      </c>
      <c r="AX83" t="str">
        <f t="shared" si="46"/>
        <v>Oppose</v>
      </c>
      <c r="AY83" s="32">
        <f t="shared" si="47"/>
        <v>6</v>
      </c>
      <c r="AZ83">
        <f>step3_validation[[#This Row],[AI_TRU4]]</f>
        <v>6</v>
      </c>
      <c r="BA83" t="str">
        <f t="shared" si="48"/>
        <v>Neutral</v>
      </c>
      <c r="BB83">
        <f>survey_responses[[#This Row],[Tôi thấy Nhà nước đã giải thích rõ ràng, minh bạch về lý do và mục tiêu của việc sửa đổi thuế lần này. - HUMAN-TRU4]]</f>
        <v>5</v>
      </c>
      <c r="BC83" t="str">
        <f t="shared" si="49"/>
        <v>Neutral</v>
      </c>
      <c r="BD83" s="32">
        <f t="shared" si="50"/>
        <v>1</v>
      </c>
      <c r="BE83">
        <f>step3_validation[[#This Row],[AI_OUT1]]</f>
        <v>8</v>
      </c>
      <c r="BF83" t="str">
        <f t="shared" si="51"/>
        <v>Support</v>
      </c>
      <c r="BG83">
        <f>survey_responses[[#This Row],[Sau khi xem xét các quyền lợi và nghĩa vụ, bạn có ủng hộ và tuân thủ chính sách mới hiện nay? - HUMAN-OUT1]]</f>
        <v>5</v>
      </c>
      <c r="BH83" t="str">
        <f t="shared" si="52"/>
        <v>Neutral</v>
      </c>
      <c r="BI83" s="32">
        <f t="shared" si="53"/>
        <v>3</v>
      </c>
    </row>
    <row r="84" spans="1:61" x14ac:dyDescent="0.45">
      <c r="A84" s="30">
        <f>step3_validation[[#This Row],[Persona_ID]]</f>
        <v>83</v>
      </c>
      <c r="B84" s="31">
        <f>step3_validation[[#This Row],[Used_Seed]]</f>
        <v>12427</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12.3044467206063</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4</v>
      </c>
      <c r="R84" t="str">
        <f t="shared" si="27"/>
        <v>Oppose</v>
      </c>
      <c r="S84">
        <f>survey_responses[[#This Row],[Tôi tin rằng với các quy định quản lý thuế hiện nay, hành vi gian lận hoặc trốn thuế sẽ dễ dàng bị phát hiện và xử lý nghiêm. - HUMAN-ENF1]]</f>
        <v>10</v>
      </c>
      <c r="T84" t="str">
        <f t="shared" si="28"/>
        <v>Support</v>
      </c>
      <c r="U84" s="32">
        <f t="shared" si="29"/>
        <v>6</v>
      </c>
      <c r="V84">
        <f>step3_validation[[#This Row],[AI_ENF2]]</f>
        <v>5</v>
      </c>
      <c r="W84" t="str">
        <f t="shared" si="30"/>
        <v>Neutral</v>
      </c>
      <c r="X84">
        <f>survey_responses[[#This Row],[Tôi tin rằng Nhà nước, cơ quan thuế có đủ khả năng và công nghệ để phát hiện, xử lý nghiêm các hành vi trốn thuế. - HUMAN-ENF2]]</f>
        <v>8</v>
      </c>
      <c r="Y84" t="str">
        <f t="shared" si="31"/>
        <v>Support</v>
      </c>
      <c r="Z84" s="32">
        <f t="shared" si="32"/>
        <v>3</v>
      </c>
      <c r="AA84">
        <f>step3_validation[[#This Row],[AI_FAC1]]</f>
        <v>8</v>
      </c>
      <c r="AB84" t="str">
        <f t="shared" si="33"/>
        <v>Support</v>
      </c>
      <c r="AC84">
        <f>survey_responses[[#This Row],[Các thủ tục khai báo thuế VÀ/HOẶC quy trình làm việc với cơ quan thuế đơn giản, tiện lợi, nhanh chóng hơn so với trước đây. - HUMAN-FAC1]]</f>
        <v>8</v>
      </c>
      <c r="AD84" t="str">
        <f t="shared" si="34"/>
        <v>Support</v>
      </c>
      <c r="AE84" s="32">
        <f t="shared" si="35"/>
        <v>0</v>
      </c>
      <c r="AF84">
        <f>step3_validation[[#This Row],[AI_FAC2]]</f>
        <v>9</v>
      </c>
      <c r="AG84" t="str">
        <f t="shared" si="36"/>
        <v>Support</v>
      </c>
      <c r="AH84">
        <f>survey_responses[[#This Row],[So với trước đây, tôi thấy cách tính thuế và các bậc thuế trong phương án mới đơn giản, dễ hiểu và dễ thực hiện hơn. - HUMAN-FAC2]]</f>
        <v>7</v>
      </c>
      <c r="AI84" t="str">
        <f t="shared" si="37"/>
        <v>Neutral</v>
      </c>
      <c r="AJ84" s="32">
        <f t="shared" si="38"/>
        <v>2</v>
      </c>
      <c r="AK84">
        <f>step3_validation[[#This Row],[AI_TRU1]]</f>
        <v>8</v>
      </c>
      <c r="AL84" t="str">
        <f t="shared" si="39"/>
        <v>Support</v>
      </c>
      <c r="AM84">
        <f>survey_responses[[#This Row],[Tôi tin rằng Nhà nước, cơ quan thuế sẽ thực thi chính sách mới một cách khách quan, công tâm và đối xử bình đẳng với mọi người nộp thuế.  - HUMAN-TRU1]]</f>
        <v>7</v>
      </c>
      <c r="AN84" t="str">
        <f t="shared" si="40"/>
        <v>Neutral</v>
      </c>
      <c r="AO84" s="32">
        <f t="shared" si="41"/>
        <v>1</v>
      </c>
      <c r="AP84">
        <f>step3_validation[[#This Row],[AI_TRU2]]</f>
        <v>9</v>
      </c>
      <c r="AQ84" t="str">
        <f t="shared" si="42"/>
        <v>Support</v>
      </c>
      <c r="AR84">
        <f>survey_responses[[#This Row],[Tôi thấy mức thuế tôi phải đóng theo phương án mới là công bằng (người thu nhập như tôi đóng mức này là hợp lý). - HUMAN-TRU2]]</f>
        <v>6</v>
      </c>
      <c r="AS84" t="str">
        <f t="shared" si="43"/>
        <v>Neutral</v>
      </c>
      <c r="AT84" s="32">
        <f t="shared" si="44"/>
        <v>3</v>
      </c>
      <c r="AU84">
        <f>step3_validation[[#This Row],[AI_TRU3]]</f>
        <v>8</v>
      </c>
      <c r="AV84" t="str">
        <f t="shared" si="45"/>
        <v>Support</v>
      </c>
      <c r="AW84">
        <f>survey_responses[[#This Row],[Tôi tin tưởng số tiền thuế tôi đóng sẽ được Nhà nước sử dụng hiệu quả để cải thiện dịch vụ công (y tế, đường xá...). - HUMAN-TRU3]]</f>
        <v>7</v>
      </c>
      <c r="AX84" t="str">
        <f t="shared" si="46"/>
        <v>Neutral</v>
      </c>
      <c r="AY84" s="32">
        <f t="shared" si="47"/>
        <v>1</v>
      </c>
      <c r="AZ84">
        <f>step3_validation[[#This Row],[AI_TRU4]]</f>
        <v>6</v>
      </c>
      <c r="BA84" t="str">
        <f t="shared" si="48"/>
        <v>Neutral</v>
      </c>
      <c r="BB84">
        <f>survey_responses[[#This Row],[Tôi thấy Nhà nước đã giải thích rõ ràng, minh bạch về lý do và mục tiêu của việc sửa đổi thuế lần này. - HUMAN-TRU4]]</f>
        <v>6</v>
      </c>
      <c r="BC84" t="str">
        <f t="shared" si="49"/>
        <v>Neutral</v>
      </c>
      <c r="BD84" s="32">
        <f t="shared" si="50"/>
        <v>0</v>
      </c>
      <c r="BE84">
        <f>step3_validation[[#This Row],[AI_OUT1]]</f>
        <v>7</v>
      </c>
      <c r="BF84" t="str">
        <f t="shared" si="51"/>
        <v>Neutral</v>
      </c>
      <c r="BG84">
        <f>survey_responses[[#This Row],[Sau khi xem xét các quyền lợi và nghĩa vụ, bạn có ủng hộ và tuân thủ chính sách mới hiện nay? - HUMAN-OUT1]]</f>
        <v>8</v>
      </c>
      <c r="BH84" t="str">
        <f t="shared" si="52"/>
        <v>Support</v>
      </c>
      <c r="BI84" s="32">
        <f t="shared" si="53"/>
        <v>1</v>
      </c>
    </row>
    <row r="85" spans="1:61" x14ac:dyDescent="0.45">
      <c r="A85" s="30">
        <f>step3_validation[[#This Row],[Persona_ID]]</f>
        <v>84</v>
      </c>
      <c r="B85" s="31">
        <f>step3_validation[[#This Row],[Used_Seed]]</f>
        <v>12428</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12.024673872801911</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8</v>
      </c>
      <c r="R85" t="str">
        <f t="shared" si="27"/>
        <v>Support</v>
      </c>
      <c r="S85">
        <f>survey_responses[[#This Row],[Tôi tin rằng với các quy định quản lý thuế hiện nay, hành vi gian lận hoặc trốn thuế sẽ dễ dàng bị phát hiện và xử lý nghiêm. - HUMAN-ENF1]]</f>
        <v>6</v>
      </c>
      <c r="T85" t="str">
        <f t="shared" si="28"/>
        <v>Neutral</v>
      </c>
      <c r="U85" s="32">
        <f t="shared" si="29"/>
        <v>2</v>
      </c>
      <c r="V85">
        <f>step3_validation[[#This Row],[AI_ENF2]]</f>
        <v>9</v>
      </c>
      <c r="W85" t="str">
        <f t="shared" si="30"/>
        <v>Support</v>
      </c>
      <c r="X85">
        <f>survey_responses[[#This Row],[Tôi tin rằng Nhà nước, cơ quan thuế có đủ khả năng và công nghệ để phát hiện, xử lý nghiêm các hành vi trốn thuế. - HUMAN-ENF2]]</f>
        <v>7</v>
      </c>
      <c r="Y85" t="str">
        <f t="shared" si="31"/>
        <v>Neutral</v>
      </c>
      <c r="Z85" s="32">
        <f t="shared" si="32"/>
        <v>2</v>
      </c>
      <c r="AA85">
        <f>step3_validation[[#This Row],[AI_FAC1]]</f>
        <v>7</v>
      </c>
      <c r="AB85" t="str">
        <f t="shared" si="33"/>
        <v>Neutral</v>
      </c>
      <c r="AC85">
        <f>survey_responses[[#This Row],[Các thủ tục khai báo thuế VÀ/HOẶC quy trình làm việc với cơ quan thuế đơn giản, tiện lợi, nhanh chóng hơn so với trước đây. - HUMAN-FAC1]]</f>
        <v>5</v>
      </c>
      <c r="AD85" t="str">
        <f t="shared" si="34"/>
        <v>Neutral</v>
      </c>
      <c r="AE85" s="32">
        <f t="shared" si="35"/>
        <v>2</v>
      </c>
      <c r="AF85">
        <f>step3_validation[[#This Row],[AI_FAC2]]</f>
        <v>9</v>
      </c>
      <c r="AG85" t="str">
        <f t="shared" si="36"/>
        <v>Support</v>
      </c>
      <c r="AH85">
        <f>survey_responses[[#This Row],[So với trước đây, tôi thấy cách tính thuế và các bậc thuế trong phương án mới đơn giản, dễ hiểu và dễ thực hiện hơn. - HUMAN-FAC2]]</f>
        <v>5</v>
      </c>
      <c r="AI85" t="str">
        <f t="shared" si="37"/>
        <v>Neutral</v>
      </c>
      <c r="AJ85" s="32">
        <f t="shared" si="38"/>
        <v>4</v>
      </c>
      <c r="AK85">
        <f>step3_validation[[#This Row],[AI_TRU1]]</f>
        <v>8</v>
      </c>
      <c r="AL85" t="str">
        <f t="shared" si="39"/>
        <v>Support</v>
      </c>
      <c r="AM85">
        <f>survey_responses[[#This Row],[Tôi tin rằng Nhà nước, cơ quan thuế sẽ thực thi chính sách mới một cách khách quan, công tâm và đối xử bình đẳng với mọi người nộp thuế.  - HUMAN-TRU1]]</f>
        <v>5</v>
      </c>
      <c r="AN85" t="str">
        <f t="shared" si="40"/>
        <v>Neutral</v>
      </c>
      <c r="AO85" s="32">
        <f t="shared" si="41"/>
        <v>3</v>
      </c>
      <c r="AP85">
        <f>step3_validation[[#This Row],[AI_TRU2]]</f>
        <v>9</v>
      </c>
      <c r="AQ85" t="str">
        <f t="shared" si="42"/>
        <v>Support</v>
      </c>
      <c r="AR85">
        <f>survey_responses[[#This Row],[Tôi thấy mức thuế tôi phải đóng theo phương án mới là công bằng (người thu nhập như tôi đóng mức này là hợp lý). - HUMAN-TRU2]]</f>
        <v>5</v>
      </c>
      <c r="AS85" t="str">
        <f t="shared" si="43"/>
        <v>Neutral</v>
      </c>
      <c r="AT85" s="32">
        <f t="shared" si="44"/>
        <v>4</v>
      </c>
      <c r="AU85">
        <f>step3_validation[[#This Row],[AI_TRU3]]</f>
        <v>8</v>
      </c>
      <c r="AV85" t="str">
        <f t="shared" si="45"/>
        <v>Support</v>
      </c>
      <c r="AW85">
        <f>survey_responses[[#This Row],[Tôi tin tưởng số tiền thuế tôi đóng sẽ được Nhà nước sử dụng hiệu quả để cải thiện dịch vụ công (y tế, đường xá...). - HUMAN-TRU3]]</f>
        <v>5</v>
      </c>
      <c r="AX85" t="str">
        <f t="shared" si="46"/>
        <v>Neutral</v>
      </c>
      <c r="AY85" s="32">
        <f t="shared" si="47"/>
        <v>3</v>
      </c>
      <c r="AZ85">
        <f>step3_validation[[#This Row],[AI_TRU4]]</f>
        <v>9</v>
      </c>
      <c r="BA85" t="str">
        <f t="shared" si="48"/>
        <v>Support</v>
      </c>
      <c r="BB85">
        <f>survey_responses[[#This Row],[Tôi thấy Nhà nước đã giải thích rõ ràng, minh bạch về lý do và mục tiêu của việc sửa đổi thuế lần này. - HUMAN-TRU4]]</f>
        <v>5</v>
      </c>
      <c r="BC85" t="str">
        <f t="shared" si="49"/>
        <v>Neutral</v>
      </c>
      <c r="BD85" s="32">
        <f t="shared" si="50"/>
        <v>4</v>
      </c>
      <c r="BE85">
        <f>step3_validation[[#This Row],[AI_OUT1]]</f>
        <v>8</v>
      </c>
      <c r="BF85" t="str">
        <f t="shared" si="51"/>
        <v>Support</v>
      </c>
      <c r="BG85">
        <f>survey_responses[[#This Row],[Sau khi xem xét các quyền lợi và nghĩa vụ, bạn có ủng hộ và tuân thủ chính sách mới hiện nay? - HUMAN-OUT1]]</f>
        <v>5</v>
      </c>
      <c r="BH85" t="str">
        <f t="shared" si="52"/>
        <v>Neutral</v>
      </c>
      <c r="BI85" s="32">
        <f t="shared" si="53"/>
        <v>3</v>
      </c>
    </row>
    <row r="86" spans="1:61" x14ac:dyDescent="0.45">
      <c r="A86" s="30">
        <f>step3_validation[[#This Row],[Persona_ID]]</f>
        <v>85</v>
      </c>
      <c r="B86" s="31">
        <f>step3_validation[[#This Row],[Used_Seed]]</f>
        <v>12429</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14.83525377811864</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6</v>
      </c>
      <c r="R86" t="str">
        <f t="shared" si="27"/>
        <v>Neutral</v>
      </c>
      <c r="S86">
        <f>survey_responses[[#This Row],[Tôi tin rằng với các quy định quản lý thuế hiện nay, hành vi gian lận hoặc trốn thuế sẽ dễ dàng bị phát hiện và xử lý nghiêm. - HUMAN-ENF1]]</f>
        <v>9</v>
      </c>
      <c r="T86" t="str">
        <f t="shared" si="28"/>
        <v>Support</v>
      </c>
      <c r="U86" s="32">
        <f t="shared" si="29"/>
        <v>3</v>
      </c>
      <c r="V86">
        <f>step3_validation[[#This Row],[AI_ENF2]]</f>
        <v>6</v>
      </c>
      <c r="W86" t="str">
        <f t="shared" si="30"/>
        <v>Neutral</v>
      </c>
      <c r="X86">
        <f>survey_responses[[#This Row],[Tôi tin rằng Nhà nước, cơ quan thuế có đủ khả năng và công nghệ để phát hiện, xử lý nghiêm các hành vi trốn thuế. - HUMAN-ENF2]]</f>
        <v>9</v>
      </c>
      <c r="Y86" t="str">
        <f t="shared" si="31"/>
        <v>Support</v>
      </c>
      <c r="Z86" s="32">
        <f t="shared" si="32"/>
        <v>3</v>
      </c>
      <c r="AA86">
        <f>step3_validation[[#This Row],[AI_FAC1]]</f>
        <v>8</v>
      </c>
      <c r="AB86" t="str">
        <f t="shared" si="33"/>
        <v>Support</v>
      </c>
      <c r="AC86">
        <f>survey_responses[[#This Row],[Các thủ tục khai báo thuế VÀ/HOẶC quy trình làm việc với cơ quan thuế đơn giản, tiện lợi, nhanh chóng hơn so với trước đây. - HUMAN-FAC1]]</f>
        <v>8</v>
      </c>
      <c r="AD86" t="str">
        <f t="shared" si="34"/>
        <v>Support</v>
      </c>
      <c r="AE86" s="32">
        <f t="shared" si="35"/>
        <v>0</v>
      </c>
      <c r="AF86">
        <f>step3_validation[[#This Row],[AI_FAC2]]</f>
        <v>9</v>
      </c>
      <c r="AG86" t="str">
        <f t="shared" si="36"/>
        <v>Support</v>
      </c>
      <c r="AH86">
        <f>survey_responses[[#This Row],[So với trước đây, tôi thấy cách tính thuế và các bậc thuế trong phương án mới đơn giản, dễ hiểu và dễ thực hiện hơn. - HUMAN-FAC2]]</f>
        <v>9</v>
      </c>
      <c r="AI86" t="str">
        <f t="shared" si="37"/>
        <v>Support</v>
      </c>
      <c r="AJ86" s="32">
        <f t="shared" si="38"/>
        <v>0</v>
      </c>
      <c r="AK86">
        <f>step3_validation[[#This Row],[AI_TRU1]]</f>
        <v>8</v>
      </c>
      <c r="AL86" t="str">
        <f t="shared" si="39"/>
        <v>Support</v>
      </c>
      <c r="AM86">
        <f>survey_responses[[#This Row],[Tôi tin rằng Nhà nước, cơ quan thuế sẽ thực thi chính sách mới một cách khách quan, công tâm và đối xử bình đẳng với mọi người nộp thuế.  - HUMAN-TRU1]]</f>
        <v>9</v>
      </c>
      <c r="AN86" t="str">
        <f t="shared" si="40"/>
        <v>Support</v>
      </c>
      <c r="AO86" s="32">
        <f t="shared" si="41"/>
        <v>1</v>
      </c>
      <c r="AP86">
        <f>step3_validation[[#This Row],[AI_TRU2]]</f>
        <v>7</v>
      </c>
      <c r="AQ86" t="str">
        <f t="shared" si="42"/>
        <v>Neutral</v>
      </c>
      <c r="AR86">
        <f>survey_responses[[#This Row],[Tôi thấy mức thuế tôi phải đóng theo phương án mới là công bằng (người thu nhập như tôi đóng mức này là hợp lý). - HUMAN-TRU2]]</f>
        <v>9</v>
      </c>
      <c r="AS86" t="str">
        <f t="shared" si="43"/>
        <v>Support</v>
      </c>
      <c r="AT86" s="32">
        <f t="shared" si="44"/>
        <v>2</v>
      </c>
      <c r="AU86">
        <f>step3_validation[[#This Row],[AI_TRU3]]</f>
        <v>8</v>
      </c>
      <c r="AV86" t="str">
        <f t="shared" si="45"/>
        <v>Support</v>
      </c>
      <c r="AW86">
        <f>survey_responses[[#This Row],[Tôi tin tưởng số tiền thuế tôi đóng sẽ được Nhà nước sử dụng hiệu quả để cải thiện dịch vụ công (y tế, đường xá...). - HUMAN-TRU3]]</f>
        <v>7</v>
      </c>
      <c r="AX86" t="str">
        <f t="shared" si="46"/>
        <v>Neutral</v>
      </c>
      <c r="AY86" s="32">
        <f t="shared" si="47"/>
        <v>1</v>
      </c>
      <c r="AZ86">
        <f>step3_validation[[#This Row],[AI_TRU4]]</f>
        <v>7</v>
      </c>
      <c r="BA86" t="str">
        <f t="shared" si="48"/>
        <v>Neutral</v>
      </c>
      <c r="BB86">
        <f>survey_responses[[#This Row],[Tôi thấy Nhà nước đã giải thích rõ ràng, minh bạch về lý do và mục tiêu của việc sửa đổi thuế lần này. - HUMAN-TRU4]]</f>
        <v>8</v>
      </c>
      <c r="BC86" t="str">
        <f t="shared" si="49"/>
        <v>Support</v>
      </c>
      <c r="BD86" s="32">
        <f t="shared" si="50"/>
        <v>1</v>
      </c>
      <c r="BE86">
        <f>step3_validation[[#This Row],[AI_OUT1]]</f>
        <v>8</v>
      </c>
      <c r="BF86" t="str">
        <f t="shared" si="51"/>
        <v>Support</v>
      </c>
      <c r="BG86">
        <f>survey_responses[[#This Row],[Sau khi xem xét các quyền lợi và nghĩa vụ, bạn có ủng hộ và tuân thủ chính sách mới hiện nay? - HUMAN-OUT1]]</f>
        <v>8</v>
      </c>
      <c r="BH86" t="str">
        <f t="shared" si="52"/>
        <v>Support</v>
      </c>
      <c r="BI86" s="32">
        <f t="shared" si="53"/>
        <v>0</v>
      </c>
    </row>
    <row r="87" spans="1:61" x14ac:dyDescent="0.45">
      <c r="A87" s="30">
        <f>step3_validation[[#This Row],[Persona_ID]]</f>
        <v>86</v>
      </c>
      <c r="B87" s="31">
        <f>step3_validation[[#This Row],[Used_Seed]]</f>
        <v>12430</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14.195470345216716</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8</v>
      </c>
      <c r="R87" t="str">
        <f t="shared" si="27"/>
        <v>Support</v>
      </c>
      <c r="S87">
        <f>survey_responses[[#This Row],[Tôi tin rằng với các quy định quản lý thuế hiện nay, hành vi gian lận hoặc trốn thuế sẽ dễ dàng bị phát hiện và xử lý nghiêm. - HUMAN-ENF1]]</f>
        <v>5</v>
      </c>
      <c r="T87" t="str">
        <f t="shared" si="28"/>
        <v>Neutral</v>
      </c>
      <c r="U87" s="32">
        <f t="shared" si="29"/>
        <v>3</v>
      </c>
      <c r="V87">
        <f>step3_validation[[#This Row],[AI_ENF2]]</f>
        <v>9</v>
      </c>
      <c r="W87" t="str">
        <f t="shared" si="30"/>
        <v>Support</v>
      </c>
      <c r="X87">
        <f>survey_responses[[#This Row],[Tôi tin rằng Nhà nước, cơ quan thuế có đủ khả năng và công nghệ để phát hiện, xử lý nghiêm các hành vi trốn thuế. - HUMAN-ENF2]]</f>
        <v>5</v>
      </c>
      <c r="Y87" t="str">
        <f t="shared" si="31"/>
        <v>Neutral</v>
      </c>
      <c r="Z87" s="32">
        <f t="shared" si="32"/>
        <v>4</v>
      </c>
      <c r="AA87">
        <f>step3_validation[[#This Row],[AI_FAC1]]</f>
        <v>8</v>
      </c>
      <c r="AB87" t="str">
        <f t="shared" si="33"/>
        <v>Support</v>
      </c>
      <c r="AC87">
        <f>survey_responses[[#This Row],[Các thủ tục khai báo thuế VÀ/HOẶC quy trình làm việc với cơ quan thuế đơn giản, tiện lợi, nhanh chóng hơn so với trước đây. - HUMAN-FAC1]]</f>
        <v>10</v>
      </c>
      <c r="AD87" t="str">
        <f t="shared" si="34"/>
        <v>Support</v>
      </c>
      <c r="AE87" s="32">
        <f t="shared" si="35"/>
        <v>2</v>
      </c>
      <c r="AF87">
        <f>step3_validation[[#This Row],[AI_FAC2]]</f>
        <v>9</v>
      </c>
      <c r="AG87" t="str">
        <f t="shared" si="36"/>
        <v>Support</v>
      </c>
      <c r="AH87">
        <f>survey_responses[[#This Row],[So với trước đây, tôi thấy cách tính thuế và các bậc thuế trong phương án mới đơn giản, dễ hiểu và dễ thực hiện hơn. - HUMAN-FAC2]]</f>
        <v>4</v>
      </c>
      <c r="AI87" t="str">
        <f t="shared" si="37"/>
        <v>Oppose</v>
      </c>
      <c r="AJ87" s="32">
        <f t="shared" si="38"/>
        <v>5</v>
      </c>
      <c r="AK87">
        <f>step3_validation[[#This Row],[AI_TRU1]]</f>
        <v>7</v>
      </c>
      <c r="AL87" t="str">
        <f t="shared" si="39"/>
        <v>Neutral</v>
      </c>
      <c r="AM87">
        <f>survey_responses[[#This Row],[Tôi tin rằng Nhà nước, cơ quan thuế sẽ thực thi chính sách mới một cách khách quan, công tâm và đối xử bình đẳng với mọi người nộp thuế.  - HUMAN-TRU1]]</f>
        <v>4</v>
      </c>
      <c r="AN87" t="str">
        <f t="shared" si="40"/>
        <v>Oppose</v>
      </c>
      <c r="AO87" s="32">
        <f t="shared" si="41"/>
        <v>3</v>
      </c>
      <c r="AP87">
        <f>step3_validation[[#This Row],[AI_TRU2]]</f>
        <v>9</v>
      </c>
      <c r="AQ87" t="str">
        <f t="shared" si="42"/>
        <v>Support</v>
      </c>
      <c r="AR87">
        <f>survey_responses[[#This Row],[Tôi thấy mức thuế tôi phải đóng theo phương án mới là công bằng (người thu nhập như tôi đóng mức này là hợp lý). - HUMAN-TRU2]]</f>
        <v>5</v>
      </c>
      <c r="AS87" t="str">
        <f t="shared" si="43"/>
        <v>Neutral</v>
      </c>
      <c r="AT87" s="32">
        <f t="shared" si="44"/>
        <v>4</v>
      </c>
      <c r="AU87">
        <f>step3_validation[[#This Row],[AI_TRU3]]</f>
        <v>6</v>
      </c>
      <c r="AV87" t="str">
        <f t="shared" si="45"/>
        <v>Neutral</v>
      </c>
      <c r="AW87">
        <f>survey_responses[[#This Row],[Tôi tin tưởng số tiền thuế tôi đóng sẽ được Nhà nước sử dụng hiệu quả để cải thiện dịch vụ công (y tế, đường xá...). - HUMAN-TRU3]]</f>
        <v>5</v>
      </c>
      <c r="AX87" t="str">
        <f t="shared" si="46"/>
        <v>Neutral</v>
      </c>
      <c r="AY87" s="32">
        <f t="shared" si="47"/>
        <v>1</v>
      </c>
      <c r="AZ87">
        <f>step3_validation[[#This Row],[AI_TRU4]]</f>
        <v>8</v>
      </c>
      <c r="BA87" t="str">
        <f t="shared" si="48"/>
        <v>Support</v>
      </c>
      <c r="BB87">
        <f>survey_responses[[#This Row],[Tôi thấy Nhà nước đã giải thích rõ ràng, minh bạch về lý do và mục tiêu của việc sửa đổi thuế lần này. - HUMAN-TRU4]]</f>
        <v>8</v>
      </c>
      <c r="BC87" t="str">
        <f t="shared" si="49"/>
        <v>Support</v>
      </c>
      <c r="BD87" s="32">
        <f t="shared" si="50"/>
        <v>0</v>
      </c>
      <c r="BE87">
        <f>step3_validation[[#This Row],[AI_OUT1]]</f>
        <v>9</v>
      </c>
      <c r="BF87" t="str">
        <f t="shared" si="51"/>
        <v>Support</v>
      </c>
      <c r="BG87">
        <f>survey_responses[[#This Row],[Sau khi xem xét các quyền lợi và nghĩa vụ, bạn có ủng hộ và tuân thủ chính sách mới hiện nay? - HUMAN-OUT1]]</f>
        <v>8</v>
      </c>
      <c r="BH87" t="str">
        <f t="shared" si="52"/>
        <v>Support</v>
      </c>
      <c r="BI87" s="32">
        <f t="shared" si="53"/>
        <v>1</v>
      </c>
    </row>
    <row r="88" spans="1:61" x14ac:dyDescent="0.45">
      <c r="A88" s="30">
        <f>step3_validation[[#This Row],[Persona_ID]]</f>
        <v>87</v>
      </c>
      <c r="B88" s="31">
        <f>step3_validation[[#This Row],[Used_Seed]]</f>
        <v>12431</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13.88391325950928</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t="str">
        <f t="shared" si="27"/>
        <v>Neutral</v>
      </c>
      <c r="S88">
        <f>survey_responses[[#This Row],[Tôi tin rằng với các quy định quản lý thuế hiện nay, hành vi gian lận hoặc trốn thuế sẽ dễ dàng bị phát hiện và xử lý nghiêm. - HUMAN-ENF1]]</f>
        <v>10</v>
      </c>
      <c r="T88" t="str">
        <f t="shared" si="28"/>
        <v>Support</v>
      </c>
      <c r="U88" s="32">
        <f t="shared" si="29"/>
        <v>3</v>
      </c>
      <c r="V88">
        <f>step3_validation[[#This Row],[AI_ENF2]]</f>
        <v>6</v>
      </c>
      <c r="W88" t="str">
        <f t="shared" si="30"/>
        <v>Neutral</v>
      </c>
      <c r="X88">
        <f>survey_responses[[#This Row],[Tôi tin rằng Nhà nước, cơ quan thuế có đủ khả năng và công nghệ để phát hiện, xử lý nghiêm các hành vi trốn thuế. - HUMAN-ENF2]]</f>
        <v>9</v>
      </c>
      <c r="Y88" t="str">
        <f t="shared" si="31"/>
        <v>Support</v>
      </c>
      <c r="Z88" s="32">
        <f t="shared" si="32"/>
        <v>3</v>
      </c>
      <c r="AA88">
        <f>step3_validation[[#This Row],[AI_FAC1]]</f>
        <v>8</v>
      </c>
      <c r="AB88" t="str">
        <f t="shared" si="33"/>
        <v>Support</v>
      </c>
      <c r="AC88">
        <f>survey_responses[[#This Row],[Các thủ tục khai báo thuế VÀ/HOẶC quy trình làm việc với cơ quan thuế đơn giản, tiện lợi, nhanh chóng hơn so với trước đây. - HUMAN-FAC1]]</f>
        <v>9</v>
      </c>
      <c r="AD88" t="str">
        <f t="shared" si="34"/>
        <v>Support</v>
      </c>
      <c r="AE88" s="32">
        <f t="shared" si="35"/>
        <v>1</v>
      </c>
      <c r="AF88">
        <f>step3_validation[[#This Row],[AI_FAC2]]</f>
        <v>9</v>
      </c>
      <c r="AG88" t="str">
        <f t="shared" si="36"/>
        <v>Support</v>
      </c>
      <c r="AH88">
        <f>survey_responses[[#This Row],[So với trước đây, tôi thấy cách tính thuế và các bậc thuế trong phương án mới đơn giản, dễ hiểu và dễ thực hiện hơn. - HUMAN-FAC2]]</f>
        <v>9</v>
      </c>
      <c r="AI88" t="str">
        <f t="shared" si="37"/>
        <v>Support</v>
      </c>
      <c r="AJ88" s="32">
        <f t="shared" si="38"/>
        <v>0</v>
      </c>
      <c r="AK88">
        <f>step3_validation[[#This Row],[AI_TRU1]]</f>
        <v>8</v>
      </c>
      <c r="AL88" t="str">
        <f t="shared" si="39"/>
        <v>Support</v>
      </c>
      <c r="AM88">
        <f>survey_responses[[#This Row],[Tôi tin rằng Nhà nước, cơ quan thuế sẽ thực thi chính sách mới một cách khách quan, công tâm và đối xử bình đẳng với mọi người nộp thuế.  - HUMAN-TRU1]]</f>
        <v>9</v>
      </c>
      <c r="AN88" t="str">
        <f t="shared" si="40"/>
        <v>Support</v>
      </c>
      <c r="AO88" s="32">
        <f t="shared" si="41"/>
        <v>1</v>
      </c>
      <c r="AP88">
        <f>step3_validation[[#This Row],[AI_TRU2]]</f>
        <v>9</v>
      </c>
      <c r="AQ88" t="str">
        <f t="shared" si="42"/>
        <v>Support</v>
      </c>
      <c r="AR88">
        <f>survey_responses[[#This Row],[Tôi thấy mức thuế tôi phải đóng theo phương án mới là công bằng (người thu nhập như tôi đóng mức này là hợp lý). - HUMAN-TRU2]]</f>
        <v>9</v>
      </c>
      <c r="AS88" t="str">
        <f t="shared" si="43"/>
        <v>Support</v>
      </c>
      <c r="AT88" s="32">
        <f t="shared" si="44"/>
        <v>0</v>
      </c>
      <c r="AU88">
        <f>step3_validation[[#This Row],[AI_TRU3]]</f>
        <v>8</v>
      </c>
      <c r="AV88" t="str">
        <f t="shared" si="45"/>
        <v>Support</v>
      </c>
      <c r="AW88">
        <f>survey_responses[[#This Row],[Tôi tin tưởng số tiền thuế tôi đóng sẽ được Nhà nước sử dụng hiệu quả để cải thiện dịch vụ công (y tế, đường xá...). - HUMAN-TRU3]]</f>
        <v>10</v>
      </c>
      <c r="AX88" t="str">
        <f t="shared" si="46"/>
        <v>Support</v>
      </c>
      <c r="AY88" s="32">
        <f t="shared" si="47"/>
        <v>2</v>
      </c>
      <c r="AZ88">
        <f>step3_validation[[#This Row],[AI_TRU4]]</f>
        <v>7</v>
      </c>
      <c r="BA88" t="str">
        <f t="shared" si="48"/>
        <v>Neutral</v>
      </c>
      <c r="BB88">
        <f>survey_responses[[#This Row],[Tôi thấy Nhà nước đã giải thích rõ ràng, minh bạch về lý do và mục tiêu của việc sửa đổi thuế lần này. - HUMAN-TRU4]]</f>
        <v>9</v>
      </c>
      <c r="BC88" t="str">
        <f t="shared" si="49"/>
        <v>Support</v>
      </c>
      <c r="BD88" s="32">
        <f t="shared" si="50"/>
        <v>2</v>
      </c>
      <c r="BE88">
        <f>step3_validation[[#This Row],[AI_OUT1]]</f>
        <v>8</v>
      </c>
      <c r="BF88" t="str">
        <f t="shared" si="51"/>
        <v>Support</v>
      </c>
      <c r="BG88">
        <f>survey_responses[[#This Row],[Sau khi xem xét các quyền lợi và nghĩa vụ, bạn có ủng hộ và tuân thủ chính sách mới hiện nay? - HUMAN-OUT1]]</f>
        <v>10</v>
      </c>
      <c r="BH88" t="str">
        <f t="shared" si="52"/>
        <v>Support</v>
      </c>
      <c r="BI88" s="32">
        <f t="shared" si="53"/>
        <v>2</v>
      </c>
    </row>
    <row r="89" spans="1:61" x14ac:dyDescent="0.45">
      <c r="A89" s="30">
        <f>step3_validation[[#This Row],[Persona_ID]]</f>
        <v>88</v>
      </c>
      <c r="B89" s="31">
        <f>step3_validation[[#This Row],[Used_Seed]]</f>
        <v>12432</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7</v>
      </c>
      <c r="R89" t="str">
        <f t="shared" si="27"/>
        <v>Neutral</v>
      </c>
      <c r="S89">
        <f>survey_responses[[#This Row],[Tôi tin rằng với các quy định quản lý thuế hiện nay, hành vi gian lận hoặc trốn thuế sẽ dễ dàng bị phát hiện và xử lý nghiêm. - HUMAN-ENF1]]</f>
        <v>10</v>
      </c>
      <c r="T89" t="str">
        <f t="shared" si="28"/>
        <v>Support</v>
      </c>
      <c r="U89" s="32">
        <f t="shared" si="29"/>
        <v>3</v>
      </c>
      <c r="V89">
        <f>step3_validation[[#This Row],[AI_ENF2]]</f>
        <v>6</v>
      </c>
      <c r="W89" t="str">
        <f t="shared" si="30"/>
        <v>Neutral</v>
      </c>
      <c r="X89">
        <f>survey_responses[[#This Row],[Tôi tin rằng Nhà nước, cơ quan thuế có đủ khả năng và công nghệ để phát hiện, xử lý nghiêm các hành vi trốn thuế. - HUMAN-ENF2]]</f>
        <v>10</v>
      </c>
      <c r="Y89" t="str">
        <f t="shared" si="31"/>
        <v>Support</v>
      </c>
      <c r="Z89" s="32">
        <f t="shared" si="32"/>
        <v>4</v>
      </c>
      <c r="AA89">
        <f>step3_validation[[#This Row],[AI_FAC1]]</f>
        <v>7</v>
      </c>
      <c r="AB89" t="str">
        <f t="shared" si="33"/>
        <v>Neutral</v>
      </c>
      <c r="AC89">
        <f>survey_responses[[#This Row],[Các thủ tục khai báo thuế VÀ/HOẶC quy trình làm việc với cơ quan thuế đơn giản, tiện lợi, nhanh chóng hơn so với trước đây. - HUMAN-FAC1]]</f>
        <v>10</v>
      </c>
      <c r="AD89" t="str">
        <f t="shared" si="34"/>
        <v>Support</v>
      </c>
      <c r="AE89" s="32">
        <f t="shared" si="35"/>
        <v>3</v>
      </c>
      <c r="AF89">
        <f>step3_validation[[#This Row],[AI_FAC2]]</f>
        <v>9</v>
      </c>
      <c r="AG89" t="str">
        <f t="shared" si="36"/>
        <v>Support</v>
      </c>
      <c r="AH89">
        <f>survey_responses[[#This Row],[So với trước đây, tôi thấy cách tính thuế và các bậc thuế trong phương án mới đơn giản, dễ hiểu và dễ thực hiện hơn. - HUMAN-FAC2]]</f>
        <v>10</v>
      </c>
      <c r="AI89" t="str">
        <f t="shared" si="37"/>
        <v>Support</v>
      </c>
      <c r="AJ89" s="32">
        <f t="shared" si="38"/>
        <v>1</v>
      </c>
      <c r="AK89">
        <f>step3_validation[[#This Row],[AI_TRU1]]</f>
        <v>6</v>
      </c>
      <c r="AL89" t="str">
        <f t="shared" si="39"/>
        <v>Neutral</v>
      </c>
      <c r="AM89">
        <f>survey_responses[[#This Row],[Tôi tin rằng Nhà nước, cơ quan thuế sẽ thực thi chính sách mới một cách khách quan, công tâm và đối xử bình đẳng với mọi người nộp thuế.  - HUMAN-TRU1]]</f>
        <v>10</v>
      </c>
      <c r="AN89" t="str">
        <f t="shared" si="40"/>
        <v>Support</v>
      </c>
      <c r="AO89" s="32">
        <f t="shared" si="41"/>
        <v>4</v>
      </c>
      <c r="AP89">
        <f>step3_validation[[#This Row],[AI_TRU2]]</f>
        <v>9</v>
      </c>
      <c r="AQ89" t="str">
        <f t="shared" si="42"/>
        <v>Support</v>
      </c>
      <c r="AR89">
        <f>survey_responses[[#This Row],[Tôi thấy mức thuế tôi phải đóng theo phương án mới là công bằng (người thu nhập như tôi đóng mức này là hợp lý). - HUMAN-TRU2]]</f>
        <v>10</v>
      </c>
      <c r="AS89" t="str">
        <f t="shared" si="43"/>
        <v>Support</v>
      </c>
      <c r="AT89" s="32">
        <f t="shared" si="44"/>
        <v>1</v>
      </c>
      <c r="AU89">
        <f>step3_validation[[#This Row],[AI_TRU3]]</f>
        <v>7</v>
      </c>
      <c r="AV89" t="str">
        <f t="shared" si="45"/>
        <v>Neutral</v>
      </c>
      <c r="AW89">
        <f>survey_responses[[#This Row],[Tôi tin tưởng số tiền thuế tôi đóng sẽ được Nhà nước sử dụng hiệu quả để cải thiện dịch vụ công (y tế, đường xá...). - HUMAN-TRU3]]</f>
        <v>10</v>
      </c>
      <c r="AX89" t="str">
        <f t="shared" si="46"/>
        <v>Support</v>
      </c>
      <c r="AY89" s="32">
        <f t="shared" si="47"/>
        <v>3</v>
      </c>
      <c r="AZ89">
        <f>step3_validation[[#This Row],[AI_TRU4]]</f>
        <v>8</v>
      </c>
      <c r="BA89" t="str">
        <f t="shared" si="48"/>
        <v>Support</v>
      </c>
      <c r="BB89">
        <f>survey_responses[[#This Row],[Tôi thấy Nhà nước đã giải thích rõ ràng, minh bạch về lý do và mục tiêu của việc sửa đổi thuế lần này. - HUMAN-TRU4]]</f>
        <v>10</v>
      </c>
      <c r="BC89" t="str">
        <f t="shared" si="49"/>
        <v>Support</v>
      </c>
      <c r="BD89" s="32">
        <f t="shared" si="50"/>
        <v>2</v>
      </c>
      <c r="BE89">
        <f>step3_validation[[#This Row],[AI_OUT1]]</f>
        <v>7</v>
      </c>
      <c r="BF89" t="str">
        <f t="shared" si="51"/>
        <v>Neutral</v>
      </c>
      <c r="BG89">
        <f>survey_responses[[#This Row],[Sau khi xem xét các quyền lợi và nghĩa vụ, bạn có ủng hộ và tuân thủ chính sách mới hiện nay? - HUMAN-OUT1]]</f>
        <v>10</v>
      </c>
      <c r="BH89" t="str">
        <f t="shared" si="52"/>
        <v>Support</v>
      </c>
      <c r="BI89" s="32">
        <f t="shared" si="53"/>
        <v>3</v>
      </c>
    </row>
    <row r="90" spans="1:61" x14ac:dyDescent="0.45">
      <c r="A90" s="30">
        <f>step3_validation[[#This Row],[Persona_ID]]</f>
        <v>89</v>
      </c>
      <c r="B90" s="31">
        <f>step3_validation[[#This Row],[Used_Seed]]</f>
        <v>12433</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t="str">
        <f t="shared" si="27"/>
        <v>Neutral</v>
      </c>
      <c r="S90">
        <f>survey_responses[[#This Row],[Tôi tin rằng với các quy định quản lý thuế hiện nay, hành vi gian lận hoặc trốn thuế sẽ dễ dàng bị phát hiện và xử lý nghiêm. - HUMAN-ENF1]]</f>
        <v>10</v>
      </c>
      <c r="T90" t="str">
        <f t="shared" si="28"/>
        <v>Support</v>
      </c>
      <c r="U90" s="32">
        <f t="shared" si="29"/>
        <v>3</v>
      </c>
      <c r="V90">
        <f>step3_validation[[#This Row],[AI_ENF2]]</f>
        <v>7</v>
      </c>
      <c r="W90" t="str">
        <f t="shared" si="30"/>
        <v>Neutral</v>
      </c>
      <c r="X90">
        <f>survey_responses[[#This Row],[Tôi tin rằng Nhà nước, cơ quan thuế có đủ khả năng và công nghệ để phát hiện, xử lý nghiêm các hành vi trốn thuế. - HUMAN-ENF2]]</f>
        <v>9</v>
      </c>
      <c r="Y90" t="str">
        <f t="shared" si="31"/>
        <v>Support</v>
      </c>
      <c r="Z90" s="32">
        <f t="shared" si="32"/>
        <v>2</v>
      </c>
      <c r="AA90">
        <f>step3_validation[[#This Row],[AI_FAC1]]</f>
        <v>8</v>
      </c>
      <c r="AB90" t="str">
        <f t="shared" si="33"/>
        <v>Support</v>
      </c>
      <c r="AC90">
        <f>survey_responses[[#This Row],[Các thủ tục khai báo thuế VÀ/HOẶC quy trình làm việc với cơ quan thuế đơn giản, tiện lợi, nhanh chóng hơn so với trước đây. - HUMAN-FAC1]]</f>
        <v>9</v>
      </c>
      <c r="AD90" t="str">
        <f t="shared" si="34"/>
        <v>Support</v>
      </c>
      <c r="AE90" s="32">
        <f t="shared" si="35"/>
        <v>1</v>
      </c>
      <c r="AF90">
        <f>step3_validation[[#This Row],[AI_FAC2]]</f>
        <v>9</v>
      </c>
      <c r="AG90" t="str">
        <f t="shared" si="36"/>
        <v>Support</v>
      </c>
      <c r="AH90">
        <f>survey_responses[[#This Row],[So với trước đây, tôi thấy cách tính thuế và các bậc thuế trong phương án mới đơn giản, dễ hiểu và dễ thực hiện hơn. - HUMAN-FAC2]]</f>
        <v>9</v>
      </c>
      <c r="AI90" t="str">
        <f t="shared" si="37"/>
        <v>Support</v>
      </c>
      <c r="AJ90" s="32">
        <f t="shared" si="38"/>
        <v>0</v>
      </c>
      <c r="AK90">
        <f>step3_validation[[#This Row],[AI_TRU1]]</f>
        <v>9</v>
      </c>
      <c r="AL90" t="str">
        <f t="shared" si="39"/>
        <v>Support</v>
      </c>
      <c r="AM90">
        <f>survey_responses[[#This Row],[Tôi tin rằng Nhà nước, cơ quan thuế sẽ thực thi chính sách mới một cách khách quan, công tâm và đối xử bình đẳng với mọi người nộp thuế.  - HUMAN-TRU1]]</f>
        <v>10</v>
      </c>
      <c r="AN90" t="str">
        <f t="shared" si="40"/>
        <v>Support</v>
      </c>
      <c r="AO90" s="32">
        <f t="shared" si="41"/>
        <v>1</v>
      </c>
      <c r="AP90">
        <f>step3_validation[[#This Row],[AI_TRU2]]</f>
        <v>9</v>
      </c>
      <c r="AQ90" t="str">
        <f t="shared" si="42"/>
        <v>Support</v>
      </c>
      <c r="AR90">
        <f>survey_responses[[#This Row],[Tôi thấy mức thuế tôi phải đóng theo phương án mới là công bằng (người thu nhập như tôi đóng mức này là hợp lý). - HUMAN-TRU2]]</f>
        <v>9</v>
      </c>
      <c r="AS90" t="str">
        <f t="shared" si="43"/>
        <v>Support</v>
      </c>
      <c r="AT90" s="32">
        <f t="shared" si="44"/>
        <v>0</v>
      </c>
      <c r="AU90">
        <f>step3_validation[[#This Row],[AI_TRU3]]</f>
        <v>8</v>
      </c>
      <c r="AV90" t="str">
        <f t="shared" si="45"/>
        <v>Support</v>
      </c>
      <c r="AW90">
        <f>survey_responses[[#This Row],[Tôi tin tưởng số tiền thuế tôi đóng sẽ được Nhà nước sử dụng hiệu quả để cải thiện dịch vụ công (y tế, đường xá...). - HUMAN-TRU3]]</f>
        <v>9</v>
      </c>
      <c r="AX90" t="str">
        <f t="shared" si="46"/>
        <v>Support</v>
      </c>
      <c r="AY90" s="32">
        <f t="shared" si="47"/>
        <v>1</v>
      </c>
      <c r="AZ90">
        <f>step3_validation[[#This Row],[AI_TRU4]]</f>
        <v>9</v>
      </c>
      <c r="BA90" t="str">
        <f t="shared" si="48"/>
        <v>Support</v>
      </c>
      <c r="BB90">
        <f>survey_responses[[#This Row],[Tôi thấy Nhà nước đã giải thích rõ ràng, minh bạch về lý do và mục tiêu của việc sửa đổi thuế lần này. - HUMAN-TRU4]]</f>
        <v>8</v>
      </c>
      <c r="BC90" t="str">
        <f t="shared" si="49"/>
        <v>Support</v>
      </c>
      <c r="BD90" s="32">
        <f t="shared" si="50"/>
        <v>1</v>
      </c>
      <c r="BE90">
        <f>step3_validation[[#This Row],[AI_OUT1]]</f>
        <v>9</v>
      </c>
      <c r="BF90" t="str">
        <f t="shared" si="51"/>
        <v>Support</v>
      </c>
      <c r="BG90">
        <f>survey_responses[[#This Row],[Sau khi xem xét các quyền lợi và nghĩa vụ, bạn có ủng hộ và tuân thủ chính sách mới hiện nay? - HUMAN-OUT1]]</f>
        <v>9</v>
      </c>
      <c r="BH90" t="str">
        <f t="shared" si="52"/>
        <v>Support</v>
      </c>
      <c r="BI90" s="32">
        <f t="shared" si="53"/>
        <v>0</v>
      </c>
    </row>
    <row r="91" spans="1:61" x14ac:dyDescent="0.45">
      <c r="A91" s="30">
        <f>step3_validation[[#This Row],[Persona_ID]]</f>
        <v>90</v>
      </c>
      <c r="B91" s="31">
        <f>step3_validation[[#This Row],[Used_Seed]]</f>
        <v>12434</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7</v>
      </c>
      <c r="R91" t="str">
        <f t="shared" si="27"/>
        <v>Neutral</v>
      </c>
      <c r="S91">
        <f>survey_responses[[#This Row],[Tôi tin rằng với các quy định quản lý thuế hiện nay, hành vi gian lận hoặc trốn thuế sẽ dễ dàng bị phát hiện và xử lý nghiêm. - HUMAN-ENF1]]</f>
        <v>6</v>
      </c>
      <c r="T91" t="str">
        <f t="shared" si="28"/>
        <v>Neutral</v>
      </c>
      <c r="U91" s="32">
        <f t="shared" si="29"/>
        <v>1</v>
      </c>
      <c r="V91">
        <f>step3_validation[[#This Row],[AI_ENF2]]</f>
        <v>8</v>
      </c>
      <c r="W91" t="str">
        <f t="shared" si="30"/>
        <v>Support</v>
      </c>
      <c r="X91">
        <f>survey_responses[[#This Row],[Tôi tin rằng Nhà nước, cơ quan thuế có đủ khả năng và công nghệ để phát hiện, xử lý nghiêm các hành vi trốn thuế. - HUMAN-ENF2]]</f>
        <v>10</v>
      </c>
      <c r="Y91" t="str">
        <f t="shared" si="31"/>
        <v>Support</v>
      </c>
      <c r="Z91" s="32">
        <f t="shared" si="32"/>
        <v>2</v>
      </c>
      <c r="AA91">
        <f>step3_validation[[#This Row],[AI_FAC1]]</f>
        <v>7</v>
      </c>
      <c r="AB91" t="str">
        <f t="shared" si="33"/>
        <v>Neutral</v>
      </c>
      <c r="AC91">
        <f>survey_responses[[#This Row],[Các thủ tục khai báo thuế VÀ/HOẶC quy trình làm việc với cơ quan thuế đơn giản, tiện lợi, nhanh chóng hơn so với trước đây. - HUMAN-FAC1]]</f>
        <v>8</v>
      </c>
      <c r="AD91" t="str">
        <f t="shared" si="34"/>
        <v>Support</v>
      </c>
      <c r="AE91" s="32">
        <f t="shared" si="35"/>
        <v>1</v>
      </c>
      <c r="AF91">
        <f>step3_validation[[#This Row],[AI_FAC2]]</f>
        <v>9</v>
      </c>
      <c r="AG91" t="str">
        <f t="shared" si="36"/>
        <v>Support</v>
      </c>
      <c r="AH91">
        <f>survey_responses[[#This Row],[So với trước đây, tôi thấy cách tính thuế và các bậc thuế trong phương án mới đơn giản, dễ hiểu và dễ thực hiện hơn. - HUMAN-FAC2]]</f>
        <v>9</v>
      </c>
      <c r="AI91" t="str">
        <f t="shared" si="37"/>
        <v>Support</v>
      </c>
      <c r="AJ91" s="32">
        <f t="shared" si="38"/>
        <v>0</v>
      </c>
      <c r="AK91">
        <f>step3_validation[[#This Row],[AI_TRU1]]</f>
        <v>8</v>
      </c>
      <c r="AL91" t="str">
        <f t="shared" si="39"/>
        <v>Support</v>
      </c>
      <c r="AM91">
        <f>survey_responses[[#This Row],[Tôi tin rằng Nhà nước, cơ quan thuế sẽ thực thi chính sách mới một cách khách quan, công tâm và đối xử bình đẳng với mọi người nộp thuế.  - HUMAN-TRU1]]</f>
        <v>9</v>
      </c>
      <c r="AN91" t="str">
        <f t="shared" si="40"/>
        <v>Support</v>
      </c>
      <c r="AO91" s="32">
        <f t="shared" si="41"/>
        <v>1</v>
      </c>
      <c r="AP91">
        <f>step3_validation[[#This Row],[AI_TRU2]]</f>
        <v>9</v>
      </c>
      <c r="AQ91" t="str">
        <f t="shared" si="42"/>
        <v>Support</v>
      </c>
      <c r="AR91">
        <f>survey_responses[[#This Row],[Tôi thấy mức thuế tôi phải đóng theo phương án mới là công bằng (người thu nhập như tôi đóng mức này là hợp lý). - HUMAN-TRU2]]</f>
        <v>9</v>
      </c>
      <c r="AS91" t="str">
        <f t="shared" si="43"/>
        <v>Support</v>
      </c>
      <c r="AT91" s="32">
        <f t="shared" si="44"/>
        <v>0</v>
      </c>
      <c r="AU91">
        <f>step3_validation[[#This Row],[AI_TRU3]]</f>
        <v>8</v>
      </c>
      <c r="AV91" t="str">
        <f t="shared" si="45"/>
        <v>Support</v>
      </c>
      <c r="AW91">
        <f>survey_responses[[#This Row],[Tôi tin tưởng số tiền thuế tôi đóng sẽ được Nhà nước sử dụng hiệu quả để cải thiện dịch vụ công (y tế, đường xá...). - HUMAN-TRU3]]</f>
        <v>8</v>
      </c>
      <c r="AX91" t="str">
        <f t="shared" si="46"/>
        <v>Support</v>
      </c>
      <c r="AY91" s="32">
        <f t="shared" si="47"/>
        <v>0</v>
      </c>
      <c r="AZ91">
        <f>step3_validation[[#This Row],[AI_TRU4]]</f>
        <v>9</v>
      </c>
      <c r="BA91" t="str">
        <f t="shared" si="48"/>
        <v>Support</v>
      </c>
      <c r="BB91">
        <f>survey_responses[[#This Row],[Tôi thấy Nhà nước đã giải thích rõ ràng, minh bạch về lý do và mục tiêu của việc sửa đổi thuế lần này. - HUMAN-TRU4]]</f>
        <v>8</v>
      </c>
      <c r="BC91" t="str">
        <f t="shared" si="49"/>
        <v>Support</v>
      </c>
      <c r="BD91" s="32">
        <f t="shared" si="50"/>
        <v>1</v>
      </c>
      <c r="BE91">
        <f>step3_validation[[#This Row],[AI_OUT1]]</f>
        <v>8</v>
      </c>
      <c r="BF91" t="str">
        <f t="shared" si="51"/>
        <v>Support</v>
      </c>
      <c r="BG91">
        <f>survey_responses[[#This Row],[Sau khi xem xét các quyền lợi và nghĩa vụ, bạn có ủng hộ và tuân thủ chính sách mới hiện nay? - HUMAN-OUT1]]</f>
        <v>9</v>
      </c>
      <c r="BH91" t="str">
        <f t="shared" si="52"/>
        <v>Support</v>
      </c>
      <c r="BI91" s="32">
        <f t="shared" si="53"/>
        <v>1</v>
      </c>
    </row>
    <row r="92" spans="1:61" x14ac:dyDescent="0.45">
      <c r="A92" s="30">
        <f>step3_validation[[#This Row],[Persona_ID]]</f>
        <v>91</v>
      </c>
      <c r="B92" s="31">
        <f>step3_validation[[#This Row],[Used_Seed]]</f>
        <v>12435</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6</v>
      </c>
      <c r="R92" t="str">
        <f t="shared" si="27"/>
        <v>Neutral</v>
      </c>
      <c r="S92">
        <f>survey_responses[[#This Row],[Tôi tin rằng với các quy định quản lý thuế hiện nay, hành vi gian lận hoặc trốn thuế sẽ dễ dàng bị phát hiện và xử lý nghiêm. - HUMAN-ENF1]]</f>
        <v>10</v>
      </c>
      <c r="T92" t="str">
        <f t="shared" si="28"/>
        <v>Support</v>
      </c>
      <c r="U92" s="32">
        <f t="shared" si="29"/>
        <v>4</v>
      </c>
      <c r="V92">
        <f>step3_validation[[#This Row],[AI_ENF2]]</f>
        <v>7</v>
      </c>
      <c r="W92" t="str">
        <f t="shared" si="30"/>
        <v>Neutral</v>
      </c>
      <c r="X92">
        <f>survey_responses[[#This Row],[Tôi tin rằng Nhà nước, cơ quan thuế có đủ khả năng và công nghệ để phát hiện, xử lý nghiêm các hành vi trốn thuế. - HUMAN-ENF2]]</f>
        <v>9</v>
      </c>
      <c r="Y92" t="str">
        <f t="shared" si="31"/>
        <v>Support</v>
      </c>
      <c r="Z92" s="32">
        <f t="shared" si="32"/>
        <v>2</v>
      </c>
      <c r="AA92">
        <f>step3_validation[[#This Row],[AI_FAC1]]</f>
        <v>8</v>
      </c>
      <c r="AB92" t="str">
        <f t="shared" si="33"/>
        <v>Support</v>
      </c>
      <c r="AC92">
        <f>survey_responses[[#This Row],[Các thủ tục khai báo thuế VÀ/HOẶC quy trình làm việc với cơ quan thuế đơn giản, tiện lợi, nhanh chóng hơn so với trước đây. - HUMAN-FAC1]]</f>
        <v>9</v>
      </c>
      <c r="AD92" t="str">
        <f t="shared" si="34"/>
        <v>Support</v>
      </c>
      <c r="AE92" s="32">
        <f t="shared" si="35"/>
        <v>1</v>
      </c>
      <c r="AF92">
        <f>step3_validation[[#This Row],[AI_FAC2]]</f>
        <v>9</v>
      </c>
      <c r="AG92" t="str">
        <f t="shared" si="36"/>
        <v>Support</v>
      </c>
      <c r="AH92">
        <f>survey_responses[[#This Row],[So với trước đây, tôi thấy cách tính thuế và các bậc thuế trong phương án mới đơn giản, dễ hiểu và dễ thực hiện hơn. - HUMAN-FAC2]]</f>
        <v>9</v>
      </c>
      <c r="AI92" t="str">
        <f t="shared" si="37"/>
        <v>Support</v>
      </c>
      <c r="AJ92" s="32">
        <f t="shared" si="38"/>
        <v>0</v>
      </c>
      <c r="AK92">
        <f>step3_validation[[#This Row],[AI_TRU1]]</f>
        <v>7</v>
      </c>
      <c r="AL92" t="str">
        <f t="shared" si="39"/>
        <v>Neutral</v>
      </c>
      <c r="AM92">
        <f>survey_responses[[#This Row],[Tôi tin rằng Nhà nước, cơ quan thuế sẽ thực thi chính sách mới một cách khách quan, công tâm và đối xử bình đẳng với mọi người nộp thuế.  - HUMAN-TRU1]]</f>
        <v>10</v>
      </c>
      <c r="AN92" t="str">
        <f t="shared" si="40"/>
        <v>Support</v>
      </c>
      <c r="AO92" s="32">
        <f t="shared" si="41"/>
        <v>3</v>
      </c>
      <c r="AP92">
        <f>step3_validation[[#This Row],[AI_TRU2]]</f>
        <v>8</v>
      </c>
      <c r="AQ92" t="str">
        <f t="shared" si="42"/>
        <v>Support</v>
      </c>
      <c r="AR92">
        <f>survey_responses[[#This Row],[Tôi thấy mức thuế tôi phải đóng theo phương án mới là công bằng (người thu nhập như tôi đóng mức này là hợp lý). - HUMAN-TRU2]]</f>
        <v>9</v>
      </c>
      <c r="AS92" t="str">
        <f t="shared" si="43"/>
        <v>Support</v>
      </c>
      <c r="AT92" s="32">
        <f t="shared" si="44"/>
        <v>1</v>
      </c>
      <c r="AU92">
        <f>step3_validation[[#This Row],[AI_TRU3]]</f>
        <v>7</v>
      </c>
      <c r="AV92" t="str">
        <f t="shared" si="45"/>
        <v>Neutral</v>
      </c>
      <c r="AW92">
        <f>survey_responses[[#This Row],[Tôi tin tưởng số tiền thuế tôi đóng sẽ được Nhà nước sử dụng hiệu quả để cải thiện dịch vụ công (y tế, đường xá...). - HUMAN-TRU3]]</f>
        <v>8</v>
      </c>
      <c r="AX92" t="str">
        <f t="shared" si="46"/>
        <v>Support</v>
      </c>
      <c r="AY92" s="32">
        <f t="shared" si="47"/>
        <v>1</v>
      </c>
      <c r="AZ92">
        <f>step3_validation[[#This Row],[AI_TRU4]]</f>
        <v>7</v>
      </c>
      <c r="BA92" t="str">
        <f t="shared" si="48"/>
        <v>Neutral</v>
      </c>
      <c r="BB92">
        <f>survey_responses[[#This Row],[Tôi thấy Nhà nước đã giải thích rõ ràng, minh bạch về lý do và mục tiêu của việc sửa đổi thuế lần này. - HUMAN-TRU4]]</f>
        <v>8</v>
      </c>
      <c r="BC92" t="str">
        <f t="shared" si="49"/>
        <v>Support</v>
      </c>
      <c r="BD92" s="32">
        <f t="shared" si="50"/>
        <v>1</v>
      </c>
      <c r="BE92">
        <f>step3_validation[[#This Row],[AI_OUT1]]</f>
        <v>6</v>
      </c>
      <c r="BF92" t="str">
        <f t="shared" si="51"/>
        <v>Neutral</v>
      </c>
      <c r="BG92">
        <f>survey_responses[[#This Row],[Sau khi xem xét các quyền lợi và nghĩa vụ, bạn có ủng hộ và tuân thủ chính sách mới hiện nay? - HUMAN-OUT1]]</f>
        <v>10</v>
      </c>
      <c r="BH92" t="str">
        <f t="shared" si="52"/>
        <v>Support</v>
      </c>
      <c r="BI92" s="32">
        <f t="shared" si="53"/>
        <v>4</v>
      </c>
    </row>
    <row r="93" spans="1:61" x14ac:dyDescent="0.45">
      <c r="A93" s="30">
        <f>step3_validation[[#This Row],[Persona_ID]]</f>
        <v>92</v>
      </c>
      <c r="B93" s="31">
        <f>step3_validation[[#This Row],[Used_Seed]]</f>
        <v>12436</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t="str">
        <f t="shared" si="27"/>
        <v>Neutral</v>
      </c>
      <c r="S93">
        <f>survey_responses[[#This Row],[Tôi tin rằng với các quy định quản lý thuế hiện nay, hành vi gian lận hoặc trốn thuế sẽ dễ dàng bị phát hiện và xử lý nghiêm. - HUMAN-ENF1]]</f>
        <v>10</v>
      </c>
      <c r="T93" t="str">
        <f t="shared" si="28"/>
        <v>Support</v>
      </c>
      <c r="U93" s="32">
        <f t="shared" si="29"/>
        <v>3</v>
      </c>
      <c r="V93">
        <f>step3_validation[[#This Row],[AI_ENF2]]</f>
        <v>6</v>
      </c>
      <c r="W93" t="str">
        <f t="shared" si="30"/>
        <v>Neutral</v>
      </c>
      <c r="X93">
        <f>survey_responses[[#This Row],[Tôi tin rằng Nhà nước, cơ quan thuế có đủ khả năng và công nghệ để phát hiện, xử lý nghiêm các hành vi trốn thuế. - HUMAN-ENF2]]</f>
        <v>10</v>
      </c>
      <c r="Y93" t="str">
        <f t="shared" si="31"/>
        <v>Support</v>
      </c>
      <c r="Z93" s="32">
        <f t="shared" si="32"/>
        <v>4</v>
      </c>
      <c r="AA93">
        <f>step3_validation[[#This Row],[AI_FAC1]]</f>
        <v>8</v>
      </c>
      <c r="AB93" t="str">
        <f t="shared" si="33"/>
        <v>Support</v>
      </c>
      <c r="AC93">
        <f>survey_responses[[#This Row],[Các thủ tục khai báo thuế VÀ/HOẶC quy trình làm việc với cơ quan thuế đơn giản, tiện lợi, nhanh chóng hơn so với trước đây. - HUMAN-FAC1]]</f>
        <v>10</v>
      </c>
      <c r="AD93" t="str">
        <f t="shared" si="34"/>
        <v>Support</v>
      </c>
      <c r="AE93" s="32">
        <f t="shared" si="35"/>
        <v>2</v>
      </c>
      <c r="AF93">
        <f>step3_validation[[#This Row],[AI_FAC2]]</f>
        <v>9</v>
      </c>
      <c r="AG93" t="str">
        <f t="shared" si="36"/>
        <v>Support</v>
      </c>
      <c r="AH93">
        <f>survey_responses[[#This Row],[So với trước đây, tôi thấy cách tính thuế và các bậc thuế trong phương án mới đơn giản, dễ hiểu và dễ thực hiện hơn. - HUMAN-FAC2]]</f>
        <v>10</v>
      </c>
      <c r="AI93" t="str">
        <f t="shared" si="37"/>
        <v>Support</v>
      </c>
      <c r="AJ93" s="32">
        <f t="shared" si="38"/>
        <v>1</v>
      </c>
      <c r="AK93">
        <f>step3_validation[[#This Row],[AI_TRU1]]</f>
        <v>8</v>
      </c>
      <c r="AL93" t="str">
        <f t="shared" si="39"/>
        <v>Support</v>
      </c>
      <c r="AM93">
        <f>survey_responses[[#This Row],[Tôi tin rằng Nhà nước, cơ quan thuế sẽ thực thi chính sách mới một cách khách quan, công tâm và đối xử bình đẳng với mọi người nộp thuế.  - HUMAN-TRU1]]</f>
        <v>10</v>
      </c>
      <c r="AN93" t="str">
        <f t="shared" si="40"/>
        <v>Support</v>
      </c>
      <c r="AO93" s="32">
        <f t="shared" si="41"/>
        <v>2</v>
      </c>
      <c r="AP93">
        <f>step3_validation[[#This Row],[AI_TRU2]]</f>
        <v>9</v>
      </c>
      <c r="AQ93" t="str">
        <f t="shared" si="42"/>
        <v>Support</v>
      </c>
      <c r="AR93">
        <f>survey_responses[[#This Row],[Tôi thấy mức thuế tôi phải đóng theo phương án mới là công bằng (người thu nhập như tôi đóng mức này là hợp lý). - HUMAN-TRU2]]</f>
        <v>1</v>
      </c>
      <c r="AS93" t="str">
        <f t="shared" si="43"/>
        <v>Oppose</v>
      </c>
      <c r="AT93" s="32">
        <f t="shared" si="44"/>
        <v>8</v>
      </c>
      <c r="AU93">
        <f>step3_validation[[#This Row],[AI_TRU3]]</f>
        <v>8</v>
      </c>
      <c r="AV93" t="str">
        <f t="shared" si="45"/>
        <v>Support</v>
      </c>
      <c r="AW93">
        <f>survey_responses[[#This Row],[Tôi tin tưởng số tiền thuế tôi đóng sẽ được Nhà nước sử dụng hiệu quả để cải thiện dịch vụ công (y tế, đường xá...). - HUMAN-TRU3]]</f>
        <v>10</v>
      </c>
      <c r="AX93" t="str">
        <f t="shared" si="46"/>
        <v>Support</v>
      </c>
      <c r="AY93" s="32">
        <f t="shared" si="47"/>
        <v>2</v>
      </c>
      <c r="AZ93">
        <f>step3_validation[[#This Row],[AI_TRU4]]</f>
        <v>9</v>
      </c>
      <c r="BA93" t="str">
        <f t="shared" si="48"/>
        <v>Support</v>
      </c>
      <c r="BB93">
        <f>survey_responses[[#This Row],[Tôi thấy Nhà nước đã giải thích rõ ràng, minh bạch về lý do và mục tiêu của việc sửa đổi thuế lần này. - HUMAN-TRU4]]</f>
        <v>10</v>
      </c>
      <c r="BC93" t="str">
        <f t="shared" si="49"/>
        <v>Support</v>
      </c>
      <c r="BD93" s="32">
        <f t="shared" si="50"/>
        <v>1</v>
      </c>
      <c r="BE93">
        <f>step3_validation[[#This Row],[AI_OUT1]]</f>
        <v>10</v>
      </c>
      <c r="BF93" t="str">
        <f t="shared" si="51"/>
        <v>Support</v>
      </c>
      <c r="BG93">
        <f>survey_responses[[#This Row],[Sau khi xem xét các quyền lợi và nghĩa vụ, bạn có ủng hộ và tuân thủ chính sách mới hiện nay? - HUMAN-OUT1]]</f>
        <v>10</v>
      </c>
      <c r="BH93" t="str">
        <f t="shared" si="52"/>
        <v>Support</v>
      </c>
      <c r="BI93" s="32">
        <f t="shared" si="53"/>
        <v>0</v>
      </c>
    </row>
    <row r="94" spans="1:61" x14ac:dyDescent="0.45">
      <c r="A94" s="30">
        <f>step3_validation[[#This Row],[Persona_ID]]</f>
        <v>93</v>
      </c>
      <c r="B94" s="31">
        <f>step3_validation[[#This Row],[Used_Seed]]</f>
        <v>12437</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32.798162109154326</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7</v>
      </c>
      <c r="R94" t="str">
        <f t="shared" si="27"/>
        <v>Neutral</v>
      </c>
      <c r="S94">
        <f>survey_responses[[#This Row],[Tôi tin rằng với các quy định quản lý thuế hiện nay, hành vi gian lận hoặc trốn thuế sẽ dễ dàng bị phát hiện và xử lý nghiêm. - HUMAN-ENF1]]</f>
        <v>5</v>
      </c>
      <c r="T94" t="str">
        <f t="shared" si="28"/>
        <v>Neutral</v>
      </c>
      <c r="U94" s="32">
        <f t="shared" si="29"/>
        <v>2</v>
      </c>
      <c r="V94">
        <f>step3_validation[[#This Row],[AI_ENF2]]</f>
        <v>8</v>
      </c>
      <c r="W94" t="str">
        <f t="shared" si="30"/>
        <v>Support</v>
      </c>
      <c r="X94">
        <f>survey_responses[[#This Row],[Tôi tin rằng Nhà nước, cơ quan thuế có đủ khả năng và công nghệ để phát hiện, xử lý nghiêm các hành vi trốn thuế. - HUMAN-ENF2]]</f>
        <v>8</v>
      </c>
      <c r="Y94" t="str">
        <f t="shared" si="31"/>
        <v>Support</v>
      </c>
      <c r="Z94" s="32">
        <f t="shared" si="32"/>
        <v>0</v>
      </c>
      <c r="AA94">
        <f>step3_validation[[#This Row],[AI_FAC1]]</f>
        <v>9</v>
      </c>
      <c r="AB94" t="str">
        <f t="shared" si="33"/>
        <v>Support</v>
      </c>
      <c r="AC94">
        <f>survey_responses[[#This Row],[Các thủ tục khai báo thuế VÀ/HOẶC quy trình làm việc với cơ quan thuế đơn giản, tiện lợi, nhanh chóng hơn so với trước đây. - HUMAN-FAC1]]</f>
        <v>4</v>
      </c>
      <c r="AD94" t="str">
        <f t="shared" si="34"/>
        <v>Oppose</v>
      </c>
      <c r="AE94" s="32">
        <f t="shared" si="35"/>
        <v>5</v>
      </c>
      <c r="AF94">
        <f>step3_validation[[#This Row],[AI_FAC2]]</f>
        <v>9</v>
      </c>
      <c r="AG94" t="str">
        <f t="shared" si="36"/>
        <v>Support</v>
      </c>
      <c r="AH94">
        <f>survey_responses[[#This Row],[So với trước đây, tôi thấy cách tính thuế và các bậc thuế trong phương án mới đơn giản, dễ hiểu và dễ thực hiện hơn. - HUMAN-FAC2]]</f>
        <v>9</v>
      </c>
      <c r="AI94" t="str">
        <f t="shared" si="37"/>
        <v>Support</v>
      </c>
      <c r="AJ94" s="32">
        <f t="shared" si="38"/>
        <v>0</v>
      </c>
      <c r="AK94">
        <f>step3_validation[[#This Row],[AI_TRU1]]</f>
        <v>6</v>
      </c>
      <c r="AL94" t="str">
        <f t="shared" si="39"/>
        <v>Neutral</v>
      </c>
      <c r="AM94">
        <f>survey_responses[[#This Row],[Tôi tin rằng Nhà nước, cơ quan thuế sẽ thực thi chính sách mới một cách khách quan, công tâm và đối xử bình đẳng với mọi người nộp thuế.  - HUMAN-TRU1]]</f>
        <v>7</v>
      </c>
      <c r="AN94" t="str">
        <f t="shared" si="40"/>
        <v>Neutral</v>
      </c>
      <c r="AO94" s="32">
        <f t="shared" si="41"/>
        <v>1</v>
      </c>
      <c r="AP94">
        <f>step3_validation[[#This Row],[AI_TRU2]]</f>
        <v>8</v>
      </c>
      <c r="AQ94" t="str">
        <f t="shared" si="42"/>
        <v>Support</v>
      </c>
      <c r="AR94">
        <f>survey_responses[[#This Row],[Tôi thấy mức thuế tôi phải đóng theo phương án mới là công bằng (người thu nhập như tôi đóng mức này là hợp lý). - HUMAN-TRU2]]</f>
        <v>5</v>
      </c>
      <c r="AS94" t="str">
        <f t="shared" si="43"/>
        <v>Neutral</v>
      </c>
      <c r="AT94" s="32">
        <f t="shared" si="44"/>
        <v>3</v>
      </c>
      <c r="AU94">
        <f>step3_validation[[#This Row],[AI_TRU3]]</f>
        <v>7</v>
      </c>
      <c r="AV94" t="str">
        <f t="shared" si="45"/>
        <v>Neutral</v>
      </c>
      <c r="AW94">
        <f>survey_responses[[#This Row],[Tôi tin tưởng số tiền thuế tôi đóng sẽ được Nhà nước sử dụng hiệu quả để cải thiện dịch vụ công (y tế, đường xá...). - HUMAN-TRU3]]</f>
        <v>7</v>
      </c>
      <c r="AX94" t="str">
        <f t="shared" si="46"/>
        <v>Neutral</v>
      </c>
      <c r="AY94" s="32">
        <f t="shared" si="47"/>
        <v>0</v>
      </c>
      <c r="AZ94">
        <f>step3_validation[[#This Row],[AI_TRU4]]</f>
        <v>8</v>
      </c>
      <c r="BA94" t="str">
        <f t="shared" si="48"/>
        <v>Support</v>
      </c>
      <c r="BB94">
        <f>survey_responses[[#This Row],[Tôi thấy Nhà nước đã giải thích rõ ràng, minh bạch về lý do và mục tiêu của việc sửa đổi thuế lần này. - HUMAN-TRU4]]</f>
        <v>8</v>
      </c>
      <c r="BC94" t="str">
        <f t="shared" si="49"/>
        <v>Support</v>
      </c>
      <c r="BD94" s="32">
        <f t="shared" si="50"/>
        <v>0</v>
      </c>
      <c r="BE94">
        <f>step3_validation[[#This Row],[AI_OUT1]]</f>
        <v>9</v>
      </c>
      <c r="BF94" t="str">
        <f t="shared" si="51"/>
        <v>Support</v>
      </c>
      <c r="BG94">
        <f>survey_responses[[#This Row],[Sau khi xem xét các quyền lợi và nghĩa vụ, bạn có ủng hộ và tuân thủ chính sách mới hiện nay? - HUMAN-OUT1]]</f>
        <v>10</v>
      </c>
      <c r="BH94" t="str">
        <f t="shared" si="52"/>
        <v>Support</v>
      </c>
      <c r="BI94" s="32">
        <f t="shared" si="53"/>
        <v>1</v>
      </c>
    </row>
    <row r="95" spans="1:61" x14ac:dyDescent="0.45">
      <c r="A95" s="30">
        <f>step3_validation[[#This Row],[Persona_ID]]</f>
        <v>94</v>
      </c>
      <c r="B95" s="31">
        <f>step3_validation[[#This Row],[Used_Seed]]</f>
        <v>12438</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t="str">
        <f t="shared" si="27"/>
        <v>Neutral</v>
      </c>
      <c r="S95">
        <f>survey_responses[[#This Row],[Tôi tin rằng với các quy định quản lý thuế hiện nay, hành vi gian lận hoặc trốn thuế sẽ dễ dàng bị phát hiện và xử lý nghiêm. - HUMAN-ENF1]]</f>
        <v>9</v>
      </c>
      <c r="T95" t="str">
        <f t="shared" si="28"/>
        <v>Support</v>
      </c>
      <c r="U95" s="32">
        <f t="shared" si="29"/>
        <v>3</v>
      </c>
      <c r="V95">
        <f>step3_validation[[#This Row],[AI_ENF2]]</f>
        <v>8</v>
      </c>
      <c r="W95" t="str">
        <f t="shared" si="30"/>
        <v>Support</v>
      </c>
      <c r="X95">
        <f>survey_responses[[#This Row],[Tôi tin rằng Nhà nước, cơ quan thuế có đủ khả năng và công nghệ để phát hiện, xử lý nghiêm các hành vi trốn thuế. - HUMAN-ENF2]]</f>
        <v>7</v>
      </c>
      <c r="Y95" t="str">
        <f t="shared" si="31"/>
        <v>Neutral</v>
      </c>
      <c r="Z95" s="32">
        <f t="shared" si="32"/>
        <v>1</v>
      </c>
      <c r="AA95">
        <f>step3_validation[[#This Row],[AI_FAC1]]</f>
        <v>9</v>
      </c>
      <c r="AB95" t="str">
        <f t="shared" si="33"/>
        <v>Support</v>
      </c>
      <c r="AC95">
        <f>survey_responses[[#This Row],[Các thủ tục khai báo thuế VÀ/HOẶC quy trình làm việc với cơ quan thuế đơn giản, tiện lợi, nhanh chóng hơn so với trước đây. - HUMAN-FAC1]]</f>
        <v>5</v>
      </c>
      <c r="AD95" t="str">
        <f t="shared" si="34"/>
        <v>Neutral</v>
      </c>
      <c r="AE95" s="32">
        <f t="shared" si="35"/>
        <v>4</v>
      </c>
      <c r="AF95">
        <f>step3_validation[[#This Row],[AI_FAC2]]</f>
        <v>9</v>
      </c>
      <c r="AG95" t="str">
        <f t="shared" si="36"/>
        <v>Support</v>
      </c>
      <c r="AH95">
        <f>survey_responses[[#This Row],[So với trước đây, tôi thấy cách tính thuế và các bậc thuế trong phương án mới đơn giản, dễ hiểu và dễ thực hiện hơn. - HUMAN-FAC2]]</f>
        <v>7</v>
      </c>
      <c r="AI95" t="str">
        <f t="shared" si="37"/>
        <v>Neutral</v>
      </c>
      <c r="AJ95" s="32">
        <f t="shared" si="38"/>
        <v>2</v>
      </c>
      <c r="AK95">
        <f>step3_validation[[#This Row],[AI_TRU1]]</f>
        <v>8</v>
      </c>
      <c r="AL95" t="str">
        <f t="shared" si="39"/>
        <v>Support</v>
      </c>
      <c r="AM95">
        <f>survey_responses[[#This Row],[Tôi tin rằng Nhà nước, cơ quan thuế sẽ thực thi chính sách mới một cách khách quan, công tâm và đối xử bình đẳng với mọi người nộp thuế.  - HUMAN-TRU1]]</f>
        <v>5</v>
      </c>
      <c r="AN95" t="str">
        <f t="shared" si="40"/>
        <v>Neutral</v>
      </c>
      <c r="AO95" s="32">
        <f t="shared" si="41"/>
        <v>3</v>
      </c>
      <c r="AP95">
        <f>step3_validation[[#This Row],[AI_TRU2]]</f>
        <v>9</v>
      </c>
      <c r="AQ95" t="str">
        <f t="shared" si="42"/>
        <v>Support</v>
      </c>
      <c r="AR95">
        <f>survey_responses[[#This Row],[Tôi thấy mức thuế tôi phải đóng theo phương án mới là công bằng (người thu nhập như tôi đóng mức này là hợp lý). - HUMAN-TRU2]]</f>
        <v>8</v>
      </c>
      <c r="AS95" t="str">
        <f t="shared" si="43"/>
        <v>Support</v>
      </c>
      <c r="AT95" s="32">
        <f t="shared" si="44"/>
        <v>1</v>
      </c>
      <c r="AU95">
        <f>step3_validation[[#This Row],[AI_TRU3]]</f>
        <v>8</v>
      </c>
      <c r="AV95" t="str">
        <f t="shared" si="45"/>
        <v>Support</v>
      </c>
      <c r="AW95">
        <f>survey_responses[[#This Row],[Tôi tin tưởng số tiền thuế tôi đóng sẽ được Nhà nước sử dụng hiệu quả để cải thiện dịch vụ công (y tế, đường xá...). - HUMAN-TRU3]]</f>
        <v>5</v>
      </c>
      <c r="AX95" t="str">
        <f t="shared" si="46"/>
        <v>Neutral</v>
      </c>
      <c r="AY95" s="32">
        <f t="shared" si="47"/>
        <v>3</v>
      </c>
      <c r="AZ95">
        <f>step3_validation[[#This Row],[AI_TRU4]]</f>
        <v>7</v>
      </c>
      <c r="BA95" t="str">
        <f t="shared" si="48"/>
        <v>Neutral</v>
      </c>
      <c r="BB95">
        <f>survey_responses[[#This Row],[Tôi thấy Nhà nước đã giải thích rõ ràng, minh bạch về lý do và mục tiêu của việc sửa đổi thuế lần này. - HUMAN-TRU4]]</f>
        <v>5</v>
      </c>
      <c r="BC95" t="str">
        <f t="shared" si="49"/>
        <v>Neutral</v>
      </c>
      <c r="BD95" s="32">
        <f t="shared" si="50"/>
        <v>2</v>
      </c>
      <c r="BE95">
        <f>step3_validation[[#This Row],[AI_OUT1]]</f>
        <v>9</v>
      </c>
      <c r="BF95" t="str">
        <f t="shared" si="51"/>
        <v>Support</v>
      </c>
      <c r="BG95">
        <f>survey_responses[[#This Row],[Sau khi xem xét các quyền lợi và nghĩa vụ, bạn có ủng hộ và tuân thủ chính sách mới hiện nay? - HUMAN-OUT1]]</f>
        <v>7</v>
      </c>
      <c r="BH95" t="str">
        <f t="shared" si="52"/>
        <v>Neutral</v>
      </c>
      <c r="BI95" s="32">
        <f t="shared" si="53"/>
        <v>2</v>
      </c>
    </row>
    <row r="96" spans="1:61" x14ac:dyDescent="0.45">
      <c r="A96" s="30">
        <f>step3_validation[[#This Row],[Persona_ID]]</f>
        <v>95</v>
      </c>
      <c r="B96" s="31">
        <f>step3_validation[[#This Row],[Used_Seed]]</f>
        <v>12439</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33.847147653280899</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6</v>
      </c>
      <c r="R96" t="str">
        <f t="shared" si="27"/>
        <v>Neutral</v>
      </c>
      <c r="S96">
        <f>survey_responses[[#This Row],[Tôi tin rằng với các quy định quản lý thuế hiện nay, hành vi gian lận hoặc trốn thuế sẽ dễ dàng bị phát hiện và xử lý nghiêm. - HUMAN-ENF1]]</f>
        <v>4</v>
      </c>
      <c r="T96" t="str">
        <f t="shared" si="28"/>
        <v>Oppose</v>
      </c>
      <c r="U96" s="32">
        <f t="shared" si="29"/>
        <v>2</v>
      </c>
      <c r="V96">
        <f>step3_validation[[#This Row],[AI_ENF2]]</f>
        <v>7</v>
      </c>
      <c r="W96" t="str">
        <f t="shared" si="30"/>
        <v>Neutral</v>
      </c>
      <c r="X96">
        <f>survey_responses[[#This Row],[Tôi tin rằng Nhà nước, cơ quan thuế có đủ khả năng và công nghệ để phát hiện, xử lý nghiêm các hành vi trốn thuế. - HUMAN-ENF2]]</f>
        <v>6</v>
      </c>
      <c r="Y96" t="str">
        <f t="shared" si="31"/>
        <v>Neutral</v>
      </c>
      <c r="Z96" s="32">
        <f t="shared" si="32"/>
        <v>1</v>
      </c>
      <c r="AA96">
        <f>step3_validation[[#This Row],[AI_FAC1]]</f>
        <v>8</v>
      </c>
      <c r="AB96" t="str">
        <f t="shared" si="33"/>
        <v>Support</v>
      </c>
      <c r="AC96">
        <f>survey_responses[[#This Row],[Các thủ tục khai báo thuế VÀ/HOẶC quy trình làm việc với cơ quan thuế đơn giản, tiện lợi, nhanh chóng hơn so với trước đây. - HUMAN-FAC1]]</f>
        <v>5</v>
      </c>
      <c r="AD96" t="str">
        <f t="shared" si="34"/>
        <v>Neutral</v>
      </c>
      <c r="AE96" s="32">
        <f t="shared" si="35"/>
        <v>3</v>
      </c>
      <c r="AF96">
        <f>step3_validation[[#This Row],[AI_FAC2]]</f>
        <v>9</v>
      </c>
      <c r="AG96" t="str">
        <f t="shared" si="36"/>
        <v>Support</v>
      </c>
      <c r="AH96">
        <f>survey_responses[[#This Row],[So với trước đây, tôi thấy cách tính thuế và các bậc thuế trong phương án mới đơn giản, dễ hiểu và dễ thực hiện hơn. - HUMAN-FAC2]]</f>
        <v>5</v>
      </c>
      <c r="AI96" t="str">
        <f t="shared" si="37"/>
        <v>Neutral</v>
      </c>
      <c r="AJ96" s="32">
        <f t="shared" si="38"/>
        <v>4</v>
      </c>
      <c r="AK96">
        <f>step3_validation[[#This Row],[AI_TRU1]]</f>
        <v>7</v>
      </c>
      <c r="AL96" t="str">
        <f t="shared" si="39"/>
        <v>Neutral</v>
      </c>
      <c r="AM96">
        <f>survey_responses[[#This Row],[Tôi tin rằng Nhà nước, cơ quan thuế sẽ thực thi chính sách mới một cách khách quan, công tâm và đối xử bình đẳng với mọi người nộp thuế.  - HUMAN-TRU1]]</f>
        <v>4</v>
      </c>
      <c r="AN96" t="str">
        <f t="shared" si="40"/>
        <v>Oppose</v>
      </c>
      <c r="AO96" s="32">
        <f t="shared" si="41"/>
        <v>3</v>
      </c>
      <c r="AP96">
        <f>step3_validation[[#This Row],[AI_TRU2]]</f>
        <v>8</v>
      </c>
      <c r="AQ96" t="str">
        <f t="shared" si="42"/>
        <v>Support</v>
      </c>
      <c r="AR96">
        <f>survey_responses[[#This Row],[Tôi thấy mức thuế tôi phải đóng theo phương án mới là công bằng (người thu nhập như tôi đóng mức này là hợp lý). - HUMAN-TRU2]]</f>
        <v>4</v>
      </c>
      <c r="AS96" t="str">
        <f t="shared" si="43"/>
        <v>Oppose</v>
      </c>
      <c r="AT96" s="32">
        <f t="shared" si="44"/>
        <v>4</v>
      </c>
      <c r="AU96">
        <f>step3_validation[[#This Row],[AI_TRU3]]</f>
        <v>7</v>
      </c>
      <c r="AV96" t="str">
        <f t="shared" si="45"/>
        <v>Neutral</v>
      </c>
      <c r="AW96">
        <f>survey_responses[[#This Row],[Tôi tin tưởng số tiền thuế tôi đóng sẽ được Nhà nước sử dụng hiệu quả để cải thiện dịch vụ công (y tế, đường xá...). - HUMAN-TRU3]]</f>
        <v>3</v>
      </c>
      <c r="AX96" t="str">
        <f t="shared" si="46"/>
        <v>Oppose</v>
      </c>
      <c r="AY96" s="32">
        <f t="shared" si="47"/>
        <v>4</v>
      </c>
      <c r="AZ96">
        <f>step3_validation[[#This Row],[AI_TRU4]]</f>
        <v>6</v>
      </c>
      <c r="BA96" t="str">
        <f t="shared" si="48"/>
        <v>Neutral</v>
      </c>
      <c r="BB96">
        <f>survey_responses[[#This Row],[Tôi thấy Nhà nước đã giải thích rõ ràng, minh bạch về lý do và mục tiêu của việc sửa đổi thuế lần này. - HUMAN-TRU4]]</f>
        <v>4</v>
      </c>
      <c r="BC96" t="str">
        <f t="shared" si="49"/>
        <v>Oppose</v>
      </c>
      <c r="BD96" s="32">
        <f t="shared" si="50"/>
        <v>2</v>
      </c>
      <c r="BE96">
        <f>step3_validation[[#This Row],[AI_OUT1]]</f>
        <v>8</v>
      </c>
      <c r="BF96" t="str">
        <f t="shared" si="51"/>
        <v>Support</v>
      </c>
      <c r="BG96">
        <f>survey_responses[[#This Row],[Sau khi xem xét các quyền lợi và nghĩa vụ, bạn có ủng hộ và tuân thủ chính sách mới hiện nay? - HUMAN-OUT1]]</f>
        <v>3</v>
      </c>
      <c r="BH96" t="str">
        <f t="shared" si="52"/>
        <v>Oppose</v>
      </c>
      <c r="BI96" s="32">
        <f t="shared" si="53"/>
        <v>5</v>
      </c>
    </row>
    <row r="97" spans="1:61" x14ac:dyDescent="0.45">
      <c r="A97" s="30">
        <f>step3_validation[[#This Row],[Persona_ID]]</f>
        <v>96</v>
      </c>
      <c r="B97" s="31">
        <f>step3_validation[[#This Row],[Used_Seed]]</f>
        <v>12440</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8</v>
      </c>
      <c r="R97" t="str">
        <f t="shared" si="27"/>
        <v>Support</v>
      </c>
      <c r="S97">
        <f>survey_responses[[#This Row],[Tôi tin rằng với các quy định quản lý thuế hiện nay, hành vi gian lận hoặc trốn thuế sẽ dễ dàng bị phát hiện và xử lý nghiêm. - HUMAN-ENF1]]</f>
        <v>8</v>
      </c>
      <c r="T97" t="str">
        <f t="shared" si="28"/>
        <v>Support</v>
      </c>
      <c r="U97" s="32">
        <f t="shared" si="29"/>
        <v>0</v>
      </c>
      <c r="V97">
        <f>step3_validation[[#This Row],[AI_ENF2]]</f>
        <v>9</v>
      </c>
      <c r="W97" t="str">
        <f t="shared" si="30"/>
        <v>Support</v>
      </c>
      <c r="X97">
        <f>survey_responses[[#This Row],[Tôi tin rằng Nhà nước, cơ quan thuế có đủ khả năng và công nghệ để phát hiện, xử lý nghiêm các hành vi trốn thuế. - HUMAN-ENF2]]</f>
        <v>7</v>
      </c>
      <c r="Y97" t="str">
        <f t="shared" si="31"/>
        <v>Neutral</v>
      </c>
      <c r="Z97" s="32">
        <f t="shared" si="32"/>
        <v>2</v>
      </c>
      <c r="AA97">
        <f>step3_validation[[#This Row],[AI_FAC1]]</f>
        <v>7</v>
      </c>
      <c r="AB97" t="str">
        <f t="shared" si="33"/>
        <v>Neutral</v>
      </c>
      <c r="AC97">
        <f>survey_responses[[#This Row],[Các thủ tục khai báo thuế VÀ/HOẶC quy trình làm việc với cơ quan thuế đơn giản, tiện lợi, nhanh chóng hơn so với trước đây. - HUMAN-FAC1]]</f>
        <v>5</v>
      </c>
      <c r="AD97" t="str">
        <f t="shared" si="34"/>
        <v>Neutral</v>
      </c>
      <c r="AE97" s="32">
        <f t="shared" si="35"/>
        <v>2</v>
      </c>
      <c r="AF97">
        <f>step3_validation[[#This Row],[AI_FAC2]]</f>
        <v>9</v>
      </c>
      <c r="AG97" t="str">
        <f t="shared" si="36"/>
        <v>Support</v>
      </c>
      <c r="AH97">
        <f>survey_responses[[#This Row],[So với trước đây, tôi thấy cách tính thuế và các bậc thuế trong phương án mới đơn giản, dễ hiểu và dễ thực hiện hơn. - HUMAN-FAC2]]</f>
        <v>7</v>
      </c>
      <c r="AI97" t="str">
        <f t="shared" si="37"/>
        <v>Neutral</v>
      </c>
      <c r="AJ97" s="32">
        <f t="shared" si="38"/>
        <v>2</v>
      </c>
      <c r="AK97">
        <f>step3_validation[[#This Row],[AI_TRU1]]</f>
        <v>8</v>
      </c>
      <c r="AL97" t="str">
        <f t="shared" si="39"/>
        <v>Support</v>
      </c>
      <c r="AM97">
        <f>survey_responses[[#This Row],[Tôi tin rằng Nhà nước, cơ quan thuế sẽ thực thi chính sách mới một cách khách quan, công tâm và đối xử bình đẳng với mọi người nộp thuế.  - HUMAN-TRU1]]</f>
        <v>7</v>
      </c>
      <c r="AN97" t="str">
        <f t="shared" si="40"/>
        <v>Neutral</v>
      </c>
      <c r="AO97" s="32">
        <f t="shared" si="41"/>
        <v>1</v>
      </c>
      <c r="AP97">
        <f>step3_validation[[#This Row],[AI_TRU2]]</f>
        <v>9</v>
      </c>
      <c r="AQ97" t="str">
        <f t="shared" si="42"/>
        <v>Support</v>
      </c>
      <c r="AR97">
        <f>survey_responses[[#This Row],[Tôi thấy mức thuế tôi phải đóng theo phương án mới là công bằng (người thu nhập như tôi đóng mức này là hợp lý). - HUMAN-TRU2]]</f>
        <v>5</v>
      </c>
      <c r="AS97" t="str">
        <f t="shared" si="43"/>
        <v>Neutral</v>
      </c>
      <c r="AT97" s="32">
        <f t="shared" si="44"/>
        <v>4</v>
      </c>
      <c r="AU97">
        <f>step3_validation[[#This Row],[AI_TRU3]]</f>
        <v>8</v>
      </c>
      <c r="AV97" t="str">
        <f t="shared" si="45"/>
        <v>Support</v>
      </c>
      <c r="AW97">
        <f>survey_responses[[#This Row],[Tôi tin tưởng số tiền thuế tôi đóng sẽ được Nhà nước sử dụng hiệu quả để cải thiện dịch vụ công (y tế, đường xá...). - HUMAN-TRU3]]</f>
        <v>5</v>
      </c>
      <c r="AX97" t="str">
        <f t="shared" si="46"/>
        <v>Neutral</v>
      </c>
      <c r="AY97" s="32">
        <f t="shared" si="47"/>
        <v>3</v>
      </c>
      <c r="AZ97">
        <f>step3_validation[[#This Row],[AI_TRU4]]</f>
        <v>9</v>
      </c>
      <c r="BA97" t="str">
        <f t="shared" si="48"/>
        <v>Support</v>
      </c>
      <c r="BB97">
        <f>survey_responses[[#This Row],[Tôi thấy Nhà nước đã giải thích rõ ràng, minh bạch về lý do và mục tiêu của việc sửa đổi thuế lần này. - HUMAN-TRU4]]</f>
        <v>7</v>
      </c>
      <c r="BC97" t="str">
        <f t="shared" si="49"/>
        <v>Neutral</v>
      </c>
      <c r="BD97" s="32">
        <f t="shared" si="50"/>
        <v>2</v>
      </c>
      <c r="BE97">
        <f>step3_validation[[#This Row],[AI_OUT1]]</f>
        <v>8</v>
      </c>
      <c r="BF97" t="str">
        <f t="shared" si="51"/>
        <v>Support</v>
      </c>
      <c r="BG97">
        <f>survey_responses[[#This Row],[Sau khi xem xét các quyền lợi và nghĩa vụ, bạn có ủng hộ và tuân thủ chính sách mới hiện nay? - HUMAN-OUT1]]</f>
        <v>7</v>
      </c>
      <c r="BH97" t="str">
        <f t="shared" si="52"/>
        <v>Neutral</v>
      </c>
      <c r="BI97" s="32">
        <f t="shared" si="53"/>
        <v>1</v>
      </c>
    </row>
    <row r="98" spans="1:61" x14ac:dyDescent="0.45">
      <c r="A98" s="30">
        <f>step3_validation[[#This Row],[Persona_ID]]</f>
        <v>97</v>
      </c>
      <c r="B98" s="31">
        <f>step3_validation[[#This Row],[Used_Seed]]</f>
        <v>12441</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111.51328760485315</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8</v>
      </c>
      <c r="R98" t="str">
        <f t="shared" si="27"/>
        <v>Support</v>
      </c>
      <c r="S98">
        <f>survey_responses[[#This Row],[Tôi tin rằng với các quy định quản lý thuế hiện nay, hành vi gian lận hoặc trốn thuế sẽ dễ dàng bị phát hiện và xử lý nghiêm. - HUMAN-ENF1]]</f>
        <v>6</v>
      </c>
      <c r="T98" t="str">
        <f t="shared" si="28"/>
        <v>Neutral</v>
      </c>
      <c r="U98" s="32">
        <f t="shared" si="29"/>
        <v>2</v>
      </c>
      <c r="V98">
        <f>step3_validation[[#This Row],[AI_ENF2]]</f>
        <v>7</v>
      </c>
      <c r="W98" t="str">
        <f t="shared" si="30"/>
        <v>Neutral</v>
      </c>
      <c r="X98">
        <f>survey_responses[[#This Row],[Tôi tin rằng Nhà nước, cơ quan thuế có đủ khả năng và công nghệ để phát hiện, xử lý nghiêm các hành vi trốn thuế. - HUMAN-ENF2]]</f>
        <v>6</v>
      </c>
      <c r="Y98" t="str">
        <f t="shared" si="31"/>
        <v>Neutral</v>
      </c>
      <c r="Z98" s="32">
        <f t="shared" si="32"/>
        <v>1</v>
      </c>
      <c r="AA98">
        <f>step3_validation[[#This Row],[AI_FAC1]]</f>
        <v>9</v>
      </c>
      <c r="AB98" t="str">
        <f t="shared" si="33"/>
        <v>Support</v>
      </c>
      <c r="AC98">
        <f>survey_responses[[#This Row],[Các thủ tục khai báo thuế VÀ/HOẶC quy trình làm việc với cơ quan thuế đơn giản, tiện lợi, nhanh chóng hơn so với trước đây. - HUMAN-FAC1]]</f>
        <v>5</v>
      </c>
      <c r="AD98" t="str">
        <f t="shared" si="34"/>
        <v>Neutral</v>
      </c>
      <c r="AE98" s="32">
        <f t="shared" si="35"/>
        <v>4</v>
      </c>
      <c r="AF98">
        <f>step3_validation[[#This Row],[AI_FAC2]]</f>
        <v>8</v>
      </c>
      <c r="AG98" t="str">
        <f t="shared" si="36"/>
        <v>Support</v>
      </c>
      <c r="AH98">
        <f>survey_responses[[#This Row],[So với trước đây, tôi thấy cách tính thuế và các bậc thuế trong phương án mới đơn giản, dễ hiểu và dễ thực hiện hơn. - HUMAN-FAC2]]</f>
        <v>5</v>
      </c>
      <c r="AI98" t="str">
        <f t="shared" si="37"/>
        <v>Neutral</v>
      </c>
      <c r="AJ98" s="32">
        <f t="shared" si="38"/>
        <v>3</v>
      </c>
      <c r="AK98">
        <f>step3_validation[[#This Row],[AI_TRU1]]</f>
        <v>9</v>
      </c>
      <c r="AL98" t="str">
        <f t="shared" si="39"/>
        <v>Support</v>
      </c>
      <c r="AM98">
        <f>survey_responses[[#This Row],[Tôi tin rằng Nhà nước, cơ quan thuế sẽ thực thi chính sách mới một cách khách quan, công tâm và đối xử bình đẳng với mọi người nộp thuế.  - HUMAN-TRU1]]</f>
        <v>5</v>
      </c>
      <c r="AN98" t="str">
        <f t="shared" si="40"/>
        <v>Neutral</v>
      </c>
      <c r="AO98" s="32">
        <f t="shared" si="41"/>
        <v>4</v>
      </c>
      <c r="AP98">
        <f>step3_validation[[#This Row],[AI_TRU2]]</f>
        <v>8</v>
      </c>
      <c r="AQ98" t="str">
        <f t="shared" si="42"/>
        <v>Support</v>
      </c>
      <c r="AR98">
        <f>survey_responses[[#This Row],[Tôi thấy mức thuế tôi phải đóng theo phương án mới là công bằng (người thu nhập như tôi đóng mức này là hợp lý). - HUMAN-TRU2]]</f>
        <v>5</v>
      </c>
      <c r="AS98" t="str">
        <f t="shared" si="43"/>
        <v>Neutral</v>
      </c>
      <c r="AT98" s="32">
        <f t="shared" si="44"/>
        <v>3</v>
      </c>
      <c r="AU98">
        <f>step3_validation[[#This Row],[AI_TRU3]]</f>
        <v>9</v>
      </c>
      <c r="AV98" t="str">
        <f t="shared" si="45"/>
        <v>Support</v>
      </c>
      <c r="AW98">
        <f>survey_responses[[#This Row],[Tôi tin tưởng số tiền thuế tôi đóng sẽ được Nhà nước sử dụng hiệu quả để cải thiện dịch vụ công (y tế, đường xá...). - HUMAN-TRU3]]</f>
        <v>5</v>
      </c>
      <c r="AX98" t="str">
        <f t="shared" si="46"/>
        <v>Neutral</v>
      </c>
      <c r="AY98" s="32">
        <f t="shared" si="47"/>
        <v>4</v>
      </c>
      <c r="AZ98">
        <f>step3_validation[[#This Row],[AI_TRU4]]</f>
        <v>8</v>
      </c>
      <c r="BA98" t="str">
        <f t="shared" si="48"/>
        <v>Support</v>
      </c>
      <c r="BB98">
        <f>survey_responses[[#This Row],[Tôi thấy Nhà nước đã giải thích rõ ràng, minh bạch về lý do và mục tiêu của việc sửa đổi thuế lần này. - HUMAN-TRU4]]</f>
        <v>5</v>
      </c>
      <c r="BC98" t="str">
        <f t="shared" si="49"/>
        <v>Neutral</v>
      </c>
      <c r="BD98" s="32">
        <f t="shared" si="50"/>
        <v>3</v>
      </c>
      <c r="BE98">
        <f>step3_validation[[#This Row],[AI_OUT1]]</f>
        <v>9</v>
      </c>
      <c r="BF98" t="str">
        <f t="shared" si="51"/>
        <v>Support</v>
      </c>
      <c r="BG98">
        <f>survey_responses[[#This Row],[Sau khi xem xét các quyền lợi và nghĩa vụ, bạn có ủng hộ và tuân thủ chính sách mới hiện nay? - HUMAN-OUT1]]</f>
        <v>5</v>
      </c>
      <c r="BH98" t="str">
        <f t="shared" si="52"/>
        <v>Neutral</v>
      </c>
      <c r="BI98" s="32">
        <f t="shared" si="53"/>
        <v>4</v>
      </c>
    </row>
    <row r="99" spans="1:61" x14ac:dyDescent="0.45">
      <c r="A99" s="30">
        <f>step3_validation[[#This Row],[Persona_ID]]</f>
        <v>98</v>
      </c>
      <c r="B99" s="31">
        <f>step3_validation[[#This Row],[Used_Seed]]</f>
        <v>12442</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20.932553600708715</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6</v>
      </c>
      <c r="R99" t="str">
        <f t="shared" si="27"/>
        <v>Neutral</v>
      </c>
      <c r="S99">
        <f>survey_responses[[#This Row],[Tôi tin rằng với các quy định quản lý thuế hiện nay, hành vi gian lận hoặc trốn thuế sẽ dễ dàng bị phát hiện và xử lý nghiêm. - HUMAN-ENF1]]</f>
        <v>8</v>
      </c>
      <c r="T99" t="str">
        <f t="shared" si="28"/>
        <v>Support</v>
      </c>
      <c r="U99" s="32">
        <f t="shared" si="29"/>
        <v>2</v>
      </c>
      <c r="V99">
        <f>step3_validation[[#This Row],[AI_ENF2]]</f>
        <v>6</v>
      </c>
      <c r="W99" t="str">
        <f t="shared" si="30"/>
        <v>Neutral</v>
      </c>
      <c r="X99">
        <f>survey_responses[[#This Row],[Tôi tin rằng Nhà nước, cơ quan thuế có đủ khả năng và công nghệ để phát hiện, xử lý nghiêm các hành vi trốn thuế. - HUMAN-ENF2]]</f>
        <v>8</v>
      </c>
      <c r="Y99" t="str">
        <f t="shared" si="31"/>
        <v>Support</v>
      </c>
      <c r="Z99" s="32">
        <f t="shared" si="32"/>
        <v>2</v>
      </c>
      <c r="AA99">
        <f>step3_validation[[#This Row],[AI_FAC1]]</f>
        <v>8</v>
      </c>
      <c r="AB99" t="str">
        <f t="shared" si="33"/>
        <v>Support</v>
      </c>
      <c r="AC99">
        <f>survey_responses[[#This Row],[Các thủ tục khai báo thuế VÀ/HOẶC quy trình làm việc với cơ quan thuế đơn giản, tiện lợi, nhanh chóng hơn so với trước đây. - HUMAN-FAC1]]</f>
        <v>5</v>
      </c>
      <c r="AD99" t="str">
        <f t="shared" si="34"/>
        <v>Neutral</v>
      </c>
      <c r="AE99" s="32">
        <f t="shared" si="35"/>
        <v>3</v>
      </c>
      <c r="AF99">
        <f>step3_validation[[#This Row],[AI_FAC2]]</f>
        <v>9</v>
      </c>
      <c r="AG99" t="str">
        <f t="shared" si="36"/>
        <v>Support</v>
      </c>
      <c r="AH99">
        <f>survey_responses[[#This Row],[So với trước đây, tôi thấy cách tính thuế và các bậc thuế trong phương án mới đơn giản, dễ hiểu và dễ thực hiện hơn. - HUMAN-FAC2]]</f>
        <v>8</v>
      </c>
      <c r="AI99" t="str">
        <f t="shared" si="37"/>
        <v>Support</v>
      </c>
      <c r="AJ99" s="32">
        <f t="shared" si="38"/>
        <v>1</v>
      </c>
      <c r="AK99">
        <f>step3_validation[[#This Row],[AI_TRU1]]</f>
        <v>8</v>
      </c>
      <c r="AL99" t="str">
        <f t="shared" si="39"/>
        <v>Support</v>
      </c>
      <c r="AM99">
        <f>survey_responses[[#This Row],[Tôi tin rằng Nhà nước, cơ quan thuế sẽ thực thi chính sách mới một cách khách quan, công tâm và đối xử bình đẳng với mọi người nộp thuế.  - HUMAN-TRU1]]</f>
        <v>6</v>
      </c>
      <c r="AN99" t="str">
        <f t="shared" si="40"/>
        <v>Neutral</v>
      </c>
      <c r="AO99" s="32">
        <f t="shared" si="41"/>
        <v>2</v>
      </c>
      <c r="AP99">
        <f>step3_validation[[#This Row],[AI_TRU2]]</f>
        <v>9</v>
      </c>
      <c r="AQ99" t="str">
        <f t="shared" si="42"/>
        <v>Support</v>
      </c>
      <c r="AR99">
        <f>survey_responses[[#This Row],[Tôi thấy mức thuế tôi phải đóng theo phương án mới là công bằng (người thu nhập như tôi đóng mức này là hợp lý). - HUMAN-TRU2]]</f>
        <v>9</v>
      </c>
      <c r="AS99" t="str">
        <f t="shared" si="43"/>
        <v>Support</v>
      </c>
      <c r="AT99" s="32">
        <f t="shared" si="44"/>
        <v>0</v>
      </c>
      <c r="AU99">
        <f>step3_validation[[#This Row],[AI_TRU3]]</f>
        <v>8</v>
      </c>
      <c r="AV99" t="str">
        <f t="shared" si="45"/>
        <v>Support</v>
      </c>
      <c r="AW99">
        <f>survey_responses[[#This Row],[Tôi tin tưởng số tiền thuế tôi đóng sẽ được Nhà nước sử dụng hiệu quả để cải thiện dịch vụ công (y tế, đường xá...). - HUMAN-TRU3]]</f>
        <v>5</v>
      </c>
      <c r="AX99" t="str">
        <f t="shared" si="46"/>
        <v>Neutral</v>
      </c>
      <c r="AY99" s="32">
        <f t="shared" si="47"/>
        <v>3</v>
      </c>
      <c r="AZ99">
        <f>step3_validation[[#This Row],[AI_TRU4]]</f>
        <v>7</v>
      </c>
      <c r="BA99" t="str">
        <f t="shared" si="48"/>
        <v>Neutral</v>
      </c>
      <c r="BB99">
        <f>survey_responses[[#This Row],[Tôi thấy Nhà nước đã giải thích rõ ràng, minh bạch về lý do và mục tiêu của việc sửa đổi thuế lần này. - HUMAN-TRU4]]</f>
        <v>7</v>
      </c>
      <c r="BC99" t="str">
        <f t="shared" si="49"/>
        <v>Neutral</v>
      </c>
      <c r="BD99" s="32">
        <f t="shared" si="50"/>
        <v>0</v>
      </c>
      <c r="BE99">
        <f>step3_validation[[#This Row],[AI_OUT1]]</f>
        <v>9</v>
      </c>
      <c r="BF99" t="str">
        <f t="shared" si="51"/>
        <v>Support</v>
      </c>
      <c r="BG99">
        <f>survey_responses[[#This Row],[Sau khi xem xét các quyền lợi và nghĩa vụ, bạn có ủng hộ và tuân thủ chính sách mới hiện nay? - HUMAN-OUT1]]</f>
        <v>8</v>
      </c>
      <c r="BH99" t="str">
        <f t="shared" si="52"/>
        <v>Support</v>
      </c>
      <c r="BI99" s="32">
        <f t="shared" si="53"/>
        <v>1</v>
      </c>
    </row>
    <row r="100" spans="1:61" x14ac:dyDescent="0.45">
      <c r="A100" s="30">
        <f>step3_validation[[#This Row],[Persona_ID]]</f>
        <v>99</v>
      </c>
      <c r="B100" s="31">
        <f>step3_validation[[#This Row],[Used_Seed]]</f>
        <v>12443</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28.721568597096145</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6</v>
      </c>
      <c r="R100" t="str">
        <f t="shared" si="27"/>
        <v>Neutral</v>
      </c>
      <c r="S100">
        <f>survey_responses[[#This Row],[Tôi tin rằng với các quy định quản lý thuế hiện nay, hành vi gian lận hoặc trốn thuế sẽ dễ dàng bị phát hiện và xử lý nghiêm. - HUMAN-ENF1]]</f>
        <v>6</v>
      </c>
      <c r="T100" t="str">
        <f t="shared" si="28"/>
        <v>Neutral</v>
      </c>
      <c r="U100" s="32">
        <f t="shared" si="29"/>
        <v>0</v>
      </c>
      <c r="V100">
        <f>step3_validation[[#This Row],[AI_ENF2]]</f>
        <v>7</v>
      </c>
      <c r="W100" t="str">
        <f t="shared" si="30"/>
        <v>Neutral</v>
      </c>
      <c r="X100">
        <f>survey_responses[[#This Row],[Tôi tin rằng Nhà nước, cơ quan thuế có đủ khả năng và công nghệ để phát hiện, xử lý nghiêm các hành vi trốn thuế. - HUMAN-ENF2]]</f>
        <v>6</v>
      </c>
      <c r="Y100" t="str">
        <f t="shared" si="31"/>
        <v>Neutral</v>
      </c>
      <c r="Z100" s="32">
        <f t="shared" si="32"/>
        <v>1</v>
      </c>
      <c r="AA100">
        <f>step3_validation[[#This Row],[AI_FAC1]]</f>
        <v>9</v>
      </c>
      <c r="AB100" t="str">
        <f t="shared" si="33"/>
        <v>Support</v>
      </c>
      <c r="AC100">
        <f>survey_responses[[#This Row],[Các thủ tục khai báo thuế VÀ/HOẶC quy trình làm việc với cơ quan thuế đơn giản, tiện lợi, nhanh chóng hơn so với trước đây. - HUMAN-FAC1]]</f>
        <v>3</v>
      </c>
      <c r="AD100" t="str">
        <f t="shared" si="34"/>
        <v>Oppose</v>
      </c>
      <c r="AE100" s="32">
        <f t="shared" si="35"/>
        <v>6</v>
      </c>
      <c r="AF100">
        <f>step3_validation[[#This Row],[AI_FAC2]]</f>
        <v>8</v>
      </c>
      <c r="AG100" t="str">
        <f t="shared" si="36"/>
        <v>Support</v>
      </c>
      <c r="AH100">
        <f>survey_responses[[#This Row],[So với trước đây, tôi thấy cách tính thuế và các bậc thuế trong phương án mới đơn giản, dễ hiểu và dễ thực hiện hơn. - HUMAN-FAC2]]</f>
        <v>6</v>
      </c>
      <c r="AI100" t="str">
        <f t="shared" si="37"/>
        <v>Neutral</v>
      </c>
      <c r="AJ100" s="32">
        <f t="shared" si="38"/>
        <v>2</v>
      </c>
      <c r="AK100">
        <f>step3_validation[[#This Row],[AI_TRU1]]</f>
        <v>7</v>
      </c>
      <c r="AL100" t="str">
        <f t="shared" si="39"/>
        <v>Neutral</v>
      </c>
      <c r="AM100">
        <f>survey_responses[[#This Row],[Tôi tin rằng Nhà nước, cơ quan thuế sẽ thực thi chính sách mới một cách khách quan, công tâm và đối xử bình đẳng với mọi người nộp thuế.  - HUMAN-TRU1]]</f>
        <v>5</v>
      </c>
      <c r="AN100" t="str">
        <f t="shared" si="40"/>
        <v>Neutral</v>
      </c>
      <c r="AO100" s="32">
        <f t="shared" si="41"/>
        <v>2</v>
      </c>
      <c r="AP100">
        <f>step3_validation[[#This Row],[AI_TRU2]]</f>
        <v>9</v>
      </c>
      <c r="AQ100" t="str">
        <f t="shared" si="42"/>
        <v>Support</v>
      </c>
      <c r="AR100">
        <f>survey_responses[[#This Row],[Tôi thấy mức thuế tôi phải đóng theo phương án mới là công bằng (người thu nhập như tôi đóng mức này là hợp lý). - HUMAN-TRU2]]</f>
        <v>6</v>
      </c>
      <c r="AS100" t="str">
        <f t="shared" si="43"/>
        <v>Neutral</v>
      </c>
      <c r="AT100" s="32">
        <f t="shared" si="44"/>
        <v>3</v>
      </c>
      <c r="AU100">
        <f>step3_validation[[#This Row],[AI_TRU3]]</f>
        <v>7</v>
      </c>
      <c r="AV100" t="str">
        <f t="shared" si="45"/>
        <v>Neutral</v>
      </c>
      <c r="AW100">
        <f>survey_responses[[#This Row],[Tôi tin tưởng số tiền thuế tôi đóng sẽ được Nhà nước sử dụng hiệu quả để cải thiện dịch vụ công (y tế, đường xá...). - HUMAN-TRU3]]</f>
        <v>5</v>
      </c>
      <c r="AX100" t="str">
        <f t="shared" si="46"/>
        <v>Neutral</v>
      </c>
      <c r="AY100" s="32">
        <f t="shared" si="47"/>
        <v>2</v>
      </c>
      <c r="AZ100">
        <f>step3_validation[[#This Row],[AI_TRU4]]</f>
        <v>8</v>
      </c>
      <c r="BA100" t="str">
        <f t="shared" si="48"/>
        <v>Support</v>
      </c>
      <c r="BB100">
        <f>survey_responses[[#This Row],[Tôi thấy Nhà nước đã giải thích rõ ràng, minh bạch về lý do và mục tiêu của việc sửa đổi thuế lần này. - HUMAN-TRU4]]</f>
        <v>6</v>
      </c>
      <c r="BC100" t="str">
        <f t="shared" si="49"/>
        <v>Neutral</v>
      </c>
      <c r="BD100" s="32">
        <f t="shared" si="50"/>
        <v>2</v>
      </c>
      <c r="BE100">
        <f>step3_validation[[#This Row],[AI_OUT1]]</f>
        <v>9</v>
      </c>
      <c r="BF100" t="str">
        <f t="shared" si="51"/>
        <v>Support</v>
      </c>
      <c r="BG100">
        <f>survey_responses[[#This Row],[Sau khi xem xét các quyền lợi và nghĩa vụ, bạn có ủng hộ và tuân thủ chính sách mới hiện nay? - HUMAN-OUT1]]</f>
        <v>6</v>
      </c>
      <c r="BH100" t="str">
        <f t="shared" si="52"/>
        <v>Neutral</v>
      </c>
      <c r="BI100" s="32">
        <f t="shared" si="53"/>
        <v>3</v>
      </c>
    </row>
    <row r="101" spans="1:61" x14ac:dyDescent="0.45">
      <c r="A101" s="30">
        <f>step3_validation[[#This Row],[Persona_ID]]</f>
        <v>100</v>
      </c>
      <c r="B101" s="31">
        <f>step3_validation[[#This Row],[Used_Seed]]</f>
        <v>12444</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12.02439855645668</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8</v>
      </c>
      <c r="R101" t="str">
        <f t="shared" si="27"/>
        <v>Support</v>
      </c>
      <c r="S101">
        <f>survey_responses[[#This Row],[Tôi tin rằng với các quy định quản lý thuế hiện nay, hành vi gian lận hoặc trốn thuế sẽ dễ dàng bị phát hiện và xử lý nghiêm. - HUMAN-ENF1]]</f>
        <v>8</v>
      </c>
      <c r="T101" t="str">
        <f t="shared" si="28"/>
        <v>Support</v>
      </c>
      <c r="U101" s="32">
        <f t="shared" si="29"/>
        <v>0</v>
      </c>
      <c r="V101">
        <f>step3_validation[[#This Row],[AI_ENF2]]</f>
        <v>8</v>
      </c>
      <c r="W101" t="str">
        <f t="shared" si="30"/>
        <v>Support</v>
      </c>
      <c r="X101">
        <f>survey_responses[[#This Row],[Tôi tin rằng Nhà nước, cơ quan thuế có đủ khả năng và công nghệ để phát hiện, xử lý nghiêm các hành vi trốn thuế. - HUMAN-ENF2]]</f>
        <v>8</v>
      </c>
      <c r="Y101" t="str">
        <f t="shared" si="31"/>
        <v>Support</v>
      </c>
      <c r="Z101" s="32">
        <f t="shared" si="32"/>
        <v>0</v>
      </c>
      <c r="AA101">
        <f>step3_validation[[#This Row],[AI_FAC1]]</f>
        <v>9</v>
      </c>
      <c r="AB101" t="str">
        <f t="shared" si="33"/>
        <v>Support</v>
      </c>
      <c r="AC101">
        <f>survey_responses[[#This Row],[Các thủ tục khai báo thuế VÀ/HOẶC quy trình làm việc với cơ quan thuế đơn giản, tiện lợi, nhanh chóng hơn so với trước đây. - HUMAN-FAC1]]</f>
        <v>8</v>
      </c>
      <c r="AD101" t="str">
        <f t="shared" si="34"/>
        <v>Support</v>
      </c>
      <c r="AE101" s="32">
        <f t="shared" si="35"/>
        <v>1</v>
      </c>
      <c r="AF101">
        <f>step3_validation[[#This Row],[AI_FAC2]]</f>
        <v>9</v>
      </c>
      <c r="AG101" t="str">
        <f t="shared" si="36"/>
        <v>Support</v>
      </c>
      <c r="AH101">
        <f>survey_responses[[#This Row],[So với trước đây, tôi thấy cách tính thuế và các bậc thuế trong phương án mới đơn giản, dễ hiểu và dễ thực hiện hơn. - HUMAN-FAC2]]</f>
        <v>10</v>
      </c>
      <c r="AI101" t="str">
        <f t="shared" si="37"/>
        <v>Support</v>
      </c>
      <c r="AJ101" s="32">
        <f t="shared" si="38"/>
        <v>1</v>
      </c>
      <c r="AK101">
        <f>step3_validation[[#This Row],[AI_TRU1]]</f>
        <v>8</v>
      </c>
      <c r="AL101" t="str">
        <f t="shared" si="39"/>
        <v>Support</v>
      </c>
      <c r="AM101">
        <f>survey_responses[[#This Row],[Tôi tin rằng Nhà nước, cơ quan thuế sẽ thực thi chính sách mới một cách khách quan, công tâm và đối xử bình đẳng với mọi người nộp thuế.  - HUMAN-TRU1]]</f>
        <v>10</v>
      </c>
      <c r="AN101" t="str">
        <f t="shared" si="40"/>
        <v>Support</v>
      </c>
      <c r="AO101" s="32">
        <f t="shared" si="41"/>
        <v>2</v>
      </c>
      <c r="AP101">
        <f>step3_validation[[#This Row],[AI_TRU2]]</f>
        <v>9</v>
      </c>
      <c r="AQ101" t="str">
        <f t="shared" si="42"/>
        <v>Support</v>
      </c>
      <c r="AR101">
        <f>survey_responses[[#This Row],[Tôi thấy mức thuế tôi phải đóng theo phương án mới là công bằng (người thu nhập như tôi đóng mức này là hợp lý). - HUMAN-TRU2]]</f>
        <v>10</v>
      </c>
      <c r="AS101" t="str">
        <f t="shared" si="43"/>
        <v>Support</v>
      </c>
      <c r="AT101" s="32">
        <f t="shared" si="44"/>
        <v>1</v>
      </c>
      <c r="AU101">
        <f>step3_validation[[#This Row],[AI_TRU3]]</f>
        <v>8</v>
      </c>
      <c r="AV101" t="str">
        <f t="shared" si="45"/>
        <v>Support</v>
      </c>
      <c r="AW101">
        <f>survey_responses[[#This Row],[Tôi tin tưởng số tiền thuế tôi đóng sẽ được Nhà nước sử dụng hiệu quả để cải thiện dịch vụ công (y tế, đường xá...). - HUMAN-TRU3]]</f>
        <v>10</v>
      </c>
      <c r="AX101" t="str">
        <f t="shared" si="46"/>
        <v>Support</v>
      </c>
      <c r="AY101" s="32">
        <f t="shared" si="47"/>
        <v>2</v>
      </c>
      <c r="AZ101">
        <f>step3_validation[[#This Row],[AI_TRU4]]</f>
        <v>9</v>
      </c>
      <c r="BA101" t="str">
        <f t="shared" si="48"/>
        <v>Support</v>
      </c>
      <c r="BB101">
        <f>survey_responses[[#This Row],[Tôi thấy Nhà nước đã giải thích rõ ràng, minh bạch về lý do và mục tiêu của việc sửa đổi thuế lần này. - HUMAN-TRU4]]</f>
        <v>10</v>
      </c>
      <c r="BC101" t="str">
        <f t="shared" si="49"/>
        <v>Support</v>
      </c>
      <c r="BD101" s="32">
        <f t="shared" si="50"/>
        <v>1</v>
      </c>
      <c r="BE101">
        <f>step3_validation[[#This Row],[AI_OUT1]]</f>
        <v>8</v>
      </c>
      <c r="BF101" t="str">
        <f t="shared" si="51"/>
        <v>Support</v>
      </c>
      <c r="BG101">
        <f>survey_responses[[#This Row],[Sau khi xem xét các quyền lợi và nghĩa vụ, bạn có ủng hộ và tuân thủ chính sách mới hiện nay? - HUMAN-OUT1]]</f>
        <v>10</v>
      </c>
      <c r="BH101" t="str">
        <f t="shared" si="52"/>
        <v>Support</v>
      </c>
      <c r="BI101" s="32">
        <f t="shared" si="53"/>
        <v>2</v>
      </c>
    </row>
    <row r="102" spans="1:61" x14ac:dyDescent="0.45">
      <c r="A102" s="30">
        <f>step3_validation[[#This Row],[Persona_ID]]</f>
        <v>101</v>
      </c>
      <c r="B102" s="31">
        <f>step3_validation[[#This Row],[Used_Seed]]</f>
        <v>12445</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72.010444821870379</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t="str">
        <f t="shared" si="27"/>
        <v>Neutral</v>
      </c>
      <c r="S102">
        <f>survey_responses[[#This Row],[Tôi tin rằng với các quy định quản lý thuế hiện nay, hành vi gian lận hoặc trốn thuế sẽ dễ dàng bị phát hiện và xử lý nghiêm. - HUMAN-ENF1]]</f>
        <v>8</v>
      </c>
      <c r="T102" t="str">
        <f t="shared" si="28"/>
        <v>Support</v>
      </c>
      <c r="U102" s="32">
        <f t="shared" si="29"/>
        <v>1</v>
      </c>
      <c r="V102">
        <f>step3_validation[[#This Row],[AI_ENF2]]</f>
        <v>8</v>
      </c>
      <c r="W102" t="str">
        <f t="shared" si="30"/>
        <v>Support</v>
      </c>
      <c r="X102">
        <f>survey_responses[[#This Row],[Tôi tin rằng Nhà nước, cơ quan thuế có đủ khả năng và công nghệ để phát hiện, xử lý nghiêm các hành vi trốn thuế. - HUMAN-ENF2]]</f>
        <v>8</v>
      </c>
      <c r="Y102" t="str">
        <f t="shared" si="31"/>
        <v>Support</v>
      </c>
      <c r="Z102" s="32">
        <f t="shared" si="32"/>
        <v>0</v>
      </c>
      <c r="AA102">
        <f>step3_validation[[#This Row],[AI_FAC1]]</f>
        <v>7</v>
      </c>
      <c r="AB102" t="str">
        <f t="shared" si="33"/>
        <v>Neutral</v>
      </c>
      <c r="AC102">
        <f>survey_responses[[#This Row],[Các thủ tục khai báo thuế VÀ/HOẶC quy trình làm việc với cơ quan thuế đơn giản, tiện lợi, nhanh chóng hơn so với trước đây. - HUMAN-FAC1]]</f>
        <v>7</v>
      </c>
      <c r="AD102" t="str">
        <f t="shared" si="34"/>
        <v>Neutral</v>
      </c>
      <c r="AE102" s="32">
        <f t="shared" si="35"/>
        <v>0</v>
      </c>
      <c r="AF102">
        <f>step3_validation[[#This Row],[AI_FAC2]]</f>
        <v>9</v>
      </c>
      <c r="AG102" t="str">
        <f t="shared" si="36"/>
        <v>Support</v>
      </c>
      <c r="AH102">
        <f>survey_responses[[#This Row],[So với trước đây, tôi thấy cách tính thuế và các bậc thuế trong phương án mới đơn giản, dễ hiểu và dễ thực hiện hơn. - HUMAN-FAC2]]</f>
        <v>8</v>
      </c>
      <c r="AI102" t="str">
        <f t="shared" si="37"/>
        <v>Support</v>
      </c>
      <c r="AJ102" s="32">
        <f t="shared" si="38"/>
        <v>1</v>
      </c>
      <c r="AK102">
        <f>step3_validation[[#This Row],[AI_TRU1]]</f>
        <v>8</v>
      </c>
      <c r="AL102" t="str">
        <f t="shared" si="39"/>
        <v>Support</v>
      </c>
      <c r="AM102">
        <f>survey_responses[[#This Row],[Tôi tin rằng Nhà nước, cơ quan thuế sẽ thực thi chính sách mới một cách khách quan, công tâm và đối xử bình đẳng với mọi người nộp thuế.  - HUMAN-TRU1]]</f>
        <v>8</v>
      </c>
      <c r="AN102" t="str">
        <f t="shared" si="40"/>
        <v>Support</v>
      </c>
      <c r="AO102" s="32">
        <f t="shared" si="41"/>
        <v>0</v>
      </c>
      <c r="AP102">
        <f>step3_validation[[#This Row],[AI_TRU2]]</f>
        <v>9</v>
      </c>
      <c r="AQ102" t="str">
        <f t="shared" si="42"/>
        <v>Support</v>
      </c>
      <c r="AR102">
        <f>survey_responses[[#This Row],[Tôi thấy mức thuế tôi phải đóng theo phương án mới là công bằng (người thu nhập như tôi đóng mức này là hợp lý). - HUMAN-TRU2]]</f>
        <v>7</v>
      </c>
      <c r="AS102" t="str">
        <f t="shared" si="43"/>
        <v>Neutral</v>
      </c>
      <c r="AT102" s="32">
        <f t="shared" si="44"/>
        <v>2</v>
      </c>
      <c r="AU102">
        <f>step3_validation[[#This Row],[AI_TRU3]]</f>
        <v>8</v>
      </c>
      <c r="AV102" t="str">
        <f t="shared" si="45"/>
        <v>Support</v>
      </c>
      <c r="AW102">
        <f>survey_responses[[#This Row],[Tôi tin tưởng số tiền thuế tôi đóng sẽ được Nhà nước sử dụng hiệu quả để cải thiện dịch vụ công (y tế, đường xá...). - HUMAN-TRU3]]</f>
        <v>7</v>
      </c>
      <c r="AX102" t="str">
        <f t="shared" si="46"/>
        <v>Neutral</v>
      </c>
      <c r="AY102" s="32">
        <f t="shared" si="47"/>
        <v>1</v>
      </c>
      <c r="AZ102">
        <f>step3_validation[[#This Row],[AI_TRU4]]</f>
        <v>9</v>
      </c>
      <c r="BA102" t="str">
        <f t="shared" si="48"/>
        <v>Support</v>
      </c>
      <c r="BB102">
        <f>survey_responses[[#This Row],[Tôi thấy Nhà nước đã giải thích rõ ràng, minh bạch về lý do và mục tiêu của việc sửa đổi thuế lần này. - HUMAN-TRU4]]</f>
        <v>7</v>
      </c>
      <c r="BC102" t="str">
        <f t="shared" si="49"/>
        <v>Neutral</v>
      </c>
      <c r="BD102" s="32">
        <f t="shared" si="50"/>
        <v>2</v>
      </c>
      <c r="BE102">
        <f>step3_validation[[#This Row],[AI_OUT1]]</f>
        <v>8</v>
      </c>
      <c r="BF102" t="str">
        <f t="shared" si="51"/>
        <v>Support</v>
      </c>
      <c r="BG102">
        <f>survey_responses[[#This Row],[Sau khi xem xét các quyền lợi và nghĩa vụ, bạn có ủng hộ và tuân thủ chính sách mới hiện nay? - HUMAN-OUT1]]</f>
        <v>8</v>
      </c>
      <c r="BH102" t="str">
        <f t="shared" si="52"/>
        <v>Support</v>
      </c>
      <c r="BI102" s="32">
        <f t="shared" si="53"/>
        <v>0</v>
      </c>
    </row>
    <row r="103" spans="1:61" x14ac:dyDescent="0.45">
      <c r="A103" s="30">
        <f>step3_validation[[#This Row],[Persona_ID]]</f>
        <v>102</v>
      </c>
      <c r="B103" s="31">
        <f>step3_validation[[#This Row],[Used_Seed]]</f>
        <v>12446</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15.171310177104186</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t="str">
        <f t="shared" si="27"/>
        <v>Neutral</v>
      </c>
      <c r="S103">
        <f>survey_responses[[#This Row],[Tôi tin rằng với các quy định quản lý thuế hiện nay, hành vi gian lận hoặc trốn thuế sẽ dễ dàng bị phát hiện và xử lý nghiêm. - HUMAN-ENF1]]</f>
        <v>5</v>
      </c>
      <c r="T103" t="str">
        <f t="shared" si="28"/>
        <v>Neutral</v>
      </c>
      <c r="U103" s="32">
        <f t="shared" si="29"/>
        <v>2</v>
      </c>
      <c r="V103">
        <f>step3_validation[[#This Row],[AI_ENF2]]</f>
        <v>6</v>
      </c>
      <c r="W103" t="str">
        <f t="shared" si="30"/>
        <v>Neutral</v>
      </c>
      <c r="X103">
        <f>survey_responses[[#This Row],[Tôi tin rằng Nhà nước, cơ quan thuế có đủ khả năng và công nghệ để phát hiện, xử lý nghiêm các hành vi trốn thuế. - HUMAN-ENF2]]</f>
        <v>5</v>
      </c>
      <c r="Y103" t="str">
        <f t="shared" si="31"/>
        <v>Neutral</v>
      </c>
      <c r="Z103" s="32">
        <f t="shared" si="32"/>
        <v>1</v>
      </c>
      <c r="AA103">
        <f>step3_validation[[#This Row],[AI_FAC1]]</f>
        <v>8</v>
      </c>
      <c r="AB103" t="str">
        <f t="shared" si="33"/>
        <v>Support</v>
      </c>
      <c r="AC103">
        <f>survey_responses[[#This Row],[Các thủ tục khai báo thuế VÀ/HOẶC quy trình làm việc với cơ quan thuế đơn giản, tiện lợi, nhanh chóng hơn so với trước đây. - HUMAN-FAC1]]</f>
        <v>5</v>
      </c>
      <c r="AD103" t="str">
        <f t="shared" si="34"/>
        <v>Neutral</v>
      </c>
      <c r="AE103" s="32">
        <f t="shared" si="35"/>
        <v>3</v>
      </c>
      <c r="AF103">
        <f>step3_validation[[#This Row],[AI_FAC2]]</f>
        <v>9</v>
      </c>
      <c r="AG103" t="str">
        <f t="shared" si="36"/>
        <v>Support</v>
      </c>
      <c r="AH103">
        <f>survey_responses[[#This Row],[So với trước đây, tôi thấy cách tính thuế và các bậc thuế trong phương án mới đơn giản, dễ hiểu và dễ thực hiện hơn. - HUMAN-FAC2]]</f>
        <v>5</v>
      </c>
      <c r="AI103" t="str">
        <f t="shared" si="37"/>
        <v>Neutral</v>
      </c>
      <c r="AJ103" s="32">
        <f t="shared" si="38"/>
        <v>4</v>
      </c>
      <c r="AK103">
        <f>step3_validation[[#This Row],[AI_TRU1]]</f>
        <v>7</v>
      </c>
      <c r="AL103" t="str">
        <f t="shared" si="39"/>
        <v>Neutral</v>
      </c>
      <c r="AM103">
        <f>survey_responses[[#This Row],[Tôi tin rằng Nhà nước, cơ quan thuế sẽ thực thi chính sách mới một cách khách quan, công tâm và đối xử bình đẳng với mọi người nộp thuế.  - HUMAN-TRU1]]</f>
        <v>5</v>
      </c>
      <c r="AN103" t="str">
        <f t="shared" si="40"/>
        <v>Neutral</v>
      </c>
      <c r="AO103" s="32">
        <f t="shared" si="41"/>
        <v>2</v>
      </c>
      <c r="AP103">
        <f>step3_validation[[#This Row],[AI_TRU2]]</f>
        <v>8</v>
      </c>
      <c r="AQ103" t="str">
        <f t="shared" si="42"/>
        <v>Support</v>
      </c>
      <c r="AR103">
        <f>survey_responses[[#This Row],[Tôi thấy mức thuế tôi phải đóng theo phương án mới là công bằng (người thu nhập như tôi đóng mức này là hợp lý). - HUMAN-TRU2]]</f>
        <v>5</v>
      </c>
      <c r="AS103" t="str">
        <f t="shared" si="43"/>
        <v>Neutral</v>
      </c>
      <c r="AT103" s="32">
        <f t="shared" si="44"/>
        <v>3</v>
      </c>
      <c r="AU103">
        <f>step3_validation[[#This Row],[AI_TRU3]]</f>
        <v>7</v>
      </c>
      <c r="AV103" t="str">
        <f t="shared" si="45"/>
        <v>Neutral</v>
      </c>
      <c r="AW103">
        <f>survey_responses[[#This Row],[Tôi tin tưởng số tiền thuế tôi đóng sẽ được Nhà nước sử dụng hiệu quả để cải thiện dịch vụ công (y tế, đường xá...). - HUMAN-TRU3]]</f>
        <v>5</v>
      </c>
      <c r="AX103" t="str">
        <f t="shared" si="46"/>
        <v>Neutral</v>
      </c>
      <c r="AY103" s="32">
        <f t="shared" si="47"/>
        <v>2</v>
      </c>
      <c r="AZ103">
        <f>step3_validation[[#This Row],[AI_TRU4]]</f>
        <v>8</v>
      </c>
      <c r="BA103" t="str">
        <f t="shared" si="48"/>
        <v>Support</v>
      </c>
      <c r="BB103">
        <f>survey_responses[[#This Row],[Tôi thấy Nhà nước đã giải thích rõ ràng, minh bạch về lý do và mục tiêu của việc sửa đổi thuế lần này. - HUMAN-TRU4]]</f>
        <v>5</v>
      </c>
      <c r="BC103" t="str">
        <f t="shared" si="49"/>
        <v>Neutral</v>
      </c>
      <c r="BD103" s="32">
        <f t="shared" si="50"/>
        <v>3</v>
      </c>
      <c r="BE103">
        <f>step3_validation[[#This Row],[AI_OUT1]]</f>
        <v>9</v>
      </c>
      <c r="BF103" t="str">
        <f t="shared" si="51"/>
        <v>Support</v>
      </c>
      <c r="BG103">
        <f>survey_responses[[#This Row],[Sau khi xem xét các quyền lợi và nghĩa vụ, bạn có ủng hộ và tuân thủ chính sách mới hiện nay? - HUMAN-OUT1]]</f>
        <v>5</v>
      </c>
      <c r="BH103" t="str">
        <f t="shared" si="52"/>
        <v>Neutral</v>
      </c>
      <c r="BI103" s="32">
        <f t="shared" si="53"/>
        <v>4</v>
      </c>
    </row>
    <row r="104" spans="1:61" x14ac:dyDescent="0.45">
      <c r="A104" s="30">
        <f>step3_validation[[#This Row],[Persona_ID]]</f>
        <v>103</v>
      </c>
      <c r="B104" s="31">
        <f>step3_validation[[#This Row],[Used_Seed]]</f>
        <v>12447</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42.613387938153792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t="str">
        <f t="shared" si="27"/>
        <v>Neutral</v>
      </c>
      <c r="S104">
        <f>survey_responses[[#This Row],[Tôi tin rằng với các quy định quản lý thuế hiện nay, hành vi gian lận hoặc trốn thuế sẽ dễ dàng bị phát hiện và xử lý nghiêm. - HUMAN-ENF1]]</f>
        <v>8</v>
      </c>
      <c r="T104" t="str">
        <f t="shared" si="28"/>
        <v>Support</v>
      </c>
      <c r="U104" s="32">
        <f t="shared" si="29"/>
        <v>1</v>
      </c>
      <c r="V104">
        <f>step3_validation[[#This Row],[AI_ENF2]]</f>
        <v>6</v>
      </c>
      <c r="W104" t="str">
        <f t="shared" si="30"/>
        <v>Neutral</v>
      </c>
      <c r="X104">
        <f>survey_responses[[#This Row],[Tôi tin rằng Nhà nước, cơ quan thuế có đủ khả năng và công nghệ để phát hiện, xử lý nghiêm các hành vi trốn thuế. - HUMAN-ENF2]]</f>
        <v>8</v>
      </c>
      <c r="Y104" t="str">
        <f t="shared" si="31"/>
        <v>Support</v>
      </c>
      <c r="Z104" s="32">
        <f t="shared" si="32"/>
        <v>2</v>
      </c>
      <c r="AA104">
        <f>step3_validation[[#This Row],[AI_FAC1]]</f>
        <v>9</v>
      </c>
      <c r="AB104" t="str">
        <f t="shared" si="33"/>
        <v>Support</v>
      </c>
      <c r="AC104">
        <f>survey_responses[[#This Row],[Các thủ tục khai báo thuế VÀ/HOẶC quy trình làm việc với cơ quan thuế đơn giản, tiện lợi, nhanh chóng hơn so với trước đây. - HUMAN-FAC1]]</f>
        <v>5</v>
      </c>
      <c r="AD104" t="str">
        <f t="shared" si="34"/>
        <v>Neutral</v>
      </c>
      <c r="AE104" s="32">
        <f t="shared" si="35"/>
        <v>4</v>
      </c>
      <c r="AF104">
        <f>step3_validation[[#This Row],[AI_FAC2]]</f>
        <v>8</v>
      </c>
      <c r="AG104" t="str">
        <f t="shared" si="36"/>
        <v>Support</v>
      </c>
      <c r="AH104">
        <f>survey_responses[[#This Row],[So với trước đây, tôi thấy cách tính thuế và các bậc thuế trong phương án mới đơn giản, dễ hiểu và dễ thực hiện hơn. - HUMAN-FAC2]]</f>
        <v>8</v>
      </c>
      <c r="AI104" t="str">
        <f t="shared" si="37"/>
        <v>Support</v>
      </c>
      <c r="AJ104" s="32">
        <f t="shared" si="38"/>
        <v>0</v>
      </c>
      <c r="AK104">
        <f>step3_validation[[#This Row],[AI_TRU1]]</f>
        <v>9</v>
      </c>
      <c r="AL104" t="str">
        <f t="shared" si="39"/>
        <v>Support</v>
      </c>
      <c r="AM104">
        <f>survey_responses[[#This Row],[Tôi tin rằng Nhà nước, cơ quan thuế sẽ thực thi chính sách mới một cách khách quan, công tâm và đối xử bình đẳng với mọi người nộp thuế.  - HUMAN-TRU1]]</f>
        <v>5</v>
      </c>
      <c r="AN104" t="str">
        <f t="shared" si="40"/>
        <v>Neutral</v>
      </c>
      <c r="AO104" s="32">
        <f t="shared" si="41"/>
        <v>4</v>
      </c>
      <c r="AP104">
        <f>step3_validation[[#This Row],[AI_TRU2]]</f>
        <v>8</v>
      </c>
      <c r="AQ104" t="str">
        <f t="shared" si="42"/>
        <v>Support</v>
      </c>
      <c r="AR104">
        <f>survey_responses[[#This Row],[Tôi thấy mức thuế tôi phải đóng theo phương án mới là công bằng (người thu nhập như tôi đóng mức này là hợp lý). - HUMAN-TRU2]]</f>
        <v>5</v>
      </c>
      <c r="AS104" t="str">
        <f t="shared" si="43"/>
        <v>Neutral</v>
      </c>
      <c r="AT104" s="32">
        <f t="shared" si="44"/>
        <v>3</v>
      </c>
      <c r="AU104">
        <f>step3_validation[[#This Row],[AI_TRU3]]</f>
        <v>9</v>
      </c>
      <c r="AV104" t="str">
        <f t="shared" si="45"/>
        <v>Support</v>
      </c>
      <c r="AW104">
        <f>survey_responses[[#This Row],[Tôi tin tưởng số tiền thuế tôi đóng sẽ được Nhà nước sử dụng hiệu quả để cải thiện dịch vụ công (y tế, đường xá...). - HUMAN-TRU3]]</f>
        <v>6</v>
      </c>
      <c r="AX104" t="str">
        <f t="shared" si="46"/>
        <v>Neutral</v>
      </c>
      <c r="AY104" s="32">
        <f t="shared" si="47"/>
        <v>3</v>
      </c>
      <c r="AZ104">
        <f>step3_validation[[#This Row],[AI_TRU4]]</f>
        <v>7</v>
      </c>
      <c r="BA104" t="str">
        <f t="shared" si="48"/>
        <v>Neutral</v>
      </c>
      <c r="BB104">
        <f>survey_responses[[#This Row],[Tôi thấy Nhà nước đã giải thích rõ ràng, minh bạch về lý do và mục tiêu của việc sửa đổi thuế lần này. - HUMAN-TRU4]]</f>
        <v>6</v>
      </c>
      <c r="BC104" t="str">
        <f t="shared" si="49"/>
        <v>Neutral</v>
      </c>
      <c r="BD104" s="32">
        <f t="shared" si="50"/>
        <v>1</v>
      </c>
      <c r="BE104">
        <f>step3_validation[[#This Row],[AI_OUT1]]</f>
        <v>9</v>
      </c>
      <c r="BF104" t="str">
        <f t="shared" si="51"/>
        <v>Support</v>
      </c>
      <c r="BG104">
        <f>survey_responses[[#This Row],[Sau khi xem xét các quyền lợi và nghĩa vụ, bạn có ủng hộ và tuân thủ chính sách mới hiện nay? - HUMAN-OUT1]]</f>
        <v>5</v>
      </c>
      <c r="BH104" t="str">
        <f t="shared" si="52"/>
        <v>Neutral</v>
      </c>
      <c r="BI104" s="32">
        <f t="shared" si="53"/>
        <v>4</v>
      </c>
    </row>
    <row r="105" spans="1:61" x14ac:dyDescent="0.45">
      <c r="A105" s="30">
        <f>step3_validation[[#This Row],[Persona_ID]]</f>
        <v>104</v>
      </c>
      <c r="B105" s="31">
        <f>step3_validation[[#This Row],[Used_Seed]]</f>
        <v>12448</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20.849608677786225</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t="str">
        <f t="shared" si="27"/>
        <v>Neutral</v>
      </c>
      <c r="S105">
        <f>survey_responses[[#This Row],[Tôi tin rằng với các quy định quản lý thuế hiện nay, hành vi gian lận hoặc trốn thuế sẽ dễ dàng bị phát hiện và xử lý nghiêm. - HUMAN-ENF1]]</f>
        <v>6</v>
      </c>
      <c r="T105" t="str">
        <f t="shared" si="28"/>
        <v>Neutral</v>
      </c>
      <c r="U105" s="32">
        <f t="shared" si="29"/>
        <v>0</v>
      </c>
      <c r="V105">
        <f>step3_validation[[#This Row],[AI_ENF2]]</f>
        <v>6</v>
      </c>
      <c r="W105" t="str">
        <f t="shared" si="30"/>
        <v>Neutral</v>
      </c>
      <c r="X105">
        <f>survey_responses[[#This Row],[Tôi tin rằng Nhà nước, cơ quan thuế có đủ khả năng và công nghệ để phát hiện, xử lý nghiêm các hành vi trốn thuế. - HUMAN-ENF2]]</f>
        <v>7</v>
      </c>
      <c r="Y105" t="str">
        <f t="shared" si="31"/>
        <v>Neutral</v>
      </c>
      <c r="Z105" s="32">
        <f t="shared" si="32"/>
        <v>1</v>
      </c>
      <c r="AA105">
        <f>step3_validation[[#This Row],[AI_FAC1]]</f>
        <v>9</v>
      </c>
      <c r="AB105" t="str">
        <f t="shared" si="33"/>
        <v>Support</v>
      </c>
      <c r="AC105">
        <f>survey_responses[[#This Row],[Các thủ tục khai báo thuế VÀ/HOẶC quy trình làm việc với cơ quan thuế đơn giản, tiện lợi, nhanh chóng hơn so với trước đây. - HUMAN-FAC1]]</f>
        <v>6</v>
      </c>
      <c r="AD105" t="str">
        <f t="shared" si="34"/>
        <v>Neutral</v>
      </c>
      <c r="AE105" s="32">
        <f t="shared" si="35"/>
        <v>3</v>
      </c>
      <c r="AF105">
        <f>step3_validation[[#This Row],[AI_FAC2]]</f>
        <v>9</v>
      </c>
      <c r="AG105" t="str">
        <f t="shared" si="36"/>
        <v>Support</v>
      </c>
      <c r="AH105">
        <f>survey_responses[[#This Row],[So với trước đây, tôi thấy cách tính thuế và các bậc thuế trong phương án mới đơn giản, dễ hiểu và dễ thực hiện hơn. - HUMAN-FAC2]]</f>
        <v>8</v>
      </c>
      <c r="AI105" t="str">
        <f t="shared" si="37"/>
        <v>Support</v>
      </c>
      <c r="AJ105" s="32">
        <f t="shared" si="38"/>
        <v>1</v>
      </c>
      <c r="AK105">
        <f>step3_validation[[#This Row],[AI_TRU1]]</f>
        <v>7</v>
      </c>
      <c r="AL105" t="str">
        <f t="shared" si="39"/>
        <v>Neutral</v>
      </c>
      <c r="AM105">
        <f>survey_responses[[#This Row],[Tôi tin rằng Nhà nước, cơ quan thuế sẽ thực thi chính sách mới một cách khách quan, công tâm và đối xử bình đẳng với mọi người nộp thuế.  - HUMAN-TRU1]]</f>
        <v>6</v>
      </c>
      <c r="AN105" t="str">
        <f t="shared" si="40"/>
        <v>Neutral</v>
      </c>
      <c r="AO105" s="32">
        <f t="shared" si="41"/>
        <v>1</v>
      </c>
      <c r="AP105">
        <f>step3_validation[[#This Row],[AI_TRU2]]</f>
        <v>8</v>
      </c>
      <c r="AQ105" t="str">
        <f t="shared" si="42"/>
        <v>Support</v>
      </c>
      <c r="AR105">
        <f>survey_responses[[#This Row],[Tôi thấy mức thuế tôi phải đóng theo phương án mới là công bằng (người thu nhập như tôi đóng mức này là hợp lý). - HUMAN-TRU2]]</f>
        <v>7</v>
      </c>
      <c r="AS105" t="str">
        <f t="shared" si="43"/>
        <v>Neutral</v>
      </c>
      <c r="AT105" s="32">
        <f t="shared" si="44"/>
        <v>1</v>
      </c>
      <c r="AU105">
        <f>step3_validation[[#This Row],[AI_TRU3]]</f>
        <v>7</v>
      </c>
      <c r="AV105" t="str">
        <f t="shared" si="45"/>
        <v>Neutral</v>
      </c>
      <c r="AW105">
        <f>survey_responses[[#This Row],[Tôi tin tưởng số tiền thuế tôi đóng sẽ được Nhà nước sử dụng hiệu quả để cải thiện dịch vụ công (y tế, đường xá...). - HUMAN-TRU3]]</f>
        <v>6</v>
      </c>
      <c r="AX105" t="str">
        <f t="shared" si="46"/>
        <v>Neutral</v>
      </c>
      <c r="AY105" s="32">
        <f t="shared" si="47"/>
        <v>1</v>
      </c>
      <c r="AZ105">
        <f>step3_validation[[#This Row],[AI_TRU4]]</f>
        <v>6</v>
      </c>
      <c r="BA105" t="str">
        <f t="shared" si="48"/>
        <v>Neutral</v>
      </c>
      <c r="BB105">
        <f>survey_responses[[#This Row],[Tôi thấy Nhà nước đã giải thích rõ ràng, minh bạch về lý do và mục tiêu của việc sửa đổi thuế lần này. - HUMAN-TRU4]]</f>
        <v>6</v>
      </c>
      <c r="BC105" t="str">
        <f t="shared" si="49"/>
        <v>Neutral</v>
      </c>
      <c r="BD105" s="32">
        <f t="shared" si="50"/>
        <v>0</v>
      </c>
      <c r="BE105">
        <f>step3_validation[[#This Row],[AI_OUT1]]</f>
        <v>8</v>
      </c>
      <c r="BF105" t="str">
        <f t="shared" si="51"/>
        <v>Support</v>
      </c>
      <c r="BG105">
        <f>survey_responses[[#This Row],[Sau khi xem xét các quyền lợi và nghĩa vụ, bạn có ủng hộ và tuân thủ chính sách mới hiện nay? - HUMAN-OUT1]]</f>
        <v>7</v>
      </c>
      <c r="BH105" t="str">
        <f t="shared" si="52"/>
        <v>Neutral</v>
      </c>
      <c r="BI105" s="32">
        <f t="shared" si="53"/>
        <v>1</v>
      </c>
    </row>
    <row r="106" spans="1:61" x14ac:dyDescent="0.45">
      <c r="A106" s="30">
        <f>step3_validation[[#This Row],[Persona_ID]]</f>
        <v>105</v>
      </c>
      <c r="B106" s="31">
        <f>step3_validation[[#This Row],[Used_Seed]]</f>
        <v>12449</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14.730034307049822</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6</v>
      </c>
      <c r="R106" t="str">
        <f t="shared" si="27"/>
        <v>Neutral</v>
      </c>
      <c r="S106">
        <f>survey_responses[[#This Row],[Tôi tin rằng với các quy định quản lý thuế hiện nay, hành vi gian lận hoặc trốn thuế sẽ dễ dàng bị phát hiện và xử lý nghiêm. - HUMAN-ENF1]]</f>
        <v>9</v>
      </c>
      <c r="T106" t="str">
        <f t="shared" si="28"/>
        <v>Support</v>
      </c>
      <c r="U106" s="32">
        <f t="shared" si="29"/>
        <v>3</v>
      </c>
      <c r="V106">
        <f>step3_validation[[#This Row],[AI_ENF2]]</f>
        <v>7</v>
      </c>
      <c r="W106" t="str">
        <f t="shared" si="30"/>
        <v>Neutral</v>
      </c>
      <c r="X106">
        <f>survey_responses[[#This Row],[Tôi tin rằng Nhà nước, cơ quan thuế có đủ khả năng và công nghệ để phát hiện, xử lý nghiêm các hành vi trốn thuế. - HUMAN-ENF2]]</f>
        <v>10</v>
      </c>
      <c r="Y106" t="str">
        <f t="shared" si="31"/>
        <v>Support</v>
      </c>
      <c r="Z106" s="32">
        <f t="shared" si="32"/>
        <v>3</v>
      </c>
      <c r="AA106">
        <f>step3_validation[[#This Row],[AI_FAC1]]</f>
        <v>9</v>
      </c>
      <c r="AB106" t="str">
        <f t="shared" si="33"/>
        <v>Support</v>
      </c>
      <c r="AC106">
        <f>survey_responses[[#This Row],[Các thủ tục khai báo thuế VÀ/HOẶC quy trình làm việc với cơ quan thuế đơn giản, tiện lợi, nhanh chóng hơn so với trước đây. - HUMAN-FAC1]]</f>
        <v>8</v>
      </c>
      <c r="AD106" t="str">
        <f t="shared" si="34"/>
        <v>Support</v>
      </c>
      <c r="AE106" s="32">
        <f t="shared" si="35"/>
        <v>1</v>
      </c>
      <c r="AF106">
        <f>step3_validation[[#This Row],[AI_FAC2]]</f>
        <v>8</v>
      </c>
      <c r="AG106" t="str">
        <f t="shared" si="36"/>
        <v>Support</v>
      </c>
      <c r="AH106">
        <f>survey_responses[[#This Row],[So với trước đây, tôi thấy cách tính thuế và các bậc thuế trong phương án mới đơn giản, dễ hiểu và dễ thực hiện hơn. - HUMAN-FAC2]]</f>
        <v>8</v>
      </c>
      <c r="AI106" t="str">
        <f t="shared" si="37"/>
        <v>Support</v>
      </c>
      <c r="AJ106" s="32">
        <f t="shared" si="38"/>
        <v>0</v>
      </c>
      <c r="AK106">
        <f>step3_validation[[#This Row],[AI_TRU1]]</f>
        <v>9</v>
      </c>
      <c r="AL106" t="str">
        <f t="shared" si="39"/>
        <v>Support</v>
      </c>
      <c r="AM106">
        <f>survey_responses[[#This Row],[Tôi tin rằng Nhà nước, cơ quan thuế sẽ thực thi chính sách mới một cách khách quan, công tâm và đối xử bình đẳng với mọi người nộp thuế.  - HUMAN-TRU1]]</f>
        <v>9</v>
      </c>
      <c r="AN106" t="str">
        <f t="shared" si="40"/>
        <v>Support</v>
      </c>
      <c r="AO106" s="32">
        <f t="shared" si="41"/>
        <v>0</v>
      </c>
      <c r="AP106">
        <f>step3_validation[[#This Row],[AI_TRU2]]</f>
        <v>8</v>
      </c>
      <c r="AQ106" t="str">
        <f t="shared" si="42"/>
        <v>Support</v>
      </c>
      <c r="AR106">
        <f>survey_responses[[#This Row],[Tôi thấy mức thuế tôi phải đóng theo phương án mới là công bằng (người thu nhập như tôi đóng mức này là hợp lý). - HUMAN-TRU2]]</f>
        <v>9</v>
      </c>
      <c r="AS106" t="str">
        <f t="shared" si="43"/>
        <v>Support</v>
      </c>
      <c r="AT106" s="32">
        <f t="shared" si="44"/>
        <v>1</v>
      </c>
      <c r="AU106">
        <f>step3_validation[[#This Row],[AI_TRU3]]</f>
        <v>7</v>
      </c>
      <c r="AV106" t="str">
        <f t="shared" si="45"/>
        <v>Neutral</v>
      </c>
      <c r="AW106">
        <f>survey_responses[[#This Row],[Tôi tin tưởng số tiền thuế tôi đóng sẽ được Nhà nước sử dụng hiệu quả để cải thiện dịch vụ công (y tế, đường xá...). - HUMAN-TRU3]]</f>
        <v>8</v>
      </c>
      <c r="AX106" t="str">
        <f t="shared" si="46"/>
        <v>Support</v>
      </c>
      <c r="AY106" s="32">
        <f t="shared" si="47"/>
        <v>1</v>
      </c>
      <c r="AZ106">
        <f>step3_validation[[#This Row],[AI_TRU4]]</f>
        <v>8</v>
      </c>
      <c r="BA106" t="str">
        <f t="shared" si="48"/>
        <v>Support</v>
      </c>
      <c r="BB106">
        <f>survey_responses[[#This Row],[Tôi thấy Nhà nước đã giải thích rõ ràng, minh bạch về lý do và mục tiêu của việc sửa đổi thuế lần này. - HUMAN-TRU4]]</f>
        <v>6</v>
      </c>
      <c r="BC106" t="str">
        <f t="shared" si="49"/>
        <v>Neutral</v>
      </c>
      <c r="BD106" s="32">
        <f t="shared" si="50"/>
        <v>2</v>
      </c>
      <c r="BE106">
        <f>step3_validation[[#This Row],[AI_OUT1]]</f>
        <v>9</v>
      </c>
      <c r="BF106" t="str">
        <f t="shared" si="51"/>
        <v>Support</v>
      </c>
      <c r="BG106">
        <f>survey_responses[[#This Row],[Sau khi xem xét các quyền lợi và nghĩa vụ, bạn có ủng hộ và tuân thủ chính sách mới hiện nay? - HUMAN-OUT1]]</f>
        <v>9</v>
      </c>
      <c r="BH106" t="str">
        <f t="shared" si="52"/>
        <v>Support</v>
      </c>
      <c r="BI106" s="32">
        <f t="shared" si="53"/>
        <v>0</v>
      </c>
    </row>
    <row r="107" spans="1:61" x14ac:dyDescent="0.45">
      <c r="A107" s="30">
        <f>step3_validation[[#This Row],[Persona_ID]]</f>
        <v>106</v>
      </c>
      <c r="B107" s="31">
        <f>step3_validation[[#This Row],[Used_Seed]]</f>
        <v>12450</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6</v>
      </c>
      <c r="R107" t="str">
        <f t="shared" si="27"/>
        <v>Neutral</v>
      </c>
      <c r="S107">
        <f>survey_responses[[#This Row],[Tôi tin rằng với các quy định quản lý thuế hiện nay, hành vi gian lận hoặc trốn thuế sẽ dễ dàng bị phát hiện và xử lý nghiêm. - HUMAN-ENF1]]</f>
        <v>10</v>
      </c>
      <c r="T107" t="str">
        <f t="shared" si="28"/>
        <v>Support</v>
      </c>
      <c r="U107" s="32">
        <f t="shared" si="29"/>
        <v>4</v>
      </c>
      <c r="V107">
        <f>step3_validation[[#This Row],[AI_ENF2]]</f>
        <v>8</v>
      </c>
      <c r="W107" t="str">
        <f t="shared" si="30"/>
        <v>Support</v>
      </c>
      <c r="X107">
        <f>survey_responses[[#This Row],[Tôi tin rằng Nhà nước, cơ quan thuế có đủ khả năng và công nghệ để phát hiện, xử lý nghiêm các hành vi trốn thuế. - HUMAN-ENF2]]</f>
        <v>5</v>
      </c>
      <c r="Y107" t="str">
        <f t="shared" si="31"/>
        <v>Neutral</v>
      </c>
      <c r="Z107" s="32">
        <f t="shared" si="32"/>
        <v>3</v>
      </c>
      <c r="AA107">
        <f>step3_validation[[#This Row],[AI_FAC1]]</f>
        <v>7</v>
      </c>
      <c r="AB107" t="str">
        <f t="shared" si="33"/>
        <v>Neutral</v>
      </c>
      <c r="AC107">
        <f>survey_responses[[#This Row],[Các thủ tục khai báo thuế VÀ/HOẶC quy trình làm việc với cơ quan thuế đơn giản, tiện lợi, nhanh chóng hơn so với trước đây. - HUMAN-FAC1]]</f>
        <v>8</v>
      </c>
      <c r="AD107" t="str">
        <f t="shared" si="34"/>
        <v>Support</v>
      </c>
      <c r="AE107" s="32">
        <f t="shared" si="35"/>
        <v>1</v>
      </c>
      <c r="AF107">
        <f>step3_validation[[#This Row],[AI_FAC2]]</f>
        <v>9</v>
      </c>
      <c r="AG107" t="str">
        <f t="shared" si="36"/>
        <v>Support</v>
      </c>
      <c r="AH107">
        <f>survey_responses[[#This Row],[So với trước đây, tôi thấy cách tính thuế và các bậc thuế trong phương án mới đơn giản, dễ hiểu và dễ thực hiện hơn. - HUMAN-FAC2]]</f>
        <v>8</v>
      </c>
      <c r="AI107" t="str">
        <f t="shared" si="37"/>
        <v>Support</v>
      </c>
      <c r="AJ107" s="32">
        <f t="shared" si="38"/>
        <v>1</v>
      </c>
      <c r="AK107">
        <f>step3_validation[[#This Row],[AI_TRU1]]</f>
        <v>7</v>
      </c>
      <c r="AL107" t="str">
        <f t="shared" si="39"/>
        <v>Neutral</v>
      </c>
      <c r="AM107">
        <f>survey_responses[[#This Row],[Tôi tin rằng Nhà nước, cơ quan thuế sẽ thực thi chính sách mới một cách khách quan, công tâm và đối xử bình đẳng với mọi người nộp thuế.  - HUMAN-TRU1]]</f>
        <v>10</v>
      </c>
      <c r="AN107" t="str">
        <f t="shared" si="40"/>
        <v>Support</v>
      </c>
      <c r="AO107" s="32">
        <f t="shared" si="41"/>
        <v>3</v>
      </c>
      <c r="AP107">
        <f>step3_validation[[#This Row],[AI_TRU2]]</f>
        <v>8</v>
      </c>
      <c r="AQ107" t="str">
        <f t="shared" si="42"/>
        <v>Support</v>
      </c>
      <c r="AR107">
        <f>survey_responses[[#This Row],[Tôi thấy mức thuế tôi phải đóng theo phương án mới là công bằng (người thu nhập như tôi đóng mức này là hợp lý). - HUMAN-TRU2]]</f>
        <v>10</v>
      </c>
      <c r="AS107" t="str">
        <f t="shared" si="43"/>
        <v>Support</v>
      </c>
      <c r="AT107" s="32">
        <f t="shared" si="44"/>
        <v>2</v>
      </c>
      <c r="AU107">
        <f>step3_validation[[#This Row],[AI_TRU3]]</f>
        <v>7</v>
      </c>
      <c r="AV107" t="str">
        <f t="shared" si="45"/>
        <v>Neutral</v>
      </c>
      <c r="AW107">
        <f>survey_responses[[#This Row],[Tôi tin tưởng số tiền thuế tôi đóng sẽ được Nhà nước sử dụng hiệu quả để cải thiện dịch vụ công (y tế, đường xá...). - HUMAN-TRU3]]</f>
        <v>10</v>
      </c>
      <c r="AX107" t="str">
        <f t="shared" si="46"/>
        <v>Support</v>
      </c>
      <c r="AY107" s="32">
        <f t="shared" si="47"/>
        <v>3</v>
      </c>
      <c r="AZ107">
        <f>step3_validation[[#This Row],[AI_TRU4]]</f>
        <v>8</v>
      </c>
      <c r="BA107" t="str">
        <f t="shared" si="48"/>
        <v>Support</v>
      </c>
      <c r="BB107">
        <f>survey_responses[[#This Row],[Tôi thấy Nhà nước đã giải thích rõ ràng, minh bạch về lý do và mục tiêu của việc sửa đổi thuế lần này. - HUMAN-TRU4]]</f>
        <v>10</v>
      </c>
      <c r="BC107" t="str">
        <f t="shared" si="49"/>
        <v>Support</v>
      </c>
      <c r="BD107" s="32">
        <f t="shared" si="50"/>
        <v>2</v>
      </c>
      <c r="BE107">
        <f>step3_validation[[#This Row],[AI_OUT1]]</f>
        <v>9</v>
      </c>
      <c r="BF107" t="str">
        <f t="shared" si="51"/>
        <v>Support</v>
      </c>
      <c r="BG107">
        <f>survey_responses[[#This Row],[Sau khi xem xét các quyền lợi và nghĩa vụ, bạn có ủng hộ và tuân thủ chính sách mới hiện nay? - HUMAN-OUT1]]</f>
        <v>10</v>
      </c>
      <c r="BH107" t="str">
        <f t="shared" si="52"/>
        <v>Support</v>
      </c>
      <c r="BI107" s="32">
        <f t="shared" si="53"/>
        <v>1</v>
      </c>
    </row>
    <row r="108" spans="1:61" x14ac:dyDescent="0.45">
      <c r="A108" s="30">
        <f>step3_validation[[#This Row],[Persona_ID]]</f>
        <v>107</v>
      </c>
      <c r="B108" s="31">
        <f>step3_validation[[#This Row],[Used_Seed]]</f>
        <v>12451</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28.517515336086191</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6</v>
      </c>
      <c r="R108" t="str">
        <f t="shared" si="27"/>
        <v>Neutral</v>
      </c>
      <c r="S108">
        <f>survey_responses[[#This Row],[Tôi tin rằng với các quy định quản lý thuế hiện nay, hành vi gian lận hoặc trốn thuế sẽ dễ dàng bị phát hiện và xử lý nghiêm. - HUMAN-ENF1]]</f>
        <v>7</v>
      </c>
      <c r="T108" t="str">
        <f t="shared" si="28"/>
        <v>Neutral</v>
      </c>
      <c r="U108" s="32">
        <f t="shared" si="29"/>
        <v>1</v>
      </c>
      <c r="V108">
        <f>step3_validation[[#This Row],[AI_ENF2]]</f>
        <v>7</v>
      </c>
      <c r="W108" t="str">
        <f t="shared" si="30"/>
        <v>Neutral</v>
      </c>
      <c r="X108">
        <f>survey_responses[[#This Row],[Tôi tin rằng Nhà nước, cơ quan thuế có đủ khả năng và công nghệ để phát hiện, xử lý nghiêm các hành vi trốn thuế. - HUMAN-ENF2]]</f>
        <v>7</v>
      </c>
      <c r="Y108" t="str">
        <f t="shared" si="31"/>
        <v>Neutral</v>
      </c>
      <c r="Z108" s="32">
        <f t="shared" si="32"/>
        <v>0</v>
      </c>
      <c r="AA108">
        <f>step3_validation[[#This Row],[AI_FAC1]]</f>
        <v>5</v>
      </c>
      <c r="AB108" t="str">
        <f t="shared" si="33"/>
        <v>Neutral</v>
      </c>
      <c r="AC108">
        <f>survey_responses[[#This Row],[Các thủ tục khai báo thuế VÀ/HOẶC quy trình làm việc với cơ quan thuế đơn giản, tiện lợi, nhanh chóng hơn so với trước đây. - HUMAN-FAC1]]</f>
        <v>7</v>
      </c>
      <c r="AD108" t="str">
        <f t="shared" si="34"/>
        <v>Neutral</v>
      </c>
      <c r="AE108" s="32">
        <f t="shared" si="35"/>
        <v>2</v>
      </c>
      <c r="AF108">
        <f>step3_validation[[#This Row],[AI_FAC2]]</f>
        <v>8</v>
      </c>
      <c r="AG108" t="str">
        <f t="shared" si="36"/>
        <v>Support</v>
      </c>
      <c r="AH108">
        <f>survey_responses[[#This Row],[So với trước đây, tôi thấy cách tính thuế và các bậc thuế trong phương án mới đơn giản, dễ hiểu và dễ thực hiện hơn. - HUMAN-FAC2]]</f>
        <v>7</v>
      </c>
      <c r="AI108" t="str">
        <f t="shared" si="37"/>
        <v>Neutral</v>
      </c>
      <c r="AJ108" s="32">
        <f t="shared" si="38"/>
        <v>1</v>
      </c>
      <c r="AK108">
        <f>step3_validation[[#This Row],[AI_TRU1]]</f>
        <v>3</v>
      </c>
      <c r="AL108" t="str">
        <f t="shared" si="39"/>
        <v>Oppose</v>
      </c>
      <c r="AM108">
        <f>survey_responses[[#This Row],[Tôi tin rằng Nhà nước, cơ quan thuế sẽ thực thi chính sách mới một cách khách quan, công tâm và đối xử bình đẳng với mọi người nộp thuế.  - HUMAN-TRU1]]</f>
        <v>7</v>
      </c>
      <c r="AN108" t="str">
        <f t="shared" si="40"/>
        <v>Neutral</v>
      </c>
      <c r="AO108" s="32">
        <f t="shared" si="41"/>
        <v>4</v>
      </c>
      <c r="AP108">
        <f>step3_validation[[#This Row],[AI_TRU2]]</f>
        <v>8</v>
      </c>
      <c r="AQ108" t="str">
        <f t="shared" si="42"/>
        <v>Support</v>
      </c>
      <c r="AR108">
        <f>survey_responses[[#This Row],[Tôi thấy mức thuế tôi phải đóng theo phương án mới là công bằng (người thu nhập như tôi đóng mức này là hợp lý). - HUMAN-TRU2]]</f>
        <v>7</v>
      </c>
      <c r="AS108" t="str">
        <f t="shared" si="43"/>
        <v>Neutral</v>
      </c>
      <c r="AT108" s="32">
        <f t="shared" si="44"/>
        <v>1</v>
      </c>
      <c r="AU108">
        <f>step3_validation[[#This Row],[AI_TRU3]]</f>
        <v>4</v>
      </c>
      <c r="AV108" t="str">
        <f t="shared" si="45"/>
        <v>Oppose</v>
      </c>
      <c r="AW108">
        <f>survey_responses[[#This Row],[Tôi tin tưởng số tiền thuế tôi đóng sẽ được Nhà nước sử dụng hiệu quả để cải thiện dịch vụ công (y tế, đường xá...). - HUMAN-TRU3]]</f>
        <v>7</v>
      </c>
      <c r="AX108" t="str">
        <f t="shared" si="46"/>
        <v>Neutral</v>
      </c>
      <c r="AY108" s="32">
        <f t="shared" si="47"/>
        <v>3</v>
      </c>
      <c r="AZ108">
        <f>step3_validation[[#This Row],[AI_TRU4]]</f>
        <v>7</v>
      </c>
      <c r="BA108" t="str">
        <f t="shared" si="48"/>
        <v>Neutral</v>
      </c>
      <c r="BB108">
        <f>survey_responses[[#This Row],[Tôi thấy Nhà nước đã giải thích rõ ràng, minh bạch về lý do và mục tiêu của việc sửa đổi thuế lần này. - HUMAN-TRU4]]</f>
        <v>7</v>
      </c>
      <c r="BC108" t="str">
        <f t="shared" si="49"/>
        <v>Neutral</v>
      </c>
      <c r="BD108" s="32">
        <f t="shared" si="50"/>
        <v>0</v>
      </c>
      <c r="BE108">
        <f>step3_validation[[#This Row],[AI_OUT1]]</f>
        <v>9</v>
      </c>
      <c r="BF108" t="str">
        <f t="shared" si="51"/>
        <v>Support</v>
      </c>
      <c r="BG108">
        <f>survey_responses[[#This Row],[Sau khi xem xét các quyền lợi và nghĩa vụ, bạn có ủng hộ và tuân thủ chính sách mới hiện nay? - HUMAN-OUT1]]</f>
        <v>8</v>
      </c>
      <c r="BH108" t="str">
        <f t="shared" si="52"/>
        <v>Support</v>
      </c>
      <c r="BI108" s="32">
        <f t="shared" si="53"/>
        <v>1</v>
      </c>
    </row>
    <row r="109" spans="1:61" x14ac:dyDescent="0.45">
      <c r="A109" s="30">
        <f>step3_validation[[#This Row],[Persona_ID]]</f>
        <v>108</v>
      </c>
      <c r="B109" s="31">
        <f>step3_validation[[#This Row],[Used_Seed]]</f>
        <v>12452</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16.635438384955165</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8</v>
      </c>
      <c r="R109" t="str">
        <f t="shared" si="27"/>
        <v>Support</v>
      </c>
      <c r="S109">
        <f>survey_responses[[#This Row],[Tôi tin rằng với các quy định quản lý thuế hiện nay, hành vi gian lận hoặc trốn thuế sẽ dễ dàng bị phát hiện và xử lý nghiêm. - HUMAN-ENF1]]</f>
        <v>5</v>
      </c>
      <c r="T109" t="str">
        <f t="shared" si="28"/>
        <v>Neutral</v>
      </c>
      <c r="U109" s="32">
        <f t="shared" si="29"/>
        <v>3</v>
      </c>
      <c r="V109">
        <f>step3_validation[[#This Row],[AI_ENF2]]</f>
        <v>7</v>
      </c>
      <c r="W109" t="str">
        <f t="shared" si="30"/>
        <v>Neutral</v>
      </c>
      <c r="X109">
        <f>survey_responses[[#This Row],[Tôi tin rằng Nhà nước, cơ quan thuế có đủ khả năng và công nghệ để phát hiện, xử lý nghiêm các hành vi trốn thuế. - HUMAN-ENF2]]</f>
        <v>10</v>
      </c>
      <c r="Y109" t="str">
        <f t="shared" si="31"/>
        <v>Support</v>
      </c>
      <c r="Z109" s="32">
        <f t="shared" si="32"/>
        <v>3</v>
      </c>
      <c r="AA109">
        <f>step3_validation[[#This Row],[AI_FAC1]]</f>
        <v>9</v>
      </c>
      <c r="AB109" t="str">
        <f t="shared" si="33"/>
        <v>Support</v>
      </c>
      <c r="AC109">
        <f>survey_responses[[#This Row],[Các thủ tục khai báo thuế VÀ/HOẶC quy trình làm việc với cơ quan thuế đơn giản, tiện lợi, nhanh chóng hơn so với trước đây. - HUMAN-FAC1]]</f>
        <v>5</v>
      </c>
      <c r="AD109" t="str">
        <f t="shared" si="34"/>
        <v>Neutral</v>
      </c>
      <c r="AE109" s="32">
        <f t="shared" si="35"/>
        <v>4</v>
      </c>
      <c r="AF109">
        <f>step3_validation[[#This Row],[AI_FAC2]]</f>
        <v>8</v>
      </c>
      <c r="AG109" t="str">
        <f t="shared" si="36"/>
        <v>Support</v>
      </c>
      <c r="AH109">
        <f>survey_responses[[#This Row],[So với trước đây, tôi thấy cách tính thuế và các bậc thuế trong phương án mới đơn giản, dễ hiểu và dễ thực hiện hơn. - HUMAN-FAC2]]</f>
        <v>5</v>
      </c>
      <c r="AI109" t="str">
        <f t="shared" si="37"/>
        <v>Neutral</v>
      </c>
      <c r="AJ109" s="32">
        <f t="shared" si="38"/>
        <v>3</v>
      </c>
      <c r="AK109">
        <f>step3_validation[[#This Row],[AI_TRU1]]</f>
        <v>9</v>
      </c>
      <c r="AL109" t="str">
        <f t="shared" si="39"/>
        <v>Support</v>
      </c>
      <c r="AM109">
        <f>survey_responses[[#This Row],[Tôi tin rằng Nhà nước, cơ quan thuế sẽ thực thi chính sách mới một cách khách quan, công tâm và đối xử bình đẳng với mọi người nộp thuế.  - HUMAN-TRU1]]</f>
        <v>5</v>
      </c>
      <c r="AN109" t="str">
        <f t="shared" si="40"/>
        <v>Neutral</v>
      </c>
      <c r="AO109" s="32">
        <f t="shared" si="41"/>
        <v>4</v>
      </c>
      <c r="AP109">
        <f>step3_validation[[#This Row],[AI_TRU2]]</f>
        <v>8</v>
      </c>
      <c r="AQ109" t="str">
        <f t="shared" si="42"/>
        <v>Support</v>
      </c>
      <c r="AR109">
        <f>survey_responses[[#This Row],[Tôi thấy mức thuế tôi phải đóng theo phương án mới là công bằng (người thu nhập như tôi đóng mức này là hợp lý). - HUMAN-TRU2]]</f>
        <v>5</v>
      </c>
      <c r="AS109" t="str">
        <f t="shared" si="43"/>
        <v>Neutral</v>
      </c>
      <c r="AT109" s="32">
        <f t="shared" si="44"/>
        <v>3</v>
      </c>
      <c r="AU109">
        <f>step3_validation[[#This Row],[AI_TRU3]]</f>
        <v>7</v>
      </c>
      <c r="AV109" t="str">
        <f t="shared" si="45"/>
        <v>Neutral</v>
      </c>
      <c r="AW109">
        <f>survey_responses[[#This Row],[Tôi tin tưởng số tiền thuế tôi đóng sẽ được Nhà nước sử dụng hiệu quả để cải thiện dịch vụ công (y tế, đường xá...). - HUMAN-TRU3]]</f>
        <v>8</v>
      </c>
      <c r="AX109" t="str">
        <f t="shared" si="46"/>
        <v>Support</v>
      </c>
      <c r="AY109" s="32">
        <f t="shared" si="47"/>
        <v>1</v>
      </c>
      <c r="AZ109">
        <f>step3_validation[[#This Row],[AI_TRU4]]</f>
        <v>6</v>
      </c>
      <c r="BA109" t="str">
        <f t="shared" si="48"/>
        <v>Neutral</v>
      </c>
      <c r="BB109">
        <f>survey_responses[[#This Row],[Tôi thấy Nhà nước đã giải thích rõ ràng, minh bạch về lý do và mục tiêu của việc sửa đổi thuế lần này. - HUMAN-TRU4]]</f>
        <v>5</v>
      </c>
      <c r="BC109" t="str">
        <f t="shared" si="49"/>
        <v>Neutral</v>
      </c>
      <c r="BD109" s="32">
        <f t="shared" si="50"/>
        <v>1</v>
      </c>
      <c r="BE109">
        <f>step3_validation[[#This Row],[AI_OUT1]]</f>
        <v>9</v>
      </c>
      <c r="BF109" t="str">
        <f t="shared" si="51"/>
        <v>Support</v>
      </c>
      <c r="BG109">
        <f>survey_responses[[#This Row],[Sau khi xem xét các quyền lợi và nghĩa vụ, bạn có ủng hộ và tuân thủ chính sách mới hiện nay? - HUMAN-OUT1]]</f>
        <v>6</v>
      </c>
      <c r="BH109" t="str">
        <f t="shared" si="52"/>
        <v>Neutral</v>
      </c>
      <c r="BI109" s="32">
        <f t="shared" si="53"/>
        <v>3</v>
      </c>
    </row>
    <row r="110" spans="1:61" x14ac:dyDescent="0.45">
      <c r="A110" s="30">
        <f>step3_validation[[#This Row],[Persona_ID]]</f>
        <v>109</v>
      </c>
      <c r="B110" s="31">
        <f>step3_validation[[#This Row],[Used_Seed]]</f>
        <v>12453</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14.883680992411993</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5</v>
      </c>
      <c r="R110" t="str">
        <f t="shared" si="27"/>
        <v>Neutral</v>
      </c>
      <c r="S110">
        <f>survey_responses[[#This Row],[Tôi tin rằng với các quy định quản lý thuế hiện nay, hành vi gian lận hoặc trốn thuế sẽ dễ dàng bị phát hiện và xử lý nghiêm. - HUMAN-ENF1]]</f>
        <v>10</v>
      </c>
      <c r="T110" t="str">
        <f t="shared" si="28"/>
        <v>Support</v>
      </c>
      <c r="U110" s="32">
        <f t="shared" si="29"/>
        <v>5</v>
      </c>
      <c r="V110">
        <f>step3_validation[[#This Row],[AI_ENF2]]</f>
        <v>6</v>
      </c>
      <c r="W110" t="str">
        <f t="shared" si="30"/>
        <v>Neutral</v>
      </c>
      <c r="X110">
        <f>survey_responses[[#This Row],[Tôi tin rằng Nhà nước, cơ quan thuế có đủ khả năng và công nghệ để phát hiện, xử lý nghiêm các hành vi trốn thuế. - HUMAN-ENF2]]</f>
        <v>10</v>
      </c>
      <c r="Y110" t="str">
        <f t="shared" si="31"/>
        <v>Support</v>
      </c>
      <c r="Z110" s="32">
        <f t="shared" si="32"/>
        <v>4</v>
      </c>
      <c r="AA110">
        <f>step3_validation[[#This Row],[AI_FAC1]]</f>
        <v>7</v>
      </c>
      <c r="AB110" t="str">
        <f t="shared" si="33"/>
        <v>Neutral</v>
      </c>
      <c r="AC110">
        <f>survey_responses[[#This Row],[Các thủ tục khai báo thuế VÀ/HOẶC quy trình làm việc với cơ quan thuế đơn giản, tiện lợi, nhanh chóng hơn so với trước đây. - HUMAN-FAC1]]</f>
        <v>10</v>
      </c>
      <c r="AD110" t="str">
        <f t="shared" si="34"/>
        <v>Support</v>
      </c>
      <c r="AE110" s="32">
        <f t="shared" si="35"/>
        <v>3</v>
      </c>
      <c r="AF110">
        <f>step3_validation[[#This Row],[AI_FAC2]]</f>
        <v>8</v>
      </c>
      <c r="AG110" t="str">
        <f t="shared" si="36"/>
        <v>Support</v>
      </c>
      <c r="AH110">
        <f>survey_responses[[#This Row],[So với trước đây, tôi thấy cách tính thuế và các bậc thuế trong phương án mới đơn giản, dễ hiểu và dễ thực hiện hơn. - HUMAN-FAC2]]</f>
        <v>10</v>
      </c>
      <c r="AI110" t="str">
        <f t="shared" si="37"/>
        <v>Support</v>
      </c>
      <c r="AJ110" s="32">
        <f t="shared" si="38"/>
        <v>2</v>
      </c>
      <c r="AK110">
        <f>step3_validation[[#This Row],[AI_TRU1]]</f>
        <v>7</v>
      </c>
      <c r="AL110" t="str">
        <f t="shared" si="39"/>
        <v>Neutral</v>
      </c>
      <c r="AM110">
        <f>survey_responses[[#This Row],[Tôi tin rằng Nhà nước, cơ quan thuế sẽ thực thi chính sách mới một cách khách quan, công tâm và đối xử bình đẳng với mọi người nộp thuế.  - HUMAN-TRU1]]</f>
        <v>10</v>
      </c>
      <c r="AN110" t="str">
        <f t="shared" si="40"/>
        <v>Support</v>
      </c>
      <c r="AO110" s="32">
        <f t="shared" si="41"/>
        <v>3</v>
      </c>
      <c r="AP110">
        <f>step3_validation[[#This Row],[AI_TRU2]]</f>
        <v>6</v>
      </c>
      <c r="AQ110" t="str">
        <f t="shared" si="42"/>
        <v>Neutral</v>
      </c>
      <c r="AR110">
        <f>survey_responses[[#This Row],[Tôi thấy mức thuế tôi phải đóng theo phương án mới là công bằng (người thu nhập như tôi đóng mức này là hợp lý). - HUMAN-TRU2]]</f>
        <v>10</v>
      </c>
      <c r="AS110" t="str">
        <f t="shared" si="43"/>
        <v>Support</v>
      </c>
      <c r="AT110" s="32">
        <f t="shared" si="44"/>
        <v>4</v>
      </c>
      <c r="AU110">
        <f>step3_validation[[#This Row],[AI_TRU3]]</f>
        <v>7</v>
      </c>
      <c r="AV110" t="str">
        <f t="shared" si="45"/>
        <v>Neutral</v>
      </c>
      <c r="AW110">
        <f>survey_responses[[#This Row],[Tôi tin tưởng số tiền thuế tôi đóng sẽ được Nhà nước sử dụng hiệu quả để cải thiện dịch vụ công (y tế, đường xá...). - HUMAN-TRU3]]</f>
        <v>10</v>
      </c>
      <c r="AX110" t="str">
        <f t="shared" si="46"/>
        <v>Support</v>
      </c>
      <c r="AY110" s="32">
        <f t="shared" si="47"/>
        <v>3</v>
      </c>
      <c r="AZ110">
        <f>step3_validation[[#This Row],[AI_TRU4]]</f>
        <v>6</v>
      </c>
      <c r="BA110" t="str">
        <f t="shared" si="48"/>
        <v>Neutral</v>
      </c>
      <c r="BB110">
        <f>survey_responses[[#This Row],[Tôi thấy Nhà nước đã giải thích rõ ràng, minh bạch về lý do và mục tiêu của việc sửa đổi thuế lần này. - HUMAN-TRU4]]</f>
        <v>10</v>
      </c>
      <c r="BC110" t="str">
        <f t="shared" si="49"/>
        <v>Support</v>
      </c>
      <c r="BD110" s="32">
        <f t="shared" si="50"/>
        <v>4</v>
      </c>
      <c r="BE110">
        <f>step3_validation[[#This Row],[AI_OUT1]]</f>
        <v>8</v>
      </c>
      <c r="BF110" t="str">
        <f t="shared" si="51"/>
        <v>Support</v>
      </c>
      <c r="BG110">
        <f>survey_responses[[#This Row],[Sau khi xem xét các quyền lợi và nghĩa vụ, bạn có ủng hộ và tuân thủ chính sách mới hiện nay? - HUMAN-OUT1]]</f>
        <v>10</v>
      </c>
      <c r="BH110" t="str">
        <f t="shared" si="52"/>
        <v>Support</v>
      </c>
      <c r="BI110" s="32">
        <f t="shared" si="53"/>
        <v>2</v>
      </c>
    </row>
    <row r="111" spans="1:61" x14ac:dyDescent="0.45">
      <c r="A111" s="30">
        <f>step3_validation[[#This Row],[Persona_ID]]</f>
        <v>110</v>
      </c>
      <c r="B111" s="31">
        <f>step3_validation[[#This Row],[Used_Seed]]</f>
        <v>12454</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58.525058070727127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8</v>
      </c>
      <c r="R111" t="str">
        <f t="shared" si="27"/>
        <v>Support</v>
      </c>
      <c r="S111">
        <f>survey_responses[[#This Row],[Tôi tin rằng với các quy định quản lý thuế hiện nay, hành vi gian lận hoặc trốn thuế sẽ dễ dàng bị phát hiện và xử lý nghiêm. - HUMAN-ENF1]]</f>
        <v>7</v>
      </c>
      <c r="T111" t="str">
        <f t="shared" si="28"/>
        <v>Neutral</v>
      </c>
      <c r="U111" s="32">
        <f t="shared" si="29"/>
        <v>1</v>
      </c>
      <c r="V111">
        <f>step3_validation[[#This Row],[AI_ENF2]]</f>
        <v>8</v>
      </c>
      <c r="W111" t="str">
        <f t="shared" si="30"/>
        <v>Support</v>
      </c>
      <c r="X111">
        <f>survey_responses[[#This Row],[Tôi tin rằng Nhà nước, cơ quan thuế có đủ khả năng và công nghệ để phát hiện, xử lý nghiêm các hành vi trốn thuế. - HUMAN-ENF2]]</f>
        <v>6</v>
      </c>
      <c r="Y111" t="str">
        <f t="shared" si="31"/>
        <v>Neutral</v>
      </c>
      <c r="Z111" s="32">
        <f t="shared" si="32"/>
        <v>2</v>
      </c>
      <c r="AA111">
        <f>step3_validation[[#This Row],[AI_FAC1]]</f>
        <v>9</v>
      </c>
      <c r="AB111" t="str">
        <f t="shared" si="33"/>
        <v>Support</v>
      </c>
      <c r="AC111">
        <f>survey_responses[[#This Row],[Các thủ tục khai báo thuế VÀ/HOẶC quy trình làm việc với cơ quan thuế đơn giản, tiện lợi, nhanh chóng hơn so với trước đây. - HUMAN-FAC1]]</f>
        <v>8</v>
      </c>
      <c r="AD111" t="str">
        <f t="shared" si="34"/>
        <v>Support</v>
      </c>
      <c r="AE111" s="32">
        <f t="shared" si="35"/>
        <v>1</v>
      </c>
      <c r="AF111">
        <f>step3_validation[[#This Row],[AI_FAC2]]</f>
        <v>7</v>
      </c>
      <c r="AG111" t="str">
        <f t="shared" si="36"/>
        <v>Neutral</v>
      </c>
      <c r="AH111">
        <f>survey_responses[[#This Row],[So với trước đây, tôi thấy cách tính thuế và các bậc thuế trong phương án mới đơn giản, dễ hiểu và dễ thực hiện hơn. - HUMAN-FAC2]]</f>
        <v>8</v>
      </c>
      <c r="AI111" t="str">
        <f t="shared" si="37"/>
        <v>Support</v>
      </c>
      <c r="AJ111" s="32">
        <f t="shared" si="38"/>
        <v>1</v>
      </c>
      <c r="AK111">
        <f>step3_validation[[#This Row],[AI_TRU1]]</f>
        <v>9</v>
      </c>
      <c r="AL111" t="str">
        <f t="shared" si="39"/>
        <v>Support</v>
      </c>
      <c r="AM111">
        <f>survey_responses[[#This Row],[Tôi tin rằng Nhà nước, cơ quan thuế sẽ thực thi chính sách mới một cách khách quan, công tâm và đối xử bình đẳng với mọi người nộp thuế.  - HUMAN-TRU1]]</f>
        <v>7</v>
      </c>
      <c r="AN111" t="str">
        <f t="shared" si="40"/>
        <v>Neutral</v>
      </c>
      <c r="AO111" s="32">
        <f t="shared" si="41"/>
        <v>2</v>
      </c>
      <c r="AP111">
        <f>step3_validation[[#This Row],[AI_TRU2]]</f>
        <v>9</v>
      </c>
      <c r="AQ111" t="str">
        <f t="shared" si="42"/>
        <v>Support</v>
      </c>
      <c r="AR111">
        <f>survey_responses[[#This Row],[Tôi thấy mức thuế tôi phải đóng theo phương án mới là công bằng (người thu nhập như tôi đóng mức này là hợp lý). - HUMAN-TRU2]]</f>
        <v>6</v>
      </c>
      <c r="AS111" t="str">
        <f t="shared" si="43"/>
        <v>Neutral</v>
      </c>
      <c r="AT111" s="32">
        <f t="shared" si="44"/>
        <v>3</v>
      </c>
      <c r="AU111">
        <f>step3_validation[[#This Row],[AI_TRU3]]</f>
        <v>9</v>
      </c>
      <c r="AV111" t="str">
        <f t="shared" si="45"/>
        <v>Support</v>
      </c>
      <c r="AW111">
        <f>survey_responses[[#This Row],[Tôi tin tưởng số tiền thuế tôi đóng sẽ được Nhà nước sử dụng hiệu quả để cải thiện dịch vụ công (y tế, đường xá...). - HUMAN-TRU3]]</f>
        <v>5</v>
      </c>
      <c r="AX111" t="str">
        <f t="shared" si="46"/>
        <v>Neutral</v>
      </c>
      <c r="AY111" s="32">
        <f t="shared" si="47"/>
        <v>4</v>
      </c>
      <c r="AZ111">
        <f>step3_validation[[#This Row],[AI_TRU4]]</f>
        <v>8</v>
      </c>
      <c r="BA111" t="str">
        <f t="shared" si="48"/>
        <v>Support</v>
      </c>
      <c r="BB111">
        <f>survey_responses[[#This Row],[Tôi thấy Nhà nước đã giải thích rõ ràng, minh bạch về lý do và mục tiêu của việc sửa đổi thuế lần này. - HUMAN-TRU4]]</f>
        <v>5</v>
      </c>
      <c r="BC111" t="str">
        <f t="shared" si="49"/>
        <v>Neutral</v>
      </c>
      <c r="BD111" s="32">
        <f t="shared" si="50"/>
        <v>3</v>
      </c>
      <c r="BE111">
        <f>step3_validation[[#This Row],[AI_OUT1]]</f>
        <v>9</v>
      </c>
      <c r="BF111" t="str">
        <f t="shared" si="51"/>
        <v>Support</v>
      </c>
      <c r="BG111">
        <f>survey_responses[[#This Row],[Sau khi xem xét các quyền lợi và nghĩa vụ, bạn có ủng hộ và tuân thủ chính sách mới hiện nay? - HUMAN-OUT1]]</f>
        <v>8</v>
      </c>
      <c r="BH111" t="str">
        <f t="shared" si="52"/>
        <v>Support</v>
      </c>
      <c r="BI111" s="32">
        <f t="shared" si="53"/>
        <v>1</v>
      </c>
    </row>
    <row r="112" spans="1:61" x14ac:dyDescent="0.45">
      <c r="A112" s="30">
        <f>step3_validation[[#This Row],[Persona_ID]]</f>
        <v>111</v>
      </c>
      <c r="B112" s="31">
        <f>step3_validation[[#This Row],[Used_Seed]]</f>
        <v>12455</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25.493820036727968</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t="str">
        <f t="shared" si="27"/>
        <v>Support</v>
      </c>
      <c r="S112">
        <f>survey_responses[[#This Row],[Tôi tin rằng với các quy định quản lý thuế hiện nay, hành vi gian lận hoặc trốn thuế sẽ dễ dàng bị phát hiện và xử lý nghiêm. - HUMAN-ENF1]]</f>
        <v>8</v>
      </c>
      <c r="T112" t="str">
        <f t="shared" si="28"/>
        <v>Support</v>
      </c>
      <c r="U112" s="32">
        <f t="shared" si="29"/>
        <v>0</v>
      </c>
      <c r="V112">
        <f>step3_validation[[#This Row],[AI_ENF2]]</f>
        <v>7</v>
      </c>
      <c r="W112" t="str">
        <f t="shared" si="30"/>
        <v>Neutral</v>
      </c>
      <c r="X112">
        <f>survey_responses[[#This Row],[Tôi tin rằng Nhà nước, cơ quan thuế có đủ khả năng và công nghệ để phát hiện, xử lý nghiêm các hành vi trốn thuế. - HUMAN-ENF2]]</f>
        <v>8</v>
      </c>
      <c r="Y112" t="str">
        <f t="shared" si="31"/>
        <v>Support</v>
      </c>
      <c r="Z112" s="32">
        <f t="shared" si="32"/>
        <v>1</v>
      </c>
      <c r="AA112">
        <f>step3_validation[[#This Row],[AI_FAC1]]</f>
        <v>6</v>
      </c>
      <c r="AB112" t="str">
        <f t="shared" si="33"/>
        <v>Neutral</v>
      </c>
      <c r="AC112">
        <f>survey_responses[[#This Row],[Các thủ tục khai báo thuế VÀ/HOẶC quy trình làm việc với cơ quan thuế đơn giản, tiện lợi, nhanh chóng hơn so với trước đây. - HUMAN-FAC1]]</f>
        <v>6</v>
      </c>
      <c r="AD112" t="str">
        <f t="shared" si="34"/>
        <v>Neutral</v>
      </c>
      <c r="AE112" s="32">
        <f t="shared" si="35"/>
        <v>0</v>
      </c>
      <c r="AF112">
        <f>step3_validation[[#This Row],[AI_FAC2]]</f>
        <v>9</v>
      </c>
      <c r="AG112" t="str">
        <f t="shared" si="36"/>
        <v>Support</v>
      </c>
      <c r="AH112">
        <f>survey_responses[[#This Row],[So với trước đây, tôi thấy cách tính thuế và các bậc thuế trong phương án mới đơn giản, dễ hiểu và dễ thực hiện hơn. - HUMAN-FAC2]]</f>
        <v>7</v>
      </c>
      <c r="AI112" t="str">
        <f t="shared" si="37"/>
        <v>Neutral</v>
      </c>
      <c r="AJ112" s="32">
        <f t="shared" si="38"/>
        <v>2</v>
      </c>
      <c r="AK112">
        <f>step3_validation[[#This Row],[AI_TRU1]]</f>
        <v>7</v>
      </c>
      <c r="AL112" t="str">
        <f t="shared" si="39"/>
        <v>Neutral</v>
      </c>
      <c r="AM112">
        <f>survey_responses[[#This Row],[Tôi tin rằng Nhà nước, cơ quan thuế sẽ thực thi chính sách mới một cách khách quan, công tâm và đối xử bình đẳng với mọi người nộp thuế.  - HUMAN-TRU1]]</f>
        <v>6</v>
      </c>
      <c r="AN112" t="str">
        <f t="shared" si="40"/>
        <v>Neutral</v>
      </c>
      <c r="AO112" s="32">
        <f t="shared" si="41"/>
        <v>1</v>
      </c>
      <c r="AP112">
        <f>step3_validation[[#This Row],[AI_TRU2]]</f>
        <v>8</v>
      </c>
      <c r="AQ112" t="str">
        <f t="shared" si="42"/>
        <v>Support</v>
      </c>
      <c r="AR112">
        <f>survey_responses[[#This Row],[Tôi thấy mức thuế tôi phải đóng theo phương án mới là công bằng (người thu nhập như tôi đóng mức này là hợp lý). - HUMAN-TRU2]]</f>
        <v>7</v>
      </c>
      <c r="AS112" t="str">
        <f t="shared" si="43"/>
        <v>Neutral</v>
      </c>
      <c r="AT112" s="32">
        <f t="shared" si="44"/>
        <v>1</v>
      </c>
      <c r="AU112">
        <f>step3_validation[[#This Row],[AI_TRU3]]</f>
        <v>7</v>
      </c>
      <c r="AV112" t="str">
        <f t="shared" si="45"/>
        <v>Neutral</v>
      </c>
      <c r="AW112">
        <f>survey_responses[[#This Row],[Tôi tin tưởng số tiền thuế tôi đóng sẽ được Nhà nước sử dụng hiệu quả để cải thiện dịch vụ công (y tế, đường xá...). - HUMAN-TRU3]]</f>
        <v>5</v>
      </c>
      <c r="AX112" t="str">
        <f t="shared" si="46"/>
        <v>Neutral</v>
      </c>
      <c r="AY112" s="32">
        <f t="shared" si="47"/>
        <v>2</v>
      </c>
      <c r="AZ112">
        <f>step3_validation[[#This Row],[AI_TRU4]]</f>
        <v>6</v>
      </c>
      <c r="BA112" t="str">
        <f t="shared" si="48"/>
        <v>Neutral</v>
      </c>
      <c r="BB112">
        <f>survey_responses[[#This Row],[Tôi thấy Nhà nước đã giải thích rõ ràng, minh bạch về lý do và mục tiêu của việc sửa đổi thuế lần này. - HUMAN-TRU4]]</f>
        <v>5</v>
      </c>
      <c r="BC112" t="str">
        <f t="shared" si="49"/>
        <v>Neutral</v>
      </c>
      <c r="BD112" s="32">
        <f t="shared" si="50"/>
        <v>1</v>
      </c>
      <c r="BE112">
        <f>step3_validation[[#This Row],[AI_OUT1]]</f>
        <v>9</v>
      </c>
      <c r="BF112" t="str">
        <f t="shared" si="51"/>
        <v>Support</v>
      </c>
      <c r="BG112">
        <f>survey_responses[[#This Row],[Sau khi xem xét các quyền lợi và nghĩa vụ, bạn có ủng hộ và tuân thủ chính sách mới hiện nay? - HUMAN-OUT1]]</f>
        <v>5</v>
      </c>
      <c r="BH112" t="str">
        <f t="shared" si="52"/>
        <v>Neutral</v>
      </c>
      <c r="BI112" s="32">
        <f t="shared" si="53"/>
        <v>4</v>
      </c>
    </row>
    <row r="113" spans="1:61" x14ac:dyDescent="0.45">
      <c r="A113" s="30">
        <f>step3_validation[[#This Row],[Persona_ID]]</f>
        <v>112</v>
      </c>
      <c r="B113" s="31">
        <f>step3_validation[[#This Row],[Used_Seed]]</f>
        <v>12456</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20.609619001907113</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7</v>
      </c>
      <c r="R113" t="str">
        <f t="shared" si="27"/>
        <v>Neutral</v>
      </c>
      <c r="S113">
        <f>survey_responses[[#This Row],[Tôi tin rằng với các quy định quản lý thuế hiện nay, hành vi gian lận hoặc trốn thuế sẽ dễ dàng bị phát hiện và xử lý nghiêm. - HUMAN-ENF1]]</f>
        <v>7</v>
      </c>
      <c r="T113" t="str">
        <f t="shared" si="28"/>
        <v>Neutral</v>
      </c>
      <c r="U113" s="32">
        <f t="shared" si="29"/>
        <v>0</v>
      </c>
      <c r="V113">
        <f>step3_validation[[#This Row],[AI_ENF2]]</f>
        <v>8</v>
      </c>
      <c r="W113" t="str">
        <f t="shared" si="30"/>
        <v>Support</v>
      </c>
      <c r="X113">
        <f>survey_responses[[#This Row],[Tôi tin rằng Nhà nước, cơ quan thuế có đủ khả năng và công nghệ để phát hiện, xử lý nghiêm các hành vi trốn thuế. - HUMAN-ENF2]]</f>
        <v>8</v>
      </c>
      <c r="Y113" t="str">
        <f t="shared" si="31"/>
        <v>Support</v>
      </c>
      <c r="Z113" s="32">
        <f t="shared" si="32"/>
        <v>0</v>
      </c>
      <c r="AA113">
        <f>step3_validation[[#This Row],[AI_FAC1]]</f>
        <v>9</v>
      </c>
      <c r="AB113" t="str">
        <f t="shared" si="33"/>
        <v>Support</v>
      </c>
      <c r="AC113">
        <f>survey_responses[[#This Row],[Các thủ tục khai báo thuế VÀ/HOẶC quy trình làm việc với cơ quan thuế đơn giản, tiện lợi, nhanh chóng hơn so với trước đây. - HUMAN-FAC1]]</f>
        <v>8</v>
      </c>
      <c r="AD113" t="str">
        <f t="shared" si="34"/>
        <v>Support</v>
      </c>
      <c r="AE113" s="32">
        <f t="shared" si="35"/>
        <v>1</v>
      </c>
      <c r="AF113">
        <f>step3_validation[[#This Row],[AI_FAC2]]</f>
        <v>10</v>
      </c>
      <c r="AG113" t="str">
        <f t="shared" si="36"/>
        <v>Support</v>
      </c>
      <c r="AH113">
        <f>survey_responses[[#This Row],[So với trước đây, tôi thấy cách tính thuế và các bậc thuế trong phương án mới đơn giản, dễ hiểu và dễ thực hiện hơn. - HUMAN-FAC2]]</f>
        <v>8</v>
      </c>
      <c r="AI113" t="str">
        <f t="shared" si="37"/>
        <v>Support</v>
      </c>
      <c r="AJ113" s="32">
        <f t="shared" si="38"/>
        <v>2</v>
      </c>
      <c r="AK113">
        <f>step3_validation[[#This Row],[AI_TRU1]]</f>
        <v>9</v>
      </c>
      <c r="AL113" t="str">
        <f t="shared" si="39"/>
        <v>Support</v>
      </c>
      <c r="AM113">
        <f>survey_responses[[#This Row],[Tôi tin rằng Nhà nước, cơ quan thuế sẽ thực thi chính sách mới một cách khách quan, công tâm và đối xử bình đẳng với mọi người nộp thuế.  - HUMAN-TRU1]]</f>
        <v>8</v>
      </c>
      <c r="AN113" t="str">
        <f t="shared" si="40"/>
        <v>Support</v>
      </c>
      <c r="AO113" s="32">
        <f t="shared" si="41"/>
        <v>1</v>
      </c>
      <c r="AP113">
        <f>step3_validation[[#This Row],[AI_TRU2]]</f>
        <v>9</v>
      </c>
      <c r="AQ113" t="str">
        <f t="shared" si="42"/>
        <v>Support</v>
      </c>
      <c r="AR113">
        <f>survey_responses[[#This Row],[Tôi thấy mức thuế tôi phải đóng theo phương án mới là công bằng (người thu nhập như tôi đóng mức này là hợp lý). - HUMAN-TRU2]]</f>
        <v>8</v>
      </c>
      <c r="AS113" t="str">
        <f t="shared" si="43"/>
        <v>Support</v>
      </c>
      <c r="AT113" s="32">
        <f t="shared" si="44"/>
        <v>1</v>
      </c>
      <c r="AU113">
        <f>step3_validation[[#This Row],[AI_TRU3]]</f>
        <v>8</v>
      </c>
      <c r="AV113" t="str">
        <f t="shared" si="45"/>
        <v>Support</v>
      </c>
      <c r="AW113">
        <f>survey_responses[[#This Row],[Tôi tin tưởng số tiền thuế tôi đóng sẽ được Nhà nước sử dụng hiệu quả để cải thiện dịch vụ công (y tế, đường xá...). - HUMAN-TRU3]]</f>
        <v>8</v>
      </c>
      <c r="AX113" t="str">
        <f t="shared" si="46"/>
        <v>Support</v>
      </c>
      <c r="AY113" s="32">
        <f t="shared" si="47"/>
        <v>0</v>
      </c>
      <c r="AZ113">
        <f>step3_validation[[#This Row],[AI_TRU4]]</f>
        <v>9</v>
      </c>
      <c r="BA113" t="str">
        <f t="shared" si="48"/>
        <v>Support</v>
      </c>
      <c r="BB113">
        <f>survey_responses[[#This Row],[Tôi thấy Nhà nước đã giải thích rõ ràng, minh bạch về lý do và mục tiêu của việc sửa đổi thuế lần này. - HUMAN-TRU4]]</f>
        <v>8</v>
      </c>
      <c r="BC113" t="str">
        <f t="shared" si="49"/>
        <v>Support</v>
      </c>
      <c r="BD113" s="32">
        <f t="shared" si="50"/>
        <v>1</v>
      </c>
      <c r="BE113">
        <f>step3_validation[[#This Row],[AI_OUT1]]</f>
        <v>9</v>
      </c>
      <c r="BF113" t="str">
        <f t="shared" si="51"/>
        <v>Support</v>
      </c>
      <c r="BG113">
        <f>survey_responses[[#This Row],[Sau khi xem xét các quyền lợi và nghĩa vụ, bạn có ủng hộ và tuân thủ chính sách mới hiện nay? - HUMAN-OUT1]]</f>
        <v>8</v>
      </c>
      <c r="BH113" t="str">
        <f t="shared" si="52"/>
        <v>Support</v>
      </c>
      <c r="BI113" s="32">
        <f t="shared" si="53"/>
        <v>1</v>
      </c>
    </row>
    <row r="114" spans="1:61" x14ac:dyDescent="0.45">
      <c r="A114" s="30">
        <f>step3_validation[[#This Row],[Persona_ID]]</f>
        <v>113</v>
      </c>
      <c r="B114" s="31">
        <f>step3_validation[[#This Row],[Used_Seed]]</f>
        <v>12457</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7</v>
      </c>
      <c r="R114" t="str">
        <f t="shared" si="27"/>
        <v>Neutral</v>
      </c>
      <c r="S114">
        <f>survey_responses[[#This Row],[Tôi tin rằng với các quy định quản lý thuế hiện nay, hành vi gian lận hoặc trốn thuế sẽ dễ dàng bị phát hiện và xử lý nghiêm. - HUMAN-ENF1]]</f>
        <v>1</v>
      </c>
      <c r="T114" t="str">
        <f t="shared" si="28"/>
        <v>Oppose</v>
      </c>
      <c r="U114" s="32">
        <f t="shared" si="29"/>
        <v>6</v>
      </c>
      <c r="V114">
        <f>step3_validation[[#This Row],[AI_ENF2]]</f>
        <v>6</v>
      </c>
      <c r="W114" t="str">
        <f t="shared" si="30"/>
        <v>Neutral</v>
      </c>
      <c r="X114">
        <f>survey_responses[[#This Row],[Tôi tin rằng Nhà nước, cơ quan thuế có đủ khả năng và công nghệ để phát hiện, xử lý nghiêm các hành vi trốn thuế. - HUMAN-ENF2]]</f>
        <v>1</v>
      </c>
      <c r="Y114" t="str">
        <f t="shared" si="31"/>
        <v>Oppose</v>
      </c>
      <c r="Z114" s="32">
        <f t="shared" si="32"/>
        <v>5</v>
      </c>
      <c r="AA114">
        <f>step3_validation[[#This Row],[AI_FAC1]]</f>
        <v>5</v>
      </c>
      <c r="AB114" t="str">
        <f t="shared" si="33"/>
        <v>Neutral</v>
      </c>
      <c r="AC114">
        <f>survey_responses[[#This Row],[Các thủ tục khai báo thuế VÀ/HOẶC quy trình làm việc với cơ quan thuế đơn giản, tiện lợi, nhanh chóng hơn so với trước đây. - HUMAN-FAC1]]</f>
        <v>1</v>
      </c>
      <c r="AD114" t="str">
        <f t="shared" si="34"/>
        <v>Oppose</v>
      </c>
      <c r="AE114" s="32">
        <f t="shared" si="35"/>
        <v>4</v>
      </c>
      <c r="AF114">
        <f>step3_validation[[#This Row],[AI_FAC2]]</f>
        <v>8</v>
      </c>
      <c r="AG114" t="str">
        <f t="shared" si="36"/>
        <v>Support</v>
      </c>
      <c r="AH114">
        <f>survey_responses[[#This Row],[So với trước đây, tôi thấy cách tính thuế và các bậc thuế trong phương án mới đơn giản, dễ hiểu và dễ thực hiện hơn. - HUMAN-FAC2]]</f>
        <v>1</v>
      </c>
      <c r="AI114" t="str">
        <f t="shared" si="37"/>
        <v>Oppose</v>
      </c>
      <c r="AJ114" s="32">
        <f t="shared" si="38"/>
        <v>7</v>
      </c>
      <c r="AK114">
        <f>step3_validation[[#This Row],[AI_TRU1]]</f>
        <v>6</v>
      </c>
      <c r="AL114" t="str">
        <f t="shared" si="39"/>
        <v>Neutral</v>
      </c>
      <c r="AM114">
        <f>survey_responses[[#This Row],[Tôi tin rằng Nhà nước, cơ quan thuế sẽ thực thi chính sách mới một cách khách quan, công tâm và đối xử bình đẳng với mọi người nộp thuế.  - HUMAN-TRU1]]</f>
        <v>1</v>
      </c>
      <c r="AN114" t="str">
        <f t="shared" si="40"/>
        <v>Oppose</v>
      </c>
      <c r="AO114" s="32">
        <f t="shared" si="41"/>
        <v>5</v>
      </c>
      <c r="AP114">
        <f>step3_validation[[#This Row],[AI_TRU2]]</f>
        <v>9</v>
      </c>
      <c r="AQ114" t="str">
        <f t="shared" si="42"/>
        <v>Support</v>
      </c>
      <c r="AR114">
        <f>survey_responses[[#This Row],[Tôi thấy mức thuế tôi phải đóng theo phương án mới là công bằng (người thu nhập như tôi đóng mức này là hợp lý). - HUMAN-TRU2]]</f>
        <v>1</v>
      </c>
      <c r="AS114" t="str">
        <f t="shared" si="43"/>
        <v>Oppose</v>
      </c>
      <c r="AT114" s="32">
        <f t="shared" si="44"/>
        <v>8</v>
      </c>
      <c r="AU114">
        <f>step3_validation[[#This Row],[AI_TRU3]]</f>
        <v>7</v>
      </c>
      <c r="AV114" t="str">
        <f t="shared" si="45"/>
        <v>Neutral</v>
      </c>
      <c r="AW114">
        <f>survey_responses[[#This Row],[Tôi tin tưởng số tiền thuế tôi đóng sẽ được Nhà nước sử dụng hiệu quả để cải thiện dịch vụ công (y tế, đường xá...). - HUMAN-TRU3]]</f>
        <v>1</v>
      </c>
      <c r="AX114" t="str">
        <f t="shared" si="46"/>
        <v>Oppose</v>
      </c>
      <c r="AY114" s="32">
        <f t="shared" si="47"/>
        <v>6</v>
      </c>
      <c r="AZ114">
        <f>step3_validation[[#This Row],[AI_TRU4]]</f>
        <v>8</v>
      </c>
      <c r="BA114" t="str">
        <f t="shared" si="48"/>
        <v>Support</v>
      </c>
      <c r="BB114">
        <f>survey_responses[[#This Row],[Tôi thấy Nhà nước đã giải thích rõ ràng, minh bạch về lý do và mục tiêu của việc sửa đổi thuế lần này. - HUMAN-TRU4]]</f>
        <v>1</v>
      </c>
      <c r="BC114" t="str">
        <f t="shared" si="49"/>
        <v>Oppose</v>
      </c>
      <c r="BD114" s="32">
        <f t="shared" si="50"/>
        <v>7</v>
      </c>
      <c r="BE114">
        <f>step3_validation[[#This Row],[AI_OUT1]]</f>
        <v>9</v>
      </c>
      <c r="BF114" t="str">
        <f t="shared" si="51"/>
        <v>Support</v>
      </c>
      <c r="BG114">
        <f>survey_responses[[#This Row],[Sau khi xem xét các quyền lợi và nghĩa vụ, bạn có ủng hộ và tuân thủ chính sách mới hiện nay? - HUMAN-OUT1]]</f>
        <v>1</v>
      </c>
      <c r="BH114" t="str">
        <f t="shared" si="52"/>
        <v>Oppose</v>
      </c>
      <c r="BI114" s="32">
        <f t="shared" si="53"/>
        <v>8</v>
      </c>
    </row>
    <row r="115" spans="1:61" x14ac:dyDescent="0.45">
      <c r="A115" s="30">
        <f>step3_validation[[#This Row],[Persona_ID]]</f>
        <v>114</v>
      </c>
      <c r="B115" s="31">
        <f>step3_validation[[#This Row],[Used_Seed]]</f>
        <v>12458</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18.479963422825136</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7</v>
      </c>
      <c r="R115" t="str">
        <f t="shared" si="27"/>
        <v>Neutral</v>
      </c>
      <c r="S115">
        <f>survey_responses[[#This Row],[Tôi tin rằng với các quy định quản lý thuế hiện nay, hành vi gian lận hoặc trốn thuế sẽ dễ dàng bị phát hiện và xử lý nghiêm. - HUMAN-ENF1]]</f>
        <v>10</v>
      </c>
      <c r="T115" t="str">
        <f t="shared" si="28"/>
        <v>Support</v>
      </c>
      <c r="U115" s="32">
        <f t="shared" si="29"/>
        <v>3</v>
      </c>
      <c r="V115">
        <f>step3_validation[[#This Row],[AI_ENF2]]</f>
        <v>8</v>
      </c>
      <c r="W115" t="str">
        <f t="shared" si="30"/>
        <v>Support</v>
      </c>
      <c r="X115">
        <f>survey_responses[[#This Row],[Tôi tin rằng Nhà nước, cơ quan thuế có đủ khả năng và công nghệ để phát hiện, xử lý nghiêm các hành vi trốn thuế. - HUMAN-ENF2]]</f>
        <v>10</v>
      </c>
      <c r="Y115" t="str">
        <f t="shared" si="31"/>
        <v>Support</v>
      </c>
      <c r="Z115" s="32">
        <f t="shared" si="32"/>
        <v>2</v>
      </c>
      <c r="AA115">
        <f>step3_validation[[#This Row],[AI_FAC1]]</f>
        <v>9</v>
      </c>
      <c r="AB115" t="str">
        <f t="shared" si="33"/>
        <v>Support</v>
      </c>
      <c r="AC115">
        <f>survey_responses[[#This Row],[Các thủ tục khai báo thuế VÀ/HOẶC quy trình làm việc với cơ quan thuế đơn giản, tiện lợi, nhanh chóng hơn so với trước đây. - HUMAN-FAC1]]</f>
        <v>10</v>
      </c>
      <c r="AD115" t="str">
        <f t="shared" si="34"/>
        <v>Support</v>
      </c>
      <c r="AE115" s="32">
        <f t="shared" si="35"/>
        <v>1</v>
      </c>
      <c r="AF115">
        <f>step3_validation[[#This Row],[AI_FAC2]]</f>
        <v>8</v>
      </c>
      <c r="AG115" t="str">
        <f t="shared" si="36"/>
        <v>Support</v>
      </c>
      <c r="AH115">
        <f>survey_responses[[#This Row],[So với trước đây, tôi thấy cách tính thuế và các bậc thuế trong phương án mới đơn giản, dễ hiểu và dễ thực hiện hơn. - HUMAN-FAC2]]</f>
        <v>10</v>
      </c>
      <c r="AI115" t="str">
        <f t="shared" si="37"/>
        <v>Support</v>
      </c>
      <c r="AJ115" s="32">
        <f t="shared" si="38"/>
        <v>2</v>
      </c>
      <c r="AK115">
        <f>step3_validation[[#This Row],[AI_TRU1]]</f>
        <v>7</v>
      </c>
      <c r="AL115" t="str">
        <f t="shared" si="39"/>
        <v>Neutral</v>
      </c>
      <c r="AM115">
        <f>survey_responses[[#This Row],[Tôi tin rằng Nhà nước, cơ quan thuế sẽ thực thi chính sách mới một cách khách quan, công tâm và đối xử bình đẳng với mọi người nộp thuế.  - HUMAN-TRU1]]</f>
        <v>10</v>
      </c>
      <c r="AN115" t="str">
        <f t="shared" si="40"/>
        <v>Support</v>
      </c>
      <c r="AO115" s="32">
        <f t="shared" si="41"/>
        <v>3</v>
      </c>
      <c r="AP115">
        <f>step3_validation[[#This Row],[AI_TRU2]]</f>
        <v>9</v>
      </c>
      <c r="AQ115" t="str">
        <f t="shared" si="42"/>
        <v>Support</v>
      </c>
      <c r="AR115">
        <f>survey_responses[[#This Row],[Tôi thấy mức thuế tôi phải đóng theo phương án mới là công bằng (người thu nhập như tôi đóng mức này là hợp lý). - HUMAN-TRU2]]</f>
        <v>10</v>
      </c>
      <c r="AS115" t="str">
        <f t="shared" si="43"/>
        <v>Support</v>
      </c>
      <c r="AT115" s="32">
        <f t="shared" si="44"/>
        <v>1</v>
      </c>
      <c r="AU115">
        <f>step3_validation[[#This Row],[AI_TRU3]]</f>
        <v>7</v>
      </c>
      <c r="AV115" t="str">
        <f t="shared" si="45"/>
        <v>Neutral</v>
      </c>
      <c r="AW115">
        <f>survey_responses[[#This Row],[Tôi tin tưởng số tiền thuế tôi đóng sẽ được Nhà nước sử dụng hiệu quả để cải thiện dịch vụ công (y tế, đường xá...). - HUMAN-TRU3]]</f>
        <v>10</v>
      </c>
      <c r="AX115" t="str">
        <f t="shared" si="46"/>
        <v>Support</v>
      </c>
      <c r="AY115" s="32">
        <f t="shared" si="47"/>
        <v>3</v>
      </c>
      <c r="AZ115">
        <f>step3_validation[[#This Row],[AI_TRU4]]</f>
        <v>8</v>
      </c>
      <c r="BA115" t="str">
        <f t="shared" si="48"/>
        <v>Support</v>
      </c>
      <c r="BB115">
        <f>survey_responses[[#This Row],[Tôi thấy Nhà nước đã giải thích rõ ràng, minh bạch về lý do và mục tiêu của việc sửa đổi thuế lần này. - HUMAN-TRU4]]</f>
        <v>10</v>
      </c>
      <c r="BC115" t="str">
        <f t="shared" si="49"/>
        <v>Support</v>
      </c>
      <c r="BD115" s="32">
        <f t="shared" si="50"/>
        <v>2</v>
      </c>
      <c r="BE115">
        <f>step3_validation[[#This Row],[AI_OUT1]]</f>
        <v>9</v>
      </c>
      <c r="BF115" t="str">
        <f t="shared" si="51"/>
        <v>Support</v>
      </c>
      <c r="BG115">
        <f>survey_responses[[#This Row],[Sau khi xem xét các quyền lợi và nghĩa vụ, bạn có ủng hộ và tuân thủ chính sách mới hiện nay? - HUMAN-OUT1]]</f>
        <v>10</v>
      </c>
      <c r="BH115" t="str">
        <f t="shared" si="52"/>
        <v>Support</v>
      </c>
      <c r="BI115" s="32">
        <f t="shared" si="53"/>
        <v>1</v>
      </c>
    </row>
    <row r="116" spans="1:61" x14ac:dyDescent="0.45">
      <c r="A116" s="30">
        <f>step3_validation[[#This Row],[Persona_ID]]</f>
        <v>115</v>
      </c>
      <c r="B116" s="31">
        <f>step3_validation[[#This Row],[Used_Seed]]</f>
        <v>12459</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13.627736245856385</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8</v>
      </c>
      <c r="R116" t="str">
        <f t="shared" si="27"/>
        <v>Support</v>
      </c>
      <c r="S116">
        <f>survey_responses[[#This Row],[Tôi tin rằng với các quy định quản lý thuế hiện nay, hành vi gian lận hoặc trốn thuế sẽ dễ dàng bị phát hiện và xử lý nghiêm. - HUMAN-ENF1]]</f>
        <v>1</v>
      </c>
      <c r="T116" t="str">
        <f t="shared" si="28"/>
        <v>Oppose</v>
      </c>
      <c r="U116" s="32">
        <f t="shared" si="29"/>
        <v>7</v>
      </c>
      <c r="V116">
        <f>step3_validation[[#This Row],[AI_ENF2]]</f>
        <v>8</v>
      </c>
      <c r="W116" t="str">
        <f t="shared" si="30"/>
        <v>Support</v>
      </c>
      <c r="X116">
        <f>survey_responses[[#This Row],[Tôi tin rằng Nhà nước, cơ quan thuế có đủ khả năng và công nghệ để phát hiện, xử lý nghiêm các hành vi trốn thuế. - HUMAN-ENF2]]</f>
        <v>1</v>
      </c>
      <c r="Y116" t="str">
        <f t="shared" si="31"/>
        <v>Oppose</v>
      </c>
      <c r="Z116" s="32">
        <f t="shared" si="32"/>
        <v>7</v>
      </c>
      <c r="AA116">
        <f>step3_validation[[#This Row],[AI_FAC1]]</f>
        <v>7</v>
      </c>
      <c r="AB116" t="str">
        <f t="shared" si="33"/>
        <v>Neutral</v>
      </c>
      <c r="AC116">
        <f>survey_responses[[#This Row],[Các thủ tục khai báo thuế VÀ/HOẶC quy trình làm việc với cơ quan thuế đơn giản, tiện lợi, nhanh chóng hơn so với trước đây. - HUMAN-FAC1]]</f>
        <v>1</v>
      </c>
      <c r="AD116" t="str">
        <f t="shared" si="34"/>
        <v>Oppose</v>
      </c>
      <c r="AE116" s="32">
        <f t="shared" si="35"/>
        <v>6</v>
      </c>
      <c r="AF116">
        <f>step3_validation[[#This Row],[AI_FAC2]]</f>
        <v>9</v>
      </c>
      <c r="AG116" t="str">
        <f t="shared" si="36"/>
        <v>Support</v>
      </c>
      <c r="AH116">
        <f>survey_responses[[#This Row],[So với trước đây, tôi thấy cách tính thuế và các bậc thuế trong phương án mới đơn giản, dễ hiểu và dễ thực hiện hơn. - HUMAN-FAC2]]</f>
        <v>1</v>
      </c>
      <c r="AI116" t="str">
        <f t="shared" si="37"/>
        <v>Oppose</v>
      </c>
      <c r="AJ116" s="32">
        <f t="shared" si="38"/>
        <v>8</v>
      </c>
      <c r="AK116">
        <f>step3_validation[[#This Row],[AI_TRU1]]</f>
        <v>8</v>
      </c>
      <c r="AL116" t="str">
        <f t="shared" si="39"/>
        <v>Support</v>
      </c>
      <c r="AM116">
        <f>survey_responses[[#This Row],[Tôi tin rằng Nhà nước, cơ quan thuế sẽ thực thi chính sách mới một cách khách quan, công tâm và đối xử bình đẳng với mọi người nộp thuế.  - HUMAN-TRU1]]</f>
        <v>1</v>
      </c>
      <c r="AN116" t="str">
        <f t="shared" si="40"/>
        <v>Oppose</v>
      </c>
      <c r="AO116" s="32">
        <f t="shared" si="41"/>
        <v>7</v>
      </c>
      <c r="AP116">
        <f>step3_validation[[#This Row],[AI_TRU2]]</f>
        <v>7</v>
      </c>
      <c r="AQ116" t="str">
        <f t="shared" si="42"/>
        <v>Neutral</v>
      </c>
      <c r="AR116">
        <f>survey_responses[[#This Row],[Tôi thấy mức thuế tôi phải đóng theo phương án mới là công bằng (người thu nhập như tôi đóng mức này là hợp lý). - HUMAN-TRU2]]</f>
        <v>1</v>
      </c>
      <c r="AS116" t="str">
        <f t="shared" si="43"/>
        <v>Oppose</v>
      </c>
      <c r="AT116" s="32">
        <f t="shared" si="44"/>
        <v>6</v>
      </c>
      <c r="AU116">
        <f>step3_validation[[#This Row],[AI_TRU3]]</f>
        <v>8</v>
      </c>
      <c r="AV116" t="str">
        <f t="shared" si="45"/>
        <v>Support</v>
      </c>
      <c r="AW116">
        <f>survey_responses[[#This Row],[Tôi tin tưởng số tiền thuế tôi đóng sẽ được Nhà nước sử dụng hiệu quả để cải thiện dịch vụ công (y tế, đường xá...). - HUMAN-TRU3]]</f>
        <v>1</v>
      </c>
      <c r="AX116" t="str">
        <f t="shared" si="46"/>
        <v>Oppose</v>
      </c>
      <c r="AY116" s="32">
        <f t="shared" si="47"/>
        <v>7</v>
      </c>
      <c r="AZ116">
        <f>step3_validation[[#This Row],[AI_TRU4]]</f>
        <v>9</v>
      </c>
      <c r="BA116" t="str">
        <f t="shared" si="48"/>
        <v>Support</v>
      </c>
      <c r="BB116">
        <f>survey_responses[[#This Row],[Tôi thấy Nhà nước đã giải thích rõ ràng, minh bạch về lý do và mục tiêu của việc sửa đổi thuế lần này. - HUMAN-TRU4]]</f>
        <v>1</v>
      </c>
      <c r="BC116" t="str">
        <f t="shared" si="49"/>
        <v>Oppose</v>
      </c>
      <c r="BD116" s="32">
        <f t="shared" si="50"/>
        <v>8</v>
      </c>
      <c r="BE116">
        <f>step3_validation[[#This Row],[AI_OUT1]]</f>
        <v>8</v>
      </c>
      <c r="BF116" t="str">
        <f t="shared" si="51"/>
        <v>Support</v>
      </c>
      <c r="BG116">
        <f>survey_responses[[#This Row],[Sau khi xem xét các quyền lợi và nghĩa vụ, bạn có ủng hộ và tuân thủ chính sách mới hiện nay? - HUMAN-OUT1]]</f>
        <v>1</v>
      </c>
      <c r="BH116" t="str">
        <f t="shared" si="52"/>
        <v>Oppose</v>
      </c>
      <c r="BI116" s="32">
        <f t="shared" si="53"/>
        <v>7</v>
      </c>
    </row>
    <row r="117" spans="1:61" x14ac:dyDescent="0.45">
      <c r="A117" s="30">
        <f>step3_validation[[#This Row],[Persona_ID]]</f>
        <v>116</v>
      </c>
      <c r="B117" s="31">
        <f>step3_validation[[#This Row],[Used_Seed]]</f>
        <v>12460</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15.764306891880848</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6</v>
      </c>
      <c r="R117" t="str">
        <f t="shared" si="27"/>
        <v>Neutral</v>
      </c>
      <c r="S117">
        <f>survey_responses[[#This Row],[Tôi tin rằng với các quy định quản lý thuế hiện nay, hành vi gian lận hoặc trốn thuế sẽ dễ dàng bị phát hiện và xử lý nghiêm. - HUMAN-ENF1]]</f>
        <v>9</v>
      </c>
      <c r="T117" t="str">
        <f t="shared" si="28"/>
        <v>Support</v>
      </c>
      <c r="U117" s="32">
        <f t="shared" si="29"/>
        <v>3</v>
      </c>
      <c r="V117">
        <f>step3_validation[[#This Row],[AI_ENF2]]</f>
        <v>5</v>
      </c>
      <c r="W117" t="str">
        <f t="shared" si="30"/>
        <v>Neutral</v>
      </c>
      <c r="X117">
        <f>survey_responses[[#This Row],[Tôi tin rằng Nhà nước, cơ quan thuế có đủ khả năng và công nghệ để phát hiện, xử lý nghiêm các hành vi trốn thuế. - HUMAN-ENF2]]</f>
        <v>9</v>
      </c>
      <c r="Y117" t="str">
        <f t="shared" si="31"/>
        <v>Support</v>
      </c>
      <c r="Z117" s="32">
        <f t="shared" si="32"/>
        <v>4</v>
      </c>
      <c r="AA117">
        <f>step3_validation[[#This Row],[AI_FAC1]]</f>
        <v>7</v>
      </c>
      <c r="AB117" t="str">
        <f t="shared" si="33"/>
        <v>Neutral</v>
      </c>
      <c r="AC117">
        <f>survey_responses[[#This Row],[Các thủ tục khai báo thuế VÀ/HOẶC quy trình làm việc với cơ quan thuế đơn giản, tiện lợi, nhanh chóng hơn so với trước đây. - HUMAN-FAC1]]</f>
        <v>9</v>
      </c>
      <c r="AD117" t="str">
        <f t="shared" si="34"/>
        <v>Support</v>
      </c>
      <c r="AE117" s="32">
        <f t="shared" si="35"/>
        <v>2</v>
      </c>
      <c r="AF117">
        <f>step3_validation[[#This Row],[AI_FAC2]]</f>
        <v>8</v>
      </c>
      <c r="AG117" t="str">
        <f t="shared" si="36"/>
        <v>Support</v>
      </c>
      <c r="AH117">
        <f>survey_responses[[#This Row],[So với trước đây, tôi thấy cách tính thuế và các bậc thuế trong phương án mới đơn giản, dễ hiểu và dễ thực hiện hơn. - HUMAN-FAC2]]</f>
        <v>9</v>
      </c>
      <c r="AI117" t="str">
        <f t="shared" si="37"/>
        <v>Support</v>
      </c>
      <c r="AJ117" s="32">
        <f t="shared" si="38"/>
        <v>1</v>
      </c>
      <c r="AK117">
        <f>step3_validation[[#This Row],[AI_TRU1]]</f>
        <v>7</v>
      </c>
      <c r="AL117" t="str">
        <f t="shared" si="39"/>
        <v>Neutral</v>
      </c>
      <c r="AM117">
        <f>survey_responses[[#This Row],[Tôi tin rằng Nhà nước, cơ quan thuế sẽ thực thi chính sách mới một cách khách quan, công tâm và đối xử bình đẳng với mọi người nộp thuế.  - HUMAN-TRU1]]</f>
        <v>9</v>
      </c>
      <c r="AN117" t="str">
        <f t="shared" si="40"/>
        <v>Support</v>
      </c>
      <c r="AO117" s="32">
        <f t="shared" si="41"/>
        <v>2</v>
      </c>
      <c r="AP117">
        <f>step3_validation[[#This Row],[AI_TRU2]]</f>
        <v>6</v>
      </c>
      <c r="AQ117" t="str">
        <f t="shared" si="42"/>
        <v>Neutral</v>
      </c>
      <c r="AR117">
        <f>survey_responses[[#This Row],[Tôi thấy mức thuế tôi phải đóng theo phương án mới là công bằng (người thu nhập như tôi đóng mức này là hợp lý). - HUMAN-TRU2]]</f>
        <v>9</v>
      </c>
      <c r="AS117" t="str">
        <f t="shared" si="43"/>
        <v>Support</v>
      </c>
      <c r="AT117" s="32">
        <f t="shared" si="44"/>
        <v>3</v>
      </c>
      <c r="AU117">
        <f>step3_validation[[#This Row],[AI_TRU3]]</f>
        <v>7</v>
      </c>
      <c r="AV117" t="str">
        <f t="shared" si="45"/>
        <v>Neutral</v>
      </c>
      <c r="AW117">
        <f>survey_responses[[#This Row],[Tôi tin tưởng số tiền thuế tôi đóng sẽ được Nhà nước sử dụng hiệu quả để cải thiện dịch vụ công (y tế, đường xá...). - HUMAN-TRU3]]</f>
        <v>9</v>
      </c>
      <c r="AX117" t="str">
        <f t="shared" si="46"/>
        <v>Support</v>
      </c>
      <c r="AY117" s="32">
        <f t="shared" si="47"/>
        <v>2</v>
      </c>
      <c r="AZ117">
        <f>step3_validation[[#This Row],[AI_TRU4]]</f>
        <v>6</v>
      </c>
      <c r="BA117" t="str">
        <f t="shared" si="48"/>
        <v>Neutral</v>
      </c>
      <c r="BB117">
        <f>survey_responses[[#This Row],[Tôi thấy Nhà nước đã giải thích rõ ràng, minh bạch về lý do và mục tiêu của việc sửa đổi thuế lần này. - HUMAN-TRU4]]</f>
        <v>8</v>
      </c>
      <c r="BC117" t="str">
        <f t="shared" si="49"/>
        <v>Support</v>
      </c>
      <c r="BD117" s="32">
        <f t="shared" si="50"/>
        <v>2</v>
      </c>
      <c r="BE117">
        <f>step3_validation[[#This Row],[AI_OUT1]]</f>
        <v>8</v>
      </c>
      <c r="BF117" t="str">
        <f t="shared" si="51"/>
        <v>Support</v>
      </c>
      <c r="BG117">
        <f>survey_responses[[#This Row],[Sau khi xem xét các quyền lợi và nghĩa vụ, bạn có ủng hộ và tuân thủ chính sách mới hiện nay? - HUMAN-OUT1]]</f>
        <v>9</v>
      </c>
      <c r="BH117" t="str">
        <f t="shared" si="52"/>
        <v>Support</v>
      </c>
      <c r="BI117" s="32">
        <f t="shared" si="53"/>
        <v>1</v>
      </c>
    </row>
    <row r="118" spans="1:61" x14ac:dyDescent="0.45">
      <c r="A118" s="30">
        <f>step3_validation[[#This Row],[Persona_ID]]</f>
        <v>117</v>
      </c>
      <c r="B118" s="31">
        <f>step3_validation[[#This Row],[Used_Seed]]</f>
        <v>12461</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55.109305365447113</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6</v>
      </c>
      <c r="R118" t="str">
        <f t="shared" si="27"/>
        <v>Neutral</v>
      </c>
      <c r="S118">
        <f>survey_responses[[#This Row],[Tôi tin rằng với các quy định quản lý thuế hiện nay, hành vi gian lận hoặc trốn thuế sẽ dễ dàng bị phát hiện và xử lý nghiêm. - HUMAN-ENF1]]</f>
        <v>8</v>
      </c>
      <c r="T118" t="str">
        <f t="shared" si="28"/>
        <v>Support</v>
      </c>
      <c r="U118" s="32">
        <f t="shared" si="29"/>
        <v>2</v>
      </c>
      <c r="V118">
        <f>step3_validation[[#This Row],[AI_ENF2]]</f>
        <v>7</v>
      </c>
      <c r="W118" t="str">
        <f t="shared" si="30"/>
        <v>Neutral</v>
      </c>
      <c r="X118">
        <f>survey_responses[[#This Row],[Tôi tin rằng Nhà nước, cơ quan thuế có đủ khả năng và công nghệ để phát hiện, xử lý nghiêm các hành vi trốn thuế. - HUMAN-ENF2]]</f>
        <v>9</v>
      </c>
      <c r="Y118" t="str">
        <f t="shared" si="31"/>
        <v>Support</v>
      </c>
      <c r="Z118" s="32">
        <f t="shared" si="32"/>
        <v>2</v>
      </c>
      <c r="AA118">
        <f>step3_validation[[#This Row],[AI_FAC1]]</f>
        <v>9</v>
      </c>
      <c r="AB118" t="str">
        <f t="shared" si="33"/>
        <v>Support</v>
      </c>
      <c r="AC118">
        <f>survey_responses[[#This Row],[Các thủ tục khai báo thuế VÀ/HOẶC quy trình làm việc với cơ quan thuế đơn giản, tiện lợi, nhanh chóng hơn so với trước đây. - HUMAN-FAC1]]</f>
        <v>8</v>
      </c>
      <c r="AD118" t="str">
        <f t="shared" si="34"/>
        <v>Support</v>
      </c>
      <c r="AE118" s="32">
        <f t="shared" si="35"/>
        <v>1</v>
      </c>
      <c r="AF118">
        <f>step3_validation[[#This Row],[AI_FAC2]]</f>
        <v>8</v>
      </c>
      <c r="AG118" t="str">
        <f t="shared" si="36"/>
        <v>Support</v>
      </c>
      <c r="AH118">
        <f>survey_responses[[#This Row],[So với trước đây, tôi thấy cách tính thuế và các bậc thuế trong phương án mới đơn giản, dễ hiểu và dễ thực hiện hơn. - HUMAN-FAC2]]</f>
        <v>6</v>
      </c>
      <c r="AI118" t="str">
        <f t="shared" si="37"/>
        <v>Neutral</v>
      </c>
      <c r="AJ118" s="32">
        <f t="shared" si="38"/>
        <v>2</v>
      </c>
      <c r="AK118">
        <f>step3_validation[[#This Row],[AI_TRU1]]</f>
        <v>6</v>
      </c>
      <c r="AL118" t="str">
        <f t="shared" si="39"/>
        <v>Neutral</v>
      </c>
      <c r="AM118">
        <f>survey_responses[[#This Row],[Tôi tin rằng Nhà nước, cơ quan thuế sẽ thực thi chính sách mới một cách khách quan, công tâm và đối xử bình đẳng với mọi người nộp thuế.  - HUMAN-TRU1]]</f>
        <v>8</v>
      </c>
      <c r="AN118" t="str">
        <f t="shared" si="40"/>
        <v>Support</v>
      </c>
      <c r="AO118" s="32">
        <f t="shared" si="41"/>
        <v>2</v>
      </c>
      <c r="AP118">
        <f>step3_validation[[#This Row],[AI_TRU2]]</f>
        <v>8</v>
      </c>
      <c r="AQ118" t="str">
        <f t="shared" si="42"/>
        <v>Support</v>
      </c>
      <c r="AR118">
        <f>survey_responses[[#This Row],[Tôi thấy mức thuế tôi phải đóng theo phương án mới là công bằng (người thu nhập như tôi đóng mức này là hợp lý). - HUMAN-TRU2]]</f>
        <v>8</v>
      </c>
      <c r="AS118" t="str">
        <f t="shared" si="43"/>
        <v>Support</v>
      </c>
      <c r="AT118" s="32">
        <f t="shared" si="44"/>
        <v>0</v>
      </c>
      <c r="AU118">
        <f>step3_validation[[#This Row],[AI_TRU3]]</f>
        <v>7</v>
      </c>
      <c r="AV118" t="str">
        <f t="shared" si="45"/>
        <v>Neutral</v>
      </c>
      <c r="AW118">
        <f>survey_responses[[#This Row],[Tôi tin tưởng số tiền thuế tôi đóng sẽ được Nhà nước sử dụng hiệu quả để cải thiện dịch vụ công (y tế, đường xá...). - HUMAN-TRU3]]</f>
        <v>8</v>
      </c>
      <c r="AX118" t="str">
        <f t="shared" si="46"/>
        <v>Support</v>
      </c>
      <c r="AY118" s="32">
        <f t="shared" si="47"/>
        <v>1</v>
      </c>
      <c r="AZ118">
        <f>step3_validation[[#This Row],[AI_TRU4]]</f>
        <v>6</v>
      </c>
      <c r="BA118" t="str">
        <f t="shared" si="48"/>
        <v>Neutral</v>
      </c>
      <c r="BB118">
        <f>survey_responses[[#This Row],[Tôi thấy Nhà nước đã giải thích rõ ràng, minh bạch về lý do và mục tiêu của việc sửa đổi thuế lần này. - HUMAN-TRU4]]</f>
        <v>8</v>
      </c>
      <c r="BC118" t="str">
        <f t="shared" si="49"/>
        <v>Support</v>
      </c>
      <c r="BD118" s="32">
        <f t="shared" si="50"/>
        <v>2</v>
      </c>
      <c r="BE118">
        <f>step3_validation[[#This Row],[AI_OUT1]]</f>
        <v>7</v>
      </c>
      <c r="BF118" t="str">
        <f t="shared" si="51"/>
        <v>Neutral</v>
      </c>
      <c r="BG118">
        <f>survey_responses[[#This Row],[Sau khi xem xét các quyền lợi và nghĩa vụ, bạn có ủng hộ và tuân thủ chính sách mới hiện nay? - HUMAN-OUT1]]</f>
        <v>6</v>
      </c>
      <c r="BH118" t="str">
        <f t="shared" si="52"/>
        <v>Neutral</v>
      </c>
      <c r="BI118" s="32">
        <f t="shared" si="53"/>
        <v>1</v>
      </c>
    </row>
    <row r="119" spans="1:61" x14ac:dyDescent="0.45">
      <c r="A119" s="30">
        <f>step3_validation[[#This Row],[Persona_ID]]</f>
        <v>118</v>
      </c>
      <c r="B119" s="31">
        <f>step3_validation[[#This Row],[Used_Seed]]</f>
        <v>12462</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32.303049665570924</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t="str">
        <f t="shared" si="27"/>
        <v>Neutral</v>
      </c>
      <c r="S119">
        <f>survey_responses[[#This Row],[Tôi tin rằng với các quy định quản lý thuế hiện nay, hành vi gian lận hoặc trốn thuế sẽ dễ dàng bị phát hiện và xử lý nghiêm. - HUMAN-ENF1]]</f>
        <v>4</v>
      </c>
      <c r="T119" t="str">
        <f t="shared" si="28"/>
        <v>Oppose</v>
      </c>
      <c r="U119" s="32">
        <f t="shared" si="29"/>
        <v>3</v>
      </c>
      <c r="V119">
        <f>step3_validation[[#This Row],[AI_ENF2]]</f>
        <v>8</v>
      </c>
      <c r="W119" t="str">
        <f t="shared" si="30"/>
        <v>Support</v>
      </c>
      <c r="X119">
        <f>survey_responses[[#This Row],[Tôi tin rằng Nhà nước, cơ quan thuế có đủ khả năng và công nghệ để phát hiện, xử lý nghiêm các hành vi trốn thuế. - HUMAN-ENF2]]</f>
        <v>1</v>
      </c>
      <c r="Y119" t="str">
        <f t="shared" si="31"/>
        <v>Oppose</v>
      </c>
      <c r="Z119" s="32">
        <f t="shared" si="32"/>
        <v>7</v>
      </c>
      <c r="AA119">
        <f>step3_validation[[#This Row],[AI_FAC1]]</f>
        <v>9</v>
      </c>
      <c r="AB119" t="str">
        <f t="shared" si="33"/>
        <v>Support</v>
      </c>
      <c r="AC119">
        <f>survey_responses[[#This Row],[Các thủ tục khai báo thuế VÀ/HOẶC quy trình làm việc với cơ quan thuế đơn giản, tiện lợi, nhanh chóng hơn so với trước đây. - HUMAN-FAC1]]</f>
        <v>1</v>
      </c>
      <c r="AD119" t="str">
        <f t="shared" si="34"/>
        <v>Oppose</v>
      </c>
      <c r="AE119" s="32">
        <f t="shared" si="35"/>
        <v>8</v>
      </c>
      <c r="AF119">
        <f>step3_validation[[#This Row],[AI_FAC2]]</f>
        <v>9</v>
      </c>
      <c r="AG119" t="str">
        <f t="shared" si="36"/>
        <v>Support</v>
      </c>
      <c r="AH119">
        <f>survey_responses[[#This Row],[So với trước đây, tôi thấy cách tính thuế và các bậc thuế trong phương án mới đơn giản, dễ hiểu và dễ thực hiện hơn. - HUMAN-FAC2]]</f>
        <v>5</v>
      </c>
      <c r="AI119" t="str">
        <f t="shared" si="37"/>
        <v>Neutral</v>
      </c>
      <c r="AJ119" s="32">
        <f t="shared" si="38"/>
        <v>4</v>
      </c>
      <c r="AK119">
        <f>step3_validation[[#This Row],[AI_TRU1]]</f>
        <v>8</v>
      </c>
      <c r="AL119" t="str">
        <f t="shared" si="39"/>
        <v>Support</v>
      </c>
      <c r="AM119">
        <f>survey_responses[[#This Row],[Tôi tin rằng Nhà nước, cơ quan thuế sẽ thực thi chính sách mới một cách khách quan, công tâm và đối xử bình đẳng với mọi người nộp thuế.  - HUMAN-TRU1]]</f>
        <v>1</v>
      </c>
      <c r="AN119" t="str">
        <f t="shared" si="40"/>
        <v>Oppose</v>
      </c>
      <c r="AO119" s="32">
        <f t="shared" si="41"/>
        <v>7</v>
      </c>
      <c r="AP119">
        <f>step3_validation[[#This Row],[AI_TRU2]]</f>
        <v>9</v>
      </c>
      <c r="AQ119" t="str">
        <f t="shared" si="42"/>
        <v>Support</v>
      </c>
      <c r="AR119">
        <f>survey_responses[[#This Row],[Tôi thấy mức thuế tôi phải đóng theo phương án mới là công bằng (người thu nhập như tôi đóng mức này là hợp lý). - HUMAN-TRU2]]</f>
        <v>3</v>
      </c>
      <c r="AS119" t="str">
        <f t="shared" si="43"/>
        <v>Oppose</v>
      </c>
      <c r="AT119" s="32">
        <f t="shared" si="44"/>
        <v>6</v>
      </c>
      <c r="AU119">
        <f>step3_validation[[#This Row],[AI_TRU3]]</f>
        <v>8</v>
      </c>
      <c r="AV119" t="str">
        <f t="shared" si="45"/>
        <v>Support</v>
      </c>
      <c r="AW119">
        <f>survey_responses[[#This Row],[Tôi tin tưởng số tiền thuế tôi đóng sẽ được Nhà nước sử dụng hiệu quả để cải thiện dịch vụ công (y tế, đường xá...). - HUMAN-TRU3]]</f>
        <v>1</v>
      </c>
      <c r="AX119" t="str">
        <f t="shared" si="46"/>
        <v>Oppose</v>
      </c>
      <c r="AY119" s="32">
        <f t="shared" si="47"/>
        <v>7</v>
      </c>
      <c r="AZ119">
        <f>step3_validation[[#This Row],[AI_TRU4]]</f>
        <v>7</v>
      </c>
      <c r="BA119" t="str">
        <f t="shared" si="48"/>
        <v>Neutral</v>
      </c>
      <c r="BB119">
        <f>survey_responses[[#This Row],[Tôi thấy Nhà nước đã giải thích rõ ràng, minh bạch về lý do và mục tiêu của việc sửa đổi thuế lần này. - HUMAN-TRU4]]</f>
        <v>1</v>
      </c>
      <c r="BC119" t="str">
        <f t="shared" si="49"/>
        <v>Oppose</v>
      </c>
      <c r="BD119" s="32">
        <f t="shared" si="50"/>
        <v>6</v>
      </c>
      <c r="BE119">
        <f>step3_validation[[#This Row],[AI_OUT1]]</f>
        <v>9</v>
      </c>
      <c r="BF119" t="str">
        <f t="shared" si="51"/>
        <v>Support</v>
      </c>
      <c r="BG119">
        <f>survey_responses[[#This Row],[Sau khi xem xét các quyền lợi và nghĩa vụ, bạn có ủng hộ và tuân thủ chính sách mới hiện nay? - HUMAN-OUT1]]</f>
        <v>5</v>
      </c>
      <c r="BH119" t="str">
        <f t="shared" si="52"/>
        <v>Neutral</v>
      </c>
      <c r="BI119" s="32">
        <f t="shared" si="53"/>
        <v>4</v>
      </c>
    </row>
    <row r="120" spans="1:61" x14ac:dyDescent="0.45">
      <c r="A120" s="30">
        <f>step3_validation[[#This Row],[Persona_ID]]</f>
        <v>119</v>
      </c>
      <c r="B120" s="31">
        <f>step3_validation[[#This Row],[Used_Seed]]</f>
        <v>12463</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54.417220266336805</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7</v>
      </c>
      <c r="R120" t="str">
        <f t="shared" si="27"/>
        <v>Neutral</v>
      </c>
      <c r="S120">
        <f>survey_responses[[#This Row],[Tôi tin rằng với các quy định quản lý thuế hiện nay, hành vi gian lận hoặc trốn thuế sẽ dễ dàng bị phát hiện và xử lý nghiêm. - HUMAN-ENF1]]</f>
        <v>8</v>
      </c>
      <c r="T120" t="str">
        <f t="shared" si="28"/>
        <v>Support</v>
      </c>
      <c r="U120" s="32">
        <f t="shared" si="29"/>
        <v>1</v>
      </c>
      <c r="V120">
        <f>step3_validation[[#This Row],[AI_ENF2]]</f>
        <v>8</v>
      </c>
      <c r="W120" t="str">
        <f t="shared" si="30"/>
        <v>Support</v>
      </c>
      <c r="X120">
        <f>survey_responses[[#This Row],[Tôi tin rằng Nhà nước, cơ quan thuế có đủ khả năng và công nghệ để phát hiện, xử lý nghiêm các hành vi trốn thuế. - HUMAN-ENF2]]</f>
        <v>8</v>
      </c>
      <c r="Y120" t="str">
        <f t="shared" si="31"/>
        <v>Support</v>
      </c>
      <c r="Z120" s="32">
        <f t="shared" si="32"/>
        <v>0</v>
      </c>
      <c r="AA120">
        <f>step3_validation[[#This Row],[AI_FAC1]]</f>
        <v>6</v>
      </c>
      <c r="AB120" t="str">
        <f t="shared" si="33"/>
        <v>Neutral</v>
      </c>
      <c r="AC120">
        <f>survey_responses[[#This Row],[Các thủ tục khai báo thuế VÀ/HOẶC quy trình làm việc với cơ quan thuế đơn giản, tiện lợi, nhanh chóng hơn so với trước đây. - HUMAN-FAC1]]</f>
        <v>6</v>
      </c>
      <c r="AD120" t="str">
        <f t="shared" si="34"/>
        <v>Neutral</v>
      </c>
      <c r="AE120" s="32">
        <f t="shared" si="35"/>
        <v>0</v>
      </c>
      <c r="AF120">
        <f>step3_validation[[#This Row],[AI_FAC2]]</f>
        <v>9</v>
      </c>
      <c r="AG120" t="str">
        <f t="shared" si="36"/>
        <v>Support</v>
      </c>
      <c r="AH120">
        <f>survey_responses[[#This Row],[So với trước đây, tôi thấy cách tính thuế và các bậc thuế trong phương án mới đơn giản, dễ hiểu và dễ thực hiện hơn. - HUMAN-FAC2]]</f>
        <v>9</v>
      </c>
      <c r="AI120" t="str">
        <f t="shared" si="37"/>
        <v>Support</v>
      </c>
      <c r="AJ120" s="32">
        <f t="shared" si="38"/>
        <v>0</v>
      </c>
      <c r="AK120">
        <f>step3_validation[[#This Row],[AI_TRU1]]</f>
        <v>7</v>
      </c>
      <c r="AL120" t="str">
        <f t="shared" si="39"/>
        <v>Neutral</v>
      </c>
      <c r="AM120">
        <f>survey_responses[[#This Row],[Tôi tin rằng Nhà nước, cơ quan thuế sẽ thực thi chính sách mới một cách khách quan, công tâm và đối xử bình đẳng với mọi người nộp thuế.  - HUMAN-TRU1]]</f>
        <v>8</v>
      </c>
      <c r="AN120" t="str">
        <f t="shared" si="40"/>
        <v>Support</v>
      </c>
      <c r="AO120" s="32">
        <f t="shared" si="41"/>
        <v>1</v>
      </c>
      <c r="AP120">
        <f>step3_validation[[#This Row],[AI_TRU2]]</f>
        <v>9</v>
      </c>
      <c r="AQ120" t="str">
        <f t="shared" si="42"/>
        <v>Support</v>
      </c>
      <c r="AR120">
        <f>survey_responses[[#This Row],[Tôi thấy mức thuế tôi phải đóng theo phương án mới là công bằng (người thu nhập như tôi đóng mức này là hợp lý). - HUMAN-TRU2]]</f>
        <v>7</v>
      </c>
      <c r="AS120" t="str">
        <f t="shared" si="43"/>
        <v>Neutral</v>
      </c>
      <c r="AT120" s="32">
        <f t="shared" si="44"/>
        <v>2</v>
      </c>
      <c r="AU120">
        <f>step3_validation[[#This Row],[AI_TRU3]]</f>
        <v>7</v>
      </c>
      <c r="AV120" t="str">
        <f t="shared" si="45"/>
        <v>Neutral</v>
      </c>
      <c r="AW120">
        <f>survey_responses[[#This Row],[Tôi tin tưởng số tiền thuế tôi đóng sẽ được Nhà nước sử dụng hiệu quả để cải thiện dịch vụ công (y tế, đường xá...). - HUMAN-TRU3]]</f>
        <v>7</v>
      </c>
      <c r="AX120" t="str">
        <f t="shared" si="46"/>
        <v>Neutral</v>
      </c>
      <c r="AY120" s="32">
        <f t="shared" si="47"/>
        <v>0</v>
      </c>
      <c r="AZ120">
        <f>step3_validation[[#This Row],[AI_TRU4]]</f>
        <v>6</v>
      </c>
      <c r="BA120" t="str">
        <f t="shared" si="48"/>
        <v>Neutral</v>
      </c>
      <c r="BB120">
        <f>survey_responses[[#This Row],[Tôi thấy Nhà nước đã giải thích rõ ràng, minh bạch về lý do và mục tiêu của việc sửa đổi thuế lần này. - HUMAN-TRU4]]</f>
        <v>7</v>
      </c>
      <c r="BC120" t="str">
        <f t="shared" si="49"/>
        <v>Neutral</v>
      </c>
      <c r="BD120" s="32">
        <f t="shared" si="50"/>
        <v>1</v>
      </c>
      <c r="BE120">
        <f>step3_validation[[#This Row],[AI_OUT1]]</f>
        <v>7</v>
      </c>
      <c r="BF120" t="str">
        <f t="shared" si="51"/>
        <v>Neutral</v>
      </c>
      <c r="BG120">
        <f>survey_responses[[#This Row],[Sau khi xem xét các quyền lợi và nghĩa vụ, bạn có ủng hộ và tuân thủ chính sách mới hiện nay? - HUMAN-OUT1]]</f>
        <v>7</v>
      </c>
      <c r="BH120" t="str">
        <f t="shared" si="52"/>
        <v>Neutral</v>
      </c>
      <c r="BI120" s="32">
        <f t="shared" si="53"/>
        <v>0</v>
      </c>
    </row>
    <row r="121" spans="1:61" x14ac:dyDescent="0.45">
      <c r="A121" s="30">
        <f>step3_validation[[#This Row],[Persona_ID]]</f>
        <v>120</v>
      </c>
      <c r="B121" s="31">
        <f>step3_validation[[#This Row],[Used_Seed]]</f>
        <v>12464</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24.420304051526717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6</v>
      </c>
      <c r="R121" t="str">
        <f t="shared" si="27"/>
        <v>Neutral</v>
      </c>
      <c r="S121">
        <f>survey_responses[[#This Row],[Tôi tin rằng với các quy định quản lý thuế hiện nay, hành vi gian lận hoặc trốn thuế sẽ dễ dàng bị phát hiện và xử lý nghiêm. - HUMAN-ENF1]]</f>
        <v>6</v>
      </c>
      <c r="T121" t="str">
        <f t="shared" si="28"/>
        <v>Neutral</v>
      </c>
      <c r="U121" s="32">
        <f t="shared" si="29"/>
        <v>0</v>
      </c>
      <c r="V121">
        <f>step3_validation[[#This Row],[AI_ENF2]]</f>
        <v>6</v>
      </c>
      <c r="W121" t="str">
        <f t="shared" si="30"/>
        <v>Neutral</v>
      </c>
      <c r="X121">
        <f>survey_responses[[#This Row],[Tôi tin rằng Nhà nước, cơ quan thuế có đủ khả năng và công nghệ để phát hiện, xử lý nghiêm các hành vi trốn thuế. - HUMAN-ENF2]]</f>
        <v>6</v>
      </c>
      <c r="Y121" t="str">
        <f t="shared" si="31"/>
        <v>Neutral</v>
      </c>
      <c r="Z121" s="32">
        <f t="shared" si="32"/>
        <v>0</v>
      </c>
      <c r="AA121">
        <f>step3_validation[[#This Row],[AI_FAC1]]</f>
        <v>7</v>
      </c>
      <c r="AB121" t="str">
        <f t="shared" si="33"/>
        <v>Neutral</v>
      </c>
      <c r="AC121">
        <f>survey_responses[[#This Row],[Các thủ tục khai báo thuế VÀ/HOẶC quy trình làm việc với cơ quan thuế đơn giản, tiện lợi, nhanh chóng hơn so với trước đây. - HUMAN-FAC1]]</f>
        <v>6</v>
      </c>
      <c r="AD121" t="str">
        <f t="shared" si="34"/>
        <v>Neutral</v>
      </c>
      <c r="AE121" s="32">
        <f t="shared" si="35"/>
        <v>1</v>
      </c>
      <c r="AF121">
        <f>step3_validation[[#This Row],[AI_FAC2]]</f>
        <v>8</v>
      </c>
      <c r="AG121" t="str">
        <f t="shared" si="36"/>
        <v>Support</v>
      </c>
      <c r="AH121">
        <f>survey_responses[[#This Row],[So với trước đây, tôi thấy cách tính thuế và các bậc thuế trong phương án mới đơn giản, dễ hiểu và dễ thực hiện hơn. - HUMAN-FAC2]]</f>
        <v>6</v>
      </c>
      <c r="AI121" t="str">
        <f t="shared" si="37"/>
        <v>Neutral</v>
      </c>
      <c r="AJ121" s="32">
        <f t="shared" si="38"/>
        <v>2</v>
      </c>
      <c r="AK121">
        <f>step3_validation[[#This Row],[AI_TRU1]]</f>
        <v>9</v>
      </c>
      <c r="AL121" t="str">
        <f t="shared" si="39"/>
        <v>Support</v>
      </c>
      <c r="AM121">
        <f>survey_responses[[#This Row],[Tôi tin rằng Nhà nước, cơ quan thuế sẽ thực thi chính sách mới một cách khách quan, công tâm và đối xử bình đẳng với mọi người nộp thuế.  - HUMAN-TRU1]]</f>
        <v>6</v>
      </c>
      <c r="AN121" t="str">
        <f t="shared" si="40"/>
        <v>Neutral</v>
      </c>
      <c r="AO121" s="32">
        <f t="shared" si="41"/>
        <v>3</v>
      </c>
      <c r="AP121">
        <f>step3_validation[[#This Row],[AI_TRU2]]</f>
        <v>8</v>
      </c>
      <c r="AQ121" t="str">
        <f t="shared" si="42"/>
        <v>Support</v>
      </c>
      <c r="AR121">
        <f>survey_responses[[#This Row],[Tôi thấy mức thuế tôi phải đóng theo phương án mới là công bằng (người thu nhập như tôi đóng mức này là hợp lý). - HUMAN-TRU2]]</f>
        <v>6</v>
      </c>
      <c r="AS121" t="str">
        <f t="shared" si="43"/>
        <v>Neutral</v>
      </c>
      <c r="AT121" s="32">
        <f t="shared" si="44"/>
        <v>2</v>
      </c>
      <c r="AU121">
        <f>step3_validation[[#This Row],[AI_TRU3]]</f>
        <v>7</v>
      </c>
      <c r="AV121" t="str">
        <f t="shared" si="45"/>
        <v>Neutral</v>
      </c>
      <c r="AW121">
        <f>survey_responses[[#This Row],[Tôi tin tưởng số tiền thuế tôi đóng sẽ được Nhà nước sử dụng hiệu quả để cải thiện dịch vụ công (y tế, đường xá...). - HUMAN-TRU3]]</f>
        <v>6</v>
      </c>
      <c r="AX121" t="str">
        <f t="shared" si="46"/>
        <v>Neutral</v>
      </c>
      <c r="AY121" s="32">
        <f t="shared" si="47"/>
        <v>1</v>
      </c>
      <c r="AZ121">
        <f>step3_validation[[#This Row],[AI_TRU4]]</f>
        <v>6</v>
      </c>
      <c r="BA121" t="str">
        <f t="shared" si="48"/>
        <v>Neutral</v>
      </c>
      <c r="BB121">
        <f>survey_responses[[#This Row],[Tôi thấy Nhà nước đã giải thích rõ ràng, minh bạch về lý do và mục tiêu của việc sửa đổi thuế lần này. - HUMAN-TRU4]]</f>
        <v>6</v>
      </c>
      <c r="BC121" t="str">
        <f t="shared" si="49"/>
        <v>Neutral</v>
      </c>
      <c r="BD121" s="32">
        <f t="shared" si="50"/>
        <v>0</v>
      </c>
      <c r="BE121">
        <f>step3_validation[[#This Row],[AI_OUT1]]</f>
        <v>9</v>
      </c>
      <c r="BF121" t="str">
        <f t="shared" si="51"/>
        <v>Support</v>
      </c>
      <c r="BG121">
        <f>survey_responses[[#This Row],[Sau khi xem xét các quyền lợi và nghĩa vụ, bạn có ủng hộ và tuân thủ chính sách mới hiện nay? - HUMAN-OUT1]]</f>
        <v>6</v>
      </c>
      <c r="BH121" t="str">
        <f t="shared" si="52"/>
        <v>Neutral</v>
      </c>
      <c r="BI121" s="32">
        <f t="shared" si="53"/>
        <v>3</v>
      </c>
    </row>
    <row r="122" spans="1:61" x14ac:dyDescent="0.45">
      <c r="A122" s="30">
        <f>step3_validation[[#This Row],[Persona_ID]]</f>
        <v>121</v>
      </c>
      <c r="B122" s="31">
        <f>step3_validation[[#This Row],[Used_Seed]]</f>
        <v>12465</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190.93869660954104</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t="str">
        <f t="shared" si="27"/>
        <v>Neutral</v>
      </c>
      <c r="S122">
        <f>survey_responses[[#This Row],[Tôi tin rằng với các quy định quản lý thuế hiện nay, hành vi gian lận hoặc trốn thuế sẽ dễ dàng bị phát hiện và xử lý nghiêm. - HUMAN-ENF1]]</f>
        <v>1</v>
      </c>
      <c r="T122" t="str">
        <f t="shared" si="28"/>
        <v>Oppose</v>
      </c>
      <c r="U122" s="32">
        <f t="shared" si="29"/>
        <v>6</v>
      </c>
      <c r="V122">
        <f>step3_validation[[#This Row],[AI_ENF2]]</f>
        <v>6</v>
      </c>
      <c r="W122" t="str">
        <f t="shared" si="30"/>
        <v>Neutral</v>
      </c>
      <c r="X122">
        <f>survey_responses[[#This Row],[Tôi tin rằng Nhà nước, cơ quan thuế có đủ khả năng và công nghệ để phát hiện, xử lý nghiêm các hành vi trốn thuế. - HUMAN-ENF2]]</f>
        <v>1</v>
      </c>
      <c r="Y122" t="str">
        <f t="shared" si="31"/>
        <v>Oppose</v>
      </c>
      <c r="Z122" s="32">
        <f t="shared" si="32"/>
        <v>5</v>
      </c>
      <c r="AA122">
        <f>step3_validation[[#This Row],[AI_FAC1]]</f>
        <v>5</v>
      </c>
      <c r="AB122" t="str">
        <f t="shared" si="33"/>
        <v>Neutral</v>
      </c>
      <c r="AC122">
        <f>survey_responses[[#This Row],[Các thủ tục khai báo thuế VÀ/HOẶC quy trình làm việc với cơ quan thuế đơn giản, tiện lợi, nhanh chóng hơn so với trước đây. - HUMAN-FAC1]]</f>
        <v>1</v>
      </c>
      <c r="AD122" t="str">
        <f t="shared" si="34"/>
        <v>Oppose</v>
      </c>
      <c r="AE122" s="32">
        <f t="shared" si="35"/>
        <v>4</v>
      </c>
      <c r="AF122">
        <f>step3_validation[[#This Row],[AI_FAC2]]</f>
        <v>8</v>
      </c>
      <c r="AG122" t="str">
        <f t="shared" si="36"/>
        <v>Support</v>
      </c>
      <c r="AH122">
        <f>survey_responses[[#This Row],[So với trước đây, tôi thấy cách tính thuế và các bậc thuế trong phương án mới đơn giản, dễ hiểu và dễ thực hiện hơn. - HUMAN-FAC2]]</f>
        <v>5</v>
      </c>
      <c r="AI122" t="str">
        <f t="shared" si="37"/>
        <v>Neutral</v>
      </c>
      <c r="AJ122" s="32">
        <f t="shared" si="38"/>
        <v>3</v>
      </c>
      <c r="AK122">
        <f>step3_validation[[#This Row],[AI_TRU1]]</f>
        <v>7</v>
      </c>
      <c r="AL122" t="str">
        <f t="shared" si="39"/>
        <v>Neutral</v>
      </c>
      <c r="AM122">
        <f>survey_responses[[#This Row],[Tôi tin rằng Nhà nước, cơ quan thuế sẽ thực thi chính sách mới một cách khách quan, công tâm và đối xử bình đẳng với mọi người nộp thuế.  - HUMAN-TRU1]]</f>
        <v>1</v>
      </c>
      <c r="AN122" t="str">
        <f t="shared" si="40"/>
        <v>Oppose</v>
      </c>
      <c r="AO122" s="32">
        <f t="shared" si="41"/>
        <v>6</v>
      </c>
      <c r="AP122">
        <f>step3_validation[[#This Row],[AI_TRU2]]</f>
        <v>9</v>
      </c>
      <c r="AQ122" t="str">
        <f t="shared" si="42"/>
        <v>Support</v>
      </c>
      <c r="AR122">
        <f>survey_responses[[#This Row],[Tôi thấy mức thuế tôi phải đóng theo phương án mới là công bằng (người thu nhập như tôi đóng mức này là hợp lý). - HUMAN-TRU2]]</f>
        <v>1</v>
      </c>
      <c r="AS122" t="str">
        <f t="shared" si="43"/>
        <v>Oppose</v>
      </c>
      <c r="AT122" s="32">
        <f t="shared" si="44"/>
        <v>8</v>
      </c>
      <c r="AU122">
        <f>step3_validation[[#This Row],[AI_TRU3]]</f>
        <v>7</v>
      </c>
      <c r="AV122" t="str">
        <f t="shared" si="45"/>
        <v>Neutral</v>
      </c>
      <c r="AW122">
        <f>survey_responses[[#This Row],[Tôi tin tưởng số tiền thuế tôi đóng sẽ được Nhà nước sử dụng hiệu quả để cải thiện dịch vụ công (y tế, đường xá...). - HUMAN-TRU3]]</f>
        <v>1</v>
      </c>
      <c r="AX122" t="str">
        <f t="shared" si="46"/>
        <v>Oppose</v>
      </c>
      <c r="AY122" s="32">
        <f t="shared" si="47"/>
        <v>6</v>
      </c>
      <c r="AZ122">
        <f>step3_validation[[#This Row],[AI_TRU4]]</f>
        <v>6</v>
      </c>
      <c r="BA122" t="str">
        <f t="shared" si="48"/>
        <v>Neutral</v>
      </c>
      <c r="BB122">
        <f>survey_responses[[#This Row],[Tôi thấy Nhà nước đã giải thích rõ ràng, minh bạch về lý do và mục tiêu của việc sửa đổi thuế lần này. - HUMAN-TRU4]]</f>
        <v>1</v>
      </c>
      <c r="BC122" t="str">
        <f t="shared" si="49"/>
        <v>Oppose</v>
      </c>
      <c r="BD122" s="32">
        <f t="shared" si="50"/>
        <v>5</v>
      </c>
      <c r="BE122">
        <f>step3_validation[[#This Row],[AI_OUT1]]</f>
        <v>9</v>
      </c>
      <c r="BF122" t="str">
        <f t="shared" si="51"/>
        <v>Support</v>
      </c>
      <c r="BG122">
        <f>survey_responses[[#This Row],[Sau khi xem xét các quyền lợi và nghĩa vụ, bạn có ủng hộ và tuân thủ chính sách mới hiện nay? - HUMAN-OUT1]]</f>
        <v>5</v>
      </c>
      <c r="BH122" t="str">
        <f t="shared" si="52"/>
        <v>Neutral</v>
      </c>
      <c r="BI122" s="32">
        <f t="shared" si="53"/>
        <v>4</v>
      </c>
    </row>
    <row r="123" spans="1:61" x14ac:dyDescent="0.45">
      <c r="A123" s="30">
        <f>step3_validation[[#This Row],[Persona_ID]]</f>
        <v>122</v>
      </c>
      <c r="B123" s="31">
        <f>step3_validation[[#This Row],[Used_Seed]]</f>
        <v>12466</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216.9380314138582</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7</v>
      </c>
      <c r="R123" t="str">
        <f t="shared" si="27"/>
        <v>Neutral</v>
      </c>
      <c r="S123">
        <f>survey_responses[[#This Row],[Tôi tin rằng với các quy định quản lý thuế hiện nay, hành vi gian lận hoặc trốn thuế sẽ dễ dàng bị phát hiện và xử lý nghiêm. - HUMAN-ENF1]]</f>
        <v>4</v>
      </c>
      <c r="T123" t="str">
        <f t="shared" si="28"/>
        <v>Oppose</v>
      </c>
      <c r="U123" s="32">
        <f t="shared" si="29"/>
        <v>3</v>
      </c>
      <c r="V123">
        <f>step3_validation[[#This Row],[AI_ENF2]]</f>
        <v>7</v>
      </c>
      <c r="W123" t="str">
        <f t="shared" si="30"/>
        <v>Neutral</v>
      </c>
      <c r="X123">
        <f>survey_responses[[#This Row],[Tôi tin rằng Nhà nước, cơ quan thuế có đủ khả năng và công nghệ để phát hiện, xử lý nghiêm các hành vi trốn thuế. - HUMAN-ENF2]]</f>
        <v>4</v>
      </c>
      <c r="Y123" t="str">
        <f t="shared" si="31"/>
        <v>Oppose</v>
      </c>
      <c r="Z123" s="32">
        <f t="shared" si="32"/>
        <v>3</v>
      </c>
      <c r="AA123">
        <f>step3_validation[[#This Row],[AI_FAC1]]</f>
        <v>8</v>
      </c>
      <c r="AB123" t="str">
        <f t="shared" si="33"/>
        <v>Support</v>
      </c>
      <c r="AC123">
        <f>survey_responses[[#This Row],[Các thủ tục khai báo thuế VÀ/HOẶC quy trình làm việc với cơ quan thuế đơn giản, tiện lợi, nhanh chóng hơn so với trước đây. - HUMAN-FAC1]]</f>
        <v>2</v>
      </c>
      <c r="AD123" t="str">
        <f t="shared" si="34"/>
        <v>Oppose</v>
      </c>
      <c r="AE123" s="32">
        <f t="shared" si="35"/>
        <v>6</v>
      </c>
      <c r="AF123">
        <f>step3_validation[[#This Row],[AI_FAC2]]</f>
        <v>9</v>
      </c>
      <c r="AG123" t="str">
        <f t="shared" si="36"/>
        <v>Support</v>
      </c>
      <c r="AH123">
        <f>survey_responses[[#This Row],[So với trước đây, tôi thấy cách tính thuế và các bậc thuế trong phương án mới đơn giản, dễ hiểu và dễ thực hiện hơn. - HUMAN-FAC2]]</f>
        <v>5</v>
      </c>
      <c r="AI123" t="str">
        <f t="shared" si="37"/>
        <v>Neutral</v>
      </c>
      <c r="AJ123" s="32">
        <f t="shared" si="38"/>
        <v>4</v>
      </c>
      <c r="AK123">
        <f>step3_validation[[#This Row],[AI_TRU1]]</f>
        <v>6</v>
      </c>
      <c r="AL123" t="str">
        <f t="shared" si="39"/>
        <v>Neutral</v>
      </c>
      <c r="AM123">
        <f>survey_responses[[#This Row],[Tôi tin rằng Nhà nước, cơ quan thuế sẽ thực thi chính sách mới một cách khách quan, công tâm và đối xử bình đẳng với mọi người nộp thuế.  - HUMAN-TRU1]]</f>
        <v>1</v>
      </c>
      <c r="AN123" t="str">
        <f t="shared" si="40"/>
        <v>Oppose</v>
      </c>
      <c r="AO123" s="32">
        <f t="shared" si="41"/>
        <v>5</v>
      </c>
      <c r="AP123">
        <f>step3_validation[[#This Row],[AI_TRU2]]</f>
        <v>7</v>
      </c>
      <c r="AQ123" t="str">
        <f t="shared" si="42"/>
        <v>Neutral</v>
      </c>
      <c r="AR123">
        <f>survey_responses[[#This Row],[Tôi thấy mức thuế tôi phải đóng theo phương án mới là công bằng (người thu nhập như tôi đóng mức này là hợp lý). - HUMAN-TRU2]]</f>
        <v>1</v>
      </c>
      <c r="AS123" t="str">
        <f t="shared" si="43"/>
        <v>Oppose</v>
      </c>
      <c r="AT123" s="32">
        <f t="shared" si="44"/>
        <v>6</v>
      </c>
      <c r="AU123">
        <f>step3_validation[[#This Row],[AI_TRU3]]</f>
        <v>6</v>
      </c>
      <c r="AV123" t="str">
        <f t="shared" si="45"/>
        <v>Neutral</v>
      </c>
      <c r="AW123">
        <f>survey_responses[[#This Row],[Tôi tin tưởng số tiền thuế tôi đóng sẽ được Nhà nước sử dụng hiệu quả để cải thiện dịch vụ công (y tế, đường xá...). - HUMAN-TRU3]]</f>
        <v>1</v>
      </c>
      <c r="AX123" t="str">
        <f t="shared" si="46"/>
        <v>Oppose</v>
      </c>
      <c r="AY123" s="32">
        <f t="shared" si="47"/>
        <v>5</v>
      </c>
      <c r="AZ123">
        <f>step3_validation[[#This Row],[AI_TRU4]]</f>
        <v>8</v>
      </c>
      <c r="BA123" t="str">
        <f t="shared" si="48"/>
        <v>Support</v>
      </c>
      <c r="BB123">
        <f>survey_responses[[#This Row],[Tôi thấy Nhà nước đã giải thích rõ ràng, minh bạch về lý do và mục tiêu của việc sửa đổi thuế lần này. - HUMAN-TRU4]]</f>
        <v>4</v>
      </c>
      <c r="BC123" t="str">
        <f t="shared" si="49"/>
        <v>Oppose</v>
      </c>
      <c r="BD123" s="32">
        <f t="shared" si="50"/>
        <v>4</v>
      </c>
      <c r="BE123">
        <f>step3_validation[[#This Row],[AI_OUT1]]</f>
        <v>9</v>
      </c>
      <c r="BF123" t="str">
        <f t="shared" si="51"/>
        <v>Support</v>
      </c>
      <c r="BG123">
        <f>survey_responses[[#This Row],[Sau khi xem xét các quyền lợi và nghĩa vụ, bạn có ủng hộ và tuân thủ chính sách mới hiện nay? - HUMAN-OUT1]]</f>
        <v>4</v>
      </c>
      <c r="BH123" t="str">
        <f t="shared" si="52"/>
        <v>Oppose</v>
      </c>
      <c r="BI123" s="32">
        <f t="shared" si="53"/>
        <v>5</v>
      </c>
    </row>
    <row r="124" spans="1:61" x14ac:dyDescent="0.45">
      <c r="A124" s="30">
        <f>step3_validation[[#This Row],[Persona_ID]]</f>
        <v>123</v>
      </c>
      <c r="B124" s="31">
        <f>step3_validation[[#This Row],[Used_Seed]]</f>
        <v>12467</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t="str">
        <f t="shared" si="27"/>
        <v>Support</v>
      </c>
      <c r="S124">
        <f>survey_responses[[#This Row],[Tôi tin rằng với các quy định quản lý thuế hiện nay, hành vi gian lận hoặc trốn thuế sẽ dễ dàng bị phát hiện và xử lý nghiêm. - HUMAN-ENF1]]</f>
        <v>7</v>
      </c>
      <c r="T124" t="str">
        <f t="shared" si="28"/>
        <v>Neutral</v>
      </c>
      <c r="U124" s="32">
        <f t="shared" si="29"/>
        <v>1</v>
      </c>
      <c r="V124">
        <f>step3_validation[[#This Row],[AI_ENF2]]</f>
        <v>7</v>
      </c>
      <c r="W124" t="str">
        <f t="shared" si="30"/>
        <v>Neutral</v>
      </c>
      <c r="X124">
        <f>survey_responses[[#This Row],[Tôi tin rằng Nhà nước, cơ quan thuế có đủ khả năng và công nghệ để phát hiện, xử lý nghiêm các hành vi trốn thuế. - HUMAN-ENF2]]</f>
        <v>7</v>
      </c>
      <c r="Y124" t="str">
        <f t="shared" si="31"/>
        <v>Neutral</v>
      </c>
      <c r="Z124" s="32">
        <f t="shared" si="32"/>
        <v>0</v>
      </c>
      <c r="AA124">
        <f>step3_validation[[#This Row],[AI_FAC1]]</f>
        <v>9</v>
      </c>
      <c r="AB124" t="str">
        <f t="shared" si="33"/>
        <v>Support</v>
      </c>
      <c r="AC124">
        <f>survey_responses[[#This Row],[Các thủ tục khai báo thuế VÀ/HOẶC quy trình làm việc với cơ quan thuế đơn giản, tiện lợi, nhanh chóng hơn so với trước đây. - HUMAN-FAC1]]</f>
        <v>7</v>
      </c>
      <c r="AD124" t="str">
        <f t="shared" si="34"/>
        <v>Neutral</v>
      </c>
      <c r="AE124" s="32">
        <f t="shared" si="35"/>
        <v>2</v>
      </c>
      <c r="AF124">
        <f>step3_validation[[#This Row],[AI_FAC2]]</f>
        <v>8</v>
      </c>
      <c r="AG124" t="str">
        <f t="shared" si="36"/>
        <v>Support</v>
      </c>
      <c r="AH124">
        <f>survey_responses[[#This Row],[So với trước đây, tôi thấy cách tính thuế và các bậc thuế trong phương án mới đơn giản, dễ hiểu và dễ thực hiện hơn. - HUMAN-FAC2]]</f>
        <v>7</v>
      </c>
      <c r="AI124" t="str">
        <f t="shared" si="37"/>
        <v>Neutral</v>
      </c>
      <c r="AJ124" s="32">
        <f t="shared" si="38"/>
        <v>1</v>
      </c>
      <c r="AK124">
        <f>step3_validation[[#This Row],[AI_TRU1]]</f>
        <v>9</v>
      </c>
      <c r="AL124" t="str">
        <f t="shared" si="39"/>
        <v>Support</v>
      </c>
      <c r="AM124">
        <f>survey_responses[[#This Row],[Tôi tin rằng Nhà nước, cơ quan thuế sẽ thực thi chính sách mới một cách khách quan, công tâm và đối xử bình đẳng với mọi người nộp thuế.  - HUMAN-TRU1]]</f>
        <v>7</v>
      </c>
      <c r="AN124" t="str">
        <f t="shared" si="40"/>
        <v>Neutral</v>
      </c>
      <c r="AO124" s="32">
        <f t="shared" si="41"/>
        <v>2</v>
      </c>
      <c r="AP124">
        <f>step3_validation[[#This Row],[AI_TRU2]]</f>
        <v>8</v>
      </c>
      <c r="AQ124" t="str">
        <f t="shared" si="42"/>
        <v>Support</v>
      </c>
      <c r="AR124">
        <f>survey_responses[[#This Row],[Tôi thấy mức thuế tôi phải đóng theo phương án mới là công bằng (người thu nhập như tôi đóng mức này là hợp lý). - HUMAN-TRU2]]</f>
        <v>7</v>
      </c>
      <c r="AS124" t="str">
        <f t="shared" si="43"/>
        <v>Neutral</v>
      </c>
      <c r="AT124" s="32">
        <f t="shared" si="44"/>
        <v>1</v>
      </c>
      <c r="AU124">
        <f>step3_validation[[#This Row],[AI_TRU3]]</f>
        <v>9</v>
      </c>
      <c r="AV124" t="str">
        <f t="shared" si="45"/>
        <v>Support</v>
      </c>
      <c r="AW124">
        <f>survey_responses[[#This Row],[Tôi tin tưởng số tiền thuế tôi đóng sẽ được Nhà nước sử dụng hiệu quả để cải thiện dịch vụ công (y tế, đường xá...). - HUMAN-TRU3]]</f>
        <v>7</v>
      </c>
      <c r="AX124" t="str">
        <f t="shared" si="46"/>
        <v>Neutral</v>
      </c>
      <c r="AY124" s="32">
        <f t="shared" si="47"/>
        <v>2</v>
      </c>
      <c r="AZ124">
        <f>step3_validation[[#This Row],[AI_TRU4]]</f>
        <v>7</v>
      </c>
      <c r="BA124" t="str">
        <f t="shared" si="48"/>
        <v>Neutral</v>
      </c>
      <c r="BB124">
        <f>survey_responses[[#This Row],[Tôi thấy Nhà nước đã giải thích rõ ràng, minh bạch về lý do và mục tiêu của việc sửa đổi thuế lần này. - HUMAN-TRU4]]</f>
        <v>7</v>
      </c>
      <c r="BC124" t="str">
        <f t="shared" si="49"/>
        <v>Neutral</v>
      </c>
      <c r="BD124" s="32">
        <f t="shared" si="50"/>
        <v>0</v>
      </c>
      <c r="BE124">
        <f>step3_validation[[#This Row],[AI_OUT1]]</f>
        <v>9</v>
      </c>
      <c r="BF124" t="str">
        <f t="shared" si="51"/>
        <v>Support</v>
      </c>
      <c r="BG124">
        <f>survey_responses[[#This Row],[Sau khi xem xét các quyền lợi và nghĩa vụ, bạn có ủng hộ và tuân thủ chính sách mới hiện nay? - HUMAN-OUT1]]</f>
        <v>8</v>
      </c>
      <c r="BH124" t="str">
        <f t="shared" si="52"/>
        <v>Support</v>
      </c>
      <c r="BI124" s="32">
        <f t="shared" si="53"/>
        <v>1</v>
      </c>
    </row>
    <row r="125" spans="1:61" x14ac:dyDescent="0.45">
      <c r="A125" s="30">
        <f>step3_validation[[#This Row],[Persona_ID]]</f>
        <v>124</v>
      </c>
      <c r="B125" s="31">
        <f>step3_validation[[#This Row],[Used_Seed]]</f>
        <v>12468</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41.480798696452553</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6</v>
      </c>
      <c r="R125" t="str">
        <f t="shared" si="27"/>
        <v>Neutral</v>
      </c>
      <c r="S125">
        <f>survey_responses[[#This Row],[Tôi tin rằng với các quy định quản lý thuế hiện nay, hành vi gian lận hoặc trốn thuế sẽ dễ dàng bị phát hiện và xử lý nghiêm. - HUMAN-ENF1]]</f>
        <v>10</v>
      </c>
      <c r="T125" t="str">
        <f t="shared" si="28"/>
        <v>Support</v>
      </c>
      <c r="U125" s="32">
        <f t="shared" si="29"/>
        <v>4</v>
      </c>
      <c r="V125">
        <f>step3_validation[[#This Row],[AI_ENF2]]</f>
        <v>7</v>
      </c>
      <c r="W125" t="str">
        <f t="shared" si="30"/>
        <v>Neutral</v>
      </c>
      <c r="X125">
        <f>survey_responses[[#This Row],[Tôi tin rằng Nhà nước, cơ quan thuế có đủ khả năng và công nghệ để phát hiện, xử lý nghiêm các hành vi trốn thuế. - HUMAN-ENF2]]</f>
        <v>9</v>
      </c>
      <c r="Y125" t="str">
        <f t="shared" si="31"/>
        <v>Support</v>
      </c>
      <c r="Z125" s="32">
        <f t="shared" si="32"/>
        <v>2</v>
      </c>
      <c r="AA125">
        <f>step3_validation[[#This Row],[AI_FAC1]]</f>
        <v>8</v>
      </c>
      <c r="AB125" t="str">
        <f t="shared" si="33"/>
        <v>Support</v>
      </c>
      <c r="AC125">
        <f>survey_responses[[#This Row],[Các thủ tục khai báo thuế VÀ/HOẶC quy trình làm việc với cơ quan thuế đơn giản, tiện lợi, nhanh chóng hơn so với trước đây. - HUMAN-FAC1]]</f>
        <v>10</v>
      </c>
      <c r="AD125" t="str">
        <f t="shared" si="34"/>
        <v>Support</v>
      </c>
      <c r="AE125" s="32">
        <f t="shared" si="35"/>
        <v>2</v>
      </c>
      <c r="AF125">
        <f>step3_validation[[#This Row],[AI_FAC2]]</f>
        <v>9</v>
      </c>
      <c r="AG125" t="str">
        <f t="shared" si="36"/>
        <v>Support</v>
      </c>
      <c r="AH125">
        <f>survey_responses[[#This Row],[So với trước đây, tôi thấy cách tính thuế và các bậc thuế trong phương án mới đơn giản, dễ hiểu và dễ thực hiện hơn. - HUMAN-FAC2]]</f>
        <v>10</v>
      </c>
      <c r="AI125" t="str">
        <f t="shared" si="37"/>
        <v>Support</v>
      </c>
      <c r="AJ125" s="32">
        <f t="shared" si="38"/>
        <v>1</v>
      </c>
      <c r="AK125">
        <f>step3_validation[[#This Row],[AI_TRU1]]</f>
        <v>7</v>
      </c>
      <c r="AL125" t="str">
        <f t="shared" si="39"/>
        <v>Neutral</v>
      </c>
      <c r="AM125">
        <f>survey_responses[[#This Row],[Tôi tin rằng Nhà nước, cơ quan thuế sẽ thực thi chính sách mới một cách khách quan, công tâm và đối xử bình đẳng với mọi người nộp thuế.  - HUMAN-TRU1]]</f>
        <v>10</v>
      </c>
      <c r="AN125" t="str">
        <f t="shared" si="40"/>
        <v>Support</v>
      </c>
      <c r="AO125" s="32">
        <f t="shared" si="41"/>
        <v>3</v>
      </c>
      <c r="AP125">
        <f>step3_validation[[#This Row],[AI_TRU2]]</f>
        <v>8</v>
      </c>
      <c r="AQ125" t="str">
        <f t="shared" si="42"/>
        <v>Support</v>
      </c>
      <c r="AR125">
        <f>survey_responses[[#This Row],[Tôi thấy mức thuế tôi phải đóng theo phương án mới là công bằng (người thu nhập như tôi đóng mức này là hợp lý). - HUMAN-TRU2]]</f>
        <v>8</v>
      </c>
      <c r="AS125" t="str">
        <f t="shared" si="43"/>
        <v>Support</v>
      </c>
      <c r="AT125" s="32">
        <f t="shared" si="44"/>
        <v>0</v>
      </c>
      <c r="AU125">
        <f>step3_validation[[#This Row],[AI_TRU3]]</f>
        <v>7</v>
      </c>
      <c r="AV125" t="str">
        <f t="shared" si="45"/>
        <v>Neutral</v>
      </c>
      <c r="AW125">
        <f>survey_responses[[#This Row],[Tôi tin tưởng số tiền thuế tôi đóng sẽ được Nhà nước sử dụng hiệu quả để cải thiện dịch vụ công (y tế, đường xá...). - HUMAN-TRU3]]</f>
        <v>9</v>
      </c>
      <c r="AX125" t="str">
        <f t="shared" si="46"/>
        <v>Support</v>
      </c>
      <c r="AY125" s="32">
        <f t="shared" si="47"/>
        <v>2</v>
      </c>
      <c r="AZ125">
        <f>step3_validation[[#This Row],[AI_TRU4]]</f>
        <v>9</v>
      </c>
      <c r="BA125" t="str">
        <f t="shared" si="48"/>
        <v>Support</v>
      </c>
      <c r="BB125">
        <f>survey_responses[[#This Row],[Tôi thấy Nhà nước đã giải thích rõ ràng, minh bạch về lý do và mục tiêu của việc sửa đổi thuế lần này. - HUMAN-TRU4]]</f>
        <v>9</v>
      </c>
      <c r="BC125" t="str">
        <f t="shared" si="49"/>
        <v>Support</v>
      </c>
      <c r="BD125" s="32">
        <f t="shared" si="50"/>
        <v>0</v>
      </c>
      <c r="BE125">
        <f>step3_validation[[#This Row],[AI_OUT1]]</f>
        <v>8</v>
      </c>
      <c r="BF125" t="str">
        <f t="shared" si="51"/>
        <v>Support</v>
      </c>
      <c r="BG125">
        <f>survey_responses[[#This Row],[Sau khi xem xét các quyền lợi và nghĩa vụ, bạn có ủng hộ và tuân thủ chính sách mới hiện nay? - HUMAN-OUT1]]</f>
        <v>9</v>
      </c>
      <c r="BH125" t="str">
        <f t="shared" si="52"/>
        <v>Support</v>
      </c>
      <c r="BI125" s="32">
        <f t="shared" si="53"/>
        <v>1</v>
      </c>
    </row>
    <row r="126" spans="1:61" x14ac:dyDescent="0.45">
      <c r="A126" s="30">
        <f>step3_validation[[#This Row],[Persona_ID]]</f>
        <v>125</v>
      </c>
      <c r="B126" s="31">
        <f>step3_validation[[#This Row],[Used_Seed]]</f>
        <v>12469</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12.055014978250577</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7</v>
      </c>
      <c r="R126" t="str">
        <f t="shared" si="27"/>
        <v>Neutral</v>
      </c>
      <c r="S126">
        <f>survey_responses[[#This Row],[Tôi tin rằng với các quy định quản lý thuế hiện nay, hành vi gian lận hoặc trốn thuế sẽ dễ dàng bị phát hiện và xử lý nghiêm. - HUMAN-ENF1]]</f>
        <v>10</v>
      </c>
      <c r="T126" t="str">
        <f t="shared" si="28"/>
        <v>Support</v>
      </c>
      <c r="U126" s="32">
        <f t="shared" si="29"/>
        <v>3</v>
      </c>
      <c r="V126">
        <f>step3_validation[[#This Row],[AI_ENF2]]</f>
        <v>8</v>
      </c>
      <c r="W126" t="str">
        <f t="shared" si="30"/>
        <v>Support</v>
      </c>
      <c r="X126">
        <f>survey_responses[[#This Row],[Tôi tin rằng Nhà nước, cơ quan thuế có đủ khả năng và công nghệ để phát hiện, xử lý nghiêm các hành vi trốn thuế. - HUMAN-ENF2]]</f>
        <v>10</v>
      </c>
      <c r="Y126" t="str">
        <f t="shared" si="31"/>
        <v>Support</v>
      </c>
      <c r="Z126" s="32">
        <f t="shared" si="32"/>
        <v>2</v>
      </c>
      <c r="AA126">
        <f>step3_validation[[#This Row],[AI_FAC1]]</f>
        <v>7</v>
      </c>
      <c r="AB126" t="str">
        <f t="shared" si="33"/>
        <v>Neutral</v>
      </c>
      <c r="AC126">
        <f>survey_responses[[#This Row],[Các thủ tục khai báo thuế VÀ/HOẶC quy trình làm việc với cơ quan thuế đơn giản, tiện lợi, nhanh chóng hơn so với trước đây. - HUMAN-FAC1]]</f>
        <v>10</v>
      </c>
      <c r="AD126" t="str">
        <f t="shared" si="34"/>
        <v>Support</v>
      </c>
      <c r="AE126" s="32">
        <f t="shared" si="35"/>
        <v>3</v>
      </c>
      <c r="AF126">
        <f>step3_validation[[#This Row],[AI_FAC2]]</f>
        <v>9</v>
      </c>
      <c r="AG126" t="str">
        <f t="shared" si="36"/>
        <v>Support</v>
      </c>
      <c r="AH126">
        <f>survey_responses[[#This Row],[So với trước đây, tôi thấy cách tính thuế và các bậc thuế trong phương án mới đơn giản, dễ hiểu và dễ thực hiện hơn. - HUMAN-FAC2]]</f>
        <v>10</v>
      </c>
      <c r="AI126" t="str">
        <f t="shared" si="37"/>
        <v>Support</v>
      </c>
      <c r="AJ126" s="32">
        <f t="shared" si="38"/>
        <v>1</v>
      </c>
      <c r="AK126">
        <f>step3_validation[[#This Row],[AI_TRU1]]</f>
        <v>8</v>
      </c>
      <c r="AL126" t="str">
        <f t="shared" si="39"/>
        <v>Support</v>
      </c>
      <c r="AM126">
        <f>survey_responses[[#This Row],[Tôi tin rằng Nhà nước, cơ quan thuế sẽ thực thi chính sách mới một cách khách quan, công tâm và đối xử bình đẳng với mọi người nộp thuế.  - HUMAN-TRU1]]</f>
        <v>10</v>
      </c>
      <c r="AN126" t="str">
        <f t="shared" si="40"/>
        <v>Support</v>
      </c>
      <c r="AO126" s="32">
        <f t="shared" si="41"/>
        <v>2</v>
      </c>
      <c r="AP126">
        <f>step3_validation[[#This Row],[AI_TRU2]]</f>
        <v>9</v>
      </c>
      <c r="AQ126" t="str">
        <f t="shared" si="42"/>
        <v>Support</v>
      </c>
      <c r="AR126">
        <f>survey_responses[[#This Row],[Tôi thấy mức thuế tôi phải đóng theo phương án mới là công bằng (người thu nhập như tôi đóng mức này là hợp lý). - HUMAN-TRU2]]</f>
        <v>10</v>
      </c>
      <c r="AS126" t="str">
        <f t="shared" si="43"/>
        <v>Support</v>
      </c>
      <c r="AT126" s="32">
        <f t="shared" si="44"/>
        <v>1</v>
      </c>
      <c r="AU126">
        <f>step3_validation[[#This Row],[AI_TRU3]]</f>
        <v>8</v>
      </c>
      <c r="AV126" t="str">
        <f t="shared" si="45"/>
        <v>Support</v>
      </c>
      <c r="AW126">
        <f>survey_responses[[#This Row],[Tôi tin tưởng số tiền thuế tôi đóng sẽ được Nhà nước sử dụng hiệu quả để cải thiện dịch vụ công (y tế, đường xá...). - HUMAN-TRU3]]</f>
        <v>10</v>
      </c>
      <c r="AX126" t="str">
        <f t="shared" si="46"/>
        <v>Support</v>
      </c>
      <c r="AY126" s="32">
        <f t="shared" si="47"/>
        <v>2</v>
      </c>
      <c r="AZ126">
        <f>step3_validation[[#This Row],[AI_TRU4]]</f>
        <v>7</v>
      </c>
      <c r="BA126" t="str">
        <f t="shared" si="48"/>
        <v>Neutral</v>
      </c>
      <c r="BB126">
        <f>survey_responses[[#This Row],[Tôi thấy Nhà nước đã giải thích rõ ràng, minh bạch về lý do và mục tiêu của việc sửa đổi thuế lần này. - HUMAN-TRU4]]</f>
        <v>10</v>
      </c>
      <c r="BC126" t="str">
        <f t="shared" si="49"/>
        <v>Support</v>
      </c>
      <c r="BD126" s="32">
        <f t="shared" si="50"/>
        <v>3</v>
      </c>
      <c r="BE126">
        <f>step3_validation[[#This Row],[AI_OUT1]]</f>
        <v>8</v>
      </c>
      <c r="BF126" t="str">
        <f t="shared" si="51"/>
        <v>Support</v>
      </c>
      <c r="BG126">
        <f>survey_responses[[#This Row],[Sau khi xem xét các quyền lợi và nghĩa vụ, bạn có ủng hộ và tuân thủ chính sách mới hiện nay? - HUMAN-OUT1]]</f>
        <v>10</v>
      </c>
      <c r="BH126" t="str">
        <f t="shared" si="52"/>
        <v>Support</v>
      </c>
      <c r="BI126" s="32">
        <f t="shared" si="53"/>
        <v>2</v>
      </c>
    </row>
    <row r="127" spans="1:61" x14ac:dyDescent="0.45">
      <c r="A127" s="30">
        <f>step3_validation[[#This Row],[Persona_ID]]</f>
        <v>126</v>
      </c>
      <c r="B127" s="31">
        <f>step3_validation[[#This Row],[Used_Seed]]</f>
        <v>12470</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28.406554438717116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8</v>
      </c>
      <c r="R127" t="str">
        <f t="shared" si="27"/>
        <v>Support</v>
      </c>
      <c r="S127">
        <f>survey_responses[[#This Row],[Tôi tin rằng với các quy định quản lý thuế hiện nay, hành vi gian lận hoặc trốn thuế sẽ dễ dàng bị phát hiện và xử lý nghiêm. - HUMAN-ENF1]]</f>
        <v>8</v>
      </c>
      <c r="T127" t="str">
        <f t="shared" si="28"/>
        <v>Support</v>
      </c>
      <c r="U127" s="32">
        <f t="shared" si="29"/>
        <v>0</v>
      </c>
      <c r="V127">
        <f>step3_validation[[#This Row],[AI_ENF2]]</f>
        <v>7</v>
      </c>
      <c r="W127" t="str">
        <f t="shared" si="30"/>
        <v>Neutral</v>
      </c>
      <c r="X127">
        <f>survey_responses[[#This Row],[Tôi tin rằng Nhà nước, cơ quan thuế có đủ khả năng và công nghệ để phát hiện, xử lý nghiêm các hành vi trốn thuế. - HUMAN-ENF2]]</f>
        <v>8</v>
      </c>
      <c r="Y127" t="str">
        <f t="shared" si="31"/>
        <v>Support</v>
      </c>
      <c r="Z127" s="32">
        <f t="shared" si="32"/>
        <v>1</v>
      </c>
      <c r="AA127">
        <f>step3_validation[[#This Row],[AI_FAC1]]</f>
        <v>9</v>
      </c>
      <c r="AB127" t="str">
        <f t="shared" si="33"/>
        <v>Support</v>
      </c>
      <c r="AC127">
        <f>survey_responses[[#This Row],[Các thủ tục khai báo thuế VÀ/HOẶC quy trình làm việc với cơ quan thuế đơn giản, tiện lợi, nhanh chóng hơn so với trước đây. - HUMAN-FAC1]]</f>
        <v>5</v>
      </c>
      <c r="AD127" t="str">
        <f t="shared" si="34"/>
        <v>Neutral</v>
      </c>
      <c r="AE127" s="32">
        <f t="shared" si="35"/>
        <v>4</v>
      </c>
      <c r="AF127">
        <f>step3_validation[[#This Row],[AI_FAC2]]</f>
        <v>8</v>
      </c>
      <c r="AG127" t="str">
        <f t="shared" si="36"/>
        <v>Support</v>
      </c>
      <c r="AH127">
        <f>survey_responses[[#This Row],[So với trước đây, tôi thấy cách tính thuế và các bậc thuế trong phương án mới đơn giản, dễ hiểu và dễ thực hiện hơn. - HUMAN-FAC2]]</f>
        <v>8</v>
      </c>
      <c r="AI127" t="str">
        <f t="shared" si="37"/>
        <v>Support</v>
      </c>
      <c r="AJ127" s="32">
        <f t="shared" si="38"/>
        <v>0</v>
      </c>
      <c r="AK127">
        <f>step3_validation[[#This Row],[AI_TRU1]]</f>
        <v>9</v>
      </c>
      <c r="AL127" t="str">
        <f t="shared" si="39"/>
        <v>Support</v>
      </c>
      <c r="AM127">
        <f>survey_responses[[#This Row],[Tôi tin rằng Nhà nước, cơ quan thuế sẽ thực thi chính sách mới một cách khách quan, công tâm và đối xử bình đẳng với mọi người nộp thuế.  - HUMAN-TRU1]]</f>
        <v>8</v>
      </c>
      <c r="AN127" t="str">
        <f t="shared" si="40"/>
        <v>Support</v>
      </c>
      <c r="AO127" s="32">
        <f t="shared" si="41"/>
        <v>1</v>
      </c>
      <c r="AP127">
        <f>step3_validation[[#This Row],[AI_TRU2]]</f>
        <v>8</v>
      </c>
      <c r="AQ127" t="str">
        <f t="shared" si="42"/>
        <v>Support</v>
      </c>
      <c r="AR127">
        <f>survey_responses[[#This Row],[Tôi thấy mức thuế tôi phải đóng theo phương án mới là công bằng (người thu nhập như tôi đóng mức này là hợp lý). - HUMAN-TRU2]]</f>
        <v>8</v>
      </c>
      <c r="AS127" t="str">
        <f t="shared" si="43"/>
        <v>Support</v>
      </c>
      <c r="AT127" s="32">
        <f t="shared" si="44"/>
        <v>0</v>
      </c>
      <c r="AU127">
        <f>step3_validation[[#This Row],[AI_TRU3]]</f>
        <v>9</v>
      </c>
      <c r="AV127" t="str">
        <f t="shared" si="45"/>
        <v>Support</v>
      </c>
      <c r="AW127">
        <f>survey_responses[[#This Row],[Tôi tin tưởng số tiền thuế tôi đóng sẽ được Nhà nước sử dụng hiệu quả để cải thiện dịch vụ công (y tế, đường xá...). - HUMAN-TRU3]]</f>
        <v>7</v>
      </c>
      <c r="AX127" t="str">
        <f t="shared" si="46"/>
        <v>Neutral</v>
      </c>
      <c r="AY127" s="32">
        <f t="shared" si="47"/>
        <v>2</v>
      </c>
      <c r="AZ127">
        <f>step3_validation[[#This Row],[AI_TRU4]]</f>
        <v>8</v>
      </c>
      <c r="BA127" t="str">
        <f t="shared" si="48"/>
        <v>Support</v>
      </c>
      <c r="BB127">
        <f>survey_responses[[#This Row],[Tôi thấy Nhà nước đã giải thích rõ ràng, minh bạch về lý do và mục tiêu của việc sửa đổi thuế lần này. - HUMAN-TRU4]]</f>
        <v>7</v>
      </c>
      <c r="BC127" t="str">
        <f t="shared" si="49"/>
        <v>Neutral</v>
      </c>
      <c r="BD127" s="32">
        <f t="shared" si="50"/>
        <v>1</v>
      </c>
      <c r="BE127">
        <f>step3_validation[[#This Row],[AI_OUT1]]</f>
        <v>9</v>
      </c>
      <c r="BF127" t="str">
        <f t="shared" si="51"/>
        <v>Support</v>
      </c>
      <c r="BG127">
        <f>survey_responses[[#This Row],[Sau khi xem xét các quyền lợi và nghĩa vụ, bạn có ủng hộ và tuân thủ chính sách mới hiện nay? - HUMAN-OUT1]]</f>
        <v>8</v>
      </c>
      <c r="BH127" t="str">
        <f t="shared" si="52"/>
        <v>Support</v>
      </c>
      <c r="BI127" s="32">
        <f t="shared" si="53"/>
        <v>1</v>
      </c>
    </row>
    <row r="128" spans="1:61" x14ac:dyDescent="0.45">
      <c r="A128" s="30">
        <f>step3_validation[[#This Row],[Persona_ID]]</f>
        <v>127</v>
      </c>
      <c r="B128" s="31">
        <f>step3_validation[[#This Row],[Used_Seed]]</f>
        <v>12471</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198.64462478714378</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6</v>
      </c>
      <c r="R128" t="str">
        <f t="shared" si="27"/>
        <v>Neutral</v>
      </c>
      <c r="S128">
        <f>survey_responses[[#This Row],[Tôi tin rằng với các quy định quản lý thuế hiện nay, hành vi gian lận hoặc trốn thuế sẽ dễ dàng bị phát hiện và xử lý nghiêm. - HUMAN-ENF1]]</f>
        <v>1</v>
      </c>
      <c r="T128" t="str">
        <f t="shared" si="28"/>
        <v>Oppose</v>
      </c>
      <c r="U128" s="32">
        <f t="shared" si="29"/>
        <v>5</v>
      </c>
      <c r="V128">
        <f>step3_validation[[#This Row],[AI_ENF2]]</f>
        <v>7</v>
      </c>
      <c r="W128" t="str">
        <f t="shared" si="30"/>
        <v>Neutral</v>
      </c>
      <c r="X128">
        <f>survey_responses[[#This Row],[Tôi tin rằng Nhà nước, cơ quan thuế có đủ khả năng và công nghệ để phát hiện, xử lý nghiêm các hành vi trốn thuế. - HUMAN-ENF2]]</f>
        <v>1</v>
      </c>
      <c r="Y128" t="str">
        <f t="shared" si="31"/>
        <v>Oppose</v>
      </c>
      <c r="Z128" s="32">
        <f t="shared" si="32"/>
        <v>6</v>
      </c>
      <c r="AA128">
        <f>step3_validation[[#This Row],[AI_FAC1]]</f>
        <v>8</v>
      </c>
      <c r="AB128" t="str">
        <f t="shared" si="33"/>
        <v>Support</v>
      </c>
      <c r="AC128">
        <f>survey_responses[[#This Row],[Các thủ tục khai báo thuế VÀ/HOẶC quy trình làm việc với cơ quan thuế đơn giản, tiện lợi, nhanh chóng hơn so với trước đây. - HUMAN-FAC1]]</f>
        <v>1</v>
      </c>
      <c r="AD128" t="str">
        <f t="shared" si="34"/>
        <v>Oppose</v>
      </c>
      <c r="AE128" s="32">
        <f t="shared" si="35"/>
        <v>7</v>
      </c>
      <c r="AF128">
        <f>step3_validation[[#This Row],[AI_FAC2]]</f>
        <v>9</v>
      </c>
      <c r="AG128" t="str">
        <f t="shared" si="36"/>
        <v>Support</v>
      </c>
      <c r="AH128">
        <f>survey_responses[[#This Row],[So với trước đây, tôi thấy cách tính thuế và các bậc thuế trong phương án mới đơn giản, dễ hiểu và dễ thực hiện hơn. - HUMAN-FAC2]]</f>
        <v>5</v>
      </c>
      <c r="AI128" t="str">
        <f t="shared" si="37"/>
        <v>Neutral</v>
      </c>
      <c r="AJ128" s="32">
        <f t="shared" si="38"/>
        <v>4</v>
      </c>
      <c r="AK128">
        <f>step3_validation[[#This Row],[AI_TRU1]]</f>
        <v>7</v>
      </c>
      <c r="AL128" t="str">
        <f t="shared" si="39"/>
        <v>Neutral</v>
      </c>
      <c r="AM128">
        <f>survey_responses[[#This Row],[Tôi tin rằng Nhà nước, cơ quan thuế sẽ thực thi chính sách mới một cách khách quan, công tâm và đối xử bình đẳng với mọi người nộp thuế.  - HUMAN-TRU1]]</f>
        <v>1</v>
      </c>
      <c r="AN128" t="str">
        <f t="shared" si="40"/>
        <v>Oppose</v>
      </c>
      <c r="AO128" s="32">
        <f t="shared" si="41"/>
        <v>6</v>
      </c>
      <c r="AP128">
        <f>step3_validation[[#This Row],[AI_TRU2]]</f>
        <v>8</v>
      </c>
      <c r="AQ128" t="str">
        <f t="shared" si="42"/>
        <v>Support</v>
      </c>
      <c r="AR128">
        <f>survey_responses[[#This Row],[Tôi thấy mức thuế tôi phải đóng theo phương án mới là công bằng (người thu nhập như tôi đóng mức này là hợp lý). - HUMAN-TRU2]]</f>
        <v>1</v>
      </c>
      <c r="AS128" t="str">
        <f t="shared" si="43"/>
        <v>Oppose</v>
      </c>
      <c r="AT128" s="32">
        <f t="shared" si="44"/>
        <v>7</v>
      </c>
      <c r="AU128">
        <f>step3_validation[[#This Row],[AI_TRU3]]</f>
        <v>7</v>
      </c>
      <c r="AV128" t="str">
        <f t="shared" si="45"/>
        <v>Neutral</v>
      </c>
      <c r="AW128">
        <f>survey_responses[[#This Row],[Tôi tin tưởng số tiền thuế tôi đóng sẽ được Nhà nước sử dụng hiệu quả để cải thiện dịch vụ công (y tế, đường xá...). - HUMAN-TRU3]]</f>
        <v>1</v>
      </c>
      <c r="AX128" t="str">
        <f t="shared" si="46"/>
        <v>Oppose</v>
      </c>
      <c r="AY128" s="32">
        <f t="shared" si="47"/>
        <v>6</v>
      </c>
      <c r="AZ128">
        <f>step3_validation[[#This Row],[AI_TRU4]]</f>
        <v>8</v>
      </c>
      <c r="BA128" t="str">
        <f t="shared" si="48"/>
        <v>Support</v>
      </c>
      <c r="BB128">
        <f>survey_responses[[#This Row],[Tôi thấy Nhà nước đã giải thích rõ ràng, minh bạch về lý do và mục tiêu của việc sửa đổi thuế lần này. - HUMAN-TRU4]]</f>
        <v>5</v>
      </c>
      <c r="BC128" t="str">
        <f t="shared" si="49"/>
        <v>Neutral</v>
      </c>
      <c r="BD128" s="32">
        <f t="shared" si="50"/>
        <v>3</v>
      </c>
      <c r="BE128">
        <f>step3_validation[[#This Row],[AI_OUT1]]</f>
        <v>9</v>
      </c>
      <c r="BF128" t="str">
        <f t="shared" si="51"/>
        <v>Support</v>
      </c>
      <c r="BG128">
        <f>survey_responses[[#This Row],[Sau khi xem xét các quyền lợi và nghĩa vụ, bạn có ủng hộ và tuân thủ chính sách mới hiện nay? - HUMAN-OUT1]]</f>
        <v>5</v>
      </c>
      <c r="BH128" t="str">
        <f t="shared" si="52"/>
        <v>Neutral</v>
      </c>
      <c r="BI128" s="32">
        <f t="shared" si="53"/>
        <v>4</v>
      </c>
    </row>
    <row r="129" spans="1:61" x14ac:dyDescent="0.45">
      <c r="A129" s="30">
        <f>step3_validation[[#This Row],[Persona_ID]]</f>
        <v>128</v>
      </c>
      <c r="B129" s="31">
        <f>step3_validation[[#This Row],[Used_Seed]]</f>
        <v>12472</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117.90727278959787</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t="str">
        <f t="shared" si="27"/>
        <v>Neutral</v>
      </c>
      <c r="S129">
        <f>survey_responses[[#This Row],[Tôi tin rằng với các quy định quản lý thuế hiện nay, hành vi gian lận hoặc trốn thuế sẽ dễ dàng bị phát hiện và xử lý nghiêm. - HUMAN-ENF1]]</f>
        <v>6</v>
      </c>
      <c r="T129" t="str">
        <f t="shared" si="28"/>
        <v>Neutral</v>
      </c>
      <c r="U129" s="32">
        <f t="shared" si="29"/>
        <v>1</v>
      </c>
      <c r="V129">
        <f>step3_validation[[#This Row],[AI_ENF2]]</f>
        <v>8</v>
      </c>
      <c r="W129" t="str">
        <f t="shared" si="30"/>
        <v>Support</v>
      </c>
      <c r="X129">
        <f>survey_responses[[#This Row],[Tôi tin rằng Nhà nước, cơ quan thuế có đủ khả năng và công nghệ để phát hiện, xử lý nghiêm các hành vi trốn thuế. - HUMAN-ENF2]]</f>
        <v>6</v>
      </c>
      <c r="Y129" t="str">
        <f t="shared" si="31"/>
        <v>Neutral</v>
      </c>
      <c r="Z129" s="32">
        <f t="shared" si="32"/>
        <v>2</v>
      </c>
      <c r="AA129">
        <f>step3_validation[[#This Row],[AI_FAC1]]</f>
        <v>9</v>
      </c>
      <c r="AB129" t="str">
        <f t="shared" si="33"/>
        <v>Support</v>
      </c>
      <c r="AC129">
        <f>survey_responses[[#This Row],[Các thủ tục khai báo thuế VÀ/HOẶC quy trình làm việc với cơ quan thuế đơn giản, tiện lợi, nhanh chóng hơn so với trước đây. - HUMAN-FAC1]]</f>
        <v>6</v>
      </c>
      <c r="AD129" t="str">
        <f t="shared" si="34"/>
        <v>Neutral</v>
      </c>
      <c r="AE129" s="32">
        <f t="shared" si="35"/>
        <v>3</v>
      </c>
      <c r="AF129">
        <f>step3_validation[[#This Row],[AI_FAC2]]</f>
        <v>10</v>
      </c>
      <c r="AG129" t="str">
        <f t="shared" si="36"/>
        <v>Support</v>
      </c>
      <c r="AH129">
        <f>survey_responses[[#This Row],[So với trước đây, tôi thấy cách tính thuế và các bậc thuế trong phương án mới đơn giản, dễ hiểu và dễ thực hiện hơn. - HUMAN-FAC2]]</f>
        <v>8</v>
      </c>
      <c r="AI129" t="str">
        <f t="shared" si="37"/>
        <v>Support</v>
      </c>
      <c r="AJ129" s="32">
        <f t="shared" si="38"/>
        <v>2</v>
      </c>
      <c r="AK129">
        <f>step3_validation[[#This Row],[AI_TRU1]]</f>
        <v>9</v>
      </c>
      <c r="AL129" t="str">
        <f t="shared" si="39"/>
        <v>Support</v>
      </c>
      <c r="AM129">
        <f>survey_responses[[#This Row],[Tôi tin rằng Nhà nước, cơ quan thuế sẽ thực thi chính sách mới một cách khách quan, công tâm và đối xử bình đẳng với mọi người nộp thuế.  - HUMAN-TRU1]]</f>
        <v>6</v>
      </c>
      <c r="AN129" t="str">
        <f t="shared" si="40"/>
        <v>Neutral</v>
      </c>
      <c r="AO129" s="32">
        <f t="shared" si="41"/>
        <v>3</v>
      </c>
      <c r="AP129">
        <f>step3_validation[[#This Row],[AI_TRU2]]</f>
        <v>9</v>
      </c>
      <c r="AQ129" t="str">
        <f t="shared" si="42"/>
        <v>Support</v>
      </c>
      <c r="AR129">
        <f>survey_responses[[#This Row],[Tôi thấy mức thuế tôi phải đóng theo phương án mới là công bằng (người thu nhập như tôi đóng mức này là hợp lý). - HUMAN-TRU2]]</f>
        <v>3</v>
      </c>
      <c r="AS129" t="str">
        <f t="shared" si="43"/>
        <v>Oppose</v>
      </c>
      <c r="AT129" s="32">
        <f t="shared" si="44"/>
        <v>6</v>
      </c>
      <c r="AU129">
        <f>step3_validation[[#This Row],[AI_TRU3]]</f>
        <v>8</v>
      </c>
      <c r="AV129" t="str">
        <f t="shared" si="45"/>
        <v>Support</v>
      </c>
      <c r="AW129">
        <f>survey_responses[[#This Row],[Tôi tin tưởng số tiền thuế tôi đóng sẽ được Nhà nước sử dụng hiệu quả để cải thiện dịch vụ công (y tế, đường xá...). - HUMAN-TRU3]]</f>
        <v>5</v>
      </c>
      <c r="AX129" t="str">
        <f t="shared" si="46"/>
        <v>Neutral</v>
      </c>
      <c r="AY129" s="32">
        <f t="shared" si="47"/>
        <v>3</v>
      </c>
      <c r="AZ129">
        <f>step3_validation[[#This Row],[AI_TRU4]]</f>
        <v>9</v>
      </c>
      <c r="BA129" t="str">
        <f t="shared" si="48"/>
        <v>Support</v>
      </c>
      <c r="BB129">
        <f>survey_responses[[#This Row],[Tôi thấy Nhà nước đã giải thích rõ ràng, minh bạch về lý do và mục tiêu của việc sửa đổi thuế lần này. - HUMAN-TRU4]]</f>
        <v>5</v>
      </c>
      <c r="BC129" t="str">
        <f t="shared" si="49"/>
        <v>Neutral</v>
      </c>
      <c r="BD129" s="32">
        <f t="shared" si="50"/>
        <v>4</v>
      </c>
      <c r="BE129">
        <f>step3_validation[[#This Row],[AI_OUT1]]</f>
        <v>10</v>
      </c>
      <c r="BF129" t="str">
        <f t="shared" si="51"/>
        <v>Support</v>
      </c>
      <c r="BG129">
        <f>survey_responses[[#This Row],[Sau khi xem xét các quyền lợi và nghĩa vụ, bạn có ủng hộ và tuân thủ chính sách mới hiện nay? - HUMAN-OUT1]]</f>
        <v>4</v>
      </c>
      <c r="BH129" t="str">
        <f t="shared" si="52"/>
        <v>Oppose</v>
      </c>
      <c r="BI129" s="32">
        <f t="shared" si="53"/>
        <v>6</v>
      </c>
    </row>
    <row r="130" spans="1:61" x14ac:dyDescent="0.45">
      <c r="A130" s="30">
        <f>step3_validation[[#This Row],[Persona_ID]]</f>
        <v>129</v>
      </c>
      <c r="B130" s="31">
        <f>step3_validation[[#This Row],[Used_Seed]]</f>
        <v>12473</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123.77938844694197</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8</v>
      </c>
      <c r="R130" t="str">
        <f t="shared" si="27"/>
        <v>Support</v>
      </c>
      <c r="S130">
        <f>survey_responses[[#This Row],[Tôi tin rằng với các quy định quản lý thuế hiện nay, hành vi gian lận hoặc trốn thuế sẽ dễ dàng bị phát hiện và xử lý nghiêm. - HUMAN-ENF1]]</f>
        <v>6</v>
      </c>
      <c r="T130" t="str">
        <f t="shared" si="28"/>
        <v>Neutral</v>
      </c>
      <c r="U130" s="32">
        <f t="shared" si="29"/>
        <v>2</v>
      </c>
      <c r="V130">
        <f>step3_validation[[#This Row],[AI_ENF2]]</f>
        <v>9</v>
      </c>
      <c r="W130" t="str">
        <f t="shared" si="30"/>
        <v>Support</v>
      </c>
      <c r="X130">
        <f>survey_responses[[#This Row],[Tôi tin rằng Nhà nước, cơ quan thuế có đủ khả năng và công nghệ để phát hiện, xử lý nghiêm các hành vi trốn thuế. - HUMAN-ENF2]]</f>
        <v>6</v>
      </c>
      <c r="Y130" t="str">
        <f t="shared" si="31"/>
        <v>Neutral</v>
      </c>
      <c r="Z130" s="32">
        <f t="shared" si="32"/>
        <v>3</v>
      </c>
      <c r="AA130">
        <f>step3_validation[[#This Row],[AI_FAC1]]</f>
        <v>7</v>
      </c>
      <c r="AB130" t="str">
        <f t="shared" si="33"/>
        <v>Neutral</v>
      </c>
      <c r="AC130">
        <f>survey_responses[[#This Row],[Các thủ tục khai báo thuế VÀ/HOẶC quy trình làm việc với cơ quan thuế đơn giản, tiện lợi, nhanh chóng hơn so với trước đây. - HUMAN-FAC1]]</f>
        <v>4</v>
      </c>
      <c r="AD130" t="str">
        <f t="shared" si="34"/>
        <v>Oppose</v>
      </c>
      <c r="AE130" s="32">
        <f t="shared" si="35"/>
        <v>3</v>
      </c>
      <c r="AF130">
        <f>step3_validation[[#This Row],[AI_FAC2]]</f>
        <v>9</v>
      </c>
      <c r="AG130" t="str">
        <f t="shared" si="36"/>
        <v>Support</v>
      </c>
      <c r="AH130">
        <f>survey_responses[[#This Row],[So với trước đây, tôi thấy cách tính thuế và các bậc thuế trong phương án mới đơn giản, dễ hiểu và dễ thực hiện hơn. - HUMAN-FAC2]]</f>
        <v>5</v>
      </c>
      <c r="AI130" t="str">
        <f t="shared" si="37"/>
        <v>Neutral</v>
      </c>
      <c r="AJ130" s="32">
        <f t="shared" si="38"/>
        <v>4</v>
      </c>
      <c r="AK130">
        <f>step3_validation[[#This Row],[AI_TRU1]]</f>
        <v>7</v>
      </c>
      <c r="AL130" t="str">
        <f t="shared" si="39"/>
        <v>Neutral</v>
      </c>
      <c r="AM130">
        <f>survey_responses[[#This Row],[Tôi tin rằng Nhà nước, cơ quan thuế sẽ thực thi chính sách mới một cách khách quan, công tâm và đối xử bình đẳng với mọi người nộp thuế.  - HUMAN-TRU1]]</f>
        <v>5</v>
      </c>
      <c r="AN130" t="str">
        <f t="shared" si="40"/>
        <v>Neutral</v>
      </c>
      <c r="AO130" s="32">
        <f t="shared" si="41"/>
        <v>2</v>
      </c>
      <c r="AP130">
        <f>step3_validation[[#This Row],[AI_TRU2]]</f>
        <v>8</v>
      </c>
      <c r="AQ130" t="str">
        <f t="shared" si="42"/>
        <v>Support</v>
      </c>
      <c r="AR130">
        <f>survey_responses[[#This Row],[Tôi thấy mức thuế tôi phải đóng theo phương án mới là công bằng (người thu nhập như tôi đóng mức này là hợp lý). - HUMAN-TRU2]]</f>
        <v>1</v>
      </c>
      <c r="AS130" t="str">
        <f t="shared" si="43"/>
        <v>Oppose</v>
      </c>
      <c r="AT130" s="32">
        <f t="shared" si="44"/>
        <v>7</v>
      </c>
      <c r="AU130">
        <f>step3_validation[[#This Row],[AI_TRU3]]</f>
        <v>7</v>
      </c>
      <c r="AV130" t="str">
        <f t="shared" si="45"/>
        <v>Neutral</v>
      </c>
      <c r="AW130">
        <f>survey_responses[[#This Row],[Tôi tin tưởng số tiền thuế tôi đóng sẽ được Nhà nước sử dụng hiệu quả để cải thiện dịch vụ công (y tế, đường xá...). - HUMAN-TRU3]]</f>
        <v>5</v>
      </c>
      <c r="AX130" t="str">
        <f t="shared" si="46"/>
        <v>Neutral</v>
      </c>
      <c r="AY130" s="32">
        <f t="shared" si="47"/>
        <v>2</v>
      </c>
      <c r="AZ130">
        <f>step3_validation[[#This Row],[AI_TRU4]]</f>
        <v>8</v>
      </c>
      <c r="BA130" t="str">
        <f t="shared" si="48"/>
        <v>Support</v>
      </c>
      <c r="BB130">
        <f>survey_responses[[#This Row],[Tôi thấy Nhà nước đã giải thích rõ ràng, minh bạch về lý do và mục tiêu của việc sửa đổi thuế lần này. - HUMAN-TRU4]]</f>
        <v>4</v>
      </c>
      <c r="BC130" t="str">
        <f t="shared" si="49"/>
        <v>Oppose</v>
      </c>
      <c r="BD130" s="32">
        <f t="shared" si="50"/>
        <v>4</v>
      </c>
      <c r="BE130">
        <f>step3_validation[[#This Row],[AI_OUT1]]</f>
        <v>9</v>
      </c>
      <c r="BF130" t="str">
        <f t="shared" si="51"/>
        <v>Support</v>
      </c>
      <c r="BG130">
        <f>survey_responses[[#This Row],[Sau khi xem xét các quyền lợi và nghĩa vụ, bạn có ủng hộ và tuân thủ chính sách mới hiện nay? - HUMAN-OUT1]]</f>
        <v>5</v>
      </c>
      <c r="BH130" t="str">
        <f t="shared" si="52"/>
        <v>Neutral</v>
      </c>
      <c r="BI130" s="32">
        <f t="shared" si="53"/>
        <v>4</v>
      </c>
    </row>
    <row r="131" spans="1:61" x14ac:dyDescent="0.45">
      <c r="A131" s="30">
        <f>step3_validation[[#This Row],[Persona_ID]]</f>
        <v>130</v>
      </c>
      <c r="B131" s="31">
        <f>step3_validation[[#This Row],[Used_Seed]]</f>
        <v>12474</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76.963883500430342</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6</v>
      </c>
      <c r="R131" t="str">
        <f t="shared" ref="R131:R194" si="54">IF(AND(Q131&gt;=1,Q131&lt;5),"Oppose",IF(AND(Q131&gt;=5,Q131&lt;8),"Neutral",IF(AND(Q131&gt;=8,Q131&lt;=10),"Support","")))</f>
        <v>Neutral</v>
      </c>
      <c r="S131">
        <f>survey_responses[[#This Row],[Tôi tin rằng với các quy định quản lý thuế hiện nay, hành vi gian lận hoặc trốn thuế sẽ dễ dàng bị phát hiện và xử lý nghiêm. - HUMAN-ENF1]]</f>
        <v>5</v>
      </c>
      <c r="T131" t="str">
        <f t="shared" ref="T131:T194" si="55">IF(AND(S131&gt;=1,S131&lt;5),"Oppose",IF(AND(S131&gt;=5,S131&lt;8),"Neutral",IF(AND(S131&gt;=8,S131&lt;=10),"Support","")))</f>
        <v>Neutral</v>
      </c>
      <c r="U131" s="32">
        <f t="shared" ref="U131:U194" si="56">ABS(S131-Q131)</f>
        <v>1</v>
      </c>
      <c r="V131">
        <f>step3_validation[[#This Row],[AI_ENF2]]</f>
        <v>7</v>
      </c>
      <c r="W131" t="str">
        <f t="shared" ref="W131:W194" si="57">IF(AND(V131&gt;=1,V131&lt;5),"Oppose",IF(AND(V131&gt;=5,V131&lt;8),"Neutral",IF(AND(V131&gt;=8,V131&lt;=10),"Support","")))</f>
        <v>Neutral</v>
      </c>
      <c r="X131">
        <f>survey_responses[[#This Row],[Tôi tin rằng Nhà nước, cơ quan thuế có đủ khả năng và công nghệ để phát hiện, xử lý nghiêm các hành vi trốn thuế. - HUMAN-ENF2]]</f>
        <v>5</v>
      </c>
      <c r="Y131" t="str">
        <f t="shared" ref="Y131:Y194" si="58">IF(AND(X131&gt;=1,X131&lt;5),"Oppose",IF(AND(X131&gt;=5,X131&lt;8),"Neutral",IF(AND(X131&gt;=8,X131&lt;=10),"Support","")))</f>
        <v>Neutral</v>
      </c>
      <c r="Z131" s="32">
        <f t="shared" ref="Z131:Z194" si="59">ABS(X131-V131)</f>
        <v>2</v>
      </c>
      <c r="AA131">
        <f>step3_validation[[#This Row],[AI_FAC1]]</f>
        <v>8</v>
      </c>
      <c r="AB131" t="str">
        <f t="shared" ref="AB131:AB194" si="60">IF(AND(AA131&gt;=1,AA131&lt;5),"Oppose",IF(AND(AA131&gt;=5,AA131&lt;8),"Neutral",IF(AND(AA131&gt;=8,AA131&lt;=10),"Support","")))</f>
        <v>Support</v>
      </c>
      <c r="AC131">
        <f>survey_responses[[#This Row],[Các thủ tục khai báo thuế VÀ/HOẶC quy trình làm việc với cơ quan thuế đơn giản, tiện lợi, nhanh chóng hơn so với trước đây. - HUMAN-FAC1]]</f>
        <v>1</v>
      </c>
      <c r="AD131" t="str">
        <f t="shared" ref="AD131:AD194" si="61">IF(AND(AC131&gt;=1,AC131&lt;5),"Oppose",IF(AND(AC131&gt;=5,AC131&lt;8),"Neutral",IF(AND(AC131&gt;=8,AC131&lt;=10),"Support","")))</f>
        <v>Oppose</v>
      </c>
      <c r="AE131" s="32">
        <f t="shared" ref="AE131:AE194" si="62">ABS(AC131-AA131)</f>
        <v>7</v>
      </c>
      <c r="AF131">
        <f>step3_validation[[#This Row],[AI_FAC2]]</f>
        <v>9</v>
      </c>
      <c r="AG131" t="str">
        <f t="shared" ref="AG131:AG194" si="63">IF(AND(AF131&gt;=1,AF131&lt;5),"Oppose",IF(AND(AF131&gt;=5,AF131&lt;8),"Neutral",IF(AND(AF131&gt;=8,AF131&lt;=10),"Support","")))</f>
        <v>Support</v>
      </c>
      <c r="AH131">
        <f>survey_responses[[#This Row],[So với trước đây, tôi thấy cách tính thuế và các bậc thuế trong phương án mới đơn giản, dễ hiểu và dễ thực hiện hơn. - HUMAN-FAC2]]</f>
        <v>4</v>
      </c>
      <c r="AI131" t="str">
        <f t="shared" ref="AI131:AI194" si="64">IF(AND(AH131&gt;=1,AH131&lt;5),"Oppose",IF(AND(AH131&gt;=5,AH131&lt;8),"Neutral",IF(AND(AH131&gt;=8,AH131&lt;=10),"Support","")))</f>
        <v>Oppose</v>
      </c>
      <c r="AJ131" s="32">
        <f t="shared" ref="AJ131:AJ194" si="65">ABS(AH131-AF131)</f>
        <v>5</v>
      </c>
      <c r="AK131">
        <f>step3_validation[[#This Row],[AI_TRU1]]</f>
        <v>7</v>
      </c>
      <c r="AL131" t="str">
        <f t="shared" ref="AL131:AL194" si="66">IF(AND(AK131&gt;=1,AK131&lt;5),"Oppose",IF(AND(AK131&gt;=5,AK131&lt;8),"Neutral",IF(AND(AK131&gt;=8,AK131&lt;=10),"Support","")))</f>
        <v>Neutral</v>
      </c>
      <c r="AM131">
        <f>survey_responses[[#This Row],[Tôi tin rằng Nhà nước, cơ quan thuế sẽ thực thi chính sách mới một cách khách quan, công tâm và đối xử bình đẳng với mọi người nộp thuế.  - HUMAN-TRU1]]</f>
        <v>2</v>
      </c>
      <c r="AN131" t="str">
        <f t="shared" ref="AN131:AN194" si="67">IF(AND(AM131&gt;=1,AM131&lt;5),"Oppose",IF(AND(AM131&gt;=5,AM131&lt;8),"Neutral",IF(AND(AM131&gt;=8,AM131&lt;=10),"Support","")))</f>
        <v>Oppose</v>
      </c>
      <c r="AO131" s="32">
        <f t="shared" ref="AO131:AO194" si="68">ABS(AM131-AK131)</f>
        <v>5</v>
      </c>
      <c r="AP131">
        <f>step3_validation[[#This Row],[AI_TRU2]]</f>
        <v>8</v>
      </c>
      <c r="AQ131" t="str">
        <f t="shared" ref="AQ131:AQ194" si="69">IF(AND(AP131&gt;=1,AP131&lt;5),"Oppose",IF(AND(AP131&gt;=5,AP131&lt;8),"Neutral",IF(AND(AP131&gt;=8,AP131&lt;=10),"Support","")))</f>
        <v>Support</v>
      </c>
      <c r="AR131">
        <f>survey_responses[[#This Row],[Tôi thấy mức thuế tôi phải đóng theo phương án mới là công bằng (người thu nhập như tôi đóng mức này là hợp lý). - HUMAN-TRU2]]</f>
        <v>1</v>
      </c>
      <c r="AS131" t="str">
        <f t="shared" ref="AS131:AS194" si="70">IF(AND(AR131&gt;=1,AR131&lt;5),"Oppose",IF(AND(AR131&gt;=5,AR131&lt;8),"Neutral",IF(AND(AR131&gt;=8,AR131&lt;=10),"Support","")))</f>
        <v>Oppose</v>
      </c>
      <c r="AT131" s="32">
        <f t="shared" ref="AT131:AT194" si="71">ABS(AR131-AP131)</f>
        <v>7</v>
      </c>
      <c r="AU131">
        <f>step3_validation[[#This Row],[AI_TRU3]]</f>
        <v>6</v>
      </c>
      <c r="AV131" t="str">
        <f t="shared" ref="AV131:AV194" si="72">IF(AND(AU131&gt;=1,AU131&lt;5),"Oppose",IF(AND(AU131&gt;=5,AU131&lt;8),"Neutral",IF(AND(AU131&gt;=8,AU131&lt;=10),"Support","")))</f>
        <v>Neutral</v>
      </c>
      <c r="AW131">
        <f>survey_responses[[#This Row],[Tôi tin tưởng số tiền thuế tôi đóng sẽ được Nhà nước sử dụng hiệu quả để cải thiện dịch vụ công (y tế, đường xá...). - HUMAN-TRU3]]</f>
        <v>1</v>
      </c>
      <c r="AX131" t="str">
        <f t="shared" ref="AX131:AX194" si="73">IF(AND(AW131&gt;=1,AW131&lt;5),"Oppose",IF(AND(AW131&gt;=5,AW131&lt;8),"Neutral",IF(AND(AW131&gt;=8,AW131&lt;=10),"Support","")))</f>
        <v>Oppose</v>
      </c>
      <c r="AY131" s="32">
        <f t="shared" ref="AY131:AY194" si="74">ABS(AW131-AU131)</f>
        <v>5</v>
      </c>
      <c r="AZ131">
        <f>step3_validation[[#This Row],[AI_TRU4]]</f>
        <v>7</v>
      </c>
      <c r="BA131" t="str">
        <f t="shared" ref="BA131:BA194" si="75">IF(AND(AZ131&gt;=1,AZ131&lt;5),"Oppose",IF(AND(AZ131&gt;=5,AZ131&lt;8),"Neutral",IF(AND(AZ131&gt;=8,AZ131&lt;=10),"Support","")))</f>
        <v>Neutral</v>
      </c>
      <c r="BB131">
        <f>survey_responses[[#This Row],[Tôi thấy Nhà nước đã giải thích rõ ràng, minh bạch về lý do và mục tiêu của việc sửa đổi thuế lần này. - HUMAN-TRU4]]</f>
        <v>1</v>
      </c>
      <c r="BC131" t="str">
        <f t="shared" ref="BC131:BC194" si="76">IF(AND(BB131&gt;=1,BB131&lt;5),"Oppose",IF(AND(BB131&gt;=5,BB131&lt;8),"Neutral",IF(AND(BB131&gt;=8,BB131&lt;=10),"Support","")))</f>
        <v>Oppose</v>
      </c>
      <c r="BD131" s="32">
        <f t="shared" ref="BD131:BD194" si="77">ABS(BB131-AZ131)</f>
        <v>6</v>
      </c>
      <c r="BE131">
        <f>step3_validation[[#This Row],[AI_OUT1]]</f>
        <v>9</v>
      </c>
      <c r="BF131" t="str">
        <f t="shared" ref="BF131:BF194" si="78">IF(AND(BE131&gt;=1,BE131&lt;5),"Oppose",IF(AND(BE131&gt;=5,BE131&lt;8),"Neutral",IF(AND(BE131&gt;=8,BE131&lt;=10),"Support","")))</f>
        <v>Support</v>
      </c>
      <c r="BG131">
        <f>survey_responses[[#This Row],[Sau khi xem xét các quyền lợi và nghĩa vụ, bạn có ủng hộ và tuân thủ chính sách mới hiện nay? - HUMAN-OUT1]]</f>
        <v>5</v>
      </c>
      <c r="BH131" t="str">
        <f t="shared" ref="BH131:BH194" si="79">IF(AND(BG131&gt;=1,BG131&lt;5),"Oppose",IF(AND(BG131&gt;=5,BG131&lt;8),"Neutral",IF(AND(BG131&gt;=8,BG131&lt;=10),"Support","")))</f>
        <v>Neutral</v>
      </c>
      <c r="BI131" s="32">
        <f t="shared" ref="BI131:BI194" si="80">ABS(BG131-BE131)</f>
        <v>4</v>
      </c>
    </row>
    <row r="132" spans="1:61" x14ac:dyDescent="0.45">
      <c r="A132" s="30">
        <f>step3_validation[[#This Row],[Persona_ID]]</f>
        <v>131</v>
      </c>
      <c r="B132" s="31">
        <f>step3_validation[[#This Row],[Used_Seed]]</f>
        <v>12475</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83.111831894022401</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8</v>
      </c>
      <c r="R132" t="str">
        <f t="shared" si="54"/>
        <v>Support</v>
      </c>
      <c r="S132">
        <f>survey_responses[[#This Row],[Tôi tin rằng với các quy định quản lý thuế hiện nay, hành vi gian lận hoặc trốn thuế sẽ dễ dàng bị phát hiện và xử lý nghiêm. - HUMAN-ENF1]]</f>
        <v>8</v>
      </c>
      <c r="T132" t="str">
        <f t="shared" si="55"/>
        <v>Support</v>
      </c>
      <c r="U132" s="32">
        <f t="shared" si="56"/>
        <v>0</v>
      </c>
      <c r="V132">
        <f>step3_validation[[#This Row],[AI_ENF2]]</f>
        <v>7</v>
      </c>
      <c r="W132" t="str">
        <f t="shared" si="57"/>
        <v>Neutral</v>
      </c>
      <c r="X132">
        <f>survey_responses[[#This Row],[Tôi tin rằng Nhà nước, cơ quan thuế có đủ khả năng và công nghệ để phát hiện, xử lý nghiêm các hành vi trốn thuế. - HUMAN-ENF2]]</f>
        <v>9</v>
      </c>
      <c r="Y132" t="str">
        <f t="shared" si="58"/>
        <v>Support</v>
      </c>
      <c r="Z132" s="32">
        <f t="shared" si="59"/>
        <v>2</v>
      </c>
      <c r="AA132">
        <f>step3_validation[[#This Row],[AI_FAC1]]</f>
        <v>7</v>
      </c>
      <c r="AB132" t="str">
        <f t="shared" si="60"/>
        <v>Neutral</v>
      </c>
      <c r="AC132">
        <f>survey_responses[[#This Row],[Các thủ tục khai báo thuế VÀ/HOẶC quy trình làm việc với cơ quan thuế đơn giản, tiện lợi, nhanh chóng hơn so với trước đây. - HUMAN-FAC1]]</f>
        <v>5</v>
      </c>
      <c r="AD132" t="str">
        <f t="shared" si="61"/>
        <v>Neutral</v>
      </c>
      <c r="AE132" s="32">
        <f t="shared" si="62"/>
        <v>2</v>
      </c>
      <c r="AF132">
        <f>step3_validation[[#This Row],[AI_FAC2]]</f>
        <v>8</v>
      </c>
      <c r="AG132" t="str">
        <f t="shared" si="63"/>
        <v>Support</v>
      </c>
      <c r="AH132">
        <f>survey_responses[[#This Row],[So với trước đây, tôi thấy cách tính thuế và các bậc thuế trong phương án mới đơn giản, dễ hiểu và dễ thực hiện hơn. - HUMAN-FAC2]]</f>
        <v>5</v>
      </c>
      <c r="AI132" t="str">
        <f t="shared" si="64"/>
        <v>Neutral</v>
      </c>
      <c r="AJ132" s="32">
        <f t="shared" si="65"/>
        <v>3</v>
      </c>
      <c r="AK132">
        <f>step3_validation[[#This Row],[AI_TRU1]]</f>
        <v>9</v>
      </c>
      <c r="AL132" t="str">
        <f t="shared" si="66"/>
        <v>Support</v>
      </c>
      <c r="AM132">
        <f>survey_responses[[#This Row],[Tôi tin rằng Nhà nước, cơ quan thuế sẽ thực thi chính sách mới một cách khách quan, công tâm và đối xử bình đẳng với mọi người nộp thuế.  - HUMAN-TRU1]]</f>
        <v>5</v>
      </c>
      <c r="AN132" t="str">
        <f t="shared" si="67"/>
        <v>Neutral</v>
      </c>
      <c r="AO132" s="32">
        <f t="shared" si="68"/>
        <v>4</v>
      </c>
      <c r="AP132">
        <f>step3_validation[[#This Row],[AI_TRU2]]</f>
        <v>9</v>
      </c>
      <c r="AQ132" t="str">
        <f t="shared" si="69"/>
        <v>Support</v>
      </c>
      <c r="AR132">
        <f>survey_responses[[#This Row],[Tôi thấy mức thuế tôi phải đóng theo phương án mới là công bằng (người thu nhập như tôi đóng mức này là hợp lý). - HUMAN-TRU2]]</f>
        <v>4</v>
      </c>
      <c r="AS132" t="str">
        <f t="shared" si="70"/>
        <v>Oppose</v>
      </c>
      <c r="AT132" s="32">
        <f t="shared" si="71"/>
        <v>5</v>
      </c>
      <c r="AU132">
        <f>step3_validation[[#This Row],[AI_TRU3]]</f>
        <v>8</v>
      </c>
      <c r="AV132" t="str">
        <f t="shared" si="72"/>
        <v>Support</v>
      </c>
      <c r="AW132">
        <f>survey_responses[[#This Row],[Tôi tin tưởng số tiền thuế tôi đóng sẽ được Nhà nước sử dụng hiệu quả để cải thiện dịch vụ công (y tế, đường xá...). - HUMAN-TRU3]]</f>
        <v>5</v>
      </c>
      <c r="AX132" t="str">
        <f t="shared" si="73"/>
        <v>Neutral</v>
      </c>
      <c r="AY132" s="32">
        <f t="shared" si="74"/>
        <v>3</v>
      </c>
      <c r="AZ132">
        <f>step3_validation[[#This Row],[AI_TRU4]]</f>
        <v>7</v>
      </c>
      <c r="BA132" t="str">
        <f t="shared" si="75"/>
        <v>Neutral</v>
      </c>
      <c r="BB132">
        <f>survey_responses[[#This Row],[Tôi thấy Nhà nước đã giải thích rõ ràng, minh bạch về lý do và mục tiêu của việc sửa đổi thuế lần này. - HUMAN-TRU4]]</f>
        <v>5</v>
      </c>
      <c r="BC132" t="str">
        <f t="shared" si="76"/>
        <v>Neutral</v>
      </c>
      <c r="BD132" s="32">
        <f t="shared" si="77"/>
        <v>2</v>
      </c>
      <c r="BE132">
        <f>step3_validation[[#This Row],[AI_OUT1]]</f>
        <v>9</v>
      </c>
      <c r="BF132" t="str">
        <f t="shared" si="78"/>
        <v>Support</v>
      </c>
      <c r="BG132">
        <f>survey_responses[[#This Row],[Sau khi xem xét các quyền lợi và nghĩa vụ, bạn có ủng hộ và tuân thủ chính sách mới hiện nay? - HUMAN-OUT1]]</f>
        <v>5</v>
      </c>
      <c r="BH132" t="str">
        <f t="shared" si="79"/>
        <v>Neutral</v>
      </c>
      <c r="BI132" s="32">
        <f t="shared" si="80"/>
        <v>4</v>
      </c>
    </row>
    <row r="133" spans="1:61" x14ac:dyDescent="0.45">
      <c r="A133" s="30">
        <f>step3_validation[[#This Row],[Persona_ID]]</f>
        <v>132</v>
      </c>
      <c r="B133" s="31">
        <f>step3_validation[[#This Row],[Used_Seed]]</f>
        <v>12476</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12.677340809925916</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7</v>
      </c>
      <c r="R133" t="str">
        <f t="shared" si="54"/>
        <v>Neutral</v>
      </c>
      <c r="S133">
        <f>survey_responses[[#This Row],[Tôi tin rằng với các quy định quản lý thuế hiện nay, hành vi gian lận hoặc trốn thuế sẽ dễ dàng bị phát hiện và xử lý nghiêm. - HUMAN-ENF1]]</f>
        <v>9</v>
      </c>
      <c r="T133" t="str">
        <f t="shared" si="55"/>
        <v>Support</v>
      </c>
      <c r="U133" s="32">
        <f t="shared" si="56"/>
        <v>2</v>
      </c>
      <c r="V133">
        <f>step3_validation[[#This Row],[AI_ENF2]]</f>
        <v>8</v>
      </c>
      <c r="W133" t="str">
        <f t="shared" si="57"/>
        <v>Support</v>
      </c>
      <c r="X133">
        <f>survey_responses[[#This Row],[Tôi tin rằng Nhà nước, cơ quan thuế có đủ khả năng và công nghệ để phát hiện, xử lý nghiêm các hành vi trốn thuế. - HUMAN-ENF2]]</f>
        <v>9</v>
      </c>
      <c r="Y133" t="str">
        <f t="shared" si="58"/>
        <v>Support</v>
      </c>
      <c r="Z133" s="32">
        <f t="shared" si="59"/>
        <v>1</v>
      </c>
      <c r="AA133">
        <f>step3_validation[[#This Row],[AI_FAC1]]</f>
        <v>6</v>
      </c>
      <c r="AB133" t="str">
        <f t="shared" si="60"/>
        <v>Neutral</v>
      </c>
      <c r="AC133">
        <f>survey_responses[[#This Row],[Các thủ tục khai báo thuế VÀ/HOẶC quy trình làm việc với cơ quan thuế đơn giản, tiện lợi, nhanh chóng hơn so với trước đây. - HUMAN-FAC1]]</f>
        <v>9</v>
      </c>
      <c r="AD133" t="str">
        <f t="shared" si="61"/>
        <v>Support</v>
      </c>
      <c r="AE133" s="32">
        <f t="shared" si="62"/>
        <v>3</v>
      </c>
      <c r="AF133">
        <f>step3_validation[[#This Row],[AI_FAC2]]</f>
        <v>9</v>
      </c>
      <c r="AG133" t="str">
        <f t="shared" si="63"/>
        <v>Support</v>
      </c>
      <c r="AH133">
        <f>survey_responses[[#This Row],[So với trước đây, tôi thấy cách tính thuế và các bậc thuế trong phương án mới đơn giản, dễ hiểu và dễ thực hiện hơn. - HUMAN-FAC2]]</f>
        <v>9</v>
      </c>
      <c r="AI133" t="str">
        <f t="shared" si="64"/>
        <v>Support</v>
      </c>
      <c r="AJ133" s="32">
        <f t="shared" si="65"/>
        <v>0</v>
      </c>
      <c r="AK133">
        <f>step3_validation[[#This Row],[AI_TRU1]]</f>
        <v>7</v>
      </c>
      <c r="AL133" t="str">
        <f t="shared" si="66"/>
        <v>Neutral</v>
      </c>
      <c r="AM133">
        <f>survey_responses[[#This Row],[Tôi tin rằng Nhà nước, cơ quan thuế sẽ thực thi chính sách mới một cách khách quan, công tâm và đối xử bình đẳng với mọi người nộp thuế.  - HUMAN-TRU1]]</f>
        <v>7</v>
      </c>
      <c r="AN133" t="str">
        <f t="shared" si="67"/>
        <v>Neutral</v>
      </c>
      <c r="AO133" s="32">
        <f t="shared" si="68"/>
        <v>0</v>
      </c>
      <c r="AP133">
        <f>step3_validation[[#This Row],[AI_TRU2]]</f>
        <v>9</v>
      </c>
      <c r="AQ133" t="str">
        <f t="shared" si="69"/>
        <v>Support</v>
      </c>
      <c r="AR133">
        <f>survey_responses[[#This Row],[Tôi thấy mức thuế tôi phải đóng theo phương án mới là công bằng (người thu nhập như tôi đóng mức này là hợp lý). - HUMAN-TRU2]]</f>
        <v>10</v>
      </c>
      <c r="AS133" t="str">
        <f t="shared" si="70"/>
        <v>Support</v>
      </c>
      <c r="AT133" s="32">
        <f t="shared" si="71"/>
        <v>1</v>
      </c>
      <c r="AU133">
        <f>step3_validation[[#This Row],[AI_TRU3]]</f>
        <v>7</v>
      </c>
      <c r="AV133" t="str">
        <f t="shared" si="72"/>
        <v>Neutral</v>
      </c>
      <c r="AW133">
        <f>survey_responses[[#This Row],[Tôi tin tưởng số tiền thuế tôi đóng sẽ được Nhà nước sử dụng hiệu quả để cải thiện dịch vụ công (y tế, đường xá...). - HUMAN-TRU3]]</f>
        <v>5</v>
      </c>
      <c r="AX133" t="str">
        <f t="shared" si="73"/>
        <v>Neutral</v>
      </c>
      <c r="AY133" s="32">
        <f t="shared" si="74"/>
        <v>2</v>
      </c>
      <c r="AZ133">
        <f>step3_validation[[#This Row],[AI_TRU4]]</f>
        <v>8</v>
      </c>
      <c r="BA133" t="str">
        <f t="shared" si="75"/>
        <v>Support</v>
      </c>
      <c r="BB133">
        <f>survey_responses[[#This Row],[Tôi thấy Nhà nước đã giải thích rõ ràng, minh bạch về lý do và mục tiêu của việc sửa đổi thuế lần này. - HUMAN-TRU4]]</f>
        <v>5</v>
      </c>
      <c r="BC133" t="str">
        <f t="shared" si="76"/>
        <v>Neutral</v>
      </c>
      <c r="BD133" s="32">
        <f t="shared" si="77"/>
        <v>3</v>
      </c>
      <c r="BE133">
        <f>step3_validation[[#This Row],[AI_OUT1]]</f>
        <v>9</v>
      </c>
      <c r="BF133" t="str">
        <f t="shared" si="78"/>
        <v>Support</v>
      </c>
      <c r="BG133">
        <f>survey_responses[[#This Row],[Sau khi xem xét các quyền lợi và nghĩa vụ, bạn có ủng hộ và tuân thủ chính sách mới hiện nay? - HUMAN-OUT1]]</f>
        <v>9</v>
      </c>
      <c r="BH133" t="str">
        <f t="shared" si="79"/>
        <v>Support</v>
      </c>
      <c r="BI133" s="32">
        <f t="shared" si="80"/>
        <v>0</v>
      </c>
    </row>
    <row r="134" spans="1:61" x14ac:dyDescent="0.45">
      <c r="A134" s="30">
        <f>step3_validation[[#This Row],[Persona_ID]]</f>
        <v>133</v>
      </c>
      <c r="B134" s="31">
        <f>step3_validation[[#This Row],[Used_Seed]]</f>
        <v>12477</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42.030908308466138</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6</v>
      </c>
      <c r="R134" t="str">
        <f t="shared" si="54"/>
        <v>Neutral</v>
      </c>
      <c r="S134">
        <f>survey_responses[[#This Row],[Tôi tin rằng với các quy định quản lý thuế hiện nay, hành vi gian lận hoặc trốn thuế sẽ dễ dàng bị phát hiện và xử lý nghiêm. - HUMAN-ENF1]]</f>
        <v>5</v>
      </c>
      <c r="T134" t="str">
        <f t="shared" si="55"/>
        <v>Neutral</v>
      </c>
      <c r="U134" s="32">
        <f t="shared" si="56"/>
        <v>1</v>
      </c>
      <c r="V134">
        <f>step3_validation[[#This Row],[AI_ENF2]]</f>
        <v>7</v>
      </c>
      <c r="W134" t="str">
        <f t="shared" si="57"/>
        <v>Neutral</v>
      </c>
      <c r="X134">
        <f>survey_responses[[#This Row],[Tôi tin rằng Nhà nước, cơ quan thuế có đủ khả năng và công nghệ để phát hiện, xử lý nghiêm các hành vi trốn thuế. - HUMAN-ENF2]]</f>
        <v>5</v>
      </c>
      <c r="Y134" t="str">
        <f t="shared" si="58"/>
        <v>Neutral</v>
      </c>
      <c r="Z134" s="32">
        <f t="shared" si="59"/>
        <v>2</v>
      </c>
      <c r="AA134">
        <f>step3_validation[[#This Row],[AI_FAC1]]</f>
        <v>8</v>
      </c>
      <c r="AB134" t="str">
        <f t="shared" si="60"/>
        <v>Support</v>
      </c>
      <c r="AC134">
        <f>survey_responses[[#This Row],[Các thủ tục khai báo thuế VÀ/HOẶC quy trình làm việc với cơ quan thuế đơn giản, tiện lợi, nhanh chóng hơn so với trước đây. - HUMAN-FAC1]]</f>
        <v>5</v>
      </c>
      <c r="AD134" t="str">
        <f t="shared" si="61"/>
        <v>Neutral</v>
      </c>
      <c r="AE134" s="32">
        <f t="shared" si="62"/>
        <v>3</v>
      </c>
      <c r="AF134">
        <f>step3_validation[[#This Row],[AI_FAC2]]</f>
        <v>9</v>
      </c>
      <c r="AG134" t="str">
        <f t="shared" si="63"/>
        <v>Support</v>
      </c>
      <c r="AH134">
        <f>survey_responses[[#This Row],[So với trước đây, tôi thấy cách tính thuế và các bậc thuế trong phương án mới đơn giản, dễ hiểu và dễ thực hiện hơn. - HUMAN-FAC2]]</f>
        <v>5</v>
      </c>
      <c r="AI134" t="str">
        <f t="shared" si="64"/>
        <v>Neutral</v>
      </c>
      <c r="AJ134" s="32">
        <f t="shared" si="65"/>
        <v>4</v>
      </c>
      <c r="AK134">
        <f>step3_validation[[#This Row],[AI_TRU1]]</f>
        <v>7</v>
      </c>
      <c r="AL134" t="str">
        <f t="shared" si="66"/>
        <v>Neutral</v>
      </c>
      <c r="AM134">
        <f>survey_responses[[#This Row],[Tôi tin rằng Nhà nước, cơ quan thuế sẽ thực thi chính sách mới một cách khách quan, công tâm và đối xử bình đẳng với mọi người nộp thuế.  - HUMAN-TRU1]]</f>
        <v>5</v>
      </c>
      <c r="AN134" t="str">
        <f t="shared" si="67"/>
        <v>Neutral</v>
      </c>
      <c r="AO134" s="32">
        <f t="shared" si="68"/>
        <v>2</v>
      </c>
      <c r="AP134">
        <f>step3_validation[[#This Row],[AI_TRU2]]</f>
        <v>9</v>
      </c>
      <c r="AQ134" t="str">
        <f t="shared" si="69"/>
        <v>Support</v>
      </c>
      <c r="AR134">
        <f>survey_responses[[#This Row],[Tôi thấy mức thuế tôi phải đóng theo phương án mới là công bằng (người thu nhập như tôi đóng mức này là hợp lý). - HUMAN-TRU2]]</f>
        <v>5</v>
      </c>
      <c r="AS134" t="str">
        <f t="shared" si="70"/>
        <v>Neutral</v>
      </c>
      <c r="AT134" s="32">
        <f t="shared" si="71"/>
        <v>4</v>
      </c>
      <c r="AU134">
        <f>step3_validation[[#This Row],[AI_TRU3]]</f>
        <v>8</v>
      </c>
      <c r="AV134" t="str">
        <f t="shared" si="72"/>
        <v>Support</v>
      </c>
      <c r="AW134">
        <f>survey_responses[[#This Row],[Tôi tin tưởng số tiền thuế tôi đóng sẽ được Nhà nước sử dụng hiệu quả để cải thiện dịch vụ công (y tế, đường xá...). - HUMAN-TRU3]]</f>
        <v>5</v>
      </c>
      <c r="AX134" t="str">
        <f t="shared" si="73"/>
        <v>Neutral</v>
      </c>
      <c r="AY134" s="32">
        <f t="shared" si="74"/>
        <v>3</v>
      </c>
      <c r="AZ134">
        <f>step3_validation[[#This Row],[AI_TRU4]]</f>
        <v>9</v>
      </c>
      <c r="BA134" t="str">
        <f t="shared" si="75"/>
        <v>Support</v>
      </c>
      <c r="BB134">
        <f>survey_responses[[#This Row],[Tôi thấy Nhà nước đã giải thích rõ ràng, minh bạch về lý do và mục tiêu của việc sửa đổi thuế lần này. - HUMAN-TRU4]]</f>
        <v>5</v>
      </c>
      <c r="BC134" t="str">
        <f t="shared" si="76"/>
        <v>Neutral</v>
      </c>
      <c r="BD134" s="32">
        <f t="shared" si="77"/>
        <v>4</v>
      </c>
      <c r="BE134">
        <f>step3_validation[[#This Row],[AI_OUT1]]</f>
        <v>9</v>
      </c>
      <c r="BF134" t="str">
        <f t="shared" si="78"/>
        <v>Support</v>
      </c>
      <c r="BG134">
        <f>survey_responses[[#This Row],[Sau khi xem xét các quyền lợi và nghĩa vụ, bạn có ủng hộ và tuân thủ chính sách mới hiện nay? - HUMAN-OUT1]]</f>
        <v>5</v>
      </c>
      <c r="BH134" t="str">
        <f t="shared" si="79"/>
        <v>Neutral</v>
      </c>
      <c r="BI134" s="32">
        <f t="shared" si="80"/>
        <v>4</v>
      </c>
    </row>
    <row r="135" spans="1:61" x14ac:dyDescent="0.45">
      <c r="A135" s="30">
        <f>step3_validation[[#This Row],[Persona_ID]]</f>
        <v>134</v>
      </c>
      <c r="B135" s="31">
        <f>step3_validation[[#This Row],[Used_Seed]]</f>
        <v>12478</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19.566114812780143</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6</v>
      </c>
      <c r="R135" t="str">
        <f t="shared" si="54"/>
        <v>Neutral</v>
      </c>
      <c r="S135">
        <f>survey_responses[[#This Row],[Tôi tin rằng với các quy định quản lý thuế hiện nay, hành vi gian lận hoặc trốn thuế sẽ dễ dàng bị phát hiện và xử lý nghiêm. - HUMAN-ENF1]]</f>
        <v>9</v>
      </c>
      <c r="T135" t="str">
        <f t="shared" si="55"/>
        <v>Support</v>
      </c>
      <c r="U135" s="32">
        <f t="shared" si="56"/>
        <v>3</v>
      </c>
      <c r="V135">
        <f>step3_validation[[#This Row],[AI_ENF2]]</f>
        <v>7</v>
      </c>
      <c r="W135" t="str">
        <f t="shared" si="57"/>
        <v>Neutral</v>
      </c>
      <c r="X135">
        <f>survey_responses[[#This Row],[Tôi tin rằng Nhà nước, cơ quan thuế có đủ khả năng và công nghệ để phát hiện, xử lý nghiêm các hành vi trốn thuế. - HUMAN-ENF2]]</f>
        <v>9</v>
      </c>
      <c r="Y135" t="str">
        <f t="shared" si="58"/>
        <v>Support</v>
      </c>
      <c r="Z135" s="32">
        <f t="shared" si="59"/>
        <v>2</v>
      </c>
      <c r="AA135">
        <f>step3_validation[[#This Row],[AI_FAC1]]</f>
        <v>8</v>
      </c>
      <c r="AB135" t="str">
        <f t="shared" si="60"/>
        <v>Support</v>
      </c>
      <c r="AC135">
        <f>survey_responses[[#This Row],[Các thủ tục khai báo thuế VÀ/HOẶC quy trình làm việc với cơ quan thuế đơn giản, tiện lợi, nhanh chóng hơn so với trước đây. - HUMAN-FAC1]]</f>
        <v>5</v>
      </c>
      <c r="AD135" t="str">
        <f t="shared" si="61"/>
        <v>Neutral</v>
      </c>
      <c r="AE135" s="32">
        <f t="shared" si="62"/>
        <v>3</v>
      </c>
      <c r="AF135">
        <f>step3_validation[[#This Row],[AI_FAC2]]</f>
        <v>9</v>
      </c>
      <c r="AG135" t="str">
        <f t="shared" si="63"/>
        <v>Support</v>
      </c>
      <c r="AH135">
        <f>survey_responses[[#This Row],[So với trước đây, tôi thấy cách tính thuế và các bậc thuế trong phương án mới đơn giản, dễ hiểu và dễ thực hiện hơn. - HUMAN-FAC2]]</f>
        <v>9</v>
      </c>
      <c r="AI135" t="str">
        <f t="shared" si="64"/>
        <v>Support</v>
      </c>
      <c r="AJ135" s="32">
        <f t="shared" si="65"/>
        <v>0</v>
      </c>
      <c r="AK135">
        <f>step3_validation[[#This Row],[AI_TRU1]]</f>
        <v>7</v>
      </c>
      <c r="AL135" t="str">
        <f t="shared" si="66"/>
        <v>Neutral</v>
      </c>
      <c r="AM135">
        <f>survey_responses[[#This Row],[Tôi tin rằng Nhà nước, cơ quan thuế sẽ thực thi chính sách mới một cách khách quan, công tâm và đối xử bình đẳng với mọi người nộp thuế.  - HUMAN-TRU1]]</f>
        <v>8</v>
      </c>
      <c r="AN135" t="str">
        <f t="shared" si="67"/>
        <v>Support</v>
      </c>
      <c r="AO135" s="32">
        <f t="shared" si="68"/>
        <v>1</v>
      </c>
      <c r="AP135">
        <f>step3_validation[[#This Row],[AI_TRU2]]</f>
        <v>9</v>
      </c>
      <c r="AQ135" t="str">
        <f t="shared" si="69"/>
        <v>Support</v>
      </c>
      <c r="AR135">
        <f>survey_responses[[#This Row],[Tôi thấy mức thuế tôi phải đóng theo phương án mới là công bằng (người thu nhập như tôi đóng mức này là hợp lý). - HUMAN-TRU2]]</f>
        <v>10</v>
      </c>
      <c r="AS135" t="str">
        <f t="shared" si="70"/>
        <v>Support</v>
      </c>
      <c r="AT135" s="32">
        <f t="shared" si="71"/>
        <v>1</v>
      </c>
      <c r="AU135">
        <f>step3_validation[[#This Row],[AI_TRU3]]</f>
        <v>7</v>
      </c>
      <c r="AV135" t="str">
        <f t="shared" si="72"/>
        <v>Neutral</v>
      </c>
      <c r="AW135">
        <f>survey_responses[[#This Row],[Tôi tin tưởng số tiền thuế tôi đóng sẽ được Nhà nước sử dụng hiệu quả để cải thiện dịch vụ công (y tế, đường xá...). - HUMAN-TRU3]]</f>
        <v>5</v>
      </c>
      <c r="AX135" t="str">
        <f t="shared" si="73"/>
        <v>Neutral</v>
      </c>
      <c r="AY135" s="32">
        <f t="shared" si="74"/>
        <v>2</v>
      </c>
      <c r="AZ135">
        <f>step3_validation[[#This Row],[AI_TRU4]]</f>
        <v>8</v>
      </c>
      <c r="BA135" t="str">
        <f t="shared" si="75"/>
        <v>Support</v>
      </c>
      <c r="BB135">
        <f>survey_responses[[#This Row],[Tôi thấy Nhà nước đã giải thích rõ ràng, minh bạch về lý do và mục tiêu của việc sửa đổi thuế lần này. - HUMAN-TRU4]]</f>
        <v>5</v>
      </c>
      <c r="BC135" t="str">
        <f t="shared" si="76"/>
        <v>Neutral</v>
      </c>
      <c r="BD135" s="32">
        <f t="shared" si="77"/>
        <v>3</v>
      </c>
      <c r="BE135">
        <f>step3_validation[[#This Row],[AI_OUT1]]</f>
        <v>9</v>
      </c>
      <c r="BF135" t="str">
        <f t="shared" si="78"/>
        <v>Support</v>
      </c>
      <c r="BG135">
        <f>survey_responses[[#This Row],[Sau khi xem xét các quyền lợi và nghĩa vụ, bạn có ủng hộ và tuân thủ chính sách mới hiện nay? - HUMAN-OUT1]]</f>
        <v>7</v>
      </c>
      <c r="BH135" t="str">
        <f t="shared" si="79"/>
        <v>Neutral</v>
      </c>
      <c r="BI135" s="32">
        <f t="shared" si="80"/>
        <v>2</v>
      </c>
    </row>
    <row r="136" spans="1:61" x14ac:dyDescent="0.45">
      <c r="A136" s="30">
        <f>step3_validation[[#This Row],[Persona_ID]]</f>
        <v>135</v>
      </c>
      <c r="B136" s="31">
        <f>step3_validation[[#This Row],[Used_Seed]]</f>
        <v>12479</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14.048329736593841</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9</v>
      </c>
      <c r="R136" t="str">
        <f t="shared" si="54"/>
        <v>Support</v>
      </c>
      <c r="S136">
        <f>survey_responses[[#This Row],[Tôi tin rằng với các quy định quản lý thuế hiện nay, hành vi gian lận hoặc trốn thuế sẽ dễ dàng bị phát hiện và xử lý nghiêm. - HUMAN-ENF1]]</f>
        <v>5</v>
      </c>
      <c r="T136" t="str">
        <f t="shared" si="55"/>
        <v>Neutral</v>
      </c>
      <c r="U136" s="32">
        <f t="shared" si="56"/>
        <v>4</v>
      </c>
      <c r="V136">
        <f>step3_validation[[#This Row],[AI_ENF2]]</f>
        <v>8</v>
      </c>
      <c r="W136" t="str">
        <f t="shared" si="57"/>
        <v>Support</v>
      </c>
      <c r="X136">
        <f>survey_responses[[#This Row],[Tôi tin rằng Nhà nước, cơ quan thuế có đủ khả năng và công nghệ để phát hiện, xử lý nghiêm các hành vi trốn thuế. - HUMAN-ENF2]]</f>
        <v>5</v>
      </c>
      <c r="Y136" t="str">
        <f t="shared" si="58"/>
        <v>Neutral</v>
      </c>
      <c r="Z136" s="32">
        <f t="shared" si="59"/>
        <v>3</v>
      </c>
      <c r="AA136">
        <f>step3_validation[[#This Row],[AI_FAC1]]</f>
        <v>9</v>
      </c>
      <c r="AB136" t="str">
        <f t="shared" si="60"/>
        <v>Support</v>
      </c>
      <c r="AC136">
        <f>survey_responses[[#This Row],[Các thủ tục khai báo thuế VÀ/HOẶC quy trình làm việc với cơ quan thuế đơn giản, tiện lợi, nhanh chóng hơn so với trước đây. - HUMAN-FAC1]]</f>
        <v>5</v>
      </c>
      <c r="AD136" t="str">
        <f t="shared" si="61"/>
        <v>Neutral</v>
      </c>
      <c r="AE136" s="32">
        <f t="shared" si="62"/>
        <v>4</v>
      </c>
      <c r="AF136">
        <f>step3_validation[[#This Row],[AI_FAC2]]</f>
        <v>8</v>
      </c>
      <c r="AG136" t="str">
        <f t="shared" si="63"/>
        <v>Support</v>
      </c>
      <c r="AH136">
        <f>survey_responses[[#This Row],[So với trước đây, tôi thấy cách tính thuế và các bậc thuế trong phương án mới đơn giản, dễ hiểu và dễ thực hiện hơn. - HUMAN-FAC2]]</f>
        <v>6</v>
      </c>
      <c r="AI136" t="str">
        <f t="shared" si="64"/>
        <v>Neutral</v>
      </c>
      <c r="AJ136" s="32">
        <f t="shared" si="65"/>
        <v>2</v>
      </c>
      <c r="AK136">
        <f>step3_validation[[#This Row],[AI_TRU1]]</f>
        <v>9</v>
      </c>
      <c r="AL136" t="str">
        <f t="shared" si="66"/>
        <v>Support</v>
      </c>
      <c r="AM136">
        <f>survey_responses[[#This Row],[Tôi tin rằng Nhà nước, cơ quan thuế sẽ thực thi chính sách mới một cách khách quan, công tâm và đối xử bình đẳng với mọi người nộp thuế.  - HUMAN-TRU1]]</f>
        <v>6</v>
      </c>
      <c r="AN136" t="str">
        <f t="shared" si="67"/>
        <v>Neutral</v>
      </c>
      <c r="AO136" s="32">
        <f t="shared" si="68"/>
        <v>3</v>
      </c>
      <c r="AP136">
        <f>step3_validation[[#This Row],[AI_TRU2]]</f>
        <v>8</v>
      </c>
      <c r="AQ136" t="str">
        <f t="shared" si="69"/>
        <v>Support</v>
      </c>
      <c r="AR136">
        <f>survey_responses[[#This Row],[Tôi thấy mức thuế tôi phải đóng theo phương án mới là công bằng (người thu nhập như tôi đóng mức này là hợp lý). - HUMAN-TRU2]]</f>
        <v>6</v>
      </c>
      <c r="AS136" t="str">
        <f t="shared" si="70"/>
        <v>Neutral</v>
      </c>
      <c r="AT136" s="32">
        <f t="shared" si="71"/>
        <v>2</v>
      </c>
      <c r="AU136">
        <f>step3_validation[[#This Row],[AI_TRU3]]</f>
        <v>9</v>
      </c>
      <c r="AV136" t="str">
        <f t="shared" si="72"/>
        <v>Support</v>
      </c>
      <c r="AW136">
        <f>survey_responses[[#This Row],[Tôi tin tưởng số tiền thuế tôi đóng sẽ được Nhà nước sử dụng hiệu quả để cải thiện dịch vụ công (y tế, đường xá...). - HUMAN-TRU3]]</f>
        <v>6</v>
      </c>
      <c r="AX136" t="str">
        <f t="shared" si="73"/>
        <v>Neutral</v>
      </c>
      <c r="AY136" s="32">
        <f t="shared" si="74"/>
        <v>3</v>
      </c>
      <c r="AZ136">
        <f>step3_validation[[#This Row],[AI_TRU4]]</f>
        <v>8</v>
      </c>
      <c r="BA136" t="str">
        <f t="shared" si="75"/>
        <v>Support</v>
      </c>
      <c r="BB136">
        <f>survey_responses[[#This Row],[Tôi thấy Nhà nước đã giải thích rõ ràng, minh bạch về lý do và mục tiêu của việc sửa đổi thuế lần này. - HUMAN-TRU4]]</f>
        <v>6</v>
      </c>
      <c r="BC136" t="str">
        <f t="shared" si="76"/>
        <v>Neutral</v>
      </c>
      <c r="BD136" s="32">
        <f t="shared" si="77"/>
        <v>2</v>
      </c>
      <c r="BE136">
        <f>step3_validation[[#This Row],[AI_OUT1]]</f>
        <v>7</v>
      </c>
      <c r="BF136" t="str">
        <f t="shared" si="78"/>
        <v>Neutral</v>
      </c>
      <c r="BG136">
        <f>survey_responses[[#This Row],[Sau khi xem xét các quyền lợi và nghĩa vụ, bạn có ủng hộ và tuân thủ chính sách mới hiện nay? - HUMAN-OUT1]]</f>
        <v>6</v>
      </c>
      <c r="BH136" t="str">
        <f t="shared" si="79"/>
        <v>Neutral</v>
      </c>
      <c r="BI136" s="32">
        <f t="shared" si="80"/>
        <v>1</v>
      </c>
    </row>
    <row r="137" spans="1:61" x14ac:dyDescent="0.45">
      <c r="A137" s="30">
        <f>step3_validation[[#This Row],[Persona_ID]]</f>
        <v>136</v>
      </c>
      <c r="B137" s="31">
        <f>step3_validation[[#This Row],[Used_Seed]]</f>
        <v>12480</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t="str">
        <f t="shared" si="54"/>
        <v>Neutral</v>
      </c>
      <c r="S137">
        <f>survey_responses[[#This Row],[Tôi tin rằng với các quy định quản lý thuế hiện nay, hành vi gian lận hoặc trốn thuế sẽ dễ dàng bị phát hiện và xử lý nghiêm. - HUMAN-ENF1]]</f>
        <v>8</v>
      </c>
      <c r="T137" t="str">
        <f t="shared" si="55"/>
        <v>Support</v>
      </c>
      <c r="U137" s="32">
        <f t="shared" si="56"/>
        <v>2</v>
      </c>
      <c r="V137">
        <f>step3_validation[[#This Row],[AI_ENF2]]</f>
        <v>6</v>
      </c>
      <c r="W137" t="str">
        <f t="shared" si="57"/>
        <v>Neutral</v>
      </c>
      <c r="X137">
        <f>survey_responses[[#This Row],[Tôi tin rằng Nhà nước, cơ quan thuế có đủ khả năng và công nghệ để phát hiện, xử lý nghiêm các hành vi trốn thuế. - HUMAN-ENF2]]</f>
        <v>8</v>
      </c>
      <c r="Y137" t="str">
        <f t="shared" si="58"/>
        <v>Support</v>
      </c>
      <c r="Z137" s="32">
        <f t="shared" si="59"/>
        <v>2</v>
      </c>
      <c r="AA137">
        <f>step3_validation[[#This Row],[AI_FAC1]]</f>
        <v>9</v>
      </c>
      <c r="AB137" t="str">
        <f t="shared" si="60"/>
        <v>Support</v>
      </c>
      <c r="AC137">
        <f>survey_responses[[#This Row],[Các thủ tục khai báo thuế VÀ/HOẶC quy trình làm việc với cơ quan thuế đơn giản, tiện lợi, nhanh chóng hơn so với trước đây. - HUMAN-FAC1]]</f>
        <v>8</v>
      </c>
      <c r="AD137" t="str">
        <f t="shared" si="61"/>
        <v>Support</v>
      </c>
      <c r="AE137" s="32">
        <f t="shared" si="62"/>
        <v>1</v>
      </c>
      <c r="AF137">
        <f>step3_validation[[#This Row],[AI_FAC2]]</f>
        <v>9</v>
      </c>
      <c r="AG137" t="str">
        <f t="shared" si="63"/>
        <v>Support</v>
      </c>
      <c r="AH137">
        <f>survey_responses[[#This Row],[So với trước đây, tôi thấy cách tính thuế và các bậc thuế trong phương án mới đơn giản, dễ hiểu và dễ thực hiện hơn. - HUMAN-FAC2]]</f>
        <v>8</v>
      </c>
      <c r="AI137" t="str">
        <f t="shared" si="64"/>
        <v>Support</v>
      </c>
      <c r="AJ137" s="32">
        <f t="shared" si="65"/>
        <v>1</v>
      </c>
      <c r="AK137">
        <f>step3_validation[[#This Row],[AI_TRU1]]</f>
        <v>8</v>
      </c>
      <c r="AL137" t="str">
        <f t="shared" si="66"/>
        <v>Support</v>
      </c>
      <c r="AM137">
        <f>survey_responses[[#This Row],[Tôi tin rằng Nhà nước, cơ quan thuế sẽ thực thi chính sách mới một cách khách quan, công tâm và đối xử bình đẳng với mọi người nộp thuế.  - HUMAN-TRU1]]</f>
        <v>10</v>
      </c>
      <c r="AN137" t="str">
        <f t="shared" si="67"/>
        <v>Support</v>
      </c>
      <c r="AO137" s="32">
        <f t="shared" si="68"/>
        <v>2</v>
      </c>
      <c r="AP137">
        <f>step3_validation[[#This Row],[AI_TRU2]]</f>
        <v>9</v>
      </c>
      <c r="AQ137" t="str">
        <f t="shared" si="69"/>
        <v>Support</v>
      </c>
      <c r="AR137">
        <f>survey_responses[[#This Row],[Tôi thấy mức thuế tôi phải đóng theo phương án mới là công bằng (người thu nhập như tôi đóng mức này là hợp lý). - HUMAN-TRU2]]</f>
        <v>10</v>
      </c>
      <c r="AS137" t="str">
        <f t="shared" si="70"/>
        <v>Support</v>
      </c>
      <c r="AT137" s="32">
        <f t="shared" si="71"/>
        <v>1</v>
      </c>
      <c r="AU137">
        <f>step3_validation[[#This Row],[AI_TRU3]]</f>
        <v>8</v>
      </c>
      <c r="AV137" t="str">
        <f t="shared" si="72"/>
        <v>Support</v>
      </c>
      <c r="AW137">
        <f>survey_responses[[#This Row],[Tôi tin tưởng số tiền thuế tôi đóng sẽ được Nhà nước sử dụng hiệu quả để cải thiện dịch vụ công (y tế, đường xá...). - HUMAN-TRU3]]</f>
        <v>10</v>
      </c>
      <c r="AX137" t="str">
        <f t="shared" si="73"/>
        <v>Support</v>
      </c>
      <c r="AY137" s="32">
        <f t="shared" si="74"/>
        <v>2</v>
      </c>
      <c r="AZ137">
        <f>step3_validation[[#This Row],[AI_TRU4]]</f>
        <v>7</v>
      </c>
      <c r="BA137" t="str">
        <f t="shared" si="75"/>
        <v>Neutral</v>
      </c>
      <c r="BB137">
        <f>survey_responses[[#This Row],[Tôi thấy Nhà nước đã giải thích rõ ràng, minh bạch về lý do và mục tiêu của việc sửa đổi thuế lần này. - HUMAN-TRU4]]</f>
        <v>10</v>
      </c>
      <c r="BC137" t="str">
        <f t="shared" si="76"/>
        <v>Support</v>
      </c>
      <c r="BD137" s="32">
        <f t="shared" si="77"/>
        <v>3</v>
      </c>
      <c r="BE137">
        <f>step3_validation[[#This Row],[AI_OUT1]]</f>
        <v>9</v>
      </c>
      <c r="BF137" t="str">
        <f t="shared" si="78"/>
        <v>Support</v>
      </c>
      <c r="BG137">
        <f>survey_responses[[#This Row],[Sau khi xem xét các quyền lợi và nghĩa vụ, bạn có ủng hộ và tuân thủ chính sách mới hiện nay? - HUMAN-OUT1]]</f>
        <v>10</v>
      </c>
      <c r="BH137" t="str">
        <f t="shared" si="79"/>
        <v>Support</v>
      </c>
      <c r="BI137" s="32">
        <f t="shared" si="80"/>
        <v>1</v>
      </c>
    </row>
    <row r="138" spans="1:61" x14ac:dyDescent="0.45">
      <c r="A138" s="30">
        <f>step3_validation[[#This Row],[Persona_ID]]</f>
        <v>137</v>
      </c>
      <c r="B138" s="31">
        <f>step3_validation[[#This Row],[Used_Seed]]</f>
        <v>12481</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135.68484840159198</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t="str">
        <f t="shared" si="54"/>
        <v>Neutral</v>
      </c>
      <c r="S138">
        <f>survey_responses[[#This Row],[Tôi tin rằng với các quy định quản lý thuế hiện nay, hành vi gian lận hoặc trốn thuế sẽ dễ dàng bị phát hiện và xử lý nghiêm. - HUMAN-ENF1]]</f>
        <v>8</v>
      </c>
      <c r="T138" t="str">
        <f t="shared" si="55"/>
        <v>Support</v>
      </c>
      <c r="U138" s="32">
        <f t="shared" si="56"/>
        <v>1</v>
      </c>
      <c r="V138">
        <f>step3_validation[[#This Row],[AI_ENF2]]</f>
        <v>8</v>
      </c>
      <c r="W138" t="str">
        <f t="shared" si="57"/>
        <v>Support</v>
      </c>
      <c r="X138">
        <f>survey_responses[[#This Row],[Tôi tin rằng Nhà nước, cơ quan thuế có đủ khả năng và công nghệ để phát hiện, xử lý nghiêm các hành vi trốn thuế. - HUMAN-ENF2]]</f>
        <v>8</v>
      </c>
      <c r="Y138" t="str">
        <f t="shared" si="58"/>
        <v>Support</v>
      </c>
      <c r="Z138" s="32">
        <f t="shared" si="59"/>
        <v>0</v>
      </c>
      <c r="AA138">
        <f>step3_validation[[#This Row],[AI_FAC1]]</f>
        <v>9</v>
      </c>
      <c r="AB138" t="str">
        <f t="shared" si="60"/>
        <v>Support</v>
      </c>
      <c r="AC138">
        <f>survey_responses[[#This Row],[Các thủ tục khai báo thuế VÀ/HOẶC quy trình làm việc với cơ quan thuế đơn giản, tiện lợi, nhanh chóng hơn so với trước đây. - HUMAN-FAC1]]</f>
        <v>8</v>
      </c>
      <c r="AD138" t="str">
        <f t="shared" si="61"/>
        <v>Support</v>
      </c>
      <c r="AE138" s="32">
        <f t="shared" si="62"/>
        <v>1</v>
      </c>
      <c r="AF138">
        <f>step3_validation[[#This Row],[AI_FAC2]]</f>
        <v>9</v>
      </c>
      <c r="AG138" t="str">
        <f t="shared" si="63"/>
        <v>Support</v>
      </c>
      <c r="AH138">
        <f>survey_responses[[#This Row],[So với trước đây, tôi thấy cách tính thuế và các bậc thuế trong phương án mới đơn giản, dễ hiểu và dễ thực hiện hơn. - HUMAN-FAC2]]</f>
        <v>8</v>
      </c>
      <c r="AI138" t="str">
        <f t="shared" si="64"/>
        <v>Support</v>
      </c>
      <c r="AJ138" s="32">
        <f t="shared" si="65"/>
        <v>1</v>
      </c>
      <c r="AK138">
        <f>step3_validation[[#This Row],[AI_TRU1]]</f>
        <v>8</v>
      </c>
      <c r="AL138" t="str">
        <f t="shared" si="66"/>
        <v>Support</v>
      </c>
      <c r="AM138">
        <f>survey_responses[[#This Row],[Tôi tin rằng Nhà nước, cơ quan thuế sẽ thực thi chính sách mới một cách khách quan, công tâm và đối xử bình đẳng với mọi người nộp thuế.  - HUMAN-TRU1]]</f>
        <v>8</v>
      </c>
      <c r="AN138" t="str">
        <f t="shared" si="67"/>
        <v>Support</v>
      </c>
      <c r="AO138" s="32">
        <f t="shared" si="68"/>
        <v>0</v>
      </c>
      <c r="AP138">
        <f>step3_validation[[#This Row],[AI_TRU2]]</f>
        <v>9</v>
      </c>
      <c r="AQ138" t="str">
        <f t="shared" si="69"/>
        <v>Support</v>
      </c>
      <c r="AR138">
        <f>survey_responses[[#This Row],[Tôi thấy mức thuế tôi phải đóng theo phương án mới là công bằng (người thu nhập như tôi đóng mức này là hợp lý). - HUMAN-TRU2]]</f>
        <v>8</v>
      </c>
      <c r="AS138" t="str">
        <f t="shared" si="70"/>
        <v>Support</v>
      </c>
      <c r="AT138" s="32">
        <f t="shared" si="71"/>
        <v>1</v>
      </c>
      <c r="AU138">
        <f>step3_validation[[#This Row],[AI_TRU3]]</f>
        <v>8</v>
      </c>
      <c r="AV138" t="str">
        <f t="shared" si="72"/>
        <v>Support</v>
      </c>
      <c r="AW138">
        <f>survey_responses[[#This Row],[Tôi tin tưởng số tiền thuế tôi đóng sẽ được Nhà nước sử dụng hiệu quả để cải thiện dịch vụ công (y tế, đường xá...). - HUMAN-TRU3]]</f>
        <v>5</v>
      </c>
      <c r="AX138" t="str">
        <f t="shared" si="73"/>
        <v>Neutral</v>
      </c>
      <c r="AY138" s="32">
        <f t="shared" si="74"/>
        <v>3</v>
      </c>
      <c r="AZ138">
        <f>step3_validation[[#This Row],[AI_TRU4]]</f>
        <v>9</v>
      </c>
      <c r="BA138" t="str">
        <f t="shared" si="75"/>
        <v>Support</v>
      </c>
      <c r="BB138">
        <f>survey_responses[[#This Row],[Tôi thấy Nhà nước đã giải thích rõ ràng, minh bạch về lý do và mục tiêu của việc sửa đổi thuế lần này. - HUMAN-TRU4]]</f>
        <v>7</v>
      </c>
      <c r="BC138" t="str">
        <f t="shared" si="76"/>
        <v>Neutral</v>
      </c>
      <c r="BD138" s="32">
        <f t="shared" si="77"/>
        <v>2</v>
      </c>
      <c r="BE138">
        <f>step3_validation[[#This Row],[AI_OUT1]]</f>
        <v>8</v>
      </c>
      <c r="BF138" t="str">
        <f t="shared" si="78"/>
        <v>Support</v>
      </c>
      <c r="BG138">
        <f>survey_responses[[#This Row],[Sau khi xem xét các quyền lợi và nghĩa vụ, bạn có ủng hộ và tuân thủ chính sách mới hiện nay? - HUMAN-OUT1]]</f>
        <v>8</v>
      </c>
      <c r="BH138" t="str">
        <f t="shared" si="79"/>
        <v>Support</v>
      </c>
      <c r="BI138" s="32">
        <f t="shared" si="80"/>
        <v>0</v>
      </c>
    </row>
    <row r="139" spans="1:61" x14ac:dyDescent="0.45">
      <c r="A139" s="30">
        <f>step3_validation[[#This Row],[Persona_ID]]</f>
        <v>138</v>
      </c>
      <c r="B139" s="31">
        <f>step3_validation[[#This Row],[Used_Seed]]</f>
        <v>12482</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14.139724413877779</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6</v>
      </c>
      <c r="R139" t="str">
        <f t="shared" si="54"/>
        <v>Neutral</v>
      </c>
      <c r="S139">
        <f>survey_responses[[#This Row],[Tôi tin rằng với các quy định quản lý thuế hiện nay, hành vi gian lận hoặc trốn thuế sẽ dễ dàng bị phát hiện và xử lý nghiêm. - HUMAN-ENF1]]</f>
        <v>8</v>
      </c>
      <c r="T139" t="str">
        <f t="shared" si="55"/>
        <v>Support</v>
      </c>
      <c r="U139" s="32">
        <f t="shared" si="56"/>
        <v>2</v>
      </c>
      <c r="V139">
        <f>step3_validation[[#This Row],[AI_ENF2]]</f>
        <v>7</v>
      </c>
      <c r="W139" t="str">
        <f t="shared" si="57"/>
        <v>Neutral</v>
      </c>
      <c r="X139">
        <f>survey_responses[[#This Row],[Tôi tin rằng Nhà nước, cơ quan thuế có đủ khả năng và công nghệ để phát hiện, xử lý nghiêm các hành vi trốn thuế. - HUMAN-ENF2]]</f>
        <v>9</v>
      </c>
      <c r="Y139" t="str">
        <f t="shared" si="58"/>
        <v>Support</v>
      </c>
      <c r="Z139" s="32">
        <f t="shared" si="59"/>
        <v>2</v>
      </c>
      <c r="AA139">
        <f>step3_validation[[#This Row],[AI_FAC1]]</f>
        <v>9</v>
      </c>
      <c r="AB139" t="str">
        <f t="shared" si="60"/>
        <v>Support</v>
      </c>
      <c r="AC139">
        <f>survey_responses[[#This Row],[Các thủ tục khai báo thuế VÀ/HOẶC quy trình làm việc với cơ quan thuế đơn giản, tiện lợi, nhanh chóng hơn so với trước đây. - HUMAN-FAC1]]</f>
        <v>7</v>
      </c>
      <c r="AD139" t="str">
        <f t="shared" si="61"/>
        <v>Neutral</v>
      </c>
      <c r="AE139" s="32">
        <f t="shared" si="62"/>
        <v>2</v>
      </c>
      <c r="AF139">
        <f>step3_validation[[#This Row],[AI_FAC2]]</f>
        <v>8</v>
      </c>
      <c r="AG139" t="str">
        <f t="shared" si="63"/>
        <v>Support</v>
      </c>
      <c r="AH139">
        <f>survey_responses[[#This Row],[So với trước đây, tôi thấy cách tính thuế và các bậc thuế trong phương án mới đơn giản, dễ hiểu và dễ thực hiện hơn. - HUMAN-FAC2]]</f>
        <v>7</v>
      </c>
      <c r="AI139" t="str">
        <f t="shared" si="64"/>
        <v>Neutral</v>
      </c>
      <c r="AJ139" s="32">
        <f t="shared" si="65"/>
        <v>1</v>
      </c>
      <c r="AK139">
        <f>step3_validation[[#This Row],[AI_TRU1]]</f>
        <v>7</v>
      </c>
      <c r="AL139" t="str">
        <f t="shared" si="66"/>
        <v>Neutral</v>
      </c>
      <c r="AM139">
        <f>survey_responses[[#This Row],[Tôi tin rằng Nhà nước, cơ quan thuế sẽ thực thi chính sách mới một cách khách quan, công tâm và đối xử bình đẳng với mọi người nộp thuế.  - HUMAN-TRU1]]</f>
        <v>6</v>
      </c>
      <c r="AN139" t="str">
        <f t="shared" si="67"/>
        <v>Neutral</v>
      </c>
      <c r="AO139" s="32">
        <f t="shared" si="68"/>
        <v>1</v>
      </c>
      <c r="AP139">
        <f>step3_validation[[#This Row],[AI_TRU2]]</f>
        <v>9</v>
      </c>
      <c r="AQ139" t="str">
        <f t="shared" si="69"/>
        <v>Support</v>
      </c>
      <c r="AR139">
        <f>survey_responses[[#This Row],[Tôi thấy mức thuế tôi phải đóng theo phương án mới là công bằng (người thu nhập như tôi đóng mức này là hợp lý). - HUMAN-TRU2]]</f>
        <v>6</v>
      </c>
      <c r="AS139" t="str">
        <f t="shared" si="70"/>
        <v>Neutral</v>
      </c>
      <c r="AT139" s="32">
        <f t="shared" si="71"/>
        <v>3</v>
      </c>
      <c r="AU139">
        <f>step3_validation[[#This Row],[AI_TRU3]]</f>
        <v>8</v>
      </c>
      <c r="AV139" t="str">
        <f t="shared" si="72"/>
        <v>Support</v>
      </c>
      <c r="AW139">
        <f>survey_responses[[#This Row],[Tôi tin tưởng số tiền thuế tôi đóng sẽ được Nhà nước sử dụng hiệu quả để cải thiện dịch vụ công (y tế, đường xá...). - HUMAN-TRU3]]</f>
        <v>2</v>
      </c>
      <c r="AX139" t="str">
        <f t="shared" si="73"/>
        <v>Oppose</v>
      </c>
      <c r="AY139" s="32">
        <f t="shared" si="74"/>
        <v>6</v>
      </c>
      <c r="AZ139">
        <f>step3_validation[[#This Row],[AI_TRU4]]</f>
        <v>7</v>
      </c>
      <c r="BA139" t="str">
        <f t="shared" si="75"/>
        <v>Neutral</v>
      </c>
      <c r="BB139">
        <f>survey_responses[[#This Row],[Tôi thấy Nhà nước đã giải thích rõ ràng, minh bạch về lý do và mục tiêu của việc sửa đổi thuế lần này. - HUMAN-TRU4]]</f>
        <v>5</v>
      </c>
      <c r="BC139" t="str">
        <f t="shared" si="76"/>
        <v>Neutral</v>
      </c>
      <c r="BD139" s="32">
        <f t="shared" si="77"/>
        <v>2</v>
      </c>
      <c r="BE139">
        <f>step3_validation[[#This Row],[AI_OUT1]]</f>
        <v>8</v>
      </c>
      <c r="BF139" t="str">
        <f t="shared" si="78"/>
        <v>Support</v>
      </c>
      <c r="BG139">
        <f>survey_responses[[#This Row],[Sau khi xem xét các quyền lợi và nghĩa vụ, bạn có ủng hộ và tuân thủ chính sách mới hiện nay? - HUMAN-OUT1]]</f>
        <v>6</v>
      </c>
      <c r="BH139" t="str">
        <f t="shared" si="79"/>
        <v>Neutral</v>
      </c>
      <c r="BI139" s="32">
        <f t="shared" si="80"/>
        <v>2</v>
      </c>
    </row>
    <row r="140" spans="1:61" x14ac:dyDescent="0.45">
      <c r="A140" s="30">
        <f>step3_validation[[#This Row],[Persona_ID]]</f>
        <v>139</v>
      </c>
      <c r="B140" s="31">
        <f>step3_validation[[#This Row],[Used_Seed]]</f>
        <v>12483</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158.4554792969042</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9</v>
      </c>
      <c r="R140" t="str">
        <f t="shared" si="54"/>
        <v>Support</v>
      </c>
      <c r="S140">
        <f>survey_responses[[#This Row],[Tôi tin rằng với các quy định quản lý thuế hiện nay, hành vi gian lận hoặc trốn thuế sẽ dễ dàng bị phát hiện và xử lý nghiêm. - HUMAN-ENF1]]</f>
        <v>5</v>
      </c>
      <c r="T140" t="str">
        <f t="shared" si="55"/>
        <v>Neutral</v>
      </c>
      <c r="U140" s="32">
        <f t="shared" si="56"/>
        <v>4</v>
      </c>
      <c r="V140">
        <f>step3_validation[[#This Row],[AI_ENF2]]</f>
        <v>8</v>
      </c>
      <c r="W140" t="str">
        <f t="shared" si="57"/>
        <v>Support</v>
      </c>
      <c r="X140">
        <f>survey_responses[[#This Row],[Tôi tin rằng Nhà nước, cơ quan thuế có đủ khả năng và công nghệ để phát hiện, xử lý nghiêm các hành vi trốn thuế. - HUMAN-ENF2]]</f>
        <v>4</v>
      </c>
      <c r="Y140" t="str">
        <f t="shared" si="58"/>
        <v>Oppose</v>
      </c>
      <c r="Z140" s="32">
        <f t="shared" si="59"/>
        <v>4</v>
      </c>
      <c r="AA140">
        <f>step3_validation[[#This Row],[AI_FAC1]]</f>
        <v>9</v>
      </c>
      <c r="AB140" t="str">
        <f t="shared" si="60"/>
        <v>Support</v>
      </c>
      <c r="AC140">
        <f>survey_responses[[#This Row],[Các thủ tục khai báo thuế VÀ/HOẶC quy trình làm việc với cơ quan thuế đơn giản, tiện lợi, nhanh chóng hơn so với trước đây. - HUMAN-FAC1]]</f>
        <v>7</v>
      </c>
      <c r="AD140" t="str">
        <f t="shared" si="61"/>
        <v>Neutral</v>
      </c>
      <c r="AE140" s="32">
        <f t="shared" si="62"/>
        <v>2</v>
      </c>
      <c r="AF140">
        <f>step3_validation[[#This Row],[AI_FAC2]]</f>
        <v>8</v>
      </c>
      <c r="AG140" t="str">
        <f t="shared" si="63"/>
        <v>Support</v>
      </c>
      <c r="AH140">
        <f>survey_responses[[#This Row],[So với trước đây, tôi thấy cách tính thuế và các bậc thuế trong phương án mới đơn giản, dễ hiểu và dễ thực hiện hơn. - HUMAN-FAC2]]</f>
        <v>6</v>
      </c>
      <c r="AI140" t="str">
        <f t="shared" si="64"/>
        <v>Neutral</v>
      </c>
      <c r="AJ140" s="32">
        <f t="shared" si="65"/>
        <v>2</v>
      </c>
      <c r="AK140">
        <f>step3_validation[[#This Row],[AI_TRU1]]</f>
        <v>9</v>
      </c>
      <c r="AL140" t="str">
        <f t="shared" si="66"/>
        <v>Support</v>
      </c>
      <c r="AM140">
        <f>survey_responses[[#This Row],[Tôi tin rằng Nhà nước, cơ quan thuế sẽ thực thi chính sách mới một cách khách quan, công tâm và đối xử bình đẳng với mọi người nộp thuế.  - HUMAN-TRU1]]</f>
        <v>3</v>
      </c>
      <c r="AN140" t="str">
        <f t="shared" si="67"/>
        <v>Oppose</v>
      </c>
      <c r="AO140" s="32">
        <f t="shared" si="68"/>
        <v>6</v>
      </c>
      <c r="AP140">
        <f>step3_validation[[#This Row],[AI_TRU2]]</f>
        <v>8</v>
      </c>
      <c r="AQ140" t="str">
        <f t="shared" si="69"/>
        <v>Support</v>
      </c>
      <c r="AR140">
        <f>survey_responses[[#This Row],[Tôi thấy mức thuế tôi phải đóng theo phương án mới là công bằng (người thu nhập như tôi đóng mức này là hợp lý). - HUMAN-TRU2]]</f>
        <v>4</v>
      </c>
      <c r="AS140" t="str">
        <f t="shared" si="70"/>
        <v>Oppose</v>
      </c>
      <c r="AT140" s="32">
        <f t="shared" si="71"/>
        <v>4</v>
      </c>
      <c r="AU140">
        <f>step3_validation[[#This Row],[AI_TRU3]]</f>
        <v>9</v>
      </c>
      <c r="AV140" t="str">
        <f t="shared" si="72"/>
        <v>Support</v>
      </c>
      <c r="AW140">
        <f>survey_responses[[#This Row],[Tôi tin tưởng số tiền thuế tôi đóng sẽ được Nhà nước sử dụng hiệu quả để cải thiện dịch vụ công (y tế, đường xá...). - HUMAN-TRU3]]</f>
        <v>4</v>
      </c>
      <c r="AX140" t="str">
        <f t="shared" si="73"/>
        <v>Oppose</v>
      </c>
      <c r="AY140" s="32">
        <f t="shared" si="74"/>
        <v>5</v>
      </c>
      <c r="AZ140">
        <f>step3_validation[[#This Row],[AI_TRU4]]</f>
        <v>8</v>
      </c>
      <c r="BA140" t="str">
        <f t="shared" si="75"/>
        <v>Support</v>
      </c>
      <c r="BB140">
        <f>survey_responses[[#This Row],[Tôi thấy Nhà nước đã giải thích rõ ràng, minh bạch về lý do và mục tiêu của việc sửa đổi thuế lần này. - HUMAN-TRU4]]</f>
        <v>5</v>
      </c>
      <c r="BC140" t="str">
        <f t="shared" si="76"/>
        <v>Neutral</v>
      </c>
      <c r="BD140" s="32">
        <f t="shared" si="77"/>
        <v>3</v>
      </c>
      <c r="BE140">
        <f>step3_validation[[#This Row],[AI_OUT1]]</f>
        <v>9</v>
      </c>
      <c r="BF140" t="str">
        <f t="shared" si="78"/>
        <v>Support</v>
      </c>
      <c r="BG140">
        <f>survey_responses[[#This Row],[Sau khi xem xét các quyền lợi và nghĩa vụ, bạn có ủng hộ và tuân thủ chính sách mới hiện nay? - HUMAN-OUT1]]</f>
        <v>5</v>
      </c>
      <c r="BH140" t="str">
        <f t="shared" si="79"/>
        <v>Neutral</v>
      </c>
      <c r="BI140" s="32">
        <f t="shared" si="80"/>
        <v>4</v>
      </c>
    </row>
    <row r="141" spans="1:61" x14ac:dyDescent="0.45">
      <c r="A141" s="30">
        <f>step3_validation[[#This Row],[Persona_ID]]</f>
        <v>140</v>
      </c>
      <c r="B141" s="31">
        <f>step3_validation[[#This Row],[Used_Seed]]</f>
        <v>12484</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26.307433001153747</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7</v>
      </c>
      <c r="R141" t="str">
        <f t="shared" si="54"/>
        <v>Neutral</v>
      </c>
      <c r="S141">
        <f>survey_responses[[#This Row],[Tôi tin rằng với các quy định quản lý thuế hiện nay, hành vi gian lận hoặc trốn thuế sẽ dễ dàng bị phát hiện và xử lý nghiêm. - HUMAN-ENF1]]</f>
        <v>10</v>
      </c>
      <c r="T141" t="str">
        <f t="shared" si="55"/>
        <v>Support</v>
      </c>
      <c r="U141" s="32">
        <f t="shared" si="56"/>
        <v>3</v>
      </c>
      <c r="V141">
        <f>step3_validation[[#This Row],[AI_ENF2]]</f>
        <v>8</v>
      </c>
      <c r="W141" t="str">
        <f t="shared" si="57"/>
        <v>Support</v>
      </c>
      <c r="X141">
        <f>survey_responses[[#This Row],[Tôi tin rằng Nhà nước, cơ quan thuế có đủ khả năng và công nghệ để phát hiện, xử lý nghiêm các hành vi trốn thuế. - HUMAN-ENF2]]</f>
        <v>9</v>
      </c>
      <c r="Y141" t="str">
        <f t="shared" si="58"/>
        <v>Support</v>
      </c>
      <c r="Z141" s="32">
        <f t="shared" si="59"/>
        <v>1</v>
      </c>
      <c r="AA141">
        <f>step3_validation[[#This Row],[AI_FAC1]]</f>
        <v>9</v>
      </c>
      <c r="AB141" t="str">
        <f t="shared" si="60"/>
        <v>Support</v>
      </c>
      <c r="AC141">
        <f>survey_responses[[#This Row],[Các thủ tục khai báo thuế VÀ/HOẶC quy trình làm việc với cơ quan thuế đơn giản, tiện lợi, nhanh chóng hơn so với trước đây. - HUMAN-FAC1]]</f>
        <v>9</v>
      </c>
      <c r="AD141" t="str">
        <f t="shared" si="61"/>
        <v>Support</v>
      </c>
      <c r="AE141" s="32">
        <f t="shared" si="62"/>
        <v>0</v>
      </c>
      <c r="AF141">
        <f>step3_validation[[#This Row],[AI_FAC2]]</f>
        <v>8</v>
      </c>
      <c r="AG141" t="str">
        <f t="shared" si="63"/>
        <v>Support</v>
      </c>
      <c r="AH141">
        <f>survey_responses[[#This Row],[So với trước đây, tôi thấy cách tính thuế và các bậc thuế trong phương án mới đơn giản, dễ hiểu và dễ thực hiện hơn. - HUMAN-FAC2]]</f>
        <v>9</v>
      </c>
      <c r="AI141" t="str">
        <f t="shared" si="64"/>
        <v>Support</v>
      </c>
      <c r="AJ141" s="32">
        <f t="shared" si="65"/>
        <v>1</v>
      </c>
      <c r="AK141">
        <f>step3_validation[[#This Row],[AI_TRU1]]</f>
        <v>7</v>
      </c>
      <c r="AL141" t="str">
        <f t="shared" si="66"/>
        <v>Neutral</v>
      </c>
      <c r="AM141">
        <f>survey_responses[[#This Row],[Tôi tin rằng Nhà nước, cơ quan thuế sẽ thực thi chính sách mới một cách khách quan, công tâm và đối xử bình đẳng với mọi người nộp thuế.  - HUMAN-TRU1]]</f>
        <v>8</v>
      </c>
      <c r="AN141" t="str">
        <f t="shared" si="67"/>
        <v>Support</v>
      </c>
      <c r="AO141" s="32">
        <f t="shared" si="68"/>
        <v>1</v>
      </c>
      <c r="AP141">
        <f>step3_validation[[#This Row],[AI_TRU2]]</f>
        <v>9</v>
      </c>
      <c r="AQ141" t="str">
        <f t="shared" si="69"/>
        <v>Support</v>
      </c>
      <c r="AR141">
        <f>survey_responses[[#This Row],[Tôi thấy mức thuế tôi phải đóng theo phương án mới là công bằng (người thu nhập như tôi đóng mức này là hợp lý). - HUMAN-TRU2]]</f>
        <v>8</v>
      </c>
      <c r="AS141" t="str">
        <f t="shared" si="70"/>
        <v>Support</v>
      </c>
      <c r="AT141" s="32">
        <f t="shared" si="71"/>
        <v>1</v>
      </c>
      <c r="AU141">
        <f>step3_validation[[#This Row],[AI_TRU3]]</f>
        <v>8</v>
      </c>
      <c r="AV141" t="str">
        <f t="shared" si="72"/>
        <v>Support</v>
      </c>
      <c r="AW141">
        <f>survey_responses[[#This Row],[Tôi tin tưởng số tiền thuế tôi đóng sẽ được Nhà nước sử dụng hiệu quả để cải thiện dịch vụ công (y tế, đường xá...). - HUMAN-TRU3]]</f>
        <v>8</v>
      </c>
      <c r="AX141" t="str">
        <f t="shared" si="73"/>
        <v>Support</v>
      </c>
      <c r="AY141" s="32">
        <f t="shared" si="74"/>
        <v>0</v>
      </c>
      <c r="AZ141">
        <f>step3_validation[[#This Row],[AI_TRU4]]</f>
        <v>7</v>
      </c>
      <c r="BA141" t="str">
        <f t="shared" si="75"/>
        <v>Neutral</v>
      </c>
      <c r="BB141">
        <f>survey_responses[[#This Row],[Tôi thấy Nhà nước đã giải thích rõ ràng, minh bạch về lý do và mục tiêu của việc sửa đổi thuế lần này. - HUMAN-TRU4]]</f>
        <v>8</v>
      </c>
      <c r="BC141" t="str">
        <f t="shared" si="76"/>
        <v>Support</v>
      </c>
      <c r="BD141" s="32">
        <f t="shared" si="77"/>
        <v>1</v>
      </c>
      <c r="BE141">
        <f>step3_validation[[#This Row],[AI_OUT1]]</f>
        <v>9</v>
      </c>
      <c r="BF141" t="str">
        <f t="shared" si="78"/>
        <v>Support</v>
      </c>
      <c r="BG141">
        <f>survey_responses[[#This Row],[Sau khi xem xét các quyền lợi và nghĩa vụ, bạn có ủng hộ và tuân thủ chính sách mới hiện nay? - HUMAN-OUT1]]</f>
        <v>10</v>
      </c>
      <c r="BH141" t="str">
        <f t="shared" si="79"/>
        <v>Support</v>
      </c>
      <c r="BI141" s="32">
        <f t="shared" si="80"/>
        <v>1</v>
      </c>
    </row>
    <row r="142" spans="1:61" x14ac:dyDescent="0.45">
      <c r="A142" s="30">
        <f>step3_validation[[#This Row],[Persona_ID]]</f>
        <v>141</v>
      </c>
      <c r="B142" s="31">
        <f>step3_validation[[#This Row],[Used_Seed]]</f>
        <v>12485</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24.022720572137843</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8</v>
      </c>
      <c r="R142" t="str">
        <f t="shared" si="54"/>
        <v>Support</v>
      </c>
      <c r="S142">
        <f>survey_responses[[#This Row],[Tôi tin rằng với các quy định quản lý thuế hiện nay, hành vi gian lận hoặc trốn thuế sẽ dễ dàng bị phát hiện và xử lý nghiêm. - HUMAN-ENF1]]</f>
        <v>8</v>
      </c>
      <c r="T142" t="str">
        <f t="shared" si="55"/>
        <v>Support</v>
      </c>
      <c r="U142" s="32">
        <f t="shared" si="56"/>
        <v>0</v>
      </c>
      <c r="V142">
        <f>step3_validation[[#This Row],[AI_ENF2]]</f>
        <v>9</v>
      </c>
      <c r="W142" t="str">
        <f t="shared" si="57"/>
        <v>Support</v>
      </c>
      <c r="X142">
        <f>survey_responses[[#This Row],[Tôi tin rằng Nhà nước, cơ quan thuế có đủ khả năng và công nghệ để phát hiện, xử lý nghiêm các hành vi trốn thuế. - HUMAN-ENF2]]</f>
        <v>7</v>
      </c>
      <c r="Y142" t="str">
        <f t="shared" si="58"/>
        <v>Neutral</v>
      </c>
      <c r="Z142" s="32">
        <f t="shared" si="59"/>
        <v>2</v>
      </c>
      <c r="AA142">
        <f>step3_validation[[#This Row],[AI_FAC1]]</f>
        <v>8</v>
      </c>
      <c r="AB142" t="str">
        <f t="shared" si="60"/>
        <v>Support</v>
      </c>
      <c r="AC142">
        <f>survey_responses[[#This Row],[Các thủ tục khai báo thuế VÀ/HOẶC quy trình làm việc với cơ quan thuế đơn giản, tiện lợi, nhanh chóng hơn so với trước đây. - HUMAN-FAC1]]</f>
        <v>6</v>
      </c>
      <c r="AD142" t="str">
        <f t="shared" si="61"/>
        <v>Neutral</v>
      </c>
      <c r="AE142" s="32">
        <f t="shared" si="62"/>
        <v>2</v>
      </c>
      <c r="AF142">
        <f>step3_validation[[#This Row],[AI_FAC2]]</f>
        <v>9</v>
      </c>
      <c r="AG142" t="str">
        <f t="shared" si="63"/>
        <v>Support</v>
      </c>
      <c r="AH142">
        <f>survey_responses[[#This Row],[So với trước đây, tôi thấy cách tính thuế và các bậc thuế trong phương án mới đơn giản, dễ hiểu và dễ thực hiện hơn. - HUMAN-FAC2]]</f>
        <v>6</v>
      </c>
      <c r="AI142" t="str">
        <f t="shared" si="64"/>
        <v>Neutral</v>
      </c>
      <c r="AJ142" s="32">
        <f t="shared" si="65"/>
        <v>3</v>
      </c>
      <c r="AK142">
        <f>step3_validation[[#This Row],[AI_TRU1]]</f>
        <v>8</v>
      </c>
      <c r="AL142" t="str">
        <f t="shared" si="66"/>
        <v>Support</v>
      </c>
      <c r="AM142">
        <f>survey_responses[[#This Row],[Tôi tin rằng Nhà nước, cơ quan thuế sẽ thực thi chính sách mới một cách khách quan, công tâm và đối xử bình đẳng với mọi người nộp thuế.  - HUMAN-TRU1]]</f>
        <v>5</v>
      </c>
      <c r="AN142" t="str">
        <f t="shared" si="67"/>
        <v>Neutral</v>
      </c>
      <c r="AO142" s="32">
        <f t="shared" si="68"/>
        <v>3</v>
      </c>
      <c r="AP142">
        <f>step3_validation[[#This Row],[AI_TRU2]]</f>
        <v>9</v>
      </c>
      <c r="AQ142" t="str">
        <f t="shared" si="69"/>
        <v>Support</v>
      </c>
      <c r="AR142">
        <f>survey_responses[[#This Row],[Tôi thấy mức thuế tôi phải đóng theo phương án mới là công bằng (người thu nhập như tôi đóng mức này là hợp lý). - HUMAN-TRU2]]</f>
        <v>5</v>
      </c>
      <c r="AS142" t="str">
        <f t="shared" si="70"/>
        <v>Neutral</v>
      </c>
      <c r="AT142" s="32">
        <f t="shared" si="71"/>
        <v>4</v>
      </c>
      <c r="AU142">
        <f>step3_validation[[#This Row],[AI_TRU3]]</f>
        <v>8</v>
      </c>
      <c r="AV142" t="str">
        <f t="shared" si="72"/>
        <v>Support</v>
      </c>
      <c r="AW142">
        <f>survey_responses[[#This Row],[Tôi tin tưởng số tiền thuế tôi đóng sẽ được Nhà nước sử dụng hiệu quả để cải thiện dịch vụ công (y tế, đường xá...). - HUMAN-TRU3]]</f>
        <v>3</v>
      </c>
      <c r="AX142" t="str">
        <f t="shared" si="73"/>
        <v>Oppose</v>
      </c>
      <c r="AY142" s="32">
        <f t="shared" si="74"/>
        <v>5</v>
      </c>
      <c r="AZ142">
        <f>step3_validation[[#This Row],[AI_TRU4]]</f>
        <v>9</v>
      </c>
      <c r="BA142" t="str">
        <f t="shared" si="75"/>
        <v>Support</v>
      </c>
      <c r="BB142">
        <f>survey_responses[[#This Row],[Tôi thấy Nhà nước đã giải thích rõ ràng, minh bạch về lý do và mục tiêu của việc sửa đổi thuế lần này. - HUMAN-TRU4]]</f>
        <v>3</v>
      </c>
      <c r="BC142" t="str">
        <f t="shared" si="76"/>
        <v>Oppose</v>
      </c>
      <c r="BD142" s="32">
        <f t="shared" si="77"/>
        <v>6</v>
      </c>
      <c r="BE142">
        <f>step3_validation[[#This Row],[AI_OUT1]]</f>
        <v>9</v>
      </c>
      <c r="BF142" t="str">
        <f t="shared" si="78"/>
        <v>Support</v>
      </c>
      <c r="BG142">
        <f>survey_responses[[#This Row],[Sau khi xem xét các quyền lợi và nghĩa vụ, bạn có ủng hộ và tuân thủ chính sách mới hiện nay? - HUMAN-OUT1]]</f>
        <v>5</v>
      </c>
      <c r="BH142" t="str">
        <f t="shared" si="79"/>
        <v>Neutral</v>
      </c>
      <c r="BI142" s="32">
        <f t="shared" si="80"/>
        <v>4</v>
      </c>
    </row>
    <row r="143" spans="1:61" x14ac:dyDescent="0.45">
      <c r="A143" s="30">
        <f>step3_validation[[#This Row],[Persona_ID]]</f>
        <v>142</v>
      </c>
      <c r="B143" s="31">
        <f>step3_validation[[#This Row],[Used_Seed]]</f>
        <v>12486</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6</v>
      </c>
      <c r="R143" t="str">
        <f t="shared" si="54"/>
        <v>Neutral</v>
      </c>
      <c r="S143">
        <f>survey_responses[[#This Row],[Tôi tin rằng với các quy định quản lý thuế hiện nay, hành vi gian lận hoặc trốn thuế sẽ dễ dàng bị phát hiện và xử lý nghiêm. - HUMAN-ENF1]]</f>
        <v>5</v>
      </c>
      <c r="T143" t="str">
        <f t="shared" si="55"/>
        <v>Neutral</v>
      </c>
      <c r="U143" s="32">
        <f t="shared" si="56"/>
        <v>1</v>
      </c>
      <c r="V143">
        <f>step3_validation[[#This Row],[AI_ENF2]]</f>
        <v>7</v>
      </c>
      <c r="W143" t="str">
        <f t="shared" si="57"/>
        <v>Neutral</v>
      </c>
      <c r="X143">
        <f>survey_responses[[#This Row],[Tôi tin rằng Nhà nước, cơ quan thuế có đủ khả năng và công nghệ để phát hiện, xử lý nghiêm các hành vi trốn thuế. - HUMAN-ENF2]]</f>
        <v>6</v>
      </c>
      <c r="Y143" t="str">
        <f t="shared" si="58"/>
        <v>Neutral</v>
      </c>
      <c r="Z143" s="32">
        <f t="shared" si="59"/>
        <v>1</v>
      </c>
      <c r="AA143">
        <f>step3_validation[[#This Row],[AI_FAC1]]</f>
        <v>9</v>
      </c>
      <c r="AB143" t="str">
        <f t="shared" si="60"/>
        <v>Support</v>
      </c>
      <c r="AC143">
        <f>survey_responses[[#This Row],[Các thủ tục khai báo thuế VÀ/HOẶC quy trình làm việc với cơ quan thuế đơn giản, tiện lợi, nhanh chóng hơn so với trước đây. - HUMAN-FAC1]]</f>
        <v>5</v>
      </c>
      <c r="AD143" t="str">
        <f t="shared" si="61"/>
        <v>Neutral</v>
      </c>
      <c r="AE143" s="32">
        <f t="shared" si="62"/>
        <v>4</v>
      </c>
      <c r="AF143">
        <f>step3_validation[[#This Row],[AI_FAC2]]</f>
        <v>8</v>
      </c>
      <c r="AG143" t="str">
        <f t="shared" si="63"/>
        <v>Support</v>
      </c>
      <c r="AH143">
        <f>survey_responses[[#This Row],[So với trước đây, tôi thấy cách tính thuế và các bậc thuế trong phương án mới đơn giản, dễ hiểu và dễ thực hiện hơn. - HUMAN-FAC2]]</f>
        <v>7</v>
      </c>
      <c r="AI143" t="str">
        <f t="shared" si="64"/>
        <v>Neutral</v>
      </c>
      <c r="AJ143" s="32">
        <f t="shared" si="65"/>
        <v>1</v>
      </c>
      <c r="AK143">
        <f>step3_validation[[#This Row],[AI_TRU1]]</f>
        <v>9</v>
      </c>
      <c r="AL143" t="str">
        <f t="shared" si="66"/>
        <v>Support</v>
      </c>
      <c r="AM143">
        <f>survey_responses[[#This Row],[Tôi tin rằng Nhà nước, cơ quan thuế sẽ thực thi chính sách mới một cách khách quan, công tâm và đối xử bình đẳng với mọi người nộp thuế.  - HUMAN-TRU1]]</f>
        <v>6</v>
      </c>
      <c r="AN143" t="str">
        <f t="shared" si="67"/>
        <v>Neutral</v>
      </c>
      <c r="AO143" s="32">
        <f t="shared" si="68"/>
        <v>3</v>
      </c>
      <c r="AP143">
        <f>step3_validation[[#This Row],[AI_TRU2]]</f>
        <v>8</v>
      </c>
      <c r="AQ143" t="str">
        <f t="shared" si="69"/>
        <v>Support</v>
      </c>
      <c r="AR143">
        <f>survey_responses[[#This Row],[Tôi thấy mức thuế tôi phải đóng theo phương án mới là công bằng (người thu nhập như tôi đóng mức này là hợp lý). - HUMAN-TRU2]]</f>
        <v>6</v>
      </c>
      <c r="AS143" t="str">
        <f t="shared" si="70"/>
        <v>Neutral</v>
      </c>
      <c r="AT143" s="32">
        <f t="shared" si="71"/>
        <v>2</v>
      </c>
      <c r="AU143">
        <f>step3_validation[[#This Row],[AI_TRU3]]</f>
        <v>9</v>
      </c>
      <c r="AV143" t="str">
        <f t="shared" si="72"/>
        <v>Support</v>
      </c>
      <c r="AW143">
        <f>survey_responses[[#This Row],[Tôi tin tưởng số tiền thuế tôi đóng sẽ được Nhà nước sử dụng hiệu quả để cải thiện dịch vụ công (y tế, đường xá...). - HUMAN-TRU3]]</f>
        <v>6</v>
      </c>
      <c r="AX143" t="str">
        <f t="shared" si="73"/>
        <v>Neutral</v>
      </c>
      <c r="AY143" s="32">
        <f t="shared" si="74"/>
        <v>3</v>
      </c>
      <c r="AZ143">
        <f>step3_validation[[#This Row],[AI_TRU4]]</f>
        <v>7</v>
      </c>
      <c r="BA143" t="str">
        <f t="shared" si="75"/>
        <v>Neutral</v>
      </c>
      <c r="BB143">
        <f>survey_responses[[#This Row],[Tôi thấy Nhà nước đã giải thích rõ ràng, minh bạch về lý do và mục tiêu của việc sửa đổi thuế lần này. - HUMAN-TRU4]]</f>
        <v>7</v>
      </c>
      <c r="BC143" t="str">
        <f t="shared" si="76"/>
        <v>Neutral</v>
      </c>
      <c r="BD143" s="32">
        <f t="shared" si="77"/>
        <v>0</v>
      </c>
      <c r="BE143">
        <f>step3_validation[[#This Row],[AI_OUT1]]</f>
        <v>8</v>
      </c>
      <c r="BF143" t="str">
        <f t="shared" si="78"/>
        <v>Support</v>
      </c>
      <c r="BG143">
        <f>survey_responses[[#This Row],[Sau khi xem xét các quyền lợi và nghĩa vụ, bạn có ủng hộ và tuân thủ chính sách mới hiện nay? - HUMAN-OUT1]]</f>
        <v>7</v>
      </c>
      <c r="BH143" t="str">
        <f t="shared" si="79"/>
        <v>Neutral</v>
      </c>
      <c r="BI143" s="32">
        <f t="shared" si="80"/>
        <v>1</v>
      </c>
    </row>
    <row r="144" spans="1:61" x14ac:dyDescent="0.45">
      <c r="A144" s="30">
        <f>step3_validation[[#This Row],[Persona_ID]]</f>
        <v>143</v>
      </c>
      <c r="B144" s="31">
        <f>step3_validation[[#This Row],[Used_Seed]]</f>
        <v>12487</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134.0319560403963</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8</v>
      </c>
      <c r="R144" t="str">
        <f t="shared" si="54"/>
        <v>Support</v>
      </c>
      <c r="S144">
        <f>survey_responses[[#This Row],[Tôi tin rằng với các quy định quản lý thuế hiện nay, hành vi gian lận hoặc trốn thuế sẽ dễ dàng bị phát hiện và xử lý nghiêm. - HUMAN-ENF1]]</f>
        <v>1</v>
      </c>
      <c r="T144" t="str">
        <f t="shared" si="55"/>
        <v>Oppose</v>
      </c>
      <c r="U144" s="32">
        <f t="shared" si="56"/>
        <v>7</v>
      </c>
      <c r="V144">
        <f>step3_validation[[#This Row],[AI_ENF2]]</f>
        <v>9</v>
      </c>
      <c r="W144" t="str">
        <f t="shared" si="57"/>
        <v>Support</v>
      </c>
      <c r="X144">
        <f>survey_responses[[#This Row],[Tôi tin rằng Nhà nước, cơ quan thuế có đủ khả năng và công nghệ để phát hiện, xử lý nghiêm các hành vi trốn thuế. - HUMAN-ENF2]]</f>
        <v>1</v>
      </c>
      <c r="Y144" t="str">
        <f t="shared" si="58"/>
        <v>Oppose</v>
      </c>
      <c r="Z144" s="32">
        <f t="shared" si="59"/>
        <v>8</v>
      </c>
      <c r="AA144">
        <f>step3_validation[[#This Row],[AI_FAC1]]</f>
        <v>8</v>
      </c>
      <c r="AB144" t="str">
        <f t="shared" si="60"/>
        <v>Support</v>
      </c>
      <c r="AC144">
        <f>survey_responses[[#This Row],[Các thủ tục khai báo thuế VÀ/HOẶC quy trình làm việc với cơ quan thuế đơn giản, tiện lợi, nhanh chóng hơn so với trước đây. - HUMAN-FAC1]]</f>
        <v>8</v>
      </c>
      <c r="AD144" t="str">
        <f t="shared" si="61"/>
        <v>Support</v>
      </c>
      <c r="AE144" s="32">
        <f t="shared" si="62"/>
        <v>0</v>
      </c>
      <c r="AF144">
        <f>step3_validation[[#This Row],[AI_FAC2]]</f>
        <v>9</v>
      </c>
      <c r="AG144" t="str">
        <f t="shared" si="63"/>
        <v>Support</v>
      </c>
      <c r="AH144">
        <f>survey_responses[[#This Row],[So với trước đây, tôi thấy cách tính thuế và các bậc thuế trong phương án mới đơn giản, dễ hiểu và dễ thực hiện hơn. - HUMAN-FAC2]]</f>
        <v>8</v>
      </c>
      <c r="AI144" t="str">
        <f t="shared" si="64"/>
        <v>Support</v>
      </c>
      <c r="AJ144" s="32">
        <f t="shared" si="65"/>
        <v>1</v>
      </c>
      <c r="AK144">
        <f>step3_validation[[#This Row],[AI_TRU1]]</f>
        <v>8</v>
      </c>
      <c r="AL144" t="str">
        <f t="shared" si="66"/>
        <v>Support</v>
      </c>
      <c r="AM144">
        <f>survey_responses[[#This Row],[Tôi tin rằng Nhà nước, cơ quan thuế sẽ thực thi chính sách mới một cách khách quan, công tâm và đối xử bình đẳng với mọi người nộp thuế.  - HUMAN-TRU1]]</f>
        <v>8</v>
      </c>
      <c r="AN144" t="str">
        <f t="shared" si="67"/>
        <v>Support</v>
      </c>
      <c r="AO144" s="32">
        <f t="shared" si="68"/>
        <v>0</v>
      </c>
      <c r="AP144">
        <f>step3_validation[[#This Row],[AI_TRU2]]</f>
        <v>9</v>
      </c>
      <c r="AQ144" t="str">
        <f t="shared" si="69"/>
        <v>Support</v>
      </c>
      <c r="AR144">
        <f>survey_responses[[#This Row],[Tôi thấy mức thuế tôi phải đóng theo phương án mới là công bằng (người thu nhập như tôi đóng mức này là hợp lý). - HUMAN-TRU2]]</f>
        <v>8</v>
      </c>
      <c r="AS144" t="str">
        <f t="shared" si="70"/>
        <v>Support</v>
      </c>
      <c r="AT144" s="32">
        <f t="shared" si="71"/>
        <v>1</v>
      </c>
      <c r="AU144">
        <f>step3_validation[[#This Row],[AI_TRU3]]</f>
        <v>8</v>
      </c>
      <c r="AV144" t="str">
        <f t="shared" si="72"/>
        <v>Support</v>
      </c>
      <c r="AW144">
        <f>survey_responses[[#This Row],[Tôi tin tưởng số tiền thuế tôi đóng sẽ được Nhà nước sử dụng hiệu quả để cải thiện dịch vụ công (y tế, đường xá...). - HUMAN-TRU3]]</f>
        <v>8</v>
      </c>
      <c r="AX144" t="str">
        <f t="shared" si="73"/>
        <v>Support</v>
      </c>
      <c r="AY144" s="32">
        <f t="shared" si="74"/>
        <v>0</v>
      </c>
      <c r="AZ144">
        <f>step3_validation[[#This Row],[AI_TRU4]]</f>
        <v>7</v>
      </c>
      <c r="BA144" t="str">
        <f t="shared" si="75"/>
        <v>Neutral</v>
      </c>
      <c r="BB144">
        <f>survey_responses[[#This Row],[Tôi thấy Nhà nước đã giải thích rõ ràng, minh bạch về lý do và mục tiêu của việc sửa đổi thuế lần này. - HUMAN-TRU4]]</f>
        <v>8</v>
      </c>
      <c r="BC144" t="str">
        <f t="shared" si="76"/>
        <v>Support</v>
      </c>
      <c r="BD144" s="32">
        <f t="shared" si="77"/>
        <v>1</v>
      </c>
      <c r="BE144">
        <f>step3_validation[[#This Row],[AI_OUT1]]</f>
        <v>9</v>
      </c>
      <c r="BF144" t="str">
        <f t="shared" si="78"/>
        <v>Support</v>
      </c>
      <c r="BG144">
        <f>survey_responses[[#This Row],[Sau khi xem xét các quyền lợi và nghĩa vụ, bạn có ủng hộ và tuân thủ chính sách mới hiện nay? - HUMAN-OUT1]]</f>
        <v>8</v>
      </c>
      <c r="BH144" t="str">
        <f t="shared" si="79"/>
        <v>Support</v>
      </c>
      <c r="BI144" s="32">
        <f t="shared" si="80"/>
        <v>1</v>
      </c>
    </row>
    <row r="145" spans="1:61" x14ac:dyDescent="0.45">
      <c r="A145" s="30">
        <f>step3_validation[[#This Row],[Persona_ID]]</f>
        <v>144</v>
      </c>
      <c r="B145" s="31">
        <f>step3_validation[[#This Row],[Used_Seed]]</f>
        <v>12488</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56.781792561316756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t="str">
        <f t="shared" si="54"/>
        <v>Neutral</v>
      </c>
      <c r="S145">
        <f>survey_responses[[#This Row],[Tôi tin rằng với các quy định quản lý thuế hiện nay, hành vi gian lận hoặc trốn thuế sẽ dễ dàng bị phát hiện và xử lý nghiêm. - HUMAN-ENF1]]</f>
        <v>9</v>
      </c>
      <c r="T145" t="str">
        <f t="shared" si="55"/>
        <v>Support</v>
      </c>
      <c r="U145" s="32">
        <f t="shared" si="56"/>
        <v>2</v>
      </c>
      <c r="V145">
        <f>step3_validation[[#This Row],[AI_ENF2]]</f>
        <v>8</v>
      </c>
      <c r="W145" t="str">
        <f t="shared" si="57"/>
        <v>Support</v>
      </c>
      <c r="X145">
        <f>survey_responses[[#This Row],[Tôi tin rằng Nhà nước, cơ quan thuế có đủ khả năng và công nghệ để phát hiện, xử lý nghiêm các hành vi trốn thuế. - HUMAN-ENF2]]</f>
        <v>9</v>
      </c>
      <c r="Y145" t="str">
        <f t="shared" si="58"/>
        <v>Support</v>
      </c>
      <c r="Z145" s="32">
        <f t="shared" si="59"/>
        <v>1</v>
      </c>
      <c r="AA145">
        <f>step3_validation[[#This Row],[AI_FAC1]]</f>
        <v>9</v>
      </c>
      <c r="AB145" t="str">
        <f t="shared" si="60"/>
        <v>Support</v>
      </c>
      <c r="AC145">
        <f>survey_responses[[#This Row],[Các thủ tục khai báo thuế VÀ/HOẶC quy trình làm việc với cơ quan thuế đơn giản, tiện lợi, nhanh chóng hơn so với trước đây. - HUMAN-FAC1]]</f>
        <v>9</v>
      </c>
      <c r="AD145" t="str">
        <f t="shared" si="61"/>
        <v>Support</v>
      </c>
      <c r="AE145" s="32">
        <f t="shared" si="62"/>
        <v>0</v>
      </c>
      <c r="AF145">
        <f>step3_validation[[#This Row],[AI_FAC2]]</f>
        <v>9</v>
      </c>
      <c r="AG145" t="str">
        <f t="shared" si="63"/>
        <v>Support</v>
      </c>
      <c r="AH145">
        <f>survey_responses[[#This Row],[So với trước đây, tôi thấy cách tính thuế và các bậc thuế trong phương án mới đơn giản, dễ hiểu và dễ thực hiện hơn. - HUMAN-FAC2]]</f>
        <v>9</v>
      </c>
      <c r="AI145" t="str">
        <f t="shared" si="64"/>
        <v>Support</v>
      </c>
      <c r="AJ145" s="32">
        <f t="shared" si="65"/>
        <v>0</v>
      </c>
      <c r="AK145">
        <f>step3_validation[[#This Row],[AI_TRU1]]</f>
        <v>8</v>
      </c>
      <c r="AL145" t="str">
        <f t="shared" si="66"/>
        <v>Support</v>
      </c>
      <c r="AM145">
        <f>survey_responses[[#This Row],[Tôi tin rằng Nhà nước, cơ quan thuế sẽ thực thi chính sách mới một cách khách quan, công tâm và đối xử bình đẳng với mọi người nộp thuế.  - HUMAN-TRU1]]</f>
        <v>10</v>
      </c>
      <c r="AN145" t="str">
        <f t="shared" si="67"/>
        <v>Support</v>
      </c>
      <c r="AO145" s="32">
        <f t="shared" si="68"/>
        <v>2</v>
      </c>
      <c r="AP145">
        <f>step3_validation[[#This Row],[AI_TRU2]]</f>
        <v>9</v>
      </c>
      <c r="AQ145" t="str">
        <f t="shared" si="69"/>
        <v>Support</v>
      </c>
      <c r="AR145">
        <f>survey_responses[[#This Row],[Tôi thấy mức thuế tôi phải đóng theo phương án mới là công bằng (người thu nhập như tôi đóng mức này là hợp lý). - HUMAN-TRU2]]</f>
        <v>5</v>
      </c>
      <c r="AS145" t="str">
        <f t="shared" si="70"/>
        <v>Neutral</v>
      </c>
      <c r="AT145" s="32">
        <f t="shared" si="71"/>
        <v>4</v>
      </c>
      <c r="AU145">
        <f>step3_validation[[#This Row],[AI_TRU3]]</f>
        <v>8</v>
      </c>
      <c r="AV145" t="str">
        <f t="shared" si="72"/>
        <v>Support</v>
      </c>
      <c r="AW145">
        <f>survey_responses[[#This Row],[Tôi tin tưởng số tiền thuế tôi đóng sẽ được Nhà nước sử dụng hiệu quả để cải thiện dịch vụ công (y tế, đường xá...). - HUMAN-TRU3]]</f>
        <v>9</v>
      </c>
      <c r="AX145" t="str">
        <f t="shared" si="73"/>
        <v>Support</v>
      </c>
      <c r="AY145" s="32">
        <f t="shared" si="74"/>
        <v>1</v>
      </c>
      <c r="AZ145">
        <f>step3_validation[[#This Row],[AI_TRU4]]</f>
        <v>8</v>
      </c>
      <c r="BA145" t="str">
        <f t="shared" si="75"/>
        <v>Support</v>
      </c>
      <c r="BB145">
        <f>survey_responses[[#This Row],[Tôi thấy Nhà nước đã giải thích rõ ràng, minh bạch về lý do và mục tiêu của việc sửa đổi thuế lần này. - HUMAN-TRU4]]</f>
        <v>9</v>
      </c>
      <c r="BC145" t="str">
        <f t="shared" si="76"/>
        <v>Support</v>
      </c>
      <c r="BD145" s="32">
        <f t="shared" si="77"/>
        <v>1</v>
      </c>
      <c r="BE145">
        <f>step3_validation[[#This Row],[AI_OUT1]]</f>
        <v>9</v>
      </c>
      <c r="BF145" t="str">
        <f t="shared" si="78"/>
        <v>Support</v>
      </c>
      <c r="BG145">
        <f>survey_responses[[#This Row],[Sau khi xem xét các quyền lợi và nghĩa vụ, bạn có ủng hộ và tuân thủ chính sách mới hiện nay? - HUMAN-OUT1]]</f>
        <v>10</v>
      </c>
      <c r="BH145" t="str">
        <f t="shared" si="79"/>
        <v>Support</v>
      </c>
      <c r="BI145" s="32">
        <f t="shared" si="80"/>
        <v>1</v>
      </c>
    </row>
    <row r="146" spans="1:61" x14ac:dyDescent="0.45">
      <c r="A146" s="30">
        <f>step3_validation[[#This Row],[Persona_ID]]</f>
        <v>145</v>
      </c>
      <c r="B146" s="31">
        <f>step3_validation[[#This Row],[Used_Seed]]</f>
        <v>12489</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61.32628134005131</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8</v>
      </c>
      <c r="R146" t="str">
        <f t="shared" si="54"/>
        <v>Support</v>
      </c>
      <c r="S146">
        <f>survey_responses[[#This Row],[Tôi tin rằng với các quy định quản lý thuế hiện nay, hành vi gian lận hoặc trốn thuế sẽ dễ dàng bị phát hiện và xử lý nghiêm. - HUMAN-ENF1]]</f>
        <v>10</v>
      </c>
      <c r="T146" t="str">
        <f t="shared" si="55"/>
        <v>Support</v>
      </c>
      <c r="U146" s="32">
        <f t="shared" si="56"/>
        <v>2</v>
      </c>
      <c r="V146">
        <f>step3_validation[[#This Row],[AI_ENF2]]</f>
        <v>7</v>
      </c>
      <c r="W146" t="str">
        <f t="shared" si="57"/>
        <v>Neutral</v>
      </c>
      <c r="X146">
        <f>survey_responses[[#This Row],[Tôi tin rằng Nhà nước, cơ quan thuế có đủ khả năng và công nghệ để phát hiện, xử lý nghiêm các hành vi trốn thuế. - HUMAN-ENF2]]</f>
        <v>10</v>
      </c>
      <c r="Y146" t="str">
        <f t="shared" si="58"/>
        <v>Support</v>
      </c>
      <c r="Z146" s="32">
        <f t="shared" si="59"/>
        <v>3</v>
      </c>
      <c r="AA146">
        <f>step3_validation[[#This Row],[AI_FAC1]]</f>
        <v>9</v>
      </c>
      <c r="AB146" t="str">
        <f t="shared" si="60"/>
        <v>Support</v>
      </c>
      <c r="AC146">
        <f>survey_responses[[#This Row],[Các thủ tục khai báo thuế VÀ/HOẶC quy trình làm việc với cơ quan thuế đơn giản, tiện lợi, nhanh chóng hơn so với trước đây. - HUMAN-FAC1]]</f>
        <v>9</v>
      </c>
      <c r="AD146" t="str">
        <f t="shared" si="61"/>
        <v>Support</v>
      </c>
      <c r="AE146" s="32">
        <f t="shared" si="62"/>
        <v>0</v>
      </c>
      <c r="AF146">
        <f>step3_validation[[#This Row],[AI_FAC2]]</f>
        <v>10</v>
      </c>
      <c r="AG146" t="str">
        <f t="shared" si="63"/>
        <v>Support</v>
      </c>
      <c r="AH146">
        <f>survey_responses[[#This Row],[So với trước đây, tôi thấy cách tính thuế và các bậc thuế trong phương án mới đơn giản, dễ hiểu và dễ thực hiện hơn. - HUMAN-FAC2]]</f>
        <v>6</v>
      </c>
      <c r="AI146" t="str">
        <f t="shared" si="64"/>
        <v>Neutral</v>
      </c>
      <c r="AJ146" s="32">
        <f t="shared" si="65"/>
        <v>4</v>
      </c>
      <c r="AK146">
        <f>step3_validation[[#This Row],[AI_TRU1]]</f>
        <v>6</v>
      </c>
      <c r="AL146" t="str">
        <f t="shared" si="66"/>
        <v>Neutral</v>
      </c>
      <c r="AM146">
        <f>survey_responses[[#This Row],[Tôi tin rằng Nhà nước, cơ quan thuế sẽ thực thi chính sách mới một cách khách quan, công tâm và đối xử bình đẳng với mọi người nộp thuế.  - HUMAN-TRU1]]</f>
        <v>6</v>
      </c>
      <c r="AN146" t="str">
        <f t="shared" si="67"/>
        <v>Neutral</v>
      </c>
      <c r="AO146" s="32">
        <f t="shared" si="68"/>
        <v>0</v>
      </c>
      <c r="AP146">
        <f>step3_validation[[#This Row],[AI_TRU2]]</f>
        <v>7</v>
      </c>
      <c r="AQ146" t="str">
        <f t="shared" si="69"/>
        <v>Neutral</v>
      </c>
      <c r="AR146">
        <f>survey_responses[[#This Row],[Tôi thấy mức thuế tôi phải đóng theo phương án mới là công bằng (người thu nhập như tôi đóng mức này là hợp lý). - HUMAN-TRU2]]</f>
        <v>3</v>
      </c>
      <c r="AS146" t="str">
        <f t="shared" si="70"/>
        <v>Oppose</v>
      </c>
      <c r="AT146" s="32">
        <f t="shared" si="71"/>
        <v>4</v>
      </c>
      <c r="AU146">
        <f>step3_validation[[#This Row],[AI_TRU3]]</f>
        <v>6</v>
      </c>
      <c r="AV146" t="str">
        <f t="shared" si="72"/>
        <v>Neutral</v>
      </c>
      <c r="AW146">
        <f>survey_responses[[#This Row],[Tôi tin tưởng số tiền thuế tôi đóng sẽ được Nhà nước sử dụng hiệu quả để cải thiện dịch vụ công (y tế, đường xá...). - HUMAN-TRU3]]</f>
        <v>5</v>
      </c>
      <c r="AX146" t="str">
        <f t="shared" si="73"/>
        <v>Neutral</v>
      </c>
      <c r="AY146" s="32">
        <f t="shared" si="74"/>
        <v>1</v>
      </c>
      <c r="AZ146">
        <f>step3_validation[[#This Row],[AI_TRU4]]</f>
        <v>7</v>
      </c>
      <c r="BA146" t="str">
        <f t="shared" si="75"/>
        <v>Neutral</v>
      </c>
      <c r="BB146">
        <f>survey_responses[[#This Row],[Tôi thấy Nhà nước đã giải thích rõ ràng, minh bạch về lý do và mục tiêu của việc sửa đổi thuế lần này. - HUMAN-TRU4]]</f>
        <v>5</v>
      </c>
      <c r="BC146" t="str">
        <f t="shared" si="76"/>
        <v>Neutral</v>
      </c>
      <c r="BD146" s="32">
        <f t="shared" si="77"/>
        <v>2</v>
      </c>
      <c r="BE146">
        <f>step3_validation[[#This Row],[AI_OUT1]]</f>
        <v>8</v>
      </c>
      <c r="BF146" t="str">
        <f t="shared" si="78"/>
        <v>Support</v>
      </c>
      <c r="BG146">
        <f>survey_responses[[#This Row],[Sau khi xem xét các quyền lợi và nghĩa vụ, bạn có ủng hộ và tuân thủ chính sách mới hiện nay? - HUMAN-OUT1]]</f>
        <v>1</v>
      </c>
      <c r="BH146" t="str">
        <f t="shared" si="79"/>
        <v>Oppose</v>
      </c>
      <c r="BI146" s="32">
        <f t="shared" si="80"/>
        <v>7</v>
      </c>
    </row>
    <row r="147" spans="1:61" x14ac:dyDescent="0.45">
      <c r="A147" s="30">
        <f>step3_validation[[#This Row],[Persona_ID]]</f>
        <v>146</v>
      </c>
      <c r="B147" s="31">
        <f>step3_validation[[#This Row],[Used_Seed]]</f>
        <v>12490</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99.835798257129966</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t="str">
        <f t="shared" si="54"/>
        <v>Neutral</v>
      </c>
      <c r="S147">
        <f>survey_responses[[#This Row],[Tôi tin rằng với các quy định quản lý thuế hiện nay, hành vi gian lận hoặc trốn thuế sẽ dễ dàng bị phát hiện và xử lý nghiêm. - HUMAN-ENF1]]</f>
        <v>8</v>
      </c>
      <c r="T147" t="str">
        <f t="shared" si="55"/>
        <v>Support</v>
      </c>
      <c r="U147" s="32">
        <f t="shared" si="56"/>
        <v>1</v>
      </c>
      <c r="V147">
        <f>step3_validation[[#This Row],[AI_ENF2]]</f>
        <v>8</v>
      </c>
      <c r="W147" t="str">
        <f t="shared" si="57"/>
        <v>Support</v>
      </c>
      <c r="X147">
        <f>survey_responses[[#This Row],[Tôi tin rằng Nhà nước, cơ quan thuế có đủ khả năng và công nghệ để phát hiện, xử lý nghiêm các hành vi trốn thuế. - HUMAN-ENF2]]</f>
        <v>8</v>
      </c>
      <c r="Y147" t="str">
        <f t="shared" si="58"/>
        <v>Support</v>
      </c>
      <c r="Z147" s="32">
        <f t="shared" si="59"/>
        <v>0</v>
      </c>
      <c r="AA147">
        <f>step3_validation[[#This Row],[AI_FAC1]]</f>
        <v>9</v>
      </c>
      <c r="AB147" t="str">
        <f t="shared" si="60"/>
        <v>Support</v>
      </c>
      <c r="AC147">
        <f>survey_responses[[#This Row],[Các thủ tục khai báo thuế VÀ/HOẶC quy trình làm việc với cơ quan thuế đơn giản, tiện lợi, nhanh chóng hơn so với trước đây. - HUMAN-FAC1]]</f>
        <v>5</v>
      </c>
      <c r="AD147" t="str">
        <f t="shared" si="61"/>
        <v>Neutral</v>
      </c>
      <c r="AE147" s="32">
        <f t="shared" si="62"/>
        <v>4</v>
      </c>
      <c r="AF147">
        <f>step3_validation[[#This Row],[AI_FAC2]]</f>
        <v>9</v>
      </c>
      <c r="AG147" t="str">
        <f t="shared" si="63"/>
        <v>Support</v>
      </c>
      <c r="AH147">
        <f>survey_responses[[#This Row],[So với trước đây, tôi thấy cách tính thuế và các bậc thuế trong phương án mới đơn giản, dễ hiểu và dễ thực hiện hơn. - HUMAN-FAC2]]</f>
        <v>5</v>
      </c>
      <c r="AI147" t="str">
        <f t="shared" si="64"/>
        <v>Neutral</v>
      </c>
      <c r="AJ147" s="32">
        <f t="shared" si="65"/>
        <v>4</v>
      </c>
      <c r="AK147">
        <f>step3_validation[[#This Row],[AI_TRU1]]</f>
        <v>6</v>
      </c>
      <c r="AL147" t="str">
        <f t="shared" si="66"/>
        <v>Neutral</v>
      </c>
      <c r="AM147">
        <f>survey_responses[[#This Row],[Tôi tin rằng Nhà nước, cơ quan thuế sẽ thực thi chính sách mới một cách khách quan, công tâm và đối xử bình đẳng với mọi người nộp thuế.  - HUMAN-TRU1]]</f>
        <v>5</v>
      </c>
      <c r="AN147" t="str">
        <f t="shared" si="67"/>
        <v>Neutral</v>
      </c>
      <c r="AO147" s="32">
        <f t="shared" si="68"/>
        <v>1</v>
      </c>
      <c r="AP147">
        <f>step3_validation[[#This Row],[AI_TRU2]]</f>
        <v>8</v>
      </c>
      <c r="AQ147" t="str">
        <f t="shared" si="69"/>
        <v>Support</v>
      </c>
      <c r="AR147">
        <f>survey_responses[[#This Row],[Tôi thấy mức thuế tôi phải đóng theo phương án mới là công bằng (người thu nhập như tôi đóng mức này là hợp lý). - HUMAN-TRU2]]</f>
        <v>3</v>
      </c>
      <c r="AS147" t="str">
        <f t="shared" si="70"/>
        <v>Oppose</v>
      </c>
      <c r="AT147" s="32">
        <f t="shared" si="71"/>
        <v>5</v>
      </c>
      <c r="AU147">
        <f>step3_validation[[#This Row],[AI_TRU3]]</f>
        <v>7</v>
      </c>
      <c r="AV147" t="str">
        <f t="shared" si="72"/>
        <v>Neutral</v>
      </c>
      <c r="AW147">
        <f>survey_responses[[#This Row],[Tôi tin tưởng số tiền thuế tôi đóng sẽ được Nhà nước sử dụng hiệu quả để cải thiện dịch vụ công (y tế, đường xá...). - HUMAN-TRU3]]</f>
        <v>5</v>
      </c>
      <c r="AX147" t="str">
        <f t="shared" si="73"/>
        <v>Neutral</v>
      </c>
      <c r="AY147" s="32">
        <f t="shared" si="74"/>
        <v>2</v>
      </c>
      <c r="AZ147">
        <f>step3_validation[[#This Row],[AI_TRU4]]</f>
        <v>9</v>
      </c>
      <c r="BA147" t="str">
        <f t="shared" si="75"/>
        <v>Support</v>
      </c>
      <c r="BB147">
        <f>survey_responses[[#This Row],[Tôi thấy Nhà nước đã giải thích rõ ràng, minh bạch về lý do và mục tiêu của việc sửa đổi thuế lần này. - HUMAN-TRU4]]</f>
        <v>5</v>
      </c>
      <c r="BC147" t="str">
        <f t="shared" si="76"/>
        <v>Neutral</v>
      </c>
      <c r="BD147" s="32">
        <f t="shared" si="77"/>
        <v>4</v>
      </c>
      <c r="BE147">
        <f>step3_validation[[#This Row],[AI_OUT1]]</f>
        <v>8</v>
      </c>
      <c r="BF147" t="str">
        <f t="shared" si="78"/>
        <v>Support</v>
      </c>
      <c r="BG147">
        <f>survey_responses[[#This Row],[Sau khi xem xét các quyền lợi và nghĩa vụ, bạn có ủng hộ và tuân thủ chính sách mới hiện nay? - HUMAN-OUT1]]</f>
        <v>5</v>
      </c>
      <c r="BH147" t="str">
        <f t="shared" si="79"/>
        <v>Neutral</v>
      </c>
      <c r="BI147" s="32">
        <f t="shared" si="80"/>
        <v>3</v>
      </c>
    </row>
    <row r="148" spans="1:61" x14ac:dyDescent="0.45">
      <c r="A148" s="30">
        <f>step3_validation[[#This Row],[Persona_ID]]</f>
        <v>147</v>
      </c>
      <c r="B148" s="31">
        <f>step3_validation[[#This Row],[Used_Seed]]</f>
        <v>12491</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226.77125660149903</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7</v>
      </c>
      <c r="R148" t="str">
        <f t="shared" si="54"/>
        <v>Neutral</v>
      </c>
      <c r="S148">
        <f>survey_responses[[#This Row],[Tôi tin rằng với các quy định quản lý thuế hiện nay, hành vi gian lận hoặc trốn thuế sẽ dễ dàng bị phát hiện và xử lý nghiêm. - HUMAN-ENF1]]</f>
        <v>7</v>
      </c>
      <c r="T148" t="str">
        <f t="shared" si="55"/>
        <v>Neutral</v>
      </c>
      <c r="U148" s="32">
        <f t="shared" si="56"/>
        <v>0</v>
      </c>
      <c r="V148">
        <f>step3_validation[[#This Row],[AI_ENF2]]</f>
        <v>8</v>
      </c>
      <c r="W148" t="str">
        <f t="shared" si="57"/>
        <v>Support</v>
      </c>
      <c r="X148">
        <f>survey_responses[[#This Row],[Tôi tin rằng Nhà nước, cơ quan thuế có đủ khả năng và công nghệ để phát hiện, xử lý nghiêm các hành vi trốn thuế. - HUMAN-ENF2]]</f>
        <v>7</v>
      </c>
      <c r="Y148" t="str">
        <f t="shared" si="58"/>
        <v>Neutral</v>
      </c>
      <c r="Z148" s="32">
        <f t="shared" si="59"/>
        <v>1</v>
      </c>
      <c r="AA148">
        <f>step3_validation[[#This Row],[AI_FAC1]]</f>
        <v>9</v>
      </c>
      <c r="AB148" t="str">
        <f t="shared" si="60"/>
        <v>Support</v>
      </c>
      <c r="AC148">
        <f>survey_responses[[#This Row],[Các thủ tục khai báo thuế VÀ/HOẶC quy trình làm việc với cơ quan thuế đơn giản, tiện lợi, nhanh chóng hơn so với trước đây. - HUMAN-FAC1]]</f>
        <v>1</v>
      </c>
      <c r="AD148" t="str">
        <f t="shared" si="61"/>
        <v>Oppose</v>
      </c>
      <c r="AE148" s="32">
        <f t="shared" si="62"/>
        <v>8</v>
      </c>
      <c r="AF148">
        <f>step3_validation[[#This Row],[AI_FAC2]]</f>
        <v>10</v>
      </c>
      <c r="AG148" t="str">
        <f t="shared" si="63"/>
        <v>Support</v>
      </c>
      <c r="AH148">
        <f>survey_responses[[#This Row],[So với trước đây, tôi thấy cách tính thuế và các bậc thuế trong phương án mới đơn giản, dễ hiểu và dễ thực hiện hơn. - HUMAN-FAC2]]</f>
        <v>6</v>
      </c>
      <c r="AI148" t="str">
        <f t="shared" si="64"/>
        <v>Neutral</v>
      </c>
      <c r="AJ148" s="32">
        <f t="shared" si="65"/>
        <v>4</v>
      </c>
      <c r="AK148">
        <f>step3_validation[[#This Row],[AI_TRU1]]</f>
        <v>8</v>
      </c>
      <c r="AL148" t="str">
        <f t="shared" si="66"/>
        <v>Support</v>
      </c>
      <c r="AM148">
        <f>survey_responses[[#This Row],[Tôi tin rằng Nhà nước, cơ quan thuế sẽ thực thi chính sách mới một cách khách quan, công tâm và đối xử bình đẳng với mọi người nộp thuế.  - HUMAN-TRU1]]</f>
        <v>3</v>
      </c>
      <c r="AN148" t="str">
        <f t="shared" si="67"/>
        <v>Oppose</v>
      </c>
      <c r="AO148" s="32">
        <f t="shared" si="68"/>
        <v>5</v>
      </c>
      <c r="AP148">
        <f>step3_validation[[#This Row],[AI_TRU2]]</f>
        <v>9</v>
      </c>
      <c r="AQ148" t="str">
        <f t="shared" si="69"/>
        <v>Support</v>
      </c>
      <c r="AR148">
        <f>survey_responses[[#This Row],[Tôi thấy mức thuế tôi phải đóng theo phương án mới là công bằng (người thu nhập như tôi đóng mức này là hợp lý). - HUMAN-TRU2]]</f>
        <v>5</v>
      </c>
      <c r="AS148" t="str">
        <f t="shared" si="70"/>
        <v>Neutral</v>
      </c>
      <c r="AT148" s="32">
        <f t="shared" si="71"/>
        <v>4</v>
      </c>
      <c r="AU148">
        <f>step3_validation[[#This Row],[AI_TRU3]]</f>
        <v>10</v>
      </c>
      <c r="AV148" t="str">
        <f t="shared" si="72"/>
        <v>Support</v>
      </c>
      <c r="AW148">
        <f>survey_responses[[#This Row],[Tôi tin tưởng số tiền thuế tôi đóng sẽ được Nhà nước sử dụng hiệu quả để cải thiện dịch vụ công (y tế, đường xá...). - HUMAN-TRU3]]</f>
        <v>1</v>
      </c>
      <c r="AX148" t="str">
        <f t="shared" si="73"/>
        <v>Oppose</v>
      </c>
      <c r="AY148" s="32">
        <f t="shared" si="74"/>
        <v>9</v>
      </c>
      <c r="AZ148">
        <f>step3_validation[[#This Row],[AI_TRU4]]</f>
        <v>7</v>
      </c>
      <c r="BA148" t="str">
        <f t="shared" si="75"/>
        <v>Neutral</v>
      </c>
      <c r="BB148">
        <f>survey_responses[[#This Row],[Tôi thấy Nhà nước đã giải thích rõ ràng, minh bạch về lý do và mục tiêu của việc sửa đổi thuế lần này. - HUMAN-TRU4]]</f>
        <v>4</v>
      </c>
      <c r="BC148" t="str">
        <f t="shared" si="76"/>
        <v>Oppose</v>
      </c>
      <c r="BD148" s="32">
        <f t="shared" si="77"/>
        <v>3</v>
      </c>
      <c r="BE148">
        <f>step3_validation[[#This Row],[AI_OUT1]]</f>
        <v>9</v>
      </c>
      <c r="BF148" t="str">
        <f t="shared" si="78"/>
        <v>Support</v>
      </c>
      <c r="BG148">
        <f>survey_responses[[#This Row],[Sau khi xem xét các quyền lợi và nghĩa vụ, bạn có ủng hộ và tuân thủ chính sách mới hiện nay? - HUMAN-OUT1]]</f>
        <v>5</v>
      </c>
      <c r="BH148" t="str">
        <f t="shared" si="79"/>
        <v>Neutral</v>
      </c>
      <c r="BI148" s="32">
        <f t="shared" si="80"/>
        <v>4</v>
      </c>
    </row>
    <row r="149" spans="1:61" x14ac:dyDescent="0.45">
      <c r="A149" s="30">
        <f>step3_validation[[#This Row],[Persona_ID]]</f>
        <v>148</v>
      </c>
      <c r="B149" s="31">
        <f>step3_validation[[#This Row],[Used_Seed]]</f>
        <v>12492</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20.524355056803518</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3</v>
      </c>
      <c r="R149" t="str">
        <f t="shared" si="54"/>
        <v>Oppose</v>
      </c>
      <c r="S149">
        <f>survey_responses[[#This Row],[Tôi tin rằng với các quy định quản lý thuế hiện nay, hành vi gian lận hoặc trốn thuế sẽ dễ dàng bị phát hiện và xử lý nghiêm. - HUMAN-ENF1]]</f>
        <v>6</v>
      </c>
      <c r="T149" t="str">
        <f t="shared" si="55"/>
        <v>Neutral</v>
      </c>
      <c r="U149" s="32">
        <f t="shared" si="56"/>
        <v>3</v>
      </c>
      <c r="V149">
        <f>step3_validation[[#This Row],[AI_ENF2]]</f>
        <v>4</v>
      </c>
      <c r="W149" t="str">
        <f t="shared" si="57"/>
        <v>Oppose</v>
      </c>
      <c r="X149">
        <f>survey_responses[[#This Row],[Tôi tin rằng Nhà nước, cơ quan thuế có đủ khả năng và công nghệ để phát hiện, xử lý nghiêm các hành vi trốn thuế. - HUMAN-ENF2]]</f>
        <v>6</v>
      </c>
      <c r="Y149" t="str">
        <f t="shared" si="58"/>
        <v>Neutral</v>
      </c>
      <c r="Z149" s="32">
        <f t="shared" si="59"/>
        <v>2</v>
      </c>
      <c r="AA149">
        <f>step3_validation[[#This Row],[AI_FAC1]]</f>
        <v>9</v>
      </c>
      <c r="AB149" t="str">
        <f t="shared" si="60"/>
        <v>Support</v>
      </c>
      <c r="AC149">
        <f>survey_responses[[#This Row],[Các thủ tục khai báo thuế VÀ/HOẶC quy trình làm việc với cơ quan thuế đơn giản, tiện lợi, nhanh chóng hơn so với trước đây. - HUMAN-FAC1]]</f>
        <v>5</v>
      </c>
      <c r="AD149" t="str">
        <f t="shared" si="61"/>
        <v>Neutral</v>
      </c>
      <c r="AE149" s="32">
        <f t="shared" si="62"/>
        <v>4</v>
      </c>
      <c r="AF149">
        <f>step3_validation[[#This Row],[AI_FAC2]]</f>
        <v>7</v>
      </c>
      <c r="AG149" t="str">
        <f t="shared" si="63"/>
        <v>Neutral</v>
      </c>
      <c r="AH149">
        <f>survey_responses[[#This Row],[So với trước đây, tôi thấy cách tính thuế và các bậc thuế trong phương án mới đơn giản, dễ hiểu và dễ thực hiện hơn. - HUMAN-FAC2]]</f>
        <v>7</v>
      </c>
      <c r="AI149" t="str">
        <f t="shared" si="64"/>
        <v>Neutral</v>
      </c>
      <c r="AJ149" s="32">
        <f t="shared" si="65"/>
        <v>0</v>
      </c>
      <c r="AK149">
        <f>step3_validation[[#This Row],[AI_TRU1]]</f>
        <v>6</v>
      </c>
      <c r="AL149" t="str">
        <f t="shared" si="66"/>
        <v>Neutral</v>
      </c>
      <c r="AM149">
        <f>survey_responses[[#This Row],[Tôi tin rằng Nhà nước, cơ quan thuế sẽ thực thi chính sách mới một cách khách quan, công tâm và đối xử bình đẳng với mọi người nộp thuế.  - HUMAN-TRU1]]</f>
        <v>5</v>
      </c>
      <c r="AN149" t="str">
        <f t="shared" si="67"/>
        <v>Neutral</v>
      </c>
      <c r="AO149" s="32">
        <f t="shared" si="68"/>
        <v>1</v>
      </c>
      <c r="AP149">
        <f>step3_validation[[#This Row],[AI_TRU2]]</f>
        <v>8</v>
      </c>
      <c r="AQ149" t="str">
        <f t="shared" si="69"/>
        <v>Support</v>
      </c>
      <c r="AR149">
        <f>survey_responses[[#This Row],[Tôi thấy mức thuế tôi phải đóng theo phương án mới là công bằng (người thu nhập như tôi đóng mức này là hợp lý). - HUMAN-TRU2]]</f>
        <v>7</v>
      </c>
      <c r="AS149" t="str">
        <f t="shared" si="70"/>
        <v>Neutral</v>
      </c>
      <c r="AT149" s="32">
        <f t="shared" si="71"/>
        <v>1</v>
      </c>
      <c r="AU149">
        <f>step3_validation[[#This Row],[AI_TRU3]]</f>
        <v>5</v>
      </c>
      <c r="AV149" t="str">
        <f t="shared" si="72"/>
        <v>Neutral</v>
      </c>
      <c r="AW149">
        <f>survey_responses[[#This Row],[Tôi tin tưởng số tiền thuế tôi đóng sẽ được Nhà nước sử dụng hiệu quả để cải thiện dịch vụ công (y tế, đường xá...). - HUMAN-TRU3]]</f>
        <v>5</v>
      </c>
      <c r="AX149" t="str">
        <f t="shared" si="73"/>
        <v>Neutral</v>
      </c>
      <c r="AY149" s="32">
        <f t="shared" si="74"/>
        <v>0</v>
      </c>
      <c r="AZ149">
        <f>step3_validation[[#This Row],[AI_TRU4]]</f>
        <v>7</v>
      </c>
      <c r="BA149" t="str">
        <f t="shared" si="75"/>
        <v>Neutral</v>
      </c>
      <c r="BB149">
        <f>survey_responses[[#This Row],[Tôi thấy Nhà nước đã giải thích rõ ràng, minh bạch về lý do và mục tiêu của việc sửa đổi thuế lần này. - HUMAN-TRU4]]</f>
        <v>6</v>
      </c>
      <c r="BC149" t="str">
        <f t="shared" si="76"/>
        <v>Neutral</v>
      </c>
      <c r="BD149" s="32">
        <f t="shared" si="77"/>
        <v>1</v>
      </c>
      <c r="BE149">
        <f>step3_validation[[#This Row],[AI_OUT1]]</f>
        <v>9</v>
      </c>
      <c r="BF149" t="str">
        <f t="shared" si="78"/>
        <v>Support</v>
      </c>
      <c r="BG149">
        <f>survey_responses[[#This Row],[Sau khi xem xét các quyền lợi và nghĩa vụ, bạn có ủng hộ và tuân thủ chính sách mới hiện nay? - HUMAN-OUT1]]</f>
        <v>7</v>
      </c>
      <c r="BH149" t="str">
        <f t="shared" si="79"/>
        <v>Neutral</v>
      </c>
      <c r="BI149" s="32">
        <f t="shared" si="80"/>
        <v>2</v>
      </c>
    </row>
    <row r="150" spans="1:61" x14ac:dyDescent="0.45">
      <c r="A150" s="30">
        <f>step3_validation[[#This Row],[Persona_ID]]</f>
        <v>149</v>
      </c>
      <c r="B150" s="31">
        <f>step3_validation[[#This Row],[Used_Seed]]</f>
        <v>12493</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102.0682683494535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6</v>
      </c>
      <c r="R150" t="str">
        <f t="shared" si="54"/>
        <v>Neutral</v>
      </c>
      <c r="S150">
        <f>survey_responses[[#This Row],[Tôi tin rằng với các quy định quản lý thuế hiện nay, hành vi gian lận hoặc trốn thuế sẽ dễ dàng bị phát hiện và xử lý nghiêm. - HUMAN-ENF1]]</f>
        <v>10</v>
      </c>
      <c r="T150" t="str">
        <f t="shared" si="55"/>
        <v>Support</v>
      </c>
      <c r="U150" s="32">
        <f t="shared" si="56"/>
        <v>4</v>
      </c>
      <c r="V150">
        <f>step3_validation[[#This Row],[AI_ENF2]]</f>
        <v>5</v>
      </c>
      <c r="W150" t="str">
        <f t="shared" si="57"/>
        <v>Neutral</v>
      </c>
      <c r="X150">
        <f>survey_responses[[#This Row],[Tôi tin rằng Nhà nước, cơ quan thuế có đủ khả năng và công nghệ để phát hiện, xử lý nghiêm các hành vi trốn thuế. - HUMAN-ENF2]]</f>
        <v>10</v>
      </c>
      <c r="Y150" t="str">
        <f t="shared" si="58"/>
        <v>Support</v>
      </c>
      <c r="Z150" s="32">
        <f t="shared" si="59"/>
        <v>5</v>
      </c>
      <c r="AA150">
        <f>step3_validation[[#This Row],[AI_FAC1]]</f>
        <v>9</v>
      </c>
      <c r="AB150" t="str">
        <f t="shared" si="60"/>
        <v>Support</v>
      </c>
      <c r="AC150">
        <f>survey_responses[[#This Row],[Các thủ tục khai báo thuế VÀ/HOẶC quy trình làm việc với cơ quan thuế đơn giản, tiện lợi, nhanh chóng hơn so với trước đây. - HUMAN-FAC1]]</f>
        <v>7</v>
      </c>
      <c r="AD150" t="str">
        <f t="shared" si="61"/>
        <v>Neutral</v>
      </c>
      <c r="AE150" s="32">
        <f t="shared" si="62"/>
        <v>2</v>
      </c>
      <c r="AF150">
        <f>step3_validation[[#This Row],[AI_FAC2]]</f>
        <v>8</v>
      </c>
      <c r="AG150" t="str">
        <f t="shared" si="63"/>
        <v>Support</v>
      </c>
      <c r="AH150">
        <f>survey_responses[[#This Row],[So với trước đây, tôi thấy cách tính thuế và các bậc thuế trong phương án mới đơn giản, dễ hiểu và dễ thực hiện hơn. - HUMAN-FAC2]]</f>
        <v>8</v>
      </c>
      <c r="AI150" t="str">
        <f t="shared" si="64"/>
        <v>Support</v>
      </c>
      <c r="AJ150" s="32">
        <f t="shared" si="65"/>
        <v>0</v>
      </c>
      <c r="AK150">
        <f>step3_validation[[#This Row],[AI_TRU1]]</f>
        <v>7</v>
      </c>
      <c r="AL150" t="str">
        <f t="shared" si="66"/>
        <v>Neutral</v>
      </c>
      <c r="AM150">
        <f>survey_responses[[#This Row],[Tôi tin rằng Nhà nước, cơ quan thuế sẽ thực thi chính sách mới một cách khách quan, công tâm và đối xử bình đẳng với mọi người nộp thuế.  - HUMAN-TRU1]]</f>
        <v>8</v>
      </c>
      <c r="AN150" t="str">
        <f t="shared" si="67"/>
        <v>Support</v>
      </c>
      <c r="AO150" s="32">
        <f t="shared" si="68"/>
        <v>1</v>
      </c>
      <c r="AP150">
        <f>step3_validation[[#This Row],[AI_TRU2]]</f>
        <v>9</v>
      </c>
      <c r="AQ150" t="str">
        <f t="shared" si="69"/>
        <v>Support</v>
      </c>
      <c r="AR150">
        <f>survey_responses[[#This Row],[Tôi thấy mức thuế tôi phải đóng theo phương án mới là công bằng (người thu nhập như tôi đóng mức này là hợp lý). - HUMAN-TRU2]]</f>
        <v>4</v>
      </c>
      <c r="AS150" t="str">
        <f t="shared" si="70"/>
        <v>Oppose</v>
      </c>
      <c r="AT150" s="32">
        <f t="shared" si="71"/>
        <v>5</v>
      </c>
      <c r="AU150">
        <f>step3_validation[[#This Row],[AI_TRU3]]</f>
        <v>7</v>
      </c>
      <c r="AV150" t="str">
        <f t="shared" si="72"/>
        <v>Neutral</v>
      </c>
      <c r="AW150">
        <f>survey_responses[[#This Row],[Tôi tin tưởng số tiền thuế tôi đóng sẽ được Nhà nước sử dụng hiệu quả để cải thiện dịch vụ công (y tế, đường xá...). - HUMAN-TRU3]]</f>
        <v>1</v>
      </c>
      <c r="AX150" t="str">
        <f t="shared" si="73"/>
        <v>Oppose</v>
      </c>
      <c r="AY150" s="32">
        <f t="shared" si="74"/>
        <v>6</v>
      </c>
      <c r="AZ150">
        <f>step3_validation[[#This Row],[AI_TRU4]]</f>
        <v>6</v>
      </c>
      <c r="BA150" t="str">
        <f t="shared" si="75"/>
        <v>Neutral</v>
      </c>
      <c r="BB150">
        <f>survey_responses[[#This Row],[Tôi thấy Nhà nước đã giải thích rõ ràng, minh bạch về lý do và mục tiêu của việc sửa đổi thuế lần này. - HUMAN-TRU4]]</f>
        <v>3</v>
      </c>
      <c r="BC150" t="str">
        <f t="shared" si="76"/>
        <v>Oppose</v>
      </c>
      <c r="BD150" s="32">
        <f t="shared" si="77"/>
        <v>3</v>
      </c>
      <c r="BE150">
        <f>step3_validation[[#This Row],[AI_OUT1]]</f>
        <v>8</v>
      </c>
      <c r="BF150" t="str">
        <f t="shared" si="78"/>
        <v>Support</v>
      </c>
      <c r="BG150">
        <f>survey_responses[[#This Row],[Sau khi xem xét các quyền lợi và nghĩa vụ, bạn có ủng hộ và tuân thủ chính sách mới hiện nay? - HUMAN-OUT1]]</f>
        <v>6</v>
      </c>
      <c r="BH150" t="str">
        <f t="shared" si="79"/>
        <v>Neutral</v>
      </c>
      <c r="BI150" s="32">
        <f t="shared" si="80"/>
        <v>2</v>
      </c>
    </row>
    <row r="151" spans="1:61" x14ac:dyDescent="0.45">
      <c r="A151" s="30">
        <f>step3_validation[[#This Row],[Persona_ID]]</f>
        <v>150</v>
      </c>
      <c r="B151" s="31">
        <f>step3_validation[[#This Row],[Used_Seed]]</f>
        <v>12494</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50.068690773472348</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8</v>
      </c>
      <c r="R151" t="str">
        <f t="shared" si="54"/>
        <v>Support</v>
      </c>
      <c r="S151">
        <f>survey_responses[[#This Row],[Tôi tin rằng với các quy định quản lý thuế hiện nay, hành vi gian lận hoặc trốn thuế sẽ dễ dàng bị phát hiện và xử lý nghiêm. - HUMAN-ENF1]]</f>
        <v>7</v>
      </c>
      <c r="T151" t="str">
        <f t="shared" si="55"/>
        <v>Neutral</v>
      </c>
      <c r="U151" s="32">
        <f t="shared" si="56"/>
        <v>1</v>
      </c>
      <c r="V151">
        <f>step3_validation[[#This Row],[AI_ENF2]]</f>
        <v>9</v>
      </c>
      <c r="W151" t="str">
        <f t="shared" si="57"/>
        <v>Support</v>
      </c>
      <c r="X151">
        <f>survey_responses[[#This Row],[Tôi tin rằng Nhà nước, cơ quan thuế có đủ khả năng và công nghệ để phát hiện, xử lý nghiêm các hành vi trốn thuế. - HUMAN-ENF2]]</f>
        <v>10</v>
      </c>
      <c r="Y151" t="str">
        <f t="shared" si="58"/>
        <v>Support</v>
      </c>
      <c r="Z151" s="32">
        <f t="shared" si="59"/>
        <v>1</v>
      </c>
      <c r="AA151">
        <f>step3_validation[[#This Row],[AI_FAC1]]</f>
        <v>8</v>
      </c>
      <c r="AB151" t="str">
        <f t="shared" si="60"/>
        <v>Support</v>
      </c>
      <c r="AC151">
        <f>survey_responses[[#This Row],[Các thủ tục khai báo thuế VÀ/HOẶC quy trình làm việc với cơ quan thuế đơn giản, tiện lợi, nhanh chóng hơn so với trước đây. - HUMAN-FAC1]]</f>
        <v>5</v>
      </c>
      <c r="AD151" t="str">
        <f t="shared" si="61"/>
        <v>Neutral</v>
      </c>
      <c r="AE151" s="32">
        <f t="shared" si="62"/>
        <v>3</v>
      </c>
      <c r="AF151">
        <f>step3_validation[[#This Row],[AI_FAC2]]</f>
        <v>9</v>
      </c>
      <c r="AG151" t="str">
        <f t="shared" si="63"/>
        <v>Support</v>
      </c>
      <c r="AH151">
        <f>survey_responses[[#This Row],[So với trước đây, tôi thấy cách tính thuế và các bậc thuế trong phương án mới đơn giản, dễ hiểu và dễ thực hiện hơn. - HUMAN-FAC2]]</f>
        <v>7</v>
      </c>
      <c r="AI151" t="str">
        <f t="shared" si="64"/>
        <v>Neutral</v>
      </c>
      <c r="AJ151" s="32">
        <f t="shared" si="65"/>
        <v>2</v>
      </c>
      <c r="AK151">
        <f>step3_validation[[#This Row],[AI_TRU1]]</f>
        <v>8</v>
      </c>
      <c r="AL151" t="str">
        <f t="shared" si="66"/>
        <v>Support</v>
      </c>
      <c r="AM151">
        <f>survey_responses[[#This Row],[Tôi tin rằng Nhà nước, cơ quan thuế sẽ thực thi chính sách mới một cách khách quan, công tâm và đối xử bình đẳng với mọi người nộp thuế.  - HUMAN-TRU1]]</f>
        <v>7</v>
      </c>
      <c r="AN151" t="str">
        <f t="shared" si="67"/>
        <v>Neutral</v>
      </c>
      <c r="AO151" s="32">
        <f t="shared" si="68"/>
        <v>1</v>
      </c>
      <c r="AP151">
        <f>step3_validation[[#This Row],[AI_TRU2]]</f>
        <v>9</v>
      </c>
      <c r="AQ151" t="str">
        <f t="shared" si="69"/>
        <v>Support</v>
      </c>
      <c r="AR151">
        <f>survey_responses[[#This Row],[Tôi thấy mức thuế tôi phải đóng theo phương án mới là công bằng (người thu nhập như tôi đóng mức này là hợp lý). - HUMAN-TRU2]]</f>
        <v>7</v>
      </c>
      <c r="AS151" t="str">
        <f t="shared" si="70"/>
        <v>Neutral</v>
      </c>
      <c r="AT151" s="32">
        <f t="shared" si="71"/>
        <v>2</v>
      </c>
      <c r="AU151">
        <f>step3_validation[[#This Row],[AI_TRU3]]</f>
        <v>8</v>
      </c>
      <c r="AV151" t="str">
        <f t="shared" si="72"/>
        <v>Support</v>
      </c>
      <c r="AW151">
        <f>survey_responses[[#This Row],[Tôi tin tưởng số tiền thuế tôi đóng sẽ được Nhà nước sử dụng hiệu quả để cải thiện dịch vụ công (y tế, đường xá...). - HUMAN-TRU3]]</f>
        <v>7</v>
      </c>
      <c r="AX151" t="str">
        <f t="shared" si="73"/>
        <v>Neutral</v>
      </c>
      <c r="AY151" s="32">
        <f t="shared" si="74"/>
        <v>1</v>
      </c>
      <c r="AZ151">
        <f>step3_validation[[#This Row],[AI_TRU4]]</f>
        <v>9</v>
      </c>
      <c r="BA151" t="str">
        <f t="shared" si="75"/>
        <v>Support</v>
      </c>
      <c r="BB151">
        <f>survey_responses[[#This Row],[Tôi thấy Nhà nước đã giải thích rõ ràng, minh bạch về lý do và mục tiêu của việc sửa đổi thuế lần này. - HUMAN-TRU4]]</f>
        <v>7</v>
      </c>
      <c r="BC151" t="str">
        <f t="shared" si="76"/>
        <v>Neutral</v>
      </c>
      <c r="BD151" s="32">
        <f t="shared" si="77"/>
        <v>2</v>
      </c>
      <c r="BE151">
        <f>step3_validation[[#This Row],[AI_OUT1]]</f>
        <v>10</v>
      </c>
      <c r="BF151" t="str">
        <f t="shared" si="78"/>
        <v>Support</v>
      </c>
      <c r="BG151">
        <f>survey_responses[[#This Row],[Sau khi xem xét các quyền lợi và nghĩa vụ, bạn có ủng hộ và tuân thủ chính sách mới hiện nay? - HUMAN-OUT1]]</f>
        <v>10</v>
      </c>
      <c r="BH151" t="str">
        <f t="shared" si="79"/>
        <v>Support</v>
      </c>
      <c r="BI151" s="32">
        <f t="shared" si="80"/>
        <v>0</v>
      </c>
    </row>
    <row r="152" spans="1:61" x14ac:dyDescent="0.45">
      <c r="A152" s="30">
        <f>step3_validation[[#This Row],[Persona_ID]]</f>
        <v>151</v>
      </c>
      <c r="B152" s="31">
        <f>step3_validation[[#This Row],[Used_Seed]]</f>
        <v>12495</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88.487498038856671</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7</v>
      </c>
      <c r="R152" t="str">
        <f t="shared" si="54"/>
        <v>Neutral</v>
      </c>
      <c r="S152">
        <f>survey_responses[[#This Row],[Tôi tin rằng với các quy định quản lý thuế hiện nay, hành vi gian lận hoặc trốn thuế sẽ dễ dàng bị phát hiện và xử lý nghiêm. - HUMAN-ENF1]]</f>
        <v>8</v>
      </c>
      <c r="T152" t="str">
        <f t="shared" si="55"/>
        <v>Support</v>
      </c>
      <c r="U152" s="32">
        <f t="shared" si="56"/>
        <v>1</v>
      </c>
      <c r="V152">
        <f>step3_validation[[#This Row],[AI_ENF2]]</f>
        <v>6</v>
      </c>
      <c r="W152" t="str">
        <f t="shared" si="57"/>
        <v>Neutral</v>
      </c>
      <c r="X152">
        <f>survey_responses[[#This Row],[Tôi tin rằng Nhà nước, cơ quan thuế có đủ khả năng và công nghệ để phát hiện, xử lý nghiêm các hành vi trốn thuế. - HUMAN-ENF2]]</f>
        <v>8</v>
      </c>
      <c r="Y152" t="str">
        <f t="shared" si="58"/>
        <v>Support</v>
      </c>
      <c r="Z152" s="32">
        <f t="shared" si="59"/>
        <v>2</v>
      </c>
      <c r="AA152">
        <f>step3_validation[[#This Row],[AI_FAC1]]</f>
        <v>9</v>
      </c>
      <c r="AB152" t="str">
        <f t="shared" si="60"/>
        <v>Support</v>
      </c>
      <c r="AC152">
        <f>survey_responses[[#This Row],[Các thủ tục khai báo thuế VÀ/HOẶC quy trình làm việc với cơ quan thuế đơn giản, tiện lợi, nhanh chóng hơn so với trước đây. - HUMAN-FAC1]]</f>
        <v>8</v>
      </c>
      <c r="AD152" t="str">
        <f t="shared" si="61"/>
        <v>Support</v>
      </c>
      <c r="AE152" s="32">
        <f t="shared" si="62"/>
        <v>1</v>
      </c>
      <c r="AF152">
        <f>step3_validation[[#This Row],[AI_FAC2]]</f>
        <v>8</v>
      </c>
      <c r="AG152" t="str">
        <f t="shared" si="63"/>
        <v>Support</v>
      </c>
      <c r="AH152">
        <f>survey_responses[[#This Row],[So với trước đây, tôi thấy cách tính thuế và các bậc thuế trong phương án mới đơn giản, dễ hiểu và dễ thực hiện hơn. - HUMAN-FAC2]]</f>
        <v>8</v>
      </c>
      <c r="AI152" t="str">
        <f t="shared" si="64"/>
        <v>Support</v>
      </c>
      <c r="AJ152" s="32">
        <f t="shared" si="65"/>
        <v>0</v>
      </c>
      <c r="AK152">
        <f>step3_validation[[#This Row],[AI_TRU1]]</f>
        <v>9</v>
      </c>
      <c r="AL152" t="str">
        <f t="shared" si="66"/>
        <v>Support</v>
      </c>
      <c r="AM152">
        <f>survey_responses[[#This Row],[Tôi tin rằng Nhà nước, cơ quan thuế sẽ thực thi chính sách mới một cách khách quan, công tâm và đối xử bình đẳng với mọi người nộp thuế.  - HUMAN-TRU1]]</f>
        <v>8</v>
      </c>
      <c r="AN152" t="str">
        <f t="shared" si="67"/>
        <v>Support</v>
      </c>
      <c r="AO152" s="32">
        <f t="shared" si="68"/>
        <v>1</v>
      </c>
      <c r="AP152">
        <f>step3_validation[[#This Row],[AI_TRU2]]</f>
        <v>8</v>
      </c>
      <c r="AQ152" t="str">
        <f t="shared" si="69"/>
        <v>Support</v>
      </c>
      <c r="AR152">
        <f>survey_responses[[#This Row],[Tôi thấy mức thuế tôi phải đóng theo phương án mới là công bằng (người thu nhập như tôi đóng mức này là hợp lý). - HUMAN-TRU2]]</f>
        <v>8</v>
      </c>
      <c r="AS152" t="str">
        <f t="shared" si="70"/>
        <v>Support</v>
      </c>
      <c r="AT152" s="32">
        <f t="shared" si="71"/>
        <v>0</v>
      </c>
      <c r="AU152">
        <f>step3_validation[[#This Row],[AI_TRU3]]</f>
        <v>9</v>
      </c>
      <c r="AV152" t="str">
        <f t="shared" si="72"/>
        <v>Support</v>
      </c>
      <c r="AW152">
        <f>survey_responses[[#This Row],[Tôi tin tưởng số tiền thuế tôi đóng sẽ được Nhà nước sử dụng hiệu quả để cải thiện dịch vụ công (y tế, đường xá...). - HUMAN-TRU3]]</f>
        <v>8</v>
      </c>
      <c r="AX152" t="str">
        <f t="shared" si="73"/>
        <v>Support</v>
      </c>
      <c r="AY152" s="32">
        <f t="shared" si="74"/>
        <v>1</v>
      </c>
      <c r="AZ152">
        <f>step3_validation[[#This Row],[AI_TRU4]]</f>
        <v>7</v>
      </c>
      <c r="BA152" t="str">
        <f t="shared" si="75"/>
        <v>Neutral</v>
      </c>
      <c r="BB152">
        <f>survey_responses[[#This Row],[Tôi thấy Nhà nước đã giải thích rõ ràng, minh bạch về lý do và mục tiêu của việc sửa đổi thuế lần này. - HUMAN-TRU4]]</f>
        <v>8</v>
      </c>
      <c r="BC152" t="str">
        <f t="shared" si="76"/>
        <v>Support</v>
      </c>
      <c r="BD152" s="32">
        <f t="shared" si="77"/>
        <v>1</v>
      </c>
      <c r="BE152">
        <f>step3_validation[[#This Row],[AI_OUT1]]</f>
        <v>9</v>
      </c>
      <c r="BF152" t="str">
        <f t="shared" si="78"/>
        <v>Support</v>
      </c>
      <c r="BG152">
        <f>survey_responses[[#This Row],[Sau khi xem xét các quyền lợi và nghĩa vụ, bạn có ủng hộ và tuân thủ chính sách mới hiện nay? - HUMAN-OUT1]]</f>
        <v>8</v>
      </c>
      <c r="BH152" t="str">
        <f t="shared" si="79"/>
        <v>Support</v>
      </c>
      <c r="BI152" s="32">
        <f t="shared" si="80"/>
        <v>1</v>
      </c>
    </row>
    <row r="153" spans="1:61" x14ac:dyDescent="0.45">
      <c r="A153" s="30">
        <f>step3_validation[[#This Row],[Persona_ID]]</f>
        <v>152</v>
      </c>
      <c r="B153" s="31">
        <f>step3_validation[[#This Row],[Used_Seed]]</f>
        <v>12496</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74.109147590656349</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8</v>
      </c>
      <c r="R153" t="str">
        <f t="shared" si="54"/>
        <v>Support</v>
      </c>
      <c r="S153">
        <f>survey_responses[[#This Row],[Tôi tin rằng với các quy định quản lý thuế hiện nay, hành vi gian lận hoặc trốn thuế sẽ dễ dàng bị phát hiện và xử lý nghiêm. - HUMAN-ENF1]]</f>
        <v>10</v>
      </c>
      <c r="T153" t="str">
        <f t="shared" si="55"/>
        <v>Support</v>
      </c>
      <c r="U153" s="32">
        <f t="shared" si="56"/>
        <v>2</v>
      </c>
      <c r="V153">
        <f>step3_validation[[#This Row],[AI_ENF2]]</f>
        <v>9</v>
      </c>
      <c r="W153" t="str">
        <f t="shared" si="57"/>
        <v>Support</v>
      </c>
      <c r="X153">
        <f>survey_responses[[#This Row],[Tôi tin rằng Nhà nước, cơ quan thuế có đủ khả năng và công nghệ để phát hiện, xử lý nghiêm các hành vi trốn thuế. - HUMAN-ENF2]]</f>
        <v>10</v>
      </c>
      <c r="Y153" t="str">
        <f t="shared" si="58"/>
        <v>Support</v>
      </c>
      <c r="Z153" s="32">
        <f t="shared" si="59"/>
        <v>1</v>
      </c>
      <c r="AA153">
        <f>step3_validation[[#This Row],[AI_FAC1]]</f>
        <v>8</v>
      </c>
      <c r="AB153" t="str">
        <f t="shared" si="60"/>
        <v>Support</v>
      </c>
      <c r="AC153">
        <f>survey_responses[[#This Row],[Các thủ tục khai báo thuế VÀ/HOẶC quy trình làm việc với cơ quan thuế đơn giản, tiện lợi, nhanh chóng hơn so với trước đây. - HUMAN-FAC1]]</f>
        <v>10</v>
      </c>
      <c r="AD153" t="str">
        <f t="shared" si="61"/>
        <v>Support</v>
      </c>
      <c r="AE153" s="32">
        <f t="shared" si="62"/>
        <v>2</v>
      </c>
      <c r="AF153">
        <f>step3_validation[[#This Row],[AI_FAC2]]</f>
        <v>9</v>
      </c>
      <c r="AG153" t="str">
        <f t="shared" si="63"/>
        <v>Support</v>
      </c>
      <c r="AH153">
        <f>survey_responses[[#This Row],[So với trước đây, tôi thấy cách tính thuế và các bậc thuế trong phương án mới đơn giản, dễ hiểu và dễ thực hiện hơn. - HUMAN-FAC2]]</f>
        <v>10</v>
      </c>
      <c r="AI153" t="str">
        <f t="shared" si="64"/>
        <v>Support</v>
      </c>
      <c r="AJ153" s="32">
        <f t="shared" si="65"/>
        <v>1</v>
      </c>
      <c r="AK153">
        <f>step3_validation[[#This Row],[AI_TRU1]]</f>
        <v>8</v>
      </c>
      <c r="AL153" t="str">
        <f t="shared" si="66"/>
        <v>Support</v>
      </c>
      <c r="AM153">
        <f>survey_responses[[#This Row],[Tôi tin rằng Nhà nước, cơ quan thuế sẽ thực thi chính sách mới một cách khách quan, công tâm và đối xử bình đẳng với mọi người nộp thuế.  - HUMAN-TRU1]]</f>
        <v>10</v>
      </c>
      <c r="AN153" t="str">
        <f t="shared" si="67"/>
        <v>Support</v>
      </c>
      <c r="AO153" s="32">
        <f t="shared" si="68"/>
        <v>2</v>
      </c>
      <c r="AP153">
        <f>step3_validation[[#This Row],[AI_TRU2]]</f>
        <v>9</v>
      </c>
      <c r="AQ153" t="str">
        <f t="shared" si="69"/>
        <v>Support</v>
      </c>
      <c r="AR153">
        <f>survey_responses[[#This Row],[Tôi thấy mức thuế tôi phải đóng theo phương án mới là công bằng (người thu nhập như tôi đóng mức này là hợp lý). - HUMAN-TRU2]]</f>
        <v>10</v>
      </c>
      <c r="AS153" t="str">
        <f t="shared" si="70"/>
        <v>Support</v>
      </c>
      <c r="AT153" s="32">
        <f t="shared" si="71"/>
        <v>1</v>
      </c>
      <c r="AU153">
        <f>step3_validation[[#This Row],[AI_TRU3]]</f>
        <v>8</v>
      </c>
      <c r="AV153" t="str">
        <f t="shared" si="72"/>
        <v>Support</v>
      </c>
      <c r="AW153">
        <f>survey_responses[[#This Row],[Tôi tin tưởng số tiền thuế tôi đóng sẽ được Nhà nước sử dụng hiệu quả để cải thiện dịch vụ công (y tế, đường xá...). - HUMAN-TRU3]]</f>
        <v>10</v>
      </c>
      <c r="AX153" t="str">
        <f t="shared" si="73"/>
        <v>Support</v>
      </c>
      <c r="AY153" s="32">
        <f t="shared" si="74"/>
        <v>2</v>
      </c>
      <c r="AZ153">
        <f>step3_validation[[#This Row],[AI_TRU4]]</f>
        <v>9</v>
      </c>
      <c r="BA153" t="str">
        <f t="shared" si="75"/>
        <v>Support</v>
      </c>
      <c r="BB153">
        <f>survey_responses[[#This Row],[Tôi thấy Nhà nước đã giải thích rõ ràng, minh bạch về lý do và mục tiêu của việc sửa đổi thuế lần này. - HUMAN-TRU4]]</f>
        <v>10</v>
      </c>
      <c r="BC153" t="str">
        <f t="shared" si="76"/>
        <v>Support</v>
      </c>
      <c r="BD153" s="32">
        <f t="shared" si="77"/>
        <v>1</v>
      </c>
      <c r="BE153">
        <f>step3_validation[[#This Row],[AI_OUT1]]</f>
        <v>9</v>
      </c>
      <c r="BF153" t="str">
        <f t="shared" si="78"/>
        <v>Support</v>
      </c>
      <c r="BG153">
        <f>survey_responses[[#This Row],[Sau khi xem xét các quyền lợi và nghĩa vụ, bạn có ủng hộ và tuân thủ chính sách mới hiện nay? - HUMAN-OUT1]]</f>
        <v>10</v>
      </c>
      <c r="BH153" t="str">
        <f t="shared" si="79"/>
        <v>Support</v>
      </c>
      <c r="BI153" s="32">
        <f t="shared" si="80"/>
        <v>1</v>
      </c>
    </row>
    <row r="154" spans="1:61" x14ac:dyDescent="0.45">
      <c r="A154" s="30">
        <f>step3_validation[[#This Row],[Persona_ID]]</f>
        <v>153</v>
      </c>
      <c r="B154" s="31">
        <f>step3_validation[[#This Row],[Used_Seed]]</f>
        <v>12497</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7</v>
      </c>
      <c r="R154" t="str">
        <f t="shared" si="54"/>
        <v>Neutral</v>
      </c>
      <c r="S154">
        <f>survey_responses[[#This Row],[Tôi tin rằng với các quy định quản lý thuế hiện nay, hành vi gian lận hoặc trốn thuế sẽ dễ dàng bị phát hiện và xử lý nghiêm. - HUMAN-ENF1]]</f>
        <v>7</v>
      </c>
      <c r="T154" t="str">
        <f t="shared" si="55"/>
        <v>Neutral</v>
      </c>
      <c r="U154" s="32">
        <f t="shared" si="56"/>
        <v>0</v>
      </c>
      <c r="V154">
        <f>step3_validation[[#This Row],[AI_ENF2]]</f>
        <v>8</v>
      </c>
      <c r="W154" t="str">
        <f t="shared" si="57"/>
        <v>Support</v>
      </c>
      <c r="X154">
        <f>survey_responses[[#This Row],[Tôi tin rằng Nhà nước, cơ quan thuế có đủ khả năng và công nghệ để phát hiện, xử lý nghiêm các hành vi trốn thuế. - HUMAN-ENF2]]</f>
        <v>7</v>
      </c>
      <c r="Y154" t="str">
        <f t="shared" si="58"/>
        <v>Neutral</v>
      </c>
      <c r="Z154" s="32">
        <f t="shared" si="59"/>
        <v>1</v>
      </c>
      <c r="AA154">
        <f>step3_validation[[#This Row],[AI_FAC1]]</f>
        <v>9</v>
      </c>
      <c r="AB154" t="str">
        <f t="shared" si="60"/>
        <v>Support</v>
      </c>
      <c r="AC154">
        <f>survey_responses[[#This Row],[Các thủ tục khai báo thuế VÀ/HOẶC quy trình làm việc với cơ quan thuế đơn giản, tiện lợi, nhanh chóng hơn so với trước đây. - HUMAN-FAC1]]</f>
        <v>5</v>
      </c>
      <c r="AD154" t="str">
        <f t="shared" si="61"/>
        <v>Neutral</v>
      </c>
      <c r="AE154" s="32">
        <f t="shared" si="62"/>
        <v>4</v>
      </c>
      <c r="AF154">
        <f>step3_validation[[#This Row],[AI_FAC2]]</f>
        <v>8</v>
      </c>
      <c r="AG154" t="str">
        <f t="shared" si="63"/>
        <v>Support</v>
      </c>
      <c r="AH154">
        <f>survey_responses[[#This Row],[So với trước đây, tôi thấy cách tính thuế và các bậc thuế trong phương án mới đơn giản, dễ hiểu và dễ thực hiện hơn. - HUMAN-FAC2]]</f>
        <v>7</v>
      </c>
      <c r="AI154" t="str">
        <f t="shared" si="64"/>
        <v>Neutral</v>
      </c>
      <c r="AJ154" s="32">
        <f t="shared" si="65"/>
        <v>1</v>
      </c>
      <c r="AK154">
        <f>step3_validation[[#This Row],[AI_TRU1]]</f>
        <v>7</v>
      </c>
      <c r="AL154" t="str">
        <f t="shared" si="66"/>
        <v>Neutral</v>
      </c>
      <c r="AM154">
        <f>survey_responses[[#This Row],[Tôi tin rằng Nhà nước, cơ quan thuế sẽ thực thi chính sách mới một cách khách quan, công tâm và đối xử bình đẳng với mọi người nộp thuế.  - HUMAN-TRU1]]</f>
        <v>7</v>
      </c>
      <c r="AN154" t="str">
        <f t="shared" si="67"/>
        <v>Neutral</v>
      </c>
      <c r="AO154" s="32">
        <f t="shared" si="68"/>
        <v>0</v>
      </c>
      <c r="AP154">
        <f>step3_validation[[#This Row],[AI_TRU2]]</f>
        <v>9</v>
      </c>
      <c r="AQ154" t="str">
        <f t="shared" si="69"/>
        <v>Support</v>
      </c>
      <c r="AR154">
        <f>survey_responses[[#This Row],[Tôi thấy mức thuế tôi phải đóng theo phương án mới là công bằng (người thu nhập như tôi đóng mức này là hợp lý). - HUMAN-TRU2]]</f>
        <v>7</v>
      </c>
      <c r="AS154" t="str">
        <f t="shared" si="70"/>
        <v>Neutral</v>
      </c>
      <c r="AT154" s="32">
        <f t="shared" si="71"/>
        <v>2</v>
      </c>
      <c r="AU154">
        <f>step3_validation[[#This Row],[AI_TRU3]]</f>
        <v>7</v>
      </c>
      <c r="AV154" t="str">
        <f t="shared" si="72"/>
        <v>Neutral</v>
      </c>
      <c r="AW154">
        <f>survey_responses[[#This Row],[Tôi tin tưởng số tiền thuế tôi đóng sẽ được Nhà nước sử dụng hiệu quả để cải thiện dịch vụ công (y tế, đường xá...). - HUMAN-TRU3]]</f>
        <v>7</v>
      </c>
      <c r="AX154" t="str">
        <f t="shared" si="73"/>
        <v>Neutral</v>
      </c>
      <c r="AY154" s="32">
        <f t="shared" si="74"/>
        <v>0</v>
      </c>
      <c r="AZ154">
        <f>step3_validation[[#This Row],[AI_TRU4]]</f>
        <v>8</v>
      </c>
      <c r="BA154" t="str">
        <f t="shared" si="75"/>
        <v>Support</v>
      </c>
      <c r="BB154">
        <f>survey_responses[[#This Row],[Tôi thấy Nhà nước đã giải thích rõ ràng, minh bạch về lý do và mục tiêu của việc sửa đổi thuế lần này. - HUMAN-TRU4]]</f>
        <v>7</v>
      </c>
      <c r="BC154" t="str">
        <f t="shared" si="76"/>
        <v>Neutral</v>
      </c>
      <c r="BD154" s="32">
        <f t="shared" si="77"/>
        <v>1</v>
      </c>
      <c r="BE154">
        <f>step3_validation[[#This Row],[AI_OUT1]]</f>
        <v>9</v>
      </c>
      <c r="BF154" t="str">
        <f t="shared" si="78"/>
        <v>Support</v>
      </c>
      <c r="BG154">
        <f>survey_responses[[#This Row],[Sau khi xem xét các quyền lợi và nghĩa vụ, bạn có ủng hộ và tuân thủ chính sách mới hiện nay? - HUMAN-OUT1]]</f>
        <v>7</v>
      </c>
      <c r="BH154" t="str">
        <f t="shared" si="79"/>
        <v>Neutral</v>
      </c>
      <c r="BI154" s="32">
        <f t="shared" si="80"/>
        <v>2</v>
      </c>
    </row>
    <row r="155" spans="1:61" x14ac:dyDescent="0.45">
      <c r="A155" s="30">
        <f>step3_validation[[#This Row],[Persona_ID]]</f>
        <v>154</v>
      </c>
      <c r="B155" s="31">
        <f>step3_validation[[#This Row],[Used_Seed]]</f>
        <v>12498</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7</v>
      </c>
      <c r="R155" t="str">
        <f t="shared" si="54"/>
        <v>Neutral</v>
      </c>
      <c r="S155">
        <f>survey_responses[[#This Row],[Tôi tin rằng với các quy định quản lý thuế hiện nay, hành vi gian lận hoặc trốn thuế sẽ dễ dàng bị phát hiện và xử lý nghiêm. - HUMAN-ENF1]]</f>
        <v>7</v>
      </c>
      <c r="T155" t="str">
        <f t="shared" si="55"/>
        <v>Neutral</v>
      </c>
      <c r="U155" s="32">
        <f t="shared" si="56"/>
        <v>0</v>
      </c>
      <c r="V155">
        <f>step3_validation[[#This Row],[AI_ENF2]]</f>
        <v>8</v>
      </c>
      <c r="W155" t="str">
        <f t="shared" si="57"/>
        <v>Support</v>
      </c>
      <c r="X155">
        <f>survey_responses[[#This Row],[Tôi tin rằng Nhà nước, cơ quan thuế có đủ khả năng và công nghệ để phát hiện, xử lý nghiêm các hành vi trốn thuế. - HUMAN-ENF2]]</f>
        <v>8</v>
      </c>
      <c r="Y155" t="str">
        <f t="shared" si="58"/>
        <v>Support</v>
      </c>
      <c r="Z155" s="32">
        <f t="shared" si="59"/>
        <v>0</v>
      </c>
      <c r="AA155">
        <f>step3_validation[[#This Row],[AI_FAC1]]</f>
        <v>9</v>
      </c>
      <c r="AB155" t="str">
        <f t="shared" si="60"/>
        <v>Support</v>
      </c>
      <c r="AC155">
        <f>survey_responses[[#This Row],[Các thủ tục khai báo thuế VÀ/HOẶC quy trình làm việc với cơ quan thuế đơn giản, tiện lợi, nhanh chóng hơn so với trước đây. - HUMAN-FAC1]]</f>
        <v>8</v>
      </c>
      <c r="AD155" t="str">
        <f t="shared" si="61"/>
        <v>Support</v>
      </c>
      <c r="AE155" s="32">
        <f t="shared" si="62"/>
        <v>1</v>
      </c>
      <c r="AF155">
        <f>step3_validation[[#This Row],[AI_FAC2]]</f>
        <v>8</v>
      </c>
      <c r="AG155" t="str">
        <f t="shared" si="63"/>
        <v>Support</v>
      </c>
      <c r="AH155">
        <f>survey_responses[[#This Row],[So với trước đây, tôi thấy cách tính thuế và các bậc thuế trong phương án mới đơn giản, dễ hiểu và dễ thực hiện hơn. - HUMAN-FAC2]]</f>
        <v>8</v>
      </c>
      <c r="AI155" t="str">
        <f t="shared" si="64"/>
        <v>Support</v>
      </c>
      <c r="AJ155" s="32">
        <f t="shared" si="65"/>
        <v>0</v>
      </c>
      <c r="AK155">
        <f>step3_validation[[#This Row],[AI_TRU1]]</f>
        <v>7</v>
      </c>
      <c r="AL155" t="str">
        <f t="shared" si="66"/>
        <v>Neutral</v>
      </c>
      <c r="AM155">
        <f>survey_responses[[#This Row],[Tôi tin rằng Nhà nước, cơ quan thuế sẽ thực thi chính sách mới một cách khách quan, công tâm và đối xử bình đẳng với mọi người nộp thuế.  - HUMAN-TRU1]]</f>
        <v>6</v>
      </c>
      <c r="AN155" t="str">
        <f t="shared" si="67"/>
        <v>Neutral</v>
      </c>
      <c r="AO155" s="32">
        <f t="shared" si="68"/>
        <v>1</v>
      </c>
      <c r="AP155">
        <f>step3_validation[[#This Row],[AI_TRU2]]</f>
        <v>9</v>
      </c>
      <c r="AQ155" t="str">
        <f t="shared" si="69"/>
        <v>Support</v>
      </c>
      <c r="AR155">
        <f>survey_responses[[#This Row],[Tôi thấy mức thuế tôi phải đóng theo phương án mới là công bằng (người thu nhập như tôi đóng mức này là hợp lý). - HUMAN-TRU2]]</f>
        <v>8</v>
      </c>
      <c r="AS155" t="str">
        <f t="shared" si="70"/>
        <v>Support</v>
      </c>
      <c r="AT155" s="32">
        <f t="shared" si="71"/>
        <v>1</v>
      </c>
      <c r="AU155">
        <f>step3_validation[[#This Row],[AI_TRU3]]</f>
        <v>8</v>
      </c>
      <c r="AV155" t="str">
        <f t="shared" si="72"/>
        <v>Support</v>
      </c>
      <c r="AW155">
        <f>survey_responses[[#This Row],[Tôi tin tưởng số tiền thuế tôi đóng sẽ được Nhà nước sử dụng hiệu quả để cải thiện dịch vụ công (y tế, đường xá...). - HUMAN-TRU3]]</f>
        <v>5</v>
      </c>
      <c r="AX155" t="str">
        <f t="shared" si="73"/>
        <v>Neutral</v>
      </c>
      <c r="AY155" s="32">
        <f t="shared" si="74"/>
        <v>3</v>
      </c>
      <c r="AZ155">
        <f>step3_validation[[#This Row],[AI_TRU4]]</f>
        <v>9</v>
      </c>
      <c r="BA155" t="str">
        <f t="shared" si="75"/>
        <v>Support</v>
      </c>
      <c r="BB155">
        <f>survey_responses[[#This Row],[Tôi thấy Nhà nước đã giải thích rõ ràng, minh bạch về lý do và mục tiêu của việc sửa đổi thuế lần này. - HUMAN-TRU4]]</f>
        <v>8</v>
      </c>
      <c r="BC155" t="str">
        <f t="shared" si="76"/>
        <v>Support</v>
      </c>
      <c r="BD155" s="32">
        <f t="shared" si="77"/>
        <v>1</v>
      </c>
      <c r="BE155">
        <f>step3_validation[[#This Row],[AI_OUT1]]</f>
        <v>8</v>
      </c>
      <c r="BF155" t="str">
        <f t="shared" si="78"/>
        <v>Support</v>
      </c>
      <c r="BG155">
        <f>survey_responses[[#This Row],[Sau khi xem xét các quyền lợi và nghĩa vụ, bạn có ủng hộ và tuân thủ chính sách mới hiện nay? - HUMAN-OUT1]]</f>
        <v>8</v>
      </c>
      <c r="BH155" t="str">
        <f t="shared" si="79"/>
        <v>Support</v>
      </c>
      <c r="BI155" s="32">
        <f t="shared" si="80"/>
        <v>0</v>
      </c>
    </row>
    <row r="156" spans="1:61" x14ac:dyDescent="0.45">
      <c r="A156" s="30">
        <f>step3_validation[[#This Row],[Persona_ID]]</f>
        <v>155</v>
      </c>
      <c r="B156" s="31">
        <f>step3_validation[[#This Row],[Used_Seed]]</f>
        <v>12499</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65.672371692143244</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8</v>
      </c>
      <c r="R156" t="str">
        <f t="shared" si="54"/>
        <v>Support</v>
      </c>
      <c r="S156">
        <f>survey_responses[[#This Row],[Tôi tin rằng với các quy định quản lý thuế hiện nay, hành vi gian lận hoặc trốn thuế sẽ dễ dàng bị phát hiện và xử lý nghiêm. - HUMAN-ENF1]]</f>
        <v>10</v>
      </c>
      <c r="T156" t="str">
        <f t="shared" si="55"/>
        <v>Support</v>
      </c>
      <c r="U156" s="32">
        <f t="shared" si="56"/>
        <v>2</v>
      </c>
      <c r="V156">
        <f>step3_validation[[#This Row],[AI_ENF2]]</f>
        <v>9</v>
      </c>
      <c r="W156" t="str">
        <f t="shared" si="57"/>
        <v>Support</v>
      </c>
      <c r="X156">
        <f>survey_responses[[#This Row],[Tôi tin rằng Nhà nước, cơ quan thuế có đủ khả năng và công nghệ để phát hiện, xử lý nghiêm các hành vi trốn thuế. - HUMAN-ENF2]]</f>
        <v>10</v>
      </c>
      <c r="Y156" t="str">
        <f t="shared" si="58"/>
        <v>Support</v>
      </c>
      <c r="Z156" s="32">
        <f t="shared" si="59"/>
        <v>1</v>
      </c>
      <c r="AA156">
        <f>step3_validation[[#This Row],[AI_FAC1]]</f>
        <v>8</v>
      </c>
      <c r="AB156" t="str">
        <f t="shared" si="60"/>
        <v>Support</v>
      </c>
      <c r="AC156">
        <f>survey_responses[[#This Row],[Các thủ tục khai báo thuế VÀ/HOẶC quy trình làm việc với cơ quan thuế đơn giản, tiện lợi, nhanh chóng hơn so với trước đây. - HUMAN-FAC1]]</f>
        <v>10</v>
      </c>
      <c r="AD156" t="str">
        <f t="shared" si="61"/>
        <v>Support</v>
      </c>
      <c r="AE156" s="32">
        <f t="shared" si="62"/>
        <v>2</v>
      </c>
      <c r="AF156">
        <f>step3_validation[[#This Row],[AI_FAC2]]</f>
        <v>9</v>
      </c>
      <c r="AG156" t="str">
        <f t="shared" si="63"/>
        <v>Support</v>
      </c>
      <c r="AH156">
        <f>survey_responses[[#This Row],[So với trước đây, tôi thấy cách tính thuế và các bậc thuế trong phương án mới đơn giản, dễ hiểu và dễ thực hiện hơn. - HUMAN-FAC2]]</f>
        <v>10</v>
      </c>
      <c r="AI156" t="str">
        <f t="shared" si="64"/>
        <v>Support</v>
      </c>
      <c r="AJ156" s="32">
        <f t="shared" si="65"/>
        <v>1</v>
      </c>
      <c r="AK156">
        <f>step3_validation[[#This Row],[AI_TRU1]]</f>
        <v>7</v>
      </c>
      <c r="AL156" t="str">
        <f t="shared" si="66"/>
        <v>Neutral</v>
      </c>
      <c r="AM156">
        <f>survey_responses[[#This Row],[Tôi tin rằng Nhà nước, cơ quan thuế sẽ thực thi chính sách mới một cách khách quan, công tâm và đối xử bình đẳng với mọi người nộp thuế.  - HUMAN-TRU1]]</f>
        <v>10</v>
      </c>
      <c r="AN156" t="str">
        <f t="shared" si="67"/>
        <v>Support</v>
      </c>
      <c r="AO156" s="32">
        <f t="shared" si="68"/>
        <v>3</v>
      </c>
      <c r="AP156">
        <f>step3_validation[[#This Row],[AI_TRU2]]</f>
        <v>8</v>
      </c>
      <c r="AQ156" t="str">
        <f t="shared" si="69"/>
        <v>Support</v>
      </c>
      <c r="AR156">
        <f>survey_responses[[#This Row],[Tôi thấy mức thuế tôi phải đóng theo phương án mới là công bằng (người thu nhập như tôi đóng mức này là hợp lý). - HUMAN-TRU2]]</f>
        <v>10</v>
      </c>
      <c r="AS156" t="str">
        <f t="shared" si="70"/>
        <v>Support</v>
      </c>
      <c r="AT156" s="32">
        <f t="shared" si="71"/>
        <v>2</v>
      </c>
      <c r="AU156">
        <f>step3_validation[[#This Row],[AI_TRU3]]</f>
        <v>7</v>
      </c>
      <c r="AV156" t="str">
        <f t="shared" si="72"/>
        <v>Neutral</v>
      </c>
      <c r="AW156">
        <f>survey_responses[[#This Row],[Tôi tin tưởng số tiền thuế tôi đóng sẽ được Nhà nước sử dụng hiệu quả để cải thiện dịch vụ công (y tế, đường xá...). - HUMAN-TRU3]]</f>
        <v>10</v>
      </c>
      <c r="AX156" t="str">
        <f t="shared" si="73"/>
        <v>Support</v>
      </c>
      <c r="AY156" s="32">
        <f t="shared" si="74"/>
        <v>3</v>
      </c>
      <c r="AZ156">
        <f>step3_validation[[#This Row],[AI_TRU4]]</f>
        <v>8</v>
      </c>
      <c r="BA156" t="str">
        <f t="shared" si="75"/>
        <v>Support</v>
      </c>
      <c r="BB156">
        <f>survey_responses[[#This Row],[Tôi thấy Nhà nước đã giải thích rõ ràng, minh bạch về lý do và mục tiêu của việc sửa đổi thuế lần này. - HUMAN-TRU4]]</f>
        <v>10</v>
      </c>
      <c r="BC156" t="str">
        <f t="shared" si="76"/>
        <v>Support</v>
      </c>
      <c r="BD156" s="32">
        <f t="shared" si="77"/>
        <v>2</v>
      </c>
      <c r="BE156">
        <f>step3_validation[[#This Row],[AI_OUT1]]</f>
        <v>9</v>
      </c>
      <c r="BF156" t="str">
        <f t="shared" si="78"/>
        <v>Support</v>
      </c>
      <c r="BG156">
        <f>survey_responses[[#This Row],[Sau khi xem xét các quyền lợi và nghĩa vụ, bạn có ủng hộ và tuân thủ chính sách mới hiện nay? - HUMAN-OUT1]]</f>
        <v>10</v>
      </c>
      <c r="BH156" t="str">
        <f t="shared" si="79"/>
        <v>Support</v>
      </c>
      <c r="BI156" s="32">
        <f t="shared" si="80"/>
        <v>1</v>
      </c>
    </row>
    <row r="157" spans="1:61" x14ac:dyDescent="0.45">
      <c r="A157" s="30">
        <f>step3_validation[[#This Row],[Persona_ID]]</f>
        <v>156</v>
      </c>
      <c r="B157" s="31">
        <f>step3_validation[[#This Row],[Used_Seed]]</f>
        <v>12500</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27.278329198460064</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7</v>
      </c>
      <c r="R157" t="str">
        <f t="shared" si="54"/>
        <v>Neutral</v>
      </c>
      <c r="S157">
        <f>survey_responses[[#This Row],[Tôi tin rằng với các quy định quản lý thuế hiện nay, hành vi gian lận hoặc trốn thuế sẽ dễ dàng bị phát hiện và xử lý nghiêm. - HUMAN-ENF1]]</f>
        <v>10</v>
      </c>
      <c r="T157" t="str">
        <f t="shared" si="55"/>
        <v>Support</v>
      </c>
      <c r="U157" s="32">
        <f t="shared" si="56"/>
        <v>3</v>
      </c>
      <c r="V157">
        <f>step3_validation[[#This Row],[AI_ENF2]]</f>
        <v>6</v>
      </c>
      <c r="W157" t="str">
        <f t="shared" si="57"/>
        <v>Neutral</v>
      </c>
      <c r="X157">
        <f>survey_responses[[#This Row],[Tôi tin rằng Nhà nước, cơ quan thuế có đủ khả năng và công nghệ để phát hiện, xử lý nghiêm các hành vi trốn thuế. - HUMAN-ENF2]]</f>
        <v>10</v>
      </c>
      <c r="Y157" t="str">
        <f t="shared" si="58"/>
        <v>Support</v>
      </c>
      <c r="Z157" s="32">
        <f t="shared" si="59"/>
        <v>4</v>
      </c>
      <c r="AA157">
        <f>step3_validation[[#This Row],[AI_FAC1]]</f>
        <v>9</v>
      </c>
      <c r="AB157" t="str">
        <f t="shared" si="60"/>
        <v>Support</v>
      </c>
      <c r="AC157">
        <f>survey_responses[[#This Row],[Các thủ tục khai báo thuế VÀ/HOẶC quy trình làm việc với cơ quan thuế đơn giản, tiện lợi, nhanh chóng hơn so với trước đây. - HUMAN-FAC1]]</f>
        <v>10</v>
      </c>
      <c r="AD157" t="str">
        <f t="shared" si="61"/>
        <v>Support</v>
      </c>
      <c r="AE157" s="32">
        <f t="shared" si="62"/>
        <v>1</v>
      </c>
      <c r="AF157">
        <f>step3_validation[[#This Row],[AI_FAC2]]</f>
        <v>8</v>
      </c>
      <c r="AG157" t="str">
        <f t="shared" si="63"/>
        <v>Support</v>
      </c>
      <c r="AH157">
        <f>survey_responses[[#This Row],[So với trước đây, tôi thấy cách tính thuế và các bậc thuế trong phương án mới đơn giản, dễ hiểu và dễ thực hiện hơn. - HUMAN-FAC2]]</f>
        <v>10</v>
      </c>
      <c r="AI157" t="str">
        <f t="shared" si="64"/>
        <v>Support</v>
      </c>
      <c r="AJ157" s="32">
        <f t="shared" si="65"/>
        <v>2</v>
      </c>
      <c r="AK157">
        <f>step3_validation[[#This Row],[AI_TRU1]]</f>
        <v>9</v>
      </c>
      <c r="AL157" t="str">
        <f t="shared" si="66"/>
        <v>Support</v>
      </c>
      <c r="AM157">
        <f>survey_responses[[#This Row],[Tôi tin rằng Nhà nước, cơ quan thuế sẽ thực thi chính sách mới một cách khách quan, công tâm và đối xử bình đẳng với mọi người nộp thuế.  - HUMAN-TRU1]]</f>
        <v>10</v>
      </c>
      <c r="AN157" t="str">
        <f t="shared" si="67"/>
        <v>Support</v>
      </c>
      <c r="AO157" s="32">
        <f t="shared" si="68"/>
        <v>1</v>
      </c>
      <c r="AP157">
        <f>step3_validation[[#This Row],[AI_TRU2]]</f>
        <v>8</v>
      </c>
      <c r="AQ157" t="str">
        <f t="shared" si="69"/>
        <v>Support</v>
      </c>
      <c r="AR157">
        <f>survey_responses[[#This Row],[Tôi thấy mức thuế tôi phải đóng theo phương án mới là công bằng (người thu nhập như tôi đóng mức này là hợp lý). - HUMAN-TRU2]]</f>
        <v>10</v>
      </c>
      <c r="AS157" t="str">
        <f t="shared" si="70"/>
        <v>Support</v>
      </c>
      <c r="AT157" s="32">
        <f t="shared" si="71"/>
        <v>2</v>
      </c>
      <c r="AU157">
        <f>step3_validation[[#This Row],[AI_TRU3]]</f>
        <v>9</v>
      </c>
      <c r="AV157" t="str">
        <f t="shared" si="72"/>
        <v>Support</v>
      </c>
      <c r="AW157">
        <f>survey_responses[[#This Row],[Tôi tin tưởng số tiền thuế tôi đóng sẽ được Nhà nước sử dụng hiệu quả để cải thiện dịch vụ công (y tế, đường xá...). - HUMAN-TRU3]]</f>
        <v>10</v>
      </c>
      <c r="AX157" t="str">
        <f t="shared" si="73"/>
        <v>Support</v>
      </c>
      <c r="AY157" s="32">
        <f t="shared" si="74"/>
        <v>1</v>
      </c>
      <c r="AZ157">
        <f>step3_validation[[#This Row],[AI_TRU4]]</f>
        <v>8</v>
      </c>
      <c r="BA157" t="str">
        <f t="shared" si="75"/>
        <v>Support</v>
      </c>
      <c r="BB157">
        <f>survey_responses[[#This Row],[Tôi thấy Nhà nước đã giải thích rõ ràng, minh bạch về lý do và mục tiêu của việc sửa đổi thuế lần này. - HUMAN-TRU4]]</f>
        <v>10</v>
      </c>
      <c r="BC157" t="str">
        <f t="shared" si="76"/>
        <v>Support</v>
      </c>
      <c r="BD157" s="32">
        <f t="shared" si="77"/>
        <v>2</v>
      </c>
      <c r="BE157">
        <f>step3_validation[[#This Row],[AI_OUT1]]</f>
        <v>9</v>
      </c>
      <c r="BF157" t="str">
        <f t="shared" si="78"/>
        <v>Support</v>
      </c>
      <c r="BG157">
        <f>survey_responses[[#This Row],[Sau khi xem xét các quyền lợi và nghĩa vụ, bạn có ủng hộ và tuân thủ chính sách mới hiện nay? - HUMAN-OUT1]]</f>
        <v>10</v>
      </c>
      <c r="BH157" t="str">
        <f t="shared" si="79"/>
        <v>Support</v>
      </c>
      <c r="BI157" s="32">
        <f t="shared" si="80"/>
        <v>1</v>
      </c>
    </row>
    <row r="158" spans="1:61" x14ac:dyDescent="0.45">
      <c r="A158" s="30">
        <f>step3_validation[[#This Row],[Persona_ID]]</f>
        <v>157</v>
      </c>
      <c r="B158" s="31">
        <f>step3_validation[[#This Row],[Used_Seed]]</f>
        <v>12501</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89.873030369199199</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t="str">
        <f t="shared" si="54"/>
        <v>Neutral</v>
      </c>
      <c r="S158">
        <f>survey_responses[[#This Row],[Tôi tin rằng với các quy định quản lý thuế hiện nay, hành vi gian lận hoặc trốn thuế sẽ dễ dàng bị phát hiện và xử lý nghiêm. - HUMAN-ENF1]]</f>
        <v>10</v>
      </c>
      <c r="T158" t="str">
        <f t="shared" si="55"/>
        <v>Support</v>
      </c>
      <c r="U158" s="32">
        <f t="shared" si="56"/>
        <v>3</v>
      </c>
      <c r="V158">
        <f>step3_validation[[#This Row],[AI_ENF2]]</f>
        <v>6</v>
      </c>
      <c r="W158" t="str">
        <f t="shared" si="57"/>
        <v>Neutral</v>
      </c>
      <c r="X158">
        <f>survey_responses[[#This Row],[Tôi tin rằng Nhà nước, cơ quan thuế có đủ khả năng và công nghệ để phát hiện, xử lý nghiêm các hành vi trốn thuế. - HUMAN-ENF2]]</f>
        <v>10</v>
      </c>
      <c r="Y158" t="str">
        <f t="shared" si="58"/>
        <v>Support</v>
      </c>
      <c r="Z158" s="32">
        <f t="shared" si="59"/>
        <v>4</v>
      </c>
      <c r="AA158">
        <f>step3_validation[[#This Row],[AI_FAC1]]</f>
        <v>9</v>
      </c>
      <c r="AB158" t="str">
        <f t="shared" si="60"/>
        <v>Support</v>
      </c>
      <c r="AC158">
        <f>survey_responses[[#This Row],[Các thủ tục khai báo thuế VÀ/HOẶC quy trình làm việc với cơ quan thuế đơn giản, tiện lợi, nhanh chóng hơn so với trước đây. - HUMAN-FAC1]]</f>
        <v>1</v>
      </c>
      <c r="AD158" t="str">
        <f t="shared" si="61"/>
        <v>Oppose</v>
      </c>
      <c r="AE158" s="32">
        <f t="shared" si="62"/>
        <v>8</v>
      </c>
      <c r="AF158">
        <f>step3_validation[[#This Row],[AI_FAC2]]</f>
        <v>8</v>
      </c>
      <c r="AG158" t="str">
        <f t="shared" si="63"/>
        <v>Support</v>
      </c>
      <c r="AH158">
        <f>survey_responses[[#This Row],[So với trước đây, tôi thấy cách tính thuế và các bậc thuế trong phương án mới đơn giản, dễ hiểu và dễ thực hiện hơn. - HUMAN-FAC2]]</f>
        <v>10</v>
      </c>
      <c r="AI158" t="str">
        <f t="shared" si="64"/>
        <v>Support</v>
      </c>
      <c r="AJ158" s="32">
        <f t="shared" si="65"/>
        <v>2</v>
      </c>
      <c r="AK158">
        <f>step3_validation[[#This Row],[AI_TRU1]]</f>
        <v>7</v>
      </c>
      <c r="AL158" t="str">
        <f t="shared" si="66"/>
        <v>Neutral</v>
      </c>
      <c r="AM158">
        <f>survey_responses[[#This Row],[Tôi tin rằng Nhà nước, cơ quan thuế sẽ thực thi chính sách mới một cách khách quan, công tâm và đối xử bình đẳng với mọi người nộp thuế.  - HUMAN-TRU1]]</f>
        <v>1</v>
      </c>
      <c r="AN158" t="str">
        <f t="shared" si="67"/>
        <v>Oppose</v>
      </c>
      <c r="AO158" s="32">
        <f t="shared" si="68"/>
        <v>6</v>
      </c>
      <c r="AP158">
        <f>step3_validation[[#This Row],[AI_TRU2]]</f>
        <v>8</v>
      </c>
      <c r="AQ158" t="str">
        <f t="shared" si="69"/>
        <v>Support</v>
      </c>
      <c r="AR158">
        <f>survey_responses[[#This Row],[Tôi thấy mức thuế tôi phải đóng theo phương án mới là công bằng (người thu nhập như tôi đóng mức này là hợp lý). - HUMAN-TRU2]]</f>
        <v>1</v>
      </c>
      <c r="AS158" t="str">
        <f t="shared" si="70"/>
        <v>Oppose</v>
      </c>
      <c r="AT158" s="32">
        <f t="shared" si="71"/>
        <v>7</v>
      </c>
      <c r="AU158">
        <f>step3_validation[[#This Row],[AI_TRU3]]</f>
        <v>6</v>
      </c>
      <c r="AV158" t="str">
        <f t="shared" si="72"/>
        <v>Neutral</v>
      </c>
      <c r="AW158">
        <f>survey_responses[[#This Row],[Tôi tin tưởng số tiền thuế tôi đóng sẽ được Nhà nước sử dụng hiệu quả để cải thiện dịch vụ công (y tế, đường xá...). - HUMAN-TRU3]]</f>
        <v>1</v>
      </c>
      <c r="AX158" t="str">
        <f t="shared" si="73"/>
        <v>Oppose</v>
      </c>
      <c r="AY158" s="32">
        <f t="shared" si="74"/>
        <v>5</v>
      </c>
      <c r="AZ158">
        <f>step3_validation[[#This Row],[AI_TRU4]]</f>
        <v>7</v>
      </c>
      <c r="BA158" t="str">
        <f t="shared" si="75"/>
        <v>Neutral</v>
      </c>
      <c r="BB158">
        <f>survey_responses[[#This Row],[Tôi thấy Nhà nước đã giải thích rõ ràng, minh bạch về lý do và mục tiêu của việc sửa đổi thuế lần này. - HUMAN-TRU4]]</f>
        <v>1</v>
      </c>
      <c r="BC158" t="str">
        <f t="shared" si="76"/>
        <v>Oppose</v>
      </c>
      <c r="BD158" s="32">
        <f t="shared" si="77"/>
        <v>6</v>
      </c>
      <c r="BE158">
        <f>step3_validation[[#This Row],[AI_OUT1]]</f>
        <v>8</v>
      </c>
      <c r="BF158" t="str">
        <f t="shared" si="78"/>
        <v>Support</v>
      </c>
      <c r="BG158">
        <f>survey_responses[[#This Row],[Sau khi xem xét các quyền lợi và nghĩa vụ, bạn có ủng hộ và tuân thủ chính sách mới hiện nay? - HUMAN-OUT1]]</f>
        <v>6</v>
      </c>
      <c r="BH158" t="str">
        <f t="shared" si="79"/>
        <v>Neutral</v>
      </c>
      <c r="BI158" s="32">
        <f t="shared" si="80"/>
        <v>2</v>
      </c>
    </row>
    <row r="159" spans="1:61" x14ac:dyDescent="0.45">
      <c r="A159" s="30">
        <f>step3_validation[[#This Row],[Persona_ID]]</f>
        <v>158</v>
      </c>
      <c r="B159" s="31">
        <f>step3_validation[[#This Row],[Used_Seed]]</f>
        <v>12502</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92.191062669768414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8</v>
      </c>
      <c r="R159" t="str">
        <f t="shared" si="54"/>
        <v>Support</v>
      </c>
      <c r="S159">
        <f>survey_responses[[#This Row],[Tôi tin rằng với các quy định quản lý thuế hiện nay, hành vi gian lận hoặc trốn thuế sẽ dễ dàng bị phát hiện và xử lý nghiêm. - HUMAN-ENF1]]</f>
        <v>7</v>
      </c>
      <c r="T159" t="str">
        <f t="shared" si="55"/>
        <v>Neutral</v>
      </c>
      <c r="U159" s="32">
        <f t="shared" si="56"/>
        <v>1</v>
      </c>
      <c r="V159">
        <f>step3_validation[[#This Row],[AI_ENF2]]</f>
        <v>8</v>
      </c>
      <c r="W159" t="str">
        <f t="shared" si="57"/>
        <v>Support</v>
      </c>
      <c r="X159">
        <f>survey_responses[[#This Row],[Tôi tin rằng Nhà nước, cơ quan thuế có đủ khả năng và công nghệ để phát hiện, xử lý nghiêm các hành vi trốn thuế. - HUMAN-ENF2]]</f>
        <v>8</v>
      </c>
      <c r="Y159" t="str">
        <f t="shared" si="58"/>
        <v>Support</v>
      </c>
      <c r="Z159" s="32">
        <f t="shared" si="59"/>
        <v>0</v>
      </c>
      <c r="AA159">
        <f>step3_validation[[#This Row],[AI_FAC1]]</f>
        <v>9</v>
      </c>
      <c r="AB159" t="str">
        <f t="shared" si="60"/>
        <v>Support</v>
      </c>
      <c r="AC159">
        <f>survey_responses[[#This Row],[Các thủ tục khai báo thuế VÀ/HOẶC quy trình làm việc với cơ quan thuế đơn giản, tiện lợi, nhanh chóng hơn so với trước đây. - HUMAN-FAC1]]</f>
        <v>6</v>
      </c>
      <c r="AD159" t="str">
        <f t="shared" si="61"/>
        <v>Neutral</v>
      </c>
      <c r="AE159" s="32">
        <f t="shared" si="62"/>
        <v>3</v>
      </c>
      <c r="AF159">
        <f>step3_validation[[#This Row],[AI_FAC2]]</f>
        <v>9</v>
      </c>
      <c r="AG159" t="str">
        <f t="shared" si="63"/>
        <v>Support</v>
      </c>
      <c r="AH159">
        <f>survey_responses[[#This Row],[So với trước đây, tôi thấy cách tính thuế và các bậc thuế trong phương án mới đơn giản, dễ hiểu và dễ thực hiện hơn. - HUMAN-FAC2]]</f>
        <v>6</v>
      </c>
      <c r="AI159" t="str">
        <f t="shared" si="64"/>
        <v>Neutral</v>
      </c>
      <c r="AJ159" s="32">
        <f t="shared" si="65"/>
        <v>3</v>
      </c>
      <c r="AK159">
        <f>step3_validation[[#This Row],[AI_TRU1]]</f>
        <v>8</v>
      </c>
      <c r="AL159" t="str">
        <f t="shared" si="66"/>
        <v>Support</v>
      </c>
      <c r="AM159">
        <f>survey_responses[[#This Row],[Tôi tin rằng Nhà nước, cơ quan thuế sẽ thực thi chính sách mới một cách khách quan, công tâm và đối xử bình đẳng với mọi người nộp thuế.  - HUMAN-TRU1]]</f>
        <v>7</v>
      </c>
      <c r="AN159" t="str">
        <f t="shared" si="67"/>
        <v>Neutral</v>
      </c>
      <c r="AO159" s="32">
        <f t="shared" si="68"/>
        <v>1</v>
      </c>
      <c r="AP159">
        <f>step3_validation[[#This Row],[AI_TRU2]]</f>
        <v>9</v>
      </c>
      <c r="AQ159" t="str">
        <f t="shared" si="69"/>
        <v>Support</v>
      </c>
      <c r="AR159">
        <f>survey_responses[[#This Row],[Tôi thấy mức thuế tôi phải đóng theo phương án mới là công bằng (người thu nhập như tôi đóng mức này là hợp lý). - HUMAN-TRU2]]</f>
        <v>5</v>
      </c>
      <c r="AS159" t="str">
        <f t="shared" si="70"/>
        <v>Neutral</v>
      </c>
      <c r="AT159" s="32">
        <f t="shared" si="71"/>
        <v>4</v>
      </c>
      <c r="AU159">
        <f>step3_validation[[#This Row],[AI_TRU3]]</f>
        <v>8</v>
      </c>
      <c r="AV159" t="str">
        <f t="shared" si="72"/>
        <v>Support</v>
      </c>
      <c r="AW159">
        <f>survey_responses[[#This Row],[Tôi tin tưởng số tiền thuế tôi đóng sẽ được Nhà nước sử dụng hiệu quả để cải thiện dịch vụ công (y tế, đường xá...). - HUMAN-TRU3]]</f>
        <v>6</v>
      </c>
      <c r="AX159" t="str">
        <f t="shared" si="73"/>
        <v>Neutral</v>
      </c>
      <c r="AY159" s="32">
        <f t="shared" si="74"/>
        <v>2</v>
      </c>
      <c r="AZ159">
        <f>step3_validation[[#This Row],[AI_TRU4]]</f>
        <v>9</v>
      </c>
      <c r="BA159" t="str">
        <f t="shared" si="75"/>
        <v>Support</v>
      </c>
      <c r="BB159">
        <f>survey_responses[[#This Row],[Tôi thấy Nhà nước đã giải thích rõ ràng, minh bạch về lý do và mục tiêu của việc sửa đổi thuế lần này. - HUMAN-TRU4]]</f>
        <v>7</v>
      </c>
      <c r="BC159" t="str">
        <f t="shared" si="76"/>
        <v>Neutral</v>
      </c>
      <c r="BD159" s="32">
        <f t="shared" si="77"/>
        <v>2</v>
      </c>
      <c r="BE159">
        <f>step3_validation[[#This Row],[AI_OUT1]]</f>
        <v>9</v>
      </c>
      <c r="BF159" t="str">
        <f t="shared" si="78"/>
        <v>Support</v>
      </c>
      <c r="BG159">
        <f>survey_responses[[#This Row],[Sau khi xem xét các quyền lợi và nghĩa vụ, bạn có ủng hộ và tuân thủ chính sách mới hiện nay? - HUMAN-OUT1]]</f>
        <v>7</v>
      </c>
      <c r="BH159" t="str">
        <f t="shared" si="79"/>
        <v>Neutral</v>
      </c>
      <c r="BI159" s="32">
        <f t="shared" si="80"/>
        <v>2</v>
      </c>
    </row>
    <row r="160" spans="1:61" x14ac:dyDescent="0.45">
      <c r="A160" s="30">
        <f>step3_validation[[#This Row],[Persona_ID]]</f>
        <v>159</v>
      </c>
      <c r="B160" s="31">
        <f>step3_validation[[#This Row],[Used_Seed]]</f>
        <v>12503</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34.087865766761901</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9</v>
      </c>
      <c r="R160" t="str">
        <f t="shared" si="54"/>
        <v>Support</v>
      </c>
      <c r="S160">
        <f>survey_responses[[#This Row],[Tôi tin rằng với các quy định quản lý thuế hiện nay, hành vi gian lận hoặc trốn thuế sẽ dễ dàng bị phát hiện và xử lý nghiêm. - HUMAN-ENF1]]</f>
        <v>2</v>
      </c>
      <c r="T160" t="str">
        <f t="shared" si="55"/>
        <v>Oppose</v>
      </c>
      <c r="U160" s="32">
        <f t="shared" si="56"/>
        <v>7</v>
      </c>
      <c r="V160">
        <f>step3_validation[[#This Row],[AI_ENF2]]</f>
        <v>8</v>
      </c>
      <c r="W160" t="str">
        <f t="shared" si="57"/>
        <v>Support</v>
      </c>
      <c r="X160">
        <f>survey_responses[[#This Row],[Tôi tin rằng Nhà nước, cơ quan thuế có đủ khả năng và công nghệ để phát hiện, xử lý nghiêm các hành vi trốn thuế. - HUMAN-ENF2]]</f>
        <v>7</v>
      </c>
      <c r="Y160" t="str">
        <f t="shared" si="58"/>
        <v>Neutral</v>
      </c>
      <c r="Z160" s="32">
        <f t="shared" si="59"/>
        <v>1</v>
      </c>
      <c r="AA160">
        <f>step3_validation[[#This Row],[AI_FAC1]]</f>
        <v>7</v>
      </c>
      <c r="AB160" t="str">
        <f t="shared" si="60"/>
        <v>Neutral</v>
      </c>
      <c r="AC160">
        <f>survey_responses[[#This Row],[Các thủ tục khai báo thuế VÀ/HOẶC quy trình làm việc với cơ quan thuế đơn giản, tiện lợi, nhanh chóng hơn so với trước đây. - HUMAN-FAC1]]</f>
        <v>10</v>
      </c>
      <c r="AD160" t="str">
        <f t="shared" si="61"/>
        <v>Support</v>
      </c>
      <c r="AE160" s="32">
        <f t="shared" si="62"/>
        <v>3</v>
      </c>
      <c r="AF160">
        <f>step3_validation[[#This Row],[AI_FAC2]]</f>
        <v>8</v>
      </c>
      <c r="AG160" t="str">
        <f t="shared" si="63"/>
        <v>Support</v>
      </c>
      <c r="AH160">
        <f>survey_responses[[#This Row],[So với trước đây, tôi thấy cách tính thuế và các bậc thuế trong phương án mới đơn giản, dễ hiểu và dễ thực hiện hơn. - HUMAN-FAC2]]</f>
        <v>2</v>
      </c>
      <c r="AI160" t="str">
        <f t="shared" si="64"/>
        <v>Oppose</v>
      </c>
      <c r="AJ160" s="32">
        <f t="shared" si="65"/>
        <v>6</v>
      </c>
      <c r="AK160">
        <f>step3_validation[[#This Row],[AI_TRU1]]</f>
        <v>9</v>
      </c>
      <c r="AL160" t="str">
        <f t="shared" si="66"/>
        <v>Support</v>
      </c>
      <c r="AM160">
        <f>survey_responses[[#This Row],[Tôi tin rằng Nhà nước, cơ quan thuế sẽ thực thi chính sách mới một cách khách quan, công tâm và đối xử bình đẳng với mọi người nộp thuế.  - HUMAN-TRU1]]</f>
        <v>10</v>
      </c>
      <c r="AN160" t="str">
        <f t="shared" si="67"/>
        <v>Support</v>
      </c>
      <c r="AO160" s="32">
        <f t="shared" si="68"/>
        <v>1</v>
      </c>
      <c r="AP160">
        <f>step3_validation[[#This Row],[AI_TRU2]]</f>
        <v>9</v>
      </c>
      <c r="AQ160" t="str">
        <f t="shared" si="69"/>
        <v>Support</v>
      </c>
      <c r="AR160">
        <f>survey_responses[[#This Row],[Tôi thấy mức thuế tôi phải đóng theo phương án mới là công bằng (người thu nhập như tôi đóng mức này là hợp lý). - HUMAN-TRU2]]</f>
        <v>5</v>
      </c>
      <c r="AS160" t="str">
        <f t="shared" si="70"/>
        <v>Neutral</v>
      </c>
      <c r="AT160" s="32">
        <f t="shared" si="71"/>
        <v>4</v>
      </c>
      <c r="AU160">
        <f>step3_validation[[#This Row],[AI_TRU3]]</f>
        <v>8</v>
      </c>
      <c r="AV160" t="str">
        <f t="shared" si="72"/>
        <v>Support</v>
      </c>
      <c r="AW160">
        <f>survey_responses[[#This Row],[Tôi tin tưởng số tiền thuế tôi đóng sẽ được Nhà nước sử dụng hiệu quả để cải thiện dịch vụ công (y tế, đường xá...). - HUMAN-TRU3]]</f>
        <v>10</v>
      </c>
      <c r="AX160" t="str">
        <f t="shared" si="73"/>
        <v>Support</v>
      </c>
      <c r="AY160" s="32">
        <f t="shared" si="74"/>
        <v>2</v>
      </c>
      <c r="AZ160">
        <f>step3_validation[[#This Row],[AI_TRU4]]</f>
        <v>7</v>
      </c>
      <c r="BA160" t="str">
        <f t="shared" si="75"/>
        <v>Neutral</v>
      </c>
      <c r="BB160">
        <f>survey_responses[[#This Row],[Tôi thấy Nhà nước đã giải thích rõ ràng, minh bạch về lý do và mục tiêu của việc sửa đổi thuế lần này. - HUMAN-TRU4]]</f>
        <v>3</v>
      </c>
      <c r="BC160" t="str">
        <f t="shared" si="76"/>
        <v>Oppose</v>
      </c>
      <c r="BD160" s="32">
        <f t="shared" si="77"/>
        <v>4</v>
      </c>
      <c r="BE160">
        <f>step3_validation[[#This Row],[AI_OUT1]]</f>
        <v>9</v>
      </c>
      <c r="BF160" t="str">
        <f t="shared" si="78"/>
        <v>Support</v>
      </c>
      <c r="BG160">
        <f>survey_responses[[#This Row],[Sau khi xem xét các quyền lợi và nghĩa vụ, bạn có ủng hộ và tuân thủ chính sách mới hiện nay? - HUMAN-OUT1]]</f>
        <v>3</v>
      </c>
      <c r="BH160" t="str">
        <f t="shared" si="79"/>
        <v>Oppose</v>
      </c>
      <c r="BI160" s="32">
        <f t="shared" si="80"/>
        <v>6</v>
      </c>
    </row>
    <row r="161" spans="1:61" x14ac:dyDescent="0.45">
      <c r="A161" s="30">
        <f>step3_validation[[#This Row],[Persona_ID]]</f>
        <v>160</v>
      </c>
      <c r="B161" s="31">
        <f>step3_validation[[#This Row],[Used_Seed]]</f>
        <v>12504</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37.707999113122803</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7</v>
      </c>
      <c r="R161" t="str">
        <f t="shared" si="54"/>
        <v>Neutral</v>
      </c>
      <c r="S161">
        <f>survey_responses[[#This Row],[Tôi tin rằng với các quy định quản lý thuế hiện nay, hành vi gian lận hoặc trốn thuế sẽ dễ dàng bị phát hiện và xử lý nghiêm. - HUMAN-ENF1]]</f>
        <v>9</v>
      </c>
      <c r="T161" t="str">
        <f t="shared" si="55"/>
        <v>Support</v>
      </c>
      <c r="U161" s="32">
        <f t="shared" si="56"/>
        <v>2</v>
      </c>
      <c r="V161">
        <f>step3_validation[[#This Row],[AI_ENF2]]</f>
        <v>8</v>
      </c>
      <c r="W161" t="str">
        <f t="shared" si="57"/>
        <v>Support</v>
      </c>
      <c r="X161">
        <f>survey_responses[[#This Row],[Tôi tin rằng Nhà nước, cơ quan thuế có đủ khả năng và công nghệ để phát hiện, xử lý nghiêm các hành vi trốn thuế. - HUMAN-ENF2]]</f>
        <v>9</v>
      </c>
      <c r="Y161" t="str">
        <f t="shared" si="58"/>
        <v>Support</v>
      </c>
      <c r="Z161" s="32">
        <f t="shared" si="59"/>
        <v>1</v>
      </c>
      <c r="AA161">
        <f>step3_validation[[#This Row],[AI_FAC1]]</f>
        <v>9</v>
      </c>
      <c r="AB161" t="str">
        <f t="shared" si="60"/>
        <v>Support</v>
      </c>
      <c r="AC161">
        <f>survey_responses[[#This Row],[Các thủ tục khai báo thuế VÀ/HOẶC quy trình làm việc với cơ quan thuế đơn giản, tiện lợi, nhanh chóng hơn so với trước đây. - HUMAN-FAC1]]</f>
        <v>10</v>
      </c>
      <c r="AD161" t="str">
        <f t="shared" si="61"/>
        <v>Support</v>
      </c>
      <c r="AE161" s="32">
        <f t="shared" si="62"/>
        <v>1</v>
      </c>
      <c r="AF161">
        <f>step3_validation[[#This Row],[AI_FAC2]]</f>
        <v>9</v>
      </c>
      <c r="AG161" t="str">
        <f t="shared" si="63"/>
        <v>Support</v>
      </c>
      <c r="AH161">
        <f>survey_responses[[#This Row],[So với trước đây, tôi thấy cách tính thuế và các bậc thuế trong phương án mới đơn giản, dễ hiểu và dễ thực hiện hơn. - HUMAN-FAC2]]</f>
        <v>2</v>
      </c>
      <c r="AI161" t="str">
        <f t="shared" si="64"/>
        <v>Oppose</v>
      </c>
      <c r="AJ161" s="32">
        <f t="shared" si="65"/>
        <v>7</v>
      </c>
      <c r="AK161">
        <f>step3_validation[[#This Row],[AI_TRU1]]</f>
        <v>7</v>
      </c>
      <c r="AL161" t="str">
        <f t="shared" si="66"/>
        <v>Neutral</v>
      </c>
      <c r="AM161">
        <f>survey_responses[[#This Row],[Tôi tin rằng Nhà nước, cơ quan thuế sẽ thực thi chính sách mới một cách khách quan, công tâm và đối xử bình đẳng với mọi người nộp thuế.  - HUMAN-TRU1]]</f>
        <v>9</v>
      </c>
      <c r="AN161" t="str">
        <f t="shared" si="67"/>
        <v>Support</v>
      </c>
      <c r="AO161" s="32">
        <f t="shared" si="68"/>
        <v>2</v>
      </c>
      <c r="AP161">
        <f>step3_validation[[#This Row],[AI_TRU2]]</f>
        <v>8</v>
      </c>
      <c r="AQ161" t="str">
        <f t="shared" si="69"/>
        <v>Support</v>
      </c>
      <c r="AR161">
        <f>survey_responses[[#This Row],[Tôi thấy mức thuế tôi phải đóng theo phương án mới là công bằng (người thu nhập như tôi đóng mức này là hợp lý). - HUMAN-TRU2]]</f>
        <v>9</v>
      </c>
      <c r="AS161" t="str">
        <f t="shared" si="70"/>
        <v>Support</v>
      </c>
      <c r="AT161" s="32">
        <f t="shared" si="71"/>
        <v>1</v>
      </c>
      <c r="AU161">
        <f>step3_validation[[#This Row],[AI_TRU3]]</f>
        <v>7</v>
      </c>
      <c r="AV161" t="str">
        <f t="shared" si="72"/>
        <v>Neutral</v>
      </c>
      <c r="AW161">
        <f>survey_responses[[#This Row],[Tôi tin tưởng số tiền thuế tôi đóng sẽ được Nhà nước sử dụng hiệu quả để cải thiện dịch vụ công (y tế, đường xá...). - HUMAN-TRU3]]</f>
        <v>6</v>
      </c>
      <c r="AX161" t="str">
        <f t="shared" si="73"/>
        <v>Neutral</v>
      </c>
      <c r="AY161" s="32">
        <f t="shared" si="74"/>
        <v>1</v>
      </c>
      <c r="AZ161">
        <f>step3_validation[[#This Row],[AI_TRU4]]</f>
        <v>8</v>
      </c>
      <c r="BA161" t="str">
        <f t="shared" si="75"/>
        <v>Support</v>
      </c>
      <c r="BB161">
        <f>survey_responses[[#This Row],[Tôi thấy Nhà nước đã giải thích rõ ràng, minh bạch về lý do và mục tiêu của việc sửa đổi thuế lần này. - HUMAN-TRU4]]</f>
        <v>8</v>
      </c>
      <c r="BC161" t="str">
        <f t="shared" si="76"/>
        <v>Support</v>
      </c>
      <c r="BD161" s="32">
        <f t="shared" si="77"/>
        <v>0</v>
      </c>
      <c r="BE161">
        <f>step3_validation[[#This Row],[AI_OUT1]]</f>
        <v>9</v>
      </c>
      <c r="BF161" t="str">
        <f t="shared" si="78"/>
        <v>Support</v>
      </c>
      <c r="BG161">
        <f>survey_responses[[#This Row],[Sau khi xem xét các quyền lợi và nghĩa vụ, bạn có ủng hộ và tuân thủ chính sách mới hiện nay? - HUMAN-OUT1]]</f>
        <v>10</v>
      </c>
      <c r="BH161" t="str">
        <f t="shared" si="79"/>
        <v>Support</v>
      </c>
      <c r="BI161" s="32">
        <f t="shared" si="80"/>
        <v>1</v>
      </c>
    </row>
    <row r="162" spans="1:61" x14ac:dyDescent="0.45">
      <c r="A162" s="30">
        <f>step3_validation[[#This Row],[Persona_ID]]</f>
        <v>161</v>
      </c>
      <c r="B162" s="31">
        <f>step3_validation[[#This Row],[Used_Seed]]</f>
        <v>12505</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13.963854423907176</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6</v>
      </c>
      <c r="R162" t="str">
        <f t="shared" si="54"/>
        <v>Neutral</v>
      </c>
      <c r="S162">
        <f>survey_responses[[#This Row],[Tôi tin rằng với các quy định quản lý thuế hiện nay, hành vi gian lận hoặc trốn thuế sẽ dễ dàng bị phát hiện và xử lý nghiêm. - HUMAN-ENF1]]</f>
        <v>7</v>
      </c>
      <c r="T162" t="str">
        <f t="shared" si="55"/>
        <v>Neutral</v>
      </c>
      <c r="U162" s="32">
        <f t="shared" si="56"/>
        <v>1</v>
      </c>
      <c r="V162">
        <f>step3_validation[[#This Row],[AI_ENF2]]</f>
        <v>6</v>
      </c>
      <c r="W162" t="str">
        <f t="shared" si="57"/>
        <v>Neutral</v>
      </c>
      <c r="X162">
        <f>survey_responses[[#This Row],[Tôi tin rằng Nhà nước, cơ quan thuế có đủ khả năng và công nghệ để phát hiện, xử lý nghiêm các hành vi trốn thuế. - HUMAN-ENF2]]</f>
        <v>5</v>
      </c>
      <c r="Y162" t="str">
        <f t="shared" si="58"/>
        <v>Neutral</v>
      </c>
      <c r="Z162" s="32">
        <f t="shared" si="59"/>
        <v>1</v>
      </c>
      <c r="AA162">
        <f>step3_validation[[#This Row],[AI_FAC1]]</f>
        <v>7</v>
      </c>
      <c r="AB162" t="str">
        <f t="shared" si="60"/>
        <v>Neutral</v>
      </c>
      <c r="AC162">
        <f>survey_responses[[#This Row],[Các thủ tục khai báo thuế VÀ/HOẶC quy trình làm việc với cơ quan thuế đơn giản, tiện lợi, nhanh chóng hơn so với trước đây. - HUMAN-FAC1]]</f>
        <v>7</v>
      </c>
      <c r="AD162" t="str">
        <f t="shared" si="61"/>
        <v>Neutral</v>
      </c>
      <c r="AE162" s="32">
        <f t="shared" si="62"/>
        <v>0</v>
      </c>
      <c r="AF162">
        <f>step3_validation[[#This Row],[AI_FAC2]]</f>
        <v>9</v>
      </c>
      <c r="AG162" t="str">
        <f t="shared" si="63"/>
        <v>Support</v>
      </c>
      <c r="AH162">
        <f>survey_responses[[#This Row],[So với trước đây, tôi thấy cách tính thuế và các bậc thuế trong phương án mới đơn giản, dễ hiểu và dễ thực hiện hơn. - HUMAN-FAC2]]</f>
        <v>5</v>
      </c>
      <c r="AI162" t="str">
        <f t="shared" si="64"/>
        <v>Neutral</v>
      </c>
      <c r="AJ162" s="32">
        <f t="shared" si="65"/>
        <v>4</v>
      </c>
      <c r="AK162">
        <f>step3_validation[[#This Row],[AI_TRU1]]</f>
        <v>8</v>
      </c>
      <c r="AL162" t="str">
        <f t="shared" si="66"/>
        <v>Support</v>
      </c>
      <c r="AM162">
        <f>survey_responses[[#This Row],[Tôi tin rằng Nhà nước, cơ quan thuế sẽ thực thi chính sách mới một cách khách quan, công tâm và đối xử bình đẳng với mọi người nộp thuế.  - HUMAN-TRU1]]</f>
        <v>3</v>
      </c>
      <c r="AN162" t="str">
        <f t="shared" si="67"/>
        <v>Oppose</v>
      </c>
      <c r="AO162" s="32">
        <f t="shared" si="68"/>
        <v>5</v>
      </c>
      <c r="AP162">
        <f>step3_validation[[#This Row],[AI_TRU2]]</f>
        <v>9</v>
      </c>
      <c r="AQ162" t="str">
        <f t="shared" si="69"/>
        <v>Support</v>
      </c>
      <c r="AR162">
        <f>survey_responses[[#This Row],[Tôi thấy mức thuế tôi phải đóng theo phương án mới là công bằng (người thu nhập như tôi đóng mức này là hợp lý). - HUMAN-TRU2]]</f>
        <v>4</v>
      </c>
      <c r="AS162" t="str">
        <f t="shared" si="70"/>
        <v>Oppose</v>
      </c>
      <c r="AT162" s="32">
        <f t="shared" si="71"/>
        <v>5</v>
      </c>
      <c r="AU162">
        <f>step3_validation[[#This Row],[AI_TRU3]]</f>
        <v>7</v>
      </c>
      <c r="AV162" t="str">
        <f t="shared" si="72"/>
        <v>Neutral</v>
      </c>
      <c r="AW162">
        <f>survey_responses[[#This Row],[Tôi tin tưởng số tiền thuế tôi đóng sẽ được Nhà nước sử dụng hiệu quả để cải thiện dịch vụ công (y tế, đường xá...). - HUMAN-TRU3]]</f>
        <v>1</v>
      </c>
      <c r="AX162" t="str">
        <f t="shared" si="73"/>
        <v>Oppose</v>
      </c>
      <c r="AY162" s="32">
        <f t="shared" si="74"/>
        <v>6</v>
      </c>
      <c r="AZ162">
        <f>step3_validation[[#This Row],[AI_TRU4]]</f>
        <v>8</v>
      </c>
      <c r="BA162" t="str">
        <f t="shared" si="75"/>
        <v>Support</v>
      </c>
      <c r="BB162">
        <f>survey_responses[[#This Row],[Tôi thấy Nhà nước đã giải thích rõ ràng, minh bạch về lý do và mục tiêu của việc sửa đổi thuế lần này. - HUMAN-TRU4]]</f>
        <v>5</v>
      </c>
      <c r="BC162" t="str">
        <f t="shared" si="76"/>
        <v>Neutral</v>
      </c>
      <c r="BD162" s="32">
        <f t="shared" si="77"/>
        <v>3</v>
      </c>
      <c r="BE162">
        <f>step3_validation[[#This Row],[AI_OUT1]]</f>
        <v>9</v>
      </c>
      <c r="BF162" t="str">
        <f t="shared" si="78"/>
        <v>Support</v>
      </c>
      <c r="BG162">
        <f>survey_responses[[#This Row],[Sau khi xem xét các quyền lợi và nghĩa vụ, bạn có ủng hộ và tuân thủ chính sách mới hiện nay? - HUMAN-OUT1]]</f>
        <v>5</v>
      </c>
      <c r="BH162" t="str">
        <f t="shared" si="79"/>
        <v>Neutral</v>
      </c>
      <c r="BI162" s="32">
        <f t="shared" si="80"/>
        <v>4</v>
      </c>
    </row>
    <row r="163" spans="1:61" x14ac:dyDescent="0.45">
      <c r="A163" s="30">
        <f>step3_validation[[#This Row],[Persona_ID]]</f>
        <v>162</v>
      </c>
      <c r="B163" s="31">
        <f>step3_validation[[#This Row],[Used_Seed]]</f>
        <v>12506</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6</v>
      </c>
      <c r="R163" t="str">
        <f t="shared" si="54"/>
        <v>Neutral</v>
      </c>
      <c r="S163">
        <f>survey_responses[[#This Row],[Tôi tin rằng với các quy định quản lý thuế hiện nay, hành vi gian lận hoặc trốn thuế sẽ dễ dàng bị phát hiện và xử lý nghiêm. - HUMAN-ENF1]]</f>
        <v>3</v>
      </c>
      <c r="T163" t="str">
        <f t="shared" si="55"/>
        <v>Oppose</v>
      </c>
      <c r="U163" s="32">
        <f t="shared" si="56"/>
        <v>3</v>
      </c>
      <c r="V163">
        <f>step3_validation[[#This Row],[AI_ENF2]]</f>
        <v>8</v>
      </c>
      <c r="W163" t="str">
        <f t="shared" si="57"/>
        <v>Support</v>
      </c>
      <c r="X163">
        <f>survey_responses[[#This Row],[Tôi tin rằng Nhà nước, cơ quan thuế có đủ khả năng và công nghệ để phát hiện, xử lý nghiêm các hành vi trốn thuế. - HUMAN-ENF2]]</f>
        <v>8</v>
      </c>
      <c r="Y163" t="str">
        <f t="shared" si="58"/>
        <v>Support</v>
      </c>
      <c r="Z163" s="32">
        <f t="shared" si="59"/>
        <v>0</v>
      </c>
      <c r="AA163">
        <f>step3_validation[[#This Row],[AI_FAC1]]</f>
        <v>7</v>
      </c>
      <c r="AB163" t="str">
        <f t="shared" si="60"/>
        <v>Neutral</v>
      </c>
      <c r="AC163">
        <f>survey_responses[[#This Row],[Các thủ tục khai báo thuế VÀ/HOẶC quy trình làm việc với cơ quan thuế đơn giản, tiện lợi, nhanh chóng hơn so với trước đây. - HUMAN-FAC1]]</f>
        <v>4</v>
      </c>
      <c r="AD163" t="str">
        <f t="shared" si="61"/>
        <v>Oppose</v>
      </c>
      <c r="AE163" s="32">
        <f t="shared" si="62"/>
        <v>3</v>
      </c>
      <c r="AF163">
        <f>step3_validation[[#This Row],[AI_FAC2]]</f>
        <v>9</v>
      </c>
      <c r="AG163" t="str">
        <f t="shared" si="63"/>
        <v>Support</v>
      </c>
      <c r="AH163">
        <f>survey_responses[[#This Row],[So với trước đây, tôi thấy cách tính thuế và các bậc thuế trong phương án mới đơn giản, dễ hiểu và dễ thực hiện hơn. - HUMAN-FAC2]]</f>
        <v>5</v>
      </c>
      <c r="AI163" t="str">
        <f t="shared" si="64"/>
        <v>Neutral</v>
      </c>
      <c r="AJ163" s="32">
        <f t="shared" si="65"/>
        <v>4</v>
      </c>
      <c r="AK163">
        <f>step3_validation[[#This Row],[AI_TRU1]]</f>
        <v>7</v>
      </c>
      <c r="AL163" t="str">
        <f t="shared" si="66"/>
        <v>Neutral</v>
      </c>
      <c r="AM163">
        <f>survey_responses[[#This Row],[Tôi tin rằng Nhà nước, cơ quan thuế sẽ thực thi chính sách mới một cách khách quan, công tâm và đối xử bình đẳng với mọi người nộp thuế.  - HUMAN-TRU1]]</f>
        <v>5</v>
      </c>
      <c r="AN163" t="str">
        <f t="shared" si="67"/>
        <v>Neutral</v>
      </c>
      <c r="AO163" s="32">
        <f t="shared" si="68"/>
        <v>2</v>
      </c>
      <c r="AP163">
        <f>step3_validation[[#This Row],[AI_TRU2]]</f>
        <v>9</v>
      </c>
      <c r="AQ163" t="str">
        <f t="shared" si="69"/>
        <v>Support</v>
      </c>
      <c r="AR163">
        <f>survey_responses[[#This Row],[Tôi thấy mức thuế tôi phải đóng theo phương án mới là công bằng (người thu nhập như tôi đóng mức này là hợp lý). - HUMAN-TRU2]]</f>
        <v>5</v>
      </c>
      <c r="AS163" t="str">
        <f t="shared" si="70"/>
        <v>Neutral</v>
      </c>
      <c r="AT163" s="32">
        <f t="shared" si="71"/>
        <v>4</v>
      </c>
      <c r="AU163">
        <f>step3_validation[[#This Row],[AI_TRU3]]</f>
        <v>8</v>
      </c>
      <c r="AV163" t="str">
        <f t="shared" si="72"/>
        <v>Support</v>
      </c>
      <c r="AW163">
        <f>survey_responses[[#This Row],[Tôi tin tưởng số tiền thuế tôi đóng sẽ được Nhà nước sử dụng hiệu quả để cải thiện dịch vụ công (y tế, đường xá...). - HUMAN-TRU3]]</f>
        <v>5</v>
      </c>
      <c r="AX163" t="str">
        <f t="shared" si="73"/>
        <v>Neutral</v>
      </c>
      <c r="AY163" s="32">
        <f t="shared" si="74"/>
        <v>3</v>
      </c>
      <c r="AZ163">
        <f>step3_validation[[#This Row],[AI_TRU4]]</f>
        <v>7</v>
      </c>
      <c r="BA163" t="str">
        <f t="shared" si="75"/>
        <v>Neutral</v>
      </c>
      <c r="BB163">
        <f>survey_responses[[#This Row],[Tôi thấy Nhà nước đã giải thích rõ ràng, minh bạch về lý do và mục tiêu của việc sửa đổi thuế lần này. - HUMAN-TRU4]]</f>
        <v>5</v>
      </c>
      <c r="BC163" t="str">
        <f t="shared" si="76"/>
        <v>Neutral</v>
      </c>
      <c r="BD163" s="32">
        <f t="shared" si="77"/>
        <v>2</v>
      </c>
      <c r="BE163">
        <f>step3_validation[[#This Row],[AI_OUT1]]</f>
        <v>9</v>
      </c>
      <c r="BF163" t="str">
        <f t="shared" si="78"/>
        <v>Support</v>
      </c>
      <c r="BG163">
        <f>survey_responses[[#This Row],[Sau khi xem xét các quyền lợi và nghĩa vụ, bạn có ủng hộ và tuân thủ chính sách mới hiện nay? - HUMAN-OUT1]]</f>
        <v>5</v>
      </c>
      <c r="BH163" t="str">
        <f t="shared" si="79"/>
        <v>Neutral</v>
      </c>
      <c r="BI163" s="32">
        <f t="shared" si="80"/>
        <v>4</v>
      </c>
    </row>
    <row r="164" spans="1:61" x14ac:dyDescent="0.45">
      <c r="A164" s="30">
        <f>step3_validation[[#This Row],[Persona_ID]]</f>
        <v>163</v>
      </c>
      <c r="B164" s="31">
        <f>step3_validation[[#This Row],[Used_Seed]]</f>
        <v>12507</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14.910616980124107</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t="str">
        <f t="shared" si="54"/>
        <v>Neutral</v>
      </c>
      <c r="S164">
        <f>survey_responses[[#This Row],[Tôi tin rằng với các quy định quản lý thuế hiện nay, hành vi gian lận hoặc trốn thuế sẽ dễ dàng bị phát hiện và xử lý nghiêm. - HUMAN-ENF1]]</f>
        <v>10</v>
      </c>
      <c r="T164" t="str">
        <f t="shared" si="55"/>
        <v>Support</v>
      </c>
      <c r="U164" s="32">
        <f t="shared" si="56"/>
        <v>3</v>
      </c>
      <c r="V164">
        <f>step3_validation[[#This Row],[AI_ENF2]]</f>
        <v>6</v>
      </c>
      <c r="W164" t="str">
        <f t="shared" si="57"/>
        <v>Neutral</v>
      </c>
      <c r="X164">
        <f>survey_responses[[#This Row],[Tôi tin rằng Nhà nước, cơ quan thuế có đủ khả năng và công nghệ để phát hiện, xử lý nghiêm các hành vi trốn thuế. - HUMAN-ENF2]]</f>
        <v>10</v>
      </c>
      <c r="Y164" t="str">
        <f t="shared" si="58"/>
        <v>Support</v>
      </c>
      <c r="Z164" s="32">
        <f t="shared" si="59"/>
        <v>4</v>
      </c>
      <c r="AA164">
        <f>step3_validation[[#This Row],[AI_FAC1]]</f>
        <v>8</v>
      </c>
      <c r="AB164" t="str">
        <f t="shared" si="60"/>
        <v>Support</v>
      </c>
      <c r="AC164">
        <f>survey_responses[[#This Row],[Các thủ tục khai báo thuế VÀ/HOẶC quy trình làm việc với cơ quan thuế đơn giản, tiện lợi, nhanh chóng hơn so với trước đây. - HUMAN-FAC1]]</f>
        <v>10</v>
      </c>
      <c r="AD164" t="str">
        <f t="shared" si="61"/>
        <v>Support</v>
      </c>
      <c r="AE164" s="32">
        <f t="shared" si="62"/>
        <v>2</v>
      </c>
      <c r="AF164">
        <f>step3_validation[[#This Row],[AI_FAC2]]</f>
        <v>9</v>
      </c>
      <c r="AG164" t="str">
        <f t="shared" si="63"/>
        <v>Support</v>
      </c>
      <c r="AH164">
        <f>survey_responses[[#This Row],[So với trước đây, tôi thấy cách tính thuế và các bậc thuế trong phương án mới đơn giản, dễ hiểu và dễ thực hiện hơn. - HUMAN-FAC2]]</f>
        <v>10</v>
      </c>
      <c r="AI164" t="str">
        <f t="shared" si="64"/>
        <v>Support</v>
      </c>
      <c r="AJ164" s="32">
        <f t="shared" si="65"/>
        <v>1</v>
      </c>
      <c r="AK164">
        <f>step3_validation[[#This Row],[AI_TRU1]]</f>
        <v>8</v>
      </c>
      <c r="AL164" t="str">
        <f t="shared" si="66"/>
        <v>Support</v>
      </c>
      <c r="AM164">
        <f>survey_responses[[#This Row],[Tôi tin rằng Nhà nước, cơ quan thuế sẽ thực thi chính sách mới một cách khách quan, công tâm và đối xử bình đẳng với mọi người nộp thuế.  - HUMAN-TRU1]]</f>
        <v>10</v>
      </c>
      <c r="AN164" t="str">
        <f t="shared" si="67"/>
        <v>Support</v>
      </c>
      <c r="AO164" s="32">
        <f t="shared" si="68"/>
        <v>2</v>
      </c>
      <c r="AP164">
        <f>step3_validation[[#This Row],[AI_TRU2]]</f>
        <v>7</v>
      </c>
      <c r="AQ164" t="str">
        <f t="shared" si="69"/>
        <v>Neutral</v>
      </c>
      <c r="AR164">
        <f>survey_responses[[#This Row],[Tôi thấy mức thuế tôi phải đóng theo phương án mới là công bằng (người thu nhập như tôi đóng mức này là hợp lý). - HUMAN-TRU2]]</f>
        <v>10</v>
      </c>
      <c r="AS164" t="str">
        <f t="shared" si="70"/>
        <v>Support</v>
      </c>
      <c r="AT164" s="32">
        <f t="shared" si="71"/>
        <v>3</v>
      </c>
      <c r="AU164">
        <f>step3_validation[[#This Row],[AI_TRU3]]</f>
        <v>8</v>
      </c>
      <c r="AV164" t="str">
        <f t="shared" si="72"/>
        <v>Support</v>
      </c>
      <c r="AW164">
        <f>survey_responses[[#This Row],[Tôi tin tưởng số tiền thuế tôi đóng sẽ được Nhà nước sử dụng hiệu quả để cải thiện dịch vụ công (y tế, đường xá...). - HUMAN-TRU3]]</f>
        <v>10</v>
      </c>
      <c r="AX164" t="str">
        <f t="shared" si="73"/>
        <v>Support</v>
      </c>
      <c r="AY164" s="32">
        <f t="shared" si="74"/>
        <v>2</v>
      </c>
      <c r="AZ164">
        <f>step3_validation[[#This Row],[AI_TRU4]]</f>
        <v>7</v>
      </c>
      <c r="BA164" t="str">
        <f t="shared" si="75"/>
        <v>Neutral</v>
      </c>
      <c r="BB164">
        <f>survey_responses[[#This Row],[Tôi thấy Nhà nước đã giải thích rõ ràng, minh bạch về lý do và mục tiêu của việc sửa đổi thuế lần này. - HUMAN-TRU4]]</f>
        <v>10</v>
      </c>
      <c r="BC164" t="str">
        <f t="shared" si="76"/>
        <v>Support</v>
      </c>
      <c r="BD164" s="32">
        <f t="shared" si="77"/>
        <v>3</v>
      </c>
      <c r="BE164">
        <f>step3_validation[[#This Row],[AI_OUT1]]</f>
        <v>8</v>
      </c>
      <c r="BF164" t="str">
        <f t="shared" si="78"/>
        <v>Support</v>
      </c>
      <c r="BG164">
        <f>survey_responses[[#This Row],[Sau khi xem xét các quyền lợi và nghĩa vụ, bạn có ủng hộ và tuân thủ chính sách mới hiện nay? - HUMAN-OUT1]]</f>
        <v>10</v>
      </c>
      <c r="BH164" t="str">
        <f t="shared" si="79"/>
        <v>Support</v>
      </c>
      <c r="BI164" s="32">
        <f t="shared" si="80"/>
        <v>2</v>
      </c>
    </row>
    <row r="165" spans="1:61" x14ac:dyDescent="0.45">
      <c r="A165" s="30">
        <f>step3_validation[[#This Row],[Persona_ID]]</f>
        <v>164</v>
      </c>
      <c r="B165" s="31">
        <f>step3_validation[[#This Row],[Used_Seed]]</f>
        <v>12508</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40.584474757600745</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7</v>
      </c>
      <c r="R165" t="str">
        <f t="shared" si="54"/>
        <v>Neutral</v>
      </c>
      <c r="S165">
        <f>survey_responses[[#This Row],[Tôi tin rằng với các quy định quản lý thuế hiện nay, hành vi gian lận hoặc trốn thuế sẽ dễ dàng bị phát hiện và xử lý nghiêm. - HUMAN-ENF1]]</f>
        <v>8</v>
      </c>
      <c r="T165" t="str">
        <f t="shared" si="55"/>
        <v>Support</v>
      </c>
      <c r="U165" s="32">
        <f t="shared" si="56"/>
        <v>1</v>
      </c>
      <c r="V165">
        <f>step3_validation[[#This Row],[AI_ENF2]]</f>
        <v>6</v>
      </c>
      <c r="W165" t="str">
        <f t="shared" si="57"/>
        <v>Neutral</v>
      </c>
      <c r="X165">
        <f>survey_responses[[#This Row],[Tôi tin rằng Nhà nước, cơ quan thuế có đủ khả năng và công nghệ để phát hiện, xử lý nghiêm các hành vi trốn thuế. - HUMAN-ENF2]]</f>
        <v>9</v>
      </c>
      <c r="Y165" t="str">
        <f t="shared" si="58"/>
        <v>Support</v>
      </c>
      <c r="Z165" s="32">
        <f t="shared" si="59"/>
        <v>3</v>
      </c>
      <c r="AA165">
        <f>step3_validation[[#This Row],[AI_FAC1]]</f>
        <v>9</v>
      </c>
      <c r="AB165" t="str">
        <f t="shared" si="60"/>
        <v>Support</v>
      </c>
      <c r="AC165">
        <f>survey_responses[[#This Row],[Các thủ tục khai báo thuế VÀ/HOẶC quy trình làm việc với cơ quan thuế đơn giản, tiện lợi, nhanh chóng hơn so với trước đây. - HUMAN-FAC1]]</f>
        <v>9</v>
      </c>
      <c r="AD165" t="str">
        <f t="shared" si="61"/>
        <v>Support</v>
      </c>
      <c r="AE165" s="32">
        <f t="shared" si="62"/>
        <v>0</v>
      </c>
      <c r="AF165">
        <f>step3_validation[[#This Row],[AI_FAC2]]</f>
        <v>8</v>
      </c>
      <c r="AG165" t="str">
        <f t="shared" si="63"/>
        <v>Support</v>
      </c>
      <c r="AH165">
        <f>survey_responses[[#This Row],[So với trước đây, tôi thấy cách tính thuế và các bậc thuế trong phương án mới đơn giản, dễ hiểu và dễ thực hiện hơn. - HUMAN-FAC2]]</f>
        <v>9</v>
      </c>
      <c r="AI165" t="str">
        <f t="shared" si="64"/>
        <v>Support</v>
      </c>
      <c r="AJ165" s="32">
        <f t="shared" si="65"/>
        <v>1</v>
      </c>
      <c r="AK165">
        <f>step3_validation[[#This Row],[AI_TRU1]]</f>
        <v>7</v>
      </c>
      <c r="AL165" t="str">
        <f t="shared" si="66"/>
        <v>Neutral</v>
      </c>
      <c r="AM165">
        <f>survey_responses[[#This Row],[Tôi tin rằng Nhà nước, cơ quan thuế sẽ thực thi chính sách mới một cách khách quan, công tâm và đối xử bình đẳng với mọi người nộp thuế.  - HUMAN-TRU1]]</f>
        <v>5</v>
      </c>
      <c r="AN165" t="str">
        <f t="shared" si="67"/>
        <v>Neutral</v>
      </c>
      <c r="AO165" s="32">
        <f t="shared" si="68"/>
        <v>2</v>
      </c>
      <c r="AP165">
        <f>step3_validation[[#This Row],[AI_TRU2]]</f>
        <v>9</v>
      </c>
      <c r="AQ165" t="str">
        <f t="shared" si="69"/>
        <v>Support</v>
      </c>
      <c r="AR165">
        <f>survey_responses[[#This Row],[Tôi thấy mức thuế tôi phải đóng theo phương án mới là công bằng (người thu nhập như tôi đóng mức này là hợp lý). - HUMAN-TRU2]]</f>
        <v>7</v>
      </c>
      <c r="AS165" t="str">
        <f t="shared" si="70"/>
        <v>Neutral</v>
      </c>
      <c r="AT165" s="32">
        <f t="shared" si="71"/>
        <v>2</v>
      </c>
      <c r="AU165">
        <f>step3_validation[[#This Row],[AI_TRU3]]</f>
        <v>8</v>
      </c>
      <c r="AV165" t="str">
        <f t="shared" si="72"/>
        <v>Support</v>
      </c>
      <c r="AW165">
        <f>survey_responses[[#This Row],[Tôi tin tưởng số tiền thuế tôi đóng sẽ được Nhà nước sử dụng hiệu quả để cải thiện dịch vụ công (y tế, đường xá...). - HUMAN-TRU3]]</f>
        <v>5</v>
      </c>
      <c r="AX165" t="str">
        <f t="shared" si="73"/>
        <v>Neutral</v>
      </c>
      <c r="AY165" s="32">
        <f t="shared" si="74"/>
        <v>3</v>
      </c>
      <c r="AZ165">
        <f>step3_validation[[#This Row],[AI_TRU4]]</f>
        <v>6</v>
      </c>
      <c r="BA165" t="str">
        <f t="shared" si="75"/>
        <v>Neutral</v>
      </c>
      <c r="BB165">
        <f>survey_responses[[#This Row],[Tôi thấy Nhà nước đã giải thích rõ ràng, minh bạch về lý do và mục tiêu của việc sửa đổi thuế lần này. - HUMAN-TRU4]]</f>
        <v>7</v>
      </c>
      <c r="BC165" t="str">
        <f t="shared" si="76"/>
        <v>Neutral</v>
      </c>
      <c r="BD165" s="32">
        <f t="shared" si="77"/>
        <v>1</v>
      </c>
      <c r="BE165">
        <f>step3_validation[[#This Row],[AI_OUT1]]</f>
        <v>9</v>
      </c>
      <c r="BF165" t="str">
        <f t="shared" si="78"/>
        <v>Support</v>
      </c>
      <c r="BG165">
        <f>survey_responses[[#This Row],[Sau khi xem xét các quyền lợi và nghĩa vụ, bạn có ủng hộ và tuân thủ chính sách mới hiện nay? - HUMAN-OUT1]]</f>
        <v>7</v>
      </c>
      <c r="BH165" t="str">
        <f t="shared" si="79"/>
        <v>Neutral</v>
      </c>
      <c r="BI165" s="32">
        <f t="shared" si="80"/>
        <v>2</v>
      </c>
    </row>
    <row r="166" spans="1:61" x14ac:dyDescent="0.45">
      <c r="A166" s="30">
        <f>step3_validation[[#This Row],[Persona_ID]]</f>
        <v>165</v>
      </c>
      <c r="B166" s="31">
        <f>step3_validation[[#This Row],[Used_Seed]]</f>
        <v>12509</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34.97978712203917</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9</v>
      </c>
      <c r="R166" t="str">
        <f t="shared" si="54"/>
        <v>Support</v>
      </c>
      <c r="S166">
        <f>survey_responses[[#This Row],[Tôi tin rằng với các quy định quản lý thuế hiện nay, hành vi gian lận hoặc trốn thuế sẽ dễ dàng bị phát hiện và xử lý nghiêm. - HUMAN-ENF1]]</f>
        <v>5</v>
      </c>
      <c r="T166" t="str">
        <f t="shared" si="55"/>
        <v>Neutral</v>
      </c>
      <c r="U166" s="32">
        <f t="shared" si="56"/>
        <v>4</v>
      </c>
      <c r="V166">
        <f>step3_validation[[#This Row],[AI_ENF2]]</f>
        <v>8</v>
      </c>
      <c r="W166" t="str">
        <f t="shared" si="57"/>
        <v>Support</v>
      </c>
      <c r="X166">
        <f>survey_responses[[#This Row],[Tôi tin rằng Nhà nước, cơ quan thuế có đủ khả năng và công nghệ để phát hiện, xử lý nghiêm các hành vi trốn thuế. - HUMAN-ENF2]]</f>
        <v>5</v>
      </c>
      <c r="Y166" t="str">
        <f t="shared" si="58"/>
        <v>Neutral</v>
      </c>
      <c r="Z166" s="32">
        <f t="shared" si="59"/>
        <v>3</v>
      </c>
      <c r="AA166">
        <f>step3_validation[[#This Row],[AI_FAC1]]</f>
        <v>9</v>
      </c>
      <c r="AB166" t="str">
        <f t="shared" si="60"/>
        <v>Support</v>
      </c>
      <c r="AC166">
        <f>survey_responses[[#This Row],[Các thủ tục khai báo thuế VÀ/HOẶC quy trình làm việc với cơ quan thuế đơn giản, tiện lợi, nhanh chóng hơn so với trước đây. - HUMAN-FAC1]]</f>
        <v>6</v>
      </c>
      <c r="AD166" t="str">
        <f t="shared" si="61"/>
        <v>Neutral</v>
      </c>
      <c r="AE166" s="32">
        <f t="shared" si="62"/>
        <v>3</v>
      </c>
      <c r="AF166">
        <f>step3_validation[[#This Row],[AI_FAC2]]</f>
        <v>8</v>
      </c>
      <c r="AG166" t="str">
        <f t="shared" si="63"/>
        <v>Support</v>
      </c>
      <c r="AH166">
        <f>survey_responses[[#This Row],[So với trước đây, tôi thấy cách tính thuế và các bậc thuế trong phương án mới đơn giản, dễ hiểu và dễ thực hiện hơn. - HUMAN-FAC2]]</f>
        <v>6</v>
      </c>
      <c r="AI166" t="str">
        <f t="shared" si="64"/>
        <v>Neutral</v>
      </c>
      <c r="AJ166" s="32">
        <f t="shared" si="65"/>
        <v>2</v>
      </c>
      <c r="AK166">
        <f>step3_validation[[#This Row],[AI_TRU1]]</f>
        <v>9</v>
      </c>
      <c r="AL166" t="str">
        <f t="shared" si="66"/>
        <v>Support</v>
      </c>
      <c r="AM166">
        <f>survey_responses[[#This Row],[Tôi tin rằng Nhà nước, cơ quan thuế sẽ thực thi chính sách mới một cách khách quan, công tâm và đối xử bình đẳng với mọi người nộp thuế.  - HUMAN-TRU1]]</f>
        <v>6</v>
      </c>
      <c r="AN166" t="str">
        <f t="shared" si="67"/>
        <v>Neutral</v>
      </c>
      <c r="AO166" s="32">
        <f t="shared" si="68"/>
        <v>3</v>
      </c>
      <c r="AP166">
        <f>step3_validation[[#This Row],[AI_TRU2]]</f>
        <v>8</v>
      </c>
      <c r="AQ166" t="str">
        <f t="shared" si="69"/>
        <v>Support</v>
      </c>
      <c r="AR166">
        <f>survey_responses[[#This Row],[Tôi thấy mức thuế tôi phải đóng theo phương án mới là công bằng (người thu nhập như tôi đóng mức này là hợp lý). - HUMAN-TRU2]]</f>
        <v>6</v>
      </c>
      <c r="AS166" t="str">
        <f t="shared" si="70"/>
        <v>Neutral</v>
      </c>
      <c r="AT166" s="32">
        <f t="shared" si="71"/>
        <v>2</v>
      </c>
      <c r="AU166">
        <f>step3_validation[[#This Row],[AI_TRU3]]</f>
        <v>9</v>
      </c>
      <c r="AV166" t="str">
        <f t="shared" si="72"/>
        <v>Support</v>
      </c>
      <c r="AW166">
        <f>survey_responses[[#This Row],[Tôi tin tưởng số tiền thuế tôi đóng sẽ được Nhà nước sử dụng hiệu quả để cải thiện dịch vụ công (y tế, đường xá...). - HUMAN-TRU3]]</f>
        <v>5</v>
      </c>
      <c r="AX166" t="str">
        <f t="shared" si="73"/>
        <v>Neutral</v>
      </c>
      <c r="AY166" s="32">
        <f t="shared" si="74"/>
        <v>4</v>
      </c>
      <c r="AZ166">
        <f>step3_validation[[#This Row],[AI_TRU4]]</f>
        <v>8</v>
      </c>
      <c r="BA166" t="str">
        <f t="shared" si="75"/>
        <v>Support</v>
      </c>
      <c r="BB166">
        <f>survey_responses[[#This Row],[Tôi thấy Nhà nước đã giải thích rõ ràng, minh bạch về lý do và mục tiêu của việc sửa đổi thuế lần này. - HUMAN-TRU4]]</f>
        <v>7</v>
      </c>
      <c r="BC166" t="str">
        <f t="shared" si="76"/>
        <v>Neutral</v>
      </c>
      <c r="BD166" s="32">
        <f t="shared" si="77"/>
        <v>1</v>
      </c>
      <c r="BE166">
        <f>step3_validation[[#This Row],[AI_OUT1]]</f>
        <v>9</v>
      </c>
      <c r="BF166" t="str">
        <f t="shared" si="78"/>
        <v>Support</v>
      </c>
      <c r="BG166">
        <f>survey_responses[[#This Row],[Sau khi xem xét các quyền lợi và nghĩa vụ, bạn có ủng hộ và tuân thủ chính sách mới hiện nay? - HUMAN-OUT1]]</f>
        <v>8</v>
      </c>
      <c r="BH166" t="str">
        <f t="shared" si="79"/>
        <v>Support</v>
      </c>
      <c r="BI166" s="32">
        <f t="shared" si="80"/>
        <v>1</v>
      </c>
    </row>
    <row r="167" spans="1:61" x14ac:dyDescent="0.45">
      <c r="A167" s="30">
        <f>step3_validation[[#This Row],[Persona_ID]]</f>
        <v>166</v>
      </c>
      <c r="B167" s="31">
        <f>step3_validation[[#This Row],[Used_Seed]]</f>
        <v>12510</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38.465252929521412</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6</v>
      </c>
      <c r="R167" t="str">
        <f t="shared" si="54"/>
        <v>Neutral</v>
      </c>
      <c r="S167">
        <f>survey_responses[[#This Row],[Tôi tin rằng với các quy định quản lý thuế hiện nay, hành vi gian lận hoặc trốn thuế sẽ dễ dàng bị phát hiện và xử lý nghiêm. - HUMAN-ENF1]]</f>
        <v>10</v>
      </c>
      <c r="T167" t="str">
        <f t="shared" si="55"/>
        <v>Support</v>
      </c>
      <c r="U167" s="32">
        <f t="shared" si="56"/>
        <v>4</v>
      </c>
      <c r="V167">
        <f>step3_validation[[#This Row],[AI_ENF2]]</f>
        <v>7</v>
      </c>
      <c r="W167" t="str">
        <f t="shared" si="57"/>
        <v>Neutral</v>
      </c>
      <c r="X167">
        <f>survey_responses[[#This Row],[Tôi tin rằng Nhà nước, cơ quan thuế có đủ khả năng và công nghệ để phát hiện, xử lý nghiêm các hành vi trốn thuế. - HUMAN-ENF2]]</f>
        <v>8</v>
      </c>
      <c r="Y167" t="str">
        <f t="shared" si="58"/>
        <v>Support</v>
      </c>
      <c r="Z167" s="32">
        <f t="shared" si="59"/>
        <v>1</v>
      </c>
      <c r="AA167">
        <f>step3_validation[[#This Row],[AI_FAC1]]</f>
        <v>5</v>
      </c>
      <c r="AB167" t="str">
        <f t="shared" si="60"/>
        <v>Neutral</v>
      </c>
      <c r="AC167">
        <f>survey_responses[[#This Row],[Các thủ tục khai báo thuế VÀ/HOẶC quy trình làm việc với cơ quan thuế đơn giản, tiện lợi, nhanh chóng hơn so với trước đây. - HUMAN-FAC1]]</f>
        <v>10</v>
      </c>
      <c r="AD167" t="str">
        <f t="shared" si="61"/>
        <v>Support</v>
      </c>
      <c r="AE167" s="32">
        <f t="shared" si="62"/>
        <v>5</v>
      </c>
      <c r="AF167">
        <f>step3_validation[[#This Row],[AI_FAC2]]</f>
        <v>7</v>
      </c>
      <c r="AG167" t="str">
        <f t="shared" si="63"/>
        <v>Neutral</v>
      </c>
      <c r="AH167">
        <f>survey_responses[[#This Row],[So với trước đây, tôi thấy cách tính thuế và các bậc thuế trong phương án mới đơn giản, dễ hiểu và dễ thực hiện hơn. - HUMAN-FAC2]]</f>
        <v>10</v>
      </c>
      <c r="AI167" t="str">
        <f t="shared" si="64"/>
        <v>Support</v>
      </c>
      <c r="AJ167" s="32">
        <f t="shared" si="65"/>
        <v>3</v>
      </c>
      <c r="AK167">
        <f>step3_validation[[#This Row],[AI_TRU1]]</f>
        <v>8</v>
      </c>
      <c r="AL167" t="str">
        <f t="shared" si="66"/>
        <v>Support</v>
      </c>
      <c r="AM167">
        <f>survey_responses[[#This Row],[Tôi tin rằng Nhà nước, cơ quan thuế sẽ thực thi chính sách mới một cách khách quan, công tâm và đối xử bình đẳng với mọi người nộp thuế.  - HUMAN-TRU1]]</f>
        <v>10</v>
      </c>
      <c r="AN167" t="str">
        <f t="shared" si="67"/>
        <v>Support</v>
      </c>
      <c r="AO167" s="32">
        <f t="shared" si="68"/>
        <v>2</v>
      </c>
      <c r="AP167">
        <f>step3_validation[[#This Row],[AI_TRU2]]</f>
        <v>8</v>
      </c>
      <c r="AQ167" t="str">
        <f t="shared" si="69"/>
        <v>Support</v>
      </c>
      <c r="AR167">
        <f>survey_responses[[#This Row],[Tôi thấy mức thuế tôi phải đóng theo phương án mới là công bằng (người thu nhập như tôi đóng mức này là hợp lý). - HUMAN-TRU2]]</f>
        <v>10</v>
      </c>
      <c r="AS167" t="str">
        <f t="shared" si="70"/>
        <v>Support</v>
      </c>
      <c r="AT167" s="32">
        <f t="shared" si="71"/>
        <v>2</v>
      </c>
      <c r="AU167">
        <f>step3_validation[[#This Row],[AI_TRU3]]</f>
        <v>7</v>
      </c>
      <c r="AV167" t="str">
        <f t="shared" si="72"/>
        <v>Neutral</v>
      </c>
      <c r="AW167">
        <f>survey_responses[[#This Row],[Tôi tin tưởng số tiền thuế tôi đóng sẽ được Nhà nước sử dụng hiệu quả để cải thiện dịch vụ công (y tế, đường xá...). - HUMAN-TRU3]]</f>
        <v>10</v>
      </c>
      <c r="AX167" t="str">
        <f t="shared" si="73"/>
        <v>Support</v>
      </c>
      <c r="AY167" s="32">
        <f t="shared" si="74"/>
        <v>3</v>
      </c>
      <c r="AZ167">
        <f>step3_validation[[#This Row],[AI_TRU4]]</f>
        <v>8</v>
      </c>
      <c r="BA167" t="str">
        <f t="shared" si="75"/>
        <v>Support</v>
      </c>
      <c r="BB167">
        <f>survey_responses[[#This Row],[Tôi thấy Nhà nước đã giải thích rõ ràng, minh bạch về lý do và mục tiêu của việc sửa đổi thuế lần này. - HUMAN-TRU4]]</f>
        <v>10</v>
      </c>
      <c r="BC167" t="str">
        <f t="shared" si="76"/>
        <v>Support</v>
      </c>
      <c r="BD167" s="32">
        <f t="shared" si="77"/>
        <v>2</v>
      </c>
      <c r="BE167">
        <f>step3_validation[[#This Row],[AI_OUT1]]</f>
        <v>9</v>
      </c>
      <c r="BF167" t="str">
        <f t="shared" si="78"/>
        <v>Support</v>
      </c>
      <c r="BG167">
        <f>survey_responses[[#This Row],[Sau khi xem xét các quyền lợi và nghĩa vụ, bạn có ủng hộ và tuân thủ chính sách mới hiện nay? - HUMAN-OUT1]]</f>
        <v>8</v>
      </c>
      <c r="BH167" t="str">
        <f t="shared" si="79"/>
        <v>Support</v>
      </c>
      <c r="BI167" s="32">
        <f t="shared" si="80"/>
        <v>1</v>
      </c>
    </row>
    <row r="168" spans="1:61" x14ac:dyDescent="0.45">
      <c r="A168" s="30">
        <f>step3_validation[[#This Row],[Persona_ID]]</f>
        <v>167</v>
      </c>
      <c r="B168" s="31">
        <f>step3_validation[[#This Row],[Used_Seed]]</f>
        <v>12511</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72.442077362604877</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t="str">
        <f t="shared" si="54"/>
        <v>Neutral</v>
      </c>
      <c r="S168">
        <f>survey_responses[[#This Row],[Tôi tin rằng với các quy định quản lý thuế hiện nay, hành vi gian lận hoặc trốn thuế sẽ dễ dàng bị phát hiện và xử lý nghiêm. - HUMAN-ENF1]]</f>
        <v>5</v>
      </c>
      <c r="T168" t="str">
        <f t="shared" si="55"/>
        <v>Neutral</v>
      </c>
      <c r="U168" s="32">
        <f t="shared" si="56"/>
        <v>2</v>
      </c>
      <c r="V168">
        <f>step3_validation[[#This Row],[AI_ENF2]]</f>
        <v>8</v>
      </c>
      <c r="W168" t="str">
        <f t="shared" si="57"/>
        <v>Support</v>
      </c>
      <c r="X168">
        <f>survey_responses[[#This Row],[Tôi tin rằng Nhà nước, cơ quan thuế có đủ khả năng và công nghệ để phát hiện, xử lý nghiêm các hành vi trốn thuế. - HUMAN-ENF2]]</f>
        <v>8</v>
      </c>
      <c r="Y168" t="str">
        <f t="shared" si="58"/>
        <v>Support</v>
      </c>
      <c r="Z168" s="32">
        <f t="shared" si="59"/>
        <v>0</v>
      </c>
      <c r="AA168">
        <f>step3_validation[[#This Row],[AI_FAC1]]</f>
        <v>7</v>
      </c>
      <c r="AB168" t="str">
        <f t="shared" si="60"/>
        <v>Neutral</v>
      </c>
      <c r="AC168">
        <f>survey_responses[[#This Row],[Các thủ tục khai báo thuế VÀ/HOẶC quy trình làm việc với cơ quan thuế đơn giản, tiện lợi, nhanh chóng hơn so với trước đây. - HUMAN-FAC1]]</f>
        <v>5</v>
      </c>
      <c r="AD168" t="str">
        <f t="shared" si="61"/>
        <v>Neutral</v>
      </c>
      <c r="AE168" s="32">
        <f t="shared" si="62"/>
        <v>2</v>
      </c>
      <c r="AF168">
        <f>step3_validation[[#This Row],[AI_FAC2]]</f>
        <v>8</v>
      </c>
      <c r="AG168" t="str">
        <f t="shared" si="63"/>
        <v>Support</v>
      </c>
      <c r="AH168">
        <f>survey_responses[[#This Row],[So với trước đây, tôi thấy cách tính thuế và các bậc thuế trong phương án mới đơn giản, dễ hiểu và dễ thực hiện hơn. - HUMAN-FAC2]]</f>
        <v>8</v>
      </c>
      <c r="AI168" t="str">
        <f t="shared" si="64"/>
        <v>Support</v>
      </c>
      <c r="AJ168" s="32">
        <f t="shared" si="65"/>
        <v>0</v>
      </c>
      <c r="AK168">
        <f>step3_validation[[#This Row],[AI_TRU1]]</f>
        <v>9</v>
      </c>
      <c r="AL168" t="str">
        <f t="shared" si="66"/>
        <v>Support</v>
      </c>
      <c r="AM168">
        <f>survey_responses[[#This Row],[Tôi tin rằng Nhà nước, cơ quan thuế sẽ thực thi chính sách mới một cách khách quan, công tâm và đối xử bình đẳng với mọi người nộp thuế.  - HUMAN-TRU1]]</f>
        <v>4</v>
      </c>
      <c r="AN168" t="str">
        <f t="shared" si="67"/>
        <v>Oppose</v>
      </c>
      <c r="AO168" s="32">
        <f t="shared" si="68"/>
        <v>5</v>
      </c>
      <c r="AP168">
        <f>step3_validation[[#This Row],[AI_TRU2]]</f>
        <v>9</v>
      </c>
      <c r="AQ168" t="str">
        <f t="shared" si="69"/>
        <v>Support</v>
      </c>
      <c r="AR168">
        <f>survey_responses[[#This Row],[Tôi thấy mức thuế tôi phải đóng theo phương án mới là công bằng (người thu nhập như tôi đóng mức này là hợp lý). - HUMAN-TRU2]]</f>
        <v>5</v>
      </c>
      <c r="AS168" t="str">
        <f t="shared" si="70"/>
        <v>Neutral</v>
      </c>
      <c r="AT168" s="32">
        <f t="shared" si="71"/>
        <v>4</v>
      </c>
      <c r="AU168">
        <f>step3_validation[[#This Row],[AI_TRU3]]</f>
        <v>8</v>
      </c>
      <c r="AV168" t="str">
        <f t="shared" si="72"/>
        <v>Support</v>
      </c>
      <c r="AW168">
        <f>survey_responses[[#This Row],[Tôi tin tưởng số tiền thuế tôi đóng sẽ được Nhà nước sử dụng hiệu quả để cải thiện dịch vụ công (y tế, đường xá...). - HUMAN-TRU3]]</f>
        <v>1</v>
      </c>
      <c r="AX168" t="str">
        <f t="shared" si="73"/>
        <v>Oppose</v>
      </c>
      <c r="AY168" s="32">
        <f t="shared" si="74"/>
        <v>7</v>
      </c>
      <c r="AZ168">
        <f>step3_validation[[#This Row],[AI_TRU4]]</f>
        <v>7</v>
      </c>
      <c r="BA168" t="str">
        <f t="shared" si="75"/>
        <v>Neutral</v>
      </c>
      <c r="BB168">
        <f>survey_responses[[#This Row],[Tôi thấy Nhà nước đã giải thích rõ ràng, minh bạch về lý do và mục tiêu của việc sửa đổi thuế lần này. - HUMAN-TRU4]]</f>
        <v>5</v>
      </c>
      <c r="BC168" t="str">
        <f t="shared" si="76"/>
        <v>Neutral</v>
      </c>
      <c r="BD168" s="32">
        <f t="shared" si="77"/>
        <v>2</v>
      </c>
      <c r="BE168">
        <f>step3_validation[[#This Row],[AI_OUT1]]</f>
        <v>9</v>
      </c>
      <c r="BF168" t="str">
        <f t="shared" si="78"/>
        <v>Support</v>
      </c>
      <c r="BG168">
        <f>survey_responses[[#This Row],[Sau khi xem xét các quyền lợi và nghĩa vụ, bạn có ủng hộ và tuân thủ chính sách mới hiện nay? - HUMAN-OUT1]]</f>
        <v>5</v>
      </c>
      <c r="BH168" t="str">
        <f t="shared" si="79"/>
        <v>Neutral</v>
      </c>
      <c r="BI168" s="32">
        <f t="shared" si="80"/>
        <v>4</v>
      </c>
    </row>
    <row r="169" spans="1:61" x14ac:dyDescent="0.45">
      <c r="A169" s="30">
        <f>step3_validation[[#This Row],[Persona_ID]]</f>
        <v>168</v>
      </c>
      <c r="B169" s="31">
        <f>step3_validation[[#This Row],[Used_Seed]]</f>
        <v>12512</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18.635888982473595</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t="str">
        <f t="shared" si="54"/>
        <v>Neutral</v>
      </c>
      <c r="S169">
        <f>survey_responses[[#This Row],[Tôi tin rằng với các quy định quản lý thuế hiện nay, hành vi gian lận hoặc trốn thuế sẽ dễ dàng bị phát hiện và xử lý nghiêm. - HUMAN-ENF1]]</f>
        <v>7</v>
      </c>
      <c r="T169" t="str">
        <f t="shared" si="55"/>
        <v>Neutral</v>
      </c>
      <c r="U169" s="32">
        <f t="shared" si="56"/>
        <v>0</v>
      </c>
      <c r="V169">
        <f>step3_validation[[#This Row],[AI_ENF2]]</f>
        <v>7</v>
      </c>
      <c r="W169" t="str">
        <f t="shared" si="57"/>
        <v>Neutral</v>
      </c>
      <c r="X169">
        <f>survey_responses[[#This Row],[Tôi tin rằng Nhà nước, cơ quan thuế có đủ khả năng và công nghệ để phát hiện, xử lý nghiêm các hành vi trốn thuế. - HUMAN-ENF2]]</f>
        <v>7</v>
      </c>
      <c r="Y169" t="str">
        <f t="shared" si="58"/>
        <v>Neutral</v>
      </c>
      <c r="Z169" s="32">
        <f t="shared" si="59"/>
        <v>0</v>
      </c>
      <c r="AA169">
        <f>step3_validation[[#This Row],[AI_FAC1]]</f>
        <v>9</v>
      </c>
      <c r="AB169" t="str">
        <f t="shared" si="60"/>
        <v>Support</v>
      </c>
      <c r="AC169">
        <f>survey_responses[[#This Row],[Các thủ tục khai báo thuế VÀ/HOẶC quy trình làm việc với cơ quan thuế đơn giản, tiện lợi, nhanh chóng hơn so với trước đây. - HUMAN-FAC1]]</f>
        <v>8</v>
      </c>
      <c r="AD169" t="str">
        <f t="shared" si="61"/>
        <v>Support</v>
      </c>
      <c r="AE169" s="32">
        <f t="shared" si="62"/>
        <v>1</v>
      </c>
      <c r="AF169">
        <f>step3_validation[[#This Row],[AI_FAC2]]</f>
        <v>9</v>
      </c>
      <c r="AG169" t="str">
        <f t="shared" si="63"/>
        <v>Support</v>
      </c>
      <c r="AH169">
        <f>survey_responses[[#This Row],[So với trước đây, tôi thấy cách tính thuế và các bậc thuế trong phương án mới đơn giản, dễ hiểu và dễ thực hiện hơn. - HUMAN-FAC2]]</f>
        <v>8</v>
      </c>
      <c r="AI169" t="str">
        <f t="shared" si="64"/>
        <v>Support</v>
      </c>
      <c r="AJ169" s="32">
        <f t="shared" si="65"/>
        <v>1</v>
      </c>
      <c r="AK169">
        <f>step3_validation[[#This Row],[AI_TRU1]]</f>
        <v>8</v>
      </c>
      <c r="AL169" t="str">
        <f t="shared" si="66"/>
        <v>Support</v>
      </c>
      <c r="AM169">
        <f>survey_responses[[#This Row],[Tôi tin rằng Nhà nước, cơ quan thuế sẽ thực thi chính sách mới một cách khách quan, công tâm và đối xử bình đẳng với mọi người nộp thuế.  - HUMAN-TRU1]]</f>
        <v>7</v>
      </c>
      <c r="AN169" t="str">
        <f t="shared" si="67"/>
        <v>Neutral</v>
      </c>
      <c r="AO169" s="32">
        <f t="shared" si="68"/>
        <v>1</v>
      </c>
      <c r="AP169">
        <f>step3_validation[[#This Row],[AI_TRU2]]</f>
        <v>8</v>
      </c>
      <c r="AQ169" t="str">
        <f t="shared" si="69"/>
        <v>Support</v>
      </c>
      <c r="AR169">
        <f>survey_responses[[#This Row],[Tôi thấy mức thuế tôi phải đóng theo phương án mới là công bằng (người thu nhập như tôi đóng mức này là hợp lý). - HUMAN-TRU2]]</f>
        <v>8</v>
      </c>
      <c r="AS169" t="str">
        <f t="shared" si="70"/>
        <v>Support</v>
      </c>
      <c r="AT169" s="32">
        <f t="shared" si="71"/>
        <v>0</v>
      </c>
      <c r="AU169">
        <f>step3_validation[[#This Row],[AI_TRU3]]</f>
        <v>7</v>
      </c>
      <c r="AV169" t="str">
        <f t="shared" si="72"/>
        <v>Neutral</v>
      </c>
      <c r="AW169">
        <f>survey_responses[[#This Row],[Tôi tin tưởng số tiền thuế tôi đóng sẽ được Nhà nước sử dụng hiệu quả để cải thiện dịch vụ công (y tế, đường xá...). - HUMAN-TRU3]]</f>
        <v>8</v>
      </c>
      <c r="AX169" t="str">
        <f t="shared" si="73"/>
        <v>Support</v>
      </c>
      <c r="AY169" s="32">
        <f t="shared" si="74"/>
        <v>1</v>
      </c>
      <c r="AZ169">
        <f>step3_validation[[#This Row],[AI_TRU4]]</f>
        <v>7</v>
      </c>
      <c r="BA169" t="str">
        <f t="shared" si="75"/>
        <v>Neutral</v>
      </c>
      <c r="BB169">
        <f>survey_responses[[#This Row],[Tôi thấy Nhà nước đã giải thích rõ ràng, minh bạch về lý do và mục tiêu của việc sửa đổi thuế lần này. - HUMAN-TRU4]]</f>
        <v>8</v>
      </c>
      <c r="BC169" t="str">
        <f t="shared" si="76"/>
        <v>Support</v>
      </c>
      <c r="BD169" s="32">
        <f t="shared" si="77"/>
        <v>1</v>
      </c>
      <c r="BE169">
        <f>step3_validation[[#This Row],[AI_OUT1]]</f>
        <v>9</v>
      </c>
      <c r="BF169" t="str">
        <f t="shared" si="78"/>
        <v>Support</v>
      </c>
      <c r="BG169">
        <f>survey_responses[[#This Row],[Sau khi xem xét các quyền lợi và nghĩa vụ, bạn có ủng hộ và tuân thủ chính sách mới hiện nay? - HUMAN-OUT1]]</f>
        <v>9</v>
      </c>
      <c r="BH169" t="str">
        <f t="shared" si="79"/>
        <v>Support</v>
      </c>
      <c r="BI169" s="32">
        <f t="shared" si="80"/>
        <v>0</v>
      </c>
    </row>
    <row r="170" spans="1:61" x14ac:dyDescent="0.45">
      <c r="A170" s="30">
        <f>step3_validation[[#This Row],[Persona_ID]]</f>
        <v>169</v>
      </c>
      <c r="B170" s="31">
        <f>step3_validation[[#This Row],[Used_Seed]]</f>
        <v>12513</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33.164972888402048</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t="str">
        <f t="shared" si="54"/>
        <v>Support</v>
      </c>
      <c r="S170">
        <f>survey_responses[[#This Row],[Tôi tin rằng với các quy định quản lý thuế hiện nay, hành vi gian lận hoặc trốn thuế sẽ dễ dàng bị phát hiện và xử lý nghiêm. - HUMAN-ENF1]]</f>
        <v>8</v>
      </c>
      <c r="T170" t="str">
        <f t="shared" si="55"/>
        <v>Support</v>
      </c>
      <c r="U170" s="32">
        <f t="shared" si="56"/>
        <v>0</v>
      </c>
      <c r="V170">
        <f>step3_validation[[#This Row],[AI_ENF2]]</f>
        <v>9</v>
      </c>
      <c r="W170" t="str">
        <f t="shared" si="57"/>
        <v>Support</v>
      </c>
      <c r="X170">
        <f>survey_responses[[#This Row],[Tôi tin rằng Nhà nước, cơ quan thuế có đủ khả năng và công nghệ để phát hiện, xử lý nghiêm các hành vi trốn thuế. - HUMAN-ENF2]]</f>
        <v>8</v>
      </c>
      <c r="Y170" t="str">
        <f t="shared" si="58"/>
        <v>Support</v>
      </c>
      <c r="Z170" s="32">
        <f t="shared" si="59"/>
        <v>1</v>
      </c>
      <c r="AA170">
        <f>step3_validation[[#This Row],[AI_FAC1]]</f>
        <v>8</v>
      </c>
      <c r="AB170" t="str">
        <f t="shared" si="60"/>
        <v>Support</v>
      </c>
      <c r="AC170">
        <f>survey_responses[[#This Row],[Các thủ tục khai báo thuế VÀ/HOẶC quy trình làm việc với cơ quan thuế đơn giản, tiện lợi, nhanh chóng hơn so với trước đây. - HUMAN-FAC1]]</f>
        <v>7</v>
      </c>
      <c r="AD170" t="str">
        <f t="shared" si="61"/>
        <v>Neutral</v>
      </c>
      <c r="AE170" s="32">
        <f t="shared" si="62"/>
        <v>1</v>
      </c>
      <c r="AF170">
        <f>step3_validation[[#This Row],[AI_FAC2]]</f>
        <v>9</v>
      </c>
      <c r="AG170" t="str">
        <f t="shared" si="63"/>
        <v>Support</v>
      </c>
      <c r="AH170">
        <f>survey_responses[[#This Row],[So với trước đây, tôi thấy cách tính thuế và các bậc thuế trong phương án mới đơn giản, dễ hiểu và dễ thực hiện hơn. - HUMAN-FAC2]]</f>
        <v>8</v>
      </c>
      <c r="AI170" t="str">
        <f t="shared" si="64"/>
        <v>Support</v>
      </c>
      <c r="AJ170" s="32">
        <f t="shared" si="65"/>
        <v>1</v>
      </c>
      <c r="AK170">
        <f>step3_validation[[#This Row],[AI_TRU1]]</f>
        <v>8</v>
      </c>
      <c r="AL170" t="str">
        <f t="shared" si="66"/>
        <v>Support</v>
      </c>
      <c r="AM170">
        <f>survey_responses[[#This Row],[Tôi tin rằng Nhà nước, cơ quan thuế sẽ thực thi chính sách mới một cách khách quan, công tâm và đối xử bình đẳng với mọi người nộp thuế.  - HUMAN-TRU1]]</f>
        <v>7</v>
      </c>
      <c r="AN170" t="str">
        <f t="shared" si="67"/>
        <v>Neutral</v>
      </c>
      <c r="AO170" s="32">
        <f t="shared" si="68"/>
        <v>1</v>
      </c>
      <c r="AP170">
        <f>step3_validation[[#This Row],[AI_TRU2]]</f>
        <v>9</v>
      </c>
      <c r="AQ170" t="str">
        <f t="shared" si="69"/>
        <v>Support</v>
      </c>
      <c r="AR170">
        <f>survey_responses[[#This Row],[Tôi thấy mức thuế tôi phải đóng theo phương án mới là công bằng (người thu nhập như tôi đóng mức này là hợp lý). - HUMAN-TRU2]]</f>
        <v>7</v>
      </c>
      <c r="AS170" t="str">
        <f t="shared" si="70"/>
        <v>Neutral</v>
      </c>
      <c r="AT170" s="32">
        <f t="shared" si="71"/>
        <v>2</v>
      </c>
      <c r="AU170">
        <f>step3_validation[[#This Row],[AI_TRU3]]</f>
        <v>8</v>
      </c>
      <c r="AV170" t="str">
        <f t="shared" si="72"/>
        <v>Support</v>
      </c>
      <c r="AW170">
        <f>survey_responses[[#This Row],[Tôi tin tưởng số tiền thuế tôi đóng sẽ được Nhà nước sử dụng hiệu quả để cải thiện dịch vụ công (y tế, đường xá...). - HUMAN-TRU3]]</f>
        <v>7</v>
      </c>
      <c r="AX170" t="str">
        <f t="shared" si="73"/>
        <v>Neutral</v>
      </c>
      <c r="AY170" s="32">
        <f t="shared" si="74"/>
        <v>1</v>
      </c>
      <c r="AZ170">
        <f>step3_validation[[#This Row],[AI_TRU4]]</f>
        <v>9</v>
      </c>
      <c r="BA170" t="str">
        <f t="shared" si="75"/>
        <v>Support</v>
      </c>
      <c r="BB170">
        <f>survey_responses[[#This Row],[Tôi thấy Nhà nước đã giải thích rõ ràng, minh bạch về lý do và mục tiêu của việc sửa đổi thuế lần này. - HUMAN-TRU4]]</f>
        <v>8</v>
      </c>
      <c r="BC170" t="str">
        <f t="shared" si="76"/>
        <v>Support</v>
      </c>
      <c r="BD170" s="32">
        <f t="shared" si="77"/>
        <v>1</v>
      </c>
      <c r="BE170">
        <f>step3_validation[[#This Row],[AI_OUT1]]</f>
        <v>9</v>
      </c>
      <c r="BF170" t="str">
        <f t="shared" si="78"/>
        <v>Support</v>
      </c>
      <c r="BG170">
        <f>survey_responses[[#This Row],[Sau khi xem xét các quyền lợi và nghĩa vụ, bạn có ủng hộ và tuân thủ chính sách mới hiện nay? - HUMAN-OUT1]]</f>
        <v>8</v>
      </c>
      <c r="BH170" t="str">
        <f t="shared" si="79"/>
        <v>Support</v>
      </c>
      <c r="BI170" s="32">
        <f t="shared" si="80"/>
        <v>1</v>
      </c>
    </row>
    <row r="171" spans="1:61" x14ac:dyDescent="0.45">
      <c r="A171" s="30">
        <f>step3_validation[[#This Row],[Persona_ID]]</f>
        <v>170</v>
      </c>
      <c r="B171" s="31">
        <f>step3_validation[[#This Row],[Used_Seed]]</f>
        <v>12514</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14.043096204887631</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6</v>
      </c>
      <c r="R171" t="str">
        <f t="shared" si="54"/>
        <v>Neutral</v>
      </c>
      <c r="S171">
        <f>survey_responses[[#This Row],[Tôi tin rằng với các quy định quản lý thuế hiện nay, hành vi gian lận hoặc trốn thuế sẽ dễ dàng bị phát hiện và xử lý nghiêm. - HUMAN-ENF1]]</f>
        <v>5</v>
      </c>
      <c r="T171" t="str">
        <f t="shared" si="55"/>
        <v>Neutral</v>
      </c>
      <c r="U171" s="32">
        <f t="shared" si="56"/>
        <v>1</v>
      </c>
      <c r="V171">
        <f>step3_validation[[#This Row],[AI_ENF2]]</f>
        <v>7</v>
      </c>
      <c r="W171" t="str">
        <f t="shared" si="57"/>
        <v>Neutral</v>
      </c>
      <c r="X171">
        <f>survey_responses[[#This Row],[Tôi tin rằng Nhà nước, cơ quan thuế có đủ khả năng và công nghệ để phát hiện, xử lý nghiêm các hành vi trốn thuế. - HUMAN-ENF2]]</f>
        <v>8</v>
      </c>
      <c r="Y171" t="str">
        <f t="shared" si="58"/>
        <v>Support</v>
      </c>
      <c r="Z171" s="32">
        <f t="shared" si="59"/>
        <v>1</v>
      </c>
      <c r="AA171">
        <f>step3_validation[[#This Row],[AI_FAC1]]</f>
        <v>9</v>
      </c>
      <c r="AB171" t="str">
        <f t="shared" si="60"/>
        <v>Support</v>
      </c>
      <c r="AC171">
        <f>survey_responses[[#This Row],[Các thủ tục khai báo thuế VÀ/HOẶC quy trình làm việc với cơ quan thuế đơn giản, tiện lợi, nhanh chóng hơn so với trước đây. - HUMAN-FAC1]]</f>
        <v>7</v>
      </c>
      <c r="AD171" t="str">
        <f t="shared" si="61"/>
        <v>Neutral</v>
      </c>
      <c r="AE171" s="32">
        <f t="shared" si="62"/>
        <v>2</v>
      </c>
      <c r="AF171">
        <f>step3_validation[[#This Row],[AI_FAC2]]</f>
        <v>9</v>
      </c>
      <c r="AG171" t="str">
        <f t="shared" si="63"/>
        <v>Support</v>
      </c>
      <c r="AH171">
        <f>survey_responses[[#This Row],[So với trước đây, tôi thấy cách tính thuế và các bậc thuế trong phương án mới đơn giản, dễ hiểu và dễ thực hiện hơn. - HUMAN-FAC2]]</f>
        <v>8</v>
      </c>
      <c r="AI171" t="str">
        <f t="shared" si="64"/>
        <v>Support</v>
      </c>
      <c r="AJ171" s="32">
        <f t="shared" si="65"/>
        <v>1</v>
      </c>
      <c r="AK171">
        <f>step3_validation[[#This Row],[AI_TRU1]]</f>
        <v>8</v>
      </c>
      <c r="AL171" t="str">
        <f t="shared" si="66"/>
        <v>Support</v>
      </c>
      <c r="AM171">
        <f>survey_responses[[#This Row],[Tôi tin rằng Nhà nước, cơ quan thuế sẽ thực thi chính sách mới một cách khách quan, công tâm và đối xử bình đẳng với mọi người nộp thuế.  - HUMAN-TRU1]]</f>
        <v>1</v>
      </c>
      <c r="AN171" t="str">
        <f t="shared" si="67"/>
        <v>Oppose</v>
      </c>
      <c r="AO171" s="32">
        <f t="shared" si="68"/>
        <v>7</v>
      </c>
      <c r="AP171">
        <f>step3_validation[[#This Row],[AI_TRU2]]</f>
        <v>9</v>
      </c>
      <c r="AQ171" t="str">
        <f t="shared" si="69"/>
        <v>Support</v>
      </c>
      <c r="AR171">
        <f>survey_responses[[#This Row],[Tôi thấy mức thuế tôi phải đóng theo phương án mới là công bằng (người thu nhập như tôi đóng mức này là hợp lý). - HUMAN-TRU2]]</f>
        <v>2</v>
      </c>
      <c r="AS171" t="str">
        <f t="shared" si="70"/>
        <v>Oppose</v>
      </c>
      <c r="AT171" s="32">
        <f t="shared" si="71"/>
        <v>7</v>
      </c>
      <c r="AU171">
        <f>step3_validation[[#This Row],[AI_TRU3]]</f>
        <v>8</v>
      </c>
      <c r="AV171" t="str">
        <f t="shared" si="72"/>
        <v>Support</v>
      </c>
      <c r="AW171">
        <f>survey_responses[[#This Row],[Tôi tin tưởng số tiền thuế tôi đóng sẽ được Nhà nước sử dụng hiệu quả để cải thiện dịch vụ công (y tế, đường xá...). - HUMAN-TRU3]]</f>
        <v>3</v>
      </c>
      <c r="AX171" t="str">
        <f t="shared" si="73"/>
        <v>Oppose</v>
      </c>
      <c r="AY171" s="32">
        <f t="shared" si="74"/>
        <v>5</v>
      </c>
      <c r="AZ171">
        <f>step3_validation[[#This Row],[AI_TRU4]]</f>
        <v>6</v>
      </c>
      <c r="BA171" t="str">
        <f t="shared" si="75"/>
        <v>Neutral</v>
      </c>
      <c r="BB171">
        <f>survey_responses[[#This Row],[Tôi thấy Nhà nước đã giải thích rõ ràng, minh bạch về lý do và mục tiêu của việc sửa đổi thuế lần này. - HUMAN-TRU4]]</f>
        <v>3</v>
      </c>
      <c r="BC171" t="str">
        <f t="shared" si="76"/>
        <v>Oppose</v>
      </c>
      <c r="BD171" s="32">
        <f t="shared" si="77"/>
        <v>3</v>
      </c>
      <c r="BE171">
        <f>step3_validation[[#This Row],[AI_OUT1]]</f>
        <v>9</v>
      </c>
      <c r="BF171" t="str">
        <f t="shared" si="78"/>
        <v>Support</v>
      </c>
      <c r="BG171">
        <f>survey_responses[[#This Row],[Sau khi xem xét các quyền lợi và nghĩa vụ, bạn có ủng hộ và tuân thủ chính sách mới hiện nay? - HUMAN-OUT1]]</f>
        <v>7</v>
      </c>
      <c r="BH171" t="str">
        <f t="shared" si="79"/>
        <v>Neutral</v>
      </c>
      <c r="BI171" s="32">
        <f t="shared" si="80"/>
        <v>2</v>
      </c>
    </row>
    <row r="172" spans="1:61" x14ac:dyDescent="0.45">
      <c r="A172" s="30">
        <f>step3_validation[[#This Row],[Persona_ID]]</f>
        <v>171</v>
      </c>
      <c r="B172" s="31">
        <f>step3_validation[[#This Row],[Used_Seed]]</f>
        <v>12515</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7</v>
      </c>
      <c r="R172" t="str">
        <f t="shared" si="54"/>
        <v>Neutral</v>
      </c>
      <c r="S172">
        <f>survey_responses[[#This Row],[Tôi tin rằng với các quy định quản lý thuế hiện nay, hành vi gian lận hoặc trốn thuế sẽ dễ dàng bị phát hiện và xử lý nghiêm. - HUMAN-ENF1]]</f>
        <v>6</v>
      </c>
      <c r="T172" t="str">
        <f t="shared" si="55"/>
        <v>Neutral</v>
      </c>
      <c r="U172" s="32">
        <f t="shared" si="56"/>
        <v>1</v>
      </c>
      <c r="V172">
        <f>step3_validation[[#This Row],[AI_ENF2]]</f>
        <v>6</v>
      </c>
      <c r="W172" t="str">
        <f t="shared" si="57"/>
        <v>Neutral</v>
      </c>
      <c r="X172">
        <f>survey_responses[[#This Row],[Tôi tin rằng Nhà nước, cơ quan thuế có đủ khả năng và công nghệ để phát hiện, xử lý nghiêm các hành vi trốn thuế. - HUMAN-ENF2]]</f>
        <v>7</v>
      </c>
      <c r="Y172" t="str">
        <f t="shared" si="58"/>
        <v>Neutral</v>
      </c>
      <c r="Z172" s="32">
        <f t="shared" si="59"/>
        <v>1</v>
      </c>
      <c r="AA172">
        <f>step3_validation[[#This Row],[AI_FAC1]]</f>
        <v>9</v>
      </c>
      <c r="AB172" t="str">
        <f t="shared" si="60"/>
        <v>Support</v>
      </c>
      <c r="AC172">
        <f>survey_responses[[#This Row],[Các thủ tục khai báo thuế VÀ/HOẶC quy trình làm việc với cơ quan thuế đơn giản, tiện lợi, nhanh chóng hơn so với trước đây. - HUMAN-FAC1]]</f>
        <v>5</v>
      </c>
      <c r="AD172" t="str">
        <f t="shared" si="61"/>
        <v>Neutral</v>
      </c>
      <c r="AE172" s="32">
        <f t="shared" si="62"/>
        <v>4</v>
      </c>
      <c r="AF172">
        <f>step3_validation[[#This Row],[AI_FAC2]]</f>
        <v>8</v>
      </c>
      <c r="AG172" t="str">
        <f t="shared" si="63"/>
        <v>Support</v>
      </c>
      <c r="AH172">
        <f>survey_responses[[#This Row],[So với trước đây, tôi thấy cách tính thuế và các bậc thuế trong phương án mới đơn giản, dễ hiểu và dễ thực hiện hơn. - HUMAN-FAC2]]</f>
        <v>7</v>
      </c>
      <c r="AI172" t="str">
        <f t="shared" si="64"/>
        <v>Neutral</v>
      </c>
      <c r="AJ172" s="32">
        <f t="shared" si="65"/>
        <v>1</v>
      </c>
      <c r="AK172">
        <f>step3_validation[[#This Row],[AI_TRU1]]</f>
        <v>7</v>
      </c>
      <c r="AL172" t="str">
        <f t="shared" si="66"/>
        <v>Neutral</v>
      </c>
      <c r="AM172">
        <f>survey_responses[[#This Row],[Tôi tin rằng Nhà nước, cơ quan thuế sẽ thực thi chính sách mới một cách khách quan, công tâm và đối xử bình đẳng với mọi người nộp thuế.  - HUMAN-TRU1]]</f>
        <v>7</v>
      </c>
      <c r="AN172" t="str">
        <f t="shared" si="67"/>
        <v>Neutral</v>
      </c>
      <c r="AO172" s="32">
        <f t="shared" si="68"/>
        <v>0</v>
      </c>
      <c r="AP172">
        <f>step3_validation[[#This Row],[AI_TRU2]]</f>
        <v>8</v>
      </c>
      <c r="AQ172" t="str">
        <f t="shared" si="69"/>
        <v>Support</v>
      </c>
      <c r="AR172">
        <f>survey_responses[[#This Row],[Tôi thấy mức thuế tôi phải đóng theo phương án mới là công bằng (người thu nhập như tôi đóng mức này là hợp lý). - HUMAN-TRU2]]</f>
        <v>7</v>
      </c>
      <c r="AS172" t="str">
        <f t="shared" si="70"/>
        <v>Neutral</v>
      </c>
      <c r="AT172" s="32">
        <f t="shared" si="71"/>
        <v>1</v>
      </c>
      <c r="AU172">
        <f>step3_validation[[#This Row],[AI_TRU3]]</f>
        <v>7</v>
      </c>
      <c r="AV172" t="str">
        <f t="shared" si="72"/>
        <v>Neutral</v>
      </c>
      <c r="AW172">
        <f>survey_responses[[#This Row],[Tôi tin tưởng số tiền thuế tôi đóng sẽ được Nhà nước sử dụng hiệu quả để cải thiện dịch vụ công (y tế, đường xá...). - HUMAN-TRU3]]</f>
        <v>5</v>
      </c>
      <c r="AX172" t="str">
        <f t="shared" si="73"/>
        <v>Neutral</v>
      </c>
      <c r="AY172" s="32">
        <f t="shared" si="74"/>
        <v>2</v>
      </c>
      <c r="AZ172">
        <f>step3_validation[[#This Row],[AI_TRU4]]</f>
        <v>6</v>
      </c>
      <c r="BA172" t="str">
        <f t="shared" si="75"/>
        <v>Neutral</v>
      </c>
      <c r="BB172">
        <f>survey_responses[[#This Row],[Tôi thấy Nhà nước đã giải thích rõ ràng, minh bạch về lý do và mục tiêu của việc sửa đổi thuế lần này. - HUMAN-TRU4]]</f>
        <v>7</v>
      </c>
      <c r="BC172" t="str">
        <f t="shared" si="76"/>
        <v>Neutral</v>
      </c>
      <c r="BD172" s="32">
        <f t="shared" si="77"/>
        <v>1</v>
      </c>
      <c r="BE172">
        <f>step3_validation[[#This Row],[AI_OUT1]]</f>
        <v>9</v>
      </c>
      <c r="BF172" t="str">
        <f t="shared" si="78"/>
        <v>Support</v>
      </c>
      <c r="BG172">
        <f>survey_responses[[#This Row],[Sau khi xem xét các quyền lợi và nghĩa vụ, bạn có ủng hộ và tuân thủ chính sách mới hiện nay? - HUMAN-OUT1]]</f>
        <v>7</v>
      </c>
      <c r="BH172" t="str">
        <f t="shared" si="79"/>
        <v>Neutral</v>
      </c>
      <c r="BI172" s="32">
        <f t="shared" si="80"/>
        <v>2</v>
      </c>
    </row>
    <row r="173" spans="1:61" x14ac:dyDescent="0.45">
      <c r="A173" s="30">
        <f>step3_validation[[#This Row],[Persona_ID]]</f>
        <v>172</v>
      </c>
      <c r="B173" s="31">
        <f>step3_validation[[#This Row],[Used_Seed]]</f>
        <v>12516</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118.85331323830997</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8</v>
      </c>
      <c r="R173" t="str">
        <f t="shared" si="54"/>
        <v>Support</v>
      </c>
      <c r="S173">
        <f>survey_responses[[#This Row],[Tôi tin rằng với các quy định quản lý thuế hiện nay, hành vi gian lận hoặc trốn thuế sẽ dễ dàng bị phát hiện và xử lý nghiêm. - HUMAN-ENF1]]</f>
        <v>8</v>
      </c>
      <c r="T173" t="str">
        <f t="shared" si="55"/>
        <v>Support</v>
      </c>
      <c r="U173" s="32">
        <f t="shared" si="56"/>
        <v>0</v>
      </c>
      <c r="V173">
        <f>step3_validation[[#This Row],[AI_ENF2]]</f>
        <v>9</v>
      </c>
      <c r="W173" t="str">
        <f t="shared" si="57"/>
        <v>Support</v>
      </c>
      <c r="X173">
        <f>survey_responses[[#This Row],[Tôi tin rằng Nhà nước, cơ quan thuế có đủ khả năng và công nghệ để phát hiện, xử lý nghiêm các hành vi trốn thuế. - HUMAN-ENF2]]</f>
        <v>8</v>
      </c>
      <c r="Y173" t="str">
        <f t="shared" si="58"/>
        <v>Support</v>
      </c>
      <c r="Z173" s="32">
        <f t="shared" si="59"/>
        <v>1</v>
      </c>
      <c r="AA173">
        <f>step3_validation[[#This Row],[AI_FAC1]]</f>
        <v>8</v>
      </c>
      <c r="AB173" t="str">
        <f t="shared" si="60"/>
        <v>Support</v>
      </c>
      <c r="AC173">
        <f>survey_responses[[#This Row],[Các thủ tục khai báo thuế VÀ/HOẶC quy trình làm việc với cơ quan thuế đơn giản, tiện lợi, nhanh chóng hơn so với trước đây. - HUMAN-FAC1]]</f>
        <v>8</v>
      </c>
      <c r="AD173" t="str">
        <f t="shared" si="61"/>
        <v>Support</v>
      </c>
      <c r="AE173" s="32">
        <f t="shared" si="62"/>
        <v>0</v>
      </c>
      <c r="AF173">
        <f>step3_validation[[#This Row],[AI_FAC2]]</f>
        <v>9</v>
      </c>
      <c r="AG173" t="str">
        <f t="shared" si="63"/>
        <v>Support</v>
      </c>
      <c r="AH173">
        <f>survey_responses[[#This Row],[So với trước đây, tôi thấy cách tính thuế và các bậc thuế trong phương án mới đơn giản, dễ hiểu và dễ thực hiện hơn. - HUMAN-FAC2]]</f>
        <v>9</v>
      </c>
      <c r="AI173" t="str">
        <f t="shared" si="64"/>
        <v>Support</v>
      </c>
      <c r="AJ173" s="32">
        <f t="shared" si="65"/>
        <v>0</v>
      </c>
      <c r="AK173">
        <f>step3_validation[[#This Row],[AI_TRU1]]</f>
        <v>8</v>
      </c>
      <c r="AL173" t="str">
        <f t="shared" si="66"/>
        <v>Support</v>
      </c>
      <c r="AM173">
        <f>survey_responses[[#This Row],[Tôi tin rằng Nhà nước, cơ quan thuế sẽ thực thi chính sách mới một cách khách quan, công tâm và đối xử bình đẳng với mọi người nộp thuế.  - HUMAN-TRU1]]</f>
        <v>9</v>
      </c>
      <c r="AN173" t="str">
        <f t="shared" si="67"/>
        <v>Support</v>
      </c>
      <c r="AO173" s="32">
        <f t="shared" si="68"/>
        <v>1</v>
      </c>
      <c r="AP173">
        <f>step3_validation[[#This Row],[AI_TRU2]]</f>
        <v>9</v>
      </c>
      <c r="AQ173" t="str">
        <f t="shared" si="69"/>
        <v>Support</v>
      </c>
      <c r="AR173">
        <f>survey_responses[[#This Row],[Tôi thấy mức thuế tôi phải đóng theo phương án mới là công bằng (người thu nhập như tôi đóng mức này là hợp lý). - HUMAN-TRU2]]</f>
        <v>5</v>
      </c>
      <c r="AS173" t="str">
        <f t="shared" si="70"/>
        <v>Neutral</v>
      </c>
      <c r="AT173" s="32">
        <f t="shared" si="71"/>
        <v>4</v>
      </c>
      <c r="AU173">
        <f>step3_validation[[#This Row],[AI_TRU3]]</f>
        <v>8</v>
      </c>
      <c r="AV173" t="str">
        <f t="shared" si="72"/>
        <v>Support</v>
      </c>
      <c r="AW173">
        <f>survey_responses[[#This Row],[Tôi tin tưởng số tiền thuế tôi đóng sẽ được Nhà nước sử dụng hiệu quả để cải thiện dịch vụ công (y tế, đường xá...). - HUMAN-TRU3]]</f>
        <v>5</v>
      </c>
      <c r="AX173" t="str">
        <f t="shared" si="73"/>
        <v>Neutral</v>
      </c>
      <c r="AY173" s="32">
        <f t="shared" si="74"/>
        <v>3</v>
      </c>
      <c r="AZ173">
        <f>step3_validation[[#This Row],[AI_TRU4]]</f>
        <v>9</v>
      </c>
      <c r="BA173" t="str">
        <f t="shared" si="75"/>
        <v>Support</v>
      </c>
      <c r="BB173">
        <f>survey_responses[[#This Row],[Tôi thấy Nhà nước đã giải thích rõ ràng, minh bạch về lý do và mục tiêu của việc sửa đổi thuế lần này. - HUMAN-TRU4]]</f>
        <v>8</v>
      </c>
      <c r="BC173" t="str">
        <f t="shared" si="76"/>
        <v>Support</v>
      </c>
      <c r="BD173" s="32">
        <f t="shared" si="77"/>
        <v>1</v>
      </c>
      <c r="BE173">
        <f>step3_validation[[#This Row],[AI_OUT1]]</f>
        <v>8</v>
      </c>
      <c r="BF173" t="str">
        <f t="shared" si="78"/>
        <v>Support</v>
      </c>
      <c r="BG173">
        <f>survey_responses[[#This Row],[Sau khi xem xét các quyền lợi và nghĩa vụ, bạn có ủng hộ và tuân thủ chính sách mới hiện nay? - HUMAN-OUT1]]</f>
        <v>6</v>
      </c>
      <c r="BH173" t="str">
        <f t="shared" si="79"/>
        <v>Neutral</v>
      </c>
      <c r="BI173" s="32">
        <f t="shared" si="80"/>
        <v>2</v>
      </c>
    </row>
    <row r="174" spans="1:61" x14ac:dyDescent="0.45">
      <c r="A174" s="30">
        <f>step3_validation[[#This Row],[Persona_ID]]</f>
        <v>173</v>
      </c>
      <c r="B174" s="31">
        <f>step3_validation[[#This Row],[Used_Seed]]</f>
        <v>12517</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95.852765175263272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t="str">
        <f t="shared" si="54"/>
        <v>Neutral</v>
      </c>
      <c r="S174">
        <f>survey_responses[[#This Row],[Tôi tin rằng với các quy định quản lý thuế hiện nay, hành vi gian lận hoặc trốn thuế sẽ dễ dàng bị phát hiện và xử lý nghiêm. - HUMAN-ENF1]]</f>
        <v>5</v>
      </c>
      <c r="T174" t="str">
        <f t="shared" si="55"/>
        <v>Neutral</v>
      </c>
      <c r="U174" s="32">
        <f t="shared" si="56"/>
        <v>2</v>
      </c>
      <c r="V174">
        <f>step3_validation[[#This Row],[AI_ENF2]]</f>
        <v>7</v>
      </c>
      <c r="W174" t="str">
        <f t="shared" si="57"/>
        <v>Neutral</v>
      </c>
      <c r="X174">
        <f>survey_responses[[#This Row],[Tôi tin rằng Nhà nước, cơ quan thuế có đủ khả năng và công nghệ để phát hiện, xử lý nghiêm các hành vi trốn thuế. - HUMAN-ENF2]]</f>
        <v>5</v>
      </c>
      <c r="Y174" t="str">
        <f t="shared" si="58"/>
        <v>Neutral</v>
      </c>
      <c r="Z174" s="32">
        <f t="shared" si="59"/>
        <v>2</v>
      </c>
      <c r="AA174">
        <f>step3_validation[[#This Row],[AI_FAC1]]</f>
        <v>9</v>
      </c>
      <c r="AB174" t="str">
        <f t="shared" si="60"/>
        <v>Support</v>
      </c>
      <c r="AC174">
        <f>survey_responses[[#This Row],[Các thủ tục khai báo thuế VÀ/HOẶC quy trình làm việc với cơ quan thuế đơn giản, tiện lợi, nhanh chóng hơn so với trước đây. - HUMAN-FAC1]]</f>
        <v>4</v>
      </c>
      <c r="AD174" t="str">
        <f t="shared" si="61"/>
        <v>Oppose</v>
      </c>
      <c r="AE174" s="32">
        <f t="shared" si="62"/>
        <v>5</v>
      </c>
      <c r="AF174">
        <f>step3_validation[[#This Row],[AI_FAC2]]</f>
        <v>9</v>
      </c>
      <c r="AG174" t="str">
        <f t="shared" si="63"/>
        <v>Support</v>
      </c>
      <c r="AH174">
        <f>survey_responses[[#This Row],[So với trước đây, tôi thấy cách tính thuế và các bậc thuế trong phương án mới đơn giản, dễ hiểu và dễ thực hiện hơn. - HUMAN-FAC2]]</f>
        <v>6</v>
      </c>
      <c r="AI174" t="str">
        <f t="shared" si="64"/>
        <v>Neutral</v>
      </c>
      <c r="AJ174" s="32">
        <f t="shared" si="65"/>
        <v>3</v>
      </c>
      <c r="AK174">
        <f>step3_validation[[#This Row],[AI_TRU1]]</f>
        <v>7</v>
      </c>
      <c r="AL174" t="str">
        <f t="shared" si="66"/>
        <v>Neutral</v>
      </c>
      <c r="AM174">
        <f>survey_responses[[#This Row],[Tôi tin rằng Nhà nước, cơ quan thuế sẽ thực thi chính sách mới một cách khách quan, công tâm và đối xử bình đẳng với mọi người nộp thuế.  - HUMAN-TRU1]]</f>
        <v>5</v>
      </c>
      <c r="AN174" t="str">
        <f t="shared" si="67"/>
        <v>Neutral</v>
      </c>
      <c r="AO174" s="32">
        <f t="shared" si="68"/>
        <v>2</v>
      </c>
      <c r="AP174">
        <f>step3_validation[[#This Row],[AI_TRU2]]</f>
        <v>9</v>
      </c>
      <c r="AQ174" t="str">
        <f t="shared" si="69"/>
        <v>Support</v>
      </c>
      <c r="AR174">
        <f>survey_responses[[#This Row],[Tôi thấy mức thuế tôi phải đóng theo phương án mới là công bằng (người thu nhập như tôi đóng mức này là hợp lý). - HUMAN-TRU2]]</f>
        <v>4</v>
      </c>
      <c r="AS174" t="str">
        <f t="shared" si="70"/>
        <v>Oppose</v>
      </c>
      <c r="AT174" s="32">
        <f t="shared" si="71"/>
        <v>5</v>
      </c>
      <c r="AU174">
        <f>step3_validation[[#This Row],[AI_TRU3]]</f>
        <v>7</v>
      </c>
      <c r="AV174" t="str">
        <f t="shared" si="72"/>
        <v>Neutral</v>
      </c>
      <c r="AW174">
        <f>survey_responses[[#This Row],[Tôi tin tưởng số tiền thuế tôi đóng sẽ được Nhà nước sử dụng hiệu quả để cải thiện dịch vụ công (y tế, đường xá...). - HUMAN-TRU3]]</f>
        <v>4</v>
      </c>
      <c r="AX174" t="str">
        <f t="shared" si="73"/>
        <v>Oppose</v>
      </c>
      <c r="AY174" s="32">
        <f t="shared" si="74"/>
        <v>3</v>
      </c>
      <c r="AZ174">
        <f>step3_validation[[#This Row],[AI_TRU4]]</f>
        <v>8</v>
      </c>
      <c r="BA174" t="str">
        <f t="shared" si="75"/>
        <v>Support</v>
      </c>
      <c r="BB174">
        <f>survey_responses[[#This Row],[Tôi thấy Nhà nước đã giải thích rõ ràng, minh bạch về lý do và mục tiêu của việc sửa đổi thuế lần này. - HUMAN-TRU4]]</f>
        <v>5</v>
      </c>
      <c r="BC174" t="str">
        <f t="shared" si="76"/>
        <v>Neutral</v>
      </c>
      <c r="BD174" s="32">
        <f t="shared" si="77"/>
        <v>3</v>
      </c>
      <c r="BE174">
        <f>step3_validation[[#This Row],[AI_OUT1]]</f>
        <v>9</v>
      </c>
      <c r="BF174" t="str">
        <f t="shared" si="78"/>
        <v>Support</v>
      </c>
      <c r="BG174">
        <f>survey_responses[[#This Row],[Sau khi xem xét các quyền lợi và nghĩa vụ, bạn có ủng hộ và tuân thủ chính sách mới hiện nay? - HUMAN-OUT1]]</f>
        <v>5</v>
      </c>
      <c r="BH174" t="str">
        <f t="shared" si="79"/>
        <v>Neutral</v>
      </c>
      <c r="BI174" s="32">
        <f t="shared" si="80"/>
        <v>4</v>
      </c>
    </row>
    <row r="175" spans="1:61" x14ac:dyDescent="0.45">
      <c r="A175" s="30">
        <f>step3_validation[[#This Row],[Persona_ID]]</f>
        <v>174</v>
      </c>
      <c r="B175" s="31">
        <f>step3_validation[[#This Row],[Used_Seed]]</f>
        <v>12518</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37.992602690620231</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t="str">
        <f t="shared" si="54"/>
        <v>Neutral</v>
      </c>
      <c r="S175">
        <f>survey_responses[[#This Row],[Tôi tin rằng với các quy định quản lý thuế hiện nay, hành vi gian lận hoặc trốn thuế sẽ dễ dàng bị phát hiện và xử lý nghiêm. - HUMAN-ENF1]]</f>
        <v>6</v>
      </c>
      <c r="T175" t="str">
        <f t="shared" si="55"/>
        <v>Neutral</v>
      </c>
      <c r="U175" s="32">
        <f t="shared" si="56"/>
        <v>1</v>
      </c>
      <c r="V175">
        <f>step3_validation[[#This Row],[AI_ENF2]]</f>
        <v>8</v>
      </c>
      <c r="W175" t="str">
        <f t="shared" si="57"/>
        <v>Support</v>
      </c>
      <c r="X175">
        <f>survey_responses[[#This Row],[Tôi tin rằng Nhà nước, cơ quan thuế có đủ khả năng và công nghệ để phát hiện, xử lý nghiêm các hành vi trốn thuế. - HUMAN-ENF2]]</f>
        <v>6</v>
      </c>
      <c r="Y175" t="str">
        <f t="shared" si="58"/>
        <v>Neutral</v>
      </c>
      <c r="Z175" s="32">
        <f t="shared" si="59"/>
        <v>2</v>
      </c>
      <c r="AA175">
        <f>step3_validation[[#This Row],[AI_FAC1]]</f>
        <v>9</v>
      </c>
      <c r="AB175" t="str">
        <f t="shared" si="60"/>
        <v>Support</v>
      </c>
      <c r="AC175">
        <f>survey_responses[[#This Row],[Các thủ tục khai báo thuế VÀ/HOẶC quy trình làm việc với cơ quan thuế đơn giản, tiện lợi, nhanh chóng hơn so với trước đây. - HUMAN-FAC1]]</f>
        <v>6</v>
      </c>
      <c r="AD175" t="str">
        <f t="shared" si="61"/>
        <v>Neutral</v>
      </c>
      <c r="AE175" s="32">
        <f t="shared" si="62"/>
        <v>3</v>
      </c>
      <c r="AF175">
        <f>step3_validation[[#This Row],[AI_FAC2]]</f>
        <v>9</v>
      </c>
      <c r="AG175" t="str">
        <f t="shared" si="63"/>
        <v>Support</v>
      </c>
      <c r="AH175">
        <f>survey_responses[[#This Row],[So với trước đây, tôi thấy cách tính thuế và các bậc thuế trong phương án mới đơn giản, dễ hiểu và dễ thực hiện hơn. - HUMAN-FAC2]]</f>
        <v>6</v>
      </c>
      <c r="AI175" t="str">
        <f t="shared" si="64"/>
        <v>Neutral</v>
      </c>
      <c r="AJ175" s="32">
        <f t="shared" si="65"/>
        <v>3</v>
      </c>
      <c r="AK175">
        <f>step3_validation[[#This Row],[AI_TRU1]]</f>
        <v>7</v>
      </c>
      <c r="AL175" t="str">
        <f t="shared" si="66"/>
        <v>Neutral</v>
      </c>
      <c r="AM175">
        <f>survey_responses[[#This Row],[Tôi tin rằng Nhà nước, cơ quan thuế sẽ thực thi chính sách mới một cách khách quan, công tâm và đối xử bình đẳng với mọi người nộp thuế.  - HUMAN-TRU1]]</f>
        <v>7</v>
      </c>
      <c r="AN175" t="str">
        <f t="shared" si="67"/>
        <v>Neutral</v>
      </c>
      <c r="AO175" s="32">
        <f t="shared" si="68"/>
        <v>0</v>
      </c>
      <c r="AP175">
        <f>step3_validation[[#This Row],[AI_TRU2]]</f>
        <v>8</v>
      </c>
      <c r="AQ175" t="str">
        <f t="shared" si="69"/>
        <v>Support</v>
      </c>
      <c r="AR175">
        <f>survey_responses[[#This Row],[Tôi thấy mức thuế tôi phải đóng theo phương án mới là công bằng (người thu nhập như tôi đóng mức này là hợp lý). - HUMAN-TRU2]]</f>
        <v>7</v>
      </c>
      <c r="AS175" t="str">
        <f t="shared" si="70"/>
        <v>Neutral</v>
      </c>
      <c r="AT175" s="32">
        <f t="shared" si="71"/>
        <v>1</v>
      </c>
      <c r="AU175">
        <f>step3_validation[[#This Row],[AI_TRU3]]</f>
        <v>7</v>
      </c>
      <c r="AV175" t="str">
        <f t="shared" si="72"/>
        <v>Neutral</v>
      </c>
      <c r="AW175">
        <f>survey_responses[[#This Row],[Tôi tin tưởng số tiền thuế tôi đóng sẽ được Nhà nước sử dụng hiệu quả để cải thiện dịch vụ công (y tế, đường xá...). - HUMAN-TRU3]]</f>
        <v>5</v>
      </c>
      <c r="AX175" t="str">
        <f t="shared" si="73"/>
        <v>Neutral</v>
      </c>
      <c r="AY175" s="32">
        <f t="shared" si="74"/>
        <v>2</v>
      </c>
      <c r="AZ175">
        <f>step3_validation[[#This Row],[AI_TRU4]]</f>
        <v>8</v>
      </c>
      <c r="BA175" t="str">
        <f t="shared" si="75"/>
        <v>Support</v>
      </c>
      <c r="BB175">
        <f>survey_responses[[#This Row],[Tôi thấy Nhà nước đã giải thích rõ ràng, minh bạch về lý do và mục tiêu của việc sửa đổi thuế lần này. - HUMAN-TRU4]]</f>
        <v>7</v>
      </c>
      <c r="BC175" t="str">
        <f t="shared" si="76"/>
        <v>Neutral</v>
      </c>
      <c r="BD175" s="32">
        <f t="shared" si="77"/>
        <v>1</v>
      </c>
      <c r="BE175">
        <f>step3_validation[[#This Row],[AI_OUT1]]</f>
        <v>9</v>
      </c>
      <c r="BF175" t="str">
        <f t="shared" si="78"/>
        <v>Support</v>
      </c>
      <c r="BG175">
        <f>survey_responses[[#This Row],[Sau khi xem xét các quyền lợi và nghĩa vụ, bạn có ủng hộ và tuân thủ chính sách mới hiện nay? - HUMAN-OUT1]]</f>
        <v>6</v>
      </c>
      <c r="BH175" t="str">
        <f t="shared" si="79"/>
        <v>Neutral</v>
      </c>
      <c r="BI175" s="32">
        <f t="shared" si="80"/>
        <v>3</v>
      </c>
    </row>
    <row r="176" spans="1:61" x14ac:dyDescent="0.45">
      <c r="A176" s="30">
        <f>step3_validation[[#This Row],[Persona_ID]]</f>
        <v>175</v>
      </c>
      <c r="B176" s="31">
        <f>step3_validation[[#This Row],[Used_Seed]]</f>
        <v>12519</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154.06212676449971</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6</v>
      </c>
      <c r="R176" t="str">
        <f t="shared" si="54"/>
        <v>Neutral</v>
      </c>
      <c r="S176">
        <f>survey_responses[[#This Row],[Tôi tin rằng với các quy định quản lý thuế hiện nay, hành vi gian lận hoặc trốn thuế sẽ dễ dàng bị phát hiện và xử lý nghiêm. - HUMAN-ENF1]]</f>
        <v>4</v>
      </c>
      <c r="T176" t="str">
        <f t="shared" si="55"/>
        <v>Oppose</v>
      </c>
      <c r="U176" s="32">
        <f t="shared" si="56"/>
        <v>2</v>
      </c>
      <c r="V176">
        <f>step3_validation[[#This Row],[AI_ENF2]]</f>
        <v>8</v>
      </c>
      <c r="W176" t="str">
        <f t="shared" si="57"/>
        <v>Support</v>
      </c>
      <c r="X176">
        <f>survey_responses[[#This Row],[Tôi tin rằng Nhà nước, cơ quan thuế có đủ khả năng và công nghệ để phát hiện, xử lý nghiêm các hành vi trốn thuế. - HUMAN-ENF2]]</f>
        <v>5</v>
      </c>
      <c r="Y176" t="str">
        <f t="shared" si="58"/>
        <v>Neutral</v>
      </c>
      <c r="Z176" s="32">
        <f t="shared" si="59"/>
        <v>3</v>
      </c>
      <c r="AA176">
        <f>step3_validation[[#This Row],[AI_FAC1]]</f>
        <v>9</v>
      </c>
      <c r="AB176" t="str">
        <f t="shared" si="60"/>
        <v>Support</v>
      </c>
      <c r="AC176">
        <f>survey_responses[[#This Row],[Các thủ tục khai báo thuế VÀ/HOẶC quy trình làm việc với cơ quan thuế đơn giản, tiện lợi, nhanh chóng hơn so với trước đây. - HUMAN-FAC1]]</f>
        <v>4</v>
      </c>
      <c r="AD176" t="str">
        <f t="shared" si="61"/>
        <v>Oppose</v>
      </c>
      <c r="AE176" s="32">
        <f t="shared" si="62"/>
        <v>5</v>
      </c>
      <c r="AF176">
        <f>step3_validation[[#This Row],[AI_FAC2]]</f>
        <v>10</v>
      </c>
      <c r="AG176" t="str">
        <f t="shared" si="63"/>
        <v>Support</v>
      </c>
      <c r="AH176">
        <f>survey_responses[[#This Row],[So với trước đây, tôi thấy cách tính thuế và các bậc thuế trong phương án mới đơn giản, dễ hiểu và dễ thực hiện hơn. - HUMAN-FAC2]]</f>
        <v>6</v>
      </c>
      <c r="AI176" t="str">
        <f t="shared" si="64"/>
        <v>Neutral</v>
      </c>
      <c r="AJ176" s="32">
        <f t="shared" si="65"/>
        <v>4</v>
      </c>
      <c r="AK176">
        <f>step3_validation[[#This Row],[AI_TRU1]]</f>
        <v>7</v>
      </c>
      <c r="AL176" t="str">
        <f t="shared" si="66"/>
        <v>Neutral</v>
      </c>
      <c r="AM176">
        <f>survey_responses[[#This Row],[Tôi tin rằng Nhà nước, cơ quan thuế sẽ thực thi chính sách mới một cách khách quan, công tâm và đối xử bình đẳng với mọi người nộp thuế.  - HUMAN-TRU1]]</f>
        <v>4</v>
      </c>
      <c r="AN176" t="str">
        <f t="shared" si="67"/>
        <v>Oppose</v>
      </c>
      <c r="AO176" s="32">
        <f t="shared" si="68"/>
        <v>3</v>
      </c>
      <c r="AP176">
        <f>step3_validation[[#This Row],[AI_TRU2]]</f>
        <v>9</v>
      </c>
      <c r="AQ176" t="str">
        <f t="shared" si="69"/>
        <v>Support</v>
      </c>
      <c r="AR176">
        <f>survey_responses[[#This Row],[Tôi thấy mức thuế tôi phải đóng theo phương án mới là công bằng (người thu nhập như tôi đóng mức này là hợp lý). - HUMAN-TRU2]]</f>
        <v>4</v>
      </c>
      <c r="AS176" t="str">
        <f t="shared" si="70"/>
        <v>Oppose</v>
      </c>
      <c r="AT176" s="32">
        <f t="shared" si="71"/>
        <v>5</v>
      </c>
      <c r="AU176">
        <f>step3_validation[[#This Row],[AI_TRU3]]</f>
        <v>7</v>
      </c>
      <c r="AV176" t="str">
        <f t="shared" si="72"/>
        <v>Neutral</v>
      </c>
      <c r="AW176">
        <f>survey_responses[[#This Row],[Tôi tin tưởng số tiền thuế tôi đóng sẽ được Nhà nước sử dụng hiệu quả để cải thiện dịch vụ công (y tế, đường xá...). - HUMAN-TRU3]]</f>
        <v>4</v>
      </c>
      <c r="AX176" t="str">
        <f t="shared" si="73"/>
        <v>Oppose</v>
      </c>
      <c r="AY176" s="32">
        <f t="shared" si="74"/>
        <v>3</v>
      </c>
      <c r="AZ176">
        <f>step3_validation[[#This Row],[AI_TRU4]]</f>
        <v>8</v>
      </c>
      <c r="BA176" t="str">
        <f t="shared" si="75"/>
        <v>Support</v>
      </c>
      <c r="BB176">
        <f>survey_responses[[#This Row],[Tôi thấy Nhà nước đã giải thích rõ ràng, minh bạch về lý do và mục tiêu của việc sửa đổi thuế lần này. - HUMAN-TRU4]]</f>
        <v>5</v>
      </c>
      <c r="BC176" t="str">
        <f t="shared" si="76"/>
        <v>Neutral</v>
      </c>
      <c r="BD176" s="32">
        <f t="shared" si="77"/>
        <v>3</v>
      </c>
      <c r="BE176">
        <f>step3_validation[[#This Row],[AI_OUT1]]</f>
        <v>9</v>
      </c>
      <c r="BF176" t="str">
        <f t="shared" si="78"/>
        <v>Support</v>
      </c>
      <c r="BG176">
        <f>survey_responses[[#This Row],[Sau khi xem xét các quyền lợi và nghĩa vụ, bạn có ủng hộ và tuân thủ chính sách mới hiện nay? - HUMAN-OUT1]]</f>
        <v>4</v>
      </c>
      <c r="BH176" t="str">
        <f t="shared" si="79"/>
        <v>Oppose</v>
      </c>
      <c r="BI176" s="32">
        <f t="shared" si="80"/>
        <v>5</v>
      </c>
    </row>
    <row r="177" spans="1:61" x14ac:dyDescent="0.45">
      <c r="A177" s="30">
        <f>step3_validation[[#This Row],[Persona_ID]]</f>
        <v>176</v>
      </c>
      <c r="B177" s="31">
        <f>step3_validation[[#This Row],[Used_Seed]]</f>
        <v>12520</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242.78528291659143</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7</v>
      </c>
      <c r="R177" t="str">
        <f t="shared" si="54"/>
        <v>Neutral</v>
      </c>
      <c r="S177">
        <f>survey_responses[[#This Row],[Tôi tin rằng với các quy định quản lý thuế hiện nay, hành vi gian lận hoặc trốn thuế sẽ dễ dàng bị phát hiện và xử lý nghiêm. - HUMAN-ENF1]]</f>
        <v>2</v>
      </c>
      <c r="T177" t="str">
        <f t="shared" si="55"/>
        <v>Oppose</v>
      </c>
      <c r="U177" s="32">
        <f t="shared" si="56"/>
        <v>5</v>
      </c>
      <c r="V177">
        <f>step3_validation[[#This Row],[AI_ENF2]]</f>
        <v>7</v>
      </c>
      <c r="W177" t="str">
        <f t="shared" si="57"/>
        <v>Neutral</v>
      </c>
      <c r="X177">
        <f>survey_responses[[#This Row],[Tôi tin rằng Nhà nước, cơ quan thuế có đủ khả năng và công nghệ để phát hiện, xử lý nghiêm các hành vi trốn thuế. - HUMAN-ENF2]]</f>
        <v>4</v>
      </c>
      <c r="Y177" t="str">
        <f t="shared" si="58"/>
        <v>Oppose</v>
      </c>
      <c r="Z177" s="32">
        <f t="shared" si="59"/>
        <v>3</v>
      </c>
      <c r="AA177">
        <f>step3_validation[[#This Row],[AI_FAC1]]</f>
        <v>9</v>
      </c>
      <c r="AB177" t="str">
        <f t="shared" si="60"/>
        <v>Support</v>
      </c>
      <c r="AC177">
        <f>survey_responses[[#This Row],[Các thủ tục khai báo thuế VÀ/HOẶC quy trình làm việc với cơ quan thuế đơn giản, tiện lợi, nhanh chóng hơn so với trước đây. - HUMAN-FAC1]]</f>
        <v>3</v>
      </c>
      <c r="AD177" t="str">
        <f t="shared" si="61"/>
        <v>Oppose</v>
      </c>
      <c r="AE177" s="32">
        <f t="shared" si="62"/>
        <v>6</v>
      </c>
      <c r="AF177">
        <f>step3_validation[[#This Row],[AI_FAC2]]</f>
        <v>9</v>
      </c>
      <c r="AG177" t="str">
        <f t="shared" si="63"/>
        <v>Support</v>
      </c>
      <c r="AH177">
        <f>survey_responses[[#This Row],[So với trước đây, tôi thấy cách tính thuế và các bậc thuế trong phương án mới đơn giản, dễ hiểu và dễ thực hiện hơn. - HUMAN-FAC2]]</f>
        <v>5</v>
      </c>
      <c r="AI177" t="str">
        <f t="shared" si="64"/>
        <v>Neutral</v>
      </c>
      <c r="AJ177" s="32">
        <f t="shared" si="65"/>
        <v>4</v>
      </c>
      <c r="AK177">
        <f>step3_validation[[#This Row],[AI_TRU1]]</f>
        <v>8</v>
      </c>
      <c r="AL177" t="str">
        <f t="shared" si="66"/>
        <v>Support</v>
      </c>
      <c r="AM177">
        <f>survey_responses[[#This Row],[Tôi tin rằng Nhà nước, cơ quan thuế sẽ thực thi chính sách mới một cách khách quan, công tâm và đối xử bình đẳng với mọi người nộp thuế.  - HUMAN-TRU1]]</f>
        <v>4</v>
      </c>
      <c r="AN177" t="str">
        <f t="shared" si="67"/>
        <v>Oppose</v>
      </c>
      <c r="AO177" s="32">
        <f t="shared" si="68"/>
        <v>4</v>
      </c>
      <c r="AP177">
        <f>step3_validation[[#This Row],[AI_TRU2]]</f>
        <v>9</v>
      </c>
      <c r="AQ177" t="str">
        <f t="shared" si="69"/>
        <v>Support</v>
      </c>
      <c r="AR177">
        <f>survey_responses[[#This Row],[Tôi thấy mức thuế tôi phải đóng theo phương án mới là công bằng (người thu nhập như tôi đóng mức này là hợp lý). - HUMAN-TRU2]]</f>
        <v>1</v>
      </c>
      <c r="AS177" t="str">
        <f t="shared" si="70"/>
        <v>Oppose</v>
      </c>
      <c r="AT177" s="32">
        <f t="shared" si="71"/>
        <v>8</v>
      </c>
      <c r="AU177">
        <f>step3_validation[[#This Row],[AI_TRU3]]</f>
        <v>8</v>
      </c>
      <c r="AV177" t="str">
        <f t="shared" si="72"/>
        <v>Support</v>
      </c>
      <c r="AW177">
        <f>survey_responses[[#This Row],[Tôi tin tưởng số tiền thuế tôi đóng sẽ được Nhà nước sử dụng hiệu quả để cải thiện dịch vụ công (y tế, đường xá...). - HUMAN-TRU3]]</f>
        <v>1</v>
      </c>
      <c r="AX177" t="str">
        <f t="shared" si="73"/>
        <v>Oppose</v>
      </c>
      <c r="AY177" s="32">
        <f t="shared" si="74"/>
        <v>7</v>
      </c>
      <c r="AZ177">
        <f>step3_validation[[#This Row],[AI_TRU4]]</f>
        <v>7</v>
      </c>
      <c r="BA177" t="str">
        <f t="shared" si="75"/>
        <v>Neutral</v>
      </c>
      <c r="BB177">
        <f>survey_responses[[#This Row],[Tôi thấy Nhà nước đã giải thích rõ ràng, minh bạch về lý do và mục tiêu của việc sửa đổi thuế lần này. - HUMAN-TRU4]]</f>
        <v>4</v>
      </c>
      <c r="BC177" t="str">
        <f t="shared" si="76"/>
        <v>Oppose</v>
      </c>
      <c r="BD177" s="32">
        <f t="shared" si="77"/>
        <v>3</v>
      </c>
      <c r="BE177">
        <f>step3_validation[[#This Row],[AI_OUT1]]</f>
        <v>9</v>
      </c>
      <c r="BF177" t="str">
        <f t="shared" si="78"/>
        <v>Support</v>
      </c>
      <c r="BG177">
        <f>survey_responses[[#This Row],[Sau khi xem xét các quyền lợi và nghĩa vụ, bạn có ủng hộ và tuân thủ chính sách mới hiện nay? - HUMAN-OUT1]]</f>
        <v>4</v>
      </c>
      <c r="BH177" t="str">
        <f t="shared" si="79"/>
        <v>Oppose</v>
      </c>
      <c r="BI177" s="32">
        <f t="shared" si="80"/>
        <v>5</v>
      </c>
    </row>
    <row r="178" spans="1:61" x14ac:dyDescent="0.45">
      <c r="A178" s="30">
        <f>step3_validation[[#This Row],[Persona_ID]]</f>
        <v>177</v>
      </c>
      <c r="B178" s="31">
        <f>step3_validation[[#This Row],[Used_Seed]]</f>
        <v>12521</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99.641554489013288</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7</v>
      </c>
      <c r="R178" t="str">
        <f t="shared" si="54"/>
        <v>Neutral</v>
      </c>
      <c r="S178">
        <f>survey_responses[[#This Row],[Tôi tin rằng với các quy định quản lý thuế hiện nay, hành vi gian lận hoặc trốn thuế sẽ dễ dàng bị phát hiện và xử lý nghiêm. - HUMAN-ENF1]]</f>
        <v>4</v>
      </c>
      <c r="T178" t="str">
        <f t="shared" si="55"/>
        <v>Oppose</v>
      </c>
      <c r="U178" s="32">
        <f t="shared" si="56"/>
        <v>3</v>
      </c>
      <c r="V178">
        <f>step3_validation[[#This Row],[AI_ENF2]]</f>
        <v>8</v>
      </c>
      <c r="W178" t="str">
        <f t="shared" si="57"/>
        <v>Support</v>
      </c>
      <c r="X178">
        <f>survey_responses[[#This Row],[Tôi tin rằng Nhà nước, cơ quan thuế có đủ khả năng và công nghệ để phát hiện, xử lý nghiêm các hành vi trốn thuế. - HUMAN-ENF2]]</f>
        <v>4</v>
      </c>
      <c r="Y178" t="str">
        <f t="shared" si="58"/>
        <v>Oppose</v>
      </c>
      <c r="Z178" s="32">
        <f t="shared" si="59"/>
        <v>4</v>
      </c>
      <c r="AA178">
        <f>step3_validation[[#This Row],[AI_FAC1]]</f>
        <v>9</v>
      </c>
      <c r="AB178" t="str">
        <f t="shared" si="60"/>
        <v>Support</v>
      </c>
      <c r="AC178">
        <f>survey_responses[[#This Row],[Các thủ tục khai báo thuế VÀ/HOẶC quy trình làm việc với cơ quan thuế đơn giản, tiện lợi, nhanh chóng hơn so với trước đây. - HUMAN-FAC1]]</f>
        <v>3</v>
      </c>
      <c r="AD178" t="str">
        <f t="shared" si="61"/>
        <v>Oppose</v>
      </c>
      <c r="AE178" s="32">
        <f t="shared" si="62"/>
        <v>6</v>
      </c>
      <c r="AF178">
        <f>step3_validation[[#This Row],[AI_FAC2]]</f>
        <v>10</v>
      </c>
      <c r="AG178" t="str">
        <f t="shared" si="63"/>
        <v>Support</v>
      </c>
      <c r="AH178">
        <f>survey_responses[[#This Row],[So với trước đây, tôi thấy cách tính thuế và các bậc thuế trong phương án mới đơn giản, dễ hiểu và dễ thực hiện hơn. - HUMAN-FAC2]]</f>
        <v>5</v>
      </c>
      <c r="AI178" t="str">
        <f t="shared" si="64"/>
        <v>Neutral</v>
      </c>
      <c r="AJ178" s="32">
        <f t="shared" si="65"/>
        <v>5</v>
      </c>
      <c r="AK178">
        <f>step3_validation[[#This Row],[AI_TRU1]]</f>
        <v>8</v>
      </c>
      <c r="AL178" t="str">
        <f t="shared" si="66"/>
        <v>Support</v>
      </c>
      <c r="AM178">
        <f>survey_responses[[#This Row],[Tôi tin rằng Nhà nước, cơ quan thuế sẽ thực thi chính sách mới một cách khách quan, công tâm và đối xử bình đẳng với mọi người nộp thuế.  - HUMAN-TRU1]]</f>
        <v>3</v>
      </c>
      <c r="AN178" t="str">
        <f t="shared" si="67"/>
        <v>Oppose</v>
      </c>
      <c r="AO178" s="32">
        <f t="shared" si="68"/>
        <v>5</v>
      </c>
      <c r="AP178">
        <f>step3_validation[[#This Row],[AI_TRU2]]</f>
        <v>9</v>
      </c>
      <c r="AQ178" t="str">
        <f t="shared" si="69"/>
        <v>Support</v>
      </c>
      <c r="AR178">
        <f>survey_responses[[#This Row],[Tôi thấy mức thuế tôi phải đóng theo phương án mới là công bằng (người thu nhập như tôi đóng mức này là hợp lý). - HUMAN-TRU2]]</f>
        <v>2</v>
      </c>
      <c r="AS178" t="str">
        <f t="shared" si="70"/>
        <v>Oppose</v>
      </c>
      <c r="AT178" s="32">
        <f t="shared" si="71"/>
        <v>7</v>
      </c>
      <c r="AU178">
        <f>step3_validation[[#This Row],[AI_TRU3]]</f>
        <v>7</v>
      </c>
      <c r="AV178" t="str">
        <f t="shared" si="72"/>
        <v>Neutral</v>
      </c>
      <c r="AW178">
        <f>survey_responses[[#This Row],[Tôi tin tưởng số tiền thuế tôi đóng sẽ được Nhà nước sử dụng hiệu quả để cải thiện dịch vụ công (y tế, đường xá...). - HUMAN-TRU3]]</f>
        <v>1</v>
      </c>
      <c r="AX178" t="str">
        <f t="shared" si="73"/>
        <v>Oppose</v>
      </c>
      <c r="AY178" s="32">
        <f t="shared" si="74"/>
        <v>6</v>
      </c>
      <c r="AZ178">
        <f>step3_validation[[#This Row],[AI_TRU4]]</f>
        <v>9</v>
      </c>
      <c r="BA178" t="str">
        <f t="shared" si="75"/>
        <v>Support</v>
      </c>
      <c r="BB178">
        <f>survey_responses[[#This Row],[Tôi thấy Nhà nước đã giải thích rõ ràng, minh bạch về lý do và mục tiêu của việc sửa đổi thuế lần này. - HUMAN-TRU4]]</f>
        <v>1</v>
      </c>
      <c r="BC178" t="str">
        <f t="shared" si="76"/>
        <v>Oppose</v>
      </c>
      <c r="BD178" s="32">
        <f t="shared" si="77"/>
        <v>8</v>
      </c>
      <c r="BE178">
        <f>step3_validation[[#This Row],[AI_OUT1]]</f>
        <v>10</v>
      </c>
      <c r="BF178" t="str">
        <f t="shared" si="78"/>
        <v>Support</v>
      </c>
      <c r="BG178">
        <f>survey_responses[[#This Row],[Sau khi xem xét các quyền lợi và nghĩa vụ, bạn có ủng hộ và tuân thủ chính sách mới hiện nay? - HUMAN-OUT1]]</f>
        <v>1</v>
      </c>
      <c r="BH178" t="str">
        <f t="shared" si="79"/>
        <v>Oppose</v>
      </c>
      <c r="BI178" s="32">
        <f t="shared" si="80"/>
        <v>9</v>
      </c>
    </row>
    <row r="179" spans="1:61" x14ac:dyDescent="0.45">
      <c r="A179" s="30">
        <f>step3_validation[[#This Row],[Persona_ID]]</f>
        <v>178</v>
      </c>
      <c r="B179" s="31">
        <f>step3_validation[[#This Row],[Used_Seed]]</f>
        <v>12522</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41.975058694830153</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7</v>
      </c>
      <c r="R179" t="str">
        <f t="shared" si="54"/>
        <v>Neutral</v>
      </c>
      <c r="S179">
        <f>survey_responses[[#This Row],[Tôi tin rằng với các quy định quản lý thuế hiện nay, hành vi gian lận hoặc trốn thuế sẽ dễ dàng bị phát hiện và xử lý nghiêm. - HUMAN-ENF1]]</f>
        <v>6</v>
      </c>
      <c r="T179" t="str">
        <f t="shared" si="55"/>
        <v>Neutral</v>
      </c>
      <c r="U179" s="32">
        <f t="shared" si="56"/>
        <v>1</v>
      </c>
      <c r="V179">
        <f>step3_validation[[#This Row],[AI_ENF2]]</f>
        <v>8</v>
      </c>
      <c r="W179" t="str">
        <f t="shared" si="57"/>
        <v>Support</v>
      </c>
      <c r="X179">
        <f>survey_responses[[#This Row],[Tôi tin rằng Nhà nước, cơ quan thuế có đủ khả năng và công nghệ để phát hiện, xử lý nghiêm các hành vi trốn thuế. - HUMAN-ENF2]]</f>
        <v>7</v>
      </c>
      <c r="Y179" t="str">
        <f t="shared" si="58"/>
        <v>Neutral</v>
      </c>
      <c r="Z179" s="32">
        <f t="shared" si="59"/>
        <v>1</v>
      </c>
      <c r="AA179">
        <f>step3_validation[[#This Row],[AI_FAC1]]</f>
        <v>9</v>
      </c>
      <c r="AB179" t="str">
        <f t="shared" si="60"/>
        <v>Support</v>
      </c>
      <c r="AC179">
        <f>survey_responses[[#This Row],[Các thủ tục khai báo thuế VÀ/HOẶC quy trình làm việc với cơ quan thuế đơn giản, tiện lợi, nhanh chóng hơn so với trước đây. - HUMAN-FAC1]]</f>
        <v>6</v>
      </c>
      <c r="AD179" t="str">
        <f t="shared" si="61"/>
        <v>Neutral</v>
      </c>
      <c r="AE179" s="32">
        <f t="shared" si="62"/>
        <v>3</v>
      </c>
      <c r="AF179">
        <f>step3_validation[[#This Row],[AI_FAC2]]</f>
        <v>9</v>
      </c>
      <c r="AG179" t="str">
        <f t="shared" si="63"/>
        <v>Support</v>
      </c>
      <c r="AH179">
        <f>survey_responses[[#This Row],[So với trước đây, tôi thấy cách tính thuế và các bậc thuế trong phương án mới đơn giản, dễ hiểu và dễ thực hiện hơn. - HUMAN-FAC2]]</f>
        <v>6</v>
      </c>
      <c r="AI179" t="str">
        <f t="shared" si="64"/>
        <v>Neutral</v>
      </c>
      <c r="AJ179" s="32">
        <f t="shared" si="65"/>
        <v>3</v>
      </c>
      <c r="AK179">
        <f>step3_validation[[#This Row],[AI_TRU1]]</f>
        <v>8</v>
      </c>
      <c r="AL179" t="str">
        <f t="shared" si="66"/>
        <v>Support</v>
      </c>
      <c r="AM179">
        <f>survey_responses[[#This Row],[Tôi tin rằng Nhà nước, cơ quan thuế sẽ thực thi chính sách mới một cách khách quan, công tâm và đối xử bình đẳng với mọi người nộp thuế.  - HUMAN-TRU1]]</f>
        <v>6</v>
      </c>
      <c r="AN179" t="str">
        <f t="shared" si="67"/>
        <v>Neutral</v>
      </c>
      <c r="AO179" s="32">
        <f t="shared" si="68"/>
        <v>2</v>
      </c>
      <c r="AP179">
        <f>step3_validation[[#This Row],[AI_TRU2]]</f>
        <v>7</v>
      </c>
      <c r="AQ179" t="str">
        <f t="shared" si="69"/>
        <v>Neutral</v>
      </c>
      <c r="AR179">
        <f>survey_responses[[#This Row],[Tôi thấy mức thuế tôi phải đóng theo phương án mới là công bằng (người thu nhập như tôi đóng mức này là hợp lý). - HUMAN-TRU2]]</f>
        <v>7</v>
      </c>
      <c r="AS179" t="str">
        <f t="shared" si="70"/>
        <v>Neutral</v>
      </c>
      <c r="AT179" s="32">
        <f t="shared" si="71"/>
        <v>0</v>
      </c>
      <c r="AU179">
        <f>step3_validation[[#This Row],[AI_TRU3]]</f>
        <v>8</v>
      </c>
      <c r="AV179" t="str">
        <f t="shared" si="72"/>
        <v>Support</v>
      </c>
      <c r="AW179">
        <f>survey_responses[[#This Row],[Tôi tin tưởng số tiền thuế tôi đóng sẽ được Nhà nước sử dụng hiệu quả để cải thiện dịch vụ công (y tế, đường xá...). - HUMAN-TRU3]]</f>
        <v>5</v>
      </c>
      <c r="AX179" t="str">
        <f t="shared" si="73"/>
        <v>Neutral</v>
      </c>
      <c r="AY179" s="32">
        <f t="shared" si="74"/>
        <v>3</v>
      </c>
      <c r="AZ179">
        <f>step3_validation[[#This Row],[AI_TRU4]]</f>
        <v>6</v>
      </c>
      <c r="BA179" t="str">
        <f t="shared" si="75"/>
        <v>Neutral</v>
      </c>
      <c r="BB179">
        <f>survey_responses[[#This Row],[Tôi thấy Nhà nước đã giải thích rõ ràng, minh bạch về lý do và mục tiêu của việc sửa đổi thuế lần này. - HUMAN-TRU4]]</f>
        <v>6</v>
      </c>
      <c r="BC179" t="str">
        <f t="shared" si="76"/>
        <v>Neutral</v>
      </c>
      <c r="BD179" s="32">
        <f t="shared" si="77"/>
        <v>0</v>
      </c>
      <c r="BE179">
        <f>step3_validation[[#This Row],[AI_OUT1]]</f>
        <v>8</v>
      </c>
      <c r="BF179" t="str">
        <f t="shared" si="78"/>
        <v>Support</v>
      </c>
      <c r="BG179">
        <f>survey_responses[[#This Row],[Sau khi xem xét các quyền lợi và nghĩa vụ, bạn có ủng hộ và tuân thủ chính sách mới hiện nay? - HUMAN-OUT1]]</f>
        <v>7</v>
      </c>
      <c r="BH179" t="str">
        <f t="shared" si="79"/>
        <v>Neutral</v>
      </c>
      <c r="BI179" s="32">
        <f t="shared" si="80"/>
        <v>1</v>
      </c>
    </row>
    <row r="180" spans="1:61" x14ac:dyDescent="0.45">
      <c r="A180" s="30">
        <f>step3_validation[[#This Row],[Persona_ID]]</f>
        <v>179</v>
      </c>
      <c r="B180" s="31">
        <f>step3_validation[[#This Row],[Used_Seed]]</f>
        <v>12523</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29.19172331684997</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t="str">
        <f t="shared" si="54"/>
        <v>Neutral</v>
      </c>
      <c r="S180">
        <f>survey_responses[[#This Row],[Tôi tin rằng với các quy định quản lý thuế hiện nay, hành vi gian lận hoặc trốn thuế sẽ dễ dàng bị phát hiện và xử lý nghiêm. - HUMAN-ENF1]]</f>
        <v>7</v>
      </c>
      <c r="T180" t="str">
        <f t="shared" si="55"/>
        <v>Neutral</v>
      </c>
      <c r="U180" s="32">
        <f t="shared" si="56"/>
        <v>0</v>
      </c>
      <c r="V180">
        <f>step3_validation[[#This Row],[AI_ENF2]]</f>
        <v>6</v>
      </c>
      <c r="W180" t="str">
        <f t="shared" si="57"/>
        <v>Neutral</v>
      </c>
      <c r="X180">
        <f>survey_responses[[#This Row],[Tôi tin rằng Nhà nước, cơ quan thuế có đủ khả năng và công nghệ để phát hiện, xử lý nghiêm các hành vi trốn thuế. - HUMAN-ENF2]]</f>
        <v>7</v>
      </c>
      <c r="Y180" t="str">
        <f t="shared" si="58"/>
        <v>Neutral</v>
      </c>
      <c r="Z180" s="32">
        <f t="shared" si="59"/>
        <v>1</v>
      </c>
      <c r="AA180">
        <f>step3_validation[[#This Row],[AI_FAC1]]</f>
        <v>9</v>
      </c>
      <c r="AB180" t="str">
        <f t="shared" si="60"/>
        <v>Support</v>
      </c>
      <c r="AC180">
        <f>survey_responses[[#This Row],[Các thủ tục khai báo thuế VÀ/HOẶC quy trình làm việc với cơ quan thuế đơn giản, tiện lợi, nhanh chóng hơn so với trước đây. - HUMAN-FAC1]]</f>
        <v>7</v>
      </c>
      <c r="AD180" t="str">
        <f t="shared" si="61"/>
        <v>Neutral</v>
      </c>
      <c r="AE180" s="32">
        <f t="shared" si="62"/>
        <v>2</v>
      </c>
      <c r="AF180">
        <f>step3_validation[[#This Row],[AI_FAC2]]</f>
        <v>8</v>
      </c>
      <c r="AG180" t="str">
        <f t="shared" si="63"/>
        <v>Support</v>
      </c>
      <c r="AH180">
        <f>survey_responses[[#This Row],[So với trước đây, tôi thấy cách tính thuế và các bậc thuế trong phương án mới đơn giản, dễ hiểu và dễ thực hiện hơn. - HUMAN-FAC2]]</f>
        <v>8</v>
      </c>
      <c r="AI180" t="str">
        <f t="shared" si="64"/>
        <v>Support</v>
      </c>
      <c r="AJ180" s="32">
        <f t="shared" si="65"/>
        <v>0</v>
      </c>
      <c r="AK180">
        <f>step3_validation[[#This Row],[AI_TRU1]]</f>
        <v>7</v>
      </c>
      <c r="AL180" t="str">
        <f t="shared" si="66"/>
        <v>Neutral</v>
      </c>
      <c r="AM180">
        <f>survey_responses[[#This Row],[Tôi tin rằng Nhà nước, cơ quan thuế sẽ thực thi chính sách mới một cách khách quan, công tâm và đối xử bình đẳng với mọi người nộp thuế.  - HUMAN-TRU1]]</f>
        <v>7</v>
      </c>
      <c r="AN180" t="str">
        <f t="shared" si="67"/>
        <v>Neutral</v>
      </c>
      <c r="AO180" s="32">
        <f t="shared" si="68"/>
        <v>0</v>
      </c>
      <c r="AP180">
        <f>step3_validation[[#This Row],[AI_TRU2]]</f>
        <v>9</v>
      </c>
      <c r="AQ180" t="str">
        <f t="shared" si="69"/>
        <v>Support</v>
      </c>
      <c r="AR180">
        <f>survey_responses[[#This Row],[Tôi thấy mức thuế tôi phải đóng theo phương án mới là công bằng (người thu nhập như tôi đóng mức này là hợp lý). - HUMAN-TRU2]]</f>
        <v>8</v>
      </c>
      <c r="AS180" t="str">
        <f t="shared" si="70"/>
        <v>Support</v>
      </c>
      <c r="AT180" s="32">
        <f t="shared" si="71"/>
        <v>1</v>
      </c>
      <c r="AU180">
        <f>step3_validation[[#This Row],[AI_TRU3]]</f>
        <v>8</v>
      </c>
      <c r="AV180" t="str">
        <f t="shared" si="72"/>
        <v>Support</v>
      </c>
      <c r="AW180">
        <f>survey_responses[[#This Row],[Tôi tin tưởng số tiền thuế tôi đóng sẽ được Nhà nước sử dụng hiệu quả để cải thiện dịch vụ công (y tế, đường xá...). - HUMAN-TRU3]]</f>
        <v>7</v>
      </c>
      <c r="AX180" t="str">
        <f t="shared" si="73"/>
        <v>Neutral</v>
      </c>
      <c r="AY180" s="32">
        <f t="shared" si="74"/>
        <v>1</v>
      </c>
      <c r="AZ180">
        <f>step3_validation[[#This Row],[AI_TRU4]]</f>
        <v>7</v>
      </c>
      <c r="BA180" t="str">
        <f t="shared" si="75"/>
        <v>Neutral</v>
      </c>
      <c r="BB180">
        <f>survey_responses[[#This Row],[Tôi thấy Nhà nước đã giải thích rõ ràng, minh bạch về lý do và mục tiêu của việc sửa đổi thuế lần này. - HUMAN-TRU4]]</f>
        <v>7</v>
      </c>
      <c r="BC180" t="str">
        <f t="shared" si="76"/>
        <v>Neutral</v>
      </c>
      <c r="BD180" s="32">
        <f t="shared" si="77"/>
        <v>0</v>
      </c>
      <c r="BE180">
        <f>step3_validation[[#This Row],[AI_OUT1]]</f>
        <v>9</v>
      </c>
      <c r="BF180" t="str">
        <f t="shared" si="78"/>
        <v>Support</v>
      </c>
      <c r="BG180">
        <f>survey_responses[[#This Row],[Sau khi xem xét các quyền lợi và nghĩa vụ, bạn có ủng hộ và tuân thủ chính sách mới hiện nay? - HUMAN-OUT1]]</f>
        <v>8</v>
      </c>
      <c r="BH180" t="str">
        <f t="shared" si="79"/>
        <v>Support</v>
      </c>
      <c r="BI180" s="32">
        <f t="shared" si="80"/>
        <v>1</v>
      </c>
    </row>
    <row r="181" spans="1:61" x14ac:dyDescent="0.45">
      <c r="A181" s="30">
        <f>step3_validation[[#This Row],[Persona_ID]]</f>
        <v>180</v>
      </c>
      <c r="B181" s="31">
        <f>step3_validation[[#This Row],[Used_Seed]]</f>
        <v>12524</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67.224779049723395</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t="str">
        <f t="shared" si="54"/>
        <v>Support</v>
      </c>
      <c r="S181">
        <f>survey_responses[[#This Row],[Tôi tin rằng với các quy định quản lý thuế hiện nay, hành vi gian lận hoặc trốn thuế sẽ dễ dàng bị phát hiện và xử lý nghiêm. - HUMAN-ENF1]]</f>
        <v>5</v>
      </c>
      <c r="T181" t="str">
        <f t="shared" si="55"/>
        <v>Neutral</v>
      </c>
      <c r="U181" s="32">
        <f t="shared" si="56"/>
        <v>3</v>
      </c>
      <c r="V181">
        <f>step3_validation[[#This Row],[AI_ENF2]]</f>
        <v>7</v>
      </c>
      <c r="W181" t="str">
        <f t="shared" si="57"/>
        <v>Neutral</v>
      </c>
      <c r="X181">
        <f>survey_responses[[#This Row],[Tôi tin rằng Nhà nước, cơ quan thuế có đủ khả năng và công nghệ để phát hiện, xử lý nghiêm các hành vi trốn thuế. - HUMAN-ENF2]]</f>
        <v>5</v>
      </c>
      <c r="Y181" t="str">
        <f t="shared" si="58"/>
        <v>Neutral</v>
      </c>
      <c r="Z181" s="32">
        <f t="shared" si="59"/>
        <v>2</v>
      </c>
      <c r="AA181">
        <f>step3_validation[[#This Row],[AI_FAC1]]</f>
        <v>9</v>
      </c>
      <c r="AB181" t="str">
        <f t="shared" si="60"/>
        <v>Support</v>
      </c>
      <c r="AC181">
        <f>survey_responses[[#This Row],[Các thủ tục khai báo thuế VÀ/HOẶC quy trình làm việc với cơ quan thuế đơn giản, tiện lợi, nhanh chóng hơn so với trước đây. - HUMAN-FAC1]]</f>
        <v>5</v>
      </c>
      <c r="AD181" t="str">
        <f t="shared" si="61"/>
        <v>Neutral</v>
      </c>
      <c r="AE181" s="32">
        <f t="shared" si="62"/>
        <v>4</v>
      </c>
      <c r="AF181">
        <f>step3_validation[[#This Row],[AI_FAC2]]</f>
        <v>8</v>
      </c>
      <c r="AG181" t="str">
        <f t="shared" si="63"/>
        <v>Support</v>
      </c>
      <c r="AH181">
        <f>survey_responses[[#This Row],[So với trước đây, tôi thấy cách tính thuế và các bậc thuế trong phương án mới đơn giản, dễ hiểu và dễ thực hiện hơn. - HUMAN-FAC2]]</f>
        <v>7</v>
      </c>
      <c r="AI181" t="str">
        <f t="shared" si="64"/>
        <v>Neutral</v>
      </c>
      <c r="AJ181" s="32">
        <f t="shared" si="65"/>
        <v>1</v>
      </c>
      <c r="AK181">
        <f>step3_validation[[#This Row],[AI_TRU1]]</f>
        <v>9</v>
      </c>
      <c r="AL181" t="str">
        <f t="shared" si="66"/>
        <v>Support</v>
      </c>
      <c r="AM181">
        <f>survey_responses[[#This Row],[Tôi tin rằng Nhà nước, cơ quan thuế sẽ thực thi chính sách mới một cách khách quan, công tâm và đối xử bình đẳng với mọi người nộp thuế.  - HUMAN-TRU1]]</f>
        <v>5</v>
      </c>
      <c r="AN181" t="str">
        <f t="shared" si="67"/>
        <v>Neutral</v>
      </c>
      <c r="AO181" s="32">
        <f t="shared" si="68"/>
        <v>4</v>
      </c>
      <c r="AP181">
        <f>step3_validation[[#This Row],[AI_TRU2]]</f>
        <v>8</v>
      </c>
      <c r="AQ181" t="str">
        <f t="shared" si="69"/>
        <v>Support</v>
      </c>
      <c r="AR181">
        <f>survey_responses[[#This Row],[Tôi thấy mức thuế tôi phải đóng theo phương án mới là công bằng (người thu nhập như tôi đóng mức này là hợp lý). - HUMAN-TRU2]]</f>
        <v>6</v>
      </c>
      <c r="AS181" t="str">
        <f t="shared" si="70"/>
        <v>Neutral</v>
      </c>
      <c r="AT181" s="32">
        <f t="shared" si="71"/>
        <v>2</v>
      </c>
      <c r="AU181">
        <f>step3_validation[[#This Row],[AI_TRU3]]</f>
        <v>9</v>
      </c>
      <c r="AV181" t="str">
        <f t="shared" si="72"/>
        <v>Support</v>
      </c>
      <c r="AW181">
        <f>survey_responses[[#This Row],[Tôi tin tưởng số tiền thuế tôi đóng sẽ được Nhà nước sử dụng hiệu quả để cải thiện dịch vụ công (y tế, đường xá...). - HUMAN-TRU3]]</f>
        <v>5</v>
      </c>
      <c r="AX181" t="str">
        <f t="shared" si="73"/>
        <v>Neutral</v>
      </c>
      <c r="AY181" s="32">
        <f t="shared" si="74"/>
        <v>4</v>
      </c>
      <c r="AZ181">
        <f>step3_validation[[#This Row],[AI_TRU4]]</f>
        <v>8</v>
      </c>
      <c r="BA181" t="str">
        <f t="shared" si="75"/>
        <v>Support</v>
      </c>
      <c r="BB181">
        <f>survey_responses[[#This Row],[Tôi thấy Nhà nước đã giải thích rõ ràng, minh bạch về lý do và mục tiêu của việc sửa đổi thuế lần này. - HUMAN-TRU4]]</f>
        <v>7</v>
      </c>
      <c r="BC181" t="str">
        <f t="shared" si="76"/>
        <v>Neutral</v>
      </c>
      <c r="BD181" s="32">
        <f t="shared" si="77"/>
        <v>1</v>
      </c>
      <c r="BE181">
        <f>step3_validation[[#This Row],[AI_OUT1]]</f>
        <v>9</v>
      </c>
      <c r="BF181" t="str">
        <f t="shared" si="78"/>
        <v>Support</v>
      </c>
      <c r="BG181">
        <f>survey_responses[[#This Row],[Sau khi xem xét các quyền lợi và nghĩa vụ, bạn có ủng hộ và tuân thủ chính sách mới hiện nay? - HUMAN-OUT1]]</f>
        <v>7</v>
      </c>
      <c r="BH181" t="str">
        <f t="shared" si="79"/>
        <v>Neutral</v>
      </c>
      <c r="BI181" s="32">
        <f t="shared" si="80"/>
        <v>2</v>
      </c>
    </row>
    <row r="182" spans="1:61" x14ac:dyDescent="0.45">
      <c r="A182" s="30">
        <f>step3_validation[[#This Row],[Persona_ID]]</f>
        <v>181</v>
      </c>
      <c r="B182" s="31">
        <f>step3_validation[[#This Row],[Used_Seed]]</f>
        <v>12525</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55.869776463680211</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7</v>
      </c>
      <c r="R182" t="str">
        <f t="shared" si="54"/>
        <v>Neutral</v>
      </c>
      <c r="S182">
        <f>survey_responses[[#This Row],[Tôi tin rằng với các quy định quản lý thuế hiện nay, hành vi gian lận hoặc trốn thuế sẽ dễ dàng bị phát hiện và xử lý nghiêm. - HUMAN-ENF1]]</f>
        <v>6</v>
      </c>
      <c r="T182" t="str">
        <f t="shared" si="55"/>
        <v>Neutral</v>
      </c>
      <c r="U182" s="32">
        <f t="shared" si="56"/>
        <v>1</v>
      </c>
      <c r="V182">
        <f>step3_validation[[#This Row],[AI_ENF2]]</f>
        <v>9</v>
      </c>
      <c r="W182" t="str">
        <f t="shared" si="57"/>
        <v>Support</v>
      </c>
      <c r="X182">
        <f>survey_responses[[#This Row],[Tôi tin rằng Nhà nước, cơ quan thuế có đủ khả năng và công nghệ để phát hiện, xử lý nghiêm các hành vi trốn thuế. - HUMAN-ENF2]]</f>
        <v>7</v>
      </c>
      <c r="Y182" t="str">
        <f t="shared" si="58"/>
        <v>Neutral</v>
      </c>
      <c r="Z182" s="32">
        <f t="shared" si="59"/>
        <v>2</v>
      </c>
      <c r="AA182">
        <f>step3_validation[[#This Row],[AI_FAC1]]</f>
        <v>8</v>
      </c>
      <c r="AB182" t="str">
        <f t="shared" si="60"/>
        <v>Support</v>
      </c>
      <c r="AC182">
        <f>survey_responses[[#This Row],[Các thủ tục khai báo thuế VÀ/HOẶC quy trình làm việc với cơ quan thuế đơn giản, tiện lợi, nhanh chóng hơn so với trước đây. - HUMAN-FAC1]]</f>
        <v>7</v>
      </c>
      <c r="AD182" t="str">
        <f t="shared" si="61"/>
        <v>Neutral</v>
      </c>
      <c r="AE182" s="32">
        <f t="shared" si="62"/>
        <v>1</v>
      </c>
      <c r="AF182">
        <f>step3_validation[[#This Row],[AI_FAC2]]</f>
        <v>9</v>
      </c>
      <c r="AG182" t="str">
        <f t="shared" si="63"/>
        <v>Support</v>
      </c>
      <c r="AH182">
        <f>survey_responses[[#This Row],[So với trước đây, tôi thấy cách tính thuế và các bậc thuế trong phương án mới đơn giản, dễ hiểu và dễ thực hiện hơn. - HUMAN-FAC2]]</f>
        <v>8</v>
      </c>
      <c r="AI182" t="str">
        <f t="shared" si="64"/>
        <v>Support</v>
      </c>
      <c r="AJ182" s="32">
        <f t="shared" si="65"/>
        <v>1</v>
      </c>
      <c r="AK182">
        <f>step3_validation[[#This Row],[AI_TRU1]]</f>
        <v>8</v>
      </c>
      <c r="AL182" t="str">
        <f t="shared" si="66"/>
        <v>Support</v>
      </c>
      <c r="AM182">
        <f>survey_responses[[#This Row],[Tôi tin rằng Nhà nước, cơ quan thuế sẽ thực thi chính sách mới một cách khách quan, công tâm và đối xử bình đẳng với mọi người nộp thuế.  - HUMAN-TRU1]]</f>
        <v>8</v>
      </c>
      <c r="AN182" t="str">
        <f t="shared" si="67"/>
        <v>Support</v>
      </c>
      <c r="AO182" s="32">
        <f t="shared" si="68"/>
        <v>0</v>
      </c>
      <c r="AP182">
        <f>step3_validation[[#This Row],[AI_TRU2]]</f>
        <v>9</v>
      </c>
      <c r="AQ182" t="str">
        <f t="shared" si="69"/>
        <v>Support</v>
      </c>
      <c r="AR182">
        <f>survey_responses[[#This Row],[Tôi thấy mức thuế tôi phải đóng theo phương án mới là công bằng (người thu nhập như tôi đóng mức này là hợp lý). - HUMAN-TRU2]]</f>
        <v>7</v>
      </c>
      <c r="AS182" t="str">
        <f t="shared" si="70"/>
        <v>Neutral</v>
      </c>
      <c r="AT182" s="32">
        <f t="shared" si="71"/>
        <v>2</v>
      </c>
      <c r="AU182">
        <f>step3_validation[[#This Row],[AI_TRU3]]</f>
        <v>8</v>
      </c>
      <c r="AV182" t="str">
        <f t="shared" si="72"/>
        <v>Support</v>
      </c>
      <c r="AW182">
        <f>survey_responses[[#This Row],[Tôi tin tưởng số tiền thuế tôi đóng sẽ được Nhà nước sử dụng hiệu quả để cải thiện dịch vụ công (y tế, đường xá...). - HUMAN-TRU3]]</f>
        <v>5</v>
      </c>
      <c r="AX182" t="str">
        <f t="shared" si="73"/>
        <v>Neutral</v>
      </c>
      <c r="AY182" s="32">
        <f t="shared" si="74"/>
        <v>3</v>
      </c>
      <c r="AZ182">
        <f>step3_validation[[#This Row],[AI_TRU4]]</f>
        <v>9</v>
      </c>
      <c r="BA182" t="str">
        <f t="shared" si="75"/>
        <v>Support</v>
      </c>
      <c r="BB182">
        <f>survey_responses[[#This Row],[Tôi thấy Nhà nước đã giải thích rõ ràng, minh bạch về lý do và mục tiêu của việc sửa đổi thuế lần này. - HUMAN-TRU4]]</f>
        <v>7</v>
      </c>
      <c r="BC182" t="str">
        <f t="shared" si="76"/>
        <v>Neutral</v>
      </c>
      <c r="BD182" s="32">
        <f t="shared" si="77"/>
        <v>2</v>
      </c>
      <c r="BE182">
        <f>step3_validation[[#This Row],[AI_OUT1]]</f>
        <v>8</v>
      </c>
      <c r="BF182" t="str">
        <f t="shared" si="78"/>
        <v>Support</v>
      </c>
      <c r="BG182">
        <f>survey_responses[[#This Row],[Sau khi xem xét các quyền lợi và nghĩa vụ, bạn có ủng hộ và tuân thủ chính sách mới hiện nay? - HUMAN-OUT1]]</f>
        <v>7</v>
      </c>
      <c r="BH182" t="str">
        <f t="shared" si="79"/>
        <v>Neutral</v>
      </c>
      <c r="BI182" s="32">
        <f t="shared" si="80"/>
        <v>1</v>
      </c>
    </row>
    <row r="183" spans="1:61" x14ac:dyDescent="0.45">
      <c r="A183" s="30">
        <f>step3_validation[[#This Row],[Persona_ID]]</f>
        <v>182</v>
      </c>
      <c r="B183" s="31">
        <f>step3_validation[[#This Row],[Used_Seed]]</f>
        <v>12526</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26.36529032007855</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t="str">
        <f t="shared" si="54"/>
        <v>Neutral</v>
      </c>
      <c r="S183">
        <f>survey_responses[[#This Row],[Tôi tin rằng với các quy định quản lý thuế hiện nay, hành vi gian lận hoặc trốn thuế sẽ dễ dàng bị phát hiện và xử lý nghiêm. - HUMAN-ENF1]]</f>
        <v>8</v>
      </c>
      <c r="T183" t="str">
        <f t="shared" si="55"/>
        <v>Support</v>
      </c>
      <c r="U183" s="32">
        <f t="shared" si="56"/>
        <v>1</v>
      </c>
      <c r="V183">
        <f>step3_validation[[#This Row],[AI_ENF2]]</f>
        <v>6</v>
      </c>
      <c r="W183" t="str">
        <f t="shared" si="57"/>
        <v>Neutral</v>
      </c>
      <c r="X183">
        <f>survey_responses[[#This Row],[Tôi tin rằng Nhà nước, cơ quan thuế có đủ khả năng và công nghệ để phát hiện, xử lý nghiêm các hành vi trốn thuế. - HUMAN-ENF2]]</f>
        <v>8</v>
      </c>
      <c r="Y183" t="str">
        <f t="shared" si="58"/>
        <v>Support</v>
      </c>
      <c r="Z183" s="32">
        <f t="shared" si="59"/>
        <v>2</v>
      </c>
      <c r="AA183">
        <f>step3_validation[[#This Row],[AI_FAC1]]</f>
        <v>8</v>
      </c>
      <c r="AB183" t="str">
        <f t="shared" si="60"/>
        <v>Support</v>
      </c>
      <c r="AC183">
        <f>survey_responses[[#This Row],[Các thủ tục khai báo thuế VÀ/HOẶC quy trình làm việc với cơ quan thuế đơn giản, tiện lợi, nhanh chóng hơn so với trước đây. - HUMAN-FAC1]]</f>
        <v>5</v>
      </c>
      <c r="AD183" t="str">
        <f t="shared" si="61"/>
        <v>Neutral</v>
      </c>
      <c r="AE183" s="32">
        <f t="shared" si="62"/>
        <v>3</v>
      </c>
      <c r="AF183">
        <f>step3_validation[[#This Row],[AI_FAC2]]</f>
        <v>9</v>
      </c>
      <c r="AG183" t="str">
        <f t="shared" si="63"/>
        <v>Support</v>
      </c>
      <c r="AH183">
        <f>survey_responses[[#This Row],[So với trước đây, tôi thấy cách tính thuế và các bậc thuế trong phương án mới đơn giản, dễ hiểu và dễ thực hiện hơn. - HUMAN-FAC2]]</f>
        <v>8</v>
      </c>
      <c r="AI183" t="str">
        <f t="shared" si="64"/>
        <v>Support</v>
      </c>
      <c r="AJ183" s="32">
        <f t="shared" si="65"/>
        <v>1</v>
      </c>
      <c r="AK183">
        <f>step3_validation[[#This Row],[AI_TRU1]]</f>
        <v>7</v>
      </c>
      <c r="AL183" t="str">
        <f t="shared" si="66"/>
        <v>Neutral</v>
      </c>
      <c r="AM183">
        <f>survey_responses[[#This Row],[Tôi tin rằng Nhà nước, cơ quan thuế sẽ thực thi chính sách mới một cách khách quan, công tâm và đối xử bình đẳng với mọi người nộp thuế.  - HUMAN-TRU1]]</f>
        <v>6</v>
      </c>
      <c r="AN183" t="str">
        <f t="shared" si="67"/>
        <v>Neutral</v>
      </c>
      <c r="AO183" s="32">
        <f t="shared" si="68"/>
        <v>1</v>
      </c>
      <c r="AP183">
        <f>step3_validation[[#This Row],[AI_TRU2]]</f>
        <v>9</v>
      </c>
      <c r="AQ183" t="str">
        <f t="shared" si="69"/>
        <v>Support</v>
      </c>
      <c r="AR183">
        <f>survey_responses[[#This Row],[Tôi thấy mức thuế tôi phải đóng theo phương án mới là công bằng (người thu nhập như tôi đóng mức này là hợp lý). - HUMAN-TRU2]]</f>
        <v>8</v>
      </c>
      <c r="AS183" t="str">
        <f t="shared" si="70"/>
        <v>Support</v>
      </c>
      <c r="AT183" s="32">
        <f t="shared" si="71"/>
        <v>1</v>
      </c>
      <c r="AU183">
        <f>step3_validation[[#This Row],[AI_TRU3]]</f>
        <v>6</v>
      </c>
      <c r="AV183" t="str">
        <f t="shared" si="72"/>
        <v>Neutral</v>
      </c>
      <c r="AW183">
        <f>survey_responses[[#This Row],[Tôi tin tưởng số tiền thuế tôi đóng sẽ được Nhà nước sử dụng hiệu quả để cải thiện dịch vụ công (y tế, đường xá...). - HUMAN-TRU3]]</f>
        <v>6</v>
      </c>
      <c r="AX183" t="str">
        <f t="shared" si="73"/>
        <v>Neutral</v>
      </c>
      <c r="AY183" s="32">
        <f t="shared" si="74"/>
        <v>0</v>
      </c>
      <c r="AZ183">
        <f>step3_validation[[#This Row],[AI_TRU4]]</f>
        <v>7</v>
      </c>
      <c r="BA183" t="str">
        <f t="shared" si="75"/>
        <v>Neutral</v>
      </c>
      <c r="BB183">
        <f>survey_responses[[#This Row],[Tôi thấy Nhà nước đã giải thích rõ ràng, minh bạch về lý do và mục tiêu của việc sửa đổi thuế lần này. - HUMAN-TRU4]]</f>
        <v>7</v>
      </c>
      <c r="BC183" t="str">
        <f t="shared" si="76"/>
        <v>Neutral</v>
      </c>
      <c r="BD183" s="32">
        <f t="shared" si="77"/>
        <v>0</v>
      </c>
      <c r="BE183">
        <f>step3_validation[[#This Row],[AI_OUT1]]</f>
        <v>8</v>
      </c>
      <c r="BF183" t="str">
        <f t="shared" si="78"/>
        <v>Support</v>
      </c>
      <c r="BG183">
        <f>survey_responses[[#This Row],[Sau khi xem xét các quyền lợi và nghĩa vụ, bạn có ủng hộ và tuân thủ chính sách mới hiện nay? - HUMAN-OUT1]]</f>
        <v>7</v>
      </c>
      <c r="BH183" t="str">
        <f t="shared" si="79"/>
        <v>Neutral</v>
      </c>
      <c r="BI183" s="32">
        <f t="shared" si="80"/>
        <v>1</v>
      </c>
    </row>
    <row r="184" spans="1:61" x14ac:dyDescent="0.45">
      <c r="A184" s="30">
        <f>step3_validation[[#This Row],[Persona_ID]]</f>
        <v>183</v>
      </c>
      <c r="B184" s="31">
        <f>step3_validation[[#This Row],[Used_Seed]]</f>
        <v>12527</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242.87940079209727</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9</v>
      </c>
      <c r="R184" t="str">
        <f t="shared" si="54"/>
        <v>Support</v>
      </c>
      <c r="S184">
        <f>survey_responses[[#This Row],[Tôi tin rằng với các quy định quản lý thuế hiện nay, hành vi gian lận hoặc trốn thuế sẽ dễ dàng bị phát hiện và xử lý nghiêm. - HUMAN-ENF1]]</f>
        <v>2</v>
      </c>
      <c r="T184" t="str">
        <f t="shared" si="55"/>
        <v>Oppose</v>
      </c>
      <c r="U184" s="32">
        <f t="shared" si="56"/>
        <v>7</v>
      </c>
      <c r="V184">
        <f>step3_validation[[#This Row],[AI_ENF2]]</f>
        <v>8</v>
      </c>
      <c r="W184" t="str">
        <f t="shared" si="57"/>
        <v>Support</v>
      </c>
      <c r="X184">
        <f>survey_responses[[#This Row],[Tôi tin rằng Nhà nước, cơ quan thuế có đủ khả năng và công nghệ để phát hiện, xử lý nghiêm các hành vi trốn thuế. - HUMAN-ENF2]]</f>
        <v>5</v>
      </c>
      <c r="Y184" t="str">
        <f t="shared" si="58"/>
        <v>Neutral</v>
      </c>
      <c r="Z184" s="32">
        <f t="shared" si="59"/>
        <v>3</v>
      </c>
      <c r="AA184">
        <f>step3_validation[[#This Row],[AI_FAC1]]</f>
        <v>9</v>
      </c>
      <c r="AB184" t="str">
        <f t="shared" si="60"/>
        <v>Support</v>
      </c>
      <c r="AC184">
        <f>survey_responses[[#This Row],[Các thủ tục khai báo thuế VÀ/HOẶC quy trình làm việc với cơ quan thuế đơn giản, tiện lợi, nhanh chóng hơn so với trước đây. - HUMAN-FAC1]]</f>
        <v>3</v>
      </c>
      <c r="AD184" t="str">
        <f t="shared" si="61"/>
        <v>Oppose</v>
      </c>
      <c r="AE184" s="32">
        <f t="shared" si="62"/>
        <v>6</v>
      </c>
      <c r="AF184">
        <f>step3_validation[[#This Row],[AI_FAC2]]</f>
        <v>8</v>
      </c>
      <c r="AG184" t="str">
        <f t="shared" si="63"/>
        <v>Support</v>
      </c>
      <c r="AH184">
        <f>survey_responses[[#This Row],[So với trước đây, tôi thấy cách tính thuế và các bậc thuế trong phương án mới đơn giản, dễ hiểu và dễ thực hiện hơn. - HUMAN-FAC2]]</f>
        <v>5</v>
      </c>
      <c r="AI184" t="str">
        <f t="shared" si="64"/>
        <v>Neutral</v>
      </c>
      <c r="AJ184" s="32">
        <f t="shared" si="65"/>
        <v>3</v>
      </c>
      <c r="AK184">
        <f>step3_validation[[#This Row],[AI_TRU1]]</f>
        <v>9</v>
      </c>
      <c r="AL184" t="str">
        <f t="shared" si="66"/>
        <v>Support</v>
      </c>
      <c r="AM184">
        <f>survey_responses[[#This Row],[Tôi tin rằng Nhà nước, cơ quan thuế sẽ thực thi chính sách mới một cách khách quan, công tâm và đối xử bình đẳng với mọi người nộp thuế.  - HUMAN-TRU1]]</f>
        <v>3</v>
      </c>
      <c r="AN184" t="str">
        <f t="shared" si="67"/>
        <v>Oppose</v>
      </c>
      <c r="AO184" s="32">
        <f t="shared" si="68"/>
        <v>6</v>
      </c>
      <c r="AP184">
        <f>step3_validation[[#This Row],[AI_TRU2]]</f>
        <v>8</v>
      </c>
      <c r="AQ184" t="str">
        <f t="shared" si="69"/>
        <v>Support</v>
      </c>
      <c r="AR184">
        <f>survey_responses[[#This Row],[Tôi thấy mức thuế tôi phải đóng theo phương án mới là công bằng (người thu nhập như tôi đóng mức này là hợp lý). - HUMAN-TRU2]]</f>
        <v>2</v>
      </c>
      <c r="AS184" t="str">
        <f t="shared" si="70"/>
        <v>Oppose</v>
      </c>
      <c r="AT184" s="32">
        <f t="shared" si="71"/>
        <v>6</v>
      </c>
      <c r="AU184">
        <f>step3_validation[[#This Row],[AI_TRU3]]</f>
        <v>9</v>
      </c>
      <c r="AV184" t="str">
        <f t="shared" si="72"/>
        <v>Support</v>
      </c>
      <c r="AW184">
        <f>survey_responses[[#This Row],[Tôi tin tưởng số tiền thuế tôi đóng sẽ được Nhà nước sử dụng hiệu quả để cải thiện dịch vụ công (y tế, đường xá...). - HUMAN-TRU3]]</f>
        <v>1</v>
      </c>
      <c r="AX184" t="str">
        <f t="shared" si="73"/>
        <v>Oppose</v>
      </c>
      <c r="AY184" s="32">
        <f t="shared" si="74"/>
        <v>8</v>
      </c>
      <c r="AZ184">
        <f>step3_validation[[#This Row],[AI_TRU4]]</f>
        <v>8</v>
      </c>
      <c r="BA184" t="str">
        <f t="shared" si="75"/>
        <v>Support</v>
      </c>
      <c r="BB184">
        <f>survey_responses[[#This Row],[Tôi thấy Nhà nước đã giải thích rõ ràng, minh bạch về lý do và mục tiêu của việc sửa đổi thuế lần này. - HUMAN-TRU4]]</f>
        <v>5</v>
      </c>
      <c r="BC184" t="str">
        <f t="shared" si="76"/>
        <v>Neutral</v>
      </c>
      <c r="BD184" s="32">
        <f t="shared" si="77"/>
        <v>3</v>
      </c>
      <c r="BE184">
        <f>step3_validation[[#This Row],[AI_OUT1]]</f>
        <v>9</v>
      </c>
      <c r="BF184" t="str">
        <f t="shared" si="78"/>
        <v>Support</v>
      </c>
      <c r="BG184">
        <f>survey_responses[[#This Row],[Sau khi xem xét các quyền lợi và nghĩa vụ, bạn có ủng hộ và tuân thủ chính sách mới hiện nay? - HUMAN-OUT1]]</f>
        <v>5</v>
      </c>
      <c r="BH184" t="str">
        <f t="shared" si="79"/>
        <v>Neutral</v>
      </c>
      <c r="BI184" s="32">
        <f t="shared" si="80"/>
        <v>4</v>
      </c>
    </row>
    <row r="185" spans="1:61" x14ac:dyDescent="0.45">
      <c r="A185" s="30">
        <f>step3_validation[[#This Row],[Persona_ID]]</f>
        <v>184</v>
      </c>
      <c r="B185" s="31">
        <f>step3_validation[[#This Row],[Used_Seed]]</f>
        <v>12528</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13.994494786815956</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8</v>
      </c>
      <c r="R185" t="str">
        <f t="shared" si="54"/>
        <v>Support</v>
      </c>
      <c r="S185">
        <f>survey_responses[[#This Row],[Tôi tin rằng với các quy định quản lý thuế hiện nay, hành vi gian lận hoặc trốn thuế sẽ dễ dàng bị phát hiện và xử lý nghiêm. - HUMAN-ENF1]]</f>
        <v>6</v>
      </c>
      <c r="T185" t="str">
        <f t="shared" si="55"/>
        <v>Neutral</v>
      </c>
      <c r="U185" s="32">
        <f t="shared" si="56"/>
        <v>2</v>
      </c>
      <c r="V185">
        <f>step3_validation[[#This Row],[AI_ENF2]]</f>
        <v>9</v>
      </c>
      <c r="W185" t="str">
        <f t="shared" si="57"/>
        <v>Support</v>
      </c>
      <c r="X185">
        <f>survey_responses[[#This Row],[Tôi tin rằng Nhà nước, cơ quan thuế có đủ khả năng và công nghệ để phát hiện, xử lý nghiêm các hành vi trốn thuế. - HUMAN-ENF2]]</f>
        <v>6</v>
      </c>
      <c r="Y185" t="str">
        <f t="shared" si="58"/>
        <v>Neutral</v>
      </c>
      <c r="Z185" s="32">
        <f t="shared" si="59"/>
        <v>3</v>
      </c>
      <c r="AA185">
        <f>step3_validation[[#This Row],[AI_FAC1]]</f>
        <v>8</v>
      </c>
      <c r="AB185" t="str">
        <f t="shared" si="60"/>
        <v>Support</v>
      </c>
      <c r="AC185">
        <f>survey_responses[[#This Row],[Các thủ tục khai báo thuế VÀ/HOẶC quy trình làm việc với cơ quan thuế đơn giản, tiện lợi, nhanh chóng hơn so với trước đây. - HUMAN-FAC1]]</f>
        <v>5</v>
      </c>
      <c r="AD185" t="str">
        <f t="shared" si="61"/>
        <v>Neutral</v>
      </c>
      <c r="AE185" s="32">
        <f t="shared" si="62"/>
        <v>3</v>
      </c>
      <c r="AF185">
        <f>step3_validation[[#This Row],[AI_FAC2]]</f>
        <v>9</v>
      </c>
      <c r="AG185" t="str">
        <f t="shared" si="63"/>
        <v>Support</v>
      </c>
      <c r="AH185">
        <f>survey_responses[[#This Row],[So với trước đây, tôi thấy cách tính thuế và các bậc thuế trong phương án mới đơn giản, dễ hiểu và dễ thực hiện hơn. - HUMAN-FAC2]]</f>
        <v>9</v>
      </c>
      <c r="AI185" t="str">
        <f t="shared" si="64"/>
        <v>Support</v>
      </c>
      <c r="AJ185" s="32">
        <f t="shared" si="65"/>
        <v>0</v>
      </c>
      <c r="AK185">
        <f>step3_validation[[#This Row],[AI_TRU1]]</f>
        <v>8</v>
      </c>
      <c r="AL185" t="str">
        <f t="shared" si="66"/>
        <v>Support</v>
      </c>
      <c r="AM185">
        <f>survey_responses[[#This Row],[Tôi tin rằng Nhà nước, cơ quan thuế sẽ thực thi chính sách mới một cách khách quan, công tâm và đối xử bình đẳng với mọi người nộp thuế.  - HUMAN-TRU1]]</f>
        <v>7</v>
      </c>
      <c r="AN185" t="str">
        <f t="shared" si="67"/>
        <v>Neutral</v>
      </c>
      <c r="AO185" s="32">
        <f t="shared" si="68"/>
        <v>1</v>
      </c>
      <c r="AP185">
        <f>step3_validation[[#This Row],[AI_TRU2]]</f>
        <v>9</v>
      </c>
      <c r="AQ185" t="str">
        <f t="shared" si="69"/>
        <v>Support</v>
      </c>
      <c r="AR185">
        <f>survey_responses[[#This Row],[Tôi thấy mức thuế tôi phải đóng theo phương án mới là công bằng (người thu nhập như tôi đóng mức này là hợp lý). - HUMAN-TRU2]]</f>
        <v>8</v>
      </c>
      <c r="AS185" t="str">
        <f t="shared" si="70"/>
        <v>Support</v>
      </c>
      <c r="AT185" s="32">
        <f t="shared" si="71"/>
        <v>1</v>
      </c>
      <c r="AU185">
        <f>step3_validation[[#This Row],[AI_TRU3]]</f>
        <v>8</v>
      </c>
      <c r="AV185" t="str">
        <f t="shared" si="72"/>
        <v>Support</v>
      </c>
      <c r="AW185">
        <f>survey_responses[[#This Row],[Tôi tin tưởng số tiền thuế tôi đóng sẽ được Nhà nước sử dụng hiệu quả để cải thiện dịch vụ công (y tế, đường xá...). - HUMAN-TRU3]]</f>
        <v>5</v>
      </c>
      <c r="AX185" t="str">
        <f t="shared" si="73"/>
        <v>Neutral</v>
      </c>
      <c r="AY185" s="32">
        <f t="shared" si="74"/>
        <v>3</v>
      </c>
      <c r="AZ185">
        <f>step3_validation[[#This Row],[AI_TRU4]]</f>
        <v>9</v>
      </c>
      <c r="BA185" t="str">
        <f t="shared" si="75"/>
        <v>Support</v>
      </c>
      <c r="BB185">
        <f>survey_responses[[#This Row],[Tôi thấy Nhà nước đã giải thích rõ ràng, minh bạch về lý do và mục tiêu của việc sửa đổi thuế lần này. - HUMAN-TRU4]]</f>
        <v>7</v>
      </c>
      <c r="BC185" t="str">
        <f t="shared" si="76"/>
        <v>Neutral</v>
      </c>
      <c r="BD185" s="32">
        <f t="shared" si="77"/>
        <v>2</v>
      </c>
      <c r="BE185">
        <f>step3_validation[[#This Row],[AI_OUT1]]</f>
        <v>9</v>
      </c>
      <c r="BF185" t="str">
        <f t="shared" si="78"/>
        <v>Support</v>
      </c>
      <c r="BG185">
        <f>survey_responses[[#This Row],[Sau khi xem xét các quyền lợi và nghĩa vụ, bạn có ủng hộ và tuân thủ chính sách mới hiện nay? - HUMAN-OUT1]]</f>
        <v>7</v>
      </c>
      <c r="BH185" t="str">
        <f t="shared" si="79"/>
        <v>Neutral</v>
      </c>
      <c r="BI185" s="32">
        <f t="shared" si="80"/>
        <v>2</v>
      </c>
    </row>
    <row r="186" spans="1:61" x14ac:dyDescent="0.45">
      <c r="A186" s="30">
        <f>step3_validation[[#This Row],[Persona_ID]]</f>
        <v>185</v>
      </c>
      <c r="B186" s="31">
        <f>step3_validation[[#This Row],[Used_Seed]]</f>
        <v>12529</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43.39396714593326</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5</v>
      </c>
      <c r="R186" t="str">
        <f t="shared" si="54"/>
        <v>Neutral</v>
      </c>
      <c r="S186">
        <f>survey_responses[[#This Row],[Tôi tin rằng với các quy định quản lý thuế hiện nay, hành vi gian lận hoặc trốn thuế sẽ dễ dàng bị phát hiện và xử lý nghiêm. - HUMAN-ENF1]]</f>
        <v>7</v>
      </c>
      <c r="T186" t="str">
        <f t="shared" si="55"/>
        <v>Neutral</v>
      </c>
      <c r="U186" s="32">
        <f t="shared" si="56"/>
        <v>2</v>
      </c>
      <c r="V186">
        <f>step3_validation[[#This Row],[AI_ENF2]]</f>
        <v>6</v>
      </c>
      <c r="W186" t="str">
        <f t="shared" si="57"/>
        <v>Neutral</v>
      </c>
      <c r="X186">
        <f>survey_responses[[#This Row],[Tôi tin rằng Nhà nước, cơ quan thuế có đủ khả năng và công nghệ để phát hiện, xử lý nghiêm các hành vi trốn thuế. - HUMAN-ENF2]]</f>
        <v>7</v>
      </c>
      <c r="Y186" t="str">
        <f t="shared" si="58"/>
        <v>Neutral</v>
      </c>
      <c r="Z186" s="32">
        <f t="shared" si="59"/>
        <v>1</v>
      </c>
      <c r="AA186">
        <f>step3_validation[[#This Row],[AI_FAC1]]</f>
        <v>9</v>
      </c>
      <c r="AB186" t="str">
        <f t="shared" si="60"/>
        <v>Support</v>
      </c>
      <c r="AC186">
        <f>survey_responses[[#This Row],[Các thủ tục khai báo thuế VÀ/HOẶC quy trình làm việc với cơ quan thuế đơn giản, tiện lợi, nhanh chóng hơn so với trước đây. - HUMAN-FAC1]]</f>
        <v>6</v>
      </c>
      <c r="AD186" t="str">
        <f t="shared" si="61"/>
        <v>Neutral</v>
      </c>
      <c r="AE186" s="32">
        <f t="shared" si="62"/>
        <v>3</v>
      </c>
      <c r="AF186">
        <f>step3_validation[[#This Row],[AI_FAC2]]</f>
        <v>9</v>
      </c>
      <c r="AG186" t="str">
        <f t="shared" si="63"/>
        <v>Support</v>
      </c>
      <c r="AH186">
        <f>survey_responses[[#This Row],[So với trước đây, tôi thấy cách tính thuế và các bậc thuế trong phương án mới đơn giản, dễ hiểu và dễ thực hiện hơn. - HUMAN-FAC2]]</f>
        <v>8</v>
      </c>
      <c r="AI186" t="str">
        <f t="shared" si="64"/>
        <v>Support</v>
      </c>
      <c r="AJ186" s="32">
        <f t="shared" si="65"/>
        <v>1</v>
      </c>
      <c r="AK186">
        <f>step3_validation[[#This Row],[AI_TRU1]]</f>
        <v>7</v>
      </c>
      <c r="AL186" t="str">
        <f t="shared" si="66"/>
        <v>Neutral</v>
      </c>
      <c r="AM186">
        <f>survey_responses[[#This Row],[Tôi tin rằng Nhà nước, cơ quan thuế sẽ thực thi chính sách mới một cách khách quan, công tâm và đối xử bình đẳng với mọi người nộp thuế.  - HUMAN-TRU1]]</f>
        <v>5</v>
      </c>
      <c r="AN186" t="str">
        <f t="shared" si="67"/>
        <v>Neutral</v>
      </c>
      <c r="AO186" s="32">
        <f t="shared" si="68"/>
        <v>2</v>
      </c>
      <c r="AP186">
        <f>step3_validation[[#This Row],[AI_TRU2]]</f>
        <v>8</v>
      </c>
      <c r="AQ186" t="str">
        <f t="shared" si="69"/>
        <v>Support</v>
      </c>
      <c r="AR186">
        <f>survey_responses[[#This Row],[Tôi thấy mức thuế tôi phải đóng theo phương án mới là công bằng (người thu nhập như tôi đóng mức này là hợp lý). - HUMAN-TRU2]]</f>
        <v>5</v>
      </c>
      <c r="AS186" t="str">
        <f t="shared" si="70"/>
        <v>Neutral</v>
      </c>
      <c r="AT186" s="32">
        <f t="shared" si="71"/>
        <v>3</v>
      </c>
      <c r="AU186">
        <f>step3_validation[[#This Row],[AI_TRU3]]</f>
        <v>7</v>
      </c>
      <c r="AV186" t="str">
        <f t="shared" si="72"/>
        <v>Neutral</v>
      </c>
      <c r="AW186">
        <f>survey_responses[[#This Row],[Tôi tin tưởng số tiền thuế tôi đóng sẽ được Nhà nước sử dụng hiệu quả để cải thiện dịch vụ công (y tế, đường xá...). - HUMAN-TRU3]]</f>
        <v>5</v>
      </c>
      <c r="AX186" t="str">
        <f t="shared" si="73"/>
        <v>Neutral</v>
      </c>
      <c r="AY186" s="32">
        <f t="shared" si="74"/>
        <v>2</v>
      </c>
      <c r="AZ186">
        <f>step3_validation[[#This Row],[AI_TRU4]]</f>
        <v>8</v>
      </c>
      <c r="BA186" t="str">
        <f t="shared" si="75"/>
        <v>Support</v>
      </c>
      <c r="BB186">
        <f>survey_responses[[#This Row],[Tôi thấy Nhà nước đã giải thích rõ ràng, minh bạch về lý do và mục tiêu của việc sửa đổi thuế lần này. - HUMAN-TRU4]]</f>
        <v>6</v>
      </c>
      <c r="BC186" t="str">
        <f t="shared" si="76"/>
        <v>Neutral</v>
      </c>
      <c r="BD186" s="32">
        <f t="shared" si="77"/>
        <v>2</v>
      </c>
      <c r="BE186">
        <f>step3_validation[[#This Row],[AI_OUT1]]</f>
        <v>7</v>
      </c>
      <c r="BF186" t="str">
        <f t="shared" si="78"/>
        <v>Neutral</v>
      </c>
      <c r="BG186">
        <f>survey_responses[[#This Row],[Sau khi xem xét các quyền lợi và nghĩa vụ, bạn có ủng hộ và tuân thủ chính sách mới hiện nay? - HUMAN-OUT1]]</f>
        <v>5</v>
      </c>
      <c r="BH186" t="str">
        <f t="shared" si="79"/>
        <v>Neutral</v>
      </c>
      <c r="BI186" s="32">
        <f t="shared" si="80"/>
        <v>2</v>
      </c>
    </row>
    <row r="187" spans="1:61" x14ac:dyDescent="0.45">
      <c r="A187" s="30">
        <f>step3_validation[[#This Row],[Persona_ID]]</f>
        <v>186</v>
      </c>
      <c r="B187" s="31">
        <f>step3_validation[[#This Row],[Used_Seed]]</f>
        <v>12530</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16.82927701635651</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7</v>
      </c>
      <c r="R187" t="str">
        <f t="shared" si="54"/>
        <v>Neutral</v>
      </c>
      <c r="S187">
        <f>survey_responses[[#This Row],[Tôi tin rằng với các quy định quản lý thuế hiện nay, hành vi gian lận hoặc trốn thuế sẽ dễ dàng bị phát hiện và xử lý nghiêm. - HUMAN-ENF1]]</f>
        <v>7</v>
      </c>
      <c r="T187" t="str">
        <f t="shared" si="55"/>
        <v>Neutral</v>
      </c>
      <c r="U187" s="32">
        <f t="shared" si="56"/>
        <v>0</v>
      </c>
      <c r="V187">
        <f>step3_validation[[#This Row],[AI_ENF2]]</f>
        <v>8</v>
      </c>
      <c r="W187" t="str">
        <f t="shared" si="57"/>
        <v>Support</v>
      </c>
      <c r="X187">
        <f>survey_responses[[#This Row],[Tôi tin rằng Nhà nước, cơ quan thuế có đủ khả năng và công nghệ để phát hiện, xử lý nghiêm các hành vi trốn thuế. - HUMAN-ENF2]]</f>
        <v>7</v>
      </c>
      <c r="Y187" t="str">
        <f t="shared" si="58"/>
        <v>Neutral</v>
      </c>
      <c r="Z187" s="32">
        <f t="shared" si="59"/>
        <v>1</v>
      </c>
      <c r="AA187">
        <f>step3_validation[[#This Row],[AI_FAC1]]</f>
        <v>9</v>
      </c>
      <c r="AB187" t="str">
        <f t="shared" si="60"/>
        <v>Support</v>
      </c>
      <c r="AC187">
        <f>survey_responses[[#This Row],[Các thủ tục khai báo thuế VÀ/HOẶC quy trình làm việc với cơ quan thuế đơn giản, tiện lợi, nhanh chóng hơn so với trước đây. - HUMAN-FAC1]]</f>
        <v>5</v>
      </c>
      <c r="AD187" t="str">
        <f t="shared" si="61"/>
        <v>Neutral</v>
      </c>
      <c r="AE187" s="32">
        <f t="shared" si="62"/>
        <v>4</v>
      </c>
      <c r="AF187">
        <f>step3_validation[[#This Row],[AI_FAC2]]</f>
        <v>9</v>
      </c>
      <c r="AG187" t="str">
        <f t="shared" si="63"/>
        <v>Support</v>
      </c>
      <c r="AH187">
        <f>survey_responses[[#This Row],[So với trước đây, tôi thấy cách tính thuế và các bậc thuế trong phương án mới đơn giản, dễ hiểu và dễ thực hiện hơn. - HUMAN-FAC2]]</f>
        <v>7</v>
      </c>
      <c r="AI187" t="str">
        <f t="shared" si="64"/>
        <v>Neutral</v>
      </c>
      <c r="AJ187" s="32">
        <f t="shared" si="65"/>
        <v>2</v>
      </c>
      <c r="AK187">
        <f>step3_validation[[#This Row],[AI_TRU1]]</f>
        <v>8</v>
      </c>
      <c r="AL187" t="str">
        <f t="shared" si="66"/>
        <v>Support</v>
      </c>
      <c r="AM187">
        <f>survey_responses[[#This Row],[Tôi tin rằng Nhà nước, cơ quan thuế sẽ thực thi chính sách mới một cách khách quan, công tâm và đối xử bình đẳng với mọi người nộp thuế.  - HUMAN-TRU1]]</f>
        <v>5</v>
      </c>
      <c r="AN187" t="str">
        <f t="shared" si="67"/>
        <v>Neutral</v>
      </c>
      <c r="AO187" s="32">
        <f t="shared" si="68"/>
        <v>3</v>
      </c>
      <c r="AP187">
        <f>step3_validation[[#This Row],[AI_TRU2]]</f>
        <v>9</v>
      </c>
      <c r="AQ187" t="str">
        <f t="shared" si="69"/>
        <v>Support</v>
      </c>
      <c r="AR187">
        <f>survey_responses[[#This Row],[Tôi thấy mức thuế tôi phải đóng theo phương án mới là công bằng (người thu nhập như tôi đóng mức này là hợp lý). - HUMAN-TRU2]]</f>
        <v>5</v>
      </c>
      <c r="AS187" t="str">
        <f t="shared" si="70"/>
        <v>Neutral</v>
      </c>
      <c r="AT187" s="32">
        <f t="shared" si="71"/>
        <v>4</v>
      </c>
      <c r="AU187">
        <f>step3_validation[[#This Row],[AI_TRU3]]</f>
        <v>8</v>
      </c>
      <c r="AV187" t="str">
        <f t="shared" si="72"/>
        <v>Support</v>
      </c>
      <c r="AW187">
        <f>survey_responses[[#This Row],[Tôi tin tưởng số tiền thuế tôi đóng sẽ được Nhà nước sử dụng hiệu quả để cải thiện dịch vụ công (y tế, đường xá...). - HUMAN-TRU3]]</f>
        <v>5</v>
      </c>
      <c r="AX187" t="str">
        <f t="shared" si="73"/>
        <v>Neutral</v>
      </c>
      <c r="AY187" s="32">
        <f t="shared" si="74"/>
        <v>3</v>
      </c>
      <c r="AZ187">
        <f>step3_validation[[#This Row],[AI_TRU4]]</f>
        <v>9</v>
      </c>
      <c r="BA187" t="str">
        <f t="shared" si="75"/>
        <v>Support</v>
      </c>
      <c r="BB187">
        <f>survey_responses[[#This Row],[Tôi thấy Nhà nước đã giải thích rõ ràng, minh bạch về lý do và mục tiêu của việc sửa đổi thuế lần này. - HUMAN-TRU4]]</f>
        <v>5</v>
      </c>
      <c r="BC187" t="str">
        <f t="shared" si="76"/>
        <v>Neutral</v>
      </c>
      <c r="BD187" s="32">
        <f t="shared" si="77"/>
        <v>4</v>
      </c>
      <c r="BE187">
        <f>step3_validation[[#This Row],[AI_OUT1]]</f>
        <v>10</v>
      </c>
      <c r="BF187" t="str">
        <f t="shared" si="78"/>
        <v>Support</v>
      </c>
      <c r="BG187">
        <f>survey_responses[[#This Row],[Sau khi xem xét các quyền lợi và nghĩa vụ, bạn có ủng hộ và tuân thủ chính sách mới hiện nay? - HUMAN-OUT1]]</f>
        <v>6</v>
      </c>
      <c r="BH187" t="str">
        <f t="shared" si="79"/>
        <v>Neutral</v>
      </c>
      <c r="BI187" s="32">
        <f t="shared" si="80"/>
        <v>4</v>
      </c>
    </row>
    <row r="188" spans="1:61" x14ac:dyDescent="0.45">
      <c r="A188" s="30">
        <f>step3_validation[[#This Row],[Persona_ID]]</f>
        <v>187</v>
      </c>
      <c r="B188" s="31">
        <f>step3_validation[[#This Row],[Used_Seed]]</f>
        <v>12531</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39.764813302683351</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t="str">
        <f t="shared" si="54"/>
        <v>Neutral</v>
      </c>
      <c r="S188">
        <f>survey_responses[[#This Row],[Tôi tin rằng với các quy định quản lý thuế hiện nay, hành vi gian lận hoặc trốn thuế sẽ dễ dàng bị phát hiện và xử lý nghiêm. - HUMAN-ENF1]]</f>
        <v>6</v>
      </c>
      <c r="T188" t="str">
        <f t="shared" si="55"/>
        <v>Neutral</v>
      </c>
      <c r="U188" s="32">
        <f t="shared" si="56"/>
        <v>1</v>
      </c>
      <c r="V188">
        <f>step3_validation[[#This Row],[AI_ENF2]]</f>
        <v>6</v>
      </c>
      <c r="W188" t="str">
        <f t="shared" si="57"/>
        <v>Neutral</v>
      </c>
      <c r="X188">
        <f>survey_responses[[#This Row],[Tôi tin rằng Nhà nước, cơ quan thuế có đủ khả năng và công nghệ để phát hiện, xử lý nghiêm các hành vi trốn thuế. - HUMAN-ENF2]]</f>
        <v>7</v>
      </c>
      <c r="Y188" t="str">
        <f t="shared" si="58"/>
        <v>Neutral</v>
      </c>
      <c r="Z188" s="32">
        <f t="shared" si="59"/>
        <v>1</v>
      </c>
      <c r="AA188">
        <f>step3_validation[[#This Row],[AI_FAC1]]</f>
        <v>9</v>
      </c>
      <c r="AB188" t="str">
        <f t="shared" si="60"/>
        <v>Support</v>
      </c>
      <c r="AC188">
        <f>survey_responses[[#This Row],[Các thủ tục khai báo thuế VÀ/HOẶC quy trình làm việc với cơ quan thuế đơn giản, tiện lợi, nhanh chóng hơn so với trước đây. - HUMAN-FAC1]]</f>
        <v>6</v>
      </c>
      <c r="AD188" t="str">
        <f t="shared" si="61"/>
        <v>Neutral</v>
      </c>
      <c r="AE188" s="32">
        <f t="shared" si="62"/>
        <v>3</v>
      </c>
      <c r="AF188">
        <f>step3_validation[[#This Row],[AI_FAC2]]</f>
        <v>8</v>
      </c>
      <c r="AG188" t="str">
        <f t="shared" si="63"/>
        <v>Support</v>
      </c>
      <c r="AH188">
        <f>survey_responses[[#This Row],[So với trước đây, tôi thấy cách tính thuế và các bậc thuế trong phương án mới đơn giản, dễ hiểu và dễ thực hiện hơn. - HUMAN-FAC2]]</f>
        <v>7</v>
      </c>
      <c r="AI188" t="str">
        <f t="shared" si="64"/>
        <v>Neutral</v>
      </c>
      <c r="AJ188" s="32">
        <f t="shared" si="65"/>
        <v>1</v>
      </c>
      <c r="AK188">
        <f>step3_validation[[#This Row],[AI_TRU1]]</f>
        <v>9</v>
      </c>
      <c r="AL188" t="str">
        <f t="shared" si="66"/>
        <v>Support</v>
      </c>
      <c r="AM188">
        <f>survey_responses[[#This Row],[Tôi tin rằng Nhà nước, cơ quan thuế sẽ thực thi chính sách mới một cách khách quan, công tâm và đối xử bình đẳng với mọi người nộp thuế.  - HUMAN-TRU1]]</f>
        <v>6</v>
      </c>
      <c r="AN188" t="str">
        <f t="shared" si="67"/>
        <v>Neutral</v>
      </c>
      <c r="AO188" s="32">
        <f t="shared" si="68"/>
        <v>3</v>
      </c>
      <c r="AP188">
        <f>step3_validation[[#This Row],[AI_TRU2]]</f>
        <v>8</v>
      </c>
      <c r="AQ188" t="str">
        <f t="shared" si="69"/>
        <v>Support</v>
      </c>
      <c r="AR188">
        <f>survey_responses[[#This Row],[Tôi thấy mức thuế tôi phải đóng theo phương án mới là công bằng (người thu nhập như tôi đóng mức này là hợp lý). - HUMAN-TRU2]]</f>
        <v>6</v>
      </c>
      <c r="AS188" t="str">
        <f t="shared" si="70"/>
        <v>Neutral</v>
      </c>
      <c r="AT188" s="32">
        <f t="shared" si="71"/>
        <v>2</v>
      </c>
      <c r="AU188">
        <f>step3_validation[[#This Row],[AI_TRU3]]</f>
        <v>9</v>
      </c>
      <c r="AV188" t="str">
        <f t="shared" si="72"/>
        <v>Support</v>
      </c>
      <c r="AW188">
        <f>survey_responses[[#This Row],[Tôi tin tưởng số tiền thuế tôi đóng sẽ được Nhà nước sử dụng hiệu quả để cải thiện dịch vụ công (y tế, đường xá...). - HUMAN-TRU3]]</f>
        <v>5</v>
      </c>
      <c r="AX188" t="str">
        <f t="shared" si="73"/>
        <v>Neutral</v>
      </c>
      <c r="AY188" s="32">
        <f t="shared" si="74"/>
        <v>4</v>
      </c>
      <c r="AZ188">
        <f>step3_validation[[#This Row],[AI_TRU4]]</f>
        <v>7</v>
      </c>
      <c r="BA188" t="str">
        <f t="shared" si="75"/>
        <v>Neutral</v>
      </c>
      <c r="BB188">
        <f>survey_responses[[#This Row],[Tôi thấy Nhà nước đã giải thích rõ ràng, minh bạch về lý do và mục tiêu của việc sửa đổi thuế lần này. - HUMAN-TRU4]]</f>
        <v>5</v>
      </c>
      <c r="BC188" t="str">
        <f t="shared" si="76"/>
        <v>Neutral</v>
      </c>
      <c r="BD188" s="32">
        <f t="shared" si="77"/>
        <v>2</v>
      </c>
      <c r="BE188">
        <f>step3_validation[[#This Row],[AI_OUT1]]</f>
        <v>9</v>
      </c>
      <c r="BF188" t="str">
        <f t="shared" si="78"/>
        <v>Support</v>
      </c>
      <c r="BG188">
        <f>survey_responses[[#This Row],[Sau khi xem xét các quyền lợi và nghĩa vụ, bạn có ủng hộ và tuân thủ chính sách mới hiện nay? - HUMAN-OUT1]]</f>
        <v>6</v>
      </c>
      <c r="BH188" t="str">
        <f t="shared" si="79"/>
        <v>Neutral</v>
      </c>
      <c r="BI188" s="32">
        <f t="shared" si="80"/>
        <v>3</v>
      </c>
    </row>
    <row r="189" spans="1:61" x14ac:dyDescent="0.45">
      <c r="A189" s="30">
        <f>step3_validation[[#This Row],[Persona_ID]]</f>
        <v>188</v>
      </c>
      <c r="B189" s="31">
        <f>step3_validation[[#This Row],[Used_Seed]]</f>
        <v>12532</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23.899020392281038</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t="str">
        <f t="shared" si="54"/>
        <v>Neutral</v>
      </c>
      <c r="S189">
        <f>survey_responses[[#This Row],[Tôi tin rằng với các quy định quản lý thuế hiện nay, hành vi gian lận hoặc trốn thuế sẽ dễ dàng bị phát hiện và xử lý nghiêm. - HUMAN-ENF1]]</f>
        <v>5</v>
      </c>
      <c r="T189" t="str">
        <f t="shared" si="55"/>
        <v>Neutral</v>
      </c>
      <c r="U189" s="32">
        <f t="shared" si="56"/>
        <v>2</v>
      </c>
      <c r="V189">
        <f>step3_validation[[#This Row],[AI_ENF2]]</f>
        <v>8</v>
      </c>
      <c r="W189" t="str">
        <f t="shared" si="57"/>
        <v>Support</v>
      </c>
      <c r="X189">
        <f>survey_responses[[#This Row],[Tôi tin rằng Nhà nước, cơ quan thuế có đủ khả năng và công nghệ để phát hiện, xử lý nghiêm các hành vi trốn thuế. - HUMAN-ENF2]]</f>
        <v>5</v>
      </c>
      <c r="Y189" t="str">
        <f t="shared" si="58"/>
        <v>Neutral</v>
      </c>
      <c r="Z189" s="32">
        <f t="shared" si="59"/>
        <v>3</v>
      </c>
      <c r="AA189">
        <f>step3_validation[[#This Row],[AI_FAC1]]</f>
        <v>7</v>
      </c>
      <c r="AB189" t="str">
        <f t="shared" si="60"/>
        <v>Neutral</v>
      </c>
      <c r="AC189">
        <f>survey_responses[[#This Row],[Các thủ tục khai báo thuế VÀ/HOẶC quy trình làm việc với cơ quan thuế đơn giản, tiện lợi, nhanh chóng hơn so với trước đây. - HUMAN-FAC1]]</f>
        <v>4</v>
      </c>
      <c r="AD189" t="str">
        <f t="shared" si="61"/>
        <v>Oppose</v>
      </c>
      <c r="AE189" s="32">
        <f t="shared" si="62"/>
        <v>3</v>
      </c>
      <c r="AF189">
        <f>step3_validation[[#This Row],[AI_FAC2]]</f>
        <v>9</v>
      </c>
      <c r="AG189" t="str">
        <f t="shared" si="63"/>
        <v>Support</v>
      </c>
      <c r="AH189">
        <f>survey_responses[[#This Row],[So với trước đây, tôi thấy cách tính thuế và các bậc thuế trong phương án mới đơn giản, dễ hiểu và dễ thực hiện hơn. - HUMAN-FAC2]]</f>
        <v>6</v>
      </c>
      <c r="AI189" t="str">
        <f t="shared" si="64"/>
        <v>Neutral</v>
      </c>
      <c r="AJ189" s="32">
        <f t="shared" si="65"/>
        <v>3</v>
      </c>
      <c r="AK189">
        <f>step3_validation[[#This Row],[AI_TRU1]]</f>
        <v>7</v>
      </c>
      <c r="AL189" t="str">
        <f t="shared" si="66"/>
        <v>Neutral</v>
      </c>
      <c r="AM189">
        <f>survey_responses[[#This Row],[Tôi tin rằng Nhà nước, cơ quan thuế sẽ thực thi chính sách mới một cách khách quan, công tâm và đối xử bình đẳng với mọi người nộp thuế.  - HUMAN-TRU1]]</f>
        <v>5</v>
      </c>
      <c r="AN189" t="str">
        <f t="shared" si="67"/>
        <v>Neutral</v>
      </c>
      <c r="AO189" s="32">
        <f t="shared" si="68"/>
        <v>2</v>
      </c>
      <c r="AP189">
        <f>step3_validation[[#This Row],[AI_TRU2]]</f>
        <v>9</v>
      </c>
      <c r="AQ189" t="str">
        <f t="shared" si="69"/>
        <v>Support</v>
      </c>
      <c r="AR189">
        <f>survey_responses[[#This Row],[Tôi thấy mức thuế tôi phải đóng theo phương án mới là công bằng (người thu nhập như tôi đóng mức này là hợp lý). - HUMAN-TRU2]]</f>
        <v>5</v>
      </c>
      <c r="AS189" t="str">
        <f t="shared" si="70"/>
        <v>Neutral</v>
      </c>
      <c r="AT189" s="32">
        <f t="shared" si="71"/>
        <v>4</v>
      </c>
      <c r="AU189">
        <f>step3_validation[[#This Row],[AI_TRU3]]</f>
        <v>7</v>
      </c>
      <c r="AV189" t="str">
        <f t="shared" si="72"/>
        <v>Neutral</v>
      </c>
      <c r="AW189">
        <f>survey_responses[[#This Row],[Tôi tin tưởng số tiền thuế tôi đóng sẽ được Nhà nước sử dụng hiệu quả để cải thiện dịch vụ công (y tế, đường xá...). - HUMAN-TRU3]]</f>
        <v>5</v>
      </c>
      <c r="AX189" t="str">
        <f t="shared" si="73"/>
        <v>Neutral</v>
      </c>
      <c r="AY189" s="32">
        <f t="shared" si="74"/>
        <v>2</v>
      </c>
      <c r="AZ189">
        <f>step3_validation[[#This Row],[AI_TRU4]]</f>
        <v>8</v>
      </c>
      <c r="BA189" t="str">
        <f t="shared" si="75"/>
        <v>Support</v>
      </c>
      <c r="BB189">
        <f>survey_responses[[#This Row],[Tôi thấy Nhà nước đã giải thích rõ ràng, minh bạch về lý do và mục tiêu của việc sửa đổi thuế lần này. - HUMAN-TRU4]]</f>
        <v>5</v>
      </c>
      <c r="BC189" t="str">
        <f t="shared" si="76"/>
        <v>Neutral</v>
      </c>
      <c r="BD189" s="32">
        <f t="shared" si="77"/>
        <v>3</v>
      </c>
      <c r="BE189">
        <f>step3_validation[[#This Row],[AI_OUT1]]</f>
        <v>9</v>
      </c>
      <c r="BF189" t="str">
        <f t="shared" si="78"/>
        <v>Support</v>
      </c>
      <c r="BG189">
        <f>survey_responses[[#This Row],[Sau khi xem xét các quyền lợi và nghĩa vụ, bạn có ủng hộ và tuân thủ chính sách mới hiện nay? - HUMAN-OUT1]]</f>
        <v>5</v>
      </c>
      <c r="BH189" t="str">
        <f t="shared" si="79"/>
        <v>Neutral</v>
      </c>
      <c r="BI189" s="32">
        <f t="shared" si="80"/>
        <v>4</v>
      </c>
    </row>
    <row r="190" spans="1:61" x14ac:dyDescent="0.45">
      <c r="A190" s="30">
        <f>step3_validation[[#This Row],[Persona_ID]]</f>
        <v>189</v>
      </c>
      <c r="B190" s="31">
        <f>step3_validation[[#This Row],[Used_Seed]]</f>
        <v>12533</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63.016318068555478</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t="str">
        <f t="shared" si="54"/>
        <v>Neutral</v>
      </c>
      <c r="S190">
        <f>survey_responses[[#This Row],[Tôi tin rằng với các quy định quản lý thuế hiện nay, hành vi gian lận hoặc trốn thuế sẽ dễ dàng bị phát hiện và xử lý nghiêm. - HUMAN-ENF1]]</f>
        <v>8</v>
      </c>
      <c r="T190" t="str">
        <f t="shared" si="55"/>
        <v>Support</v>
      </c>
      <c r="U190" s="32">
        <f t="shared" si="56"/>
        <v>1</v>
      </c>
      <c r="V190">
        <f>step3_validation[[#This Row],[AI_ENF2]]</f>
        <v>6</v>
      </c>
      <c r="W190" t="str">
        <f t="shared" si="57"/>
        <v>Neutral</v>
      </c>
      <c r="X190">
        <f>survey_responses[[#This Row],[Tôi tin rằng Nhà nước, cơ quan thuế có đủ khả năng và công nghệ để phát hiện, xử lý nghiêm các hành vi trốn thuế. - HUMAN-ENF2]]</f>
        <v>8</v>
      </c>
      <c r="Y190" t="str">
        <f t="shared" si="58"/>
        <v>Support</v>
      </c>
      <c r="Z190" s="32">
        <f t="shared" si="59"/>
        <v>2</v>
      </c>
      <c r="AA190">
        <f>step3_validation[[#This Row],[AI_FAC1]]</f>
        <v>8</v>
      </c>
      <c r="AB190" t="str">
        <f t="shared" si="60"/>
        <v>Support</v>
      </c>
      <c r="AC190">
        <f>survey_responses[[#This Row],[Các thủ tục khai báo thuế VÀ/HOẶC quy trình làm việc với cơ quan thuế đơn giản, tiện lợi, nhanh chóng hơn so với trước đây. - HUMAN-FAC1]]</f>
        <v>5</v>
      </c>
      <c r="AD190" t="str">
        <f t="shared" si="61"/>
        <v>Neutral</v>
      </c>
      <c r="AE190" s="32">
        <f t="shared" si="62"/>
        <v>3</v>
      </c>
      <c r="AF190">
        <f>step3_validation[[#This Row],[AI_FAC2]]</f>
        <v>9</v>
      </c>
      <c r="AG190" t="str">
        <f t="shared" si="63"/>
        <v>Support</v>
      </c>
      <c r="AH190">
        <f>survey_responses[[#This Row],[So với trước đây, tôi thấy cách tính thuế và các bậc thuế trong phương án mới đơn giản, dễ hiểu và dễ thực hiện hơn. - HUMAN-FAC2]]</f>
        <v>7</v>
      </c>
      <c r="AI190" t="str">
        <f t="shared" si="64"/>
        <v>Neutral</v>
      </c>
      <c r="AJ190" s="32">
        <f t="shared" si="65"/>
        <v>2</v>
      </c>
      <c r="AK190">
        <f>step3_validation[[#This Row],[AI_TRU1]]</f>
        <v>8</v>
      </c>
      <c r="AL190" t="str">
        <f t="shared" si="66"/>
        <v>Support</v>
      </c>
      <c r="AM190">
        <f>survey_responses[[#This Row],[Tôi tin rằng Nhà nước, cơ quan thuế sẽ thực thi chính sách mới một cách khách quan, công tâm và đối xử bình đẳng với mọi người nộp thuế.  - HUMAN-TRU1]]</f>
        <v>6</v>
      </c>
      <c r="AN190" t="str">
        <f t="shared" si="67"/>
        <v>Neutral</v>
      </c>
      <c r="AO190" s="32">
        <f t="shared" si="68"/>
        <v>2</v>
      </c>
      <c r="AP190">
        <f>step3_validation[[#This Row],[AI_TRU2]]</f>
        <v>8</v>
      </c>
      <c r="AQ190" t="str">
        <f t="shared" si="69"/>
        <v>Support</v>
      </c>
      <c r="AR190">
        <f>survey_responses[[#This Row],[Tôi thấy mức thuế tôi phải đóng theo phương án mới là công bằng (người thu nhập như tôi đóng mức này là hợp lý). - HUMAN-TRU2]]</f>
        <v>8</v>
      </c>
      <c r="AS190" t="str">
        <f t="shared" si="70"/>
        <v>Support</v>
      </c>
      <c r="AT190" s="32">
        <f t="shared" si="71"/>
        <v>0</v>
      </c>
      <c r="AU190">
        <f>step3_validation[[#This Row],[AI_TRU3]]</f>
        <v>8</v>
      </c>
      <c r="AV190" t="str">
        <f t="shared" si="72"/>
        <v>Support</v>
      </c>
      <c r="AW190">
        <f>survey_responses[[#This Row],[Tôi tin tưởng số tiền thuế tôi đóng sẽ được Nhà nước sử dụng hiệu quả để cải thiện dịch vụ công (y tế, đường xá...). - HUMAN-TRU3]]</f>
        <v>5</v>
      </c>
      <c r="AX190" t="str">
        <f t="shared" si="73"/>
        <v>Neutral</v>
      </c>
      <c r="AY190" s="32">
        <f t="shared" si="74"/>
        <v>3</v>
      </c>
      <c r="AZ190">
        <f>step3_validation[[#This Row],[AI_TRU4]]</f>
        <v>7</v>
      </c>
      <c r="BA190" t="str">
        <f t="shared" si="75"/>
        <v>Neutral</v>
      </c>
      <c r="BB190">
        <f>survey_responses[[#This Row],[Tôi thấy Nhà nước đã giải thích rõ ràng, minh bạch về lý do và mục tiêu của việc sửa đổi thuế lần này. - HUMAN-TRU4]]</f>
        <v>7</v>
      </c>
      <c r="BC190" t="str">
        <f t="shared" si="76"/>
        <v>Neutral</v>
      </c>
      <c r="BD190" s="32">
        <f t="shared" si="77"/>
        <v>0</v>
      </c>
      <c r="BE190">
        <f>step3_validation[[#This Row],[AI_OUT1]]</f>
        <v>9</v>
      </c>
      <c r="BF190" t="str">
        <f t="shared" si="78"/>
        <v>Support</v>
      </c>
      <c r="BG190">
        <f>survey_responses[[#This Row],[Sau khi xem xét các quyền lợi và nghĩa vụ, bạn có ủng hộ và tuân thủ chính sách mới hiện nay? - HUMAN-OUT1]]</f>
        <v>8</v>
      </c>
      <c r="BH190" t="str">
        <f t="shared" si="79"/>
        <v>Support</v>
      </c>
      <c r="BI190" s="32">
        <f t="shared" si="80"/>
        <v>1</v>
      </c>
    </row>
    <row r="191" spans="1:61" x14ac:dyDescent="0.45">
      <c r="A191" s="30">
        <f>step3_validation[[#This Row],[Persona_ID]]</f>
        <v>190</v>
      </c>
      <c r="B191" s="31">
        <f>step3_validation[[#This Row],[Used_Seed]]</f>
        <v>12534</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30.021595312853684</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6</v>
      </c>
      <c r="R191" t="str">
        <f t="shared" si="54"/>
        <v>Neutral</v>
      </c>
      <c r="S191">
        <f>survey_responses[[#This Row],[Tôi tin rằng với các quy định quản lý thuế hiện nay, hành vi gian lận hoặc trốn thuế sẽ dễ dàng bị phát hiện và xử lý nghiêm. - HUMAN-ENF1]]</f>
        <v>7</v>
      </c>
      <c r="T191" t="str">
        <f t="shared" si="55"/>
        <v>Neutral</v>
      </c>
      <c r="U191" s="32">
        <f t="shared" si="56"/>
        <v>1</v>
      </c>
      <c r="V191">
        <f>step3_validation[[#This Row],[AI_ENF2]]</f>
        <v>7</v>
      </c>
      <c r="W191" t="str">
        <f t="shared" si="57"/>
        <v>Neutral</v>
      </c>
      <c r="X191">
        <f>survey_responses[[#This Row],[Tôi tin rằng Nhà nước, cơ quan thuế có đủ khả năng và công nghệ để phát hiện, xử lý nghiêm các hành vi trốn thuế. - HUMAN-ENF2]]</f>
        <v>7</v>
      </c>
      <c r="Y191" t="str">
        <f t="shared" si="58"/>
        <v>Neutral</v>
      </c>
      <c r="Z191" s="32">
        <f t="shared" si="59"/>
        <v>0</v>
      </c>
      <c r="AA191">
        <f>step3_validation[[#This Row],[AI_FAC1]]</f>
        <v>8</v>
      </c>
      <c r="AB191" t="str">
        <f t="shared" si="60"/>
        <v>Support</v>
      </c>
      <c r="AC191">
        <f>survey_responses[[#This Row],[Các thủ tục khai báo thuế VÀ/HOẶC quy trình làm việc với cơ quan thuế đơn giản, tiện lợi, nhanh chóng hơn so với trước đây. - HUMAN-FAC1]]</f>
        <v>7</v>
      </c>
      <c r="AD191" t="str">
        <f t="shared" si="61"/>
        <v>Neutral</v>
      </c>
      <c r="AE191" s="32">
        <f t="shared" si="62"/>
        <v>1</v>
      </c>
      <c r="AF191">
        <f>step3_validation[[#This Row],[AI_FAC2]]</f>
        <v>9</v>
      </c>
      <c r="AG191" t="str">
        <f t="shared" si="63"/>
        <v>Support</v>
      </c>
      <c r="AH191">
        <f>survey_responses[[#This Row],[So với trước đây, tôi thấy cách tính thuế và các bậc thuế trong phương án mới đơn giản, dễ hiểu và dễ thực hiện hơn. - HUMAN-FAC2]]</f>
        <v>8</v>
      </c>
      <c r="AI191" t="str">
        <f t="shared" si="64"/>
        <v>Support</v>
      </c>
      <c r="AJ191" s="32">
        <f t="shared" si="65"/>
        <v>1</v>
      </c>
      <c r="AK191">
        <f>step3_validation[[#This Row],[AI_TRU1]]</f>
        <v>6</v>
      </c>
      <c r="AL191" t="str">
        <f t="shared" si="66"/>
        <v>Neutral</v>
      </c>
      <c r="AM191">
        <f>survey_responses[[#This Row],[Tôi tin rằng Nhà nước, cơ quan thuế sẽ thực thi chính sách mới một cách khách quan, công tâm và đối xử bình đẳng với mọi người nộp thuế.  - HUMAN-TRU1]]</f>
        <v>3</v>
      </c>
      <c r="AN191" t="str">
        <f t="shared" si="67"/>
        <v>Oppose</v>
      </c>
      <c r="AO191" s="32">
        <f t="shared" si="68"/>
        <v>3</v>
      </c>
      <c r="AP191">
        <f>step3_validation[[#This Row],[AI_TRU2]]</f>
        <v>7</v>
      </c>
      <c r="AQ191" t="str">
        <f t="shared" si="69"/>
        <v>Neutral</v>
      </c>
      <c r="AR191">
        <f>survey_responses[[#This Row],[Tôi thấy mức thuế tôi phải đóng theo phương án mới là công bằng (người thu nhập như tôi đóng mức này là hợp lý). - HUMAN-TRU2]]</f>
        <v>3</v>
      </c>
      <c r="AS191" t="str">
        <f t="shared" si="70"/>
        <v>Oppose</v>
      </c>
      <c r="AT191" s="32">
        <f t="shared" si="71"/>
        <v>4</v>
      </c>
      <c r="AU191">
        <f>step3_validation[[#This Row],[AI_TRU3]]</f>
        <v>6</v>
      </c>
      <c r="AV191" t="str">
        <f t="shared" si="72"/>
        <v>Neutral</v>
      </c>
      <c r="AW191">
        <f>survey_responses[[#This Row],[Tôi tin tưởng số tiền thuế tôi đóng sẽ được Nhà nước sử dụng hiệu quả để cải thiện dịch vụ công (y tế, đường xá...). - HUMAN-TRU3]]</f>
        <v>2</v>
      </c>
      <c r="AX191" t="str">
        <f t="shared" si="73"/>
        <v>Oppose</v>
      </c>
      <c r="AY191" s="32">
        <f t="shared" si="74"/>
        <v>4</v>
      </c>
      <c r="AZ191">
        <f>step3_validation[[#This Row],[AI_TRU4]]</f>
        <v>7</v>
      </c>
      <c r="BA191" t="str">
        <f t="shared" si="75"/>
        <v>Neutral</v>
      </c>
      <c r="BB191">
        <f>survey_responses[[#This Row],[Tôi thấy Nhà nước đã giải thích rõ ràng, minh bạch về lý do và mục tiêu của việc sửa đổi thuế lần này. - HUMAN-TRU4]]</f>
        <v>3</v>
      </c>
      <c r="BC191" t="str">
        <f t="shared" si="76"/>
        <v>Oppose</v>
      </c>
      <c r="BD191" s="32">
        <f t="shared" si="77"/>
        <v>4</v>
      </c>
      <c r="BE191">
        <f>step3_validation[[#This Row],[AI_OUT1]]</f>
        <v>8</v>
      </c>
      <c r="BF191" t="str">
        <f t="shared" si="78"/>
        <v>Support</v>
      </c>
      <c r="BG191">
        <f>survey_responses[[#This Row],[Sau khi xem xét các quyền lợi và nghĩa vụ, bạn có ủng hộ và tuân thủ chính sách mới hiện nay? - HUMAN-OUT1]]</f>
        <v>8</v>
      </c>
      <c r="BH191" t="str">
        <f t="shared" si="79"/>
        <v>Support</v>
      </c>
      <c r="BI191" s="32">
        <f t="shared" si="80"/>
        <v>0</v>
      </c>
    </row>
    <row r="192" spans="1:61" x14ac:dyDescent="0.45">
      <c r="A192" s="30">
        <f>step3_validation[[#This Row],[Persona_ID]]</f>
        <v>191</v>
      </c>
      <c r="B192" s="31">
        <f>step3_validation[[#This Row],[Used_Seed]]</f>
        <v>12535</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66.799216260172798</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t="str">
        <f t="shared" si="54"/>
        <v>Neutral</v>
      </c>
      <c r="S192">
        <f>survey_responses[[#This Row],[Tôi tin rằng với các quy định quản lý thuế hiện nay, hành vi gian lận hoặc trốn thuế sẽ dễ dàng bị phát hiện và xử lý nghiêm. - HUMAN-ENF1]]</f>
        <v>7</v>
      </c>
      <c r="T192" t="str">
        <f t="shared" si="55"/>
        <v>Neutral</v>
      </c>
      <c r="U192" s="32">
        <f t="shared" si="56"/>
        <v>0</v>
      </c>
      <c r="V192">
        <f>step3_validation[[#This Row],[AI_ENF2]]</f>
        <v>8</v>
      </c>
      <c r="W192" t="str">
        <f t="shared" si="57"/>
        <v>Support</v>
      </c>
      <c r="X192">
        <f>survey_responses[[#This Row],[Tôi tin rằng Nhà nước, cơ quan thuế có đủ khả năng và công nghệ để phát hiện, xử lý nghiêm các hành vi trốn thuế. - HUMAN-ENF2]]</f>
        <v>7</v>
      </c>
      <c r="Y192" t="str">
        <f t="shared" si="58"/>
        <v>Neutral</v>
      </c>
      <c r="Z192" s="32">
        <f t="shared" si="59"/>
        <v>1</v>
      </c>
      <c r="AA192">
        <f>step3_validation[[#This Row],[AI_FAC1]]</f>
        <v>9</v>
      </c>
      <c r="AB192" t="str">
        <f t="shared" si="60"/>
        <v>Support</v>
      </c>
      <c r="AC192">
        <f>survey_responses[[#This Row],[Các thủ tục khai báo thuế VÀ/HOẶC quy trình làm việc với cơ quan thuế đơn giản, tiện lợi, nhanh chóng hơn so với trước đây. - HUMAN-FAC1]]</f>
        <v>6</v>
      </c>
      <c r="AD192" t="str">
        <f t="shared" si="61"/>
        <v>Neutral</v>
      </c>
      <c r="AE192" s="32">
        <f t="shared" si="62"/>
        <v>3</v>
      </c>
      <c r="AF192">
        <f>step3_validation[[#This Row],[AI_FAC2]]</f>
        <v>8</v>
      </c>
      <c r="AG192" t="str">
        <f t="shared" si="63"/>
        <v>Support</v>
      </c>
      <c r="AH192">
        <f>survey_responses[[#This Row],[So với trước đây, tôi thấy cách tính thuế và các bậc thuế trong phương án mới đơn giản, dễ hiểu và dễ thực hiện hơn. - HUMAN-FAC2]]</f>
        <v>8</v>
      </c>
      <c r="AI192" t="str">
        <f t="shared" si="64"/>
        <v>Support</v>
      </c>
      <c r="AJ192" s="32">
        <f t="shared" si="65"/>
        <v>0</v>
      </c>
      <c r="AK192">
        <f>step3_validation[[#This Row],[AI_TRU1]]</f>
        <v>9</v>
      </c>
      <c r="AL192" t="str">
        <f t="shared" si="66"/>
        <v>Support</v>
      </c>
      <c r="AM192">
        <f>survey_responses[[#This Row],[Tôi tin rằng Nhà nước, cơ quan thuế sẽ thực thi chính sách mới một cách khách quan, công tâm và đối xử bình đẳng với mọi người nộp thuế.  - HUMAN-TRU1]]</f>
        <v>7</v>
      </c>
      <c r="AN192" t="str">
        <f t="shared" si="67"/>
        <v>Neutral</v>
      </c>
      <c r="AO192" s="32">
        <f t="shared" si="68"/>
        <v>2</v>
      </c>
      <c r="AP192">
        <f>step3_validation[[#This Row],[AI_TRU2]]</f>
        <v>8</v>
      </c>
      <c r="AQ192" t="str">
        <f t="shared" si="69"/>
        <v>Support</v>
      </c>
      <c r="AR192">
        <f>survey_responses[[#This Row],[Tôi thấy mức thuế tôi phải đóng theo phương án mới là công bằng (người thu nhập như tôi đóng mức này là hợp lý). - HUMAN-TRU2]]</f>
        <v>8</v>
      </c>
      <c r="AS192" t="str">
        <f t="shared" si="70"/>
        <v>Support</v>
      </c>
      <c r="AT192" s="32">
        <f t="shared" si="71"/>
        <v>0</v>
      </c>
      <c r="AU192">
        <f>step3_validation[[#This Row],[AI_TRU3]]</f>
        <v>9</v>
      </c>
      <c r="AV192" t="str">
        <f t="shared" si="72"/>
        <v>Support</v>
      </c>
      <c r="AW192">
        <f>survey_responses[[#This Row],[Tôi tin tưởng số tiền thuế tôi đóng sẽ được Nhà nước sử dụng hiệu quả để cải thiện dịch vụ công (y tế, đường xá...). - HUMAN-TRU3]]</f>
        <v>7</v>
      </c>
      <c r="AX192" t="str">
        <f t="shared" si="73"/>
        <v>Neutral</v>
      </c>
      <c r="AY192" s="32">
        <f t="shared" si="74"/>
        <v>2</v>
      </c>
      <c r="AZ192">
        <f>step3_validation[[#This Row],[AI_TRU4]]</f>
        <v>8</v>
      </c>
      <c r="BA192" t="str">
        <f t="shared" si="75"/>
        <v>Support</v>
      </c>
      <c r="BB192">
        <f>survey_responses[[#This Row],[Tôi thấy Nhà nước đã giải thích rõ ràng, minh bạch về lý do và mục tiêu của việc sửa đổi thuế lần này. - HUMAN-TRU4]]</f>
        <v>7</v>
      </c>
      <c r="BC192" t="str">
        <f t="shared" si="76"/>
        <v>Neutral</v>
      </c>
      <c r="BD192" s="32">
        <f t="shared" si="77"/>
        <v>1</v>
      </c>
      <c r="BE192">
        <f>step3_validation[[#This Row],[AI_OUT1]]</f>
        <v>9</v>
      </c>
      <c r="BF192" t="str">
        <f t="shared" si="78"/>
        <v>Support</v>
      </c>
      <c r="BG192">
        <f>survey_responses[[#This Row],[Sau khi xem xét các quyền lợi và nghĩa vụ, bạn có ủng hộ và tuân thủ chính sách mới hiện nay? - HUMAN-OUT1]]</f>
        <v>7</v>
      </c>
      <c r="BH192" t="str">
        <f t="shared" si="79"/>
        <v>Neutral</v>
      </c>
      <c r="BI192" s="32">
        <f t="shared" si="80"/>
        <v>2</v>
      </c>
    </row>
    <row r="193" spans="1:61" x14ac:dyDescent="0.45">
      <c r="A193" s="30">
        <f>step3_validation[[#This Row],[Persona_ID]]</f>
        <v>192</v>
      </c>
      <c r="B193" s="31">
        <f>step3_validation[[#This Row],[Used_Seed]]</f>
        <v>12536</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21.289438298288918</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6</v>
      </c>
      <c r="R193" t="str">
        <f t="shared" si="54"/>
        <v>Neutral</v>
      </c>
      <c r="S193">
        <f>survey_responses[[#This Row],[Tôi tin rằng với các quy định quản lý thuế hiện nay, hành vi gian lận hoặc trốn thuế sẽ dễ dàng bị phát hiện và xử lý nghiêm. - HUMAN-ENF1]]</f>
        <v>8</v>
      </c>
      <c r="T193" t="str">
        <f t="shared" si="55"/>
        <v>Support</v>
      </c>
      <c r="U193" s="32">
        <f t="shared" si="56"/>
        <v>2</v>
      </c>
      <c r="V193">
        <f>step3_validation[[#This Row],[AI_ENF2]]</f>
        <v>7</v>
      </c>
      <c r="W193" t="str">
        <f t="shared" si="57"/>
        <v>Neutral</v>
      </c>
      <c r="X193">
        <f>survey_responses[[#This Row],[Tôi tin rằng Nhà nước, cơ quan thuế có đủ khả năng và công nghệ để phát hiện, xử lý nghiêm các hành vi trốn thuế. - HUMAN-ENF2]]</f>
        <v>8</v>
      </c>
      <c r="Y193" t="str">
        <f t="shared" si="58"/>
        <v>Support</v>
      </c>
      <c r="Z193" s="32">
        <f t="shared" si="59"/>
        <v>1</v>
      </c>
      <c r="AA193">
        <f>step3_validation[[#This Row],[AI_FAC1]]</f>
        <v>9</v>
      </c>
      <c r="AB193" t="str">
        <f t="shared" si="60"/>
        <v>Support</v>
      </c>
      <c r="AC193">
        <f>survey_responses[[#This Row],[Các thủ tục khai báo thuế VÀ/HOẶC quy trình làm việc với cơ quan thuế đơn giản, tiện lợi, nhanh chóng hơn so với trước đây. - HUMAN-FAC1]]</f>
        <v>9</v>
      </c>
      <c r="AD193" t="str">
        <f t="shared" si="61"/>
        <v>Support</v>
      </c>
      <c r="AE193" s="32">
        <f t="shared" si="62"/>
        <v>0</v>
      </c>
      <c r="AF193">
        <f>step3_validation[[#This Row],[AI_FAC2]]</f>
        <v>9</v>
      </c>
      <c r="AG193" t="str">
        <f t="shared" si="63"/>
        <v>Support</v>
      </c>
      <c r="AH193">
        <f>survey_responses[[#This Row],[So với trước đây, tôi thấy cách tính thuế và các bậc thuế trong phương án mới đơn giản, dễ hiểu và dễ thực hiện hơn. - HUMAN-FAC2]]</f>
        <v>9</v>
      </c>
      <c r="AI193" t="str">
        <f t="shared" si="64"/>
        <v>Support</v>
      </c>
      <c r="AJ193" s="32">
        <f t="shared" si="65"/>
        <v>0</v>
      </c>
      <c r="AK193">
        <f>step3_validation[[#This Row],[AI_TRU1]]</f>
        <v>0</v>
      </c>
      <c r="AL193" t="str">
        <f t="shared" si="66"/>
        <v/>
      </c>
      <c r="AM193">
        <f>survey_responses[[#This Row],[Tôi tin rằng Nhà nước, cơ quan thuế sẽ thực thi chính sách mới một cách khách quan, công tâm và đối xử bình đẳng với mọi người nộp thuế.  - HUMAN-TRU1]]</f>
        <v>9</v>
      </c>
      <c r="AN193" t="str">
        <f t="shared" si="67"/>
        <v>Support</v>
      </c>
      <c r="AO193" s="32">
        <f t="shared" si="68"/>
        <v>9</v>
      </c>
      <c r="AP193">
        <f>step3_validation[[#This Row],[AI_TRU2]]</f>
        <v>0</v>
      </c>
      <c r="AQ193" t="str">
        <f t="shared" si="69"/>
        <v/>
      </c>
      <c r="AR193">
        <f>survey_responses[[#This Row],[Tôi thấy mức thuế tôi phải đóng theo phương án mới là công bằng (người thu nhập như tôi đóng mức này là hợp lý). - HUMAN-TRU2]]</f>
        <v>9</v>
      </c>
      <c r="AS193" t="str">
        <f t="shared" si="70"/>
        <v>Support</v>
      </c>
      <c r="AT193" s="32">
        <f t="shared" si="71"/>
        <v>9</v>
      </c>
      <c r="AU193">
        <f>step3_validation[[#This Row],[AI_TRU3]]</f>
        <v>0</v>
      </c>
      <c r="AV193" t="str">
        <f t="shared" si="72"/>
        <v/>
      </c>
      <c r="AW193">
        <f>survey_responses[[#This Row],[Tôi tin tưởng số tiền thuế tôi đóng sẽ được Nhà nước sử dụng hiệu quả để cải thiện dịch vụ công (y tế, đường xá...). - HUMAN-TRU3]]</f>
        <v>8</v>
      </c>
      <c r="AX193" t="str">
        <f t="shared" si="73"/>
        <v>Support</v>
      </c>
      <c r="AY193" s="32">
        <f t="shared" si="74"/>
        <v>8</v>
      </c>
      <c r="AZ193">
        <f>step3_validation[[#This Row],[AI_TRU4]]</f>
        <v>0</v>
      </c>
      <c r="BA193" t="str">
        <f t="shared" si="75"/>
        <v/>
      </c>
      <c r="BB193">
        <f>survey_responses[[#This Row],[Tôi thấy Nhà nước đã giải thích rõ ràng, minh bạch về lý do và mục tiêu của việc sửa đổi thuế lần này. - HUMAN-TRU4]]</f>
        <v>8</v>
      </c>
      <c r="BC193" t="str">
        <f t="shared" si="76"/>
        <v>Support</v>
      </c>
      <c r="BD193" s="32">
        <f t="shared" si="77"/>
        <v>8</v>
      </c>
      <c r="BE193">
        <f>step3_validation[[#This Row],[AI_OUT1]]</f>
        <v>0</v>
      </c>
      <c r="BF193" t="str">
        <f t="shared" si="78"/>
        <v/>
      </c>
      <c r="BG193">
        <f>survey_responses[[#This Row],[Sau khi xem xét các quyền lợi và nghĩa vụ, bạn có ủng hộ và tuân thủ chính sách mới hiện nay? - HUMAN-OUT1]]</f>
        <v>9</v>
      </c>
      <c r="BH193" t="str">
        <f t="shared" si="79"/>
        <v>Support</v>
      </c>
      <c r="BI193" s="32">
        <f t="shared" si="80"/>
        <v>9</v>
      </c>
    </row>
    <row r="194" spans="1:61" x14ac:dyDescent="0.45">
      <c r="A194" s="30">
        <f>step3_validation[[#This Row],[Persona_ID]]</f>
        <v>193</v>
      </c>
      <c r="B194" s="31">
        <f>step3_validation[[#This Row],[Used_Seed]]</f>
        <v>12537</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27.398381780266153</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t="str">
        <f t="shared" si="54"/>
        <v>Neutral</v>
      </c>
      <c r="S194">
        <f>survey_responses[[#This Row],[Tôi tin rằng với các quy định quản lý thuế hiện nay, hành vi gian lận hoặc trốn thuế sẽ dễ dàng bị phát hiện và xử lý nghiêm. - HUMAN-ENF1]]</f>
        <v>1</v>
      </c>
      <c r="T194" t="str">
        <f t="shared" si="55"/>
        <v>Oppose</v>
      </c>
      <c r="U194" s="32">
        <f t="shared" si="56"/>
        <v>5</v>
      </c>
      <c r="V194">
        <f>step3_validation[[#This Row],[AI_ENF2]]</f>
        <v>7</v>
      </c>
      <c r="W194" t="str">
        <f t="shared" si="57"/>
        <v>Neutral</v>
      </c>
      <c r="X194">
        <f>survey_responses[[#This Row],[Tôi tin rằng Nhà nước, cơ quan thuế có đủ khả năng và công nghệ để phát hiện, xử lý nghiêm các hành vi trốn thuế. - HUMAN-ENF2]]</f>
        <v>1</v>
      </c>
      <c r="Y194" t="str">
        <f t="shared" si="58"/>
        <v>Oppose</v>
      </c>
      <c r="Z194" s="32">
        <f t="shared" si="59"/>
        <v>6</v>
      </c>
      <c r="AA194">
        <f>step3_validation[[#This Row],[AI_FAC1]]</f>
        <v>8</v>
      </c>
      <c r="AB194" t="str">
        <f t="shared" si="60"/>
        <v>Support</v>
      </c>
      <c r="AC194">
        <f>survey_responses[[#This Row],[Các thủ tục khai báo thuế VÀ/HOẶC quy trình làm việc với cơ quan thuế đơn giản, tiện lợi, nhanh chóng hơn so với trước đây. - HUMAN-FAC1]]</f>
        <v>7</v>
      </c>
      <c r="AD194" t="str">
        <f t="shared" si="61"/>
        <v>Neutral</v>
      </c>
      <c r="AE194" s="32">
        <f t="shared" si="62"/>
        <v>1</v>
      </c>
      <c r="AF194">
        <f>step3_validation[[#This Row],[AI_FAC2]]</f>
        <v>9</v>
      </c>
      <c r="AG194" t="str">
        <f t="shared" si="63"/>
        <v>Support</v>
      </c>
      <c r="AH194">
        <f>survey_responses[[#This Row],[So với trước đây, tôi thấy cách tính thuế và các bậc thuế trong phương án mới đơn giản, dễ hiểu và dễ thực hiện hơn. - HUMAN-FAC2]]</f>
        <v>5</v>
      </c>
      <c r="AI194" t="str">
        <f t="shared" si="64"/>
        <v>Neutral</v>
      </c>
      <c r="AJ194" s="32">
        <f t="shared" si="65"/>
        <v>4</v>
      </c>
      <c r="AK194">
        <f>step3_validation[[#This Row],[AI_TRU1]]</f>
        <v>8</v>
      </c>
      <c r="AL194" t="str">
        <f t="shared" si="66"/>
        <v>Support</v>
      </c>
      <c r="AM194">
        <f>survey_responses[[#This Row],[Tôi tin rằng Nhà nước, cơ quan thuế sẽ thực thi chính sách mới một cách khách quan, công tâm và đối xử bình đẳng với mọi người nộp thuế.  - HUMAN-TRU1]]</f>
        <v>5</v>
      </c>
      <c r="AN194" t="str">
        <f t="shared" si="67"/>
        <v>Neutral</v>
      </c>
      <c r="AO194" s="32">
        <f t="shared" si="68"/>
        <v>3</v>
      </c>
      <c r="AP194">
        <f>step3_validation[[#This Row],[AI_TRU2]]</f>
        <v>9</v>
      </c>
      <c r="AQ194" t="str">
        <f t="shared" si="69"/>
        <v>Support</v>
      </c>
      <c r="AR194">
        <f>survey_responses[[#This Row],[Tôi thấy mức thuế tôi phải đóng theo phương án mới là công bằng (người thu nhập như tôi đóng mức này là hợp lý). - HUMAN-TRU2]]</f>
        <v>7</v>
      </c>
      <c r="AS194" t="str">
        <f t="shared" si="70"/>
        <v>Neutral</v>
      </c>
      <c r="AT194" s="32">
        <f t="shared" si="71"/>
        <v>2</v>
      </c>
      <c r="AU194">
        <f>step3_validation[[#This Row],[AI_TRU3]]</f>
        <v>7</v>
      </c>
      <c r="AV194" t="str">
        <f t="shared" si="72"/>
        <v>Neutral</v>
      </c>
      <c r="AW194">
        <f>survey_responses[[#This Row],[Tôi tin tưởng số tiền thuế tôi đóng sẽ được Nhà nước sử dụng hiệu quả để cải thiện dịch vụ công (y tế, đường xá...). - HUMAN-TRU3]]</f>
        <v>2</v>
      </c>
      <c r="AX194" t="str">
        <f t="shared" si="73"/>
        <v>Oppose</v>
      </c>
      <c r="AY194" s="32">
        <f t="shared" si="74"/>
        <v>5</v>
      </c>
      <c r="AZ194">
        <f>step3_validation[[#This Row],[AI_TRU4]]</f>
        <v>7</v>
      </c>
      <c r="BA194" t="str">
        <f t="shared" si="75"/>
        <v>Neutral</v>
      </c>
      <c r="BB194">
        <f>survey_responses[[#This Row],[Tôi thấy Nhà nước đã giải thích rõ ràng, minh bạch về lý do và mục tiêu của việc sửa đổi thuế lần này. - HUMAN-TRU4]]</f>
        <v>5</v>
      </c>
      <c r="BC194" t="str">
        <f t="shared" si="76"/>
        <v>Neutral</v>
      </c>
      <c r="BD194" s="32">
        <f t="shared" si="77"/>
        <v>2</v>
      </c>
      <c r="BE194">
        <f>step3_validation[[#This Row],[AI_OUT1]]</f>
        <v>9</v>
      </c>
      <c r="BF194" t="str">
        <f t="shared" si="78"/>
        <v>Support</v>
      </c>
      <c r="BG194">
        <f>survey_responses[[#This Row],[Sau khi xem xét các quyền lợi và nghĩa vụ, bạn có ủng hộ và tuân thủ chính sách mới hiện nay? - HUMAN-OUT1]]</f>
        <v>5</v>
      </c>
      <c r="BH194" t="str">
        <f t="shared" si="79"/>
        <v>Neutral</v>
      </c>
      <c r="BI194" s="32">
        <f t="shared" si="80"/>
        <v>4</v>
      </c>
    </row>
    <row r="195" spans="1:61" x14ac:dyDescent="0.45">
      <c r="A195" s="30">
        <f>step3_validation[[#This Row],[Persona_ID]]</f>
        <v>194</v>
      </c>
      <c r="B195" s="31">
        <f>step3_validation[[#This Row],[Used_Seed]]</f>
        <v>12538</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18.332168616202658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7</v>
      </c>
      <c r="R195" t="str">
        <f t="shared" ref="R195:R258" si="81">IF(AND(Q195&gt;=1,Q195&lt;5),"Oppose",IF(AND(Q195&gt;=5,Q195&lt;8),"Neutral",IF(AND(Q195&gt;=8,Q195&lt;=10),"Support","")))</f>
        <v>Neutral</v>
      </c>
      <c r="S195">
        <f>survey_responses[[#This Row],[Tôi tin rằng với các quy định quản lý thuế hiện nay, hành vi gian lận hoặc trốn thuế sẽ dễ dàng bị phát hiện và xử lý nghiêm. - HUMAN-ENF1]]</f>
        <v>10</v>
      </c>
      <c r="T195" t="str">
        <f t="shared" ref="T195:T258" si="82">IF(AND(S195&gt;=1,S195&lt;5),"Oppose",IF(AND(S195&gt;=5,S195&lt;8),"Neutral",IF(AND(S195&gt;=8,S195&lt;=10),"Support","")))</f>
        <v>Support</v>
      </c>
      <c r="U195" s="32">
        <f t="shared" ref="U195:U258" si="83">ABS(S195-Q195)</f>
        <v>3</v>
      </c>
      <c r="V195">
        <f>step3_validation[[#This Row],[AI_ENF2]]</f>
        <v>6</v>
      </c>
      <c r="W195" t="str">
        <f t="shared" ref="W195:W258" si="84">IF(AND(V195&gt;=1,V195&lt;5),"Oppose",IF(AND(V195&gt;=5,V195&lt;8),"Neutral",IF(AND(V195&gt;=8,V195&lt;=10),"Support","")))</f>
        <v>Neutral</v>
      </c>
      <c r="X195">
        <f>survey_responses[[#This Row],[Tôi tin rằng Nhà nước, cơ quan thuế có đủ khả năng và công nghệ để phát hiện, xử lý nghiêm các hành vi trốn thuế. - HUMAN-ENF2]]</f>
        <v>10</v>
      </c>
      <c r="Y195" t="str">
        <f t="shared" ref="Y195:Y258" si="85">IF(AND(X195&gt;=1,X195&lt;5),"Oppose",IF(AND(X195&gt;=5,X195&lt;8),"Neutral",IF(AND(X195&gt;=8,X195&lt;=10),"Support","")))</f>
        <v>Support</v>
      </c>
      <c r="Z195" s="32">
        <f t="shared" ref="Z195:Z258" si="86">ABS(X195-V195)</f>
        <v>4</v>
      </c>
      <c r="AA195">
        <f>step3_validation[[#This Row],[AI_FAC1]]</f>
        <v>9</v>
      </c>
      <c r="AB195" t="str">
        <f t="shared" ref="AB195:AB258" si="87">IF(AND(AA195&gt;=1,AA195&lt;5),"Oppose",IF(AND(AA195&gt;=5,AA195&lt;8),"Neutral",IF(AND(AA195&gt;=8,AA195&lt;=10),"Support","")))</f>
        <v>Support</v>
      </c>
      <c r="AC195">
        <f>survey_responses[[#This Row],[Các thủ tục khai báo thuế VÀ/HOẶC quy trình làm việc với cơ quan thuế đơn giản, tiện lợi, nhanh chóng hơn so với trước đây. - HUMAN-FAC1]]</f>
        <v>6</v>
      </c>
      <c r="AD195" t="str">
        <f t="shared" ref="AD195:AD258" si="88">IF(AND(AC195&gt;=1,AC195&lt;5),"Oppose",IF(AND(AC195&gt;=5,AC195&lt;8),"Neutral",IF(AND(AC195&gt;=8,AC195&lt;=10),"Support","")))</f>
        <v>Neutral</v>
      </c>
      <c r="AE195" s="32">
        <f t="shared" ref="AE195:AE258" si="89">ABS(AC195-AA195)</f>
        <v>3</v>
      </c>
      <c r="AF195">
        <f>step3_validation[[#This Row],[AI_FAC2]]</f>
        <v>8</v>
      </c>
      <c r="AG195" t="str">
        <f t="shared" ref="AG195:AG258" si="90">IF(AND(AF195&gt;=1,AF195&lt;5),"Oppose",IF(AND(AF195&gt;=5,AF195&lt;8),"Neutral",IF(AND(AF195&gt;=8,AF195&lt;=10),"Support","")))</f>
        <v>Support</v>
      </c>
      <c r="AH195">
        <f>survey_responses[[#This Row],[So với trước đây, tôi thấy cách tính thuế và các bậc thuế trong phương án mới đơn giản, dễ hiểu và dễ thực hiện hơn. - HUMAN-FAC2]]</f>
        <v>4</v>
      </c>
      <c r="AI195" t="str">
        <f t="shared" ref="AI195:AI258" si="91">IF(AND(AH195&gt;=1,AH195&lt;5),"Oppose",IF(AND(AH195&gt;=5,AH195&lt;8),"Neutral",IF(AND(AH195&gt;=8,AH195&lt;=10),"Support","")))</f>
        <v>Oppose</v>
      </c>
      <c r="AJ195" s="32">
        <f t="shared" ref="AJ195:AJ258" si="92">ABS(AH195-AF195)</f>
        <v>4</v>
      </c>
      <c r="AK195">
        <f>step3_validation[[#This Row],[AI_TRU1]]</f>
        <v>7</v>
      </c>
      <c r="AL195" t="str">
        <f t="shared" ref="AL195:AL258" si="93">IF(AND(AK195&gt;=1,AK195&lt;5),"Oppose",IF(AND(AK195&gt;=5,AK195&lt;8),"Neutral",IF(AND(AK195&gt;=8,AK195&lt;=10),"Support","")))</f>
        <v>Neutral</v>
      </c>
      <c r="AM195">
        <f>survey_responses[[#This Row],[Tôi tin rằng Nhà nước, cơ quan thuế sẽ thực thi chính sách mới một cách khách quan, công tâm và đối xử bình đẳng với mọi người nộp thuế.  - HUMAN-TRU1]]</f>
        <v>8</v>
      </c>
      <c r="AN195" t="str">
        <f t="shared" ref="AN195:AN258" si="94">IF(AND(AM195&gt;=1,AM195&lt;5),"Oppose",IF(AND(AM195&gt;=5,AM195&lt;8),"Neutral",IF(AND(AM195&gt;=8,AM195&lt;=10),"Support","")))</f>
        <v>Support</v>
      </c>
      <c r="AO195" s="32">
        <f t="shared" ref="AO195:AO258" si="95">ABS(AM195-AK195)</f>
        <v>1</v>
      </c>
      <c r="AP195">
        <f>step3_validation[[#This Row],[AI_TRU2]]</f>
        <v>8</v>
      </c>
      <c r="AQ195" t="str">
        <f t="shared" ref="AQ195:AQ258" si="96">IF(AND(AP195&gt;=1,AP195&lt;5),"Oppose",IF(AND(AP195&gt;=5,AP195&lt;8),"Neutral",IF(AND(AP195&gt;=8,AP195&lt;=10),"Support","")))</f>
        <v>Support</v>
      </c>
      <c r="AR195">
        <f>survey_responses[[#This Row],[Tôi thấy mức thuế tôi phải đóng theo phương án mới là công bằng (người thu nhập như tôi đóng mức này là hợp lý). - HUMAN-TRU2]]</f>
        <v>3</v>
      </c>
      <c r="AS195" t="str">
        <f t="shared" ref="AS195:AS258" si="97">IF(AND(AR195&gt;=1,AR195&lt;5),"Oppose",IF(AND(AR195&gt;=5,AR195&lt;8),"Neutral",IF(AND(AR195&gt;=8,AR195&lt;=10),"Support","")))</f>
        <v>Oppose</v>
      </c>
      <c r="AT195" s="32">
        <f t="shared" ref="AT195:AT258" si="98">ABS(AR195-AP195)</f>
        <v>5</v>
      </c>
      <c r="AU195">
        <f>step3_validation[[#This Row],[AI_TRU3]]</f>
        <v>7</v>
      </c>
      <c r="AV195" t="str">
        <f t="shared" ref="AV195:AV258" si="99">IF(AND(AU195&gt;=1,AU195&lt;5),"Oppose",IF(AND(AU195&gt;=5,AU195&lt;8),"Neutral",IF(AND(AU195&gt;=8,AU195&lt;=10),"Support","")))</f>
        <v>Neutral</v>
      </c>
      <c r="AW195">
        <f>survey_responses[[#This Row],[Tôi tin tưởng số tiền thuế tôi đóng sẽ được Nhà nước sử dụng hiệu quả để cải thiện dịch vụ công (y tế, đường xá...). - HUMAN-TRU3]]</f>
        <v>10</v>
      </c>
      <c r="AX195" t="str">
        <f t="shared" ref="AX195:AX258" si="100">IF(AND(AW195&gt;=1,AW195&lt;5),"Oppose",IF(AND(AW195&gt;=5,AW195&lt;8),"Neutral",IF(AND(AW195&gt;=8,AW195&lt;=10),"Support","")))</f>
        <v>Support</v>
      </c>
      <c r="AY195" s="32">
        <f t="shared" ref="AY195:AY258" si="101">ABS(AW195-AU195)</f>
        <v>3</v>
      </c>
      <c r="AZ195">
        <f>step3_validation[[#This Row],[AI_TRU4]]</f>
        <v>8</v>
      </c>
      <c r="BA195" t="str">
        <f t="shared" ref="BA195:BA258" si="102">IF(AND(AZ195&gt;=1,AZ195&lt;5),"Oppose",IF(AND(AZ195&gt;=5,AZ195&lt;8),"Neutral",IF(AND(AZ195&gt;=8,AZ195&lt;=10),"Support","")))</f>
        <v>Support</v>
      </c>
      <c r="BB195">
        <f>survey_responses[[#This Row],[Tôi thấy Nhà nước đã giải thích rõ ràng, minh bạch về lý do và mục tiêu của việc sửa đổi thuế lần này. - HUMAN-TRU4]]</f>
        <v>10</v>
      </c>
      <c r="BC195" t="str">
        <f t="shared" ref="BC195:BC258" si="103">IF(AND(BB195&gt;=1,BB195&lt;5),"Oppose",IF(AND(BB195&gt;=5,BB195&lt;8),"Neutral",IF(AND(BB195&gt;=8,BB195&lt;=10),"Support","")))</f>
        <v>Support</v>
      </c>
      <c r="BD195" s="32">
        <f t="shared" ref="BD195:BD258" si="104">ABS(BB195-AZ195)</f>
        <v>2</v>
      </c>
      <c r="BE195">
        <f>step3_validation[[#This Row],[AI_OUT1]]</f>
        <v>7</v>
      </c>
      <c r="BF195" t="str">
        <f t="shared" ref="BF195:BF258" si="105">IF(AND(BE195&gt;=1,BE195&lt;5),"Oppose",IF(AND(BE195&gt;=5,BE195&lt;8),"Neutral",IF(AND(BE195&gt;=8,BE195&lt;=10),"Support","")))</f>
        <v>Neutral</v>
      </c>
      <c r="BG195">
        <f>survey_responses[[#This Row],[Sau khi xem xét các quyền lợi và nghĩa vụ, bạn có ủng hộ và tuân thủ chính sách mới hiện nay? - HUMAN-OUT1]]</f>
        <v>10</v>
      </c>
      <c r="BH195" t="str">
        <f t="shared" ref="BH195:BH258" si="106">IF(AND(BG195&gt;=1,BG195&lt;5),"Oppose",IF(AND(BG195&gt;=5,BG195&lt;8),"Neutral",IF(AND(BG195&gt;=8,BG195&lt;=10),"Support","")))</f>
        <v>Support</v>
      </c>
      <c r="BI195" s="32">
        <f t="shared" ref="BI195:BI258" si="107">ABS(BG195-BE195)</f>
        <v>3</v>
      </c>
    </row>
    <row r="196" spans="1:61" x14ac:dyDescent="0.45">
      <c r="A196" s="30">
        <f>step3_validation[[#This Row],[Persona_ID]]</f>
        <v>195</v>
      </c>
      <c r="B196" s="31">
        <f>step3_validation[[#This Row],[Used_Seed]]</f>
        <v>12539</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15.358378889667776</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8</v>
      </c>
      <c r="R196" t="str">
        <f t="shared" si="81"/>
        <v>Support</v>
      </c>
      <c r="S196">
        <f>survey_responses[[#This Row],[Tôi tin rằng với các quy định quản lý thuế hiện nay, hành vi gian lận hoặc trốn thuế sẽ dễ dàng bị phát hiện và xử lý nghiêm. - HUMAN-ENF1]]</f>
        <v>9</v>
      </c>
      <c r="T196" t="str">
        <f t="shared" si="82"/>
        <v>Support</v>
      </c>
      <c r="U196" s="32">
        <f t="shared" si="83"/>
        <v>1</v>
      </c>
      <c r="V196">
        <f>step3_validation[[#This Row],[AI_ENF2]]</f>
        <v>9</v>
      </c>
      <c r="W196" t="str">
        <f t="shared" si="84"/>
        <v>Support</v>
      </c>
      <c r="X196">
        <f>survey_responses[[#This Row],[Tôi tin rằng Nhà nước, cơ quan thuế có đủ khả năng và công nghệ để phát hiện, xử lý nghiêm các hành vi trốn thuế. - HUMAN-ENF2]]</f>
        <v>9</v>
      </c>
      <c r="Y196" t="str">
        <f t="shared" si="85"/>
        <v>Support</v>
      </c>
      <c r="Z196" s="32">
        <f t="shared" si="86"/>
        <v>0</v>
      </c>
      <c r="AA196">
        <f>step3_validation[[#This Row],[AI_FAC1]]</f>
        <v>8</v>
      </c>
      <c r="AB196" t="str">
        <f t="shared" si="87"/>
        <v>Support</v>
      </c>
      <c r="AC196">
        <f>survey_responses[[#This Row],[Các thủ tục khai báo thuế VÀ/HOẶC quy trình làm việc với cơ quan thuế đơn giản, tiện lợi, nhanh chóng hơn so với trước đây. - HUMAN-FAC1]]</f>
        <v>5</v>
      </c>
      <c r="AD196" t="str">
        <f t="shared" si="88"/>
        <v>Neutral</v>
      </c>
      <c r="AE196" s="32">
        <f t="shared" si="89"/>
        <v>3</v>
      </c>
      <c r="AF196">
        <f>step3_validation[[#This Row],[AI_FAC2]]</f>
        <v>9</v>
      </c>
      <c r="AG196" t="str">
        <f t="shared" si="90"/>
        <v>Support</v>
      </c>
      <c r="AH196">
        <f>survey_responses[[#This Row],[So với trước đây, tôi thấy cách tính thuế và các bậc thuế trong phương án mới đơn giản, dễ hiểu và dễ thực hiện hơn. - HUMAN-FAC2]]</f>
        <v>5</v>
      </c>
      <c r="AI196" t="str">
        <f t="shared" si="91"/>
        <v>Neutral</v>
      </c>
      <c r="AJ196" s="32">
        <f t="shared" si="92"/>
        <v>4</v>
      </c>
      <c r="AK196">
        <f>step3_validation[[#This Row],[AI_TRU1]]</f>
        <v>8</v>
      </c>
      <c r="AL196" t="str">
        <f t="shared" si="93"/>
        <v>Support</v>
      </c>
      <c r="AM196">
        <f>survey_responses[[#This Row],[Tôi tin rằng Nhà nước, cơ quan thuế sẽ thực thi chính sách mới một cách khách quan, công tâm và đối xử bình đẳng với mọi người nộp thuế.  - HUMAN-TRU1]]</f>
        <v>7</v>
      </c>
      <c r="AN196" t="str">
        <f t="shared" si="94"/>
        <v>Neutral</v>
      </c>
      <c r="AO196" s="32">
        <f t="shared" si="95"/>
        <v>1</v>
      </c>
      <c r="AP196">
        <f>step3_validation[[#This Row],[AI_TRU2]]</f>
        <v>9</v>
      </c>
      <c r="AQ196" t="str">
        <f t="shared" si="96"/>
        <v>Support</v>
      </c>
      <c r="AR196">
        <f>survey_responses[[#This Row],[Tôi thấy mức thuế tôi phải đóng theo phương án mới là công bằng (người thu nhập như tôi đóng mức này là hợp lý). - HUMAN-TRU2]]</f>
        <v>7</v>
      </c>
      <c r="AS196" t="str">
        <f t="shared" si="97"/>
        <v>Neutral</v>
      </c>
      <c r="AT196" s="32">
        <f t="shared" si="98"/>
        <v>2</v>
      </c>
      <c r="AU196">
        <f>step3_validation[[#This Row],[AI_TRU3]]</f>
        <v>8</v>
      </c>
      <c r="AV196" t="str">
        <f t="shared" si="99"/>
        <v>Support</v>
      </c>
      <c r="AW196">
        <f>survey_responses[[#This Row],[Tôi tin tưởng số tiền thuế tôi đóng sẽ được Nhà nước sử dụng hiệu quả để cải thiện dịch vụ công (y tế, đường xá...). - HUMAN-TRU3]]</f>
        <v>8</v>
      </c>
      <c r="AX196" t="str">
        <f t="shared" si="100"/>
        <v>Support</v>
      </c>
      <c r="AY196" s="32">
        <f t="shared" si="101"/>
        <v>0</v>
      </c>
      <c r="AZ196">
        <f>step3_validation[[#This Row],[AI_TRU4]]</f>
        <v>9</v>
      </c>
      <c r="BA196" t="str">
        <f t="shared" si="102"/>
        <v>Support</v>
      </c>
      <c r="BB196">
        <f>survey_responses[[#This Row],[Tôi thấy Nhà nước đã giải thích rõ ràng, minh bạch về lý do và mục tiêu của việc sửa đổi thuế lần này. - HUMAN-TRU4]]</f>
        <v>8</v>
      </c>
      <c r="BC196" t="str">
        <f t="shared" si="103"/>
        <v>Support</v>
      </c>
      <c r="BD196" s="32">
        <f t="shared" si="104"/>
        <v>1</v>
      </c>
      <c r="BE196">
        <f>step3_validation[[#This Row],[AI_OUT1]]</f>
        <v>8</v>
      </c>
      <c r="BF196" t="str">
        <f t="shared" si="105"/>
        <v>Support</v>
      </c>
      <c r="BG196">
        <f>survey_responses[[#This Row],[Sau khi xem xét các quyền lợi và nghĩa vụ, bạn có ủng hộ và tuân thủ chính sách mới hiện nay? - HUMAN-OUT1]]</f>
        <v>8</v>
      </c>
      <c r="BH196" t="str">
        <f t="shared" si="106"/>
        <v>Support</v>
      </c>
      <c r="BI196" s="32">
        <f t="shared" si="107"/>
        <v>0</v>
      </c>
    </row>
    <row r="197" spans="1:61" x14ac:dyDescent="0.45">
      <c r="A197" s="30">
        <f>step3_validation[[#This Row],[Persona_ID]]</f>
        <v>196</v>
      </c>
      <c r="B197" s="31">
        <f>step3_validation[[#This Row],[Used_Seed]]</f>
        <v>12540</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13.580925821871581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7</v>
      </c>
      <c r="R197" t="str">
        <f t="shared" si="81"/>
        <v>Neutral</v>
      </c>
      <c r="S197">
        <f>survey_responses[[#This Row],[Tôi tin rằng với các quy định quản lý thuế hiện nay, hành vi gian lận hoặc trốn thuế sẽ dễ dàng bị phát hiện và xử lý nghiêm. - HUMAN-ENF1]]</f>
        <v>9</v>
      </c>
      <c r="T197" t="str">
        <f t="shared" si="82"/>
        <v>Support</v>
      </c>
      <c r="U197" s="32">
        <f t="shared" si="83"/>
        <v>2</v>
      </c>
      <c r="V197">
        <f>step3_validation[[#This Row],[AI_ENF2]]</f>
        <v>6</v>
      </c>
      <c r="W197" t="str">
        <f t="shared" si="84"/>
        <v>Neutral</v>
      </c>
      <c r="X197">
        <f>survey_responses[[#This Row],[Tôi tin rằng Nhà nước, cơ quan thuế có đủ khả năng và công nghệ để phát hiện, xử lý nghiêm các hành vi trốn thuế. - HUMAN-ENF2]]</f>
        <v>9</v>
      </c>
      <c r="Y197" t="str">
        <f t="shared" si="85"/>
        <v>Support</v>
      </c>
      <c r="Z197" s="32">
        <f t="shared" si="86"/>
        <v>3</v>
      </c>
      <c r="AA197">
        <f>step3_validation[[#This Row],[AI_FAC1]]</f>
        <v>9</v>
      </c>
      <c r="AB197" t="str">
        <f t="shared" si="87"/>
        <v>Support</v>
      </c>
      <c r="AC197">
        <f>survey_responses[[#This Row],[Các thủ tục khai báo thuế VÀ/HOẶC quy trình làm việc với cơ quan thuế đơn giản, tiện lợi, nhanh chóng hơn so với trước đây. - HUMAN-FAC1]]</f>
        <v>9</v>
      </c>
      <c r="AD197" t="str">
        <f t="shared" si="88"/>
        <v>Support</v>
      </c>
      <c r="AE197" s="32">
        <f t="shared" si="89"/>
        <v>0</v>
      </c>
      <c r="AF197">
        <f>step3_validation[[#This Row],[AI_FAC2]]</f>
        <v>8</v>
      </c>
      <c r="AG197" t="str">
        <f t="shared" si="90"/>
        <v>Support</v>
      </c>
      <c r="AH197">
        <f>survey_responses[[#This Row],[So với trước đây, tôi thấy cách tính thuế và các bậc thuế trong phương án mới đơn giản, dễ hiểu và dễ thực hiện hơn. - HUMAN-FAC2]]</f>
        <v>9</v>
      </c>
      <c r="AI197" t="str">
        <f t="shared" si="91"/>
        <v>Support</v>
      </c>
      <c r="AJ197" s="32">
        <f t="shared" si="92"/>
        <v>1</v>
      </c>
      <c r="AK197">
        <f>step3_validation[[#This Row],[AI_TRU1]]</f>
        <v>7</v>
      </c>
      <c r="AL197" t="str">
        <f t="shared" si="93"/>
        <v>Neutral</v>
      </c>
      <c r="AM197">
        <f>survey_responses[[#This Row],[Tôi tin rằng Nhà nước, cơ quan thuế sẽ thực thi chính sách mới một cách khách quan, công tâm và đối xử bình đẳng với mọi người nộp thuế.  - HUMAN-TRU1]]</f>
        <v>9</v>
      </c>
      <c r="AN197" t="str">
        <f t="shared" si="94"/>
        <v>Support</v>
      </c>
      <c r="AO197" s="32">
        <f t="shared" si="95"/>
        <v>2</v>
      </c>
      <c r="AP197">
        <f>step3_validation[[#This Row],[AI_TRU2]]</f>
        <v>9</v>
      </c>
      <c r="AQ197" t="str">
        <f t="shared" si="96"/>
        <v>Support</v>
      </c>
      <c r="AR197">
        <f>survey_responses[[#This Row],[Tôi thấy mức thuế tôi phải đóng theo phương án mới là công bằng (người thu nhập như tôi đóng mức này là hợp lý). - HUMAN-TRU2]]</f>
        <v>9</v>
      </c>
      <c r="AS197" t="str">
        <f t="shared" si="97"/>
        <v>Support</v>
      </c>
      <c r="AT197" s="32">
        <f t="shared" si="98"/>
        <v>0</v>
      </c>
      <c r="AU197">
        <f>step3_validation[[#This Row],[AI_TRU3]]</f>
        <v>6</v>
      </c>
      <c r="AV197" t="str">
        <f t="shared" si="99"/>
        <v>Neutral</v>
      </c>
      <c r="AW197">
        <f>survey_responses[[#This Row],[Tôi tin tưởng số tiền thuế tôi đóng sẽ được Nhà nước sử dụng hiệu quả để cải thiện dịch vụ công (y tế, đường xá...). - HUMAN-TRU3]]</f>
        <v>9</v>
      </c>
      <c r="AX197" t="str">
        <f t="shared" si="100"/>
        <v>Support</v>
      </c>
      <c r="AY197" s="32">
        <f t="shared" si="101"/>
        <v>3</v>
      </c>
      <c r="AZ197">
        <f>step3_validation[[#This Row],[AI_TRU4]]</f>
        <v>8</v>
      </c>
      <c r="BA197" t="str">
        <f t="shared" si="102"/>
        <v>Support</v>
      </c>
      <c r="BB197">
        <f>survey_responses[[#This Row],[Tôi thấy Nhà nước đã giải thích rõ ràng, minh bạch về lý do và mục tiêu của việc sửa đổi thuế lần này. - HUMAN-TRU4]]</f>
        <v>9</v>
      </c>
      <c r="BC197" t="str">
        <f t="shared" si="103"/>
        <v>Support</v>
      </c>
      <c r="BD197" s="32">
        <f t="shared" si="104"/>
        <v>1</v>
      </c>
      <c r="BE197">
        <f>step3_validation[[#This Row],[AI_OUT1]]</f>
        <v>7</v>
      </c>
      <c r="BF197" t="str">
        <f t="shared" si="105"/>
        <v>Neutral</v>
      </c>
      <c r="BG197">
        <f>survey_responses[[#This Row],[Sau khi xem xét các quyền lợi và nghĩa vụ, bạn có ủng hộ và tuân thủ chính sách mới hiện nay? - HUMAN-OUT1]]</f>
        <v>9</v>
      </c>
      <c r="BH197" t="str">
        <f t="shared" si="106"/>
        <v>Support</v>
      </c>
      <c r="BI197" s="32">
        <f t="shared" si="107"/>
        <v>2</v>
      </c>
    </row>
    <row r="198" spans="1:61" x14ac:dyDescent="0.45">
      <c r="A198" s="30">
        <f>step3_validation[[#This Row],[Persona_ID]]</f>
        <v>197</v>
      </c>
      <c r="B198" s="31">
        <f>step3_validation[[#This Row],[Used_Seed]]</f>
        <v>12541</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15.159162714908897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6</v>
      </c>
      <c r="R198" t="str">
        <f t="shared" si="81"/>
        <v>Neutral</v>
      </c>
      <c r="S198">
        <f>survey_responses[[#This Row],[Tôi tin rằng với các quy định quản lý thuế hiện nay, hành vi gian lận hoặc trốn thuế sẽ dễ dàng bị phát hiện và xử lý nghiêm. - HUMAN-ENF1]]</f>
        <v>9</v>
      </c>
      <c r="T198" t="str">
        <f t="shared" si="82"/>
        <v>Support</v>
      </c>
      <c r="U198" s="32">
        <f t="shared" si="83"/>
        <v>3</v>
      </c>
      <c r="V198">
        <f>step3_validation[[#This Row],[AI_ENF2]]</f>
        <v>7</v>
      </c>
      <c r="W198" t="str">
        <f t="shared" si="84"/>
        <v>Neutral</v>
      </c>
      <c r="X198">
        <f>survey_responses[[#This Row],[Tôi tin rằng Nhà nước, cơ quan thuế có đủ khả năng và công nghệ để phát hiện, xử lý nghiêm các hành vi trốn thuế. - HUMAN-ENF2]]</f>
        <v>10</v>
      </c>
      <c r="Y198" t="str">
        <f t="shared" si="85"/>
        <v>Support</v>
      </c>
      <c r="Z198" s="32">
        <f t="shared" si="86"/>
        <v>3</v>
      </c>
      <c r="AA198">
        <f>step3_validation[[#This Row],[AI_FAC1]]</f>
        <v>8</v>
      </c>
      <c r="AB198" t="str">
        <f t="shared" si="87"/>
        <v>Support</v>
      </c>
      <c r="AC198">
        <f>survey_responses[[#This Row],[Các thủ tục khai báo thuế VÀ/HOẶC quy trình làm việc với cơ quan thuế đơn giản, tiện lợi, nhanh chóng hơn so với trước đây. - HUMAN-FAC1]]</f>
        <v>10</v>
      </c>
      <c r="AD198" t="str">
        <f t="shared" si="88"/>
        <v>Support</v>
      </c>
      <c r="AE198" s="32">
        <f t="shared" si="89"/>
        <v>2</v>
      </c>
      <c r="AF198">
        <f>step3_validation[[#This Row],[AI_FAC2]]</f>
        <v>9</v>
      </c>
      <c r="AG198" t="str">
        <f t="shared" si="90"/>
        <v>Support</v>
      </c>
      <c r="AH198">
        <f>survey_responses[[#This Row],[So với trước đây, tôi thấy cách tính thuế và các bậc thuế trong phương án mới đơn giản, dễ hiểu và dễ thực hiện hơn. - HUMAN-FAC2]]</f>
        <v>9</v>
      </c>
      <c r="AI198" t="str">
        <f t="shared" si="91"/>
        <v>Support</v>
      </c>
      <c r="AJ198" s="32">
        <f t="shared" si="92"/>
        <v>0</v>
      </c>
      <c r="AK198">
        <f>step3_validation[[#This Row],[AI_TRU1]]</f>
        <v>8</v>
      </c>
      <c r="AL198" t="str">
        <f t="shared" si="93"/>
        <v>Support</v>
      </c>
      <c r="AM198">
        <f>survey_responses[[#This Row],[Tôi tin rằng Nhà nước, cơ quan thuế sẽ thực thi chính sách mới một cách khách quan, công tâm và đối xử bình đẳng với mọi người nộp thuế.  - HUMAN-TRU1]]</f>
        <v>10</v>
      </c>
      <c r="AN198" t="str">
        <f t="shared" si="94"/>
        <v>Support</v>
      </c>
      <c r="AO198" s="32">
        <f t="shared" si="95"/>
        <v>2</v>
      </c>
      <c r="AP198">
        <f>step3_validation[[#This Row],[AI_TRU2]]</f>
        <v>9</v>
      </c>
      <c r="AQ198" t="str">
        <f t="shared" si="96"/>
        <v>Support</v>
      </c>
      <c r="AR198">
        <f>survey_responses[[#This Row],[Tôi thấy mức thuế tôi phải đóng theo phương án mới là công bằng (người thu nhập như tôi đóng mức này là hợp lý). - HUMAN-TRU2]]</f>
        <v>10</v>
      </c>
      <c r="AS198" t="str">
        <f t="shared" si="97"/>
        <v>Support</v>
      </c>
      <c r="AT198" s="32">
        <f t="shared" si="98"/>
        <v>1</v>
      </c>
      <c r="AU198">
        <f>step3_validation[[#This Row],[AI_TRU3]]</f>
        <v>8</v>
      </c>
      <c r="AV198" t="str">
        <f t="shared" si="99"/>
        <v>Support</v>
      </c>
      <c r="AW198">
        <f>survey_responses[[#This Row],[Tôi tin tưởng số tiền thuế tôi đóng sẽ được Nhà nước sử dụng hiệu quả để cải thiện dịch vụ công (y tế, đường xá...). - HUMAN-TRU3]]</f>
        <v>10</v>
      </c>
      <c r="AX198" t="str">
        <f t="shared" si="100"/>
        <v>Support</v>
      </c>
      <c r="AY198" s="32">
        <f t="shared" si="101"/>
        <v>2</v>
      </c>
      <c r="AZ198">
        <f>step3_validation[[#This Row],[AI_TRU4]]</f>
        <v>9</v>
      </c>
      <c r="BA198" t="str">
        <f t="shared" si="102"/>
        <v>Support</v>
      </c>
      <c r="BB198">
        <f>survey_responses[[#This Row],[Tôi thấy Nhà nước đã giải thích rõ ràng, minh bạch về lý do và mục tiêu của việc sửa đổi thuế lần này. - HUMAN-TRU4]]</f>
        <v>9</v>
      </c>
      <c r="BC198" t="str">
        <f t="shared" si="103"/>
        <v>Support</v>
      </c>
      <c r="BD198" s="32">
        <f t="shared" si="104"/>
        <v>0</v>
      </c>
      <c r="BE198">
        <f>step3_validation[[#This Row],[AI_OUT1]]</f>
        <v>9</v>
      </c>
      <c r="BF198" t="str">
        <f t="shared" si="105"/>
        <v>Support</v>
      </c>
      <c r="BG198">
        <f>survey_responses[[#This Row],[Sau khi xem xét các quyền lợi và nghĩa vụ, bạn có ủng hộ và tuân thủ chính sách mới hiện nay? - HUMAN-OUT1]]</f>
        <v>10</v>
      </c>
      <c r="BH198" t="str">
        <f t="shared" si="106"/>
        <v>Support</v>
      </c>
      <c r="BI198" s="32">
        <f t="shared" si="107"/>
        <v>1</v>
      </c>
    </row>
    <row r="199" spans="1:61" x14ac:dyDescent="0.45">
      <c r="A199" s="30">
        <f>step3_validation[[#This Row],[Persona_ID]]</f>
        <v>198</v>
      </c>
      <c r="B199" s="31">
        <f>step3_validation[[#This Row],[Used_Seed]]</f>
        <v>12542</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16.203072264021031</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6</v>
      </c>
      <c r="R199" t="str">
        <f t="shared" si="81"/>
        <v>Neutral</v>
      </c>
      <c r="S199">
        <f>survey_responses[[#This Row],[Tôi tin rằng với các quy định quản lý thuế hiện nay, hành vi gian lận hoặc trốn thuế sẽ dễ dàng bị phát hiện và xử lý nghiêm. - HUMAN-ENF1]]</f>
        <v>5</v>
      </c>
      <c r="T199" t="str">
        <f t="shared" si="82"/>
        <v>Neutral</v>
      </c>
      <c r="U199" s="32">
        <f t="shared" si="83"/>
        <v>1</v>
      </c>
      <c r="V199">
        <f>step3_validation[[#This Row],[AI_ENF2]]</f>
        <v>5</v>
      </c>
      <c r="W199" t="str">
        <f t="shared" si="84"/>
        <v>Neutral</v>
      </c>
      <c r="X199">
        <f>survey_responses[[#This Row],[Tôi tin rằng Nhà nước, cơ quan thuế có đủ khả năng và công nghệ để phát hiện, xử lý nghiêm các hành vi trốn thuế. - HUMAN-ENF2]]</f>
        <v>5</v>
      </c>
      <c r="Y199" t="str">
        <f t="shared" si="85"/>
        <v>Neutral</v>
      </c>
      <c r="Z199" s="32">
        <f t="shared" si="86"/>
        <v>0</v>
      </c>
      <c r="AA199">
        <f>step3_validation[[#This Row],[AI_FAC1]]</f>
        <v>7</v>
      </c>
      <c r="AB199" t="str">
        <f t="shared" si="87"/>
        <v>Neutral</v>
      </c>
      <c r="AC199">
        <f>survey_responses[[#This Row],[Các thủ tục khai báo thuế VÀ/HOẶC quy trình làm việc với cơ quan thuế đơn giản, tiện lợi, nhanh chóng hơn so với trước đây. - HUMAN-FAC1]]</f>
        <v>5</v>
      </c>
      <c r="AD199" t="str">
        <f t="shared" si="88"/>
        <v>Neutral</v>
      </c>
      <c r="AE199" s="32">
        <f t="shared" si="89"/>
        <v>2</v>
      </c>
      <c r="AF199">
        <f>step3_validation[[#This Row],[AI_FAC2]]</f>
        <v>8</v>
      </c>
      <c r="AG199" t="str">
        <f t="shared" si="90"/>
        <v>Support</v>
      </c>
      <c r="AH199">
        <f>survey_responses[[#This Row],[So với trước đây, tôi thấy cách tính thuế và các bậc thuế trong phương án mới đơn giản, dễ hiểu và dễ thực hiện hơn. - HUMAN-FAC2]]</f>
        <v>5</v>
      </c>
      <c r="AI199" t="str">
        <f t="shared" si="91"/>
        <v>Neutral</v>
      </c>
      <c r="AJ199" s="32">
        <f t="shared" si="92"/>
        <v>3</v>
      </c>
      <c r="AK199">
        <f>step3_validation[[#This Row],[AI_TRU1]]</f>
        <v>7</v>
      </c>
      <c r="AL199" t="str">
        <f t="shared" si="93"/>
        <v>Neutral</v>
      </c>
      <c r="AM199">
        <f>survey_responses[[#This Row],[Tôi tin rằng Nhà nước, cơ quan thuế sẽ thực thi chính sách mới một cách khách quan, công tâm và đối xử bình đẳng với mọi người nộp thuế.  - HUMAN-TRU1]]</f>
        <v>5</v>
      </c>
      <c r="AN199" t="str">
        <f t="shared" si="94"/>
        <v>Neutral</v>
      </c>
      <c r="AO199" s="32">
        <f t="shared" si="95"/>
        <v>2</v>
      </c>
      <c r="AP199">
        <f>step3_validation[[#This Row],[AI_TRU2]]</f>
        <v>9</v>
      </c>
      <c r="AQ199" t="str">
        <f t="shared" si="96"/>
        <v>Support</v>
      </c>
      <c r="AR199">
        <f>survey_responses[[#This Row],[Tôi thấy mức thuế tôi phải đóng theo phương án mới là công bằng (người thu nhập như tôi đóng mức này là hợp lý). - HUMAN-TRU2]]</f>
        <v>5</v>
      </c>
      <c r="AS199" t="str">
        <f t="shared" si="97"/>
        <v>Neutral</v>
      </c>
      <c r="AT199" s="32">
        <f t="shared" si="98"/>
        <v>4</v>
      </c>
      <c r="AU199">
        <f>step3_validation[[#This Row],[AI_TRU3]]</f>
        <v>7</v>
      </c>
      <c r="AV199" t="str">
        <f t="shared" si="99"/>
        <v>Neutral</v>
      </c>
      <c r="AW199">
        <f>survey_responses[[#This Row],[Tôi tin tưởng số tiền thuế tôi đóng sẽ được Nhà nước sử dụng hiệu quả để cải thiện dịch vụ công (y tế, đường xá...). - HUMAN-TRU3]]</f>
        <v>5</v>
      </c>
      <c r="AX199" t="str">
        <f t="shared" si="100"/>
        <v>Neutral</v>
      </c>
      <c r="AY199" s="32">
        <f t="shared" si="101"/>
        <v>2</v>
      </c>
      <c r="AZ199">
        <f>step3_validation[[#This Row],[AI_TRU4]]</f>
        <v>6</v>
      </c>
      <c r="BA199" t="str">
        <f t="shared" si="102"/>
        <v>Neutral</v>
      </c>
      <c r="BB199">
        <f>survey_responses[[#This Row],[Tôi thấy Nhà nước đã giải thích rõ ràng, minh bạch về lý do và mục tiêu của việc sửa đổi thuế lần này. - HUMAN-TRU4]]</f>
        <v>4</v>
      </c>
      <c r="BC199" t="str">
        <f t="shared" si="103"/>
        <v>Oppose</v>
      </c>
      <c r="BD199" s="32">
        <f t="shared" si="104"/>
        <v>2</v>
      </c>
      <c r="BE199">
        <f>step3_validation[[#This Row],[AI_OUT1]]</f>
        <v>9</v>
      </c>
      <c r="BF199" t="str">
        <f t="shared" si="105"/>
        <v>Support</v>
      </c>
      <c r="BG199">
        <f>survey_responses[[#This Row],[Sau khi xem xét các quyền lợi và nghĩa vụ, bạn có ủng hộ và tuân thủ chính sách mới hiện nay? - HUMAN-OUT1]]</f>
        <v>5</v>
      </c>
      <c r="BH199" t="str">
        <f t="shared" si="106"/>
        <v>Neutral</v>
      </c>
      <c r="BI199" s="32">
        <f t="shared" si="107"/>
        <v>4</v>
      </c>
    </row>
    <row r="200" spans="1:61" x14ac:dyDescent="0.45">
      <c r="A200" s="30">
        <f>step3_validation[[#This Row],[Persona_ID]]</f>
        <v>199</v>
      </c>
      <c r="B200" s="31">
        <f>step3_validation[[#This Row],[Used_Seed]]</f>
        <v>12543</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7</v>
      </c>
      <c r="R200" t="str">
        <f t="shared" si="81"/>
        <v>Neutral</v>
      </c>
      <c r="S200">
        <f>survey_responses[[#This Row],[Tôi tin rằng với các quy định quản lý thuế hiện nay, hành vi gian lận hoặc trốn thuế sẽ dễ dàng bị phát hiện và xử lý nghiêm. - HUMAN-ENF1]]</f>
        <v>9</v>
      </c>
      <c r="T200" t="str">
        <f t="shared" si="82"/>
        <v>Support</v>
      </c>
      <c r="U200" s="32">
        <f t="shared" si="83"/>
        <v>2</v>
      </c>
      <c r="V200">
        <f>step3_validation[[#This Row],[AI_ENF2]]</f>
        <v>6</v>
      </c>
      <c r="W200" t="str">
        <f t="shared" si="84"/>
        <v>Neutral</v>
      </c>
      <c r="X200">
        <f>survey_responses[[#This Row],[Tôi tin rằng Nhà nước, cơ quan thuế có đủ khả năng và công nghệ để phát hiện, xử lý nghiêm các hành vi trốn thuế. - HUMAN-ENF2]]</f>
        <v>8</v>
      </c>
      <c r="Y200" t="str">
        <f t="shared" si="85"/>
        <v>Support</v>
      </c>
      <c r="Z200" s="32">
        <f t="shared" si="86"/>
        <v>2</v>
      </c>
      <c r="AA200">
        <f>step3_validation[[#This Row],[AI_FAC1]]</f>
        <v>8</v>
      </c>
      <c r="AB200" t="str">
        <f t="shared" si="87"/>
        <v>Support</v>
      </c>
      <c r="AC200">
        <f>survey_responses[[#This Row],[Các thủ tục khai báo thuế VÀ/HOẶC quy trình làm việc với cơ quan thuế đơn giản, tiện lợi, nhanh chóng hơn so với trước đây. - HUMAN-FAC1]]</f>
        <v>9</v>
      </c>
      <c r="AD200" t="str">
        <f t="shared" si="88"/>
        <v>Support</v>
      </c>
      <c r="AE200" s="32">
        <f t="shared" si="89"/>
        <v>1</v>
      </c>
      <c r="AF200">
        <f>step3_validation[[#This Row],[AI_FAC2]]</f>
        <v>9</v>
      </c>
      <c r="AG200" t="str">
        <f t="shared" si="90"/>
        <v>Support</v>
      </c>
      <c r="AH200">
        <f>survey_responses[[#This Row],[So với trước đây, tôi thấy cách tính thuế và các bậc thuế trong phương án mới đơn giản, dễ hiểu và dễ thực hiện hơn. - HUMAN-FAC2]]</f>
        <v>9</v>
      </c>
      <c r="AI200" t="str">
        <f t="shared" si="91"/>
        <v>Support</v>
      </c>
      <c r="AJ200" s="32">
        <f t="shared" si="92"/>
        <v>0</v>
      </c>
      <c r="AK200">
        <f>step3_validation[[#This Row],[AI_TRU1]]</f>
        <v>7</v>
      </c>
      <c r="AL200" t="str">
        <f t="shared" si="93"/>
        <v>Neutral</v>
      </c>
      <c r="AM200">
        <f>survey_responses[[#This Row],[Tôi tin rằng Nhà nước, cơ quan thuế sẽ thực thi chính sách mới một cách khách quan, công tâm và đối xử bình đẳng với mọi người nộp thuế.  - HUMAN-TRU1]]</f>
        <v>8</v>
      </c>
      <c r="AN200" t="str">
        <f t="shared" si="94"/>
        <v>Support</v>
      </c>
      <c r="AO200" s="32">
        <f t="shared" si="95"/>
        <v>1</v>
      </c>
      <c r="AP200">
        <f>step3_validation[[#This Row],[AI_TRU2]]</f>
        <v>8</v>
      </c>
      <c r="AQ200" t="str">
        <f t="shared" si="96"/>
        <v>Support</v>
      </c>
      <c r="AR200">
        <f>survey_responses[[#This Row],[Tôi thấy mức thuế tôi phải đóng theo phương án mới là công bằng (người thu nhập như tôi đóng mức này là hợp lý). - HUMAN-TRU2]]</f>
        <v>9</v>
      </c>
      <c r="AS200" t="str">
        <f t="shared" si="97"/>
        <v>Support</v>
      </c>
      <c r="AT200" s="32">
        <f t="shared" si="98"/>
        <v>1</v>
      </c>
      <c r="AU200">
        <f>step3_validation[[#This Row],[AI_TRU3]]</f>
        <v>7</v>
      </c>
      <c r="AV200" t="str">
        <f t="shared" si="99"/>
        <v>Neutral</v>
      </c>
      <c r="AW200">
        <f>survey_responses[[#This Row],[Tôi tin tưởng số tiền thuế tôi đóng sẽ được Nhà nước sử dụng hiệu quả để cải thiện dịch vụ công (y tế, đường xá...). - HUMAN-TRU3]]</f>
        <v>10</v>
      </c>
      <c r="AX200" t="str">
        <f t="shared" si="100"/>
        <v>Support</v>
      </c>
      <c r="AY200" s="32">
        <f t="shared" si="101"/>
        <v>3</v>
      </c>
      <c r="AZ200">
        <f>step3_validation[[#This Row],[AI_TRU4]]</f>
        <v>8</v>
      </c>
      <c r="BA200" t="str">
        <f t="shared" si="102"/>
        <v>Support</v>
      </c>
      <c r="BB200">
        <f>survey_responses[[#This Row],[Tôi thấy Nhà nước đã giải thích rõ ràng, minh bạch về lý do và mục tiêu của việc sửa đổi thuế lần này. - HUMAN-TRU4]]</f>
        <v>9</v>
      </c>
      <c r="BC200" t="str">
        <f t="shared" si="103"/>
        <v>Support</v>
      </c>
      <c r="BD200" s="32">
        <f t="shared" si="104"/>
        <v>1</v>
      </c>
      <c r="BE200">
        <f>step3_validation[[#This Row],[AI_OUT1]]</f>
        <v>7</v>
      </c>
      <c r="BF200" t="str">
        <f t="shared" si="105"/>
        <v>Neutral</v>
      </c>
      <c r="BG200">
        <f>survey_responses[[#This Row],[Sau khi xem xét các quyền lợi và nghĩa vụ, bạn có ủng hộ và tuân thủ chính sách mới hiện nay? - HUMAN-OUT1]]</f>
        <v>10</v>
      </c>
      <c r="BH200" t="str">
        <f t="shared" si="106"/>
        <v>Support</v>
      </c>
      <c r="BI200" s="32">
        <f t="shared" si="107"/>
        <v>3</v>
      </c>
    </row>
    <row r="201" spans="1:61" x14ac:dyDescent="0.45">
      <c r="A201" s="30">
        <f>step3_validation[[#This Row],[Persona_ID]]</f>
        <v>200</v>
      </c>
      <c r="B201" s="31">
        <f>step3_validation[[#This Row],[Used_Seed]]</f>
        <v>12544</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85.694533171150226</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6</v>
      </c>
      <c r="R201" t="str">
        <f t="shared" si="81"/>
        <v>Neutral</v>
      </c>
      <c r="S201">
        <f>survey_responses[[#This Row],[Tôi tin rằng với các quy định quản lý thuế hiện nay, hành vi gian lận hoặc trốn thuế sẽ dễ dàng bị phát hiện và xử lý nghiêm. - HUMAN-ENF1]]</f>
        <v>4</v>
      </c>
      <c r="T201" t="str">
        <f t="shared" si="82"/>
        <v>Oppose</v>
      </c>
      <c r="U201" s="32">
        <f t="shared" si="83"/>
        <v>2</v>
      </c>
      <c r="V201">
        <f>step3_validation[[#This Row],[AI_ENF2]]</f>
        <v>7</v>
      </c>
      <c r="W201" t="str">
        <f t="shared" si="84"/>
        <v>Neutral</v>
      </c>
      <c r="X201">
        <f>survey_responses[[#This Row],[Tôi tin rằng Nhà nước, cơ quan thuế có đủ khả năng và công nghệ để phát hiện, xử lý nghiêm các hành vi trốn thuế. - HUMAN-ENF2]]</f>
        <v>4</v>
      </c>
      <c r="Y201" t="str">
        <f t="shared" si="85"/>
        <v>Oppose</v>
      </c>
      <c r="Z201" s="32">
        <f t="shared" si="86"/>
        <v>3</v>
      </c>
      <c r="AA201">
        <f>step3_validation[[#This Row],[AI_FAC1]]</f>
        <v>9</v>
      </c>
      <c r="AB201" t="str">
        <f t="shared" si="87"/>
        <v>Support</v>
      </c>
      <c r="AC201">
        <f>survey_responses[[#This Row],[Các thủ tục khai báo thuế VÀ/HOẶC quy trình làm việc với cơ quan thuế đơn giản, tiện lợi, nhanh chóng hơn so với trước đây. - HUMAN-FAC1]]</f>
        <v>3</v>
      </c>
      <c r="AD201" t="str">
        <f t="shared" si="88"/>
        <v>Oppose</v>
      </c>
      <c r="AE201" s="32">
        <f t="shared" si="89"/>
        <v>6</v>
      </c>
      <c r="AF201">
        <f>step3_validation[[#This Row],[AI_FAC2]]</f>
        <v>8</v>
      </c>
      <c r="AG201" t="str">
        <f t="shared" si="90"/>
        <v>Support</v>
      </c>
      <c r="AH201">
        <f>survey_responses[[#This Row],[So với trước đây, tôi thấy cách tính thuế và các bậc thuế trong phương án mới đơn giản, dễ hiểu và dễ thực hiện hơn. - HUMAN-FAC2]]</f>
        <v>5</v>
      </c>
      <c r="AI201" t="str">
        <f t="shared" si="91"/>
        <v>Neutral</v>
      </c>
      <c r="AJ201" s="32">
        <f t="shared" si="92"/>
        <v>3</v>
      </c>
      <c r="AK201">
        <f>step3_validation[[#This Row],[AI_TRU1]]</f>
        <v>7</v>
      </c>
      <c r="AL201" t="str">
        <f t="shared" si="93"/>
        <v>Neutral</v>
      </c>
      <c r="AM201">
        <f>survey_responses[[#This Row],[Tôi tin rằng Nhà nước, cơ quan thuế sẽ thực thi chính sách mới một cách khách quan, công tâm và đối xử bình đẳng với mọi người nộp thuế.  - HUMAN-TRU1]]</f>
        <v>4</v>
      </c>
      <c r="AN201" t="str">
        <f t="shared" si="94"/>
        <v>Oppose</v>
      </c>
      <c r="AO201" s="32">
        <f t="shared" si="95"/>
        <v>3</v>
      </c>
      <c r="AP201">
        <f>step3_validation[[#This Row],[AI_TRU2]]</f>
        <v>8</v>
      </c>
      <c r="AQ201" t="str">
        <f t="shared" si="96"/>
        <v>Support</v>
      </c>
      <c r="AR201">
        <f>survey_responses[[#This Row],[Tôi thấy mức thuế tôi phải đóng theo phương án mới là công bằng (người thu nhập như tôi đóng mức này là hợp lý). - HUMAN-TRU2]]</f>
        <v>5</v>
      </c>
      <c r="AS201" t="str">
        <f t="shared" si="97"/>
        <v>Neutral</v>
      </c>
      <c r="AT201" s="32">
        <f t="shared" si="98"/>
        <v>3</v>
      </c>
      <c r="AU201">
        <f>step3_validation[[#This Row],[AI_TRU3]]</f>
        <v>7</v>
      </c>
      <c r="AV201" t="str">
        <f t="shared" si="99"/>
        <v>Neutral</v>
      </c>
      <c r="AW201">
        <f>survey_responses[[#This Row],[Tôi tin tưởng số tiền thuế tôi đóng sẽ được Nhà nước sử dụng hiệu quả để cải thiện dịch vụ công (y tế, đường xá...). - HUMAN-TRU3]]</f>
        <v>1</v>
      </c>
      <c r="AX201" t="str">
        <f t="shared" si="100"/>
        <v>Oppose</v>
      </c>
      <c r="AY201" s="32">
        <f t="shared" si="101"/>
        <v>6</v>
      </c>
      <c r="AZ201">
        <f>step3_validation[[#This Row],[AI_TRU4]]</f>
        <v>8</v>
      </c>
      <c r="BA201" t="str">
        <f t="shared" si="102"/>
        <v>Support</v>
      </c>
      <c r="BB201">
        <f>survey_responses[[#This Row],[Tôi thấy Nhà nước đã giải thích rõ ràng, minh bạch về lý do và mục tiêu của việc sửa đổi thuế lần này. - HUMAN-TRU4]]</f>
        <v>5</v>
      </c>
      <c r="BC201" t="str">
        <f t="shared" si="103"/>
        <v>Neutral</v>
      </c>
      <c r="BD201" s="32">
        <f t="shared" si="104"/>
        <v>3</v>
      </c>
      <c r="BE201">
        <f>step3_validation[[#This Row],[AI_OUT1]]</f>
        <v>9</v>
      </c>
      <c r="BF201" t="str">
        <f t="shared" si="105"/>
        <v>Support</v>
      </c>
      <c r="BG201">
        <f>survey_responses[[#This Row],[Sau khi xem xét các quyền lợi và nghĩa vụ, bạn có ủng hộ và tuân thủ chính sách mới hiện nay? - HUMAN-OUT1]]</f>
        <v>5</v>
      </c>
      <c r="BH201" t="str">
        <f t="shared" si="106"/>
        <v>Neutral</v>
      </c>
      <c r="BI201" s="32">
        <f t="shared" si="107"/>
        <v>4</v>
      </c>
    </row>
    <row r="202" spans="1:61" x14ac:dyDescent="0.45">
      <c r="A202" s="30">
        <f>step3_validation[[#This Row],[Persona_ID]]</f>
        <v>201</v>
      </c>
      <c r="B202" s="31">
        <f>step3_validation[[#This Row],[Used_Seed]]</f>
        <v>12545</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62.389991005686873</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7</v>
      </c>
      <c r="R202" t="str">
        <f t="shared" si="81"/>
        <v>Neutral</v>
      </c>
      <c r="S202">
        <f>survey_responses[[#This Row],[Tôi tin rằng với các quy định quản lý thuế hiện nay, hành vi gian lận hoặc trốn thuế sẽ dễ dàng bị phát hiện và xử lý nghiêm. - HUMAN-ENF1]]</f>
        <v>5</v>
      </c>
      <c r="T202" t="str">
        <f t="shared" si="82"/>
        <v>Neutral</v>
      </c>
      <c r="U202" s="32">
        <f t="shared" si="83"/>
        <v>2</v>
      </c>
      <c r="V202">
        <f>step3_validation[[#This Row],[AI_ENF2]]</f>
        <v>6</v>
      </c>
      <c r="W202" t="str">
        <f t="shared" si="84"/>
        <v>Neutral</v>
      </c>
      <c r="X202">
        <f>survey_responses[[#This Row],[Tôi tin rằng Nhà nước, cơ quan thuế có đủ khả năng và công nghệ để phát hiện, xử lý nghiêm các hành vi trốn thuế. - HUMAN-ENF2]]</f>
        <v>5</v>
      </c>
      <c r="Y202" t="str">
        <f t="shared" si="85"/>
        <v>Neutral</v>
      </c>
      <c r="Z202" s="32">
        <f t="shared" si="86"/>
        <v>1</v>
      </c>
      <c r="AA202">
        <f>step3_validation[[#This Row],[AI_FAC1]]</f>
        <v>8</v>
      </c>
      <c r="AB202" t="str">
        <f t="shared" si="87"/>
        <v>Support</v>
      </c>
      <c r="AC202">
        <f>survey_responses[[#This Row],[Các thủ tục khai báo thuế VÀ/HOẶC quy trình làm việc với cơ quan thuế đơn giản, tiện lợi, nhanh chóng hơn so với trước đây. - HUMAN-FAC1]]</f>
        <v>1</v>
      </c>
      <c r="AD202" t="str">
        <f t="shared" si="88"/>
        <v>Oppose</v>
      </c>
      <c r="AE202" s="32">
        <f t="shared" si="89"/>
        <v>7</v>
      </c>
      <c r="AF202">
        <f>step3_validation[[#This Row],[AI_FAC2]]</f>
        <v>7</v>
      </c>
      <c r="AG202" t="str">
        <f t="shared" si="90"/>
        <v>Neutral</v>
      </c>
      <c r="AH202">
        <f>survey_responses[[#This Row],[So với trước đây, tôi thấy cách tính thuế và các bậc thuế trong phương án mới đơn giản, dễ hiểu và dễ thực hiện hơn. - HUMAN-FAC2]]</f>
        <v>5</v>
      </c>
      <c r="AI202" t="str">
        <f t="shared" si="91"/>
        <v>Neutral</v>
      </c>
      <c r="AJ202" s="32">
        <f t="shared" si="92"/>
        <v>2</v>
      </c>
      <c r="AK202">
        <f>step3_validation[[#This Row],[AI_TRU1]]</f>
        <v>8</v>
      </c>
      <c r="AL202" t="str">
        <f t="shared" si="93"/>
        <v>Support</v>
      </c>
      <c r="AM202">
        <f>survey_responses[[#This Row],[Tôi tin rằng Nhà nước, cơ quan thuế sẽ thực thi chính sách mới một cách khách quan, công tâm và đối xử bình đẳng với mọi người nộp thuế.  - HUMAN-TRU1]]</f>
        <v>4</v>
      </c>
      <c r="AN202" t="str">
        <f t="shared" si="94"/>
        <v>Oppose</v>
      </c>
      <c r="AO202" s="32">
        <f t="shared" si="95"/>
        <v>4</v>
      </c>
      <c r="AP202">
        <f>step3_validation[[#This Row],[AI_TRU2]]</f>
        <v>9</v>
      </c>
      <c r="AQ202" t="str">
        <f t="shared" si="96"/>
        <v>Support</v>
      </c>
      <c r="AR202">
        <f>survey_responses[[#This Row],[Tôi thấy mức thuế tôi phải đóng theo phương án mới là công bằng (người thu nhập như tôi đóng mức này là hợp lý). - HUMAN-TRU2]]</f>
        <v>2</v>
      </c>
      <c r="AS202" t="str">
        <f t="shared" si="97"/>
        <v>Oppose</v>
      </c>
      <c r="AT202" s="32">
        <f t="shared" si="98"/>
        <v>7</v>
      </c>
      <c r="AU202">
        <f>step3_validation[[#This Row],[AI_TRU3]]</f>
        <v>8</v>
      </c>
      <c r="AV202" t="str">
        <f t="shared" si="99"/>
        <v>Support</v>
      </c>
      <c r="AW202">
        <f>survey_responses[[#This Row],[Tôi tin tưởng số tiền thuế tôi đóng sẽ được Nhà nước sử dụng hiệu quả để cải thiện dịch vụ công (y tế, đường xá...). - HUMAN-TRU3]]</f>
        <v>2</v>
      </c>
      <c r="AX202" t="str">
        <f t="shared" si="100"/>
        <v>Oppose</v>
      </c>
      <c r="AY202" s="32">
        <f t="shared" si="101"/>
        <v>6</v>
      </c>
      <c r="AZ202">
        <f>step3_validation[[#This Row],[AI_TRU4]]</f>
        <v>7</v>
      </c>
      <c r="BA202" t="str">
        <f t="shared" si="102"/>
        <v>Neutral</v>
      </c>
      <c r="BB202">
        <f>survey_responses[[#This Row],[Tôi thấy Nhà nước đã giải thích rõ ràng, minh bạch về lý do và mục tiêu của việc sửa đổi thuế lần này. - HUMAN-TRU4]]</f>
        <v>5</v>
      </c>
      <c r="BC202" t="str">
        <f t="shared" si="103"/>
        <v>Neutral</v>
      </c>
      <c r="BD202" s="32">
        <f t="shared" si="104"/>
        <v>2</v>
      </c>
      <c r="BE202">
        <f>step3_validation[[#This Row],[AI_OUT1]]</f>
        <v>8</v>
      </c>
      <c r="BF202" t="str">
        <f t="shared" si="105"/>
        <v>Support</v>
      </c>
      <c r="BG202">
        <f>survey_responses[[#This Row],[Sau khi xem xét các quyền lợi và nghĩa vụ, bạn có ủng hộ và tuân thủ chính sách mới hiện nay? - HUMAN-OUT1]]</f>
        <v>4</v>
      </c>
      <c r="BH202" t="str">
        <f t="shared" si="106"/>
        <v>Oppose</v>
      </c>
      <c r="BI202" s="32">
        <f t="shared" si="107"/>
        <v>4</v>
      </c>
    </row>
    <row r="203" spans="1:61" x14ac:dyDescent="0.45">
      <c r="A203" s="30">
        <f>step3_validation[[#This Row],[Persona_ID]]</f>
        <v>202</v>
      </c>
      <c r="B203" s="31">
        <f>step3_validation[[#This Row],[Used_Seed]]</f>
        <v>12546</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90.482808975195582</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8</v>
      </c>
      <c r="R203" t="str">
        <f t="shared" si="81"/>
        <v>Support</v>
      </c>
      <c r="S203">
        <f>survey_responses[[#This Row],[Tôi tin rằng với các quy định quản lý thuế hiện nay, hành vi gian lận hoặc trốn thuế sẽ dễ dàng bị phát hiện và xử lý nghiêm. - HUMAN-ENF1]]</f>
        <v>6</v>
      </c>
      <c r="T203" t="str">
        <f t="shared" si="82"/>
        <v>Neutral</v>
      </c>
      <c r="U203" s="32">
        <f t="shared" si="83"/>
        <v>2</v>
      </c>
      <c r="V203">
        <f>step3_validation[[#This Row],[AI_ENF2]]</f>
        <v>9</v>
      </c>
      <c r="W203" t="str">
        <f t="shared" si="84"/>
        <v>Support</v>
      </c>
      <c r="X203">
        <f>survey_responses[[#This Row],[Tôi tin rằng Nhà nước, cơ quan thuế có đủ khả năng và công nghệ để phát hiện, xử lý nghiêm các hành vi trốn thuế. - HUMAN-ENF2]]</f>
        <v>8</v>
      </c>
      <c r="Y203" t="str">
        <f t="shared" si="85"/>
        <v>Support</v>
      </c>
      <c r="Z203" s="32">
        <f t="shared" si="86"/>
        <v>1</v>
      </c>
      <c r="AA203">
        <f>step3_validation[[#This Row],[AI_FAC1]]</f>
        <v>8</v>
      </c>
      <c r="AB203" t="str">
        <f t="shared" si="87"/>
        <v>Support</v>
      </c>
      <c r="AC203">
        <f>survey_responses[[#This Row],[Các thủ tục khai báo thuế VÀ/HOẶC quy trình làm việc với cơ quan thuế đơn giản, tiện lợi, nhanh chóng hơn so với trước đây. - HUMAN-FAC1]]</f>
        <v>8</v>
      </c>
      <c r="AD203" t="str">
        <f t="shared" si="88"/>
        <v>Support</v>
      </c>
      <c r="AE203" s="32">
        <f t="shared" si="89"/>
        <v>0</v>
      </c>
      <c r="AF203">
        <f>step3_validation[[#This Row],[AI_FAC2]]</f>
        <v>9</v>
      </c>
      <c r="AG203" t="str">
        <f t="shared" si="90"/>
        <v>Support</v>
      </c>
      <c r="AH203">
        <f>survey_responses[[#This Row],[So với trước đây, tôi thấy cách tính thuế và các bậc thuế trong phương án mới đơn giản, dễ hiểu và dễ thực hiện hơn. - HUMAN-FAC2]]</f>
        <v>9</v>
      </c>
      <c r="AI203" t="str">
        <f t="shared" si="91"/>
        <v>Support</v>
      </c>
      <c r="AJ203" s="32">
        <f t="shared" si="92"/>
        <v>0</v>
      </c>
      <c r="AK203">
        <f>step3_validation[[#This Row],[AI_TRU1]]</f>
        <v>8</v>
      </c>
      <c r="AL203" t="str">
        <f t="shared" si="93"/>
        <v>Support</v>
      </c>
      <c r="AM203">
        <f>survey_responses[[#This Row],[Tôi tin rằng Nhà nước, cơ quan thuế sẽ thực thi chính sách mới một cách khách quan, công tâm và đối xử bình đẳng với mọi người nộp thuế.  - HUMAN-TRU1]]</f>
        <v>7</v>
      </c>
      <c r="AN203" t="str">
        <f t="shared" si="94"/>
        <v>Neutral</v>
      </c>
      <c r="AO203" s="32">
        <f t="shared" si="95"/>
        <v>1</v>
      </c>
      <c r="AP203">
        <f>step3_validation[[#This Row],[AI_TRU2]]</f>
        <v>9</v>
      </c>
      <c r="AQ203" t="str">
        <f t="shared" si="96"/>
        <v>Support</v>
      </c>
      <c r="AR203">
        <f>survey_responses[[#This Row],[Tôi thấy mức thuế tôi phải đóng theo phương án mới là công bằng (người thu nhập như tôi đóng mức này là hợp lý). - HUMAN-TRU2]]</f>
        <v>7</v>
      </c>
      <c r="AS203" t="str">
        <f t="shared" si="97"/>
        <v>Neutral</v>
      </c>
      <c r="AT203" s="32">
        <f t="shared" si="98"/>
        <v>2</v>
      </c>
      <c r="AU203">
        <f>step3_validation[[#This Row],[AI_TRU3]]</f>
        <v>8</v>
      </c>
      <c r="AV203" t="str">
        <f t="shared" si="99"/>
        <v>Support</v>
      </c>
      <c r="AW203">
        <f>survey_responses[[#This Row],[Tôi tin tưởng số tiền thuế tôi đóng sẽ được Nhà nước sử dụng hiệu quả để cải thiện dịch vụ công (y tế, đường xá...). - HUMAN-TRU3]]</f>
        <v>7</v>
      </c>
      <c r="AX203" t="str">
        <f t="shared" si="100"/>
        <v>Neutral</v>
      </c>
      <c r="AY203" s="32">
        <f t="shared" si="101"/>
        <v>1</v>
      </c>
      <c r="AZ203">
        <f>step3_validation[[#This Row],[AI_TRU4]]</f>
        <v>9</v>
      </c>
      <c r="BA203" t="str">
        <f t="shared" si="102"/>
        <v>Support</v>
      </c>
      <c r="BB203">
        <f>survey_responses[[#This Row],[Tôi thấy Nhà nước đã giải thích rõ ràng, minh bạch về lý do và mục tiêu của việc sửa đổi thuế lần này. - HUMAN-TRU4]]</f>
        <v>8</v>
      </c>
      <c r="BC203" t="str">
        <f t="shared" si="103"/>
        <v>Support</v>
      </c>
      <c r="BD203" s="32">
        <f t="shared" si="104"/>
        <v>1</v>
      </c>
      <c r="BE203">
        <f>step3_validation[[#This Row],[AI_OUT1]]</f>
        <v>10</v>
      </c>
      <c r="BF203" t="str">
        <f t="shared" si="105"/>
        <v>Support</v>
      </c>
      <c r="BG203">
        <f>survey_responses[[#This Row],[Sau khi xem xét các quyền lợi và nghĩa vụ, bạn có ủng hộ và tuân thủ chính sách mới hiện nay? - HUMAN-OUT1]]</f>
        <v>8</v>
      </c>
      <c r="BH203" t="str">
        <f t="shared" si="106"/>
        <v>Support</v>
      </c>
      <c r="BI203" s="32">
        <f t="shared" si="107"/>
        <v>2</v>
      </c>
    </row>
    <row r="204" spans="1:61" x14ac:dyDescent="0.45">
      <c r="A204" s="30">
        <f>step3_validation[[#This Row],[Persona_ID]]</f>
        <v>203</v>
      </c>
      <c r="B204" s="31">
        <f>step3_validation[[#This Row],[Used_Seed]]</f>
        <v>12547</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133.67020035481261</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t="str">
        <f t="shared" si="81"/>
        <v>Neutral</v>
      </c>
      <c r="S204">
        <f>survey_responses[[#This Row],[Tôi tin rằng với các quy định quản lý thuế hiện nay, hành vi gian lận hoặc trốn thuế sẽ dễ dàng bị phát hiện và xử lý nghiêm. - HUMAN-ENF1]]</f>
        <v>5</v>
      </c>
      <c r="T204" t="str">
        <f t="shared" si="82"/>
        <v>Neutral</v>
      </c>
      <c r="U204" s="32">
        <f t="shared" si="83"/>
        <v>2</v>
      </c>
      <c r="V204">
        <f>step3_validation[[#This Row],[AI_ENF2]]</f>
        <v>8</v>
      </c>
      <c r="W204" t="str">
        <f t="shared" si="84"/>
        <v>Support</v>
      </c>
      <c r="X204">
        <f>survey_responses[[#This Row],[Tôi tin rằng Nhà nước, cơ quan thuế có đủ khả năng và công nghệ để phát hiện, xử lý nghiêm các hành vi trốn thuế. - HUMAN-ENF2]]</f>
        <v>5</v>
      </c>
      <c r="Y204" t="str">
        <f t="shared" si="85"/>
        <v>Neutral</v>
      </c>
      <c r="Z204" s="32">
        <f t="shared" si="86"/>
        <v>3</v>
      </c>
      <c r="AA204">
        <f>step3_validation[[#This Row],[AI_FAC1]]</f>
        <v>9</v>
      </c>
      <c r="AB204" t="str">
        <f t="shared" si="87"/>
        <v>Support</v>
      </c>
      <c r="AC204">
        <f>survey_responses[[#This Row],[Các thủ tục khai báo thuế VÀ/HOẶC quy trình làm việc với cơ quan thuế đơn giản, tiện lợi, nhanh chóng hơn so với trước đây. - HUMAN-FAC1]]</f>
        <v>5</v>
      </c>
      <c r="AD204" t="str">
        <f t="shared" si="88"/>
        <v>Neutral</v>
      </c>
      <c r="AE204" s="32">
        <f t="shared" si="89"/>
        <v>4</v>
      </c>
      <c r="AF204">
        <f>step3_validation[[#This Row],[AI_FAC2]]</f>
        <v>8</v>
      </c>
      <c r="AG204" t="str">
        <f t="shared" si="90"/>
        <v>Support</v>
      </c>
      <c r="AH204">
        <f>survey_responses[[#This Row],[So với trước đây, tôi thấy cách tính thuế và các bậc thuế trong phương án mới đơn giản, dễ hiểu và dễ thực hiện hơn. - HUMAN-FAC2]]</f>
        <v>5</v>
      </c>
      <c r="AI204" t="str">
        <f t="shared" si="91"/>
        <v>Neutral</v>
      </c>
      <c r="AJ204" s="32">
        <f t="shared" si="92"/>
        <v>3</v>
      </c>
      <c r="AK204">
        <f>step3_validation[[#This Row],[AI_TRU1]]</f>
        <v>7</v>
      </c>
      <c r="AL204" t="str">
        <f t="shared" si="93"/>
        <v>Neutral</v>
      </c>
      <c r="AM204">
        <f>survey_responses[[#This Row],[Tôi tin rằng Nhà nước, cơ quan thuế sẽ thực thi chính sách mới một cách khách quan, công tâm và đối xử bình đẳng với mọi người nộp thuế.  - HUMAN-TRU1]]</f>
        <v>5</v>
      </c>
      <c r="AN204" t="str">
        <f t="shared" si="94"/>
        <v>Neutral</v>
      </c>
      <c r="AO204" s="32">
        <f t="shared" si="95"/>
        <v>2</v>
      </c>
      <c r="AP204">
        <f>step3_validation[[#This Row],[AI_TRU2]]</f>
        <v>9</v>
      </c>
      <c r="AQ204" t="str">
        <f t="shared" si="96"/>
        <v>Support</v>
      </c>
      <c r="AR204">
        <f>survey_responses[[#This Row],[Tôi thấy mức thuế tôi phải đóng theo phương án mới là công bằng (người thu nhập như tôi đóng mức này là hợp lý). - HUMAN-TRU2]]</f>
        <v>5</v>
      </c>
      <c r="AS204" t="str">
        <f t="shared" si="97"/>
        <v>Neutral</v>
      </c>
      <c r="AT204" s="32">
        <f t="shared" si="98"/>
        <v>4</v>
      </c>
      <c r="AU204">
        <f>step3_validation[[#This Row],[AI_TRU3]]</f>
        <v>7</v>
      </c>
      <c r="AV204" t="str">
        <f t="shared" si="99"/>
        <v>Neutral</v>
      </c>
      <c r="AW204">
        <f>survey_responses[[#This Row],[Tôi tin tưởng số tiền thuế tôi đóng sẽ được Nhà nước sử dụng hiệu quả để cải thiện dịch vụ công (y tế, đường xá...). - HUMAN-TRU3]]</f>
        <v>5</v>
      </c>
      <c r="AX204" t="str">
        <f t="shared" si="100"/>
        <v>Neutral</v>
      </c>
      <c r="AY204" s="32">
        <f t="shared" si="101"/>
        <v>2</v>
      </c>
      <c r="AZ204">
        <f>step3_validation[[#This Row],[AI_TRU4]]</f>
        <v>8</v>
      </c>
      <c r="BA204" t="str">
        <f t="shared" si="102"/>
        <v>Support</v>
      </c>
      <c r="BB204">
        <f>survey_responses[[#This Row],[Tôi thấy Nhà nước đã giải thích rõ ràng, minh bạch về lý do và mục tiêu của việc sửa đổi thuế lần này. - HUMAN-TRU4]]</f>
        <v>5</v>
      </c>
      <c r="BC204" t="str">
        <f t="shared" si="103"/>
        <v>Neutral</v>
      </c>
      <c r="BD204" s="32">
        <f t="shared" si="104"/>
        <v>3</v>
      </c>
      <c r="BE204">
        <f>step3_validation[[#This Row],[AI_OUT1]]</f>
        <v>9</v>
      </c>
      <c r="BF204" t="str">
        <f t="shared" si="105"/>
        <v>Support</v>
      </c>
      <c r="BG204">
        <f>survey_responses[[#This Row],[Sau khi xem xét các quyền lợi và nghĩa vụ, bạn có ủng hộ và tuân thủ chính sách mới hiện nay? - HUMAN-OUT1]]</f>
        <v>5</v>
      </c>
      <c r="BH204" t="str">
        <f t="shared" si="106"/>
        <v>Neutral</v>
      </c>
      <c r="BI204" s="32">
        <f t="shared" si="107"/>
        <v>4</v>
      </c>
    </row>
    <row r="205" spans="1:61" x14ac:dyDescent="0.45">
      <c r="A205" s="30">
        <f>step3_validation[[#This Row],[Persona_ID]]</f>
        <v>204</v>
      </c>
      <c r="B205" s="31">
        <f>step3_validation[[#This Row],[Used_Seed]]</f>
        <v>12548</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34.967298569714799</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7</v>
      </c>
      <c r="R205" t="str">
        <f t="shared" si="81"/>
        <v>Neutral</v>
      </c>
      <c r="S205">
        <f>survey_responses[[#This Row],[Tôi tin rằng với các quy định quản lý thuế hiện nay, hành vi gian lận hoặc trốn thuế sẽ dễ dàng bị phát hiện và xử lý nghiêm. - HUMAN-ENF1]]</f>
        <v>7</v>
      </c>
      <c r="T205" t="str">
        <f t="shared" si="82"/>
        <v>Neutral</v>
      </c>
      <c r="U205" s="32">
        <f t="shared" si="83"/>
        <v>0</v>
      </c>
      <c r="V205">
        <f>step3_validation[[#This Row],[AI_ENF2]]</f>
        <v>7</v>
      </c>
      <c r="W205" t="str">
        <f t="shared" si="84"/>
        <v>Neutral</v>
      </c>
      <c r="X205">
        <f>survey_responses[[#This Row],[Tôi tin rằng Nhà nước, cơ quan thuế có đủ khả năng và công nghệ để phát hiện, xử lý nghiêm các hành vi trốn thuế. - HUMAN-ENF2]]</f>
        <v>7</v>
      </c>
      <c r="Y205" t="str">
        <f t="shared" si="85"/>
        <v>Neutral</v>
      </c>
      <c r="Z205" s="32">
        <f t="shared" si="86"/>
        <v>0</v>
      </c>
      <c r="AA205">
        <f>step3_validation[[#This Row],[AI_FAC1]]</f>
        <v>6</v>
      </c>
      <c r="AB205" t="str">
        <f t="shared" si="87"/>
        <v>Neutral</v>
      </c>
      <c r="AC205">
        <f>survey_responses[[#This Row],[Các thủ tục khai báo thuế VÀ/HOẶC quy trình làm việc với cơ quan thuế đơn giản, tiện lợi, nhanh chóng hơn so với trước đây. - HUMAN-FAC1]]</f>
        <v>7</v>
      </c>
      <c r="AD205" t="str">
        <f t="shared" si="88"/>
        <v>Neutral</v>
      </c>
      <c r="AE205" s="32">
        <f t="shared" si="89"/>
        <v>1</v>
      </c>
      <c r="AF205">
        <f>step3_validation[[#This Row],[AI_FAC2]]</f>
        <v>9</v>
      </c>
      <c r="AG205" t="str">
        <f t="shared" si="90"/>
        <v>Support</v>
      </c>
      <c r="AH205">
        <f>survey_responses[[#This Row],[So với trước đây, tôi thấy cách tính thuế và các bậc thuế trong phương án mới đơn giản, dễ hiểu và dễ thực hiện hơn. - HUMAN-FAC2]]</f>
        <v>8</v>
      </c>
      <c r="AI205" t="str">
        <f t="shared" si="91"/>
        <v>Support</v>
      </c>
      <c r="AJ205" s="32">
        <f t="shared" si="92"/>
        <v>1</v>
      </c>
      <c r="AK205">
        <f>step3_validation[[#This Row],[AI_TRU1]]</f>
        <v>8</v>
      </c>
      <c r="AL205" t="str">
        <f t="shared" si="93"/>
        <v>Support</v>
      </c>
      <c r="AM205">
        <f>survey_responses[[#This Row],[Tôi tin rằng Nhà nước, cơ quan thuế sẽ thực thi chính sách mới một cách khách quan, công tâm và đối xử bình đẳng với mọi người nộp thuế.  - HUMAN-TRU1]]</f>
        <v>7</v>
      </c>
      <c r="AN205" t="str">
        <f t="shared" si="94"/>
        <v>Neutral</v>
      </c>
      <c r="AO205" s="32">
        <f t="shared" si="95"/>
        <v>1</v>
      </c>
      <c r="AP205">
        <f>step3_validation[[#This Row],[AI_TRU2]]</f>
        <v>9</v>
      </c>
      <c r="AQ205" t="str">
        <f t="shared" si="96"/>
        <v>Support</v>
      </c>
      <c r="AR205">
        <f>survey_responses[[#This Row],[Tôi thấy mức thuế tôi phải đóng theo phương án mới là công bằng (người thu nhập như tôi đóng mức này là hợp lý). - HUMAN-TRU2]]</f>
        <v>7</v>
      </c>
      <c r="AS205" t="str">
        <f t="shared" si="97"/>
        <v>Neutral</v>
      </c>
      <c r="AT205" s="32">
        <f t="shared" si="98"/>
        <v>2</v>
      </c>
      <c r="AU205">
        <f>step3_validation[[#This Row],[AI_TRU3]]</f>
        <v>7</v>
      </c>
      <c r="AV205" t="str">
        <f t="shared" si="99"/>
        <v>Neutral</v>
      </c>
      <c r="AW205">
        <f>survey_responses[[#This Row],[Tôi tin tưởng số tiền thuế tôi đóng sẽ được Nhà nước sử dụng hiệu quả để cải thiện dịch vụ công (y tế, đường xá...). - HUMAN-TRU3]]</f>
        <v>7</v>
      </c>
      <c r="AX205" t="str">
        <f t="shared" si="100"/>
        <v>Neutral</v>
      </c>
      <c r="AY205" s="32">
        <f t="shared" si="101"/>
        <v>0</v>
      </c>
      <c r="AZ205">
        <f>step3_validation[[#This Row],[AI_TRU4]]</f>
        <v>6</v>
      </c>
      <c r="BA205" t="str">
        <f t="shared" si="102"/>
        <v>Neutral</v>
      </c>
      <c r="BB205">
        <f>survey_responses[[#This Row],[Tôi thấy Nhà nước đã giải thích rõ ràng, minh bạch về lý do và mục tiêu của việc sửa đổi thuế lần này. - HUMAN-TRU4]]</f>
        <v>7</v>
      </c>
      <c r="BC205" t="str">
        <f t="shared" si="103"/>
        <v>Neutral</v>
      </c>
      <c r="BD205" s="32">
        <f t="shared" si="104"/>
        <v>1</v>
      </c>
      <c r="BE205">
        <f>step3_validation[[#This Row],[AI_OUT1]]</f>
        <v>9</v>
      </c>
      <c r="BF205" t="str">
        <f t="shared" si="105"/>
        <v>Support</v>
      </c>
      <c r="BG205">
        <f>survey_responses[[#This Row],[Sau khi xem xét các quyền lợi và nghĩa vụ, bạn có ủng hộ và tuân thủ chính sách mới hiện nay? - HUMAN-OUT1]]</f>
        <v>7</v>
      </c>
      <c r="BH205" t="str">
        <f t="shared" si="106"/>
        <v>Neutral</v>
      </c>
      <c r="BI205" s="32">
        <f t="shared" si="107"/>
        <v>2</v>
      </c>
    </row>
    <row r="206" spans="1:61" x14ac:dyDescent="0.45">
      <c r="A206" s="30">
        <f>step3_validation[[#This Row],[Persona_ID]]</f>
        <v>205</v>
      </c>
      <c r="B206" s="31">
        <f>step3_validation[[#This Row],[Used_Seed]]</f>
        <v>12549</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26.018393885838524</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9</v>
      </c>
      <c r="R206" t="str">
        <f t="shared" si="81"/>
        <v>Support</v>
      </c>
      <c r="S206">
        <f>survey_responses[[#This Row],[Tôi tin rằng với các quy định quản lý thuế hiện nay, hành vi gian lận hoặc trốn thuế sẽ dễ dàng bị phát hiện và xử lý nghiêm. - HUMAN-ENF1]]</f>
        <v>3</v>
      </c>
      <c r="T206" t="str">
        <f t="shared" si="82"/>
        <v>Oppose</v>
      </c>
      <c r="U206" s="32">
        <f t="shared" si="83"/>
        <v>6</v>
      </c>
      <c r="V206">
        <f>step3_validation[[#This Row],[AI_ENF2]]</f>
        <v>8</v>
      </c>
      <c r="W206" t="str">
        <f t="shared" si="84"/>
        <v>Support</v>
      </c>
      <c r="X206">
        <f>survey_responses[[#This Row],[Tôi tin rằng Nhà nước, cơ quan thuế có đủ khả năng và công nghệ để phát hiện, xử lý nghiêm các hành vi trốn thuế. - HUMAN-ENF2]]</f>
        <v>1</v>
      </c>
      <c r="Y206" t="str">
        <f t="shared" si="85"/>
        <v>Oppose</v>
      </c>
      <c r="Z206" s="32">
        <f t="shared" si="86"/>
        <v>7</v>
      </c>
      <c r="AA206">
        <f>step3_validation[[#This Row],[AI_FAC1]]</f>
        <v>9</v>
      </c>
      <c r="AB206" t="str">
        <f t="shared" si="87"/>
        <v>Support</v>
      </c>
      <c r="AC206">
        <f>survey_responses[[#This Row],[Các thủ tục khai báo thuế VÀ/HOẶC quy trình làm việc với cơ quan thuế đơn giản, tiện lợi, nhanh chóng hơn so với trước đây. - HUMAN-FAC1]]</f>
        <v>1</v>
      </c>
      <c r="AD206" t="str">
        <f t="shared" si="88"/>
        <v>Oppose</v>
      </c>
      <c r="AE206" s="32">
        <f t="shared" si="89"/>
        <v>8</v>
      </c>
      <c r="AF206">
        <f>step3_validation[[#This Row],[AI_FAC2]]</f>
        <v>8</v>
      </c>
      <c r="AG206" t="str">
        <f t="shared" si="90"/>
        <v>Support</v>
      </c>
      <c r="AH206">
        <f>survey_responses[[#This Row],[So với trước đây, tôi thấy cách tính thuế và các bậc thuế trong phương án mới đơn giản, dễ hiểu và dễ thực hiện hơn. - HUMAN-FAC2]]</f>
        <v>5</v>
      </c>
      <c r="AI206" t="str">
        <f t="shared" si="91"/>
        <v>Neutral</v>
      </c>
      <c r="AJ206" s="32">
        <f t="shared" si="92"/>
        <v>3</v>
      </c>
      <c r="AK206">
        <f>step3_validation[[#This Row],[AI_TRU1]]</f>
        <v>9</v>
      </c>
      <c r="AL206" t="str">
        <f t="shared" si="93"/>
        <v>Support</v>
      </c>
      <c r="AM206">
        <f>survey_responses[[#This Row],[Tôi tin rằng Nhà nước, cơ quan thuế sẽ thực thi chính sách mới một cách khách quan, công tâm và đối xử bình đẳng với mọi người nộp thuế.  - HUMAN-TRU1]]</f>
        <v>1</v>
      </c>
      <c r="AN206" t="str">
        <f t="shared" si="94"/>
        <v>Oppose</v>
      </c>
      <c r="AO206" s="32">
        <f t="shared" si="95"/>
        <v>8</v>
      </c>
      <c r="AP206">
        <f>step3_validation[[#This Row],[AI_TRU2]]</f>
        <v>8</v>
      </c>
      <c r="AQ206" t="str">
        <f t="shared" si="96"/>
        <v>Support</v>
      </c>
      <c r="AR206">
        <f>survey_responses[[#This Row],[Tôi thấy mức thuế tôi phải đóng theo phương án mới là công bằng (người thu nhập như tôi đóng mức này là hợp lý). - HUMAN-TRU2]]</f>
        <v>1</v>
      </c>
      <c r="AS206" t="str">
        <f t="shared" si="97"/>
        <v>Oppose</v>
      </c>
      <c r="AT206" s="32">
        <f t="shared" si="98"/>
        <v>7</v>
      </c>
      <c r="AU206">
        <f>step3_validation[[#This Row],[AI_TRU3]]</f>
        <v>9</v>
      </c>
      <c r="AV206" t="str">
        <f t="shared" si="99"/>
        <v>Support</v>
      </c>
      <c r="AW206">
        <f>survey_responses[[#This Row],[Tôi tin tưởng số tiền thuế tôi đóng sẽ được Nhà nước sử dụng hiệu quả để cải thiện dịch vụ công (y tế, đường xá...). - HUMAN-TRU3]]</f>
        <v>1</v>
      </c>
      <c r="AX206" t="str">
        <f t="shared" si="100"/>
        <v>Oppose</v>
      </c>
      <c r="AY206" s="32">
        <f t="shared" si="101"/>
        <v>8</v>
      </c>
      <c r="AZ206">
        <f>step3_validation[[#This Row],[AI_TRU4]]</f>
        <v>8</v>
      </c>
      <c r="BA206" t="str">
        <f t="shared" si="102"/>
        <v>Support</v>
      </c>
      <c r="BB206">
        <f>survey_responses[[#This Row],[Tôi thấy Nhà nước đã giải thích rõ ràng, minh bạch về lý do và mục tiêu của việc sửa đổi thuế lần này. - HUMAN-TRU4]]</f>
        <v>4</v>
      </c>
      <c r="BC206" t="str">
        <f t="shared" si="103"/>
        <v>Oppose</v>
      </c>
      <c r="BD206" s="32">
        <f t="shared" si="104"/>
        <v>4</v>
      </c>
      <c r="BE206">
        <f>step3_validation[[#This Row],[AI_OUT1]]</f>
        <v>9</v>
      </c>
      <c r="BF206" t="str">
        <f t="shared" si="105"/>
        <v>Support</v>
      </c>
      <c r="BG206">
        <f>survey_responses[[#This Row],[Sau khi xem xét các quyền lợi và nghĩa vụ, bạn có ủng hộ và tuân thủ chính sách mới hiện nay? - HUMAN-OUT1]]</f>
        <v>5</v>
      </c>
      <c r="BH206" t="str">
        <f t="shared" si="106"/>
        <v>Neutral</v>
      </c>
      <c r="BI206" s="32">
        <f t="shared" si="107"/>
        <v>4</v>
      </c>
    </row>
    <row r="207" spans="1:61" x14ac:dyDescent="0.45">
      <c r="A207" s="30">
        <f>step3_validation[[#This Row],[Persona_ID]]</f>
        <v>206</v>
      </c>
      <c r="B207" s="31">
        <f>step3_validation[[#This Row],[Used_Seed]]</f>
        <v>12550</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64.169426221995863</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8</v>
      </c>
      <c r="R207" t="str">
        <f t="shared" si="81"/>
        <v>Support</v>
      </c>
      <c r="S207">
        <f>survey_responses[[#This Row],[Tôi tin rằng với các quy định quản lý thuế hiện nay, hành vi gian lận hoặc trốn thuế sẽ dễ dàng bị phát hiện và xử lý nghiêm. - HUMAN-ENF1]]</f>
        <v>8</v>
      </c>
      <c r="T207" t="str">
        <f t="shared" si="82"/>
        <v>Support</v>
      </c>
      <c r="U207" s="32">
        <f t="shared" si="83"/>
        <v>0</v>
      </c>
      <c r="V207">
        <f>step3_validation[[#This Row],[AI_ENF2]]</f>
        <v>7</v>
      </c>
      <c r="W207" t="str">
        <f t="shared" si="84"/>
        <v>Neutral</v>
      </c>
      <c r="X207">
        <f>survey_responses[[#This Row],[Tôi tin rằng Nhà nước, cơ quan thuế có đủ khả năng và công nghệ để phát hiện, xử lý nghiêm các hành vi trốn thuế. - HUMAN-ENF2]]</f>
        <v>8</v>
      </c>
      <c r="Y207" t="str">
        <f t="shared" si="85"/>
        <v>Support</v>
      </c>
      <c r="Z207" s="32">
        <f t="shared" si="86"/>
        <v>1</v>
      </c>
      <c r="AA207">
        <f>step3_validation[[#This Row],[AI_FAC1]]</f>
        <v>9</v>
      </c>
      <c r="AB207" t="str">
        <f t="shared" si="87"/>
        <v>Support</v>
      </c>
      <c r="AC207">
        <f>survey_responses[[#This Row],[Các thủ tục khai báo thuế VÀ/HOẶC quy trình làm việc với cơ quan thuế đơn giản, tiện lợi, nhanh chóng hơn so với trước đây. - HUMAN-FAC1]]</f>
        <v>5</v>
      </c>
      <c r="AD207" t="str">
        <f t="shared" si="88"/>
        <v>Neutral</v>
      </c>
      <c r="AE207" s="32">
        <f t="shared" si="89"/>
        <v>4</v>
      </c>
      <c r="AF207">
        <f>step3_validation[[#This Row],[AI_FAC2]]</f>
        <v>8</v>
      </c>
      <c r="AG207" t="str">
        <f t="shared" si="90"/>
        <v>Support</v>
      </c>
      <c r="AH207">
        <f>survey_responses[[#This Row],[So với trước đây, tôi thấy cách tính thuế và các bậc thuế trong phương án mới đơn giản, dễ hiểu và dễ thực hiện hơn. - HUMAN-FAC2]]</f>
        <v>7</v>
      </c>
      <c r="AI207" t="str">
        <f t="shared" si="91"/>
        <v>Neutral</v>
      </c>
      <c r="AJ207" s="32">
        <f t="shared" si="92"/>
        <v>1</v>
      </c>
      <c r="AK207">
        <f>step3_validation[[#This Row],[AI_TRU1]]</f>
        <v>7</v>
      </c>
      <c r="AL207" t="str">
        <f t="shared" si="93"/>
        <v>Neutral</v>
      </c>
      <c r="AM207">
        <f>survey_responses[[#This Row],[Tôi tin rằng Nhà nước, cơ quan thuế sẽ thực thi chính sách mới một cách khách quan, công tâm và đối xử bình đẳng với mọi người nộp thuế.  - HUMAN-TRU1]]</f>
        <v>7</v>
      </c>
      <c r="AN207" t="str">
        <f t="shared" si="94"/>
        <v>Neutral</v>
      </c>
      <c r="AO207" s="32">
        <f t="shared" si="95"/>
        <v>0</v>
      </c>
      <c r="AP207">
        <f>step3_validation[[#This Row],[AI_TRU2]]</f>
        <v>9</v>
      </c>
      <c r="AQ207" t="str">
        <f t="shared" si="96"/>
        <v>Support</v>
      </c>
      <c r="AR207">
        <f>survey_responses[[#This Row],[Tôi thấy mức thuế tôi phải đóng theo phương án mới là công bằng (người thu nhập như tôi đóng mức này là hợp lý). - HUMAN-TRU2]]</f>
        <v>6</v>
      </c>
      <c r="AS207" t="str">
        <f t="shared" si="97"/>
        <v>Neutral</v>
      </c>
      <c r="AT207" s="32">
        <f t="shared" si="98"/>
        <v>3</v>
      </c>
      <c r="AU207">
        <f>step3_validation[[#This Row],[AI_TRU3]]</f>
        <v>8</v>
      </c>
      <c r="AV207" t="str">
        <f t="shared" si="99"/>
        <v>Support</v>
      </c>
      <c r="AW207">
        <f>survey_responses[[#This Row],[Tôi tin tưởng số tiền thuế tôi đóng sẽ được Nhà nước sử dụng hiệu quả để cải thiện dịch vụ công (y tế, đường xá...). - HUMAN-TRU3]]</f>
        <v>6</v>
      </c>
      <c r="AX207" t="str">
        <f t="shared" si="100"/>
        <v>Neutral</v>
      </c>
      <c r="AY207" s="32">
        <f t="shared" si="101"/>
        <v>2</v>
      </c>
      <c r="AZ207">
        <f>step3_validation[[#This Row],[AI_TRU4]]</f>
        <v>7</v>
      </c>
      <c r="BA207" t="str">
        <f t="shared" si="102"/>
        <v>Neutral</v>
      </c>
      <c r="BB207">
        <f>survey_responses[[#This Row],[Tôi thấy Nhà nước đã giải thích rõ ràng, minh bạch về lý do và mục tiêu của việc sửa đổi thuế lần này. - HUMAN-TRU4]]</f>
        <v>7</v>
      </c>
      <c r="BC207" t="str">
        <f t="shared" si="103"/>
        <v>Neutral</v>
      </c>
      <c r="BD207" s="32">
        <f t="shared" si="104"/>
        <v>0</v>
      </c>
      <c r="BE207">
        <f>step3_validation[[#This Row],[AI_OUT1]]</f>
        <v>9</v>
      </c>
      <c r="BF207" t="str">
        <f t="shared" si="105"/>
        <v>Support</v>
      </c>
      <c r="BG207">
        <f>survey_responses[[#This Row],[Sau khi xem xét các quyền lợi và nghĩa vụ, bạn có ủng hộ và tuân thủ chính sách mới hiện nay? - HUMAN-OUT1]]</f>
        <v>7</v>
      </c>
      <c r="BH207" t="str">
        <f t="shared" si="106"/>
        <v>Neutral</v>
      </c>
      <c r="BI207" s="32">
        <f t="shared" si="107"/>
        <v>2</v>
      </c>
    </row>
    <row r="208" spans="1:61" x14ac:dyDescent="0.45">
      <c r="A208" s="30">
        <f>step3_validation[[#This Row],[Persona_ID]]</f>
        <v>207</v>
      </c>
      <c r="B208" s="31">
        <f>step3_validation[[#This Row],[Used_Seed]]</f>
        <v>12551</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54.454177062529524</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7</v>
      </c>
      <c r="R208" t="str">
        <f t="shared" si="81"/>
        <v>Neutral</v>
      </c>
      <c r="S208">
        <f>survey_responses[[#This Row],[Tôi tin rằng với các quy định quản lý thuế hiện nay, hành vi gian lận hoặc trốn thuế sẽ dễ dàng bị phát hiện và xử lý nghiêm. - HUMAN-ENF1]]</f>
        <v>4</v>
      </c>
      <c r="T208" t="str">
        <f t="shared" si="82"/>
        <v>Oppose</v>
      </c>
      <c r="U208" s="32">
        <f t="shared" si="83"/>
        <v>3</v>
      </c>
      <c r="V208">
        <f>step3_validation[[#This Row],[AI_ENF2]]</f>
        <v>7</v>
      </c>
      <c r="W208" t="str">
        <f t="shared" si="84"/>
        <v>Neutral</v>
      </c>
      <c r="X208">
        <f>survey_responses[[#This Row],[Tôi tin rằng Nhà nước, cơ quan thuế có đủ khả năng và công nghệ để phát hiện, xử lý nghiêm các hành vi trốn thuế. - HUMAN-ENF2]]</f>
        <v>3</v>
      </c>
      <c r="Y208" t="str">
        <f t="shared" si="85"/>
        <v>Oppose</v>
      </c>
      <c r="Z208" s="32">
        <f t="shared" si="86"/>
        <v>4</v>
      </c>
      <c r="AA208">
        <f>step3_validation[[#This Row],[AI_FAC1]]</f>
        <v>8</v>
      </c>
      <c r="AB208" t="str">
        <f t="shared" si="87"/>
        <v>Support</v>
      </c>
      <c r="AC208">
        <f>survey_responses[[#This Row],[Các thủ tục khai báo thuế VÀ/HOẶC quy trình làm việc với cơ quan thuế đơn giản, tiện lợi, nhanh chóng hơn so với trước đây. - HUMAN-FAC1]]</f>
        <v>1</v>
      </c>
      <c r="AD208" t="str">
        <f t="shared" si="88"/>
        <v>Oppose</v>
      </c>
      <c r="AE208" s="32">
        <f t="shared" si="89"/>
        <v>7</v>
      </c>
      <c r="AF208">
        <f>step3_validation[[#This Row],[AI_FAC2]]</f>
        <v>9</v>
      </c>
      <c r="AG208" t="str">
        <f t="shared" si="90"/>
        <v>Support</v>
      </c>
      <c r="AH208">
        <f>survey_responses[[#This Row],[So với trước đây, tôi thấy cách tính thuế và các bậc thuế trong phương án mới đơn giản, dễ hiểu và dễ thực hiện hơn. - HUMAN-FAC2]]</f>
        <v>2</v>
      </c>
      <c r="AI208" t="str">
        <f t="shared" si="91"/>
        <v>Oppose</v>
      </c>
      <c r="AJ208" s="32">
        <f t="shared" si="92"/>
        <v>7</v>
      </c>
      <c r="AK208">
        <f>step3_validation[[#This Row],[AI_TRU1]]</f>
        <v>8</v>
      </c>
      <c r="AL208" t="str">
        <f t="shared" si="93"/>
        <v>Support</v>
      </c>
      <c r="AM208">
        <f>survey_responses[[#This Row],[Tôi tin rằng Nhà nước, cơ quan thuế sẽ thực thi chính sách mới một cách khách quan, công tâm và đối xử bình đẳng với mọi người nộp thuế.  - HUMAN-TRU1]]</f>
        <v>1</v>
      </c>
      <c r="AN208" t="str">
        <f t="shared" si="94"/>
        <v>Oppose</v>
      </c>
      <c r="AO208" s="32">
        <f t="shared" si="95"/>
        <v>7</v>
      </c>
      <c r="AP208">
        <f>step3_validation[[#This Row],[AI_TRU2]]</f>
        <v>9</v>
      </c>
      <c r="AQ208" t="str">
        <f t="shared" si="96"/>
        <v>Support</v>
      </c>
      <c r="AR208">
        <f>survey_responses[[#This Row],[Tôi thấy mức thuế tôi phải đóng theo phương án mới là công bằng (người thu nhập như tôi đóng mức này là hợp lý). - HUMAN-TRU2]]</f>
        <v>1</v>
      </c>
      <c r="AS208" t="str">
        <f t="shared" si="97"/>
        <v>Oppose</v>
      </c>
      <c r="AT208" s="32">
        <f t="shared" si="98"/>
        <v>8</v>
      </c>
      <c r="AU208">
        <f>step3_validation[[#This Row],[AI_TRU3]]</f>
        <v>7</v>
      </c>
      <c r="AV208" t="str">
        <f t="shared" si="99"/>
        <v>Neutral</v>
      </c>
      <c r="AW208">
        <f>survey_responses[[#This Row],[Tôi tin tưởng số tiền thuế tôi đóng sẽ được Nhà nước sử dụng hiệu quả để cải thiện dịch vụ công (y tế, đường xá...). - HUMAN-TRU3]]</f>
        <v>1</v>
      </c>
      <c r="AX208" t="str">
        <f t="shared" si="100"/>
        <v>Oppose</v>
      </c>
      <c r="AY208" s="32">
        <f t="shared" si="101"/>
        <v>6</v>
      </c>
      <c r="AZ208">
        <f>step3_validation[[#This Row],[AI_TRU4]]</f>
        <v>8</v>
      </c>
      <c r="BA208" t="str">
        <f t="shared" si="102"/>
        <v>Support</v>
      </c>
      <c r="BB208">
        <f>survey_responses[[#This Row],[Tôi thấy Nhà nước đã giải thích rõ ràng, minh bạch về lý do và mục tiêu của việc sửa đổi thuế lần này. - HUMAN-TRU4]]</f>
        <v>4</v>
      </c>
      <c r="BC208" t="str">
        <f t="shared" si="103"/>
        <v>Oppose</v>
      </c>
      <c r="BD208" s="32">
        <f t="shared" si="104"/>
        <v>4</v>
      </c>
      <c r="BE208">
        <f>step3_validation[[#This Row],[AI_OUT1]]</f>
        <v>9</v>
      </c>
      <c r="BF208" t="str">
        <f t="shared" si="105"/>
        <v>Support</v>
      </c>
      <c r="BG208">
        <f>survey_responses[[#This Row],[Sau khi xem xét các quyền lợi và nghĩa vụ, bạn có ủng hộ và tuân thủ chính sách mới hiện nay? - HUMAN-OUT1]]</f>
        <v>2</v>
      </c>
      <c r="BH208" t="str">
        <f t="shared" si="106"/>
        <v>Oppose</v>
      </c>
      <c r="BI208" s="32">
        <f t="shared" si="107"/>
        <v>7</v>
      </c>
    </row>
    <row r="209" spans="1:61" x14ac:dyDescent="0.45">
      <c r="A209" s="30">
        <f>step3_validation[[#This Row],[Persona_ID]]</f>
        <v>208</v>
      </c>
      <c r="B209" s="31">
        <f>step3_validation[[#This Row],[Used_Seed]]</f>
        <v>12552</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44.713339834198216</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5</v>
      </c>
      <c r="R209" t="str">
        <f t="shared" si="81"/>
        <v>Neutral</v>
      </c>
      <c r="S209">
        <f>survey_responses[[#This Row],[Tôi tin rằng với các quy định quản lý thuế hiện nay, hành vi gian lận hoặc trốn thuế sẽ dễ dàng bị phát hiện và xử lý nghiêm. - HUMAN-ENF1]]</f>
        <v>7</v>
      </c>
      <c r="T209" t="str">
        <f t="shared" si="82"/>
        <v>Neutral</v>
      </c>
      <c r="U209" s="32">
        <f t="shared" si="83"/>
        <v>2</v>
      </c>
      <c r="V209">
        <f>step3_validation[[#This Row],[AI_ENF2]]</f>
        <v>7</v>
      </c>
      <c r="W209" t="str">
        <f t="shared" si="84"/>
        <v>Neutral</v>
      </c>
      <c r="X209">
        <f>survey_responses[[#This Row],[Tôi tin rằng Nhà nước, cơ quan thuế có đủ khả năng và công nghệ để phát hiện, xử lý nghiêm các hành vi trốn thuế. - HUMAN-ENF2]]</f>
        <v>8</v>
      </c>
      <c r="Y209" t="str">
        <f t="shared" si="85"/>
        <v>Support</v>
      </c>
      <c r="Z209" s="32">
        <f t="shared" si="86"/>
        <v>1</v>
      </c>
      <c r="AA209">
        <f>step3_validation[[#This Row],[AI_FAC1]]</f>
        <v>8</v>
      </c>
      <c r="AB209" t="str">
        <f t="shared" si="87"/>
        <v>Support</v>
      </c>
      <c r="AC209">
        <f>survey_responses[[#This Row],[Các thủ tục khai báo thuế VÀ/HOẶC quy trình làm việc với cơ quan thuế đơn giản, tiện lợi, nhanh chóng hơn so với trước đây. - HUMAN-FAC1]]</f>
        <v>6</v>
      </c>
      <c r="AD209" t="str">
        <f t="shared" si="88"/>
        <v>Neutral</v>
      </c>
      <c r="AE209" s="32">
        <f t="shared" si="89"/>
        <v>2</v>
      </c>
      <c r="AF209">
        <f>step3_validation[[#This Row],[AI_FAC2]]</f>
        <v>9</v>
      </c>
      <c r="AG209" t="str">
        <f t="shared" si="90"/>
        <v>Support</v>
      </c>
      <c r="AH209">
        <f>survey_responses[[#This Row],[So với trước đây, tôi thấy cách tính thuế và các bậc thuế trong phương án mới đơn giản, dễ hiểu và dễ thực hiện hơn. - HUMAN-FAC2]]</f>
        <v>7</v>
      </c>
      <c r="AI209" t="str">
        <f t="shared" si="91"/>
        <v>Neutral</v>
      </c>
      <c r="AJ209" s="32">
        <f t="shared" si="92"/>
        <v>2</v>
      </c>
      <c r="AK209">
        <f>step3_validation[[#This Row],[AI_TRU1]]</f>
        <v>6</v>
      </c>
      <c r="AL209" t="str">
        <f t="shared" si="93"/>
        <v>Neutral</v>
      </c>
      <c r="AM209">
        <f>survey_responses[[#This Row],[Tôi tin rằng Nhà nước, cơ quan thuế sẽ thực thi chính sách mới một cách khách quan, công tâm và đối xử bình đẳng với mọi người nộp thuế.  - HUMAN-TRU1]]</f>
        <v>6</v>
      </c>
      <c r="AN209" t="str">
        <f t="shared" si="94"/>
        <v>Neutral</v>
      </c>
      <c r="AO209" s="32">
        <f t="shared" si="95"/>
        <v>0</v>
      </c>
      <c r="AP209">
        <f>step3_validation[[#This Row],[AI_TRU2]]</f>
        <v>9</v>
      </c>
      <c r="AQ209" t="str">
        <f t="shared" si="96"/>
        <v>Support</v>
      </c>
      <c r="AR209">
        <f>survey_responses[[#This Row],[Tôi thấy mức thuế tôi phải đóng theo phương án mới là công bằng (người thu nhập như tôi đóng mức này là hợp lý). - HUMAN-TRU2]]</f>
        <v>7</v>
      </c>
      <c r="AS209" t="str">
        <f t="shared" si="97"/>
        <v>Neutral</v>
      </c>
      <c r="AT209" s="32">
        <f t="shared" si="98"/>
        <v>2</v>
      </c>
      <c r="AU209">
        <f>step3_validation[[#This Row],[AI_TRU3]]</f>
        <v>6</v>
      </c>
      <c r="AV209" t="str">
        <f t="shared" si="99"/>
        <v>Neutral</v>
      </c>
      <c r="AW209">
        <f>survey_responses[[#This Row],[Tôi tin tưởng số tiền thuế tôi đóng sẽ được Nhà nước sử dụng hiệu quả để cải thiện dịch vụ công (y tế, đường xá...). - HUMAN-TRU3]]</f>
        <v>6</v>
      </c>
      <c r="AX209" t="str">
        <f t="shared" si="100"/>
        <v>Neutral</v>
      </c>
      <c r="AY209" s="32">
        <f t="shared" si="101"/>
        <v>0</v>
      </c>
      <c r="AZ209">
        <f>step3_validation[[#This Row],[AI_TRU4]]</f>
        <v>8</v>
      </c>
      <c r="BA209" t="str">
        <f t="shared" si="102"/>
        <v>Support</v>
      </c>
      <c r="BB209">
        <f>survey_responses[[#This Row],[Tôi thấy Nhà nước đã giải thích rõ ràng, minh bạch về lý do và mục tiêu của việc sửa đổi thuế lần này. - HUMAN-TRU4]]</f>
        <v>6</v>
      </c>
      <c r="BC209" t="str">
        <f t="shared" si="103"/>
        <v>Neutral</v>
      </c>
      <c r="BD209" s="32">
        <f t="shared" si="104"/>
        <v>2</v>
      </c>
      <c r="BE209">
        <f>step3_validation[[#This Row],[AI_OUT1]]</f>
        <v>9</v>
      </c>
      <c r="BF209" t="str">
        <f t="shared" si="105"/>
        <v>Support</v>
      </c>
      <c r="BG209">
        <f>survey_responses[[#This Row],[Sau khi xem xét các quyền lợi và nghĩa vụ, bạn có ủng hộ và tuân thủ chính sách mới hiện nay? - HUMAN-OUT1]]</f>
        <v>6</v>
      </c>
      <c r="BH209" t="str">
        <f t="shared" si="106"/>
        <v>Neutral</v>
      </c>
      <c r="BI209" s="32">
        <f t="shared" si="107"/>
        <v>3</v>
      </c>
    </row>
    <row r="210" spans="1:61" x14ac:dyDescent="0.45">
      <c r="A210" s="30">
        <f>step3_validation[[#This Row],[Persona_ID]]</f>
        <v>209</v>
      </c>
      <c r="B210" s="31">
        <f>step3_validation[[#This Row],[Used_Seed]]</f>
        <v>12553</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32.500400397407304</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9</v>
      </c>
      <c r="R210" t="str">
        <f t="shared" si="81"/>
        <v>Support</v>
      </c>
      <c r="S210">
        <f>survey_responses[[#This Row],[Tôi tin rằng với các quy định quản lý thuế hiện nay, hành vi gian lận hoặc trốn thuế sẽ dễ dàng bị phát hiện và xử lý nghiêm. - HUMAN-ENF1]]</f>
        <v>6</v>
      </c>
      <c r="T210" t="str">
        <f t="shared" si="82"/>
        <v>Neutral</v>
      </c>
      <c r="U210" s="32">
        <f t="shared" si="83"/>
        <v>3</v>
      </c>
      <c r="V210">
        <f>step3_validation[[#This Row],[AI_ENF2]]</f>
        <v>9</v>
      </c>
      <c r="W210" t="str">
        <f t="shared" si="84"/>
        <v>Support</v>
      </c>
      <c r="X210">
        <f>survey_responses[[#This Row],[Tôi tin rằng Nhà nước, cơ quan thuế có đủ khả năng và công nghệ để phát hiện, xử lý nghiêm các hành vi trốn thuế. - HUMAN-ENF2]]</f>
        <v>6</v>
      </c>
      <c r="Y210" t="str">
        <f t="shared" si="85"/>
        <v>Neutral</v>
      </c>
      <c r="Z210" s="32">
        <f t="shared" si="86"/>
        <v>3</v>
      </c>
      <c r="AA210">
        <f>step3_validation[[#This Row],[AI_FAC1]]</f>
        <v>8</v>
      </c>
      <c r="AB210" t="str">
        <f t="shared" si="87"/>
        <v>Support</v>
      </c>
      <c r="AC210">
        <f>survey_responses[[#This Row],[Các thủ tục khai báo thuế VÀ/HOẶC quy trình làm việc với cơ quan thuế đơn giản, tiện lợi, nhanh chóng hơn so với trước đây. - HUMAN-FAC1]]</f>
        <v>6</v>
      </c>
      <c r="AD210" t="str">
        <f t="shared" si="88"/>
        <v>Neutral</v>
      </c>
      <c r="AE210" s="32">
        <f t="shared" si="89"/>
        <v>2</v>
      </c>
      <c r="AF210">
        <f>step3_validation[[#This Row],[AI_FAC2]]</f>
        <v>9</v>
      </c>
      <c r="AG210" t="str">
        <f t="shared" si="90"/>
        <v>Support</v>
      </c>
      <c r="AH210">
        <f>survey_responses[[#This Row],[So với trước đây, tôi thấy cách tính thuế và các bậc thuế trong phương án mới đơn giản, dễ hiểu và dễ thực hiện hơn. - HUMAN-FAC2]]</f>
        <v>6</v>
      </c>
      <c r="AI210" t="str">
        <f t="shared" si="91"/>
        <v>Neutral</v>
      </c>
      <c r="AJ210" s="32">
        <f t="shared" si="92"/>
        <v>3</v>
      </c>
      <c r="AK210">
        <f>step3_validation[[#This Row],[AI_TRU1]]</f>
        <v>8</v>
      </c>
      <c r="AL210" t="str">
        <f t="shared" si="93"/>
        <v>Support</v>
      </c>
      <c r="AM210">
        <f>survey_responses[[#This Row],[Tôi tin rằng Nhà nước, cơ quan thuế sẽ thực thi chính sách mới một cách khách quan, công tâm và đối xử bình đẳng với mọi người nộp thuế.  - HUMAN-TRU1]]</f>
        <v>6</v>
      </c>
      <c r="AN210" t="str">
        <f t="shared" si="94"/>
        <v>Neutral</v>
      </c>
      <c r="AO210" s="32">
        <f t="shared" si="95"/>
        <v>2</v>
      </c>
      <c r="AP210">
        <f>step3_validation[[#This Row],[AI_TRU2]]</f>
        <v>9</v>
      </c>
      <c r="AQ210" t="str">
        <f t="shared" si="96"/>
        <v>Support</v>
      </c>
      <c r="AR210">
        <f>survey_responses[[#This Row],[Tôi thấy mức thuế tôi phải đóng theo phương án mới là công bằng (người thu nhập như tôi đóng mức này là hợp lý). - HUMAN-TRU2]]</f>
        <v>5</v>
      </c>
      <c r="AS210" t="str">
        <f t="shared" si="97"/>
        <v>Neutral</v>
      </c>
      <c r="AT210" s="32">
        <f t="shared" si="98"/>
        <v>4</v>
      </c>
      <c r="AU210">
        <f>step3_validation[[#This Row],[AI_TRU3]]</f>
        <v>8</v>
      </c>
      <c r="AV210" t="str">
        <f t="shared" si="99"/>
        <v>Support</v>
      </c>
      <c r="AW210">
        <f>survey_responses[[#This Row],[Tôi tin tưởng số tiền thuế tôi đóng sẽ được Nhà nước sử dụng hiệu quả để cải thiện dịch vụ công (y tế, đường xá...). - HUMAN-TRU3]]</f>
        <v>6</v>
      </c>
      <c r="AX210" t="str">
        <f t="shared" si="100"/>
        <v>Neutral</v>
      </c>
      <c r="AY210" s="32">
        <f t="shared" si="101"/>
        <v>2</v>
      </c>
      <c r="AZ210">
        <f>step3_validation[[#This Row],[AI_TRU4]]</f>
        <v>9</v>
      </c>
      <c r="BA210" t="str">
        <f t="shared" si="102"/>
        <v>Support</v>
      </c>
      <c r="BB210">
        <f>survey_responses[[#This Row],[Tôi thấy Nhà nước đã giải thích rõ ràng, minh bạch về lý do và mục tiêu của việc sửa đổi thuế lần này. - HUMAN-TRU4]]</f>
        <v>6</v>
      </c>
      <c r="BC210" t="str">
        <f t="shared" si="103"/>
        <v>Neutral</v>
      </c>
      <c r="BD210" s="32">
        <f t="shared" si="104"/>
        <v>3</v>
      </c>
      <c r="BE210">
        <f>step3_validation[[#This Row],[AI_OUT1]]</f>
        <v>8</v>
      </c>
      <c r="BF210" t="str">
        <f t="shared" si="105"/>
        <v>Support</v>
      </c>
      <c r="BG210">
        <f>survey_responses[[#This Row],[Sau khi xem xét các quyền lợi và nghĩa vụ, bạn có ủng hộ và tuân thủ chính sách mới hiện nay? - HUMAN-OUT1]]</f>
        <v>6</v>
      </c>
      <c r="BH210" t="str">
        <f t="shared" si="106"/>
        <v>Neutral</v>
      </c>
      <c r="BI210" s="32">
        <f t="shared" si="107"/>
        <v>2</v>
      </c>
    </row>
    <row r="211" spans="1:61" x14ac:dyDescent="0.45">
      <c r="A211" s="30">
        <f>step3_validation[[#This Row],[Persona_ID]]</f>
        <v>210</v>
      </c>
      <c r="B211" s="31">
        <f>step3_validation[[#This Row],[Used_Seed]]</f>
        <v>12554</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29.375311934331215</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t="str">
        <f t="shared" si="81"/>
        <v>Neutral</v>
      </c>
      <c r="S211">
        <f>survey_responses[[#This Row],[Tôi tin rằng với các quy định quản lý thuế hiện nay, hành vi gian lận hoặc trốn thuế sẽ dễ dàng bị phát hiện và xử lý nghiêm. - HUMAN-ENF1]]</f>
        <v>7</v>
      </c>
      <c r="T211" t="str">
        <f t="shared" si="82"/>
        <v>Neutral</v>
      </c>
      <c r="U211" s="32">
        <f t="shared" si="83"/>
        <v>0</v>
      </c>
      <c r="V211">
        <f>step3_validation[[#This Row],[AI_ENF2]]</f>
        <v>7</v>
      </c>
      <c r="W211" t="str">
        <f t="shared" si="84"/>
        <v>Neutral</v>
      </c>
      <c r="X211">
        <f>survey_responses[[#This Row],[Tôi tin rằng Nhà nước, cơ quan thuế có đủ khả năng và công nghệ để phát hiện, xử lý nghiêm các hành vi trốn thuế. - HUMAN-ENF2]]</f>
        <v>7</v>
      </c>
      <c r="Y211" t="str">
        <f t="shared" si="85"/>
        <v>Neutral</v>
      </c>
      <c r="Z211" s="32">
        <f t="shared" si="86"/>
        <v>0</v>
      </c>
      <c r="AA211">
        <f>step3_validation[[#This Row],[AI_FAC1]]</f>
        <v>8</v>
      </c>
      <c r="AB211" t="str">
        <f t="shared" si="87"/>
        <v>Support</v>
      </c>
      <c r="AC211">
        <f>survey_responses[[#This Row],[Các thủ tục khai báo thuế VÀ/HOẶC quy trình làm việc với cơ quan thuế đơn giản, tiện lợi, nhanh chóng hơn so với trước đây. - HUMAN-FAC1]]</f>
        <v>8</v>
      </c>
      <c r="AD211" t="str">
        <f t="shared" si="88"/>
        <v>Support</v>
      </c>
      <c r="AE211" s="32">
        <f t="shared" si="89"/>
        <v>0</v>
      </c>
      <c r="AF211">
        <f>step3_validation[[#This Row],[AI_FAC2]]</f>
        <v>9</v>
      </c>
      <c r="AG211" t="str">
        <f t="shared" si="90"/>
        <v>Support</v>
      </c>
      <c r="AH211">
        <f>survey_responses[[#This Row],[So với trước đây, tôi thấy cách tính thuế và các bậc thuế trong phương án mới đơn giản, dễ hiểu và dễ thực hiện hơn. - HUMAN-FAC2]]</f>
        <v>8</v>
      </c>
      <c r="AI211" t="str">
        <f t="shared" si="91"/>
        <v>Support</v>
      </c>
      <c r="AJ211" s="32">
        <f t="shared" si="92"/>
        <v>1</v>
      </c>
      <c r="AK211">
        <f>step3_validation[[#This Row],[AI_TRU1]]</f>
        <v>8</v>
      </c>
      <c r="AL211" t="str">
        <f t="shared" si="93"/>
        <v>Support</v>
      </c>
      <c r="AM211">
        <f>survey_responses[[#This Row],[Tôi tin rằng Nhà nước, cơ quan thuế sẽ thực thi chính sách mới một cách khách quan, công tâm và đối xử bình đẳng với mọi người nộp thuế.  - HUMAN-TRU1]]</f>
        <v>8</v>
      </c>
      <c r="AN211" t="str">
        <f t="shared" si="94"/>
        <v>Support</v>
      </c>
      <c r="AO211" s="32">
        <f t="shared" si="95"/>
        <v>0</v>
      </c>
      <c r="AP211">
        <f>step3_validation[[#This Row],[AI_TRU2]]</f>
        <v>9</v>
      </c>
      <c r="AQ211" t="str">
        <f t="shared" si="96"/>
        <v>Support</v>
      </c>
      <c r="AR211">
        <f>survey_responses[[#This Row],[Tôi thấy mức thuế tôi phải đóng theo phương án mới là công bằng (người thu nhập như tôi đóng mức này là hợp lý). - HUMAN-TRU2]]</f>
        <v>9</v>
      </c>
      <c r="AS211" t="str">
        <f t="shared" si="97"/>
        <v>Support</v>
      </c>
      <c r="AT211" s="32">
        <f t="shared" si="98"/>
        <v>0</v>
      </c>
      <c r="AU211">
        <f>step3_validation[[#This Row],[AI_TRU3]]</f>
        <v>8</v>
      </c>
      <c r="AV211" t="str">
        <f t="shared" si="99"/>
        <v>Support</v>
      </c>
      <c r="AW211">
        <f>survey_responses[[#This Row],[Tôi tin tưởng số tiền thuế tôi đóng sẽ được Nhà nước sử dụng hiệu quả để cải thiện dịch vụ công (y tế, đường xá...). - HUMAN-TRU3]]</f>
        <v>8</v>
      </c>
      <c r="AX211" t="str">
        <f t="shared" si="100"/>
        <v>Support</v>
      </c>
      <c r="AY211" s="32">
        <f t="shared" si="101"/>
        <v>0</v>
      </c>
      <c r="AZ211">
        <f>step3_validation[[#This Row],[AI_TRU4]]</f>
        <v>7</v>
      </c>
      <c r="BA211" t="str">
        <f t="shared" si="102"/>
        <v>Neutral</v>
      </c>
      <c r="BB211">
        <f>survey_responses[[#This Row],[Tôi thấy Nhà nước đã giải thích rõ ràng, minh bạch về lý do và mục tiêu của việc sửa đổi thuế lần này. - HUMAN-TRU4]]</f>
        <v>8</v>
      </c>
      <c r="BC211" t="str">
        <f t="shared" si="103"/>
        <v>Support</v>
      </c>
      <c r="BD211" s="32">
        <f t="shared" si="104"/>
        <v>1</v>
      </c>
      <c r="BE211">
        <f>step3_validation[[#This Row],[AI_OUT1]]</f>
        <v>9</v>
      </c>
      <c r="BF211" t="str">
        <f t="shared" si="105"/>
        <v>Support</v>
      </c>
      <c r="BG211">
        <f>survey_responses[[#This Row],[Sau khi xem xét các quyền lợi và nghĩa vụ, bạn có ủng hộ và tuân thủ chính sách mới hiện nay? - HUMAN-OUT1]]</f>
        <v>8</v>
      </c>
      <c r="BH211" t="str">
        <f t="shared" si="106"/>
        <v>Support</v>
      </c>
      <c r="BI211" s="32">
        <f t="shared" si="107"/>
        <v>1</v>
      </c>
    </row>
    <row r="212" spans="1:61" x14ac:dyDescent="0.45">
      <c r="A212" s="30">
        <f>step3_validation[[#This Row],[Persona_ID]]</f>
        <v>211</v>
      </c>
      <c r="B212" s="31">
        <f>step3_validation[[#This Row],[Used_Seed]]</f>
        <v>12555</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59.855632286147269</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6</v>
      </c>
      <c r="R212" t="str">
        <f t="shared" si="81"/>
        <v>Neutral</v>
      </c>
      <c r="S212">
        <f>survey_responses[[#This Row],[Tôi tin rằng với các quy định quản lý thuế hiện nay, hành vi gian lận hoặc trốn thuế sẽ dễ dàng bị phát hiện và xử lý nghiêm. - HUMAN-ENF1]]</f>
        <v>7</v>
      </c>
      <c r="T212" t="str">
        <f t="shared" si="82"/>
        <v>Neutral</v>
      </c>
      <c r="U212" s="32">
        <f t="shared" si="83"/>
        <v>1</v>
      </c>
      <c r="V212">
        <f>step3_validation[[#This Row],[AI_ENF2]]</f>
        <v>7</v>
      </c>
      <c r="W212" t="str">
        <f t="shared" si="84"/>
        <v>Neutral</v>
      </c>
      <c r="X212">
        <f>survey_responses[[#This Row],[Tôi tin rằng Nhà nước, cơ quan thuế có đủ khả năng và công nghệ để phát hiện, xử lý nghiêm các hành vi trốn thuế. - HUMAN-ENF2]]</f>
        <v>7</v>
      </c>
      <c r="Y212" t="str">
        <f t="shared" si="85"/>
        <v>Neutral</v>
      </c>
      <c r="Z212" s="32">
        <f t="shared" si="86"/>
        <v>0</v>
      </c>
      <c r="AA212">
        <f>step3_validation[[#This Row],[AI_FAC1]]</f>
        <v>8</v>
      </c>
      <c r="AB212" t="str">
        <f t="shared" si="87"/>
        <v>Support</v>
      </c>
      <c r="AC212">
        <f>survey_responses[[#This Row],[Các thủ tục khai báo thuế VÀ/HOẶC quy trình làm việc với cơ quan thuế đơn giản, tiện lợi, nhanh chóng hơn so với trước đây. - HUMAN-FAC1]]</f>
        <v>7</v>
      </c>
      <c r="AD212" t="str">
        <f t="shared" si="88"/>
        <v>Neutral</v>
      </c>
      <c r="AE212" s="32">
        <f t="shared" si="89"/>
        <v>1</v>
      </c>
      <c r="AF212">
        <f>step3_validation[[#This Row],[AI_FAC2]]</f>
        <v>9</v>
      </c>
      <c r="AG212" t="str">
        <f t="shared" si="90"/>
        <v>Support</v>
      </c>
      <c r="AH212">
        <f>survey_responses[[#This Row],[So với trước đây, tôi thấy cách tính thuế và các bậc thuế trong phương án mới đơn giản, dễ hiểu và dễ thực hiện hơn. - HUMAN-FAC2]]</f>
        <v>7</v>
      </c>
      <c r="AI212" t="str">
        <f t="shared" si="91"/>
        <v>Neutral</v>
      </c>
      <c r="AJ212" s="32">
        <f t="shared" si="92"/>
        <v>2</v>
      </c>
      <c r="AK212">
        <f>step3_validation[[#This Row],[AI_TRU1]]</f>
        <v>7</v>
      </c>
      <c r="AL212" t="str">
        <f t="shared" si="93"/>
        <v>Neutral</v>
      </c>
      <c r="AM212">
        <f>survey_responses[[#This Row],[Tôi tin rằng Nhà nước, cơ quan thuế sẽ thực thi chính sách mới một cách khách quan, công tâm và đối xử bình đẳng với mọi người nộp thuế.  - HUMAN-TRU1]]</f>
        <v>7</v>
      </c>
      <c r="AN212" t="str">
        <f t="shared" si="94"/>
        <v>Neutral</v>
      </c>
      <c r="AO212" s="32">
        <f t="shared" si="95"/>
        <v>0</v>
      </c>
      <c r="AP212">
        <f>step3_validation[[#This Row],[AI_TRU2]]</f>
        <v>8</v>
      </c>
      <c r="AQ212" t="str">
        <f t="shared" si="96"/>
        <v>Support</v>
      </c>
      <c r="AR212">
        <f>survey_responses[[#This Row],[Tôi thấy mức thuế tôi phải đóng theo phương án mới là công bằng (người thu nhập như tôi đóng mức này là hợp lý). - HUMAN-TRU2]]</f>
        <v>7</v>
      </c>
      <c r="AS212" t="str">
        <f t="shared" si="97"/>
        <v>Neutral</v>
      </c>
      <c r="AT212" s="32">
        <f t="shared" si="98"/>
        <v>1</v>
      </c>
      <c r="AU212">
        <f>step3_validation[[#This Row],[AI_TRU3]]</f>
        <v>7</v>
      </c>
      <c r="AV212" t="str">
        <f t="shared" si="99"/>
        <v>Neutral</v>
      </c>
      <c r="AW212">
        <f>survey_responses[[#This Row],[Tôi tin tưởng số tiền thuế tôi đóng sẽ được Nhà nước sử dụng hiệu quả để cải thiện dịch vụ công (y tế, đường xá...). - HUMAN-TRU3]]</f>
        <v>7</v>
      </c>
      <c r="AX212" t="str">
        <f t="shared" si="100"/>
        <v>Neutral</v>
      </c>
      <c r="AY212" s="32">
        <f t="shared" si="101"/>
        <v>0</v>
      </c>
      <c r="AZ212">
        <f>step3_validation[[#This Row],[AI_TRU4]]</f>
        <v>8</v>
      </c>
      <c r="BA212" t="str">
        <f t="shared" si="102"/>
        <v>Support</v>
      </c>
      <c r="BB212">
        <f>survey_responses[[#This Row],[Tôi thấy Nhà nước đã giải thích rõ ràng, minh bạch về lý do và mục tiêu của việc sửa đổi thuế lần này. - HUMAN-TRU4]]</f>
        <v>7</v>
      </c>
      <c r="BC212" t="str">
        <f t="shared" si="103"/>
        <v>Neutral</v>
      </c>
      <c r="BD212" s="32">
        <f t="shared" si="104"/>
        <v>1</v>
      </c>
      <c r="BE212">
        <f>step3_validation[[#This Row],[AI_OUT1]]</f>
        <v>9</v>
      </c>
      <c r="BF212" t="str">
        <f t="shared" si="105"/>
        <v>Support</v>
      </c>
      <c r="BG212">
        <f>survey_responses[[#This Row],[Sau khi xem xét các quyền lợi và nghĩa vụ, bạn có ủng hộ và tuân thủ chính sách mới hiện nay? - HUMAN-OUT1]]</f>
        <v>7</v>
      </c>
      <c r="BH212" t="str">
        <f t="shared" si="106"/>
        <v>Neutral</v>
      </c>
      <c r="BI212" s="32">
        <f t="shared" si="107"/>
        <v>2</v>
      </c>
    </row>
    <row r="213" spans="1:61" x14ac:dyDescent="0.45">
      <c r="A213" s="30">
        <f>step3_validation[[#This Row],[Persona_ID]]</f>
        <v>212</v>
      </c>
      <c r="B213" s="31">
        <f>step3_validation[[#This Row],[Used_Seed]]</f>
        <v>12556</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48.885243987694409</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8</v>
      </c>
      <c r="R213" t="str">
        <f t="shared" si="81"/>
        <v>Support</v>
      </c>
      <c r="S213">
        <f>survey_responses[[#This Row],[Tôi tin rằng với các quy định quản lý thuế hiện nay, hành vi gian lận hoặc trốn thuế sẽ dễ dàng bị phát hiện và xử lý nghiêm. - HUMAN-ENF1]]</f>
        <v>5</v>
      </c>
      <c r="T213" t="str">
        <f t="shared" si="82"/>
        <v>Neutral</v>
      </c>
      <c r="U213" s="32">
        <f t="shared" si="83"/>
        <v>3</v>
      </c>
      <c r="V213">
        <f>step3_validation[[#This Row],[AI_ENF2]]</f>
        <v>9</v>
      </c>
      <c r="W213" t="str">
        <f t="shared" si="84"/>
        <v>Support</v>
      </c>
      <c r="X213">
        <f>survey_responses[[#This Row],[Tôi tin rằng Nhà nước, cơ quan thuế có đủ khả năng và công nghệ để phát hiện, xử lý nghiêm các hành vi trốn thuế. - HUMAN-ENF2]]</f>
        <v>5</v>
      </c>
      <c r="Y213" t="str">
        <f t="shared" si="85"/>
        <v>Neutral</v>
      </c>
      <c r="Z213" s="32">
        <f t="shared" si="86"/>
        <v>4</v>
      </c>
      <c r="AA213">
        <f>step3_validation[[#This Row],[AI_FAC1]]</f>
        <v>9</v>
      </c>
      <c r="AB213" t="str">
        <f t="shared" si="87"/>
        <v>Support</v>
      </c>
      <c r="AC213">
        <f>survey_responses[[#This Row],[Các thủ tục khai báo thuế VÀ/HOẶC quy trình làm việc với cơ quan thuế đơn giản, tiện lợi, nhanh chóng hơn so với trước đây. - HUMAN-FAC1]]</f>
        <v>1</v>
      </c>
      <c r="AD213" t="str">
        <f t="shared" si="88"/>
        <v>Oppose</v>
      </c>
      <c r="AE213" s="32">
        <f t="shared" si="89"/>
        <v>8</v>
      </c>
      <c r="AF213">
        <f>step3_validation[[#This Row],[AI_FAC2]]</f>
        <v>8</v>
      </c>
      <c r="AG213" t="str">
        <f t="shared" si="90"/>
        <v>Support</v>
      </c>
      <c r="AH213">
        <f>survey_responses[[#This Row],[So với trước đây, tôi thấy cách tính thuế và các bậc thuế trong phương án mới đơn giản, dễ hiểu và dễ thực hiện hơn. - HUMAN-FAC2]]</f>
        <v>5</v>
      </c>
      <c r="AI213" t="str">
        <f t="shared" si="91"/>
        <v>Neutral</v>
      </c>
      <c r="AJ213" s="32">
        <f t="shared" si="92"/>
        <v>3</v>
      </c>
      <c r="AK213">
        <f>step3_validation[[#This Row],[AI_TRU1]]</f>
        <v>7</v>
      </c>
      <c r="AL213" t="str">
        <f t="shared" si="93"/>
        <v>Neutral</v>
      </c>
      <c r="AM213">
        <f>survey_responses[[#This Row],[Tôi tin rằng Nhà nước, cơ quan thuế sẽ thực thi chính sách mới một cách khách quan, công tâm và đối xử bình đẳng với mọi người nộp thuế.  - HUMAN-TRU1]]</f>
        <v>5</v>
      </c>
      <c r="AN213" t="str">
        <f t="shared" si="94"/>
        <v>Neutral</v>
      </c>
      <c r="AO213" s="32">
        <f t="shared" si="95"/>
        <v>2</v>
      </c>
      <c r="AP213">
        <f>step3_validation[[#This Row],[AI_TRU2]]</f>
        <v>9</v>
      </c>
      <c r="AQ213" t="str">
        <f t="shared" si="96"/>
        <v>Support</v>
      </c>
      <c r="AR213">
        <f>survey_responses[[#This Row],[Tôi thấy mức thuế tôi phải đóng theo phương án mới là công bằng (người thu nhập như tôi đóng mức này là hợp lý). - HUMAN-TRU2]]</f>
        <v>5</v>
      </c>
      <c r="AS213" t="str">
        <f t="shared" si="97"/>
        <v>Neutral</v>
      </c>
      <c r="AT213" s="32">
        <f t="shared" si="98"/>
        <v>4</v>
      </c>
      <c r="AU213">
        <f>step3_validation[[#This Row],[AI_TRU3]]</f>
        <v>8</v>
      </c>
      <c r="AV213" t="str">
        <f t="shared" si="99"/>
        <v>Support</v>
      </c>
      <c r="AW213">
        <f>survey_responses[[#This Row],[Tôi tin tưởng số tiền thuế tôi đóng sẽ được Nhà nước sử dụng hiệu quả để cải thiện dịch vụ công (y tế, đường xá...). - HUMAN-TRU3]]</f>
        <v>4</v>
      </c>
      <c r="AX213" t="str">
        <f t="shared" si="100"/>
        <v>Oppose</v>
      </c>
      <c r="AY213" s="32">
        <f t="shared" si="101"/>
        <v>4</v>
      </c>
      <c r="AZ213">
        <f>step3_validation[[#This Row],[AI_TRU4]]</f>
        <v>7</v>
      </c>
      <c r="BA213" t="str">
        <f t="shared" si="102"/>
        <v>Neutral</v>
      </c>
      <c r="BB213">
        <f>survey_responses[[#This Row],[Tôi thấy Nhà nước đã giải thích rõ ràng, minh bạch về lý do và mục tiêu của việc sửa đổi thuế lần này. - HUMAN-TRU4]]</f>
        <v>5</v>
      </c>
      <c r="BC213" t="str">
        <f t="shared" si="103"/>
        <v>Neutral</v>
      </c>
      <c r="BD213" s="32">
        <f t="shared" si="104"/>
        <v>2</v>
      </c>
      <c r="BE213">
        <f>step3_validation[[#This Row],[AI_OUT1]]</f>
        <v>9</v>
      </c>
      <c r="BF213" t="str">
        <f t="shared" si="105"/>
        <v>Support</v>
      </c>
      <c r="BG213">
        <f>survey_responses[[#This Row],[Sau khi xem xét các quyền lợi và nghĩa vụ, bạn có ủng hộ và tuân thủ chính sách mới hiện nay? - HUMAN-OUT1]]</f>
        <v>5</v>
      </c>
      <c r="BH213" t="str">
        <f t="shared" si="106"/>
        <v>Neutral</v>
      </c>
      <c r="BI213" s="32">
        <f t="shared" si="107"/>
        <v>4</v>
      </c>
    </row>
    <row r="214" spans="1:61" x14ac:dyDescent="0.45">
      <c r="A214" s="30">
        <f>step3_validation[[#This Row],[Persona_ID]]</f>
        <v>213</v>
      </c>
      <c r="B214" s="31">
        <f>step3_validation[[#This Row],[Used_Seed]]</f>
        <v>12557</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54.302286309062254</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9</v>
      </c>
      <c r="R214" t="str">
        <f t="shared" si="81"/>
        <v>Support</v>
      </c>
      <c r="S214">
        <f>survey_responses[[#This Row],[Tôi tin rằng với các quy định quản lý thuế hiện nay, hành vi gian lận hoặc trốn thuế sẽ dễ dàng bị phát hiện và xử lý nghiêm. - HUMAN-ENF1]]</f>
        <v>7</v>
      </c>
      <c r="T214" t="str">
        <f t="shared" si="82"/>
        <v>Neutral</v>
      </c>
      <c r="U214" s="32">
        <f t="shared" si="83"/>
        <v>2</v>
      </c>
      <c r="V214">
        <f>step3_validation[[#This Row],[AI_ENF2]]</f>
        <v>8</v>
      </c>
      <c r="W214" t="str">
        <f t="shared" si="84"/>
        <v>Support</v>
      </c>
      <c r="X214">
        <f>survey_responses[[#This Row],[Tôi tin rằng Nhà nước, cơ quan thuế có đủ khả năng và công nghệ để phát hiện, xử lý nghiêm các hành vi trốn thuế. - HUMAN-ENF2]]</f>
        <v>8</v>
      </c>
      <c r="Y214" t="str">
        <f t="shared" si="85"/>
        <v>Support</v>
      </c>
      <c r="Z214" s="32">
        <f t="shared" si="86"/>
        <v>0</v>
      </c>
      <c r="AA214">
        <f>step3_validation[[#This Row],[AI_FAC1]]</f>
        <v>9</v>
      </c>
      <c r="AB214" t="str">
        <f t="shared" si="87"/>
        <v>Support</v>
      </c>
      <c r="AC214">
        <f>survey_responses[[#This Row],[Các thủ tục khai báo thuế VÀ/HOẶC quy trình làm việc với cơ quan thuế đơn giản, tiện lợi, nhanh chóng hơn so với trước đây. - HUMAN-FAC1]]</f>
        <v>8</v>
      </c>
      <c r="AD214" t="str">
        <f t="shared" si="88"/>
        <v>Support</v>
      </c>
      <c r="AE214" s="32">
        <f t="shared" si="89"/>
        <v>1</v>
      </c>
      <c r="AF214">
        <f>step3_validation[[#This Row],[AI_FAC2]]</f>
        <v>8</v>
      </c>
      <c r="AG214" t="str">
        <f t="shared" si="90"/>
        <v>Support</v>
      </c>
      <c r="AH214">
        <f>survey_responses[[#This Row],[So với trước đây, tôi thấy cách tính thuế và các bậc thuế trong phương án mới đơn giản, dễ hiểu và dễ thực hiện hơn. - HUMAN-FAC2]]</f>
        <v>8</v>
      </c>
      <c r="AI214" t="str">
        <f t="shared" si="91"/>
        <v>Support</v>
      </c>
      <c r="AJ214" s="32">
        <f t="shared" si="92"/>
        <v>0</v>
      </c>
      <c r="AK214">
        <f>step3_validation[[#This Row],[AI_TRU1]]</f>
        <v>9</v>
      </c>
      <c r="AL214" t="str">
        <f t="shared" si="93"/>
        <v>Support</v>
      </c>
      <c r="AM214">
        <f>survey_responses[[#This Row],[Tôi tin rằng Nhà nước, cơ quan thuế sẽ thực thi chính sách mới một cách khách quan, công tâm và đối xử bình đẳng với mọi người nộp thuế.  - HUMAN-TRU1]]</f>
        <v>8</v>
      </c>
      <c r="AN214" t="str">
        <f t="shared" si="94"/>
        <v>Support</v>
      </c>
      <c r="AO214" s="32">
        <f t="shared" si="95"/>
        <v>1</v>
      </c>
      <c r="AP214">
        <f>step3_validation[[#This Row],[AI_TRU2]]</f>
        <v>8</v>
      </c>
      <c r="AQ214" t="str">
        <f t="shared" si="96"/>
        <v>Support</v>
      </c>
      <c r="AR214">
        <f>survey_responses[[#This Row],[Tôi thấy mức thuế tôi phải đóng theo phương án mới là công bằng (người thu nhập như tôi đóng mức này là hợp lý). - HUMAN-TRU2]]</f>
        <v>8</v>
      </c>
      <c r="AS214" t="str">
        <f t="shared" si="97"/>
        <v>Support</v>
      </c>
      <c r="AT214" s="32">
        <f t="shared" si="98"/>
        <v>0</v>
      </c>
      <c r="AU214">
        <f>step3_validation[[#This Row],[AI_TRU3]]</f>
        <v>9</v>
      </c>
      <c r="AV214" t="str">
        <f t="shared" si="99"/>
        <v>Support</v>
      </c>
      <c r="AW214">
        <f>survey_responses[[#This Row],[Tôi tin tưởng số tiền thuế tôi đóng sẽ được Nhà nước sử dụng hiệu quả để cải thiện dịch vụ công (y tế, đường xá...). - HUMAN-TRU3]]</f>
        <v>8</v>
      </c>
      <c r="AX214" t="str">
        <f t="shared" si="100"/>
        <v>Support</v>
      </c>
      <c r="AY214" s="32">
        <f t="shared" si="101"/>
        <v>1</v>
      </c>
      <c r="AZ214">
        <f>step3_validation[[#This Row],[AI_TRU4]]</f>
        <v>8</v>
      </c>
      <c r="BA214" t="str">
        <f t="shared" si="102"/>
        <v>Support</v>
      </c>
      <c r="BB214">
        <f>survey_responses[[#This Row],[Tôi thấy Nhà nước đã giải thích rõ ràng, minh bạch về lý do và mục tiêu của việc sửa đổi thuế lần này. - HUMAN-TRU4]]</f>
        <v>8</v>
      </c>
      <c r="BC214" t="str">
        <f t="shared" si="103"/>
        <v>Support</v>
      </c>
      <c r="BD214" s="32">
        <f t="shared" si="104"/>
        <v>0</v>
      </c>
      <c r="BE214">
        <f>step3_validation[[#This Row],[AI_OUT1]]</f>
        <v>9</v>
      </c>
      <c r="BF214" t="str">
        <f t="shared" si="105"/>
        <v>Support</v>
      </c>
      <c r="BG214">
        <f>survey_responses[[#This Row],[Sau khi xem xét các quyền lợi và nghĩa vụ, bạn có ủng hộ và tuân thủ chính sách mới hiện nay? - HUMAN-OUT1]]</f>
        <v>8</v>
      </c>
      <c r="BH214" t="str">
        <f t="shared" si="106"/>
        <v>Support</v>
      </c>
      <c r="BI214" s="32">
        <f t="shared" si="107"/>
        <v>1</v>
      </c>
    </row>
    <row r="215" spans="1:61" x14ac:dyDescent="0.45">
      <c r="A215" s="30">
        <f>step3_validation[[#This Row],[Persona_ID]]</f>
        <v>214</v>
      </c>
      <c r="B215" s="31">
        <f>step3_validation[[#This Row],[Used_Seed]]</f>
        <v>12558</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67.070046295409341</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t="str">
        <f t="shared" si="81"/>
        <v>Neutral</v>
      </c>
      <c r="S215">
        <f>survey_responses[[#This Row],[Tôi tin rằng với các quy định quản lý thuế hiện nay, hành vi gian lận hoặc trốn thuế sẽ dễ dàng bị phát hiện và xử lý nghiêm. - HUMAN-ENF1]]</f>
        <v>9</v>
      </c>
      <c r="T215" t="str">
        <f t="shared" si="82"/>
        <v>Support</v>
      </c>
      <c r="U215" s="32">
        <f t="shared" si="83"/>
        <v>2</v>
      </c>
      <c r="V215">
        <f>step3_validation[[#This Row],[AI_ENF2]]</f>
        <v>8</v>
      </c>
      <c r="W215" t="str">
        <f t="shared" si="84"/>
        <v>Support</v>
      </c>
      <c r="X215">
        <f>survey_responses[[#This Row],[Tôi tin rằng Nhà nước, cơ quan thuế có đủ khả năng và công nghệ để phát hiện, xử lý nghiêm các hành vi trốn thuế. - HUMAN-ENF2]]</f>
        <v>9</v>
      </c>
      <c r="Y215" t="str">
        <f t="shared" si="85"/>
        <v>Support</v>
      </c>
      <c r="Z215" s="32">
        <f t="shared" si="86"/>
        <v>1</v>
      </c>
      <c r="AA215">
        <f>step3_validation[[#This Row],[AI_FAC1]]</f>
        <v>9</v>
      </c>
      <c r="AB215" t="str">
        <f t="shared" si="87"/>
        <v>Support</v>
      </c>
      <c r="AC215">
        <f>survey_responses[[#This Row],[Các thủ tục khai báo thuế VÀ/HOẶC quy trình làm việc với cơ quan thuế đơn giản, tiện lợi, nhanh chóng hơn so với trước đây. - HUMAN-FAC1]]</f>
        <v>9</v>
      </c>
      <c r="AD215" t="str">
        <f t="shared" si="88"/>
        <v>Support</v>
      </c>
      <c r="AE215" s="32">
        <f t="shared" si="89"/>
        <v>0</v>
      </c>
      <c r="AF215">
        <f>step3_validation[[#This Row],[AI_FAC2]]</f>
        <v>8</v>
      </c>
      <c r="AG215" t="str">
        <f t="shared" si="90"/>
        <v>Support</v>
      </c>
      <c r="AH215">
        <f>survey_responses[[#This Row],[So với trước đây, tôi thấy cách tính thuế và các bậc thuế trong phương án mới đơn giản, dễ hiểu và dễ thực hiện hơn. - HUMAN-FAC2]]</f>
        <v>9</v>
      </c>
      <c r="AI215" t="str">
        <f t="shared" si="91"/>
        <v>Support</v>
      </c>
      <c r="AJ215" s="32">
        <f t="shared" si="92"/>
        <v>1</v>
      </c>
      <c r="AK215">
        <f>step3_validation[[#This Row],[AI_TRU1]]</f>
        <v>9</v>
      </c>
      <c r="AL215" t="str">
        <f t="shared" si="93"/>
        <v>Support</v>
      </c>
      <c r="AM215">
        <f>survey_responses[[#This Row],[Tôi tin rằng Nhà nước, cơ quan thuế sẽ thực thi chính sách mới một cách khách quan, công tâm và đối xử bình đẳng với mọi người nộp thuế.  - HUMAN-TRU1]]</f>
        <v>9</v>
      </c>
      <c r="AN215" t="str">
        <f t="shared" si="94"/>
        <v>Support</v>
      </c>
      <c r="AO215" s="32">
        <f t="shared" si="95"/>
        <v>0</v>
      </c>
      <c r="AP215">
        <f>step3_validation[[#This Row],[AI_TRU2]]</f>
        <v>8</v>
      </c>
      <c r="AQ215" t="str">
        <f t="shared" si="96"/>
        <v>Support</v>
      </c>
      <c r="AR215">
        <f>survey_responses[[#This Row],[Tôi thấy mức thuế tôi phải đóng theo phương án mới là công bằng (người thu nhập như tôi đóng mức này là hợp lý). - HUMAN-TRU2]]</f>
        <v>9</v>
      </c>
      <c r="AS215" t="str">
        <f t="shared" si="97"/>
        <v>Support</v>
      </c>
      <c r="AT215" s="32">
        <f t="shared" si="98"/>
        <v>1</v>
      </c>
      <c r="AU215">
        <f>step3_validation[[#This Row],[AI_TRU3]]</f>
        <v>9</v>
      </c>
      <c r="AV215" t="str">
        <f t="shared" si="99"/>
        <v>Support</v>
      </c>
      <c r="AW215">
        <f>survey_responses[[#This Row],[Tôi tin tưởng số tiền thuế tôi đóng sẽ được Nhà nước sử dụng hiệu quả để cải thiện dịch vụ công (y tế, đường xá...). - HUMAN-TRU3]]</f>
        <v>9</v>
      </c>
      <c r="AX215" t="str">
        <f t="shared" si="100"/>
        <v>Support</v>
      </c>
      <c r="AY215" s="32">
        <f t="shared" si="101"/>
        <v>0</v>
      </c>
      <c r="AZ215">
        <f>step3_validation[[#This Row],[AI_TRU4]]</f>
        <v>7</v>
      </c>
      <c r="BA215" t="str">
        <f t="shared" si="102"/>
        <v>Neutral</v>
      </c>
      <c r="BB215">
        <f>survey_responses[[#This Row],[Tôi thấy Nhà nước đã giải thích rõ ràng, minh bạch về lý do và mục tiêu của việc sửa đổi thuế lần này. - HUMAN-TRU4]]</f>
        <v>9</v>
      </c>
      <c r="BC215" t="str">
        <f t="shared" si="103"/>
        <v>Support</v>
      </c>
      <c r="BD215" s="32">
        <f t="shared" si="104"/>
        <v>2</v>
      </c>
      <c r="BE215">
        <f>step3_validation[[#This Row],[AI_OUT1]]</f>
        <v>9</v>
      </c>
      <c r="BF215" t="str">
        <f t="shared" si="105"/>
        <v>Support</v>
      </c>
      <c r="BG215">
        <f>survey_responses[[#This Row],[Sau khi xem xét các quyền lợi và nghĩa vụ, bạn có ủng hộ và tuân thủ chính sách mới hiện nay? - HUMAN-OUT1]]</f>
        <v>9</v>
      </c>
      <c r="BH215" t="str">
        <f t="shared" si="106"/>
        <v>Support</v>
      </c>
      <c r="BI215" s="32">
        <f t="shared" si="107"/>
        <v>0</v>
      </c>
    </row>
    <row r="216" spans="1:61" x14ac:dyDescent="0.45">
      <c r="A216" s="30">
        <f>step3_validation[[#This Row],[Persona_ID]]</f>
        <v>215</v>
      </c>
      <c r="B216" s="31">
        <f>step3_validation[[#This Row],[Used_Seed]]</f>
        <v>12559</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20.086910169212295</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8</v>
      </c>
      <c r="R216" t="str">
        <f t="shared" si="81"/>
        <v>Support</v>
      </c>
      <c r="S216">
        <f>survey_responses[[#This Row],[Tôi tin rằng với các quy định quản lý thuế hiện nay, hành vi gian lận hoặc trốn thuế sẽ dễ dàng bị phát hiện và xử lý nghiêm. - HUMAN-ENF1]]</f>
        <v>5</v>
      </c>
      <c r="T216" t="str">
        <f t="shared" si="82"/>
        <v>Neutral</v>
      </c>
      <c r="U216" s="32">
        <f t="shared" si="83"/>
        <v>3</v>
      </c>
      <c r="V216">
        <f>step3_validation[[#This Row],[AI_ENF2]]</f>
        <v>9</v>
      </c>
      <c r="W216" t="str">
        <f t="shared" si="84"/>
        <v>Support</v>
      </c>
      <c r="X216">
        <f>survey_responses[[#This Row],[Tôi tin rằng Nhà nước, cơ quan thuế có đủ khả năng và công nghệ để phát hiện, xử lý nghiêm các hành vi trốn thuế. - HUMAN-ENF2]]</f>
        <v>5</v>
      </c>
      <c r="Y216" t="str">
        <f t="shared" si="85"/>
        <v>Neutral</v>
      </c>
      <c r="Z216" s="32">
        <f t="shared" si="86"/>
        <v>4</v>
      </c>
      <c r="AA216">
        <f>step3_validation[[#This Row],[AI_FAC1]]</f>
        <v>8</v>
      </c>
      <c r="AB216" t="str">
        <f t="shared" si="87"/>
        <v>Support</v>
      </c>
      <c r="AC216">
        <f>survey_responses[[#This Row],[Các thủ tục khai báo thuế VÀ/HOẶC quy trình làm việc với cơ quan thuế đơn giản, tiện lợi, nhanh chóng hơn so với trước đây. - HUMAN-FAC1]]</f>
        <v>5</v>
      </c>
      <c r="AD216" t="str">
        <f t="shared" si="88"/>
        <v>Neutral</v>
      </c>
      <c r="AE216" s="32">
        <f t="shared" si="89"/>
        <v>3</v>
      </c>
      <c r="AF216">
        <f>step3_validation[[#This Row],[AI_FAC2]]</f>
        <v>9</v>
      </c>
      <c r="AG216" t="str">
        <f t="shared" si="90"/>
        <v>Support</v>
      </c>
      <c r="AH216">
        <f>survey_responses[[#This Row],[So với trước đây, tôi thấy cách tính thuế và các bậc thuế trong phương án mới đơn giản, dễ hiểu và dễ thực hiện hơn. - HUMAN-FAC2]]</f>
        <v>5</v>
      </c>
      <c r="AI216" t="str">
        <f t="shared" si="91"/>
        <v>Neutral</v>
      </c>
      <c r="AJ216" s="32">
        <f t="shared" si="92"/>
        <v>4</v>
      </c>
      <c r="AK216">
        <f>step3_validation[[#This Row],[AI_TRU1]]</f>
        <v>7</v>
      </c>
      <c r="AL216" t="str">
        <f t="shared" si="93"/>
        <v>Neutral</v>
      </c>
      <c r="AM216">
        <f>survey_responses[[#This Row],[Tôi tin rằng Nhà nước, cơ quan thuế sẽ thực thi chính sách mới một cách khách quan, công tâm và đối xử bình đẳng với mọi người nộp thuế.  - HUMAN-TRU1]]</f>
        <v>5</v>
      </c>
      <c r="AN216" t="str">
        <f t="shared" si="94"/>
        <v>Neutral</v>
      </c>
      <c r="AO216" s="32">
        <f t="shared" si="95"/>
        <v>2</v>
      </c>
      <c r="AP216">
        <f>step3_validation[[#This Row],[AI_TRU2]]</f>
        <v>8</v>
      </c>
      <c r="AQ216" t="str">
        <f t="shared" si="96"/>
        <v>Support</v>
      </c>
      <c r="AR216">
        <f>survey_responses[[#This Row],[Tôi thấy mức thuế tôi phải đóng theo phương án mới là công bằng (người thu nhập như tôi đóng mức này là hợp lý). - HUMAN-TRU2]]</f>
        <v>5</v>
      </c>
      <c r="AS216" t="str">
        <f t="shared" si="97"/>
        <v>Neutral</v>
      </c>
      <c r="AT216" s="32">
        <f t="shared" si="98"/>
        <v>3</v>
      </c>
      <c r="AU216">
        <f>step3_validation[[#This Row],[AI_TRU3]]</f>
        <v>7</v>
      </c>
      <c r="AV216" t="str">
        <f t="shared" si="99"/>
        <v>Neutral</v>
      </c>
      <c r="AW216">
        <f>survey_responses[[#This Row],[Tôi tin tưởng số tiền thuế tôi đóng sẽ được Nhà nước sử dụng hiệu quả để cải thiện dịch vụ công (y tế, đường xá...). - HUMAN-TRU3]]</f>
        <v>5</v>
      </c>
      <c r="AX216" t="str">
        <f t="shared" si="100"/>
        <v>Neutral</v>
      </c>
      <c r="AY216" s="32">
        <f t="shared" si="101"/>
        <v>2</v>
      </c>
      <c r="AZ216">
        <f>step3_validation[[#This Row],[AI_TRU4]]</f>
        <v>7</v>
      </c>
      <c r="BA216" t="str">
        <f t="shared" si="102"/>
        <v>Neutral</v>
      </c>
      <c r="BB216">
        <f>survey_responses[[#This Row],[Tôi thấy Nhà nước đã giải thích rõ ràng, minh bạch về lý do và mục tiêu của việc sửa đổi thuế lần này. - HUMAN-TRU4]]</f>
        <v>5</v>
      </c>
      <c r="BC216" t="str">
        <f t="shared" si="103"/>
        <v>Neutral</v>
      </c>
      <c r="BD216" s="32">
        <f t="shared" si="104"/>
        <v>2</v>
      </c>
      <c r="BE216">
        <f>step3_validation[[#This Row],[AI_OUT1]]</f>
        <v>9</v>
      </c>
      <c r="BF216" t="str">
        <f t="shared" si="105"/>
        <v>Support</v>
      </c>
      <c r="BG216">
        <f>survey_responses[[#This Row],[Sau khi xem xét các quyền lợi và nghĩa vụ, bạn có ủng hộ và tuân thủ chính sách mới hiện nay? - HUMAN-OUT1]]</f>
        <v>5</v>
      </c>
      <c r="BH216" t="str">
        <f t="shared" si="106"/>
        <v>Neutral</v>
      </c>
      <c r="BI216" s="32">
        <f t="shared" si="107"/>
        <v>4</v>
      </c>
    </row>
    <row r="217" spans="1:61" x14ac:dyDescent="0.45">
      <c r="A217" s="30">
        <f>step3_validation[[#This Row],[Persona_ID]]</f>
        <v>216</v>
      </c>
      <c r="B217" s="31">
        <f>step3_validation[[#This Row],[Used_Seed]]</f>
        <v>12560</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36.907694442722772</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8</v>
      </c>
      <c r="R217" t="str">
        <f t="shared" si="81"/>
        <v>Support</v>
      </c>
      <c r="S217">
        <f>survey_responses[[#This Row],[Tôi tin rằng với các quy định quản lý thuế hiện nay, hành vi gian lận hoặc trốn thuế sẽ dễ dàng bị phát hiện và xử lý nghiêm. - HUMAN-ENF1]]</f>
        <v>6</v>
      </c>
      <c r="T217" t="str">
        <f t="shared" si="82"/>
        <v>Neutral</v>
      </c>
      <c r="U217" s="32">
        <f t="shared" si="83"/>
        <v>2</v>
      </c>
      <c r="V217">
        <f>step3_validation[[#This Row],[AI_ENF2]]</f>
        <v>9</v>
      </c>
      <c r="W217" t="str">
        <f t="shared" si="84"/>
        <v>Support</v>
      </c>
      <c r="X217">
        <f>survey_responses[[#This Row],[Tôi tin rằng Nhà nước, cơ quan thuế có đủ khả năng và công nghệ để phát hiện, xử lý nghiêm các hành vi trốn thuế. - HUMAN-ENF2]]</f>
        <v>7</v>
      </c>
      <c r="Y217" t="str">
        <f t="shared" si="85"/>
        <v>Neutral</v>
      </c>
      <c r="Z217" s="32">
        <f t="shared" si="86"/>
        <v>2</v>
      </c>
      <c r="AA217">
        <f>step3_validation[[#This Row],[AI_FAC1]]</f>
        <v>8</v>
      </c>
      <c r="AB217" t="str">
        <f t="shared" si="87"/>
        <v>Support</v>
      </c>
      <c r="AC217">
        <f>survey_responses[[#This Row],[Các thủ tục khai báo thuế VÀ/HOẶC quy trình làm việc với cơ quan thuế đơn giản, tiện lợi, nhanh chóng hơn so với trước đây. - HUMAN-FAC1]]</f>
        <v>7</v>
      </c>
      <c r="AD217" t="str">
        <f t="shared" si="88"/>
        <v>Neutral</v>
      </c>
      <c r="AE217" s="32">
        <f t="shared" si="89"/>
        <v>1</v>
      </c>
      <c r="AF217">
        <f>step3_validation[[#This Row],[AI_FAC2]]</f>
        <v>9</v>
      </c>
      <c r="AG217" t="str">
        <f t="shared" si="90"/>
        <v>Support</v>
      </c>
      <c r="AH217">
        <f>survey_responses[[#This Row],[So với trước đây, tôi thấy cách tính thuế và các bậc thuế trong phương án mới đơn giản, dễ hiểu và dễ thực hiện hơn. - HUMAN-FAC2]]</f>
        <v>7</v>
      </c>
      <c r="AI217" t="str">
        <f t="shared" si="91"/>
        <v>Neutral</v>
      </c>
      <c r="AJ217" s="32">
        <f t="shared" si="92"/>
        <v>2</v>
      </c>
      <c r="AK217">
        <f>step3_validation[[#This Row],[AI_TRU1]]</f>
        <v>7</v>
      </c>
      <c r="AL217" t="str">
        <f t="shared" si="93"/>
        <v>Neutral</v>
      </c>
      <c r="AM217">
        <f>survey_responses[[#This Row],[Tôi tin rằng Nhà nước, cơ quan thuế sẽ thực thi chính sách mới một cách khách quan, công tâm và đối xử bình đẳng với mọi người nộp thuế.  - HUMAN-TRU1]]</f>
        <v>6</v>
      </c>
      <c r="AN217" t="str">
        <f t="shared" si="94"/>
        <v>Neutral</v>
      </c>
      <c r="AO217" s="32">
        <f t="shared" si="95"/>
        <v>1</v>
      </c>
      <c r="AP217">
        <f>step3_validation[[#This Row],[AI_TRU2]]</f>
        <v>8</v>
      </c>
      <c r="AQ217" t="str">
        <f t="shared" si="96"/>
        <v>Support</v>
      </c>
      <c r="AR217">
        <f>survey_responses[[#This Row],[Tôi thấy mức thuế tôi phải đóng theo phương án mới là công bằng (người thu nhập như tôi đóng mức này là hợp lý). - HUMAN-TRU2]]</f>
        <v>7</v>
      </c>
      <c r="AS217" t="str">
        <f t="shared" si="97"/>
        <v>Neutral</v>
      </c>
      <c r="AT217" s="32">
        <f t="shared" si="98"/>
        <v>1</v>
      </c>
      <c r="AU217">
        <f>step3_validation[[#This Row],[AI_TRU3]]</f>
        <v>6</v>
      </c>
      <c r="AV217" t="str">
        <f t="shared" si="99"/>
        <v>Neutral</v>
      </c>
      <c r="AW217">
        <f>survey_responses[[#This Row],[Tôi tin tưởng số tiền thuế tôi đóng sẽ được Nhà nước sử dụng hiệu quả để cải thiện dịch vụ công (y tế, đường xá...). - HUMAN-TRU3]]</f>
        <v>7</v>
      </c>
      <c r="AX217" t="str">
        <f t="shared" si="100"/>
        <v>Neutral</v>
      </c>
      <c r="AY217" s="32">
        <f t="shared" si="101"/>
        <v>1</v>
      </c>
      <c r="AZ217">
        <f>step3_validation[[#This Row],[AI_TRU4]]</f>
        <v>8</v>
      </c>
      <c r="BA217" t="str">
        <f t="shared" si="102"/>
        <v>Support</v>
      </c>
      <c r="BB217">
        <f>survey_responses[[#This Row],[Tôi thấy Nhà nước đã giải thích rõ ràng, minh bạch về lý do và mục tiêu của việc sửa đổi thuế lần này. - HUMAN-TRU4]]</f>
        <v>7</v>
      </c>
      <c r="BC217" t="str">
        <f t="shared" si="103"/>
        <v>Neutral</v>
      </c>
      <c r="BD217" s="32">
        <f t="shared" si="104"/>
        <v>1</v>
      </c>
      <c r="BE217">
        <f>step3_validation[[#This Row],[AI_OUT1]]</f>
        <v>9</v>
      </c>
      <c r="BF217" t="str">
        <f t="shared" si="105"/>
        <v>Support</v>
      </c>
      <c r="BG217">
        <f>survey_responses[[#This Row],[Sau khi xem xét các quyền lợi và nghĩa vụ, bạn có ủng hộ và tuân thủ chính sách mới hiện nay? - HUMAN-OUT1]]</f>
        <v>7</v>
      </c>
      <c r="BH217" t="str">
        <f t="shared" si="106"/>
        <v>Neutral</v>
      </c>
      <c r="BI217" s="32">
        <f t="shared" si="107"/>
        <v>2</v>
      </c>
    </row>
    <row r="218" spans="1:61" x14ac:dyDescent="0.45">
      <c r="A218" s="30">
        <f>step3_validation[[#This Row],[Persona_ID]]</f>
        <v>217</v>
      </c>
      <c r="B218" s="31">
        <f>step3_validation[[#This Row],[Used_Seed]]</f>
        <v>12561</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45.985553781420869</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t="str">
        <f t="shared" si="81"/>
        <v>Neutral</v>
      </c>
      <c r="S218">
        <f>survey_responses[[#This Row],[Tôi tin rằng với các quy định quản lý thuế hiện nay, hành vi gian lận hoặc trốn thuế sẽ dễ dàng bị phát hiện và xử lý nghiêm. - HUMAN-ENF1]]</f>
        <v>5</v>
      </c>
      <c r="T218" t="str">
        <f t="shared" si="82"/>
        <v>Neutral</v>
      </c>
      <c r="U218" s="32">
        <f t="shared" si="83"/>
        <v>2</v>
      </c>
      <c r="V218">
        <f>step3_validation[[#This Row],[AI_ENF2]]</f>
        <v>8</v>
      </c>
      <c r="W218" t="str">
        <f t="shared" si="84"/>
        <v>Support</v>
      </c>
      <c r="X218">
        <f>survey_responses[[#This Row],[Tôi tin rằng Nhà nước, cơ quan thuế có đủ khả năng và công nghệ để phát hiện, xử lý nghiêm các hành vi trốn thuế. - HUMAN-ENF2]]</f>
        <v>5</v>
      </c>
      <c r="Y218" t="str">
        <f t="shared" si="85"/>
        <v>Neutral</v>
      </c>
      <c r="Z218" s="32">
        <f t="shared" si="86"/>
        <v>3</v>
      </c>
      <c r="AA218">
        <f>step3_validation[[#This Row],[AI_FAC1]]</f>
        <v>6</v>
      </c>
      <c r="AB218" t="str">
        <f t="shared" si="87"/>
        <v>Neutral</v>
      </c>
      <c r="AC218">
        <f>survey_responses[[#This Row],[Các thủ tục khai báo thuế VÀ/HOẶC quy trình làm việc với cơ quan thuế đơn giản, tiện lợi, nhanh chóng hơn so với trước đây. - HUMAN-FAC1]]</f>
        <v>5</v>
      </c>
      <c r="AD218" t="str">
        <f t="shared" si="88"/>
        <v>Neutral</v>
      </c>
      <c r="AE218" s="32">
        <f t="shared" si="89"/>
        <v>1</v>
      </c>
      <c r="AF218">
        <f>step3_validation[[#This Row],[AI_FAC2]]</f>
        <v>9</v>
      </c>
      <c r="AG218" t="str">
        <f t="shared" si="90"/>
        <v>Support</v>
      </c>
      <c r="AH218">
        <f>survey_responses[[#This Row],[So với trước đây, tôi thấy cách tính thuế và các bậc thuế trong phương án mới đơn giản, dễ hiểu và dễ thực hiện hơn. - HUMAN-FAC2]]</f>
        <v>6</v>
      </c>
      <c r="AI218" t="str">
        <f t="shared" si="91"/>
        <v>Neutral</v>
      </c>
      <c r="AJ218" s="32">
        <f t="shared" si="92"/>
        <v>3</v>
      </c>
      <c r="AK218">
        <f>step3_validation[[#This Row],[AI_TRU1]]</f>
        <v>7</v>
      </c>
      <c r="AL218" t="str">
        <f t="shared" si="93"/>
        <v>Neutral</v>
      </c>
      <c r="AM218">
        <f>survey_responses[[#This Row],[Tôi tin rằng Nhà nước, cơ quan thuế sẽ thực thi chính sách mới một cách khách quan, công tâm và đối xử bình đẳng với mọi người nộp thuế.  - HUMAN-TRU1]]</f>
        <v>5</v>
      </c>
      <c r="AN218" t="str">
        <f t="shared" si="94"/>
        <v>Neutral</v>
      </c>
      <c r="AO218" s="32">
        <f t="shared" si="95"/>
        <v>2</v>
      </c>
      <c r="AP218">
        <f>step3_validation[[#This Row],[AI_TRU2]]</f>
        <v>9</v>
      </c>
      <c r="AQ218" t="str">
        <f t="shared" si="96"/>
        <v>Support</v>
      </c>
      <c r="AR218">
        <f>survey_responses[[#This Row],[Tôi thấy mức thuế tôi phải đóng theo phương án mới là công bằng (người thu nhập như tôi đóng mức này là hợp lý). - HUMAN-TRU2]]</f>
        <v>5</v>
      </c>
      <c r="AS218" t="str">
        <f t="shared" si="97"/>
        <v>Neutral</v>
      </c>
      <c r="AT218" s="32">
        <f t="shared" si="98"/>
        <v>4</v>
      </c>
      <c r="AU218">
        <f>step3_validation[[#This Row],[AI_TRU3]]</f>
        <v>7</v>
      </c>
      <c r="AV218" t="str">
        <f t="shared" si="99"/>
        <v>Neutral</v>
      </c>
      <c r="AW218">
        <f>survey_responses[[#This Row],[Tôi tin tưởng số tiền thuế tôi đóng sẽ được Nhà nước sử dụng hiệu quả để cải thiện dịch vụ công (y tế, đường xá...). - HUMAN-TRU3]]</f>
        <v>5</v>
      </c>
      <c r="AX218" t="str">
        <f t="shared" si="100"/>
        <v>Neutral</v>
      </c>
      <c r="AY218" s="32">
        <f t="shared" si="101"/>
        <v>2</v>
      </c>
      <c r="AZ218">
        <f>step3_validation[[#This Row],[AI_TRU4]]</f>
        <v>8</v>
      </c>
      <c r="BA218" t="str">
        <f t="shared" si="102"/>
        <v>Support</v>
      </c>
      <c r="BB218">
        <f>survey_responses[[#This Row],[Tôi thấy Nhà nước đã giải thích rõ ràng, minh bạch về lý do và mục tiêu của việc sửa đổi thuế lần này. - HUMAN-TRU4]]</f>
        <v>5</v>
      </c>
      <c r="BC218" t="str">
        <f t="shared" si="103"/>
        <v>Neutral</v>
      </c>
      <c r="BD218" s="32">
        <f t="shared" si="104"/>
        <v>3</v>
      </c>
      <c r="BE218">
        <f>step3_validation[[#This Row],[AI_OUT1]]</f>
        <v>9</v>
      </c>
      <c r="BF218" t="str">
        <f t="shared" si="105"/>
        <v>Support</v>
      </c>
      <c r="BG218">
        <f>survey_responses[[#This Row],[Sau khi xem xét các quyền lợi và nghĩa vụ, bạn có ủng hộ và tuân thủ chính sách mới hiện nay? - HUMAN-OUT1]]</f>
        <v>5</v>
      </c>
      <c r="BH218" t="str">
        <f t="shared" si="106"/>
        <v>Neutral</v>
      </c>
      <c r="BI218" s="32">
        <f t="shared" si="107"/>
        <v>4</v>
      </c>
    </row>
    <row r="219" spans="1:61" x14ac:dyDescent="0.45">
      <c r="A219" s="30">
        <f>step3_validation[[#This Row],[Persona_ID]]</f>
        <v>218</v>
      </c>
      <c r="B219" s="31">
        <f>step3_validation[[#This Row],[Used_Seed]]</f>
        <v>12562</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51.913595024365129</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6</v>
      </c>
      <c r="R219" t="str">
        <f t="shared" si="81"/>
        <v>Neutral</v>
      </c>
      <c r="S219">
        <f>survey_responses[[#This Row],[Tôi tin rằng với các quy định quản lý thuế hiện nay, hành vi gian lận hoặc trốn thuế sẽ dễ dàng bị phát hiện và xử lý nghiêm. - HUMAN-ENF1]]</f>
        <v>6</v>
      </c>
      <c r="T219" t="str">
        <f t="shared" si="82"/>
        <v>Neutral</v>
      </c>
      <c r="U219" s="32">
        <f t="shared" si="83"/>
        <v>0</v>
      </c>
      <c r="V219">
        <f>step3_validation[[#This Row],[AI_ENF2]]</f>
        <v>8</v>
      </c>
      <c r="W219" t="str">
        <f t="shared" si="84"/>
        <v>Support</v>
      </c>
      <c r="X219">
        <f>survey_responses[[#This Row],[Tôi tin rằng Nhà nước, cơ quan thuế có đủ khả năng và công nghệ để phát hiện, xử lý nghiêm các hành vi trốn thuế. - HUMAN-ENF2]]</f>
        <v>7</v>
      </c>
      <c r="Y219" t="str">
        <f t="shared" si="85"/>
        <v>Neutral</v>
      </c>
      <c r="Z219" s="32">
        <f t="shared" si="86"/>
        <v>1</v>
      </c>
      <c r="AA219">
        <f>step3_validation[[#This Row],[AI_FAC1]]</f>
        <v>7</v>
      </c>
      <c r="AB219" t="str">
        <f t="shared" si="87"/>
        <v>Neutral</v>
      </c>
      <c r="AC219">
        <f>survey_responses[[#This Row],[Các thủ tục khai báo thuế VÀ/HOẶC quy trình làm việc với cơ quan thuế đơn giản, tiện lợi, nhanh chóng hơn so với trước đây. - HUMAN-FAC1]]</f>
        <v>7</v>
      </c>
      <c r="AD219" t="str">
        <f t="shared" si="88"/>
        <v>Neutral</v>
      </c>
      <c r="AE219" s="32">
        <f t="shared" si="89"/>
        <v>0</v>
      </c>
      <c r="AF219">
        <f>step3_validation[[#This Row],[AI_FAC2]]</f>
        <v>9</v>
      </c>
      <c r="AG219" t="str">
        <f t="shared" si="90"/>
        <v>Support</v>
      </c>
      <c r="AH219">
        <f>survey_responses[[#This Row],[So với trước đây, tôi thấy cách tính thuế và các bậc thuế trong phương án mới đơn giản, dễ hiểu và dễ thực hiện hơn. - HUMAN-FAC2]]</f>
        <v>7</v>
      </c>
      <c r="AI219" t="str">
        <f t="shared" si="91"/>
        <v>Neutral</v>
      </c>
      <c r="AJ219" s="32">
        <f t="shared" si="92"/>
        <v>2</v>
      </c>
      <c r="AK219">
        <f>step3_validation[[#This Row],[AI_TRU1]]</f>
        <v>7</v>
      </c>
      <c r="AL219" t="str">
        <f t="shared" si="93"/>
        <v>Neutral</v>
      </c>
      <c r="AM219">
        <f>survey_responses[[#This Row],[Tôi tin rằng Nhà nước, cơ quan thuế sẽ thực thi chính sách mới một cách khách quan, công tâm và đối xử bình đẳng với mọi người nộp thuế.  - HUMAN-TRU1]]</f>
        <v>7</v>
      </c>
      <c r="AN219" t="str">
        <f t="shared" si="94"/>
        <v>Neutral</v>
      </c>
      <c r="AO219" s="32">
        <f t="shared" si="95"/>
        <v>0</v>
      </c>
      <c r="AP219">
        <f>step3_validation[[#This Row],[AI_TRU2]]</f>
        <v>8</v>
      </c>
      <c r="AQ219" t="str">
        <f t="shared" si="96"/>
        <v>Support</v>
      </c>
      <c r="AR219">
        <f>survey_responses[[#This Row],[Tôi thấy mức thuế tôi phải đóng theo phương án mới là công bằng (người thu nhập như tôi đóng mức này là hợp lý). - HUMAN-TRU2]]</f>
        <v>7</v>
      </c>
      <c r="AS219" t="str">
        <f t="shared" si="97"/>
        <v>Neutral</v>
      </c>
      <c r="AT219" s="32">
        <f t="shared" si="98"/>
        <v>1</v>
      </c>
      <c r="AU219">
        <f>step3_validation[[#This Row],[AI_TRU3]]</f>
        <v>7</v>
      </c>
      <c r="AV219" t="str">
        <f t="shared" si="99"/>
        <v>Neutral</v>
      </c>
      <c r="AW219">
        <f>survey_responses[[#This Row],[Tôi tin tưởng số tiền thuế tôi đóng sẽ được Nhà nước sử dụng hiệu quả để cải thiện dịch vụ công (y tế, đường xá...). - HUMAN-TRU3]]</f>
        <v>7</v>
      </c>
      <c r="AX219" t="str">
        <f t="shared" si="100"/>
        <v>Neutral</v>
      </c>
      <c r="AY219" s="32">
        <f t="shared" si="101"/>
        <v>0</v>
      </c>
      <c r="AZ219">
        <f>step3_validation[[#This Row],[AI_TRU4]]</f>
        <v>8</v>
      </c>
      <c r="BA219" t="str">
        <f t="shared" si="102"/>
        <v>Support</v>
      </c>
      <c r="BB219">
        <f>survey_responses[[#This Row],[Tôi thấy Nhà nước đã giải thích rõ ràng, minh bạch về lý do và mục tiêu của việc sửa đổi thuế lần này. - HUMAN-TRU4]]</f>
        <v>7</v>
      </c>
      <c r="BC219" t="str">
        <f t="shared" si="103"/>
        <v>Neutral</v>
      </c>
      <c r="BD219" s="32">
        <f t="shared" si="104"/>
        <v>1</v>
      </c>
      <c r="BE219">
        <f>step3_validation[[#This Row],[AI_OUT1]]</f>
        <v>8</v>
      </c>
      <c r="BF219" t="str">
        <f t="shared" si="105"/>
        <v>Support</v>
      </c>
      <c r="BG219">
        <f>survey_responses[[#This Row],[Sau khi xem xét các quyền lợi và nghĩa vụ, bạn có ủng hộ và tuân thủ chính sách mới hiện nay? - HUMAN-OUT1]]</f>
        <v>7</v>
      </c>
      <c r="BH219" t="str">
        <f t="shared" si="106"/>
        <v>Neutral</v>
      </c>
      <c r="BI219" s="32">
        <f t="shared" si="107"/>
        <v>1</v>
      </c>
    </row>
    <row r="220" spans="1:61" x14ac:dyDescent="0.45">
      <c r="A220" s="30">
        <f>step3_validation[[#This Row],[Persona_ID]]</f>
        <v>219</v>
      </c>
      <c r="B220" s="31">
        <f>step3_validation[[#This Row],[Used_Seed]]</f>
        <v>12563</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209.50095099966052</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7</v>
      </c>
      <c r="R220" t="str">
        <f t="shared" si="81"/>
        <v>Neutral</v>
      </c>
      <c r="S220">
        <f>survey_responses[[#This Row],[Tôi tin rằng với các quy định quản lý thuế hiện nay, hành vi gian lận hoặc trốn thuế sẽ dễ dàng bị phát hiện và xử lý nghiêm. - HUMAN-ENF1]]</f>
        <v>7</v>
      </c>
      <c r="T220" t="str">
        <f t="shared" si="82"/>
        <v>Neutral</v>
      </c>
      <c r="U220" s="32">
        <f t="shared" si="83"/>
        <v>0</v>
      </c>
      <c r="V220">
        <f>step3_validation[[#This Row],[AI_ENF2]]</f>
        <v>8</v>
      </c>
      <c r="W220" t="str">
        <f t="shared" si="84"/>
        <v>Support</v>
      </c>
      <c r="X220">
        <f>survey_responses[[#This Row],[Tôi tin rằng Nhà nước, cơ quan thuế có đủ khả năng và công nghệ để phát hiện, xử lý nghiêm các hành vi trốn thuế. - HUMAN-ENF2]]</f>
        <v>8</v>
      </c>
      <c r="Y220" t="str">
        <f t="shared" si="85"/>
        <v>Support</v>
      </c>
      <c r="Z220" s="32">
        <f t="shared" si="86"/>
        <v>0</v>
      </c>
      <c r="AA220">
        <f>step3_validation[[#This Row],[AI_FAC1]]</f>
        <v>9</v>
      </c>
      <c r="AB220" t="str">
        <f t="shared" si="87"/>
        <v>Support</v>
      </c>
      <c r="AC220">
        <f>survey_responses[[#This Row],[Các thủ tục khai báo thuế VÀ/HOẶC quy trình làm việc với cơ quan thuế đơn giản, tiện lợi, nhanh chóng hơn so với trước đây. - HUMAN-FAC1]]</f>
        <v>8</v>
      </c>
      <c r="AD220" t="str">
        <f t="shared" si="88"/>
        <v>Support</v>
      </c>
      <c r="AE220" s="32">
        <f t="shared" si="89"/>
        <v>1</v>
      </c>
      <c r="AF220">
        <f>step3_validation[[#This Row],[AI_FAC2]]</f>
        <v>9</v>
      </c>
      <c r="AG220" t="str">
        <f t="shared" si="90"/>
        <v>Support</v>
      </c>
      <c r="AH220">
        <f>survey_responses[[#This Row],[So với trước đây, tôi thấy cách tính thuế và các bậc thuế trong phương án mới đơn giản, dễ hiểu và dễ thực hiện hơn. - HUMAN-FAC2]]</f>
        <v>8</v>
      </c>
      <c r="AI220" t="str">
        <f t="shared" si="91"/>
        <v>Support</v>
      </c>
      <c r="AJ220" s="32">
        <f t="shared" si="92"/>
        <v>1</v>
      </c>
      <c r="AK220">
        <f>step3_validation[[#This Row],[AI_TRU1]]</f>
        <v>7</v>
      </c>
      <c r="AL220" t="str">
        <f t="shared" si="93"/>
        <v>Neutral</v>
      </c>
      <c r="AM220">
        <f>survey_responses[[#This Row],[Tôi tin rằng Nhà nước, cơ quan thuế sẽ thực thi chính sách mới một cách khách quan, công tâm và đối xử bình đẳng với mọi người nộp thuế.  - HUMAN-TRU1]]</f>
        <v>8</v>
      </c>
      <c r="AN220" t="str">
        <f t="shared" si="94"/>
        <v>Support</v>
      </c>
      <c r="AO220" s="32">
        <f t="shared" si="95"/>
        <v>1</v>
      </c>
      <c r="AP220">
        <f>step3_validation[[#This Row],[AI_TRU2]]</f>
        <v>8</v>
      </c>
      <c r="AQ220" t="str">
        <f t="shared" si="96"/>
        <v>Support</v>
      </c>
      <c r="AR220">
        <f>survey_responses[[#This Row],[Tôi thấy mức thuế tôi phải đóng theo phương án mới là công bằng (người thu nhập như tôi đóng mức này là hợp lý). - HUMAN-TRU2]]</f>
        <v>5</v>
      </c>
      <c r="AS220" t="str">
        <f t="shared" si="97"/>
        <v>Neutral</v>
      </c>
      <c r="AT220" s="32">
        <f t="shared" si="98"/>
        <v>3</v>
      </c>
      <c r="AU220">
        <f>step3_validation[[#This Row],[AI_TRU3]]</f>
        <v>7</v>
      </c>
      <c r="AV220" t="str">
        <f t="shared" si="99"/>
        <v>Neutral</v>
      </c>
      <c r="AW220">
        <f>survey_responses[[#This Row],[Tôi tin tưởng số tiền thuế tôi đóng sẽ được Nhà nước sử dụng hiệu quả để cải thiện dịch vụ công (y tế, đường xá...). - HUMAN-TRU3]]</f>
        <v>5</v>
      </c>
      <c r="AX220" t="str">
        <f t="shared" si="100"/>
        <v>Neutral</v>
      </c>
      <c r="AY220" s="32">
        <f t="shared" si="101"/>
        <v>2</v>
      </c>
      <c r="AZ220">
        <f>step3_validation[[#This Row],[AI_TRU4]]</f>
        <v>8</v>
      </c>
      <c r="BA220" t="str">
        <f t="shared" si="102"/>
        <v>Support</v>
      </c>
      <c r="BB220">
        <f>survey_responses[[#This Row],[Tôi thấy Nhà nước đã giải thích rõ ràng, minh bạch về lý do và mục tiêu của việc sửa đổi thuế lần này. - HUMAN-TRU4]]</f>
        <v>7</v>
      </c>
      <c r="BC220" t="str">
        <f t="shared" si="103"/>
        <v>Neutral</v>
      </c>
      <c r="BD220" s="32">
        <f t="shared" si="104"/>
        <v>1</v>
      </c>
      <c r="BE220">
        <f>step3_validation[[#This Row],[AI_OUT1]]</f>
        <v>9</v>
      </c>
      <c r="BF220" t="str">
        <f t="shared" si="105"/>
        <v>Support</v>
      </c>
      <c r="BG220">
        <f>survey_responses[[#This Row],[Sau khi xem xét các quyền lợi và nghĩa vụ, bạn có ủng hộ và tuân thủ chính sách mới hiện nay? - HUMAN-OUT1]]</f>
        <v>6</v>
      </c>
      <c r="BH220" t="str">
        <f t="shared" si="106"/>
        <v>Neutral</v>
      </c>
      <c r="BI220" s="32">
        <f t="shared" si="107"/>
        <v>3</v>
      </c>
    </row>
    <row r="221" spans="1:61" x14ac:dyDescent="0.45">
      <c r="A221" s="30">
        <f>step3_validation[[#This Row],[Persona_ID]]</f>
        <v>220</v>
      </c>
      <c r="B221" s="31">
        <f>step3_validation[[#This Row],[Used_Seed]]</f>
        <v>12564</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211.25547386529038</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6</v>
      </c>
      <c r="R221" t="str">
        <f t="shared" si="81"/>
        <v>Neutral</v>
      </c>
      <c r="S221">
        <f>survey_responses[[#This Row],[Tôi tin rằng với các quy định quản lý thuế hiện nay, hành vi gian lận hoặc trốn thuế sẽ dễ dàng bị phát hiện và xử lý nghiêm. - HUMAN-ENF1]]</f>
        <v>10</v>
      </c>
      <c r="T221" t="str">
        <f t="shared" si="82"/>
        <v>Support</v>
      </c>
      <c r="U221" s="32">
        <f t="shared" si="83"/>
        <v>4</v>
      </c>
      <c r="V221">
        <f>step3_validation[[#This Row],[AI_ENF2]]</f>
        <v>7</v>
      </c>
      <c r="W221" t="str">
        <f t="shared" si="84"/>
        <v>Neutral</v>
      </c>
      <c r="X221">
        <f>survey_responses[[#This Row],[Tôi tin rằng Nhà nước, cơ quan thuế có đủ khả năng và công nghệ để phát hiện, xử lý nghiêm các hành vi trốn thuế. - HUMAN-ENF2]]</f>
        <v>10</v>
      </c>
      <c r="Y221" t="str">
        <f t="shared" si="85"/>
        <v>Support</v>
      </c>
      <c r="Z221" s="32">
        <f t="shared" si="86"/>
        <v>3</v>
      </c>
      <c r="AA221">
        <f>step3_validation[[#This Row],[AI_FAC1]]</f>
        <v>9</v>
      </c>
      <c r="AB221" t="str">
        <f t="shared" si="87"/>
        <v>Support</v>
      </c>
      <c r="AC221">
        <f>survey_responses[[#This Row],[Các thủ tục khai báo thuế VÀ/HOẶC quy trình làm việc với cơ quan thuế đơn giản, tiện lợi, nhanh chóng hơn so với trước đây. - HUMAN-FAC1]]</f>
        <v>6</v>
      </c>
      <c r="AD221" t="str">
        <f t="shared" si="88"/>
        <v>Neutral</v>
      </c>
      <c r="AE221" s="32">
        <f t="shared" si="89"/>
        <v>3</v>
      </c>
      <c r="AF221">
        <f>step3_validation[[#This Row],[AI_FAC2]]</f>
        <v>8</v>
      </c>
      <c r="AG221" t="str">
        <f t="shared" si="90"/>
        <v>Support</v>
      </c>
      <c r="AH221">
        <f>survey_responses[[#This Row],[So với trước đây, tôi thấy cách tính thuế và các bậc thuế trong phương án mới đơn giản, dễ hiểu và dễ thực hiện hơn. - HUMAN-FAC2]]</f>
        <v>9</v>
      </c>
      <c r="AI221" t="str">
        <f t="shared" si="91"/>
        <v>Support</v>
      </c>
      <c r="AJ221" s="32">
        <f t="shared" si="92"/>
        <v>1</v>
      </c>
      <c r="AK221">
        <f>step3_validation[[#This Row],[AI_TRU1]]</f>
        <v>7</v>
      </c>
      <c r="AL221" t="str">
        <f t="shared" si="93"/>
        <v>Neutral</v>
      </c>
      <c r="AM221">
        <f>survey_responses[[#This Row],[Tôi tin rằng Nhà nước, cơ quan thuế sẽ thực thi chính sách mới một cách khách quan, công tâm và đối xử bình đẳng với mọi người nộp thuế.  - HUMAN-TRU1]]</f>
        <v>9</v>
      </c>
      <c r="AN221" t="str">
        <f t="shared" si="94"/>
        <v>Support</v>
      </c>
      <c r="AO221" s="32">
        <f t="shared" si="95"/>
        <v>2</v>
      </c>
      <c r="AP221">
        <f>step3_validation[[#This Row],[AI_TRU2]]</f>
        <v>9</v>
      </c>
      <c r="AQ221" t="str">
        <f t="shared" si="96"/>
        <v>Support</v>
      </c>
      <c r="AR221">
        <f>survey_responses[[#This Row],[Tôi thấy mức thuế tôi phải đóng theo phương án mới là công bằng (người thu nhập như tôi đóng mức này là hợp lý). - HUMAN-TRU2]]</f>
        <v>9</v>
      </c>
      <c r="AS221" t="str">
        <f t="shared" si="97"/>
        <v>Support</v>
      </c>
      <c r="AT221" s="32">
        <f t="shared" si="98"/>
        <v>0</v>
      </c>
      <c r="AU221">
        <f>step3_validation[[#This Row],[AI_TRU3]]</f>
        <v>7</v>
      </c>
      <c r="AV221" t="str">
        <f t="shared" si="99"/>
        <v>Neutral</v>
      </c>
      <c r="AW221">
        <f>survey_responses[[#This Row],[Tôi tin tưởng số tiền thuế tôi đóng sẽ được Nhà nước sử dụng hiệu quả để cải thiện dịch vụ công (y tế, đường xá...). - HUMAN-TRU3]]</f>
        <v>9</v>
      </c>
      <c r="AX221" t="str">
        <f t="shared" si="100"/>
        <v>Support</v>
      </c>
      <c r="AY221" s="32">
        <f t="shared" si="101"/>
        <v>2</v>
      </c>
      <c r="AZ221">
        <f>step3_validation[[#This Row],[AI_TRU4]]</f>
        <v>8</v>
      </c>
      <c r="BA221" t="str">
        <f t="shared" si="102"/>
        <v>Support</v>
      </c>
      <c r="BB221">
        <f>survey_responses[[#This Row],[Tôi thấy Nhà nước đã giải thích rõ ràng, minh bạch về lý do và mục tiêu của việc sửa đổi thuế lần này. - HUMAN-TRU4]]</f>
        <v>8</v>
      </c>
      <c r="BC221" t="str">
        <f t="shared" si="103"/>
        <v>Support</v>
      </c>
      <c r="BD221" s="32">
        <f t="shared" si="104"/>
        <v>0</v>
      </c>
      <c r="BE221">
        <f>step3_validation[[#This Row],[AI_OUT1]]</f>
        <v>9</v>
      </c>
      <c r="BF221" t="str">
        <f t="shared" si="105"/>
        <v>Support</v>
      </c>
      <c r="BG221">
        <f>survey_responses[[#This Row],[Sau khi xem xét các quyền lợi và nghĩa vụ, bạn có ủng hộ và tuân thủ chính sách mới hiện nay? - HUMAN-OUT1]]</f>
        <v>8</v>
      </c>
      <c r="BH221" t="str">
        <f t="shared" si="106"/>
        <v>Support</v>
      </c>
      <c r="BI221" s="32">
        <f t="shared" si="107"/>
        <v>1</v>
      </c>
    </row>
    <row r="222" spans="1:61" x14ac:dyDescent="0.45">
      <c r="A222" s="30">
        <f>step3_validation[[#This Row],[Persona_ID]]</f>
        <v>221</v>
      </c>
      <c r="B222" s="31">
        <f>step3_validation[[#This Row],[Used_Seed]]</f>
        <v>12565</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56.947044831130214</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8</v>
      </c>
      <c r="R222" t="str">
        <f t="shared" si="81"/>
        <v>Support</v>
      </c>
      <c r="S222">
        <f>survey_responses[[#This Row],[Tôi tin rằng với các quy định quản lý thuế hiện nay, hành vi gian lận hoặc trốn thuế sẽ dễ dàng bị phát hiện và xử lý nghiêm. - HUMAN-ENF1]]</f>
        <v>4</v>
      </c>
      <c r="T222" t="str">
        <f t="shared" si="82"/>
        <v>Oppose</v>
      </c>
      <c r="U222" s="32">
        <f t="shared" si="83"/>
        <v>4</v>
      </c>
      <c r="V222">
        <f>step3_validation[[#This Row],[AI_ENF2]]</f>
        <v>9</v>
      </c>
      <c r="W222" t="str">
        <f t="shared" si="84"/>
        <v>Support</v>
      </c>
      <c r="X222">
        <f>survey_responses[[#This Row],[Tôi tin rằng Nhà nước, cơ quan thuế có đủ khả năng và công nghệ để phát hiện, xử lý nghiêm các hành vi trốn thuế. - HUMAN-ENF2]]</f>
        <v>4</v>
      </c>
      <c r="Y222" t="str">
        <f t="shared" si="85"/>
        <v>Oppose</v>
      </c>
      <c r="Z222" s="32">
        <f t="shared" si="86"/>
        <v>5</v>
      </c>
      <c r="AA222">
        <f>step3_validation[[#This Row],[AI_FAC1]]</f>
        <v>6</v>
      </c>
      <c r="AB222" t="str">
        <f t="shared" si="87"/>
        <v>Neutral</v>
      </c>
      <c r="AC222">
        <f>survey_responses[[#This Row],[Các thủ tục khai báo thuế VÀ/HOẶC quy trình làm việc với cơ quan thuế đơn giản, tiện lợi, nhanh chóng hơn so với trước đây. - HUMAN-FAC1]]</f>
        <v>4</v>
      </c>
      <c r="AD222" t="str">
        <f t="shared" si="88"/>
        <v>Oppose</v>
      </c>
      <c r="AE222" s="32">
        <f t="shared" si="89"/>
        <v>2</v>
      </c>
      <c r="AF222">
        <f>step3_validation[[#This Row],[AI_FAC2]]</f>
        <v>8</v>
      </c>
      <c r="AG222" t="str">
        <f t="shared" si="90"/>
        <v>Support</v>
      </c>
      <c r="AH222">
        <f>survey_responses[[#This Row],[So với trước đây, tôi thấy cách tính thuế và các bậc thuế trong phương án mới đơn giản, dễ hiểu và dễ thực hiện hơn. - HUMAN-FAC2]]</f>
        <v>6</v>
      </c>
      <c r="AI222" t="str">
        <f t="shared" si="91"/>
        <v>Neutral</v>
      </c>
      <c r="AJ222" s="32">
        <f t="shared" si="92"/>
        <v>2</v>
      </c>
      <c r="AK222">
        <f>step3_validation[[#This Row],[AI_TRU1]]</f>
        <v>7</v>
      </c>
      <c r="AL222" t="str">
        <f t="shared" si="93"/>
        <v>Neutral</v>
      </c>
      <c r="AM222">
        <f>survey_responses[[#This Row],[Tôi tin rằng Nhà nước, cơ quan thuế sẽ thực thi chính sách mới một cách khách quan, công tâm và đối xử bình đẳng với mọi người nộp thuế.  - HUMAN-TRU1]]</f>
        <v>5</v>
      </c>
      <c r="AN222" t="str">
        <f t="shared" si="94"/>
        <v>Neutral</v>
      </c>
      <c r="AO222" s="32">
        <f t="shared" si="95"/>
        <v>2</v>
      </c>
      <c r="AP222">
        <f>step3_validation[[#This Row],[AI_TRU2]]</f>
        <v>9</v>
      </c>
      <c r="AQ222" t="str">
        <f t="shared" si="96"/>
        <v>Support</v>
      </c>
      <c r="AR222">
        <f>survey_responses[[#This Row],[Tôi thấy mức thuế tôi phải đóng theo phương án mới là công bằng (người thu nhập như tôi đóng mức này là hợp lý). - HUMAN-TRU2]]</f>
        <v>6</v>
      </c>
      <c r="AS222" t="str">
        <f t="shared" si="97"/>
        <v>Neutral</v>
      </c>
      <c r="AT222" s="32">
        <f t="shared" si="98"/>
        <v>3</v>
      </c>
      <c r="AU222">
        <f>step3_validation[[#This Row],[AI_TRU3]]</f>
        <v>7</v>
      </c>
      <c r="AV222" t="str">
        <f t="shared" si="99"/>
        <v>Neutral</v>
      </c>
      <c r="AW222">
        <f>survey_responses[[#This Row],[Tôi tin tưởng số tiền thuế tôi đóng sẽ được Nhà nước sử dụng hiệu quả để cải thiện dịch vụ công (y tế, đường xá...). - HUMAN-TRU3]]</f>
        <v>5</v>
      </c>
      <c r="AX222" t="str">
        <f t="shared" si="100"/>
        <v>Neutral</v>
      </c>
      <c r="AY222" s="32">
        <f t="shared" si="101"/>
        <v>2</v>
      </c>
      <c r="AZ222">
        <f>step3_validation[[#This Row],[AI_TRU4]]</f>
        <v>8</v>
      </c>
      <c r="BA222" t="str">
        <f t="shared" si="102"/>
        <v>Support</v>
      </c>
      <c r="BB222">
        <f>survey_responses[[#This Row],[Tôi thấy Nhà nước đã giải thích rõ ràng, minh bạch về lý do và mục tiêu của việc sửa đổi thuế lần này. - HUMAN-TRU4]]</f>
        <v>6</v>
      </c>
      <c r="BC222" t="str">
        <f t="shared" si="103"/>
        <v>Neutral</v>
      </c>
      <c r="BD222" s="32">
        <f t="shared" si="104"/>
        <v>2</v>
      </c>
      <c r="BE222">
        <f>step3_validation[[#This Row],[AI_OUT1]]</f>
        <v>7</v>
      </c>
      <c r="BF222" t="str">
        <f t="shared" si="105"/>
        <v>Neutral</v>
      </c>
      <c r="BG222">
        <f>survey_responses[[#This Row],[Sau khi xem xét các quyền lợi và nghĩa vụ, bạn có ủng hộ và tuân thủ chính sách mới hiện nay? - HUMAN-OUT1]]</f>
        <v>5</v>
      </c>
      <c r="BH222" t="str">
        <f t="shared" si="106"/>
        <v>Neutral</v>
      </c>
      <c r="BI222" s="32">
        <f t="shared" si="107"/>
        <v>2</v>
      </c>
    </row>
    <row r="223" spans="1:61" x14ac:dyDescent="0.45">
      <c r="A223" s="30">
        <f>step3_validation[[#This Row],[Persona_ID]]</f>
        <v>222</v>
      </c>
      <c r="B223" s="31">
        <f>step3_validation[[#This Row],[Used_Seed]]</f>
        <v>12566</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54.916541649315903</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7</v>
      </c>
      <c r="R223" t="str">
        <f t="shared" si="81"/>
        <v>Neutral</v>
      </c>
      <c r="S223">
        <f>survey_responses[[#This Row],[Tôi tin rằng với các quy định quản lý thuế hiện nay, hành vi gian lận hoặc trốn thuế sẽ dễ dàng bị phát hiện và xử lý nghiêm. - HUMAN-ENF1]]</f>
        <v>4</v>
      </c>
      <c r="T223" t="str">
        <f t="shared" si="82"/>
        <v>Oppose</v>
      </c>
      <c r="U223" s="32">
        <f t="shared" si="83"/>
        <v>3</v>
      </c>
      <c r="V223">
        <f>step3_validation[[#This Row],[AI_ENF2]]</f>
        <v>6</v>
      </c>
      <c r="W223" t="str">
        <f t="shared" si="84"/>
        <v>Neutral</v>
      </c>
      <c r="X223">
        <f>survey_responses[[#This Row],[Tôi tin rằng Nhà nước, cơ quan thuế có đủ khả năng và công nghệ để phát hiện, xử lý nghiêm các hành vi trốn thuế. - HUMAN-ENF2]]</f>
        <v>5</v>
      </c>
      <c r="Y223" t="str">
        <f t="shared" si="85"/>
        <v>Neutral</v>
      </c>
      <c r="Z223" s="32">
        <f t="shared" si="86"/>
        <v>1</v>
      </c>
      <c r="AA223">
        <f>step3_validation[[#This Row],[AI_FAC1]]</f>
        <v>8</v>
      </c>
      <c r="AB223" t="str">
        <f t="shared" si="87"/>
        <v>Support</v>
      </c>
      <c r="AC223">
        <f>survey_responses[[#This Row],[Các thủ tục khai báo thuế VÀ/HOẶC quy trình làm việc với cơ quan thuế đơn giản, tiện lợi, nhanh chóng hơn so với trước đây. - HUMAN-FAC1]]</f>
        <v>4</v>
      </c>
      <c r="AD223" t="str">
        <f t="shared" si="88"/>
        <v>Oppose</v>
      </c>
      <c r="AE223" s="32">
        <f t="shared" si="89"/>
        <v>4</v>
      </c>
      <c r="AF223">
        <f>step3_validation[[#This Row],[AI_FAC2]]</f>
        <v>9</v>
      </c>
      <c r="AG223" t="str">
        <f t="shared" si="90"/>
        <v>Support</v>
      </c>
      <c r="AH223">
        <f>survey_responses[[#This Row],[So với trước đây, tôi thấy cách tính thuế và các bậc thuế trong phương án mới đơn giản, dễ hiểu và dễ thực hiện hơn. - HUMAN-FAC2]]</f>
        <v>5</v>
      </c>
      <c r="AI223" t="str">
        <f t="shared" si="91"/>
        <v>Neutral</v>
      </c>
      <c r="AJ223" s="32">
        <f t="shared" si="92"/>
        <v>4</v>
      </c>
      <c r="AK223">
        <f>step3_validation[[#This Row],[AI_TRU1]]</f>
        <v>8</v>
      </c>
      <c r="AL223" t="str">
        <f t="shared" si="93"/>
        <v>Support</v>
      </c>
      <c r="AM223">
        <f>survey_responses[[#This Row],[Tôi tin rằng Nhà nước, cơ quan thuế sẽ thực thi chính sách mới một cách khách quan, công tâm và đối xử bình đẳng với mọi người nộp thuế.  - HUMAN-TRU1]]</f>
        <v>5</v>
      </c>
      <c r="AN223" t="str">
        <f t="shared" si="94"/>
        <v>Neutral</v>
      </c>
      <c r="AO223" s="32">
        <f t="shared" si="95"/>
        <v>3</v>
      </c>
      <c r="AP223">
        <f>step3_validation[[#This Row],[AI_TRU2]]</f>
        <v>9</v>
      </c>
      <c r="AQ223" t="str">
        <f t="shared" si="96"/>
        <v>Support</v>
      </c>
      <c r="AR223">
        <f>survey_responses[[#This Row],[Tôi thấy mức thuế tôi phải đóng theo phương án mới là công bằng (người thu nhập như tôi đóng mức này là hợp lý). - HUMAN-TRU2]]</f>
        <v>5</v>
      </c>
      <c r="AS223" t="str">
        <f t="shared" si="97"/>
        <v>Neutral</v>
      </c>
      <c r="AT223" s="32">
        <f t="shared" si="98"/>
        <v>4</v>
      </c>
      <c r="AU223">
        <f>step3_validation[[#This Row],[AI_TRU3]]</f>
        <v>8</v>
      </c>
      <c r="AV223" t="str">
        <f t="shared" si="99"/>
        <v>Support</v>
      </c>
      <c r="AW223">
        <f>survey_responses[[#This Row],[Tôi tin tưởng số tiền thuế tôi đóng sẽ được Nhà nước sử dụng hiệu quả để cải thiện dịch vụ công (y tế, đường xá...). - HUMAN-TRU3]]</f>
        <v>5</v>
      </c>
      <c r="AX223" t="str">
        <f t="shared" si="100"/>
        <v>Neutral</v>
      </c>
      <c r="AY223" s="32">
        <f t="shared" si="101"/>
        <v>3</v>
      </c>
      <c r="AZ223">
        <f>step3_validation[[#This Row],[AI_TRU4]]</f>
        <v>7</v>
      </c>
      <c r="BA223" t="str">
        <f t="shared" si="102"/>
        <v>Neutral</v>
      </c>
      <c r="BB223">
        <f>survey_responses[[#This Row],[Tôi thấy Nhà nước đã giải thích rõ ràng, minh bạch về lý do và mục tiêu của việc sửa đổi thuế lần này. - HUMAN-TRU4]]</f>
        <v>5</v>
      </c>
      <c r="BC223" t="str">
        <f t="shared" si="103"/>
        <v>Neutral</v>
      </c>
      <c r="BD223" s="32">
        <f t="shared" si="104"/>
        <v>2</v>
      </c>
      <c r="BE223">
        <f>step3_validation[[#This Row],[AI_OUT1]]</f>
        <v>9</v>
      </c>
      <c r="BF223" t="str">
        <f t="shared" si="105"/>
        <v>Support</v>
      </c>
      <c r="BG223">
        <f>survey_responses[[#This Row],[Sau khi xem xét các quyền lợi và nghĩa vụ, bạn có ủng hộ và tuân thủ chính sách mới hiện nay? - HUMAN-OUT1]]</f>
        <v>5</v>
      </c>
      <c r="BH223" t="str">
        <f t="shared" si="106"/>
        <v>Neutral</v>
      </c>
      <c r="BI223" s="32">
        <f t="shared" si="107"/>
        <v>4</v>
      </c>
    </row>
    <row r="224" spans="1:61" x14ac:dyDescent="0.45">
      <c r="A224" s="30">
        <f>step3_validation[[#This Row],[Persona_ID]]</f>
        <v>223</v>
      </c>
      <c r="B224" s="31">
        <f>step3_validation[[#This Row],[Used_Seed]]</f>
        <v>12567</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52.359479696293327</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7</v>
      </c>
      <c r="R224" t="str">
        <f t="shared" si="81"/>
        <v>Neutral</v>
      </c>
      <c r="S224">
        <f>survey_responses[[#This Row],[Tôi tin rằng với các quy định quản lý thuế hiện nay, hành vi gian lận hoặc trốn thuế sẽ dễ dàng bị phát hiện và xử lý nghiêm. - HUMAN-ENF1]]</f>
        <v>6</v>
      </c>
      <c r="T224" t="str">
        <f t="shared" si="82"/>
        <v>Neutral</v>
      </c>
      <c r="U224" s="32">
        <f t="shared" si="83"/>
        <v>1</v>
      </c>
      <c r="V224">
        <f>step3_validation[[#This Row],[AI_ENF2]]</f>
        <v>8</v>
      </c>
      <c r="W224" t="str">
        <f t="shared" si="84"/>
        <v>Support</v>
      </c>
      <c r="X224">
        <f>survey_responses[[#This Row],[Tôi tin rằng Nhà nước, cơ quan thuế có đủ khả năng và công nghệ để phát hiện, xử lý nghiêm các hành vi trốn thuế. - HUMAN-ENF2]]</f>
        <v>6</v>
      </c>
      <c r="Y224" t="str">
        <f t="shared" si="85"/>
        <v>Neutral</v>
      </c>
      <c r="Z224" s="32">
        <f t="shared" si="86"/>
        <v>2</v>
      </c>
      <c r="AA224">
        <f>step3_validation[[#This Row],[AI_FAC1]]</f>
        <v>9</v>
      </c>
      <c r="AB224" t="str">
        <f t="shared" si="87"/>
        <v>Support</v>
      </c>
      <c r="AC224">
        <f>survey_responses[[#This Row],[Các thủ tục khai báo thuế VÀ/HOẶC quy trình làm việc với cơ quan thuế đơn giản, tiện lợi, nhanh chóng hơn so với trước đây. - HUMAN-FAC1]]</f>
        <v>7</v>
      </c>
      <c r="AD224" t="str">
        <f t="shared" si="88"/>
        <v>Neutral</v>
      </c>
      <c r="AE224" s="32">
        <f t="shared" si="89"/>
        <v>2</v>
      </c>
      <c r="AF224">
        <f>step3_validation[[#This Row],[AI_FAC2]]</f>
        <v>8</v>
      </c>
      <c r="AG224" t="str">
        <f t="shared" si="90"/>
        <v>Support</v>
      </c>
      <c r="AH224">
        <f>survey_responses[[#This Row],[So với trước đây, tôi thấy cách tính thuế và các bậc thuế trong phương án mới đơn giản, dễ hiểu và dễ thực hiện hơn. - HUMAN-FAC2]]</f>
        <v>7</v>
      </c>
      <c r="AI224" t="str">
        <f t="shared" si="91"/>
        <v>Neutral</v>
      </c>
      <c r="AJ224" s="32">
        <f t="shared" si="92"/>
        <v>1</v>
      </c>
      <c r="AK224">
        <f>step3_validation[[#This Row],[AI_TRU1]]</f>
        <v>7</v>
      </c>
      <c r="AL224" t="str">
        <f t="shared" si="93"/>
        <v>Neutral</v>
      </c>
      <c r="AM224">
        <f>survey_responses[[#This Row],[Tôi tin rằng Nhà nước, cơ quan thuế sẽ thực thi chính sách mới một cách khách quan, công tâm và đối xử bình đẳng với mọi người nộp thuế.  - HUMAN-TRU1]]</f>
        <v>6</v>
      </c>
      <c r="AN224" t="str">
        <f t="shared" si="94"/>
        <v>Neutral</v>
      </c>
      <c r="AO224" s="32">
        <f t="shared" si="95"/>
        <v>1</v>
      </c>
      <c r="AP224">
        <f>step3_validation[[#This Row],[AI_TRU2]]</f>
        <v>8</v>
      </c>
      <c r="AQ224" t="str">
        <f t="shared" si="96"/>
        <v>Support</v>
      </c>
      <c r="AR224">
        <f>survey_responses[[#This Row],[Tôi thấy mức thuế tôi phải đóng theo phương án mới là công bằng (người thu nhập như tôi đóng mức này là hợp lý). - HUMAN-TRU2]]</f>
        <v>6</v>
      </c>
      <c r="AS224" t="str">
        <f t="shared" si="97"/>
        <v>Neutral</v>
      </c>
      <c r="AT224" s="32">
        <f t="shared" si="98"/>
        <v>2</v>
      </c>
      <c r="AU224">
        <f>step3_validation[[#This Row],[AI_TRU3]]</f>
        <v>6</v>
      </c>
      <c r="AV224" t="str">
        <f t="shared" si="99"/>
        <v>Neutral</v>
      </c>
      <c r="AW224">
        <f>survey_responses[[#This Row],[Tôi tin tưởng số tiền thuế tôi đóng sẽ được Nhà nước sử dụng hiệu quả để cải thiện dịch vụ công (y tế, đường xá...). - HUMAN-TRU3]]</f>
        <v>8</v>
      </c>
      <c r="AX224" t="str">
        <f t="shared" si="100"/>
        <v>Support</v>
      </c>
      <c r="AY224" s="32">
        <f t="shared" si="101"/>
        <v>2</v>
      </c>
      <c r="AZ224">
        <f>step3_validation[[#This Row],[AI_TRU4]]</f>
        <v>7</v>
      </c>
      <c r="BA224" t="str">
        <f t="shared" si="102"/>
        <v>Neutral</v>
      </c>
      <c r="BB224">
        <f>survey_responses[[#This Row],[Tôi thấy Nhà nước đã giải thích rõ ràng, minh bạch về lý do và mục tiêu của việc sửa đổi thuế lần này. - HUMAN-TRU4]]</f>
        <v>8</v>
      </c>
      <c r="BC224" t="str">
        <f t="shared" si="103"/>
        <v>Support</v>
      </c>
      <c r="BD224" s="32">
        <f t="shared" si="104"/>
        <v>1</v>
      </c>
      <c r="BE224">
        <f>step3_validation[[#This Row],[AI_OUT1]]</f>
        <v>9</v>
      </c>
      <c r="BF224" t="str">
        <f t="shared" si="105"/>
        <v>Support</v>
      </c>
      <c r="BG224">
        <f>survey_responses[[#This Row],[Sau khi xem xét các quyền lợi và nghĩa vụ, bạn có ủng hộ và tuân thủ chính sách mới hiện nay? - HUMAN-OUT1]]</f>
        <v>7</v>
      </c>
      <c r="BH224" t="str">
        <f t="shared" si="106"/>
        <v>Neutral</v>
      </c>
      <c r="BI224" s="32">
        <f t="shared" si="107"/>
        <v>2</v>
      </c>
    </row>
    <row r="225" spans="1:61" x14ac:dyDescent="0.45">
      <c r="A225" s="30">
        <f>step3_validation[[#This Row],[Persona_ID]]</f>
        <v>224</v>
      </c>
      <c r="B225" s="31">
        <f>step3_validation[[#This Row],[Used_Seed]]</f>
        <v>12568</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63.820423034934947</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6</v>
      </c>
      <c r="R225" t="str">
        <f t="shared" si="81"/>
        <v>Neutral</v>
      </c>
      <c r="S225">
        <f>survey_responses[[#This Row],[Tôi tin rằng với các quy định quản lý thuế hiện nay, hành vi gian lận hoặc trốn thuế sẽ dễ dàng bị phát hiện và xử lý nghiêm. - HUMAN-ENF1]]</f>
        <v>7</v>
      </c>
      <c r="T225" t="str">
        <f t="shared" si="82"/>
        <v>Neutral</v>
      </c>
      <c r="U225" s="32">
        <f t="shared" si="83"/>
        <v>1</v>
      </c>
      <c r="V225">
        <f>step3_validation[[#This Row],[AI_ENF2]]</f>
        <v>6</v>
      </c>
      <c r="W225" t="str">
        <f t="shared" si="84"/>
        <v>Neutral</v>
      </c>
      <c r="X225">
        <f>survey_responses[[#This Row],[Tôi tin rằng Nhà nước, cơ quan thuế có đủ khả năng và công nghệ để phát hiện, xử lý nghiêm các hành vi trốn thuế. - HUMAN-ENF2]]</f>
        <v>7</v>
      </c>
      <c r="Y225" t="str">
        <f t="shared" si="85"/>
        <v>Neutral</v>
      </c>
      <c r="Z225" s="32">
        <f t="shared" si="86"/>
        <v>1</v>
      </c>
      <c r="AA225">
        <f>step3_validation[[#This Row],[AI_FAC1]]</f>
        <v>7</v>
      </c>
      <c r="AB225" t="str">
        <f t="shared" si="87"/>
        <v>Neutral</v>
      </c>
      <c r="AC225">
        <f>survey_responses[[#This Row],[Các thủ tục khai báo thuế VÀ/HOẶC quy trình làm việc với cơ quan thuế đơn giản, tiện lợi, nhanh chóng hơn so với trước đây. - HUMAN-FAC1]]</f>
        <v>7</v>
      </c>
      <c r="AD225" t="str">
        <f t="shared" si="88"/>
        <v>Neutral</v>
      </c>
      <c r="AE225" s="32">
        <f t="shared" si="89"/>
        <v>0</v>
      </c>
      <c r="AF225">
        <f>step3_validation[[#This Row],[AI_FAC2]]</f>
        <v>9</v>
      </c>
      <c r="AG225" t="str">
        <f t="shared" si="90"/>
        <v>Support</v>
      </c>
      <c r="AH225">
        <f>survey_responses[[#This Row],[So với trước đây, tôi thấy cách tính thuế và các bậc thuế trong phương án mới đơn giản, dễ hiểu và dễ thực hiện hơn. - HUMAN-FAC2]]</f>
        <v>7</v>
      </c>
      <c r="AI225" t="str">
        <f t="shared" si="91"/>
        <v>Neutral</v>
      </c>
      <c r="AJ225" s="32">
        <f t="shared" si="92"/>
        <v>2</v>
      </c>
      <c r="AK225">
        <f>step3_validation[[#This Row],[AI_TRU1]]</f>
        <v>7</v>
      </c>
      <c r="AL225" t="str">
        <f t="shared" si="93"/>
        <v>Neutral</v>
      </c>
      <c r="AM225">
        <f>survey_responses[[#This Row],[Tôi tin rằng Nhà nước, cơ quan thuế sẽ thực thi chính sách mới một cách khách quan, công tâm và đối xử bình đẳng với mọi người nộp thuế.  - HUMAN-TRU1]]</f>
        <v>7</v>
      </c>
      <c r="AN225" t="str">
        <f t="shared" si="94"/>
        <v>Neutral</v>
      </c>
      <c r="AO225" s="32">
        <f t="shared" si="95"/>
        <v>0</v>
      </c>
      <c r="AP225">
        <f>step3_validation[[#This Row],[AI_TRU2]]</f>
        <v>8</v>
      </c>
      <c r="AQ225" t="str">
        <f t="shared" si="96"/>
        <v>Support</v>
      </c>
      <c r="AR225">
        <f>survey_responses[[#This Row],[Tôi thấy mức thuế tôi phải đóng theo phương án mới là công bằng (người thu nhập như tôi đóng mức này là hợp lý). - HUMAN-TRU2]]</f>
        <v>7</v>
      </c>
      <c r="AS225" t="str">
        <f t="shared" si="97"/>
        <v>Neutral</v>
      </c>
      <c r="AT225" s="32">
        <f t="shared" si="98"/>
        <v>1</v>
      </c>
      <c r="AU225">
        <f>step3_validation[[#This Row],[AI_TRU3]]</f>
        <v>7</v>
      </c>
      <c r="AV225" t="str">
        <f t="shared" si="99"/>
        <v>Neutral</v>
      </c>
      <c r="AW225">
        <f>survey_responses[[#This Row],[Tôi tin tưởng số tiền thuế tôi đóng sẽ được Nhà nước sử dụng hiệu quả để cải thiện dịch vụ công (y tế, đường xá...). - HUMAN-TRU3]]</f>
        <v>7</v>
      </c>
      <c r="AX225" t="str">
        <f t="shared" si="100"/>
        <v>Neutral</v>
      </c>
      <c r="AY225" s="32">
        <f t="shared" si="101"/>
        <v>0</v>
      </c>
      <c r="AZ225">
        <f>step3_validation[[#This Row],[AI_TRU4]]</f>
        <v>8</v>
      </c>
      <c r="BA225" t="str">
        <f t="shared" si="102"/>
        <v>Support</v>
      </c>
      <c r="BB225">
        <f>survey_responses[[#This Row],[Tôi thấy Nhà nước đã giải thích rõ ràng, minh bạch về lý do và mục tiêu của việc sửa đổi thuế lần này. - HUMAN-TRU4]]</f>
        <v>7</v>
      </c>
      <c r="BC225" t="str">
        <f t="shared" si="103"/>
        <v>Neutral</v>
      </c>
      <c r="BD225" s="32">
        <f t="shared" si="104"/>
        <v>1</v>
      </c>
      <c r="BE225">
        <f>step3_validation[[#This Row],[AI_OUT1]]</f>
        <v>9</v>
      </c>
      <c r="BF225" t="str">
        <f t="shared" si="105"/>
        <v>Support</v>
      </c>
      <c r="BG225">
        <f>survey_responses[[#This Row],[Sau khi xem xét các quyền lợi và nghĩa vụ, bạn có ủng hộ và tuân thủ chính sách mới hiện nay? - HUMAN-OUT1]]</f>
        <v>7</v>
      </c>
      <c r="BH225" t="str">
        <f t="shared" si="106"/>
        <v>Neutral</v>
      </c>
      <c r="BI225" s="32">
        <f t="shared" si="107"/>
        <v>2</v>
      </c>
    </row>
    <row r="226" spans="1:61" x14ac:dyDescent="0.45">
      <c r="A226" s="30">
        <f>step3_validation[[#This Row],[Persona_ID]]</f>
        <v>225</v>
      </c>
      <c r="B226" s="31">
        <f>step3_validation[[#This Row],[Used_Seed]]</f>
        <v>12569</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39.406274192627457</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t="str">
        <f t="shared" si="81"/>
        <v>Neutral</v>
      </c>
      <c r="S226">
        <f>survey_responses[[#This Row],[Tôi tin rằng với các quy định quản lý thuế hiện nay, hành vi gian lận hoặc trốn thuế sẽ dễ dàng bị phát hiện và xử lý nghiêm. - HUMAN-ENF1]]</f>
        <v>6</v>
      </c>
      <c r="T226" t="str">
        <f t="shared" si="82"/>
        <v>Neutral</v>
      </c>
      <c r="U226" s="32">
        <f t="shared" si="83"/>
        <v>0</v>
      </c>
      <c r="V226">
        <f>step3_validation[[#This Row],[AI_ENF2]]</f>
        <v>5</v>
      </c>
      <c r="W226" t="str">
        <f t="shared" si="84"/>
        <v>Neutral</v>
      </c>
      <c r="X226">
        <f>survey_responses[[#This Row],[Tôi tin rằng Nhà nước, cơ quan thuế có đủ khả năng và công nghệ để phát hiện, xử lý nghiêm các hành vi trốn thuế. - HUMAN-ENF2]]</f>
        <v>6</v>
      </c>
      <c r="Y226" t="str">
        <f t="shared" si="85"/>
        <v>Neutral</v>
      </c>
      <c r="Z226" s="32">
        <f t="shared" si="86"/>
        <v>1</v>
      </c>
      <c r="AA226">
        <f>step3_validation[[#This Row],[AI_FAC1]]</f>
        <v>8</v>
      </c>
      <c r="AB226" t="str">
        <f t="shared" si="87"/>
        <v>Support</v>
      </c>
      <c r="AC226">
        <f>survey_responses[[#This Row],[Các thủ tục khai báo thuế VÀ/HOẶC quy trình làm việc với cơ quan thuế đơn giản, tiện lợi, nhanh chóng hơn so với trước đây. - HUMAN-FAC1]]</f>
        <v>7</v>
      </c>
      <c r="AD226" t="str">
        <f t="shared" si="88"/>
        <v>Neutral</v>
      </c>
      <c r="AE226" s="32">
        <f t="shared" si="89"/>
        <v>1</v>
      </c>
      <c r="AF226">
        <f>step3_validation[[#This Row],[AI_FAC2]]</f>
        <v>7</v>
      </c>
      <c r="AG226" t="str">
        <f t="shared" si="90"/>
        <v>Neutral</v>
      </c>
      <c r="AH226">
        <f>survey_responses[[#This Row],[So với trước đây, tôi thấy cách tính thuế và các bậc thuế trong phương án mới đơn giản, dễ hiểu và dễ thực hiện hơn. - HUMAN-FAC2]]</f>
        <v>7</v>
      </c>
      <c r="AI226" t="str">
        <f t="shared" si="91"/>
        <v>Neutral</v>
      </c>
      <c r="AJ226" s="32">
        <f t="shared" si="92"/>
        <v>0</v>
      </c>
      <c r="AK226">
        <f>step3_validation[[#This Row],[AI_TRU1]]</f>
        <v>4</v>
      </c>
      <c r="AL226" t="str">
        <f t="shared" si="93"/>
        <v>Oppose</v>
      </c>
      <c r="AM226">
        <f>survey_responses[[#This Row],[Tôi tin rằng Nhà nước, cơ quan thuế sẽ thực thi chính sách mới một cách khách quan, công tâm và đối xử bình đẳng với mọi người nộp thuế.  - HUMAN-TRU1]]</f>
        <v>5</v>
      </c>
      <c r="AN226" t="str">
        <f t="shared" si="94"/>
        <v>Neutral</v>
      </c>
      <c r="AO226" s="32">
        <f t="shared" si="95"/>
        <v>1</v>
      </c>
      <c r="AP226">
        <f>step3_validation[[#This Row],[AI_TRU2]]</f>
        <v>9</v>
      </c>
      <c r="AQ226" t="str">
        <f t="shared" si="96"/>
        <v>Support</v>
      </c>
      <c r="AR226">
        <f>survey_responses[[#This Row],[Tôi thấy mức thuế tôi phải đóng theo phương án mới là công bằng (người thu nhập như tôi đóng mức này là hợp lý). - HUMAN-TRU2]]</f>
        <v>6</v>
      </c>
      <c r="AS226" t="str">
        <f t="shared" si="97"/>
        <v>Neutral</v>
      </c>
      <c r="AT226" s="32">
        <f t="shared" si="98"/>
        <v>3</v>
      </c>
      <c r="AU226">
        <f>step3_validation[[#This Row],[AI_TRU3]]</f>
        <v>5</v>
      </c>
      <c r="AV226" t="str">
        <f t="shared" si="99"/>
        <v>Neutral</v>
      </c>
      <c r="AW226">
        <f>survey_responses[[#This Row],[Tôi tin tưởng số tiền thuế tôi đóng sẽ được Nhà nước sử dụng hiệu quả để cải thiện dịch vụ công (y tế, đường xá...). - HUMAN-TRU3]]</f>
        <v>6</v>
      </c>
      <c r="AX226" t="str">
        <f t="shared" si="100"/>
        <v>Neutral</v>
      </c>
      <c r="AY226" s="32">
        <f t="shared" si="101"/>
        <v>1</v>
      </c>
      <c r="AZ226">
        <f>step3_validation[[#This Row],[AI_TRU4]]</f>
        <v>6</v>
      </c>
      <c r="BA226" t="str">
        <f t="shared" si="102"/>
        <v>Neutral</v>
      </c>
      <c r="BB226">
        <f>survey_responses[[#This Row],[Tôi thấy Nhà nước đã giải thích rõ ràng, minh bạch về lý do và mục tiêu của việc sửa đổi thuế lần này. - HUMAN-TRU4]]</f>
        <v>6</v>
      </c>
      <c r="BC226" t="str">
        <f t="shared" si="103"/>
        <v>Neutral</v>
      </c>
      <c r="BD226" s="32">
        <f t="shared" si="104"/>
        <v>0</v>
      </c>
      <c r="BE226">
        <f>step3_validation[[#This Row],[AI_OUT1]]</f>
        <v>7</v>
      </c>
      <c r="BF226" t="str">
        <f t="shared" si="105"/>
        <v>Neutral</v>
      </c>
      <c r="BG226">
        <f>survey_responses[[#This Row],[Sau khi xem xét các quyền lợi và nghĩa vụ, bạn có ủng hộ và tuân thủ chính sách mới hiện nay? - HUMAN-OUT1]]</f>
        <v>7</v>
      </c>
      <c r="BH226" t="str">
        <f t="shared" si="106"/>
        <v>Neutral</v>
      </c>
      <c r="BI226" s="32">
        <f t="shared" si="107"/>
        <v>0</v>
      </c>
    </row>
    <row r="227" spans="1:61" x14ac:dyDescent="0.45">
      <c r="A227" s="30">
        <f>step3_validation[[#This Row],[Persona_ID]]</f>
        <v>226</v>
      </c>
      <c r="B227" s="31">
        <f>step3_validation[[#This Row],[Used_Seed]]</f>
        <v>12570</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85.117268390452779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6</v>
      </c>
      <c r="R227" t="str">
        <f t="shared" si="81"/>
        <v>Neutral</v>
      </c>
      <c r="S227">
        <f>survey_responses[[#This Row],[Tôi tin rằng với các quy định quản lý thuế hiện nay, hành vi gian lận hoặc trốn thuế sẽ dễ dàng bị phát hiện và xử lý nghiêm. - HUMAN-ENF1]]</f>
        <v>7</v>
      </c>
      <c r="T227" t="str">
        <f t="shared" si="82"/>
        <v>Neutral</v>
      </c>
      <c r="U227" s="32">
        <f t="shared" si="83"/>
        <v>1</v>
      </c>
      <c r="V227">
        <f>step3_validation[[#This Row],[AI_ENF2]]</f>
        <v>7</v>
      </c>
      <c r="W227" t="str">
        <f t="shared" si="84"/>
        <v>Neutral</v>
      </c>
      <c r="X227">
        <f>survey_responses[[#This Row],[Tôi tin rằng Nhà nước, cơ quan thuế có đủ khả năng và công nghệ để phát hiện, xử lý nghiêm các hành vi trốn thuế. - HUMAN-ENF2]]</f>
        <v>7</v>
      </c>
      <c r="Y227" t="str">
        <f t="shared" si="85"/>
        <v>Neutral</v>
      </c>
      <c r="Z227" s="32">
        <f t="shared" si="86"/>
        <v>0</v>
      </c>
      <c r="AA227">
        <f>step3_validation[[#This Row],[AI_FAC1]]</f>
        <v>6</v>
      </c>
      <c r="AB227" t="str">
        <f t="shared" si="87"/>
        <v>Neutral</v>
      </c>
      <c r="AC227">
        <f>survey_responses[[#This Row],[Các thủ tục khai báo thuế VÀ/HOẶC quy trình làm việc với cơ quan thuế đơn giản, tiện lợi, nhanh chóng hơn so với trước đây. - HUMAN-FAC1]]</f>
        <v>6</v>
      </c>
      <c r="AD227" t="str">
        <f t="shared" si="88"/>
        <v>Neutral</v>
      </c>
      <c r="AE227" s="32">
        <f t="shared" si="89"/>
        <v>0</v>
      </c>
      <c r="AF227">
        <f>step3_validation[[#This Row],[AI_FAC2]]</f>
        <v>8</v>
      </c>
      <c r="AG227" t="str">
        <f t="shared" si="90"/>
        <v>Support</v>
      </c>
      <c r="AH227">
        <f>survey_responses[[#This Row],[So với trước đây, tôi thấy cách tính thuế và các bậc thuế trong phương án mới đơn giản, dễ hiểu và dễ thực hiện hơn. - HUMAN-FAC2]]</f>
        <v>7</v>
      </c>
      <c r="AI227" t="str">
        <f t="shared" si="91"/>
        <v>Neutral</v>
      </c>
      <c r="AJ227" s="32">
        <f t="shared" si="92"/>
        <v>1</v>
      </c>
      <c r="AK227">
        <f>step3_validation[[#This Row],[AI_TRU1]]</f>
        <v>7</v>
      </c>
      <c r="AL227" t="str">
        <f t="shared" si="93"/>
        <v>Neutral</v>
      </c>
      <c r="AM227">
        <f>survey_responses[[#This Row],[Tôi tin rằng Nhà nước, cơ quan thuế sẽ thực thi chính sách mới một cách khách quan, công tâm và đối xử bình đẳng với mọi người nộp thuế.  - HUMAN-TRU1]]</f>
        <v>7</v>
      </c>
      <c r="AN227" t="str">
        <f t="shared" si="94"/>
        <v>Neutral</v>
      </c>
      <c r="AO227" s="32">
        <f t="shared" si="95"/>
        <v>0</v>
      </c>
      <c r="AP227">
        <f>step3_validation[[#This Row],[AI_TRU2]]</f>
        <v>9</v>
      </c>
      <c r="AQ227" t="str">
        <f t="shared" si="96"/>
        <v>Support</v>
      </c>
      <c r="AR227">
        <f>survey_responses[[#This Row],[Tôi thấy mức thuế tôi phải đóng theo phương án mới là công bằng (người thu nhập như tôi đóng mức này là hợp lý). - HUMAN-TRU2]]</f>
        <v>7</v>
      </c>
      <c r="AS227" t="str">
        <f t="shared" si="97"/>
        <v>Neutral</v>
      </c>
      <c r="AT227" s="32">
        <f t="shared" si="98"/>
        <v>2</v>
      </c>
      <c r="AU227">
        <f>step3_validation[[#This Row],[AI_TRU3]]</f>
        <v>7</v>
      </c>
      <c r="AV227" t="str">
        <f t="shared" si="99"/>
        <v>Neutral</v>
      </c>
      <c r="AW227">
        <f>survey_responses[[#This Row],[Tôi tin tưởng số tiền thuế tôi đóng sẽ được Nhà nước sử dụng hiệu quả để cải thiện dịch vụ công (y tế, đường xá...). - HUMAN-TRU3]]</f>
        <v>7</v>
      </c>
      <c r="AX227" t="str">
        <f t="shared" si="100"/>
        <v>Neutral</v>
      </c>
      <c r="AY227" s="32">
        <f t="shared" si="101"/>
        <v>0</v>
      </c>
      <c r="AZ227">
        <f>step3_validation[[#This Row],[AI_TRU4]]</f>
        <v>8</v>
      </c>
      <c r="BA227" t="str">
        <f t="shared" si="102"/>
        <v>Support</v>
      </c>
      <c r="BB227">
        <f>survey_responses[[#This Row],[Tôi thấy Nhà nước đã giải thích rõ ràng, minh bạch về lý do và mục tiêu của việc sửa đổi thuế lần này. - HUMAN-TRU4]]</f>
        <v>7</v>
      </c>
      <c r="BC227" t="str">
        <f t="shared" si="103"/>
        <v>Neutral</v>
      </c>
      <c r="BD227" s="32">
        <f t="shared" si="104"/>
        <v>1</v>
      </c>
      <c r="BE227">
        <f>step3_validation[[#This Row],[AI_OUT1]]</f>
        <v>7</v>
      </c>
      <c r="BF227" t="str">
        <f t="shared" si="105"/>
        <v>Neutral</v>
      </c>
      <c r="BG227">
        <f>survey_responses[[#This Row],[Sau khi xem xét các quyền lợi và nghĩa vụ, bạn có ủng hộ và tuân thủ chính sách mới hiện nay? - HUMAN-OUT1]]</f>
        <v>7</v>
      </c>
      <c r="BH227" t="str">
        <f t="shared" si="106"/>
        <v>Neutral</v>
      </c>
      <c r="BI227" s="32">
        <f t="shared" si="107"/>
        <v>0</v>
      </c>
    </row>
    <row r="228" spans="1:61" x14ac:dyDescent="0.45">
      <c r="A228" s="30">
        <f>step3_validation[[#This Row],[Persona_ID]]</f>
        <v>227</v>
      </c>
      <c r="B228" s="31">
        <f>step3_validation[[#This Row],[Used_Seed]]</f>
        <v>12571</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25.555307120083427</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t="str">
        <f t="shared" si="81"/>
        <v>Neutral</v>
      </c>
      <c r="S228">
        <f>survey_responses[[#This Row],[Tôi tin rằng với các quy định quản lý thuế hiện nay, hành vi gian lận hoặc trốn thuế sẽ dễ dàng bị phát hiện và xử lý nghiêm. - HUMAN-ENF1]]</f>
        <v>6</v>
      </c>
      <c r="T228" t="str">
        <f t="shared" si="82"/>
        <v>Neutral</v>
      </c>
      <c r="U228" s="32">
        <f t="shared" si="83"/>
        <v>1</v>
      </c>
      <c r="V228">
        <f>step3_validation[[#This Row],[AI_ENF2]]</f>
        <v>8</v>
      </c>
      <c r="W228" t="str">
        <f t="shared" si="84"/>
        <v>Support</v>
      </c>
      <c r="X228">
        <f>survey_responses[[#This Row],[Tôi tin rằng Nhà nước, cơ quan thuế có đủ khả năng và công nghệ để phát hiện, xử lý nghiêm các hành vi trốn thuế. - HUMAN-ENF2]]</f>
        <v>6</v>
      </c>
      <c r="Y228" t="str">
        <f t="shared" si="85"/>
        <v>Neutral</v>
      </c>
      <c r="Z228" s="32">
        <f t="shared" si="86"/>
        <v>2</v>
      </c>
      <c r="AA228">
        <f>step3_validation[[#This Row],[AI_FAC1]]</f>
        <v>9</v>
      </c>
      <c r="AB228" t="str">
        <f t="shared" si="87"/>
        <v>Support</v>
      </c>
      <c r="AC228">
        <f>survey_responses[[#This Row],[Các thủ tục khai báo thuế VÀ/HOẶC quy trình làm việc với cơ quan thuế đơn giản, tiện lợi, nhanh chóng hơn so với trước đây. - HUMAN-FAC1]]</f>
        <v>6</v>
      </c>
      <c r="AD228" t="str">
        <f t="shared" si="88"/>
        <v>Neutral</v>
      </c>
      <c r="AE228" s="32">
        <f t="shared" si="89"/>
        <v>3</v>
      </c>
      <c r="AF228">
        <f>step3_validation[[#This Row],[AI_FAC2]]</f>
        <v>10</v>
      </c>
      <c r="AG228" t="str">
        <f t="shared" si="90"/>
        <v>Support</v>
      </c>
      <c r="AH228">
        <f>survey_responses[[#This Row],[So với trước đây, tôi thấy cách tính thuế và các bậc thuế trong phương án mới đơn giản, dễ hiểu và dễ thực hiện hơn. - HUMAN-FAC2]]</f>
        <v>6</v>
      </c>
      <c r="AI228" t="str">
        <f t="shared" si="91"/>
        <v>Neutral</v>
      </c>
      <c r="AJ228" s="32">
        <f t="shared" si="92"/>
        <v>4</v>
      </c>
      <c r="AK228">
        <f>step3_validation[[#This Row],[AI_TRU1]]</f>
        <v>7</v>
      </c>
      <c r="AL228" t="str">
        <f t="shared" si="93"/>
        <v>Neutral</v>
      </c>
      <c r="AM228">
        <f>survey_responses[[#This Row],[Tôi tin rằng Nhà nước, cơ quan thuế sẽ thực thi chính sách mới một cách khách quan, công tâm và đối xử bình đẳng với mọi người nộp thuế.  - HUMAN-TRU1]]</f>
        <v>6</v>
      </c>
      <c r="AN228" t="str">
        <f t="shared" si="94"/>
        <v>Neutral</v>
      </c>
      <c r="AO228" s="32">
        <f t="shared" si="95"/>
        <v>1</v>
      </c>
      <c r="AP228">
        <f>step3_validation[[#This Row],[AI_TRU2]]</f>
        <v>9</v>
      </c>
      <c r="AQ228" t="str">
        <f t="shared" si="96"/>
        <v>Support</v>
      </c>
      <c r="AR228">
        <f>survey_responses[[#This Row],[Tôi thấy mức thuế tôi phải đóng theo phương án mới là công bằng (người thu nhập như tôi đóng mức này là hợp lý). - HUMAN-TRU2]]</f>
        <v>6</v>
      </c>
      <c r="AS228" t="str">
        <f t="shared" si="97"/>
        <v>Neutral</v>
      </c>
      <c r="AT228" s="32">
        <f t="shared" si="98"/>
        <v>3</v>
      </c>
      <c r="AU228">
        <f>step3_validation[[#This Row],[AI_TRU3]]</f>
        <v>7</v>
      </c>
      <c r="AV228" t="str">
        <f t="shared" si="99"/>
        <v>Neutral</v>
      </c>
      <c r="AW228">
        <f>survey_responses[[#This Row],[Tôi tin tưởng số tiền thuế tôi đóng sẽ được Nhà nước sử dụng hiệu quả để cải thiện dịch vụ công (y tế, đường xá...). - HUMAN-TRU3]]</f>
        <v>6</v>
      </c>
      <c r="AX228" t="str">
        <f t="shared" si="100"/>
        <v>Neutral</v>
      </c>
      <c r="AY228" s="32">
        <f t="shared" si="101"/>
        <v>1</v>
      </c>
      <c r="AZ228">
        <f>step3_validation[[#This Row],[AI_TRU4]]</f>
        <v>8</v>
      </c>
      <c r="BA228" t="str">
        <f t="shared" si="102"/>
        <v>Support</v>
      </c>
      <c r="BB228">
        <f>survey_responses[[#This Row],[Tôi thấy Nhà nước đã giải thích rõ ràng, minh bạch về lý do và mục tiêu của việc sửa đổi thuế lần này. - HUMAN-TRU4]]</f>
        <v>6</v>
      </c>
      <c r="BC228" t="str">
        <f t="shared" si="103"/>
        <v>Neutral</v>
      </c>
      <c r="BD228" s="32">
        <f t="shared" si="104"/>
        <v>2</v>
      </c>
      <c r="BE228">
        <f>step3_validation[[#This Row],[AI_OUT1]]</f>
        <v>9</v>
      </c>
      <c r="BF228" t="str">
        <f t="shared" si="105"/>
        <v>Support</v>
      </c>
      <c r="BG228">
        <f>survey_responses[[#This Row],[Sau khi xem xét các quyền lợi và nghĩa vụ, bạn có ủng hộ và tuân thủ chính sách mới hiện nay? - HUMAN-OUT1]]</f>
        <v>6</v>
      </c>
      <c r="BH228" t="str">
        <f t="shared" si="106"/>
        <v>Neutral</v>
      </c>
      <c r="BI228" s="32">
        <f t="shared" si="107"/>
        <v>3</v>
      </c>
    </row>
    <row r="229" spans="1:61" x14ac:dyDescent="0.45">
      <c r="A229" s="30">
        <f>step3_validation[[#This Row],[Persona_ID]]</f>
        <v>228</v>
      </c>
      <c r="B229" s="31">
        <f>step3_validation[[#This Row],[Used_Seed]]</f>
        <v>12572</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20.474704126778885</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t="str">
        <f t="shared" si="81"/>
        <v>Neutral</v>
      </c>
      <c r="S229">
        <f>survey_responses[[#This Row],[Tôi tin rằng với các quy định quản lý thuế hiện nay, hành vi gian lận hoặc trốn thuế sẽ dễ dàng bị phát hiện và xử lý nghiêm. - HUMAN-ENF1]]</f>
        <v>8</v>
      </c>
      <c r="T229" t="str">
        <f t="shared" si="82"/>
        <v>Support</v>
      </c>
      <c r="U229" s="32">
        <f t="shared" si="83"/>
        <v>1</v>
      </c>
      <c r="V229">
        <f>step3_validation[[#This Row],[AI_ENF2]]</f>
        <v>6</v>
      </c>
      <c r="W229" t="str">
        <f t="shared" si="84"/>
        <v>Neutral</v>
      </c>
      <c r="X229">
        <f>survey_responses[[#This Row],[Tôi tin rằng Nhà nước, cơ quan thuế có đủ khả năng và công nghệ để phát hiện, xử lý nghiêm các hành vi trốn thuế. - HUMAN-ENF2]]</f>
        <v>9</v>
      </c>
      <c r="Y229" t="str">
        <f t="shared" si="85"/>
        <v>Support</v>
      </c>
      <c r="Z229" s="32">
        <f t="shared" si="86"/>
        <v>3</v>
      </c>
      <c r="AA229">
        <f>step3_validation[[#This Row],[AI_FAC1]]</f>
        <v>5</v>
      </c>
      <c r="AB229" t="str">
        <f t="shared" si="87"/>
        <v>Neutral</v>
      </c>
      <c r="AC229">
        <f>survey_responses[[#This Row],[Các thủ tục khai báo thuế VÀ/HOẶC quy trình làm việc với cơ quan thuế đơn giản, tiện lợi, nhanh chóng hơn so với trước đây. - HUMAN-FAC1]]</f>
        <v>7</v>
      </c>
      <c r="AD229" t="str">
        <f t="shared" si="88"/>
        <v>Neutral</v>
      </c>
      <c r="AE229" s="32">
        <f t="shared" si="89"/>
        <v>2</v>
      </c>
      <c r="AF229">
        <f>step3_validation[[#This Row],[AI_FAC2]]</f>
        <v>8</v>
      </c>
      <c r="AG229" t="str">
        <f t="shared" si="90"/>
        <v>Support</v>
      </c>
      <c r="AH229">
        <f>survey_responses[[#This Row],[So với trước đây, tôi thấy cách tính thuế và các bậc thuế trong phương án mới đơn giản, dễ hiểu và dễ thực hiện hơn. - HUMAN-FAC2]]</f>
        <v>8</v>
      </c>
      <c r="AI229" t="str">
        <f t="shared" si="91"/>
        <v>Support</v>
      </c>
      <c r="AJ229" s="32">
        <f t="shared" si="92"/>
        <v>0</v>
      </c>
      <c r="AK229">
        <f>step3_validation[[#This Row],[AI_TRU1]]</f>
        <v>7</v>
      </c>
      <c r="AL229" t="str">
        <f t="shared" si="93"/>
        <v>Neutral</v>
      </c>
      <c r="AM229">
        <f>survey_responses[[#This Row],[Tôi tin rằng Nhà nước, cơ quan thuế sẽ thực thi chính sách mới một cách khách quan, công tâm và đối xử bình đẳng với mọi người nộp thuế.  - HUMAN-TRU1]]</f>
        <v>9</v>
      </c>
      <c r="AN229" t="str">
        <f t="shared" si="94"/>
        <v>Support</v>
      </c>
      <c r="AO229" s="32">
        <f t="shared" si="95"/>
        <v>2</v>
      </c>
      <c r="AP229">
        <f>step3_validation[[#This Row],[AI_TRU2]]</f>
        <v>9</v>
      </c>
      <c r="AQ229" t="str">
        <f t="shared" si="96"/>
        <v>Support</v>
      </c>
      <c r="AR229">
        <f>survey_responses[[#This Row],[Tôi thấy mức thuế tôi phải đóng theo phương án mới là công bằng (người thu nhập như tôi đóng mức này là hợp lý). - HUMAN-TRU2]]</f>
        <v>8</v>
      </c>
      <c r="AS229" t="str">
        <f t="shared" si="97"/>
        <v>Support</v>
      </c>
      <c r="AT229" s="32">
        <f t="shared" si="98"/>
        <v>1</v>
      </c>
      <c r="AU229">
        <f>step3_validation[[#This Row],[AI_TRU3]]</f>
        <v>7</v>
      </c>
      <c r="AV229" t="str">
        <f t="shared" si="99"/>
        <v>Neutral</v>
      </c>
      <c r="AW229">
        <f>survey_responses[[#This Row],[Tôi tin tưởng số tiền thuế tôi đóng sẽ được Nhà nước sử dụng hiệu quả để cải thiện dịch vụ công (y tế, đường xá...). - HUMAN-TRU3]]</f>
        <v>8</v>
      </c>
      <c r="AX229" t="str">
        <f t="shared" si="100"/>
        <v>Support</v>
      </c>
      <c r="AY229" s="32">
        <f t="shared" si="101"/>
        <v>1</v>
      </c>
      <c r="AZ229">
        <f>step3_validation[[#This Row],[AI_TRU4]]</f>
        <v>6</v>
      </c>
      <c r="BA229" t="str">
        <f t="shared" si="102"/>
        <v>Neutral</v>
      </c>
      <c r="BB229">
        <f>survey_responses[[#This Row],[Tôi thấy Nhà nước đã giải thích rõ ràng, minh bạch về lý do và mục tiêu của việc sửa đổi thuế lần này. - HUMAN-TRU4]]</f>
        <v>8</v>
      </c>
      <c r="BC229" t="str">
        <f t="shared" si="103"/>
        <v>Support</v>
      </c>
      <c r="BD229" s="32">
        <f t="shared" si="104"/>
        <v>2</v>
      </c>
      <c r="BE229">
        <f>step3_validation[[#This Row],[AI_OUT1]]</f>
        <v>9</v>
      </c>
      <c r="BF229" t="str">
        <f t="shared" si="105"/>
        <v>Support</v>
      </c>
      <c r="BG229">
        <f>survey_responses[[#This Row],[Sau khi xem xét các quyền lợi và nghĩa vụ, bạn có ủng hộ và tuân thủ chính sách mới hiện nay? - HUMAN-OUT1]]</f>
        <v>8</v>
      </c>
      <c r="BH229" t="str">
        <f t="shared" si="106"/>
        <v>Support</v>
      </c>
      <c r="BI229" s="32">
        <f t="shared" si="107"/>
        <v>1</v>
      </c>
    </row>
    <row r="230" spans="1:61" x14ac:dyDescent="0.45">
      <c r="A230" s="30">
        <f>step3_validation[[#This Row],[Persona_ID]]</f>
        <v>229</v>
      </c>
      <c r="B230" s="31">
        <f>step3_validation[[#This Row],[Used_Seed]]</f>
        <v>12573</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63.152124654242797</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7</v>
      </c>
      <c r="R230" t="str">
        <f t="shared" si="81"/>
        <v>Neutral</v>
      </c>
      <c r="S230">
        <f>survey_responses[[#This Row],[Tôi tin rằng với các quy định quản lý thuế hiện nay, hành vi gian lận hoặc trốn thuế sẽ dễ dàng bị phát hiện và xử lý nghiêm. - HUMAN-ENF1]]</f>
        <v>6</v>
      </c>
      <c r="T230" t="str">
        <f t="shared" si="82"/>
        <v>Neutral</v>
      </c>
      <c r="U230" s="32">
        <f t="shared" si="83"/>
        <v>1</v>
      </c>
      <c r="V230">
        <f>step3_validation[[#This Row],[AI_ENF2]]</f>
        <v>6</v>
      </c>
      <c r="W230" t="str">
        <f t="shared" si="84"/>
        <v>Neutral</v>
      </c>
      <c r="X230">
        <f>survey_responses[[#This Row],[Tôi tin rằng Nhà nước, cơ quan thuế có đủ khả năng và công nghệ để phát hiện, xử lý nghiêm các hành vi trốn thuế. - HUMAN-ENF2]]</f>
        <v>6</v>
      </c>
      <c r="Y230" t="str">
        <f t="shared" si="85"/>
        <v>Neutral</v>
      </c>
      <c r="Z230" s="32">
        <f t="shared" si="86"/>
        <v>0</v>
      </c>
      <c r="AA230">
        <f>step3_validation[[#This Row],[AI_FAC1]]</f>
        <v>7</v>
      </c>
      <c r="AB230" t="str">
        <f t="shared" si="87"/>
        <v>Neutral</v>
      </c>
      <c r="AC230">
        <f>survey_responses[[#This Row],[Các thủ tục khai báo thuế VÀ/HOẶC quy trình làm việc với cơ quan thuế đơn giản, tiện lợi, nhanh chóng hơn so với trước đây. - HUMAN-FAC1]]</f>
        <v>6</v>
      </c>
      <c r="AD230" t="str">
        <f t="shared" si="88"/>
        <v>Neutral</v>
      </c>
      <c r="AE230" s="32">
        <f t="shared" si="89"/>
        <v>1</v>
      </c>
      <c r="AF230">
        <f>step3_validation[[#This Row],[AI_FAC2]]</f>
        <v>9</v>
      </c>
      <c r="AG230" t="str">
        <f t="shared" si="90"/>
        <v>Support</v>
      </c>
      <c r="AH230">
        <f>survey_responses[[#This Row],[So với trước đây, tôi thấy cách tính thuế và các bậc thuế trong phương án mới đơn giản, dễ hiểu và dễ thực hiện hơn. - HUMAN-FAC2]]</f>
        <v>6</v>
      </c>
      <c r="AI230" t="str">
        <f t="shared" si="91"/>
        <v>Neutral</v>
      </c>
      <c r="AJ230" s="32">
        <f t="shared" si="92"/>
        <v>3</v>
      </c>
      <c r="AK230">
        <f>step3_validation[[#This Row],[AI_TRU1]]</f>
        <v>6</v>
      </c>
      <c r="AL230" t="str">
        <f t="shared" si="93"/>
        <v>Neutral</v>
      </c>
      <c r="AM230">
        <f>survey_responses[[#This Row],[Tôi tin rằng Nhà nước, cơ quan thuế sẽ thực thi chính sách mới một cách khách quan, công tâm và đối xử bình đẳng với mọi người nộp thuế.  - HUMAN-TRU1]]</f>
        <v>6</v>
      </c>
      <c r="AN230" t="str">
        <f t="shared" si="94"/>
        <v>Neutral</v>
      </c>
      <c r="AO230" s="32">
        <f t="shared" si="95"/>
        <v>0</v>
      </c>
      <c r="AP230">
        <f>step3_validation[[#This Row],[AI_TRU2]]</f>
        <v>9</v>
      </c>
      <c r="AQ230" t="str">
        <f t="shared" si="96"/>
        <v>Support</v>
      </c>
      <c r="AR230">
        <f>survey_responses[[#This Row],[Tôi thấy mức thuế tôi phải đóng theo phương án mới là công bằng (người thu nhập như tôi đóng mức này là hợp lý). - HUMAN-TRU2]]</f>
        <v>7</v>
      </c>
      <c r="AS230" t="str">
        <f t="shared" si="97"/>
        <v>Neutral</v>
      </c>
      <c r="AT230" s="32">
        <f t="shared" si="98"/>
        <v>2</v>
      </c>
      <c r="AU230">
        <f>step3_validation[[#This Row],[AI_TRU3]]</f>
        <v>8</v>
      </c>
      <c r="AV230" t="str">
        <f t="shared" si="99"/>
        <v>Support</v>
      </c>
      <c r="AW230">
        <f>survey_responses[[#This Row],[Tôi tin tưởng số tiền thuế tôi đóng sẽ được Nhà nước sử dụng hiệu quả để cải thiện dịch vụ công (y tế, đường xá...). - HUMAN-TRU3]]</f>
        <v>6</v>
      </c>
      <c r="AX230" t="str">
        <f t="shared" si="100"/>
        <v>Neutral</v>
      </c>
      <c r="AY230" s="32">
        <f t="shared" si="101"/>
        <v>2</v>
      </c>
      <c r="AZ230">
        <f>step3_validation[[#This Row],[AI_TRU4]]</f>
        <v>7</v>
      </c>
      <c r="BA230" t="str">
        <f t="shared" si="102"/>
        <v>Neutral</v>
      </c>
      <c r="BB230">
        <f>survey_responses[[#This Row],[Tôi thấy Nhà nước đã giải thích rõ ràng, minh bạch về lý do và mục tiêu của việc sửa đổi thuế lần này. - HUMAN-TRU4]]</f>
        <v>6</v>
      </c>
      <c r="BC230" t="str">
        <f t="shared" si="103"/>
        <v>Neutral</v>
      </c>
      <c r="BD230" s="32">
        <f t="shared" si="104"/>
        <v>1</v>
      </c>
      <c r="BE230">
        <f>step3_validation[[#This Row],[AI_OUT1]]</f>
        <v>9</v>
      </c>
      <c r="BF230" t="str">
        <f t="shared" si="105"/>
        <v>Support</v>
      </c>
      <c r="BG230">
        <f>survey_responses[[#This Row],[Sau khi xem xét các quyền lợi và nghĩa vụ, bạn có ủng hộ và tuân thủ chính sách mới hiện nay? - HUMAN-OUT1]]</f>
        <v>7</v>
      </c>
      <c r="BH230" t="str">
        <f t="shared" si="106"/>
        <v>Neutral</v>
      </c>
      <c r="BI230" s="32">
        <f t="shared" si="107"/>
        <v>2</v>
      </c>
    </row>
    <row r="231" spans="1:61" x14ac:dyDescent="0.45">
      <c r="A231" s="30">
        <f>step3_validation[[#This Row],[Persona_ID]]</f>
        <v>230</v>
      </c>
      <c r="B231" s="31">
        <f>step3_validation[[#This Row],[Used_Seed]]</f>
        <v>12574</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88.941297532583818</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8</v>
      </c>
      <c r="R231" t="str">
        <f t="shared" si="81"/>
        <v>Support</v>
      </c>
      <c r="S231">
        <f>survey_responses[[#This Row],[Tôi tin rằng với các quy định quản lý thuế hiện nay, hành vi gian lận hoặc trốn thuế sẽ dễ dàng bị phát hiện và xử lý nghiêm. - HUMAN-ENF1]]</f>
        <v>4</v>
      </c>
      <c r="T231" t="str">
        <f t="shared" si="82"/>
        <v>Oppose</v>
      </c>
      <c r="U231" s="32">
        <f t="shared" si="83"/>
        <v>4</v>
      </c>
      <c r="V231">
        <f>step3_validation[[#This Row],[AI_ENF2]]</f>
        <v>9</v>
      </c>
      <c r="W231" t="str">
        <f t="shared" si="84"/>
        <v>Support</v>
      </c>
      <c r="X231">
        <f>survey_responses[[#This Row],[Tôi tin rằng Nhà nước, cơ quan thuế có đủ khả năng và công nghệ để phát hiện, xử lý nghiêm các hành vi trốn thuế. - HUMAN-ENF2]]</f>
        <v>5</v>
      </c>
      <c r="Y231" t="str">
        <f t="shared" si="85"/>
        <v>Neutral</v>
      </c>
      <c r="Z231" s="32">
        <f t="shared" si="86"/>
        <v>4</v>
      </c>
      <c r="AA231">
        <f>step3_validation[[#This Row],[AI_FAC1]]</f>
        <v>8</v>
      </c>
      <c r="AB231" t="str">
        <f t="shared" si="87"/>
        <v>Support</v>
      </c>
      <c r="AC231">
        <f>survey_responses[[#This Row],[Các thủ tục khai báo thuế VÀ/HOẶC quy trình làm việc với cơ quan thuế đơn giản, tiện lợi, nhanh chóng hơn so với trước đây. - HUMAN-FAC1]]</f>
        <v>1</v>
      </c>
      <c r="AD231" t="str">
        <f t="shared" si="88"/>
        <v>Oppose</v>
      </c>
      <c r="AE231" s="32">
        <f t="shared" si="89"/>
        <v>7</v>
      </c>
      <c r="AF231">
        <f>step3_validation[[#This Row],[AI_FAC2]]</f>
        <v>9</v>
      </c>
      <c r="AG231" t="str">
        <f t="shared" si="90"/>
        <v>Support</v>
      </c>
      <c r="AH231">
        <f>survey_responses[[#This Row],[So với trước đây, tôi thấy cách tính thuế và các bậc thuế trong phương án mới đơn giản, dễ hiểu và dễ thực hiện hơn. - HUMAN-FAC2]]</f>
        <v>6</v>
      </c>
      <c r="AI231" t="str">
        <f t="shared" si="91"/>
        <v>Neutral</v>
      </c>
      <c r="AJ231" s="32">
        <f t="shared" si="92"/>
        <v>3</v>
      </c>
      <c r="AK231">
        <f>step3_validation[[#This Row],[AI_TRU1]]</f>
        <v>8</v>
      </c>
      <c r="AL231" t="str">
        <f t="shared" si="93"/>
        <v>Support</v>
      </c>
      <c r="AM231">
        <f>survey_responses[[#This Row],[Tôi tin rằng Nhà nước, cơ quan thuế sẽ thực thi chính sách mới một cách khách quan, công tâm và đối xử bình đẳng với mọi người nộp thuế.  - HUMAN-TRU1]]</f>
        <v>4</v>
      </c>
      <c r="AN231" t="str">
        <f t="shared" si="94"/>
        <v>Oppose</v>
      </c>
      <c r="AO231" s="32">
        <f t="shared" si="95"/>
        <v>4</v>
      </c>
      <c r="AP231">
        <f>step3_validation[[#This Row],[AI_TRU2]]</f>
        <v>9</v>
      </c>
      <c r="AQ231" t="str">
        <f t="shared" si="96"/>
        <v>Support</v>
      </c>
      <c r="AR231">
        <f>survey_responses[[#This Row],[Tôi thấy mức thuế tôi phải đóng theo phương án mới là công bằng (người thu nhập như tôi đóng mức này là hợp lý). - HUMAN-TRU2]]</f>
        <v>4</v>
      </c>
      <c r="AS231" t="str">
        <f t="shared" si="97"/>
        <v>Oppose</v>
      </c>
      <c r="AT231" s="32">
        <f t="shared" si="98"/>
        <v>5</v>
      </c>
      <c r="AU231">
        <f>step3_validation[[#This Row],[AI_TRU3]]</f>
        <v>8</v>
      </c>
      <c r="AV231" t="str">
        <f t="shared" si="99"/>
        <v>Support</v>
      </c>
      <c r="AW231">
        <f>survey_responses[[#This Row],[Tôi tin tưởng số tiền thuế tôi đóng sẽ được Nhà nước sử dụng hiệu quả để cải thiện dịch vụ công (y tế, đường xá...). - HUMAN-TRU3]]</f>
        <v>5</v>
      </c>
      <c r="AX231" t="str">
        <f t="shared" si="100"/>
        <v>Neutral</v>
      </c>
      <c r="AY231" s="32">
        <f t="shared" si="101"/>
        <v>3</v>
      </c>
      <c r="AZ231">
        <f>step3_validation[[#This Row],[AI_TRU4]]</f>
        <v>7</v>
      </c>
      <c r="BA231" t="str">
        <f t="shared" si="102"/>
        <v>Neutral</v>
      </c>
      <c r="BB231">
        <f>survey_responses[[#This Row],[Tôi thấy Nhà nước đã giải thích rõ ràng, minh bạch về lý do và mục tiêu của việc sửa đổi thuế lần này. - HUMAN-TRU4]]</f>
        <v>5</v>
      </c>
      <c r="BC231" t="str">
        <f t="shared" si="103"/>
        <v>Neutral</v>
      </c>
      <c r="BD231" s="32">
        <f t="shared" si="104"/>
        <v>2</v>
      </c>
      <c r="BE231">
        <f>step3_validation[[#This Row],[AI_OUT1]]</f>
        <v>9</v>
      </c>
      <c r="BF231" t="str">
        <f t="shared" si="105"/>
        <v>Support</v>
      </c>
      <c r="BG231">
        <f>survey_responses[[#This Row],[Sau khi xem xét các quyền lợi và nghĩa vụ, bạn có ủng hộ và tuân thủ chính sách mới hiện nay? - HUMAN-OUT1]]</f>
        <v>5</v>
      </c>
      <c r="BH231" t="str">
        <f t="shared" si="106"/>
        <v>Neutral</v>
      </c>
      <c r="BI231" s="32">
        <f t="shared" si="107"/>
        <v>4</v>
      </c>
    </row>
    <row r="232" spans="1:61" x14ac:dyDescent="0.45">
      <c r="A232" s="30">
        <f>step3_validation[[#This Row],[Persona_ID]]</f>
        <v>231</v>
      </c>
      <c r="B232" s="31">
        <f>step3_validation[[#This Row],[Used_Seed]]</f>
        <v>12575</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128.03554286536991</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9</v>
      </c>
      <c r="R232" t="str">
        <f t="shared" si="81"/>
        <v>Support</v>
      </c>
      <c r="S232">
        <f>survey_responses[[#This Row],[Tôi tin rằng với các quy định quản lý thuế hiện nay, hành vi gian lận hoặc trốn thuế sẽ dễ dàng bị phát hiện và xử lý nghiêm. - HUMAN-ENF1]]</f>
        <v>8</v>
      </c>
      <c r="T232" t="str">
        <f t="shared" si="82"/>
        <v>Support</v>
      </c>
      <c r="U232" s="32">
        <f t="shared" si="83"/>
        <v>1</v>
      </c>
      <c r="V232">
        <f>step3_validation[[#This Row],[AI_ENF2]]</f>
        <v>8</v>
      </c>
      <c r="W232" t="str">
        <f t="shared" si="84"/>
        <v>Support</v>
      </c>
      <c r="X232">
        <f>survey_responses[[#This Row],[Tôi tin rằng Nhà nước, cơ quan thuế có đủ khả năng và công nghệ để phát hiện, xử lý nghiêm các hành vi trốn thuế. - HUMAN-ENF2]]</f>
        <v>8</v>
      </c>
      <c r="Y232" t="str">
        <f t="shared" si="85"/>
        <v>Support</v>
      </c>
      <c r="Z232" s="32">
        <f t="shared" si="86"/>
        <v>0</v>
      </c>
      <c r="AA232">
        <f>step3_validation[[#This Row],[AI_FAC1]]</f>
        <v>9</v>
      </c>
      <c r="AB232" t="str">
        <f t="shared" si="87"/>
        <v>Support</v>
      </c>
      <c r="AC232">
        <f>survey_responses[[#This Row],[Các thủ tục khai báo thuế VÀ/HOẶC quy trình làm việc với cơ quan thuế đơn giản, tiện lợi, nhanh chóng hơn so với trước đây. - HUMAN-FAC1]]</f>
        <v>8</v>
      </c>
      <c r="AD232" t="str">
        <f t="shared" si="88"/>
        <v>Support</v>
      </c>
      <c r="AE232" s="32">
        <f t="shared" si="89"/>
        <v>1</v>
      </c>
      <c r="AF232">
        <f>step3_validation[[#This Row],[AI_FAC2]]</f>
        <v>8</v>
      </c>
      <c r="AG232" t="str">
        <f t="shared" si="90"/>
        <v>Support</v>
      </c>
      <c r="AH232">
        <f>survey_responses[[#This Row],[So với trước đây, tôi thấy cách tính thuế và các bậc thuế trong phương án mới đơn giản, dễ hiểu và dễ thực hiện hơn. - HUMAN-FAC2]]</f>
        <v>8</v>
      </c>
      <c r="AI232" t="str">
        <f t="shared" si="91"/>
        <v>Support</v>
      </c>
      <c r="AJ232" s="32">
        <f t="shared" si="92"/>
        <v>0</v>
      </c>
      <c r="AK232">
        <f>step3_validation[[#This Row],[AI_TRU1]]</f>
        <v>9</v>
      </c>
      <c r="AL232" t="str">
        <f t="shared" si="93"/>
        <v>Support</v>
      </c>
      <c r="AM232">
        <f>survey_responses[[#This Row],[Tôi tin rằng Nhà nước, cơ quan thuế sẽ thực thi chính sách mới một cách khách quan, công tâm và đối xử bình đẳng với mọi người nộp thuế.  - HUMAN-TRU1]]</f>
        <v>7</v>
      </c>
      <c r="AN232" t="str">
        <f t="shared" si="94"/>
        <v>Neutral</v>
      </c>
      <c r="AO232" s="32">
        <f t="shared" si="95"/>
        <v>2</v>
      </c>
      <c r="AP232">
        <f>step3_validation[[#This Row],[AI_TRU2]]</f>
        <v>9</v>
      </c>
      <c r="AQ232" t="str">
        <f t="shared" si="96"/>
        <v>Support</v>
      </c>
      <c r="AR232">
        <f>survey_responses[[#This Row],[Tôi thấy mức thuế tôi phải đóng theo phương án mới là công bằng (người thu nhập như tôi đóng mức này là hợp lý). - HUMAN-TRU2]]</f>
        <v>7</v>
      </c>
      <c r="AS232" t="str">
        <f t="shared" si="97"/>
        <v>Neutral</v>
      </c>
      <c r="AT232" s="32">
        <f t="shared" si="98"/>
        <v>2</v>
      </c>
      <c r="AU232">
        <f>step3_validation[[#This Row],[AI_TRU3]]</f>
        <v>8</v>
      </c>
      <c r="AV232" t="str">
        <f t="shared" si="99"/>
        <v>Support</v>
      </c>
      <c r="AW232">
        <f>survey_responses[[#This Row],[Tôi tin tưởng số tiền thuế tôi đóng sẽ được Nhà nước sử dụng hiệu quả để cải thiện dịch vụ công (y tế, đường xá...). - HUMAN-TRU3]]</f>
        <v>8</v>
      </c>
      <c r="AX232" t="str">
        <f t="shared" si="100"/>
        <v>Support</v>
      </c>
      <c r="AY232" s="32">
        <f t="shared" si="101"/>
        <v>0</v>
      </c>
      <c r="AZ232">
        <f>step3_validation[[#This Row],[AI_TRU4]]</f>
        <v>9</v>
      </c>
      <c r="BA232" t="str">
        <f t="shared" si="102"/>
        <v>Support</v>
      </c>
      <c r="BB232">
        <f>survey_responses[[#This Row],[Tôi thấy Nhà nước đã giải thích rõ ràng, minh bạch về lý do và mục tiêu của việc sửa đổi thuế lần này. - HUMAN-TRU4]]</f>
        <v>7</v>
      </c>
      <c r="BC232" t="str">
        <f t="shared" si="103"/>
        <v>Neutral</v>
      </c>
      <c r="BD232" s="32">
        <f t="shared" si="104"/>
        <v>2</v>
      </c>
      <c r="BE232">
        <f>step3_validation[[#This Row],[AI_OUT1]]</f>
        <v>9</v>
      </c>
      <c r="BF232" t="str">
        <f t="shared" si="105"/>
        <v>Support</v>
      </c>
      <c r="BG232">
        <f>survey_responses[[#This Row],[Sau khi xem xét các quyền lợi và nghĩa vụ, bạn có ủng hộ và tuân thủ chính sách mới hiện nay? - HUMAN-OUT1]]</f>
        <v>8</v>
      </c>
      <c r="BH232" t="str">
        <f t="shared" si="106"/>
        <v>Support</v>
      </c>
      <c r="BI232" s="32">
        <f t="shared" si="107"/>
        <v>1</v>
      </c>
    </row>
    <row r="233" spans="1:61" x14ac:dyDescent="0.45">
      <c r="A233" s="30">
        <f>step3_validation[[#This Row],[Persona_ID]]</f>
        <v>232</v>
      </c>
      <c r="B233" s="31">
        <f>step3_validation[[#This Row],[Used_Seed]]</f>
        <v>12576</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50.871414207238672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6</v>
      </c>
      <c r="R233" t="str">
        <f t="shared" si="81"/>
        <v>Neutral</v>
      </c>
      <c r="S233">
        <f>survey_responses[[#This Row],[Tôi tin rằng với các quy định quản lý thuế hiện nay, hành vi gian lận hoặc trốn thuế sẽ dễ dàng bị phát hiện và xử lý nghiêm. - HUMAN-ENF1]]</f>
        <v>6</v>
      </c>
      <c r="T233" t="str">
        <f t="shared" si="82"/>
        <v>Neutral</v>
      </c>
      <c r="U233" s="32">
        <f t="shared" si="83"/>
        <v>0</v>
      </c>
      <c r="V233">
        <f>step3_validation[[#This Row],[AI_ENF2]]</f>
        <v>7</v>
      </c>
      <c r="W233" t="str">
        <f t="shared" si="84"/>
        <v>Neutral</v>
      </c>
      <c r="X233">
        <f>survey_responses[[#This Row],[Tôi tin rằng Nhà nước, cơ quan thuế có đủ khả năng và công nghệ để phát hiện, xử lý nghiêm các hành vi trốn thuế. - HUMAN-ENF2]]</f>
        <v>6</v>
      </c>
      <c r="Y233" t="str">
        <f t="shared" si="85"/>
        <v>Neutral</v>
      </c>
      <c r="Z233" s="32">
        <f t="shared" si="86"/>
        <v>1</v>
      </c>
      <c r="AA233">
        <f>step3_validation[[#This Row],[AI_FAC1]]</f>
        <v>9</v>
      </c>
      <c r="AB233" t="str">
        <f t="shared" si="87"/>
        <v>Support</v>
      </c>
      <c r="AC233">
        <f>survey_responses[[#This Row],[Các thủ tục khai báo thuế VÀ/HOẶC quy trình làm việc với cơ quan thuế đơn giản, tiện lợi, nhanh chóng hơn so với trước đây. - HUMAN-FAC1]]</f>
        <v>6</v>
      </c>
      <c r="AD233" t="str">
        <f t="shared" si="88"/>
        <v>Neutral</v>
      </c>
      <c r="AE233" s="32">
        <f t="shared" si="89"/>
        <v>3</v>
      </c>
      <c r="AF233">
        <f>step3_validation[[#This Row],[AI_FAC2]]</f>
        <v>10</v>
      </c>
      <c r="AG233" t="str">
        <f t="shared" si="90"/>
        <v>Support</v>
      </c>
      <c r="AH233">
        <f>survey_responses[[#This Row],[So với trước đây, tôi thấy cách tính thuế và các bậc thuế trong phương án mới đơn giản, dễ hiểu và dễ thực hiện hơn. - HUMAN-FAC2]]</f>
        <v>6</v>
      </c>
      <c r="AI233" t="str">
        <f t="shared" si="91"/>
        <v>Neutral</v>
      </c>
      <c r="AJ233" s="32">
        <f t="shared" si="92"/>
        <v>4</v>
      </c>
      <c r="AK233">
        <f>step3_validation[[#This Row],[AI_TRU1]]</f>
        <v>7</v>
      </c>
      <c r="AL233" t="str">
        <f t="shared" si="93"/>
        <v>Neutral</v>
      </c>
      <c r="AM233">
        <f>survey_responses[[#This Row],[Tôi tin rằng Nhà nước, cơ quan thuế sẽ thực thi chính sách mới một cách khách quan, công tâm và đối xử bình đẳng với mọi người nộp thuế.  - HUMAN-TRU1]]</f>
        <v>6</v>
      </c>
      <c r="AN233" t="str">
        <f t="shared" si="94"/>
        <v>Neutral</v>
      </c>
      <c r="AO233" s="32">
        <f t="shared" si="95"/>
        <v>1</v>
      </c>
      <c r="AP233">
        <f>step3_validation[[#This Row],[AI_TRU2]]</f>
        <v>9</v>
      </c>
      <c r="AQ233" t="str">
        <f t="shared" si="96"/>
        <v>Support</v>
      </c>
      <c r="AR233">
        <f>survey_responses[[#This Row],[Tôi thấy mức thuế tôi phải đóng theo phương án mới là công bằng (người thu nhập như tôi đóng mức này là hợp lý). - HUMAN-TRU2]]</f>
        <v>6</v>
      </c>
      <c r="AS233" t="str">
        <f t="shared" si="97"/>
        <v>Neutral</v>
      </c>
      <c r="AT233" s="32">
        <f t="shared" si="98"/>
        <v>3</v>
      </c>
      <c r="AU233">
        <f>step3_validation[[#This Row],[AI_TRU3]]</f>
        <v>8</v>
      </c>
      <c r="AV233" t="str">
        <f t="shared" si="99"/>
        <v>Support</v>
      </c>
      <c r="AW233">
        <f>survey_responses[[#This Row],[Tôi tin tưởng số tiền thuế tôi đóng sẽ được Nhà nước sử dụng hiệu quả để cải thiện dịch vụ công (y tế, đường xá...). - HUMAN-TRU3]]</f>
        <v>6</v>
      </c>
      <c r="AX233" t="str">
        <f t="shared" si="100"/>
        <v>Neutral</v>
      </c>
      <c r="AY233" s="32">
        <f t="shared" si="101"/>
        <v>2</v>
      </c>
      <c r="AZ233">
        <f>step3_validation[[#This Row],[AI_TRU4]]</f>
        <v>9</v>
      </c>
      <c r="BA233" t="str">
        <f t="shared" si="102"/>
        <v>Support</v>
      </c>
      <c r="BB233">
        <f>survey_responses[[#This Row],[Tôi thấy Nhà nước đã giải thích rõ ràng, minh bạch về lý do và mục tiêu của việc sửa đổi thuế lần này. - HUMAN-TRU4]]</f>
        <v>6</v>
      </c>
      <c r="BC233" t="str">
        <f t="shared" si="103"/>
        <v>Neutral</v>
      </c>
      <c r="BD233" s="32">
        <f t="shared" si="104"/>
        <v>3</v>
      </c>
      <c r="BE233">
        <f>step3_validation[[#This Row],[AI_OUT1]]</f>
        <v>8</v>
      </c>
      <c r="BF233" t="str">
        <f t="shared" si="105"/>
        <v>Support</v>
      </c>
      <c r="BG233">
        <f>survey_responses[[#This Row],[Sau khi xem xét các quyền lợi và nghĩa vụ, bạn có ủng hộ và tuân thủ chính sách mới hiện nay? - HUMAN-OUT1]]</f>
        <v>6</v>
      </c>
      <c r="BH233" t="str">
        <f t="shared" si="106"/>
        <v>Neutral</v>
      </c>
      <c r="BI233" s="32">
        <f t="shared" si="107"/>
        <v>2</v>
      </c>
    </row>
    <row r="234" spans="1:61" x14ac:dyDescent="0.45">
      <c r="A234" s="30">
        <f>step3_validation[[#This Row],[Persona_ID]]</f>
        <v>233</v>
      </c>
      <c r="B234" s="31">
        <f>step3_validation[[#This Row],[Used_Seed]]</f>
        <v>12577</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14.644126104004014</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t="str">
        <f t="shared" si="81"/>
        <v>Support</v>
      </c>
      <c r="S234">
        <f>survey_responses[[#This Row],[Tôi tin rằng với các quy định quản lý thuế hiện nay, hành vi gian lận hoặc trốn thuế sẽ dễ dàng bị phát hiện và xử lý nghiêm. - HUMAN-ENF1]]</f>
        <v>8</v>
      </c>
      <c r="T234" t="str">
        <f t="shared" si="82"/>
        <v>Support</v>
      </c>
      <c r="U234" s="32">
        <f t="shared" si="83"/>
        <v>0</v>
      </c>
      <c r="V234">
        <f>step3_validation[[#This Row],[AI_ENF2]]</f>
        <v>9</v>
      </c>
      <c r="W234" t="str">
        <f t="shared" si="84"/>
        <v>Support</v>
      </c>
      <c r="X234">
        <f>survey_responses[[#This Row],[Tôi tin rằng Nhà nước, cơ quan thuế có đủ khả năng và công nghệ để phát hiện, xử lý nghiêm các hành vi trốn thuế. - HUMAN-ENF2]]</f>
        <v>8</v>
      </c>
      <c r="Y234" t="str">
        <f t="shared" si="85"/>
        <v>Support</v>
      </c>
      <c r="Z234" s="32">
        <f t="shared" si="86"/>
        <v>1</v>
      </c>
      <c r="AA234">
        <f>step3_validation[[#This Row],[AI_FAC1]]</f>
        <v>9</v>
      </c>
      <c r="AB234" t="str">
        <f t="shared" si="87"/>
        <v>Support</v>
      </c>
      <c r="AC234">
        <f>survey_responses[[#This Row],[Các thủ tục khai báo thuế VÀ/HOẶC quy trình làm việc với cơ quan thuế đơn giản, tiện lợi, nhanh chóng hơn so với trước đây. - HUMAN-FAC1]]</f>
        <v>8</v>
      </c>
      <c r="AD234" t="str">
        <f t="shared" si="88"/>
        <v>Support</v>
      </c>
      <c r="AE234" s="32">
        <f t="shared" si="89"/>
        <v>1</v>
      </c>
      <c r="AF234">
        <f>step3_validation[[#This Row],[AI_FAC2]]</f>
        <v>10</v>
      </c>
      <c r="AG234" t="str">
        <f t="shared" si="90"/>
        <v>Support</v>
      </c>
      <c r="AH234">
        <f>survey_responses[[#This Row],[So với trước đây, tôi thấy cách tính thuế và các bậc thuế trong phương án mới đơn giản, dễ hiểu và dễ thực hiện hơn. - HUMAN-FAC2]]</f>
        <v>8</v>
      </c>
      <c r="AI234" t="str">
        <f t="shared" si="91"/>
        <v>Support</v>
      </c>
      <c r="AJ234" s="32">
        <f t="shared" si="92"/>
        <v>2</v>
      </c>
      <c r="AK234">
        <f>step3_validation[[#This Row],[AI_TRU1]]</f>
        <v>9</v>
      </c>
      <c r="AL234" t="str">
        <f t="shared" si="93"/>
        <v>Support</v>
      </c>
      <c r="AM234">
        <f>survey_responses[[#This Row],[Tôi tin rằng Nhà nước, cơ quan thuế sẽ thực thi chính sách mới một cách khách quan, công tâm và đối xử bình đẳng với mọi người nộp thuế.  - HUMAN-TRU1]]</f>
        <v>9</v>
      </c>
      <c r="AN234" t="str">
        <f t="shared" si="94"/>
        <v>Support</v>
      </c>
      <c r="AO234" s="32">
        <f t="shared" si="95"/>
        <v>0</v>
      </c>
      <c r="AP234">
        <f>step3_validation[[#This Row],[AI_TRU2]]</f>
        <v>8</v>
      </c>
      <c r="AQ234" t="str">
        <f t="shared" si="96"/>
        <v>Support</v>
      </c>
      <c r="AR234">
        <f>survey_responses[[#This Row],[Tôi thấy mức thuế tôi phải đóng theo phương án mới là công bằng (người thu nhập như tôi đóng mức này là hợp lý). - HUMAN-TRU2]]</f>
        <v>8</v>
      </c>
      <c r="AS234" t="str">
        <f t="shared" si="97"/>
        <v>Support</v>
      </c>
      <c r="AT234" s="32">
        <f t="shared" si="98"/>
        <v>0</v>
      </c>
      <c r="AU234">
        <f>step3_validation[[#This Row],[AI_TRU3]]</f>
        <v>9</v>
      </c>
      <c r="AV234" t="str">
        <f t="shared" si="99"/>
        <v>Support</v>
      </c>
      <c r="AW234">
        <f>survey_responses[[#This Row],[Tôi tin tưởng số tiền thuế tôi đóng sẽ được Nhà nước sử dụng hiệu quả để cải thiện dịch vụ công (y tế, đường xá...). - HUMAN-TRU3]]</f>
        <v>8</v>
      </c>
      <c r="AX234" t="str">
        <f t="shared" si="100"/>
        <v>Support</v>
      </c>
      <c r="AY234" s="32">
        <f t="shared" si="101"/>
        <v>1</v>
      </c>
      <c r="AZ234">
        <f>step3_validation[[#This Row],[AI_TRU4]]</f>
        <v>8</v>
      </c>
      <c r="BA234" t="str">
        <f t="shared" si="102"/>
        <v>Support</v>
      </c>
      <c r="BB234">
        <f>survey_responses[[#This Row],[Tôi thấy Nhà nước đã giải thích rõ ràng, minh bạch về lý do và mục tiêu của việc sửa đổi thuế lần này. - HUMAN-TRU4]]</f>
        <v>8</v>
      </c>
      <c r="BC234" t="str">
        <f t="shared" si="103"/>
        <v>Support</v>
      </c>
      <c r="BD234" s="32">
        <f t="shared" si="104"/>
        <v>0</v>
      </c>
      <c r="BE234">
        <f>step3_validation[[#This Row],[AI_OUT1]]</f>
        <v>9</v>
      </c>
      <c r="BF234" t="str">
        <f t="shared" si="105"/>
        <v>Support</v>
      </c>
      <c r="BG234">
        <f>survey_responses[[#This Row],[Sau khi xem xét các quyền lợi và nghĩa vụ, bạn có ủng hộ và tuân thủ chính sách mới hiện nay? - HUMAN-OUT1]]</f>
        <v>10</v>
      </c>
      <c r="BH234" t="str">
        <f t="shared" si="106"/>
        <v>Support</v>
      </c>
      <c r="BI234" s="32">
        <f t="shared" si="107"/>
        <v>1</v>
      </c>
    </row>
    <row r="235" spans="1:61" x14ac:dyDescent="0.45">
      <c r="A235" s="30">
        <f>step3_validation[[#This Row],[Persona_ID]]</f>
        <v>234</v>
      </c>
      <c r="B235" s="31">
        <f>step3_validation[[#This Row],[Used_Seed]]</f>
        <v>12578</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74.992711943235221</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8</v>
      </c>
      <c r="R235" t="str">
        <f t="shared" si="81"/>
        <v>Support</v>
      </c>
      <c r="S235">
        <f>survey_responses[[#This Row],[Tôi tin rằng với các quy định quản lý thuế hiện nay, hành vi gian lận hoặc trốn thuế sẽ dễ dàng bị phát hiện và xử lý nghiêm. - HUMAN-ENF1]]</f>
        <v>4</v>
      </c>
      <c r="T235" t="str">
        <f t="shared" si="82"/>
        <v>Oppose</v>
      </c>
      <c r="U235" s="32">
        <f t="shared" si="83"/>
        <v>4</v>
      </c>
      <c r="V235">
        <f>step3_validation[[#This Row],[AI_ENF2]]</f>
        <v>9</v>
      </c>
      <c r="W235" t="str">
        <f t="shared" si="84"/>
        <v>Support</v>
      </c>
      <c r="X235">
        <f>survey_responses[[#This Row],[Tôi tin rằng Nhà nước, cơ quan thuế có đủ khả năng và công nghệ để phát hiện, xử lý nghiêm các hành vi trốn thuế. - HUMAN-ENF2]]</f>
        <v>4</v>
      </c>
      <c r="Y235" t="str">
        <f t="shared" si="85"/>
        <v>Oppose</v>
      </c>
      <c r="Z235" s="32">
        <f t="shared" si="86"/>
        <v>5</v>
      </c>
      <c r="AA235">
        <f>step3_validation[[#This Row],[AI_FAC1]]</f>
        <v>8</v>
      </c>
      <c r="AB235" t="str">
        <f t="shared" si="87"/>
        <v>Support</v>
      </c>
      <c r="AC235">
        <f>survey_responses[[#This Row],[Các thủ tục khai báo thuế VÀ/HOẶC quy trình làm việc với cơ quan thuế đơn giản, tiện lợi, nhanh chóng hơn so với trước đây. - HUMAN-FAC1]]</f>
        <v>4</v>
      </c>
      <c r="AD235" t="str">
        <f t="shared" si="88"/>
        <v>Oppose</v>
      </c>
      <c r="AE235" s="32">
        <f t="shared" si="89"/>
        <v>4</v>
      </c>
      <c r="AF235">
        <f>step3_validation[[#This Row],[AI_FAC2]]</f>
        <v>9</v>
      </c>
      <c r="AG235" t="str">
        <f t="shared" si="90"/>
        <v>Support</v>
      </c>
      <c r="AH235">
        <f>survey_responses[[#This Row],[So với trước đây, tôi thấy cách tính thuế và các bậc thuế trong phương án mới đơn giản, dễ hiểu và dễ thực hiện hơn. - HUMAN-FAC2]]</f>
        <v>4</v>
      </c>
      <c r="AI235" t="str">
        <f t="shared" si="91"/>
        <v>Oppose</v>
      </c>
      <c r="AJ235" s="32">
        <f t="shared" si="92"/>
        <v>5</v>
      </c>
      <c r="AK235">
        <f>step3_validation[[#This Row],[AI_TRU1]]</f>
        <v>8</v>
      </c>
      <c r="AL235" t="str">
        <f t="shared" si="93"/>
        <v>Support</v>
      </c>
      <c r="AM235">
        <f>survey_responses[[#This Row],[Tôi tin rằng Nhà nước, cơ quan thuế sẽ thực thi chính sách mới một cách khách quan, công tâm và đối xử bình đẳng với mọi người nộp thuế.  - HUMAN-TRU1]]</f>
        <v>1</v>
      </c>
      <c r="AN235" t="str">
        <f t="shared" si="94"/>
        <v>Oppose</v>
      </c>
      <c r="AO235" s="32">
        <f t="shared" si="95"/>
        <v>7</v>
      </c>
      <c r="AP235">
        <f>step3_validation[[#This Row],[AI_TRU2]]</f>
        <v>9</v>
      </c>
      <c r="AQ235" t="str">
        <f t="shared" si="96"/>
        <v>Support</v>
      </c>
      <c r="AR235">
        <f>survey_responses[[#This Row],[Tôi thấy mức thuế tôi phải đóng theo phương án mới là công bằng (người thu nhập như tôi đóng mức này là hợp lý). - HUMAN-TRU2]]</f>
        <v>3</v>
      </c>
      <c r="AS235" t="str">
        <f t="shared" si="97"/>
        <v>Oppose</v>
      </c>
      <c r="AT235" s="32">
        <f t="shared" si="98"/>
        <v>6</v>
      </c>
      <c r="AU235">
        <f>step3_validation[[#This Row],[AI_TRU3]]</f>
        <v>8</v>
      </c>
      <c r="AV235" t="str">
        <f t="shared" si="99"/>
        <v>Support</v>
      </c>
      <c r="AW235">
        <f>survey_responses[[#This Row],[Tôi tin tưởng số tiền thuế tôi đóng sẽ được Nhà nước sử dụng hiệu quả để cải thiện dịch vụ công (y tế, đường xá...). - HUMAN-TRU3]]</f>
        <v>1</v>
      </c>
      <c r="AX235" t="str">
        <f t="shared" si="100"/>
        <v>Oppose</v>
      </c>
      <c r="AY235" s="32">
        <f t="shared" si="101"/>
        <v>7</v>
      </c>
      <c r="AZ235">
        <f>step3_validation[[#This Row],[AI_TRU4]]</f>
        <v>9</v>
      </c>
      <c r="BA235" t="str">
        <f t="shared" si="102"/>
        <v>Support</v>
      </c>
      <c r="BB235">
        <f>survey_responses[[#This Row],[Tôi thấy Nhà nước đã giải thích rõ ràng, minh bạch về lý do và mục tiêu của việc sửa đổi thuế lần này. - HUMAN-TRU4]]</f>
        <v>1</v>
      </c>
      <c r="BC235" t="str">
        <f t="shared" si="103"/>
        <v>Oppose</v>
      </c>
      <c r="BD235" s="32">
        <f t="shared" si="104"/>
        <v>8</v>
      </c>
      <c r="BE235">
        <f>step3_validation[[#This Row],[AI_OUT1]]</f>
        <v>8</v>
      </c>
      <c r="BF235" t="str">
        <f t="shared" si="105"/>
        <v>Support</v>
      </c>
      <c r="BG235">
        <f>survey_responses[[#This Row],[Sau khi xem xét các quyền lợi và nghĩa vụ, bạn có ủng hộ và tuân thủ chính sách mới hiện nay? - HUMAN-OUT1]]</f>
        <v>1</v>
      </c>
      <c r="BH235" t="str">
        <f t="shared" si="106"/>
        <v>Oppose</v>
      </c>
      <c r="BI235" s="32">
        <f t="shared" si="107"/>
        <v>7</v>
      </c>
    </row>
    <row r="236" spans="1:61" x14ac:dyDescent="0.45">
      <c r="A236" s="30">
        <f>step3_validation[[#This Row],[Persona_ID]]</f>
        <v>235</v>
      </c>
      <c r="B236" s="31">
        <f>step3_validation[[#This Row],[Used_Seed]]</f>
        <v>12579</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33.489906884490352</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8</v>
      </c>
      <c r="R236" t="str">
        <f t="shared" si="81"/>
        <v>Support</v>
      </c>
      <c r="S236">
        <f>survey_responses[[#This Row],[Tôi tin rằng với các quy định quản lý thuế hiện nay, hành vi gian lận hoặc trốn thuế sẽ dễ dàng bị phát hiện và xử lý nghiêm. - HUMAN-ENF1]]</f>
        <v>6</v>
      </c>
      <c r="T236" t="str">
        <f t="shared" si="82"/>
        <v>Neutral</v>
      </c>
      <c r="U236" s="32">
        <f t="shared" si="83"/>
        <v>2</v>
      </c>
      <c r="V236">
        <f>step3_validation[[#This Row],[AI_ENF2]]</f>
        <v>9</v>
      </c>
      <c r="W236" t="str">
        <f t="shared" si="84"/>
        <v>Support</v>
      </c>
      <c r="X236">
        <f>survey_responses[[#This Row],[Tôi tin rằng Nhà nước, cơ quan thuế có đủ khả năng và công nghệ để phát hiện, xử lý nghiêm các hành vi trốn thuế. - HUMAN-ENF2]]</f>
        <v>6</v>
      </c>
      <c r="Y236" t="str">
        <f t="shared" si="85"/>
        <v>Neutral</v>
      </c>
      <c r="Z236" s="32">
        <f t="shared" si="86"/>
        <v>3</v>
      </c>
      <c r="AA236">
        <f>step3_validation[[#This Row],[AI_FAC1]]</f>
        <v>7</v>
      </c>
      <c r="AB236" t="str">
        <f t="shared" si="87"/>
        <v>Neutral</v>
      </c>
      <c r="AC236">
        <f>survey_responses[[#This Row],[Các thủ tục khai báo thuế VÀ/HOẶC quy trình làm việc với cơ quan thuế đơn giản, tiện lợi, nhanh chóng hơn so với trước đây. - HUMAN-FAC1]]</f>
        <v>1</v>
      </c>
      <c r="AD236" t="str">
        <f t="shared" si="88"/>
        <v>Oppose</v>
      </c>
      <c r="AE236" s="32">
        <f t="shared" si="89"/>
        <v>6</v>
      </c>
      <c r="AF236">
        <f>step3_validation[[#This Row],[AI_FAC2]]</f>
        <v>8</v>
      </c>
      <c r="AG236" t="str">
        <f t="shared" si="90"/>
        <v>Support</v>
      </c>
      <c r="AH236">
        <f>survey_responses[[#This Row],[So với trước đây, tôi thấy cách tính thuế và các bậc thuế trong phương án mới đơn giản, dễ hiểu và dễ thực hiện hơn. - HUMAN-FAC2]]</f>
        <v>6</v>
      </c>
      <c r="AI236" t="str">
        <f t="shared" si="91"/>
        <v>Neutral</v>
      </c>
      <c r="AJ236" s="32">
        <f t="shared" si="92"/>
        <v>2</v>
      </c>
      <c r="AK236">
        <f>step3_validation[[#This Row],[AI_TRU1]]</f>
        <v>9</v>
      </c>
      <c r="AL236" t="str">
        <f t="shared" si="93"/>
        <v>Support</v>
      </c>
      <c r="AM236">
        <f>survey_responses[[#This Row],[Tôi tin rằng Nhà nước, cơ quan thuế sẽ thực thi chính sách mới một cách khách quan, công tâm và đối xử bình đẳng với mọi người nộp thuế.  - HUMAN-TRU1]]</f>
        <v>5</v>
      </c>
      <c r="AN236" t="str">
        <f t="shared" si="94"/>
        <v>Neutral</v>
      </c>
      <c r="AO236" s="32">
        <f t="shared" si="95"/>
        <v>4</v>
      </c>
      <c r="AP236">
        <f>step3_validation[[#This Row],[AI_TRU2]]</f>
        <v>8</v>
      </c>
      <c r="AQ236" t="str">
        <f t="shared" si="96"/>
        <v>Support</v>
      </c>
      <c r="AR236">
        <f>survey_responses[[#This Row],[Tôi thấy mức thuế tôi phải đóng theo phương án mới là công bằng (người thu nhập như tôi đóng mức này là hợp lý). - HUMAN-TRU2]]</f>
        <v>6</v>
      </c>
      <c r="AS236" t="str">
        <f t="shared" si="97"/>
        <v>Neutral</v>
      </c>
      <c r="AT236" s="32">
        <f t="shared" si="98"/>
        <v>2</v>
      </c>
      <c r="AU236">
        <f>step3_validation[[#This Row],[AI_TRU3]]</f>
        <v>9</v>
      </c>
      <c r="AV236" t="str">
        <f t="shared" si="99"/>
        <v>Support</v>
      </c>
      <c r="AW236">
        <f>survey_responses[[#This Row],[Tôi tin tưởng số tiền thuế tôi đóng sẽ được Nhà nước sử dụng hiệu quả để cải thiện dịch vụ công (y tế, đường xá...). - HUMAN-TRU3]]</f>
        <v>5</v>
      </c>
      <c r="AX236" t="str">
        <f t="shared" si="100"/>
        <v>Neutral</v>
      </c>
      <c r="AY236" s="32">
        <f t="shared" si="101"/>
        <v>4</v>
      </c>
      <c r="AZ236">
        <f>step3_validation[[#This Row],[AI_TRU4]]</f>
        <v>8</v>
      </c>
      <c r="BA236" t="str">
        <f t="shared" si="102"/>
        <v>Support</v>
      </c>
      <c r="BB236">
        <f>survey_responses[[#This Row],[Tôi thấy Nhà nước đã giải thích rõ ràng, minh bạch về lý do và mục tiêu của việc sửa đổi thuế lần này. - HUMAN-TRU4]]</f>
        <v>6</v>
      </c>
      <c r="BC236" t="str">
        <f t="shared" si="103"/>
        <v>Neutral</v>
      </c>
      <c r="BD236" s="32">
        <f t="shared" si="104"/>
        <v>2</v>
      </c>
      <c r="BE236">
        <f>step3_validation[[#This Row],[AI_OUT1]]</f>
        <v>9</v>
      </c>
      <c r="BF236" t="str">
        <f t="shared" si="105"/>
        <v>Support</v>
      </c>
      <c r="BG236">
        <f>survey_responses[[#This Row],[Sau khi xem xét các quyền lợi và nghĩa vụ, bạn có ủng hộ và tuân thủ chính sách mới hiện nay? - HUMAN-OUT1]]</f>
        <v>6</v>
      </c>
      <c r="BH236" t="str">
        <f t="shared" si="106"/>
        <v>Neutral</v>
      </c>
      <c r="BI236" s="32">
        <f t="shared" si="107"/>
        <v>3</v>
      </c>
    </row>
    <row r="237" spans="1:61" x14ac:dyDescent="0.45">
      <c r="A237" s="30">
        <f>step3_validation[[#This Row],[Persona_ID]]</f>
        <v>236</v>
      </c>
      <c r="B237" s="31">
        <f>step3_validation[[#This Row],[Used_Seed]]</f>
        <v>12580</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68.634207633579592</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8</v>
      </c>
      <c r="R237" t="str">
        <f t="shared" si="81"/>
        <v>Support</v>
      </c>
      <c r="S237">
        <f>survey_responses[[#This Row],[Tôi tin rằng với các quy định quản lý thuế hiện nay, hành vi gian lận hoặc trốn thuế sẽ dễ dàng bị phát hiện và xử lý nghiêm. - HUMAN-ENF1]]</f>
        <v>7</v>
      </c>
      <c r="T237" t="str">
        <f t="shared" si="82"/>
        <v>Neutral</v>
      </c>
      <c r="U237" s="32">
        <f t="shared" si="83"/>
        <v>1</v>
      </c>
      <c r="V237">
        <f>step3_validation[[#This Row],[AI_ENF2]]</f>
        <v>9</v>
      </c>
      <c r="W237" t="str">
        <f t="shared" si="84"/>
        <v>Support</v>
      </c>
      <c r="X237">
        <f>survey_responses[[#This Row],[Tôi tin rằng Nhà nước, cơ quan thuế có đủ khả năng và công nghệ để phát hiện, xử lý nghiêm các hành vi trốn thuế. - HUMAN-ENF2]]</f>
        <v>7</v>
      </c>
      <c r="Y237" t="str">
        <f t="shared" si="85"/>
        <v>Neutral</v>
      </c>
      <c r="Z237" s="32">
        <f t="shared" si="86"/>
        <v>2</v>
      </c>
      <c r="AA237">
        <f>step3_validation[[#This Row],[AI_FAC1]]</f>
        <v>8</v>
      </c>
      <c r="AB237" t="str">
        <f t="shared" si="87"/>
        <v>Support</v>
      </c>
      <c r="AC237">
        <f>survey_responses[[#This Row],[Các thủ tục khai báo thuế VÀ/HOẶC quy trình làm việc với cơ quan thuế đơn giản, tiện lợi, nhanh chóng hơn so với trước đây. - HUMAN-FAC1]]</f>
        <v>7</v>
      </c>
      <c r="AD237" t="str">
        <f t="shared" si="88"/>
        <v>Neutral</v>
      </c>
      <c r="AE237" s="32">
        <f t="shared" si="89"/>
        <v>1</v>
      </c>
      <c r="AF237">
        <f>step3_validation[[#This Row],[AI_FAC2]]</f>
        <v>9</v>
      </c>
      <c r="AG237" t="str">
        <f t="shared" si="90"/>
        <v>Support</v>
      </c>
      <c r="AH237">
        <f>survey_responses[[#This Row],[So với trước đây, tôi thấy cách tính thuế và các bậc thuế trong phương án mới đơn giản, dễ hiểu và dễ thực hiện hơn. - HUMAN-FAC2]]</f>
        <v>7</v>
      </c>
      <c r="AI237" t="str">
        <f t="shared" si="91"/>
        <v>Neutral</v>
      </c>
      <c r="AJ237" s="32">
        <f t="shared" si="92"/>
        <v>2</v>
      </c>
      <c r="AK237">
        <f>step3_validation[[#This Row],[AI_TRU1]]</f>
        <v>7</v>
      </c>
      <c r="AL237" t="str">
        <f t="shared" si="93"/>
        <v>Neutral</v>
      </c>
      <c r="AM237">
        <f>survey_responses[[#This Row],[Tôi tin rằng Nhà nước, cơ quan thuế sẽ thực thi chính sách mới một cách khách quan, công tâm và đối xử bình đẳng với mọi người nộp thuế.  - HUMAN-TRU1]]</f>
        <v>7</v>
      </c>
      <c r="AN237" t="str">
        <f t="shared" si="94"/>
        <v>Neutral</v>
      </c>
      <c r="AO237" s="32">
        <f t="shared" si="95"/>
        <v>0</v>
      </c>
      <c r="AP237">
        <f>step3_validation[[#This Row],[AI_TRU2]]</f>
        <v>8</v>
      </c>
      <c r="AQ237" t="str">
        <f t="shared" si="96"/>
        <v>Support</v>
      </c>
      <c r="AR237">
        <f>survey_responses[[#This Row],[Tôi thấy mức thuế tôi phải đóng theo phương án mới là công bằng (người thu nhập như tôi đóng mức này là hợp lý). - HUMAN-TRU2]]</f>
        <v>7</v>
      </c>
      <c r="AS237" t="str">
        <f t="shared" si="97"/>
        <v>Neutral</v>
      </c>
      <c r="AT237" s="32">
        <f t="shared" si="98"/>
        <v>1</v>
      </c>
      <c r="AU237">
        <f>step3_validation[[#This Row],[AI_TRU3]]</f>
        <v>7</v>
      </c>
      <c r="AV237" t="str">
        <f t="shared" si="99"/>
        <v>Neutral</v>
      </c>
      <c r="AW237">
        <f>survey_responses[[#This Row],[Tôi tin tưởng số tiền thuế tôi đóng sẽ được Nhà nước sử dụng hiệu quả để cải thiện dịch vụ công (y tế, đường xá...). - HUMAN-TRU3]]</f>
        <v>7</v>
      </c>
      <c r="AX237" t="str">
        <f t="shared" si="100"/>
        <v>Neutral</v>
      </c>
      <c r="AY237" s="32">
        <f t="shared" si="101"/>
        <v>0</v>
      </c>
      <c r="AZ237">
        <f>step3_validation[[#This Row],[AI_TRU4]]</f>
        <v>6</v>
      </c>
      <c r="BA237" t="str">
        <f t="shared" si="102"/>
        <v>Neutral</v>
      </c>
      <c r="BB237">
        <f>survey_responses[[#This Row],[Tôi thấy Nhà nước đã giải thích rõ ràng, minh bạch về lý do và mục tiêu của việc sửa đổi thuế lần này. - HUMAN-TRU4]]</f>
        <v>7</v>
      </c>
      <c r="BC237" t="str">
        <f t="shared" si="103"/>
        <v>Neutral</v>
      </c>
      <c r="BD237" s="32">
        <f t="shared" si="104"/>
        <v>1</v>
      </c>
      <c r="BE237">
        <f>step3_validation[[#This Row],[AI_OUT1]]</f>
        <v>7</v>
      </c>
      <c r="BF237" t="str">
        <f t="shared" si="105"/>
        <v>Neutral</v>
      </c>
      <c r="BG237">
        <f>survey_responses[[#This Row],[Sau khi xem xét các quyền lợi và nghĩa vụ, bạn có ủng hộ và tuân thủ chính sách mới hiện nay? - HUMAN-OUT1]]</f>
        <v>7</v>
      </c>
      <c r="BH237" t="str">
        <f t="shared" si="106"/>
        <v>Neutral</v>
      </c>
      <c r="BI237" s="32">
        <f t="shared" si="107"/>
        <v>0</v>
      </c>
    </row>
    <row r="238" spans="1:61" x14ac:dyDescent="0.45">
      <c r="A238" s="30">
        <f>step3_validation[[#This Row],[Persona_ID]]</f>
        <v>237</v>
      </c>
      <c r="B238" s="31">
        <f>step3_validation[[#This Row],[Used_Seed]]</f>
        <v>12581</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12.399043697752848</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8</v>
      </c>
      <c r="R238" t="str">
        <f t="shared" si="81"/>
        <v>Support</v>
      </c>
      <c r="S238">
        <f>survey_responses[[#This Row],[Tôi tin rằng với các quy định quản lý thuế hiện nay, hành vi gian lận hoặc trốn thuế sẽ dễ dàng bị phát hiện và xử lý nghiêm. - HUMAN-ENF1]]</f>
        <v>10</v>
      </c>
      <c r="T238" t="str">
        <f t="shared" si="82"/>
        <v>Support</v>
      </c>
      <c r="U238" s="32">
        <f t="shared" si="83"/>
        <v>2</v>
      </c>
      <c r="V238">
        <f>step3_validation[[#This Row],[AI_ENF2]]</f>
        <v>9</v>
      </c>
      <c r="W238" t="str">
        <f t="shared" si="84"/>
        <v>Support</v>
      </c>
      <c r="X238">
        <f>survey_responses[[#This Row],[Tôi tin rằng Nhà nước, cơ quan thuế có đủ khả năng và công nghệ để phát hiện, xử lý nghiêm các hành vi trốn thuế. - HUMAN-ENF2]]</f>
        <v>10</v>
      </c>
      <c r="Y238" t="str">
        <f t="shared" si="85"/>
        <v>Support</v>
      </c>
      <c r="Z238" s="32">
        <f t="shared" si="86"/>
        <v>1</v>
      </c>
      <c r="AA238">
        <f>step3_validation[[#This Row],[AI_FAC1]]</f>
        <v>8</v>
      </c>
      <c r="AB238" t="str">
        <f t="shared" si="87"/>
        <v>Support</v>
      </c>
      <c r="AC238">
        <f>survey_responses[[#This Row],[Các thủ tục khai báo thuế VÀ/HOẶC quy trình làm việc với cơ quan thuế đơn giản, tiện lợi, nhanh chóng hơn so với trước đây. - HUMAN-FAC1]]</f>
        <v>4</v>
      </c>
      <c r="AD238" t="str">
        <f t="shared" si="88"/>
        <v>Oppose</v>
      </c>
      <c r="AE238" s="32">
        <f t="shared" si="89"/>
        <v>4</v>
      </c>
      <c r="AF238">
        <f>step3_validation[[#This Row],[AI_FAC2]]</f>
        <v>9</v>
      </c>
      <c r="AG238" t="str">
        <f t="shared" si="90"/>
        <v>Support</v>
      </c>
      <c r="AH238">
        <f>survey_responses[[#This Row],[So với trước đây, tôi thấy cách tính thuế và các bậc thuế trong phương án mới đơn giản, dễ hiểu và dễ thực hiện hơn. - HUMAN-FAC2]]</f>
        <v>6</v>
      </c>
      <c r="AI238" t="str">
        <f t="shared" si="91"/>
        <v>Neutral</v>
      </c>
      <c r="AJ238" s="32">
        <f t="shared" si="92"/>
        <v>3</v>
      </c>
      <c r="AK238">
        <f>step3_validation[[#This Row],[AI_TRU1]]</f>
        <v>9</v>
      </c>
      <c r="AL238" t="str">
        <f t="shared" si="93"/>
        <v>Support</v>
      </c>
      <c r="AM238">
        <f>survey_responses[[#This Row],[Tôi tin rằng Nhà nước, cơ quan thuế sẽ thực thi chính sách mới một cách khách quan, công tâm và đối xử bình đẳng với mọi người nộp thuế.  - HUMAN-TRU1]]</f>
        <v>3</v>
      </c>
      <c r="AN238" t="str">
        <f t="shared" si="94"/>
        <v>Oppose</v>
      </c>
      <c r="AO238" s="32">
        <f t="shared" si="95"/>
        <v>6</v>
      </c>
      <c r="AP238">
        <f>step3_validation[[#This Row],[AI_TRU2]]</f>
        <v>8</v>
      </c>
      <c r="AQ238" t="str">
        <f t="shared" si="96"/>
        <v>Support</v>
      </c>
      <c r="AR238">
        <f>survey_responses[[#This Row],[Tôi thấy mức thuế tôi phải đóng theo phương án mới là công bằng (người thu nhập như tôi đóng mức này là hợp lý). - HUMAN-TRU2]]</f>
        <v>1</v>
      </c>
      <c r="AS238" t="str">
        <f t="shared" si="97"/>
        <v>Oppose</v>
      </c>
      <c r="AT238" s="32">
        <f t="shared" si="98"/>
        <v>7</v>
      </c>
      <c r="AU238">
        <f>step3_validation[[#This Row],[AI_TRU3]]</f>
        <v>9</v>
      </c>
      <c r="AV238" t="str">
        <f t="shared" si="99"/>
        <v>Support</v>
      </c>
      <c r="AW238">
        <f>survey_responses[[#This Row],[Tôi tin tưởng số tiền thuế tôi đóng sẽ được Nhà nước sử dụng hiệu quả để cải thiện dịch vụ công (y tế, đường xá...). - HUMAN-TRU3]]</f>
        <v>1</v>
      </c>
      <c r="AX238" t="str">
        <f t="shared" si="100"/>
        <v>Oppose</v>
      </c>
      <c r="AY238" s="32">
        <f t="shared" si="101"/>
        <v>8</v>
      </c>
      <c r="AZ238">
        <f>step3_validation[[#This Row],[AI_TRU4]]</f>
        <v>8</v>
      </c>
      <c r="BA238" t="str">
        <f t="shared" si="102"/>
        <v>Support</v>
      </c>
      <c r="BB238">
        <f>survey_responses[[#This Row],[Tôi thấy Nhà nước đã giải thích rõ ràng, minh bạch về lý do và mục tiêu của việc sửa đổi thuế lần này. - HUMAN-TRU4]]</f>
        <v>3</v>
      </c>
      <c r="BC238" t="str">
        <f t="shared" si="103"/>
        <v>Oppose</v>
      </c>
      <c r="BD238" s="32">
        <f t="shared" si="104"/>
        <v>5</v>
      </c>
      <c r="BE238">
        <f>step3_validation[[#This Row],[AI_OUT1]]</f>
        <v>9</v>
      </c>
      <c r="BF238" t="str">
        <f t="shared" si="105"/>
        <v>Support</v>
      </c>
      <c r="BG238">
        <f>survey_responses[[#This Row],[Sau khi xem xét các quyền lợi và nghĩa vụ, bạn có ủng hộ và tuân thủ chính sách mới hiện nay? - HUMAN-OUT1]]</f>
        <v>1</v>
      </c>
      <c r="BH238" t="str">
        <f t="shared" si="106"/>
        <v>Oppose</v>
      </c>
      <c r="BI238" s="32">
        <f t="shared" si="107"/>
        <v>8</v>
      </c>
    </row>
    <row r="239" spans="1:61" x14ac:dyDescent="0.45">
      <c r="A239" s="30">
        <f>step3_validation[[#This Row],[Persona_ID]]</f>
        <v>238</v>
      </c>
      <c r="B239" s="31">
        <f>step3_validation[[#This Row],[Used_Seed]]</f>
        <v>12582</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23.801704615176334</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7</v>
      </c>
      <c r="R239" t="str">
        <f t="shared" si="81"/>
        <v>Neutral</v>
      </c>
      <c r="S239">
        <f>survey_responses[[#This Row],[Tôi tin rằng với các quy định quản lý thuế hiện nay, hành vi gian lận hoặc trốn thuế sẽ dễ dàng bị phát hiện và xử lý nghiêm. - HUMAN-ENF1]]</f>
        <v>8</v>
      </c>
      <c r="T239" t="str">
        <f t="shared" si="82"/>
        <v>Support</v>
      </c>
      <c r="U239" s="32">
        <f t="shared" si="83"/>
        <v>1</v>
      </c>
      <c r="V239">
        <f>step3_validation[[#This Row],[AI_ENF2]]</f>
        <v>8</v>
      </c>
      <c r="W239" t="str">
        <f t="shared" si="84"/>
        <v>Support</v>
      </c>
      <c r="X239">
        <f>survey_responses[[#This Row],[Tôi tin rằng Nhà nước, cơ quan thuế có đủ khả năng và công nghệ để phát hiện, xử lý nghiêm các hành vi trốn thuế. - HUMAN-ENF2]]</f>
        <v>10</v>
      </c>
      <c r="Y239" t="str">
        <f t="shared" si="85"/>
        <v>Support</v>
      </c>
      <c r="Z239" s="32">
        <f t="shared" si="86"/>
        <v>2</v>
      </c>
      <c r="AA239">
        <f>step3_validation[[#This Row],[AI_FAC1]]</f>
        <v>9</v>
      </c>
      <c r="AB239" t="str">
        <f t="shared" si="87"/>
        <v>Support</v>
      </c>
      <c r="AC239">
        <f>survey_responses[[#This Row],[Các thủ tục khai báo thuế VÀ/HOẶC quy trình làm việc với cơ quan thuế đơn giản, tiện lợi, nhanh chóng hơn so với trước đây. - HUMAN-FAC1]]</f>
        <v>8</v>
      </c>
      <c r="AD239" t="str">
        <f t="shared" si="88"/>
        <v>Support</v>
      </c>
      <c r="AE239" s="32">
        <f t="shared" si="89"/>
        <v>1</v>
      </c>
      <c r="AF239">
        <f>step3_validation[[#This Row],[AI_FAC2]]</f>
        <v>8</v>
      </c>
      <c r="AG239" t="str">
        <f t="shared" si="90"/>
        <v>Support</v>
      </c>
      <c r="AH239">
        <f>survey_responses[[#This Row],[So với trước đây, tôi thấy cách tính thuế và các bậc thuế trong phương án mới đơn giản, dễ hiểu và dễ thực hiện hơn. - HUMAN-FAC2]]</f>
        <v>10</v>
      </c>
      <c r="AI239" t="str">
        <f t="shared" si="91"/>
        <v>Support</v>
      </c>
      <c r="AJ239" s="32">
        <f t="shared" si="92"/>
        <v>2</v>
      </c>
      <c r="AK239">
        <f>step3_validation[[#This Row],[AI_TRU1]]</f>
        <v>9</v>
      </c>
      <c r="AL239" t="str">
        <f t="shared" si="93"/>
        <v>Support</v>
      </c>
      <c r="AM239">
        <f>survey_responses[[#This Row],[Tôi tin rằng Nhà nước, cơ quan thuế sẽ thực thi chính sách mới một cách khách quan, công tâm và đối xử bình đẳng với mọi người nộp thuế.  - HUMAN-TRU1]]</f>
        <v>9</v>
      </c>
      <c r="AN239" t="str">
        <f t="shared" si="94"/>
        <v>Support</v>
      </c>
      <c r="AO239" s="32">
        <f t="shared" si="95"/>
        <v>0</v>
      </c>
      <c r="AP239">
        <f>step3_validation[[#This Row],[AI_TRU2]]</f>
        <v>8</v>
      </c>
      <c r="AQ239" t="str">
        <f t="shared" si="96"/>
        <v>Support</v>
      </c>
      <c r="AR239">
        <f>survey_responses[[#This Row],[Tôi thấy mức thuế tôi phải đóng theo phương án mới là công bằng (người thu nhập như tôi đóng mức này là hợp lý). - HUMAN-TRU2]]</f>
        <v>8</v>
      </c>
      <c r="AS239" t="str">
        <f t="shared" si="97"/>
        <v>Support</v>
      </c>
      <c r="AT239" s="32">
        <f t="shared" si="98"/>
        <v>0</v>
      </c>
      <c r="AU239">
        <f>step3_validation[[#This Row],[AI_TRU3]]</f>
        <v>7</v>
      </c>
      <c r="AV239" t="str">
        <f t="shared" si="99"/>
        <v>Neutral</v>
      </c>
      <c r="AW239">
        <f>survey_responses[[#This Row],[Tôi tin tưởng số tiền thuế tôi đóng sẽ được Nhà nước sử dụng hiệu quả để cải thiện dịch vụ công (y tế, đường xá...). - HUMAN-TRU3]]</f>
        <v>7</v>
      </c>
      <c r="AX239" t="str">
        <f t="shared" si="100"/>
        <v>Neutral</v>
      </c>
      <c r="AY239" s="32">
        <f t="shared" si="101"/>
        <v>0</v>
      </c>
      <c r="AZ239">
        <f>step3_validation[[#This Row],[AI_TRU4]]</f>
        <v>8</v>
      </c>
      <c r="BA239" t="str">
        <f t="shared" si="102"/>
        <v>Support</v>
      </c>
      <c r="BB239">
        <f>survey_responses[[#This Row],[Tôi thấy Nhà nước đã giải thích rõ ràng, minh bạch về lý do và mục tiêu của việc sửa đổi thuế lần này. - HUMAN-TRU4]]</f>
        <v>9</v>
      </c>
      <c r="BC239" t="str">
        <f t="shared" si="103"/>
        <v>Support</v>
      </c>
      <c r="BD239" s="32">
        <f t="shared" si="104"/>
        <v>1</v>
      </c>
      <c r="BE239">
        <f>step3_validation[[#This Row],[AI_OUT1]]</f>
        <v>9</v>
      </c>
      <c r="BF239" t="str">
        <f t="shared" si="105"/>
        <v>Support</v>
      </c>
      <c r="BG239">
        <f>survey_responses[[#This Row],[Sau khi xem xét các quyền lợi và nghĩa vụ, bạn có ủng hộ và tuân thủ chính sách mới hiện nay? - HUMAN-OUT1]]</f>
        <v>9</v>
      </c>
      <c r="BH239" t="str">
        <f t="shared" si="106"/>
        <v>Support</v>
      </c>
      <c r="BI239" s="32">
        <f t="shared" si="107"/>
        <v>0</v>
      </c>
    </row>
    <row r="240" spans="1:61" x14ac:dyDescent="0.45">
      <c r="A240" s="30">
        <f>step3_validation[[#This Row],[Persona_ID]]</f>
        <v>239</v>
      </c>
      <c r="B240" s="31">
        <f>step3_validation[[#This Row],[Used_Seed]]</f>
        <v>12583</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96.861978178096948</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8</v>
      </c>
      <c r="R240" t="str">
        <f t="shared" si="81"/>
        <v>Support</v>
      </c>
      <c r="S240">
        <f>survey_responses[[#This Row],[Tôi tin rằng với các quy định quản lý thuế hiện nay, hành vi gian lận hoặc trốn thuế sẽ dễ dàng bị phát hiện và xử lý nghiêm. - HUMAN-ENF1]]</f>
        <v>6</v>
      </c>
      <c r="T240" t="str">
        <f t="shared" si="82"/>
        <v>Neutral</v>
      </c>
      <c r="U240" s="32">
        <f t="shared" si="83"/>
        <v>2</v>
      </c>
      <c r="V240">
        <f>step3_validation[[#This Row],[AI_ENF2]]</f>
        <v>7</v>
      </c>
      <c r="W240" t="str">
        <f t="shared" si="84"/>
        <v>Neutral</v>
      </c>
      <c r="X240">
        <f>survey_responses[[#This Row],[Tôi tin rằng Nhà nước, cơ quan thuế có đủ khả năng và công nghệ để phát hiện, xử lý nghiêm các hành vi trốn thuế. - HUMAN-ENF2]]</f>
        <v>6</v>
      </c>
      <c r="Y240" t="str">
        <f t="shared" si="85"/>
        <v>Neutral</v>
      </c>
      <c r="Z240" s="32">
        <f t="shared" si="86"/>
        <v>1</v>
      </c>
      <c r="AA240">
        <f>step3_validation[[#This Row],[AI_FAC1]]</f>
        <v>9</v>
      </c>
      <c r="AB240" t="str">
        <f t="shared" si="87"/>
        <v>Support</v>
      </c>
      <c r="AC240">
        <f>survey_responses[[#This Row],[Các thủ tục khai báo thuế VÀ/HOẶC quy trình làm việc với cơ quan thuế đơn giản, tiện lợi, nhanh chóng hơn so với trước đây. - HUMAN-FAC1]]</f>
        <v>6</v>
      </c>
      <c r="AD240" t="str">
        <f t="shared" si="88"/>
        <v>Neutral</v>
      </c>
      <c r="AE240" s="32">
        <f t="shared" si="89"/>
        <v>3</v>
      </c>
      <c r="AF240">
        <f>step3_validation[[#This Row],[AI_FAC2]]</f>
        <v>8</v>
      </c>
      <c r="AG240" t="str">
        <f t="shared" si="90"/>
        <v>Support</v>
      </c>
      <c r="AH240">
        <f>survey_responses[[#This Row],[So với trước đây, tôi thấy cách tính thuế và các bậc thuế trong phương án mới đơn giản, dễ hiểu và dễ thực hiện hơn. - HUMAN-FAC2]]</f>
        <v>6</v>
      </c>
      <c r="AI240" t="str">
        <f t="shared" si="91"/>
        <v>Neutral</v>
      </c>
      <c r="AJ240" s="32">
        <f t="shared" si="92"/>
        <v>2</v>
      </c>
      <c r="AK240">
        <f>step3_validation[[#This Row],[AI_TRU1]]</f>
        <v>7</v>
      </c>
      <c r="AL240" t="str">
        <f t="shared" si="93"/>
        <v>Neutral</v>
      </c>
      <c r="AM240">
        <f>survey_responses[[#This Row],[Tôi tin rằng Nhà nước, cơ quan thuế sẽ thực thi chính sách mới một cách khách quan, công tâm và đối xử bình đẳng với mọi người nộp thuế.  - HUMAN-TRU1]]</f>
        <v>6</v>
      </c>
      <c r="AN240" t="str">
        <f t="shared" si="94"/>
        <v>Neutral</v>
      </c>
      <c r="AO240" s="32">
        <f t="shared" si="95"/>
        <v>1</v>
      </c>
      <c r="AP240">
        <f>step3_validation[[#This Row],[AI_TRU2]]</f>
        <v>9</v>
      </c>
      <c r="AQ240" t="str">
        <f t="shared" si="96"/>
        <v>Support</v>
      </c>
      <c r="AR240">
        <f>survey_responses[[#This Row],[Tôi thấy mức thuế tôi phải đóng theo phương án mới là công bằng (người thu nhập như tôi đóng mức này là hợp lý). - HUMAN-TRU2]]</f>
        <v>6</v>
      </c>
      <c r="AS240" t="str">
        <f t="shared" si="97"/>
        <v>Neutral</v>
      </c>
      <c r="AT240" s="32">
        <f t="shared" si="98"/>
        <v>3</v>
      </c>
      <c r="AU240">
        <f>step3_validation[[#This Row],[AI_TRU3]]</f>
        <v>8</v>
      </c>
      <c r="AV240" t="str">
        <f t="shared" si="99"/>
        <v>Support</v>
      </c>
      <c r="AW240">
        <f>survey_responses[[#This Row],[Tôi tin tưởng số tiền thuế tôi đóng sẽ được Nhà nước sử dụng hiệu quả để cải thiện dịch vụ công (y tế, đường xá...). - HUMAN-TRU3]]</f>
        <v>6</v>
      </c>
      <c r="AX240" t="str">
        <f t="shared" si="100"/>
        <v>Neutral</v>
      </c>
      <c r="AY240" s="32">
        <f t="shared" si="101"/>
        <v>2</v>
      </c>
      <c r="AZ240">
        <f>step3_validation[[#This Row],[AI_TRU4]]</f>
        <v>7</v>
      </c>
      <c r="BA240" t="str">
        <f t="shared" si="102"/>
        <v>Neutral</v>
      </c>
      <c r="BB240">
        <f>survey_responses[[#This Row],[Tôi thấy Nhà nước đã giải thích rõ ràng, minh bạch về lý do và mục tiêu của việc sửa đổi thuế lần này. - HUMAN-TRU4]]</f>
        <v>7</v>
      </c>
      <c r="BC240" t="str">
        <f t="shared" si="103"/>
        <v>Neutral</v>
      </c>
      <c r="BD240" s="32">
        <f t="shared" si="104"/>
        <v>0</v>
      </c>
      <c r="BE240">
        <f>step3_validation[[#This Row],[AI_OUT1]]</f>
        <v>9</v>
      </c>
      <c r="BF240" t="str">
        <f t="shared" si="105"/>
        <v>Support</v>
      </c>
      <c r="BG240">
        <f>survey_responses[[#This Row],[Sau khi xem xét các quyền lợi và nghĩa vụ, bạn có ủng hộ và tuân thủ chính sách mới hiện nay? - HUMAN-OUT1]]</f>
        <v>6</v>
      </c>
      <c r="BH240" t="str">
        <f t="shared" si="106"/>
        <v>Neutral</v>
      </c>
      <c r="BI240" s="32">
        <f t="shared" si="107"/>
        <v>3</v>
      </c>
    </row>
    <row r="241" spans="1:61" x14ac:dyDescent="0.45">
      <c r="A241" s="30">
        <f>step3_validation[[#This Row],[Persona_ID]]</f>
        <v>240</v>
      </c>
      <c r="B241" s="31">
        <f>step3_validation[[#This Row],[Used_Seed]]</f>
        <v>12584</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61.961746975968374</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t="str">
        <f t="shared" si="81"/>
        <v>Support</v>
      </c>
      <c r="S241">
        <f>survey_responses[[#This Row],[Tôi tin rằng với các quy định quản lý thuế hiện nay, hành vi gian lận hoặc trốn thuế sẽ dễ dàng bị phát hiện và xử lý nghiêm. - HUMAN-ENF1]]</f>
        <v>8</v>
      </c>
      <c r="T241" t="str">
        <f t="shared" si="82"/>
        <v>Support</v>
      </c>
      <c r="U241" s="32">
        <f t="shared" si="83"/>
        <v>0</v>
      </c>
      <c r="V241">
        <f>step3_validation[[#This Row],[AI_ENF2]]</f>
        <v>9</v>
      </c>
      <c r="W241" t="str">
        <f t="shared" si="84"/>
        <v>Support</v>
      </c>
      <c r="X241">
        <f>survey_responses[[#This Row],[Tôi tin rằng Nhà nước, cơ quan thuế có đủ khả năng và công nghệ để phát hiện, xử lý nghiêm các hành vi trốn thuế. - HUMAN-ENF2]]</f>
        <v>8</v>
      </c>
      <c r="Y241" t="str">
        <f t="shared" si="85"/>
        <v>Support</v>
      </c>
      <c r="Z241" s="32">
        <f t="shared" si="86"/>
        <v>1</v>
      </c>
      <c r="AA241">
        <f>step3_validation[[#This Row],[AI_FAC1]]</f>
        <v>8</v>
      </c>
      <c r="AB241" t="str">
        <f t="shared" si="87"/>
        <v>Support</v>
      </c>
      <c r="AC241">
        <f>survey_responses[[#This Row],[Các thủ tục khai báo thuế VÀ/HOẶC quy trình làm việc với cơ quan thuế đơn giản, tiện lợi, nhanh chóng hơn so với trước đây. - HUMAN-FAC1]]</f>
        <v>8</v>
      </c>
      <c r="AD241" t="str">
        <f t="shared" si="88"/>
        <v>Support</v>
      </c>
      <c r="AE241" s="32">
        <f t="shared" si="89"/>
        <v>0</v>
      </c>
      <c r="AF241">
        <f>step3_validation[[#This Row],[AI_FAC2]]</f>
        <v>9</v>
      </c>
      <c r="AG241" t="str">
        <f t="shared" si="90"/>
        <v>Support</v>
      </c>
      <c r="AH241">
        <f>survey_responses[[#This Row],[So với trước đây, tôi thấy cách tính thuế và các bậc thuế trong phương án mới đơn giản, dễ hiểu và dễ thực hiện hơn. - HUMAN-FAC2]]</f>
        <v>8</v>
      </c>
      <c r="AI241" t="str">
        <f t="shared" si="91"/>
        <v>Support</v>
      </c>
      <c r="AJ241" s="32">
        <f t="shared" si="92"/>
        <v>1</v>
      </c>
      <c r="AK241">
        <f>step3_validation[[#This Row],[AI_TRU1]]</f>
        <v>8</v>
      </c>
      <c r="AL241" t="str">
        <f t="shared" si="93"/>
        <v>Support</v>
      </c>
      <c r="AM241">
        <f>survey_responses[[#This Row],[Tôi tin rằng Nhà nước, cơ quan thuế sẽ thực thi chính sách mới một cách khách quan, công tâm và đối xử bình đẳng với mọi người nộp thuế.  - HUMAN-TRU1]]</f>
        <v>8</v>
      </c>
      <c r="AN241" t="str">
        <f t="shared" si="94"/>
        <v>Support</v>
      </c>
      <c r="AO241" s="32">
        <f t="shared" si="95"/>
        <v>0</v>
      </c>
      <c r="AP241">
        <f>step3_validation[[#This Row],[AI_TRU2]]</f>
        <v>9</v>
      </c>
      <c r="AQ241" t="str">
        <f t="shared" si="96"/>
        <v>Support</v>
      </c>
      <c r="AR241">
        <f>survey_responses[[#This Row],[Tôi thấy mức thuế tôi phải đóng theo phương án mới là công bằng (người thu nhập như tôi đóng mức này là hợp lý). - HUMAN-TRU2]]</f>
        <v>8</v>
      </c>
      <c r="AS241" t="str">
        <f t="shared" si="97"/>
        <v>Support</v>
      </c>
      <c r="AT241" s="32">
        <f t="shared" si="98"/>
        <v>1</v>
      </c>
      <c r="AU241">
        <f>step3_validation[[#This Row],[AI_TRU3]]</f>
        <v>8</v>
      </c>
      <c r="AV241" t="str">
        <f t="shared" si="99"/>
        <v>Support</v>
      </c>
      <c r="AW241">
        <f>survey_responses[[#This Row],[Tôi tin tưởng số tiền thuế tôi đóng sẽ được Nhà nước sử dụng hiệu quả để cải thiện dịch vụ công (y tế, đường xá...). - HUMAN-TRU3]]</f>
        <v>8</v>
      </c>
      <c r="AX241" t="str">
        <f t="shared" si="100"/>
        <v>Support</v>
      </c>
      <c r="AY241" s="32">
        <f t="shared" si="101"/>
        <v>0</v>
      </c>
      <c r="AZ241">
        <f>step3_validation[[#This Row],[AI_TRU4]]</f>
        <v>9</v>
      </c>
      <c r="BA241" t="str">
        <f t="shared" si="102"/>
        <v>Support</v>
      </c>
      <c r="BB241">
        <f>survey_responses[[#This Row],[Tôi thấy Nhà nước đã giải thích rõ ràng, minh bạch về lý do và mục tiêu của việc sửa đổi thuế lần này. - HUMAN-TRU4]]</f>
        <v>8</v>
      </c>
      <c r="BC241" t="str">
        <f t="shared" si="103"/>
        <v>Support</v>
      </c>
      <c r="BD241" s="32">
        <f t="shared" si="104"/>
        <v>1</v>
      </c>
      <c r="BE241">
        <f>step3_validation[[#This Row],[AI_OUT1]]</f>
        <v>9</v>
      </c>
      <c r="BF241" t="str">
        <f t="shared" si="105"/>
        <v>Support</v>
      </c>
      <c r="BG241">
        <f>survey_responses[[#This Row],[Sau khi xem xét các quyền lợi và nghĩa vụ, bạn có ủng hộ và tuân thủ chính sách mới hiện nay? - HUMAN-OUT1]]</f>
        <v>8</v>
      </c>
      <c r="BH241" t="str">
        <f t="shared" si="106"/>
        <v>Support</v>
      </c>
      <c r="BI241" s="32">
        <f t="shared" si="107"/>
        <v>1</v>
      </c>
    </row>
    <row r="242" spans="1:61" x14ac:dyDescent="0.45">
      <c r="A242" s="30">
        <f>step3_validation[[#This Row],[Persona_ID]]</f>
        <v>241</v>
      </c>
      <c r="B242" s="31">
        <f>step3_validation[[#This Row],[Used_Seed]]</f>
        <v>12585</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55.244096512194275</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6</v>
      </c>
      <c r="R242" t="str">
        <f t="shared" si="81"/>
        <v>Neutral</v>
      </c>
      <c r="S242">
        <f>survey_responses[[#This Row],[Tôi tin rằng với các quy định quản lý thuế hiện nay, hành vi gian lận hoặc trốn thuế sẽ dễ dàng bị phát hiện và xử lý nghiêm. - HUMAN-ENF1]]</f>
        <v>7</v>
      </c>
      <c r="T242" t="str">
        <f t="shared" si="82"/>
        <v>Neutral</v>
      </c>
      <c r="U242" s="32">
        <f t="shared" si="83"/>
        <v>1</v>
      </c>
      <c r="V242">
        <f>step3_validation[[#This Row],[AI_ENF2]]</f>
        <v>5</v>
      </c>
      <c r="W242" t="str">
        <f t="shared" si="84"/>
        <v>Neutral</v>
      </c>
      <c r="X242">
        <f>survey_responses[[#This Row],[Tôi tin rằng Nhà nước, cơ quan thuế có đủ khả năng và công nghệ để phát hiện, xử lý nghiêm các hành vi trốn thuế. - HUMAN-ENF2]]</f>
        <v>6</v>
      </c>
      <c r="Y242" t="str">
        <f t="shared" si="85"/>
        <v>Neutral</v>
      </c>
      <c r="Z242" s="32">
        <f t="shared" si="86"/>
        <v>1</v>
      </c>
      <c r="AA242">
        <f>step3_validation[[#This Row],[AI_FAC1]]</f>
        <v>9</v>
      </c>
      <c r="AB242" t="str">
        <f t="shared" si="87"/>
        <v>Support</v>
      </c>
      <c r="AC242">
        <f>survey_responses[[#This Row],[Các thủ tục khai báo thuế VÀ/HOẶC quy trình làm việc với cơ quan thuế đơn giản, tiện lợi, nhanh chóng hơn so với trước đây. - HUMAN-FAC1]]</f>
        <v>7</v>
      </c>
      <c r="AD242" t="str">
        <f t="shared" si="88"/>
        <v>Neutral</v>
      </c>
      <c r="AE242" s="32">
        <f t="shared" si="89"/>
        <v>2</v>
      </c>
      <c r="AF242">
        <f>step3_validation[[#This Row],[AI_FAC2]]</f>
        <v>7</v>
      </c>
      <c r="AG242" t="str">
        <f t="shared" si="90"/>
        <v>Neutral</v>
      </c>
      <c r="AH242">
        <f>survey_responses[[#This Row],[So với trước đây, tôi thấy cách tính thuế và các bậc thuế trong phương án mới đơn giản, dễ hiểu và dễ thực hiện hơn. - HUMAN-FAC2]]</f>
        <v>7</v>
      </c>
      <c r="AI242" t="str">
        <f t="shared" si="91"/>
        <v>Neutral</v>
      </c>
      <c r="AJ242" s="32">
        <f t="shared" si="92"/>
        <v>0</v>
      </c>
      <c r="AK242">
        <f>step3_validation[[#This Row],[AI_TRU1]]</f>
        <v>8</v>
      </c>
      <c r="AL242" t="str">
        <f t="shared" si="93"/>
        <v>Support</v>
      </c>
      <c r="AM242">
        <f>survey_responses[[#This Row],[Tôi tin rằng Nhà nước, cơ quan thuế sẽ thực thi chính sách mới một cách khách quan, công tâm và đối xử bình đẳng với mọi người nộp thuế.  - HUMAN-TRU1]]</f>
        <v>8</v>
      </c>
      <c r="AN242" t="str">
        <f t="shared" si="94"/>
        <v>Support</v>
      </c>
      <c r="AO242" s="32">
        <f t="shared" si="95"/>
        <v>0</v>
      </c>
      <c r="AP242">
        <f>step3_validation[[#This Row],[AI_TRU2]]</f>
        <v>7</v>
      </c>
      <c r="AQ242" t="str">
        <f t="shared" si="96"/>
        <v>Neutral</v>
      </c>
      <c r="AR242">
        <f>survey_responses[[#This Row],[Tôi thấy mức thuế tôi phải đóng theo phương án mới là công bằng (người thu nhập như tôi đóng mức này là hợp lý). - HUMAN-TRU2]]</f>
        <v>8</v>
      </c>
      <c r="AS242" t="str">
        <f t="shared" si="97"/>
        <v>Support</v>
      </c>
      <c r="AT242" s="32">
        <f t="shared" si="98"/>
        <v>1</v>
      </c>
      <c r="AU242">
        <f>step3_validation[[#This Row],[AI_TRU3]]</f>
        <v>8</v>
      </c>
      <c r="AV242" t="str">
        <f t="shared" si="99"/>
        <v>Support</v>
      </c>
      <c r="AW242">
        <f>survey_responses[[#This Row],[Tôi tin tưởng số tiền thuế tôi đóng sẽ được Nhà nước sử dụng hiệu quả để cải thiện dịch vụ công (y tế, đường xá...). - HUMAN-TRU3]]</f>
        <v>8</v>
      </c>
      <c r="AX242" t="str">
        <f t="shared" si="100"/>
        <v>Support</v>
      </c>
      <c r="AY242" s="32">
        <f t="shared" si="101"/>
        <v>0</v>
      </c>
      <c r="AZ242">
        <f>step3_validation[[#This Row],[AI_TRU4]]</f>
        <v>9</v>
      </c>
      <c r="BA242" t="str">
        <f t="shared" si="102"/>
        <v>Support</v>
      </c>
      <c r="BB242">
        <f>survey_responses[[#This Row],[Tôi thấy Nhà nước đã giải thích rõ ràng, minh bạch về lý do và mục tiêu của việc sửa đổi thuế lần này. - HUMAN-TRU4]]</f>
        <v>8</v>
      </c>
      <c r="BC242" t="str">
        <f t="shared" si="103"/>
        <v>Support</v>
      </c>
      <c r="BD242" s="32">
        <f t="shared" si="104"/>
        <v>1</v>
      </c>
      <c r="BE242">
        <f>step3_validation[[#This Row],[AI_OUT1]]</f>
        <v>8</v>
      </c>
      <c r="BF242" t="str">
        <f t="shared" si="105"/>
        <v>Support</v>
      </c>
      <c r="BG242">
        <f>survey_responses[[#This Row],[Sau khi xem xét các quyền lợi và nghĩa vụ, bạn có ủng hộ và tuân thủ chính sách mới hiện nay? - HUMAN-OUT1]]</f>
        <v>8</v>
      </c>
      <c r="BH242" t="str">
        <f t="shared" si="106"/>
        <v>Support</v>
      </c>
      <c r="BI242" s="32">
        <f t="shared" si="107"/>
        <v>0</v>
      </c>
    </row>
    <row r="243" spans="1:61" x14ac:dyDescent="0.45">
      <c r="A243" s="30">
        <f>step3_validation[[#This Row],[Persona_ID]]</f>
        <v>242</v>
      </c>
      <c r="B243" s="31">
        <f>step3_validation[[#This Row],[Used_Seed]]</f>
        <v>12586</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49.477002046177468</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t="str">
        <f t="shared" si="81"/>
        <v>Neutral</v>
      </c>
      <c r="S243">
        <f>survey_responses[[#This Row],[Tôi tin rằng với các quy định quản lý thuế hiện nay, hành vi gian lận hoặc trốn thuế sẽ dễ dàng bị phát hiện và xử lý nghiêm. - HUMAN-ENF1]]</f>
        <v>6</v>
      </c>
      <c r="T243" t="str">
        <f t="shared" si="82"/>
        <v>Neutral</v>
      </c>
      <c r="U243" s="32">
        <f t="shared" si="83"/>
        <v>1</v>
      </c>
      <c r="V243">
        <f>step3_validation[[#This Row],[AI_ENF2]]</f>
        <v>6</v>
      </c>
      <c r="W243" t="str">
        <f t="shared" si="84"/>
        <v>Neutral</v>
      </c>
      <c r="X243">
        <f>survey_responses[[#This Row],[Tôi tin rằng Nhà nước, cơ quan thuế có đủ khả năng và công nghệ để phát hiện, xử lý nghiêm các hành vi trốn thuế. - HUMAN-ENF2]]</f>
        <v>5</v>
      </c>
      <c r="Y243" t="str">
        <f t="shared" si="85"/>
        <v>Neutral</v>
      </c>
      <c r="Z243" s="32">
        <f t="shared" si="86"/>
        <v>1</v>
      </c>
      <c r="AA243">
        <f>step3_validation[[#This Row],[AI_FAC1]]</f>
        <v>8</v>
      </c>
      <c r="AB243" t="str">
        <f t="shared" si="87"/>
        <v>Support</v>
      </c>
      <c r="AC243">
        <f>survey_responses[[#This Row],[Các thủ tục khai báo thuế VÀ/HOẶC quy trình làm việc với cơ quan thuế đơn giản, tiện lợi, nhanh chóng hơn so với trước đây. - HUMAN-FAC1]]</f>
        <v>5</v>
      </c>
      <c r="AD243" t="str">
        <f t="shared" si="88"/>
        <v>Neutral</v>
      </c>
      <c r="AE243" s="32">
        <f t="shared" si="89"/>
        <v>3</v>
      </c>
      <c r="AF243">
        <f>step3_validation[[#This Row],[AI_FAC2]]</f>
        <v>9</v>
      </c>
      <c r="AG243" t="str">
        <f t="shared" si="90"/>
        <v>Support</v>
      </c>
      <c r="AH243">
        <f>survey_responses[[#This Row],[So với trước đây, tôi thấy cách tính thuế và các bậc thuế trong phương án mới đơn giản, dễ hiểu và dễ thực hiện hơn. - HUMAN-FAC2]]</f>
        <v>7</v>
      </c>
      <c r="AI243" t="str">
        <f t="shared" si="91"/>
        <v>Neutral</v>
      </c>
      <c r="AJ243" s="32">
        <f t="shared" si="92"/>
        <v>2</v>
      </c>
      <c r="AK243">
        <f>step3_validation[[#This Row],[AI_TRU1]]</f>
        <v>7</v>
      </c>
      <c r="AL243" t="str">
        <f t="shared" si="93"/>
        <v>Neutral</v>
      </c>
      <c r="AM243">
        <f>survey_responses[[#This Row],[Tôi tin rằng Nhà nước, cơ quan thuế sẽ thực thi chính sách mới một cách khách quan, công tâm và đối xử bình đẳng với mọi người nộp thuế.  - HUMAN-TRU1]]</f>
        <v>7</v>
      </c>
      <c r="AN243" t="str">
        <f t="shared" si="94"/>
        <v>Neutral</v>
      </c>
      <c r="AO243" s="32">
        <f t="shared" si="95"/>
        <v>0</v>
      </c>
      <c r="AP243">
        <f>step3_validation[[#This Row],[AI_TRU2]]</f>
        <v>8</v>
      </c>
      <c r="AQ243" t="str">
        <f t="shared" si="96"/>
        <v>Support</v>
      </c>
      <c r="AR243">
        <f>survey_responses[[#This Row],[Tôi thấy mức thuế tôi phải đóng theo phương án mới là công bằng (người thu nhập như tôi đóng mức này là hợp lý). - HUMAN-TRU2]]</f>
        <v>7</v>
      </c>
      <c r="AS243" t="str">
        <f t="shared" si="97"/>
        <v>Neutral</v>
      </c>
      <c r="AT243" s="32">
        <f t="shared" si="98"/>
        <v>1</v>
      </c>
      <c r="AU243">
        <f>step3_validation[[#This Row],[AI_TRU3]]</f>
        <v>7</v>
      </c>
      <c r="AV243" t="str">
        <f t="shared" si="99"/>
        <v>Neutral</v>
      </c>
      <c r="AW243">
        <f>survey_responses[[#This Row],[Tôi tin tưởng số tiền thuế tôi đóng sẽ được Nhà nước sử dụng hiệu quả để cải thiện dịch vụ công (y tế, đường xá...). - HUMAN-TRU3]]</f>
        <v>7</v>
      </c>
      <c r="AX243" t="str">
        <f t="shared" si="100"/>
        <v>Neutral</v>
      </c>
      <c r="AY243" s="32">
        <f t="shared" si="101"/>
        <v>0</v>
      </c>
      <c r="AZ243">
        <f>step3_validation[[#This Row],[AI_TRU4]]</f>
        <v>6</v>
      </c>
      <c r="BA243" t="str">
        <f t="shared" si="102"/>
        <v>Neutral</v>
      </c>
      <c r="BB243">
        <f>survey_responses[[#This Row],[Tôi thấy Nhà nước đã giải thích rõ ràng, minh bạch về lý do và mục tiêu của việc sửa đổi thuế lần này. - HUMAN-TRU4]]</f>
        <v>8</v>
      </c>
      <c r="BC243" t="str">
        <f t="shared" si="103"/>
        <v>Support</v>
      </c>
      <c r="BD243" s="32">
        <f t="shared" si="104"/>
        <v>2</v>
      </c>
      <c r="BE243">
        <f>step3_validation[[#This Row],[AI_OUT1]]</f>
        <v>8</v>
      </c>
      <c r="BF243" t="str">
        <f t="shared" si="105"/>
        <v>Support</v>
      </c>
      <c r="BG243">
        <f>survey_responses[[#This Row],[Sau khi xem xét các quyền lợi và nghĩa vụ, bạn có ủng hộ và tuân thủ chính sách mới hiện nay? - HUMAN-OUT1]]</f>
        <v>8</v>
      </c>
      <c r="BH243" t="str">
        <f t="shared" si="106"/>
        <v>Support</v>
      </c>
      <c r="BI243" s="32">
        <f t="shared" si="107"/>
        <v>0</v>
      </c>
    </row>
    <row r="244" spans="1:61" x14ac:dyDescent="0.45">
      <c r="A244" s="30">
        <f>step3_validation[[#This Row],[Persona_ID]]</f>
        <v>243</v>
      </c>
      <c r="B244" s="31">
        <f>step3_validation[[#This Row],[Used_Seed]]</f>
        <v>12587</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73.91270643903151</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6</v>
      </c>
      <c r="R244" t="str">
        <f t="shared" si="81"/>
        <v>Neutral</v>
      </c>
      <c r="S244">
        <f>survey_responses[[#This Row],[Tôi tin rằng với các quy định quản lý thuế hiện nay, hành vi gian lận hoặc trốn thuế sẽ dễ dàng bị phát hiện và xử lý nghiêm. - HUMAN-ENF1]]</f>
        <v>6</v>
      </c>
      <c r="T244" t="str">
        <f t="shared" si="82"/>
        <v>Neutral</v>
      </c>
      <c r="U244" s="32">
        <f t="shared" si="83"/>
        <v>0</v>
      </c>
      <c r="V244">
        <f>step3_validation[[#This Row],[AI_ENF2]]</f>
        <v>6</v>
      </c>
      <c r="W244" t="str">
        <f t="shared" si="84"/>
        <v>Neutral</v>
      </c>
      <c r="X244">
        <f>survey_responses[[#This Row],[Tôi tin rằng Nhà nước, cơ quan thuế có đủ khả năng và công nghệ để phát hiện, xử lý nghiêm các hành vi trốn thuế. - HUMAN-ENF2]]</f>
        <v>6</v>
      </c>
      <c r="Y244" t="str">
        <f t="shared" si="85"/>
        <v>Neutral</v>
      </c>
      <c r="Z244" s="32">
        <f t="shared" si="86"/>
        <v>0</v>
      </c>
      <c r="AA244">
        <f>step3_validation[[#This Row],[AI_FAC1]]</f>
        <v>7</v>
      </c>
      <c r="AB244" t="str">
        <f t="shared" si="87"/>
        <v>Neutral</v>
      </c>
      <c r="AC244">
        <f>survey_responses[[#This Row],[Các thủ tục khai báo thuế VÀ/HOẶC quy trình làm việc với cơ quan thuế đơn giản, tiện lợi, nhanh chóng hơn so với trước đây. - HUMAN-FAC1]]</f>
        <v>6</v>
      </c>
      <c r="AD244" t="str">
        <f t="shared" si="88"/>
        <v>Neutral</v>
      </c>
      <c r="AE244" s="32">
        <f t="shared" si="89"/>
        <v>1</v>
      </c>
      <c r="AF244">
        <f>step3_validation[[#This Row],[AI_FAC2]]</f>
        <v>8</v>
      </c>
      <c r="AG244" t="str">
        <f t="shared" si="90"/>
        <v>Support</v>
      </c>
      <c r="AH244">
        <f>survey_responses[[#This Row],[So với trước đây, tôi thấy cách tính thuế và các bậc thuế trong phương án mới đơn giản, dễ hiểu và dễ thực hiện hơn. - HUMAN-FAC2]]</f>
        <v>6</v>
      </c>
      <c r="AI244" t="str">
        <f t="shared" si="91"/>
        <v>Neutral</v>
      </c>
      <c r="AJ244" s="32">
        <f t="shared" si="92"/>
        <v>2</v>
      </c>
      <c r="AK244">
        <f>step3_validation[[#This Row],[AI_TRU1]]</f>
        <v>7</v>
      </c>
      <c r="AL244" t="str">
        <f t="shared" si="93"/>
        <v>Neutral</v>
      </c>
      <c r="AM244">
        <f>survey_responses[[#This Row],[Tôi tin rằng Nhà nước, cơ quan thuế sẽ thực thi chính sách mới một cách khách quan, công tâm và đối xử bình đẳng với mọi người nộp thuế.  - HUMAN-TRU1]]</f>
        <v>6</v>
      </c>
      <c r="AN244" t="str">
        <f t="shared" si="94"/>
        <v>Neutral</v>
      </c>
      <c r="AO244" s="32">
        <f t="shared" si="95"/>
        <v>1</v>
      </c>
      <c r="AP244">
        <f>step3_validation[[#This Row],[AI_TRU2]]</f>
        <v>9</v>
      </c>
      <c r="AQ244" t="str">
        <f t="shared" si="96"/>
        <v>Support</v>
      </c>
      <c r="AR244">
        <f>survey_responses[[#This Row],[Tôi thấy mức thuế tôi phải đóng theo phương án mới là công bằng (người thu nhập như tôi đóng mức này là hợp lý). - HUMAN-TRU2]]</f>
        <v>6</v>
      </c>
      <c r="AS244" t="str">
        <f t="shared" si="97"/>
        <v>Neutral</v>
      </c>
      <c r="AT244" s="32">
        <f t="shared" si="98"/>
        <v>3</v>
      </c>
      <c r="AU244">
        <f>step3_validation[[#This Row],[AI_TRU3]]</f>
        <v>8</v>
      </c>
      <c r="AV244" t="str">
        <f t="shared" si="99"/>
        <v>Support</v>
      </c>
      <c r="AW244">
        <f>survey_responses[[#This Row],[Tôi tin tưởng số tiền thuế tôi đóng sẽ được Nhà nước sử dụng hiệu quả để cải thiện dịch vụ công (y tế, đường xá...). - HUMAN-TRU3]]</f>
        <v>6</v>
      </c>
      <c r="AX244" t="str">
        <f t="shared" si="100"/>
        <v>Neutral</v>
      </c>
      <c r="AY244" s="32">
        <f t="shared" si="101"/>
        <v>2</v>
      </c>
      <c r="AZ244">
        <f>step3_validation[[#This Row],[AI_TRU4]]</f>
        <v>9</v>
      </c>
      <c r="BA244" t="str">
        <f t="shared" si="102"/>
        <v>Support</v>
      </c>
      <c r="BB244">
        <f>survey_responses[[#This Row],[Tôi thấy Nhà nước đã giải thích rõ ràng, minh bạch về lý do và mục tiêu của việc sửa đổi thuế lần này. - HUMAN-TRU4]]</f>
        <v>6</v>
      </c>
      <c r="BC244" t="str">
        <f t="shared" si="103"/>
        <v>Neutral</v>
      </c>
      <c r="BD244" s="32">
        <f t="shared" si="104"/>
        <v>3</v>
      </c>
      <c r="BE244">
        <f>step3_validation[[#This Row],[AI_OUT1]]</f>
        <v>8</v>
      </c>
      <c r="BF244" t="str">
        <f t="shared" si="105"/>
        <v>Support</v>
      </c>
      <c r="BG244">
        <f>survey_responses[[#This Row],[Sau khi xem xét các quyền lợi và nghĩa vụ, bạn có ủng hộ và tuân thủ chính sách mới hiện nay? - HUMAN-OUT1]]</f>
        <v>6</v>
      </c>
      <c r="BH244" t="str">
        <f t="shared" si="106"/>
        <v>Neutral</v>
      </c>
      <c r="BI244" s="32">
        <f t="shared" si="107"/>
        <v>2</v>
      </c>
    </row>
    <row r="245" spans="1:61" x14ac:dyDescent="0.45">
      <c r="A245" s="30">
        <f>step3_validation[[#This Row],[Persona_ID]]</f>
        <v>244</v>
      </c>
      <c r="B245" s="31">
        <f>step3_validation[[#This Row],[Used_Seed]]</f>
        <v>12588</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62.774756718616466</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8</v>
      </c>
      <c r="R245" t="str">
        <f t="shared" si="81"/>
        <v>Support</v>
      </c>
      <c r="S245">
        <f>survey_responses[[#This Row],[Tôi tin rằng với các quy định quản lý thuế hiện nay, hành vi gian lận hoặc trốn thuế sẽ dễ dàng bị phát hiện và xử lý nghiêm. - HUMAN-ENF1]]</f>
        <v>7</v>
      </c>
      <c r="T245" t="str">
        <f t="shared" si="82"/>
        <v>Neutral</v>
      </c>
      <c r="U245" s="32">
        <f t="shared" si="83"/>
        <v>1</v>
      </c>
      <c r="V245">
        <f>step3_validation[[#This Row],[AI_ENF2]]</f>
        <v>7</v>
      </c>
      <c r="W245" t="str">
        <f t="shared" si="84"/>
        <v>Neutral</v>
      </c>
      <c r="X245">
        <f>survey_responses[[#This Row],[Tôi tin rằng Nhà nước, cơ quan thuế có đủ khả năng và công nghệ để phát hiện, xử lý nghiêm các hành vi trốn thuế. - HUMAN-ENF2]]</f>
        <v>6</v>
      </c>
      <c r="Y245" t="str">
        <f t="shared" si="85"/>
        <v>Neutral</v>
      </c>
      <c r="Z245" s="32">
        <f t="shared" si="86"/>
        <v>1</v>
      </c>
      <c r="AA245">
        <f>step3_validation[[#This Row],[AI_FAC1]]</f>
        <v>9</v>
      </c>
      <c r="AB245" t="str">
        <f t="shared" si="87"/>
        <v>Support</v>
      </c>
      <c r="AC245">
        <f>survey_responses[[#This Row],[Các thủ tục khai báo thuế VÀ/HOẶC quy trình làm việc với cơ quan thuế đơn giản, tiện lợi, nhanh chóng hơn so với trước đây. - HUMAN-FAC1]]</f>
        <v>6</v>
      </c>
      <c r="AD245" t="str">
        <f t="shared" si="88"/>
        <v>Neutral</v>
      </c>
      <c r="AE245" s="32">
        <f t="shared" si="89"/>
        <v>3</v>
      </c>
      <c r="AF245">
        <f>step3_validation[[#This Row],[AI_FAC2]]</f>
        <v>9</v>
      </c>
      <c r="AG245" t="str">
        <f t="shared" si="90"/>
        <v>Support</v>
      </c>
      <c r="AH245">
        <f>survey_responses[[#This Row],[So với trước đây, tôi thấy cách tính thuế và các bậc thuế trong phương án mới đơn giản, dễ hiểu và dễ thực hiện hơn. - HUMAN-FAC2]]</f>
        <v>8</v>
      </c>
      <c r="AI245" t="str">
        <f t="shared" si="91"/>
        <v>Support</v>
      </c>
      <c r="AJ245" s="32">
        <f t="shared" si="92"/>
        <v>1</v>
      </c>
      <c r="AK245">
        <f>step3_validation[[#This Row],[AI_TRU1]]</f>
        <v>8</v>
      </c>
      <c r="AL245" t="str">
        <f t="shared" si="93"/>
        <v>Support</v>
      </c>
      <c r="AM245">
        <f>survey_responses[[#This Row],[Tôi tin rằng Nhà nước, cơ quan thuế sẽ thực thi chính sách mới một cách khách quan, công tâm và đối xử bình đẳng với mọi người nộp thuế.  - HUMAN-TRU1]]</f>
        <v>6</v>
      </c>
      <c r="AN245" t="str">
        <f t="shared" si="94"/>
        <v>Neutral</v>
      </c>
      <c r="AO245" s="32">
        <f t="shared" si="95"/>
        <v>2</v>
      </c>
      <c r="AP245">
        <f>step3_validation[[#This Row],[AI_TRU2]]</f>
        <v>9</v>
      </c>
      <c r="AQ245" t="str">
        <f t="shared" si="96"/>
        <v>Support</v>
      </c>
      <c r="AR245">
        <f>survey_responses[[#This Row],[Tôi thấy mức thuế tôi phải đóng theo phương án mới là công bằng (người thu nhập như tôi đóng mức này là hợp lý). - HUMAN-TRU2]]</f>
        <v>6</v>
      </c>
      <c r="AS245" t="str">
        <f t="shared" si="97"/>
        <v>Neutral</v>
      </c>
      <c r="AT245" s="32">
        <f t="shared" si="98"/>
        <v>3</v>
      </c>
      <c r="AU245">
        <f>step3_validation[[#This Row],[AI_TRU3]]</f>
        <v>8</v>
      </c>
      <c r="AV245" t="str">
        <f t="shared" si="99"/>
        <v>Support</v>
      </c>
      <c r="AW245">
        <f>survey_responses[[#This Row],[Tôi tin tưởng số tiền thuế tôi đóng sẽ được Nhà nước sử dụng hiệu quả để cải thiện dịch vụ công (y tế, đường xá...). - HUMAN-TRU3]]</f>
        <v>6</v>
      </c>
      <c r="AX245" t="str">
        <f t="shared" si="100"/>
        <v>Neutral</v>
      </c>
      <c r="AY245" s="32">
        <f t="shared" si="101"/>
        <v>2</v>
      </c>
      <c r="AZ245">
        <f>step3_validation[[#This Row],[AI_TRU4]]</f>
        <v>9</v>
      </c>
      <c r="BA245" t="str">
        <f t="shared" si="102"/>
        <v>Support</v>
      </c>
      <c r="BB245">
        <f>survey_responses[[#This Row],[Tôi thấy Nhà nước đã giải thích rõ ràng, minh bạch về lý do và mục tiêu của việc sửa đổi thuế lần này. - HUMAN-TRU4]]</f>
        <v>6</v>
      </c>
      <c r="BC245" t="str">
        <f t="shared" si="103"/>
        <v>Neutral</v>
      </c>
      <c r="BD245" s="32">
        <f t="shared" si="104"/>
        <v>3</v>
      </c>
      <c r="BE245">
        <f>step3_validation[[#This Row],[AI_OUT1]]</f>
        <v>10</v>
      </c>
      <c r="BF245" t="str">
        <f t="shared" si="105"/>
        <v>Support</v>
      </c>
      <c r="BG245">
        <f>survey_responses[[#This Row],[Sau khi xem xét các quyền lợi và nghĩa vụ, bạn có ủng hộ và tuân thủ chính sách mới hiện nay? - HUMAN-OUT1]]</f>
        <v>6</v>
      </c>
      <c r="BH245" t="str">
        <f t="shared" si="106"/>
        <v>Neutral</v>
      </c>
      <c r="BI245" s="32">
        <f t="shared" si="107"/>
        <v>4</v>
      </c>
    </row>
    <row r="246" spans="1:61" x14ac:dyDescent="0.45">
      <c r="A246" s="30">
        <f>step3_validation[[#This Row],[Persona_ID]]</f>
        <v>245</v>
      </c>
      <c r="B246" s="31">
        <f>step3_validation[[#This Row],[Used_Seed]]</f>
        <v>12589</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160.27799351115863</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8</v>
      </c>
      <c r="R246" t="str">
        <f t="shared" si="81"/>
        <v>Support</v>
      </c>
      <c r="S246">
        <f>survey_responses[[#This Row],[Tôi tin rằng với các quy định quản lý thuế hiện nay, hành vi gian lận hoặc trốn thuế sẽ dễ dàng bị phát hiện và xử lý nghiêm. - HUMAN-ENF1]]</f>
        <v>4</v>
      </c>
      <c r="T246" t="str">
        <f t="shared" si="82"/>
        <v>Oppose</v>
      </c>
      <c r="U246" s="32">
        <f t="shared" si="83"/>
        <v>4</v>
      </c>
      <c r="V246">
        <f>step3_validation[[#This Row],[AI_ENF2]]</f>
        <v>7</v>
      </c>
      <c r="W246" t="str">
        <f t="shared" si="84"/>
        <v>Neutral</v>
      </c>
      <c r="X246">
        <f>survey_responses[[#This Row],[Tôi tin rằng Nhà nước, cơ quan thuế có đủ khả năng và công nghệ để phát hiện, xử lý nghiêm các hành vi trốn thuế. - HUMAN-ENF2]]</f>
        <v>4</v>
      </c>
      <c r="Y246" t="str">
        <f t="shared" si="85"/>
        <v>Oppose</v>
      </c>
      <c r="Z246" s="32">
        <f t="shared" si="86"/>
        <v>3</v>
      </c>
      <c r="AA246">
        <f>step3_validation[[#This Row],[AI_FAC1]]</f>
        <v>6</v>
      </c>
      <c r="AB246" t="str">
        <f t="shared" si="87"/>
        <v>Neutral</v>
      </c>
      <c r="AC246">
        <f>survey_responses[[#This Row],[Các thủ tục khai báo thuế VÀ/HOẶC quy trình làm việc với cơ quan thuế đơn giản, tiện lợi, nhanh chóng hơn so với trước đây. - HUMAN-FAC1]]</f>
        <v>1</v>
      </c>
      <c r="AD246" t="str">
        <f t="shared" si="88"/>
        <v>Oppose</v>
      </c>
      <c r="AE246" s="32">
        <f t="shared" si="89"/>
        <v>5</v>
      </c>
      <c r="AF246">
        <f>step3_validation[[#This Row],[AI_FAC2]]</f>
        <v>9</v>
      </c>
      <c r="AG246" t="str">
        <f t="shared" si="90"/>
        <v>Support</v>
      </c>
      <c r="AH246">
        <f>survey_responses[[#This Row],[So với trước đây, tôi thấy cách tính thuế và các bậc thuế trong phương án mới đơn giản, dễ hiểu và dễ thực hiện hơn. - HUMAN-FAC2]]</f>
        <v>4</v>
      </c>
      <c r="AI246" t="str">
        <f t="shared" si="91"/>
        <v>Oppose</v>
      </c>
      <c r="AJ246" s="32">
        <f t="shared" si="92"/>
        <v>5</v>
      </c>
      <c r="AK246">
        <f>step3_validation[[#This Row],[AI_TRU1]]</f>
        <v>7</v>
      </c>
      <c r="AL246" t="str">
        <f t="shared" si="93"/>
        <v>Neutral</v>
      </c>
      <c r="AM246">
        <f>survey_responses[[#This Row],[Tôi tin rằng Nhà nước, cơ quan thuế sẽ thực thi chính sách mới một cách khách quan, công tâm và đối xử bình đẳng với mọi người nộp thuế.  - HUMAN-TRU1]]</f>
        <v>4</v>
      </c>
      <c r="AN246" t="str">
        <f t="shared" si="94"/>
        <v>Oppose</v>
      </c>
      <c r="AO246" s="32">
        <f t="shared" si="95"/>
        <v>3</v>
      </c>
      <c r="AP246">
        <f>step3_validation[[#This Row],[AI_TRU2]]</f>
        <v>8</v>
      </c>
      <c r="AQ246" t="str">
        <f t="shared" si="96"/>
        <v>Support</v>
      </c>
      <c r="AR246">
        <f>survey_responses[[#This Row],[Tôi thấy mức thuế tôi phải đóng theo phương án mới là công bằng (người thu nhập như tôi đóng mức này là hợp lý). - HUMAN-TRU2]]</f>
        <v>4</v>
      </c>
      <c r="AS246" t="str">
        <f t="shared" si="97"/>
        <v>Oppose</v>
      </c>
      <c r="AT246" s="32">
        <f t="shared" si="98"/>
        <v>4</v>
      </c>
      <c r="AU246">
        <f>step3_validation[[#This Row],[AI_TRU3]]</f>
        <v>7</v>
      </c>
      <c r="AV246" t="str">
        <f t="shared" si="99"/>
        <v>Neutral</v>
      </c>
      <c r="AW246">
        <f>survey_responses[[#This Row],[Tôi tin tưởng số tiền thuế tôi đóng sẽ được Nhà nước sử dụng hiệu quả để cải thiện dịch vụ công (y tế, đường xá...). - HUMAN-TRU3]]</f>
        <v>5</v>
      </c>
      <c r="AX246" t="str">
        <f t="shared" si="100"/>
        <v>Neutral</v>
      </c>
      <c r="AY246" s="32">
        <f t="shared" si="101"/>
        <v>2</v>
      </c>
      <c r="AZ246">
        <f>step3_validation[[#This Row],[AI_TRU4]]</f>
        <v>6</v>
      </c>
      <c r="BA246" t="str">
        <f t="shared" si="102"/>
        <v>Neutral</v>
      </c>
      <c r="BB246">
        <f>survey_responses[[#This Row],[Tôi thấy Nhà nước đã giải thích rõ ràng, minh bạch về lý do và mục tiêu của việc sửa đổi thuế lần này. - HUMAN-TRU4]]</f>
        <v>5</v>
      </c>
      <c r="BC246" t="str">
        <f t="shared" si="103"/>
        <v>Neutral</v>
      </c>
      <c r="BD246" s="32">
        <f t="shared" si="104"/>
        <v>1</v>
      </c>
      <c r="BE246">
        <f>step3_validation[[#This Row],[AI_OUT1]]</f>
        <v>8</v>
      </c>
      <c r="BF246" t="str">
        <f t="shared" si="105"/>
        <v>Support</v>
      </c>
      <c r="BG246">
        <f>survey_responses[[#This Row],[Sau khi xem xét các quyền lợi và nghĩa vụ, bạn có ủng hộ và tuân thủ chính sách mới hiện nay? - HUMAN-OUT1]]</f>
        <v>5</v>
      </c>
      <c r="BH246" t="str">
        <f t="shared" si="106"/>
        <v>Neutral</v>
      </c>
      <c r="BI246" s="32">
        <f t="shared" si="107"/>
        <v>3</v>
      </c>
    </row>
    <row r="247" spans="1:61" x14ac:dyDescent="0.45">
      <c r="A247" s="30">
        <f>step3_validation[[#This Row],[Persona_ID]]</f>
        <v>246</v>
      </c>
      <c r="B247" s="31">
        <f>step3_validation[[#This Row],[Used_Seed]]</f>
        <v>12590</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24.830761581250968</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5</v>
      </c>
      <c r="R247" t="str">
        <f t="shared" si="81"/>
        <v>Neutral</v>
      </c>
      <c r="S247">
        <f>survey_responses[[#This Row],[Tôi tin rằng với các quy định quản lý thuế hiện nay, hành vi gian lận hoặc trốn thuế sẽ dễ dàng bị phát hiện và xử lý nghiêm. - HUMAN-ENF1]]</f>
        <v>6</v>
      </c>
      <c r="T247" t="str">
        <f t="shared" si="82"/>
        <v>Neutral</v>
      </c>
      <c r="U247" s="32">
        <f t="shared" si="83"/>
        <v>1</v>
      </c>
      <c r="V247">
        <f>step3_validation[[#This Row],[AI_ENF2]]</f>
        <v>6</v>
      </c>
      <c r="W247" t="str">
        <f t="shared" si="84"/>
        <v>Neutral</v>
      </c>
      <c r="X247">
        <f>survey_responses[[#This Row],[Tôi tin rằng Nhà nước, cơ quan thuế có đủ khả năng và công nghệ để phát hiện, xử lý nghiêm các hành vi trốn thuế. - HUMAN-ENF2]]</f>
        <v>7</v>
      </c>
      <c r="Y247" t="str">
        <f t="shared" si="85"/>
        <v>Neutral</v>
      </c>
      <c r="Z247" s="32">
        <f t="shared" si="86"/>
        <v>1</v>
      </c>
      <c r="AA247">
        <f>step3_validation[[#This Row],[AI_FAC1]]</f>
        <v>7</v>
      </c>
      <c r="AB247" t="str">
        <f t="shared" si="87"/>
        <v>Neutral</v>
      </c>
      <c r="AC247">
        <f>survey_responses[[#This Row],[Các thủ tục khai báo thuế VÀ/HOẶC quy trình làm việc với cơ quan thuế đơn giản, tiện lợi, nhanh chóng hơn so với trước đây. - HUMAN-FAC1]]</f>
        <v>7</v>
      </c>
      <c r="AD247" t="str">
        <f t="shared" si="88"/>
        <v>Neutral</v>
      </c>
      <c r="AE247" s="32">
        <f t="shared" si="89"/>
        <v>0</v>
      </c>
      <c r="AF247">
        <f>step3_validation[[#This Row],[AI_FAC2]]</f>
        <v>9</v>
      </c>
      <c r="AG247" t="str">
        <f t="shared" si="90"/>
        <v>Support</v>
      </c>
      <c r="AH247">
        <f>survey_responses[[#This Row],[So với trước đây, tôi thấy cách tính thuế và các bậc thuế trong phương án mới đơn giản, dễ hiểu và dễ thực hiện hơn. - HUMAN-FAC2]]</f>
        <v>7</v>
      </c>
      <c r="AI247" t="str">
        <f t="shared" si="91"/>
        <v>Neutral</v>
      </c>
      <c r="AJ247" s="32">
        <f t="shared" si="92"/>
        <v>2</v>
      </c>
      <c r="AK247">
        <f>step3_validation[[#This Row],[AI_TRU1]]</f>
        <v>8</v>
      </c>
      <c r="AL247" t="str">
        <f t="shared" si="93"/>
        <v>Support</v>
      </c>
      <c r="AM247">
        <f>survey_responses[[#This Row],[Tôi tin rằng Nhà nước, cơ quan thuế sẽ thực thi chính sách mới một cách khách quan, công tâm và đối xử bình đẳng với mọi người nộp thuế.  - HUMAN-TRU1]]</f>
        <v>7</v>
      </c>
      <c r="AN247" t="str">
        <f t="shared" si="94"/>
        <v>Neutral</v>
      </c>
      <c r="AO247" s="32">
        <f t="shared" si="95"/>
        <v>1</v>
      </c>
      <c r="AP247">
        <f>step3_validation[[#This Row],[AI_TRU2]]</f>
        <v>9</v>
      </c>
      <c r="AQ247" t="str">
        <f t="shared" si="96"/>
        <v>Support</v>
      </c>
      <c r="AR247">
        <f>survey_responses[[#This Row],[Tôi thấy mức thuế tôi phải đóng theo phương án mới là công bằng (người thu nhập như tôi đóng mức này là hợp lý). - HUMAN-TRU2]]</f>
        <v>7</v>
      </c>
      <c r="AS247" t="str">
        <f t="shared" si="97"/>
        <v>Neutral</v>
      </c>
      <c r="AT247" s="32">
        <f t="shared" si="98"/>
        <v>2</v>
      </c>
      <c r="AU247">
        <f>step3_validation[[#This Row],[AI_TRU3]]</f>
        <v>7</v>
      </c>
      <c r="AV247" t="str">
        <f t="shared" si="99"/>
        <v>Neutral</v>
      </c>
      <c r="AW247">
        <f>survey_responses[[#This Row],[Tôi tin tưởng số tiền thuế tôi đóng sẽ được Nhà nước sử dụng hiệu quả để cải thiện dịch vụ công (y tế, đường xá...). - HUMAN-TRU3]]</f>
        <v>7</v>
      </c>
      <c r="AX247" t="str">
        <f t="shared" si="100"/>
        <v>Neutral</v>
      </c>
      <c r="AY247" s="32">
        <f t="shared" si="101"/>
        <v>0</v>
      </c>
      <c r="AZ247">
        <f>step3_validation[[#This Row],[AI_TRU4]]</f>
        <v>6</v>
      </c>
      <c r="BA247" t="str">
        <f t="shared" si="102"/>
        <v>Neutral</v>
      </c>
      <c r="BB247">
        <f>survey_responses[[#This Row],[Tôi thấy Nhà nước đã giải thích rõ ràng, minh bạch về lý do và mục tiêu của việc sửa đổi thuế lần này. - HUMAN-TRU4]]</f>
        <v>7</v>
      </c>
      <c r="BC247" t="str">
        <f t="shared" si="103"/>
        <v>Neutral</v>
      </c>
      <c r="BD247" s="32">
        <f t="shared" si="104"/>
        <v>1</v>
      </c>
      <c r="BE247">
        <f>step3_validation[[#This Row],[AI_OUT1]]</f>
        <v>9</v>
      </c>
      <c r="BF247" t="str">
        <f t="shared" si="105"/>
        <v>Support</v>
      </c>
      <c r="BG247">
        <f>survey_responses[[#This Row],[Sau khi xem xét các quyền lợi và nghĩa vụ, bạn có ủng hộ và tuân thủ chính sách mới hiện nay? - HUMAN-OUT1]]</f>
        <v>7</v>
      </c>
      <c r="BH247" t="str">
        <f t="shared" si="106"/>
        <v>Neutral</v>
      </c>
      <c r="BI247" s="32">
        <f t="shared" si="107"/>
        <v>2</v>
      </c>
    </row>
    <row r="248" spans="1:61" x14ac:dyDescent="0.45">
      <c r="A248" s="30">
        <f>step3_validation[[#This Row],[Persona_ID]]</f>
        <v>247</v>
      </c>
      <c r="B248" s="31">
        <f>step3_validation[[#This Row],[Used_Seed]]</f>
        <v>12591</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51.908259134031475</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t="str">
        <f t="shared" si="81"/>
        <v>Support</v>
      </c>
      <c r="S248">
        <f>survey_responses[[#This Row],[Tôi tin rằng với các quy định quản lý thuế hiện nay, hành vi gian lận hoặc trốn thuế sẽ dễ dàng bị phát hiện và xử lý nghiêm. - HUMAN-ENF1]]</f>
        <v>8</v>
      </c>
      <c r="T248" t="str">
        <f t="shared" si="82"/>
        <v>Support</v>
      </c>
      <c r="U248" s="32">
        <f t="shared" si="83"/>
        <v>0</v>
      </c>
      <c r="V248">
        <f>step3_validation[[#This Row],[AI_ENF2]]</f>
        <v>8</v>
      </c>
      <c r="W248" t="str">
        <f t="shared" si="84"/>
        <v>Support</v>
      </c>
      <c r="X248">
        <f>survey_responses[[#This Row],[Tôi tin rằng Nhà nước, cơ quan thuế có đủ khả năng và công nghệ để phát hiện, xử lý nghiêm các hành vi trốn thuế. - HUMAN-ENF2]]</f>
        <v>8</v>
      </c>
      <c r="Y248" t="str">
        <f t="shared" si="85"/>
        <v>Support</v>
      </c>
      <c r="Z248" s="32">
        <f t="shared" si="86"/>
        <v>0</v>
      </c>
      <c r="AA248">
        <f>step3_validation[[#This Row],[AI_FAC1]]</f>
        <v>9</v>
      </c>
      <c r="AB248" t="str">
        <f t="shared" si="87"/>
        <v>Support</v>
      </c>
      <c r="AC248">
        <f>survey_responses[[#This Row],[Các thủ tục khai báo thuế VÀ/HOẶC quy trình làm việc với cơ quan thuế đơn giản, tiện lợi, nhanh chóng hơn so với trước đây. - HUMAN-FAC1]]</f>
        <v>8</v>
      </c>
      <c r="AD248" t="str">
        <f t="shared" si="88"/>
        <v>Support</v>
      </c>
      <c r="AE248" s="32">
        <f t="shared" si="89"/>
        <v>1</v>
      </c>
      <c r="AF248">
        <f>step3_validation[[#This Row],[AI_FAC2]]</f>
        <v>10</v>
      </c>
      <c r="AG248" t="str">
        <f t="shared" si="90"/>
        <v>Support</v>
      </c>
      <c r="AH248">
        <f>survey_responses[[#This Row],[So với trước đây, tôi thấy cách tính thuế và các bậc thuế trong phương án mới đơn giản, dễ hiểu và dễ thực hiện hơn. - HUMAN-FAC2]]</f>
        <v>8</v>
      </c>
      <c r="AI248" t="str">
        <f t="shared" si="91"/>
        <v>Support</v>
      </c>
      <c r="AJ248" s="32">
        <f t="shared" si="92"/>
        <v>2</v>
      </c>
      <c r="AK248">
        <f>step3_validation[[#This Row],[AI_TRU1]]</f>
        <v>9</v>
      </c>
      <c r="AL248" t="str">
        <f t="shared" si="93"/>
        <v>Support</v>
      </c>
      <c r="AM248">
        <f>survey_responses[[#This Row],[Tôi tin rằng Nhà nước, cơ quan thuế sẽ thực thi chính sách mới một cách khách quan, công tâm và đối xử bình đẳng với mọi người nộp thuế.  - HUMAN-TRU1]]</f>
        <v>8</v>
      </c>
      <c r="AN248" t="str">
        <f t="shared" si="94"/>
        <v>Support</v>
      </c>
      <c r="AO248" s="32">
        <f t="shared" si="95"/>
        <v>1</v>
      </c>
      <c r="AP248">
        <f>step3_validation[[#This Row],[AI_TRU2]]</f>
        <v>8</v>
      </c>
      <c r="AQ248" t="str">
        <f t="shared" si="96"/>
        <v>Support</v>
      </c>
      <c r="AR248">
        <f>survey_responses[[#This Row],[Tôi thấy mức thuế tôi phải đóng theo phương án mới là công bằng (người thu nhập như tôi đóng mức này là hợp lý). - HUMAN-TRU2]]</f>
        <v>8</v>
      </c>
      <c r="AS248" t="str">
        <f t="shared" si="97"/>
        <v>Support</v>
      </c>
      <c r="AT248" s="32">
        <f t="shared" si="98"/>
        <v>0</v>
      </c>
      <c r="AU248">
        <f>step3_validation[[#This Row],[AI_TRU3]]</f>
        <v>9</v>
      </c>
      <c r="AV248" t="str">
        <f t="shared" si="99"/>
        <v>Support</v>
      </c>
      <c r="AW248">
        <f>survey_responses[[#This Row],[Tôi tin tưởng số tiền thuế tôi đóng sẽ được Nhà nước sử dụng hiệu quả để cải thiện dịch vụ công (y tế, đường xá...). - HUMAN-TRU3]]</f>
        <v>8</v>
      </c>
      <c r="AX248" t="str">
        <f t="shared" si="100"/>
        <v>Support</v>
      </c>
      <c r="AY248" s="32">
        <f t="shared" si="101"/>
        <v>1</v>
      </c>
      <c r="AZ248">
        <f>step3_validation[[#This Row],[AI_TRU4]]</f>
        <v>8</v>
      </c>
      <c r="BA248" t="str">
        <f t="shared" si="102"/>
        <v>Support</v>
      </c>
      <c r="BB248">
        <f>survey_responses[[#This Row],[Tôi thấy Nhà nước đã giải thích rõ ràng, minh bạch về lý do và mục tiêu của việc sửa đổi thuế lần này. - HUMAN-TRU4]]</f>
        <v>8</v>
      </c>
      <c r="BC248" t="str">
        <f t="shared" si="103"/>
        <v>Support</v>
      </c>
      <c r="BD248" s="32">
        <f t="shared" si="104"/>
        <v>0</v>
      </c>
      <c r="BE248">
        <f>step3_validation[[#This Row],[AI_OUT1]]</f>
        <v>9</v>
      </c>
      <c r="BF248" t="str">
        <f t="shared" si="105"/>
        <v>Support</v>
      </c>
      <c r="BG248">
        <f>survey_responses[[#This Row],[Sau khi xem xét các quyền lợi và nghĩa vụ, bạn có ủng hộ và tuân thủ chính sách mới hiện nay? - HUMAN-OUT1]]</f>
        <v>8</v>
      </c>
      <c r="BH248" t="str">
        <f t="shared" si="106"/>
        <v>Support</v>
      </c>
      <c r="BI248" s="32">
        <f t="shared" si="107"/>
        <v>1</v>
      </c>
    </row>
    <row r="249" spans="1:61" x14ac:dyDescent="0.45">
      <c r="A249" s="30">
        <f>step3_validation[[#This Row],[Persona_ID]]</f>
        <v>248</v>
      </c>
      <c r="B249" s="31">
        <f>step3_validation[[#This Row],[Used_Seed]]</f>
        <v>12592</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38.324639309206603</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t="str">
        <f t="shared" si="81"/>
        <v>Neutral</v>
      </c>
      <c r="S249">
        <f>survey_responses[[#This Row],[Tôi tin rằng với các quy định quản lý thuế hiện nay, hành vi gian lận hoặc trốn thuế sẽ dễ dàng bị phát hiện và xử lý nghiêm. - HUMAN-ENF1]]</f>
        <v>7</v>
      </c>
      <c r="T249" t="str">
        <f t="shared" si="82"/>
        <v>Neutral</v>
      </c>
      <c r="U249" s="32">
        <f t="shared" si="83"/>
        <v>0</v>
      </c>
      <c r="V249">
        <f>step3_validation[[#This Row],[AI_ENF2]]</f>
        <v>7</v>
      </c>
      <c r="W249" t="str">
        <f t="shared" si="84"/>
        <v>Neutral</v>
      </c>
      <c r="X249">
        <f>survey_responses[[#This Row],[Tôi tin rằng Nhà nước, cơ quan thuế có đủ khả năng và công nghệ để phát hiện, xử lý nghiêm các hành vi trốn thuế. - HUMAN-ENF2]]</f>
        <v>7</v>
      </c>
      <c r="Y249" t="str">
        <f t="shared" si="85"/>
        <v>Neutral</v>
      </c>
      <c r="Z249" s="32">
        <f t="shared" si="86"/>
        <v>0</v>
      </c>
      <c r="AA249">
        <f>step3_validation[[#This Row],[AI_FAC1]]</f>
        <v>9</v>
      </c>
      <c r="AB249" t="str">
        <f t="shared" si="87"/>
        <v>Support</v>
      </c>
      <c r="AC249">
        <f>survey_responses[[#This Row],[Các thủ tục khai báo thuế VÀ/HOẶC quy trình làm việc với cơ quan thuế đơn giản, tiện lợi, nhanh chóng hơn so với trước đây. - HUMAN-FAC1]]</f>
        <v>7</v>
      </c>
      <c r="AD249" t="str">
        <f t="shared" si="88"/>
        <v>Neutral</v>
      </c>
      <c r="AE249" s="32">
        <f t="shared" si="89"/>
        <v>2</v>
      </c>
      <c r="AF249">
        <f>step3_validation[[#This Row],[AI_FAC2]]</f>
        <v>8</v>
      </c>
      <c r="AG249" t="str">
        <f t="shared" si="90"/>
        <v>Support</v>
      </c>
      <c r="AH249">
        <f>survey_responses[[#This Row],[So với trước đây, tôi thấy cách tính thuế và các bậc thuế trong phương án mới đơn giản, dễ hiểu và dễ thực hiện hơn. - HUMAN-FAC2]]</f>
        <v>7</v>
      </c>
      <c r="AI249" t="str">
        <f t="shared" si="91"/>
        <v>Neutral</v>
      </c>
      <c r="AJ249" s="32">
        <f t="shared" si="92"/>
        <v>1</v>
      </c>
      <c r="AK249">
        <f>step3_validation[[#This Row],[AI_TRU1]]</f>
        <v>9</v>
      </c>
      <c r="AL249" t="str">
        <f t="shared" si="93"/>
        <v>Support</v>
      </c>
      <c r="AM249">
        <f>survey_responses[[#This Row],[Tôi tin rằng Nhà nước, cơ quan thuế sẽ thực thi chính sách mới một cách khách quan, công tâm và đối xử bình đẳng với mọi người nộp thuế.  - HUMAN-TRU1]]</f>
        <v>7</v>
      </c>
      <c r="AN249" t="str">
        <f t="shared" si="94"/>
        <v>Neutral</v>
      </c>
      <c r="AO249" s="32">
        <f t="shared" si="95"/>
        <v>2</v>
      </c>
      <c r="AP249">
        <f>step3_validation[[#This Row],[AI_TRU2]]</f>
        <v>8</v>
      </c>
      <c r="AQ249" t="str">
        <f t="shared" si="96"/>
        <v>Support</v>
      </c>
      <c r="AR249">
        <f>survey_responses[[#This Row],[Tôi thấy mức thuế tôi phải đóng theo phương án mới là công bằng (người thu nhập như tôi đóng mức này là hợp lý). - HUMAN-TRU2]]</f>
        <v>7</v>
      </c>
      <c r="AS249" t="str">
        <f t="shared" si="97"/>
        <v>Neutral</v>
      </c>
      <c r="AT249" s="32">
        <f t="shared" si="98"/>
        <v>1</v>
      </c>
      <c r="AU249">
        <f>step3_validation[[#This Row],[AI_TRU3]]</f>
        <v>9</v>
      </c>
      <c r="AV249" t="str">
        <f t="shared" si="99"/>
        <v>Support</v>
      </c>
      <c r="AW249">
        <f>survey_responses[[#This Row],[Tôi tin tưởng số tiền thuế tôi đóng sẽ được Nhà nước sử dụng hiệu quả để cải thiện dịch vụ công (y tế, đường xá...). - HUMAN-TRU3]]</f>
        <v>7</v>
      </c>
      <c r="AX249" t="str">
        <f t="shared" si="100"/>
        <v>Neutral</v>
      </c>
      <c r="AY249" s="32">
        <f t="shared" si="101"/>
        <v>2</v>
      </c>
      <c r="AZ249">
        <f>step3_validation[[#This Row],[AI_TRU4]]</f>
        <v>8</v>
      </c>
      <c r="BA249" t="str">
        <f t="shared" si="102"/>
        <v>Support</v>
      </c>
      <c r="BB249">
        <f>survey_responses[[#This Row],[Tôi thấy Nhà nước đã giải thích rõ ràng, minh bạch về lý do và mục tiêu của việc sửa đổi thuế lần này. - HUMAN-TRU4]]</f>
        <v>7</v>
      </c>
      <c r="BC249" t="str">
        <f t="shared" si="103"/>
        <v>Neutral</v>
      </c>
      <c r="BD249" s="32">
        <f t="shared" si="104"/>
        <v>1</v>
      </c>
      <c r="BE249">
        <f>step3_validation[[#This Row],[AI_OUT1]]</f>
        <v>9</v>
      </c>
      <c r="BF249" t="str">
        <f t="shared" si="105"/>
        <v>Support</v>
      </c>
      <c r="BG249">
        <f>survey_responses[[#This Row],[Sau khi xem xét các quyền lợi và nghĩa vụ, bạn có ủng hộ và tuân thủ chính sách mới hiện nay? - HUMAN-OUT1]]</f>
        <v>7</v>
      </c>
      <c r="BH249" t="str">
        <f t="shared" si="106"/>
        <v>Neutral</v>
      </c>
      <c r="BI249" s="32">
        <f t="shared" si="107"/>
        <v>2</v>
      </c>
    </row>
    <row r="250" spans="1:61" x14ac:dyDescent="0.45">
      <c r="A250" s="30">
        <f>step3_validation[[#This Row],[Persona_ID]]</f>
        <v>249</v>
      </c>
      <c r="B250" s="31">
        <f>step3_validation[[#This Row],[Used_Seed]]</f>
        <v>12593</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95.970651707955142</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7</v>
      </c>
      <c r="R250" t="str">
        <f t="shared" si="81"/>
        <v>Neutral</v>
      </c>
      <c r="S250">
        <f>survey_responses[[#This Row],[Tôi tin rằng với các quy định quản lý thuế hiện nay, hành vi gian lận hoặc trốn thuế sẽ dễ dàng bị phát hiện và xử lý nghiêm. - HUMAN-ENF1]]</f>
        <v>9</v>
      </c>
      <c r="T250" t="str">
        <f t="shared" si="82"/>
        <v>Support</v>
      </c>
      <c r="U250" s="32">
        <f t="shared" si="83"/>
        <v>2</v>
      </c>
      <c r="V250">
        <f>step3_validation[[#This Row],[AI_ENF2]]</f>
        <v>8</v>
      </c>
      <c r="W250" t="str">
        <f t="shared" si="84"/>
        <v>Support</v>
      </c>
      <c r="X250">
        <f>survey_responses[[#This Row],[Tôi tin rằng Nhà nước, cơ quan thuế có đủ khả năng và công nghệ để phát hiện, xử lý nghiêm các hành vi trốn thuế. - HUMAN-ENF2]]</f>
        <v>9</v>
      </c>
      <c r="Y250" t="str">
        <f t="shared" si="85"/>
        <v>Support</v>
      </c>
      <c r="Z250" s="32">
        <f t="shared" si="86"/>
        <v>1</v>
      </c>
      <c r="AA250">
        <f>step3_validation[[#This Row],[AI_FAC1]]</f>
        <v>9</v>
      </c>
      <c r="AB250" t="str">
        <f t="shared" si="87"/>
        <v>Support</v>
      </c>
      <c r="AC250">
        <f>survey_responses[[#This Row],[Các thủ tục khai báo thuế VÀ/HOẶC quy trình làm việc với cơ quan thuế đơn giản, tiện lợi, nhanh chóng hơn so với trước đây. - HUMAN-FAC1]]</f>
        <v>9</v>
      </c>
      <c r="AD250" t="str">
        <f t="shared" si="88"/>
        <v>Support</v>
      </c>
      <c r="AE250" s="32">
        <f t="shared" si="89"/>
        <v>0</v>
      </c>
      <c r="AF250">
        <f>step3_validation[[#This Row],[AI_FAC2]]</f>
        <v>9</v>
      </c>
      <c r="AG250" t="str">
        <f t="shared" si="90"/>
        <v>Support</v>
      </c>
      <c r="AH250">
        <f>survey_responses[[#This Row],[So với trước đây, tôi thấy cách tính thuế và các bậc thuế trong phương án mới đơn giản, dễ hiểu và dễ thực hiện hơn. - HUMAN-FAC2]]</f>
        <v>9</v>
      </c>
      <c r="AI250" t="str">
        <f t="shared" si="91"/>
        <v>Support</v>
      </c>
      <c r="AJ250" s="32">
        <f t="shared" si="92"/>
        <v>0</v>
      </c>
      <c r="AK250">
        <f>step3_validation[[#This Row],[AI_TRU1]]</f>
        <v>8</v>
      </c>
      <c r="AL250" t="str">
        <f t="shared" si="93"/>
        <v>Support</v>
      </c>
      <c r="AM250">
        <f>survey_responses[[#This Row],[Tôi tin rằng Nhà nước, cơ quan thuế sẽ thực thi chính sách mới một cách khách quan, công tâm và đối xử bình đẳng với mọi người nộp thuế.  - HUMAN-TRU1]]</f>
        <v>9</v>
      </c>
      <c r="AN250" t="str">
        <f t="shared" si="94"/>
        <v>Support</v>
      </c>
      <c r="AO250" s="32">
        <f t="shared" si="95"/>
        <v>1</v>
      </c>
      <c r="AP250">
        <f>step3_validation[[#This Row],[AI_TRU2]]</f>
        <v>9</v>
      </c>
      <c r="AQ250" t="str">
        <f t="shared" si="96"/>
        <v>Support</v>
      </c>
      <c r="AR250">
        <f>survey_responses[[#This Row],[Tôi thấy mức thuế tôi phải đóng theo phương án mới là công bằng (người thu nhập như tôi đóng mức này là hợp lý). - HUMAN-TRU2]]</f>
        <v>9</v>
      </c>
      <c r="AS250" t="str">
        <f t="shared" si="97"/>
        <v>Support</v>
      </c>
      <c r="AT250" s="32">
        <f t="shared" si="98"/>
        <v>0</v>
      </c>
      <c r="AU250">
        <f>step3_validation[[#This Row],[AI_TRU3]]</f>
        <v>8</v>
      </c>
      <c r="AV250" t="str">
        <f t="shared" si="99"/>
        <v>Support</v>
      </c>
      <c r="AW250">
        <f>survey_responses[[#This Row],[Tôi tin tưởng số tiền thuế tôi đóng sẽ được Nhà nước sử dụng hiệu quả để cải thiện dịch vụ công (y tế, đường xá...). - HUMAN-TRU3]]</f>
        <v>9</v>
      </c>
      <c r="AX250" t="str">
        <f t="shared" si="100"/>
        <v>Support</v>
      </c>
      <c r="AY250" s="32">
        <f t="shared" si="101"/>
        <v>1</v>
      </c>
      <c r="AZ250">
        <f>step3_validation[[#This Row],[AI_TRU4]]</f>
        <v>7</v>
      </c>
      <c r="BA250" t="str">
        <f t="shared" si="102"/>
        <v>Neutral</v>
      </c>
      <c r="BB250">
        <f>survey_responses[[#This Row],[Tôi thấy Nhà nước đã giải thích rõ ràng, minh bạch về lý do và mục tiêu của việc sửa đổi thuế lần này. - HUMAN-TRU4]]</f>
        <v>9</v>
      </c>
      <c r="BC250" t="str">
        <f t="shared" si="103"/>
        <v>Support</v>
      </c>
      <c r="BD250" s="32">
        <f t="shared" si="104"/>
        <v>2</v>
      </c>
      <c r="BE250">
        <f>step3_validation[[#This Row],[AI_OUT1]]</f>
        <v>9</v>
      </c>
      <c r="BF250" t="str">
        <f t="shared" si="105"/>
        <v>Support</v>
      </c>
      <c r="BG250">
        <f>survey_responses[[#This Row],[Sau khi xem xét các quyền lợi và nghĩa vụ, bạn có ủng hộ và tuân thủ chính sách mới hiện nay? - HUMAN-OUT1]]</f>
        <v>9</v>
      </c>
      <c r="BH250" t="str">
        <f t="shared" si="106"/>
        <v>Support</v>
      </c>
      <c r="BI250" s="32">
        <f t="shared" si="107"/>
        <v>0</v>
      </c>
    </row>
    <row r="251" spans="1:61" x14ac:dyDescent="0.45">
      <c r="A251" s="30">
        <f>step3_validation[[#This Row],[Persona_ID]]</f>
        <v>250</v>
      </c>
      <c r="B251" s="31">
        <f>step3_validation[[#This Row],[Used_Seed]]</f>
        <v>12594</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55.813882137423207</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8</v>
      </c>
      <c r="R251" t="str">
        <f t="shared" si="81"/>
        <v>Support</v>
      </c>
      <c r="S251">
        <f>survey_responses[[#This Row],[Tôi tin rằng với các quy định quản lý thuế hiện nay, hành vi gian lận hoặc trốn thuế sẽ dễ dàng bị phát hiện và xử lý nghiêm. - HUMAN-ENF1]]</f>
        <v>7</v>
      </c>
      <c r="T251" t="str">
        <f t="shared" si="82"/>
        <v>Neutral</v>
      </c>
      <c r="U251" s="32">
        <f t="shared" si="83"/>
        <v>1</v>
      </c>
      <c r="V251">
        <f>step3_validation[[#This Row],[AI_ENF2]]</f>
        <v>7</v>
      </c>
      <c r="W251" t="str">
        <f t="shared" si="84"/>
        <v>Neutral</v>
      </c>
      <c r="X251">
        <f>survey_responses[[#This Row],[Tôi tin rằng Nhà nước, cơ quan thuế có đủ khả năng và công nghệ để phát hiện, xử lý nghiêm các hành vi trốn thuế. - HUMAN-ENF2]]</f>
        <v>6</v>
      </c>
      <c r="Y251" t="str">
        <f t="shared" si="85"/>
        <v>Neutral</v>
      </c>
      <c r="Z251" s="32">
        <f t="shared" si="86"/>
        <v>1</v>
      </c>
      <c r="AA251">
        <f>step3_validation[[#This Row],[AI_FAC1]]</f>
        <v>9</v>
      </c>
      <c r="AB251" t="str">
        <f t="shared" si="87"/>
        <v>Support</v>
      </c>
      <c r="AC251">
        <f>survey_responses[[#This Row],[Các thủ tục khai báo thuế VÀ/HOẶC quy trình làm việc với cơ quan thuế đơn giản, tiện lợi, nhanh chóng hơn so với trước đây. - HUMAN-FAC1]]</f>
        <v>5</v>
      </c>
      <c r="AD251" t="str">
        <f t="shared" si="88"/>
        <v>Neutral</v>
      </c>
      <c r="AE251" s="32">
        <f t="shared" si="89"/>
        <v>4</v>
      </c>
      <c r="AF251">
        <f>step3_validation[[#This Row],[AI_FAC2]]</f>
        <v>9</v>
      </c>
      <c r="AG251" t="str">
        <f t="shared" si="90"/>
        <v>Support</v>
      </c>
      <c r="AH251">
        <f>survey_responses[[#This Row],[So với trước đây, tôi thấy cách tính thuế và các bậc thuế trong phương án mới đơn giản, dễ hiểu và dễ thực hiện hơn. - HUMAN-FAC2]]</f>
        <v>6</v>
      </c>
      <c r="AI251" t="str">
        <f t="shared" si="91"/>
        <v>Neutral</v>
      </c>
      <c r="AJ251" s="32">
        <f t="shared" si="92"/>
        <v>3</v>
      </c>
      <c r="AK251">
        <f>step3_validation[[#This Row],[AI_TRU1]]</f>
        <v>8</v>
      </c>
      <c r="AL251" t="str">
        <f t="shared" si="93"/>
        <v>Support</v>
      </c>
      <c r="AM251">
        <f>survey_responses[[#This Row],[Tôi tin rằng Nhà nước, cơ quan thuế sẽ thực thi chính sách mới một cách khách quan, công tâm và đối xử bình đẳng với mọi người nộp thuế.  - HUMAN-TRU1]]</f>
        <v>6</v>
      </c>
      <c r="AN251" t="str">
        <f t="shared" si="94"/>
        <v>Neutral</v>
      </c>
      <c r="AO251" s="32">
        <f t="shared" si="95"/>
        <v>2</v>
      </c>
      <c r="AP251">
        <f>step3_validation[[#This Row],[AI_TRU2]]</f>
        <v>9</v>
      </c>
      <c r="AQ251" t="str">
        <f t="shared" si="96"/>
        <v>Support</v>
      </c>
      <c r="AR251">
        <f>survey_responses[[#This Row],[Tôi thấy mức thuế tôi phải đóng theo phương án mới là công bằng (người thu nhập như tôi đóng mức này là hợp lý). - HUMAN-TRU2]]</f>
        <v>6</v>
      </c>
      <c r="AS251" t="str">
        <f t="shared" si="97"/>
        <v>Neutral</v>
      </c>
      <c r="AT251" s="32">
        <f t="shared" si="98"/>
        <v>3</v>
      </c>
      <c r="AU251">
        <f>step3_validation[[#This Row],[AI_TRU3]]</f>
        <v>8</v>
      </c>
      <c r="AV251" t="str">
        <f t="shared" si="99"/>
        <v>Support</v>
      </c>
      <c r="AW251">
        <f>survey_responses[[#This Row],[Tôi tin tưởng số tiền thuế tôi đóng sẽ được Nhà nước sử dụng hiệu quả để cải thiện dịch vụ công (y tế, đường xá...). - HUMAN-TRU3]]</f>
        <v>6</v>
      </c>
      <c r="AX251" t="str">
        <f t="shared" si="100"/>
        <v>Neutral</v>
      </c>
      <c r="AY251" s="32">
        <f t="shared" si="101"/>
        <v>2</v>
      </c>
      <c r="AZ251">
        <f>step3_validation[[#This Row],[AI_TRU4]]</f>
        <v>7</v>
      </c>
      <c r="BA251" t="str">
        <f t="shared" si="102"/>
        <v>Neutral</v>
      </c>
      <c r="BB251">
        <f>survey_responses[[#This Row],[Tôi thấy Nhà nước đã giải thích rõ ràng, minh bạch về lý do và mục tiêu của việc sửa đổi thuế lần này. - HUMAN-TRU4]]</f>
        <v>6</v>
      </c>
      <c r="BC251" t="str">
        <f t="shared" si="103"/>
        <v>Neutral</v>
      </c>
      <c r="BD251" s="32">
        <f t="shared" si="104"/>
        <v>1</v>
      </c>
      <c r="BE251">
        <f>step3_validation[[#This Row],[AI_OUT1]]</f>
        <v>9</v>
      </c>
      <c r="BF251" t="str">
        <f t="shared" si="105"/>
        <v>Support</v>
      </c>
      <c r="BG251">
        <f>survey_responses[[#This Row],[Sau khi xem xét các quyền lợi và nghĩa vụ, bạn có ủng hộ và tuân thủ chính sách mới hiện nay? - HUMAN-OUT1]]</f>
        <v>7</v>
      </c>
      <c r="BH251" t="str">
        <f t="shared" si="106"/>
        <v>Neutral</v>
      </c>
      <c r="BI251" s="32">
        <f t="shared" si="107"/>
        <v>2</v>
      </c>
    </row>
    <row r="252" spans="1:61" x14ac:dyDescent="0.45">
      <c r="A252" s="30">
        <f>step3_validation[[#This Row],[Persona_ID]]</f>
        <v>251</v>
      </c>
      <c r="B252" s="31">
        <f>step3_validation[[#This Row],[Used_Seed]]</f>
        <v>12595</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43.750989364816725</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9</v>
      </c>
      <c r="R252" t="str">
        <f t="shared" si="81"/>
        <v>Support</v>
      </c>
      <c r="S252">
        <f>survey_responses[[#This Row],[Tôi tin rằng với các quy định quản lý thuế hiện nay, hành vi gian lận hoặc trốn thuế sẽ dễ dàng bị phát hiện và xử lý nghiêm. - HUMAN-ENF1]]</f>
        <v>8</v>
      </c>
      <c r="T252" t="str">
        <f t="shared" si="82"/>
        <v>Support</v>
      </c>
      <c r="U252" s="32">
        <f t="shared" si="83"/>
        <v>1</v>
      </c>
      <c r="V252">
        <f>step3_validation[[#This Row],[AI_ENF2]]</f>
        <v>9</v>
      </c>
      <c r="W252" t="str">
        <f t="shared" si="84"/>
        <v>Support</v>
      </c>
      <c r="X252">
        <f>survey_responses[[#This Row],[Tôi tin rằng Nhà nước, cơ quan thuế có đủ khả năng và công nghệ để phát hiện, xử lý nghiêm các hành vi trốn thuế. - HUMAN-ENF2]]</f>
        <v>8</v>
      </c>
      <c r="Y252" t="str">
        <f t="shared" si="85"/>
        <v>Support</v>
      </c>
      <c r="Z252" s="32">
        <f t="shared" si="86"/>
        <v>1</v>
      </c>
      <c r="AA252">
        <f>step3_validation[[#This Row],[AI_FAC1]]</f>
        <v>8</v>
      </c>
      <c r="AB252" t="str">
        <f t="shared" si="87"/>
        <v>Support</v>
      </c>
      <c r="AC252">
        <f>survey_responses[[#This Row],[Các thủ tục khai báo thuế VÀ/HOẶC quy trình làm việc với cơ quan thuế đơn giản, tiện lợi, nhanh chóng hơn so với trước đây. - HUMAN-FAC1]]</f>
        <v>8</v>
      </c>
      <c r="AD252" t="str">
        <f t="shared" si="88"/>
        <v>Support</v>
      </c>
      <c r="AE252" s="32">
        <f t="shared" si="89"/>
        <v>0</v>
      </c>
      <c r="AF252">
        <f>step3_validation[[#This Row],[AI_FAC2]]</f>
        <v>9</v>
      </c>
      <c r="AG252" t="str">
        <f t="shared" si="90"/>
        <v>Support</v>
      </c>
      <c r="AH252">
        <f>survey_responses[[#This Row],[So với trước đây, tôi thấy cách tính thuế và các bậc thuế trong phương án mới đơn giản, dễ hiểu và dễ thực hiện hơn. - HUMAN-FAC2]]</f>
        <v>9</v>
      </c>
      <c r="AI252" t="str">
        <f t="shared" si="91"/>
        <v>Support</v>
      </c>
      <c r="AJ252" s="32">
        <f t="shared" si="92"/>
        <v>0</v>
      </c>
      <c r="AK252">
        <f>step3_validation[[#This Row],[AI_TRU1]]</f>
        <v>8</v>
      </c>
      <c r="AL252" t="str">
        <f t="shared" si="93"/>
        <v>Support</v>
      </c>
      <c r="AM252">
        <f>survey_responses[[#This Row],[Tôi tin rằng Nhà nước, cơ quan thuế sẽ thực thi chính sách mới một cách khách quan, công tâm và đối xử bình đẳng với mọi người nộp thuế.  - HUMAN-TRU1]]</f>
        <v>8</v>
      </c>
      <c r="AN252" t="str">
        <f t="shared" si="94"/>
        <v>Support</v>
      </c>
      <c r="AO252" s="32">
        <f t="shared" si="95"/>
        <v>0</v>
      </c>
      <c r="AP252">
        <f>step3_validation[[#This Row],[AI_TRU2]]</f>
        <v>9</v>
      </c>
      <c r="AQ252" t="str">
        <f t="shared" si="96"/>
        <v>Support</v>
      </c>
      <c r="AR252">
        <f>survey_responses[[#This Row],[Tôi thấy mức thuế tôi phải đóng theo phương án mới là công bằng (người thu nhập như tôi đóng mức này là hợp lý). - HUMAN-TRU2]]</f>
        <v>10</v>
      </c>
      <c r="AS252" t="str">
        <f t="shared" si="97"/>
        <v>Support</v>
      </c>
      <c r="AT252" s="32">
        <f t="shared" si="98"/>
        <v>1</v>
      </c>
      <c r="AU252">
        <f>step3_validation[[#This Row],[AI_TRU3]]</f>
        <v>8</v>
      </c>
      <c r="AV252" t="str">
        <f t="shared" si="99"/>
        <v>Support</v>
      </c>
      <c r="AW252">
        <f>survey_responses[[#This Row],[Tôi tin tưởng số tiền thuế tôi đóng sẽ được Nhà nước sử dụng hiệu quả để cải thiện dịch vụ công (y tế, đường xá...). - HUMAN-TRU3]]</f>
        <v>7</v>
      </c>
      <c r="AX252" t="str">
        <f t="shared" si="100"/>
        <v>Neutral</v>
      </c>
      <c r="AY252" s="32">
        <f t="shared" si="101"/>
        <v>1</v>
      </c>
      <c r="AZ252">
        <f>step3_validation[[#This Row],[AI_TRU4]]</f>
        <v>9</v>
      </c>
      <c r="BA252" t="str">
        <f t="shared" si="102"/>
        <v>Support</v>
      </c>
      <c r="BB252">
        <f>survey_responses[[#This Row],[Tôi thấy Nhà nước đã giải thích rõ ràng, minh bạch về lý do và mục tiêu của việc sửa đổi thuế lần này. - HUMAN-TRU4]]</f>
        <v>7</v>
      </c>
      <c r="BC252" t="str">
        <f t="shared" si="103"/>
        <v>Neutral</v>
      </c>
      <c r="BD252" s="32">
        <f t="shared" si="104"/>
        <v>2</v>
      </c>
      <c r="BE252">
        <f>step3_validation[[#This Row],[AI_OUT1]]</f>
        <v>9</v>
      </c>
      <c r="BF252" t="str">
        <f t="shared" si="105"/>
        <v>Support</v>
      </c>
      <c r="BG252">
        <f>survey_responses[[#This Row],[Sau khi xem xét các quyền lợi và nghĩa vụ, bạn có ủng hộ và tuân thủ chính sách mới hiện nay? - HUMAN-OUT1]]</f>
        <v>10</v>
      </c>
      <c r="BH252" t="str">
        <f t="shared" si="106"/>
        <v>Support</v>
      </c>
      <c r="BI252" s="32">
        <f t="shared" si="107"/>
        <v>1</v>
      </c>
    </row>
    <row r="253" spans="1:61" x14ac:dyDescent="0.45">
      <c r="A253" s="30">
        <f>step3_validation[[#This Row],[Persona_ID]]</f>
        <v>252</v>
      </c>
      <c r="B253" s="31">
        <f>step3_validation[[#This Row],[Used_Seed]]</f>
        <v>12596</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63.366930785870409</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9</v>
      </c>
      <c r="R253" t="str">
        <f t="shared" si="81"/>
        <v>Support</v>
      </c>
      <c r="S253">
        <f>survey_responses[[#This Row],[Tôi tin rằng với các quy định quản lý thuế hiện nay, hành vi gian lận hoặc trốn thuế sẽ dễ dàng bị phát hiện và xử lý nghiêm. - HUMAN-ENF1]]</f>
        <v>6</v>
      </c>
      <c r="T253" t="str">
        <f t="shared" si="82"/>
        <v>Neutral</v>
      </c>
      <c r="U253" s="32">
        <f t="shared" si="83"/>
        <v>3</v>
      </c>
      <c r="V253">
        <f>step3_validation[[#This Row],[AI_ENF2]]</f>
        <v>8</v>
      </c>
      <c r="W253" t="str">
        <f t="shared" si="84"/>
        <v>Support</v>
      </c>
      <c r="X253">
        <f>survey_responses[[#This Row],[Tôi tin rằng Nhà nước, cơ quan thuế có đủ khả năng và công nghệ để phát hiện, xử lý nghiêm các hành vi trốn thuế. - HUMAN-ENF2]]</f>
        <v>6</v>
      </c>
      <c r="Y253" t="str">
        <f t="shared" si="85"/>
        <v>Neutral</v>
      </c>
      <c r="Z253" s="32">
        <f t="shared" si="86"/>
        <v>2</v>
      </c>
      <c r="AA253">
        <f>step3_validation[[#This Row],[AI_FAC1]]</f>
        <v>7</v>
      </c>
      <c r="AB253" t="str">
        <f t="shared" si="87"/>
        <v>Neutral</v>
      </c>
      <c r="AC253">
        <f>survey_responses[[#This Row],[Các thủ tục khai báo thuế VÀ/HOẶC quy trình làm việc với cơ quan thuế đơn giản, tiện lợi, nhanh chóng hơn so với trước đây. - HUMAN-FAC1]]</f>
        <v>1</v>
      </c>
      <c r="AD253" t="str">
        <f t="shared" si="88"/>
        <v>Oppose</v>
      </c>
      <c r="AE253" s="32">
        <f t="shared" si="89"/>
        <v>6</v>
      </c>
      <c r="AF253">
        <f>step3_validation[[#This Row],[AI_FAC2]]</f>
        <v>8</v>
      </c>
      <c r="AG253" t="str">
        <f t="shared" si="90"/>
        <v>Support</v>
      </c>
      <c r="AH253">
        <f>survey_responses[[#This Row],[So với trước đây, tôi thấy cách tính thuế và các bậc thuế trong phương án mới đơn giản, dễ hiểu và dễ thực hiện hơn. - HUMAN-FAC2]]</f>
        <v>6</v>
      </c>
      <c r="AI253" t="str">
        <f t="shared" si="91"/>
        <v>Neutral</v>
      </c>
      <c r="AJ253" s="32">
        <f t="shared" si="92"/>
        <v>2</v>
      </c>
      <c r="AK253">
        <f>step3_validation[[#This Row],[AI_TRU1]]</f>
        <v>9</v>
      </c>
      <c r="AL253" t="str">
        <f t="shared" si="93"/>
        <v>Support</v>
      </c>
      <c r="AM253">
        <f>survey_responses[[#This Row],[Tôi tin rằng Nhà nước, cơ quan thuế sẽ thực thi chính sách mới một cách khách quan, công tâm và đối xử bình đẳng với mọi người nộp thuế.  - HUMAN-TRU1]]</f>
        <v>5</v>
      </c>
      <c r="AN253" t="str">
        <f t="shared" si="94"/>
        <v>Neutral</v>
      </c>
      <c r="AO253" s="32">
        <f t="shared" si="95"/>
        <v>4</v>
      </c>
      <c r="AP253">
        <f>step3_validation[[#This Row],[AI_TRU2]]</f>
        <v>9</v>
      </c>
      <c r="AQ253" t="str">
        <f t="shared" si="96"/>
        <v>Support</v>
      </c>
      <c r="AR253">
        <f>survey_responses[[#This Row],[Tôi thấy mức thuế tôi phải đóng theo phương án mới là công bằng (người thu nhập như tôi đóng mức này là hợp lý). - HUMAN-TRU2]]</f>
        <v>6</v>
      </c>
      <c r="AS253" t="str">
        <f t="shared" si="97"/>
        <v>Neutral</v>
      </c>
      <c r="AT253" s="32">
        <f t="shared" si="98"/>
        <v>3</v>
      </c>
      <c r="AU253">
        <f>step3_validation[[#This Row],[AI_TRU3]]</f>
        <v>9</v>
      </c>
      <c r="AV253" t="str">
        <f t="shared" si="99"/>
        <v>Support</v>
      </c>
      <c r="AW253">
        <f>survey_responses[[#This Row],[Tôi tin tưởng số tiền thuế tôi đóng sẽ được Nhà nước sử dụng hiệu quả để cải thiện dịch vụ công (y tế, đường xá...). - HUMAN-TRU3]]</f>
        <v>6</v>
      </c>
      <c r="AX253" t="str">
        <f t="shared" si="100"/>
        <v>Neutral</v>
      </c>
      <c r="AY253" s="32">
        <f t="shared" si="101"/>
        <v>3</v>
      </c>
      <c r="AZ253">
        <f>step3_validation[[#This Row],[AI_TRU4]]</f>
        <v>8</v>
      </c>
      <c r="BA253" t="str">
        <f t="shared" si="102"/>
        <v>Support</v>
      </c>
      <c r="BB253">
        <f>survey_responses[[#This Row],[Tôi thấy Nhà nước đã giải thích rõ ràng, minh bạch về lý do và mục tiêu của việc sửa đổi thuế lần này. - HUMAN-TRU4]]</f>
        <v>6</v>
      </c>
      <c r="BC253" t="str">
        <f t="shared" si="103"/>
        <v>Neutral</v>
      </c>
      <c r="BD253" s="32">
        <f t="shared" si="104"/>
        <v>2</v>
      </c>
      <c r="BE253">
        <f>step3_validation[[#This Row],[AI_OUT1]]</f>
        <v>9</v>
      </c>
      <c r="BF253" t="str">
        <f t="shared" si="105"/>
        <v>Support</v>
      </c>
      <c r="BG253">
        <f>survey_responses[[#This Row],[Sau khi xem xét các quyền lợi và nghĩa vụ, bạn có ủng hộ và tuân thủ chính sách mới hiện nay? - HUMAN-OUT1]]</f>
        <v>6</v>
      </c>
      <c r="BH253" t="str">
        <f t="shared" si="106"/>
        <v>Neutral</v>
      </c>
      <c r="BI253" s="32">
        <f t="shared" si="107"/>
        <v>3</v>
      </c>
    </row>
    <row r="254" spans="1:61" x14ac:dyDescent="0.45">
      <c r="A254" s="30">
        <f>step3_validation[[#This Row],[Persona_ID]]</f>
        <v>253</v>
      </c>
      <c r="B254" s="31">
        <f>step3_validation[[#This Row],[Used_Seed]]</f>
        <v>12597</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84.493388172869544</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t="str">
        <f t="shared" si="81"/>
        <v>Neutral</v>
      </c>
      <c r="S254">
        <f>survey_responses[[#This Row],[Tôi tin rằng với các quy định quản lý thuế hiện nay, hành vi gian lận hoặc trốn thuế sẽ dễ dàng bị phát hiện và xử lý nghiêm. - HUMAN-ENF1]]</f>
        <v>8</v>
      </c>
      <c r="T254" t="str">
        <f t="shared" si="82"/>
        <v>Support</v>
      </c>
      <c r="U254" s="32">
        <f t="shared" si="83"/>
        <v>1</v>
      </c>
      <c r="V254">
        <f>step3_validation[[#This Row],[AI_ENF2]]</f>
        <v>7</v>
      </c>
      <c r="W254" t="str">
        <f t="shared" si="84"/>
        <v>Neutral</v>
      </c>
      <c r="X254">
        <f>survey_responses[[#This Row],[Tôi tin rằng Nhà nước, cơ quan thuế có đủ khả năng và công nghệ để phát hiện, xử lý nghiêm các hành vi trốn thuế. - HUMAN-ENF2]]</f>
        <v>8</v>
      </c>
      <c r="Y254" t="str">
        <f t="shared" si="85"/>
        <v>Support</v>
      </c>
      <c r="Z254" s="32">
        <f t="shared" si="86"/>
        <v>1</v>
      </c>
      <c r="AA254">
        <f>step3_validation[[#This Row],[AI_FAC1]]</f>
        <v>9</v>
      </c>
      <c r="AB254" t="str">
        <f t="shared" si="87"/>
        <v>Support</v>
      </c>
      <c r="AC254">
        <f>survey_responses[[#This Row],[Các thủ tục khai báo thuế VÀ/HOẶC quy trình làm việc với cơ quan thuế đơn giản, tiện lợi, nhanh chóng hơn so với trước đây. - HUMAN-FAC1]]</f>
        <v>3</v>
      </c>
      <c r="AD254" t="str">
        <f t="shared" si="88"/>
        <v>Oppose</v>
      </c>
      <c r="AE254" s="32">
        <f t="shared" si="89"/>
        <v>6</v>
      </c>
      <c r="AF254">
        <f>step3_validation[[#This Row],[AI_FAC2]]</f>
        <v>8</v>
      </c>
      <c r="AG254" t="str">
        <f t="shared" si="90"/>
        <v>Support</v>
      </c>
      <c r="AH254">
        <f>survey_responses[[#This Row],[So với trước đây, tôi thấy cách tính thuế và các bậc thuế trong phương án mới đơn giản, dễ hiểu và dễ thực hiện hơn. - HUMAN-FAC2]]</f>
        <v>9</v>
      </c>
      <c r="AI254" t="str">
        <f t="shared" si="91"/>
        <v>Support</v>
      </c>
      <c r="AJ254" s="32">
        <f t="shared" si="92"/>
        <v>1</v>
      </c>
      <c r="AK254">
        <f>step3_validation[[#This Row],[AI_TRU1]]</f>
        <v>7</v>
      </c>
      <c r="AL254" t="str">
        <f t="shared" si="93"/>
        <v>Neutral</v>
      </c>
      <c r="AM254">
        <f>survey_responses[[#This Row],[Tôi tin rằng Nhà nước, cơ quan thuế sẽ thực thi chính sách mới một cách khách quan, công tâm và đối xử bình đẳng với mọi người nộp thuế.  - HUMAN-TRU1]]</f>
        <v>8</v>
      </c>
      <c r="AN254" t="str">
        <f t="shared" si="94"/>
        <v>Support</v>
      </c>
      <c r="AO254" s="32">
        <f t="shared" si="95"/>
        <v>1</v>
      </c>
      <c r="AP254">
        <f>step3_validation[[#This Row],[AI_TRU2]]</f>
        <v>9</v>
      </c>
      <c r="AQ254" t="str">
        <f t="shared" si="96"/>
        <v>Support</v>
      </c>
      <c r="AR254">
        <f>survey_responses[[#This Row],[Tôi thấy mức thuế tôi phải đóng theo phương án mới là công bằng (người thu nhập như tôi đóng mức này là hợp lý). - HUMAN-TRU2]]</f>
        <v>8</v>
      </c>
      <c r="AS254" t="str">
        <f t="shared" si="97"/>
        <v>Support</v>
      </c>
      <c r="AT254" s="32">
        <f t="shared" si="98"/>
        <v>1</v>
      </c>
      <c r="AU254">
        <f>step3_validation[[#This Row],[AI_TRU3]]</f>
        <v>8</v>
      </c>
      <c r="AV254" t="str">
        <f t="shared" si="99"/>
        <v>Support</v>
      </c>
      <c r="AW254">
        <f>survey_responses[[#This Row],[Tôi tin tưởng số tiền thuế tôi đóng sẽ được Nhà nước sử dụng hiệu quả để cải thiện dịch vụ công (y tế, đường xá...). - HUMAN-TRU3]]</f>
        <v>8</v>
      </c>
      <c r="AX254" t="str">
        <f t="shared" si="100"/>
        <v>Support</v>
      </c>
      <c r="AY254" s="32">
        <f t="shared" si="101"/>
        <v>0</v>
      </c>
      <c r="AZ254">
        <f>step3_validation[[#This Row],[AI_TRU4]]</f>
        <v>7</v>
      </c>
      <c r="BA254" t="str">
        <f t="shared" si="102"/>
        <v>Neutral</v>
      </c>
      <c r="BB254">
        <f>survey_responses[[#This Row],[Tôi thấy Nhà nước đã giải thích rõ ràng, minh bạch về lý do và mục tiêu của việc sửa đổi thuế lần này. - HUMAN-TRU4]]</f>
        <v>8</v>
      </c>
      <c r="BC254" t="str">
        <f t="shared" si="103"/>
        <v>Support</v>
      </c>
      <c r="BD254" s="32">
        <f t="shared" si="104"/>
        <v>1</v>
      </c>
      <c r="BE254">
        <f>step3_validation[[#This Row],[AI_OUT1]]</f>
        <v>9</v>
      </c>
      <c r="BF254" t="str">
        <f t="shared" si="105"/>
        <v>Support</v>
      </c>
      <c r="BG254">
        <f>survey_responses[[#This Row],[Sau khi xem xét các quyền lợi và nghĩa vụ, bạn có ủng hộ và tuân thủ chính sách mới hiện nay? - HUMAN-OUT1]]</f>
        <v>8</v>
      </c>
      <c r="BH254" t="str">
        <f t="shared" si="106"/>
        <v>Support</v>
      </c>
      <c r="BI254" s="32">
        <f t="shared" si="107"/>
        <v>1</v>
      </c>
    </row>
    <row r="255" spans="1:61" x14ac:dyDescent="0.45">
      <c r="A255" s="30">
        <f>step3_validation[[#This Row],[Persona_ID]]</f>
        <v>254</v>
      </c>
      <c r="B255" s="31">
        <f>step3_validation[[#This Row],[Used_Seed]]</f>
        <v>12598</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89.219665372633969</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t="str">
        <f t="shared" si="81"/>
        <v>Neutral</v>
      </c>
      <c r="S255">
        <f>survey_responses[[#This Row],[Tôi tin rằng với các quy định quản lý thuế hiện nay, hành vi gian lận hoặc trốn thuế sẽ dễ dàng bị phát hiện và xử lý nghiêm. - HUMAN-ENF1]]</f>
        <v>4</v>
      </c>
      <c r="T255" t="str">
        <f t="shared" si="82"/>
        <v>Oppose</v>
      </c>
      <c r="U255" s="32">
        <f t="shared" si="83"/>
        <v>3</v>
      </c>
      <c r="V255">
        <f>step3_validation[[#This Row],[AI_ENF2]]</f>
        <v>7</v>
      </c>
      <c r="W255" t="str">
        <f t="shared" si="84"/>
        <v>Neutral</v>
      </c>
      <c r="X255">
        <f>survey_responses[[#This Row],[Tôi tin rằng Nhà nước, cơ quan thuế có đủ khả năng và công nghệ để phát hiện, xử lý nghiêm các hành vi trốn thuế. - HUMAN-ENF2]]</f>
        <v>3</v>
      </c>
      <c r="Y255" t="str">
        <f t="shared" si="85"/>
        <v>Oppose</v>
      </c>
      <c r="Z255" s="32">
        <f t="shared" si="86"/>
        <v>4</v>
      </c>
      <c r="AA255">
        <f>step3_validation[[#This Row],[AI_FAC1]]</f>
        <v>9</v>
      </c>
      <c r="AB255" t="str">
        <f t="shared" si="87"/>
        <v>Support</v>
      </c>
      <c r="AC255">
        <f>survey_responses[[#This Row],[Các thủ tục khai báo thuế VÀ/HOẶC quy trình làm việc với cơ quan thuế đơn giản, tiện lợi, nhanh chóng hơn so với trước đây. - HUMAN-FAC1]]</f>
        <v>1</v>
      </c>
      <c r="AD255" t="str">
        <f t="shared" si="88"/>
        <v>Oppose</v>
      </c>
      <c r="AE255" s="32">
        <f t="shared" si="89"/>
        <v>8</v>
      </c>
      <c r="AF255">
        <f>step3_validation[[#This Row],[AI_FAC2]]</f>
        <v>9</v>
      </c>
      <c r="AG255" t="str">
        <f t="shared" si="90"/>
        <v>Support</v>
      </c>
      <c r="AH255">
        <f>survey_responses[[#This Row],[So với trước đây, tôi thấy cách tính thuế và các bậc thuế trong phương án mới đơn giản, dễ hiểu và dễ thực hiện hơn. - HUMAN-FAC2]]</f>
        <v>7</v>
      </c>
      <c r="AI255" t="str">
        <f t="shared" si="91"/>
        <v>Neutral</v>
      </c>
      <c r="AJ255" s="32">
        <f t="shared" si="92"/>
        <v>2</v>
      </c>
      <c r="AK255">
        <f>step3_validation[[#This Row],[AI_TRU1]]</f>
        <v>6</v>
      </c>
      <c r="AL255" t="str">
        <f t="shared" si="93"/>
        <v>Neutral</v>
      </c>
      <c r="AM255">
        <f>survey_responses[[#This Row],[Tôi tin rằng Nhà nước, cơ quan thuế sẽ thực thi chính sách mới một cách khách quan, công tâm và đối xử bình đẳng với mọi người nộp thuế.  - HUMAN-TRU1]]</f>
        <v>3</v>
      </c>
      <c r="AN255" t="str">
        <f t="shared" si="94"/>
        <v>Oppose</v>
      </c>
      <c r="AO255" s="32">
        <f t="shared" si="95"/>
        <v>3</v>
      </c>
      <c r="AP255">
        <f>step3_validation[[#This Row],[AI_TRU2]]</f>
        <v>7</v>
      </c>
      <c r="AQ255" t="str">
        <f t="shared" si="96"/>
        <v>Neutral</v>
      </c>
      <c r="AR255">
        <f>survey_responses[[#This Row],[Tôi thấy mức thuế tôi phải đóng theo phương án mới là công bằng (người thu nhập như tôi đóng mức này là hợp lý). - HUMAN-TRU2]]</f>
        <v>6</v>
      </c>
      <c r="AS255" t="str">
        <f t="shared" si="97"/>
        <v>Neutral</v>
      </c>
      <c r="AT255" s="32">
        <f t="shared" si="98"/>
        <v>1</v>
      </c>
      <c r="AU255">
        <f>step3_validation[[#This Row],[AI_TRU3]]</f>
        <v>8</v>
      </c>
      <c r="AV255" t="str">
        <f t="shared" si="99"/>
        <v>Support</v>
      </c>
      <c r="AW255">
        <f>survey_responses[[#This Row],[Tôi tin tưởng số tiền thuế tôi đóng sẽ được Nhà nước sử dụng hiệu quả để cải thiện dịch vụ công (y tế, đường xá...). - HUMAN-TRU3]]</f>
        <v>5</v>
      </c>
      <c r="AX255" t="str">
        <f t="shared" si="100"/>
        <v>Neutral</v>
      </c>
      <c r="AY255" s="32">
        <f t="shared" si="101"/>
        <v>3</v>
      </c>
      <c r="AZ255">
        <f>step3_validation[[#This Row],[AI_TRU4]]</f>
        <v>6</v>
      </c>
      <c r="BA255" t="str">
        <f t="shared" si="102"/>
        <v>Neutral</v>
      </c>
      <c r="BB255">
        <f>survey_responses[[#This Row],[Tôi thấy Nhà nước đã giải thích rõ ràng, minh bạch về lý do và mục tiêu của việc sửa đổi thuế lần này. - HUMAN-TRU4]]</f>
        <v>6</v>
      </c>
      <c r="BC255" t="str">
        <f t="shared" si="103"/>
        <v>Neutral</v>
      </c>
      <c r="BD255" s="32">
        <f t="shared" si="104"/>
        <v>0</v>
      </c>
      <c r="BE255">
        <f>step3_validation[[#This Row],[AI_OUT1]]</f>
        <v>8</v>
      </c>
      <c r="BF255" t="str">
        <f t="shared" si="105"/>
        <v>Support</v>
      </c>
      <c r="BG255">
        <f>survey_responses[[#This Row],[Sau khi xem xét các quyền lợi và nghĩa vụ, bạn có ủng hộ và tuân thủ chính sách mới hiện nay? - HUMAN-OUT1]]</f>
        <v>6</v>
      </c>
      <c r="BH255" t="str">
        <f t="shared" si="106"/>
        <v>Neutral</v>
      </c>
      <c r="BI255" s="32">
        <f t="shared" si="107"/>
        <v>2</v>
      </c>
    </row>
    <row r="256" spans="1:61" x14ac:dyDescent="0.45">
      <c r="A256" s="30">
        <f>step3_validation[[#This Row],[Persona_ID]]</f>
        <v>255</v>
      </c>
      <c r="B256" s="31">
        <f>step3_validation[[#This Row],[Used_Seed]]</f>
        <v>12599</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63.722273621221056</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6</v>
      </c>
      <c r="R256" t="str">
        <f t="shared" si="81"/>
        <v>Neutral</v>
      </c>
      <c r="S256">
        <f>survey_responses[[#This Row],[Tôi tin rằng với các quy định quản lý thuế hiện nay, hành vi gian lận hoặc trốn thuế sẽ dễ dàng bị phát hiện và xử lý nghiêm. - HUMAN-ENF1]]</f>
        <v>6</v>
      </c>
      <c r="T256" t="str">
        <f t="shared" si="82"/>
        <v>Neutral</v>
      </c>
      <c r="U256" s="32">
        <f t="shared" si="83"/>
        <v>0</v>
      </c>
      <c r="V256">
        <f>step3_validation[[#This Row],[AI_ENF2]]</f>
        <v>5</v>
      </c>
      <c r="W256" t="str">
        <f t="shared" si="84"/>
        <v>Neutral</v>
      </c>
      <c r="X256">
        <f>survey_responses[[#This Row],[Tôi tin rằng Nhà nước, cơ quan thuế có đủ khả năng và công nghệ để phát hiện, xử lý nghiêm các hành vi trốn thuế. - HUMAN-ENF2]]</f>
        <v>6</v>
      </c>
      <c r="Y256" t="str">
        <f t="shared" si="85"/>
        <v>Neutral</v>
      </c>
      <c r="Z256" s="32">
        <f t="shared" si="86"/>
        <v>1</v>
      </c>
      <c r="AA256">
        <f>step3_validation[[#This Row],[AI_FAC1]]</f>
        <v>8</v>
      </c>
      <c r="AB256" t="str">
        <f t="shared" si="87"/>
        <v>Support</v>
      </c>
      <c r="AC256">
        <f>survey_responses[[#This Row],[Các thủ tục khai báo thuế VÀ/HOẶC quy trình làm việc với cơ quan thuế đơn giản, tiện lợi, nhanh chóng hơn so với trước đây. - HUMAN-FAC1]]</f>
        <v>1</v>
      </c>
      <c r="AD256" t="str">
        <f t="shared" si="88"/>
        <v>Oppose</v>
      </c>
      <c r="AE256" s="32">
        <f t="shared" si="89"/>
        <v>7</v>
      </c>
      <c r="AF256">
        <f>step3_validation[[#This Row],[AI_FAC2]]</f>
        <v>9</v>
      </c>
      <c r="AG256" t="str">
        <f t="shared" si="90"/>
        <v>Support</v>
      </c>
      <c r="AH256">
        <f>survey_responses[[#This Row],[So với trước đây, tôi thấy cách tính thuế và các bậc thuế trong phương án mới đơn giản, dễ hiểu và dễ thực hiện hơn. - HUMAN-FAC2]]</f>
        <v>7</v>
      </c>
      <c r="AI256" t="str">
        <f t="shared" si="91"/>
        <v>Neutral</v>
      </c>
      <c r="AJ256" s="32">
        <f t="shared" si="92"/>
        <v>2</v>
      </c>
      <c r="AK256">
        <f>step3_validation[[#This Row],[AI_TRU1]]</f>
        <v>7</v>
      </c>
      <c r="AL256" t="str">
        <f t="shared" si="93"/>
        <v>Neutral</v>
      </c>
      <c r="AM256">
        <f>survey_responses[[#This Row],[Tôi tin rằng Nhà nước, cơ quan thuế sẽ thực thi chính sách mới một cách khách quan, công tâm và đối xử bình đẳng với mọi người nộp thuế.  - HUMAN-TRU1]]</f>
        <v>5</v>
      </c>
      <c r="AN256" t="str">
        <f t="shared" si="94"/>
        <v>Neutral</v>
      </c>
      <c r="AO256" s="32">
        <f t="shared" si="95"/>
        <v>2</v>
      </c>
      <c r="AP256">
        <f>step3_validation[[#This Row],[AI_TRU2]]</f>
        <v>9</v>
      </c>
      <c r="AQ256" t="str">
        <f t="shared" si="96"/>
        <v>Support</v>
      </c>
      <c r="AR256">
        <f>survey_responses[[#This Row],[Tôi thấy mức thuế tôi phải đóng theo phương án mới là công bằng (người thu nhập như tôi đóng mức này là hợp lý). - HUMAN-TRU2]]</f>
        <v>6</v>
      </c>
      <c r="AS256" t="str">
        <f t="shared" si="97"/>
        <v>Neutral</v>
      </c>
      <c r="AT256" s="32">
        <f t="shared" si="98"/>
        <v>3</v>
      </c>
      <c r="AU256">
        <f>step3_validation[[#This Row],[AI_TRU3]]</f>
        <v>8</v>
      </c>
      <c r="AV256" t="str">
        <f t="shared" si="99"/>
        <v>Support</v>
      </c>
      <c r="AW256">
        <f>survey_responses[[#This Row],[Tôi tin tưởng số tiền thuế tôi đóng sẽ được Nhà nước sử dụng hiệu quả để cải thiện dịch vụ công (y tế, đường xá...). - HUMAN-TRU3]]</f>
        <v>6</v>
      </c>
      <c r="AX256" t="str">
        <f t="shared" si="100"/>
        <v>Neutral</v>
      </c>
      <c r="AY256" s="32">
        <f t="shared" si="101"/>
        <v>2</v>
      </c>
      <c r="AZ256">
        <f>step3_validation[[#This Row],[AI_TRU4]]</f>
        <v>7</v>
      </c>
      <c r="BA256" t="str">
        <f t="shared" si="102"/>
        <v>Neutral</v>
      </c>
      <c r="BB256">
        <f>survey_responses[[#This Row],[Tôi thấy Nhà nước đã giải thích rõ ràng, minh bạch về lý do và mục tiêu của việc sửa đổi thuế lần này. - HUMAN-TRU4]]</f>
        <v>6</v>
      </c>
      <c r="BC256" t="str">
        <f t="shared" si="103"/>
        <v>Neutral</v>
      </c>
      <c r="BD256" s="32">
        <f t="shared" si="104"/>
        <v>1</v>
      </c>
      <c r="BE256">
        <f>step3_validation[[#This Row],[AI_OUT1]]</f>
        <v>9</v>
      </c>
      <c r="BF256" t="str">
        <f t="shared" si="105"/>
        <v>Support</v>
      </c>
      <c r="BG256">
        <f>survey_responses[[#This Row],[Sau khi xem xét các quyền lợi và nghĩa vụ, bạn có ủng hộ và tuân thủ chính sách mới hiện nay? - HUMAN-OUT1]]</f>
        <v>6</v>
      </c>
      <c r="BH256" t="str">
        <f t="shared" si="106"/>
        <v>Neutral</v>
      </c>
      <c r="BI256" s="32">
        <f t="shared" si="107"/>
        <v>3</v>
      </c>
    </row>
    <row r="257" spans="1:61" x14ac:dyDescent="0.45">
      <c r="A257" s="30">
        <f>step3_validation[[#This Row],[Persona_ID]]</f>
        <v>256</v>
      </c>
      <c r="B257" s="31">
        <f>step3_validation[[#This Row],[Used_Seed]]</f>
        <v>12600</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167.09669027968141</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6</v>
      </c>
      <c r="R257" t="str">
        <f t="shared" si="81"/>
        <v>Neutral</v>
      </c>
      <c r="S257">
        <f>survey_responses[[#This Row],[Tôi tin rằng với các quy định quản lý thuế hiện nay, hành vi gian lận hoặc trốn thuế sẽ dễ dàng bị phát hiện và xử lý nghiêm. - HUMAN-ENF1]]</f>
        <v>8</v>
      </c>
      <c r="T257" t="str">
        <f t="shared" si="82"/>
        <v>Support</v>
      </c>
      <c r="U257" s="32">
        <f t="shared" si="83"/>
        <v>2</v>
      </c>
      <c r="V257">
        <f>step3_validation[[#This Row],[AI_ENF2]]</f>
        <v>7</v>
      </c>
      <c r="W257" t="str">
        <f t="shared" si="84"/>
        <v>Neutral</v>
      </c>
      <c r="X257">
        <f>survey_responses[[#This Row],[Tôi tin rằng Nhà nước, cơ quan thuế có đủ khả năng và công nghệ để phát hiện, xử lý nghiêm các hành vi trốn thuế. - HUMAN-ENF2]]</f>
        <v>8</v>
      </c>
      <c r="Y257" t="str">
        <f t="shared" si="85"/>
        <v>Support</v>
      </c>
      <c r="Z257" s="32">
        <f t="shared" si="86"/>
        <v>1</v>
      </c>
      <c r="AA257">
        <f>step3_validation[[#This Row],[AI_FAC1]]</f>
        <v>9</v>
      </c>
      <c r="AB257" t="str">
        <f t="shared" si="87"/>
        <v>Support</v>
      </c>
      <c r="AC257">
        <f>survey_responses[[#This Row],[Các thủ tục khai báo thuế VÀ/HOẶC quy trình làm việc với cơ quan thuế đơn giản, tiện lợi, nhanh chóng hơn so với trước đây. - HUMAN-FAC1]]</f>
        <v>5</v>
      </c>
      <c r="AD257" t="str">
        <f t="shared" si="88"/>
        <v>Neutral</v>
      </c>
      <c r="AE257" s="32">
        <f t="shared" si="89"/>
        <v>4</v>
      </c>
      <c r="AF257">
        <f>step3_validation[[#This Row],[AI_FAC2]]</f>
        <v>8</v>
      </c>
      <c r="AG257" t="str">
        <f t="shared" si="90"/>
        <v>Support</v>
      </c>
      <c r="AH257">
        <f>survey_responses[[#This Row],[So với trước đây, tôi thấy cách tính thuế và các bậc thuế trong phương án mới đơn giản, dễ hiểu và dễ thực hiện hơn. - HUMAN-FAC2]]</f>
        <v>8</v>
      </c>
      <c r="AI257" t="str">
        <f t="shared" si="91"/>
        <v>Support</v>
      </c>
      <c r="AJ257" s="32">
        <f t="shared" si="92"/>
        <v>0</v>
      </c>
      <c r="AK257">
        <f>step3_validation[[#This Row],[AI_TRU1]]</f>
        <v>7</v>
      </c>
      <c r="AL257" t="str">
        <f t="shared" si="93"/>
        <v>Neutral</v>
      </c>
      <c r="AM257">
        <f>survey_responses[[#This Row],[Tôi tin rằng Nhà nước, cơ quan thuế sẽ thực thi chính sách mới một cách khách quan, công tâm và đối xử bình đẳng với mọi người nộp thuế.  - HUMAN-TRU1]]</f>
        <v>8</v>
      </c>
      <c r="AN257" t="str">
        <f t="shared" si="94"/>
        <v>Support</v>
      </c>
      <c r="AO257" s="32">
        <f t="shared" si="95"/>
        <v>1</v>
      </c>
      <c r="AP257">
        <f>step3_validation[[#This Row],[AI_TRU2]]</f>
        <v>9</v>
      </c>
      <c r="AQ257" t="str">
        <f t="shared" si="96"/>
        <v>Support</v>
      </c>
      <c r="AR257">
        <f>survey_responses[[#This Row],[Tôi thấy mức thuế tôi phải đóng theo phương án mới là công bằng (người thu nhập như tôi đóng mức này là hợp lý). - HUMAN-TRU2]]</f>
        <v>7</v>
      </c>
      <c r="AS257" t="str">
        <f t="shared" si="97"/>
        <v>Neutral</v>
      </c>
      <c r="AT257" s="32">
        <f t="shared" si="98"/>
        <v>2</v>
      </c>
      <c r="AU257">
        <f>step3_validation[[#This Row],[AI_TRU3]]</f>
        <v>8</v>
      </c>
      <c r="AV257" t="str">
        <f t="shared" si="99"/>
        <v>Support</v>
      </c>
      <c r="AW257">
        <f>survey_responses[[#This Row],[Tôi tin tưởng số tiền thuế tôi đóng sẽ được Nhà nước sử dụng hiệu quả để cải thiện dịch vụ công (y tế, đường xá...). - HUMAN-TRU3]]</f>
        <v>7</v>
      </c>
      <c r="AX257" t="str">
        <f t="shared" si="100"/>
        <v>Neutral</v>
      </c>
      <c r="AY257" s="32">
        <f t="shared" si="101"/>
        <v>1</v>
      </c>
      <c r="AZ257">
        <f>step3_validation[[#This Row],[AI_TRU4]]</f>
        <v>6</v>
      </c>
      <c r="BA257" t="str">
        <f t="shared" si="102"/>
        <v>Neutral</v>
      </c>
      <c r="BB257">
        <f>survey_responses[[#This Row],[Tôi thấy Nhà nước đã giải thích rõ ràng, minh bạch về lý do và mục tiêu của việc sửa đổi thuế lần này. - HUMAN-TRU4]]</f>
        <v>7</v>
      </c>
      <c r="BC257" t="str">
        <f t="shared" si="103"/>
        <v>Neutral</v>
      </c>
      <c r="BD257" s="32">
        <f t="shared" si="104"/>
        <v>1</v>
      </c>
      <c r="BE257">
        <f>step3_validation[[#This Row],[AI_OUT1]]</f>
        <v>8</v>
      </c>
      <c r="BF257" t="str">
        <f t="shared" si="105"/>
        <v>Support</v>
      </c>
      <c r="BG257">
        <f>survey_responses[[#This Row],[Sau khi xem xét các quyền lợi và nghĩa vụ, bạn có ủng hộ và tuân thủ chính sách mới hiện nay? - HUMAN-OUT1]]</f>
        <v>7</v>
      </c>
      <c r="BH257" t="str">
        <f t="shared" si="106"/>
        <v>Neutral</v>
      </c>
      <c r="BI257" s="32">
        <f t="shared" si="107"/>
        <v>1</v>
      </c>
    </row>
    <row r="258" spans="1:61" x14ac:dyDescent="0.45">
      <c r="A258" s="30">
        <f>step3_validation[[#This Row],[Persona_ID]]</f>
        <v>257</v>
      </c>
      <c r="B258" s="31">
        <f>step3_validation[[#This Row],[Used_Seed]]</f>
        <v>12601</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36.263610707498728</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6</v>
      </c>
      <c r="R258" t="str">
        <f t="shared" si="81"/>
        <v>Neutral</v>
      </c>
      <c r="S258">
        <f>survey_responses[[#This Row],[Tôi tin rằng với các quy định quản lý thuế hiện nay, hành vi gian lận hoặc trốn thuế sẽ dễ dàng bị phát hiện và xử lý nghiêm. - HUMAN-ENF1]]</f>
        <v>7</v>
      </c>
      <c r="T258" t="str">
        <f t="shared" si="82"/>
        <v>Neutral</v>
      </c>
      <c r="U258" s="32">
        <f t="shared" si="83"/>
        <v>1</v>
      </c>
      <c r="V258">
        <f>step3_validation[[#This Row],[AI_ENF2]]</f>
        <v>6</v>
      </c>
      <c r="W258" t="str">
        <f t="shared" si="84"/>
        <v>Neutral</v>
      </c>
      <c r="X258">
        <f>survey_responses[[#This Row],[Tôi tin rằng Nhà nước, cơ quan thuế có đủ khả năng và công nghệ để phát hiện, xử lý nghiêm các hành vi trốn thuế. - HUMAN-ENF2]]</f>
        <v>8</v>
      </c>
      <c r="Y258" t="str">
        <f t="shared" si="85"/>
        <v>Support</v>
      </c>
      <c r="Z258" s="32">
        <f t="shared" si="86"/>
        <v>2</v>
      </c>
      <c r="AA258">
        <f>step3_validation[[#This Row],[AI_FAC1]]</f>
        <v>8</v>
      </c>
      <c r="AB258" t="str">
        <f t="shared" si="87"/>
        <v>Support</v>
      </c>
      <c r="AC258">
        <f>survey_responses[[#This Row],[Các thủ tục khai báo thuế VÀ/HOẶC quy trình làm việc với cơ quan thuế đơn giản, tiện lợi, nhanh chóng hơn so với trước đây. - HUMAN-FAC1]]</f>
        <v>4</v>
      </c>
      <c r="AD258" t="str">
        <f t="shared" si="88"/>
        <v>Oppose</v>
      </c>
      <c r="AE258" s="32">
        <f t="shared" si="89"/>
        <v>4</v>
      </c>
      <c r="AF258">
        <f>step3_validation[[#This Row],[AI_FAC2]]</f>
        <v>9</v>
      </c>
      <c r="AG258" t="str">
        <f t="shared" si="90"/>
        <v>Support</v>
      </c>
      <c r="AH258">
        <f>survey_responses[[#This Row],[So với trước đây, tôi thấy cách tính thuế và các bậc thuế trong phương án mới đơn giản, dễ hiểu và dễ thực hiện hơn. - HUMAN-FAC2]]</f>
        <v>8</v>
      </c>
      <c r="AI258" t="str">
        <f t="shared" si="91"/>
        <v>Support</v>
      </c>
      <c r="AJ258" s="32">
        <f t="shared" si="92"/>
        <v>1</v>
      </c>
      <c r="AK258">
        <f>step3_validation[[#This Row],[AI_TRU1]]</f>
        <v>7</v>
      </c>
      <c r="AL258" t="str">
        <f t="shared" si="93"/>
        <v>Neutral</v>
      </c>
      <c r="AM258">
        <f>survey_responses[[#This Row],[Tôi tin rằng Nhà nước, cơ quan thuế sẽ thực thi chính sách mới một cách khách quan, công tâm và đối xử bình đẳng với mọi người nộp thuế.  - HUMAN-TRU1]]</f>
        <v>5</v>
      </c>
      <c r="AN258" t="str">
        <f t="shared" si="94"/>
        <v>Neutral</v>
      </c>
      <c r="AO258" s="32">
        <f t="shared" si="95"/>
        <v>2</v>
      </c>
      <c r="AP258">
        <f>step3_validation[[#This Row],[AI_TRU2]]</f>
        <v>9</v>
      </c>
      <c r="AQ258" t="str">
        <f t="shared" si="96"/>
        <v>Support</v>
      </c>
      <c r="AR258">
        <f>survey_responses[[#This Row],[Tôi thấy mức thuế tôi phải đóng theo phương án mới là công bằng (người thu nhập như tôi đóng mức này là hợp lý). - HUMAN-TRU2]]</f>
        <v>7</v>
      </c>
      <c r="AS258" t="str">
        <f t="shared" si="97"/>
        <v>Neutral</v>
      </c>
      <c r="AT258" s="32">
        <f t="shared" si="98"/>
        <v>2</v>
      </c>
      <c r="AU258">
        <f>step3_validation[[#This Row],[AI_TRU3]]</f>
        <v>6</v>
      </c>
      <c r="AV258" t="str">
        <f t="shared" si="99"/>
        <v>Neutral</v>
      </c>
      <c r="AW258">
        <f>survey_responses[[#This Row],[Tôi tin tưởng số tiền thuế tôi đóng sẽ được Nhà nước sử dụng hiệu quả để cải thiện dịch vụ công (y tế, đường xá...). - HUMAN-TRU3]]</f>
        <v>5</v>
      </c>
      <c r="AX258" t="str">
        <f t="shared" si="100"/>
        <v>Neutral</v>
      </c>
      <c r="AY258" s="32">
        <f t="shared" si="101"/>
        <v>1</v>
      </c>
      <c r="AZ258">
        <f>step3_validation[[#This Row],[AI_TRU4]]</f>
        <v>7</v>
      </c>
      <c r="BA258" t="str">
        <f t="shared" si="102"/>
        <v>Neutral</v>
      </c>
      <c r="BB258">
        <f>survey_responses[[#This Row],[Tôi thấy Nhà nước đã giải thích rõ ràng, minh bạch về lý do và mục tiêu của việc sửa đổi thuế lần này. - HUMAN-TRU4]]</f>
        <v>6</v>
      </c>
      <c r="BC258" t="str">
        <f t="shared" si="103"/>
        <v>Neutral</v>
      </c>
      <c r="BD258" s="32">
        <f t="shared" si="104"/>
        <v>1</v>
      </c>
      <c r="BE258">
        <f>step3_validation[[#This Row],[AI_OUT1]]</f>
        <v>8</v>
      </c>
      <c r="BF258" t="str">
        <f t="shared" si="105"/>
        <v>Support</v>
      </c>
      <c r="BG258">
        <f>survey_responses[[#This Row],[Sau khi xem xét các quyền lợi và nghĩa vụ, bạn có ủng hộ và tuân thủ chính sách mới hiện nay? - HUMAN-OUT1]]</f>
        <v>6</v>
      </c>
      <c r="BH258" t="str">
        <f t="shared" si="106"/>
        <v>Neutral</v>
      </c>
      <c r="BI258" s="32">
        <f t="shared" si="107"/>
        <v>2</v>
      </c>
    </row>
    <row r="259" spans="1:61" x14ac:dyDescent="0.45">
      <c r="A259" s="30">
        <f>step3_validation[[#This Row],[Persona_ID]]</f>
        <v>258</v>
      </c>
      <c r="B259" s="31">
        <f>step3_validation[[#This Row],[Used_Seed]]</f>
        <v>12602</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60.016750374929345</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6</v>
      </c>
      <c r="R259" t="str">
        <f t="shared" ref="R259:R322" si="108">IF(AND(Q259&gt;=1,Q259&lt;5),"Oppose",IF(AND(Q259&gt;=5,Q259&lt;8),"Neutral",IF(AND(Q259&gt;=8,Q259&lt;=10),"Support","")))</f>
        <v>Neutral</v>
      </c>
      <c r="S259">
        <f>survey_responses[[#This Row],[Tôi tin rằng với các quy định quản lý thuế hiện nay, hành vi gian lận hoặc trốn thuế sẽ dễ dàng bị phát hiện và xử lý nghiêm. - HUMAN-ENF1]]</f>
        <v>6</v>
      </c>
      <c r="T259" t="str">
        <f t="shared" ref="T259:T322" si="109">IF(AND(S259&gt;=1,S259&lt;5),"Oppose",IF(AND(S259&gt;=5,S259&lt;8),"Neutral",IF(AND(S259&gt;=8,S259&lt;=10),"Support","")))</f>
        <v>Neutral</v>
      </c>
      <c r="U259" s="32">
        <f t="shared" ref="U259:U322" si="110">ABS(S259-Q259)</f>
        <v>0</v>
      </c>
      <c r="V259">
        <f>step3_validation[[#This Row],[AI_ENF2]]</f>
        <v>7</v>
      </c>
      <c r="W259" t="str">
        <f t="shared" ref="W259:W322" si="111">IF(AND(V259&gt;=1,V259&lt;5),"Oppose",IF(AND(V259&gt;=5,V259&lt;8),"Neutral",IF(AND(V259&gt;=8,V259&lt;=10),"Support","")))</f>
        <v>Neutral</v>
      </c>
      <c r="X259">
        <f>survey_responses[[#This Row],[Tôi tin rằng Nhà nước, cơ quan thuế có đủ khả năng và công nghệ để phát hiện, xử lý nghiêm các hành vi trốn thuế. - HUMAN-ENF2]]</f>
        <v>7</v>
      </c>
      <c r="Y259" t="str">
        <f t="shared" ref="Y259:Y322" si="112">IF(AND(X259&gt;=1,X259&lt;5),"Oppose",IF(AND(X259&gt;=5,X259&lt;8),"Neutral",IF(AND(X259&gt;=8,X259&lt;=10),"Support","")))</f>
        <v>Neutral</v>
      </c>
      <c r="Z259" s="32">
        <f t="shared" ref="Z259:Z322" si="113">ABS(X259-V259)</f>
        <v>0</v>
      </c>
      <c r="AA259">
        <f>step3_validation[[#This Row],[AI_FAC1]]</f>
        <v>9</v>
      </c>
      <c r="AB259" t="str">
        <f t="shared" ref="AB259:AB322" si="114">IF(AND(AA259&gt;=1,AA259&lt;5),"Oppose",IF(AND(AA259&gt;=5,AA259&lt;8),"Neutral",IF(AND(AA259&gt;=8,AA259&lt;=10),"Support","")))</f>
        <v>Support</v>
      </c>
      <c r="AC259">
        <f>survey_responses[[#This Row],[Các thủ tục khai báo thuế VÀ/HOẶC quy trình làm việc với cơ quan thuế đơn giản, tiện lợi, nhanh chóng hơn so với trước đây. - HUMAN-FAC1]]</f>
        <v>2</v>
      </c>
      <c r="AD259" t="str">
        <f t="shared" ref="AD259:AD322" si="115">IF(AND(AC259&gt;=1,AC259&lt;5),"Oppose",IF(AND(AC259&gt;=5,AC259&lt;8),"Neutral",IF(AND(AC259&gt;=8,AC259&lt;=10),"Support","")))</f>
        <v>Oppose</v>
      </c>
      <c r="AE259" s="32">
        <f t="shared" ref="AE259:AE322" si="116">ABS(AC259-AA259)</f>
        <v>7</v>
      </c>
      <c r="AF259">
        <f>step3_validation[[#This Row],[AI_FAC2]]</f>
        <v>8</v>
      </c>
      <c r="AG259" t="str">
        <f t="shared" ref="AG259:AG322" si="117">IF(AND(AF259&gt;=1,AF259&lt;5),"Oppose",IF(AND(AF259&gt;=5,AF259&lt;8),"Neutral",IF(AND(AF259&gt;=8,AF259&lt;=10),"Support","")))</f>
        <v>Support</v>
      </c>
      <c r="AH259">
        <f>survey_responses[[#This Row],[So với trước đây, tôi thấy cách tính thuế và các bậc thuế trong phương án mới đơn giản, dễ hiểu và dễ thực hiện hơn. - HUMAN-FAC2]]</f>
        <v>7</v>
      </c>
      <c r="AI259" t="str">
        <f t="shared" ref="AI259:AI322" si="118">IF(AND(AH259&gt;=1,AH259&lt;5),"Oppose",IF(AND(AH259&gt;=5,AH259&lt;8),"Neutral",IF(AND(AH259&gt;=8,AH259&lt;=10),"Support","")))</f>
        <v>Neutral</v>
      </c>
      <c r="AJ259" s="32">
        <f t="shared" ref="AJ259:AJ322" si="119">ABS(AH259-AF259)</f>
        <v>1</v>
      </c>
      <c r="AK259">
        <f>step3_validation[[#This Row],[AI_TRU1]]</f>
        <v>7</v>
      </c>
      <c r="AL259" t="str">
        <f t="shared" ref="AL259:AL322" si="120">IF(AND(AK259&gt;=1,AK259&lt;5),"Oppose",IF(AND(AK259&gt;=5,AK259&lt;8),"Neutral",IF(AND(AK259&gt;=8,AK259&lt;=10),"Support","")))</f>
        <v>Neutral</v>
      </c>
      <c r="AM259">
        <f>survey_responses[[#This Row],[Tôi tin rằng Nhà nước, cơ quan thuế sẽ thực thi chính sách mới một cách khách quan, công tâm và đối xử bình đẳng với mọi người nộp thuế.  - HUMAN-TRU1]]</f>
        <v>5</v>
      </c>
      <c r="AN259" t="str">
        <f t="shared" ref="AN259:AN322" si="121">IF(AND(AM259&gt;=1,AM259&lt;5),"Oppose",IF(AND(AM259&gt;=5,AM259&lt;8),"Neutral",IF(AND(AM259&gt;=8,AM259&lt;=10),"Support","")))</f>
        <v>Neutral</v>
      </c>
      <c r="AO259" s="32">
        <f t="shared" ref="AO259:AO322" si="122">ABS(AM259-AK259)</f>
        <v>2</v>
      </c>
      <c r="AP259">
        <f>step3_validation[[#This Row],[AI_TRU2]]</f>
        <v>9</v>
      </c>
      <c r="AQ259" t="str">
        <f t="shared" ref="AQ259:AQ322" si="123">IF(AND(AP259&gt;=1,AP259&lt;5),"Oppose",IF(AND(AP259&gt;=5,AP259&lt;8),"Neutral",IF(AND(AP259&gt;=8,AP259&lt;=10),"Support","")))</f>
        <v>Support</v>
      </c>
      <c r="AR259">
        <f>survey_responses[[#This Row],[Tôi thấy mức thuế tôi phải đóng theo phương án mới là công bằng (người thu nhập như tôi đóng mức này là hợp lý). - HUMAN-TRU2]]</f>
        <v>5</v>
      </c>
      <c r="AS259" t="str">
        <f t="shared" ref="AS259:AS322" si="124">IF(AND(AR259&gt;=1,AR259&lt;5),"Oppose",IF(AND(AR259&gt;=5,AR259&lt;8),"Neutral",IF(AND(AR259&gt;=8,AR259&lt;=10),"Support","")))</f>
        <v>Neutral</v>
      </c>
      <c r="AT259" s="32">
        <f t="shared" ref="AT259:AT322" si="125">ABS(AR259-AP259)</f>
        <v>4</v>
      </c>
      <c r="AU259">
        <f>step3_validation[[#This Row],[AI_TRU3]]</f>
        <v>8</v>
      </c>
      <c r="AV259" t="str">
        <f t="shared" ref="AV259:AV322" si="126">IF(AND(AU259&gt;=1,AU259&lt;5),"Oppose",IF(AND(AU259&gt;=5,AU259&lt;8),"Neutral",IF(AND(AU259&gt;=8,AU259&lt;=10),"Support","")))</f>
        <v>Support</v>
      </c>
      <c r="AW259">
        <f>survey_responses[[#This Row],[Tôi tin tưởng số tiền thuế tôi đóng sẽ được Nhà nước sử dụng hiệu quả để cải thiện dịch vụ công (y tế, đường xá...). - HUMAN-TRU3]]</f>
        <v>5</v>
      </c>
      <c r="AX259" t="str">
        <f t="shared" ref="AX259:AX322" si="127">IF(AND(AW259&gt;=1,AW259&lt;5),"Oppose",IF(AND(AW259&gt;=5,AW259&lt;8),"Neutral",IF(AND(AW259&gt;=8,AW259&lt;=10),"Support","")))</f>
        <v>Neutral</v>
      </c>
      <c r="AY259" s="32">
        <f t="shared" ref="AY259:AY322" si="128">ABS(AW259-AU259)</f>
        <v>3</v>
      </c>
      <c r="AZ259">
        <f>step3_validation[[#This Row],[AI_TRU4]]</f>
        <v>6</v>
      </c>
      <c r="BA259" t="str">
        <f t="shared" ref="BA259:BA322" si="129">IF(AND(AZ259&gt;=1,AZ259&lt;5),"Oppose",IF(AND(AZ259&gt;=5,AZ259&lt;8),"Neutral",IF(AND(AZ259&gt;=8,AZ259&lt;=10),"Support","")))</f>
        <v>Neutral</v>
      </c>
      <c r="BB259">
        <f>survey_responses[[#This Row],[Tôi thấy Nhà nước đã giải thích rõ ràng, minh bạch về lý do và mục tiêu của việc sửa đổi thuế lần này. - HUMAN-TRU4]]</f>
        <v>6</v>
      </c>
      <c r="BC259" t="str">
        <f t="shared" ref="BC259:BC322" si="130">IF(AND(BB259&gt;=1,BB259&lt;5),"Oppose",IF(AND(BB259&gt;=5,BB259&lt;8),"Neutral",IF(AND(BB259&gt;=8,BB259&lt;=10),"Support","")))</f>
        <v>Neutral</v>
      </c>
      <c r="BD259" s="32">
        <f t="shared" ref="BD259:BD322" si="131">ABS(BB259-AZ259)</f>
        <v>0</v>
      </c>
      <c r="BE259">
        <f>step3_validation[[#This Row],[AI_OUT1]]</f>
        <v>8</v>
      </c>
      <c r="BF259" t="str">
        <f t="shared" ref="BF259:BF322" si="132">IF(AND(BE259&gt;=1,BE259&lt;5),"Oppose",IF(AND(BE259&gt;=5,BE259&lt;8),"Neutral",IF(AND(BE259&gt;=8,BE259&lt;=10),"Support","")))</f>
        <v>Support</v>
      </c>
      <c r="BG259">
        <f>survey_responses[[#This Row],[Sau khi xem xét các quyền lợi và nghĩa vụ, bạn có ủng hộ và tuân thủ chính sách mới hiện nay? - HUMAN-OUT1]]</f>
        <v>5</v>
      </c>
      <c r="BH259" t="str">
        <f t="shared" ref="BH259:BH322" si="133">IF(AND(BG259&gt;=1,BG259&lt;5),"Oppose",IF(AND(BG259&gt;=5,BG259&lt;8),"Neutral",IF(AND(BG259&gt;=8,BG259&lt;=10),"Support","")))</f>
        <v>Neutral</v>
      </c>
      <c r="BI259" s="32">
        <f t="shared" ref="BI259:BI322" si="134">ABS(BG259-BE259)</f>
        <v>3</v>
      </c>
    </row>
    <row r="260" spans="1:61" x14ac:dyDescent="0.45">
      <c r="A260" s="30">
        <f>step3_validation[[#This Row],[Persona_ID]]</f>
        <v>259</v>
      </c>
      <c r="B260" s="31">
        <f>step3_validation[[#This Row],[Used_Seed]]</f>
        <v>12603</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132.41059809018466</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t="str">
        <f t="shared" si="108"/>
        <v>Neutral</v>
      </c>
      <c r="S260">
        <f>survey_responses[[#This Row],[Tôi tin rằng với các quy định quản lý thuế hiện nay, hành vi gian lận hoặc trốn thuế sẽ dễ dàng bị phát hiện và xử lý nghiêm. - HUMAN-ENF1]]</f>
        <v>2</v>
      </c>
      <c r="T260" t="str">
        <f t="shared" si="109"/>
        <v>Oppose</v>
      </c>
      <c r="U260" s="32">
        <f t="shared" si="110"/>
        <v>5</v>
      </c>
      <c r="V260">
        <f>step3_validation[[#This Row],[AI_ENF2]]</f>
        <v>8</v>
      </c>
      <c r="W260" t="str">
        <f t="shared" si="111"/>
        <v>Support</v>
      </c>
      <c r="X260">
        <f>survey_responses[[#This Row],[Tôi tin rằng Nhà nước, cơ quan thuế có đủ khả năng và công nghệ để phát hiện, xử lý nghiêm các hành vi trốn thuế. - HUMAN-ENF2]]</f>
        <v>1</v>
      </c>
      <c r="Y260" t="str">
        <f t="shared" si="112"/>
        <v>Oppose</v>
      </c>
      <c r="Z260" s="32">
        <f t="shared" si="113"/>
        <v>7</v>
      </c>
      <c r="AA260">
        <f>step3_validation[[#This Row],[AI_FAC1]]</f>
        <v>6</v>
      </c>
      <c r="AB260" t="str">
        <f t="shared" si="114"/>
        <v>Neutral</v>
      </c>
      <c r="AC260">
        <f>survey_responses[[#This Row],[Các thủ tục khai báo thuế VÀ/HOẶC quy trình làm việc với cơ quan thuế đơn giản, tiện lợi, nhanh chóng hơn so với trước đây. - HUMAN-FAC1]]</f>
        <v>1</v>
      </c>
      <c r="AD260" t="str">
        <f t="shared" si="115"/>
        <v>Oppose</v>
      </c>
      <c r="AE260" s="32">
        <f t="shared" si="116"/>
        <v>5</v>
      </c>
      <c r="AF260">
        <f>step3_validation[[#This Row],[AI_FAC2]]</f>
        <v>8</v>
      </c>
      <c r="AG260" t="str">
        <f t="shared" si="117"/>
        <v>Support</v>
      </c>
      <c r="AH260">
        <f>survey_responses[[#This Row],[So với trước đây, tôi thấy cách tính thuế và các bậc thuế trong phương án mới đơn giản, dễ hiểu và dễ thực hiện hơn. - HUMAN-FAC2]]</f>
        <v>6</v>
      </c>
      <c r="AI260" t="str">
        <f t="shared" si="118"/>
        <v>Neutral</v>
      </c>
      <c r="AJ260" s="32">
        <f t="shared" si="119"/>
        <v>2</v>
      </c>
      <c r="AK260">
        <f>step3_validation[[#This Row],[AI_TRU1]]</f>
        <v>7</v>
      </c>
      <c r="AL260" t="str">
        <f t="shared" si="120"/>
        <v>Neutral</v>
      </c>
      <c r="AM260">
        <f>survey_responses[[#This Row],[Tôi tin rằng Nhà nước, cơ quan thuế sẽ thực thi chính sách mới một cách khách quan, công tâm và đối xử bình đẳng với mọi người nộp thuế.  - HUMAN-TRU1]]</f>
        <v>2</v>
      </c>
      <c r="AN260" t="str">
        <f t="shared" si="121"/>
        <v>Oppose</v>
      </c>
      <c r="AO260" s="32">
        <f t="shared" si="122"/>
        <v>5</v>
      </c>
      <c r="AP260">
        <f>step3_validation[[#This Row],[AI_TRU2]]</f>
        <v>9</v>
      </c>
      <c r="AQ260" t="str">
        <f t="shared" si="123"/>
        <v>Support</v>
      </c>
      <c r="AR260">
        <f>survey_responses[[#This Row],[Tôi thấy mức thuế tôi phải đóng theo phương án mới là công bằng (người thu nhập như tôi đóng mức này là hợp lý). - HUMAN-TRU2]]</f>
        <v>3</v>
      </c>
      <c r="AS260" t="str">
        <f t="shared" si="124"/>
        <v>Oppose</v>
      </c>
      <c r="AT260" s="32">
        <f t="shared" si="125"/>
        <v>6</v>
      </c>
      <c r="AU260">
        <f>step3_validation[[#This Row],[AI_TRU3]]</f>
        <v>7</v>
      </c>
      <c r="AV260" t="str">
        <f t="shared" si="126"/>
        <v>Neutral</v>
      </c>
      <c r="AW260">
        <f>survey_responses[[#This Row],[Tôi tin tưởng số tiền thuế tôi đóng sẽ được Nhà nước sử dụng hiệu quả để cải thiện dịch vụ công (y tế, đường xá...). - HUMAN-TRU3]]</f>
        <v>1</v>
      </c>
      <c r="AX260" t="str">
        <f t="shared" si="127"/>
        <v>Oppose</v>
      </c>
      <c r="AY260" s="32">
        <f t="shared" si="128"/>
        <v>6</v>
      </c>
      <c r="AZ260">
        <f>step3_validation[[#This Row],[AI_TRU4]]</f>
        <v>7</v>
      </c>
      <c r="BA260" t="str">
        <f t="shared" si="129"/>
        <v>Neutral</v>
      </c>
      <c r="BB260">
        <f>survey_responses[[#This Row],[Tôi thấy Nhà nước đã giải thích rõ ràng, minh bạch về lý do và mục tiêu của việc sửa đổi thuế lần này. - HUMAN-TRU4]]</f>
        <v>5</v>
      </c>
      <c r="BC260" t="str">
        <f t="shared" si="130"/>
        <v>Neutral</v>
      </c>
      <c r="BD260" s="32">
        <f t="shared" si="131"/>
        <v>2</v>
      </c>
      <c r="BE260">
        <f>step3_validation[[#This Row],[AI_OUT1]]</f>
        <v>9</v>
      </c>
      <c r="BF260" t="str">
        <f t="shared" si="132"/>
        <v>Support</v>
      </c>
      <c r="BG260">
        <f>survey_responses[[#This Row],[Sau khi xem xét các quyền lợi và nghĩa vụ, bạn có ủng hộ và tuân thủ chính sách mới hiện nay? - HUMAN-OUT1]]</f>
        <v>4</v>
      </c>
      <c r="BH260" t="str">
        <f t="shared" si="133"/>
        <v>Oppose</v>
      </c>
      <c r="BI260" s="32">
        <f t="shared" si="134"/>
        <v>5</v>
      </c>
    </row>
    <row r="261" spans="1:61" x14ac:dyDescent="0.45">
      <c r="A261" s="30">
        <f>step3_validation[[#This Row],[Persona_ID]]</f>
        <v>260</v>
      </c>
      <c r="B261" s="31">
        <f>step3_validation[[#This Row],[Used_Seed]]</f>
        <v>12604</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32.087303665472916</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6</v>
      </c>
      <c r="R261" t="str">
        <f t="shared" si="108"/>
        <v>Neutral</v>
      </c>
      <c r="S261">
        <f>survey_responses[[#This Row],[Tôi tin rằng với các quy định quản lý thuế hiện nay, hành vi gian lận hoặc trốn thuế sẽ dễ dàng bị phát hiện và xử lý nghiêm. - HUMAN-ENF1]]</f>
        <v>6</v>
      </c>
      <c r="T261" t="str">
        <f t="shared" si="109"/>
        <v>Neutral</v>
      </c>
      <c r="U261" s="32">
        <f t="shared" si="110"/>
        <v>0</v>
      </c>
      <c r="V261">
        <f>step3_validation[[#This Row],[AI_ENF2]]</f>
        <v>5</v>
      </c>
      <c r="W261" t="str">
        <f t="shared" si="111"/>
        <v>Neutral</v>
      </c>
      <c r="X261">
        <f>survey_responses[[#This Row],[Tôi tin rằng Nhà nước, cơ quan thuế có đủ khả năng và công nghệ để phát hiện, xử lý nghiêm các hành vi trốn thuế. - HUMAN-ENF2]]</f>
        <v>6</v>
      </c>
      <c r="Y261" t="str">
        <f t="shared" si="112"/>
        <v>Neutral</v>
      </c>
      <c r="Z261" s="32">
        <f t="shared" si="113"/>
        <v>1</v>
      </c>
      <c r="AA261">
        <f>step3_validation[[#This Row],[AI_FAC1]]</f>
        <v>7</v>
      </c>
      <c r="AB261" t="str">
        <f t="shared" si="114"/>
        <v>Neutral</v>
      </c>
      <c r="AC261">
        <f>survey_responses[[#This Row],[Các thủ tục khai báo thuế VÀ/HOẶC quy trình làm việc với cơ quan thuế đơn giản, tiện lợi, nhanh chóng hơn so với trước đây. - HUMAN-FAC1]]</f>
        <v>7</v>
      </c>
      <c r="AD261" t="str">
        <f t="shared" si="115"/>
        <v>Neutral</v>
      </c>
      <c r="AE261" s="32">
        <f t="shared" si="116"/>
        <v>0</v>
      </c>
      <c r="AF261">
        <f>step3_validation[[#This Row],[AI_FAC2]]</f>
        <v>8</v>
      </c>
      <c r="AG261" t="str">
        <f t="shared" si="117"/>
        <v>Support</v>
      </c>
      <c r="AH261">
        <f>survey_responses[[#This Row],[So với trước đây, tôi thấy cách tính thuế và các bậc thuế trong phương án mới đơn giản, dễ hiểu và dễ thực hiện hơn. - HUMAN-FAC2]]</f>
        <v>6</v>
      </c>
      <c r="AI261" t="str">
        <f t="shared" si="118"/>
        <v>Neutral</v>
      </c>
      <c r="AJ261" s="32">
        <f t="shared" si="119"/>
        <v>2</v>
      </c>
      <c r="AK261">
        <f>step3_validation[[#This Row],[AI_TRU1]]</f>
        <v>7</v>
      </c>
      <c r="AL261" t="str">
        <f t="shared" si="120"/>
        <v>Neutral</v>
      </c>
      <c r="AM261">
        <f>survey_responses[[#This Row],[Tôi tin rằng Nhà nước, cơ quan thuế sẽ thực thi chính sách mới một cách khách quan, công tâm và đối xử bình đẳng với mọi người nộp thuế.  - HUMAN-TRU1]]</f>
        <v>5</v>
      </c>
      <c r="AN261" t="str">
        <f t="shared" si="121"/>
        <v>Neutral</v>
      </c>
      <c r="AO261" s="32">
        <f t="shared" si="122"/>
        <v>2</v>
      </c>
      <c r="AP261">
        <f>step3_validation[[#This Row],[AI_TRU2]]</f>
        <v>9</v>
      </c>
      <c r="AQ261" t="str">
        <f t="shared" si="123"/>
        <v>Support</v>
      </c>
      <c r="AR261">
        <f>survey_responses[[#This Row],[Tôi thấy mức thuế tôi phải đóng theo phương án mới là công bằng (người thu nhập như tôi đóng mức này là hợp lý). - HUMAN-TRU2]]</f>
        <v>6</v>
      </c>
      <c r="AS261" t="str">
        <f t="shared" si="124"/>
        <v>Neutral</v>
      </c>
      <c r="AT261" s="32">
        <f t="shared" si="125"/>
        <v>3</v>
      </c>
      <c r="AU261">
        <f>step3_validation[[#This Row],[AI_TRU3]]</f>
        <v>6</v>
      </c>
      <c r="AV261" t="str">
        <f t="shared" si="126"/>
        <v>Neutral</v>
      </c>
      <c r="AW261">
        <f>survey_responses[[#This Row],[Tôi tin tưởng số tiền thuế tôi đóng sẽ được Nhà nước sử dụng hiệu quả để cải thiện dịch vụ công (y tế, đường xá...). - HUMAN-TRU3]]</f>
        <v>5</v>
      </c>
      <c r="AX261" t="str">
        <f t="shared" si="127"/>
        <v>Neutral</v>
      </c>
      <c r="AY261" s="32">
        <f t="shared" si="128"/>
        <v>1</v>
      </c>
      <c r="AZ261">
        <f>step3_validation[[#This Row],[AI_TRU4]]</f>
        <v>7</v>
      </c>
      <c r="BA261" t="str">
        <f t="shared" si="129"/>
        <v>Neutral</v>
      </c>
      <c r="BB261">
        <f>survey_responses[[#This Row],[Tôi thấy Nhà nước đã giải thích rõ ràng, minh bạch về lý do và mục tiêu của việc sửa đổi thuế lần này. - HUMAN-TRU4]]</f>
        <v>6</v>
      </c>
      <c r="BC261" t="str">
        <f t="shared" si="130"/>
        <v>Neutral</v>
      </c>
      <c r="BD261" s="32">
        <f t="shared" si="131"/>
        <v>1</v>
      </c>
      <c r="BE261">
        <f>step3_validation[[#This Row],[AI_OUT1]]</f>
        <v>9</v>
      </c>
      <c r="BF261" t="str">
        <f t="shared" si="132"/>
        <v>Support</v>
      </c>
      <c r="BG261">
        <f>survey_responses[[#This Row],[Sau khi xem xét các quyền lợi và nghĩa vụ, bạn có ủng hộ và tuân thủ chính sách mới hiện nay? - HUMAN-OUT1]]</f>
        <v>6</v>
      </c>
      <c r="BH261" t="str">
        <f t="shared" si="133"/>
        <v>Neutral</v>
      </c>
      <c r="BI261" s="32">
        <f t="shared" si="134"/>
        <v>3</v>
      </c>
    </row>
    <row r="262" spans="1:61" x14ac:dyDescent="0.45">
      <c r="A262" s="30">
        <f>step3_validation[[#This Row],[Persona_ID]]</f>
        <v>261</v>
      </c>
      <c r="B262" s="31">
        <f>step3_validation[[#This Row],[Used_Seed]]</f>
        <v>12605</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39.062928247312357</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t="str">
        <f t="shared" si="108"/>
        <v>Neutral</v>
      </c>
      <c r="S262">
        <f>survey_responses[[#This Row],[Tôi tin rằng với các quy định quản lý thuế hiện nay, hành vi gian lận hoặc trốn thuế sẽ dễ dàng bị phát hiện và xử lý nghiêm. - HUMAN-ENF1]]</f>
        <v>6</v>
      </c>
      <c r="T262" t="str">
        <f t="shared" si="109"/>
        <v>Neutral</v>
      </c>
      <c r="U262" s="32">
        <f t="shared" si="110"/>
        <v>1</v>
      </c>
      <c r="V262">
        <f>step3_validation[[#This Row],[AI_ENF2]]</f>
        <v>8</v>
      </c>
      <c r="W262" t="str">
        <f t="shared" si="111"/>
        <v>Support</v>
      </c>
      <c r="X262">
        <f>survey_responses[[#This Row],[Tôi tin rằng Nhà nước, cơ quan thuế có đủ khả năng và công nghệ để phát hiện, xử lý nghiêm các hành vi trốn thuế. - HUMAN-ENF2]]</f>
        <v>7</v>
      </c>
      <c r="Y262" t="str">
        <f t="shared" si="112"/>
        <v>Neutral</v>
      </c>
      <c r="Z262" s="32">
        <f t="shared" si="113"/>
        <v>1</v>
      </c>
      <c r="AA262">
        <f>step3_validation[[#This Row],[AI_FAC1]]</f>
        <v>9</v>
      </c>
      <c r="AB262" t="str">
        <f t="shared" si="114"/>
        <v>Support</v>
      </c>
      <c r="AC262">
        <f>survey_responses[[#This Row],[Các thủ tục khai báo thuế VÀ/HOẶC quy trình làm việc với cơ quan thuế đơn giản, tiện lợi, nhanh chóng hơn so với trước đây. - HUMAN-FAC1]]</f>
        <v>1</v>
      </c>
      <c r="AD262" t="str">
        <f t="shared" si="115"/>
        <v>Oppose</v>
      </c>
      <c r="AE262" s="32">
        <f t="shared" si="116"/>
        <v>8</v>
      </c>
      <c r="AF262">
        <f>step3_validation[[#This Row],[AI_FAC2]]</f>
        <v>9</v>
      </c>
      <c r="AG262" t="str">
        <f t="shared" si="117"/>
        <v>Support</v>
      </c>
      <c r="AH262">
        <f>survey_responses[[#This Row],[So với trước đây, tôi thấy cách tính thuế và các bậc thuế trong phương án mới đơn giản, dễ hiểu và dễ thực hiện hơn. - HUMAN-FAC2]]</f>
        <v>9</v>
      </c>
      <c r="AI262" t="str">
        <f t="shared" si="118"/>
        <v>Support</v>
      </c>
      <c r="AJ262" s="32">
        <f t="shared" si="119"/>
        <v>0</v>
      </c>
      <c r="AK262">
        <f>step3_validation[[#This Row],[AI_TRU1]]</f>
        <v>8</v>
      </c>
      <c r="AL262" t="str">
        <f t="shared" si="120"/>
        <v>Support</v>
      </c>
      <c r="AM262">
        <f>survey_responses[[#This Row],[Tôi tin rằng Nhà nước, cơ quan thuế sẽ thực thi chính sách mới một cách khách quan, công tâm và đối xử bình đẳng với mọi người nộp thuế.  - HUMAN-TRU1]]</f>
        <v>5</v>
      </c>
      <c r="AN262" t="str">
        <f t="shared" si="121"/>
        <v>Neutral</v>
      </c>
      <c r="AO262" s="32">
        <f t="shared" si="122"/>
        <v>3</v>
      </c>
      <c r="AP262">
        <f>step3_validation[[#This Row],[AI_TRU2]]</f>
        <v>9</v>
      </c>
      <c r="AQ262" t="str">
        <f t="shared" si="123"/>
        <v>Support</v>
      </c>
      <c r="AR262">
        <f>survey_responses[[#This Row],[Tôi thấy mức thuế tôi phải đóng theo phương án mới là công bằng (người thu nhập như tôi đóng mức này là hợp lý). - HUMAN-TRU2]]</f>
        <v>4</v>
      </c>
      <c r="AS262" t="str">
        <f t="shared" si="124"/>
        <v>Oppose</v>
      </c>
      <c r="AT262" s="32">
        <f t="shared" si="125"/>
        <v>5</v>
      </c>
      <c r="AU262">
        <f>step3_validation[[#This Row],[AI_TRU3]]</f>
        <v>8</v>
      </c>
      <c r="AV262" t="str">
        <f t="shared" si="126"/>
        <v>Support</v>
      </c>
      <c r="AW262">
        <f>survey_responses[[#This Row],[Tôi tin tưởng số tiền thuế tôi đóng sẽ được Nhà nước sử dụng hiệu quả để cải thiện dịch vụ công (y tế, đường xá...). - HUMAN-TRU3]]</f>
        <v>4</v>
      </c>
      <c r="AX262" t="str">
        <f t="shared" si="127"/>
        <v>Oppose</v>
      </c>
      <c r="AY262" s="32">
        <f t="shared" si="128"/>
        <v>4</v>
      </c>
      <c r="AZ262">
        <f>step3_validation[[#This Row],[AI_TRU4]]</f>
        <v>9</v>
      </c>
      <c r="BA262" t="str">
        <f t="shared" si="129"/>
        <v>Support</v>
      </c>
      <c r="BB262">
        <f>survey_responses[[#This Row],[Tôi thấy Nhà nước đã giải thích rõ ràng, minh bạch về lý do và mục tiêu của việc sửa đổi thuế lần này. - HUMAN-TRU4]]</f>
        <v>5</v>
      </c>
      <c r="BC262" t="str">
        <f t="shared" si="130"/>
        <v>Neutral</v>
      </c>
      <c r="BD262" s="32">
        <f t="shared" si="131"/>
        <v>4</v>
      </c>
      <c r="BE262">
        <f>step3_validation[[#This Row],[AI_OUT1]]</f>
        <v>8</v>
      </c>
      <c r="BF262" t="str">
        <f t="shared" si="132"/>
        <v>Support</v>
      </c>
      <c r="BG262">
        <f>survey_responses[[#This Row],[Sau khi xem xét các quyền lợi và nghĩa vụ, bạn có ủng hộ và tuân thủ chính sách mới hiện nay? - HUMAN-OUT1]]</f>
        <v>5</v>
      </c>
      <c r="BH262" t="str">
        <f t="shared" si="133"/>
        <v>Neutral</v>
      </c>
      <c r="BI262" s="32">
        <f t="shared" si="134"/>
        <v>3</v>
      </c>
    </row>
    <row r="263" spans="1:61" x14ac:dyDescent="0.45">
      <c r="A263" s="30">
        <f>step3_validation[[#This Row],[Persona_ID]]</f>
        <v>262</v>
      </c>
      <c r="B263" s="31">
        <f>step3_validation[[#This Row],[Used_Seed]]</f>
        <v>12606</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48.343753354470955</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t="str">
        <f t="shared" si="108"/>
        <v>Neutral</v>
      </c>
      <c r="S263">
        <f>survey_responses[[#This Row],[Tôi tin rằng với các quy định quản lý thuế hiện nay, hành vi gian lận hoặc trốn thuế sẽ dễ dàng bị phát hiện và xử lý nghiêm. - HUMAN-ENF1]]</f>
        <v>9</v>
      </c>
      <c r="T263" t="str">
        <f t="shared" si="109"/>
        <v>Support</v>
      </c>
      <c r="U263" s="32">
        <f t="shared" si="110"/>
        <v>2</v>
      </c>
      <c r="V263">
        <f>step3_validation[[#This Row],[AI_ENF2]]</f>
        <v>8</v>
      </c>
      <c r="W263" t="str">
        <f t="shared" si="111"/>
        <v>Support</v>
      </c>
      <c r="X263">
        <f>survey_responses[[#This Row],[Tôi tin rằng Nhà nước, cơ quan thuế có đủ khả năng và công nghệ để phát hiện, xử lý nghiêm các hành vi trốn thuế. - HUMAN-ENF2]]</f>
        <v>9</v>
      </c>
      <c r="Y263" t="str">
        <f t="shared" si="112"/>
        <v>Support</v>
      </c>
      <c r="Z263" s="32">
        <f t="shared" si="113"/>
        <v>1</v>
      </c>
      <c r="AA263">
        <f>step3_validation[[#This Row],[AI_FAC1]]</f>
        <v>9</v>
      </c>
      <c r="AB263" t="str">
        <f t="shared" si="114"/>
        <v>Support</v>
      </c>
      <c r="AC263">
        <f>survey_responses[[#This Row],[Các thủ tục khai báo thuế VÀ/HOẶC quy trình làm việc với cơ quan thuế đơn giản, tiện lợi, nhanh chóng hơn so với trước đây. - HUMAN-FAC1]]</f>
        <v>8</v>
      </c>
      <c r="AD263" t="str">
        <f t="shared" si="115"/>
        <v>Support</v>
      </c>
      <c r="AE263" s="32">
        <f t="shared" si="116"/>
        <v>1</v>
      </c>
      <c r="AF263">
        <f>step3_validation[[#This Row],[AI_FAC2]]</f>
        <v>9</v>
      </c>
      <c r="AG263" t="str">
        <f t="shared" si="117"/>
        <v>Support</v>
      </c>
      <c r="AH263">
        <f>survey_responses[[#This Row],[So với trước đây, tôi thấy cách tính thuế và các bậc thuế trong phương án mới đơn giản, dễ hiểu và dễ thực hiện hơn. - HUMAN-FAC2]]</f>
        <v>9</v>
      </c>
      <c r="AI263" t="str">
        <f t="shared" si="118"/>
        <v>Support</v>
      </c>
      <c r="AJ263" s="32">
        <f t="shared" si="119"/>
        <v>0</v>
      </c>
      <c r="AK263">
        <f>step3_validation[[#This Row],[AI_TRU1]]</f>
        <v>8</v>
      </c>
      <c r="AL263" t="str">
        <f t="shared" si="120"/>
        <v>Support</v>
      </c>
      <c r="AM263">
        <f>survey_responses[[#This Row],[Tôi tin rằng Nhà nước, cơ quan thuế sẽ thực thi chính sách mới một cách khách quan, công tâm và đối xử bình đẳng với mọi người nộp thuế.  - HUMAN-TRU1]]</f>
        <v>8</v>
      </c>
      <c r="AN263" t="str">
        <f t="shared" si="121"/>
        <v>Support</v>
      </c>
      <c r="AO263" s="32">
        <f t="shared" si="122"/>
        <v>0</v>
      </c>
      <c r="AP263">
        <f>step3_validation[[#This Row],[AI_TRU2]]</f>
        <v>9</v>
      </c>
      <c r="AQ263" t="str">
        <f t="shared" si="123"/>
        <v>Support</v>
      </c>
      <c r="AR263">
        <f>survey_responses[[#This Row],[Tôi thấy mức thuế tôi phải đóng theo phương án mới là công bằng (người thu nhập như tôi đóng mức này là hợp lý). - HUMAN-TRU2]]</f>
        <v>9</v>
      </c>
      <c r="AS263" t="str">
        <f t="shared" si="124"/>
        <v>Support</v>
      </c>
      <c r="AT263" s="32">
        <f t="shared" si="125"/>
        <v>0</v>
      </c>
      <c r="AU263">
        <f>step3_validation[[#This Row],[AI_TRU3]]</f>
        <v>8</v>
      </c>
      <c r="AV263" t="str">
        <f t="shared" si="126"/>
        <v>Support</v>
      </c>
      <c r="AW263">
        <f>survey_responses[[#This Row],[Tôi tin tưởng số tiền thuế tôi đóng sẽ được Nhà nước sử dụng hiệu quả để cải thiện dịch vụ công (y tế, đường xá...). - HUMAN-TRU3]]</f>
        <v>9</v>
      </c>
      <c r="AX263" t="str">
        <f t="shared" si="127"/>
        <v>Support</v>
      </c>
      <c r="AY263" s="32">
        <f t="shared" si="128"/>
        <v>1</v>
      </c>
      <c r="AZ263">
        <f>step3_validation[[#This Row],[AI_TRU4]]</f>
        <v>9</v>
      </c>
      <c r="BA263" t="str">
        <f t="shared" si="129"/>
        <v>Support</v>
      </c>
      <c r="BB263">
        <f>survey_responses[[#This Row],[Tôi thấy Nhà nước đã giải thích rõ ràng, minh bạch về lý do và mục tiêu của việc sửa đổi thuế lần này. - HUMAN-TRU4]]</f>
        <v>8</v>
      </c>
      <c r="BC263" t="str">
        <f t="shared" si="130"/>
        <v>Support</v>
      </c>
      <c r="BD263" s="32">
        <f t="shared" si="131"/>
        <v>1</v>
      </c>
      <c r="BE263">
        <f>step3_validation[[#This Row],[AI_OUT1]]</f>
        <v>10</v>
      </c>
      <c r="BF263" t="str">
        <f t="shared" si="132"/>
        <v>Support</v>
      </c>
      <c r="BG263">
        <f>survey_responses[[#This Row],[Sau khi xem xét các quyền lợi và nghĩa vụ, bạn có ủng hộ và tuân thủ chính sách mới hiện nay? - HUMAN-OUT1]]</f>
        <v>8</v>
      </c>
      <c r="BH263" t="str">
        <f t="shared" si="133"/>
        <v>Support</v>
      </c>
      <c r="BI263" s="32">
        <f t="shared" si="134"/>
        <v>2</v>
      </c>
    </row>
    <row r="264" spans="1:61" x14ac:dyDescent="0.45">
      <c r="A264" s="30">
        <f>step3_validation[[#This Row],[Persona_ID]]</f>
        <v>263</v>
      </c>
      <c r="B264" s="31">
        <f>step3_validation[[#This Row],[Used_Seed]]</f>
        <v>12607</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96.582099489997503</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8</v>
      </c>
      <c r="R264" t="str">
        <f t="shared" si="108"/>
        <v>Support</v>
      </c>
      <c r="S264">
        <f>survey_responses[[#This Row],[Tôi tin rằng với các quy định quản lý thuế hiện nay, hành vi gian lận hoặc trốn thuế sẽ dễ dàng bị phát hiện và xử lý nghiêm. - HUMAN-ENF1]]</f>
        <v>8</v>
      </c>
      <c r="T264" t="str">
        <f t="shared" si="109"/>
        <v>Support</v>
      </c>
      <c r="U264" s="32">
        <f t="shared" si="110"/>
        <v>0</v>
      </c>
      <c r="V264">
        <f>step3_validation[[#This Row],[AI_ENF2]]</f>
        <v>9</v>
      </c>
      <c r="W264" t="str">
        <f t="shared" si="111"/>
        <v>Support</v>
      </c>
      <c r="X264">
        <f>survey_responses[[#This Row],[Tôi tin rằng Nhà nước, cơ quan thuế có đủ khả năng và công nghệ để phát hiện, xử lý nghiêm các hành vi trốn thuế. - HUMAN-ENF2]]</f>
        <v>8</v>
      </c>
      <c r="Y264" t="str">
        <f t="shared" si="112"/>
        <v>Support</v>
      </c>
      <c r="Z264" s="32">
        <f t="shared" si="113"/>
        <v>1</v>
      </c>
      <c r="AA264">
        <f>step3_validation[[#This Row],[AI_FAC1]]</f>
        <v>8</v>
      </c>
      <c r="AB264" t="str">
        <f t="shared" si="114"/>
        <v>Support</v>
      </c>
      <c r="AC264">
        <f>survey_responses[[#This Row],[Các thủ tục khai báo thuế VÀ/HOẶC quy trình làm việc với cơ quan thuế đơn giản, tiện lợi, nhanh chóng hơn so với trước đây. - HUMAN-FAC1]]</f>
        <v>5</v>
      </c>
      <c r="AD264" t="str">
        <f t="shared" si="115"/>
        <v>Neutral</v>
      </c>
      <c r="AE264" s="32">
        <f t="shared" si="116"/>
        <v>3</v>
      </c>
      <c r="AF264">
        <f>step3_validation[[#This Row],[AI_FAC2]]</f>
        <v>9</v>
      </c>
      <c r="AG264" t="str">
        <f t="shared" si="117"/>
        <v>Support</v>
      </c>
      <c r="AH264">
        <f>survey_responses[[#This Row],[So với trước đây, tôi thấy cách tính thuế và các bậc thuế trong phương án mới đơn giản, dễ hiểu và dễ thực hiện hơn. - HUMAN-FAC2]]</f>
        <v>7</v>
      </c>
      <c r="AI264" t="str">
        <f t="shared" si="118"/>
        <v>Neutral</v>
      </c>
      <c r="AJ264" s="32">
        <f t="shared" si="119"/>
        <v>2</v>
      </c>
      <c r="AK264">
        <f>step3_validation[[#This Row],[AI_TRU1]]</f>
        <v>8</v>
      </c>
      <c r="AL264" t="str">
        <f t="shared" si="120"/>
        <v>Support</v>
      </c>
      <c r="AM264">
        <f>survey_responses[[#This Row],[Tôi tin rằng Nhà nước, cơ quan thuế sẽ thực thi chính sách mới một cách khách quan, công tâm và đối xử bình đẳng với mọi người nộp thuế.  - HUMAN-TRU1]]</f>
        <v>7</v>
      </c>
      <c r="AN264" t="str">
        <f t="shared" si="121"/>
        <v>Neutral</v>
      </c>
      <c r="AO264" s="32">
        <f t="shared" si="122"/>
        <v>1</v>
      </c>
      <c r="AP264">
        <f>step3_validation[[#This Row],[AI_TRU2]]</f>
        <v>9</v>
      </c>
      <c r="AQ264" t="str">
        <f t="shared" si="123"/>
        <v>Support</v>
      </c>
      <c r="AR264">
        <f>survey_responses[[#This Row],[Tôi thấy mức thuế tôi phải đóng theo phương án mới là công bằng (người thu nhập như tôi đóng mức này là hợp lý). - HUMAN-TRU2]]</f>
        <v>5</v>
      </c>
      <c r="AS264" t="str">
        <f t="shared" si="124"/>
        <v>Neutral</v>
      </c>
      <c r="AT264" s="32">
        <f t="shared" si="125"/>
        <v>4</v>
      </c>
      <c r="AU264">
        <f>step3_validation[[#This Row],[AI_TRU3]]</f>
        <v>8</v>
      </c>
      <c r="AV264" t="str">
        <f t="shared" si="126"/>
        <v>Support</v>
      </c>
      <c r="AW264">
        <f>survey_responses[[#This Row],[Tôi tin tưởng số tiền thuế tôi đóng sẽ được Nhà nước sử dụng hiệu quả để cải thiện dịch vụ công (y tế, đường xá...). - HUMAN-TRU3]]</f>
        <v>5</v>
      </c>
      <c r="AX264" t="str">
        <f t="shared" si="127"/>
        <v>Neutral</v>
      </c>
      <c r="AY264" s="32">
        <f t="shared" si="128"/>
        <v>3</v>
      </c>
      <c r="AZ264">
        <f>step3_validation[[#This Row],[AI_TRU4]]</f>
        <v>9</v>
      </c>
      <c r="BA264" t="str">
        <f t="shared" si="129"/>
        <v>Support</v>
      </c>
      <c r="BB264">
        <f>survey_responses[[#This Row],[Tôi thấy Nhà nước đã giải thích rõ ràng, minh bạch về lý do và mục tiêu của việc sửa đổi thuế lần này. - HUMAN-TRU4]]</f>
        <v>6</v>
      </c>
      <c r="BC264" t="str">
        <f t="shared" si="130"/>
        <v>Neutral</v>
      </c>
      <c r="BD264" s="32">
        <f t="shared" si="131"/>
        <v>3</v>
      </c>
      <c r="BE264">
        <f>step3_validation[[#This Row],[AI_OUT1]]</f>
        <v>8</v>
      </c>
      <c r="BF264" t="str">
        <f t="shared" si="132"/>
        <v>Support</v>
      </c>
      <c r="BG264">
        <f>survey_responses[[#This Row],[Sau khi xem xét các quyền lợi và nghĩa vụ, bạn có ủng hộ và tuân thủ chính sách mới hiện nay? - HUMAN-OUT1]]</f>
        <v>6</v>
      </c>
      <c r="BH264" t="str">
        <f t="shared" si="133"/>
        <v>Neutral</v>
      </c>
      <c r="BI264" s="32">
        <f t="shared" si="134"/>
        <v>2</v>
      </c>
    </row>
    <row r="265" spans="1:61" x14ac:dyDescent="0.45">
      <c r="A265" s="30">
        <f>step3_validation[[#This Row],[Persona_ID]]</f>
        <v>264</v>
      </c>
      <c r="B265" s="31">
        <f>step3_validation[[#This Row],[Used_Seed]]</f>
        <v>12608</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192.82303663729419</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6</v>
      </c>
      <c r="R265" t="str">
        <f t="shared" si="108"/>
        <v>Neutral</v>
      </c>
      <c r="S265">
        <f>survey_responses[[#This Row],[Tôi tin rằng với các quy định quản lý thuế hiện nay, hành vi gian lận hoặc trốn thuế sẽ dễ dàng bị phát hiện và xử lý nghiêm. - HUMAN-ENF1]]</f>
        <v>7</v>
      </c>
      <c r="T265" t="str">
        <f t="shared" si="109"/>
        <v>Neutral</v>
      </c>
      <c r="U265" s="32">
        <f t="shared" si="110"/>
        <v>1</v>
      </c>
      <c r="V265">
        <f>step3_validation[[#This Row],[AI_ENF2]]</f>
        <v>7</v>
      </c>
      <c r="W265" t="str">
        <f t="shared" si="111"/>
        <v>Neutral</v>
      </c>
      <c r="X265">
        <f>survey_responses[[#This Row],[Tôi tin rằng Nhà nước, cơ quan thuế có đủ khả năng và công nghệ để phát hiện, xử lý nghiêm các hành vi trốn thuế. - HUMAN-ENF2]]</f>
        <v>7</v>
      </c>
      <c r="Y265" t="str">
        <f t="shared" si="112"/>
        <v>Neutral</v>
      </c>
      <c r="Z265" s="32">
        <f t="shared" si="113"/>
        <v>0</v>
      </c>
      <c r="AA265">
        <f>step3_validation[[#This Row],[AI_FAC1]]</f>
        <v>9</v>
      </c>
      <c r="AB265" t="str">
        <f t="shared" si="114"/>
        <v>Support</v>
      </c>
      <c r="AC265">
        <f>survey_responses[[#This Row],[Các thủ tục khai báo thuế VÀ/HOẶC quy trình làm việc với cơ quan thuế đơn giản, tiện lợi, nhanh chóng hơn so với trước đây. - HUMAN-FAC1]]</f>
        <v>7</v>
      </c>
      <c r="AD265" t="str">
        <f t="shared" si="115"/>
        <v>Neutral</v>
      </c>
      <c r="AE265" s="32">
        <f t="shared" si="116"/>
        <v>2</v>
      </c>
      <c r="AF265">
        <f>step3_validation[[#This Row],[AI_FAC2]]</f>
        <v>8</v>
      </c>
      <c r="AG265" t="str">
        <f t="shared" si="117"/>
        <v>Support</v>
      </c>
      <c r="AH265">
        <f>survey_responses[[#This Row],[So với trước đây, tôi thấy cách tính thuế và các bậc thuế trong phương án mới đơn giản, dễ hiểu và dễ thực hiện hơn. - HUMAN-FAC2]]</f>
        <v>8</v>
      </c>
      <c r="AI265" t="str">
        <f t="shared" si="118"/>
        <v>Support</v>
      </c>
      <c r="AJ265" s="32">
        <f t="shared" si="119"/>
        <v>0</v>
      </c>
      <c r="AK265">
        <f>step3_validation[[#This Row],[AI_TRU1]]</f>
        <v>7</v>
      </c>
      <c r="AL265" t="str">
        <f t="shared" si="120"/>
        <v>Neutral</v>
      </c>
      <c r="AM265">
        <f>survey_responses[[#This Row],[Tôi tin rằng Nhà nước, cơ quan thuế sẽ thực thi chính sách mới một cách khách quan, công tâm và đối xử bình đẳng với mọi người nộp thuế.  - HUMAN-TRU1]]</f>
        <v>7</v>
      </c>
      <c r="AN265" t="str">
        <f t="shared" si="121"/>
        <v>Neutral</v>
      </c>
      <c r="AO265" s="32">
        <f t="shared" si="122"/>
        <v>0</v>
      </c>
      <c r="AP265">
        <f>step3_validation[[#This Row],[AI_TRU2]]</f>
        <v>9</v>
      </c>
      <c r="AQ265" t="str">
        <f t="shared" si="123"/>
        <v>Support</v>
      </c>
      <c r="AR265">
        <f>survey_responses[[#This Row],[Tôi thấy mức thuế tôi phải đóng theo phương án mới là công bằng (người thu nhập như tôi đóng mức này là hợp lý). - HUMAN-TRU2]]</f>
        <v>7</v>
      </c>
      <c r="AS265" t="str">
        <f t="shared" si="124"/>
        <v>Neutral</v>
      </c>
      <c r="AT265" s="32">
        <f t="shared" si="125"/>
        <v>2</v>
      </c>
      <c r="AU265">
        <f>step3_validation[[#This Row],[AI_TRU3]]</f>
        <v>8</v>
      </c>
      <c r="AV265" t="str">
        <f t="shared" si="126"/>
        <v>Support</v>
      </c>
      <c r="AW265">
        <f>survey_responses[[#This Row],[Tôi tin tưởng số tiền thuế tôi đóng sẽ được Nhà nước sử dụng hiệu quả để cải thiện dịch vụ công (y tế, đường xá...). - HUMAN-TRU3]]</f>
        <v>7</v>
      </c>
      <c r="AX265" t="str">
        <f t="shared" si="127"/>
        <v>Neutral</v>
      </c>
      <c r="AY265" s="32">
        <f t="shared" si="128"/>
        <v>1</v>
      </c>
      <c r="AZ265">
        <f>step3_validation[[#This Row],[AI_TRU4]]</f>
        <v>7</v>
      </c>
      <c r="BA265" t="str">
        <f t="shared" si="129"/>
        <v>Neutral</v>
      </c>
      <c r="BB265">
        <f>survey_responses[[#This Row],[Tôi thấy Nhà nước đã giải thích rõ ràng, minh bạch về lý do và mục tiêu của việc sửa đổi thuế lần này. - HUMAN-TRU4]]</f>
        <v>7</v>
      </c>
      <c r="BC265" t="str">
        <f t="shared" si="130"/>
        <v>Neutral</v>
      </c>
      <c r="BD265" s="32">
        <f t="shared" si="131"/>
        <v>0</v>
      </c>
      <c r="BE265">
        <f>step3_validation[[#This Row],[AI_OUT1]]</f>
        <v>9</v>
      </c>
      <c r="BF265" t="str">
        <f t="shared" si="132"/>
        <v>Support</v>
      </c>
      <c r="BG265">
        <f>survey_responses[[#This Row],[Sau khi xem xét các quyền lợi và nghĩa vụ, bạn có ủng hộ và tuân thủ chính sách mới hiện nay? - HUMAN-OUT1]]</f>
        <v>7</v>
      </c>
      <c r="BH265" t="str">
        <f t="shared" si="133"/>
        <v>Neutral</v>
      </c>
      <c r="BI265" s="32">
        <f t="shared" si="134"/>
        <v>2</v>
      </c>
    </row>
    <row r="266" spans="1:61" x14ac:dyDescent="0.45">
      <c r="A266" s="30">
        <f>step3_validation[[#This Row],[Persona_ID]]</f>
        <v>265</v>
      </c>
      <c r="B266" s="31">
        <f>step3_validation[[#This Row],[Used_Seed]]</f>
        <v>12609</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27.961883857566292</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9</v>
      </c>
      <c r="R266" t="str">
        <f t="shared" si="108"/>
        <v>Support</v>
      </c>
      <c r="S266">
        <f>survey_responses[[#This Row],[Tôi tin rằng với các quy định quản lý thuế hiện nay, hành vi gian lận hoặc trốn thuế sẽ dễ dàng bị phát hiện và xử lý nghiêm. - HUMAN-ENF1]]</f>
        <v>6</v>
      </c>
      <c r="T266" t="str">
        <f t="shared" si="109"/>
        <v>Neutral</v>
      </c>
      <c r="U266" s="32">
        <f t="shared" si="110"/>
        <v>3</v>
      </c>
      <c r="V266">
        <f>step3_validation[[#This Row],[AI_ENF2]]</f>
        <v>8</v>
      </c>
      <c r="W266" t="str">
        <f t="shared" si="111"/>
        <v>Support</v>
      </c>
      <c r="X266">
        <f>survey_responses[[#This Row],[Tôi tin rằng Nhà nước, cơ quan thuế có đủ khả năng và công nghệ để phát hiện, xử lý nghiêm các hành vi trốn thuế. - HUMAN-ENF2]]</f>
        <v>5</v>
      </c>
      <c r="Y266" t="str">
        <f t="shared" si="112"/>
        <v>Neutral</v>
      </c>
      <c r="Z266" s="32">
        <f t="shared" si="113"/>
        <v>3</v>
      </c>
      <c r="AA266">
        <f>step3_validation[[#This Row],[AI_FAC1]]</f>
        <v>9</v>
      </c>
      <c r="AB266" t="str">
        <f t="shared" si="114"/>
        <v>Support</v>
      </c>
      <c r="AC266">
        <f>survey_responses[[#This Row],[Các thủ tục khai báo thuế VÀ/HOẶC quy trình làm việc với cơ quan thuế đơn giản, tiện lợi, nhanh chóng hơn so với trước đây. - HUMAN-FAC1]]</f>
        <v>5</v>
      </c>
      <c r="AD266" t="str">
        <f t="shared" si="115"/>
        <v>Neutral</v>
      </c>
      <c r="AE266" s="32">
        <f t="shared" si="116"/>
        <v>4</v>
      </c>
      <c r="AF266">
        <f>step3_validation[[#This Row],[AI_FAC2]]</f>
        <v>10</v>
      </c>
      <c r="AG266" t="str">
        <f t="shared" si="117"/>
        <v>Support</v>
      </c>
      <c r="AH266">
        <f>survey_responses[[#This Row],[So với trước đây, tôi thấy cách tính thuế và các bậc thuế trong phương án mới đơn giản, dễ hiểu và dễ thực hiện hơn. - HUMAN-FAC2]]</f>
        <v>7</v>
      </c>
      <c r="AI266" t="str">
        <f t="shared" si="118"/>
        <v>Neutral</v>
      </c>
      <c r="AJ266" s="32">
        <f t="shared" si="119"/>
        <v>3</v>
      </c>
      <c r="AK266">
        <f>step3_validation[[#This Row],[AI_TRU1]]</f>
        <v>9</v>
      </c>
      <c r="AL266" t="str">
        <f t="shared" si="120"/>
        <v>Support</v>
      </c>
      <c r="AM266">
        <f>survey_responses[[#This Row],[Tôi tin rằng Nhà nước, cơ quan thuế sẽ thực thi chính sách mới một cách khách quan, công tâm và đối xử bình đẳng với mọi người nộp thuế.  - HUMAN-TRU1]]</f>
        <v>6</v>
      </c>
      <c r="AN266" t="str">
        <f t="shared" si="121"/>
        <v>Neutral</v>
      </c>
      <c r="AO266" s="32">
        <f t="shared" si="122"/>
        <v>3</v>
      </c>
      <c r="AP266">
        <f>step3_validation[[#This Row],[AI_TRU2]]</f>
        <v>9</v>
      </c>
      <c r="AQ266" t="str">
        <f t="shared" si="123"/>
        <v>Support</v>
      </c>
      <c r="AR266">
        <f>survey_responses[[#This Row],[Tôi thấy mức thuế tôi phải đóng theo phương án mới là công bằng (người thu nhập như tôi đóng mức này là hợp lý). - HUMAN-TRU2]]</f>
        <v>7</v>
      </c>
      <c r="AS266" t="str">
        <f t="shared" si="124"/>
        <v>Neutral</v>
      </c>
      <c r="AT266" s="32">
        <f t="shared" si="125"/>
        <v>2</v>
      </c>
      <c r="AU266">
        <f>step3_validation[[#This Row],[AI_TRU3]]</f>
        <v>9</v>
      </c>
      <c r="AV266" t="str">
        <f t="shared" si="126"/>
        <v>Support</v>
      </c>
      <c r="AW266">
        <f>survey_responses[[#This Row],[Tôi tin tưởng số tiền thuế tôi đóng sẽ được Nhà nước sử dụng hiệu quả để cải thiện dịch vụ công (y tế, đường xá...). - HUMAN-TRU3]]</f>
        <v>5</v>
      </c>
      <c r="AX266" t="str">
        <f t="shared" si="127"/>
        <v>Neutral</v>
      </c>
      <c r="AY266" s="32">
        <f t="shared" si="128"/>
        <v>4</v>
      </c>
      <c r="AZ266">
        <f>step3_validation[[#This Row],[AI_TRU4]]</f>
        <v>7</v>
      </c>
      <c r="BA266" t="str">
        <f t="shared" si="129"/>
        <v>Neutral</v>
      </c>
      <c r="BB266">
        <f>survey_responses[[#This Row],[Tôi thấy Nhà nước đã giải thích rõ ràng, minh bạch về lý do và mục tiêu của việc sửa đổi thuế lần này. - HUMAN-TRU4]]</f>
        <v>6</v>
      </c>
      <c r="BC266" t="str">
        <f t="shared" si="130"/>
        <v>Neutral</v>
      </c>
      <c r="BD266" s="32">
        <f t="shared" si="131"/>
        <v>1</v>
      </c>
      <c r="BE266">
        <f>step3_validation[[#This Row],[AI_OUT1]]</f>
        <v>8</v>
      </c>
      <c r="BF266" t="str">
        <f t="shared" si="132"/>
        <v>Support</v>
      </c>
      <c r="BG266">
        <f>survey_responses[[#This Row],[Sau khi xem xét các quyền lợi và nghĩa vụ, bạn có ủng hộ và tuân thủ chính sách mới hiện nay? - HUMAN-OUT1]]</f>
        <v>6</v>
      </c>
      <c r="BH266" t="str">
        <f t="shared" si="133"/>
        <v>Neutral</v>
      </c>
      <c r="BI266" s="32">
        <f t="shared" si="134"/>
        <v>2</v>
      </c>
    </row>
    <row r="267" spans="1:61" x14ac:dyDescent="0.45">
      <c r="A267" s="30">
        <f>step3_validation[[#This Row],[Persona_ID]]</f>
        <v>266</v>
      </c>
      <c r="B267" s="31">
        <f>step3_validation[[#This Row],[Used_Seed]]</f>
        <v>12610</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48.07318258724181</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t="str">
        <f t="shared" si="108"/>
        <v>Neutral</v>
      </c>
      <c r="S267">
        <f>survey_responses[[#This Row],[Tôi tin rằng với các quy định quản lý thuế hiện nay, hành vi gian lận hoặc trốn thuế sẽ dễ dàng bị phát hiện và xử lý nghiêm. - HUMAN-ENF1]]</f>
        <v>7</v>
      </c>
      <c r="T267" t="str">
        <f t="shared" si="109"/>
        <v>Neutral</v>
      </c>
      <c r="U267" s="32">
        <f t="shared" si="110"/>
        <v>0</v>
      </c>
      <c r="V267">
        <f>step3_validation[[#This Row],[AI_ENF2]]</f>
        <v>8</v>
      </c>
      <c r="W267" t="str">
        <f t="shared" si="111"/>
        <v>Support</v>
      </c>
      <c r="X267">
        <f>survey_responses[[#This Row],[Tôi tin rằng Nhà nước, cơ quan thuế có đủ khả năng và công nghệ để phát hiện, xử lý nghiêm các hành vi trốn thuế. - HUMAN-ENF2]]</f>
        <v>6</v>
      </c>
      <c r="Y267" t="str">
        <f t="shared" si="112"/>
        <v>Neutral</v>
      </c>
      <c r="Z267" s="32">
        <f t="shared" si="113"/>
        <v>2</v>
      </c>
      <c r="AA267">
        <f>step3_validation[[#This Row],[AI_FAC1]]</f>
        <v>9</v>
      </c>
      <c r="AB267" t="str">
        <f t="shared" si="114"/>
        <v>Support</v>
      </c>
      <c r="AC267">
        <f>survey_responses[[#This Row],[Các thủ tục khai báo thuế VÀ/HOẶC quy trình làm việc với cơ quan thuế đơn giản, tiện lợi, nhanh chóng hơn so với trước đây. - HUMAN-FAC1]]</f>
        <v>6</v>
      </c>
      <c r="AD267" t="str">
        <f t="shared" si="115"/>
        <v>Neutral</v>
      </c>
      <c r="AE267" s="32">
        <f t="shared" si="116"/>
        <v>3</v>
      </c>
      <c r="AF267">
        <f>step3_validation[[#This Row],[AI_FAC2]]</f>
        <v>10</v>
      </c>
      <c r="AG267" t="str">
        <f t="shared" si="117"/>
        <v>Support</v>
      </c>
      <c r="AH267">
        <f>survey_responses[[#This Row],[So với trước đây, tôi thấy cách tính thuế và các bậc thuế trong phương án mới đơn giản, dễ hiểu và dễ thực hiện hơn. - HUMAN-FAC2]]</f>
        <v>6</v>
      </c>
      <c r="AI267" t="str">
        <f t="shared" si="118"/>
        <v>Neutral</v>
      </c>
      <c r="AJ267" s="32">
        <f t="shared" si="119"/>
        <v>4</v>
      </c>
      <c r="AK267">
        <f>step3_validation[[#This Row],[AI_TRU1]]</f>
        <v>9</v>
      </c>
      <c r="AL267" t="str">
        <f t="shared" si="120"/>
        <v>Support</v>
      </c>
      <c r="AM267">
        <f>survey_responses[[#This Row],[Tôi tin rằng Nhà nước, cơ quan thuế sẽ thực thi chính sách mới một cách khách quan, công tâm và đối xử bình đẳng với mọi người nộp thuế.  - HUMAN-TRU1]]</f>
        <v>7</v>
      </c>
      <c r="AN267" t="str">
        <f t="shared" si="121"/>
        <v>Neutral</v>
      </c>
      <c r="AO267" s="32">
        <f t="shared" si="122"/>
        <v>2</v>
      </c>
      <c r="AP267">
        <f>step3_validation[[#This Row],[AI_TRU2]]</f>
        <v>8</v>
      </c>
      <c r="AQ267" t="str">
        <f t="shared" si="123"/>
        <v>Support</v>
      </c>
      <c r="AR267">
        <f>survey_responses[[#This Row],[Tôi thấy mức thuế tôi phải đóng theo phương án mới là công bằng (người thu nhập như tôi đóng mức này là hợp lý). - HUMAN-TRU2]]</f>
        <v>7</v>
      </c>
      <c r="AS267" t="str">
        <f t="shared" si="124"/>
        <v>Neutral</v>
      </c>
      <c r="AT267" s="32">
        <f t="shared" si="125"/>
        <v>1</v>
      </c>
      <c r="AU267">
        <f>step3_validation[[#This Row],[AI_TRU3]]</f>
        <v>9</v>
      </c>
      <c r="AV267" t="str">
        <f t="shared" si="126"/>
        <v>Support</v>
      </c>
      <c r="AW267">
        <f>survey_responses[[#This Row],[Tôi tin tưởng số tiền thuế tôi đóng sẽ được Nhà nước sử dụng hiệu quả để cải thiện dịch vụ công (y tế, đường xá...). - HUMAN-TRU3]]</f>
        <v>7</v>
      </c>
      <c r="AX267" t="str">
        <f t="shared" si="127"/>
        <v>Neutral</v>
      </c>
      <c r="AY267" s="32">
        <f t="shared" si="128"/>
        <v>2</v>
      </c>
      <c r="AZ267">
        <f>step3_validation[[#This Row],[AI_TRU4]]</f>
        <v>8</v>
      </c>
      <c r="BA267" t="str">
        <f t="shared" si="129"/>
        <v>Support</v>
      </c>
      <c r="BB267">
        <f>survey_responses[[#This Row],[Tôi thấy Nhà nước đã giải thích rõ ràng, minh bạch về lý do và mục tiêu của việc sửa đổi thuế lần này. - HUMAN-TRU4]]</f>
        <v>7</v>
      </c>
      <c r="BC267" t="str">
        <f t="shared" si="130"/>
        <v>Neutral</v>
      </c>
      <c r="BD267" s="32">
        <f t="shared" si="131"/>
        <v>1</v>
      </c>
      <c r="BE267">
        <f>step3_validation[[#This Row],[AI_OUT1]]</f>
        <v>9</v>
      </c>
      <c r="BF267" t="str">
        <f t="shared" si="132"/>
        <v>Support</v>
      </c>
      <c r="BG267">
        <f>survey_responses[[#This Row],[Sau khi xem xét các quyền lợi và nghĩa vụ, bạn có ủng hộ và tuân thủ chính sách mới hiện nay? - HUMAN-OUT1]]</f>
        <v>7</v>
      </c>
      <c r="BH267" t="str">
        <f t="shared" si="133"/>
        <v>Neutral</v>
      </c>
      <c r="BI267" s="32">
        <f t="shared" si="134"/>
        <v>2</v>
      </c>
    </row>
    <row r="268" spans="1:61" x14ac:dyDescent="0.45">
      <c r="A268" s="30">
        <f>step3_validation[[#This Row],[Persona_ID]]</f>
        <v>267</v>
      </c>
      <c r="B268" s="31">
        <f>step3_validation[[#This Row],[Used_Seed]]</f>
        <v>12611</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52.976593671361009</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6</v>
      </c>
      <c r="R268" t="str">
        <f t="shared" si="108"/>
        <v>Neutral</v>
      </c>
      <c r="S268">
        <f>survey_responses[[#This Row],[Tôi tin rằng với các quy định quản lý thuế hiện nay, hành vi gian lận hoặc trốn thuế sẽ dễ dàng bị phát hiện và xử lý nghiêm. - HUMAN-ENF1]]</f>
        <v>6</v>
      </c>
      <c r="T268" t="str">
        <f t="shared" si="109"/>
        <v>Neutral</v>
      </c>
      <c r="U268" s="32">
        <f t="shared" si="110"/>
        <v>0</v>
      </c>
      <c r="V268">
        <f>step3_validation[[#This Row],[AI_ENF2]]</f>
        <v>8</v>
      </c>
      <c r="W268" t="str">
        <f t="shared" si="111"/>
        <v>Support</v>
      </c>
      <c r="X268">
        <f>survey_responses[[#This Row],[Tôi tin rằng Nhà nước, cơ quan thuế có đủ khả năng và công nghệ để phát hiện, xử lý nghiêm các hành vi trốn thuế. - HUMAN-ENF2]]</f>
        <v>7</v>
      </c>
      <c r="Y268" t="str">
        <f t="shared" si="112"/>
        <v>Neutral</v>
      </c>
      <c r="Z268" s="32">
        <f t="shared" si="113"/>
        <v>1</v>
      </c>
      <c r="AA268">
        <f>step3_validation[[#This Row],[AI_FAC1]]</f>
        <v>7</v>
      </c>
      <c r="AB268" t="str">
        <f t="shared" si="114"/>
        <v>Neutral</v>
      </c>
      <c r="AC268">
        <f>survey_responses[[#This Row],[Các thủ tục khai báo thuế VÀ/HOẶC quy trình làm việc với cơ quan thuế đơn giản, tiện lợi, nhanh chóng hơn so với trước đây. - HUMAN-FAC1]]</f>
        <v>7</v>
      </c>
      <c r="AD268" t="str">
        <f t="shared" si="115"/>
        <v>Neutral</v>
      </c>
      <c r="AE268" s="32">
        <f t="shared" si="116"/>
        <v>0</v>
      </c>
      <c r="AF268">
        <f>step3_validation[[#This Row],[AI_FAC2]]</f>
        <v>9</v>
      </c>
      <c r="AG268" t="str">
        <f t="shared" si="117"/>
        <v>Support</v>
      </c>
      <c r="AH268">
        <f>survey_responses[[#This Row],[So với trước đây, tôi thấy cách tính thuế và các bậc thuế trong phương án mới đơn giản, dễ hiểu và dễ thực hiện hơn. - HUMAN-FAC2]]</f>
        <v>6</v>
      </c>
      <c r="AI268" t="str">
        <f t="shared" si="118"/>
        <v>Neutral</v>
      </c>
      <c r="AJ268" s="32">
        <f t="shared" si="119"/>
        <v>3</v>
      </c>
      <c r="AK268">
        <f>step3_validation[[#This Row],[AI_TRU1]]</f>
        <v>8</v>
      </c>
      <c r="AL268" t="str">
        <f t="shared" si="120"/>
        <v>Support</v>
      </c>
      <c r="AM268">
        <f>survey_responses[[#This Row],[Tôi tin rằng Nhà nước, cơ quan thuế sẽ thực thi chính sách mới một cách khách quan, công tâm và đối xử bình đẳng với mọi người nộp thuế.  - HUMAN-TRU1]]</f>
        <v>6</v>
      </c>
      <c r="AN268" t="str">
        <f t="shared" si="121"/>
        <v>Neutral</v>
      </c>
      <c r="AO268" s="32">
        <f t="shared" si="122"/>
        <v>2</v>
      </c>
      <c r="AP268">
        <f>step3_validation[[#This Row],[AI_TRU2]]</f>
        <v>9</v>
      </c>
      <c r="AQ268" t="str">
        <f t="shared" si="123"/>
        <v>Support</v>
      </c>
      <c r="AR268">
        <f>survey_responses[[#This Row],[Tôi thấy mức thuế tôi phải đóng theo phương án mới là công bằng (người thu nhập như tôi đóng mức này là hợp lý). - HUMAN-TRU2]]</f>
        <v>6</v>
      </c>
      <c r="AS268" t="str">
        <f t="shared" si="124"/>
        <v>Neutral</v>
      </c>
      <c r="AT268" s="32">
        <f t="shared" si="125"/>
        <v>3</v>
      </c>
      <c r="AU268">
        <f>step3_validation[[#This Row],[AI_TRU3]]</f>
        <v>8</v>
      </c>
      <c r="AV268" t="str">
        <f t="shared" si="126"/>
        <v>Support</v>
      </c>
      <c r="AW268">
        <f>survey_responses[[#This Row],[Tôi tin tưởng số tiền thuế tôi đóng sẽ được Nhà nước sử dụng hiệu quả để cải thiện dịch vụ công (y tế, đường xá...). - HUMAN-TRU3]]</f>
        <v>6</v>
      </c>
      <c r="AX268" t="str">
        <f t="shared" si="127"/>
        <v>Neutral</v>
      </c>
      <c r="AY268" s="32">
        <f t="shared" si="128"/>
        <v>2</v>
      </c>
      <c r="AZ268">
        <f>step3_validation[[#This Row],[AI_TRU4]]</f>
        <v>9</v>
      </c>
      <c r="BA268" t="str">
        <f t="shared" si="129"/>
        <v>Support</v>
      </c>
      <c r="BB268">
        <f>survey_responses[[#This Row],[Tôi thấy Nhà nước đã giải thích rõ ràng, minh bạch về lý do và mục tiêu của việc sửa đổi thuế lần này. - HUMAN-TRU4]]</f>
        <v>7</v>
      </c>
      <c r="BC268" t="str">
        <f t="shared" si="130"/>
        <v>Neutral</v>
      </c>
      <c r="BD268" s="32">
        <f t="shared" si="131"/>
        <v>2</v>
      </c>
      <c r="BE268">
        <f>step3_validation[[#This Row],[AI_OUT1]]</f>
        <v>9</v>
      </c>
      <c r="BF268" t="str">
        <f t="shared" si="132"/>
        <v>Support</v>
      </c>
      <c r="BG268">
        <f>survey_responses[[#This Row],[Sau khi xem xét các quyền lợi và nghĩa vụ, bạn có ủng hộ và tuân thủ chính sách mới hiện nay? - HUMAN-OUT1]]</f>
        <v>7</v>
      </c>
      <c r="BH268" t="str">
        <f t="shared" si="133"/>
        <v>Neutral</v>
      </c>
      <c r="BI268" s="32">
        <f t="shared" si="134"/>
        <v>2</v>
      </c>
    </row>
    <row r="269" spans="1:61" x14ac:dyDescent="0.45">
      <c r="A269" s="30">
        <f>step3_validation[[#This Row],[Persona_ID]]</f>
        <v>268</v>
      </c>
      <c r="B269" s="31">
        <f>step3_validation[[#This Row],[Used_Seed]]</f>
        <v>12612</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23.51261243360954</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t="str">
        <f t="shared" si="108"/>
        <v>Neutral</v>
      </c>
      <c r="S269">
        <f>survey_responses[[#This Row],[Tôi tin rằng với các quy định quản lý thuế hiện nay, hành vi gian lận hoặc trốn thuế sẽ dễ dàng bị phát hiện và xử lý nghiêm. - HUMAN-ENF1]]</f>
        <v>7</v>
      </c>
      <c r="T269" t="str">
        <f t="shared" si="109"/>
        <v>Neutral</v>
      </c>
      <c r="U269" s="32">
        <f t="shared" si="110"/>
        <v>0</v>
      </c>
      <c r="V269">
        <f>step3_validation[[#This Row],[AI_ENF2]]</f>
        <v>6</v>
      </c>
      <c r="W269" t="str">
        <f t="shared" si="111"/>
        <v>Neutral</v>
      </c>
      <c r="X269">
        <f>survey_responses[[#This Row],[Tôi tin rằng Nhà nước, cơ quan thuế có đủ khả năng và công nghệ để phát hiện, xử lý nghiêm các hành vi trốn thuế. - HUMAN-ENF2]]</f>
        <v>7</v>
      </c>
      <c r="Y269" t="str">
        <f t="shared" si="112"/>
        <v>Neutral</v>
      </c>
      <c r="Z269" s="32">
        <f t="shared" si="113"/>
        <v>1</v>
      </c>
      <c r="AA269">
        <f>step3_validation[[#This Row],[AI_FAC1]]</f>
        <v>9</v>
      </c>
      <c r="AB269" t="str">
        <f t="shared" si="114"/>
        <v>Support</v>
      </c>
      <c r="AC269">
        <f>survey_responses[[#This Row],[Các thủ tục khai báo thuế VÀ/HOẶC quy trình làm việc với cơ quan thuế đơn giản, tiện lợi, nhanh chóng hơn so với trước đây. - HUMAN-FAC1]]</f>
        <v>2</v>
      </c>
      <c r="AD269" t="str">
        <f t="shared" si="115"/>
        <v>Oppose</v>
      </c>
      <c r="AE269" s="32">
        <f t="shared" si="116"/>
        <v>7</v>
      </c>
      <c r="AF269">
        <f>step3_validation[[#This Row],[AI_FAC2]]</f>
        <v>8</v>
      </c>
      <c r="AG269" t="str">
        <f t="shared" si="117"/>
        <v>Support</v>
      </c>
      <c r="AH269">
        <f>survey_responses[[#This Row],[So với trước đây, tôi thấy cách tính thuế và các bậc thuế trong phương án mới đơn giản, dễ hiểu và dễ thực hiện hơn. - HUMAN-FAC2]]</f>
        <v>7</v>
      </c>
      <c r="AI269" t="str">
        <f t="shared" si="118"/>
        <v>Neutral</v>
      </c>
      <c r="AJ269" s="32">
        <f t="shared" si="119"/>
        <v>1</v>
      </c>
      <c r="AK269">
        <f>step3_validation[[#This Row],[AI_TRU1]]</f>
        <v>9</v>
      </c>
      <c r="AL269" t="str">
        <f t="shared" si="120"/>
        <v>Support</v>
      </c>
      <c r="AM269">
        <f>survey_responses[[#This Row],[Tôi tin rằng Nhà nước, cơ quan thuế sẽ thực thi chính sách mới một cách khách quan, công tâm và đối xử bình đẳng với mọi người nộp thuế.  - HUMAN-TRU1]]</f>
        <v>7</v>
      </c>
      <c r="AN269" t="str">
        <f t="shared" si="121"/>
        <v>Neutral</v>
      </c>
      <c r="AO269" s="32">
        <f t="shared" si="122"/>
        <v>2</v>
      </c>
      <c r="AP269">
        <f>step3_validation[[#This Row],[AI_TRU2]]</f>
        <v>8</v>
      </c>
      <c r="AQ269" t="str">
        <f t="shared" si="123"/>
        <v>Support</v>
      </c>
      <c r="AR269">
        <f>survey_responses[[#This Row],[Tôi thấy mức thuế tôi phải đóng theo phương án mới là công bằng (người thu nhập như tôi đóng mức này là hợp lý). - HUMAN-TRU2]]</f>
        <v>7</v>
      </c>
      <c r="AS269" t="str">
        <f t="shared" si="124"/>
        <v>Neutral</v>
      </c>
      <c r="AT269" s="32">
        <f t="shared" si="125"/>
        <v>1</v>
      </c>
      <c r="AU269">
        <f>step3_validation[[#This Row],[AI_TRU3]]</f>
        <v>9</v>
      </c>
      <c r="AV269" t="str">
        <f t="shared" si="126"/>
        <v>Support</v>
      </c>
      <c r="AW269">
        <f>survey_responses[[#This Row],[Tôi tin tưởng số tiền thuế tôi đóng sẽ được Nhà nước sử dụng hiệu quả để cải thiện dịch vụ công (y tế, đường xá...). - HUMAN-TRU3]]</f>
        <v>7</v>
      </c>
      <c r="AX269" t="str">
        <f t="shared" si="127"/>
        <v>Neutral</v>
      </c>
      <c r="AY269" s="32">
        <f t="shared" si="128"/>
        <v>2</v>
      </c>
      <c r="AZ269">
        <f>step3_validation[[#This Row],[AI_TRU4]]</f>
        <v>8</v>
      </c>
      <c r="BA269" t="str">
        <f t="shared" si="129"/>
        <v>Support</v>
      </c>
      <c r="BB269">
        <f>survey_responses[[#This Row],[Tôi thấy Nhà nước đã giải thích rõ ràng, minh bạch về lý do và mục tiêu của việc sửa đổi thuế lần này. - HUMAN-TRU4]]</f>
        <v>7</v>
      </c>
      <c r="BC269" t="str">
        <f t="shared" si="130"/>
        <v>Neutral</v>
      </c>
      <c r="BD269" s="32">
        <f t="shared" si="131"/>
        <v>1</v>
      </c>
      <c r="BE269">
        <f>step3_validation[[#This Row],[AI_OUT1]]</f>
        <v>9</v>
      </c>
      <c r="BF269" t="str">
        <f t="shared" si="132"/>
        <v>Support</v>
      </c>
      <c r="BG269">
        <f>survey_responses[[#This Row],[Sau khi xem xét các quyền lợi và nghĩa vụ, bạn có ủng hộ và tuân thủ chính sách mới hiện nay? - HUMAN-OUT1]]</f>
        <v>7</v>
      </c>
      <c r="BH269" t="str">
        <f t="shared" si="133"/>
        <v>Neutral</v>
      </c>
      <c r="BI269" s="32">
        <f t="shared" si="134"/>
        <v>2</v>
      </c>
    </row>
    <row r="270" spans="1:61" x14ac:dyDescent="0.45">
      <c r="A270" s="30">
        <f>step3_validation[[#This Row],[Persona_ID]]</f>
        <v>269</v>
      </c>
      <c r="B270" s="31">
        <f>step3_validation[[#This Row],[Used_Seed]]</f>
        <v>12613</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91.108376806043836</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t="str">
        <f t="shared" si="108"/>
        <v>Support</v>
      </c>
      <c r="S270">
        <f>survey_responses[[#This Row],[Tôi tin rằng với các quy định quản lý thuế hiện nay, hành vi gian lận hoặc trốn thuế sẽ dễ dàng bị phát hiện và xử lý nghiêm. - HUMAN-ENF1]]</f>
        <v>4</v>
      </c>
      <c r="T270" t="str">
        <f t="shared" si="109"/>
        <v>Oppose</v>
      </c>
      <c r="U270" s="32">
        <f t="shared" si="110"/>
        <v>4</v>
      </c>
      <c r="V270">
        <f>step3_validation[[#This Row],[AI_ENF2]]</f>
        <v>9</v>
      </c>
      <c r="W270" t="str">
        <f t="shared" si="111"/>
        <v>Support</v>
      </c>
      <c r="X270">
        <f>survey_responses[[#This Row],[Tôi tin rằng Nhà nước, cơ quan thuế có đủ khả năng và công nghệ để phát hiện, xử lý nghiêm các hành vi trốn thuế. - HUMAN-ENF2]]</f>
        <v>5</v>
      </c>
      <c r="Y270" t="str">
        <f t="shared" si="112"/>
        <v>Neutral</v>
      </c>
      <c r="Z270" s="32">
        <f t="shared" si="113"/>
        <v>4</v>
      </c>
      <c r="AA270">
        <f>step3_validation[[#This Row],[AI_FAC1]]</f>
        <v>7</v>
      </c>
      <c r="AB270" t="str">
        <f t="shared" si="114"/>
        <v>Neutral</v>
      </c>
      <c r="AC270">
        <f>survey_responses[[#This Row],[Các thủ tục khai báo thuế VÀ/HOẶC quy trình làm việc với cơ quan thuế đơn giản, tiện lợi, nhanh chóng hơn so với trước đây. - HUMAN-FAC1]]</f>
        <v>2</v>
      </c>
      <c r="AD270" t="str">
        <f t="shared" si="115"/>
        <v>Oppose</v>
      </c>
      <c r="AE270" s="32">
        <f t="shared" si="116"/>
        <v>5</v>
      </c>
      <c r="AF270">
        <f>step3_validation[[#This Row],[AI_FAC2]]</f>
        <v>9</v>
      </c>
      <c r="AG270" t="str">
        <f t="shared" si="117"/>
        <v>Support</v>
      </c>
      <c r="AH270">
        <f>survey_responses[[#This Row],[So với trước đây, tôi thấy cách tính thuế và các bậc thuế trong phương án mới đơn giản, dễ hiểu và dễ thực hiện hơn. - HUMAN-FAC2]]</f>
        <v>6</v>
      </c>
      <c r="AI270" t="str">
        <f t="shared" si="118"/>
        <v>Neutral</v>
      </c>
      <c r="AJ270" s="32">
        <f t="shared" si="119"/>
        <v>3</v>
      </c>
      <c r="AK270">
        <f>step3_validation[[#This Row],[AI_TRU1]]</f>
        <v>8</v>
      </c>
      <c r="AL270" t="str">
        <f t="shared" si="120"/>
        <v>Support</v>
      </c>
      <c r="AM270">
        <f>survey_responses[[#This Row],[Tôi tin rằng Nhà nước, cơ quan thuế sẽ thực thi chính sách mới một cách khách quan, công tâm và đối xử bình đẳng với mọi người nộp thuế.  - HUMAN-TRU1]]</f>
        <v>3</v>
      </c>
      <c r="AN270" t="str">
        <f t="shared" si="121"/>
        <v>Oppose</v>
      </c>
      <c r="AO270" s="32">
        <f t="shared" si="122"/>
        <v>5</v>
      </c>
      <c r="AP270">
        <f>step3_validation[[#This Row],[AI_TRU2]]</f>
        <v>7</v>
      </c>
      <c r="AQ270" t="str">
        <f t="shared" si="123"/>
        <v>Neutral</v>
      </c>
      <c r="AR270">
        <f>survey_responses[[#This Row],[Tôi thấy mức thuế tôi phải đóng theo phương án mới là công bằng (người thu nhập như tôi đóng mức này là hợp lý). - HUMAN-TRU2]]</f>
        <v>3</v>
      </c>
      <c r="AS270" t="str">
        <f t="shared" si="124"/>
        <v>Oppose</v>
      </c>
      <c r="AT270" s="32">
        <f t="shared" si="125"/>
        <v>4</v>
      </c>
      <c r="AU270">
        <f>step3_validation[[#This Row],[AI_TRU3]]</f>
        <v>8</v>
      </c>
      <c r="AV270" t="str">
        <f t="shared" si="126"/>
        <v>Support</v>
      </c>
      <c r="AW270">
        <f>survey_responses[[#This Row],[Tôi tin tưởng số tiền thuế tôi đóng sẽ được Nhà nước sử dụng hiệu quả để cải thiện dịch vụ công (y tế, đường xá...). - HUMAN-TRU3]]</f>
        <v>1</v>
      </c>
      <c r="AX270" t="str">
        <f t="shared" si="127"/>
        <v>Oppose</v>
      </c>
      <c r="AY270" s="32">
        <f t="shared" si="128"/>
        <v>7</v>
      </c>
      <c r="AZ270">
        <f>step3_validation[[#This Row],[AI_TRU4]]</f>
        <v>7</v>
      </c>
      <c r="BA270" t="str">
        <f t="shared" si="129"/>
        <v>Neutral</v>
      </c>
      <c r="BB270">
        <f>survey_responses[[#This Row],[Tôi thấy Nhà nước đã giải thích rõ ràng, minh bạch về lý do và mục tiêu của việc sửa đổi thuế lần này. - HUMAN-TRU4]]</f>
        <v>3</v>
      </c>
      <c r="BC270" t="str">
        <f t="shared" si="130"/>
        <v>Oppose</v>
      </c>
      <c r="BD270" s="32">
        <f t="shared" si="131"/>
        <v>4</v>
      </c>
      <c r="BE270">
        <f>step3_validation[[#This Row],[AI_OUT1]]</f>
        <v>9</v>
      </c>
      <c r="BF270" t="str">
        <f t="shared" si="132"/>
        <v>Support</v>
      </c>
      <c r="BG270">
        <f>survey_responses[[#This Row],[Sau khi xem xét các quyền lợi và nghĩa vụ, bạn có ủng hộ và tuân thủ chính sách mới hiện nay? - HUMAN-OUT1]]</f>
        <v>1</v>
      </c>
      <c r="BH270" t="str">
        <f t="shared" si="133"/>
        <v>Oppose</v>
      </c>
      <c r="BI270" s="32">
        <f t="shared" si="134"/>
        <v>8</v>
      </c>
    </row>
    <row r="271" spans="1:61" x14ac:dyDescent="0.45">
      <c r="A271" s="30">
        <f>step3_validation[[#This Row],[Persona_ID]]</f>
        <v>270</v>
      </c>
      <c r="B271" s="31">
        <f>step3_validation[[#This Row],[Used_Seed]]</f>
        <v>12614</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63.755473832752344</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t="str">
        <f t="shared" si="108"/>
        <v>Neutral</v>
      </c>
      <c r="S271">
        <f>survey_responses[[#This Row],[Tôi tin rằng với các quy định quản lý thuế hiện nay, hành vi gian lận hoặc trốn thuế sẽ dễ dàng bị phát hiện và xử lý nghiêm. - HUMAN-ENF1]]</f>
        <v>8</v>
      </c>
      <c r="T271" t="str">
        <f t="shared" si="109"/>
        <v>Support</v>
      </c>
      <c r="U271" s="32">
        <f t="shared" si="110"/>
        <v>1</v>
      </c>
      <c r="V271">
        <f>step3_validation[[#This Row],[AI_ENF2]]</f>
        <v>7</v>
      </c>
      <c r="W271" t="str">
        <f t="shared" si="111"/>
        <v>Neutral</v>
      </c>
      <c r="X271">
        <f>survey_responses[[#This Row],[Tôi tin rằng Nhà nước, cơ quan thuế có đủ khả năng và công nghệ để phát hiện, xử lý nghiêm các hành vi trốn thuế. - HUMAN-ENF2]]</f>
        <v>8</v>
      </c>
      <c r="Y271" t="str">
        <f t="shared" si="112"/>
        <v>Support</v>
      </c>
      <c r="Z271" s="32">
        <f t="shared" si="113"/>
        <v>1</v>
      </c>
      <c r="AA271">
        <f>step3_validation[[#This Row],[AI_FAC1]]</f>
        <v>8</v>
      </c>
      <c r="AB271" t="str">
        <f t="shared" si="114"/>
        <v>Support</v>
      </c>
      <c r="AC271">
        <f>survey_responses[[#This Row],[Các thủ tục khai báo thuế VÀ/HOẶC quy trình làm việc với cơ quan thuế đơn giản, tiện lợi, nhanh chóng hơn so với trước đây. - HUMAN-FAC1]]</f>
        <v>3</v>
      </c>
      <c r="AD271" t="str">
        <f t="shared" si="115"/>
        <v>Oppose</v>
      </c>
      <c r="AE271" s="32">
        <f t="shared" si="116"/>
        <v>5</v>
      </c>
      <c r="AF271">
        <f>step3_validation[[#This Row],[AI_FAC2]]</f>
        <v>9</v>
      </c>
      <c r="AG271" t="str">
        <f t="shared" si="117"/>
        <v>Support</v>
      </c>
      <c r="AH271">
        <f>survey_responses[[#This Row],[So với trước đây, tôi thấy cách tính thuế và các bậc thuế trong phương án mới đơn giản, dễ hiểu và dễ thực hiện hơn. - HUMAN-FAC2]]</f>
        <v>8</v>
      </c>
      <c r="AI271" t="str">
        <f t="shared" si="118"/>
        <v>Support</v>
      </c>
      <c r="AJ271" s="32">
        <f t="shared" si="119"/>
        <v>1</v>
      </c>
      <c r="AK271">
        <f>step3_validation[[#This Row],[AI_TRU1]]</f>
        <v>7</v>
      </c>
      <c r="AL271" t="str">
        <f t="shared" si="120"/>
        <v>Neutral</v>
      </c>
      <c r="AM271">
        <f>survey_responses[[#This Row],[Tôi tin rằng Nhà nước, cơ quan thuế sẽ thực thi chính sách mới một cách khách quan, công tâm và đối xử bình đẳng với mọi người nộp thuế.  - HUMAN-TRU1]]</f>
        <v>3</v>
      </c>
      <c r="AN271" t="str">
        <f t="shared" si="121"/>
        <v>Oppose</v>
      </c>
      <c r="AO271" s="32">
        <f t="shared" si="122"/>
        <v>4</v>
      </c>
      <c r="AP271">
        <f>step3_validation[[#This Row],[AI_TRU2]]</f>
        <v>9</v>
      </c>
      <c r="AQ271" t="str">
        <f t="shared" si="123"/>
        <v>Support</v>
      </c>
      <c r="AR271">
        <f>survey_responses[[#This Row],[Tôi thấy mức thuế tôi phải đóng theo phương án mới là công bằng (người thu nhập như tôi đóng mức này là hợp lý). - HUMAN-TRU2]]</f>
        <v>1</v>
      </c>
      <c r="AS271" t="str">
        <f t="shared" si="124"/>
        <v>Oppose</v>
      </c>
      <c r="AT271" s="32">
        <f t="shared" si="125"/>
        <v>8</v>
      </c>
      <c r="AU271">
        <f>step3_validation[[#This Row],[AI_TRU3]]</f>
        <v>8</v>
      </c>
      <c r="AV271" t="str">
        <f t="shared" si="126"/>
        <v>Support</v>
      </c>
      <c r="AW271">
        <f>survey_responses[[#This Row],[Tôi tin tưởng số tiền thuế tôi đóng sẽ được Nhà nước sử dụng hiệu quả để cải thiện dịch vụ công (y tế, đường xá...). - HUMAN-TRU3]]</f>
        <v>8</v>
      </c>
      <c r="AX271" t="str">
        <f t="shared" si="127"/>
        <v>Support</v>
      </c>
      <c r="AY271" s="32">
        <f t="shared" si="128"/>
        <v>0</v>
      </c>
      <c r="AZ271">
        <f>step3_validation[[#This Row],[AI_TRU4]]</f>
        <v>7</v>
      </c>
      <c r="BA271" t="str">
        <f t="shared" si="129"/>
        <v>Neutral</v>
      </c>
      <c r="BB271">
        <f>survey_responses[[#This Row],[Tôi thấy Nhà nước đã giải thích rõ ràng, minh bạch về lý do và mục tiêu của việc sửa đổi thuế lần này. - HUMAN-TRU4]]</f>
        <v>6</v>
      </c>
      <c r="BC271" t="str">
        <f t="shared" si="130"/>
        <v>Neutral</v>
      </c>
      <c r="BD271" s="32">
        <f t="shared" si="131"/>
        <v>1</v>
      </c>
      <c r="BE271">
        <f>step3_validation[[#This Row],[AI_OUT1]]</f>
        <v>9</v>
      </c>
      <c r="BF271" t="str">
        <f t="shared" si="132"/>
        <v>Support</v>
      </c>
      <c r="BG271">
        <f>survey_responses[[#This Row],[Sau khi xem xét các quyền lợi và nghĩa vụ, bạn có ủng hộ và tuân thủ chính sách mới hiện nay? - HUMAN-OUT1]]</f>
        <v>7</v>
      </c>
      <c r="BH271" t="str">
        <f t="shared" si="133"/>
        <v>Neutral</v>
      </c>
      <c r="BI271" s="32">
        <f t="shared" si="134"/>
        <v>2</v>
      </c>
    </row>
    <row r="272" spans="1:61" x14ac:dyDescent="0.45">
      <c r="A272" s="30">
        <f>step3_validation[[#This Row],[Persona_ID]]</f>
        <v>271</v>
      </c>
      <c r="B272" s="31">
        <f>step3_validation[[#This Row],[Used_Seed]]</f>
        <v>12615</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66.966987427494431</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7</v>
      </c>
      <c r="R272" t="str">
        <f t="shared" si="108"/>
        <v>Neutral</v>
      </c>
      <c r="S272">
        <f>survey_responses[[#This Row],[Tôi tin rằng với các quy định quản lý thuế hiện nay, hành vi gian lận hoặc trốn thuế sẽ dễ dàng bị phát hiện và xử lý nghiêm. - HUMAN-ENF1]]</f>
        <v>7</v>
      </c>
      <c r="T272" t="str">
        <f t="shared" si="109"/>
        <v>Neutral</v>
      </c>
      <c r="U272" s="32">
        <f t="shared" si="110"/>
        <v>0</v>
      </c>
      <c r="V272">
        <f>step3_validation[[#This Row],[AI_ENF2]]</f>
        <v>8</v>
      </c>
      <c r="W272" t="str">
        <f t="shared" si="111"/>
        <v>Support</v>
      </c>
      <c r="X272">
        <f>survey_responses[[#This Row],[Tôi tin rằng Nhà nước, cơ quan thuế có đủ khả năng và công nghệ để phát hiện, xử lý nghiêm các hành vi trốn thuế. - HUMAN-ENF2]]</f>
        <v>7</v>
      </c>
      <c r="Y272" t="str">
        <f t="shared" si="112"/>
        <v>Neutral</v>
      </c>
      <c r="Z272" s="32">
        <f t="shared" si="113"/>
        <v>1</v>
      </c>
      <c r="AA272">
        <f>step3_validation[[#This Row],[AI_FAC1]]</f>
        <v>9</v>
      </c>
      <c r="AB272" t="str">
        <f t="shared" si="114"/>
        <v>Support</v>
      </c>
      <c r="AC272">
        <f>survey_responses[[#This Row],[Các thủ tục khai báo thuế VÀ/HOẶC quy trình làm việc với cơ quan thuế đơn giản, tiện lợi, nhanh chóng hơn so với trước đây. - HUMAN-FAC1]]</f>
        <v>4</v>
      </c>
      <c r="AD272" t="str">
        <f t="shared" si="115"/>
        <v>Oppose</v>
      </c>
      <c r="AE272" s="32">
        <f t="shared" si="116"/>
        <v>5</v>
      </c>
      <c r="AF272">
        <f>step3_validation[[#This Row],[AI_FAC2]]</f>
        <v>10</v>
      </c>
      <c r="AG272" t="str">
        <f t="shared" si="117"/>
        <v>Support</v>
      </c>
      <c r="AH272">
        <f>survey_responses[[#This Row],[So với trước đây, tôi thấy cách tính thuế và các bậc thuế trong phương án mới đơn giản, dễ hiểu và dễ thực hiện hơn. - HUMAN-FAC2]]</f>
        <v>7</v>
      </c>
      <c r="AI272" t="str">
        <f t="shared" si="118"/>
        <v>Neutral</v>
      </c>
      <c r="AJ272" s="32">
        <f t="shared" si="119"/>
        <v>3</v>
      </c>
      <c r="AK272">
        <f>step3_validation[[#This Row],[AI_TRU1]]</f>
        <v>9</v>
      </c>
      <c r="AL272" t="str">
        <f t="shared" si="120"/>
        <v>Support</v>
      </c>
      <c r="AM272">
        <f>survey_responses[[#This Row],[Tôi tin rằng Nhà nước, cơ quan thuế sẽ thực thi chính sách mới một cách khách quan, công tâm và đối xử bình đẳng với mọi người nộp thuế.  - HUMAN-TRU1]]</f>
        <v>7</v>
      </c>
      <c r="AN272" t="str">
        <f t="shared" si="121"/>
        <v>Neutral</v>
      </c>
      <c r="AO272" s="32">
        <f t="shared" si="122"/>
        <v>2</v>
      </c>
      <c r="AP272">
        <f>step3_validation[[#This Row],[AI_TRU2]]</f>
        <v>8</v>
      </c>
      <c r="AQ272" t="str">
        <f t="shared" si="123"/>
        <v>Support</v>
      </c>
      <c r="AR272">
        <f>survey_responses[[#This Row],[Tôi thấy mức thuế tôi phải đóng theo phương án mới là công bằng (người thu nhập như tôi đóng mức này là hợp lý). - HUMAN-TRU2]]</f>
        <v>6</v>
      </c>
      <c r="AS272" t="str">
        <f t="shared" si="124"/>
        <v>Neutral</v>
      </c>
      <c r="AT272" s="32">
        <f t="shared" si="125"/>
        <v>2</v>
      </c>
      <c r="AU272">
        <f>step3_validation[[#This Row],[AI_TRU3]]</f>
        <v>9</v>
      </c>
      <c r="AV272" t="str">
        <f t="shared" si="126"/>
        <v>Support</v>
      </c>
      <c r="AW272">
        <f>survey_responses[[#This Row],[Tôi tin tưởng số tiền thuế tôi đóng sẽ được Nhà nước sử dụng hiệu quả để cải thiện dịch vụ công (y tế, đường xá...). - HUMAN-TRU3]]</f>
        <v>5</v>
      </c>
      <c r="AX272" t="str">
        <f t="shared" si="127"/>
        <v>Neutral</v>
      </c>
      <c r="AY272" s="32">
        <f t="shared" si="128"/>
        <v>4</v>
      </c>
      <c r="AZ272">
        <f>step3_validation[[#This Row],[AI_TRU4]]</f>
        <v>8</v>
      </c>
      <c r="BA272" t="str">
        <f t="shared" si="129"/>
        <v>Support</v>
      </c>
      <c r="BB272">
        <f>survey_responses[[#This Row],[Tôi thấy Nhà nước đã giải thích rõ ràng, minh bạch về lý do và mục tiêu của việc sửa đổi thuế lần này. - HUMAN-TRU4]]</f>
        <v>7</v>
      </c>
      <c r="BC272" t="str">
        <f t="shared" si="130"/>
        <v>Neutral</v>
      </c>
      <c r="BD272" s="32">
        <f t="shared" si="131"/>
        <v>1</v>
      </c>
      <c r="BE272">
        <f>step3_validation[[#This Row],[AI_OUT1]]</f>
        <v>9</v>
      </c>
      <c r="BF272" t="str">
        <f t="shared" si="132"/>
        <v>Support</v>
      </c>
      <c r="BG272">
        <f>survey_responses[[#This Row],[Sau khi xem xét các quyền lợi và nghĩa vụ, bạn có ủng hộ và tuân thủ chính sách mới hiện nay? - HUMAN-OUT1]]</f>
        <v>6</v>
      </c>
      <c r="BH272" t="str">
        <f t="shared" si="133"/>
        <v>Neutral</v>
      </c>
      <c r="BI272" s="32">
        <f t="shared" si="134"/>
        <v>3</v>
      </c>
    </row>
    <row r="273" spans="1:61" x14ac:dyDescent="0.45">
      <c r="A273" s="30">
        <f>step3_validation[[#This Row],[Persona_ID]]</f>
        <v>272</v>
      </c>
      <c r="B273" s="31">
        <f>step3_validation[[#This Row],[Used_Seed]]</f>
        <v>12616</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45.135285224602534</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7</v>
      </c>
      <c r="R273" t="str">
        <f t="shared" si="108"/>
        <v>Neutral</v>
      </c>
      <c r="S273">
        <f>survey_responses[[#This Row],[Tôi tin rằng với các quy định quản lý thuế hiện nay, hành vi gian lận hoặc trốn thuế sẽ dễ dàng bị phát hiện và xử lý nghiêm. - HUMAN-ENF1]]</f>
        <v>7</v>
      </c>
      <c r="T273" t="str">
        <f t="shared" si="109"/>
        <v>Neutral</v>
      </c>
      <c r="U273" s="32">
        <f t="shared" si="110"/>
        <v>0</v>
      </c>
      <c r="V273">
        <f>step3_validation[[#This Row],[AI_ENF2]]</f>
        <v>6</v>
      </c>
      <c r="W273" t="str">
        <f t="shared" si="111"/>
        <v>Neutral</v>
      </c>
      <c r="X273">
        <f>survey_responses[[#This Row],[Tôi tin rằng Nhà nước, cơ quan thuế có đủ khả năng và công nghệ để phát hiện, xử lý nghiêm các hành vi trốn thuế. - HUMAN-ENF2]]</f>
        <v>8</v>
      </c>
      <c r="Y273" t="str">
        <f t="shared" si="112"/>
        <v>Support</v>
      </c>
      <c r="Z273" s="32">
        <f t="shared" si="113"/>
        <v>2</v>
      </c>
      <c r="AA273">
        <f>step3_validation[[#This Row],[AI_FAC1]]</f>
        <v>7</v>
      </c>
      <c r="AB273" t="str">
        <f t="shared" si="114"/>
        <v>Neutral</v>
      </c>
      <c r="AC273">
        <f>survey_responses[[#This Row],[Các thủ tục khai báo thuế VÀ/HOẶC quy trình làm việc với cơ quan thuế đơn giản, tiện lợi, nhanh chóng hơn so với trước đây. - HUMAN-FAC1]]</f>
        <v>2</v>
      </c>
      <c r="AD273" t="str">
        <f t="shared" si="115"/>
        <v>Oppose</v>
      </c>
      <c r="AE273" s="32">
        <f t="shared" si="116"/>
        <v>5</v>
      </c>
      <c r="AF273">
        <f>step3_validation[[#This Row],[AI_FAC2]]</f>
        <v>8</v>
      </c>
      <c r="AG273" t="str">
        <f t="shared" si="117"/>
        <v>Support</v>
      </c>
      <c r="AH273">
        <f>survey_responses[[#This Row],[So với trước đây, tôi thấy cách tính thuế và các bậc thuế trong phương án mới đơn giản, dễ hiểu và dễ thực hiện hơn. - HUMAN-FAC2]]</f>
        <v>6</v>
      </c>
      <c r="AI273" t="str">
        <f t="shared" si="118"/>
        <v>Neutral</v>
      </c>
      <c r="AJ273" s="32">
        <f t="shared" si="119"/>
        <v>2</v>
      </c>
      <c r="AK273">
        <f>step3_validation[[#This Row],[AI_TRU1]]</f>
        <v>7</v>
      </c>
      <c r="AL273" t="str">
        <f t="shared" si="120"/>
        <v>Neutral</v>
      </c>
      <c r="AM273">
        <f>survey_responses[[#This Row],[Tôi tin rằng Nhà nước, cơ quan thuế sẽ thực thi chính sách mới một cách khách quan, công tâm và đối xử bình đẳng với mọi người nộp thuế.  - HUMAN-TRU1]]</f>
        <v>6</v>
      </c>
      <c r="AN273" t="str">
        <f t="shared" si="121"/>
        <v>Neutral</v>
      </c>
      <c r="AO273" s="32">
        <f t="shared" si="122"/>
        <v>1</v>
      </c>
      <c r="AP273">
        <f>step3_validation[[#This Row],[AI_TRU2]]</f>
        <v>8</v>
      </c>
      <c r="AQ273" t="str">
        <f t="shared" si="123"/>
        <v>Support</v>
      </c>
      <c r="AR273">
        <f>survey_responses[[#This Row],[Tôi thấy mức thuế tôi phải đóng theo phương án mới là công bằng (người thu nhập như tôi đóng mức này là hợp lý). - HUMAN-TRU2]]</f>
        <v>6</v>
      </c>
      <c r="AS273" t="str">
        <f t="shared" si="124"/>
        <v>Neutral</v>
      </c>
      <c r="AT273" s="32">
        <f t="shared" si="125"/>
        <v>2</v>
      </c>
      <c r="AU273">
        <f>step3_validation[[#This Row],[AI_TRU3]]</f>
        <v>7</v>
      </c>
      <c r="AV273" t="str">
        <f t="shared" si="126"/>
        <v>Neutral</v>
      </c>
      <c r="AW273">
        <f>survey_responses[[#This Row],[Tôi tin tưởng số tiền thuế tôi đóng sẽ được Nhà nước sử dụng hiệu quả để cải thiện dịch vụ công (y tế, đường xá...). - HUMAN-TRU3]]</f>
        <v>5</v>
      </c>
      <c r="AX273" t="str">
        <f t="shared" si="127"/>
        <v>Neutral</v>
      </c>
      <c r="AY273" s="32">
        <f t="shared" si="128"/>
        <v>2</v>
      </c>
      <c r="AZ273">
        <f>step3_validation[[#This Row],[AI_TRU4]]</f>
        <v>8</v>
      </c>
      <c r="BA273" t="str">
        <f t="shared" si="129"/>
        <v>Support</v>
      </c>
      <c r="BB273">
        <f>survey_responses[[#This Row],[Tôi thấy Nhà nước đã giải thích rõ ràng, minh bạch về lý do và mục tiêu của việc sửa đổi thuế lần này. - HUMAN-TRU4]]</f>
        <v>5</v>
      </c>
      <c r="BC273" t="str">
        <f t="shared" si="130"/>
        <v>Neutral</v>
      </c>
      <c r="BD273" s="32">
        <f t="shared" si="131"/>
        <v>3</v>
      </c>
      <c r="BE273">
        <f>step3_validation[[#This Row],[AI_OUT1]]</f>
        <v>9</v>
      </c>
      <c r="BF273" t="str">
        <f t="shared" si="132"/>
        <v>Support</v>
      </c>
      <c r="BG273">
        <f>survey_responses[[#This Row],[Sau khi xem xét các quyền lợi và nghĩa vụ, bạn có ủng hộ và tuân thủ chính sách mới hiện nay? - HUMAN-OUT1]]</f>
        <v>6</v>
      </c>
      <c r="BH273" t="str">
        <f t="shared" si="133"/>
        <v>Neutral</v>
      </c>
      <c r="BI273" s="32">
        <f t="shared" si="134"/>
        <v>3</v>
      </c>
    </row>
    <row r="274" spans="1:61" x14ac:dyDescent="0.45">
      <c r="A274" s="30">
        <f>step3_validation[[#This Row],[Persona_ID]]</f>
        <v>273</v>
      </c>
      <c r="B274" s="31">
        <f>step3_validation[[#This Row],[Used_Seed]]</f>
        <v>12617</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94.51187685135308</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t="str">
        <f t="shared" si="108"/>
        <v>Neutral</v>
      </c>
      <c r="S274">
        <f>survey_responses[[#This Row],[Tôi tin rằng với các quy định quản lý thuế hiện nay, hành vi gian lận hoặc trốn thuế sẽ dễ dàng bị phát hiện và xử lý nghiêm. - HUMAN-ENF1]]</f>
        <v>3</v>
      </c>
      <c r="T274" t="str">
        <f t="shared" si="109"/>
        <v>Oppose</v>
      </c>
      <c r="U274" s="32">
        <f t="shared" si="110"/>
        <v>4</v>
      </c>
      <c r="V274">
        <f>step3_validation[[#This Row],[AI_ENF2]]</f>
        <v>7</v>
      </c>
      <c r="W274" t="str">
        <f t="shared" si="111"/>
        <v>Neutral</v>
      </c>
      <c r="X274">
        <f>survey_responses[[#This Row],[Tôi tin rằng Nhà nước, cơ quan thuế có đủ khả năng và công nghệ để phát hiện, xử lý nghiêm các hành vi trốn thuế. - HUMAN-ENF2]]</f>
        <v>3</v>
      </c>
      <c r="Y274" t="str">
        <f t="shared" si="112"/>
        <v>Oppose</v>
      </c>
      <c r="Z274" s="32">
        <f t="shared" si="113"/>
        <v>4</v>
      </c>
      <c r="AA274">
        <f>step3_validation[[#This Row],[AI_FAC1]]</f>
        <v>8</v>
      </c>
      <c r="AB274" t="str">
        <f t="shared" si="114"/>
        <v>Support</v>
      </c>
      <c r="AC274">
        <f>survey_responses[[#This Row],[Các thủ tục khai báo thuế VÀ/HOẶC quy trình làm việc với cơ quan thuế đơn giản, tiện lợi, nhanh chóng hơn so với trước đây. - HUMAN-FAC1]]</f>
        <v>1</v>
      </c>
      <c r="AD274" t="str">
        <f t="shared" si="115"/>
        <v>Oppose</v>
      </c>
      <c r="AE274" s="32">
        <f t="shared" si="116"/>
        <v>7</v>
      </c>
      <c r="AF274">
        <f>step3_validation[[#This Row],[AI_FAC2]]</f>
        <v>9</v>
      </c>
      <c r="AG274" t="str">
        <f t="shared" si="117"/>
        <v>Support</v>
      </c>
      <c r="AH274">
        <f>survey_responses[[#This Row],[So với trước đây, tôi thấy cách tính thuế và các bậc thuế trong phương án mới đơn giản, dễ hiểu và dễ thực hiện hơn. - HUMAN-FAC2]]</f>
        <v>6</v>
      </c>
      <c r="AI274" t="str">
        <f t="shared" si="118"/>
        <v>Neutral</v>
      </c>
      <c r="AJ274" s="32">
        <f t="shared" si="119"/>
        <v>3</v>
      </c>
      <c r="AK274">
        <f>step3_validation[[#This Row],[AI_TRU1]]</f>
        <v>7</v>
      </c>
      <c r="AL274" t="str">
        <f t="shared" si="120"/>
        <v>Neutral</v>
      </c>
      <c r="AM274">
        <f>survey_responses[[#This Row],[Tôi tin rằng Nhà nước, cơ quan thuế sẽ thực thi chính sách mới một cách khách quan, công tâm và đối xử bình đẳng với mọi người nộp thuế.  - HUMAN-TRU1]]</f>
        <v>1</v>
      </c>
      <c r="AN274" t="str">
        <f t="shared" si="121"/>
        <v>Oppose</v>
      </c>
      <c r="AO274" s="32">
        <f t="shared" si="122"/>
        <v>6</v>
      </c>
      <c r="AP274">
        <f>step3_validation[[#This Row],[AI_TRU2]]</f>
        <v>9</v>
      </c>
      <c r="AQ274" t="str">
        <f t="shared" si="123"/>
        <v>Support</v>
      </c>
      <c r="AR274">
        <f>survey_responses[[#This Row],[Tôi thấy mức thuế tôi phải đóng theo phương án mới là công bằng (người thu nhập như tôi đóng mức này là hợp lý). - HUMAN-TRU2]]</f>
        <v>1</v>
      </c>
      <c r="AS274" t="str">
        <f t="shared" si="124"/>
        <v>Oppose</v>
      </c>
      <c r="AT274" s="32">
        <f t="shared" si="125"/>
        <v>8</v>
      </c>
      <c r="AU274">
        <f>step3_validation[[#This Row],[AI_TRU3]]</f>
        <v>7</v>
      </c>
      <c r="AV274" t="str">
        <f t="shared" si="126"/>
        <v>Neutral</v>
      </c>
      <c r="AW274">
        <f>survey_responses[[#This Row],[Tôi tin tưởng số tiền thuế tôi đóng sẽ được Nhà nước sử dụng hiệu quả để cải thiện dịch vụ công (y tế, đường xá...). - HUMAN-TRU3]]</f>
        <v>1</v>
      </c>
      <c r="AX274" t="str">
        <f t="shared" si="127"/>
        <v>Oppose</v>
      </c>
      <c r="AY274" s="32">
        <f t="shared" si="128"/>
        <v>6</v>
      </c>
      <c r="AZ274">
        <f>step3_validation[[#This Row],[AI_TRU4]]</f>
        <v>8</v>
      </c>
      <c r="BA274" t="str">
        <f t="shared" si="129"/>
        <v>Support</v>
      </c>
      <c r="BB274">
        <f>survey_responses[[#This Row],[Tôi thấy Nhà nước đã giải thích rõ ràng, minh bạch về lý do và mục tiêu của việc sửa đổi thuế lần này. - HUMAN-TRU4]]</f>
        <v>1</v>
      </c>
      <c r="BC274" t="str">
        <f t="shared" si="130"/>
        <v>Oppose</v>
      </c>
      <c r="BD274" s="32">
        <f t="shared" si="131"/>
        <v>7</v>
      </c>
      <c r="BE274">
        <f>step3_validation[[#This Row],[AI_OUT1]]</f>
        <v>8</v>
      </c>
      <c r="BF274" t="str">
        <f t="shared" si="132"/>
        <v>Support</v>
      </c>
      <c r="BG274">
        <f>survey_responses[[#This Row],[Sau khi xem xét các quyền lợi và nghĩa vụ, bạn có ủng hộ và tuân thủ chính sách mới hiện nay? - HUMAN-OUT1]]</f>
        <v>1</v>
      </c>
      <c r="BH274" t="str">
        <f t="shared" si="133"/>
        <v>Oppose</v>
      </c>
      <c r="BI274" s="32">
        <f t="shared" si="134"/>
        <v>7</v>
      </c>
    </row>
    <row r="275" spans="1:61" x14ac:dyDescent="0.45">
      <c r="A275" s="30">
        <f>step3_validation[[#This Row],[Persona_ID]]</f>
        <v>274</v>
      </c>
      <c r="B275" s="31">
        <f>step3_validation[[#This Row],[Used_Seed]]</f>
        <v>12618</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65.316219846220875</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9</v>
      </c>
      <c r="R275" t="str">
        <f t="shared" si="108"/>
        <v>Support</v>
      </c>
      <c r="S275">
        <f>survey_responses[[#This Row],[Tôi tin rằng với các quy định quản lý thuế hiện nay, hành vi gian lận hoặc trốn thuế sẽ dễ dàng bị phát hiện và xử lý nghiêm. - HUMAN-ENF1]]</f>
        <v>6</v>
      </c>
      <c r="T275" t="str">
        <f t="shared" si="109"/>
        <v>Neutral</v>
      </c>
      <c r="U275" s="32">
        <f t="shared" si="110"/>
        <v>3</v>
      </c>
      <c r="V275">
        <f>step3_validation[[#This Row],[AI_ENF2]]</f>
        <v>8</v>
      </c>
      <c r="W275" t="str">
        <f t="shared" si="111"/>
        <v>Support</v>
      </c>
      <c r="X275">
        <f>survey_responses[[#This Row],[Tôi tin rằng Nhà nước, cơ quan thuế có đủ khả năng và công nghệ để phát hiện, xử lý nghiêm các hành vi trốn thuế. - HUMAN-ENF2]]</f>
        <v>6</v>
      </c>
      <c r="Y275" t="str">
        <f t="shared" si="112"/>
        <v>Neutral</v>
      </c>
      <c r="Z275" s="32">
        <f t="shared" si="113"/>
        <v>2</v>
      </c>
      <c r="AA275">
        <f>step3_validation[[#This Row],[AI_FAC1]]</f>
        <v>9</v>
      </c>
      <c r="AB275" t="str">
        <f t="shared" si="114"/>
        <v>Support</v>
      </c>
      <c r="AC275">
        <f>survey_responses[[#This Row],[Các thủ tục khai báo thuế VÀ/HOẶC quy trình làm việc với cơ quan thuế đơn giản, tiện lợi, nhanh chóng hơn so với trước đây. - HUMAN-FAC1]]</f>
        <v>5</v>
      </c>
      <c r="AD275" t="str">
        <f t="shared" si="115"/>
        <v>Neutral</v>
      </c>
      <c r="AE275" s="32">
        <f t="shared" si="116"/>
        <v>4</v>
      </c>
      <c r="AF275">
        <f>step3_validation[[#This Row],[AI_FAC2]]</f>
        <v>8</v>
      </c>
      <c r="AG275" t="str">
        <f t="shared" si="117"/>
        <v>Support</v>
      </c>
      <c r="AH275">
        <f>survey_responses[[#This Row],[So với trước đây, tôi thấy cách tính thuế và các bậc thuế trong phương án mới đơn giản, dễ hiểu và dễ thực hiện hơn. - HUMAN-FAC2]]</f>
        <v>6</v>
      </c>
      <c r="AI275" t="str">
        <f t="shared" si="118"/>
        <v>Neutral</v>
      </c>
      <c r="AJ275" s="32">
        <f t="shared" si="119"/>
        <v>2</v>
      </c>
      <c r="AK275">
        <f>step3_validation[[#This Row],[AI_TRU1]]</f>
        <v>9</v>
      </c>
      <c r="AL275" t="str">
        <f t="shared" si="120"/>
        <v>Support</v>
      </c>
      <c r="AM275">
        <f>survey_responses[[#This Row],[Tôi tin rằng Nhà nước, cơ quan thuế sẽ thực thi chính sách mới một cách khách quan, công tâm và đối xử bình đẳng với mọi người nộp thuế.  - HUMAN-TRU1]]</f>
        <v>6</v>
      </c>
      <c r="AN275" t="str">
        <f t="shared" si="121"/>
        <v>Neutral</v>
      </c>
      <c r="AO275" s="32">
        <f t="shared" si="122"/>
        <v>3</v>
      </c>
      <c r="AP275">
        <f>step3_validation[[#This Row],[AI_TRU2]]</f>
        <v>8</v>
      </c>
      <c r="AQ275" t="str">
        <f t="shared" si="123"/>
        <v>Support</v>
      </c>
      <c r="AR275">
        <f>survey_responses[[#This Row],[Tôi thấy mức thuế tôi phải đóng theo phương án mới là công bằng (người thu nhập như tôi đóng mức này là hợp lý). - HUMAN-TRU2]]</f>
        <v>6</v>
      </c>
      <c r="AS275" t="str">
        <f t="shared" si="124"/>
        <v>Neutral</v>
      </c>
      <c r="AT275" s="32">
        <f t="shared" si="125"/>
        <v>2</v>
      </c>
      <c r="AU275">
        <f>step3_validation[[#This Row],[AI_TRU3]]</f>
        <v>9</v>
      </c>
      <c r="AV275" t="str">
        <f t="shared" si="126"/>
        <v>Support</v>
      </c>
      <c r="AW275">
        <f>survey_responses[[#This Row],[Tôi tin tưởng số tiền thuế tôi đóng sẽ được Nhà nước sử dụng hiệu quả để cải thiện dịch vụ công (y tế, đường xá...). - HUMAN-TRU3]]</f>
        <v>6</v>
      </c>
      <c r="AX275" t="str">
        <f t="shared" si="127"/>
        <v>Neutral</v>
      </c>
      <c r="AY275" s="32">
        <f t="shared" si="128"/>
        <v>3</v>
      </c>
      <c r="AZ275">
        <f>step3_validation[[#This Row],[AI_TRU4]]</f>
        <v>8</v>
      </c>
      <c r="BA275" t="str">
        <f t="shared" si="129"/>
        <v>Support</v>
      </c>
      <c r="BB275">
        <f>survey_responses[[#This Row],[Tôi thấy Nhà nước đã giải thích rõ ràng, minh bạch về lý do và mục tiêu của việc sửa đổi thuế lần này. - HUMAN-TRU4]]</f>
        <v>6</v>
      </c>
      <c r="BC275" t="str">
        <f t="shared" si="130"/>
        <v>Neutral</v>
      </c>
      <c r="BD275" s="32">
        <f t="shared" si="131"/>
        <v>2</v>
      </c>
      <c r="BE275">
        <f>step3_validation[[#This Row],[AI_OUT1]]</f>
        <v>9</v>
      </c>
      <c r="BF275" t="str">
        <f t="shared" si="132"/>
        <v>Support</v>
      </c>
      <c r="BG275">
        <f>survey_responses[[#This Row],[Sau khi xem xét các quyền lợi và nghĩa vụ, bạn có ủng hộ và tuân thủ chính sách mới hiện nay? - HUMAN-OUT1]]</f>
        <v>6</v>
      </c>
      <c r="BH275" t="str">
        <f t="shared" si="133"/>
        <v>Neutral</v>
      </c>
      <c r="BI275" s="32">
        <f t="shared" si="134"/>
        <v>3</v>
      </c>
    </row>
    <row r="276" spans="1:61" x14ac:dyDescent="0.45">
      <c r="A276" s="30">
        <f>step3_validation[[#This Row],[Persona_ID]]</f>
        <v>275</v>
      </c>
      <c r="B276" s="31">
        <f>step3_validation[[#This Row],[Used_Seed]]</f>
        <v>12619</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61.039403417158866</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5</v>
      </c>
      <c r="R276" t="str">
        <f t="shared" si="108"/>
        <v>Neutral</v>
      </c>
      <c r="S276">
        <f>survey_responses[[#This Row],[Tôi tin rằng với các quy định quản lý thuế hiện nay, hành vi gian lận hoặc trốn thuế sẽ dễ dàng bị phát hiện và xử lý nghiêm. - HUMAN-ENF1]]</f>
        <v>8</v>
      </c>
      <c r="T276" t="str">
        <f t="shared" si="109"/>
        <v>Support</v>
      </c>
      <c r="U276" s="32">
        <f t="shared" si="110"/>
        <v>3</v>
      </c>
      <c r="V276">
        <f>step3_validation[[#This Row],[AI_ENF2]]</f>
        <v>6</v>
      </c>
      <c r="W276" t="str">
        <f t="shared" si="111"/>
        <v>Neutral</v>
      </c>
      <c r="X276">
        <f>survey_responses[[#This Row],[Tôi tin rằng Nhà nước, cơ quan thuế có đủ khả năng và công nghệ để phát hiện, xử lý nghiêm các hành vi trốn thuế. - HUMAN-ENF2]]</f>
        <v>9</v>
      </c>
      <c r="Y276" t="str">
        <f t="shared" si="112"/>
        <v>Support</v>
      </c>
      <c r="Z276" s="32">
        <f t="shared" si="113"/>
        <v>3</v>
      </c>
      <c r="AA276">
        <f>step3_validation[[#This Row],[AI_FAC1]]</f>
        <v>8</v>
      </c>
      <c r="AB276" t="str">
        <f t="shared" si="114"/>
        <v>Support</v>
      </c>
      <c r="AC276">
        <f>survey_responses[[#This Row],[Các thủ tục khai báo thuế VÀ/HOẶC quy trình làm việc với cơ quan thuế đơn giản, tiện lợi, nhanh chóng hơn so với trước đây. - HUMAN-FAC1]]</f>
        <v>5</v>
      </c>
      <c r="AD276" t="str">
        <f t="shared" si="115"/>
        <v>Neutral</v>
      </c>
      <c r="AE276" s="32">
        <f t="shared" si="116"/>
        <v>3</v>
      </c>
      <c r="AF276">
        <f>step3_validation[[#This Row],[AI_FAC2]]</f>
        <v>7</v>
      </c>
      <c r="AG276" t="str">
        <f t="shared" si="117"/>
        <v>Neutral</v>
      </c>
      <c r="AH276">
        <f>survey_responses[[#This Row],[So với trước đây, tôi thấy cách tính thuế và các bậc thuế trong phương án mới đơn giản, dễ hiểu và dễ thực hiện hơn. - HUMAN-FAC2]]</f>
        <v>7</v>
      </c>
      <c r="AI276" t="str">
        <f t="shared" si="118"/>
        <v>Neutral</v>
      </c>
      <c r="AJ276" s="32">
        <f t="shared" si="119"/>
        <v>0</v>
      </c>
      <c r="AK276">
        <f>step3_validation[[#This Row],[AI_TRU1]]</f>
        <v>6</v>
      </c>
      <c r="AL276" t="str">
        <f t="shared" si="120"/>
        <v>Neutral</v>
      </c>
      <c r="AM276">
        <f>survey_responses[[#This Row],[Tôi tin rằng Nhà nước, cơ quan thuế sẽ thực thi chính sách mới một cách khách quan, công tâm và đối xử bình đẳng với mọi người nộp thuế.  - HUMAN-TRU1]]</f>
        <v>6</v>
      </c>
      <c r="AN276" t="str">
        <f t="shared" si="121"/>
        <v>Neutral</v>
      </c>
      <c r="AO276" s="32">
        <f t="shared" si="122"/>
        <v>0</v>
      </c>
      <c r="AP276">
        <f>step3_validation[[#This Row],[AI_TRU2]]</f>
        <v>7</v>
      </c>
      <c r="AQ276" t="str">
        <f t="shared" si="123"/>
        <v>Neutral</v>
      </c>
      <c r="AR276">
        <f>survey_responses[[#This Row],[Tôi thấy mức thuế tôi phải đóng theo phương án mới là công bằng (người thu nhập như tôi đóng mức này là hợp lý). - HUMAN-TRU2]]</f>
        <v>7</v>
      </c>
      <c r="AS276" t="str">
        <f t="shared" si="124"/>
        <v>Neutral</v>
      </c>
      <c r="AT276" s="32">
        <f t="shared" si="125"/>
        <v>0</v>
      </c>
      <c r="AU276">
        <f>step3_validation[[#This Row],[AI_TRU3]]</f>
        <v>6</v>
      </c>
      <c r="AV276" t="str">
        <f t="shared" si="126"/>
        <v>Neutral</v>
      </c>
      <c r="AW276">
        <f>survey_responses[[#This Row],[Tôi tin tưởng số tiền thuế tôi đóng sẽ được Nhà nước sử dụng hiệu quả để cải thiện dịch vụ công (y tế, đường xá...). - HUMAN-TRU3]]</f>
        <v>7</v>
      </c>
      <c r="AX276" t="str">
        <f t="shared" si="127"/>
        <v>Neutral</v>
      </c>
      <c r="AY276" s="32">
        <f t="shared" si="128"/>
        <v>1</v>
      </c>
      <c r="AZ276">
        <f>step3_validation[[#This Row],[AI_TRU4]]</f>
        <v>7</v>
      </c>
      <c r="BA276" t="str">
        <f t="shared" si="129"/>
        <v>Neutral</v>
      </c>
      <c r="BB276">
        <f>survey_responses[[#This Row],[Tôi thấy Nhà nước đã giải thích rõ ràng, minh bạch về lý do và mục tiêu của việc sửa đổi thuế lần này. - HUMAN-TRU4]]</f>
        <v>7</v>
      </c>
      <c r="BC276" t="str">
        <f t="shared" si="130"/>
        <v>Neutral</v>
      </c>
      <c r="BD276" s="32">
        <f t="shared" si="131"/>
        <v>0</v>
      </c>
      <c r="BE276">
        <f>step3_validation[[#This Row],[AI_OUT1]]</f>
        <v>8</v>
      </c>
      <c r="BF276" t="str">
        <f t="shared" si="132"/>
        <v>Support</v>
      </c>
      <c r="BG276">
        <f>survey_responses[[#This Row],[Sau khi xem xét các quyền lợi và nghĩa vụ, bạn có ủng hộ và tuân thủ chính sách mới hiện nay? - HUMAN-OUT1]]</f>
        <v>7</v>
      </c>
      <c r="BH276" t="str">
        <f t="shared" si="133"/>
        <v>Neutral</v>
      </c>
      <c r="BI276" s="32">
        <f t="shared" si="134"/>
        <v>1</v>
      </c>
    </row>
    <row r="277" spans="1:61" x14ac:dyDescent="0.45">
      <c r="A277" s="30">
        <f>step3_validation[[#This Row],[Persona_ID]]</f>
        <v>276</v>
      </c>
      <c r="B277" s="31">
        <f>step3_validation[[#This Row],[Used_Seed]]</f>
        <v>12620</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33.603736278304325</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t="str">
        <f t="shared" si="108"/>
        <v>Neutral</v>
      </c>
      <c r="S277">
        <f>survey_responses[[#This Row],[Tôi tin rằng với các quy định quản lý thuế hiện nay, hành vi gian lận hoặc trốn thuế sẽ dễ dàng bị phát hiện và xử lý nghiêm. - HUMAN-ENF1]]</f>
        <v>6</v>
      </c>
      <c r="T277" t="str">
        <f t="shared" si="109"/>
        <v>Neutral</v>
      </c>
      <c r="U277" s="32">
        <f t="shared" si="110"/>
        <v>1</v>
      </c>
      <c r="V277">
        <f>step3_validation[[#This Row],[AI_ENF2]]</f>
        <v>8</v>
      </c>
      <c r="W277" t="str">
        <f t="shared" si="111"/>
        <v>Support</v>
      </c>
      <c r="X277">
        <f>survey_responses[[#This Row],[Tôi tin rằng Nhà nước, cơ quan thuế có đủ khả năng và công nghệ để phát hiện, xử lý nghiêm các hành vi trốn thuế. - HUMAN-ENF2]]</f>
        <v>6</v>
      </c>
      <c r="Y277" t="str">
        <f t="shared" si="112"/>
        <v>Neutral</v>
      </c>
      <c r="Z277" s="32">
        <f t="shared" si="113"/>
        <v>2</v>
      </c>
      <c r="AA277">
        <f>step3_validation[[#This Row],[AI_FAC1]]</f>
        <v>9</v>
      </c>
      <c r="AB277" t="str">
        <f t="shared" si="114"/>
        <v>Support</v>
      </c>
      <c r="AC277">
        <f>survey_responses[[#This Row],[Các thủ tục khai báo thuế VÀ/HOẶC quy trình làm việc với cơ quan thuế đơn giản, tiện lợi, nhanh chóng hơn so với trước đây. - HUMAN-FAC1]]</f>
        <v>3</v>
      </c>
      <c r="AD277" t="str">
        <f t="shared" si="115"/>
        <v>Oppose</v>
      </c>
      <c r="AE277" s="32">
        <f t="shared" si="116"/>
        <v>6</v>
      </c>
      <c r="AF277">
        <f>step3_validation[[#This Row],[AI_FAC2]]</f>
        <v>10</v>
      </c>
      <c r="AG277" t="str">
        <f t="shared" si="117"/>
        <v>Support</v>
      </c>
      <c r="AH277">
        <f>survey_responses[[#This Row],[So với trước đây, tôi thấy cách tính thuế và các bậc thuế trong phương án mới đơn giản, dễ hiểu và dễ thực hiện hơn. - HUMAN-FAC2]]</f>
        <v>7</v>
      </c>
      <c r="AI277" t="str">
        <f t="shared" si="118"/>
        <v>Neutral</v>
      </c>
      <c r="AJ277" s="32">
        <f t="shared" si="119"/>
        <v>3</v>
      </c>
      <c r="AK277">
        <f>step3_validation[[#This Row],[AI_TRU1]]</f>
        <v>8</v>
      </c>
      <c r="AL277" t="str">
        <f t="shared" si="120"/>
        <v>Support</v>
      </c>
      <c r="AM277">
        <f>survey_responses[[#This Row],[Tôi tin rằng Nhà nước, cơ quan thuế sẽ thực thi chính sách mới một cách khách quan, công tâm và đối xử bình đẳng với mọi người nộp thuế.  - HUMAN-TRU1]]</f>
        <v>7</v>
      </c>
      <c r="AN277" t="str">
        <f t="shared" si="121"/>
        <v>Neutral</v>
      </c>
      <c r="AO277" s="32">
        <f t="shared" si="122"/>
        <v>1</v>
      </c>
      <c r="AP277">
        <f>step3_validation[[#This Row],[AI_TRU2]]</f>
        <v>9</v>
      </c>
      <c r="AQ277" t="str">
        <f t="shared" si="123"/>
        <v>Support</v>
      </c>
      <c r="AR277">
        <f>survey_responses[[#This Row],[Tôi thấy mức thuế tôi phải đóng theo phương án mới là công bằng (người thu nhập như tôi đóng mức này là hợp lý). - HUMAN-TRU2]]</f>
        <v>7</v>
      </c>
      <c r="AS277" t="str">
        <f t="shared" si="124"/>
        <v>Neutral</v>
      </c>
      <c r="AT277" s="32">
        <f t="shared" si="125"/>
        <v>2</v>
      </c>
      <c r="AU277">
        <f>step3_validation[[#This Row],[AI_TRU3]]</f>
        <v>7</v>
      </c>
      <c r="AV277" t="str">
        <f t="shared" si="126"/>
        <v>Neutral</v>
      </c>
      <c r="AW277">
        <f>survey_responses[[#This Row],[Tôi tin tưởng số tiền thuế tôi đóng sẽ được Nhà nước sử dụng hiệu quả để cải thiện dịch vụ công (y tế, đường xá...). - HUMAN-TRU3]]</f>
        <v>5</v>
      </c>
      <c r="AX277" t="str">
        <f t="shared" si="127"/>
        <v>Neutral</v>
      </c>
      <c r="AY277" s="32">
        <f t="shared" si="128"/>
        <v>2</v>
      </c>
      <c r="AZ277">
        <f>step3_validation[[#This Row],[AI_TRU4]]</f>
        <v>8</v>
      </c>
      <c r="BA277" t="str">
        <f t="shared" si="129"/>
        <v>Support</v>
      </c>
      <c r="BB277">
        <f>survey_responses[[#This Row],[Tôi thấy Nhà nước đã giải thích rõ ràng, minh bạch về lý do và mục tiêu của việc sửa đổi thuế lần này. - HUMAN-TRU4]]</f>
        <v>7</v>
      </c>
      <c r="BC277" t="str">
        <f t="shared" si="130"/>
        <v>Neutral</v>
      </c>
      <c r="BD277" s="32">
        <f t="shared" si="131"/>
        <v>1</v>
      </c>
      <c r="BE277">
        <f>step3_validation[[#This Row],[AI_OUT1]]</f>
        <v>9</v>
      </c>
      <c r="BF277" t="str">
        <f t="shared" si="132"/>
        <v>Support</v>
      </c>
      <c r="BG277">
        <f>survey_responses[[#This Row],[Sau khi xem xét các quyền lợi và nghĩa vụ, bạn có ủng hộ và tuân thủ chính sách mới hiện nay? - HUMAN-OUT1]]</f>
        <v>7</v>
      </c>
      <c r="BH277" t="str">
        <f t="shared" si="133"/>
        <v>Neutral</v>
      </c>
      <c r="BI277" s="32">
        <f t="shared" si="134"/>
        <v>2</v>
      </c>
    </row>
    <row r="278" spans="1:61" x14ac:dyDescent="0.45">
      <c r="A278" s="30">
        <f>step3_validation[[#This Row],[Persona_ID]]</f>
        <v>277</v>
      </c>
      <c r="B278" s="31">
        <f>step3_validation[[#This Row],[Used_Seed]]</f>
        <v>12621</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78.750453674134562</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7</v>
      </c>
      <c r="R278" t="str">
        <f t="shared" si="108"/>
        <v>Neutral</v>
      </c>
      <c r="S278">
        <f>survey_responses[[#This Row],[Tôi tin rằng với các quy định quản lý thuế hiện nay, hành vi gian lận hoặc trốn thuế sẽ dễ dàng bị phát hiện và xử lý nghiêm. - HUMAN-ENF1]]</f>
        <v>8</v>
      </c>
      <c r="T278" t="str">
        <f t="shared" si="109"/>
        <v>Support</v>
      </c>
      <c r="U278" s="32">
        <f t="shared" si="110"/>
        <v>1</v>
      </c>
      <c r="V278">
        <f>step3_validation[[#This Row],[AI_ENF2]]</f>
        <v>6</v>
      </c>
      <c r="W278" t="str">
        <f t="shared" si="111"/>
        <v>Neutral</v>
      </c>
      <c r="X278">
        <f>survey_responses[[#This Row],[Tôi tin rằng Nhà nước, cơ quan thuế có đủ khả năng và công nghệ để phát hiện, xử lý nghiêm các hành vi trốn thuế. - HUMAN-ENF2]]</f>
        <v>8</v>
      </c>
      <c r="Y278" t="str">
        <f t="shared" si="112"/>
        <v>Support</v>
      </c>
      <c r="Z278" s="32">
        <f t="shared" si="113"/>
        <v>2</v>
      </c>
      <c r="AA278">
        <f>step3_validation[[#This Row],[AI_FAC1]]</f>
        <v>8</v>
      </c>
      <c r="AB278" t="str">
        <f t="shared" si="114"/>
        <v>Support</v>
      </c>
      <c r="AC278">
        <f>survey_responses[[#This Row],[Các thủ tục khai báo thuế VÀ/HOẶC quy trình làm việc với cơ quan thuế đơn giản, tiện lợi, nhanh chóng hơn so với trước đây. - HUMAN-FAC1]]</f>
        <v>6</v>
      </c>
      <c r="AD278" t="str">
        <f t="shared" si="115"/>
        <v>Neutral</v>
      </c>
      <c r="AE278" s="32">
        <f t="shared" si="116"/>
        <v>2</v>
      </c>
      <c r="AF278">
        <f>step3_validation[[#This Row],[AI_FAC2]]</f>
        <v>9</v>
      </c>
      <c r="AG278" t="str">
        <f t="shared" si="117"/>
        <v>Support</v>
      </c>
      <c r="AH278">
        <f>survey_responses[[#This Row],[So với trước đây, tôi thấy cách tính thuế và các bậc thuế trong phương án mới đơn giản, dễ hiểu và dễ thực hiện hơn. - HUMAN-FAC2]]</f>
        <v>7</v>
      </c>
      <c r="AI278" t="str">
        <f t="shared" si="118"/>
        <v>Neutral</v>
      </c>
      <c r="AJ278" s="32">
        <f t="shared" si="119"/>
        <v>2</v>
      </c>
      <c r="AK278">
        <f>step3_validation[[#This Row],[AI_TRU1]]</f>
        <v>7</v>
      </c>
      <c r="AL278" t="str">
        <f t="shared" si="120"/>
        <v>Neutral</v>
      </c>
      <c r="AM278">
        <f>survey_responses[[#This Row],[Tôi tin rằng Nhà nước, cơ quan thuế sẽ thực thi chính sách mới một cách khách quan, công tâm và đối xử bình đẳng với mọi người nộp thuế.  - HUMAN-TRU1]]</f>
        <v>7</v>
      </c>
      <c r="AN278" t="str">
        <f t="shared" si="121"/>
        <v>Neutral</v>
      </c>
      <c r="AO278" s="32">
        <f t="shared" si="122"/>
        <v>0</v>
      </c>
      <c r="AP278">
        <f>step3_validation[[#This Row],[AI_TRU2]]</f>
        <v>8</v>
      </c>
      <c r="AQ278" t="str">
        <f t="shared" si="123"/>
        <v>Support</v>
      </c>
      <c r="AR278">
        <f>survey_responses[[#This Row],[Tôi thấy mức thuế tôi phải đóng theo phương án mới là công bằng (người thu nhập như tôi đóng mức này là hợp lý). - HUMAN-TRU2]]</f>
        <v>4</v>
      </c>
      <c r="AS278" t="str">
        <f t="shared" si="124"/>
        <v>Oppose</v>
      </c>
      <c r="AT278" s="32">
        <f t="shared" si="125"/>
        <v>4</v>
      </c>
      <c r="AU278">
        <f>step3_validation[[#This Row],[AI_TRU3]]</f>
        <v>7</v>
      </c>
      <c r="AV278" t="str">
        <f t="shared" si="126"/>
        <v>Neutral</v>
      </c>
      <c r="AW278">
        <f>survey_responses[[#This Row],[Tôi tin tưởng số tiền thuế tôi đóng sẽ được Nhà nước sử dụng hiệu quả để cải thiện dịch vụ công (y tế, đường xá...). - HUMAN-TRU3]]</f>
        <v>5</v>
      </c>
      <c r="AX278" t="str">
        <f t="shared" si="127"/>
        <v>Neutral</v>
      </c>
      <c r="AY278" s="32">
        <f t="shared" si="128"/>
        <v>2</v>
      </c>
      <c r="AZ278">
        <f>step3_validation[[#This Row],[AI_TRU4]]</f>
        <v>8</v>
      </c>
      <c r="BA278" t="str">
        <f t="shared" si="129"/>
        <v>Support</v>
      </c>
      <c r="BB278">
        <f>survey_responses[[#This Row],[Tôi thấy Nhà nước đã giải thích rõ ràng, minh bạch về lý do và mục tiêu của việc sửa đổi thuế lần này. - HUMAN-TRU4]]</f>
        <v>5</v>
      </c>
      <c r="BC278" t="str">
        <f t="shared" si="130"/>
        <v>Neutral</v>
      </c>
      <c r="BD278" s="32">
        <f t="shared" si="131"/>
        <v>3</v>
      </c>
      <c r="BE278">
        <f>step3_validation[[#This Row],[AI_OUT1]]</f>
        <v>9</v>
      </c>
      <c r="BF278" t="str">
        <f t="shared" si="132"/>
        <v>Support</v>
      </c>
      <c r="BG278">
        <f>survey_responses[[#This Row],[Sau khi xem xét các quyền lợi và nghĩa vụ, bạn có ủng hộ và tuân thủ chính sách mới hiện nay? - HUMAN-OUT1]]</f>
        <v>5</v>
      </c>
      <c r="BH278" t="str">
        <f t="shared" si="133"/>
        <v>Neutral</v>
      </c>
      <c r="BI278" s="32">
        <f t="shared" si="134"/>
        <v>4</v>
      </c>
    </row>
    <row r="279" spans="1:61" x14ac:dyDescent="0.45">
      <c r="A279" s="30">
        <f>step3_validation[[#This Row],[Persona_ID]]</f>
        <v>278</v>
      </c>
      <c r="B279" s="31">
        <f>step3_validation[[#This Row],[Used_Seed]]</f>
        <v>12622</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63.196717756684855</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8</v>
      </c>
      <c r="R279" t="str">
        <f t="shared" si="108"/>
        <v>Support</v>
      </c>
      <c r="S279">
        <f>survey_responses[[#This Row],[Tôi tin rằng với các quy định quản lý thuế hiện nay, hành vi gian lận hoặc trốn thuế sẽ dễ dàng bị phát hiện và xử lý nghiêm. - HUMAN-ENF1]]</f>
        <v>6</v>
      </c>
      <c r="T279" t="str">
        <f t="shared" si="109"/>
        <v>Neutral</v>
      </c>
      <c r="U279" s="32">
        <f t="shared" si="110"/>
        <v>2</v>
      </c>
      <c r="V279">
        <f>step3_validation[[#This Row],[AI_ENF2]]</f>
        <v>7</v>
      </c>
      <c r="W279" t="str">
        <f t="shared" si="111"/>
        <v>Neutral</v>
      </c>
      <c r="X279">
        <f>survey_responses[[#This Row],[Tôi tin rằng Nhà nước, cơ quan thuế có đủ khả năng và công nghệ để phát hiện, xử lý nghiêm các hành vi trốn thuế. - HUMAN-ENF2]]</f>
        <v>7</v>
      </c>
      <c r="Y279" t="str">
        <f t="shared" si="112"/>
        <v>Neutral</v>
      </c>
      <c r="Z279" s="32">
        <f t="shared" si="113"/>
        <v>0</v>
      </c>
      <c r="AA279">
        <f>step3_validation[[#This Row],[AI_FAC1]]</f>
        <v>6</v>
      </c>
      <c r="AB279" t="str">
        <f t="shared" si="114"/>
        <v>Neutral</v>
      </c>
      <c r="AC279">
        <f>survey_responses[[#This Row],[Các thủ tục khai báo thuế VÀ/HOẶC quy trình làm việc với cơ quan thuế đơn giản, tiện lợi, nhanh chóng hơn so với trước đây. - HUMAN-FAC1]]</f>
        <v>5</v>
      </c>
      <c r="AD279" t="str">
        <f t="shared" si="115"/>
        <v>Neutral</v>
      </c>
      <c r="AE279" s="32">
        <f t="shared" si="116"/>
        <v>1</v>
      </c>
      <c r="AF279">
        <f>step3_validation[[#This Row],[AI_FAC2]]</f>
        <v>9</v>
      </c>
      <c r="AG279" t="str">
        <f t="shared" si="117"/>
        <v>Support</v>
      </c>
      <c r="AH279">
        <f>survey_responses[[#This Row],[So với trước đây, tôi thấy cách tính thuế và các bậc thuế trong phương án mới đơn giản, dễ hiểu và dễ thực hiện hơn. - HUMAN-FAC2]]</f>
        <v>7</v>
      </c>
      <c r="AI279" t="str">
        <f t="shared" si="118"/>
        <v>Neutral</v>
      </c>
      <c r="AJ279" s="32">
        <f t="shared" si="119"/>
        <v>2</v>
      </c>
      <c r="AK279">
        <f>step3_validation[[#This Row],[AI_TRU1]]</f>
        <v>8</v>
      </c>
      <c r="AL279" t="str">
        <f t="shared" si="120"/>
        <v>Support</v>
      </c>
      <c r="AM279">
        <f>survey_responses[[#This Row],[Tôi tin rằng Nhà nước, cơ quan thuế sẽ thực thi chính sách mới một cách khách quan, công tâm và đối xử bình đẳng với mọi người nộp thuế.  - HUMAN-TRU1]]</f>
        <v>6</v>
      </c>
      <c r="AN279" t="str">
        <f t="shared" si="121"/>
        <v>Neutral</v>
      </c>
      <c r="AO279" s="32">
        <f t="shared" si="122"/>
        <v>2</v>
      </c>
      <c r="AP279">
        <f>step3_validation[[#This Row],[AI_TRU2]]</f>
        <v>9</v>
      </c>
      <c r="AQ279" t="str">
        <f t="shared" si="123"/>
        <v>Support</v>
      </c>
      <c r="AR279">
        <f>survey_responses[[#This Row],[Tôi thấy mức thuế tôi phải đóng theo phương án mới là công bằng (người thu nhập như tôi đóng mức này là hợp lý). - HUMAN-TRU2]]</f>
        <v>6</v>
      </c>
      <c r="AS279" t="str">
        <f t="shared" si="124"/>
        <v>Neutral</v>
      </c>
      <c r="AT279" s="32">
        <f t="shared" si="125"/>
        <v>3</v>
      </c>
      <c r="AU279">
        <f>step3_validation[[#This Row],[AI_TRU3]]</f>
        <v>7</v>
      </c>
      <c r="AV279" t="str">
        <f t="shared" si="126"/>
        <v>Neutral</v>
      </c>
      <c r="AW279">
        <f>survey_responses[[#This Row],[Tôi tin tưởng số tiền thuế tôi đóng sẽ được Nhà nước sử dụng hiệu quả để cải thiện dịch vụ công (y tế, đường xá...). - HUMAN-TRU3]]</f>
        <v>6</v>
      </c>
      <c r="AX279" t="str">
        <f t="shared" si="127"/>
        <v>Neutral</v>
      </c>
      <c r="AY279" s="32">
        <f t="shared" si="128"/>
        <v>1</v>
      </c>
      <c r="AZ279">
        <f>step3_validation[[#This Row],[AI_TRU4]]</f>
        <v>8</v>
      </c>
      <c r="BA279" t="str">
        <f t="shared" si="129"/>
        <v>Support</v>
      </c>
      <c r="BB279">
        <f>survey_responses[[#This Row],[Tôi thấy Nhà nước đã giải thích rõ ràng, minh bạch về lý do và mục tiêu của việc sửa đổi thuế lần này. - HUMAN-TRU4]]</f>
        <v>6</v>
      </c>
      <c r="BC279" t="str">
        <f t="shared" si="130"/>
        <v>Neutral</v>
      </c>
      <c r="BD279" s="32">
        <f t="shared" si="131"/>
        <v>2</v>
      </c>
      <c r="BE279">
        <f>step3_validation[[#This Row],[AI_OUT1]]</f>
        <v>9</v>
      </c>
      <c r="BF279" t="str">
        <f t="shared" si="132"/>
        <v>Support</v>
      </c>
      <c r="BG279">
        <f>survey_responses[[#This Row],[Sau khi xem xét các quyền lợi và nghĩa vụ, bạn có ủng hộ và tuân thủ chính sách mới hiện nay? - HUMAN-OUT1]]</f>
        <v>6</v>
      </c>
      <c r="BH279" t="str">
        <f t="shared" si="133"/>
        <v>Neutral</v>
      </c>
      <c r="BI279" s="32">
        <f t="shared" si="134"/>
        <v>3</v>
      </c>
    </row>
    <row r="280" spans="1:61" x14ac:dyDescent="0.45">
      <c r="A280" s="30">
        <f>step3_validation[[#This Row],[Persona_ID]]</f>
        <v>279</v>
      </c>
      <c r="B280" s="31">
        <f>step3_validation[[#This Row],[Used_Seed]]</f>
        <v>12623</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82.146160335976077</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t="str">
        <f t="shared" si="108"/>
        <v>Neutral</v>
      </c>
      <c r="S280">
        <f>survey_responses[[#This Row],[Tôi tin rằng với các quy định quản lý thuế hiện nay, hành vi gian lận hoặc trốn thuế sẽ dễ dàng bị phát hiện và xử lý nghiêm. - HUMAN-ENF1]]</f>
        <v>6</v>
      </c>
      <c r="T280" t="str">
        <f t="shared" si="109"/>
        <v>Neutral</v>
      </c>
      <c r="U280" s="32">
        <f t="shared" si="110"/>
        <v>1</v>
      </c>
      <c r="V280">
        <f>step3_validation[[#This Row],[AI_ENF2]]</f>
        <v>6</v>
      </c>
      <c r="W280" t="str">
        <f t="shared" si="111"/>
        <v>Neutral</v>
      </c>
      <c r="X280">
        <f>survey_responses[[#This Row],[Tôi tin rằng Nhà nước, cơ quan thuế có đủ khả năng và công nghệ để phát hiện, xử lý nghiêm các hành vi trốn thuế. - HUMAN-ENF2]]</f>
        <v>7</v>
      </c>
      <c r="Y280" t="str">
        <f t="shared" si="112"/>
        <v>Neutral</v>
      </c>
      <c r="Z280" s="32">
        <f t="shared" si="113"/>
        <v>1</v>
      </c>
      <c r="AA280">
        <f>step3_validation[[#This Row],[AI_FAC1]]</f>
        <v>9</v>
      </c>
      <c r="AB280" t="str">
        <f t="shared" si="114"/>
        <v>Support</v>
      </c>
      <c r="AC280">
        <f>survey_responses[[#This Row],[Các thủ tục khai báo thuế VÀ/HOẶC quy trình làm việc với cơ quan thuế đơn giản, tiện lợi, nhanh chóng hơn so với trước đây. - HUMAN-FAC1]]</f>
        <v>5</v>
      </c>
      <c r="AD280" t="str">
        <f t="shared" si="115"/>
        <v>Neutral</v>
      </c>
      <c r="AE280" s="32">
        <f t="shared" si="116"/>
        <v>4</v>
      </c>
      <c r="AF280">
        <f>step3_validation[[#This Row],[AI_FAC2]]</f>
        <v>8</v>
      </c>
      <c r="AG280" t="str">
        <f t="shared" si="117"/>
        <v>Support</v>
      </c>
      <c r="AH280">
        <f>survey_responses[[#This Row],[So với trước đây, tôi thấy cách tính thuế và các bậc thuế trong phương án mới đơn giản, dễ hiểu và dễ thực hiện hơn. - HUMAN-FAC2]]</f>
        <v>8</v>
      </c>
      <c r="AI280" t="str">
        <f t="shared" si="118"/>
        <v>Support</v>
      </c>
      <c r="AJ280" s="32">
        <f t="shared" si="119"/>
        <v>0</v>
      </c>
      <c r="AK280">
        <f>step3_validation[[#This Row],[AI_TRU1]]</f>
        <v>7</v>
      </c>
      <c r="AL280" t="str">
        <f t="shared" si="120"/>
        <v>Neutral</v>
      </c>
      <c r="AM280">
        <f>survey_responses[[#This Row],[Tôi tin rằng Nhà nước, cơ quan thuế sẽ thực thi chính sách mới một cách khách quan, công tâm và đối xử bình đẳng với mọi người nộp thuế.  - HUMAN-TRU1]]</f>
        <v>6</v>
      </c>
      <c r="AN280" t="str">
        <f t="shared" si="121"/>
        <v>Neutral</v>
      </c>
      <c r="AO280" s="32">
        <f t="shared" si="122"/>
        <v>1</v>
      </c>
      <c r="AP280">
        <f>step3_validation[[#This Row],[AI_TRU2]]</f>
        <v>9</v>
      </c>
      <c r="AQ280" t="str">
        <f t="shared" si="123"/>
        <v>Support</v>
      </c>
      <c r="AR280">
        <f>survey_responses[[#This Row],[Tôi thấy mức thuế tôi phải đóng theo phương án mới là công bằng (người thu nhập như tôi đóng mức này là hợp lý). - HUMAN-TRU2]]</f>
        <v>3</v>
      </c>
      <c r="AS280" t="str">
        <f t="shared" si="124"/>
        <v>Oppose</v>
      </c>
      <c r="AT280" s="32">
        <f t="shared" si="125"/>
        <v>6</v>
      </c>
      <c r="AU280">
        <f>step3_validation[[#This Row],[AI_TRU3]]</f>
        <v>7</v>
      </c>
      <c r="AV280" t="str">
        <f t="shared" si="126"/>
        <v>Neutral</v>
      </c>
      <c r="AW280">
        <f>survey_responses[[#This Row],[Tôi tin tưởng số tiền thuế tôi đóng sẽ được Nhà nước sử dụng hiệu quả để cải thiện dịch vụ công (y tế, đường xá...). - HUMAN-TRU3]]</f>
        <v>6</v>
      </c>
      <c r="AX280" t="str">
        <f t="shared" si="127"/>
        <v>Neutral</v>
      </c>
      <c r="AY280" s="32">
        <f t="shared" si="128"/>
        <v>1</v>
      </c>
      <c r="AZ280">
        <f>step3_validation[[#This Row],[AI_TRU4]]</f>
        <v>6</v>
      </c>
      <c r="BA280" t="str">
        <f t="shared" si="129"/>
        <v>Neutral</v>
      </c>
      <c r="BB280">
        <f>survey_responses[[#This Row],[Tôi thấy Nhà nước đã giải thích rõ ràng, minh bạch về lý do và mục tiêu của việc sửa đổi thuế lần này. - HUMAN-TRU4]]</f>
        <v>8</v>
      </c>
      <c r="BC280" t="str">
        <f t="shared" si="130"/>
        <v>Support</v>
      </c>
      <c r="BD280" s="32">
        <f t="shared" si="131"/>
        <v>2</v>
      </c>
      <c r="BE280">
        <f>step3_validation[[#This Row],[AI_OUT1]]</f>
        <v>8</v>
      </c>
      <c r="BF280" t="str">
        <f t="shared" si="132"/>
        <v>Support</v>
      </c>
      <c r="BG280">
        <f>survey_responses[[#This Row],[Sau khi xem xét các quyền lợi và nghĩa vụ, bạn có ủng hộ và tuân thủ chính sách mới hiện nay? - HUMAN-OUT1]]</f>
        <v>6</v>
      </c>
      <c r="BH280" t="str">
        <f t="shared" si="133"/>
        <v>Neutral</v>
      </c>
      <c r="BI280" s="32">
        <f t="shared" si="134"/>
        <v>2</v>
      </c>
    </row>
    <row r="281" spans="1:61" x14ac:dyDescent="0.45">
      <c r="A281" s="30">
        <f>step3_validation[[#This Row],[Persona_ID]]</f>
        <v>280</v>
      </c>
      <c r="B281" s="31">
        <f>step3_validation[[#This Row],[Used_Seed]]</f>
        <v>12624</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70.772828588128235</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7</v>
      </c>
      <c r="R281" t="str">
        <f t="shared" si="108"/>
        <v>Neutral</v>
      </c>
      <c r="S281">
        <f>survey_responses[[#This Row],[Tôi tin rằng với các quy định quản lý thuế hiện nay, hành vi gian lận hoặc trốn thuế sẽ dễ dàng bị phát hiện và xử lý nghiêm. - HUMAN-ENF1]]</f>
        <v>4</v>
      </c>
      <c r="T281" t="str">
        <f t="shared" si="109"/>
        <v>Oppose</v>
      </c>
      <c r="U281" s="32">
        <f t="shared" si="110"/>
        <v>3</v>
      </c>
      <c r="V281">
        <f>step3_validation[[#This Row],[AI_ENF2]]</f>
        <v>8</v>
      </c>
      <c r="W281" t="str">
        <f t="shared" si="111"/>
        <v>Support</v>
      </c>
      <c r="X281">
        <f>survey_responses[[#This Row],[Tôi tin rằng Nhà nước, cơ quan thuế có đủ khả năng và công nghệ để phát hiện, xử lý nghiêm các hành vi trốn thuế. - HUMAN-ENF2]]</f>
        <v>4</v>
      </c>
      <c r="Y281" t="str">
        <f t="shared" si="112"/>
        <v>Oppose</v>
      </c>
      <c r="Z281" s="32">
        <f t="shared" si="113"/>
        <v>4</v>
      </c>
      <c r="AA281">
        <f>step3_validation[[#This Row],[AI_FAC1]]</f>
        <v>6</v>
      </c>
      <c r="AB281" t="str">
        <f t="shared" si="114"/>
        <v>Neutral</v>
      </c>
      <c r="AC281">
        <f>survey_responses[[#This Row],[Các thủ tục khai báo thuế VÀ/HOẶC quy trình làm việc với cơ quan thuế đơn giản, tiện lợi, nhanh chóng hơn so với trước đây. - HUMAN-FAC1]]</f>
        <v>1</v>
      </c>
      <c r="AD281" t="str">
        <f t="shared" si="115"/>
        <v>Oppose</v>
      </c>
      <c r="AE281" s="32">
        <f t="shared" si="116"/>
        <v>5</v>
      </c>
      <c r="AF281">
        <f>step3_validation[[#This Row],[AI_FAC2]]</f>
        <v>9</v>
      </c>
      <c r="AG281" t="str">
        <f t="shared" si="117"/>
        <v>Support</v>
      </c>
      <c r="AH281">
        <f>survey_responses[[#This Row],[So với trước đây, tôi thấy cách tính thuế và các bậc thuế trong phương án mới đơn giản, dễ hiểu và dễ thực hiện hơn. - HUMAN-FAC2]]</f>
        <v>6</v>
      </c>
      <c r="AI281" t="str">
        <f t="shared" si="118"/>
        <v>Neutral</v>
      </c>
      <c r="AJ281" s="32">
        <f t="shared" si="119"/>
        <v>3</v>
      </c>
      <c r="AK281">
        <f>step3_validation[[#This Row],[AI_TRU1]]</f>
        <v>7</v>
      </c>
      <c r="AL281" t="str">
        <f t="shared" si="120"/>
        <v>Neutral</v>
      </c>
      <c r="AM281">
        <f>survey_responses[[#This Row],[Tôi tin rằng Nhà nước, cơ quan thuế sẽ thực thi chính sách mới một cách khách quan, công tâm và đối xử bình đẳng với mọi người nộp thuế.  - HUMAN-TRU1]]</f>
        <v>3</v>
      </c>
      <c r="AN281" t="str">
        <f t="shared" si="121"/>
        <v>Oppose</v>
      </c>
      <c r="AO281" s="32">
        <f t="shared" si="122"/>
        <v>4</v>
      </c>
      <c r="AP281">
        <f>step3_validation[[#This Row],[AI_TRU2]]</f>
        <v>9</v>
      </c>
      <c r="AQ281" t="str">
        <f t="shared" si="123"/>
        <v>Support</v>
      </c>
      <c r="AR281">
        <f>survey_responses[[#This Row],[Tôi thấy mức thuế tôi phải đóng theo phương án mới là công bằng (người thu nhập như tôi đóng mức này là hợp lý). - HUMAN-TRU2]]</f>
        <v>2</v>
      </c>
      <c r="AS281" t="str">
        <f t="shared" si="124"/>
        <v>Oppose</v>
      </c>
      <c r="AT281" s="32">
        <f t="shared" si="125"/>
        <v>7</v>
      </c>
      <c r="AU281">
        <f>step3_validation[[#This Row],[AI_TRU3]]</f>
        <v>8</v>
      </c>
      <c r="AV281" t="str">
        <f t="shared" si="126"/>
        <v>Support</v>
      </c>
      <c r="AW281">
        <f>survey_responses[[#This Row],[Tôi tin tưởng số tiền thuế tôi đóng sẽ được Nhà nước sử dụng hiệu quả để cải thiện dịch vụ công (y tế, đường xá...). - HUMAN-TRU3]]</f>
        <v>1</v>
      </c>
      <c r="AX281" t="str">
        <f t="shared" si="127"/>
        <v>Oppose</v>
      </c>
      <c r="AY281" s="32">
        <f t="shared" si="128"/>
        <v>7</v>
      </c>
      <c r="AZ281">
        <f>step3_validation[[#This Row],[AI_TRU4]]</f>
        <v>7</v>
      </c>
      <c r="BA281" t="str">
        <f t="shared" si="129"/>
        <v>Neutral</v>
      </c>
      <c r="BB281">
        <f>survey_responses[[#This Row],[Tôi thấy Nhà nước đã giải thích rõ ràng, minh bạch về lý do và mục tiêu của việc sửa đổi thuế lần này. - HUMAN-TRU4]]</f>
        <v>5</v>
      </c>
      <c r="BC281" t="str">
        <f t="shared" si="130"/>
        <v>Neutral</v>
      </c>
      <c r="BD281" s="32">
        <f t="shared" si="131"/>
        <v>2</v>
      </c>
      <c r="BE281">
        <f>step3_validation[[#This Row],[AI_OUT1]]</f>
        <v>9</v>
      </c>
      <c r="BF281" t="str">
        <f t="shared" si="132"/>
        <v>Support</v>
      </c>
      <c r="BG281">
        <f>survey_responses[[#This Row],[Sau khi xem xét các quyền lợi và nghĩa vụ, bạn có ủng hộ và tuân thủ chính sách mới hiện nay? - HUMAN-OUT1]]</f>
        <v>4</v>
      </c>
      <c r="BH281" t="str">
        <f t="shared" si="133"/>
        <v>Oppose</v>
      </c>
      <c r="BI281" s="32">
        <f t="shared" si="134"/>
        <v>5</v>
      </c>
    </row>
    <row r="282" spans="1:61" x14ac:dyDescent="0.45">
      <c r="A282" s="30">
        <f>step3_validation[[#This Row],[Persona_ID]]</f>
        <v>281</v>
      </c>
      <c r="B282" s="31">
        <f>step3_validation[[#This Row],[Used_Seed]]</f>
        <v>12625</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96.872665591889103</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8</v>
      </c>
      <c r="R282" t="str">
        <f t="shared" si="108"/>
        <v>Support</v>
      </c>
      <c r="S282">
        <f>survey_responses[[#This Row],[Tôi tin rằng với các quy định quản lý thuế hiện nay, hành vi gian lận hoặc trốn thuế sẽ dễ dàng bị phát hiện và xử lý nghiêm. - HUMAN-ENF1]]</f>
        <v>6</v>
      </c>
      <c r="T282" t="str">
        <f t="shared" si="109"/>
        <v>Neutral</v>
      </c>
      <c r="U282" s="32">
        <f t="shared" si="110"/>
        <v>2</v>
      </c>
      <c r="V282">
        <f>step3_validation[[#This Row],[AI_ENF2]]</f>
        <v>9</v>
      </c>
      <c r="W282" t="str">
        <f t="shared" si="111"/>
        <v>Support</v>
      </c>
      <c r="X282">
        <f>survey_responses[[#This Row],[Tôi tin rằng Nhà nước, cơ quan thuế có đủ khả năng và công nghệ để phát hiện, xử lý nghiêm các hành vi trốn thuế. - HUMAN-ENF2]]</f>
        <v>7</v>
      </c>
      <c r="Y282" t="str">
        <f t="shared" si="112"/>
        <v>Neutral</v>
      </c>
      <c r="Z282" s="32">
        <f t="shared" si="113"/>
        <v>2</v>
      </c>
      <c r="AA282">
        <f>step3_validation[[#This Row],[AI_FAC1]]</f>
        <v>8</v>
      </c>
      <c r="AB282" t="str">
        <f t="shared" si="114"/>
        <v>Support</v>
      </c>
      <c r="AC282">
        <f>survey_responses[[#This Row],[Các thủ tục khai báo thuế VÀ/HOẶC quy trình làm việc với cơ quan thuế đơn giản, tiện lợi, nhanh chóng hơn so với trước đây. - HUMAN-FAC1]]</f>
        <v>4</v>
      </c>
      <c r="AD282" t="str">
        <f t="shared" si="115"/>
        <v>Oppose</v>
      </c>
      <c r="AE282" s="32">
        <f t="shared" si="116"/>
        <v>4</v>
      </c>
      <c r="AF282">
        <f>step3_validation[[#This Row],[AI_FAC2]]</f>
        <v>9</v>
      </c>
      <c r="AG282" t="str">
        <f t="shared" si="117"/>
        <v>Support</v>
      </c>
      <c r="AH282">
        <f>survey_responses[[#This Row],[So với trước đây, tôi thấy cách tính thuế và các bậc thuế trong phương án mới đơn giản, dễ hiểu và dễ thực hiện hơn. - HUMAN-FAC2]]</f>
        <v>8</v>
      </c>
      <c r="AI282" t="str">
        <f t="shared" si="118"/>
        <v>Support</v>
      </c>
      <c r="AJ282" s="32">
        <f t="shared" si="119"/>
        <v>1</v>
      </c>
      <c r="AK282">
        <f>step3_validation[[#This Row],[AI_TRU1]]</f>
        <v>8</v>
      </c>
      <c r="AL282" t="str">
        <f t="shared" si="120"/>
        <v>Support</v>
      </c>
      <c r="AM282">
        <f>survey_responses[[#This Row],[Tôi tin rằng Nhà nước, cơ quan thuế sẽ thực thi chính sách mới một cách khách quan, công tâm và đối xử bình đẳng với mọi người nộp thuế.  - HUMAN-TRU1]]</f>
        <v>6</v>
      </c>
      <c r="AN282" t="str">
        <f t="shared" si="121"/>
        <v>Neutral</v>
      </c>
      <c r="AO282" s="32">
        <f t="shared" si="122"/>
        <v>2</v>
      </c>
      <c r="AP282">
        <f>step3_validation[[#This Row],[AI_TRU2]]</f>
        <v>9</v>
      </c>
      <c r="AQ282" t="str">
        <f t="shared" si="123"/>
        <v>Support</v>
      </c>
      <c r="AR282">
        <f>survey_responses[[#This Row],[Tôi thấy mức thuế tôi phải đóng theo phương án mới là công bằng (người thu nhập như tôi đóng mức này là hợp lý). - HUMAN-TRU2]]</f>
        <v>6</v>
      </c>
      <c r="AS282" t="str">
        <f t="shared" si="124"/>
        <v>Neutral</v>
      </c>
      <c r="AT282" s="32">
        <f t="shared" si="125"/>
        <v>3</v>
      </c>
      <c r="AU282">
        <f>step3_validation[[#This Row],[AI_TRU3]]</f>
        <v>8</v>
      </c>
      <c r="AV282" t="str">
        <f t="shared" si="126"/>
        <v>Support</v>
      </c>
      <c r="AW282">
        <f>survey_responses[[#This Row],[Tôi tin tưởng số tiền thuế tôi đóng sẽ được Nhà nước sử dụng hiệu quả để cải thiện dịch vụ công (y tế, đường xá...). - HUMAN-TRU3]]</f>
        <v>5</v>
      </c>
      <c r="AX282" t="str">
        <f t="shared" si="127"/>
        <v>Neutral</v>
      </c>
      <c r="AY282" s="32">
        <f t="shared" si="128"/>
        <v>3</v>
      </c>
      <c r="AZ282">
        <f>step3_validation[[#This Row],[AI_TRU4]]</f>
        <v>9</v>
      </c>
      <c r="BA282" t="str">
        <f t="shared" si="129"/>
        <v>Support</v>
      </c>
      <c r="BB282">
        <f>survey_responses[[#This Row],[Tôi thấy Nhà nước đã giải thích rõ ràng, minh bạch về lý do và mục tiêu của việc sửa đổi thuế lần này. - HUMAN-TRU4]]</f>
        <v>7</v>
      </c>
      <c r="BC282" t="str">
        <f t="shared" si="130"/>
        <v>Neutral</v>
      </c>
      <c r="BD282" s="32">
        <f t="shared" si="131"/>
        <v>2</v>
      </c>
      <c r="BE282">
        <f>step3_validation[[#This Row],[AI_OUT1]]</f>
        <v>8</v>
      </c>
      <c r="BF282" t="str">
        <f t="shared" si="132"/>
        <v>Support</v>
      </c>
      <c r="BG282">
        <f>survey_responses[[#This Row],[Sau khi xem xét các quyền lợi và nghĩa vụ, bạn có ủng hộ và tuân thủ chính sách mới hiện nay? - HUMAN-OUT1]]</f>
        <v>6</v>
      </c>
      <c r="BH282" t="str">
        <f t="shared" si="133"/>
        <v>Neutral</v>
      </c>
      <c r="BI282" s="32">
        <f t="shared" si="134"/>
        <v>2</v>
      </c>
    </row>
    <row r="283" spans="1:61" x14ac:dyDescent="0.45">
      <c r="A283" s="30">
        <f>step3_validation[[#This Row],[Persona_ID]]</f>
        <v>282</v>
      </c>
      <c r="B283" s="31">
        <f>step3_validation[[#This Row],[Used_Seed]]</f>
        <v>12626</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220.3058166118995</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t="str">
        <f t="shared" si="108"/>
        <v>Neutral</v>
      </c>
      <c r="S283">
        <f>survey_responses[[#This Row],[Tôi tin rằng với các quy định quản lý thuế hiện nay, hành vi gian lận hoặc trốn thuế sẽ dễ dàng bị phát hiện và xử lý nghiêm. - HUMAN-ENF1]]</f>
        <v>8</v>
      </c>
      <c r="T283" t="str">
        <f t="shared" si="109"/>
        <v>Support</v>
      </c>
      <c r="U283" s="32">
        <f t="shared" si="110"/>
        <v>1</v>
      </c>
      <c r="V283">
        <f>step3_validation[[#This Row],[AI_ENF2]]</f>
        <v>8</v>
      </c>
      <c r="W283" t="str">
        <f t="shared" si="111"/>
        <v>Support</v>
      </c>
      <c r="X283">
        <f>survey_responses[[#This Row],[Tôi tin rằng Nhà nước, cơ quan thuế có đủ khả năng và công nghệ để phát hiện, xử lý nghiêm các hành vi trốn thuế. - HUMAN-ENF2]]</f>
        <v>8</v>
      </c>
      <c r="Y283" t="str">
        <f t="shared" si="112"/>
        <v>Support</v>
      </c>
      <c r="Z283" s="32">
        <f t="shared" si="113"/>
        <v>0</v>
      </c>
      <c r="AA283">
        <f>step3_validation[[#This Row],[AI_FAC1]]</f>
        <v>9</v>
      </c>
      <c r="AB283" t="str">
        <f t="shared" si="114"/>
        <v>Support</v>
      </c>
      <c r="AC283">
        <f>survey_responses[[#This Row],[Các thủ tục khai báo thuế VÀ/HOẶC quy trình làm việc với cơ quan thuế đơn giản, tiện lợi, nhanh chóng hơn so với trước đây. - HUMAN-FAC1]]</f>
        <v>9</v>
      </c>
      <c r="AD283" t="str">
        <f t="shared" si="115"/>
        <v>Support</v>
      </c>
      <c r="AE283" s="32">
        <f t="shared" si="116"/>
        <v>0</v>
      </c>
      <c r="AF283">
        <f>step3_validation[[#This Row],[AI_FAC2]]</f>
        <v>8</v>
      </c>
      <c r="AG283" t="str">
        <f t="shared" si="117"/>
        <v>Support</v>
      </c>
      <c r="AH283">
        <f>survey_responses[[#This Row],[So với trước đây, tôi thấy cách tính thuế và các bậc thuế trong phương án mới đơn giản, dễ hiểu và dễ thực hiện hơn. - HUMAN-FAC2]]</f>
        <v>9</v>
      </c>
      <c r="AI283" t="str">
        <f t="shared" si="118"/>
        <v>Support</v>
      </c>
      <c r="AJ283" s="32">
        <f t="shared" si="119"/>
        <v>1</v>
      </c>
      <c r="AK283">
        <f>step3_validation[[#This Row],[AI_TRU1]]</f>
        <v>6</v>
      </c>
      <c r="AL283" t="str">
        <f t="shared" si="120"/>
        <v>Neutral</v>
      </c>
      <c r="AM283">
        <f>survey_responses[[#This Row],[Tôi tin rằng Nhà nước, cơ quan thuế sẽ thực thi chính sách mới một cách khách quan, công tâm và đối xử bình đẳng với mọi người nộp thuế.  - HUMAN-TRU1]]</f>
        <v>7</v>
      </c>
      <c r="AN283" t="str">
        <f t="shared" si="121"/>
        <v>Neutral</v>
      </c>
      <c r="AO283" s="32">
        <f t="shared" si="122"/>
        <v>1</v>
      </c>
      <c r="AP283">
        <f>step3_validation[[#This Row],[AI_TRU2]]</f>
        <v>7</v>
      </c>
      <c r="AQ283" t="str">
        <f t="shared" si="123"/>
        <v>Neutral</v>
      </c>
      <c r="AR283">
        <f>survey_responses[[#This Row],[Tôi thấy mức thuế tôi phải đóng theo phương án mới là công bằng (người thu nhập như tôi đóng mức này là hợp lý). - HUMAN-TRU2]]</f>
        <v>8</v>
      </c>
      <c r="AS283" t="str">
        <f t="shared" si="124"/>
        <v>Support</v>
      </c>
      <c r="AT283" s="32">
        <f t="shared" si="125"/>
        <v>1</v>
      </c>
      <c r="AU283">
        <f>step3_validation[[#This Row],[AI_TRU3]]</f>
        <v>6</v>
      </c>
      <c r="AV283" t="str">
        <f t="shared" si="126"/>
        <v>Neutral</v>
      </c>
      <c r="AW283">
        <f>survey_responses[[#This Row],[Tôi tin tưởng số tiền thuế tôi đóng sẽ được Nhà nước sử dụng hiệu quả để cải thiện dịch vụ công (y tế, đường xá...). - HUMAN-TRU3]]</f>
        <v>8</v>
      </c>
      <c r="AX283" t="str">
        <f t="shared" si="127"/>
        <v>Support</v>
      </c>
      <c r="AY283" s="32">
        <f t="shared" si="128"/>
        <v>2</v>
      </c>
      <c r="AZ283">
        <f>step3_validation[[#This Row],[AI_TRU4]]</f>
        <v>5</v>
      </c>
      <c r="BA283" t="str">
        <f t="shared" si="129"/>
        <v>Neutral</v>
      </c>
      <c r="BB283">
        <f>survey_responses[[#This Row],[Tôi thấy Nhà nước đã giải thích rõ ràng, minh bạch về lý do và mục tiêu của việc sửa đổi thuế lần này. - HUMAN-TRU4]]</f>
        <v>8</v>
      </c>
      <c r="BC283" t="str">
        <f t="shared" si="130"/>
        <v>Support</v>
      </c>
      <c r="BD283" s="32">
        <f t="shared" si="131"/>
        <v>3</v>
      </c>
      <c r="BE283">
        <f>step3_validation[[#This Row],[AI_OUT1]]</f>
        <v>8</v>
      </c>
      <c r="BF283" t="str">
        <f t="shared" si="132"/>
        <v>Support</v>
      </c>
      <c r="BG283">
        <f>survey_responses[[#This Row],[Sau khi xem xét các quyền lợi và nghĩa vụ, bạn có ủng hộ và tuân thủ chính sách mới hiện nay? - HUMAN-OUT1]]</f>
        <v>7</v>
      </c>
      <c r="BH283" t="str">
        <f t="shared" si="133"/>
        <v>Neutral</v>
      </c>
      <c r="BI283" s="32">
        <f t="shared" si="134"/>
        <v>1</v>
      </c>
    </row>
    <row r="284" spans="1:61" x14ac:dyDescent="0.45">
      <c r="A284" s="30">
        <f>step3_validation[[#This Row],[Persona_ID]]</f>
        <v>283</v>
      </c>
      <c r="B284" s="31">
        <f>step3_validation[[#This Row],[Used_Seed]]</f>
        <v>12627</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67.215088829980886</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9</v>
      </c>
      <c r="R284" t="str">
        <f t="shared" si="108"/>
        <v>Support</v>
      </c>
      <c r="S284">
        <f>survey_responses[[#This Row],[Tôi tin rằng với các quy định quản lý thuế hiện nay, hành vi gian lận hoặc trốn thuế sẽ dễ dàng bị phát hiện và xử lý nghiêm. - HUMAN-ENF1]]</f>
        <v>5</v>
      </c>
      <c r="T284" t="str">
        <f t="shared" si="109"/>
        <v>Neutral</v>
      </c>
      <c r="U284" s="32">
        <f t="shared" si="110"/>
        <v>4</v>
      </c>
      <c r="V284">
        <f>step3_validation[[#This Row],[AI_ENF2]]</f>
        <v>8</v>
      </c>
      <c r="W284" t="str">
        <f t="shared" si="111"/>
        <v>Support</v>
      </c>
      <c r="X284">
        <f>survey_responses[[#This Row],[Tôi tin rằng Nhà nước, cơ quan thuế có đủ khả năng và công nghệ để phát hiện, xử lý nghiêm các hành vi trốn thuế. - HUMAN-ENF2]]</f>
        <v>5</v>
      </c>
      <c r="Y284" t="str">
        <f t="shared" si="112"/>
        <v>Neutral</v>
      </c>
      <c r="Z284" s="32">
        <f t="shared" si="113"/>
        <v>3</v>
      </c>
      <c r="AA284">
        <f>step3_validation[[#This Row],[AI_FAC1]]</f>
        <v>9</v>
      </c>
      <c r="AB284" t="str">
        <f t="shared" si="114"/>
        <v>Support</v>
      </c>
      <c r="AC284">
        <f>survey_responses[[#This Row],[Các thủ tục khai báo thuế VÀ/HOẶC quy trình làm việc với cơ quan thuế đơn giản, tiện lợi, nhanh chóng hơn so với trước đây. - HUMAN-FAC1]]</f>
        <v>2</v>
      </c>
      <c r="AD284" t="str">
        <f t="shared" si="115"/>
        <v>Oppose</v>
      </c>
      <c r="AE284" s="32">
        <f t="shared" si="116"/>
        <v>7</v>
      </c>
      <c r="AF284">
        <f>step3_validation[[#This Row],[AI_FAC2]]</f>
        <v>8</v>
      </c>
      <c r="AG284" t="str">
        <f t="shared" si="117"/>
        <v>Support</v>
      </c>
      <c r="AH284">
        <f>survey_responses[[#This Row],[So với trước đây, tôi thấy cách tính thuế và các bậc thuế trong phương án mới đơn giản, dễ hiểu và dễ thực hiện hơn. - HUMAN-FAC2]]</f>
        <v>6</v>
      </c>
      <c r="AI284" t="str">
        <f t="shared" si="118"/>
        <v>Neutral</v>
      </c>
      <c r="AJ284" s="32">
        <f t="shared" si="119"/>
        <v>2</v>
      </c>
      <c r="AK284">
        <f>step3_validation[[#This Row],[AI_TRU1]]</f>
        <v>9</v>
      </c>
      <c r="AL284" t="str">
        <f t="shared" si="120"/>
        <v>Support</v>
      </c>
      <c r="AM284">
        <f>survey_responses[[#This Row],[Tôi tin rằng Nhà nước, cơ quan thuế sẽ thực thi chính sách mới một cách khách quan, công tâm và đối xử bình đẳng với mọi người nộp thuế.  - HUMAN-TRU1]]</f>
        <v>5</v>
      </c>
      <c r="AN284" t="str">
        <f t="shared" si="121"/>
        <v>Neutral</v>
      </c>
      <c r="AO284" s="32">
        <f t="shared" si="122"/>
        <v>4</v>
      </c>
      <c r="AP284">
        <f>step3_validation[[#This Row],[AI_TRU2]]</f>
        <v>8</v>
      </c>
      <c r="AQ284" t="str">
        <f t="shared" si="123"/>
        <v>Support</v>
      </c>
      <c r="AR284">
        <f>survey_responses[[#This Row],[Tôi thấy mức thuế tôi phải đóng theo phương án mới là công bằng (người thu nhập như tôi đóng mức này là hợp lý). - HUMAN-TRU2]]</f>
        <v>4</v>
      </c>
      <c r="AS284" t="str">
        <f t="shared" si="124"/>
        <v>Oppose</v>
      </c>
      <c r="AT284" s="32">
        <f t="shared" si="125"/>
        <v>4</v>
      </c>
      <c r="AU284">
        <f>step3_validation[[#This Row],[AI_TRU3]]</f>
        <v>9</v>
      </c>
      <c r="AV284" t="str">
        <f t="shared" si="126"/>
        <v>Support</v>
      </c>
      <c r="AW284">
        <f>survey_responses[[#This Row],[Tôi tin tưởng số tiền thuế tôi đóng sẽ được Nhà nước sử dụng hiệu quả để cải thiện dịch vụ công (y tế, đường xá...). - HUMAN-TRU3]]</f>
        <v>5</v>
      </c>
      <c r="AX284" t="str">
        <f t="shared" si="127"/>
        <v>Neutral</v>
      </c>
      <c r="AY284" s="32">
        <f t="shared" si="128"/>
        <v>4</v>
      </c>
      <c r="AZ284">
        <f>step3_validation[[#This Row],[AI_TRU4]]</f>
        <v>8</v>
      </c>
      <c r="BA284" t="str">
        <f t="shared" si="129"/>
        <v>Support</v>
      </c>
      <c r="BB284">
        <f>survey_responses[[#This Row],[Tôi thấy Nhà nước đã giải thích rõ ràng, minh bạch về lý do và mục tiêu của việc sửa đổi thuế lần này. - HUMAN-TRU4]]</f>
        <v>5</v>
      </c>
      <c r="BC284" t="str">
        <f t="shared" si="130"/>
        <v>Neutral</v>
      </c>
      <c r="BD284" s="32">
        <f t="shared" si="131"/>
        <v>3</v>
      </c>
      <c r="BE284">
        <f>step3_validation[[#This Row],[AI_OUT1]]</f>
        <v>9</v>
      </c>
      <c r="BF284" t="str">
        <f t="shared" si="132"/>
        <v>Support</v>
      </c>
      <c r="BG284">
        <f>survey_responses[[#This Row],[Sau khi xem xét các quyền lợi và nghĩa vụ, bạn có ủng hộ và tuân thủ chính sách mới hiện nay? - HUMAN-OUT1]]</f>
        <v>4</v>
      </c>
      <c r="BH284" t="str">
        <f t="shared" si="133"/>
        <v>Oppose</v>
      </c>
      <c r="BI284" s="32">
        <f t="shared" si="134"/>
        <v>5</v>
      </c>
    </row>
    <row r="285" spans="1:61" x14ac:dyDescent="0.45">
      <c r="A285" s="30">
        <f>step3_validation[[#This Row],[Persona_ID]]</f>
        <v>284</v>
      </c>
      <c r="B285" s="31">
        <f>step3_validation[[#This Row],[Used_Seed]]</f>
        <v>12628</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57.766302457784683</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7</v>
      </c>
      <c r="R285" t="str">
        <f t="shared" si="108"/>
        <v>Neutral</v>
      </c>
      <c r="S285">
        <f>survey_responses[[#This Row],[Tôi tin rằng với các quy định quản lý thuế hiện nay, hành vi gian lận hoặc trốn thuế sẽ dễ dàng bị phát hiện và xử lý nghiêm. - HUMAN-ENF1]]</f>
        <v>7</v>
      </c>
      <c r="T285" t="str">
        <f t="shared" si="109"/>
        <v>Neutral</v>
      </c>
      <c r="U285" s="32">
        <f t="shared" si="110"/>
        <v>0</v>
      </c>
      <c r="V285">
        <f>step3_validation[[#This Row],[AI_ENF2]]</f>
        <v>6</v>
      </c>
      <c r="W285" t="str">
        <f t="shared" si="111"/>
        <v>Neutral</v>
      </c>
      <c r="X285">
        <f>survey_responses[[#This Row],[Tôi tin rằng Nhà nước, cơ quan thuế có đủ khả năng và công nghệ để phát hiện, xử lý nghiêm các hành vi trốn thuế. - HUMAN-ENF2]]</f>
        <v>7</v>
      </c>
      <c r="Y285" t="str">
        <f t="shared" si="112"/>
        <v>Neutral</v>
      </c>
      <c r="Z285" s="32">
        <f t="shared" si="113"/>
        <v>1</v>
      </c>
      <c r="AA285">
        <f>step3_validation[[#This Row],[AI_FAC1]]</f>
        <v>8</v>
      </c>
      <c r="AB285" t="str">
        <f t="shared" si="114"/>
        <v>Support</v>
      </c>
      <c r="AC285">
        <f>survey_responses[[#This Row],[Các thủ tục khai báo thuế VÀ/HOẶC quy trình làm việc với cơ quan thuế đơn giản, tiện lợi, nhanh chóng hơn so với trước đây. - HUMAN-FAC1]]</f>
        <v>5</v>
      </c>
      <c r="AD285" t="str">
        <f t="shared" si="115"/>
        <v>Neutral</v>
      </c>
      <c r="AE285" s="32">
        <f t="shared" si="116"/>
        <v>3</v>
      </c>
      <c r="AF285">
        <f>step3_validation[[#This Row],[AI_FAC2]]</f>
        <v>9</v>
      </c>
      <c r="AG285" t="str">
        <f t="shared" si="117"/>
        <v>Support</v>
      </c>
      <c r="AH285">
        <f>survey_responses[[#This Row],[So với trước đây, tôi thấy cách tính thuế và các bậc thuế trong phương án mới đơn giản, dễ hiểu và dễ thực hiện hơn. - HUMAN-FAC2]]</f>
        <v>7</v>
      </c>
      <c r="AI285" t="str">
        <f t="shared" si="118"/>
        <v>Neutral</v>
      </c>
      <c r="AJ285" s="32">
        <f t="shared" si="119"/>
        <v>2</v>
      </c>
      <c r="AK285">
        <f>step3_validation[[#This Row],[AI_TRU1]]</f>
        <v>8</v>
      </c>
      <c r="AL285" t="str">
        <f t="shared" si="120"/>
        <v>Support</v>
      </c>
      <c r="AM285">
        <f>survey_responses[[#This Row],[Tôi tin rằng Nhà nước, cơ quan thuế sẽ thực thi chính sách mới một cách khách quan, công tâm và đối xử bình đẳng với mọi người nộp thuế.  - HUMAN-TRU1]]</f>
        <v>5</v>
      </c>
      <c r="AN285" t="str">
        <f t="shared" si="121"/>
        <v>Neutral</v>
      </c>
      <c r="AO285" s="32">
        <f t="shared" si="122"/>
        <v>3</v>
      </c>
      <c r="AP285">
        <f>step3_validation[[#This Row],[AI_TRU2]]</f>
        <v>9</v>
      </c>
      <c r="AQ285" t="str">
        <f t="shared" si="123"/>
        <v>Support</v>
      </c>
      <c r="AR285">
        <f>survey_responses[[#This Row],[Tôi thấy mức thuế tôi phải đóng theo phương án mới là công bằng (người thu nhập như tôi đóng mức này là hợp lý). - HUMAN-TRU2]]</f>
        <v>6</v>
      </c>
      <c r="AS285" t="str">
        <f t="shared" si="124"/>
        <v>Neutral</v>
      </c>
      <c r="AT285" s="32">
        <f t="shared" si="125"/>
        <v>3</v>
      </c>
      <c r="AU285">
        <f>step3_validation[[#This Row],[AI_TRU3]]</f>
        <v>8</v>
      </c>
      <c r="AV285" t="str">
        <f t="shared" si="126"/>
        <v>Support</v>
      </c>
      <c r="AW285">
        <f>survey_responses[[#This Row],[Tôi tin tưởng số tiền thuế tôi đóng sẽ được Nhà nước sử dụng hiệu quả để cải thiện dịch vụ công (y tế, đường xá...). - HUMAN-TRU3]]</f>
        <v>5</v>
      </c>
      <c r="AX285" t="str">
        <f t="shared" si="127"/>
        <v>Neutral</v>
      </c>
      <c r="AY285" s="32">
        <f t="shared" si="128"/>
        <v>3</v>
      </c>
      <c r="AZ285">
        <f>step3_validation[[#This Row],[AI_TRU4]]</f>
        <v>9</v>
      </c>
      <c r="BA285" t="str">
        <f t="shared" si="129"/>
        <v>Support</v>
      </c>
      <c r="BB285">
        <f>survey_responses[[#This Row],[Tôi thấy Nhà nước đã giải thích rõ ràng, minh bạch về lý do và mục tiêu của việc sửa đổi thuế lần này. - HUMAN-TRU4]]</f>
        <v>7</v>
      </c>
      <c r="BC285" t="str">
        <f t="shared" si="130"/>
        <v>Neutral</v>
      </c>
      <c r="BD285" s="32">
        <f t="shared" si="131"/>
        <v>2</v>
      </c>
      <c r="BE285">
        <f>step3_validation[[#This Row],[AI_OUT1]]</f>
        <v>8</v>
      </c>
      <c r="BF285" t="str">
        <f t="shared" si="132"/>
        <v>Support</v>
      </c>
      <c r="BG285">
        <f>survey_responses[[#This Row],[Sau khi xem xét các quyền lợi và nghĩa vụ, bạn có ủng hộ và tuân thủ chính sách mới hiện nay? - HUMAN-OUT1]]</f>
        <v>6</v>
      </c>
      <c r="BH285" t="str">
        <f t="shared" si="133"/>
        <v>Neutral</v>
      </c>
      <c r="BI285" s="32">
        <f t="shared" si="134"/>
        <v>2</v>
      </c>
    </row>
    <row r="286" spans="1:61" x14ac:dyDescent="0.45">
      <c r="A286" s="30">
        <f>step3_validation[[#This Row],[Persona_ID]]</f>
        <v>285</v>
      </c>
      <c r="B286" s="31">
        <f>step3_validation[[#This Row],[Used_Seed]]</f>
        <v>12629</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99.46031303063414</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6</v>
      </c>
      <c r="R286" t="str">
        <f t="shared" si="108"/>
        <v>Neutral</v>
      </c>
      <c r="S286">
        <f>survey_responses[[#This Row],[Tôi tin rằng với các quy định quản lý thuế hiện nay, hành vi gian lận hoặc trốn thuế sẽ dễ dàng bị phát hiện và xử lý nghiêm. - HUMAN-ENF1]]</f>
        <v>7</v>
      </c>
      <c r="T286" t="str">
        <f t="shared" si="109"/>
        <v>Neutral</v>
      </c>
      <c r="U286" s="32">
        <f t="shared" si="110"/>
        <v>1</v>
      </c>
      <c r="V286">
        <f>step3_validation[[#This Row],[AI_ENF2]]</f>
        <v>5</v>
      </c>
      <c r="W286" t="str">
        <f t="shared" si="111"/>
        <v>Neutral</v>
      </c>
      <c r="X286">
        <f>survey_responses[[#This Row],[Tôi tin rằng Nhà nước, cơ quan thuế có đủ khả năng và công nghệ để phát hiện, xử lý nghiêm các hành vi trốn thuế. - HUMAN-ENF2]]</f>
        <v>7</v>
      </c>
      <c r="Y286" t="str">
        <f t="shared" si="112"/>
        <v>Neutral</v>
      </c>
      <c r="Z286" s="32">
        <f t="shared" si="113"/>
        <v>2</v>
      </c>
      <c r="AA286">
        <f>step3_validation[[#This Row],[AI_FAC1]]</f>
        <v>8</v>
      </c>
      <c r="AB286" t="str">
        <f t="shared" si="114"/>
        <v>Support</v>
      </c>
      <c r="AC286">
        <f>survey_responses[[#This Row],[Các thủ tục khai báo thuế VÀ/HOẶC quy trình làm việc với cơ quan thuế đơn giản, tiện lợi, nhanh chóng hơn so với trước đây. - HUMAN-FAC1]]</f>
        <v>5</v>
      </c>
      <c r="AD286" t="str">
        <f t="shared" si="115"/>
        <v>Neutral</v>
      </c>
      <c r="AE286" s="32">
        <f t="shared" si="116"/>
        <v>3</v>
      </c>
      <c r="AF286">
        <f>step3_validation[[#This Row],[AI_FAC2]]</f>
        <v>9</v>
      </c>
      <c r="AG286" t="str">
        <f t="shared" si="117"/>
        <v>Support</v>
      </c>
      <c r="AH286">
        <f>survey_responses[[#This Row],[So với trước đây, tôi thấy cách tính thuế và các bậc thuế trong phương án mới đơn giản, dễ hiểu và dễ thực hiện hơn. - HUMAN-FAC2]]</f>
        <v>8</v>
      </c>
      <c r="AI286" t="str">
        <f t="shared" si="118"/>
        <v>Support</v>
      </c>
      <c r="AJ286" s="32">
        <f t="shared" si="119"/>
        <v>1</v>
      </c>
      <c r="AK286">
        <f>step3_validation[[#This Row],[AI_TRU1]]</f>
        <v>7</v>
      </c>
      <c r="AL286" t="str">
        <f t="shared" si="120"/>
        <v>Neutral</v>
      </c>
      <c r="AM286">
        <f>survey_responses[[#This Row],[Tôi tin rằng Nhà nước, cơ quan thuế sẽ thực thi chính sách mới một cách khách quan, công tâm và đối xử bình đẳng với mọi người nộp thuế.  - HUMAN-TRU1]]</f>
        <v>6</v>
      </c>
      <c r="AN286" t="str">
        <f t="shared" si="121"/>
        <v>Neutral</v>
      </c>
      <c r="AO286" s="32">
        <f t="shared" si="122"/>
        <v>1</v>
      </c>
      <c r="AP286">
        <f>step3_validation[[#This Row],[AI_TRU2]]</f>
        <v>9</v>
      </c>
      <c r="AQ286" t="str">
        <f t="shared" si="123"/>
        <v>Support</v>
      </c>
      <c r="AR286">
        <f>survey_responses[[#This Row],[Tôi thấy mức thuế tôi phải đóng theo phương án mới là công bằng (người thu nhập như tôi đóng mức này là hợp lý). - HUMAN-TRU2]]</f>
        <v>6</v>
      </c>
      <c r="AS286" t="str">
        <f t="shared" si="124"/>
        <v>Neutral</v>
      </c>
      <c r="AT286" s="32">
        <f t="shared" si="125"/>
        <v>3</v>
      </c>
      <c r="AU286">
        <f>step3_validation[[#This Row],[AI_TRU3]]</f>
        <v>8</v>
      </c>
      <c r="AV286" t="str">
        <f t="shared" si="126"/>
        <v>Support</v>
      </c>
      <c r="AW286">
        <f>survey_responses[[#This Row],[Tôi tin tưởng số tiền thuế tôi đóng sẽ được Nhà nước sử dụng hiệu quả để cải thiện dịch vụ công (y tế, đường xá...). - HUMAN-TRU3]]</f>
        <v>6</v>
      </c>
      <c r="AX286" t="str">
        <f t="shared" si="127"/>
        <v>Neutral</v>
      </c>
      <c r="AY286" s="32">
        <f t="shared" si="128"/>
        <v>2</v>
      </c>
      <c r="AZ286">
        <f>step3_validation[[#This Row],[AI_TRU4]]</f>
        <v>7</v>
      </c>
      <c r="BA286" t="str">
        <f t="shared" si="129"/>
        <v>Neutral</v>
      </c>
      <c r="BB286">
        <f>survey_responses[[#This Row],[Tôi thấy Nhà nước đã giải thích rõ ràng, minh bạch về lý do và mục tiêu của việc sửa đổi thuế lần này. - HUMAN-TRU4]]</f>
        <v>7</v>
      </c>
      <c r="BC286" t="str">
        <f t="shared" si="130"/>
        <v>Neutral</v>
      </c>
      <c r="BD286" s="32">
        <f t="shared" si="131"/>
        <v>0</v>
      </c>
      <c r="BE286">
        <f>step3_validation[[#This Row],[AI_OUT1]]</f>
        <v>8</v>
      </c>
      <c r="BF286" t="str">
        <f t="shared" si="132"/>
        <v>Support</v>
      </c>
      <c r="BG286">
        <f>survey_responses[[#This Row],[Sau khi xem xét các quyền lợi và nghĩa vụ, bạn có ủng hộ và tuân thủ chính sách mới hiện nay? - HUMAN-OUT1]]</f>
        <v>7</v>
      </c>
      <c r="BH286" t="str">
        <f t="shared" si="133"/>
        <v>Neutral</v>
      </c>
      <c r="BI286" s="32">
        <f t="shared" si="134"/>
        <v>1</v>
      </c>
    </row>
    <row r="287" spans="1:61" x14ac:dyDescent="0.45">
      <c r="A287" s="30">
        <f>step3_validation[[#This Row],[Persona_ID]]</f>
        <v>286</v>
      </c>
      <c r="B287" s="31">
        <f>step3_validation[[#This Row],[Used_Seed]]</f>
        <v>12630</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40.982443905549381</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8</v>
      </c>
      <c r="R287" t="str">
        <f t="shared" si="108"/>
        <v>Support</v>
      </c>
      <c r="S287">
        <f>survey_responses[[#This Row],[Tôi tin rằng với các quy định quản lý thuế hiện nay, hành vi gian lận hoặc trốn thuế sẽ dễ dàng bị phát hiện và xử lý nghiêm. - HUMAN-ENF1]]</f>
        <v>4</v>
      </c>
      <c r="T287" t="str">
        <f t="shared" si="109"/>
        <v>Oppose</v>
      </c>
      <c r="U287" s="32">
        <f t="shared" si="110"/>
        <v>4</v>
      </c>
      <c r="V287">
        <f>step3_validation[[#This Row],[AI_ENF2]]</f>
        <v>7</v>
      </c>
      <c r="W287" t="str">
        <f t="shared" si="111"/>
        <v>Neutral</v>
      </c>
      <c r="X287">
        <f>survey_responses[[#This Row],[Tôi tin rằng Nhà nước, cơ quan thuế có đủ khả năng và công nghệ để phát hiện, xử lý nghiêm các hành vi trốn thuế. - HUMAN-ENF2]]</f>
        <v>4</v>
      </c>
      <c r="Y287" t="str">
        <f t="shared" si="112"/>
        <v>Oppose</v>
      </c>
      <c r="Z287" s="32">
        <f t="shared" si="113"/>
        <v>3</v>
      </c>
      <c r="AA287">
        <f>step3_validation[[#This Row],[AI_FAC1]]</f>
        <v>6</v>
      </c>
      <c r="AB287" t="str">
        <f t="shared" si="114"/>
        <v>Neutral</v>
      </c>
      <c r="AC287">
        <f>survey_responses[[#This Row],[Các thủ tục khai báo thuế VÀ/HOẶC quy trình làm việc với cơ quan thuế đơn giản, tiện lợi, nhanh chóng hơn so với trước đây. - HUMAN-FAC1]]</f>
        <v>2</v>
      </c>
      <c r="AD287" t="str">
        <f t="shared" si="115"/>
        <v>Oppose</v>
      </c>
      <c r="AE287" s="32">
        <f t="shared" si="116"/>
        <v>4</v>
      </c>
      <c r="AF287">
        <f>step3_validation[[#This Row],[AI_FAC2]]</f>
        <v>8</v>
      </c>
      <c r="AG287" t="str">
        <f t="shared" si="117"/>
        <v>Support</v>
      </c>
      <c r="AH287">
        <f>survey_responses[[#This Row],[So với trước đây, tôi thấy cách tính thuế và các bậc thuế trong phương án mới đơn giản, dễ hiểu và dễ thực hiện hơn. - HUMAN-FAC2]]</f>
        <v>8</v>
      </c>
      <c r="AI287" t="str">
        <f t="shared" si="118"/>
        <v>Support</v>
      </c>
      <c r="AJ287" s="32">
        <f t="shared" si="119"/>
        <v>0</v>
      </c>
      <c r="AK287">
        <f>step3_validation[[#This Row],[AI_TRU1]]</f>
        <v>7</v>
      </c>
      <c r="AL287" t="str">
        <f t="shared" si="120"/>
        <v>Neutral</v>
      </c>
      <c r="AM287">
        <f>survey_responses[[#This Row],[Tôi tin rằng Nhà nước, cơ quan thuế sẽ thực thi chính sách mới một cách khách quan, công tâm và đối xử bình đẳng với mọi người nộp thuế.  - HUMAN-TRU1]]</f>
        <v>5</v>
      </c>
      <c r="AN287" t="str">
        <f t="shared" si="121"/>
        <v>Neutral</v>
      </c>
      <c r="AO287" s="32">
        <f t="shared" si="122"/>
        <v>2</v>
      </c>
      <c r="AP287">
        <f>step3_validation[[#This Row],[AI_TRU2]]</f>
        <v>9</v>
      </c>
      <c r="AQ287" t="str">
        <f t="shared" si="123"/>
        <v>Support</v>
      </c>
      <c r="AR287">
        <f>survey_responses[[#This Row],[Tôi thấy mức thuế tôi phải đóng theo phương án mới là công bằng (người thu nhập như tôi đóng mức này là hợp lý). - HUMAN-TRU2]]</f>
        <v>5</v>
      </c>
      <c r="AS287" t="str">
        <f t="shared" si="124"/>
        <v>Neutral</v>
      </c>
      <c r="AT287" s="32">
        <f t="shared" si="125"/>
        <v>4</v>
      </c>
      <c r="AU287">
        <f>step3_validation[[#This Row],[AI_TRU3]]</f>
        <v>7</v>
      </c>
      <c r="AV287" t="str">
        <f t="shared" si="126"/>
        <v>Neutral</v>
      </c>
      <c r="AW287">
        <f>survey_responses[[#This Row],[Tôi tin tưởng số tiền thuế tôi đóng sẽ được Nhà nước sử dụng hiệu quả để cải thiện dịch vụ công (y tế, đường xá...). - HUMAN-TRU3]]</f>
        <v>4</v>
      </c>
      <c r="AX287" t="str">
        <f t="shared" si="127"/>
        <v>Oppose</v>
      </c>
      <c r="AY287" s="32">
        <f t="shared" si="128"/>
        <v>3</v>
      </c>
      <c r="AZ287">
        <f>step3_validation[[#This Row],[AI_TRU4]]</f>
        <v>6</v>
      </c>
      <c r="BA287" t="str">
        <f t="shared" si="129"/>
        <v>Neutral</v>
      </c>
      <c r="BB287">
        <f>survey_responses[[#This Row],[Tôi thấy Nhà nước đã giải thích rõ ràng, minh bạch về lý do và mục tiêu của việc sửa đổi thuế lần này. - HUMAN-TRU4]]</f>
        <v>6</v>
      </c>
      <c r="BC287" t="str">
        <f t="shared" si="130"/>
        <v>Neutral</v>
      </c>
      <c r="BD287" s="32">
        <f t="shared" si="131"/>
        <v>0</v>
      </c>
      <c r="BE287">
        <f>step3_validation[[#This Row],[AI_OUT1]]</f>
        <v>8</v>
      </c>
      <c r="BF287" t="str">
        <f t="shared" si="132"/>
        <v>Support</v>
      </c>
      <c r="BG287">
        <f>survey_responses[[#This Row],[Sau khi xem xét các quyền lợi và nghĩa vụ, bạn có ủng hộ và tuân thủ chính sách mới hiện nay? - HUMAN-OUT1]]</f>
        <v>5</v>
      </c>
      <c r="BH287" t="str">
        <f t="shared" si="133"/>
        <v>Neutral</v>
      </c>
      <c r="BI287" s="32">
        <f t="shared" si="134"/>
        <v>3</v>
      </c>
    </row>
    <row r="288" spans="1:61" x14ac:dyDescent="0.45">
      <c r="A288" s="30">
        <f>step3_validation[[#This Row],[Persona_ID]]</f>
        <v>287</v>
      </c>
      <c r="B288" s="31">
        <f>step3_validation[[#This Row],[Used_Seed]]</f>
        <v>12631</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67.014852647140088</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t="str">
        <f t="shared" si="108"/>
        <v>Neutral</v>
      </c>
      <c r="S288">
        <f>survey_responses[[#This Row],[Tôi tin rằng với các quy định quản lý thuế hiện nay, hành vi gian lận hoặc trốn thuế sẽ dễ dàng bị phát hiện và xử lý nghiêm. - HUMAN-ENF1]]</f>
        <v>10</v>
      </c>
      <c r="T288" t="str">
        <f t="shared" si="109"/>
        <v>Support</v>
      </c>
      <c r="U288" s="32">
        <f t="shared" si="110"/>
        <v>3</v>
      </c>
      <c r="V288">
        <f>step3_validation[[#This Row],[AI_ENF2]]</f>
        <v>8</v>
      </c>
      <c r="W288" t="str">
        <f t="shared" si="111"/>
        <v>Support</v>
      </c>
      <c r="X288">
        <f>survey_responses[[#This Row],[Tôi tin rằng Nhà nước, cơ quan thuế có đủ khả năng và công nghệ để phát hiện, xử lý nghiêm các hành vi trốn thuế. - HUMAN-ENF2]]</f>
        <v>10</v>
      </c>
      <c r="Y288" t="str">
        <f t="shared" si="112"/>
        <v>Support</v>
      </c>
      <c r="Z288" s="32">
        <f t="shared" si="113"/>
        <v>2</v>
      </c>
      <c r="AA288">
        <f>step3_validation[[#This Row],[AI_FAC1]]</f>
        <v>9</v>
      </c>
      <c r="AB288" t="str">
        <f t="shared" si="114"/>
        <v>Support</v>
      </c>
      <c r="AC288">
        <f>survey_responses[[#This Row],[Các thủ tục khai báo thuế VÀ/HOẶC quy trình làm việc với cơ quan thuế đơn giản, tiện lợi, nhanh chóng hơn so với trước đây. - HUMAN-FAC1]]</f>
        <v>7</v>
      </c>
      <c r="AD288" t="str">
        <f t="shared" si="115"/>
        <v>Neutral</v>
      </c>
      <c r="AE288" s="32">
        <f t="shared" si="116"/>
        <v>2</v>
      </c>
      <c r="AF288">
        <f>step3_validation[[#This Row],[AI_FAC2]]</f>
        <v>8</v>
      </c>
      <c r="AG288" t="str">
        <f t="shared" si="117"/>
        <v>Support</v>
      </c>
      <c r="AH288">
        <f>survey_responses[[#This Row],[So với trước đây, tôi thấy cách tính thuế và các bậc thuế trong phương án mới đơn giản, dễ hiểu và dễ thực hiện hơn. - HUMAN-FAC2]]</f>
        <v>7</v>
      </c>
      <c r="AI288" t="str">
        <f t="shared" si="118"/>
        <v>Neutral</v>
      </c>
      <c r="AJ288" s="32">
        <f t="shared" si="119"/>
        <v>1</v>
      </c>
      <c r="AK288">
        <f>step3_validation[[#This Row],[AI_TRU1]]</f>
        <v>9</v>
      </c>
      <c r="AL288" t="str">
        <f t="shared" si="120"/>
        <v>Support</v>
      </c>
      <c r="AM288">
        <f>survey_responses[[#This Row],[Tôi tin rằng Nhà nước, cơ quan thuế sẽ thực thi chính sách mới một cách khách quan, công tâm và đối xử bình đẳng với mọi người nộp thuế.  - HUMAN-TRU1]]</f>
        <v>8</v>
      </c>
      <c r="AN288" t="str">
        <f t="shared" si="121"/>
        <v>Support</v>
      </c>
      <c r="AO288" s="32">
        <f t="shared" si="122"/>
        <v>1</v>
      </c>
      <c r="AP288">
        <f>step3_validation[[#This Row],[AI_TRU2]]</f>
        <v>8</v>
      </c>
      <c r="AQ288" t="str">
        <f t="shared" si="123"/>
        <v>Support</v>
      </c>
      <c r="AR288">
        <f>survey_responses[[#This Row],[Tôi thấy mức thuế tôi phải đóng theo phương án mới là công bằng (người thu nhập như tôi đóng mức này là hợp lý). - HUMAN-TRU2]]</f>
        <v>7</v>
      </c>
      <c r="AS288" t="str">
        <f t="shared" si="124"/>
        <v>Neutral</v>
      </c>
      <c r="AT288" s="32">
        <f t="shared" si="125"/>
        <v>1</v>
      </c>
      <c r="AU288">
        <f>step3_validation[[#This Row],[AI_TRU3]]</f>
        <v>7</v>
      </c>
      <c r="AV288" t="str">
        <f t="shared" si="126"/>
        <v>Neutral</v>
      </c>
      <c r="AW288">
        <f>survey_responses[[#This Row],[Tôi tin tưởng số tiền thuế tôi đóng sẽ được Nhà nước sử dụng hiệu quả để cải thiện dịch vụ công (y tế, đường xá...). - HUMAN-TRU3]]</f>
        <v>8</v>
      </c>
      <c r="AX288" t="str">
        <f t="shared" si="127"/>
        <v>Support</v>
      </c>
      <c r="AY288" s="32">
        <f t="shared" si="128"/>
        <v>1</v>
      </c>
      <c r="AZ288">
        <f>step3_validation[[#This Row],[AI_TRU4]]</f>
        <v>9</v>
      </c>
      <c r="BA288" t="str">
        <f t="shared" si="129"/>
        <v>Support</v>
      </c>
      <c r="BB288">
        <f>survey_responses[[#This Row],[Tôi thấy Nhà nước đã giải thích rõ ràng, minh bạch về lý do và mục tiêu của việc sửa đổi thuế lần này. - HUMAN-TRU4]]</f>
        <v>8</v>
      </c>
      <c r="BC288" t="str">
        <f t="shared" si="130"/>
        <v>Support</v>
      </c>
      <c r="BD288" s="32">
        <f t="shared" si="131"/>
        <v>1</v>
      </c>
      <c r="BE288">
        <f>step3_validation[[#This Row],[AI_OUT1]]</f>
        <v>8</v>
      </c>
      <c r="BF288" t="str">
        <f t="shared" si="132"/>
        <v>Support</v>
      </c>
      <c r="BG288">
        <f>survey_responses[[#This Row],[Sau khi xem xét các quyền lợi và nghĩa vụ, bạn có ủng hộ và tuân thủ chính sách mới hiện nay? - HUMAN-OUT1]]</f>
        <v>8</v>
      </c>
      <c r="BH288" t="str">
        <f t="shared" si="133"/>
        <v>Support</v>
      </c>
      <c r="BI288" s="32">
        <f t="shared" si="134"/>
        <v>0</v>
      </c>
    </row>
    <row r="289" spans="1:61" x14ac:dyDescent="0.45">
      <c r="A289" s="30">
        <f>step3_validation[[#This Row],[Persona_ID]]</f>
        <v>288</v>
      </c>
      <c r="B289" s="31">
        <f>step3_validation[[#This Row],[Used_Seed]]</f>
        <v>12632</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25.773509379703359</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t="str">
        <f t="shared" si="108"/>
        <v>Neutral</v>
      </c>
      <c r="S289">
        <f>survey_responses[[#This Row],[Tôi tin rằng với các quy định quản lý thuế hiện nay, hành vi gian lận hoặc trốn thuế sẽ dễ dàng bị phát hiện và xử lý nghiêm. - HUMAN-ENF1]]</f>
        <v>8</v>
      </c>
      <c r="T289" t="str">
        <f t="shared" si="109"/>
        <v>Support</v>
      </c>
      <c r="U289" s="32">
        <f t="shared" si="110"/>
        <v>1</v>
      </c>
      <c r="V289">
        <f>step3_validation[[#This Row],[AI_ENF2]]</f>
        <v>6</v>
      </c>
      <c r="W289" t="str">
        <f t="shared" si="111"/>
        <v>Neutral</v>
      </c>
      <c r="X289">
        <f>survey_responses[[#This Row],[Tôi tin rằng Nhà nước, cơ quan thuế có đủ khả năng và công nghệ để phát hiện, xử lý nghiêm các hành vi trốn thuế. - HUMAN-ENF2]]</f>
        <v>8</v>
      </c>
      <c r="Y289" t="str">
        <f t="shared" si="112"/>
        <v>Support</v>
      </c>
      <c r="Z289" s="32">
        <f t="shared" si="113"/>
        <v>2</v>
      </c>
      <c r="AA289">
        <f>step3_validation[[#This Row],[AI_FAC1]]</f>
        <v>8</v>
      </c>
      <c r="AB289" t="str">
        <f t="shared" si="114"/>
        <v>Support</v>
      </c>
      <c r="AC289">
        <f>survey_responses[[#This Row],[Các thủ tục khai báo thuế VÀ/HOẶC quy trình làm việc với cơ quan thuế đơn giản, tiện lợi, nhanh chóng hơn so với trước đây. - HUMAN-FAC1]]</f>
        <v>5</v>
      </c>
      <c r="AD289" t="str">
        <f t="shared" si="115"/>
        <v>Neutral</v>
      </c>
      <c r="AE289" s="32">
        <f t="shared" si="116"/>
        <v>3</v>
      </c>
      <c r="AF289">
        <f>step3_validation[[#This Row],[AI_FAC2]]</f>
        <v>9</v>
      </c>
      <c r="AG289" t="str">
        <f t="shared" si="117"/>
        <v>Support</v>
      </c>
      <c r="AH289">
        <f>survey_responses[[#This Row],[So với trước đây, tôi thấy cách tính thuế và các bậc thuế trong phương án mới đơn giản, dễ hiểu và dễ thực hiện hơn. - HUMAN-FAC2]]</f>
        <v>9</v>
      </c>
      <c r="AI289" t="str">
        <f t="shared" si="118"/>
        <v>Support</v>
      </c>
      <c r="AJ289" s="32">
        <f t="shared" si="119"/>
        <v>0</v>
      </c>
      <c r="AK289">
        <f>step3_validation[[#This Row],[AI_TRU1]]</f>
        <v>7</v>
      </c>
      <c r="AL289" t="str">
        <f t="shared" si="120"/>
        <v>Neutral</v>
      </c>
      <c r="AM289">
        <f>survey_responses[[#This Row],[Tôi tin rằng Nhà nước, cơ quan thuế sẽ thực thi chính sách mới một cách khách quan, công tâm và đối xử bình đẳng với mọi người nộp thuế.  - HUMAN-TRU1]]</f>
        <v>10</v>
      </c>
      <c r="AN289" t="str">
        <f t="shared" si="121"/>
        <v>Support</v>
      </c>
      <c r="AO289" s="32">
        <f t="shared" si="122"/>
        <v>3</v>
      </c>
      <c r="AP289">
        <f>step3_validation[[#This Row],[AI_TRU2]]</f>
        <v>9</v>
      </c>
      <c r="AQ289" t="str">
        <f t="shared" si="123"/>
        <v>Support</v>
      </c>
      <c r="AR289">
        <f>survey_responses[[#This Row],[Tôi thấy mức thuế tôi phải đóng theo phương án mới là công bằng (người thu nhập như tôi đóng mức này là hợp lý). - HUMAN-TRU2]]</f>
        <v>10</v>
      </c>
      <c r="AS289" t="str">
        <f t="shared" si="124"/>
        <v>Support</v>
      </c>
      <c r="AT289" s="32">
        <f t="shared" si="125"/>
        <v>1</v>
      </c>
      <c r="AU289">
        <f>step3_validation[[#This Row],[AI_TRU3]]</f>
        <v>7</v>
      </c>
      <c r="AV289" t="str">
        <f t="shared" si="126"/>
        <v>Neutral</v>
      </c>
      <c r="AW289">
        <f>survey_responses[[#This Row],[Tôi tin tưởng số tiền thuế tôi đóng sẽ được Nhà nước sử dụng hiệu quả để cải thiện dịch vụ công (y tế, đường xá...). - HUMAN-TRU3]]</f>
        <v>9</v>
      </c>
      <c r="AX289" t="str">
        <f t="shared" si="127"/>
        <v>Support</v>
      </c>
      <c r="AY289" s="32">
        <f t="shared" si="128"/>
        <v>2</v>
      </c>
      <c r="AZ289">
        <f>step3_validation[[#This Row],[AI_TRU4]]</f>
        <v>8</v>
      </c>
      <c r="BA289" t="str">
        <f t="shared" si="129"/>
        <v>Support</v>
      </c>
      <c r="BB289">
        <f>survey_responses[[#This Row],[Tôi thấy Nhà nước đã giải thích rõ ràng, minh bạch về lý do và mục tiêu của việc sửa đổi thuế lần này. - HUMAN-TRU4]]</f>
        <v>9</v>
      </c>
      <c r="BC289" t="str">
        <f t="shared" si="130"/>
        <v>Support</v>
      </c>
      <c r="BD289" s="32">
        <f t="shared" si="131"/>
        <v>1</v>
      </c>
      <c r="BE289">
        <f>step3_validation[[#This Row],[AI_OUT1]]</f>
        <v>8</v>
      </c>
      <c r="BF289" t="str">
        <f t="shared" si="132"/>
        <v>Support</v>
      </c>
      <c r="BG289">
        <f>survey_responses[[#This Row],[Sau khi xem xét các quyền lợi và nghĩa vụ, bạn có ủng hộ và tuân thủ chính sách mới hiện nay? - HUMAN-OUT1]]</f>
        <v>10</v>
      </c>
      <c r="BH289" t="str">
        <f t="shared" si="133"/>
        <v>Support</v>
      </c>
      <c r="BI289" s="32">
        <f t="shared" si="134"/>
        <v>2</v>
      </c>
    </row>
    <row r="290" spans="1:61" x14ac:dyDescent="0.45">
      <c r="A290" s="30">
        <f>step3_validation[[#This Row],[Persona_ID]]</f>
        <v>289</v>
      </c>
      <c r="B290" s="31">
        <f>step3_validation[[#This Row],[Used_Seed]]</f>
        <v>12633</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29.79743673042605</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7</v>
      </c>
      <c r="R290" t="str">
        <f t="shared" si="108"/>
        <v>Neutral</v>
      </c>
      <c r="S290">
        <f>survey_responses[[#This Row],[Tôi tin rằng với các quy định quản lý thuế hiện nay, hành vi gian lận hoặc trốn thuế sẽ dễ dàng bị phát hiện và xử lý nghiêm. - HUMAN-ENF1]]</f>
        <v>7</v>
      </c>
      <c r="T290" t="str">
        <f t="shared" si="109"/>
        <v>Neutral</v>
      </c>
      <c r="U290" s="32">
        <f t="shared" si="110"/>
        <v>0</v>
      </c>
      <c r="V290">
        <f>step3_validation[[#This Row],[AI_ENF2]]</f>
        <v>8</v>
      </c>
      <c r="W290" t="str">
        <f t="shared" si="111"/>
        <v>Support</v>
      </c>
      <c r="X290">
        <f>survey_responses[[#This Row],[Tôi tin rằng Nhà nước, cơ quan thuế có đủ khả năng và công nghệ để phát hiện, xử lý nghiêm các hành vi trốn thuế. - HUMAN-ENF2]]</f>
        <v>7</v>
      </c>
      <c r="Y290" t="str">
        <f t="shared" si="112"/>
        <v>Neutral</v>
      </c>
      <c r="Z290" s="32">
        <f t="shared" si="113"/>
        <v>1</v>
      </c>
      <c r="AA290">
        <f>step3_validation[[#This Row],[AI_FAC1]]</f>
        <v>7</v>
      </c>
      <c r="AB290" t="str">
        <f t="shared" si="114"/>
        <v>Neutral</v>
      </c>
      <c r="AC290">
        <f>survey_responses[[#This Row],[Các thủ tục khai báo thuế VÀ/HOẶC quy trình làm việc với cơ quan thuế đơn giản, tiện lợi, nhanh chóng hơn so với trước đây. - HUMAN-FAC1]]</f>
        <v>5</v>
      </c>
      <c r="AD290" t="str">
        <f t="shared" si="115"/>
        <v>Neutral</v>
      </c>
      <c r="AE290" s="32">
        <f t="shared" si="116"/>
        <v>2</v>
      </c>
      <c r="AF290">
        <f>step3_validation[[#This Row],[AI_FAC2]]</f>
        <v>9</v>
      </c>
      <c r="AG290" t="str">
        <f t="shared" si="117"/>
        <v>Support</v>
      </c>
      <c r="AH290">
        <f>survey_responses[[#This Row],[So với trước đây, tôi thấy cách tính thuế và các bậc thuế trong phương án mới đơn giản, dễ hiểu và dễ thực hiện hơn. - HUMAN-FAC2]]</f>
        <v>6</v>
      </c>
      <c r="AI290" t="str">
        <f t="shared" si="118"/>
        <v>Neutral</v>
      </c>
      <c r="AJ290" s="32">
        <f t="shared" si="119"/>
        <v>3</v>
      </c>
      <c r="AK290">
        <f>step3_validation[[#This Row],[AI_TRU1]]</f>
        <v>8</v>
      </c>
      <c r="AL290" t="str">
        <f t="shared" si="120"/>
        <v>Support</v>
      </c>
      <c r="AM290">
        <f>survey_responses[[#This Row],[Tôi tin rằng Nhà nước, cơ quan thuế sẽ thực thi chính sách mới một cách khách quan, công tâm và đối xử bình đẳng với mọi người nộp thuế.  - HUMAN-TRU1]]</f>
        <v>5</v>
      </c>
      <c r="AN290" t="str">
        <f t="shared" si="121"/>
        <v>Neutral</v>
      </c>
      <c r="AO290" s="32">
        <f t="shared" si="122"/>
        <v>3</v>
      </c>
      <c r="AP290">
        <f>step3_validation[[#This Row],[AI_TRU2]]</f>
        <v>9</v>
      </c>
      <c r="AQ290" t="str">
        <f t="shared" si="123"/>
        <v>Support</v>
      </c>
      <c r="AR290">
        <f>survey_responses[[#This Row],[Tôi thấy mức thuế tôi phải đóng theo phương án mới là công bằng (người thu nhập như tôi đóng mức này là hợp lý). - HUMAN-TRU2]]</f>
        <v>5</v>
      </c>
      <c r="AS290" t="str">
        <f t="shared" si="124"/>
        <v>Neutral</v>
      </c>
      <c r="AT290" s="32">
        <f t="shared" si="125"/>
        <v>4</v>
      </c>
      <c r="AU290">
        <f>step3_validation[[#This Row],[AI_TRU3]]</f>
        <v>8</v>
      </c>
      <c r="AV290" t="str">
        <f t="shared" si="126"/>
        <v>Support</v>
      </c>
      <c r="AW290">
        <f>survey_responses[[#This Row],[Tôi tin tưởng số tiền thuế tôi đóng sẽ được Nhà nước sử dụng hiệu quả để cải thiện dịch vụ công (y tế, đường xá...). - HUMAN-TRU3]]</f>
        <v>5</v>
      </c>
      <c r="AX290" t="str">
        <f t="shared" si="127"/>
        <v>Neutral</v>
      </c>
      <c r="AY290" s="32">
        <f t="shared" si="128"/>
        <v>3</v>
      </c>
      <c r="AZ290">
        <f>step3_validation[[#This Row],[AI_TRU4]]</f>
        <v>7</v>
      </c>
      <c r="BA290" t="str">
        <f t="shared" si="129"/>
        <v>Neutral</v>
      </c>
      <c r="BB290">
        <f>survey_responses[[#This Row],[Tôi thấy Nhà nước đã giải thích rõ ràng, minh bạch về lý do và mục tiêu của việc sửa đổi thuế lần này. - HUMAN-TRU4]]</f>
        <v>5</v>
      </c>
      <c r="BC290" t="str">
        <f t="shared" si="130"/>
        <v>Neutral</v>
      </c>
      <c r="BD290" s="32">
        <f t="shared" si="131"/>
        <v>2</v>
      </c>
      <c r="BE290">
        <f>step3_validation[[#This Row],[AI_OUT1]]</f>
        <v>9</v>
      </c>
      <c r="BF290" t="str">
        <f t="shared" si="132"/>
        <v>Support</v>
      </c>
      <c r="BG290">
        <f>survey_responses[[#This Row],[Sau khi xem xét các quyền lợi và nghĩa vụ, bạn có ủng hộ và tuân thủ chính sách mới hiện nay? - HUMAN-OUT1]]</f>
        <v>6</v>
      </c>
      <c r="BH290" t="str">
        <f t="shared" si="133"/>
        <v>Neutral</v>
      </c>
      <c r="BI290" s="32">
        <f t="shared" si="134"/>
        <v>3</v>
      </c>
    </row>
    <row r="291" spans="1:61" x14ac:dyDescent="0.45">
      <c r="A291" s="30">
        <f>step3_validation[[#This Row],[Persona_ID]]</f>
        <v>290</v>
      </c>
      <c r="B291" s="31">
        <f>step3_validation[[#This Row],[Used_Seed]]</f>
        <v>12634</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45.104991096016889</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7</v>
      </c>
      <c r="R291" t="str">
        <f t="shared" si="108"/>
        <v>Neutral</v>
      </c>
      <c r="S291">
        <f>survey_responses[[#This Row],[Tôi tin rằng với các quy định quản lý thuế hiện nay, hành vi gian lận hoặc trốn thuế sẽ dễ dàng bị phát hiện và xử lý nghiêm. - HUMAN-ENF1]]</f>
        <v>8</v>
      </c>
      <c r="T291" t="str">
        <f t="shared" si="109"/>
        <v>Support</v>
      </c>
      <c r="U291" s="32">
        <f t="shared" si="110"/>
        <v>1</v>
      </c>
      <c r="V291">
        <f>step3_validation[[#This Row],[AI_ENF2]]</f>
        <v>6</v>
      </c>
      <c r="W291" t="str">
        <f t="shared" si="111"/>
        <v>Neutral</v>
      </c>
      <c r="X291">
        <f>survey_responses[[#This Row],[Tôi tin rằng Nhà nước, cơ quan thuế có đủ khả năng và công nghệ để phát hiện, xử lý nghiêm các hành vi trốn thuế. - HUMAN-ENF2]]</f>
        <v>8</v>
      </c>
      <c r="Y291" t="str">
        <f t="shared" si="112"/>
        <v>Support</v>
      </c>
      <c r="Z291" s="32">
        <f t="shared" si="113"/>
        <v>2</v>
      </c>
      <c r="AA291">
        <f>step3_validation[[#This Row],[AI_FAC1]]</f>
        <v>9</v>
      </c>
      <c r="AB291" t="str">
        <f t="shared" si="114"/>
        <v>Support</v>
      </c>
      <c r="AC291">
        <f>survey_responses[[#This Row],[Các thủ tục khai báo thuế VÀ/HOẶC quy trình làm việc với cơ quan thuế đơn giản, tiện lợi, nhanh chóng hơn so với trước đây. - HUMAN-FAC1]]</f>
        <v>8</v>
      </c>
      <c r="AD291" t="str">
        <f t="shared" si="115"/>
        <v>Support</v>
      </c>
      <c r="AE291" s="32">
        <f t="shared" si="116"/>
        <v>1</v>
      </c>
      <c r="AF291">
        <f>step3_validation[[#This Row],[AI_FAC2]]</f>
        <v>8</v>
      </c>
      <c r="AG291" t="str">
        <f t="shared" si="117"/>
        <v>Support</v>
      </c>
      <c r="AH291">
        <f>survey_responses[[#This Row],[So với trước đây, tôi thấy cách tính thuế và các bậc thuế trong phương án mới đơn giản, dễ hiểu và dễ thực hiện hơn. - HUMAN-FAC2]]</f>
        <v>8</v>
      </c>
      <c r="AI291" t="str">
        <f t="shared" si="118"/>
        <v>Support</v>
      </c>
      <c r="AJ291" s="32">
        <f t="shared" si="119"/>
        <v>0</v>
      </c>
      <c r="AK291">
        <f>step3_validation[[#This Row],[AI_TRU1]]</f>
        <v>7</v>
      </c>
      <c r="AL291" t="str">
        <f t="shared" si="120"/>
        <v>Neutral</v>
      </c>
      <c r="AM291">
        <f>survey_responses[[#This Row],[Tôi tin rằng Nhà nước, cơ quan thuế sẽ thực thi chính sách mới một cách khách quan, công tâm và đối xử bình đẳng với mọi người nộp thuế.  - HUMAN-TRU1]]</f>
        <v>8</v>
      </c>
      <c r="AN291" t="str">
        <f t="shared" si="121"/>
        <v>Support</v>
      </c>
      <c r="AO291" s="32">
        <f t="shared" si="122"/>
        <v>1</v>
      </c>
      <c r="AP291">
        <f>step3_validation[[#This Row],[AI_TRU2]]</f>
        <v>9</v>
      </c>
      <c r="AQ291" t="str">
        <f t="shared" si="123"/>
        <v>Support</v>
      </c>
      <c r="AR291">
        <f>survey_responses[[#This Row],[Tôi thấy mức thuế tôi phải đóng theo phương án mới là công bằng (người thu nhập như tôi đóng mức này là hợp lý). - HUMAN-TRU2]]</f>
        <v>8</v>
      </c>
      <c r="AS291" t="str">
        <f t="shared" si="124"/>
        <v>Support</v>
      </c>
      <c r="AT291" s="32">
        <f t="shared" si="125"/>
        <v>1</v>
      </c>
      <c r="AU291">
        <f>step3_validation[[#This Row],[AI_TRU3]]</f>
        <v>7</v>
      </c>
      <c r="AV291" t="str">
        <f t="shared" si="126"/>
        <v>Neutral</v>
      </c>
      <c r="AW291">
        <f>survey_responses[[#This Row],[Tôi tin tưởng số tiền thuế tôi đóng sẽ được Nhà nước sử dụng hiệu quả để cải thiện dịch vụ công (y tế, đường xá...). - HUMAN-TRU3]]</f>
        <v>8</v>
      </c>
      <c r="AX291" t="str">
        <f t="shared" si="127"/>
        <v>Support</v>
      </c>
      <c r="AY291" s="32">
        <f t="shared" si="128"/>
        <v>1</v>
      </c>
      <c r="AZ291">
        <f>step3_validation[[#This Row],[AI_TRU4]]</f>
        <v>8</v>
      </c>
      <c r="BA291" t="str">
        <f t="shared" si="129"/>
        <v>Support</v>
      </c>
      <c r="BB291">
        <f>survey_responses[[#This Row],[Tôi thấy Nhà nước đã giải thích rõ ràng, minh bạch về lý do và mục tiêu của việc sửa đổi thuế lần này. - HUMAN-TRU4]]</f>
        <v>8</v>
      </c>
      <c r="BC291" t="str">
        <f t="shared" si="130"/>
        <v>Support</v>
      </c>
      <c r="BD291" s="32">
        <f t="shared" si="131"/>
        <v>0</v>
      </c>
      <c r="BE291">
        <f>step3_validation[[#This Row],[AI_OUT1]]</f>
        <v>9</v>
      </c>
      <c r="BF291" t="str">
        <f t="shared" si="132"/>
        <v>Support</v>
      </c>
      <c r="BG291">
        <f>survey_responses[[#This Row],[Sau khi xem xét các quyền lợi và nghĩa vụ, bạn có ủng hộ và tuân thủ chính sách mới hiện nay? - HUMAN-OUT1]]</f>
        <v>8</v>
      </c>
      <c r="BH291" t="str">
        <f t="shared" si="133"/>
        <v>Support</v>
      </c>
      <c r="BI291" s="32">
        <f t="shared" si="134"/>
        <v>1</v>
      </c>
    </row>
    <row r="292" spans="1:61" x14ac:dyDescent="0.45">
      <c r="A292" s="30">
        <f>step3_validation[[#This Row],[Persona_ID]]</f>
        <v>291</v>
      </c>
      <c r="B292" s="31">
        <f>step3_validation[[#This Row],[Used_Seed]]</f>
        <v>12635</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61.339928034608413</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t="str">
        <f t="shared" si="108"/>
        <v>Neutral</v>
      </c>
      <c r="S292">
        <f>survey_responses[[#This Row],[Tôi tin rằng với các quy định quản lý thuế hiện nay, hành vi gian lận hoặc trốn thuế sẽ dễ dàng bị phát hiện và xử lý nghiêm. - HUMAN-ENF1]]</f>
        <v>9</v>
      </c>
      <c r="T292" t="str">
        <f t="shared" si="109"/>
        <v>Support</v>
      </c>
      <c r="U292" s="32">
        <f t="shared" si="110"/>
        <v>2</v>
      </c>
      <c r="V292">
        <f>step3_validation[[#This Row],[AI_ENF2]]</f>
        <v>8</v>
      </c>
      <c r="W292" t="str">
        <f t="shared" si="111"/>
        <v>Support</v>
      </c>
      <c r="X292">
        <f>survey_responses[[#This Row],[Tôi tin rằng Nhà nước, cơ quan thuế có đủ khả năng và công nghệ để phát hiện, xử lý nghiêm các hành vi trốn thuế. - HUMAN-ENF2]]</f>
        <v>9</v>
      </c>
      <c r="Y292" t="str">
        <f t="shared" si="112"/>
        <v>Support</v>
      </c>
      <c r="Z292" s="32">
        <f t="shared" si="113"/>
        <v>1</v>
      </c>
      <c r="AA292">
        <f>step3_validation[[#This Row],[AI_FAC1]]</f>
        <v>9</v>
      </c>
      <c r="AB292" t="str">
        <f t="shared" si="114"/>
        <v>Support</v>
      </c>
      <c r="AC292">
        <f>survey_responses[[#This Row],[Các thủ tục khai báo thuế VÀ/HOẶC quy trình làm việc với cơ quan thuế đơn giản, tiện lợi, nhanh chóng hơn so với trước đây. - HUMAN-FAC1]]</f>
        <v>3</v>
      </c>
      <c r="AD292" t="str">
        <f t="shared" si="115"/>
        <v>Oppose</v>
      </c>
      <c r="AE292" s="32">
        <f t="shared" si="116"/>
        <v>6</v>
      </c>
      <c r="AF292">
        <f>step3_validation[[#This Row],[AI_FAC2]]</f>
        <v>9</v>
      </c>
      <c r="AG292" t="str">
        <f t="shared" si="117"/>
        <v>Support</v>
      </c>
      <c r="AH292">
        <f>survey_responses[[#This Row],[So với trước đây, tôi thấy cách tính thuế và các bậc thuế trong phương án mới đơn giản, dễ hiểu và dễ thực hiện hơn. - HUMAN-FAC2]]</f>
        <v>10</v>
      </c>
      <c r="AI292" t="str">
        <f t="shared" si="118"/>
        <v>Support</v>
      </c>
      <c r="AJ292" s="32">
        <f t="shared" si="119"/>
        <v>1</v>
      </c>
      <c r="AK292">
        <f>step3_validation[[#This Row],[AI_TRU1]]</f>
        <v>6</v>
      </c>
      <c r="AL292" t="str">
        <f t="shared" si="120"/>
        <v>Neutral</v>
      </c>
      <c r="AM292">
        <f>survey_responses[[#This Row],[Tôi tin rằng Nhà nước, cơ quan thuế sẽ thực thi chính sách mới một cách khách quan, công tâm và đối xử bình đẳng với mọi người nộp thuế.  - HUMAN-TRU1]]</f>
        <v>8</v>
      </c>
      <c r="AN292" t="str">
        <f t="shared" si="121"/>
        <v>Support</v>
      </c>
      <c r="AO292" s="32">
        <f t="shared" si="122"/>
        <v>2</v>
      </c>
      <c r="AP292">
        <f>step3_validation[[#This Row],[AI_TRU2]]</f>
        <v>8</v>
      </c>
      <c r="AQ292" t="str">
        <f t="shared" si="123"/>
        <v>Support</v>
      </c>
      <c r="AR292">
        <f>survey_responses[[#This Row],[Tôi thấy mức thuế tôi phải đóng theo phương án mới là công bằng (người thu nhập như tôi đóng mức này là hợp lý). - HUMAN-TRU2]]</f>
        <v>8</v>
      </c>
      <c r="AS292" t="str">
        <f t="shared" si="124"/>
        <v>Support</v>
      </c>
      <c r="AT292" s="32">
        <f t="shared" si="125"/>
        <v>0</v>
      </c>
      <c r="AU292">
        <f>step3_validation[[#This Row],[AI_TRU3]]</f>
        <v>7</v>
      </c>
      <c r="AV292" t="str">
        <f t="shared" si="126"/>
        <v>Neutral</v>
      </c>
      <c r="AW292">
        <f>survey_responses[[#This Row],[Tôi tin tưởng số tiền thuế tôi đóng sẽ được Nhà nước sử dụng hiệu quả để cải thiện dịch vụ công (y tế, đường xá...). - HUMAN-TRU3]]</f>
        <v>6</v>
      </c>
      <c r="AX292" t="str">
        <f t="shared" si="127"/>
        <v>Neutral</v>
      </c>
      <c r="AY292" s="32">
        <f t="shared" si="128"/>
        <v>1</v>
      </c>
      <c r="AZ292">
        <f>step3_validation[[#This Row],[AI_TRU4]]</f>
        <v>8</v>
      </c>
      <c r="BA292" t="str">
        <f t="shared" si="129"/>
        <v>Support</v>
      </c>
      <c r="BB292">
        <f>survey_responses[[#This Row],[Tôi thấy Nhà nước đã giải thích rõ ràng, minh bạch về lý do và mục tiêu của việc sửa đổi thuế lần này. - HUMAN-TRU4]]</f>
        <v>8</v>
      </c>
      <c r="BC292" t="str">
        <f t="shared" si="130"/>
        <v>Support</v>
      </c>
      <c r="BD292" s="32">
        <f t="shared" si="131"/>
        <v>0</v>
      </c>
      <c r="BE292">
        <f>step3_validation[[#This Row],[AI_OUT1]]</f>
        <v>9</v>
      </c>
      <c r="BF292" t="str">
        <f t="shared" si="132"/>
        <v>Support</v>
      </c>
      <c r="BG292">
        <f>survey_responses[[#This Row],[Sau khi xem xét các quyền lợi và nghĩa vụ, bạn có ủng hộ và tuân thủ chính sách mới hiện nay? - HUMAN-OUT1]]</f>
        <v>8</v>
      </c>
      <c r="BH292" t="str">
        <f t="shared" si="133"/>
        <v>Support</v>
      </c>
      <c r="BI292" s="32">
        <f t="shared" si="134"/>
        <v>1</v>
      </c>
    </row>
    <row r="293" spans="1:61" x14ac:dyDescent="0.45">
      <c r="A293" s="30">
        <f>step3_validation[[#This Row],[Persona_ID]]</f>
        <v>292</v>
      </c>
      <c r="B293" s="31">
        <f>step3_validation[[#This Row],[Used_Seed]]</f>
        <v>12636</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51.316450442993485</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8</v>
      </c>
      <c r="R293" t="str">
        <f t="shared" si="108"/>
        <v>Support</v>
      </c>
      <c r="S293">
        <f>survey_responses[[#This Row],[Tôi tin rằng với các quy định quản lý thuế hiện nay, hành vi gian lận hoặc trốn thuế sẽ dễ dàng bị phát hiện và xử lý nghiêm. - HUMAN-ENF1]]</f>
        <v>6</v>
      </c>
      <c r="T293" t="str">
        <f t="shared" si="109"/>
        <v>Neutral</v>
      </c>
      <c r="U293" s="32">
        <f t="shared" si="110"/>
        <v>2</v>
      </c>
      <c r="V293">
        <f>step3_validation[[#This Row],[AI_ENF2]]</f>
        <v>7</v>
      </c>
      <c r="W293" t="str">
        <f t="shared" si="111"/>
        <v>Neutral</v>
      </c>
      <c r="X293">
        <f>survey_responses[[#This Row],[Tôi tin rằng Nhà nước, cơ quan thuế có đủ khả năng và công nghệ để phát hiện, xử lý nghiêm các hành vi trốn thuế. - HUMAN-ENF2]]</f>
        <v>6</v>
      </c>
      <c r="Y293" t="str">
        <f t="shared" si="112"/>
        <v>Neutral</v>
      </c>
      <c r="Z293" s="32">
        <f t="shared" si="113"/>
        <v>1</v>
      </c>
      <c r="AA293">
        <f>step3_validation[[#This Row],[AI_FAC1]]</f>
        <v>9</v>
      </c>
      <c r="AB293" t="str">
        <f t="shared" si="114"/>
        <v>Support</v>
      </c>
      <c r="AC293">
        <f>survey_responses[[#This Row],[Các thủ tục khai báo thuế VÀ/HOẶC quy trình làm việc với cơ quan thuế đơn giản, tiện lợi, nhanh chóng hơn so với trước đây. - HUMAN-FAC1]]</f>
        <v>1</v>
      </c>
      <c r="AD293" t="str">
        <f t="shared" si="115"/>
        <v>Oppose</v>
      </c>
      <c r="AE293" s="32">
        <f t="shared" si="116"/>
        <v>8</v>
      </c>
      <c r="AF293">
        <f>step3_validation[[#This Row],[AI_FAC2]]</f>
        <v>8</v>
      </c>
      <c r="AG293" t="str">
        <f t="shared" si="117"/>
        <v>Support</v>
      </c>
      <c r="AH293">
        <f>survey_responses[[#This Row],[So với trước đây, tôi thấy cách tính thuế và các bậc thuế trong phương án mới đơn giản, dễ hiểu và dễ thực hiện hơn. - HUMAN-FAC2]]</f>
        <v>6</v>
      </c>
      <c r="AI293" t="str">
        <f t="shared" si="118"/>
        <v>Neutral</v>
      </c>
      <c r="AJ293" s="32">
        <f t="shared" si="119"/>
        <v>2</v>
      </c>
      <c r="AK293">
        <f>step3_validation[[#This Row],[AI_TRU1]]</f>
        <v>9</v>
      </c>
      <c r="AL293" t="str">
        <f t="shared" si="120"/>
        <v>Support</v>
      </c>
      <c r="AM293">
        <f>survey_responses[[#This Row],[Tôi tin rằng Nhà nước, cơ quan thuế sẽ thực thi chính sách mới một cách khách quan, công tâm và đối xử bình đẳng với mọi người nộp thuế.  - HUMAN-TRU1]]</f>
        <v>5</v>
      </c>
      <c r="AN293" t="str">
        <f t="shared" si="121"/>
        <v>Neutral</v>
      </c>
      <c r="AO293" s="32">
        <f t="shared" si="122"/>
        <v>4</v>
      </c>
      <c r="AP293">
        <f>step3_validation[[#This Row],[AI_TRU2]]</f>
        <v>8</v>
      </c>
      <c r="AQ293" t="str">
        <f t="shared" si="123"/>
        <v>Support</v>
      </c>
      <c r="AR293">
        <f>survey_responses[[#This Row],[Tôi thấy mức thuế tôi phải đóng theo phương án mới là công bằng (người thu nhập như tôi đóng mức này là hợp lý). - HUMAN-TRU2]]</f>
        <v>6</v>
      </c>
      <c r="AS293" t="str">
        <f t="shared" si="124"/>
        <v>Neutral</v>
      </c>
      <c r="AT293" s="32">
        <f t="shared" si="125"/>
        <v>2</v>
      </c>
      <c r="AU293">
        <f>step3_validation[[#This Row],[AI_TRU3]]</f>
        <v>9</v>
      </c>
      <c r="AV293" t="str">
        <f t="shared" si="126"/>
        <v>Support</v>
      </c>
      <c r="AW293">
        <f>survey_responses[[#This Row],[Tôi tin tưởng số tiền thuế tôi đóng sẽ được Nhà nước sử dụng hiệu quả để cải thiện dịch vụ công (y tế, đường xá...). - HUMAN-TRU3]]</f>
        <v>5</v>
      </c>
      <c r="AX293" t="str">
        <f t="shared" si="127"/>
        <v>Neutral</v>
      </c>
      <c r="AY293" s="32">
        <f t="shared" si="128"/>
        <v>4</v>
      </c>
      <c r="AZ293">
        <f>step3_validation[[#This Row],[AI_TRU4]]</f>
        <v>8</v>
      </c>
      <c r="BA293" t="str">
        <f t="shared" si="129"/>
        <v>Support</v>
      </c>
      <c r="BB293">
        <f>survey_responses[[#This Row],[Tôi thấy Nhà nước đã giải thích rõ ràng, minh bạch về lý do và mục tiêu của việc sửa đổi thuế lần này. - HUMAN-TRU4]]</f>
        <v>6</v>
      </c>
      <c r="BC293" t="str">
        <f t="shared" si="130"/>
        <v>Neutral</v>
      </c>
      <c r="BD293" s="32">
        <f t="shared" si="131"/>
        <v>2</v>
      </c>
      <c r="BE293">
        <f>step3_validation[[#This Row],[AI_OUT1]]</f>
        <v>9</v>
      </c>
      <c r="BF293" t="str">
        <f t="shared" si="132"/>
        <v>Support</v>
      </c>
      <c r="BG293">
        <f>survey_responses[[#This Row],[Sau khi xem xét các quyền lợi và nghĩa vụ, bạn có ủng hộ và tuân thủ chính sách mới hiện nay? - HUMAN-OUT1]]</f>
        <v>6</v>
      </c>
      <c r="BH293" t="str">
        <f t="shared" si="133"/>
        <v>Neutral</v>
      </c>
      <c r="BI293" s="32">
        <f t="shared" si="134"/>
        <v>3</v>
      </c>
    </row>
    <row r="294" spans="1:61" x14ac:dyDescent="0.45">
      <c r="A294" s="30">
        <f>step3_validation[[#This Row],[Persona_ID]]</f>
        <v>293</v>
      </c>
      <c r="B294" s="31">
        <f>step3_validation[[#This Row],[Used_Seed]]</f>
        <v>12637</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36.76426561228746</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t="str">
        <f t="shared" si="108"/>
        <v>Neutral</v>
      </c>
      <c r="S294">
        <f>survey_responses[[#This Row],[Tôi tin rằng với các quy định quản lý thuế hiện nay, hành vi gian lận hoặc trốn thuế sẽ dễ dàng bị phát hiện và xử lý nghiêm. - HUMAN-ENF1]]</f>
        <v>8</v>
      </c>
      <c r="T294" t="str">
        <f t="shared" si="109"/>
        <v>Support</v>
      </c>
      <c r="U294" s="32">
        <f t="shared" si="110"/>
        <v>1</v>
      </c>
      <c r="V294">
        <f>step3_validation[[#This Row],[AI_ENF2]]</f>
        <v>8</v>
      </c>
      <c r="W294" t="str">
        <f t="shared" si="111"/>
        <v>Support</v>
      </c>
      <c r="X294">
        <f>survey_responses[[#This Row],[Tôi tin rằng Nhà nước, cơ quan thuế có đủ khả năng và công nghệ để phát hiện, xử lý nghiêm các hành vi trốn thuế. - HUMAN-ENF2]]</f>
        <v>8</v>
      </c>
      <c r="Y294" t="str">
        <f t="shared" si="112"/>
        <v>Support</v>
      </c>
      <c r="Z294" s="32">
        <f t="shared" si="113"/>
        <v>0</v>
      </c>
      <c r="AA294">
        <f>step3_validation[[#This Row],[AI_FAC1]]</f>
        <v>7</v>
      </c>
      <c r="AB294" t="str">
        <f t="shared" si="114"/>
        <v>Neutral</v>
      </c>
      <c r="AC294">
        <f>survey_responses[[#This Row],[Các thủ tục khai báo thuế VÀ/HOẶC quy trình làm việc với cơ quan thuế đơn giản, tiện lợi, nhanh chóng hơn so với trước đây. - HUMAN-FAC1]]</f>
        <v>5</v>
      </c>
      <c r="AD294" t="str">
        <f t="shared" si="115"/>
        <v>Neutral</v>
      </c>
      <c r="AE294" s="32">
        <f t="shared" si="116"/>
        <v>2</v>
      </c>
      <c r="AF294">
        <f>step3_validation[[#This Row],[AI_FAC2]]</f>
        <v>9</v>
      </c>
      <c r="AG294" t="str">
        <f t="shared" si="117"/>
        <v>Support</v>
      </c>
      <c r="AH294">
        <f>survey_responses[[#This Row],[So với trước đây, tôi thấy cách tính thuế và các bậc thuế trong phương án mới đơn giản, dễ hiểu và dễ thực hiện hơn. - HUMAN-FAC2]]</f>
        <v>8</v>
      </c>
      <c r="AI294" t="str">
        <f t="shared" si="118"/>
        <v>Support</v>
      </c>
      <c r="AJ294" s="32">
        <f t="shared" si="119"/>
        <v>1</v>
      </c>
      <c r="AK294">
        <f>step3_validation[[#This Row],[AI_TRU1]]</f>
        <v>6</v>
      </c>
      <c r="AL294" t="str">
        <f t="shared" si="120"/>
        <v>Neutral</v>
      </c>
      <c r="AM294">
        <f>survey_responses[[#This Row],[Tôi tin rằng Nhà nước, cơ quan thuế sẽ thực thi chính sách mới một cách khách quan, công tâm và đối xử bình đẳng với mọi người nộp thuế.  - HUMAN-TRU1]]</f>
        <v>5</v>
      </c>
      <c r="AN294" t="str">
        <f t="shared" si="121"/>
        <v>Neutral</v>
      </c>
      <c r="AO294" s="32">
        <f t="shared" si="122"/>
        <v>1</v>
      </c>
      <c r="AP294">
        <f>step3_validation[[#This Row],[AI_TRU2]]</f>
        <v>7</v>
      </c>
      <c r="AQ294" t="str">
        <f t="shared" si="123"/>
        <v>Neutral</v>
      </c>
      <c r="AR294">
        <f>survey_responses[[#This Row],[Tôi thấy mức thuế tôi phải đóng theo phương án mới là công bằng (người thu nhập như tôi đóng mức này là hợp lý). - HUMAN-TRU2]]</f>
        <v>6</v>
      </c>
      <c r="AS294" t="str">
        <f t="shared" si="124"/>
        <v>Neutral</v>
      </c>
      <c r="AT294" s="32">
        <f t="shared" si="125"/>
        <v>1</v>
      </c>
      <c r="AU294">
        <f>step3_validation[[#This Row],[AI_TRU3]]</f>
        <v>6</v>
      </c>
      <c r="AV294" t="str">
        <f t="shared" si="126"/>
        <v>Neutral</v>
      </c>
      <c r="AW294">
        <f>survey_responses[[#This Row],[Tôi tin tưởng số tiền thuế tôi đóng sẽ được Nhà nước sử dụng hiệu quả để cải thiện dịch vụ công (y tế, đường xá...). - HUMAN-TRU3]]</f>
        <v>5</v>
      </c>
      <c r="AX294" t="str">
        <f t="shared" si="127"/>
        <v>Neutral</v>
      </c>
      <c r="AY294" s="32">
        <f t="shared" si="128"/>
        <v>1</v>
      </c>
      <c r="AZ294">
        <f>step3_validation[[#This Row],[AI_TRU4]]</f>
        <v>5</v>
      </c>
      <c r="BA294" t="str">
        <f t="shared" si="129"/>
        <v>Neutral</v>
      </c>
      <c r="BB294">
        <f>survey_responses[[#This Row],[Tôi thấy Nhà nước đã giải thích rõ ràng, minh bạch về lý do và mục tiêu của việc sửa đổi thuế lần này. - HUMAN-TRU4]]</f>
        <v>6</v>
      </c>
      <c r="BC294" t="str">
        <f t="shared" si="130"/>
        <v>Neutral</v>
      </c>
      <c r="BD294" s="32">
        <f t="shared" si="131"/>
        <v>1</v>
      </c>
      <c r="BE294">
        <f>step3_validation[[#This Row],[AI_OUT1]]</f>
        <v>8</v>
      </c>
      <c r="BF294" t="str">
        <f t="shared" si="132"/>
        <v>Support</v>
      </c>
      <c r="BG294">
        <f>survey_responses[[#This Row],[Sau khi xem xét các quyền lợi và nghĩa vụ, bạn có ủng hộ và tuân thủ chính sách mới hiện nay? - HUMAN-OUT1]]</f>
        <v>6</v>
      </c>
      <c r="BH294" t="str">
        <f t="shared" si="133"/>
        <v>Neutral</v>
      </c>
      <c r="BI294" s="32">
        <f t="shared" si="134"/>
        <v>2</v>
      </c>
    </row>
    <row r="295" spans="1:61" x14ac:dyDescent="0.45">
      <c r="A295" s="30">
        <f>step3_validation[[#This Row],[Persona_ID]]</f>
        <v>294</v>
      </c>
      <c r="B295" s="31">
        <f>step3_validation[[#This Row],[Used_Seed]]</f>
        <v>12638</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49.63187851692156</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6</v>
      </c>
      <c r="R295" t="str">
        <f t="shared" si="108"/>
        <v>Neutral</v>
      </c>
      <c r="S295">
        <f>survey_responses[[#This Row],[Tôi tin rằng với các quy định quản lý thuế hiện nay, hành vi gian lận hoặc trốn thuế sẽ dễ dàng bị phát hiện và xử lý nghiêm. - HUMAN-ENF1]]</f>
        <v>6</v>
      </c>
      <c r="T295" t="str">
        <f t="shared" si="109"/>
        <v>Neutral</v>
      </c>
      <c r="U295" s="32">
        <f t="shared" si="110"/>
        <v>0</v>
      </c>
      <c r="V295">
        <f>step3_validation[[#This Row],[AI_ENF2]]</f>
        <v>7</v>
      </c>
      <c r="W295" t="str">
        <f t="shared" si="111"/>
        <v>Neutral</v>
      </c>
      <c r="X295">
        <f>survey_responses[[#This Row],[Tôi tin rằng Nhà nước, cơ quan thuế có đủ khả năng và công nghệ để phát hiện, xử lý nghiêm các hành vi trốn thuế. - HUMAN-ENF2]]</f>
        <v>6</v>
      </c>
      <c r="Y295" t="str">
        <f t="shared" si="112"/>
        <v>Neutral</v>
      </c>
      <c r="Z295" s="32">
        <f t="shared" si="113"/>
        <v>1</v>
      </c>
      <c r="AA295">
        <f>step3_validation[[#This Row],[AI_FAC1]]</f>
        <v>8</v>
      </c>
      <c r="AB295" t="str">
        <f t="shared" si="114"/>
        <v>Support</v>
      </c>
      <c r="AC295">
        <f>survey_responses[[#This Row],[Các thủ tục khai báo thuế VÀ/HOẶC quy trình làm việc với cơ quan thuế đơn giản, tiện lợi, nhanh chóng hơn so với trước đây. - HUMAN-FAC1]]</f>
        <v>3</v>
      </c>
      <c r="AD295" t="str">
        <f t="shared" si="115"/>
        <v>Oppose</v>
      </c>
      <c r="AE295" s="32">
        <f t="shared" si="116"/>
        <v>5</v>
      </c>
      <c r="AF295">
        <f>step3_validation[[#This Row],[AI_FAC2]]</f>
        <v>9</v>
      </c>
      <c r="AG295" t="str">
        <f t="shared" si="117"/>
        <v>Support</v>
      </c>
      <c r="AH295">
        <f>survey_responses[[#This Row],[So với trước đây, tôi thấy cách tính thuế và các bậc thuế trong phương án mới đơn giản, dễ hiểu và dễ thực hiện hơn. - HUMAN-FAC2]]</f>
        <v>7</v>
      </c>
      <c r="AI295" t="str">
        <f t="shared" si="118"/>
        <v>Neutral</v>
      </c>
      <c r="AJ295" s="32">
        <f t="shared" si="119"/>
        <v>2</v>
      </c>
      <c r="AK295">
        <f>step3_validation[[#This Row],[AI_TRU1]]</f>
        <v>7</v>
      </c>
      <c r="AL295" t="str">
        <f t="shared" si="120"/>
        <v>Neutral</v>
      </c>
      <c r="AM295">
        <f>survey_responses[[#This Row],[Tôi tin rằng Nhà nước, cơ quan thuế sẽ thực thi chính sách mới một cách khách quan, công tâm và đối xử bình đẳng với mọi người nộp thuế.  - HUMAN-TRU1]]</f>
        <v>5</v>
      </c>
      <c r="AN295" t="str">
        <f t="shared" si="121"/>
        <v>Neutral</v>
      </c>
      <c r="AO295" s="32">
        <f t="shared" si="122"/>
        <v>2</v>
      </c>
      <c r="AP295">
        <f>step3_validation[[#This Row],[AI_TRU2]]</f>
        <v>8</v>
      </c>
      <c r="AQ295" t="str">
        <f t="shared" si="123"/>
        <v>Support</v>
      </c>
      <c r="AR295">
        <f>survey_responses[[#This Row],[Tôi thấy mức thuế tôi phải đóng theo phương án mới là công bằng (người thu nhập như tôi đóng mức này là hợp lý). - HUMAN-TRU2]]</f>
        <v>6</v>
      </c>
      <c r="AS295" t="str">
        <f t="shared" si="124"/>
        <v>Neutral</v>
      </c>
      <c r="AT295" s="32">
        <f t="shared" si="125"/>
        <v>2</v>
      </c>
      <c r="AU295">
        <f>step3_validation[[#This Row],[AI_TRU3]]</f>
        <v>7</v>
      </c>
      <c r="AV295" t="str">
        <f t="shared" si="126"/>
        <v>Neutral</v>
      </c>
      <c r="AW295">
        <f>survey_responses[[#This Row],[Tôi tin tưởng số tiền thuế tôi đóng sẽ được Nhà nước sử dụng hiệu quả để cải thiện dịch vụ công (y tế, đường xá...). - HUMAN-TRU3]]</f>
        <v>5</v>
      </c>
      <c r="AX295" t="str">
        <f t="shared" si="127"/>
        <v>Neutral</v>
      </c>
      <c r="AY295" s="32">
        <f t="shared" si="128"/>
        <v>2</v>
      </c>
      <c r="AZ295">
        <f>step3_validation[[#This Row],[AI_TRU4]]</f>
        <v>6</v>
      </c>
      <c r="BA295" t="str">
        <f t="shared" si="129"/>
        <v>Neutral</v>
      </c>
      <c r="BB295">
        <f>survey_responses[[#This Row],[Tôi thấy Nhà nước đã giải thích rõ ràng, minh bạch về lý do và mục tiêu của việc sửa đổi thuế lần này. - HUMAN-TRU4]]</f>
        <v>5</v>
      </c>
      <c r="BC295" t="str">
        <f t="shared" si="130"/>
        <v>Neutral</v>
      </c>
      <c r="BD295" s="32">
        <f t="shared" si="131"/>
        <v>1</v>
      </c>
      <c r="BE295">
        <f>step3_validation[[#This Row],[AI_OUT1]]</f>
        <v>8</v>
      </c>
      <c r="BF295" t="str">
        <f t="shared" si="132"/>
        <v>Support</v>
      </c>
      <c r="BG295">
        <f>survey_responses[[#This Row],[Sau khi xem xét các quyền lợi và nghĩa vụ, bạn có ủng hộ và tuân thủ chính sách mới hiện nay? - HUMAN-OUT1]]</f>
        <v>6</v>
      </c>
      <c r="BH295" t="str">
        <f t="shared" si="133"/>
        <v>Neutral</v>
      </c>
      <c r="BI295" s="32">
        <f t="shared" si="134"/>
        <v>2</v>
      </c>
    </row>
    <row r="296" spans="1:61" x14ac:dyDescent="0.45">
      <c r="A296" s="30">
        <f>step3_validation[[#This Row],[Persona_ID]]</f>
        <v>295</v>
      </c>
      <c r="B296" s="31">
        <f>step3_validation[[#This Row],[Used_Seed]]</f>
        <v>12639</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25.984365789218586</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7</v>
      </c>
      <c r="R296" t="str">
        <f t="shared" si="108"/>
        <v>Neutral</v>
      </c>
      <c r="S296">
        <f>survey_responses[[#This Row],[Tôi tin rằng với các quy định quản lý thuế hiện nay, hành vi gian lận hoặc trốn thuế sẽ dễ dàng bị phát hiện và xử lý nghiêm. - HUMAN-ENF1]]</f>
        <v>8</v>
      </c>
      <c r="T296" t="str">
        <f t="shared" si="109"/>
        <v>Support</v>
      </c>
      <c r="U296" s="32">
        <f t="shared" si="110"/>
        <v>1</v>
      </c>
      <c r="V296">
        <f>step3_validation[[#This Row],[AI_ENF2]]</f>
        <v>6</v>
      </c>
      <c r="W296" t="str">
        <f t="shared" si="111"/>
        <v>Neutral</v>
      </c>
      <c r="X296">
        <f>survey_responses[[#This Row],[Tôi tin rằng Nhà nước, cơ quan thuế có đủ khả năng và công nghệ để phát hiện, xử lý nghiêm các hành vi trốn thuế. - HUMAN-ENF2]]</f>
        <v>9</v>
      </c>
      <c r="Y296" t="str">
        <f t="shared" si="112"/>
        <v>Support</v>
      </c>
      <c r="Z296" s="32">
        <f t="shared" si="113"/>
        <v>3</v>
      </c>
      <c r="AA296">
        <f>step3_validation[[#This Row],[AI_FAC1]]</f>
        <v>9</v>
      </c>
      <c r="AB296" t="str">
        <f t="shared" si="114"/>
        <v>Support</v>
      </c>
      <c r="AC296">
        <f>survey_responses[[#This Row],[Các thủ tục khai báo thuế VÀ/HOẶC quy trình làm việc với cơ quan thuế đơn giản, tiện lợi, nhanh chóng hơn so với trước đây. - HUMAN-FAC1]]</f>
        <v>9</v>
      </c>
      <c r="AD296" t="str">
        <f t="shared" si="115"/>
        <v>Support</v>
      </c>
      <c r="AE296" s="32">
        <f t="shared" si="116"/>
        <v>0</v>
      </c>
      <c r="AF296">
        <f>step3_validation[[#This Row],[AI_FAC2]]</f>
        <v>10</v>
      </c>
      <c r="AG296" t="str">
        <f t="shared" si="117"/>
        <v>Support</v>
      </c>
      <c r="AH296">
        <f>survey_responses[[#This Row],[So với trước đây, tôi thấy cách tính thuế và các bậc thuế trong phương án mới đơn giản, dễ hiểu và dễ thực hiện hơn. - HUMAN-FAC2]]</f>
        <v>10</v>
      </c>
      <c r="AI296" t="str">
        <f t="shared" si="118"/>
        <v>Support</v>
      </c>
      <c r="AJ296" s="32">
        <f t="shared" si="119"/>
        <v>0</v>
      </c>
      <c r="AK296">
        <f>step3_validation[[#This Row],[AI_TRU1]]</f>
        <v>8</v>
      </c>
      <c r="AL296" t="str">
        <f t="shared" si="120"/>
        <v>Support</v>
      </c>
      <c r="AM296">
        <f>survey_responses[[#This Row],[Tôi tin rằng Nhà nước, cơ quan thuế sẽ thực thi chính sách mới một cách khách quan, công tâm và đối xử bình đẳng với mọi người nộp thuế.  - HUMAN-TRU1]]</f>
        <v>8</v>
      </c>
      <c r="AN296" t="str">
        <f t="shared" si="121"/>
        <v>Support</v>
      </c>
      <c r="AO296" s="32">
        <f t="shared" si="122"/>
        <v>0</v>
      </c>
      <c r="AP296">
        <f>step3_validation[[#This Row],[AI_TRU2]]</f>
        <v>9</v>
      </c>
      <c r="AQ296" t="str">
        <f t="shared" si="123"/>
        <v>Support</v>
      </c>
      <c r="AR296">
        <f>survey_responses[[#This Row],[Tôi thấy mức thuế tôi phải đóng theo phương án mới là công bằng (người thu nhập như tôi đóng mức này là hợp lý). - HUMAN-TRU2]]</f>
        <v>8</v>
      </c>
      <c r="AS296" t="str">
        <f t="shared" si="124"/>
        <v>Support</v>
      </c>
      <c r="AT296" s="32">
        <f t="shared" si="125"/>
        <v>1</v>
      </c>
      <c r="AU296">
        <f>step3_validation[[#This Row],[AI_TRU3]]</f>
        <v>8</v>
      </c>
      <c r="AV296" t="str">
        <f t="shared" si="126"/>
        <v>Support</v>
      </c>
      <c r="AW296">
        <f>survey_responses[[#This Row],[Tôi tin tưởng số tiền thuế tôi đóng sẽ được Nhà nước sử dụng hiệu quả để cải thiện dịch vụ công (y tế, đường xá...). - HUMAN-TRU3]]</f>
        <v>9</v>
      </c>
      <c r="AX296" t="str">
        <f t="shared" si="127"/>
        <v>Support</v>
      </c>
      <c r="AY296" s="32">
        <f t="shared" si="128"/>
        <v>1</v>
      </c>
      <c r="AZ296">
        <f>step3_validation[[#This Row],[AI_TRU4]]</f>
        <v>7</v>
      </c>
      <c r="BA296" t="str">
        <f t="shared" si="129"/>
        <v>Neutral</v>
      </c>
      <c r="BB296">
        <f>survey_responses[[#This Row],[Tôi thấy Nhà nước đã giải thích rõ ràng, minh bạch về lý do và mục tiêu của việc sửa đổi thuế lần này. - HUMAN-TRU4]]</f>
        <v>10</v>
      </c>
      <c r="BC296" t="str">
        <f t="shared" si="130"/>
        <v>Support</v>
      </c>
      <c r="BD296" s="32">
        <f t="shared" si="131"/>
        <v>3</v>
      </c>
      <c r="BE296">
        <f>step3_validation[[#This Row],[AI_OUT1]]</f>
        <v>9</v>
      </c>
      <c r="BF296" t="str">
        <f t="shared" si="132"/>
        <v>Support</v>
      </c>
      <c r="BG296">
        <f>survey_responses[[#This Row],[Sau khi xem xét các quyền lợi và nghĩa vụ, bạn có ủng hộ và tuân thủ chính sách mới hiện nay? - HUMAN-OUT1]]</f>
        <v>10</v>
      </c>
      <c r="BH296" t="str">
        <f t="shared" si="133"/>
        <v>Support</v>
      </c>
      <c r="BI296" s="32">
        <f t="shared" si="134"/>
        <v>1</v>
      </c>
    </row>
    <row r="297" spans="1:61" x14ac:dyDescent="0.45">
      <c r="A297" s="30">
        <f>step3_validation[[#This Row],[Persona_ID]]</f>
        <v>296</v>
      </c>
      <c r="B297" s="31">
        <f>step3_validation[[#This Row],[Used_Seed]]</f>
        <v>12640</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6</v>
      </c>
      <c r="R297" t="str">
        <f t="shared" si="108"/>
        <v>Neutral</v>
      </c>
      <c r="S297">
        <f>survey_responses[[#This Row],[Tôi tin rằng với các quy định quản lý thuế hiện nay, hành vi gian lận hoặc trốn thuế sẽ dễ dàng bị phát hiện và xử lý nghiêm. - HUMAN-ENF1]]</f>
        <v>7</v>
      </c>
      <c r="T297" t="str">
        <f t="shared" si="109"/>
        <v>Neutral</v>
      </c>
      <c r="U297" s="32">
        <f t="shared" si="110"/>
        <v>1</v>
      </c>
      <c r="V297">
        <f>step3_validation[[#This Row],[AI_ENF2]]</f>
        <v>7</v>
      </c>
      <c r="W297" t="str">
        <f t="shared" si="111"/>
        <v>Neutral</v>
      </c>
      <c r="X297">
        <f>survey_responses[[#This Row],[Tôi tin rằng Nhà nước, cơ quan thuế có đủ khả năng và công nghệ để phát hiện, xử lý nghiêm các hành vi trốn thuế. - HUMAN-ENF2]]</f>
        <v>7</v>
      </c>
      <c r="Y297" t="str">
        <f t="shared" si="112"/>
        <v>Neutral</v>
      </c>
      <c r="Z297" s="32">
        <f t="shared" si="113"/>
        <v>0</v>
      </c>
      <c r="AA297">
        <f>step3_validation[[#This Row],[AI_FAC1]]</f>
        <v>8</v>
      </c>
      <c r="AB297" t="str">
        <f t="shared" si="114"/>
        <v>Support</v>
      </c>
      <c r="AC297">
        <f>survey_responses[[#This Row],[Các thủ tục khai báo thuế VÀ/HOẶC quy trình làm việc với cơ quan thuế đơn giản, tiện lợi, nhanh chóng hơn so với trước đây. - HUMAN-FAC1]]</f>
        <v>6</v>
      </c>
      <c r="AD297" t="str">
        <f t="shared" si="115"/>
        <v>Neutral</v>
      </c>
      <c r="AE297" s="32">
        <f t="shared" si="116"/>
        <v>2</v>
      </c>
      <c r="AF297">
        <f>step3_validation[[#This Row],[AI_FAC2]]</f>
        <v>9</v>
      </c>
      <c r="AG297" t="str">
        <f t="shared" si="117"/>
        <v>Support</v>
      </c>
      <c r="AH297">
        <f>survey_responses[[#This Row],[So với trước đây, tôi thấy cách tính thuế và các bậc thuế trong phương án mới đơn giản, dễ hiểu và dễ thực hiện hơn. - HUMAN-FAC2]]</f>
        <v>7</v>
      </c>
      <c r="AI297" t="str">
        <f t="shared" si="118"/>
        <v>Neutral</v>
      </c>
      <c r="AJ297" s="32">
        <f t="shared" si="119"/>
        <v>2</v>
      </c>
      <c r="AK297">
        <f>step3_validation[[#This Row],[AI_TRU1]]</f>
        <v>8</v>
      </c>
      <c r="AL297" t="str">
        <f t="shared" si="120"/>
        <v>Support</v>
      </c>
      <c r="AM297">
        <f>survey_responses[[#This Row],[Tôi tin rằng Nhà nước, cơ quan thuế sẽ thực thi chính sách mới một cách khách quan, công tâm và đối xử bình đẳng với mọi người nộp thuế.  - HUMAN-TRU1]]</f>
        <v>7</v>
      </c>
      <c r="AN297" t="str">
        <f t="shared" si="121"/>
        <v>Neutral</v>
      </c>
      <c r="AO297" s="32">
        <f t="shared" si="122"/>
        <v>1</v>
      </c>
      <c r="AP297">
        <f>step3_validation[[#This Row],[AI_TRU2]]</f>
        <v>9</v>
      </c>
      <c r="AQ297" t="str">
        <f t="shared" si="123"/>
        <v>Support</v>
      </c>
      <c r="AR297">
        <f>survey_responses[[#This Row],[Tôi thấy mức thuế tôi phải đóng theo phương án mới là công bằng (người thu nhập như tôi đóng mức này là hợp lý). - HUMAN-TRU2]]</f>
        <v>1</v>
      </c>
      <c r="AS297" t="str">
        <f t="shared" si="124"/>
        <v>Oppose</v>
      </c>
      <c r="AT297" s="32">
        <f t="shared" si="125"/>
        <v>8</v>
      </c>
      <c r="AU297">
        <f>step3_validation[[#This Row],[AI_TRU3]]</f>
        <v>8</v>
      </c>
      <c r="AV297" t="str">
        <f t="shared" si="126"/>
        <v>Support</v>
      </c>
      <c r="AW297">
        <f>survey_responses[[#This Row],[Tôi tin tưởng số tiền thuế tôi đóng sẽ được Nhà nước sử dụng hiệu quả để cải thiện dịch vụ công (y tế, đường xá...). - HUMAN-TRU3]]</f>
        <v>5</v>
      </c>
      <c r="AX297" t="str">
        <f t="shared" si="127"/>
        <v>Neutral</v>
      </c>
      <c r="AY297" s="32">
        <f t="shared" si="128"/>
        <v>3</v>
      </c>
      <c r="AZ297">
        <f>step3_validation[[#This Row],[AI_TRU4]]</f>
        <v>7</v>
      </c>
      <c r="BA297" t="str">
        <f t="shared" si="129"/>
        <v>Neutral</v>
      </c>
      <c r="BB297">
        <f>survey_responses[[#This Row],[Tôi thấy Nhà nước đã giải thích rõ ràng, minh bạch về lý do và mục tiêu của việc sửa đổi thuế lần này. - HUMAN-TRU4]]</f>
        <v>7</v>
      </c>
      <c r="BC297" t="str">
        <f t="shared" si="130"/>
        <v>Neutral</v>
      </c>
      <c r="BD297" s="32">
        <f t="shared" si="131"/>
        <v>0</v>
      </c>
      <c r="BE297">
        <f>step3_validation[[#This Row],[AI_OUT1]]</f>
        <v>9</v>
      </c>
      <c r="BF297" t="str">
        <f t="shared" si="132"/>
        <v>Support</v>
      </c>
      <c r="BG297">
        <f>survey_responses[[#This Row],[Sau khi xem xét các quyền lợi và nghĩa vụ, bạn có ủng hộ và tuân thủ chính sách mới hiện nay? - HUMAN-OUT1]]</f>
        <v>7</v>
      </c>
      <c r="BH297" t="str">
        <f t="shared" si="133"/>
        <v>Neutral</v>
      </c>
      <c r="BI297" s="32">
        <f t="shared" si="134"/>
        <v>2</v>
      </c>
    </row>
    <row r="298" spans="1:61" x14ac:dyDescent="0.45">
      <c r="A298" s="30">
        <f>step3_validation[[#This Row],[Persona_ID]]</f>
        <v>297</v>
      </c>
      <c r="B298" s="31">
        <f>step3_validation[[#This Row],[Used_Seed]]</f>
        <v>12641</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68.317760226526588</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8</v>
      </c>
      <c r="R298" t="str">
        <f t="shared" si="108"/>
        <v>Support</v>
      </c>
      <c r="S298">
        <f>survey_responses[[#This Row],[Tôi tin rằng với các quy định quản lý thuế hiện nay, hành vi gian lận hoặc trốn thuế sẽ dễ dàng bị phát hiện và xử lý nghiêm. - HUMAN-ENF1]]</f>
        <v>5</v>
      </c>
      <c r="T298" t="str">
        <f t="shared" si="109"/>
        <v>Neutral</v>
      </c>
      <c r="U298" s="32">
        <f t="shared" si="110"/>
        <v>3</v>
      </c>
      <c r="V298">
        <f>step3_validation[[#This Row],[AI_ENF2]]</f>
        <v>9</v>
      </c>
      <c r="W298" t="str">
        <f t="shared" si="111"/>
        <v>Support</v>
      </c>
      <c r="X298">
        <f>survey_responses[[#This Row],[Tôi tin rằng Nhà nước, cơ quan thuế có đủ khả năng và công nghệ để phát hiện, xử lý nghiêm các hành vi trốn thuế. - HUMAN-ENF2]]</f>
        <v>10</v>
      </c>
      <c r="Y298" t="str">
        <f t="shared" si="112"/>
        <v>Support</v>
      </c>
      <c r="Z298" s="32">
        <f t="shared" si="113"/>
        <v>1</v>
      </c>
      <c r="AA298">
        <f>step3_validation[[#This Row],[AI_FAC1]]</f>
        <v>8</v>
      </c>
      <c r="AB298" t="str">
        <f t="shared" si="114"/>
        <v>Support</v>
      </c>
      <c r="AC298">
        <f>survey_responses[[#This Row],[Các thủ tục khai báo thuế VÀ/HOẶC quy trình làm việc với cơ quan thuế đơn giản, tiện lợi, nhanh chóng hơn so với trước đây. - HUMAN-FAC1]]</f>
        <v>5</v>
      </c>
      <c r="AD298" t="str">
        <f t="shared" si="115"/>
        <v>Neutral</v>
      </c>
      <c r="AE298" s="32">
        <f t="shared" si="116"/>
        <v>3</v>
      </c>
      <c r="AF298">
        <f>step3_validation[[#This Row],[AI_FAC2]]</f>
        <v>9</v>
      </c>
      <c r="AG298" t="str">
        <f t="shared" si="117"/>
        <v>Support</v>
      </c>
      <c r="AH298">
        <f>survey_responses[[#This Row],[So với trước đây, tôi thấy cách tính thuế và các bậc thuế trong phương án mới đơn giản, dễ hiểu và dễ thực hiện hơn. - HUMAN-FAC2]]</f>
        <v>5</v>
      </c>
      <c r="AI298" t="str">
        <f t="shared" si="118"/>
        <v>Neutral</v>
      </c>
      <c r="AJ298" s="32">
        <f t="shared" si="119"/>
        <v>4</v>
      </c>
      <c r="AK298">
        <f>step3_validation[[#This Row],[AI_TRU1]]</f>
        <v>8</v>
      </c>
      <c r="AL298" t="str">
        <f t="shared" si="120"/>
        <v>Support</v>
      </c>
      <c r="AM298">
        <f>survey_responses[[#This Row],[Tôi tin rằng Nhà nước, cơ quan thuế sẽ thực thi chính sách mới một cách khách quan, công tâm và đối xử bình đẳng với mọi người nộp thuế.  - HUMAN-TRU1]]</f>
        <v>2</v>
      </c>
      <c r="AN298" t="str">
        <f t="shared" si="121"/>
        <v>Oppose</v>
      </c>
      <c r="AO298" s="32">
        <f t="shared" si="122"/>
        <v>6</v>
      </c>
      <c r="AP298">
        <f>step3_validation[[#This Row],[AI_TRU2]]</f>
        <v>9</v>
      </c>
      <c r="AQ298" t="str">
        <f t="shared" si="123"/>
        <v>Support</v>
      </c>
      <c r="AR298">
        <f>survey_responses[[#This Row],[Tôi thấy mức thuế tôi phải đóng theo phương án mới là công bằng (người thu nhập như tôi đóng mức này là hợp lý). - HUMAN-TRU2]]</f>
        <v>3</v>
      </c>
      <c r="AS298" t="str">
        <f t="shared" si="124"/>
        <v>Oppose</v>
      </c>
      <c r="AT298" s="32">
        <f t="shared" si="125"/>
        <v>6</v>
      </c>
      <c r="AU298">
        <f>step3_validation[[#This Row],[AI_TRU3]]</f>
        <v>8</v>
      </c>
      <c r="AV298" t="str">
        <f t="shared" si="126"/>
        <v>Support</v>
      </c>
      <c r="AW298">
        <f>survey_responses[[#This Row],[Tôi tin tưởng số tiền thuế tôi đóng sẽ được Nhà nước sử dụng hiệu quả để cải thiện dịch vụ công (y tế, đường xá...). - HUMAN-TRU3]]</f>
        <v>2</v>
      </c>
      <c r="AX298" t="str">
        <f t="shared" si="127"/>
        <v>Oppose</v>
      </c>
      <c r="AY298" s="32">
        <f t="shared" si="128"/>
        <v>6</v>
      </c>
      <c r="AZ298">
        <f>step3_validation[[#This Row],[AI_TRU4]]</f>
        <v>9</v>
      </c>
      <c r="BA298" t="str">
        <f t="shared" si="129"/>
        <v>Support</v>
      </c>
      <c r="BB298">
        <f>survey_responses[[#This Row],[Tôi thấy Nhà nước đã giải thích rõ ràng, minh bạch về lý do và mục tiêu của việc sửa đổi thuế lần này. - HUMAN-TRU4]]</f>
        <v>5</v>
      </c>
      <c r="BC298" t="str">
        <f t="shared" si="130"/>
        <v>Neutral</v>
      </c>
      <c r="BD298" s="32">
        <f t="shared" si="131"/>
        <v>4</v>
      </c>
      <c r="BE298">
        <f>step3_validation[[#This Row],[AI_OUT1]]</f>
        <v>9</v>
      </c>
      <c r="BF298" t="str">
        <f t="shared" si="132"/>
        <v>Support</v>
      </c>
      <c r="BG298">
        <f>survey_responses[[#This Row],[Sau khi xem xét các quyền lợi và nghĩa vụ, bạn có ủng hộ và tuân thủ chính sách mới hiện nay? - HUMAN-OUT1]]</f>
        <v>5</v>
      </c>
      <c r="BH298" t="str">
        <f t="shared" si="133"/>
        <v>Neutral</v>
      </c>
      <c r="BI298" s="32">
        <f t="shared" si="134"/>
        <v>4</v>
      </c>
    </row>
    <row r="299" spans="1:61" x14ac:dyDescent="0.45">
      <c r="A299" s="30">
        <f>step3_validation[[#This Row],[Persona_ID]]</f>
        <v>298</v>
      </c>
      <c r="B299" s="31">
        <f>step3_validation[[#This Row],[Used_Seed]]</f>
        <v>12642</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8</v>
      </c>
      <c r="R299" t="str">
        <f t="shared" si="108"/>
        <v>Support</v>
      </c>
      <c r="S299">
        <f>survey_responses[[#This Row],[Tôi tin rằng với các quy định quản lý thuế hiện nay, hành vi gian lận hoặc trốn thuế sẽ dễ dàng bị phát hiện và xử lý nghiêm. - HUMAN-ENF1]]</f>
        <v>5</v>
      </c>
      <c r="T299" t="str">
        <f t="shared" si="109"/>
        <v>Neutral</v>
      </c>
      <c r="U299" s="32">
        <f t="shared" si="110"/>
        <v>3</v>
      </c>
      <c r="V299">
        <f>step3_validation[[#This Row],[AI_ENF2]]</f>
        <v>7</v>
      </c>
      <c r="W299" t="str">
        <f t="shared" si="111"/>
        <v>Neutral</v>
      </c>
      <c r="X299">
        <f>survey_responses[[#This Row],[Tôi tin rằng Nhà nước, cơ quan thuế có đủ khả năng và công nghệ để phát hiện, xử lý nghiêm các hành vi trốn thuế. - HUMAN-ENF2]]</f>
        <v>5</v>
      </c>
      <c r="Y299" t="str">
        <f t="shared" si="112"/>
        <v>Neutral</v>
      </c>
      <c r="Z299" s="32">
        <f t="shared" si="113"/>
        <v>2</v>
      </c>
      <c r="AA299">
        <f>step3_validation[[#This Row],[AI_FAC1]]</f>
        <v>9</v>
      </c>
      <c r="AB299" t="str">
        <f t="shared" si="114"/>
        <v>Support</v>
      </c>
      <c r="AC299">
        <f>survey_responses[[#This Row],[Các thủ tục khai báo thuế VÀ/HOẶC quy trình làm việc với cơ quan thuế đơn giản, tiện lợi, nhanh chóng hơn so với trước đây. - HUMAN-FAC1]]</f>
        <v>5</v>
      </c>
      <c r="AD299" t="str">
        <f t="shared" si="115"/>
        <v>Neutral</v>
      </c>
      <c r="AE299" s="32">
        <f t="shared" si="116"/>
        <v>4</v>
      </c>
      <c r="AF299">
        <f>step3_validation[[#This Row],[AI_FAC2]]</f>
        <v>8</v>
      </c>
      <c r="AG299" t="str">
        <f t="shared" si="117"/>
        <v>Support</v>
      </c>
      <c r="AH299">
        <f>survey_responses[[#This Row],[So với trước đây, tôi thấy cách tính thuế và các bậc thuế trong phương án mới đơn giản, dễ hiểu và dễ thực hiện hơn. - HUMAN-FAC2]]</f>
        <v>10</v>
      </c>
      <c r="AI299" t="str">
        <f t="shared" si="118"/>
        <v>Support</v>
      </c>
      <c r="AJ299" s="32">
        <f t="shared" si="119"/>
        <v>2</v>
      </c>
      <c r="AK299">
        <f>step3_validation[[#This Row],[AI_TRU1]]</f>
        <v>9</v>
      </c>
      <c r="AL299" t="str">
        <f t="shared" si="120"/>
        <v>Support</v>
      </c>
      <c r="AM299">
        <f>survey_responses[[#This Row],[Tôi tin rằng Nhà nước, cơ quan thuế sẽ thực thi chính sách mới một cách khách quan, công tâm và đối xử bình đẳng với mọi người nộp thuế.  - HUMAN-TRU1]]</f>
        <v>10</v>
      </c>
      <c r="AN299" t="str">
        <f t="shared" si="121"/>
        <v>Support</v>
      </c>
      <c r="AO299" s="32">
        <f t="shared" si="122"/>
        <v>1</v>
      </c>
      <c r="AP299">
        <f>step3_validation[[#This Row],[AI_TRU2]]</f>
        <v>8</v>
      </c>
      <c r="AQ299" t="str">
        <f t="shared" si="123"/>
        <v>Support</v>
      </c>
      <c r="AR299">
        <f>survey_responses[[#This Row],[Tôi thấy mức thuế tôi phải đóng theo phương án mới là công bằng (người thu nhập như tôi đóng mức này là hợp lý). - HUMAN-TRU2]]</f>
        <v>5</v>
      </c>
      <c r="AS299" t="str">
        <f t="shared" si="124"/>
        <v>Neutral</v>
      </c>
      <c r="AT299" s="32">
        <f t="shared" si="125"/>
        <v>3</v>
      </c>
      <c r="AU299">
        <f>step3_validation[[#This Row],[AI_TRU3]]</f>
        <v>9</v>
      </c>
      <c r="AV299" t="str">
        <f t="shared" si="126"/>
        <v>Support</v>
      </c>
      <c r="AW299">
        <f>survey_responses[[#This Row],[Tôi tin tưởng số tiền thuế tôi đóng sẽ được Nhà nước sử dụng hiệu quả để cải thiện dịch vụ công (y tế, đường xá...). - HUMAN-TRU3]]</f>
        <v>5</v>
      </c>
      <c r="AX299" t="str">
        <f t="shared" si="127"/>
        <v>Neutral</v>
      </c>
      <c r="AY299" s="32">
        <f t="shared" si="128"/>
        <v>4</v>
      </c>
      <c r="AZ299">
        <f>step3_validation[[#This Row],[AI_TRU4]]</f>
        <v>8</v>
      </c>
      <c r="BA299" t="str">
        <f t="shared" si="129"/>
        <v>Support</v>
      </c>
      <c r="BB299">
        <f>survey_responses[[#This Row],[Tôi thấy Nhà nước đã giải thích rõ ràng, minh bạch về lý do và mục tiêu của việc sửa đổi thuế lần này. - HUMAN-TRU4]]</f>
        <v>5</v>
      </c>
      <c r="BC299" t="str">
        <f t="shared" si="130"/>
        <v>Neutral</v>
      </c>
      <c r="BD299" s="32">
        <f t="shared" si="131"/>
        <v>3</v>
      </c>
      <c r="BE299">
        <f>step3_validation[[#This Row],[AI_OUT1]]</f>
        <v>9</v>
      </c>
      <c r="BF299" t="str">
        <f t="shared" si="132"/>
        <v>Support</v>
      </c>
      <c r="BG299">
        <f>survey_responses[[#This Row],[Sau khi xem xét các quyền lợi và nghĩa vụ, bạn có ủng hộ và tuân thủ chính sách mới hiện nay? - HUMAN-OUT1]]</f>
        <v>5</v>
      </c>
      <c r="BH299" t="str">
        <f t="shared" si="133"/>
        <v>Neutral</v>
      </c>
      <c r="BI299" s="32">
        <f t="shared" si="134"/>
        <v>4</v>
      </c>
    </row>
    <row r="300" spans="1:61" x14ac:dyDescent="0.45">
      <c r="A300" s="30">
        <f>step3_validation[[#This Row],[Persona_ID]]</f>
        <v>299</v>
      </c>
      <c r="B300" s="31">
        <f>step3_validation[[#This Row],[Used_Seed]]</f>
        <v>12643</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32.44069611738707</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8</v>
      </c>
      <c r="R300" t="str">
        <f t="shared" si="108"/>
        <v>Support</v>
      </c>
      <c r="S300">
        <f>survey_responses[[#This Row],[Tôi tin rằng với các quy định quản lý thuế hiện nay, hành vi gian lận hoặc trốn thuế sẽ dễ dàng bị phát hiện và xử lý nghiêm. - HUMAN-ENF1]]</f>
        <v>10</v>
      </c>
      <c r="T300" t="str">
        <f t="shared" si="109"/>
        <v>Support</v>
      </c>
      <c r="U300" s="32">
        <f t="shared" si="110"/>
        <v>2</v>
      </c>
      <c r="V300">
        <f>step3_validation[[#This Row],[AI_ENF2]]</f>
        <v>7</v>
      </c>
      <c r="W300" t="str">
        <f t="shared" si="111"/>
        <v>Neutral</v>
      </c>
      <c r="X300">
        <f>survey_responses[[#This Row],[Tôi tin rằng Nhà nước, cơ quan thuế có đủ khả năng và công nghệ để phát hiện, xử lý nghiêm các hành vi trốn thuế. - HUMAN-ENF2]]</f>
        <v>10</v>
      </c>
      <c r="Y300" t="str">
        <f t="shared" si="112"/>
        <v>Support</v>
      </c>
      <c r="Z300" s="32">
        <f t="shared" si="113"/>
        <v>3</v>
      </c>
      <c r="AA300">
        <f>step3_validation[[#This Row],[AI_FAC1]]</f>
        <v>9</v>
      </c>
      <c r="AB300" t="str">
        <f t="shared" si="114"/>
        <v>Support</v>
      </c>
      <c r="AC300">
        <f>survey_responses[[#This Row],[Các thủ tục khai báo thuế VÀ/HOẶC quy trình làm việc với cơ quan thuế đơn giản, tiện lợi, nhanh chóng hơn so với trước đây. - HUMAN-FAC1]]</f>
        <v>10</v>
      </c>
      <c r="AD300" t="str">
        <f t="shared" si="115"/>
        <v>Support</v>
      </c>
      <c r="AE300" s="32">
        <f t="shared" si="116"/>
        <v>1</v>
      </c>
      <c r="AF300">
        <f>step3_validation[[#This Row],[AI_FAC2]]</f>
        <v>9</v>
      </c>
      <c r="AG300" t="str">
        <f t="shared" si="117"/>
        <v>Support</v>
      </c>
      <c r="AH300">
        <f>survey_responses[[#This Row],[So với trước đây, tôi thấy cách tính thuế và các bậc thuế trong phương án mới đơn giản, dễ hiểu và dễ thực hiện hơn. - HUMAN-FAC2]]</f>
        <v>10</v>
      </c>
      <c r="AI300" t="str">
        <f t="shared" si="118"/>
        <v>Support</v>
      </c>
      <c r="AJ300" s="32">
        <f t="shared" si="119"/>
        <v>1</v>
      </c>
      <c r="AK300">
        <f>step3_validation[[#This Row],[AI_TRU1]]</f>
        <v>7</v>
      </c>
      <c r="AL300" t="str">
        <f t="shared" si="120"/>
        <v>Neutral</v>
      </c>
      <c r="AM300">
        <f>survey_responses[[#This Row],[Tôi tin rằng Nhà nước, cơ quan thuế sẽ thực thi chính sách mới một cách khách quan, công tâm và đối xử bình đẳng với mọi người nộp thuế.  - HUMAN-TRU1]]</f>
        <v>10</v>
      </c>
      <c r="AN300" t="str">
        <f t="shared" si="121"/>
        <v>Support</v>
      </c>
      <c r="AO300" s="32">
        <f t="shared" si="122"/>
        <v>3</v>
      </c>
      <c r="AP300">
        <f>step3_validation[[#This Row],[AI_TRU2]]</f>
        <v>8</v>
      </c>
      <c r="AQ300" t="str">
        <f t="shared" si="123"/>
        <v>Support</v>
      </c>
      <c r="AR300">
        <f>survey_responses[[#This Row],[Tôi thấy mức thuế tôi phải đóng theo phương án mới là công bằng (người thu nhập như tôi đóng mức này là hợp lý). - HUMAN-TRU2]]</f>
        <v>10</v>
      </c>
      <c r="AS300" t="str">
        <f t="shared" si="124"/>
        <v>Support</v>
      </c>
      <c r="AT300" s="32">
        <f t="shared" si="125"/>
        <v>2</v>
      </c>
      <c r="AU300">
        <f>step3_validation[[#This Row],[AI_TRU3]]</f>
        <v>7</v>
      </c>
      <c r="AV300" t="str">
        <f t="shared" si="126"/>
        <v>Neutral</v>
      </c>
      <c r="AW300">
        <f>survey_responses[[#This Row],[Tôi tin tưởng số tiền thuế tôi đóng sẽ được Nhà nước sử dụng hiệu quả để cải thiện dịch vụ công (y tế, đường xá...). - HUMAN-TRU3]]</f>
        <v>10</v>
      </c>
      <c r="AX300" t="str">
        <f t="shared" si="127"/>
        <v>Support</v>
      </c>
      <c r="AY300" s="32">
        <f t="shared" si="128"/>
        <v>3</v>
      </c>
      <c r="AZ300">
        <f>step3_validation[[#This Row],[AI_TRU4]]</f>
        <v>8</v>
      </c>
      <c r="BA300" t="str">
        <f t="shared" si="129"/>
        <v>Support</v>
      </c>
      <c r="BB300">
        <f>survey_responses[[#This Row],[Tôi thấy Nhà nước đã giải thích rõ ràng, minh bạch về lý do và mục tiêu của việc sửa đổi thuế lần này. - HUMAN-TRU4]]</f>
        <v>10</v>
      </c>
      <c r="BC300" t="str">
        <f t="shared" si="130"/>
        <v>Support</v>
      </c>
      <c r="BD300" s="32">
        <f t="shared" si="131"/>
        <v>2</v>
      </c>
      <c r="BE300">
        <f>step3_validation[[#This Row],[AI_OUT1]]</f>
        <v>9</v>
      </c>
      <c r="BF300" t="str">
        <f t="shared" si="132"/>
        <v>Support</v>
      </c>
      <c r="BG300">
        <f>survey_responses[[#This Row],[Sau khi xem xét các quyền lợi và nghĩa vụ, bạn có ủng hộ và tuân thủ chính sách mới hiện nay? - HUMAN-OUT1]]</f>
        <v>10</v>
      </c>
      <c r="BH300" t="str">
        <f t="shared" si="133"/>
        <v>Support</v>
      </c>
      <c r="BI300" s="32">
        <f t="shared" si="134"/>
        <v>1</v>
      </c>
    </row>
    <row r="301" spans="1:61" x14ac:dyDescent="0.45">
      <c r="A301" s="30">
        <f>step3_validation[[#This Row],[Persona_ID]]</f>
        <v>300</v>
      </c>
      <c r="B301" s="31">
        <f>step3_validation[[#This Row],[Used_Seed]]</f>
        <v>12644</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25.493077285704377</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t="str">
        <f t="shared" si="108"/>
        <v>Neutral</v>
      </c>
      <c r="S301">
        <f>survey_responses[[#This Row],[Tôi tin rằng với các quy định quản lý thuế hiện nay, hành vi gian lận hoặc trốn thuế sẽ dễ dàng bị phát hiện và xử lý nghiêm. - HUMAN-ENF1]]</f>
        <v>9</v>
      </c>
      <c r="T301" t="str">
        <f t="shared" si="109"/>
        <v>Support</v>
      </c>
      <c r="U301" s="32">
        <f t="shared" si="110"/>
        <v>2</v>
      </c>
      <c r="V301">
        <f>step3_validation[[#This Row],[AI_ENF2]]</f>
        <v>8</v>
      </c>
      <c r="W301" t="str">
        <f t="shared" si="111"/>
        <v>Support</v>
      </c>
      <c r="X301">
        <f>survey_responses[[#This Row],[Tôi tin rằng Nhà nước, cơ quan thuế có đủ khả năng và công nghệ để phát hiện, xử lý nghiêm các hành vi trốn thuế. - HUMAN-ENF2]]</f>
        <v>9</v>
      </c>
      <c r="Y301" t="str">
        <f t="shared" si="112"/>
        <v>Support</v>
      </c>
      <c r="Z301" s="32">
        <f t="shared" si="113"/>
        <v>1</v>
      </c>
      <c r="AA301">
        <f>step3_validation[[#This Row],[AI_FAC1]]</f>
        <v>9</v>
      </c>
      <c r="AB301" t="str">
        <f t="shared" si="114"/>
        <v>Support</v>
      </c>
      <c r="AC301">
        <f>survey_responses[[#This Row],[Các thủ tục khai báo thuế VÀ/HOẶC quy trình làm việc với cơ quan thuế đơn giản, tiện lợi, nhanh chóng hơn so với trước đây. - HUMAN-FAC1]]</f>
        <v>8</v>
      </c>
      <c r="AD301" t="str">
        <f t="shared" si="115"/>
        <v>Support</v>
      </c>
      <c r="AE301" s="32">
        <f t="shared" si="116"/>
        <v>1</v>
      </c>
      <c r="AF301">
        <f>step3_validation[[#This Row],[AI_FAC2]]</f>
        <v>10</v>
      </c>
      <c r="AG301" t="str">
        <f t="shared" si="117"/>
        <v>Support</v>
      </c>
      <c r="AH301">
        <f>survey_responses[[#This Row],[So với trước đây, tôi thấy cách tính thuế và các bậc thuế trong phương án mới đơn giản, dễ hiểu và dễ thực hiện hơn. - HUMAN-FAC2]]</f>
        <v>10</v>
      </c>
      <c r="AI301" t="str">
        <f t="shared" si="118"/>
        <v>Support</v>
      </c>
      <c r="AJ301" s="32">
        <f t="shared" si="119"/>
        <v>0</v>
      </c>
      <c r="AK301">
        <f>step3_validation[[#This Row],[AI_TRU1]]</f>
        <v>6</v>
      </c>
      <c r="AL301" t="str">
        <f t="shared" si="120"/>
        <v>Neutral</v>
      </c>
      <c r="AM301">
        <f>survey_responses[[#This Row],[Tôi tin rằng Nhà nước, cơ quan thuế sẽ thực thi chính sách mới một cách khách quan, công tâm và đối xử bình đẳng với mọi người nộp thuế.  - HUMAN-TRU1]]</f>
        <v>8</v>
      </c>
      <c r="AN301" t="str">
        <f t="shared" si="121"/>
        <v>Support</v>
      </c>
      <c r="AO301" s="32">
        <f t="shared" si="122"/>
        <v>2</v>
      </c>
      <c r="AP301">
        <f>step3_validation[[#This Row],[AI_TRU2]]</f>
        <v>8</v>
      </c>
      <c r="AQ301" t="str">
        <f t="shared" si="123"/>
        <v>Support</v>
      </c>
      <c r="AR301">
        <f>survey_responses[[#This Row],[Tôi thấy mức thuế tôi phải đóng theo phương án mới là công bằng (người thu nhập như tôi đóng mức này là hợp lý). - HUMAN-TRU2]]</f>
        <v>8</v>
      </c>
      <c r="AS301" t="str">
        <f t="shared" si="124"/>
        <v>Support</v>
      </c>
      <c r="AT301" s="32">
        <f t="shared" si="125"/>
        <v>0</v>
      </c>
      <c r="AU301">
        <f>step3_validation[[#This Row],[AI_TRU3]]</f>
        <v>7</v>
      </c>
      <c r="AV301" t="str">
        <f t="shared" si="126"/>
        <v>Neutral</v>
      </c>
      <c r="AW301">
        <f>survey_responses[[#This Row],[Tôi tin tưởng số tiền thuế tôi đóng sẽ được Nhà nước sử dụng hiệu quả để cải thiện dịch vụ công (y tế, đường xá...). - HUMAN-TRU3]]</f>
        <v>10</v>
      </c>
      <c r="AX301" t="str">
        <f t="shared" si="127"/>
        <v>Support</v>
      </c>
      <c r="AY301" s="32">
        <f t="shared" si="128"/>
        <v>3</v>
      </c>
      <c r="AZ301">
        <f>step3_validation[[#This Row],[AI_TRU4]]</f>
        <v>6</v>
      </c>
      <c r="BA301" t="str">
        <f t="shared" si="129"/>
        <v>Neutral</v>
      </c>
      <c r="BB301">
        <f>survey_responses[[#This Row],[Tôi thấy Nhà nước đã giải thích rõ ràng, minh bạch về lý do và mục tiêu của việc sửa đổi thuế lần này. - HUMAN-TRU4]]</f>
        <v>9</v>
      </c>
      <c r="BC301" t="str">
        <f t="shared" si="130"/>
        <v>Support</v>
      </c>
      <c r="BD301" s="32">
        <f t="shared" si="131"/>
        <v>3</v>
      </c>
      <c r="BE301">
        <f>step3_validation[[#This Row],[AI_OUT1]]</f>
        <v>9</v>
      </c>
      <c r="BF301" t="str">
        <f t="shared" si="132"/>
        <v>Support</v>
      </c>
      <c r="BG301">
        <f>survey_responses[[#This Row],[Sau khi xem xét các quyền lợi và nghĩa vụ, bạn có ủng hộ và tuân thủ chính sách mới hiện nay? - HUMAN-OUT1]]</f>
        <v>9</v>
      </c>
      <c r="BH301" t="str">
        <f t="shared" si="133"/>
        <v>Support</v>
      </c>
      <c r="BI301" s="32">
        <f t="shared" si="134"/>
        <v>0</v>
      </c>
    </row>
    <row r="302" spans="1:61" x14ac:dyDescent="0.45">
      <c r="A302" s="30">
        <f>step3_validation[[#This Row],[Persona_ID]]</f>
        <v>301</v>
      </c>
      <c r="B302" s="31">
        <f>step3_validation[[#This Row],[Used_Seed]]</f>
        <v>12645</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7</v>
      </c>
      <c r="R302" t="str">
        <f t="shared" si="108"/>
        <v>Neutral</v>
      </c>
      <c r="S302">
        <f>survey_responses[[#This Row],[Tôi tin rằng với các quy định quản lý thuế hiện nay, hành vi gian lận hoặc trốn thuế sẽ dễ dàng bị phát hiện và xử lý nghiêm. - HUMAN-ENF1]]</f>
        <v>8</v>
      </c>
      <c r="T302" t="str">
        <f t="shared" si="109"/>
        <v>Support</v>
      </c>
      <c r="U302" s="32">
        <f t="shared" si="110"/>
        <v>1</v>
      </c>
      <c r="V302">
        <f>step3_validation[[#This Row],[AI_ENF2]]</f>
        <v>8</v>
      </c>
      <c r="W302" t="str">
        <f t="shared" si="111"/>
        <v>Support</v>
      </c>
      <c r="X302">
        <f>survey_responses[[#This Row],[Tôi tin rằng Nhà nước, cơ quan thuế có đủ khả năng và công nghệ để phát hiện, xử lý nghiêm các hành vi trốn thuế. - HUMAN-ENF2]]</f>
        <v>7</v>
      </c>
      <c r="Y302" t="str">
        <f t="shared" si="112"/>
        <v>Neutral</v>
      </c>
      <c r="Z302" s="32">
        <f t="shared" si="113"/>
        <v>1</v>
      </c>
      <c r="AA302">
        <f>step3_validation[[#This Row],[AI_FAC1]]</f>
        <v>9</v>
      </c>
      <c r="AB302" t="str">
        <f t="shared" si="114"/>
        <v>Support</v>
      </c>
      <c r="AC302">
        <f>survey_responses[[#This Row],[Các thủ tục khai báo thuế VÀ/HOẶC quy trình làm việc với cơ quan thuế đơn giản, tiện lợi, nhanh chóng hơn so với trước đây. - HUMAN-FAC1]]</f>
        <v>9</v>
      </c>
      <c r="AD302" t="str">
        <f t="shared" si="115"/>
        <v>Support</v>
      </c>
      <c r="AE302" s="32">
        <f t="shared" si="116"/>
        <v>0</v>
      </c>
      <c r="AF302">
        <f>step3_validation[[#This Row],[AI_FAC2]]</f>
        <v>10</v>
      </c>
      <c r="AG302" t="str">
        <f t="shared" si="117"/>
        <v>Support</v>
      </c>
      <c r="AH302">
        <f>survey_responses[[#This Row],[So với trước đây, tôi thấy cách tính thuế và các bậc thuế trong phương án mới đơn giản, dễ hiểu và dễ thực hiện hơn. - HUMAN-FAC2]]</f>
        <v>5</v>
      </c>
      <c r="AI302" t="str">
        <f t="shared" si="118"/>
        <v>Neutral</v>
      </c>
      <c r="AJ302" s="32">
        <f t="shared" si="119"/>
        <v>5</v>
      </c>
      <c r="AK302">
        <f>step3_validation[[#This Row],[AI_TRU1]]</f>
        <v>8</v>
      </c>
      <c r="AL302" t="str">
        <f t="shared" si="120"/>
        <v>Support</v>
      </c>
      <c r="AM302">
        <f>survey_responses[[#This Row],[Tôi tin rằng Nhà nước, cơ quan thuế sẽ thực thi chính sách mới một cách khách quan, công tâm và đối xử bình đẳng với mọi người nộp thuế.  - HUMAN-TRU1]]</f>
        <v>7</v>
      </c>
      <c r="AN302" t="str">
        <f t="shared" si="121"/>
        <v>Neutral</v>
      </c>
      <c r="AO302" s="32">
        <f t="shared" si="122"/>
        <v>1</v>
      </c>
      <c r="AP302">
        <f>step3_validation[[#This Row],[AI_TRU2]]</f>
        <v>9</v>
      </c>
      <c r="AQ302" t="str">
        <f t="shared" si="123"/>
        <v>Support</v>
      </c>
      <c r="AR302">
        <f>survey_responses[[#This Row],[Tôi thấy mức thuế tôi phải đóng theo phương án mới là công bằng (người thu nhập như tôi đóng mức này là hợp lý). - HUMAN-TRU2]]</f>
        <v>7</v>
      </c>
      <c r="AS302" t="str">
        <f t="shared" si="124"/>
        <v>Neutral</v>
      </c>
      <c r="AT302" s="32">
        <f t="shared" si="125"/>
        <v>2</v>
      </c>
      <c r="AU302">
        <f>step3_validation[[#This Row],[AI_TRU3]]</f>
        <v>7</v>
      </c>
      <c r="AV302" t="str">
        <f t="shared" si="126"/>
        <v>Neutral</v>
      </c>
      <c r="AW302">
        <f>survey_responses[[#This Row],[Tôi tin tưởng số tiền thuế tôi đóng sẽ được Nhà nước sử dụng hiệu quả để cải thiện dịch vụ công (y tế, đường xá...). - HUMAN-TRU3]]</f>
        <v>7</v>
      </c>
      <c r="AX302" t="str">
        <f t="shared" si="127"/>
        <v>Neutral</v>
      </c>
      <c r="AY302" s="32">
        <f t="shared" si="128"/>
        <v>0</v>
      </c>
      <c r="AZ302">
        <f>step3_validation[[#This Row],[AI_TRU4]]</f>
        <v>6</v>
      </c>
      <c r="BA302" t="str">
        <f t="shared" si="129"/>
        <v>Neutral</v>
      </c>
      <c r="BB302">
        <f>survey_responses[[#This Row],[Tôi thấy Nhà nước đã giải thích rõ ràng, minh bạch về lý do và mục tiêu của việc sửa đổi thuế lần này. - HUMAN-TRU4]]</f>
        <v>6</v>
      </c>
      <c r="BC302" t="str">
        <f t="shared" si="130"/>
        <v>Neutral</v>
      </c>
      <c r="BD302" s="32">
        <f t="shared" si="131"/>
        <v>0</v>
      </c>
      <c r="BE302">
        <f>step3_validation[[#This Row],[AI_OUT1]]</f>
        <v>9</v>
      </c>
      <c r="BF302" t="str">
        <f t="shared" si="132"/>
        <v>Support</v>
      </c>
      <c r="BG302">
        <f>survey_responses[[#This Row],[Sau khi xem xét các quyền lợi và nghĩa vụ, bạn có ủng hộ và tuân thủ chính sách mới hiện nay? - HUMAN-OUT1]]</f>
        <v>7</v>
      </c>
      <c r="BH302" t="str">
        <f t="shared" si="133"/>
        <v>Neutral</v>
      </c>
      <c r="BI302" s="32">
        <f t="shared" si="134"/>
        <v>2</v>
      </c>
    </row>
    <row r="303" spans="1:61" x14ac:dyDescent="0.45">
      <c r="A303" s="30">
        <f>step3_validation[[#This Row],[Persona_ID]]</f>
        <v>302</v>
      </c>
      <c r="B303" s="31">
        <f>step3_validation[[#This Row],[Used_Seed]]</f>
        <v>12646</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29.180053897591208</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8</v>
      </c>
      <c r="R303" t="str">
        <f t="shared" si="108"/>
        <v>Support</v>
      </c>
      <c r="S303">
        <f>survey_responses[[#This Row],[Tôi tin rằng với các quy định quản lý thuế hiện nay, hành vi gian lận hoặc trốn thuế sẽ dễ dàng bị phát hiện và xử lý nghiêm. - HUMAN-ENF1]]</f>
        <v>7</v>
      </c>
      <c r="T303" t="str">
        <f t="shared" si="109"/>
        <v>Neutral</v>
      </c>
      <c r="U303" s="32">
        <f t="shared" si="110"/>
        <v>1</v>
      </c>
      <c r="V303">
        <f>step3_validation[[#This Row],[AI_ENF2]]</f>
        <v>7</v>
      </c>
      <c r="W303" t="str">
        <f t="shared" si="111"/>
        <v>Neutral</v>
      </c>
      <c r="X303">
        <f>survey_responses[[#This Row],[Tôi tin rằng Nhà nước, cơ quan thuế có đủ khả năng và công nghệ để phát hiện, xử lý nghiêm các hành vi trốn thuế. - HUMAN-ENF2]]</f>
        <v>7</v>
      </c>
      <c r="Y303" t="str">
        <f t="shared" si="112"/>
        <v>Neutral</v>
      </c>
      <c r="Z303" s="32">
        <f t="shared" si="113"/>
        <v>0</v>
      </c>
      <c r="AA303">
        <f>step3_validation[[#This Row],[AI_FAC1]]</f>
        <v>8</v>
      </c>
      <c r="AB303" t="str">
        <f t="shared" si="114"/>
        <v>Support</v>
      </c>
      <c r="AC303">
        <f>survey_responses[[#This Row],[Các thủ tục khai báo thuế VÀ/HOẶC quy trình làm việc với cơ quan thuế đơn giản, tiện lợi, nhanh chóng hơn so với trước đây. - HUMAN-FAC1]]</f>
        <v>4</v>
      </c>
      <c r="AD303" t="str">
        <f t="shared" si="115"/>
        <v>Oppose</v>
      </c>
      <c r="AE303" s="32">
        <f t="shared" si="116"/>
        <v>4</v>
      </c>
      <c r="AF303">
        <f>step3_validation[[#This Row],[AI_FAC2]]</f>
        <v>9</v>
      </c>
      <c r="AG303" t="str">
        <f t="shared" si="117"/>
        <v>Support</v>
      </c>
      <c r="AH303">
        <f>survey_responses[[#This Row],[So với trước đây, tôi thấy cách tính thuế và các bậc thuế trong phương án mới đơn giản, dễ hiểu và dễ thực hiện hơn. - HUMAN-FAC2]]</f>
        <v>8</v>
      </c>
      <c r="AI303" t="str">
        <f t="shared" si="118"/>
        <v>Support</v>
      </c>
      <c r="AJ303" s="32">
        <f t="shared" si="119"/>
        <v>1</v>
      </c>
      <c r="AK303">
        <f>step3_validation[[#This Row],[AI_TRU1]]</f>
        <v>8</v>
      </c>
      <c r="AL303" t="str">
        <f t="shared" si="120"/>
        <v>Support</v>
      </c>
      <c r="AM303">
        <f>survey_responses[[#This Row],[Tôi tin rằng Nhà nước, cơ quan thuế sẽ thực thi chính sách mới một cách khách quan, công tâm và đối xử bình đẳng với mọi người nộp thuế.  - HUMAN-TRU1]]</f>
        <v>7</v>
      </c>
      <c r="AN303" t="str">
        <f t="shared" si="121"/>
        <v>Neutral</v>
      </c>
      <c r="AO303" s="32">
        <f t="shared" si="122"/>
        <v>1</v>
      </c>
      <c r="AP303">
        <f>step3_validation[[#This Row],[AI_TRU2]]</f>
        <v>9</v>
      </c>
      <c r="AQ303" t="str">
        <f t="shared" si="123"/>
        <v>Support</v>
      </c>
      <c r="AR303">
        <f>survey_responses[[#This Row],[Tôi thấy mức thuế tôi phải đóng theo phương án mới là công bằng (người thu nhập như tôi đóng mức này là hợp lý). - HUMAN-TRU2]]</f>
        <v>7</v>
      </c>
      <c r="AS303" t="str">
        <f t="shared" si="124"/>
        <v>Neutral</v>
      </c>
      <c r="AT303" s="32">
        <f t="shared" si="125"/>
        <v>2</v>
      </c>
      <c r="AU303">
        <f>step3_validation[[#This Row],[AI_TRU3]]</f>
        <v>8</v>
      </c>
      <c r="AV303" t="str">
        <f t="shared" si="126"/>
        <v>Support</v>
      </c>
      <c r="AW303">
        <f>survey_responses[[#This Row],[Tôi tin tưởng số tiền thuế tôi đóng sẽ được Nhà nước sử dụng hiệu quả để cải thiện dịch vụ công (y tế, đường xá...). - HUMAN-TRU3]]</f>
        <v>5</v>
      </c>
      <c r="AX303" t="str">
        <f t="shared" si="127"/>
        <v>Neutral</v>
      </c>
      <c r="AY303" s="32">
        <f t="shared" si="128"/>
        <v>3</v>
      </c>
      <c r="AZ303">
        <f>step3_validation[[#This Row],[AI_TRU4]]</f>
        <v>7</v>
      </c>
      <c r="BA303" t="str">
        <f t="shared" si="129"/>
        <v>Neutral</v>
      </c>
      <c r="BB303">
        <f>survey_responses[[#This Row],[Tôi thấy Nhà nước đã giải thích rõ ràng, minh bạch về lý do và mục tiêu của việc sửa đổi thuế lần này. - HUMAN-TRU4]]</f>
        <v>5</v>
      </c>
      <c r="BC303" t="str">
        <f t="shared" si="130"/>
        <v>Neutral</v>
      </c>
      <c r="BD303" s="32">
        <f t="shared" si="131"/>
        <v>2</v>
      </c>
      <c r="BE303">
        <f>step3_validation[[#This Row],[AI_OUT1]]</f>
        <v>9</v>
      </c>
      <c r="BF303" t="str">
        <f t="shared" si="132"/>
        <v>Support</v>
      </c>
      <c r="BG303">
        <f>survey_responses[[#This Row],[Sau khi xem xét các quyền lợi và nghĩa vụ, bạn có ủng hộ và tuân thủ chính sách mới hiện nay? - HUMAN-OUT1]]</f>
        <v>7</v>
      </c>
      <c r="BH303" t="str">
        <f t="shared" si="133"/>
        <v>Neutral</v>
      </c>
      <c r="BI303" s="32">
        <f t="shared" si="134"/>
        <v>2</v>
      </c>
    </row>
    <row r="304" spans="1:61" x14ac:dyDescent="0.45">
      <c r="A304" s="30">
        <f>step3_validation[[#This Row],[Persona_ID]]</f>
        <v>303</v>
      </c>
      <c r="B304" s="31">
        <f>step3_validation[[#This Row],[Used_Seed]]</f>
        <v>12647</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24.889605446300539</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t="str">
        <f t="shared" si="108"/>
        <v>Neutral</v>
      </c>
      <c r="S304">
        <f>survey_responses[[#This Row],[Tôi tin rằng với các quy định quản lý thuế hiện nay, hành vi gian lận hoặc trốn thuế sẽ dễ dàng bị phát hiện và xử lý nghiêm. - HUMAN-ENF1]]</f>
        <v>6</v>
      </c>
      <c r="T304" t="str">
        <f t="shared" si="109"/>
        <v>Neutral</v>
      </c>
      <c r="U304" s="32">
        <f t="shared" si="110"/>
        <v>1</v>
      </c>
      <c r="V304">
        <f>step3_validation[[#This Row],[AI_ENF2]]</f>
        <v>7</v>
      </c>
      <c r="W304" t="str">
        <f t="shared" si="111"/>
        <v>Neutral</v>
      </c>
      <c r="X304">
        <f>survey_responses[[#This Row],[Tôi tin rằng Nhà nước, cơ quan thuế có đủ khả năng và công nghệ để phát hiện, xử lý nghiêm các hành vi trốn thuế. - HUMAN-ENF2]]</f>
        <v>10</v>
      </c>
      <c r="Y304" t="str">
        <f t="shared" si="112"/>
        <v>Support</v>
      </c>
      <c r="Z304" s="32">
        <f t="shared" si="113"/>
        <v>3</v>
      </c>
      <c r="AA304">
        <f>step3_validation[[#This Row],[AI_FAC1]]</f>
        <v>8</v>
      </c>
      <c r="AB304" t="str">
        <f t="shared" si="114"/>
        <v>Support</v>
      </c>
      <c r="AC304">
        <f>survey_responses[[#This Row],[Các thủ tục khai báo thuế VÀ/HOẶC quy trình làm việc với cơ quan thuế đơn giản, tiện lợi, nhanh chóng hơn so với trước đây. - HUMAN-FAC1]]</f>
        <v>5</v>
      </c>
      <c r="AD304" t="str">
        <f t="shared" si="115"/>
        <v>Neutral</v>
      </c>
      <c r="AE304" s="32">
        <f t="shared" si="116"/>
        <v>3</v>
      </c>
      <c r="AF304">
        <f>step3_validation[[#This Row],[AI_FAC2]]</f>
        <v>9</v>
      </c>
      <c r="AG304" t="str">
        <f t="shared" si="117"/>
        <v>Support</v>
      </c>
      <c r="AH304">
        <f>survey_responses[[#This Row],[So với trước đây, tôi thấy cách tính thuế và các bậc thuế trong phương án mới đơn giản, dễ hiểu và dễ thực hiện hơn. - HUMAN-FAC2]]</f>
        <v>4</v>
      </c>
      <c r="AI304" t="str">
        <f t="shared" si="118"/>
        <v>Oppose</v>
      </c>
      <c r="AJ304" s="32">
        <f t="shared" si="119"/>
        <v>5</v>
      </c>
      <c r="AK304">
        <f>step3_validation[[#This Row],[AI_TRU1]]</f>
        <v>8</v>
      </c>
      <c r="AL304" t="str">
        <f t="shared" si="120"/>
        <v>Support</v>
      </c>
      <c r="AM304">
        <f>survey_responses[[#This Row],[Tôi tin rằng Nhà nước, cơ quan thuế sẽ thực thi chính sách mới một cách khách quan, công tâm và đối xử bình đẳng với mọi người nộp thuế.  - HUMAN-TRU1]]</f>
        <v>3</v>
      </c>
      <c r="AN304" t="str">
        <f t="shared" si="121"/>
        <v>Oppose</v>
      </c>
      <c r="AO304" s="32">
        <f t="shared" si="122"/>
        <v>5</v>
      </c>
      <c r="AP304">
        <f>step3_validation[[#This Row],[AI_TRU2]]</f>
        <v>9</v>
      </c>
      <c r="AQ304" t="str">
        <f t="shared" si="123"/>
        <v>Support</v>
      </c>
      <c r="AR304">
        <f>survey_responses[[#This Row],[Tôi thấy mức thuế tôi phải đóng theo phương án mới là công bằng (người thu nhập như tôi đóng mức này là hợp lý). - HUMAN-TRU2]]</f>
        <v>7</v>
      </c>
      <c r="AS304" t="str">
        <f t="shared" si="124"/>
        <v>Neutral</v>
      </c>
      <c r="AT304" s="32">
        <f t="shared" si="125"/>
        <v>2</v>
      </c>
      <c r="AU304">
        <f>step3_validation[[#This Row],[AI_TRU3]]</f>
        <v>8</v>
      </c>
      <c r="AV304" t="str">
        <f t="shared" si="126"/>
        <v>Support</v>
      </c>
      <c r="AW304">
        <f>survey_responses[[#This Row],[Tôi tin tưởng số tiền thuế tôi đóng sẽ được Nhà nước sử dụng hiệu quả để cải thiện dịch vụ công (y tế, đường xá...). - HUMAN-TRU3]]</f>
        <v>4</v>
      </c>
      <c r="AX304" t="str">
        <f t="shared" si="127"/>
        <v>Oppose</v>
      </c>
      <c r="AY304" s="32">
        <f t="shared" si="128"/>
        <v>4</v>
      </c>
      <c r="AZ304">
        <f>step3_validation[[#This Row],[AI_TRU4]]</f>
        <v>9</v>
      </c>
      <c r="BA304" t="str">
        <f t="shared" si="129"/>
        <v>Support</v>
      </c>
      <c r="BB304">
        <f>survey_responses[[#This Row],[Tôi thấy Nhà nước đã giải thích rõ ràng, minh bạch về lý do và mục tiêu của việc sửa đổi thuế lần này. - HUMAN-TRU4]]</f>
        <v>4</v>
      </c>
      <c r="BC304" t="str">
        <f t="shared" si="130"/>
        <v>Oppose</v>
      </c>
      <c r="BD304" s="32">
        <f t="shared" si="131"/>
        <v>5</v>
      </c>
      <c r="BE304">
        <f>step3_validation[[#This Row],[AI_OUT1]]</f>
        <v>9</v>
      </c>
      <c r="BF304" t="str">
        <f t="shared" si="132"/>
        <v>Support</v>
      </c>
      <c r="BG304">
        <f>survey_responses[[#This Row],[Sau khi xem xét các quyền lợi và nghĩa vụ, bạn có ủng hộ và tuân thủ chính sách mới hiện nay? - HUMAN-OUT1]]</f>
        <v>5</v>
      </c>
      <c r="BH304" t="str">
        <f t="shared" si="133"/>
        <v>Neutral</v>
      </c>
      <c r="BI304" s="32">
        <f t="shared" si="134"/>
        <v>4</v>
      </c>
    </row>
    <row r="305" spans="1:61" x14ac:dyDescent="0.45">
      <c r="A305" s="30">
        <f>step3_validation[[#This Row],[Persona_ID]]</f>
        <v>304</v>
      </c>
      <c r="B305" s="31">
        <f>step3_validation[[#This Row],[Used_Seed]]</f>
        <v>12648</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t="str">
        <f t="shared" si="108"/>
        <v>Neutral</v>
      </c>
      <c r="S305">
        <f>survey_responses[[#This Row],[Tôi tin rằng với các quy định quản lý thuế hiện nay, hành vi gian lận hoặc trốn thuế sẽ dễ dàng bị phát hiện và xử lý nghiêm. - HUMAN-ENF1]]</f>
        <v>10</v>
      </c>
      <c r="T305" t="str">
        <f t="shared" si="109"/>
        <v>Support</v>
      </c>
      <c r="U305" s="32">
        <f t="shared" si="110"/>
        <v>4</v>
      </c>
      <c r="V305">
        <f>step3_validation[[#This Row],[AI_ENF2]]</f>
        <v>7</v>
      </c>
      <c r="W305" t="str">
        <f t="shared" si="111"/>
        <v>Neutral</v>
      </c>
      <c r="X305">
        <f>survey_responses[[#This Row],[Tôi tin rằng Nhà nước, cơ quan thuế có đủ khả năng và công nghệ để phát hiện, xử lý nghiêm các hành vi trốn thuế. - HUMAN-ENF2]]</f>
        <v>10</v>
      </c>
      <c r="Y305" t="str">
        <f t="shared" si="112"/>
        <v>Support</v>
      </c>
      <c r="Z305" s="32">
        <f t="shared" si="113"/>
        <v>3</v>
      </c>
      <c r="AA305">
        <f>step3_validation[[#This Row],[AI_FAC1]]</f>
        <v>8</v>
      </c>
      <c r="AB305" t="str">
        <f t="shared" si="114"/>
        <v>Support</v>
      </c>
      <c r="AC305">
        <f>survey_responses[[#This Row],[Các thủ tục khai báo thuế VÀ/HOẶC quy trình làm việc với cơ quan thuế đơn giản, tiện lợi, nhanh chóng hơn so với trước đây. - HUMAN-FAC1]]</f>
        <v>10</v>
      </c>
      <c r="AD305" t="str">
        <f t="shared" si="115"/>
        <v>Support</v>
      </c>
      <c r="AE305" s="32">
        <f t="shared" si="116"/>
        <v>2</v>
      </c>
      <c r="AF305">
        <f>step3_validation[[#This Row],[AI_FAC2]]</f>
        <v>9</v>
      </c>
      <c r="AG305" t="str">
        <f t="shared" si="117"/>
        <v>Support</v>
      </c>
      <c r="AH305">
        <f>survey_responses[[#This Row],[So với trước đây, tôi thấy cách tính thuế và các bậc thuế trong phương án mới đơn giản, dễ hiểu và dễ thực hiện hơn. - HUMAN-FAC2]]</f>
        <v>10</v>
      </c>
      <c r="AI305" t="str">
        <f t="shared" si="118"/>
        <v>Support</v>
      </c>
      <c r="AJ305" s="32">
        <f t="shared" si="119"/>
        <v>1</v>
      </c>
      <c r="AK305">
        <f>step3_validation[[#This Row],[AI_TRU1]]</f>
        <v>7</v>
      </c>
      <c r="AL305" t="str">
        <f t="shared" si="120"/>
        <v>Neutral</v>
      </c>
      <c r="AM305">
        <f>survey_responses[[#This Row],[Tôi tin rằng Nhà nước, cơ quan thuế sẽ thực thi chính sách mới một cách khách quan, công tâm và đối xử bình đẳng với mọi người nộp thuế.  - HUMAN-TRU1]]</f>
        <v>10</v>
      </c>
      <c r="AN305" t="str">
        <f t="shared" si="121"/>
        <v>Support</v>
      </c>
      <c r="AO305" s="32">
        <f t="shared" si="122"/>
        <v>3</v>
      </c>
      <c r="AP305">
        <f>step3_validation[[#This Row],[AI_TRU2]]</f>
        <v>9</v>
      </c>
      <c r="AQ305" t="str">
        <f t="shared" si="123"/>
        <v>Support</v>
      </c>
      <c r="AR305">
        <f>survey_responses[[#This Row],[Tôi thấy mức thuế tôi phải đóng theo phương án mới là công bằng (người thu nhập như tôi đóng mức này là hợp lý). - HUMAN-TRU2]]</f>
        <v>10</v>
      </c>
      <c r="AS305" t="str">
        <f t="shared" si="124"/>
        <v>Support</v>
      </c>
      <c r="AT305" s="32">
        <f t="shared" si="125"/>
        <v>1</v>
      </c>
      <c r="AU305">
        <f>step3_validation[[#This Row],[AI_TRU3]]</f>
        <v>7</v>
      </c>
      <c r="AV305" t="str">
        <f t="shared" si="126"/>
        <v>Neutral</v>
      </c>
      <c r="AW305">
        <f>survey_responses[[#This Row],[Tôi tin tưởng số tiền thuế tôi đóng sẽ được Nhà nước sử dụng hiệu quả để cải thiện dịch vụ công (y tế, đường xá...). - HUMAN-TRU3]]</f>
        <v>10</v>
      </c>
      <c r="AX305" t="str">
        <f t="shared" si="127"/>
        <v>Support</v>
      </c>
      <c r="AY305" s="32">
        <f t="shared" si="128"/>
        <v>3</v>
      </c>
      <c r="AZ305">
        <f>step3_validation[[#This Row],[AI_TRU4]]</f>
        <v>6</v>
      </c>
      <c r="BA305" t="str">
        <f t="shared" si="129"/>
        <v>Neutral</v>
      </c>
      <c r="BB305">
        <f>survey_responses[[#This Row],[Tôi thấy Nhà nước đã giải thích rõ ràng, minh bạch về lý do và mục tiêu của việc sửa đổi thuế lần này. - HUMAN-TRU4]]</f>
        <v>10</v>
      </c>
      <c r="BC305" t="str">
        <f t="shared" si="130"/>
        <v>Support</v>
      </c>
      <c r="BD305" s="32">
        <f t="shared" si="131"/>
        <v>4</v>
      </c>
      <c r="BE305">
        <f>step3_validation[[#This Row],[AI_OUT1]]</f>
        <v>9</v>
      </c>
      <c r="BF305" t="str">
        <f t="shared" si="132"/>
        <v>Support</v>
      </c>
      <c r="BG305">
        <f>survey_responses[[#This Row],[Sau khi xem xét các quyền lợi và nghĩa vụ, bạn có ủng hộ và tuân thủ chính sách mới hiện nay? - HUMAN-OUT1]]</f>
        <v>10</v>
      </c>
      <c r="BH305" t="str">
        <f t="shared" si="133"/>
        <v>Support</v>
      </c>
      <c r="BI305" s="32">
        <f t="shared" si="134"/>
        <v>1</v>
      </c>
    </row>
    <row r="306" spans="1:61" x14ac:dyDescent="0.45">
      <c r="A306" s="30">
        <f>step3_validation[[#This Row],[Persona_ID]]</f>
        <v>305</v>
      </c>
      <c r="B306" s="31">
        <f>step3_validation[[#This Row],[Used_Seed]]</f>
        <v>12649</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32.57063773134351</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t="str">
        <f t="shared" si="108"/>
        <v>Neutral</v>
      </c>
      <c r="S306">
        <f>survey_responses[[#This Row],[Tôi tin rằng với các quy định quản lý thuế hiện nay, hành vi gian lận hoặc trốn thuế sẽ dễ dàng bị phát hiện và xử lý nghiêm. - HUMAN-ENF1]]</f>
        <v>7</v>
      </c>
      <c r="T306" t="str">
        <f t="shared" si="109"/>
        <v>Neutral</v>
      </c>
      <c r="U306" s="32">
        <f t="shared" si="110"/>
        <v>0</v>
      </c>
      <c r="V306">
        <f>step3_validation[[#This Row],[AI_ENF2]]</f>
        <v>6</v>
      </c>
      <c r="W306" t="str">
        <f t="shared" si="111"/>
        <v>Neutral</v>
      </c>
      <c r="X306">
        <f>survey_responses[[#This Row],[Tôi tin rằng Nhà nước, cơ quan thuế có đủ khả năng và công nghệ để phát hiện, xử lý nghiêm các hành vi trốn thuế. - HUMAN-ENF2]]</f>
        <v>9</v>
      </c>
      <c r="Y306" t="str">
        <f t="shared" si="112"/>
        <v>Support</v>
      </c>
      <c r="Z306" s="32">
        <f t="shared" si="113"/>
        <v>3</v>
      </c>
      <c r="AA306">
        <f>step3_validation[[#This Row],[AI_FAC1]]</f>
        <v>7</v>
      </c>
      <c r="AB306" t="str">
        <f t="shared" si="114"/>
        <v>Neutral</v>
      </c>
      <c r="AC306">
        <f>survey_responses[[#This Row],[Các thủ tục khai báo thuế VÀ/HOẶC quy trình làm việc với cơ quan thuế đơn giản, tiện lợi, nhanh chóng hơn so với trước đây. - HUMAN-FAC1]]</f>
        <v>8</v>
      </c>
      <c r="AD306" t="str">
        <f t="shared" si="115"/>
        <v>Support</v>
      </c>
      <c r="AE306" s="32">
        <f t="shared" si="116"/>
        <v>1</v>
      </c>
      <c r="AF306">
        <f>step3_validation[[#This Row],[AI_FAC2]]</f>
        <v>8</v>
      </c>
      <c r="AG306" t="str">
        <f t="shared" si="117"/>
        <v>Support</v>
      </c>
      <c r="AH306">
        <f>survey_responses[[#This Row],[So với trước đây, tôi thấy cách tính thuế và các bậc thuế trong phương án mới đơn giản, dễ hiểu và dễ thực hiện hơn. - HUMAN-FAC2]]</f>
        <v>6</v>
      </c>
      <c r="AI306" t="str">
        <f t="shared" si="118"/>
        <v>Neutral</v>
      </c>
      <c r="AJ306" s="32">
        <f t="shared" si="119"/>
        <v>2</v>
      </c>
      <c r="AK306">
        <f>step3_validation[[#This Row],[AI_TRU1]]</f>
        <v>6</v>
      </c>
      <c r="AL306" t="str">
        <f t="shared" si="120"/>
        <v>Neutral</v>
      </c>
      <c r="AM306">
        <f>survey_responses[[#This Row],[Tôi tin rằng Nhà nước, cơ quan thuế sẽ thực thi chính sách mới một cách khách quan, công tâm và đối xử bình đẳng với mọi người nộp thuế.  - HUMAN-TRU1]]</f>
        <v>5</v>
      </c>
      <c r="AN306" t="str">
        <f t="shared" si="121"/>
        <v>Neutral</v>
      </c>
      <c r="AO306" s="32">
        <f t="shared" si="122"/>
        <v>1</v>
      </c>
      <c r="AP306">
        <f>step3_validation[[#This Row],[AI_TRU2]]</f>
        <v>8</v>
      </c>
      <c r="AQ306" t="str">
        <f t="shared" si="123"/>
        <v>Support</v>
      </c>
      <c r="AR306">
        <f>survey_responses[[#This Row],[Tôi thấy mức thuế tôi phải đóng theo phương án mới là công bằng (người thu nhập như tôi đóng mức này là hợp lý). - HUMAN-TRU2]]</f>
        <v>3</v>
      </c>
      <c r="AS306" t="str">
        <f t="shared" si="124"/>
        <v>Oppose</v>
      </c>
      <c r="AT306" s="32">
        <f t="shared" si="125"/>
        <v>5</v>
      </c>
      <c r="AU306">
        <f>step3_validation[[#This Row],[AI_TRU3]]</f>
        <v>6</v>
      </c>
      <c r="AV306" t="str">
        <f t="shared" si="126"/>
        <v>Neutral</v>
      </c>
      <c r="AW306">
        <f>survey_responses[[#This Row],[Tôi tin tưởng số tiền thuế tôi đóng sẽ được Nhà nước sử dụng hiệu quả để cải thiện dịch vụ công (y tế, đường xá...). - HUMAN-TRU3]]</f>
        <v>9</v>
      </c>
      <c r="AX306" t="str">
        <f t="shared" si="127"/>
        <v>Support</v>
      </c>
      <c r="AY306" s="32">
        <f t="shared" si="128"/>
        <v>3</v>
      </c>
      <c r="AZ306">
        <f>step3_validation[[#This Row],[AI_TRU4]]</f>
        <v>7</v>
      </c>
      <c r="BA306" t="str">
        <f t="shared" si="129"/>
        <v>Neutral</v>
      </c>
      <c r="BB306">
        <f>survey_responses[[#This Row],[Tôi thấy Nhà nước đã giải thích rõ ràng, minh bạch về lý do và mục tiêu của việc sửa đổi thuế lần này. - HUMAN-TRU4]]</f>
        <v>3</v>
      </c>
      <c r="BC306" t="str">
        <f t="shared" si="130"/>
        <v>Oppose</v>
      </c>
      <c r="BD306" s="32">
        <f t="shared" si="131"/>
        <v>4</v>
      </c>
      <c r="BE306">
        <f>step3_validation[[#This Row],[AI_OUT1]]</f>
        <v>8</v>
      </c>
      <c r="BF306" t="str">
        <f t="shared" si="132"/>
        <v>Support</v>
      </c>
      <c r="BG306">
        <f>survey_responses[[#This Row],[Sau khi xem xét các quyền lợi và nghĩa vụ, bạn có ủng hộ và tuân thủ chính sách mới hiện nay? - HUMAN-OUT1]]</f>
        <v>4</v>
      </c>
      <c r="BH306" t="str">
        <f t="shared" si="133"/>
        <v>Oppose</v>
      </c>
      <c r="BI306" s="32">
        <f t="shared" si="134"/>
        <v>4</v>
      </c>
    </row>
    <row r="307" spans="1:61" x14ac:dyDescent="0.45">
      <c r="A307" s="30">
        <f>step3_validation[[#This Row],[Persona_ID]]</f>
        <v>306</v>
      </c>
      <c r="B307" s="31">
        <f>step3_validation[[#This Row],[Used_Seed]]</f>
        <v>12650</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67.890443679752039</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6</v>
      </c>
      <c r="R307" t="str">
        <f t="shared" si="108"/>
        <v>Neutral</v>
      </c>
      <c r="S307">
        <f>survey_responses[[#This Row],[Tôi tin rằng với các quy định quản lý thuế hiện nay, hành vi gian lận hoặc trốn thuế sẽ dễ dàng bị phát hiện và xử lý nghiêm. - HUMAN-ENF1]]</f>
        <v>3</v>
      </c>
      <c r="T307" t="str">
        <f t="shared" si="109"/>
        <v>Oppose</v>
      </c>
      <c r="U307" s="32">
        <f t="shared" si="110"/>
        <v>3</v>
      </c>
      <c r="V307">
        <f>step3_validation[[#This Row],[AI_ENF2]]</f>
        <v>5</v>
      </c>
      <c r="W307" t="str">
        <f t="shared" si="111"/>
        <v>Neutral</v>
      </c>
      <c r="X307">
        <f>survey_responses[[#This Row],[Tôi tin rằng Nhà nước, cơ quan thuế có đủ khả năng và công nghệ để phát hiện, xử lý nghiêm các hành vi trốn thuế. - HUMAN-ENF2]]</f>
        <v>8</v>
      </c>
      <c r="Y307" t="str">
        <f t="shared" si="112"/>
        <v>Support</v>
      </c>
      <c r="Z307" s="32">
        <f t="shared" si="113"/>
        <v>3</v>
      </c>
      <c r="AA307">
        <f>step3_validation[[#This Row],[AI_FAC1]]</f>
        <v>8</v>
      </c>
      <c r="AB307" t="str">
        <f t="shared" si="114"/>
        <v>Support</v>
      </c>
      <c r="AC307">
        <f>survey_responses[[#This Row],[Các thủ tục khai báo thuế VÀ/HOẶC quy trình làm việc với cơ quan thuế đơn giản, tiện lợi, nhanh chóng hơn so với trước đây. - HUMAN-FAC1]]</f>
        <v>8</v>
      </c>
      <c r="AD307" t="str">
        <f t="shared" si="115"/>
        <v>Support</v>
      </c>
      <c r="AE307" s="32">
        <f t="shared" si="116"/>
        <v>0</v>
      </c>
      <c r="AF307">
        <f>step3_validation[[#This Row],[AI_FAC2]]</f>
        <v>9</v>
      </c>
      <c r="AG307" t="str">
        <f t="shared" si="117"/>
        <v>Support</v>
      </c>
      <c r="AH307">
        <f>survey_responses[[#This Row],[So với trước đây, tôi thấy cách tính thuế và các bậc thuế trong phương án mới đơn giản, dễ hiểu và dễ thực hiện hơn. - HUMAN-FAC2]]</f>
        <v>4</v>
      </c>
      <c r="AI307" t="str">
        <f t="shared" si="118"/>
        <v>Oppose</v>
      </c>
      <c r="AJ307" s="32">
        <f t="shared" si="119"/>
        <v>5</v>
      </c>
      <c r="AK307">
        <f>step3_validation[[#This Row],[AI_TRU1]]</f>
        <v>7</v>
      </c>
      <c r="AL307" t="str">
        <f t="shared" si="120"/>
        <v>Neutral</v>
      </c>
      <c r="AM307">
        <f>survey_responses[[#This Row],[Tôi tin rằng Nhà nước, cơ quan thuế sẽ thực thi chính sách mới một cách khách quan, công tâm và đối xử bình đẳng với mọi người nộp thuế.  - HUMAN-TRU1]]</f>
        <v>4</v>
      </c>
      <c r="AN307" t="str">
        <f t="shared" si="121"/>
        <v>Oppose</v>
      </c>
      <c r="AO307" s="32">
        <f t="shared" si="122"/>
        <v>3</v>
      </c>
      <c r="AP307">
        <f>step3_validation[[#This Row],[AI_TRU2]]</f>
        <v>9</v>
      </c>
      <c r="AQ307" t="str">
        <f t="shared" si="123"/>
        <v>Support</v>
      </c>
      <c r="AR307">
        <f>survey_responses[[#This Row],[Tôi thấy mức thuế tôi phải đóng theo phương án mới là công bằng (người thu nhập như tôi đóng mức này là hợp lý). - HUMAN-TRU2]]</f>
        <v>3</v>
      </c>
      <c r="AS307" t="str">
        <f t="shared" si="124"/>
        <v>Oppose</v>
      </c>
      <c r="AT307" s="32">
        <f t="shared" si="125"/>
        <v>6</v>
      </c>
      <c r="AU307">
        <f>step3_validation[[#This Row],[AI_TRU3]]</f>
        <v>8</v>
      </c>
      <c r="AV307" t="str">
        <f t="shared" si="126"/>
        <v>Support</v>
      </c>
      <c r="AW307">
        <f>survey_responses[[#This Row],[Tôi tin tưởng số tiền thuế tôi đóng sẽ được Nhà nước sử dụng hiệu quả để cải thiện dịch vụ công (y tế, đường xá...). - HUMAN-TRU3]]</f>
        <v>7</v>
      </c>
      <c r="AX307" t="str">
        <f t="shared" si="127"/>
        <v>Neutral</v>
      </c>
      <c r="AY307" s="32">
        <f t="shared" si="128"/>
        <v>1</v>
      </c>
      <c r="AZ307">
        <f>step3_validation[[#This Row],[AI_TRU4]]</f>
        <v>7</v>
      </c>
      <c r="BA307" t="str">
        <f t="shared" si="129"/>
        <v>Neutral</v>
      </c>
      <c r="BB307">
        <f>survey_responses[[#This Row],[Tôi thấy Nhà nước đã giải thích rõ ràng, minh bạch về lý do và mục tiêu của việc sửa đổi thuế lần này. - HUMAN-TRU4]]</f>
        <v>5</v>
      </c>
      <c r="BC307" t="str">
        <f t="shared" si="130"/>
        <v>Neutral</v>
      </c>
      <c r="BD307" s="32">
        <f t="shared" si="131"/>
        <v>2</v>
      </c>
      <c r="BE307">
        <f>step3_validation[[#This Row],[AI_OUT1]]</f>
        <v>9</v>
      </c>
      <c r="BF307" t="str">
        <f t="shared" si="132"/>
        <v>Support</v>
      </c>
      <c r="BG307">
        <f>survey_responses[[#This Row],[Sau khi xem xét các quyền lợi và nghĩa vụ, bạn có ủng hộ và tuân thủ chính sách mới hiện nay? - HUMAN-OUT1]]</f>
        <v>5</v>
      </c>
      <c r="BH307" t="str">
        <f t="shared" si="133"/>
        <v>Neutral</v>
      </c>
      <c r="BI307" s="32">
        <f t="shared" si="134"/>
        <v>4</v>
      </c>
    </row>
    <row r="308" spans="1:61" x14ac:dyDescent="0.45">
      <c r="A308" s="30">
        <f>step3_validation[[#This Row],[Persona_ID]]</f>
        <v>307</v>
      </c>
      <c r="B308" s="31">
        <f>step3_validation[[#This Row],[Used_Seed]]</f>
        <v>12651</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12.333176127212651</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5</v>
      </c>
      <c r="R308" t="str">
        <f t="shared" si="108"/>
        <v>Neutral</v>
      </c>
      <c r="S308">
        <f>survey_responses[[#This Row],[Tôi tin rằng với các quy định quản lý thuế hiện nay, hành vi gian lận hoặc trốn thuế sẽ dễ dàng bị phát hiện và xử lý nghiêm. - HUMAN-ENF1]]</f>
        <v>2</v>
      </c>
      <c r="T308" t="str">
        <f t="shared" si="109"/>
        <v>Oppose</v>
      </c>
      <c r="U308" s="32">
        <f t="shared" si="110"/>
        <v>3</v>
      </c>
      <c r="V308">
        <f>step3_validation[[#This Row],[AI_ENF2]]</f>
        <v>5</v>
      </c>
      <c r="W308" t="str">
        <f t="shared" si="111"/>
        <v>Neutral</v>
      </c>
      <c r="X308">
        <f>survey_responses[[#This Row],[Tôi tin rằng Nhà nước, cơ quan thuế có đủ khả năng và công nghệ để phát hiện, xử lý nghiêm các hành vi trốn thuế. - HUMAN-ENF2]]</f>
        <v>2</v>
      </c>
      <c r="Y308" t="str">
        <f t="shared" si="112"/>
        <v>Oppose</v>
      </c>
      <c r="Z308" s="32">
        <f t="shared" si="113"/>
        <v>3</v>
      </c>
      <c r="AA308">
        <f>step3_validation[[#This Row],[AI_FAC1]]</f>
        <v>8</v>
      </c>
      <c r="AB308" t="str">
        <f t="shared" si="114"/>
        <v>Support</v>
      </c>
      <c r="AC308">
        <f>survey_responses[[#This Row],[Các thủ tục khai báo thuế VÀ/HOẶC quy trình làm việc với cơ quan thuế đơn giản, tiện lợi, nhanh chóng hơn so với trước đây. - HUMAN-FAC1]]</f>
        <v>2</v>
      </c>
      <c r="AD308" t="str">
        <f t="shared" si="115"/>
        <v>Oppose</v>
      </c>
      <c r="AE308" s="32">
        <f t="shared" si="116"/>
        <v>6</v>
      </c>
      <c r="AF308">
        <f>step3_validation[[#This Row],[AI_FAC2]]</f>
        <v>7</v>
      </c>
      <c r="AG308" t="str">
        <f t="shared" si="117"/>
        <v>Neutral</v>
      </c>
      <c r="AH308">
        <f>survey_responses[[#This Row],[So với trước đây, tôi thấy cách tính thuế và các bậc thuế trong phương án mới đơn giản, dễ hiểu và dễ thực hiện hơn. - HUMAN-FAC2]]</f>
        <v>1</v>
      </c>
      <c r="AI308" t="str">
        <f t="shared" si="118"/>
        <v>Oppose</v>
      </c>
      <c r="AJ308" s="32">
        <f t="shared" si="119"/>
        <v>6</v>
      </c>
      <c r="AK308">
        <f>step3_validation[[#This Row],[AI_TRU1]]</f>
        <v>8</v>
      </c>
      <c r="AL308" t="str">
        <f t="shared" si="120"/>
        <v>Support</v>
      </c>
      <c r="AM308">
        <f>survey_responses[[#This Row],[Tôi tin rằng Nhà nước, cơ quan thuế sẽ thực thi chính sách mới một cách khách quan, công tâm và đối xử bình đẳng với mọi người nộp thuế.  - HUMAN-TRU1]]</f>
        <v>2</v>
      </c>
      <c r="AN308" t="str">
        <f t="shared" si="121"/>
        <v>Oppose</v>
      </c>
      <c r="AO308" s="32">
        <f t="shared" si="122"/>
        <v>6</v>
      </c>
      <c r="AP308">
        <f>step3_validation[[#This Row],[AI_TRU2]]</f>
        <v>9</v>
      </c>
      <c r="AQ308" t="str">
        <f t="shared" si="123"/>
        <v>Support</v>
      </c>
      <c r="AR308">
        <f>survey_responses[[#This Row],[Tôi thấy mức thuế tôi phải đóng theo phương án mới là công bằng (người thu nhập như tôi đóng mức này là hợp lý). - HUMAN-TRU2]]</f>
        <v>2</v>
      </c>
      <c r="AS308" t="str">
        <f t="shared" si="124"/>
        <v>Oppose</v>
      </c>
      <c r="AT308" s="32">
        <f t="shared" si="125"/>
        <v>7</v>
      </c>
      <c r="AU308">
        <f>step3_validation[[#This Row],[AI_TRU3]]</f>
        <v>7</v>
      </c>
      <c r="AV308" t="str">
        <f t="shared" si="126"/>
        <v>Neutral</v>
      </c>
      <c r="AW308">
        <f>survey_responses[[#This Row],[Tôi tin tưởng số tiền thuế tôi đóng sẽ được Nhà nước sử dụng hiệu quả để cải thiện dịch vụ công (y tế, đường xá...). - HUMAN-TRU3]]</f>
        <v>2</v>
      </c>
      <c r="AX308" t="str">
        <f t="shared" si="127"/>
        <v>Oppose</v>
      </c>
      <c r="AY308" s="32">
        <f t="shared" si="128"/>
        <v>5</v>
      </c>
      <c r="AZ308">
        <f>step3_validation[[#This Row],[AI_TRU4]]</f>
        <v>8</v>
      </c>
      <c r="BA308" t="str">
        <f t="shared" si="129"/>
        <v>Support</v>
      </c>
      <c r="BB308">
        <f>survey_responses[[#This Row],[Tôi thấy Nhà nước đã giải thích rõ ràng, minh bạch về lý do và mục tiêu của việc sửa đổi thuế lần này. - HUMAN-TRU4]]</f>
        <v>2</v>
      </c>
      <c r="BC308" t="str">
        <f t="shared" si="130"/>
        <v>Oppose</v>
      </c>
      <c r="BD308" s="32">
        <f t="shared" si="131"/>
        <v>6</v>
      </c>
      <c r="BE308">
        <f>step3_validation[[#This Row],[AI_OUT1]]</f>
        <v>9</v>
      </c>
      <c r="BF308" t="str">
        <f t="shared" si="132"/>
        <v>Support</v>
      </c>
      <c r="BG308">
        <f>survey_responses[[#This Row],[Sau khi xem xét các quyền lợi và nghĩa vụ, bạn có ủng hộ và tuân thủ chính sách mới hiện nay? - HUMAN-OUT1]]</f>
        <v>2</v>
      </c>
      <c r="BH308" t="str">
        <f t="shared" si="133"/>
        <v>Oppose</v>
      </c>
      <c r="BI308" s="32">
        <f t="shared" si="134"/>
        <v>7</v>
      </c>
    </row>
    <row r="309" spans="1:61" x14ac:dyDescent="0.45">
      <c r="A309" s="30">
        <f>step3_validation[[#This Row],[Persona_ID]]</f>
        <v>308</v>
      </c>
      <c r="B309" s="31">
        <f>step3_validation[[#This Row],[Used_Seed]]</f>
        <v>12652</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219.2113405072491</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6</v>
      </c>
      <c r="R309" t="str">
        <f t="shared" si="108"/>
        <v>Neutral</v>
      </c>
      <c r="S309">
        <f>survey_responses[[#This Row],[Tôi tin rằng với các quy định quản lý thuế hiện nay, hành vi gian lận hoặc trốn thuế sẽ dễ dàng bị phát hiện và xử lý nghiêm. - HUMAN-ENF1]]</f>
        <v>10</v>
      </c>
      <c r="T309" t="str">
        <f t="shared" si="109"/>
        <v>Support</v>
      </c>
      <c r="U309" s="32">
        <f t="shared" si="110"/>
        <v>4</v>
      </c>
      <c r="V309">
        <f>step3_validation[[#This Row],[AI_ENF2]]</f>
        <v>7</v>
      </c>
      <c r="W309" t="str">
        <f t="shared" si="111"/>
        <v>Neutral</v>
      </c>
      <c r="X309">
        <f>survey_responses[[#This Row],[Tôi tin rằng Nhà nước, cơ quan thuế có đủ khả năng và công nghệ để phát hiện, xử lý nghiêm các hành vi trốn thuế. - HUMAN-ENF2]]</f>
        <v>8</v>
      </c>
      <c r="Y309" t="str">
        <f t="shared" si="112"/>
        <v>Support</v>
      </c>
      <c r="Z309" s="32">
        <f t="shared" si="113"/>
        <v>1</v>
      </c>
      <c r="AA309">
        <f>step3_validation[[#This Row],[AI_FAC1]]</f>
        <v>8</v>
      </c>
      <c r="AB309" t="str">
        <f t="shared" si="114"/>
        <v>Support</v>
      </c>
      <c r="AC309">
        <f>survey_responses[[#This Row],[Các thủ tục khai báo thuế VÀ/HOẶC quy trình làm việc với cơ quan thuế đơn giản, tiện lợi, nhanh chóng hơn so với trước đây. - HUMAN-FAC1]]</f>
        <v>8</v>
      </c>
      <c r="AD309" t="str">
        <f t="shared" si="115"/>
        <v>Support</v>
      </c>
      <c r="AE309" s="32">
        <f t="shared" si="116"/>
        <v>0</v>
      </c>
      <c r="AF309">
        <f>step3_validation[[#This Row],[AI_FAC2]]</f>
        <v>9</v>
      </c>
      <c r="AG309" t="str">
        <f t="shared" si="117"/>
        <v>Support</v>
      </c>
      <c r="AH309">
        <f>survey_responses[[#This Row],[So với trước đây, tôi thấy cách tính thuế và các bậc thuế trong phương án mới đơn giản, dễ hiểu và dễ thực hiện hơn. - HUMAN-FAC2]]</f>
        <v>8</v>
      </c>
      <c r="AI309" t="str">
        <f t="shared" si="118"/>
        <v>Support</v>
      </c>
      <c r="AJ309" s="32">
        <f t="shared" si="119"/>
        <v>1</v>
      </c>
      <c r="AK309">
        <f>step3_validation[[#This Row],[AI_TRU1]]</f>
        <v>8</v>
      </c>
      <c r="AL309" t="str">
        <f t="shared" si="120"/>
        <v>Support</v>
      </c>
      <c r="AM309">
        <f>survey_responses[[#This Row],[Tôi tin rằng Nhà nước, cơ quan thuế sẽ thực thi chính sách mới một cách khách quan, công tâm và đối xử bình đẳng với mọi người nộp thuế.  - HUMAN-TRU1]]</f>
        <v>10</v>
      </c>
      <c r="AN309" t="str">
        <f t="shared" si="121"/>
        <v>Support</v>
      </c>
      <c r="AO309" s="32">
        <f t="shared" si="122"/>
        <v>2</v>
      </c>
      <c r="AP309">
        <f>step3_validation[[#This Row],[AI_TRU2]]</f>
        <v>9</v>
      </c>
      <c r="AQ309" t="str">
        <f t="shared" si="123"/>
        <v>Support</v>
      </c>
      <c r="AR309">
        <f>survey_responses[[#This Row],[Tôi thấy mức thuế tôi phải đóng theo phương án mới là công bằng (người thu nhập như tôi đóng mức này là hợp lý). - HUMAN-TRU2]]</f>
        <v>10</v>
      </c>
      <c r="AS309" t="str">
        <f t="shared" si="124"/>
        <v>Support</v>
      </c>
      <c r="AT309" s="32">
        <f t="shared" si="125"/>
        <v>1</v>
      </c>
      <c r="AU309">
        <f>step3_validation[[#This Row],[AI_TRU3]]</f>
        <v>8</v>
      </c>
      <c r="AV309" t="str">
        <f t="shared" si="126"/>
        <v>Support</v>
      </c>
      <c r="AW309">
        <f>survey_responses[[#This Row],[Tôi tin tưởng số tiền thuế tôi đóng sẽ được Nhà nước sử dụng hiệu quả để cải thiện dịch vụ công (y tế, đường xá...). - HUMAN-TRU3]]</f>
        <v>6</v>
      </c>
      <c r="AX309" t="str">
        <f t="shared" si="127"/>
        <v>Neutral</v>
      </c>
      <c r="AY309" s="32">
        <f t="shared" si="128"/>
        <v>2</v>
      </c>
      <c r="AZ309">
        <f>step3_validation[[#This Row],[AI_TRU4]]</f>
        <v>9</v>
      </c>
      <c r="BA309" t="str">
        <f t="shared" si="129"/>
        <v>Support</v>
      </c>
      <c r="BB309">
        <f>survey_responses[[#This Row],[Tôi thấy Nhà nước đã giải thích rõ ràng, minh bạch về lý do và mục tiêu của việc sửa đổi thuế lần này. - HUMAN-TRU4]]</f>
        <v>8</v>
      </c>
      <c r="BC309" t="str">
        <f t="shared" si="130"/>
        <v>Support</v>
      </c>
      <c r="BD309" s="32">
        <f t="shared" si="131"/>
        <v>1</v>
      </c>
      <c r="BE309">
        <f>step3_validation[[#This Row],[AI_OUT1]]</f>
        <v>8</v>
      </c>
      <c r="BF309" t="str">
        <f t="shared" si="132"/>
        <v>Support</v>
      </c>
      <c r="BG309">
        <f>survey_responses[[#This Row],[Sau khi xem xét các quyền lợi và nghĩa vụ, bạn có ủng hộ và tuân thủ chính sách mới hiện nay? - HUMAN-OUT1]]</f>
        <v>8</v>
      </c>
      <c r="BH309" t="str">
        <f t="shared" si="133"/>
        <v>Support</v>
      </c>
      <c r="BI309" s="32">
        <f t="shared" si="134"/>
        <v>0</v>
      </c>
    </row>
    <row r="310" spans="1:61" x14ac:dyDescent="0.45">
      <c r="A310" s="30">
        <f>step3_validation[[#This Row],[Persona_ID]]</f>
        <v>309</v>
      </c>
      <c r="B310" s="31">
        <f>step3_validation[[#This Row],[Used_Seed]]</f>
        <v>12653</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57.593945901295918</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8</v>
      </c>
      <c r="R310" t="str">
        <f t="shared" si="108"/>
        <v>Support</v>
      </c>
      <c r="S310">
        <f>survey_responses[[#This Row],[Tôi tin rằng với các quy định quản lý thuế hiện nay, hành vi gian lận hoặc trốn thuế sẽ dễ dàng bị phát hiện và xử lý nghiêm. - HUMAN-ENF1]]</f>
        <v>10</v>
      </c>
      <c r="T310" t="str">
        <f t="shared" si="109"/>
        <v>Support</v>
      </c>
      <c r="U310" s="32">
        <f t="shared" si="110"/>
        <v>2</v>
      </c>
      <c r="V310">
        <f>step3_validation[[#This Row],[AI_ENF2]]</f>
        <v>9</v>
      </c>
      <c r="W310" t="str">
        <f t="shared" si="111"/>
        <v>Support</v>
      </c>
      <c r="X310">
        <f>survey_responses[[#This Row],[Tôi tin rằng Nhà nước, cơ quan thuế có đủ khả năng và công nghệ để phát hiện, xử lý nghiêm các hành vi trốn thuế. - HUMAN-ENF2]]</f>
        <v>10</v>
      </c>
      <c r="Y310" t="str">
        <f t="shared" si="112"/>
        <v>Support</v>
      </c>
      <c r="Z310" s="32">
        <f t="shared" si="113"/>
        <v>1</v>
      </c>
      <c r="AA310">
        <f>step3_validation[[#This Row],[AI_FAC1]]</f>
        <v>7</v>
      </c>
      <c r="AB310" t="str">
        <f t="shared" si="114"/>
        <v>Neutral</v>
      </c>
      <c r="AC310">
        <f>survey_responses[[#This Row],[Các thủ tục khai báo thuế VÀ/HOẶC quy trình làm việc với cơ quan thuế đơn giản, tiện lợi, nhanh chóng hơn so với trước đây. - HUMAN-FAC1]]</f>
        <v>10</v>
      </c>
      <c r="AD310" t="str">
        <f t="shared" si="115"/>
        <v>Support</v>
      </c>
      <c r="AE310" s="32">
        <f t="shared" si="116"/>
        <v>3</v>
      </c>
      <c r="AF310">
        <f>step3_validation[[#This Row],[AI_FAC2]]</f>
        <v>9</v>
      </c>
      <c r="AG310" t="str">
        <f t="shared" si="117"/>
        <v>Support</v>
      </c>
      <c r="AH310">
        <f>survey_responses[[#This Row],[So với trước đây, tôi thấy cách tính thuế và các bậc thuế trong phương án mới đơn giản, dễ hiểu và dễ thực hiện hơn. - HUMAN-FAC2]]</f>
        <v>10</v>
      </c>
      <c r="AI310" t="str">
        <f t="shared" si="118"/>
        <v>Support</v>
      </c>
      <c r="AJ310" s="32">
        <f t="shared" si="119"/>
        <v>1</v>
      </c>
      <c r="AK310">
        <f>step3_validation[[#This Row],[AI_TRU1]]</f>
        <v>8</v>
      </c>
      <c r="AL310" t="str">
        <f t="shared" si="120"/>
        <v>Support</v>
      </c>
      <c r="AM310">
        <f>survey_responses[[#This Row],[Tôi tin rằng Nhà nước, cơ quan thuế sẽ thực thi chính sách mới một cách khách quan, công tâm và đối xử bình đẳng với mọi người nộp thuế.  - HUMAN-TRU1]]</f>
        <v>10</v>
      </c>
      <c r="AN310" t="str">
        <f t="shared" si="121"/>
        <v>Support</v>
      </c>
      <c r="AO310" s="32">
        <f t="shared" si="122"/>
        <v>2</v>
      </c>
      <c r="AP310">
        <f>step3_validation[[#This Row],[AI_TRU2]]</f>
        <v>9</v>
      </c>
      <c r="AQ310" t="str">
        <f t="shared" si="123"/>
        <v>Support</v>
      </c>
      <c r="AR310">
        <f>survey_responses[[#This Row],[Tôi thấy mức thuế tôi phải đóng theo phương án mới là công bằng (người thu nhập như tôi đóng mức này là hợp lý). - HUMAN-TRU2]]</f>
        <v>9</v>
      </c>
      <c r="AS310" t="str">
        <f t="shared" si="124"/>
        <v>Support</v>
      </c>
      <c r="AT310" s="32">
        <f t="shared" si="125"/>
        <v>0</v>
      </c>
      <c r="AU310">
        <f>step3_validation[[#This Row],[AI_TRU3]]</f>
        <v>8</v>
      </c>
      <c r="AV310" t="str">
        <f t="shared" si="126"/>
        <v>Support</v>
      </c>
      <c r="AW310">
        <f>survey_responses[[#This Row],[Tôi tin tưởng số tiền thuế tôi đóng sẽ được Nhà nước sử dụng hiệu quả để cải thiện dịch vụ công (y tế, đường xá...). - HUMAN-TRU3]]</f>
        <v>9</v>
      </c>
      <c r="AX310" t="str">
        <f t="shared" si="127"/>
        <v>Support</v>
      </c>
      <c r="AY310" s="32">
        <f t="shared" si="128"/>
        <v>1</v>
      </c>
      <c r="AZ310">
        <f>step3_validation[[#This Row],[AI_TRU4]]</f>
        <v>9</v>
      </c>
      <c r="BA310" t="str">
        <f t="shared" si="129"/>
        <v>Support</v>
      </c>
      <c r="BB310">
        <f>survey_responses[[#This Row],[Tôi thấy Nhà nước đã giải thích rõ ràng, minh bạch về lý do và mục tiêu của việc sửa đổi thuế lần này. - HUMAN-TRU4]]</f>
        <v>10</v>
      </c>
      <c r="BC310" t="str">
        <f t="shared" si="130"/>
        <v>Support</v>
      </c>
      <c r="BD310" s="32">
        <f t="shared" si="131"/>
        <v>1</v>
      </c>
      <c r="BE310">
        <f>step3_validation[[#This Row],[AI_OUT1]]</f>
        <v>8</v>
      </c>
      <c r="BF310" t="str">
        <f t="shared" si="132"/>
        <v>Support</v>
      </c>
      <c r="BG310">
        <f>survey_responses[[#This Row],[Sau khi xem xét các quyền lợi và nghĩa vụ, bạn có ủng hộ và tuân thủ chính sách mới hiện nay? - HUMAN-OUT1]]</f>
        <v>10</v>
      </c>
      <c r="BH310" t="str">
        <f t="shared" si="133"/>
        <v>Support</v>
      </c>
      <c r="BI310" s="32">
        <f t="shared" si="134"/>
        <v>2</v>
      </c>
    </row>
    <row r="311" spans="1:61" x14ac:dyDescent="0.45">
      <c r="A311" s="30">
        <f>step3_validation[[#This Row],[Persona_ID]]</f>
        <v>310</v>
      </c>
      <c r="B311" s="31">
        <f>step3_validation[[#This Row],[Used_Seed]]</f>
        <v>12654</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20.941939360557114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t="str">
        <f t="shared" si="108"/>
        <v>Neutral</v>
      </c>
      <c r="S311">
        <f>survey_responses[[#This Row],[Tôi tin rằng với các quy định quản lý thuế hiện nay, hành vi gian lận hoặc trốn thuế sẽ dễ dàng bị phát hiện và xử lý nghiêm. - HUMAN-ENF1]]</f>
        <v>7</v>
      </c>
      <c r="T311" t="str">
        <f t="shared" si="109"/>
        <v>Neutral</v>
      </c>
      <c r="U311" s="32">
        <f t="shared" si="110"/>
        <v>0</v>
      </c>
      <c r="V311">
        <f>step3_validation[[#This Row],[AI_ENF2]]</f>
        <v>8</v>
      </c>
      <c r="W311" t="str">
        <f t="shared" si="111"/>
        <v>Support</v>
      </c>
      <c r="X311">
        <f>survey_responses[[#This Row],[Tôi tin rằng Nhà nước, cơ quan thuế có đủ khả năng và công nghệ để phát hiện, xử lý nghiêm các hành vi trốn thuế. - HUMAN-ENF2]]</f>
        <v>7</v>
      </c>
      <c r="Y311" t="str">
        <f t="shared" si="112"/>
        <v>Neutral</v>
      </c>
      <c r="Z311" s="32">
        <f t="shared" si="113"/>
        <v>1</v>
      </c>
      <c r="AA311">
        <f>step3_validation[[#This Row],[AI_FAC1]]</f>
        <v>7</v>
      </c>
      <c r="AB311" t="str">
        <f t="shared" si="114"/>
        <v>Neutral</v>
      </c>
      <c r="AC311">
        <f>survey_responses[[#This Row],[Các thủ tục khai báo thuế VÀ/HOẶC quy trình làm việc với cơ quan thuế đơn giản, tiện lợi, nhanh chóng hơn so với trước đây. - HUMAN-FAC1]]</f>
        <v>5</v>
      </c>
      <c r="AD311" t="str">
        <f t="shared" si="115"/>
        <v>Neutral</v>
      </c>
      <c r="AE311" s="32">
        <f t="shared" si="116"/>
        <v>2</v>
      </c>
      <c r="AF311">
        <f>step3_validation[[#This Row],[AI_FAC2]]</f>
        <v>9</v>
      </c>
      <c r="AG311" t="str">
        <f t="shared" si="117"/>
        <v>Support</v>
      </c>
      <c r="AH311">
        <f>survey_responses[[#This Row],[So với trước đây, tôi thấy cách tính thuế và các bậc thuế trong phương án mới đơn giản, dễ hiểu và dễ thực hiện hơn. - HUMAN-FAC2]]</f>
        <v>8</v>
      </c>
      <c r="AI311" t="str">
        <f t="shared" si="118"/>
        <v>Support</v>
      </c>
      <c r="AJ311" s="32">
        <f t="shared" si="119"/>
        <v>1</v>
      </c>
      <c r="AK311">
        <f>step3_validation[[#This Row],[AI_TRU1]]</f>
        <v>6</v>
      </c>
      <c r="AL311" t="str">
        <f t="shared" si="120"/>
        <v>Neutral</v>
      </c>
      <c r="AM311">
        <f>survey_responses[[#This Row],[Tôi tin rằng Nhà nước, cơ quan thuế sẽ thực thi chính sách mới một cách khách quan, công tâm và đối xử bình đẳng với mọi người nộp thuế.  - HUMAN-TRU1]]</f>
        <v>8</v>
      </c>
      <c r="AN311" t="str">
        <f t="shared" si="121"/>
        <v>Support</v>
      </c>
      <c r="AO311" s="32">
        <f t="shared" si="122"/>
        <v>2</v>
      </c>
      <c r="AP311">
        <f>step3_validation[[#This Row],[AI_TRU2]]</f>
        <v>9</v>
      </c>
      <c r="AQ311" t="str">
        <f t="shared" si="123"/>
        <v>Support</v>
      </c>
      <c r="AR311">
        <f>survey_responses[[#This Row],[Tôi thấy mức thuế tôi phải đóng theo phương án mới là công bằng (người thu nhập như tôi đóng mức này là hợp lý). - HUMAN-TRU2]]</f>
        <v>9</v>
      </c>
      <c r="AS311" t="str">
        <f t="shared" si="124"/>
        <v>Support</v>
      </c>
      <c r="AT311" s="32">
        <f t="shared" si="125"/>
        <v>0</v>
      </c>
      <c r="AU311">
        <f>step3_validation[[#This Row],[AI_TRU3]]</f>
        <v>8</v>
      </c>
      <c r="AV311" t="str">
        <f t="shared" si="126"/>
        <v>Support</v>
      </c>
      <c r="AW311">
        <f>survey_responses[[#This Row],[Tôi tin tưởng số tiền thuế tôi đóng sẽ được Nhà nước sử dụng hiệu quả để cải thiện dịch vụ công (y tế, đường xá...). - HUMAN-TRU3]]</f>
        <v>9</v>
      </c>
      <c r="AX311" t="str">
        <f t="shared" si="127"/>
        <v>Support</v>
      </c>
      <c r="AY311" s="32">
        <f t="shared" si="128"/>
        <v>1</v>
      </c>
      <c r="AZ311">
        <f>step3_validation[[#This Row],[AI_TRU4]]</f>
        <v>7</v>
      </c>
      <c r="BA311" t="str">
        <f t="shared" si="129"/>
        <v>Neutral</v>
      </c>
      <c r="BB311">
        <f>survey_responses[[#This Row],[Tôi thấy Nhà nước đã giải thích rõ ràng, minh bạch về lý do và mục tiêu của việc sửa đổi thuế lần này. - HUMAN-TRU4]]</f>
        <v>9</v>
      </c>
      <c r="BC311" t="str">
        <f t="shared" si="130"/>
        <v>Support</v>
      </c>
      <c r="BD311" s="32">
        <f t="shared" si="131"/>
        <v>2</v>
      </c>
      <c r="BE311">
        <f>step3_validation[[#This Row],[AI_OUT1]]</f>
        <v>9</v>
      </c>
      <c r="BF311" t="str">
        <f t="shared" si="132"/>
        <v>Support</v>
      </c>
      <c r="BG311">
        <f>survey_responses[[#This Row],[Sau khi xem xét các quyền lợi và nghĩa vụ, bạn có ủng hộ và tuân thủ chính sách mới hiện nay? - HUMAN-OUT1]]</f>
        <v>10</v>
      </c>
      <c r="BH311" t="str">
        <f t="shared" si="133"/>
        <v>Support</v>
      </c>
      <c r="BI311" s="32">
        <f t="shared" si="134"/>
        <v>1</v>
      </c>
    </row>
    <row r="312" spans="1:61" x14ac:dyDescent="0.45">
      <c r="A312" s="30">
        <f>step3_validation[[#This Row],[Persona_ID]]</f>
        <v>311</v>
      </c>
      <c r="B312" s="31">
        <f>step3_validation[[#This Row],[Used_Seed]]</f>
        <v>12655</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16.669150897098412</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7</v>
      </c>
      <c r="R312" t="str">
        <f t="shared" si="108"/>
        <v>Neutral</v>
      </c>
      <c r="S312">
        <f>survey_responses[[#This Row],[Tôi tin rằng với các quy định quản lý thuế hiện nay, hành vi gian lận hoặc trốn thuế sẽ dễ dàng bị phát hiện và xử lý nghiêm. - HUMAN-ENF1]]</f>
        <v>6</v>
      </c>
      <c r="T312" t="str">
        <f t="shared" si="109"/>
        <v>Neutral</v>
      </c>
      <c r="U312" s="32">
        <f t="shared" si="110"/>
        <v>1</v>
      </c>
      <c r="V312">
        <f>step3_validation[[#This Row],[AI_ENF2]]</f>
        <v>6</v>
      </c>
      <c r="W312" t="str">
        <f t="shared" si="111"/>
        <v>Neutral</v>
      </c>
      <c r="X312">
        <f>survey_responses[[#This Row],[Tôi tin rằng Nhà nước, cơ quan thuế có đủ khả năng và công nghệ để phát hiện, xử lý nghiêm các hành vi trốn thuế. - HUMAN-ENF2]]</f>
        <v>5</v>
      </c>
      <c r="Y312" t="str">
        <f t="shared" si="112"/>
        <v>Neutral</v>
      </c>
      <c r="Z312" s="32">
        <f t="shared" si="113"/>
        <v>1</v>
      </c>
      <c r="AA312">
        <f>step3_validation[[#This Row],[AI_FAC1]]</f>
        <v>8</v>
      </c>
      <c r="AB312" t="str">
        <f t="shared" si="114"/>
        <v>Support</v>
      </c>
      <c r="AC312">
        <f>survey_responses[[#This Row],[Các thủ tục khai báo thuế VÀ/HOẶC quy trình làm việc với cơ quan thuế đơn giản, tiện lợi, nhanh chóng hơn so với trước đây. - HUMAN-FAC1]]</f>
        <v>4</v>
      </c>
      <c r="AD312" t="str">
        <f t="shared" si="115"/>
        <v>Oppose</v>
      </c>
      <c r="AE312" s="32">
        <f t="shared" si="116"/>
        <v>4</v>
      </c>
      <c r="AF312">
        <f>step3_validation[[#This Row],[AI_FAC2]]</f>
        <v>9</v>
      </c>
      <c r="AG312" t="str">
        <f t="shared" si="117"/>
        <v>Support</v>
      </c>
      <c r="AH312">
        <f>survey_responses[[#This Row],[So với trước đây, tôi thấy cách tính thuế và các bậc thuế trong phương án mới đơn giản, dễ hiểu và dễ thực hiện hơn. - HUMAN-FAC2]]</f>
        <v>7</v>
      </c>
      <c r="AI312" t="str">
        <f t="shared" si="118"/>
        <v>Neutral</v>
      </c>
      <c r="AJ312" s="32">
        <f t="shared" si="119"/>
        <v>2</v>
      </c>
      <c r="AK312">
        <f>step3_validation[[#This Row],[AI_TRU1]]</f>
        <v>7</v>
      </c>
      <c r="AL312" t="str">
        <f t="shared" si="120"/>
        <v>Neutral</v>
      </c>
      <c r="AM312">
        <f>survey_responses[[#This Row],[Tôi tin rằng Nhà nước, cơ quan thuế sẽ thực thi chính sách mới một cách khách quan, công tâm và đối xử bình đẳng với mọi người nộp thuế.  - HUMAN-TRU1]]</f>
        <v>5</v>
      </c>
      <c r="AN312" t="str">
        <f t="shared" si="121"/>
        <v>Neutral</v>
      </c>
      <c r="AO312" s="32">
        <f t="shared" si="122"/>
        <v>2</v>
      </c>
      <c r="AP312">
        <f>step3_validation[[#This Row],[AI_TRU2]]</f>
        <v>8</v>
      </c>
      <c r="AQ312" t="str">
        <f t="shared" si="123"/>
        <v>Support</v>
      </c>
      <c r="AR312">
        <f>survey_responses[[#This Row],[Tôi thấy mức thuế tôi phải đóng theo phương án mới là công bằng (người thu nhập như tôi đóng mức này là hợp lý). - HUMAN-TRU2]]</f>
        <v>6</v>
      </c>
      <c r="AS312" t="str">
        <f t="shared" si="124"/>
        <v>Neutral</v>
      </c>
      <c r="AT312" s="32">
        <f t="shared" si="125"/>
        <v>2</v>
      </c>
      <c r="AU312">
        <f>step3_validation[[#This Row],[AI_TRU3]]</f>
        <v>7</v>
      </c>
      <c r="AV312" t="str">
        <f t="shared" si="126"/>
        <v>Neutral</v>
      </c>
      <c r="AW312">
        <f>survey_responses[[#This Row],[Tôi tin tưởng số tiền thuế tôi đóng sẽ được Nhà nước sử dụng hiệu quả để cải thiện dịch vụ công (y tế, đường xá...). - HUMAN-TRU3]]</f>
        <v>6</v>
      </c>
      <c r="AX312" t="str">
        <f t="shared" si="127"/>
        <v>Neutral</v>
      </c>
      <c r="AY312" s="32">
        <f t="shared" si="128"/>
        <v>1</v>
      </c>
      <c r="AZ312">
        <f>step3_validation[[#This Row],[AI_TRU4]]</f>
        <v>6</v>
      </c>
      <c r="BA312" t="str">
        <f t="shared" si="129"/>
        <v>Neutral</v>
      </c>
      <c r="BB312">
        <f>survey_responses[[#This Row],[Tôi thấy Nhà nước đã giải thích rõ ràng, minh bạch về lý do và mục tiêu của việc sửa đổi thuế lần này. - HUMAN-TRU4]]</f>
        <v>7</v>
      </c>
      <c r="BC312" t="str">
        <f t="shared" si="130"/>
        <v>Neutral</v>
      </c>
      <c r="BD312" s="32">
        <f t="shared" si="131"/>
        <v>1</v>
      </c>
      <c r="BE312">
        <f>step3_validation[[#This Row],[AI_OUT1]]</f>
        <v>9</v>
      </c>
      <c r="BF312" t="str">
        <f t="shared" si="132"/>
        <v>Support</v>
      </c>
      <c r="BG312">
        <f>survey_responses[[#This Row],[Sau khi xem xét các quyền lợi và nghĩa vụ, bạn có ủng hộ và tuân thủ chính sách mới hiện nay? - HUMAN-OUT1]]</f>
        <v>7</v>
      </c>
      <c r="BH312" t="str">
        <f t="shared" si="133"/>
        <v>Neutral</v>
      </c>
      <c r="BI312" s="32">
        <f t="shared" si="134"/>
        <v>2</v>
      </c>
    </row>
    <row r="313" spans="1:61" x14ac:dyDescent="0.45">
      <c r="A313" s="30">
        <f>step3_validation[[#This Row],[Persona_ID]]</f>
        <v>312</v>
      </c>
      <c r="B313" s="31">
        <f>step3_validation[[#This Row],[Used_Seed]]</f>
        <v>12656</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21.162094279206197</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6</v>
      </c>
      <c r="R313" t="str">
        <f t="shared" si="108"/>
        <v>Neutral</v>
      </c>
      <c r="S313">
        <f>survey_responses[[#This Row],[Tôi tin rằng với các quy định quản lý thuế hiện nay, hành vi gian lận hoặc trốn thuế sẽ dễ dàng bị phát hiện và xử lý nghiêm. - HUMAN-ENF1]]</f>
        <v>8</v>
      </c>
      <c r="T313" t="str">
        <f t="shared" si="109"/>
        <v>Support</v>
      </c>
      <c r="U313" s="32">
        <f t="shared" si="110"/>
        <v>2</v>
      </c>
      <c r="V313">
        <f>step3_validation[[#This Row],[AI_ENF2]]</f>
        <v>7</v>
      </c>
      <c r="W313" t="str">
        <f t="shared" si="111"/>
        <v>Neutral</v>
      </c>
      <c r="X313">
        <f>survey_responses[[#This Row],[Tôi tin rằng Nhà nước, cơ quan thuế có đủ khả năng và công nghệ để phát hiện, xử lý nghiêm các hành vi trốn thuế. - HUMAN-ENF2]]</f>
        <v>9</v>
      </c>
      <c r="Y313" t="str">
        <f t="shared" si="112"/>
        <v>Support</v>
      </c>
      <c r="Z313" s="32">
        <f t="shared" si="113"/>
        <v>2</v>
      </c>
      <c r="AA313">
        <f>step3_validation[[#This Row],[AI_FAC1]]</f>
        <v>9</v>
      </c>
      <c r="AB313" t="str">
        <f t="shared" si="114"/>
        <v>Support</v>
      </c>
      <c r="AC313">
        <f>survey_responses[[#This Row],[Các thủ tục khai báo thuế VÀ/HOẶC quy trình làm việc với cơ quan thuế đơn giản, tiện lợi, nhanh chóng hơn so với trước đây. - HUMAN-FAC1]]</f>
        <v>10</v>
      </c>
      <c r="AD313" t="str">
        <f t="shared" si="115"/>
        <v>Support</v>
      </c>
      <c r="AE313" s="32">
        <f t="shared" si="116"/>
        <v>1</v>
      </c>
      <c r="AF313">
        <f>step3_validation[[#This Row],[AI_FAC2]]</f>
        <v>10</v>
      </c>
      <c r="AG313" t="str">
        <f t="shared" si="117"/>
        <v>Support</v>
      </c>
      <c r="AH313">
        <f>survey_responses[[#This Row],[So với trước đây, tôi thấy cách tính thuế và các bậc thuế trong phương án mới đơn giản, dễ hiểu và dễ thực hiện hơn. - HUMAN-FAC2]]</f>
        <v>10</v>
      </c>
      <c r="AI313" t="str">
        <f t="shared" si="118"/>
        <v>Support</v>
      </c>
      <c r="AJ313" s="32">
        <f t="shared" si="119"/>
        <v>0</v>
      </c>
      <c r="AK313">
        <f>step3_validation[[#This Row],[AI_TRU1]]</f>
        <v>7</v>
      </c>
      <c r="AL313" t="str">
        <f t="shared" si="120"/>
        <v>Neutral</v>
      </c>
      <c r="AM313">
        <f>survey_responses[[#This Row],[Tôi tin rằng Nhà nước, cơ quan thuế sẽ thực thi chính sách mới một cách khách quan, công tâm và đối xử bình đẳng với mọi người nộp thuế.  - HUMAN-TRU1]]</f>
        <v>8</v>
      </c>
      <c r="AN313" t="str">
        <f t="shared" si="121"/>
        <v>Support</v>
      </c>
      <c r="AO313" s="32">
        <f t="shared" si="122"/>
        <v>1</v>
      </c>
      <c r="AP313">
        <f>step3_validation[[#This Row],[AI_TRU2]]</f>
        <v>9</v>
      </c>
      <c r="AQ313" t="str">
        <f t="shared" si="123"/>
        <v>Support</v>
      </c>
      <c r="AR313">
        <f>survey_responses[[#This Row],[Tôi thấy mức thuế tôi phải đóng theo phương án mới là công bằng (người thu nhập như tôi đóng mức này là hợp lý). - HUMAN-TRU2]]</f>
        <v>9</v>
      </c>
      <c r="AS313" t="str">
        <f t="shared" si="124"/>
        <v>Support</v>
      </c>
      <c r="AT313" s="32">
        <f t="shared" si="125"/>
        <v>0</v>
      </c>
      <c r="AU313">
        <f>step3_validation[[#This Row],[AI_TRU3]]</f>
        <v>8</v>
      </c>
      <c r="AV313" t="str">
        <f t="shared" si="126"/>
        <v>Support</v>
      </c>
      <c r="AW313">
        <f>survey_responses[[#This Row],[Tôi tin tưởng số tiền thuế tôi đóng sẽ được Nhà nước sử dụng hiệu quả để cải thiện dịch vụ công (y tế, đường xá...). - HUMAN-TRU3]]</f>
        <v>8</v>
      </c>
      <c r="AX313" t="str">
        <f t="shared" si="127"/>
        <v>Support</v>
      </c>
      <c r="AY313" s="32">
        <f t="shared" si="128"/>
        <v>0</v>
      </c>
      <c r="AZ313">
        <f>step3_validation[[#This Row],[AI_TRU4]]</f>
        <v>9</v>
      </c>
      <c r="BA313" t="str">
        <f t="shared" si="129"/>
        <v>Support</v>
      </c>
      <c r="BB313">
        <f>survey_responses[[#This Row],[Tôi thấy Nhà nước đã giải thích rõ ràng, minh bạch về lý do và mục tiêu của việc sửa đổi thuế lần này. - HUMAN-TRU4]]</f>
        <v>8</v>
      </c>
      <c r="BC313" t="str">
        <f t="shared" si="130"/>
        <v>Support</v>
      </c>
      <c r="BD313" s="32">
        <f t="shared" si="131"/>
        <v>1</v>
      </c>
      <c r="BE313">
        <f>step3_validation[[#This Row],[AI_OUT1]]</f>
        <v>9</v>
      </c>
      <c r="BF313" t="str">
        <f t="shared" si="132"/>
        <v>Support</v>
      </c>
      <c r="BG313">
        <f>survey_responses[[#This Row],[Sau khi xem xét các quyền lợi và nghĩa vụ, bạn có ủng hộ và tuân thủ chính sách mới hiện nay? - HUMAN-OUT1]]</f>
        <v>10</v>
      </c>
      <c r="BH313" t="str">
        <f t="shared" si="133"/>
        <v>Support</v>
      </c>
      <c r="BI313" s="32">
        <f t="shared" si="134"/>
        <v>1</v>
      </c>
    </row>
    <row r="314" spans="1:61" x14ac:dyDescent="0.45">
      <c r="A314" s="30">
        <f>step3_validation[[#This Row],[Persona_ID]]</f>
        <v>313</v>
      </c>
      <c r="B314" s="31">
        <f>step3_validation[[#This Row],[Used_Seed]]</f>
        <v>12657</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16.672525263306586</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6</v>
      </c>
      <c r="R314" t="str">
        <f t="shared" si="108"/>
        <v>Neutral</v>
      </c>
      <c r="S314">
        <f>survey_responses[[#This Row],[Tôi tin rằng với các quy định quản lý thuế hiện nay, hành vi gian lận hoặc trốn thuế sẽ dễ dàng bị phát hiện và xử lý nghiêm. - HUMAN-ENF1]]</f>
        <v>6</v>
      </c>
      <c r="T314" t="str">
        <f t="shared" si="109"/>
        <v>Neutral</v>
      </c>
      <c r="U314" s="32">
        <f t="shared" si="110"/>
        <v>0</v>
      </c>
      <c r="V314">
        <f>step3_validation[[#This Row],[AI_ENF2]]</f>
        <v>7</v>
      </c>
      <c r="W314" t="str">
        <f t="shared" si="111"/>
        <v>Neutral</v>
      </c>
      <c r="X314">
        <f>survey_responses[[#This Row],[Tôi tin rằng Nhà nước, cơ quan thuế có đủ khả năng và công nghệ để phát hiện, xử lý nghiêm các hành vi trốn thuế. - HUMAN-ENF2]]</f>
        <v>6</v>
      </c>
      <c r="Y314" t="str">
        <f t="shared" si="112"/>
        <v>Neutral</v>
      </c>
      <c r="Z314" s="32">
        <f t="shared" si="113"/>
        <v>1</v>
      </c>
      <c r="AA314">
        <f>step3_validation[[#This Row],[AI_FAC1]]</f>
        <v>8</v>
      </c>
      <c r="AB314" t="str">
        <f t="shared" si="114"/>
        <v>Support</v>
      </c>
      <c r="AC314">
        <f>survey_responses[[#This Row],[Các thủ tục khai báo thuế VÀ/HOẶC quy trình làm việc với cơ quan thuế đơn giản, tiện lợi, nhanh chóng hơn so với trước đây. - HUMAN-FAC1]]</f>
        <v>7</v>
      </c>
      <c r="AD314" t="str">
        <f t="shared" si="115"/>
        <v>Neutral</v>
      </c>
      <c r="AE314" s="32">
        <f t="shared" si="116"/>
        <v>1</v>
      </c>
      <c r="AF314">
        <f>step3_validation[[#This Row],[AI_FAC2]]</f>
        <v>9</v>
      </c>
      <c r="AG314" t="str">
        <f t="shared" si="117"/>
        <v>Support</v>
      </c>
      <c r="AH314">
        <f>survey_responses[[#This Row],[So với trước đây, tôi thấy cách tính thuế và các bậc thuế trong phương án mới đơn giản, dễ hiểu và dễ thực hiện hơn. - HUMAN-FAC2]]</f>
        <v>7</v>
      </c>
      <c r="AI314" t="str">
        <f t="shared" si="118"/>
        <v>Neutral</v>
      </c>
      <c r="AJ314" s="32">
        <f t="shared" si="119"/>
        <v>2</v>
      </c>
      <c r="AK314">
        <f>step3_validation[[#This Row],[AI_TRU1]]</f>
        <v>7</v>
      </c>
      <c r="AL314" t="str">
        <f t="shared" si="120"/>
        <v>Neutral</v>
      </c>
      <c r="AM314">
        <f>survey_responses[[#This Row],[Tôi tin rằng Nhà nước, cơ quan thuế sẽ thực thi chính sách mới một cách khách quan, công tâm và đối xử bình đẳng với mọi người nộp thuế.  - HUMAN-TRU1]]</f>
        <v>7</v>
      </c>
      <c r="AN314" t="str">
        <f t="shared" si="121"/>
        <v>Neutral</v>
      </c>
      <c r="AO314" s="32">
        <f t="shared" si="122"/>
        <v>0</v>
      </c>
      <c r="AP314">
        <f>step3_validation[[#This Row],[AI_TRU2]]</f>
        <v>8</v>
      </c>
      <c r="AQ314" t="str">
        <f t="shared" si="123"/>
        <v>Support</v>
      </c>
      <c r="AR314">
        <f>survey_responses[[#This Row],[Tôi thấy mức thuế tôi phải đóng theo phương án mới là công bằng (người thu nhập như tôi đóng mức này là hợp lý). - HUMAN-TRU2]]</f>
        <v>8</v>
      </c>
      <c r="AS314" t="str">
        <f t="shared" si="124"/>
        <v>Support</v>
      </c>
      <c r="AT314" s="32">
        <f t="shared" si="125"/>
        <v>0</v>
      </c>
      <c r="AU314">
        <f>step3_validation[[#This Row],[AI_TRU3]]</f>
        <v>9</v>
      </c>
      <c r="AV314" t="str">
        <f t="shared" si="126"/>
        <v>Support</v>
      </c>
      <c r="AW314">
        <f>survey_responses[[#This Row],[Tôi tin tưởng số tiền thuế tôi đóng sẽ được Nhà nước sử dụng hiệu quả để cải thiện dịch vụ công (y tế, đường xá...). - HUMAN-TRU3]]</f>
        <v>5</v>
      </c>
      <c r="AX314" t="str">
        <f t="shared" si="127"/>
        <v>Neutral</v>
      </c>
      <c r="AY314" s="32">
        <f t="shared" si="128"/>
        <v>4</v>
      </c>
      <c r="AZ314">
        <f>step3_validation[[#This Row],[AI_TRU4]]</f>
        <v>7</v>
      </c>
      <c r="BA314" t="str">
        <f t="shared" si="129"/>
        <v>Neutral</v>
      </c>
      <c r="BB314">
        <f>survey_responses[[#This Row],[Tôi thấy Nhà nước đã giải thích rõ ràng, minh bạch về lý do và mục tiêu của việc sửa đổi thuế lần này. - HUMAN-TRU4]]</f>
        <v>5</v>
      </c>
      <c r="BC314" t="str">
        <f t="shared" si="130"/>
        <v>Neutral</v>
      </c>
      <c r="BD314" s="32">
        <f t="shared" si="131"/>
        <v>2</v>
      </c>
      <c r="BE314">
        <f>step3_validation[[#This Row],[AI_OUT1]]</f>
        <v>9</v>
      </c>
      <c r="BF314" t="str">
        <f t="shared" si="132"/>
        <v>Support</v>
      </c>
      <c r="BG314">
        <f>survey_responses[[#This Row],[Sau khi xem xét các quyền lợi và nghĩa vụ, bạn có ủng hộ và tuân thủ chính sách mới hiện nay? - HUMAN-OUT1]]</f>
        <v>8</v>
      </c>
      <c r="BH314" t="str">
        <f t="shared" si="133"/>
        <v>Support</v>
      </c>
      <c r="BI314" s="32">
        <f t="shared" si="134"/>
        <v>1</v>
      </c>
    </row>
    <row r="315" spans="1:61" x14ac:dyDescent="0.45">
      <c r="A315" s="30">
        <f>step3_validation[[#This Row],[Persona_ID]]</f>
        <v>314</v>
      </c>
      <c r="B315" s="31">
        <f>step3_validation[[#This Row],[Used_Seed]]</f>
        <v>12658</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16.853699332144384</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6</v>
      </c>
      <c r="R315" t="str">
        <f t="shared" si="108"/>
        <v>Neutral</v>
      </c>
      <c r="S315">
        <f>survey_responses[[#This Row],[Tôi tin rằng với các quy định quản lý thuế hiện nay, hành vi gian lận hoặc trốn thuế sẽ dễ dàng bị phát hiện và xử lý nghiêm. - HUMAN-ENF1]]</f>
        <v>7</v>
      </c>
      <c r="T315" t="str">
        <f t="shared" si="109"/>
        <v>Neutral</v>
      </c>
      <c r="U315" s="32">
        <f t="shared" si="110"/>
        <v>1</v>
      </c>
      <c r="V315">
        <f>step3_validation[[#This Row],[AI_ENF2]]</f>
        <v>7</v>
      </c>
      <c r="W315" t="str">
        <f t="shared" si="111"/>
        <v>Neutral</v>
      </c>
      <c r="X315">
        <f>survey_responses[[#This Row],[Tôi tin rằng Nhà nước, cơ quan thuế có đủ khả năng và công nghệ để phát hiện, xử lý nghiêm các hành vi trốn thuế. - HUMAN-ENF2]]</f>
        <v>8</v>
      </c>
      <c r="Y315" t="str">
        <f t="shared" si="112"/>
        <v>Support</v>
      </c>
      <c r="Z315" s="32">
        <f t="shared" si="113"/>
        <v>1</v>
      </c>
      <c r="AA315">
        <f>step3_validation[[#This Row],[AI_FAC1]]</f>
        <v>8</v>
      </c>
      <c r="AB315" t="str">
        <f t="shared" si="114"/>
        <v>Support</v>
      </c>
      <c r="AC315">
        <f>survey_responses[[#This Row],[Các thủ tục khai báo thuế VÀ/HOẶC quy trình làm việc với cơ quan thuế đơn giản, tiện lợi, nhanh chóng hơn so với trước đây. - HUMAN-FAC1]]</f>
        <v>8</v>
      </c>
      <c r="AD315" t="str">
        <f t="shared" si="115"/>
        <v>Support</v>
      </c>
      <c r="AE315" s="32">
        <f t="shared" si="116"/>
        <v>0</v>
      </c>
      <c r="AF315">
        <f>step3_validation[[#This Row],[AI_FAC2]]</f>
        <v>9</v>
      </c>
      <c r="AG315" t="str">
        <f t="shared" si="117"/>
        <v>Support</v>
      </c>
      <c r="AH315">
        <f>survey_responses[[#This Row],[So với trước đây, tôi thấy cách tính thuế và các bậc thuế trong phương án mới đơn giản, dễ hiểu và dễ thực hiện hơn. - HUMAN-FAC2]]</f>
        <v>8</v>
      </c>
      <c r="AI315" t="str">
        <f t="shared" si="118"/>
        <v>Support</v>
      </c>
      <c r="AJ315" s="32">
        <f t="shared" si="119"/>
        <v>1</v>
      </c>
      <c r="AK315">
        <f>step3_validation[[#This Row],[AI_TRU1]]</f>
        <v>7</v>
      </c>
      <c r="AL315" t="str">
        <f t="shared" si="120"/>
        <v>Neutral</v>
      </c>
      <c r="AM315">
        <f>survey_responses[[#This Row],[Tôi tin rằng Nhà nước, cơ quan thuế sẽ thực thi chính sách mới một cách khách quan, công tâm và đối xử bình đẳng với mọi người nộp thuế.  - HUMAN-TRU1]]</f>
        <v>5</v>
      </c>
      <c r="AN315" t="str">
        <f t="shared" si="121"/>
        <v>Neutral</v>
      </c>
      <c r="AO315" s="32">
        <f t="shared" si="122"/>
        <v>2</v>
      </c>
      <c r="AP315">
        <f>step3_validation[[#This Row],[AI_TRU2]]</f>
        <v>9</v>
      </c>
      <c r="AQ315" t="str">
        <f t="shared" si="123"/>
        <v>Support</v>
      </c>
      <c r="AR315">
        <f>survey_responses[[#This Row],[Tôi thấy mức thuế tôi phải đóng theo phương án mới là công bằng (người thu nhập như tôi đóng mức này là hợp lý). - HUMAN-TRU2]]</f>
        <v>8</v>
      </c>
      <c r="AS315" t="str">
        <f t="shared" si="124"/>
        <v>Support</v>
      </c>
      <c r="AT315" s="32">
        <f t="shared" si="125"/>
        <v>1</v>
      </c>
      <c r="AU315">
        <f>step3_validation[[#This Row],[AI_TRU3]]</f>
        <v>7</v>
      </c>
      <c r="AV315" t="str">
        <f t="shared" si="126"/>
        <v>Neutral</v>
      </c>
      <c r="AW315">
        <f>survey_responses[[#This Row],[Tôi tin tưởng số tiền thuế tôi đóng sẽ được Nhà nước sử dụng hiệu quả để cải thiện dịch vụ công (y tế, đường xá...). - HUMAN-TRU3]]</f>
        <v>6</v>
      </c>
      <c r="AX315" t="str">
        <f t="shared" si="127"/>
        <v>Neutral</v>
      </c>
      <c r="AY315" s="32">
        <f t="shared" si="128"/>
        <v>1</v>
      </c>
      <c r="AZ315">
        <f>step3_validation[[#This Row],[AI_TRU4]]</f>
        <v>8</v>
      </c>
      <c r="BA315" t="str">
        <f t="shared" si="129"/>
        <v>Support</v>
      </c>
      <c r="BB315">
        <f>survey_responses[[#This Row],[Tôi thấy Nhà nước đã giải thích rõ ràng, minh bạch về lý do và mục tiêu của việc sửa đổi thuế lần này. - HUMAN-TRU4]]</f>
        <v>6</v>
      </c>
      <c r="BC315" t="str">
        <f t="shared" si="130"/>
        <v>Neutral</v>
      </c>
      <c r="BD315" s="32">
        <f t="shared" si="131"/>
        <v>2</v>
      </c>
      <c r="BE315">
        <f>step3_validation[[#This Row],[AI_OUT1]]</f>
        <v>9</v>
      </c>
      <c r="BF315" t="str">
        <f t="shared" si="132"/>
        <v>Support</v>
      </c>
      <c r="BG315">
        <f>survey_responses[[#This Row],[Sau khi xem xét các quyền lợi và nghĩa vụ, bạn có ủng hộ và tuân thủ chính sách mới hiện nay? - HUMAN-OUT1]]</f>
        <v>8</v>
      </c>
      <c r="BH315" t="str">
        <f t="shared" si="133"/>
        <v>Support</v>
      </c>
      <c r="BI315" s="32">
        <f t="shared" si="134"/>
        <v>1</v>
      </c>
    </row>
    <row r="316" spans="1:61" x14ac:dyDescent="0.45">
      <c r="A316" s="30">
        <f>step3_validation[[#This Row],[Persona_ID]]</f>
        <v>315</v>
      </c>
      <c r="B316" s="31">
        <f>step3_validation[[#This Row],[Used_Seed]]</f>
        <v>12659</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19.883375120681503</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t="str">
        <f t="shared" si="108"/>
        <v>Neutral</v>
      </c>
      <c r="S316">
        <f>survey_responses[[#This Row],[Tôi tin rằng với các quy định quản lý thuế hiện nay, hành vi gian lận hoặc trốn thuế sẽ dễ dàng bị phát hiện và xử lý nghiêm. - HUMAN-ENF1]]</f>
        <v>4</v>
      </c>
      <c r="T316" t="str">
        <f t="shared" si="109"/>
        <v>Oppose</v>
      </c>
      <c r="U316" s="32">
        <f t="shared" si="110"/>
        <v>3</v>
      </c>
      <c r="V316">
        <f>step3_validation[[#This Row],[AI_ENF2]]</f>
        <v>8</v>
      </c>
      <c r="W316" t="str">
        <f t="shared" si="111"/>
        <v>Support</v>
      </c>
      <c r="X316">
        <f>survey_responses[[#This Row],[Tôi tin rằng Nhà nước, cơ quan thuế có đủ khả năng và công nghệ để phát hiện, xử lý nghiêm các hành vi trốn thuế. - HUMAN-ENF2]]</f>
        <v>5</v>
      </c>
      <c r="Y316" t="str">
        <f t="shared" si="112"/>
        <v>Neutral</v>
      </c>
      <c r="Z316" s="32">
        <f t="shared" si="113"/>
        <v>3</v>
      </c>
      <c r="AA316">
        <f>step3_validation[[#This Row],[AI_FAC1]]</f>
        <v>9</v>
      </c>
      <c r="AB316" t="str">
        <f t="shared" si="114"/>
        <v>Support</v>
      </c>
      <c r="AC316">
        <f>survey_responses[[#This Row],[Các thủ tục khai báo thuế VÀ/HOẶC quy trình làm việc với cơ quan thuế đơn giản, tiện lợi, nhanh chóng hơn so với trước đây. - HUMAN-FAC1]]</f>
        <v>5</v>
      </c>
      <c r="AD316" t="str">
        <f t="shared" si="115"/>
        <v>Neutral</v>
      </c>
      <c r="AE316" s="32">
        <f t="shared" si="116"/>
        <v>4</v>
      </c>
      <c r="AF316">
        <f>step3_validation[[#This Row],[AI_FAC2]]</f>
        <v>10</v>
      </c>
      <c r="AG316" t="str">
        <f t="shared" si="117"/>
        <v>Support</v>
      </c>
      <c r="AH316">
        <f>survey_responses[[#This Row],[So với trước đây, tôi thấy cách tính thuế và các bậc thuế trong phương án mới đơn giản, dễ hiểu và dễ thực hiện hơn. - HUMAN-FAC2]]</f>
        <v>7</v>
      </c>
      <c r="AI316" t="str">
        <f t="shared" si="118"/>
        <v>Neutral</v>
      </c>
      <c r="AJ316" s="32">
        <f t="shared" si="119"/>
        <v>3</v>
      </c>
      <c r="AK316">
        <f>step3_validation[[#This Row],[AI_TRU1]]</f>
        <v>9</v>
      </c>
      <c r="AL316" t="str">
        <f t="shared" si="120"/>
        <v>Support</v>
      </c>
      <c r="AM316">
        <f>survey_responses[[#This Row],[Tôi tin rằng Nhà nước, cơ quan thuế sẽ thực thi chính sách mới một cách khách quan, công tâm và đối xử bình đẳng với mọi người nộp thuế.  - HUMAN-TRU1]]</f>
        <v>5</v>
      </c>
      <c r="AN316" t="str">
        <f t="shared" si="121"/>
        <v>Neutral</v>
      </c>
      <c r="AO316" s="32">
        <f t="shared" si="122"/>
        <v>4</v>
      </c>
      <c r="AP316">
        <f>step3_validation[[#This Row],[AI_TRU2]]</f>
        <v>8</v>
      </c>
      <c r="AQ316" t="str">
        <f t="shared" si="123"/>
        <v>Support</v>
      </c>
      <c r="AR316">
        <f>survey_responses[[#This Row],[Tôi thấy mức thuế tôi phải đóng theo phương án mới là công bằng (người thu nhập như tôi đóng mức này là hợp lý). - HUMAN-TRU2]]</f>
        <v>8</v>
      </c>
      <c r="AS316" t="str">
        <f t="shared" si="124"/>
        <v>Support</v>
      </c>
      <c r="AT316" s="32">
        <f t="shared" si="125"/>
        <v>0</v>
      </c>
      <c r="AU316">
        <f>step3_validation[[#This Row],[AI_TRU3]]</f>
        <v>9</v>
      </c>
      <c r="AV316" t="str">
        <f t="shared" si="126"/>
        <v>Support</v>
      </c>
      <c r="AW316">
        <f>survey_responses[[#This Row],[Tôi tin tưởng số tiền thuế tôi đóng sẽ được Nhà nước sử dụng hiệu quả để cải thiện dịch vụ công (y tế, đường xá...). - HUMAN-TRU3]]</f>
        <v>5</v>
      </c>
      <c r="AX316" t="str">
        <f t="shared" si="127"/>
        <v>Neutral</v>
      </c>
      <c r="AY316" s="32">
        <f t="shared" si="128"/>
        <v>4</v>
      </c>
      <c r="AZ316">
        <f>step3_validation[[#This Row],[AI_TRU4]]</f>
        <v>8</v>
      </c>
      <c r="BA316" t="str">
        <f t="shared" si="129"/>
        <v>Support</v>
      </c>
      <c r="BB316">
        <f>survey_responses[[#This Row],[Tôi thấy Nhà nước đã giải thích rõ ràng, minh bạch về lý do và mục tiêu của việc sửa đổi thuế lần này. - HUMAN-TRU4]]</f>
        <v>6</v>
      </c>
      <c r="BC316" t="str">
        <f t="shared" si="130"/>
        <v>Neutral</v>
      </c>
      <c r="BD316" s="32">
        <f t="shared" si="131"/>
        <v>2</v>
      </c>
      <c r="BE316">
        <f>step3_validation[[#This Row],[AI_OUT1]]</f>
        <v>9</v>
      </c>
      <c r="BF316" t="str">
        <f t="shared" si="132"/>
        <v>Support</v>
      </c>
      <c r="BG316">
        <f>survey_responses[[#This Row],[Sau khi xem xét các quyền lợi và nghĩa vụ, bạn có ủng hộ và tuân thủ chính sách mới hiện nay? - HUMAN-OUT1]]</f>
        <v>8</v>
      </c>
      <c r="BH316" t="str">
        <f t="shared" si="133"/>
        <v>Support</v>
      </c>
      <c r="BI316" s="32">
        <f t="shared" si="134"/>
        <v>1</v>
      </c>
    </row>
    <row r="317" spans="1:61" x14ac:dyDescent="0.45">
      <c r="A317" s="30">
        <f>step3_validation[[#This Row],[Persona_ID]]</f>
        <v>316</v>
      </c>
      <c r="B317" s="31">
        <f>step3_validation[[#This Row],[Used_Seed]]</f>
        <v>12660</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23.434193889157577</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t="str">
        <f t="shared" si="108"/>
        <v>Neutral</v>
      </c>
      <c r="S317">
        <f>survey_responses[[#This Row],[Tôi tin rằng với các quy định quản lý thuế hiện nay, hành vi gian lận hoặc trốn thuế sẽ dễ dàng bị phát hiện và xử lý nghiêm. - HUMAN-ENF1]]</f>
        <v>6</v>
      </c>
      <c r="T317" t="str">
        <f t="shared" si="109"/>
        <v>Neutral</v>
      </c>
      <c r="U317" s="32">
        <f t="shared" si="110"/>
        <v>1</v>
      </c>
      <c r="V317">
        <f>step3_validation[[#This Row],[AI_ENF2]]</f>
        <v>8</v>
      </c>
      <c r="W317" t="str">
        <f t="shared" si="111"/>
        <v>Support</v>
      </c>
      <c r="X317">
        <f>survey_responses[[#This Row],[Tôi tin rằng Nhà nước, cơ quan thuế có đủ khả năng và công nghệ để phát hiện, xử lý nghiêm các hành vi trốn thuế. - HUMAN-ENF2]]</f>
        <v>8</v>
      </c>
      <c r="Y317" t="str">
        <f t="shared" si="112"/>
        <v>Support</v>
      </c>
      <c r="Z317" s="32">
        <f t="shared" si="113"/>
        <v>0</v>
      </c>
      <c r="AA317">
        <f>step3_validation[[#This Row],[AI_FAC1]]</f>
        <v>9</v>
      </c>
      <c r="AB317" t="str">
        <f t="shared" si="114"/>
        <v>Support</v>
      </c>
      <c r="AC317">
        <f>survey_responses[[#This Row],[Các thủ tục khai báo thuế VÀ/HOẶC quy trình làm việc với cơ quan thuế đơn giản, tiện lợi, nhanh chóng hơn so với trước đây. - HUMAN-FAC1]]</f>
        <v>5</v>
      </c>
      <c r="AD317" t="str">
        <f t="shared" si="115"/>
        <v>Neutral</v>
      </c>
      <c r="AE317" s="32">
        <f t="shared" si="116"/>
        <v>4</v>
      </c>
      <c r="AF317">
        <f>step3_validation[[#This Row],[AI_FAC2]]</f>
        <v>9</v>
      </c>
      <c r="AG317" t="str">
        <f t="shared" si="117"/>
        <v>Support</v>
      </c>
      <c r="AH317">
        <f>survey_responses[[#This Row],[So với trước đây, tôi thấy cách tính thuế và các bậc thuế trong phương án mới đơn giản, dễ hiểu và dễ thực hiện hơn. - HUMAN-FAC2]]</f>
        <v>6</v>
      </c>
      <c r="AI317" t="str">
        <f t="shared" si="118"/>
        <v>Neutral</v>
      </c>
      <c r="AJ317" s="32">
        <f t="shared" si="119"/>
        <v>3</v>
      </c>
      <c r="AK317">
        <f>step3_validation[[#This Row],[AI_TRU1]]</f>
        <v>7</v>
      </c>
      <c r="AL317" t="str">
        <f t="shared" si="120"/>
        <v>Neutral</v>
      </c>
      <c r="AM317">
        <f>survey_responses[[#This Row],[Tôi tin rằng Nhà nước, cơ quan thuế sẽ thực thi chính sách mới một cách khách quan, công tâm và đối xử bình đẳng với mọi người nộp thuế.  - HUMAN-TRU1]]</f>
        <v>6</v>
      </c>
      <c r="AN317" t="str">
        <f t="shared" si="121"/>
        <v>Neutral</v>
      </c>
      <c r="AO317" s="32">
        <f t="shared" si="122"/>
        <v>1</v>
      </c>
      <c r="AP317">
        <f>step3_validation[[#This Row],[AI_TRU2]]</f>
        <v>9</v>
      </c>
      <c r="AQ317" t="str">
        <f t="shared" si="123"/>
        <v>Support</v>
      </c>
      <c r="AR317">
        <f>survey_responses[[#This Row],[Tôi thấy mức thuế tôi phải đóng theo phương án mới là công bằng (người thu nhập như tôi đóng mức này là hợp lý). - HUMAN-TRU2]]</f>
        <v>7</v>
      </c>
      <c r="AS317" t="str">
        <f t="shared" si="124"/>
        <v>Neutral</v>
      </c>
      <c r="AT317" s="32">
        <f t="shared" si="125"/>
        <v>2</v>
      </c>
      <c r="AU317">
        <f>step3_validation[[#This Row],[AI_TRU3]]</f>
        <v>7</v>
      </c>
      <c r="AV317" t="str">
        <f t="shared" si="126"/>
        <v>Neutral</v>
      </c>
      <c r="AW317">
        <f>survey_responses[[#This Row],[Tôi tin tưởng số tiền thuế tôi đóng sẽ được Nhà nước sử dụng hiệu quả để cải thiện dịch vụ công (y tế, đường xá...). - HUMAN-TRU3]]</f>
        <v>6</v>
      </c>
      <c r="AX317" t="str">
        <f t="shared" si="127"/>
        <v>Neutral</v>
      </c>
      <c r="AY317" s="32">
        <f t="shared" si="128"/>
        <v>1</v>
      </c>
      <c r="AZ317">
        <f>step3_validation[[#This Row],[AI_TRU4]]</f>
        <v>8</v>
      </c>
      <c r="BA317" t="str">
        <f t="shared" si="129"/>
        <v>Support</v>
      </c>
      <c r="BB317">
        <f>survey_responses[[#This Row],[Tôi thấy Nhà nước đã giải thích rõ ràng, minh bạch về lý do và mục tiêu của việc sửa đổi thuế lần này. - HUMAN-TRU4]]</f>
        <v>7</v>
      </c>
      <c r="BC317" t="str">
        <f t="shared" si="130"/>
        <v>Neutral</v>
      </c>
      <c r="BD317" s="32">
        <f t="shared" si="131"/>
        <v>1</v>
      </c>
      <c r="BE317">
        <f>step3_validation[[#This Row],[AI_OUT1]]</f>
        <v>9</v>
      </c>
      <c r="BF317" t="str">
        <f t="shared" si="132"/>
        <v>Support</v>
      </c>
      <c r="BG317">
        <f>survey_responses[[#This Row],[Sau khi xem xét các quyền lợi và nghĩa vụ, bạn có ủng hộ và tuân thủ chính sách mới hiện nay? - HUMAN-OUT1]]</f>
        <v>7</v>
      </c>
      <c r="BH317" t="str">
        <f t="shared" si="133"/>
        <v>Neutral</v>
      </c>
      <c r="BI317" s="32">
        <f t="shared" si="134"/>
        <v>2</v>
      </c>
    </row>
    <row r="318" spans="1:61" x14ac:dyDescent="0.45">
      <c r="A318" s="30">
        <f>step3_validation[[#This Row],[Persona_ID]]</f>
        <v>317</v>
      </c>
      <c r="B318" s="31">
        <f>step3_validation[[#This Row],[Used_Seed]]</f>
        <v>12661</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13.189205483468264</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t="str">
        <f t="shared" si="108"/>
        <v>Support</v>
      </c>
      <c r="S318">
        <f>survey_responses[[#This Row],[Tôi tin rằng với các quy định quản lý thuế hiện nay, hành vi gian lận hoặc trốn thuế sẽ dễ dàng bị phát hiện và xử lý nghiêm. - HUMAN-ENF1]]</f>
        <v>7</v>
      </c>
      <c r="T318" t="str">
        <f t="shared" si="109"/>
        <v>Neutral</v>
      </c>
      <c r="U318" s="32">
        <f t="shared" si="110"/>
        <v>1</v>
      </c>
      <c r="V318">
        <f>step3_validation[[#This Row],[AI_ENF2]]</f>
        <v>9</v>
      </c>
      <c r="W318" t="str">
        <f t="shared" si="111"/>
        <v>Support</v>
      </c>
      <c r="X318">
        <f>survey_responses[[#This Row],[Tôi tin rằng Nhà nước, cơ quan thuế có đủ khả năng và công nghệ để phát hiện, xử lý nghiêm các hành vi trốn thuế. - HUMAN-ENF2]]</f>
        <v>7</v>
      </c>
      <c r="Y318" t="str">
        <f t="shared" si="112"/>
        <v>Neutral</v>
      </c>
      <c r="Z318" s="32">
        <f t="shared" si="113"/>
        <v>2</v>
      </c>
      <c r="AA318">
        <f>step3_validation[[#This Row],[AI_FAC1]]</f>
        <v>8</v>
      </c>
      <c r="AB318" t="str">
        <f t="shared" si="114"/>
        <v>Support</v>
      </c>
      <c r="AC318">
        <f>survey_responses[[#This Row],[Các thủ tục khai báo thuế VÀ/HOẶC quy trình làm việc với cơ quan thuế đơn giản, tiện lợi, nhanh chóng hơn so với trước đây. - HUMAN-FAC1]]</f>
        <v>5</v>
      </c>
      <c r="AD318" t="str">
        <f t="shared" si="115"/>
        <v>Neutral</v>
      </c>
      <c r="AE318" s="32">
        <f t="shared" si="116"/>
        <v>3</v>
      </c>
      <c r="AF318">
        <f>step3_validation[[#This Row],[AI_FAC2]]</f>
        <v>9</v>
      </c>
      <c r="AG318" t="str">
        <f t="shared" si="117"/>
        <v>Support</v>
      </c>
      <c r="AH318">
        <f>survey_responses[[#This Row],[So với trước đây, tôi thấy cách tính thuế và các bậc thuế trong phương án mới đơn giản, dễ hiểu và dễ thực hiện hơn. - HUMAN-FAC2]]</f>
        <v>8</v>
      </c>
      <c r="AI318" t="str">
        <f t="shared" si="118"/>
        <v>Support</v>
      </c>
      <c r="AJ318" s="32">
        <f t="shared" si="119"/>
        <v>1</v>
      </c>
      <c r="AK318">
        <f>step3_validation[[#This Row],[AI_TRU1]]</f>
        <v>8</v>
      </c>
      <c r="AL318" t="str">
        <f t="shared" si="120"/>
        <v>Support</v>
      </c>
      <c r="AM318">
        <f>survey_responses[[#This Row],[Tôi tin rằng Nhà nước, cơ quan thuế sẽ thực thi chính sách mới một cách khách quan, công tâm và đối xử bình đẳng với mọi người nộp thuế.  - HUMAN-TRU1]]</f>
        <v>5</v>
      </c>
      <c r="AN318" t="str">
        <f t="shared" si="121"/>
        <v>Neutral</v>
      </c>
      <c r="AO318" s="32">
        <f t="shared" si="122"/>
        <v>3</v>
      </c>
      <c r="AP318">
        <f>step3_validation[[#This Row],[AI_TRU2]]</f>
        <v>9</v>
      </c>
      <c r="AQ318" t="str">
        <f t="shared" si="123"/>
        <v>Support</v>
      </c>
      <c r="AR318">
        <f>survey_responses[[#This Row],[Tôi thấy mức thuế tôi phải đóng theo phương án mới là công bằng (người thu nhập như tôi đóng mức này là hợp lý). - HUMAN-TRU2]]</f>
        <v>8</v>
      </c>
      <c r="AS318" t="str">
        <f t="shared" si="124"/>
        <v>Support</v>
      </c>
      <c r="AT318" s="32">
        <f t="shared" si="125"/>
        <v>1</v>
      </c>
      <c r="AU318">
        <f>step3_validation[[#This Row],[AI_TRU3]]</f>
        <v>8</v>
      </c>
      <c r="AV318" t="str">
        <f t="shared" si="126"/>
        <v>Support</v>
      </c>
      <c r="AW318">
        <f>survey_responses[[#This Row],[Tôi tin tưởng số tiền thuế tôi đóng sẽ được Nhà nước sử dụng hiệu quả để cải thiện dịch vụ công (y tế, đường xá...). - HUMAN-TRU3]]</f>
        <v>5</v>
      </c>
      <c r="AX318" t="str">
        <f t="shared" si="127"/>
        <v>Neutral</v>
      </c>
      <c r="AY318" s="32">
        <f t="shared" si="128"/>
        <v>3</v>
      </c>
      <c r="AZ318">
        <f>step3_validation[[#This Row],[AI_TRU4]]</f>
        <v>9</v>
      </c>
      <c r="BA318" t="str">
        <f t="shared" si="129"/>
        <v>Support</v>
      </c>
      <c r="BB318">
        <f>survey_responses[[#This Row],[Tôi thấy Nhà nước đã giải thích rõ ràng, minh bạch về lý do và mục tiêu của việc sửa đổi thuế lần này. - HUMAN-TRU4]]</f>
        <v>7</v>
      </c>
      <c r="BC318" t="str">
        <f t="shared" si="130"/>
        <v>Neutral</v>
      </c>
      <c r="BD318" s="32">
        <f t="shared" si="131"/>
        <v>2</v>
      </c>
      <c r="BE318">
        <f>step3_validation[[#This Row],[AI_OUT1]]</f>
        <v>8</v>
      </c>
      <c r="BF318" t="str">
        <f t="shared" si="132"/>
        <v>Support</v>
      </c>
      <c r="BG318">
        <f>survey_responses[[#This Row],[Sau khi xem xét các quyền lợi và nghĩa vụ, bạn có ủng hộ và tuân thủ chính sách mới hiện nay? - HUMAN-OUT1]]</f>
        <v>8</v>
      </c>
      <c r="BH318" t="str">
        <f t="shared" si="133"/>
        <v>Support</v>
      </c>
      <c r="BI318" s="32">
        <f t="shared" si="134"/>
        <v>0</v>
      </c>
    </row>
    <row r="319" spans="1:61" x14ac:dyDescent="0.45">
      <c r="A319" s="30">
        <f>step3_validation[[#This Row],[Persona_ID]]</f>
        <v>318</v>
      </c>
      <c r="B319" s="31">
        <f>step3_validation[[#This Row],[Used_Seed]]</f>
        <v>12662</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21.746024411486641</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t="str">
        <f t="shared" si="108"/>
        <v>Neutral</v>
      </c>
      <c r="S319">
        <f>survey_responses[[#This Row],[Tôi tin rằng với các quy định quản lý thuế hiện nay, hành vi gian lận hoặc trốn thuế sẽ dễ dàng bị phát hiện và xử lý nghiêm. - HUMAN-ENF1]]</f>
        <v>4</v>
      </c>
      <c r="T319" t="str">
        <f t="shared" si="109"/>
        <v>Oppose</v>
      </c>
      <c r="U319" s="32">
        <f t="shared" si="110"/>
        <v>3</v>
      </c>
      <c r="V319">
        <f>step3_validation[[#This Row],[AI_ENF2]]</f>
        <v>6</v>
      </c>
      <c r="W319" t="str">
        <f t="shared" si="111"/>
        <v>Neutral</v>
      </c>
      <c r="X319">
        <f>survey_responses[[#This Row],[Tôi tin rằng Nhà nước, cơ quan thuế có đủ khả năng và công nghệ để phát hiện, xử lý nghiêm các hành vi trốn thuế. - HUMAN-ENF2]]</f>
        <v>4</v>
      </c>
      <c r="Y319" t="str">
        <f t="shared" si="112"/>
        <v>Oppose</v>
      </c>
      <c r="Z319" s="32">
        <f t="shared" si="113"/>
        <v>2</v>
      </c>
      <c r="AA319">
        <f>step3_validation[[#This Row],[AI_FAC1]]</f>
        <v>8</v>
      </c>
      <c r="AB319" t="str">
        <f t="shared" si="114"/>
        <v>Support</v>
      </c>
      <c r="AC319">
        <f>survey_responses[[#This Row],[Các thủ tục khai báo thuế VÀ/HOẶC quy trình làm việc với cơ quan thuế đơn giản, tiện lợi, nhanh chóng hơn so với trước đây. - HUMAN-FAC1]]</f>
        <v>6</v>
      </c>
      <c r="AD319" t="str">
        <f t="shared" si="115"/>
        <v>Neutral</v>
      </c>
      <c r="AE319" s="32">
        <f t="shared" si="116"/>
        <v>2</v>
      </c>
      <c r="AF319">
        <f>step3_validation[[#This Row],[AI_FAC2]]</f>
        <v>9</v>
      </c>
      <c r="AG319" t="str">
        <f t="shared" si="117"/>
        <v>Support</v>
      </c>
      <c r="AH319">
        <f>survey_responses[[#This Row],[So với trước đây, tôi thấy cách tính thuế và các bậc thuế trong phương án mới đơn giản, dễ hiểu và dễ thực hiện hơn. - HUMAN-FAC2]]</f>
        <v>7</v>
      </c>
      <c r="AI319" t="str">
        <f t="shared" si="118"/>
        <v>Neutral</v>
      </c>
      <c r="AJ319" s="32">
        <f t="shared" si="119"/>
        <v>2</v>
      </c>
      <c r="AK319">
        <f>step3_validation[[#This Row],[AI_TRU1]]</f>
        <v>7</v>
      </c>
      <c r="AL319" t="str">
        <f t="shared" si="120"/>
        <v>Neutral</v>
      </c>
      <c r="AM319">
        <f>survey_responses[[#This Row],[Tôi tin rằng Nhà nước, cơ quan thuế sẽ thực thi chính sách mới một cách khách quan, công tâm và đối xử bình đẳng với mọi người nộp thuế.  - HUMAN-TRU1]]</f>
        <v>5</v>
      </c>
      <c r="AN319" t="str">
        <f t="shared" si="121"/>
        <v>Neutral</v>
      </c>
      <c r="AO319" s="32">
        <f t="shared" si="122"/>
        <v>2</v>
      </c>
      <c r="AP319">
        <f>step3_validation[[#This Row],[AI_TRU2]]</f>
        <v>8</v>
      </c>
      <c r="AQ319" t="str">
        <f t="shared" si="123"/>
        <v>Support</v>
      </c>
      <c r="AR319">
        <f>survey_responses[[#This Row],[Tôi thấy mức thuế tôi phải đóng theo phương án mới là công bằng (người thu nhập như tôi đóng mức này là hợp lý). - HUMAN-TRU2]]</f>
        <v>8</v>
      </c>
      <c r="AS319" t="str">
        <f t="shared" si="124"/>
        <v>Support</v>
      </c>
      <c r="AT319" s="32">
        <f t="shared" si="125"/>
        <v>0</v>
      </c>
      <c r="AU319">
        <f>step3_validation[[#This Row],[AI_TRU3]]</f>
        <v>7</v>
      </c>
      <c r="AV319" t="str">
        <f t="shared" si="126"/>
        <v>Neutral</v>
      </c>
      <c r="AW319">
        <f>survey_responses[[#This Row],[Tôi tin tưởng số tiền thuế tôi đóng sẽ được Nhà nước sử dụng hiệu quả để cải thiện dịch vụ công (y tế, đường xá...). - HUMAN-TRU3]]</f>
        <v>5</v>
      </c>
      <c r="AX319" t="str">
        <f t="shared" si="127"/>
        <v>Neutral</v>
      </c>
      <c r="AY319" s="32">
        <f t="shared" si="128"/>
        <v>2</v>
      </c>
      <c r="AZ319">
        <f>step3_validation[[#This Row],[AI_TRU4]]</f>
        <v>8</v>
      </c>
      <c r="BA319" t="str">
        <f t="shared" si="129"/>
        <v>Support</v>
      </c>
      <c r="BB319">
        <f>survey_responses[[#This Row],[Tôi thấy Nhà nước đã giải thích rõ ràng, minh bạch về lý do và mục tiêu của việc sửa đổi thuế lần này. - HUMAN-TRU4]]</f>
        <v>5</v>
      </c>
      <c r="BC319" t="str">
        <f t="shared" si="130"/>
        <v>Neutral</v>
      </c>
      <c r="BD319" s="32">
        <f t="shared" si="131"/>
        <v>3</v>
      </c>
      <c r="BE319">
        <f>step3_validation[[#This Row],[AI_OUT1]]</f>
        <v>9</v>
      </c>
      <c r="BF319" t="str">
        <f t="shared" si="132"/>
        <v>Support</v>
      </c>
      <c r="BG319">
        <f>survey_responses[[#This Row],[Sau khi xem xét các quyền lợi và nghĩa vụ, bạn có ủng hộ và tuân thủ chính sách mới hiện nay? - HUMAN-OUT1]]</f>
        <v>8</v>
      </c>
      <c r="BH319" t="str">
        <f t="shared" si="133"/>
        <v>Support</v>
      </c>
      <c r="BI319" s="32">
        <f t="shared" si="134"/>
        <v>1</v>
      </c>
    </row>
    <row r="320" spans="1:61" x14ac:dyDescent="0.45">
      <c r="A320" s="30">
        <f>step3_validation[[#This Row],[Persona_ID]]</f>
        <v>319</v>
      </c>
      <c r="B320" s="31">
        <f>step3_validation[[#This Row],[Used_Seed]]</f>
        <v>12663</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15.418228397582919</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7</v>
      </c>
      <c r="R320" t="str">
        <f t="shared" si="108"/>
        <v>Neutral</v>
      </c>
      <c r="S320">
        <f>survey_responses[[#This Row],[Tôi tin rằng với các quy định quản lý thuế hiện nay, hành vi gian lận hoặc trốn thuế sẽ dễ dàng bị phát hiện và xử lý nghiêm. - HUMAN-ENF1]]</f>
        <v>8</v>
      </c>
      <c r="T320" t="str">
        <f t="shared" si="109"/>
        <v>Support</v>
      </c>
      <c r="U320" s="32">
        <f t="shared" si="110"/>
        <v>1</v>
      </c>
      <c r="V320">
        <f>step3_validation[[#This Row],[AI_ENF2]]</f>
        <v>9</v>
      </c>
      <c r="W320" t="str">
        <f t="shared" si="111"/>
        <v>Support</v>
      </c>
      <c r="X320">
        <f>survey_responses[[#This Row],[Tôi tin rằng Nhà nước, cơ quan thuế có đủ khả năng và công nghệ để phát hiện, xử lý nghiêm các hành vi trốn thuế. - HUMAN-ENF2]]</f>
        <v>8</v>
      </c>
      <c r="Y320" t="str">
        <f t="shared" si="112"/>
        <v>Support</v>
      </c>
      <c r="Z320" s="32">
        <f t="shared" si="113"/>
        <v>1</v>
      </c>
      <c r="AA320">
        <f>step3_validation[[#This Row],[AI_FAC1]]</f>
        <v>9</v>
      </c>
      <c r="AB320" t="str">
        <f t="shared" si="114"/>
        <v>Support</v>
      </c>
      <c r="AC320">
        <f>survey_responses[[#This Row],[Các thủ tục khai báo thuế VÀ/HOẶC quy trình làm việc với cơ quan thuế đơn giản, tiện lợi, nhanh chóng hơn so với trước đây. - HUMAN-FAC1]]</f>
        <v>10</v>
      </c>
      <c r="AD320" t="str">
        <f t="shared" si="115"/>
        <v>Support</v>
      </c>
      <c r="AE320" s="32">
        <f t="shared" si="116"/>
        <v>1</v>
      </c>
      <c r="AF320">
        <f>step3_validation[[#This Row],[AI_FAC2]]</f>
        <v>10</v>
      </c>
      <c r="AG320" t="str">
        <f t="shared" si="117"/>
        <v>Support</v>
      </c>
      <c r="AH320">
        <f>survey_responses[[#This Row],[So với trước đây, tôi thấy cách tính thuế và các bậc thuế trong phương án mới đơn giản, dễ hiểu và dễ thực hiện hơn. - HUMAN-FAC2]]</f>
        <v>10</v>
      </c>
      <c r="AI320" t="str">
        <f t="shared" si="118"/>
        <v>Support</v>
      </c>
      <c r="AJ320" s="32">
        <f t="shared" si="119"/>
        <v>0</v>
      </c>
      <c r="AK320">
        <f>step3_validation[[#This Row],[AI_TRU1]]</f>
        <v>9</v>
      </c>
      <c r="AL320" t="str">
        <f t="shared" si="120"/>
        <v>Support</v>
      </c>
      <c r="AM320">
        <f>survey_responses[[#This Row],[Tôi tin rằng Nhà nước, cơ quan thuế sẽ thực thi chính sách mới một cách khách quan, công tâm và đối xử bình đẳng với mọi người nộp thuế.  - HUMAN-TRU1]]</f>
        <v>9</v>
      </c>
      <c r="AN320" t="str">
        <f t="shared" si="121"/>
        <v>Support</v>
      </c>
      <c r="AO320" s="32">
        <f t="shared" si="122"/>
        <v>0</v>
      </c>
      <c r="AP320">
        <f>step3_validation[[#This Row],[AI_TRU2]]</f>
        <v>10</v>
      </c>
      <c r="AQ320" t="str">
        <f t="shared" si="123"/>
        <v>Support</v>
      </c>
      <c r="AR320">
        <f>survey_responses[[#This Row],[Tôi thấy mức thuế tôi phải đóng theo phương án mới là công bằng (người thu nhập như tôi đóng mức này là hợp lý). - HUMAN-TRU2]]</f>
        <v>10</v>
      </c>
      <c r="AS320" t="str">
        <f t="shared" si="124"/>
        <v>Support</v>
      </c>
      <c r="AT320" s="32">
        <f t="shared" si="125"/>
        <v>0</v>
      </c>
      <c r="AU320">
        <f>step3_validation[[#This Row],[AI_TRU3]]</f>
        <v>9</v>
      </c>
      <c r="AV320" t="str">
        <f t="shared" si="126"/>
        <v>Support</v>
      </c>
      <c r="AW320">
        <f>survey_responses[[#This Row],[Tôi tin tưởng số tiền thuế tôi đóng sẽ được Nhà nước sử dụng hiệu quả để cải thiện dịch vụ công (y tế, đường xá...). - HUMAN-TRU3]]</f>
        <v>8</v>
      </c>
      <c r="AX320" t="str">
        <f t="shared" si="127"/>
        <v>Support</v>
      </c>
      <c r="AY320" s="32">
        <f t="shared" si="128"/>
        <v>1</v>
      </c>
      <c r="AZ320">
        <f>step3_validation[[#This Row],[AI_TRU4]]</f>
        <v>8</v>
      </c>
      <c r="BA320" t="str">
        <f t="shared" si="129"/>
        <v>Support</v>
      </c>
      <c r="BB320">
        <f>survey_responses[[#This Row],[Tôi thấy Nhà nước đã giải thích rõ ràng, minh bạch về lý do và mục tiêu của việc sửa đổi thuế lần này. - HUMAN-TRU4]]</f>
        <v>8</v>
      </c>
      <c r="BC320" t="str">
        <f t="shared" si="130"/>
        <v>Support</v>
      </c>
      <c r="BD320" s="32">
        <f t="shared" si="131"/>
        <v>0</v>
      </c>
      <c r="BE320">
        <f>step3_validation[[#This Row],[AI_OUT1]]</f>
        <v>9</v>
      </c>
      <c r="BF320" t="str">
        <f t="shared" si="132"/>
        <v>Support</v>
      </c>
      <c r="BG320">
        <f>survey_responses[[#This Row],[Sau khi xem xét các quyền lợi và nghĩa vụ, bạn có ủng hộ và tuân thủ chính sách mới hiện nay? - HUMAN-OUT1]]</f>
        <v>10</v>
      </c>
      <c r="BH320" t="str">
        <f t="shared" si="133"/>
        <v>Support</v>
      </c>
      <c r="BI320" s="32">
        <f t="shared" si="134"/>
        <v>1</v>
      </c>
    </row>
    <row r="321" spans="1:61" x14ac:dyDescent="0.45">
      <c r="A321" s="30">
        <f>step3_validation[[#This Row],[Persona_ID]]</f>
        <v>320</v>
      </c>
      <c r="B321" s="31">
        <f>step3_validation[[#This Row],[Used_Seed]]</f>
        <v>12664</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30.473517806818467</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t="str">
        <f t="shared" si="108"/>
        <v>Neutral</v>
      </c>
      <c r="S321">
        <f>survey_responses[[#This Row],[Tôi tin rằng với các quy định quản lý thuế hiện nay, hành vi gian lận hoặc trốn thuế sẽ dễ dàng bị phát hiện và xử lý nghiêm. - HUMAN-ENF1]]</f>
        <v>5</v>
      </c>
      <c r="T321" t="str">
        <f t="shared" si="109"/>
        <v>Neutral</v>
      </c>
      <c r="U321" s="32">
        <f t="shared" si="110"/>
        <v>2</v>
      </c>
      <c r="V321">
        <f>step3_validation[[#This Row],[AI_ENF2]]</f>
        <v>8</v>
      </c>
      <c r="W321" t="str">
        <f t="shared" si="111"/>
        <v>Support</v>
      </c>
      <c r="X321">
        <f>survey_responses[[#This Row],[Tôi tin rằng Nhà nước, cơ quan thuế có đủ khả năng và công nghệ để phát hiện, xử lý nghiêm các hành vi trốn thuế. - HUMAN-ENF2]]</f>
        <v>7</v>
      </c>
      <c r="Y321" t="str">
        <f t="shared" si="112"/>
        <v>Neutral</v>
      </c>
      <c r="Z321" s="32">
        <f t="shared" si="113"/>
        <v>1</v>
      </c>
      <c r="AA321">
        <f>step3_validation[[#This Row],[AI_FAC1]]</f>
        <v>6</v>
      </c>
      <c r="AB321" t="str">
        <f t="shared" si="114"/>
        <v>Neutral</v>
      </c>
      <c r="AC321">
        <f>survey_responses[[#This Row],[Các thủ tục khai báo thuế VÀ/HOẶC quy trình làm việc với cơ quan thuế đơn giản, tiện lợi, nhanh chóng hơn so với trước đây. - HUMAN-FAC1]]</f>
        <v>7</v>
      </c>
      <c r="AD321" t="str">
        <f t="shared" si="115"/>
        <v>Neutral</v>
      </c>
      <c r="AE321" s="32">
        <f t="shared" si="116"/>
        <v>1</v>
      </c>
      <c r="AF321">
        <f>step3_validation[[#This Row],[AI_FAC2]]</f>
        <v>9</v>
      </c>
      <c r="AG321" t="str">
        <f t="shared" si="117"/>
        <v>Support</v>
      </c>
      <c r="AH321">
        <f>survey_responses[[#This Row],[So với trước đây, tôi thấy cách tính thuế và các bậc thuế trong phương án mới đơn giản, dễ hiểu và dễ thực hiện hơn. - HUMAN-FAC2]]</f>
        <v>9</v>
      </c>
      <c r="AI321" t="str">
        <f t="shared" si="118"/>
        <v>Support</v>
      </c>
      <c r="AJ321" s="32">
        <f t="shared" si="119"/>
        <v>0</v>
      </c>
      <c r="AK321">
        <f>step3_validation[[#This Row],[AI_TRU1]]</f>
        <v>7</v>
      </c>
      <c r="AL321" t="str">
        <f t="shared" si="120"/>
        <v>Neutral</v>
      </c>
      <c r="AM321">
        <f>survey_responses[[#This Row],[Tôi tin rằng Nhà nước, cơ quan thuế sẽ thực thi chính sách mới một cách khách quan, công tâm và đối xử bình đẳng với mọi người nộp thuế.  - HUMAN-TRU1]]</f>
        <v>5</v>
      </c>
      <c r="AN321" t="str">
        <f t="shared" si="121"/>
        <v>Neutral</v>
      </c>
      <c r="AO321" s="32">
        <f t="shared" si="122"/>
        <v>2</v>
      </c>
      <c r="AP321">
        <f>step3_validation[[#This Row],[AI_TRU2]]</f>
        <v>9</v>
      </c>
      <c r="AQ321" t="str">
        <f t="shared" si="123"/>
        <v>Support</v>
      </c>
      <c r="AR321">
        <f>survey_responses[[#This Row],[Tôi thấy mức thuế tôi phải đóng theo phương án mới là công bằng (người thu nhập như tôi đóng mức này là hợp lý). - HUMAN-TRU2]]</f>
        <v>6</v>
      </c>
      <c r="AS321" t="str">
        <f t="shared" si="124"/>
        <v>Neutral</v>
      </c>
      <c r="AT321" s="32">
        <f t="shared" si="125"/>
        <v>3</v>
      </c>
      <c r="AU321">
        <f>step3_validation[[#This Row],[AI_TRU3]]</f>
        <v>8</v>
      </c>
      <c r="AV321" t="str">
        <f t="shared" si="126"/>
        <v>Support</v>
      </c>
      <c r="AW321">
        <f>survey_responses[[#This Row],[Tôi tin tưởng số tiền thuế tôi đóng sẽ được Nhà nước sử dụng hiệu quả để cải thiện dịch vụ công (y tế, đường xá...). - HUMAN-TRU3]]</f>
        <v>5</v>
      </c>
      <c r="AX321" t="str">
        <f t="shared" si="127"/>
        <v>Neutral</v>
      </c>
      <c r="AY321" s="32">
        <f t="shared" si="128"/>
        <v>3</v>
      </c>
      <c r="AZ321">
        <f>step3_validation[[#This Row],[AI_TRU4]]</f>
        <v>9</v>
      </c>
      <c r="BA321" t="str">
        <f t="shared" si="129"/>
        <v>Support</v>
      </c>
      <c r="BB321">
        <f>survey_responses[[#This Row],[Tôi thấy Nhà nước đã giải thích rõ ràng, minh bạch về lý do và mục tiêu của việc sửa đổi thuế lần này. - HUMAN-TRU4]]</f>
        <v>7</v>
      </c>
      <c r="BC321" t="str">
        <f t="shared" si="130"/>
        <v>Neutral</v>
      </c>
      <c r="BD321" s="32">
        <f t="shared" si="131"/>
        <v>2</v>
      </c>
      <c r="BE321">
        <f>step3_validation[[#This Row],[AI_OUT1]]</f>
        <v>9</v>
      </c>
      <c r="BF321" t="str">
        <f t="shared" si="132"/>
        <v>Support</v>
      </c>
      <c r="BG321">
        <f>survey_responses[[#This Row],[Sau khi xem xét các quyền lợi và nghĩa vụ, bạn có ủng hộ và tuân thủ chính sách mới hiện nay? - HUMAN-OUT1]]</f>
        <v>7</v>
      </c>
      <c r="BH321" t="str">
        <f t="shared" si="133"/>
        <v>Neutral</v>
      </c>
      <c r="BI321" s="32">
        <f t="shared" si="134"/>
        <v>2</v>
      </c>
    </row>
    <row r="322" spans="1:61" x14ac:dyDescent="0.45">
      <c r="A322" s="30">
        <f>step3_validation[[#This Row],[Persona_ID]]</f>
        <v>321</v>
      </c>
      <c r="B322" s="31">
        <f>step3_validation[[#This Row],[Used_Seed]]</f>
        <v>12665</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16.256873801040314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7</v>
      </c>
      <c r="R322" t="str">
        <f t="shared" si="108"/>
        <v>Neutral</v>
      </c>
      <c r="S322">
        <f>survey_responses[[#This Row],[Tôi tin rằng với các quy định quản lý thuế hiện nay, hành vi gian lận hoặc trốn thuế sẽ dễ dàng bị phát hiện và xử lý nghiêm. - HUMAN-ENF1]]</f>
        <v>8</v>
      </c>
      <c r="T322" t="str">
        <f t="shared" si="109"/>
        <v>Support</v>
      </c>
      <c r="U322" s="32">
        <f t="shared" si="110"/>
        <v>1</v>
      </c>
      <c r="V322">
        <f>step3_validation[[#This Row],[AI_ENF2]]</f>
        <v>6</v>
      </c>
      <c r="W322" t="str">
        <f t="shared" si="111"/>
        <v>Neutral</v>
      </c>
      <c r="X322">
        <f>survey_responses[[#This Row],[Tôi tin rằng Nhà nước, cơ quan thuế có đủ khả năng và công nghệ để phát hiện, xử lý nghiêm các hành vi trốn thuế. - HUMAN-ENF2]]</f>
        <v>8</v>
      </c>
      <c r="Y322" t="str">
        <f t="shared" si="112"/>
        <v>Support</v>
      </c>
      <c r="Z322" s="32">
        <f t="shared" si="113"/>
        <v>2</v>
      </c>
      <c r="AA322">
        <f>step3_validation[[#This Row],[AI_FAC1]]</f>
        <v>8</v>
      </c>
      <c r="AB322" t="str">
        <f t="shared" si="114"/>
        <v>Support</v>
      </c>
      <c r="AC322">
        <f>survey_responses[[#This Row],[Các thủ tục khai báo thuế VÀ/HOẶC quy trình làm việc với cơ quan thuế đơn giản, tiện lợi, nhanh chóng hơn so với trước đây. - HUMAN-FAC1]]</f>
        <v>7</v>
      </c>
      <c r="AD322" t="str">
        <f t="shared" si="115"/>
        <v>Neutral</v>
      </c>
      <c r="AE322" s="32">
        <f t="shared" si="116"/>
        <v>1</v>
      </c>
      <c r="AF322">
        <f>step3_validation[[#This Row],[AI_FAC2]]</f>
        <v>9</v>
      </c>
      <c r="AG322" t="str">
        <f t="shared" si="117"/>
        <v>Support</v>
      </c>
      <c r="AH322">
        <f>survey_responses[[#This Row],[So với trước đây, tôi thấy cách tính thuế và các bậc thuế trong phương án mới đơn giản, dễ hiểu và dễ thực hiện hơn. - HUMAN-FAC2]]</f>
        <v>9</v>
      </c>
      <c r="AI322" t="str">
        <f t="shared" si="118"/>
        <v>Support</v>
      </c>
      <c r="AJ322" s="32">
        <f t="shared" si="119"/>
        <v>0</v>
      </c>
      <c r="AK322">
        <f>step3_validation[[#This Row],[AI_TRU1]]</f>
        <v>7</v>
      </c>
      <c r="AL322" t="str">
        <f t="shared" si="120"/>
        <v>Neutral</v>
      </c>
      <c r="AM322">
        <f>survey_responses[[#This Row],[Tôi tin rằng Nhà nước, cơ quan thuế sẽ thực thi chính sách mới một cách khách quan, công tâm và đối xử bình đẳng với mọi người nộp thuế.  - HUMAN-TRU1]]</f>
        <v>9</v>
      </c>
      <c r="AN322" t="str">
        <f t="shared" si="121"/>
        <v>Support</v>
      </c>
      <c r="AO322" s="32">
        <f t="shared" si="122"/>
        <v>2</v>
      </c>
      <c r="AP322">
        <f>step3_validation[[#This Row],[AI_TRU2]]</f>
        <v>9</v>
      </c>
      <c r="AQ322" t="str">
        <f t="shared" si="123"/>
        <v>Support</v>
      </c>
      <c r="AR322">
        <f>survey_responses[[#This Row],[Tôi thấy mức thuế tôi phải đóng theo phương án mới là công bằng (người thu nhập như tôi đóng mức này là hợp lý). - HUMAN-TRU2]]</f>
        <v>9</v>
      </c>
      <c r="AS322" t="str">
        <f t="shared" si="124"/>
        <v>Support</v>
      </c>
      <c r="AT322" s="32">
        <f t="shared" si="125"/>
        <v>0</v>
      </c>
      <c r="AU322">
        <f>step3_validation[[#This Row],[AI_TRU3]]</f>
        <v>8</v>
      </c>
      <c r="AV322" t="str">
        <f t="shared" si="126"/>
        <v>Support</v>
      </c>
      <c r="AW322">
        <f>survey_responses[[#This Row],[Tôi tin tưởng số tiền thuế tôi đóng sẽ được Nhà nước sử dụng hiệu quả để cải thiện dịch vụ công (y tế, đường xá...). - HUMAN-TRU3]]</f>
        <v>7</v>
      </c>
      <c r="AX322" t="str">
        <f t="shared" si="127"/>
        <v>Neutral</v>
      </c>
      <c r="AY322" s="32">
        <f t="shared" si="128"/>
        <v>1</v>
      </c>
      <c r="AZ322">
        <f>step3_validation[[#This Row],[AI_TRU4]]</f>
        <v>7</v>
      </c>
      <c r="BA322" t="str">
        <f t="shared" si="129"/>
        <v>Neutral</v>
      </c>
      <c r="BB322">
        <f>survey_responses[[#This Row],[Tôi thấy Nhà nước đã giải thích rõ ràng, minh bạch về lý do và mục tiêu của việc sửa đổi thuế lần này. - HUMAN-TRU4]]</f>
        <v>9</v>
      </c>
      <c r="BC322" t="str">
        <f t="shared" si="130"/>
        <v>Support</v>
      </c>
      <c r="BD322" s="32">
        <f t="shared" si="131"/>
        <v>2</v>
      </c>
      <c r="BE322">
        <f>step3_validation[[#This Row],[AI_OUT1]]</f>
        <v>8</v>
      </c>
      <c r="BF322" t="str">
        <f t="shared" si="132"/>
        <v>Support</v>
      </c>
      <c r="BG322">
        <f>survey_responses[[#This Row],[Sau khi xem xét các quyền lợi và nghĩa vụ, bạn có ủng hộ và tuân thủ chính sách mới hiện nay? - HUMAN-OUT1]]</f>
        <v>9</v>
      </c>
      <c r="BH322" t="str">
        <f t="shared" si="133"/>
        <v>Support</v>
      </c>
      <c r="BI322" s="32">
        <f t="shared" si="134"/>
        <v>1</v>
      </c>
    </row>
    <row r="323" spans="1:61" x14ac:dyDescent="0.45">
      <c r="A323" s="30">
        <f>step3_validation[[#This Row],[Persona_ID]]</f>
        <v>322</v>
      </c>
      <c r="B323" s="31">
        <f>step3_validation[[#This Row],[Used_Seed]]</f>
        <v>12666</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25.362896743820713</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t="str">
        <f t="shared" ref="R323:R386" si="135">IF(AND(Q323&gt;=1,Q323&lt;5),"Oppose",IF(AND(Q323&gt;=5,Q323&lt;8),"Neutral",IF(AND(Q323&gt;=8,Q323&lt;=10),"Support","")))</f>
        <v>Neutral</v>
      </c>
      <c r="S323">
        <f>survey_responses[[#This Row],[Tôi tin rằng với các quy định quản lý thuế hiện nay, hành vi gian lận hoặc trốn thuế sẽ dễ dàng bị phát hiện và xử lý nghiêm. - HUMAN-ENF1]]</f>
        <v>5</v>
      </c>
      <c r="T323" t="str">
        <f t="shared" ref="T323:T386" si="136">IF(AND(S323&gt;=1,S323&lt;5),"Oppose",IF(AND(S323&gt;=5,S323&lt;8),"Neutral",IF(AND(S323&gt;=8,S323&lt;=10),"Support","")))</f>
        <v>Neutral</v>
      </c>
      <c r="U323" s="32">
        <f t="shared" ref="U323:U386" si="137">ABS(S323-Q323)</f>
        <v>2</v>
      </c>
      <c r="V323">
        <f>step3_validation[[#This Row],[AI_ENF2]]</f>
        <v>6</v>
      </c>
      <c r="W323" t="str">
        <f t="shared" ref="W323:W386" si="138">IF(AND(V323&gt;=1,V323&lt;5),"Oppose",IF(AND(V323&gt;=5,V323&lt;8),"Neutral",IF(AND(V323&gt;=8,V323&lt;=10),"Support","")))</f>
        <v>Neutral</v>
      </c>
      <c r="X323">
        <f>survey_responses[[#This Row],[Tôi tin rằng Nhà nước, cơ quan thuế có đủ khả năng và công nghệ để phát hiện, xử lý nghiêm các hành vi trốn thuế. - HUMAN-ENF2]]</f>
        <v>5</v>
      </c>
      <c r="Y323" t="str">
        <f t="shared" ref="Y323:Y386" si="139">IF(AND(X323&gt;=1,X323&lt;5),"Oppose",IF(AND(X323&gt;=5,X323&lt;8),"Neutral",IF(AND(X323&gt;=8,X323&lt;=10),"Support","")))</f>
        <v>Neutral</v>
      </c>
      <c r="Z323" s="32">
        <f t="shared" ref="Z323:Z386" si="140">ABS(X323-V323)</f>
        <v>1</v>
      </c>
      <c r="AA323">
        <f>step3_validation[[#This Row],[AI_FAC1]]</f>
        <v>9</v>
      </c>
      <c r="AB323" t="str">
        <f t="shared" ref="AB323:AB386" si="141">IF(AND(AA323&gt;=1,AA323&lt;5),"Oppose",IF(AND(AA323&gt;=5,AA323&lt;8),"Neutral",IF(AND(AA323&gt;=8,AA323&lt;=10),"Support","")))</f>
        <v>Support</v>
      </c>
      <c r="AC323">
        <f>survey_responses[[#This Row],[Các thủ tục khai báo thuế VÀ/HOẶC quy trình làm việc với cơ quan thuế đơn giản, tiện lợi, nhanh chóng hơn so với trước đây. - HUMAN-FAC1]]</f>
        <v>5</v>
      </c>
      <c r="AD323" t="str">
        <f t="shared" ref="AD323:AD386" si="142">IF(AND(AC323&gt;=1,AC323&lt;5),"Oppose",IF(AND(AC323&gt;=5,AC323&lt;8),"Neutral",IF(AND(AC323&gt;=8,AC323&lt;=10),"Support","")))</f>
        <v>Neutral</v>
      </c>
      <c r="AE323" s="32">
        <f t="shared" ref="AE323:AE386" si="143">ABS(AC323-AA323)</f>
        <v>4</v>
      </c>
      <c r="AF323">
        <f>step3_validation[[#This Row],[AI_FAC2]]</f>
        <v>9</v>
      </c>
      <c r="AG323" t="str">
        <f t="shared" ref="AG323:AG386" si="144">IF(AND(AF323&gt;=1,AF323&lt;5),"Oppose",IF(AND(AF323&gt;=5,AF323&lt;8),"Neutral",IF(AND(AF323&gt;=8,AF323&lt;=10),"Support","")))</f>
        <v>Support</v>
      </c>
      <c r="AH323">
        <f>survey_responses[[#This Row],[So với trước đây, tôi thấy cách tính thuế và các bậc thuế trong phương án mới đơn giản, dễ hiểu và dễ thực hiện hơn. - HUMAN-FAC2]]</f>
        <v>7</v>
      </c>
      <c r="AI323" t="str">
        <f t="shared" ref="AI323:AI386" si="145">IF(AND(AH323&gt;=1,AH323&lt;5),"Oppose",IF(AND(AH323&gt;=5,AH323&lt;8),"Neutral",IF(AND(AH323&gt;=8,AH323&lt;=10),"Support","")))</f>
        <v>Neutral</v>
      </c>
      <c r="AJ323" s="32">
        <f t="shared" ref="AJ323:AJ386" si="146">ABS(AH323-AF323)</f>
        <v>2</v>
      </c>
      <c r="AK323">
        <f>step3_validation[[#This Row],[AI_TRU1]]</f>
        <v>8</v>
      </c>
      <c r="AL323" t="str">
        <f t="shared" ref="AL323:AL386" si="147">IF(AND(AK323&gt;=1,AK323&lt;5),"Oppose",IF(AND(AK323&gt;=5,AK323&lt;8),"Neutral",IF(AND(AK323&gt;=8,AK323&lt;=10),"Support","")))</f>
        <v>Support</v>
      </c>
      <c r="AM323">
        <f>survey_responses[[#This Row],[Tôi tin rằng Nhà nước, cơ quan thuế sẽ thực thi chính sách mới một cách khách quan, công tâm và đối xử bình đẳng với mọi người nộp thuế.  - HUMAN-TRU1]]</f>
        <v>5</v>
      </c>
      <c r="AN323" t="str">
        <f t="shared" ref="AN323:AN386" si="148">IF(AND(AM323&gt;=1,AM323&lt;5),"Oppose",IF(AND(AM323&gt;=5,AM323&lt;8),"Neutral",IF(AND(AM323&gt;=8,AM323&lt;=10),"Support","")))</f>
        <v>Neutral</v>
      </c>
      <c r="AO323" s="32">
        <f t="shared" ref="AO323:AO386" si="149">ABS(AM323-AK323)</f>
        <v>3</v>
      </c>
      <c r="AP323">
        <f>step3_validation[[#This Row],[AI_TRU2]]</f>
        <v>9</v>
      </c>
      <c r="AQ323" t="str">
        <f t="shared" ref="AQ323:AQ386" si="150">IF(AND(AP323&gt;=1,AP323&lt;5),"Oppose",IF(AND(AP323&gt;=5,AP323&lt;8),"Neutral",IF(AND(AP323&gt;=8,AP323&lt;=10),"Support","")))</f>
        <v>Support</v>
      </c>
      <c r="AR323">
        <f>survey_responses[[#This Row],[Tôi thấy mức thuế tôi phải đóng theo phương án mới là công bằng (người thu nhập như tôi đóng mức này là hợp lý). - HUMAN-TRU2]]</f>
        <v>7</v>
      </c>
      <c r="AS323" t="str">
        <f t="shared" ref="AS323:AS386" si="151">IF(AND(AR323&gt;=1,AR323&lt;5),"Oppose",IF(AND(AR323&gt;=5,AR323&lt;8),"Neutral",IF(AND(AR323&gt;=8,AR323&lt;=10),"Support","")))</f>
        <v>Neutral</v>
      </c>
      <c r="AT323" s="32">
        <f t="shared" ref="AT323:AT386" si="152">ABS(AR323-AP323)</f>
        <v>2</v>
      </c>
      <c r="AU323">
        <f>step3_validation[[#This Row],[AI_TRU3]]</f>
        <v>8</v>
      </c>
      <c r="AV323" t="str">
        <f t="shared" ref="AV323:AV386" si="153">IF(AND(AU323&gt;=1,AU323&lt;5),"Oppose",IF(AND(AU323&gt;=5,AU323&lt;8),"Neutral",IF(AND(AU323&gt;=8,AU323&lt;=10),"Support","")))</f>
        <v>Support</v>
      </c>
      <c r="AW323">
        <f>survey_responses[[#This Row],[Tôi tin tưởng số tiền thuế tôi đóng sẽ được Nhà nước sử dụng hiệu quả để cải thiện dịch vụ công (y tế, đường xá...). - HUMAN-TRU3]]</f>
        <v>5</v>
      </c>
      <c r="AX323" t="str">
        <f t="shared" ref="AX323:AX386" si="154">IF(AND(AW323&gt;=1,AW323&lt;5),"Oppose",IF(AND(AW323&gt;=5,AW323&lt;8),"Neutral",IF(AND(AW323&gt;=8,AW323&lt;=10),"Support","")))</f>
        <v>Neutral</v>
      </c>
      <c r="AY323" s="32">
        <f t="shared" ref="AY323:AY386" si="155">ABS(AW323-AU323)</f>
        <v>3</v>
      </c>
      <c r="AZ323">
        <f>step3_validation[[#This Row],[AI_TRU4]]</f>
        <v>9</v>
      </c>
      <c r="BA323" t="str">
        <f t="shared" ref="BA323:BA386" si="156">IF(AND(AZ323&gt;=1,AZ323&lt;5),"Oppose",IF(AND(AZ323&gt;=5,AZ323&lt;8),"Neutral",IF(AND(AZ323&gt;=8,AZ323&lt;=10),"Support","")))</f>
        <v>Support</v>
      </c>
      <c r="BB323">
        <f>survey_responses[[#This Row],[Tôi thấy Nhà nước đã giải thích rõ ràng, minh bạch về lý do và mục tiêu của việc sửa đổi thuế lần này. - HUMAN-TRU4]]</f>
        <v>5</v>
      </c>
      <c r="BC323" t="str">
        <f t="shared" ref="BC323:BC386" si="157">IF(AND(BB323&gt;=1,BB323&lt;5),"Oppose",IF(AND(BB323&gt;=5,BB323&lt;8),"Neutral",IF(AND(BB323&gt;=8,BB323&lt;=10),"Support","")))</f>
        <v>Neutral</v>
      </c>
      <c r="BD323" s="32">
        <f t="shared" ref="BD323:BD386" si="158">ABS(BB323-AZ323)</f>
        <v>4</v>
      </c>
      <c r="BE323">
        <f>step3_validation[[#This Row],[AI_OUT1]]</f>
        <v>8</v>
      </c>
      <c r="BF323" t="str">
        <f t="shared" ref="BF323:BF386" si="159">IF(AND(BE323&gt;=1,BE323&lt;5),"Oppose",IF(AND(BE323&gt;=5,BE323&lt;8),"Neutral",IF(AND(BE323&gt;=8,BE323&lt;=10),"Support","")))</f>
        <v>Support</v>
      </c>
      <c r="BG323">
        <f>survey_responses[[#This Row],[Sau khi xem xét các quyền lợi và nghĩa vụ, bạn có ủng hộ và tuân thủ chính sách mới hiện nay? - HUMAN-OUT1]]</f>
        <v>7</v>
      </c>
      <c r="BH323" t="str">
        <f t="shared" ref="BH323:BH386" si="160">IF(AND(BG323&gt;=1,BG323&lt;5),"Oppose",IF(AND(BG323&gt;=5,BG323&lt;8),"Neutral",IF(AND(BG323&gt;=8,BG323&lt;=10),"Support","")))</f>
        <v>Neutral</v>
      </c>
      <c r="BI323" s="32">
        <f t="shared" ref="BI323:BI386" si="161">ABS(BG323-BE323)</f>
        <v>1</v>
      </c>
    </row>
    <row r="324" spans="1:61" x14ac:dyDescent="0.45">
      <c r="A324" s="30">
        <f>step3_validation[[#This Row],[Persona_ID]]</f>
        <v>323</v>
      </c>
      <c r="B324" s="31">
        <f>step3_validation[[#This Row],[Used_Seed]]</f>
        <v>12667</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23.326446966869465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7</v>
      </c>
      <c r="R324" t="str">
        <f t="shared" si="135"/>
        <v>Neutral</v>
      </c>
      <c r="S324">
        <f>survey_responses[[#This Row],[Tôi tin rằng với các quy định quản lý thuế hiện nay, hành vi gian lận hoặc trốn thuế sẽ dễ dàng bị phát hiện và xử lý nghiêm. - HUMAN-ENF1]]</f>
        <v>7</v>
      </c>
      <c r="T324" t="str">
        <f t="shared" si="136"/>
        <v>Neutral</v>
      </c>
      <c r="U324" s="32">
        <f t="shared" si="137"/>
        <v>0</v>
      </c>
      <c r="V324">
        <f>step3_validation[[#This Row],[AI_ENF2]]</f>
        <v>9</v>
      </c>
      <c r="W324" t="str">
        <f t="shared" si="138"/>
        <v>Support</v>
      </c>
      <c r="X324">
        <f>survey_responses[[#This Row],[Tôi tin rằng Nhà nước, cơ quan thuế có đủ khả năng và công nghệ để phát hiện, xử lý nghiêm các hành vi trốn thuế. - HUMAN-ENF2]]</f>
        <v>7</v>
      </c>
      <c r="Y324" t="str">
        <f t="shared" si="139"/>
        <v>Neutral</v>
      </c>
      <c r="Z324" s="32">
        <f t="shared" si="140"/>
        <v>2</v>
      </c>
      <c r="AA324">
        <f>step3_validation[[#This Row],[AI_FAC1]]</f>
        <v>8</v>
      </c>
      <c r="AB324" t="str">
        <f t="shared" si="141"/>
        <v>Support</v>
      </c>
      <c r="AC324">
        <f>survey_responses[[#This Row],[Các thủ tục khai báo thuế VÀ/HOẶC quy trình làm việc với cơ quan thuế đơn giản, tiện lợi, nhanh chóng hơn so với trước đây. - HUMAN-FAC1]]</f>
        <v>8</v>
      </c>
      <c r="AD324" t="str">
        <f t="shared" si="142"/>
        <v>Support</v>
      </c>
      <c r="AE324" s="32">
        <f t="shared" si="143"/>
        <v>0</v>
      </c>
      <c r="AF324">
        <f>step3_validation[[#This Row],[AI_FAC2]]</f>
        <v>9</v>
      </c>
      <c r="AG324" t="str">
        <f t="shared" si="144"/>
        <v>Support</v>
      </c>
      <c r="AH324">
        <f>survey_responses[[#This Row],[So với trước đây, tôi thấy cách tính thuế và các bậc thuế trong phương án mới đơn giản, dễ hiểu và dễ thực hiện hơn. - HUMAN-FAC2]]</f>
        <v>8</v>
      </c>
      <c r="AI324" t="str">
        <f t="shared" si="145"/>
        <v>Support</v>
      </c>
      <c r="AJ324" s="32">
        <f t="shared" si="146"/>
        <v>1</v>
      </c>
      <c r="AK324">
        <f>step3_validation[[#This Row],[AI_TRU1]]</f>
        <v>8</v>
      </c>
      <c r="AL324" t="str">
        <f t="shared" si="147"/>
        <v>Support</v>
      </c>
      <c r="AM324">
        <f>survey_responses[[#This Row],[Tôi tin rằng Nhà nước, cơ quan thuế sẽ thực thi chính sách mới một cách khách quan, công tâm và đối xử bình đẳng với mọi người nộp thuế.  - HUMAN-TRU1]]</f>
        <v>6</v>
      </c>
      <c r="AN324" t="str">
        <f t="shared" si="148"/>
        <v>Neutral</v>
      </c>
      <c r="AO324" s="32">
        <f t="shared" si="149"/>
        <v>2</v>
      </c>
      <c r="AP324">
        <f>step3_validation[[#This Row],[AI_TRU2]]</f>
        <v>9</v>
      </c>
      <c r="AQ324" t="str">
        <f t="shared" si="150"/>
        <v>Support</v>
      </c>
      <c r="AR324">
        <f>survey_responses[[#This Row],[Tôi thấy mức thuế tôi phải đóng theo phương án mới là công bằng (người thu nhập như tôi đóng mức này là hợp lý). - HUMAN-TRU2]]</f>
        <v>7</v>
      </c>
      <c r="AS324" t="str">
        <f t="shared" si="151"/>
        <v>Neutral</v>
      </c>
      <c r="AT324" s="32">
        <f t="shared" si="152"/>
        <v>2</v>
      </c>
      <c r="AU324">
        <f>step3_validation[[#This Row],[AI_TRU3]]</f>
        <v>8</v>
      </c>
      <c r="AV324" t="str">
        <f t="shared" si="153"/>
        <v>Support</v>
      </c>
      <c r="AW324">
        <f>survey_responses[[#This Row],[Tôi tin tưởng số tiền thuế tôi đóng sẽ được Nhà nước sử dụng hiệu quả để cải thiện dịch vụ công (y tế, đường xá...). - HUMAN-TRU3]]</f>
        <v>6</v>
      </c>
      <c r="AX324" t="str">
        <f t="shared" si="154"/>
        <v>Neutral</v>
      </c>
      <c r="AY324" s="32">
        <f t="shared" si="155"/>
        <v>2</v>
      </c>
      <c r="AZ324">
        <f>step3_validation[[#This Row],[AI_TRU4]]</f>
        <v>9</v>
      </c>
      <c r="BA324" t="str">
        <f t="shared" si="156"/>
        <v>Support</v>
      </c>
      <c r="BB324">
        <f>survey_responses[[#This Row],[Tôi thấy Nhà nước đã giải thích rõ ràng, minh bạch về lý do và mục tiêu của việc sửa đổi thuế lần này. - HUMAN-TRU4]]</f>
        <v>7</v>
      </c>
      <c r="BC324" t="str">
        <f t="shared" si="157"/>
        <v>Neutral</v>
      </c>
      <c r="BD324" s="32">
        <f t="shared" si="158"/>
        <v>2</v>
      </c>
      <c r="BE324">
        <f>step3_validation[[#This Row],[AI_OUT1]]</f>
        <v>10</v>
      </c>
      <c r="BF324" t="str">
        <f t="shared" si="159"/>
        <v>Support</v>
      </c>
      <c r="BG324">
        <f>survey_responses[[#This Row],[Sau khi xem xét các quyền lợi và nghĩa vụ, bạn có ủng hộ và tuân thủ chính sách mới hiện nay? - HUMAN-OUT1]]</f>
        <v>7</v>
      </c>
      <c r="BH324" t="str">
        <f t="shared" si="160"/>
        <v>Neutral</v>
      </c>
      <c r="BI324" s="32">
        <f t="shared" si="161"/>
        <v>3</v>
      </c>
    </row>
    <row r="325" spans="1:61" x14ac:dyDescent="0.45">
      <c r="A325" s="30">
        <f>step3_validation[[#This Row],[Persona_ID]]</f>
        <v>324</v>
      </c>
      <c r="B325" s="31">
        <f>step3_validation[[#This Row],[Used_Seed]]</f>
        <v>12668</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t="str">
        <f t="shared" si="135"/>
        <v>Neutral</v>
      </c>
      <c r="S325">
        <f>survey_responses[[#This Row],[Tôi tin rằng với các quy định quản lý thuế hiện nay, hành vi gian lận hoặc trốn thuế sẽ dễ dàng bị phát hiện và xử lý nghiêm. - HUMAN-ENF1]]</f>
        <v>7</v>
      </c>
      <c r="T325" t="str">
        <f t="shared" si="136"/>
        <v>Neutral</v>
      </c>
      <c r="U325" s="32">
        <f t="shared" si="137"/>
        <v>0</v>
      </c>
      <c r="V325">
        <f>step3_validation[[#This Row],[AI_ENF2]]</f>
        <v>7</v>
      </c>
      <c r="W325" t="str">
        <f t="shared" si="138"/>
        <v>Neutral</v>
      </c>
      <c r="X325">
        <f>survey_responses[[#This Row],[Tôi tin rằng Nhà nước, cơ quan thuế có đủ khả năng và công nghệ để phát hiện, xử lý nghiêm các hành vi trốn thuế. - HUMAN-ENF2]]</f>
        <v>7</v>
      </c>
      <c r="Y325" t="str">
        <f t="shared" si="139"/>
        <v>Neutral</v>
      </c>
      <c r="Z325" s="32">
        <f t="shared" si="140"/>
        <v>0</v>
      </c>
      <c r="AA325">
        <f>step3_validation[[#This Row],[AI_FAC1]]</f>
        <v>9</v>
      </c>
      <c r="AB325" t="str">
        <f t="shared" si="141"/>
        <v>Support</v>
      </c>
      <c r="AC325">
        <f>survey_responses[[#This Row],[Các thủ tục khai báo thuế VÀ/HOẶC quy trình làm việc với cơ quan thuế đơn giản, tiện lợi, nhanh chóng hơn so với trước đây. - HUMAN-FAC1]]</f>
        <v>5</v>
      </c>
      <c r="AD325" t="str">
        <f t="shared" si="142"/>
        <v>Neutral</v>
      </c>
      <c r="AE325" s="32">
        <f t="shared" si="143"/>
        <v>4</v>
      </c>
      <c r="AF325">
        <f>step3_validation[[#This Row],[AI_FAC2]]</f>
        <v>9</v>
      </c>
      <c r="AG325" t="str">
        <f t="shared" si="144"/>
        <v>Support</v>
      </c>
      <c r="AH325">
        <f>survey_responses[[#This Row],[So với trước đây, tôi thấy cách tính thuế và các bậc thuế trong phương án mới đơn giản, dễ hiểu và dễ thực hiện hơn. - HUMAN-FAC2]]</f>
        <v>7</v>
      </c>
      <c r="AI325" t="str">
        <f t="shared" si="145"/>
        <v>Neutral</v>
      </c>
      <c r="AJ325" s="32">
        <f t="shared" si="146"/>
        <v>2</v>
      </c>
      <c r="AK325">
        <f>step3_validation[[#This Row],[AI_TRU1]]</f>
        <v>8</v>
      </c>
      <c r="AL325" t="str">
        <f t="shared" si="147"/>
        <v>Support</v>
      </c>
      <c r="AM325">
        <f>survey_responses[[#This Row],[Tôi tin rằng Nhà nước, cơ quan thuế sẽ thực thi chính sách mới một cách khách quan, công tâm và đối xử bình đẳng với mọi người nộp thuế.  - HUMAN-TRU1]]</f>
        <v>7</v>
      </c>
      <c r="AN325" t="str">
        <f t="shared" si="148"/>
        <v>Neutral</v>
      </c>
      <c r="AO325" s="32">
        <f t="shared" si="149"/>
        <v>1</v>
      </c>
      <c r="AP325">
        <f>step3_validation[[#This Row],[AI_TRU2]]</f>
        <v>9</v>
      </c>
      <c r="AQ325" t="str">
        <f t="shared" si="150"/>
        <v>Support</v>
      </c>
      <c r="AR325">
        <f>survey_responses[[#This Row],[Tôi thấy mức thuế tôi phải đóng theo phương án mới là công bằng (người thu nhập như tôi đóng mức này là hợp lý). - HUMAN-TRU2]]</f>
        <v>7</v>
      </c>
      <c r="AS325" t="str">
        <f t="shared" si="151"/>
        <v>Neutral</v>
      </c>
      <c r="AT325" s="32">
        <f t="shared" si="152"/>
        <v>2</v>
      </c>
      <c r="AU325">
        <f>step3_validation[[#This Row],[AI_TRU3]]</f>
        <v>8</v>
      </c>
      <c r="AV325" t="str">
        <f t="shared" si="153"/>
        <v>Support</v>
      </c>
      <c r="AW325">
        <f>survey_responses[[#This Row],[Tôi tin tưởng số tiền thuế tôi đóng sẽ được Nhà nước sử dụng hiệu quả để cải thiện dịch vụ công (y tế, đường xá...). - HUMAN-TRU3]]</f>
        <v>5</v>
      </c>
      <c r="AX325" t="str">
        <f t="shared" si="154"/>
        <v>Neutral</v>
      </c>
      <c r="AY325" s="32">
        <f t="shared" si="155"/>
        <v>3</v>
      </c>
      <c r="AZ325">
        <f>step3_validation[[#This Row],[AI_TRU4]]</f>
        <v>9</v>
      </c>
      <c r="BA325" t="str">
        <f t="shared" si="156"/>
        <v>Support</v>
      </c>
      <c r="BB325">
        <f>survey_responses[[#This Row],[Tôi thấy Nhà nước đã giải thích rõ ràng, minh bạch về lý do và mục tiêu của việc sửa đổi thuế lần này. - HUMAN-TRU4]]</f>
        <v>5</v>
      </c>
      <c r="BC325" t="str">
        <f t="shared" si="157"/>
        <v>Neutral</v>
      </c>
      <c r="BD325" s="32">
        <f t="shared" si="158"/>
        <v>4</v>
      </c>
      <c r="BE325">
        <f>step3_validation[[#This Row],[AI_OUT1]]</f>
        <v>8</v>
      </c>
      <c r="BF325" t="str">
        <f t="shared" si="159"/>
        <v>Support</v>
      </c>
      <c r="BG325">
        <f>survey_responses[[#This Row],[Sau khi xem xét các quyền lợi và nghĩa vụ, bạn có ủng hộ và tuân thủ chính sách mới hiện nay? - HUMAN-OUT1]]</f>
        <v>8</v>
      </c>
      <c r="BH325" t="str">
        <f t="shared" si="160"/>
        <v>Support</v>
      </c>
      <c r="BI325" s="32">
        <f t="shared" si="161"/>
        <v>0</v>
      </c>
    </row>
    <row r="326" spans="1:61" x14ac:dyDescent="0.45">
      <c r="A326" s="30">
        <f>step3_validation[[#This Row],[Persona_ID]]</f>
        <v>325</v>
      </c>
      <c r="B326" s="31">
        <f>step3_validation[[#This Row],[Used_Seed]]</f>
        <v>12669</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35.101855093697857</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6</v>
      </c>
      <c r="R326" t="str">
        <f t="shared" si="135"/>
        <v>Neutral</v>
      </c>
      <c r="S326">
        <f>survey_responses[[#This Row],[Tôi tin rằng với các quy định quản lý thuế hiện nay, hành vi gian lận hoặc trốn thuế sẽ dễ dàng bị phát hiện và xử lý nghiêm. - HUMAN-ENF1]]</f>
        <v>2</v>
      </c>
      <c r="T326" t="str">
        <f t="shared" si="136"/>
        <v>Oppose</v>
      </c>
      <c r="U326" s="32">
        <f t="shared" si="137"/>
        <v>4</v>
      </c>
      <c r="V326">
        <f>step3_validation[[#This Row],[AI_ENF2]]</f>
        <v>8</v>
      </c>
      <c r="W326" t="str">
        <f t="shared" si="138"/>
        <v>Support</v>
      </c>
      <c r="X326">
        <f>survey_responses[[#This Row],[Tôi tin rằng Nhà nước, cơ quan thuế có đủ khả năng và công nghệ để phát hiện, xử lý nghiêm các hành vi trốn thuế. - HUMAN-ENF2]]</f>
        <v>2</v>
      </c>
      <c r="Y326" t="str">
        <f t="shared" si="139"/>
        <v>Oppose</v>
      </c>
      <c r="Z326" s="32">
        <f t="shared" si="140"/>
        <v>6</v>
      </c>
      <c r="AA326">
        <f>step3_validation[[#This Row],[AI_FAC1]]</f>
        <v>7</v>
      </c>
      <c r="AB326" t="str">
        <f t="shared" si="141"/>
        <v>Neutral</v>
      </c>
      <c r="AC326">
        <f>survey_responses[[#This Row],[Các thủ tục khai báo thuế VÀ/HOẶC quy trình làm việc với cơ quan thuế đơn giản, tiện lợi, nhanh chóng hơn so với trước đây. - HUMAN-FAC1]]</f>
        <v>6</v>
      </c>
      <c r="AD326" t="str">
        <f t="shared" si="142"/>
        <v>Neutral</v>
      </c>
      <c r="AE326" s="32">
        <f t="shared" si="143"/>
        <v>1</v>
      </c>
      <c r="AF326">
        <f>step3_validation[[#This Row],[AI_FAC2]]</f>
        <v>9</v>
      </c>
      <c r="AG326" t="str">
        <f t="shared" si="144"/>
        <v>Support</v>
      </c>
      <c r="AH326">
        <f>survey_responses[[#This Row],[So với trước đây, tôi thấy cách tính thuế và các bậc thuế trong phương án mới đơn giản, dễ hiểu và dễ thực hiện hơn. - HUMAN-FAC2]]</f>
        <v>7</v>
      </c>
      <c r="AI326" t="str">
        <f t="shared" si="145"/>
        <v>Neutral</v>
      </c>
      <c r="AJ326" s="32">
        <f t="shared" si="146"/>
        <v>2</v>
      </c>
      <c r="AK326">
        <f>step3_validation[[#This Row],[AI_TRU1]]</f>
        <v>8</v>
      </c>
      <c r="AL326" t="str">
        <f t="shared" si="147"/>
        <v>Support</v>
      </c>
      <c r="AM326">
        <f>survey_responses[[#This Row],[Tôi tin rằng Nhà nước, cơ quan thuế sẽ thực thi chính sách mới một cách khách quan, công tâm và đối xử bình đẳng với mọi người nộp thuế.  - HUMAN-TRU1]]</f>
        <v>2</v>
      </c>
      <c r="AN326" t="str">
        <f t="shared" si="148"/>
        <v>Oppose</v>
      </c>
      <c r="AO326" s="32">
        <f t="shared" si="149"/>
        <v>6</v>
      </c>
      <c r="AP326">
        <f>step3_validation[[#This Row],[AI_TRU2]]</f>
        <v>9</v>
      </c>
      <c r="AQ326" t="str">
        <f t="shared" si="150"/>
        <v>Support</v>
      </c>
      <c r="AR326">
        <f>survey_responses[[#This Row],[Tôi thấy mức thuế tôi phải đóng theo phương án mới là công bằng (người thu nhập như tôi đóng mức này là hợp lý). - HUMAN-TRU2]]</f>
        <v>5</v>
      </c>
      <c r="AS326" t="str">
        <f t="shared" si="151"/>
        <v>Neutral</v>
      </c>
      <c r="AT326" s="32">
        <f t="shared" si="152"/>
        <v>4</v>
      </c>
      <c r="AU326">
        <f>step3_validation[[#This Row],[AI_TRU3]]</f>
        <v>8</v>
      </c>
      <c r="AV326" t="str">
        <f t="shared" si="153"/>
        <v>Support</v>
      </c>
      <c r="AW326">
        <f>survey_responses[[#This Row],[Tôi tin tưởng số tiền thuế tôi đóng sẽ được Nhà nước sử dụng hiệu quả để cải thiện dịch vụ công (y tế, đường xá...). - HUMAN-TRU3]]</f>
        <v>5</v>
      </c>
      <c r="AX326" t="str">
        <f t="shared" si="154"/>
        <v>Neutral</v>
      </c>
      <c r="AY326" s="32">
        <f t="shared" si="155"/>
        <v>3</v>
      </c>
      <c r="AZ326">
        <f>step3_validation[[#This Row],[AI_TRU4]]</f>
        <v>7</v>
      </c>
      <c r="BA326" t="str">
        <f t="shared" si="156"/>
        <v>Neutral</v>
      </c>
      <c r="BB326">
        <f>survey_responses[[#This Row],[Tôi thấy Nhà nước đã giải thích rõ ràng, minh bạch về lý do và mục tiêu của việc sửa đổi thuế lần này. - HUMAN-TRU4]]</f>
        <v>6</v>
      </c>
      <c r="BC326" t="str">
        <f t="shared" si="157"/>
        <v>Neutral</v>
      </c>
      <c r="BD326" s="32">
        <f t="shared" si="158"/>
        <v>1</v>
      </c>
      <c r="BE326">
        <f>step3_validation[[#This Row],[AI_OUT1]]</f>
        <v>9</v>
      </c>
      <c r="BF326" t="str">
        <f t="shared" si="159"/>
        <v>Support</v>
      </c>
      <c r="BG326">
        <f>survey_responses[[#This Row],[Sau khi xem xét các quyền lợi và nghĩa vụ, bạn có ủng hộ và tuân thủ chính sách mới hiện nay? - HUMAN-OUT1]]</f>
        <v>5</v>
      </c>
      <c r="BH326" t="str">
        <f t="shared" si="160"/>
        <v>Neutral</v>
      </c>
      <c r="BI326" s="32">
        <f t="shared" si="161"/>
        <v>4</v>
      </c>
    </row>
    <row r="327" spans="1:61" x14ac:dyDescent="0.45">
      <c r="A327" s="30">
        <f>step3_validation[[#This Row],[Persona_ID]]</f>
        <v>326</v>
      </c>
      <c r="B327" s="31">
        <f>step3_validation[[#This Row],[Used_Seed]]</f>
        <v>12670</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58.561444966306951</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7</v>
      </c>
      <c r="R327" t="str">
        <f t="shared" si="135"/>
        <v>Neutral</v>
      </c>
      <c r="S327">
        <f>survey_responses[[#This Row],[Tôi tin rằng với các quy định quản lý thuế hiện nay, hành vi gian lận hoặc trốn thuế sẽ dễ dàng bị phát hiện và xử lý nghiêm. - HUMAN-ENF1]]</f>
        <v>8</v>
      </c>
      <c r="T327" t="str">
        <f t="shared" si="136"/>
        <v>Support</v>
      </c>
      <c r="U327" s="32">
        <f t="shared" si="137"/>
        <v>1</v>
      </c>
      <c r="V327">
        <f>step3_validation[[#This Row],[AI_ENF2]]</f>
        <v>7</v>
      </c>
      <c r="W327" t="str">
        <f t="shared" si="138"/>
        <v>Neutral</v>
      </c>
      <c r="X327">
        <f>survey_responses[[#This Row],[Tôi tin rằng Nhà nước, cơ quan thuế có đủ khả năng và công nghệ để phát hiện, xử lý nghiêm các hành vi trốn thuế. - HUMAN-ENF2]]</f>
        <v>9</v>
      </c>
      <c r="Y327" t="str">
        <f t="shared" si="139"/>
        <v>Support</v>
      </c>
      <c r="Z327" s="32">
        <f t="shared" si="140"/>
        <v>2</v>
      </c>
      <c r="AA327">
        <f>step3_validation[[#This Row],[AI_FAC1]]</f>
        <v>9</v>
      </c>
      <c r="AB327" t="str">
        <f t="shared" si="141"/>
        <v>Support</v>
      </c>
      <c r="AC327">
        <f>survey_responses[[#This Row],[Các thủ tục khai báo thuế VÀ/HOẶC quy trình làm việc với cơ quan thuế đơn giản, tiện lợi, nhanh chóng hơn so với trước đây. - HUMAN-FAC1]]</f>
        <v>9</v>
      </c>
      <c r="AD327" t="str">
        <f t="shared" si="142"/>
        <v>Support</v>
      </c>
      <c r="AE327" s="32">
        <f t="shared" si="143"/>
        <v>0</v>
      </c>
      <c r="AF327">
        <f>step3_validation[[#This Row],[AI_FAC2]]</f>
        <v>9</v>
      </c>
      <c r="AG327" t="str">
        <f t="shared" si="144"/>
        <v>Support</v>
      </c>
      <c r="AH327">
        <f>survey_responses[[#This Row],[So với trước đây, tôi thấy cách tính thuế và các bậc thuế trong phương án mới đơn giản, dễ hiểu và dễ thực hiện hơn. - HUMAN-FAC2]]</f>
        <v>10</v>
      </c>
      <c r="AI327" t="str">
        <f t="shared" si="145"/>
        <v>Support</v>
      </c>
      <c r="AJ327" s="32">
        <f t="shared" si="146"/>
        <v>1</v>
      </c>
      <c r="AK327">
        <f>step3_validation[[#This Row],[AI_TRU1]]</f>
        <v>8</v>
      </c>
      <c r="AL327" t="str">
        <f t="shared" si="147"/>
        <v>Support</v>
      </c>
      <c r="AM327">
        <f>survey_responses[[#This Row],[Tôi tin rằng Nhà nước, cơ quan thuế sẽ thực thi chính sách mới một cách khách quan, công tâm và đối xử bình đẳng với mọi người nộp thuế.  - HUMAN-TRU1]]</f>
        <v>8</v>
      </c>
      <c r="AN327" t="str">
        <f t="shared" si="148"/>
        <v>Support</v>
      </c>
      <c r="AO327" s="32">
        <f t="shared" si="149"/>
        <v>0</v>
      </c>
      <c r="AP327">
        <f>step3_validation[[#This Row],[AI_TRU2]]</f>
        <v>9</v>
      </c>
      <c r="AQ327" t="str">
        <f t="shared" si="150"/>
        <v>Support</v>
      </c>
      <c r="AR327">
        <f>survey_responses[[#This Row],[Tôi thấy mức thuế tôi phải đóng theo phương án mới là công bằng (người thu nhập như tôi đóng mức này là hợp lý). - HUMAN-TRU2]]</f>
        <v>10</v>
      </c>
      <c r="AS327" t="str">
        <f t="shared" si="151"/>
        <v>Support</v>
      </c>
      <c r="AT327" s="32">
        <f t="shared" si="152"/>
        <v>1</v>
      </c>
      <c r="AU327">
        <f>step3_validation[[#This Row],[AI_TRU3]]</f>
        <v>8</v>
      </c>
      <c r="AV327" t="str">
        <f t="shared" si="153"/>
        <v>Support</v>
      </c>
      <c r="AW327">
        <f>survey_responses[[#This Row],[Tôi tin tưởng số tiền thuế tôi đóng sẽ được Nhà nước sử dụng hiệu quả để cải thiện dịch vụ công (y tế, đường xá...). - HUMAN-TRU3]]</f>
        <v>9</v>
      </c>
      <c r="AX327" t="str">
        <f t="shared" si="154"/>
        <v>Support</v>
      </c>
      <c r="AY327" s="32">
        <f t="shared" si="155"/>
        <v>1</v>
      </c>
      <c r="AZ327">
        <f>step3_validation[[#This Row],[AI_TRU4]]</f>
        <v>7</v>
      </c>
      <c r="BA327" t="str">
        <f t="shared" si="156"/>
        <v>Neutral</v>
      </c>
      <c r="BB327">
        <f>survey_responses[[#This Row],[Tôi thấy Nhà nước đã giải thích rõ ràng, minh bạch về lý do và mục tiêu của việc sửa đổi thuế lần này. - HUMAN-TRU4]]</f>
        <v>9</v>
      </c>
      <c r="BC327" t="str">
        <f t="shared" si="157"/>
        <v>Support</v>
      </c>
      <c r="BD327" s="32">
        <f t="shared" si="158"/>
        <v>2</v>
      </c>
      <c r="BE327">
        <f>step3_validation[[#This Row],[AI_OUT1]]</f>
        <v>9</v>
      </c>
      <c r="BF327" t="str">
        <f t="shared" si="159"/>
        <v>Support</v>
      </c>
      <c r="BG327">
        <f>survey_responses[[#This Row],[Sau khi xem xét các quyền lợi và nghĩa vụ, bạn có ủng hộ và tuân thủ chính sách mới hiện nay? - HUMAN-OUT1]]</f>
        <v>10</v>
      </c>
      <c r="BH327" t="str">
        <f t="shared" si="160"/>
        <v>Support</v>
      </c>
      <c r="BI327" s="32">
        <f t="shared" si="161"/>
        <v>1</v>
      </c>
    </row>
    <row r="328" spans="1:61" x14ac:dyDescent="0.45">
      <c r="A328" s="30">
        <f>step3_validation[[#This Row],[Persona_ID]]</f>
        <v>327</v>
      </c>
      <c r="B328" s="31">
        <f>step3_validation[[#This Row],[Used_Seed]]</f>
        <v>12671</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19.035889284805496</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7</v>
      </c>
      <c r="R328" t="str">
        <f t="shared" si="135"/>
        <v>Neutral</v>
      </c>
      <c r="S328">
        <f>survey_responses[[#This Row],[Tôi tin rằng với các quy định quản lý thuế hiện nay, hành vi gian lận hoặc trốn thuế sẽ dễ dàng bị phát hiện và xử lý nghiêm. - HUMAN-ENF1]]</f>
        <v>7</v>
      </c>
      <c r="T328" t="str">
        <f t="shared" si="136"/>
        <v>Neutral</v>
      </c>
      <c r="U328" s="32">
        <f t="shared" si="137"/>
        <v>0</v>
      </c>
      <c r="V328">
        <f>step3_validation[[#This Row],[AI_ENF2]]</f>
        <v>6</v>
      </c>
      <c r="W328" t="str">
        <f t="shared" si="138"/>
        <v>Neutral</v>
      </c>
      <c r="X328">
        <f>survey_responses[[#This Row],[Tôi tin rằng Nhà nước, cơ quan thuế có đủ khả năng và công nghệ để phát hiện, xử lý nghiêm các hành vi trốn thuế. - HUMAN-ENF2]]</f>
        <v>7</v>
      </c>
      <c r="Y328" t="str">
        <f t="shared" si="139"/>
        <v>Neutral</v>
      </c>
      <c r="Z328" s="32">
        <f t="shared" si="140"/>
        <v>1</v>
      </c>
      <c r="AA328">
        <f>step3_validation[[#This Row],[AI_FAC1]]</f>
        <v>9</v>
      </c>
      <c r="AB328" t="str">
        <f t="shared" si="141"/>
        <v>Support</v>
      </c>
      <c r="AC328">
        <f>survey_responses[[#This Row],[Các thủ tục khai báo thuế VÀ/HOẶC quy trình làm việc với cơ quan thuế đơn giản, tiện lợi, nhanh chóng hơn so với trước đây. - HUMAN-FAC1]]</f>
        <v>7</v>
      </c>
      <c r="AD328" t="str">
        <f t="shared" si="142"/>
        <v>Neutral</v>
      </c>
      <c r="AE328" s="32">
        <f t="shared" si="143"/>
        <v>2</v>
      </c>
      <c r="AF328">
        <f>step3_validation[[#This Row],[AI_FAC2]]</f>
        <v>8</v>
      </c>
      <c r="AG328" t="str">
        <f t="shared" si="144"/>
        <v>Support</v>
      </c>
      <c r="AH328">
        <f>survey_responses[[#This Row],[So với trước đây, tôi thấy cách tính thuế và các bậc thuế trong phương án mới đơn giản, dễ hiểu và dễ thực hiện hơn. - HUMAN-FAC2]]</f>
        <v>9</v>
      </c>
      <c r="AI328" t="str">
        <f t="shared" si="145"/>
        <v>Support</v>
      </c>
      <c r="AJ328" s="32">
        <f t="shared" si="146"/>
        <v>1</v>
      </c>
      <c r="AK328">
        <f>step3_validation[[#This Row],[AI_TRU1]]</f>
        <v>5</v>
      </c>
      <c r="AL328" t="str">
        <f t="shared" si="147"/>
        <v>Neutral</v>
      </c>
      <c r="AM328">
        <f>survey_responses[[#This Row],[Tôi tin rằng Nhà nước, cơ quan thuế sẽ thực thi chính sách mới một cách khách quan, công tâm và đối xử bình đẳng với mọi người nộp thuế.  - HUMAN-TRU1]]</f>
        <v>7</v>
      </c>
      <c r="AN328" t="str">
        <f t="shared" si="148"/>
        <v>Neutral</v>
      </c>
      <c r="AO328" s="32">
        <f t="shared" si="149"/>
        <v>2</v>
      </c>
      <c r="AP328">
        <f>step3_validation[[#This Row],[AI_TRU2]]</f>
        <v>7</v>
      </c>
      <c r="AQ328" t="str">
        <f t="shared" si="150"/>
        <v>Neutral</v>
      </c>
      <c r="AR328">
        <f>survey_responses[[#This Row],[Tôi thấy mức thuế tôi phải đóng theo phương án mới là công bằng (người thu nhập như tôi đóng mức này là hợp lý). - HUMAN-TRU2]]</f>
        <v>8</v>
      </c>
      <c r="AS328" t="str">
        <f t="shared" si="151"/>
        <v>Support</v>
      </c>
      <c r="AT328" s="32">
        <f t="shared" si="152"/>
        <v>1</v>
      </c>
      <c r="AU328">
        <f>step3_validation[[#This Row],[AI_TRU3]]</f>
        <v>6</v>
      </c>
      <c r="AV328" t="str">
        <f t="shared" si="153"/>
        <v>Neutral</v>
      </c>
      <c r="AW328">
        <f>survey_responses[[#This Row],[Tôi tin tưởng số tiền thuế tôi đóng sẽ được Nhà nước sử dụng hiệu quả để cải thiện dịch vụ công (y tế, đường xá...). - HUMAN-TRU3]]</f>
        <v>5</v>
      </c>
      <c r="AX328" t="str">
        <f t="shared" si="154"/>
        <v>Neutral</v>
      </c>
      <c r="AY328" s="32">
        <f t="shared" si="155"/>
        <v>1</v>
      </c>
      <c r="AZ328">
        <f>step3_validation[[#This Row],[AI_TRU4]]</f>
        <v>5</v>
      </c>
      <c r="BA328" t="str">
        <f t="shared" si="156"/>
        <v>Neutral</v>
      </c>
      <c r="BB328">
        <f>survey_responses[[#This Row],[Tôi thấy Nhà nước đã giải thích rõ ràng, minh bạch về lý do và mục tiêu của việc sửa đổi thuế lần này. - HUMAN-TRU4]]</f>
        <v>7</v>
      </c>
      <c r="BC328" t="str">
        <f t="shared" si="157"/>
        <v>Neutral</v>
      </c>
      <c r="BD328" s="32">
        <f t="shared" si="158"/>
        <v>2</v>
      </c>
      <c r="BE328">
        <f>step3_validation[[#This Row],[AI_OUT1]]</f>
        <v>9</v>
      </c>
      <c r="BF328" t="str">
        <f t="shared" si="159"/>
        <v>Support</v>
      </c>
      <c r="BG328">
        <f>survey_responses[[#This Row],[Sau khi xem xét các quyền lợi và nghĩa vụ, bạn có ủng hộ và tuân thủ chính sách mới hiện nay? - HUMAN-OUT1]]</f>
        <v>8</v>
      </c>
      <c r="BH328" t="str">
        <f t="shared" si="160"/>
        <v>Support</v>
      </c>
      <c r="BI328" s="32">
        <f t="shared" si="161"/>
        <v>1</v>
      </c>
    </row>
    <row r="329" spans="1:61" x14ac:dyDescent="0.45">
      <c r="A329" s="30">
        <f>step3_validation[[#This Row],[Persona_ID]]</f>
        <v>328</v>
      </c>
      <c r="B329" s="31">
        <f>step3_validation[[#This Row],[Used_Seed]]</f>
        <v>12672</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83.392659369885664</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t="str">
        <f t="shared" si="135"/>
        <v>Support</v>
      </c>
      <c r="S329">
        <f>survey_responses[[#This Row],[Tôi tin rằng với các quy định quản lý thuế hiện nay, hành vi gian lận hoặc trốn thuế sẽ dễ dàng bị phát hiện và xử lý nghiêm. - HUMAN-ENF1]]</f>
        <v>7</v>
      </c>
      <c r="T329" t="str">
        <f t="shared" si="136"/>
        <v>Neutral</v>
      </c>
      <c r="U329" s="32">
        <f t="shared" si="137"/>
        <v>1</v>
      </c>
      <c r="V329">
        <f>step3_validation[[#This Row],[AI_ENF2]]</f>
        <v>7</v>
      </c>
      <c r="W329" t="str">
        <f t="shared" si="138"/>
        <v>Neutral</v>
      </c>
      <c r="X329">
        <f>survey_responses[[#This Row],[Tôi tin rằng Nhà nước, cơ quan thuế có đủ khả năng và công nghệ để phát hiện, xử lý nghiêm các hành vi trốn thuế. - HUMAN-ENF2]]</f>
        <v>8</v>
      </c>
      <c r="Y329" t="str">
        <f t="shared" si="139"/>
        <v>Support</v>
      </c>
      <c r="Z329" s="32">
        <f t="shared" si="140"/>
        <v>1</v>
      </c>
      <c r="AA329">
        <f>step3_validation[[#This Row],[AI_FAC1]]</f>
        <v>9</v>
      </c>
      <c r="AB329" t="str">
        <f t="shared" si="141"/>
        <v>Support</v>
      </c>
      <c r="AC329">
        <f>survey_responses[[#This Row],[Các thủ tục khai báo thuế VÀ/HOẶC quy trình làm việc với cơ quan thuế đơn giản, tiện lợi, nhanh chóng hơn so với trước đây. - HUMAN-FAC1]]</f>
        <v>9</v>
      </c>
      <c r="AD329" t="str">
        <f t="shared" si="142"/>
        <v>Support</v>
      </c>
      <c r="AE329" s="32">
        <f t="shared" si="143"/>
        <v>0</v>
      </c>
      <c r="AF329">
        <f>step3_validation[[#This Row],[AI_FAC2]]</f>
        <v>10</v>
      </c>
      <c r="AG329" t="str">
        <f t="shared" si="144"/>
        <v>Support</v>
      </c>
      <c r="AH329">
        <f>survey_responses[[#This Row],[So với trước đây, tôi thấy cách tính thuế và các bậc thuế trong phương án mới đơn giản, dễ hiểu và dễ thực hiện hơn. - HUMAN-FAC2]]</f>
        <v>9</v>
      </c>
      <c r="AI329" t="str">
        <f t="shared" si="145"/>
        <v>Support</v>
      </c>
      <c r="AJ329" s="32">
        <f t="shared" si="146"/>
        <v>1</v>
      </c>
      <c r="AK329">
        <f>step3_validation[[#This Row],[AI_TRU1]]</f>
        <v>7</v>
      </c>
      <c r="AL329" t="str">
        <f t="shared" si="147"/>
        <v>Neutral</v>
      </c>
      <c r="AM329">
        <f>survey_responses[[#This Row],[Tôi tin rằng Nhà nước, cơ quan thuế sẽ thực thi chính sách mới một cách khách quan, công tâm và đối xử bình đẳng với mọi người nộp thuế.  - HUMAN-TRU1]]</f>
        <v>9</v>
      </c>
      <c r="AN329" t="str">
        <f t="shared" si="148"/>
        <v>Support</v>
      </c>
      <c r="AO329" s="32">
        <f t="shared" si="149"/>
        <v>2</v>
      </c>
      <c r="AP329">
        <f>step3_validation[[#This Row],[AI_TRU2]]</f>
        <v>9</v>
      </c>
      <c r="AQ329" t="str">
        <f t="shared" si="150"/>
        <v>Support</v>
      </c>
      <c r="AR329">
        <f>survey_responses[[#This Row],[Tôi thấy mức thuế tôi phải đóng theo phương án mới là công bằng (người thu nhập như tôi đóng mức này là hợp lý). - HUMAN-TRU2]]</f>
        <v>8</v>
      </c>
      <c r="AS329" t="str">
        <f t="shared" si="151"/>
        <v>Support</v>
      </c>
      <c r="AT329" s="32">
        <f t="shared" si="152"/>
        <v>1</v>
      </c>
      <c r="AU329">
        <f>step3_validation[[#This Row],[AI_TRU3]]</f>
        <v>8</v>
      </c>
      <c r="AV329" t="str">
        <f t="shared" si="153"/>
        <v>Support</v>
      </c>
      <c r="AW329">
        <f>survey_responses[[#This Row],[Tôi tin tưởng số tiền thuế tôi đóng sẽ được Nhà nước sử dụng hiệu quả để cải thiện dịch vụ công (y tế, đường xá...). - HUMAN-TRU3]]</f>
        <v>7</v>
      </c>
      <c r="AX329" t="str">
        <f t="shared" si="154"/>
        <v>Neutral</v>
      </c>
      <c r="AY329" s="32">
        <f t="shared" si="155"/>
        <v>1</v>
      </c>
      <c r="AZ329">
        <f>step3_validation[[#This Row],[AI_TRU4]]</f>
        <v>7</v>
      </c>
      <c r="BA329" t="str">
        <f t="shared" si="156"/>
        <v>Neutral</v>
      </c>
      <c r="BB329">
        <f>survey_responses[[#This Row],[Tôi thấy Nhà nước đã giải thích rõ ràng, minh bạch về lý do và mục tiêu của việc sửa đổi thuế lần này. - HUMAN-TRU4]]</f>
        <v>7</v>
      </c>
      <c r="BC329" t="str">
        <f t="shared" si="157"/>
        <v>Neutral</v>
      </c>
      <c r="BD329" s="32">
        <f t="shared" si="158"/>
        <v>0</v>
      </c>
      <c r="BE329">
        <f>step3_validation[[#This Row],[AI_OUT1]]</f>
        <v>9</v>
      </c>
      <c r="BF329" t="str">
        <f t="shared" si="159"/>
        <v>Support</v>
      </c>
      <c r="BG329">
        <f>survey_responses[[#This Row],[Sau khi xem xét các quyền lợi và nghĩa vụ, bạn có ủng hộ và tuân thủ chính sách mới hiện nay? - HUMAN-OUT1]]</f>
        <v>9</v>
      </c>
      <c r="BH329" t="str">
        <f t="shared" si="160"/>
        <v>Support</v>
      </c>
      <c r="BI329" s="32">
        <f t="shared" si="161"/>
        <v>0</v>
      </c>
    </row>
    <row r="330" spans="1:61" x14ac:dyDescent="0.45">
      <c r="A330" s="30">
        <f>step3_validation[[#This Row],[Persona_ID]]</f>
        <v>329</v>
      </c>
      <c r="B330" s="31">
        <f>step3_validation[[#This Row],[Used_Seed]]</f>
        <v>12673</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13.491123587526593</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7</v>
      </c>
      <c r="R330" t="str">
        <f t="shared" si="135"/>
        <v>Neutral</v>
      </c>
      <c r="S330">
        <f>survey_responses[[#This Row],[Tôi tin rằng với các quy định quản lý thuế hiện nay, hành vi gian lận hoặc trốn thuế sẽ dễ dàng bị phát hiện và xử lý nghiêm. - HUMAN-ENF1]]</f>
        <v>7</v>
      </c>
      <c r="T330" t="str">
        <f t="shared" si="136"/>
        <v>Neutral</v>
      </c>
      <c r="U330" s="32">
        <f t="shared" si="137"/>
        <v>0</v>
      </c>
      <c r="V330">
        <f>step3_validation[[#This Row],[AI_ENF2]]</f>
        <v>6</v>
      </c>
      <c r="W330" t="str">
        <f t="shared" si="138"/>
        <v>Neutral</v>
      </c>
      <c r="X330">
        <f>survey_responses[[#This Row],[Tôi tin rằng Nhà nước, cơ quan thuế có đủ khả năng và công nghệ để phát hiện, xử lý nghiêm các hành vi trốn thuế. - HUMAN-ENF2]]</f>
        <v>7</v>
      </c>
      <c r="Y330" t="str">
        <f t="shared" si="139"/>
        <v>Neutral</v>
      </c>
      <c r="Z330" s="32">
        <f t="shared" si="140"/>
        <v>1</v>
      </c>
      <c r="AA330">
        <f>step3_validation[[#This Row],[AI_FAC1]]</f>
        <v>8</v>
      </c>
      <c r="AB330" t="str">
        <f t="shared" si="141"/>
        <v>Support</v>
      </c>
      <c r="AC330">
        <f>survey_responses[[#This Row],[Các thủ tục khai báo thuế VÀ/HOẶC quy trình làm việc với cơ quan thuế đơn giản, tiện lợi, nhanh chóng hơn so với trước đây. - HUMAN-FAC1]]</f>
        <v>9</v>
      </c>
      <c r="AD330" t="str">
        <f t="shared" si="142"/>
        <v>Support</v>
      </c>
      <c r="AE330" s="32">
        <f t="shared" si="143"/>
        <v>1</v>
      </c>
      <c r="AF330">
        <f>step3_validation[[#This Row],[AI_FAC2]]</f>
        <v>9</v>
      </c>
      <c r="AG330" t="str">
        <f t="shared" si="144"/>
        <v>Support</v>
      </c>
      <c r="AH330">
        <f>survey_responses[[#This Row],[So với trước đây, tôi thấy cách tính thuế và các bậc thuế trong phương án mới đơn giản, dễ hiểu và dễ thực hiện hơn. - HUMAN-FAC2]]</f>
        <v>9</v>
      </c>
      <c r="AI330" t="str">
        <f t="shared" si="145"/>
        <v>Support</v>
      </c>
      <c r="AJ330" s="32">
        <f t="shared" si="146"/>
        <v>0</v>
      </c>
      <c r="AK330">
        <f>step3_validation[[#This Row],[AI_TRU1]]</f>
        <v>7</v>
      </c>
      <c r="AL330" t="str">
        <f t="shared" si="147"/>
        <v>Neutral</v>
      </c>
      <c r="AM330">
        <f>survey_responses[[#This Row],[Tôi tin rằng Nhà nước, cơ quan thuế sẽ thực thi chính sách mới một cách khách quan, công tâm và đối xử bình đẳng với mọi người nộp thuế.  - HUMAN-TRU1]]</f>
        <v>9</v>
      </c>
      <c r="AN330" t="str">
        <f t="shared" si="148"/>
        <v>Support</v>
      </c>
      <c r="AO330" s="32">
        <f t="shared" si="149"/>
        <v>2</v>
      </c>
      <c r="AP330">
        <f>step3_validation[[#This Row],[AI_TRU2]]</f>
        <v>8</v>
      </c>
      <c r="AQ330" t="str">
        <f t="shared" si="150"/>
        <v>Support</v>
      </c>
      <c r="AR330">
        <f>survey_responses[[#This Row],[Tôi thấy mức thuế tôi phải đóng theo phương án mới là công bằng (người thu nhập như tôi đóng mức này là hợp lý). - HUMAN-TRU2]]</f>
        <v>9</v>
      </c>
      <c r="AS330" t="str">
        <f t="shared" si="151"/>
        <v>Support</v>
      </c>
      <c r="AT330" s="32">
        <f t="shared" si="152"/>
        <v>1</v>
      </c>
      <c r="AU330">
        <f>step3_validation[[#This Row],[AI_TRU3]]</f>
        <v>7</v>
      </c>
      <c r="AV330" t="str">
        <f t="shared" si="153"/>
        <v>Neutral</v>
      </c>
      <c r="AW330">
        <f>survey_responses[[#This Row],[Tôi tin tưởng số tiền thuế tôi đóng sẽ được Nhà nước sử dụng hiệu quả để cải thiện dịch vụ công (y tế, đường xá...). - HUMAN-TRU3]]</f>
        <v>5</v>
      </c>
      <c r="AX330" t="str">
        <f t="shared" si="154"/>
        <v>Neutral</v>
      </c>
      <c r="AY330" s="32">
        <f t="shared" si="155"/>
        <v>2</v>
      </c>
      <c r="AZ330">
        <f>step3_validation[[#This Row],[AI_TRU4]]</f>
        <v>6</v>
      </c>
      <c r="BA330" t="str">
        <f t="shared" si="156"/>
        <v>Neutral</v>
      </c>
      <c r="BB330">
        <f>survey_responses[[#This Row],[Tôi thấy Nhà nước đã giải thích rõ ràng, minh bạch về lý do và mục tiêu của việc sửa đổi thuế lần này. - HUMAN-TRU4]]</f>
        <v>6</v>
      </c>
      <c r="BC330" t="str">
        <f t="shared" si="157"/>
        <v>Neutral</v>
      </c>
      <c r="BD330" s="32">
        <f t="shared" si="158"/>
        <v>0</v>
      </c>
      <c r="BE330">
        <f>step3_validation[[#This Row],[AI_OUT1]]</f>
        <v>8</v>
      </c>
      <c r="BF330" t="str">
        <f t="shared" si="159"/>
        <v>Support</v>
      </c>
      <c r="BG330">
        <f>survey_responses[[#This Row],[Sau khi xem xét các quyền lợi và nghĩa vụ, bạn có ủng hộ và tuân thủ chính sách mới hiện nay? - HUMAN-OUT1]]</f>
        <v>9</v>
      </c>
      <c r="BH330" t="str">
        <f t="shared" si="160"/>
        <v>Support</v>
      </c>
      <c r="BI330" s="32">
        <f t="shared" si="161"/>
        <v>1</v>
      </c>
    </row>
    <row r="331" spans="1:61" x14ac:dyDescent="0.45">
      <c r="A331" s="30">
        <f>step3_validation[[#This Row],[Persona_ID]]</f>
        <v>330</v>
      </c>
      <c r="B331" s="31">
        <f>step3_validation[[#This Row],[Used_Seed]]</f>
        <v>12674</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13.455637584605176</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6</v>
      </c>
      <c r="R331" t="str">
        <f t="shared" si="135"/>
        <v>Neutral</v>
      </c>
      <c r="S331">
        <f>survey_responses[[#This Row],[Tôi tin rằng với các quy định quản lý thuế hiện nay, hành vi gian lận hoặc trốn thuế sẽ dễ dàng bị phát hiện và xử lý nghiêm. - HUMAN-ENF1]]</f>
        <v>3</v>
      </c>
      <c r="T331" t="str">
        <f t="shared" si="136"/>
        <v>Oppose</v>
      </c>
      <c r="U331" s="32">
        <f t="shared" si="137"/>
        <v>3</v>
      </c>
      <c r="V331">
        <f>step3_validation[[#This Row],[AI_ENF2]]</f>
        <v>6</v>
      </c>
      <c r="W331" t="str">
        <f t="shared" si="138"/>
        <v>Neutral</v>
      </c>
      <c r="X331">
        <f>survey_responses[[#This Row],[Tôi tin rằng Nhà nước, cơ quan thuế có đủ khả năng và công nghệ để phát hiện, xử lý nghiêm các hành vi trốn thuế. - HUMAN-ENF2]]</f>
        <v>3</v>
      </c>
      <c r="Y331" t="str">
        <f t="shared" si="139"/>
        <v>Oppose</v>
      </c>
      <c r="Z331" s="32">
        <f t="shared" si="140"/>
        <v>3</v>
      </c>
      <c r="AA331">
        <f>step3_validation[[#This Row],[AI_FAC1]]</f>
        <v>9</v>
      </c>
      <c r="AB331" t="str">
        <f t="shared" si="141"/>
        <v>Support</v>
      </c>
      <c r="AC331">
        <f>survey_responses[[#This Row],[Các thủ tục khai báo thuế VÀ/HOẶC quy trình làm việc với cơ quan thuế đơn giản, tiện lợi, nhanh chóng hơn so với trước đây. - HUMAN-FAC1]]</f>
        <v>5</v>
      </c>
      <c r="AD331" t="str">
        <f t="shared" si="142"/>
        <v>Neutral</v>
      </c>
      <c r="AE331" s="32">
        <f t="shared" si="143"/>
        <v>4</v>
      </c>
      <c r="AF331">
        <f>step3_validation[[#This Row],[AI_FAC2]]</f>
        <v>8</v>
      </c>
      <c r="AG331" t="str">
        <f t="shared" si="144"/>
        <v>Support</v>
      </c>
      <c r="AH331">
        <f>survey_responses[[#This Row],[So với trước đây, tôi thấy cách tính thuế và các bậc thuế trong phương án mới đơn giản, dễ hiểu và dễ thực hiện hơn. - HUMAN-FAC2]]</f>
        <v>6</v>
      </c>
      <c r="AI331" t="str">
        <f t="shared" si="145"/>
        <v>Neutral</v>
      </c>
      <c r="AJ331" s="32">
        <f t="shared" si="146"/>
        <v>2</v>
      </c>
      <c r="AK331">
        <f>step3_validation[[#This Row],[AI_TRU1]]</f>
        <v>9</v>
      </c>
      <c r="AL331" t="str">
        <f t="shared" si="147"/>
        <v>Support</v>
      </c>
      <c r="AM331">
        <f>survey_responses[[#This Row],[Tôi tin rằng Nhà nước, cơ quan thuế sẽ thực thi chính sách mới một cách khách quan, công tâm và đối xử bình đẳng với mọi người nộp thuế.  - HUMAN-TRU1]]</f>
        <v>4</v>
      </c>
      <c r="AN331" t="str">
        <f t="shared" si="148"/>
        <v>Oppose</v>
      </c>
      <c r="AO331" s="32">
        <f t="shared" si="149"/>
        <v>5</v>
      </c>
      <c r="AP331">
        <f>step3_validation[[#This Row],[AI_TRU2]]</f>
        <v>8</v>
      </c>
      <c r="AQ331" t="str">
        <f t="shared" si="150"/>
        <v>Support</v>
      </c>
      <c r="AR331">
        <f>survey_responses[[#This Row],[Tôi thấy mức thuế tôi phải đóng theo phương án mới là công bằng (người thu nhập như tôi đóng mức này là hợp lý). - HUMAN-TRU2]]</f>
        <v>5</v>
      </c>
      <c r="AS331" t="str">
        <f t="shared" si="151"/>
        <v>Neutral</v>
      </c>
      <c r="AT331" s="32">
        <f t="shared" si="152"/>
        <v>3</v>
      </c>
      <c r="AU331">
        <f>step3_validation[[#This Row],[AI_TRU3]]</f>
        <v>9</v>
      </c>
      <c r="AV331" t="str">
        <f t="shared" si="153"/>
        <v>Support</v>
      </c>
      <c r="AW331">
        <f>survey_responses[[#This Row],[Tôi tin tưởng số tiền thuế tôi đóng sẽ được Nhà nước sử dụng hiệu quả để cải thiện dịch vụ công (y tế, đường xá...). - HUMAN-TRU3]]</f>
        <v>5</v>
      </c>
      <c r="AX331" t="str">
        <f t="shared" si="154"/>
        <v>Neutral</v>
      </c>
      <c r="AY331" s="32">
        <f t="shared" si="155"/>
        <v>4</v>
      </c>
      <c r="AZ331">
        <f>step3_validation[[#This Row],[AI_TRU4]]</f>
        <v>8</v>
      </c>
      <c r="BA331" t="str">
        <f t="shared" si="156"/>
        <v>Support</v>
      </c>
      <c r="BB331">
        <f>survey_responses[[#This Row],[Tôi thấy Nhà nước đã giải thích rõ ràng, minh bạch về lý do và mục tiêu của việc sửa đổi thuế lần này. - HUMAN-TRU4]]</f>
        <v>5</v>
      </c>
      <c r="BC331" t="str">
        <f t="shared" si="157"/>
        <v>Neutral</v>
      </c>
      <c r="BD331" s="32">
        <f t="shared" si="158"/>
        <v>3</v>
      </c>
      <c r="BE331">
        <f>step3_validation[[#This Row],[AI_OUT1]]</f>
        <v>9</v>
      </c>
      <c r="BF331" t="str">
        <f t="shared" si="159"/>
        <v>Support</v>
      </c>
      <c r="BG331">
        <f>survey_responses[[#This Row],[Sau khi xem xét các quyền lợi và nghĩa vụ, bạn có ủng hộ và tuân thủ chính sách mới hiện nay? - HUMAN-OUT1]]</f>
        <v>5</v>
      </c>
      <c r="BH331" t="str">
        <f t="shared" si="160"/>
        <v>Neutral</v>
      </c>
      <c r="BI331" s="32">
        <f t="shared" si="161"/>
        <v>4</v>
      </c>
    </row>
    <row r="332" spans="1:61" x14ac:dyDescent="0.45">
      <c r="A332" s="30">
        <f>step3_validation[[#This Row],[Persona_ID]]</f>
        <v>331</v>
      </c>
      <c r="B332" s="31">
        <f>step3_validation[[#This Row],[Used_Seed]]</f>
        <v>12675</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26.633126491530575</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t="str">
        <f t="shared" si="135"/>
        <v>Support</v>
      </c>
      <c r="S332">
        <f>survey_responses[[#This Row],[Tôi tin rằng với các quy định quản lý thuế hiện nay, hành vi gian lận hoặc trốn thuế sẽ dễ dàng bị phát hiện và xử lý nghiêm. - HUMAN-ENF1]]</f>
        <v>4</v>
      </c>
      <c r="T332" t="str">
        <f t="shared" si="136"/>
        <v>Oppose</v>
      </c>
      <c r="U332" s="32">
        <f t="shared" si="137"/>
        <v>4</v>
      </c>
      <c r="V332">
        <f>step3_validation[[#This Row],[AI_ENF2]]</f>
        <v>8</v>
      </c>
      <c r="W332" t="str">
        <f t="shared" si="138"/>
        <v>Support</v>
      </c>
      <c r="X332">
        <f>survey_responses[[#This Row],[Tôi tin rằng Nhà nước, cơ quan thuế có đủ khả năng và công nghệ để phát hiện, xử lý nghiêm các hành vi trốn thuế. - HUMAN-ENF2]]</f>
        <v>4</v>
      </c>
      <c r="Y332" t="str">
        <f t="shared" si="139"/>
        <v>Oppose</v>
      </c>
      <c r="Z332" s="32">
        <f t="shared" si="140"/>
        <v>4</v>
      </c>
      <c r="AA332">
        <f>step3_validation[[#This Row],[AI_FAC1]]</f>
        <v>9</v>
      </c>
      <c r="AB332" t="str">
        <f t="shared" si="141"/>
        <v>Support</v>
      </c>
      <c r="AC332">
        <f>survey_responses[[#This Row],[Các thủ tục khai báo thuế VÀ/HOẶC quy trình làm việc với cơ quan thuế đơn giản, tiện lợi, nhanh chóng hơn so với trước đây. - HUMAN-FAC1]]</f>
        <v>5</v>
      </c>
      <c r="AD332" t="str">
        <f t="shared" si="142"/>
        <v>Neutral</v>
      </c>
      <c r="AE332" s="32">
        <f t="shared" si="143"/>
        <v>4</v>
      </c>
      <c r="AF332">
        <f>step3_validation[[#This Row],[AI_FAC2]]</f>
        <v>9</v>
      </c>
      <c r="AG332" t="str">
        <f t="shared" si="144"/>
        <v>Support</v>
      </c>
      <c r="AH332">
        <f>survey_responses[[#This Row],[So với trước đây, tôi thấy cách tính thuế và các bậc thuế trong phương án mới đơn giản, dễ hiểu và dễ thực hiện hơn. - HUMAN-FAC2]]</f>
        <v>6</v>
      </c>
      <c r="AI332" t="str">
        <f t="shared" si="145"/>
        <v>Neutral</v>
      </c>
      <c r="AJ332" s="32">
        <f t="shared" si="146"/>
        <v>3</v>
      </c>
      <c r="AK332">
        <f>step3_validation[[#This Row],[AI_TRU1]]</f>
        <v>7</v>
      </c>
      <c r="AL332" t="str">
        <f t="shared" si="147"/>
        <v>Neutral</v>
      </c>
      <c r="AM332">
        <f>survey_responses[[#This Row],[Tôi tin rằng Nhà nước, cơ quan thuế sẽ thực thi chính sách mới một cách khách quan, công tâm và đối xử bình đẳng với mọi người nộp thuế.  - HUMAN-TRU1]]</f>
        <v>4</v>
      </c>
      <c r="AN332" t="str">
        <f t="shared" si="148"/>
        <v>Oppose</v>
      </c>
      <c r="AO332" s="32">
        <f t="shared" si="149"/>
        <v>3</v>
      </c>
      <c r="AP332">
        <f>step3_validation[[#This Row],[AI_TRU2]]</f>
        <v>8</v>
      </c>
      <c r="AQ332" t="str">
        <f t="shared" si="150"/>
        <v>Support</v>
      </c>
      <c r="AR332">
        <f>survey_responses[[#This Row],[Tôi thấy mức thuế tôi phải đóng theo phương án mới là công bằng (người thu nhập như tôi đóng mức này là hợp lý). - HUMAN-TRU2]]</f>
        <v>5</v>
      </c>
      <c r="AS332" t="str">
        <f t="shared" si="151"/>
        <v>Neutral</v>
      </c>
      <c r="AT332" s="32">
        <f t="shared" si="152"/>
        <v>3</v>
      </c>
      <c r="AU332">
        <f>step3_validation[[#This Row],[AI_TRU3]]</f>
        <v>7</v>
      </c>
      <c r="AV332" t="str">
        <f t="shared" si="153"/>
        <v>Neutral</v>
      </c>
      <c r="AW332">
        <f>survey_responses[[#This Row],[Tôi tin tưởng số tiền thuế tôi đóng sẽ được Nhà nước sử dụng hiệu quả để cải thiện dịch vụ công (y tế, đường xá...). - HUMAN-TRU3]]</f>
        <v>3</v>
      </c>
      <c r="AX332" t="str">
        <f t="shared" si="154"/>
        <v>Oppose</v>
      </c>
      <c r="AY332" s="32">
        <f t="shared" si="155"/>
        <v>4</v>
      </c>
      <c r="AZ332">
        <f>step3_validation[[#This Row],[AI_TRU4]]</f>
        <v>8</v>
      </c>
      <c r="BA332" t="str">
        <f t="shared" si="156"/>
        <v>Support</v>
      </c>
      <c r="BB332">
        <f>survey_responses[[#This Row],[Tôi thấy Nhà nước đã giải thích rõ ràng, minh bạch về lý do và mục tiêu của việc sửa đổi thuế lần này. - HUMAN-TRU4]]</f>
        <v>4</v>
      </c>
      <c r="BC332" t="str">
        <f t="shared" si="157"/>
        <v>Oppose</v>
      </c>
      <c r="BD332" s="32">
        <f t="shared" si="158"/>
        <v>4</v>
      </c>
      <c r="BE332">
        <f>step3_validation[[#This Row],[AI_OUT1]]</f>
        <v>9</v>
      </c>
      <c r="BF332" t="str">
        <f t="shared" si="159"/>
        <v>Support</v>
      </c>
      <c r="BG332">
        <f>survey_responses[[#This Row],[Sau khi xem xét các quyền lợi và nghĩa vụ, bạn có ủng hộ và tuân thủ chính sách mới hiện nay? - HUMAN-OUT1]]</f>
        <v>5</v>
      </c>
      <c r="BH332" t="str">
        <f t="shared" si="160"/>
        <v>Neutral</v>
      </c>
      <c r="BI332" s="32">
        <f t="shared" si="161"/>
        <v>4</v>
      </c>
    </row>
    <row r="333" spans="1:61" x14ac:dyDescent="0.45">
      <c r="A333" s="30">
        <f>step3_validation[[#This Row],[Persona_ID]]</f>
        <v>332</v>
      </c>
      <c r="B333" s="31">
        <f>step3_validation[[#This Row],[Used_Seed]]</f>
        <v>12676</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21.494607292331743</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7</v>
      </c>
      <c r="R333" t="str">
        <f t="shared" si="135"/>
        <v>Neutral</v>
      </c>
      <c r="S333">
        <f>survey_responses[[#This Row],[Tôi tin rằng với các quy định quản lý thuế hiện nay, hành vi gian lận hoặc trốn thuế sẽ dễ dàng bị phát hiện và xử lý nghiêm. - HUMAN-ENF1]]</f>
        <v>7</v>
      </c>
      <c r="T333" t="str">
        <f t="shared" si="136"/>
        <v>Neutral</v>
      </c>
      <c r="U333" s="32">
        <f t="shared" si="137"/>
        <v>0</v>
      </c>
      <c r="V333">
        <f>step3_validation[[#This Row],[AI_ENF2]]</f>
        <v>8</v>
      </c>
      <c r="W333" t="str">
        <f t="shared" si="138"/>
        <v>Support</v>
      </c>
      <c r="X333">
        <f>survey_responses[[#This Row],[Tôi tin rằng Nhà nước, cơ quan thuế có đủ khả năng và công nghệ để phát hiện, xử lý nghiêm các hành vi trốn thuế. - HUMAN-ENF2]]</f>
        <v>7</v>
      </c>
      <c r="Y333" t="str">
        <f t="shared" si="139"/>
        <v>Neutral</v>
      </c>
      <c r="Z333" s="32">
        <f t="shared" si="140"/>
        <v>1</v>
      </c>
      <c r="AA333">
        <f>step3_validation[[#This Row],[AI_FAC1]]</f>
        <v>9</v>
      </c>
      <c r="AB333" t="str">
        <f t="shared" si="141"/>
        <v>Support</v>
      </c>
      <c r="AC333">
        <f>survey_responses[[#This Row],[Các thủ tục khai báo thuế VÀ/HOẶC quy trình làm việc với cơ quan thuế đơn giản, tiện lợi, nhanh chóng hơn so với trước đây. - HUMAN-FAC1]]</f>
        <v>9</v>
      </c>
      <c r="AD333" t="str">
        <f t="shared" si="142"/>
        <v>Support</v>
      </c>
      <c r="AE333" s="32">
        <f t="shared" si="143"/>
        <v>0</v>
      </c>
      <c r="AF333">
        <f>step3_validation[[#This Row],[AI_FAC2]]</f>
        <v>8</v>
      </c>
      <c r="AG333" t="str">
        <f t="shared" si="144"/>
        <v>Support</v>
      </c>
      <c r="AH333">
        <f>survey_responses[[#This Row],[So với trước đây, tôi thấy cách tính thuế và các bậc thuế trong phương án mới đơn giản, dễ hiểu và dễ thực hiện hơn. - HUMAN-FAC2]]</f>
        <v>9</v>
      </c>
      <c r="AI333" t="str">
        <f t="shared" si="145"/>
        <v>Support</v>
      </c>
      <c r="AJ333" s="32">
        <f t="shared" si="146"/>
        <v>1</v>
      </c>
      <c r="AK333">
        <f>step3_validation[[#This Row],[AI_TRU1]]</f>
        <v>9</v>
      </c>
      <c r="AL333" t="str">
        <f t="shared" si="147"/>
        <v>Support</v>
      </c>
      <c r="AM333">
        <f>survey_responses[[#This Row],[Tôi tin rằng Nhà nước, cơ quan thuế sẽ thực thi chính sách mới một cách khách quan, công tâm và đối xử bình đẳng với mọi người nộp thuế.  - HUMAN-TRU1]]</f>
        <v>8</v>
      </c>
      <c r="AN333" t="str">
        <f t="shared" si="148"/>
        <v>Support</v>
      </c>
      <c r="AO333" s="32">
        <f t="shared" si="149"/>
        <v>1</v>
      </c>
      <c r="AP333">
        <f>step3_validation[[#This Row],[AI_TRU2]]</f>
        <v>8</v>
      </c>
      <c r="AQ333" t="str">
        <f t="shared" si="150"/>
        <v>Support</v>
      </c>
      <c r="AR333">
        <f>survey_responses[[#This Row],[Tôi thấy mức thuế tôi phải đóng theo phương án mới là công bằng (người thu nhập như tôi đóng mức này là hợp lý). - HUMAN-TRU2]]</f>
        <v>9</v>
      </c>
      <c r="AS333" t="str">
        <f t="shared" si="151"/>
        <v>Support</v>
      </c>
      <c r="AT333" s="32">
        <f t="shared" si="152"/>
        <v>1</v>
      </c>
      <c r="AU333">
        <f>step3_validation[[#This Row],[AI_TRU3]]</f>
        <v>9</v>
      </c>
      <c r="AV333" t="str">
        <f t="shared" si="153"/>
        <v>Support</v>
      </c>
      <c r="AW333">
        <f>survey_responses[[#This Row],[Tôi tin tưởng số tiền thuế tôi đóng sẽ được Nhà nước sử dụng hiệu quả để cải thiện dịch vụ công (y tế, đường xá...). - HUMAN-TRU3]]</f>
        <v>7</v>
      </c>
      <c r="AX333" t="str">
        <f t="shared" si="154"/>
        <v>Neutral</v>
      </c>
      <c r="AY333" s="32">
        <f t="shared" si="155"/>
        <v>2</v>
      </c>
      <c r="AZ333">
        <f>step3_validation[[#This Row],[AI_TRU4]]</f>
        <v>7</v>
      </c>
      <c r="BA333" t="str">
        <f t="shared" si="156"/>
        <v>Neutral</v>
      </c>
      <c r="BB333">
        <f>survey_responses[[#This Row],[Tôi thấy Nhà nước đã giải thích rõ ràng, minh bạch về lý do và mục tiêu của việc sửa đổi thuế lần này. - HUMAN-TRU4]]</f>
        <v>9</v>
      </c>
      <c r="BC333" t="str">
        <f t="shared" si="157"/>
        <v>Support</v>
      </c>
      <c r="BD333" s="32">
        <f t="shared" si="158"/>
        <v>2</v>
      </c>
      <c r="BE333">
        <f>step3_validation[[#This Row],[AI_OUT1]]</f>
        <v>9</v>
      </c>
      <c r="BF333" t="str">
        <f t="shared" si="159"/>
        <v>Support</v>
      </c>
      <c r="BG333">
        <f>survey_responses[[#This Row],[Sau khi xem xét các quyền lợi và nghĩa vụ, bạn có ủng hộ và tuân thủ chính sách mới hiện nay? - HUMAN-OUT1]]</f>
        <v>9</v>
      </c>
      <c r="BH333" t="str">
        <f t="shared" si="160"/>
        <v>Support</v>
      </c>
      <c r="BI333" s="32">
        <f t="shared" si="161"/>
        <v>0</v>
      </c>
    </row>
    <row r="334" spans="1:61" x14ac:dyDescent="0.45">
      <c r="A334" s="30">
        <f>step3_validation[[#This Row],[Persona_ID]]</f>
        <v>333</v>
      </c>
      <c r="B334" s="31">
        <f>step3_validation[[#This Row],[Used_Seed]]</f>
        <v>12677</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86.95655635314948</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6</v>
      </c>
      <c r="R334" t="str">
        <f t="shared" si="135"/>
        <v>Neutral</v>
      </c>
      <c r="S334">
        <f>survey_responses[[#This Row],[Tôi tin rằng với các quy định quản lý thuế hiện nay, hành vi gian lận hoặc trốn thuế sẽ dễ dàng bị phát hiện và xử lý nghiêm. - HUMAN-ENF1]]</f>
        <v>6</v>
      </c>
      <c r="T334" t="str">
        <f t="shared" si="136"/>
        <v>Neutral</v>
      </c>
      <c r="U334" s="32">
        <f t="shared" si="137"/>
        <v>0</v>
      </c>
      <c r="V334">
        <f>step3_validation[[#This Row],[AI_ENF2]]</f>
        <v>8</v>
      </c>
      <c r="W334" t="str">
        <f t="shared" si="138"/>
        <v>Support</v>
      </c>
      <c r="X334">
        <f>survey_responses[[#This Row],[Tôi tin rằng Nhà nước, cơ quan thuế có đủ khả năng và công nghệ để phát hiện, xử lý nghiêm các hành vi trốn thuế. - HUMAN-ENF2]]</f>
        <v>6</v>
      </c>
      <c r="Y334" t="str">
        <f t="shared" si="139"/>
        <v>Neutral</v>
      </c>
      <c r="Z334" s="32">
        <f t="shared" si="140"/>
        <v>2</v>
      </c>
      <c r="AA334">
        <f>step3_validation[[#This Row],[AI_FAC1]]</f>
        <v>9</v>
      </c>
      <c r="AB334" t="str">
        <f t="shared" si="141"/>
        <v>Support</v>
      </c>
      <c r="AC334">
        <f>survey_responses[[#This Row],[Các thủ tục khai báo thuế VÀ/HOẶC quy trình làm việc với cơ quan thuế đơn giản, tiện lợi, nhanh chóng hơn so với trước đây. - HUMAN-FAC1]]</f>
        <v>8</v>
      </c>
      <c r="AD334" t="str">
        <f t="shared" si="142"/>
        <v>Support</v>
      </c>
      <c r="AE334" s="32">
        <f t="shared" si="143"/>
        <v>1</v>
      </c>
      <c r="AF334">
        <f>step3_validation[[#This Row],[AI_FAC2]]</f>
        <v>8</v>
      </c>
      <c r="AG334" t="str">
        <f t="shared" si="144"/>
        <v>Support</v>
      </c>
      <c r="AH334">
        <f>survey_responses[[#This Row],[So với trước đây, tôi thấy cách tính thuế và các bậc thuế trong phương án mới đơn giản, dễ hiểu và dễ thực hiện hơn. - HUMAN-FAC2]]</f>
        <v>8</v>
      </c>
      <c r="AI334" t="str">
        <f t="shared" si="145"/>
        <v>Support</v>
      </c>
      <c r="AJ334" s="32">
        <f t="shared" si="146"/>
        <v>0</v>
      </c>
      <c r="AK334">
        <f>step3_validation[[#This Row],[AI_TRU1]]</f>
        <v>7</v>
      </c>
      <c r="AL334" t="str">
        <f t="shared" si="147"/>
        <v>Neutral</v>
      </c>
      <c r="AM334">
        <f>survey_responses[[#This Row],[Tôi tin rằng Nhà nước, cơ quan thuế sẽ thực thi chính sách mới một cách khách quan, công tâm và đối xử bình đẳng với mọi người nộp thuế.  - HUMAN-TRU1]]</f>
        <v>6</v>
      </c>
      <c r="AN334" t="str">
        <f t="shared" si="148"/>
        <v>Neutral</v>
      </c>
      <c r="AO334" s="32">
        <f t="shared" si="149"/>
        <v>1</v>
      </c>
      <c r="AP334">
        <f>step3_validation[[#This Row],[AI_TRU2]]</f>
        <v>9</v>
      </c>
      <c r="AQ334" t="str">
        <f t="shared" si="150"/>
        <v>Support</v>
      </c>
      <c r="AR334">
        <f>survey_responses[[#This Row],[Tôi thấy mức thuế tôi phải đóng theo phương án mới là công bằng (người thu nhập như tôi đóng mức này là hợp lý). - HUMAN-TRU2]]</f>
        <v>7</v>
      </c>
      <c r="AS334" t="str">
        <f t="shared" si="151"/>
        <v>Neutral</v>
      </c>
      <c r="AT334" s="32">
        <f t="shared" si="152"/>
        <v>2</v>
      </c>
      <c r="AU334">
        <f>step3_validation[[#This Row],[AI_TRU3]]</f>
        <v>7</v>
      </c>
      <c r="AV334" t="str">
        <f t="shared" si="153"/>
        <v>Neutral</v>
      </c>
      <c r="AW334">
        <f>survey_responses[[#This Row],[Tôi tin tưởng số tiền thuế tôi đóng sẽ được Nhà nước sử dụng hiệu quả để cải thiện dịch vụ công (y tế, đường xá...). - HUMAN-TRU3]]</f>
        <v>6</v>
      </c>
      <c r="AX334" t="str">
        <f t="shared" si="154"/>
        <v>Neutral</v>
      </c>
      <c r="AY334" s="32">
        <f t="shared" si="155"/>
        <v>1</v>
      </c>
      <c r="AZ334">
        <f>step3_validation[[#This Row],[AI_TRU4]]</f>
        <v>8</v>
      </c>
      <c r="BA334" t="str">
        <f t="shared" si="156"/>
        <v>Support</v>
      </c>
      <c r="BB334">
        <f>survey_responses[[#This Row],[Tôi thấy Nhà nước đã giải thích rõ ràng, minh bạch về lý do và mục tiêu của việc sửa đổi thuế lần này. - HUMAN-TRU4]]</f>
        <v>7</v>
      </c>
      <c r="BC334" t="str">
        <f t="shared" si="157"/>
        <v>Neutral</v>
      </c>
      <c r="BD334" s="32">
        <f t="shared" si="158"/>
        <v>1</v>
      </c>
      <c r="BE334">
        <f>step3_validation[[#This Row],[AI_OUT1]]</f>
        <v>9</v>
      </c>
      <c r="BF334" t="str">
        <f t="shared" si="159"/>
        <v>Support</v>
      </c>
      <c r="BG334">
        <f>survey_responses[[#This Row],[Sau khi xem xét các quyền lợi và nghĩa vụ, bạn có ủng hộ và tuân thủ chính sách mới hiện nay? - HUMAN-OUT1]]</f>
        <v>7</v>
      </c>
      <c r="BH334" t="str">
        <f t="shared" si="160"/>
        <v>Neutral</v>
      </c>
      <c r="BI334" s="32">
        <f t="shared" si="161"/>
        <v>2</v>
      </c>
    </row>
    <row r="335" spans="1:61" x14ac:dyDescent="0.45">
      <c r="A335" s="30">
        <f>step3_validation[[#This Row],[Persona_ID]]</f>
        <v>334</v>
      </c>
      <c r="B335" s="31">
        <f>step3_validation[[#This Row],[Used_Seed]]</f>
        <v>12678</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143.22514320672158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6</v>
      </c>
      <c r="R335" t="str">
        <f t="shared" si="135"/>
        <v>Neutral</v>
      </c>
      <c r="S335">
        <f>survey_responses[[#This Row],[Tôi tin rằng với các quy định quản lý thuế hiện nay, hành vi gian lận hoặc trốn thuế sẽ dễ dàng bị phát hiện và xử lý nghiêm. - HUMAN-ENF1]]</f>
        <v>2</v>
      </c>
      <c r="T335" t="str">
        <f t="shared" si="136"/>
        <v>Oppose</v>
      </c>
      <c r="U335" s="32">
        <f t="shared" si="137"/>
        <v>4</v>
      </c>
      <c r="V335">
        <f>step3_validation[[#This Row],[AI_ENF2]]</f>
        <v>7</v>
      </c>
      <c r="W335" t="str">
        <f t="shared" si="138"/>
        <v>Neutral</v>
      </c>
      <c r="X335">
        <f>survey_responses[[#This Row],[Tôi tin rằng Nhà nước, cơ quan thuế có đủ khả năng và công nghệ để phát hiện, xử lý nghiêm các hành vi trốn thuế. - HUMAN-ENF2]]</f>
        <v>2</v>
      </c>
      <c r="Y335" t="str">
        <f t="shared" si="139"/>
        <v>Oppose</v>
      </c>
      <c r="Z335" s="32">
        <f t="shared" si="140"/>
        <v>5</v>
      </c>
      <c r="AA335">
        <f>step3_validation[[#This Row],[AI_FAC1]]</f>
        <v>5</v>
      </c>
      <c r="AB335" t="str">
        <f t="shared" si="141"/>
        <v>Neutral</v>
      </c>
      <c r="AC335">
        <f>survey_responses[[#This Row],[Các thủ tục khai báo thuế VÀ/HOẶC quy trình làm việc với cơ quan thuế đơn giản, tiện lợi, nhanh chóng hơn so với trước đây. - HUMAN-FAC1]]</f>
        <v>3</v>
      </c>
      <c r="AD335" t="str">
        <f t="shared" si="142"/>
        <v>Oppose</v>
      </c>
      <c r="AE335" s="32">
        <f t="shared" si="143"/>
        <v>2</v>
      </c>
      <c r="AF335">
        <f>step3_validation[[#This Row],[AI_FAC2]]</f>
        <v>8</v>
      </c>
      <c r="AG335" t="str">
        <f t="shared" si="144"/>
        <v>Support</v>
      </c>
      <c r="AH335">
        <f>survey_responses[[#This Row],[So với trước đây, tôi thấy cách tính thuế và các bậc thuế trong phương án mới đơn giản, dễ hiểu và dễ thực hiện hơn. - HUMAN-FAC2]]</f>
        <v>5</v>
      </c>
      <c r="AI335" t="str">
        <f t="shared" si="145"/>
        <v>Neutral</v>
      </c>
      <c r="AJ335" s="32">
        <f t="shared" si="146"/>
        <v>3</v>
      </c>
      <c r="AK335">
        <f>step3_validation[[#This Row],[AI_TRU1]]</f>
        <v>6</v>
      </c>
      <c r="AL335" t="str">
        <f t="shared" si="147"/>
        <v>Neutral</v>
      </c>
      <c r="AM335">
        <f>survey_responses[[#This Row],[Tôi tin rằng Nhà nước, cơ quan thuế sẽ thực thi chính sách mới một cách khách quan, công tâm và đối xử bình đẳng với mọi người nộp thuế.  - HUMAN-TRU1]]</f>
        <v>1</v>
      </c>
      <c r="AN335" t="str">
        <f t="shared" si="148"/>
        <v>Oppose</v>
      </c>
      <c r="AO335" s="32">
        <f t="shared" si="149"/>
        <v>5</v>
      </c>
      <c r="AP335">
        <f>step3_validation[[#This Row],[AI_TRU2]]</f>
        <v>9</v>
      </c>
      <c r="AQ335" t="str">
        <f t="shared" si="150"/>
        <v>Support</v>
      </c>
      <c r="AR335">
        <f>survey_responses[[#This Row],[Tôi thấy mức thuế tôi phải đóng theo phương án mới là công bằng (người thu nhập như tôi đóng mức này là hợp lý). - HUMAN-TRU2]]</f>
        <v>1</v>
      </c>
      <c r="AS335" t="str">
        <f t="shared" si="151"/>
        <v>Oppose</v>
      </c>
      <c r="AT335" s="32">
        <f t="shared" si="152"/>
        <v>8</v>
      </c>
      <c r="AU335">
        <f>step3_validation[[#This Row],[AI_TRU3]]</f>
        <v>7</v>
      </c>
      <c r="AV335" t="str">
        <f t="shared" si="153"/>
        <v>Neutral</v>
      </c>
      <c r="AW335">
        <f>survey_responses[[#This Row],[Tôi tin tưởng số tiền thuế tôi đóng sẽ được Nhà nước sử dụng hiệu quả để cải thiện dịch vụ công (y tế, đường xá...). - HUMAN-TRU3]]</f>
        <v>1</v>
      </c>
      <c r="AX335" t="str">
        <f t="shared" si="154"/>
        <v>Oppose</v>
      </c>
      <c r="AY335" s="32">
        <f t="shared" si="155"/>
        <v>6</v>
      </c>
      <c r="AZ335">
        <f>step3_validation[[#This Row],[AI_TRU4]]</f>
        <v>6</v>
      </c>
      <c r="BA335" t="str">
        <f t="shared" si="156"/>
        <v>Neutral</v>
      </c>
      <c r="BB335">
        <f>survey_responses[[#This Row],[Tôi thấy Nhà nước đã giải thích rõ ràng, minh bạch về lý do và mục tiêu của việc sửa đổi thuế lần này. - HUMAN-TRU4]]</f>
        <v>3</v>
      </c>
      <c r="BC335" t="str">
        <f t="shared" si="157"/>
        <v>Oppose</v>
      </c>
      <c r="BD335" s="32">
        <f t="shared" si="158"/>
        <v>3</v>
      </c>
      <c r="BE335">
        <f>step3_validation[[#This Row],[AI_OUT1]]</f>
        <v>8</v>
      </c>
      <c r="BF335" t="str">
        <f t="shared" si="159"/>
        <v>Support</v>
      </c>
      <c r="BG335">
        <f>survey_responses[[#This Row],[Sau khi xem xét các quyền lợi và nghĩa vụ, bạn có ủng hộ và tuân thủ chính sách mới hiện nay? - HUMAN-OUT1]]</f>
        <v>1</v>
      </c>
      <c r="BH335" t="str">
        <f t="shared" si="160"/>
        <v>Oppose</v>
      </c>
      <c r="BI335" s="32">
        <f t="shared" si="161"/>
        <v>7</v>
      </c>
    </row>
    <row r="336" spans="1:61" x14ac:dyDescent="0.45">
      <c r="A336" s="30">
        <f>step3_validation[[#This Row],[Persona_ID]]</f>
        <v>335</v>
      </c>
      <c r="B336" s="31">
        <f>step3_validation[[#This Row],[Used_Seed]]</f>
        <v>12679</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14.806608746231747</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t="str">
        <f t="shared" si="135"/>
        <v>Neutral</v>
      </c>
      <c r="S336">
        <f>survey_responses[[#This Row],[Tôi tin rằng với các quy định quản lý thuế hiện nay, hành vi gian lận hoặc trốn thuế sẽ dễ dàng bị phát hiện và xử lý nghiêm. - HUMAN-ENF1]]</f>
        <v>7</v>
      </c>
      <c r="T336" t="str">
        <f t="shared" si="136"/>
        <v>Neutral</v>
      </c>
      <c r="U336" s="32">
        <f t="shared" si="137"/>
        <v>0</v>
      </c>
      <c r="V336">
        <f>step3_validation[[#This Row],[AI_ENF2]]</f>
        <v>8</v>
      </c>
      <c r="W336" t="str">
        <f t="shared" si="138"/>
        <v>Support</v>
      </c>
      <c r="X336">
        <f>survey_responses[[#This Row],[Tôi tin rằng Nhà nước, cơ quan thuế có đủ khả năng và công nghệ để phát hiện, xử lý nghiêm các hành vi trốn thuế. - HUMAN-ENF2]]</f>
        <v>7</v>
      </c>
      <c r="Y336" t="str">
        <f t="shared" si="139"/>
        <v>Neutral</v>
      </c>
      <c r="Z336" s="32">
        <f t="shared" si="140"/>
        <v>1</v>
      </c>
      <c r="AA336">
        <f>step3_validation[[#This Row],[AI_FAC1]]</f>
        <v>6</v>
      </c>
      <c r="AB336" t="str">
        <f t="shared" si="141"/>
        <v>Neutral</v>
      </c>
      <c r="AC336">
        <f>survey_responses[[#This Row],[Các thủ tục khai báo thuế VÀ/HOẶC quy trình làm việc với cơ quan thuế đơn giản, tiện lợi, nhanh chóng hơn so với trước đây. - HUMAN-FAC1]]</f>
        <v>8</v>
      </c>
      <c r="AD336" t="str">
        <f t="shared" si="142"/>
        <v>Support</v>
      </c>
      <c r="AE336" s="32">
        <f t="shared" si="143"/>
        <v>2</v>
      </c>
      <c r="AF336">
        <f>step3_validation[[#This Row],[AI_FAC2]]</f>
        <v>9</v>
      </c>
      <c r="AG336" t="str">
        <f t="shared" si="144"/>
        <v>Support</v>
      </c>
      <c r="AH336">
        <f>survey_responses[[#This Row],[So với trước đây, tôi thấy cách tính thuế và các bậc thuế trong phương án mới đơn giản, dễ hiểu và dễ thực hiện hơn. - HUMAN-FAC2]]</f>
        <v>10</v>
      </c>
      <c r="AI336" t="str">
        <f t="shared" si="145"/>
        <v>Support</v>
      </c>
      <c r="AJ336" s="32">
        <f t="shared" si="146"/>
        <v>1</v>
      </c>
      <c r="AK336">
        <f>step3_validation[[#This Row],[AI_TRU1]]</f>
        <v>7</v>
      </c>
      <c r="AL336" t="str">
        <f t="shared" si="147"/>
        <v>Neutral</v>
      </c>
      <c r="AM336">
        <f>survey_responses[[#This Row],[Tôi tin rằng Nhà nước, cơ quan thuế sẽ thực thi chính sách mới một cách khách quan, công tâm và đối xử bình đẳng với mọi người nộp thuế.  - HUMAN-TRU1]]</f>
        <v>9</v>
      </c>
      <c r="AN336" t="str">
        <f t="shared" si="148"/>
        <v>Support</v>
      </c>
      <c r="AO336" s="32">
        <f t="shared" si="149"/>
        <v>2</v>
      </c>
      <c r="AP336">
        <f>step3_validation[[#This Row],[AI_TRU2]]</f>
        <v>8</v>
      </c>
      <c r="AQ336" t="str">
        <f t="shared" si="150"/>
        <v>Support</v>
      </c>
      <c r="AR336">
        <f>survey_responses[[#This Row],[Tôi thấy mức thuế tôi phải đóng theo phương án mới là công bằng (người thu nhập như tôi đóng mức này là hợp lý). - HUMAN-TRU2]]</f>
        <v>10</v>
      </c>
      <c r="AS336" t="str">
        <f t="shared" si="151"/>
        <v>Support</v>
      </c>
      <c r="AT336" s="32">
        <f t="shared" si="152"/>
        <v>2</v>
      </c>
      <c r="AU336">
        <f>step3_validation[[#This Row],[AI_TRU3]]</f>
        <v>7</v>
      </c>
      <c r="AV336" t="str">
        <f t="shared" si="153"/>
        <v>Neutral</v>
      </c>
      <c r="AW336">
        <f>survey_responses[[#This Row],[Tôi tin tưởng số tiền thuế tôi đóng sẽ được Nhà nước sử dụng hiệu quả để cải thiện dịch vụ công (y tế, đường xá...). - HUMAN-TRU3]]</f>
        <v>8</v>
      </c>
      <c r="AX336" t="str">
        <f t="shared" si="154"/>
        <v>Support</v>
      </c>
      <c r="AY336" s="32">
        <f t="shared" si="155"/>
        <v>1</v>
      </c>
      <c r="AZ336">
        <f>step3_validation[[#This Row],[AI_TRU4]]</f>
        <v>8</v>
      </c>
      <c r="BA336" t="str">
        <f t="shared" si="156"/>
        <v>Support</v>
      </c>
      <c r="BB336">
        <f>survey_responses[[#This Row],[Tôi thấy Nhà nước đã giải thích rõ ràng, minh bạch về lý do và mục tiêu của việc sửa đổi thuế lần này. - HUMAN-TRU4]]</f>
        <v>8</v>
      </c>
      <c r="BC336" t="str">
        <f t="shared" si="157"/>
        <v>Support</v>
      </c>
      <c r="BD336" s="32">
        <f t="shared" si="158"/>
        <v>0</v>
      </c>
      <c r="BE336">
        <f>step3_validation[[#This Row],[AI_OUT1]]</f>
        <v>9</v>
      </c>
      <c r="BF336" t="str">
        <f t="shared" si="159"/>
        <v>Support</v>
      </c>
      <c r="BG336">
        <f>survey_responses[[#This Row],[Sau khi xem xét các quyền lợi và nghĩa vụ, bạn có ủng hộ và tuân thủ chính sách mới hiện nay? - HUMAN-OUT1]]</f>
        <v>10</v>
      </c>
      <c r="BH336" t="str">
        <f t="shared" si="160"/>
        <v>Support</v>
      </c>
      <c r="BI336" s="32">
        <f t="shared" si="161"/>
        <v>1</v>
      </c>
    </row>
    <row r="337" spans="1:61" x14ac:dyDescent="0.45">
      <c r="A337" s="30">
        <f>step3_validation[[#This Row],[Persona_ID]]</f>
        <v>336</v>
      </c>
      <c r="B337" s="31">
        <f>step3_validation[[#This Row],[Used_Seed]]</f>
        <v>12680</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20.793069406099796</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t="str">
        <f t="shared" si="135"/>
        <v>Neutral</v>
      </c>
      <c r="S337">
        <f>survey_responses[[#This Row],[Tôi tin rằng với các quy định quản lý thuế hiện nay, hành vi gian lận hoặc trốn thuế sẽ dễ dàng bị phát hiện và xử lý nghiêm. - HUMAN-ENF1]]</f>
        <v>4</v>
      </c>
      <c r="T337" t="str">
        <f t="shared" si="136"/>
        <v>Oppose</v>
      </c>
      <c r="U337" s="32">
        <f t="shared" si="137"/>
        <v>3</v>
      </c>
      <c r="V337">
        <f>step3_validation[[#This Row],[AI_ENF2]]</f>
        <v>8</v>
      </c>
      <c r="W337" t="str">
        <f t="shared" si="138"/>
        <v>Support</v>
      </c>
      <c r="X337">
        <f>survey_responses[[#This Row],[Tôi tin rằng Nhà nước, cơ quan thuế có đủ khả năng và công nghệ để phát hiện, xử lý nghiêm các hành vi trốn thuế. - HUMAN-ENF2]]</f>
        <v>5</v>
      </c>
      <c r="Y337" t="str">
        <f t="shared" si="139"/>
        <v>Neutral</v>
      </c>
      <c r="Z337" s="32">
        <f t="shared" si="140"/>
        <v>3</v>
      </c>
      <c r="AA337">
        <f>step3_validation[[#This Row],[AI_FAC1]]</f>
        <v>9</v>
      </c>
      <c r="AB337" t="str">
        <f t="shared" si="141"/>
        <v>Support</v>
      </c>
      <c r="AC337">
        <f>survey_responses[[#This Row],[Các thủ tục khai báo thuế VÀ/HOẶC quy trình làm việc với cơ quan thuế đơn giản, tiện lợi, nhanh chóng hơn so với trước đây. - HUMAN-FAC1]]</f>
        <v>5</v>
      </c>
      <c r="AD337" t="str">
        <f t="shared" si="142"/>
        <v>Neutral</v>
      </c>
      <c r="AE337" s="32">
        <f t="shared" si="143"/>
        <v>4</v>
      </c>
      <c r="AF337">
        <f>step3_validation[[#This Row],[AI_FAC2]]</f>
        <v>9</v>
      </c>
      <c r="AG337" t="str">
        <f t="shared" si="144"/>
        <v>Support</v>
      </c>
      <c r="AH337">
        <f>survey_responses[[#This Row],[So với trước đây, tôi thấy cách tính thuế và các bậc thuế trong phương án mới đơn giản, dễ hiểu và dễ thực hiện hơn. - HUMAN-FAC2]]</f>
        <v>6</v>
      </c>
      <c r="AI337" t="str">
        <f t="shared" si="145"/>
        <v>Neutral</v>
      </c>
      <c r="AJ337" s="32">
        <f t="shared" si="146"/>
        <v>3</v>
      </c>
      <c r="AK337">
        <f>step3_validation[[#This Row],[AI_TRU1]]</f>
        <v>8</v>
      </c>
      <c r="AL337" t="str">
        <f t="shared" si="147"/>
        <v>Support</v>
      </c>
      <c r="AM337">
        <f>survey_responses[[#This Row],[Tôi tin rằng Nhà nước, cơ quan thuế sẽ thực thi chính sách mới một cách khách quan, công tâm và đối xử bình đẳng với mọi người nộp thuế.  - HUMAN-TRU1]]</f>
        <v>5</v>
      </c>
      <c r="AN337" t="str">
        <f t="shared" si="148"/>
        <v>Neutral</v>
      </c>
      <c r="AO337" s="32">
        <f t="shared" si="149"/>
        <v>3</v>
      </c>
      <c r="AP337">
        <f>step3_validation[[#This Row],[AI_TRU2]]</f>
        <v>9</v>
      </c>
      <c r="AQ337" t="str">
        <f t="shared" si="150"/>
        <v>Support</v>
      </c>
      <c r="AR337">
        <f>survey_responses[[#This Row],[Tôi thấy mức thuế tôi phải đóng theo phương án mới là công bằng (người thu nhập như tôi đóng mức này là hợp lý). - HUMAN-TRU2]]</f>
        <v>6</v>
      </c>
      <c r="AS337" t="str">
        <f t="shared" si="151"/>
        <v>Neutral</v>
      </c>
      <c r="AT337" s="32">
        <f t="shared" si="152"/>
        <v>3</v>
      </c>
      <c r="AU337">
        <f>step3_validation[[#This Row],[AI_TRU3]]</f>
        <v>8</v>
      </c>
      <c r="AV337" t="str">
        <f t="shared" si="153"/>
        <v>Support</v>
      </c>
      <c r="AW337">
        <f>survey_responses[[#This Row],[Tôi tin tưởng số tiền thuế tôi đóng sẽ được Nhà nước sử dụng hiệu quả để cải thiện dịch vụ công (y tế, đường xá...). - HUMAN-TRU3]]</f>
        <v>5</v>
      </c>
      <c r="AX337" t="str">
        <f t="shared" si="154"/>
        <v>Neutral</v>
      </c>
      <c r="AY337" s="32">
        <f t="shared" si="155"/>
        <v>3</v>
      </c>
      <c r="AZ337">
        <f>step3_validation[[#This Row],[AI_TRU4]]</f>
        <v>7</v>
      </c>
      <c r="BA337" t="str">
        <f t="shared" si="156"/>
        <v>Neutral</v>
      </c>
      <c r="BB337">
        <f>survey_responses[[#This Row],[Tôi thấy Nhà nước đã giải thích rõ ràng, minh bạch về lý do và mục tiêu của việc sửa đổi thuế lần này. - HUMAN-TRU4]]</f>
        <v>5</v>
      </c>
      <c r="BC337" t="str">
        <f t="shared" si="157"/>
        <v>Neutral</v>
      </c>
      <c r="BD337" s="32">
        <f t="shared" si="158"/>
        <v>2</v>
      </c>
      <c r="BE337">
        <f>step3_validation[[#This Row],[AI_OUT1]]</f>
        <v>9</v>
      </c>
      <c r="BF337" t="str">
        <f t="shared" si="159"/>
        <v>Support</v>
      </c>
      <c r="BG337">
        <f>survey_responses[[#This Row],[Sau khi xem xét các quyền lợi và nghĩa vụ, bạn có ủng hộ và tuân thủ chính sách mới hiện nay? - HUMAN-OUT1]]</f>
        <v>6</v>
      </c>
      <c r="BH337" t="str">
        <f t="shared" si="160"/>
        <v>Neutral</v>
      </c>
      <c r="BI337" s="32">
        <f t="shared" si="161"/>
        <v>3</v>
      </c>
    </row>
    <row r="338" spans="1:61" x14ac:dyDescent="0.45">
      <c r="A338" s="30">
        <f>step3_validation[[#This Row],[Persona_ID]]</f>
        <v>337</v>
      </c>
      <c r="B338" s="31">
        <f>step3_validation[[#This Row],[Used_Seed]]</f>
        <v>12681</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26.515504121593221</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7</v>
      </c>
      <c r="R338" t="str">
        <f t="shared" si="135"/>
        <v>Neutral</v>
      </c>
      <c r="S338">
        <f>survey_responses[[#This Row],[Tôi tin rằng với các quy định quản lý thuế hiện nay, hành vi gian lận hoặc trốn thuế sẽ dễ dàng bị phát hiện và xử lý nghiêm. - HUMAN-ENF1]]</f>
        <v>7</v>
      </c>
      <c r="T338" t="str">
        <f t="shared" si="136"/>
        <v>Neutral</v>
      </c>
      <c r="U338" s="32">
        <f t="shared" si="137"/>
        <v>0</v>
      </c>
      <c r="V338">
        <f>step3_validation[[#This Row],[AI_ENF2]]</f>
        <v>6</v>
      </c>
      <c r="W338" t="str">
        <f t="shared" si="138"/>
        <v>Neutral</v>
      </c>
      <c r="X338">
        <f>survey_responses[[#This Row],[Tôi tin rằng Nhà nước, cơ quan thuế có đủ khả năng và công nghệ để phát hiện, xử lý nghiêm các hành vi trốn thuế. - HUMAN-ENF2]]</f>
        <v>8</v>
      </c>
      <c r="Y338" t="str">
        <f t="shared" si="139"/>
        <v>Support</v>
      </c>
      <c r="Z338" s="32">
        <f t="shared" si="140"/>
        <v>2</v>
      </c>
      <c r="AA338">
        <f>step3_validation[[#This Row],[AI_FAC1]]</f>
        <v>9</v>
      </c>
      <c r="AB338" t="str">
        <f t="shared" si="141"/>
        <v>Support</v>
      </c>
      <c r="AC338">
        <f>survey_responses[[#This Row],[Các thủ tục khai báo thuế VÀ/HOẶC quy trình làm việc với cơ quan thuế đơn giản, tiện lợi, nhanh chóng hơn so với trước đây. - HUMAN-FAC1]]</f>
        <v>7</v>
      </c>
      <c r="AD338" t="str">
        <f t="shared" si="142"/>
        <v>Neutral</v>
      </c>
      <c r="AE338" s="32">
        <f t="shared" si="143"/>
        <v>2</v>
      </c>
      <c r="AF338">
        <f>step3_validation[[#This Row],[AI_FAC2]]</f>
        <v>8</v>
      </c>
      <c r="AG338" t="str">
        <f t="shared" si="144"/>
        <v>Support</v>
      </c>
      <c r="AH338">
        <f>survey_responses[[#This Row],[So với trước đây, tôi thấy cách tính thuế và các bậc thuế trong phương án mới đơn giản, dễ hiểu và dễ thực hiện hơn. - HUMAN-FAC2]]</f>
        <v>7</v>
      </c>
      <c r="AI338" t="str">
        <f t="shared" si="145"/>
        <v>Neutral</v>
      </c>
      <c r="AJ338" s="32">
        <f t="shared" si="146"/>
        <v>1</v>
      </c>
      <c r="AK338">
        <f>step3_validation[[#This Row],[AI_TRU1]]</f>
        <v>9</v>
      </c>
      <c r="AL338" t="str">
        <f t="shared" si="147"/>
        <v>Support</v>
      </c>
      <c r="AM338">
        <f>survey_responses[[#This Row],[Tôi tin rằng Nhà nước, cơ quan thuế sẽ thực thi chính sách mới một cách khách quan, công tâm và đối xử bình đẳng với mọi người nộp thuế.  - HUMAN-TRU1]]</f>
        <v>6</v>
      </c>
      <c r="AN338" t="str">
        <f t="shared" si="148"/>
        <v>Neutral</v>
      </c>
      <c r="AO338" s="32">
        <f t="shared" si="149"/>
        <v>3</v>
      </c>
      <c r="AP338">
        <f>step3_validation[[#This Row],[AI_TRU2]]</f>
        <v>8</v>
      </c>
      <c r="AQ338" t="str">
        <f t="shared" si="150"/>
        <v>Support</v>
      </c>
      <c r="AR338">
        <f>survey_responses[[#This Row],[Tôi thấy mức thuế tôi phải đóng theo phương án mới là công bằng (người thu nhập như tôi đóng mức này là hợp lý). - HUMAN-TRU2]]</f>
        <v>8</v>
      </c>
      <c r="AS338" t="str">
        <f t="shared" si="151"/>
        <v>Support</v>
      </c>
      <c r="AT338" s="32">
        <f t="shared" si="152"/>
        <v>0</v>
      </c>
      <c r="AU338">
        <f>step3_validation[[#This Row],[AI_TRU3]]</f>
        <v>9</v>
      </c>
      <c r="AV338" t="str">
        <f t="shared" si="153"/>
        <v>Support</v>
      </c>
      <c r="AW338">
        <f>survey_responses[[#This Row],[Tôi tin tưởng số tiền thuế tôi đóng sẽ được Nhà nước sử dụng hiệu quả để cải thiện dịch vụ công (y tế, đường xá...). - HUMAN-TRU3]]</f>
        <v>6</v>
      </c>
      <c r="AX338" t="str">
        <f t="shared" si="154"/>
        <v>Neutral</v>
      </c>
      <c r="AY338" s="32">
        <f t="shared" si="155"/>
        <v>3</v>
      </c>
      <c r="AZ338">
        <f>step3_validation[[#This Row],[AI_TRU4]]</f>
        <v>8</v>
      </c>
      <c r="BA338" t="str">
        <f t="shared" si="156"/>
        <v>Support</v>
      </c>
      <c r="BB338">
        <f>survey_responses[[#This Row],[Tôi thấy Nhà nước đã giải thích rõ ràng, minh bạch về lý do và mục tiêu của việc sửa đổi thuế lần này. - HUMAN-TRU4]]</f>
        <v>8</v>
      </c>
      <c r="BC338" t="str">
        <f t="shared" si="157"/>
        <v>Support</v>
      </c>
      <c r="BD338" s="32">
        <f t="shared" si="158"/>
        <v>0</v>
      </c>
      <c r="BE338">
        <f>step3_validation[[#This Row],[AI_OUT1]]</f>
        <v>9</v>
      </c>
      <c r="BF338" t="str">
        <f t="shared" si="159"/>
        <v>Support</v>
      </c>
      <c r="BG338">
        <f>survey_responses[[#This Row],[Sau khi xem xét các quyền lợi và nghĩa vụ, bạn có ủng hộ và tuân thủ chính sách mới hiện nay? - HUMAN-OUT1]]</f>
        <v>8</v>
      </c>
      <c r="BH338" t="str">
        <f t="shared" si="160"/>
        <v>Support</v>
      </c>
      <c r="BI338" s="32">
        <f t="shared" si="161"/>
        <v>1</v>
      </c>
    </row>
    <row r="339" spans="1:61" x14ac:dyDescent="0.45">
      <c r="A339" s="30">
        <f>step3_validation[[#This Row],[Persona_ID]]</f>
        <v>338</v>
      </c>
      <c r="B339" s="31">
        <f>step3_validation[[#This Row],[Used_Seed]]</f>
        <v>12682</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13.586592018886273</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t="str">
        <f t="shared" si="135"/>
        <v>Neutral</v>
      </c>
      <c r="S339">
        <f>survey_responses[[#This Row],[Tôi tin rằng với các quy định quản lý thuế hiện nay, hành vi gian lận hoặc trốn thuế sẽ dễ dàng bị phát hiện và xử lý nghiêm. - HUMAN-ENF1]]</f>
        <v>8</v>
      </c>
      <c r="T339" t="str">
        <f t="shared" si="136"/>
        <v>Support</v>
      </c>
      <c r="U339" s="32">
        <f t="shared" si="137"/>
        <v>1</v>
      </c>
      <c r="V339">
        <f>step3_validation[[#This Row],[AI_ENF2]]</f>
        <v>8</v>
      </c>
      <c r="W339" t="str">
        <f t="shared" si="138"/>
        <v>Support</v>
      </c>
      <c r="X339">
        <f>survey_responses[[#This Row],[Tôi tin rằng Nhà nước, cơ quan thuế có đủ khả năng và công nghệ để phát hiện, xử lý nghiêm các hành vi trốn thuế. - HUMAN-ENF2]]</f>
        <v>8</v>
      </c>
      <c r="Y339" t="str">
        <f t="shared" si="139"/>
        <v>Support</v>
      </c>
      <c r="Z339" s="32">
        <f t="shared" si="140"/>
        <v>0</v>
      </c>
      <c r="AA339">
        <f>step3_validation[[#This Row],[AI_FAC1]]</f>
        <v>9</v>
      </c>
      <c r="AB339" t="str">
        <f t="shared" si="141"/>
        <v>Support</v>
      </c>
      <c r="AC339">
        <f>survey_responses[[#This Row],[Các thủ tục khai báo thuế VÀ/HOẶC quy trình làm việc với cơ quan thuế đơn giản, tiện lợi, nhanh chóng hơn so với trước đây. - HUMAN-FAC1]]</f>
        <v>9</v>
      </c>
      <c r="AD339" t="str">
        <f t="shared" si="142"/>
        <v>Support</v>
      </c>
      <c r="AE339" s="32">
        <f t="shared" si="143"/>
        <v>0</v>
      </c>
      <c r="AF339">
        <f>step3_validation[[#This Row],[AI_FAC2]]</f>
        <v>9</v>
      </c>
      <c r="AG339" t="str">
        <f t="shared" si="144"/>
        <v>Support</v>
      </c>
      <c r="AH339">
        <f>survey_responses[[#This Row],[So với trước đây, tôi thấy cách tính thuế và các bậc thuế trong phương án mới đơn giản, dễ hiểu và dễ thực hiện hơn. - HUMAN-FAC2]]</f>
        <v>9</v>
      </c>
      <c r="AI339" t="str">
        <f t="shared" si="145"/>
        <v>Support</v>
      </c>
      <c r="AJ339" s="32">
        <f t="shared" si="146"/>
        <v>0</v>
      </c>
      <c r="AK339">
        <f>step3_validation[[#This Row],[AI_TRU1]]</f>
        <v>6</v>
      </c>
      <c r="AL339" t="str">
        <f t="shared" si="147"/>
        <v>Neutral</v>
      </c>
      <c r="AM339">
        <f>survey_responses[[#This Row],[Tôi tin rằng Nhà nước, cơ quan thuế sẽ thực thi chính sách mới một cách khách quan, công tâm và đối xử bình đẳng với mọi người nộp thuế.  - HUMAN-TRU1]]</f>
        <v>8</v>
      </c>
      <c r="AN339" t="str">
        <f t="shared" si="148"/>
        <v>Support</v>
      </c>
      <c r="AO339" s="32">
        <f t="shared" si="149"/>
        <v>2</v>
      </c>
      <c r="AP339">
        <f>step3_validation[[#This Row],[AI_TRU2]]</f>
        <v>7</v>
      </c>
      <c r="AQ339" t="str">
        <f t="shared" si="150"/>
        <v>Neutral</v>
      </c>
      <c r="AR339">
        <f>survey_responses[[#This Row],[Tôi thấy mức thuế tôi phải đóng theo phương án mới là công bằng (người thu nhập như tôi đóng mức này là hợp lý). - HUMAN-TRU2]]</f>
        <v>9</v>
      </c>
      <c r="AS339" t="str">
        <f t="shared" si="151"/>
        <v>Support</v>
      </c>
      <c r="AT339" s="32">
        <f t="shared" si="152"/>
        <v>2</v>
      </c>
      <c r="AU339">
        <f>step3_validation[[#This Row],[AI_TRU3]]</f>
        <v>6</v>
      </c>
      <c r="AV339" t="str">
        <f t="shared" si="153"/>
        <v>Neutral</v>
      </c>
      <c r="AW339">
        <f>survey_responses[[#This Row],[Tôi tin tưởng số tiền thuế tôi đóng sẽ được Nhà nước sử dụng hiệu quả để cải thiện dịch vụ công (y tế, đường xá...). - HUMAN-TRU3]]</f>
        <v>10</v>
      </c>
      <c r="AX339" t="str">
        <f t="shared" si="154"/>
        <v>Support</v>
      </c>
      <c r="AY339" s="32">
        <f t="shared" si="155"/>
        <v>4</v>
      </c>
      <c r="AZ339">
        <f>step3_validation[[#This Row],[AI_TRU4]]</f>
        <v>5</v>
      </c>
      <c r="BA339" t="str">
        <f t="shared" si="156"/>
        <v>Neutral</v>
      </c>
      <c r="BB339">
        <f>survey_responses[[#This Row],[Tôi thấy Nhà nước đã giải thích rõ ràng, minh bạch về lý do và mục tiêu của việc sửa đổi thuế lần này. - HUMAN-TRU4]]</f>
        <v>9</v>
      </c>
      <c r="BC339" t="str">
        <f t="shared" si="157"/>
        <v>Support</v>
      </c>
      <c r="BD339" s="32">
        <f t="shared" si="158"/>
        <v>4</v>
      </c>
      <c r="BE339">
        <f>step3_validation[[#This Row],[AI_OUT1]]</f>
        <v>8</v>
      </c>
      <c r="BF339" t="str">
        <f t="shared" si="159"/>
        <v>Support</v>
      </c>
      <c r="BG339">
        <f>survey_responses[[#This Row],[Sau khi xem xét các quyền lợi và nghĩa vụ, bạn có ủng hộ và tuân thủ chính sách mới hiện nay? - HUMAN-OUT1]]</f>
        <v>10</v>
      </c>
      <c r="BH339" t="str">
        <f t="shared" si="160"/>
        <v>Support</v>
      </c>
      <c r="BI339" s="32">
        <f t="shared" si="161"/>
        <v>2</v>
      </c>
    </row>
    <row r="340" spans="1:61" x14ac:dyDescent="0.45">
      <c r="A340" s="30">
        <f>step3_validation[[#This Row],[Persona_ID]]</f>
        <v>339</v>
      </c>
      <c r="B340" s="31">
        <f>step3_validation[[#This Row],[Used_Seed]]</f>
        <v>12683</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14.936353682077161</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7</v>
      </c>
      <c r="R340" t="str">
        <f t="shared" si="135"/>
        <v>Neutral</v>
      </c>
      <c r="S340">
        <f>survey_responses[[#This Row],[Tôi tin rằng với các quy định quản lý thuế hiện nay, hành vi gian lận hoặc trốn thuế sẽ dễ dàng bị phát hiện và xử lý nghiêm. - HUMAN-ENF1]]</f>
        <v>7</v>
      </c>
      <c r="T340" t="str">
        <f t="shared" si="136"/>
        <v>Neutral</v>
      </c>
      <c r="U340" s="32">
        <f t="shared" si="137"/>
        <v>0</v>
      </c>
      <c r="V340">
        <f>step3_validation[[#This Row],[AI_ENF2]]</f>
        <v>6</v>
      </c>
      <c r="W340" t="str">
        <f t="shared" si="138"/>
        <v>Neutral</v>
      </c>
      <c r="X340">
        <f>survey_responses[[#This Row],[Tôi tin rằng Nhà nước, cơ quan thuế có đủ khả năng và công nghệ để phát hiện, xử lý nghiêm các hành vi trốn thuế. - HUMAN-ENF2]]</f>
        <v>7</v>
      </c>
      <c r="Y340" t="str">
        <f t="shared" si="139"/>
        <v>Neutral</v>
      </c>
      <c r="Z340" s="32">
        <f t="shared" si="140"/>
        <v>1</v>
      </c>
      <c r="AA340">
        <f>step3_validation[[#This Row],[AI_FAC1]]</f>
        <v>8</v>
      </c>
      <c r="AB340" t="str">
        <f t="shared" si="141"/>
        <v>Support</v>
      </c>
      <c r="AC340">
        <f>survey_responses[[#This Row],[Các thủ tục khai báo thuế VÀ/HOẶC quy trình làm việc với cơ quan thuế đơn giản, tiện lợi, nhanh chóng hơn so với trước đây. - HUMAN-FAC1]]</f>
        <v>8</v>
      </c>
      <c r="AD340" t="str">
        <f t="shared" si="142"/>
        <v>Support</v>
      </c>
      <c r="AE340" s="32">
        <f t="shared" si="143"/>
        <v>0</v>
      </c>
      <c r="AF340">
        <f>step3_validation[[#This Row],[AI_FAC2]]</f>
        <v>9</v>
      </c>
      <c r="AG340" t="str">
        <f t="shared" si="144"/>
        <v>Support</v>
      </c>
      <c r="AH340">
        <f>survey_responses[[#This Row],[So với trước đây, tôi thấy cách tính thuế và các bậc thuế trong phương án mới đơn giản, dễ hiểu và dễ thực hiện hơn. - HUMAN-FAC2]]</f>
        <v>8</v>
      </c>
      <c r="AI340" t="str">
        <f t="shared" si="145"/>
        <v>Support</v>
      </c>
      <c r="AJ340" s="32">
        <f t="shared" si="146"/>
        <v>1</v>
      </c>
      <c r="AK340">
        <f>step3_validation[[#This Row],[AI_TRU1]]</f>
        <v>7</v>
      </c>
      <c r="AL340" t="str">
        <f t="shared" si="147"/>
        <v>Neutral</v>
      </c>
      <c r="AM340">
        <f>survey_responses[[#This Row],[Tôi tin rằng Nhà nước, cơ quan thuế sẽ thực thi chính sách mới một cách khách quan, công tâm và đối xử bình đẳng với mọi người nộp thuế.  - HUMAN-TRU1]]</f>
        <v>6</v>
      </c>
      <c r="AN340" t="str">
        <f t="shared" si="148"/>
        <v>Neutral</v>
      </c>
      <c r="AO340" s="32">
        <f t="shared" si="149"/>
        <v>1</v>
      </c>
      <c r="AP340">
        <f>step3_validation[[#This Row],[AI_TRU2]]</f>
        <v>9</v>
      </c>
      <c r="AQ340" t="str">
        <f t="shared" si="150"/>
        <v>Support</v>
      </c>
      <c r="AR340">
        <f>survey_responses[[#This Row],[Tôi thấy mức thuế tôi phải đóng theo phương án mới là công bằng (người thu nhập như tôi đóng mức này là hợp lý). - HUMAN-TRU2]]</f>
        <v>7</v>
      </c>
      <c r="AS340" t="str">
        <f t="shared" si="151"/>
        <v>Neutral</v>
      </c>
      <c r="AT340" s="32">
        <f t="shared" si="152"/>
        <v>2</v>
      </c>
      <c r="AU340">
        <f>step3_validation[[#This Row],[AI_TRU3]]</f>
        <v>7</v>
      </c>
      <c r="AV340" t="str">
        <f t="shared" si="153"/>
        <v>Neutral</v>
      </c>
      <c r="AW340">
        <f>survey_responses[[#This Row],[Tôi tin tưởng số tiền thuế tôi đóng sẽ được Nhà nước sử dụng hiệu quả để cải thiện dịch vụ công (y tế, đường xá...). - HUMAN-TRU3]]</f>
        <v>6</v>
      </c>
      <c r="AX340" t="str">
        <f t="shared" si="154"/>
        <v>Neutral</v>
      </c>
      <c r="AY340" s="32">
        <f t="shared" si="155"/>
        <v>1</v>
      </c>
      <c r="AZ340">
        <f>step3_validation[[#This Row],[AI_TRU4]]</f>
        <v>8</v>
      </c>
      <c r="BA340" t="str">
        <f t="shared" si="156"/>
        <v>Support</v>
      </c>
      <c r="BB340">
        <f>survey_responses[[#This Row],[Tôi thấy Nhà nước đã giải thích rõ ràng, minh bạch về lý do và mục tiêu của việc sửa đổi thuế lần này. - HUMAN-TRU4]]</f>
        <v>6</v>
      </c>
      <c r="BC340" t="str">
        <f t="shared" si="157"/>
        <v>Neutral</v>
      </c>
      <c r="BD340" s="32">
        <f t="shared" si="158"/>
        <v>2</v>
      </c>
      <c r="BE340">
        <f>step3_validation[[#This Row],[AI_OUT1]]</f>
        <v>9</v>
      </c>
      <c r="BF340" t="str">
        <f t="shared" si="159"/>
        <v>Support</v>
      </c>
      <c r="BG340">
        <f>survey_responses[[#This Row],[Sau khi xem xét các quyền lợi và nghĩa vụ, bạn có ủng hộ và tuân thủ chính sách mới hiện nay? - HUMAN-OUT1]]</f>
        <v>7</v>
      </c>
      <c r="BH340" t="str">
        <f t="shared" si="160"/>
        <v>Neutral</v>
      </c>
      <c r="BI340" s="32">
        <f t="shared" si="161"/>
        <v>2</v>
      </c>
    </row>
    <row r="341" spans="1:61" x14ac:dyDescent="0.45">
      <c r="A341" s="30">
        <f>step3_validation[[#This Row],[Persona_ID]]</f>
        <v>340</v>
      </c>
      <c r="B341" s="31">
        <f>step3_validation[[#This Row],[Used_Seed]]</f>
        <v>12684</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16.718147872687155</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9</v>
      </c>
      <c r="R341" t="str">
        <f t="shared" si="135"/>
        <v>Support</v>
      </c>
      <c r="S341">
        <f>survey_responses[[#This Row],[Tôi tin rằng với các quy định quản lý thuế hiện nay, hành vi gian lận hoặc trốn thuế sẽ dễ dàng bị phát hiện và xử lý nghiêm. - HUMAN-ENF1]]</f>
        <v>7</v>
      </c>
      <c r="T341" t="str">
        <f t="shared" si="136"/>
        <v>Neutral</v>
      </c>
      <c r="U341" s="32">
        <f t="shared" si="137"/>
        <v>2</v>
      </c>
      <c r="V341">
        <f>step3_validation[[#This Row],[AI_ENF2]]</f>
        <v>8</v>
      </c>
      <c r="W341" t="str">
        <f t="shared" si="138"/>
        <v>Support</v>
      </c>
      <c r="X341">
        <f>survey_responses[[#This Row],[Tôi tin rằng Nhà nước, cơ quan thuế có đủ khả năng và công nghệ để phát hiện, xử lý nghiêm các hành vi trốn thuế. - HUMAN-ENF2]]</f>
        <v>8</v>
      </c>
      <c r="Y341" t="str">
        <f t="shared" si="139"/>
        <v>Support</v>
      </c>
      <c r="Z341" s="32">
        <f t="shared" si="140"/>
        <v>0</v>
      </c>
      <c r="AA341">
        <f>step3_validation[[#This Row],[AI_FAC1]]</f>
        <v>9</v>
      </c>
      <c r="AB341" t="str">
        <f t="shared" si="141"/>
        <v>Support</v>
      </c>
      <c r="AC341">
        <f>survey_responses[[#This Row],[Các thủ tục khai báo thuế VÀ/HOẶC quy trình làm việc với cơ quan thuế đơn giản, tiện lợi, nhanh chóng hơn so với trước đây. - HUMAN-FAC1]]</f>
        <v>8</v>
      </c>
      <c r="AD341" t="str">
        <f t="shared" si="142"/>
        <v>Support</v>
      </c>
      <c r="AE341" s="32">
        <f t="shared" si="143"/>
        <v>1</v>
      </c>
      <c r="AF341">
        <f>step3_validation[[#This Row],[AI_FAC2]]</f>
        <v>9</v>
      </c>
      <c r="AG341" t="str">
        <f t="shared" si="144"/>
        <v>Support</v>
      </c>
      <c r="AH341">
        <f>survey_responses[[#This Row],[So với trước đây, tôi thấy cách tính thuế và các bậc thuế trong phương án mới đơn giản, dễ hiểu và dễ thực hiện hơn. - HUMAN-FAC2]]</f>
        <v>8</v>
      </c>
      <c r="AI341" t="str">
        <f t="shared" si="145"/>
        <v>Support</v>
      </c>
      <c r="AJ341" s="32">
        <f t="shared" si="146"/>
        <v>1</v>
      </c>
      <c r="AK341">
        <f>step3_validation[[#This Row],[AI_TRU1]]</f>
        <v>8</v>
      </c>
      <c r="AL341" t="str">
        <f t="shared" si="147"/>
        <v>Support</v>
      </c>
      <c r="AM341">
        <f>survey_responses[[#This Row],[Tôi tin rằng Nhà nước, cơ quan thuế sẽ thực thi chính sách mới một cách khách quan, công tâm và đối xử bình đẳng với mọi người nộp thuế.  - HUMAN-TRU1]]</f>
        <v>5</v>
      </c>
      <c r="AN341" t="str">
        <f t="shared" si="148"/>
        <v>Neutral</v>
      </c>
      <c r="AO341" s="32">
        <f t="shared" si="149"/>
        <v>3</v>
      </c>
      <c r="AP341">
        <f>step3_validation[[#This Row],[AI_TRU2]]</f>
        <v>9</v>
      </c>
      <c r="AQ341" t="str">
        <f t="shared" si="150"/>
        <v>Support</v>
      </c>
      <c r="AR341">
        <f>survey_responses[[#This Row],[Tôi thấy mức thuế tôi phải đóng theo phương án mới là công bằng (người thu nhập như tôi đóng mức này là hợp lý). - HUMAN-TRU2]]</f>
        <v>8</v>
      </c>
      <c r="AS341" t="str">
        <f t="shared" si="151"/>
        <v>Support</v>
      </c>
      <c r="AT341" s="32">
        <f t="shared" si="152"/>
        <v>1</v>
      </c>
      <c r="AU341">
        <f>step3_validation[[#This Row],[AI_TRU3]]</f>
        <v>8</v>
      </c>
      <c r="AV341" t="str">
        <f t="shared" si="153"/>
        <v>Support</v>
      </c>
      <c r="AW341">
        <f>survey_responses[[#This Row],[Tôi tin tưởng số tiền thuế tôi đóng sẽ được Nhà nước sử dụng hiệu quả để cải thiện dịch vụ công (y tế, đường xá...). - HUMAN-TRU3]]</f>
        <v>5</v>
      </c>
      <c r="AX341" t="str">
        <f t="shared" si="154"/>
        <v>Neutral</v>
      </c>
      <c r="AY341" s="32">
        <f t="shared" si="155"/>
        <v>3</v>
      </c>
      <c r="AZ341">
        <f>step3_validation[[#This Row],[AI_TRU4]]</f>
        <v>9</v>
      </c>
      <c r="BA341" t="str">
        <f t="shared" si="156"/>
        <v>Support</v>
      </c>
      <c r="BB341">
        <f>survey_responses[[#This Row],[Tôi thấy Nhà nước đã giải thích rõ ràng, minh bạch về lý do và mục tiêu của việc sửa đổi thuế lần này. - HUMAN-TRU4]]</f>
        <v>8</v>
      </c>
      <c r="BC341" t="str">
        <f t="shared" si="157"/>
        <v>Support</v>
      </c>
      <c r="BD341" s="32">
        <f t="shared" si="158"/>
        <v>1</v>
      </c>
      <c r="BE341">
        <f>step3_validation[[#This Row],[AI_OUT1]]</f>
        <v>8</v>
      </c>
      <c r="BF341" t="str">
        <f t="shared" si="159"/>
        <v>Support</v>
      </c>
      <c r="BG341">
        <f>survey_responses[[#This Row],[Sau khi xem xét các quyền lợi và nghĩa vụ, bạn có ủng hộ và tuân thủ chính sách mới hiện nay? - HUMAN-OUT1]]</f>
        <v>8</v>
      </c>
      <c r="BH341" t="str">
        <f t="shared" si="160"/>
        <v>Support</v>
      </c>
      <c r="BI341" s="32">
        <f t="shared" si="161"/>
        <v>0</v>
      </c>
    </row>
    <row r="342" spans="1:61" x14ac:dyDescent="0.45">
      <c r="A342" s="30">
        <f>step3_validation[[#This Row],[Persona_ID]]</f>
        <v>341</v>
      </c>
      <c r="B342" s="31">
        <f>step3_validation[[#This Row],[Used_Seed]]</f>
        <v>12685</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t="str">
        <f t="shared" si="135"/>
        <v>Support</v>
      </c>
      <c r="S342">
        <f>survey_responses[[#This Row],[Tôi tin rằng với các quy định quản lý thuế hiện nay, hành vi gian lận hoặc trốn thuế sẽ dễ dàng bị phát hiện và xử lý nghiêm. - HUMAN-ENF1]]</f>
        <v>8</v>
      </c>
      <c r="T342" t="str">
        <f t="shared" si="136"/>
        <v>Support</v>
      </c>
      <c r="U342" s="32">
        <f t="shared" si="137"/>
        <v>0</v>
      </c>
      <c r="V342">
        <f>step3_validation[[#This Row],[AI_ENF2]]</f>
        <v>9</v>
      </c>
      <c r="W342" t="str">
        <f t="shared" si="138"/>
        <v>Support</v>
      </c>
      <c r="X342">
        <f>survey_responses[[#This Row],[Tôi tin rằng Nhà nước, cơ quan thuế có đủ khả năng và công nghệ để phát hiện, xử lý nghiêm các hành vi trốn thuế. - HUMAN-ENF2]]</f>
        <v>8</v>
      </c>
      <c r="Y342" t="str">
        <f t="shared" si="139"/>
        <v>Support</v>
      </c>
      <c r="Z342" s="32">
        <f t="shared" si="140"/>
        <v>1</v>
      </c>
      <c r="AA342">
        <f>step3_validation[[#This Row],[AI_FAC1]]</f>
        <v>8</v>
      </c>
      <c r="AB342" t="str">
        <f t="shared" si="141"/>
        <v>Support</v>
      </c>
      <c r="AC342">
        <f>survey_responses[[#This Row],[Các thủ tục khai báo thuế VÀ/HOẶC quy trình làm việc với cơ quan thuế đơn giản, tiện lợi, nhanh chóng hơn so với trước đây. - HUMAN-FAC1]]</f>
        <v>8</v>
      </c>
      <c r="AD342" t="str">
        <f t="shared" si="142"/>
        <v>Support</v>
      </c>
      <c r="AE342" s="32">
        <f t="shared" si="143"/>
        <v>0</v>
      </c>
      <c r="AF342">
        <f>step3_validation[[#This Row],[AI_FAC2]]</f>
        <v>9</v>
      </c>
      <c r="AG342" t="str">
        <f t="shared" si="144"/>
        <v>Support</v>
      </c>
      <c r="AH342">
        <f>survey_responses[[#This Row],[So với trước đây, tôi thấy cách tính thuế và các bậc thuế trong phương án mới đơn giản, dễ hiểu và dễ thực hiện hơn. - HUMAN-FAC2]]</f>
        <v>9</v>
      </c>
      <c r="AI342" t="str">
        <f t="shared" si="145"/>
        <v>Support</v>
      </c>
      <c r="AJ342" s="32">
        <f t="shared" si="146"/>
        <v>0</v>
      </c>
      <c r="AK342">
        <f>step3_validation[[#This Row],[AI_TRU1]]</f>
        <v>8</v>
      </c>
      <c r="AL342" t="str">
        <f t="shared" si="147"/>
        <v>Support</v>
      </c>
      <c r="AM342">
        <f>survey_responses[[#This Row],[Tôi tin rằng Nhà nước, cơ quan thuế sẽ thực thi chính sách mới một cách khách quan, công tâm và đối xử bình đẳng với mọi người nộp thuế.  - HUMAN-TRU1]]</f>
        <v>8</v>
      </c>
      <c r="AN342" t="str">
        <f t="shared" si="148"/>
        <v>Support</v>
      </c>
      <c r="AO342" s="32">
        <f t="shared" si="149"/>
        <v>0</v>
      </c>
      <c r="AP342">
        <f>step3_validation[[#This Row],[AI_TRU2]]</f>
        <v>9</v>
      </c>
      <c r="AQ342" t="str">
        <f t="shared" si="150"/>
        <v>Support</v>
      </c>
      <c r="AR342">
        <f>survey_responses[[#This Row],[Tôi thấy mức thuế tôi phải đóng theo phương án mới là công bằng (người thu nhập như tôi đóng mức này là hợp lý). - HUMAN-TRU2]]</f>
        <v>8</v>
      </c>
      <c r="AS342" t="str">
        <f t="shared" si="151"/>
        <v>Support</v>
      </c>
      <c r="AT342" s="32">
        <f t="shared" si="152"/>
        <v>1</v>
      </c>
      <c r="AU342">
        <f>step3_validation[[#This Row],[AI_TRU3]]</f>
        <v>8</v>
      </c>
      <c r="AV342" t="str">
        <f t="shared" si="153"/>
        <v>Support</v>
      </c>
      <c r="AW342">
        <f>survey_responses[[#This Row],[Tôi tin tưởng số tiền thuế tôi đóng sẽ được Nhà nước sử dụng hiệu quả để cải thiện dịch vụ công (y tế, đường xá...). - HUMAN-TRU3]]</f>
        <v>7</v>
      </c>
      <c r="AX342" t="str">
        <f t="shared" si="154"/>
        <v>Neutral</v>
      </c>
      <c r="AY342" s="32">
        <f t="shared" si="155"/>
        <v>1</v>
      </c>
      <c r="AZ342">
        <f>step3_validation[[#This Row],[AI_TRU4]]</f>
        <v>9</v>
      </c>
      <c r="BA342" t="str">
        <f t="shared" si="156"/>
        <v>Support</v>
      </c>
      <c r="BB342">
        <f>survey_responses[[#This Row],[Tôi thấy Nhà nước đã giải thích rõ ràng, minh bạch về lý do và mục tiêu của việc sửa đổi thuế lần này. - HUMAN-TRU4]]</f>
        <v>7</v>
      </c>
      <c r="BC342" t="str">
        <f t="shared" si="157"/>
        <v>Neutral</v>
      </c>
      <c r="BD342" s="32">
        <f t="shared" si="158"/>
        <v>2</v>
      </c>
      <c r="BE342">
        <f>step3_validation[[#This Row],[AI_OUT1]]</f>
        <v>9</v>
      </c>
      <c r="BF342" t="str">
        <f t="shared" si="159"/>
        <v>Support</v>
      </c>
      <c r="BG342">
        <f>survey_responses[[#This Row],[Sau khi xem xét các quyền lợi và nghĩa vụ, bạn có ủng hộ và tuân thủ chính sách mới hiện nay? - HUMAN-OUT1]]</f>
        <v>8</v>
      </c>
      <c r="BH342" t="str">
        <f t="shared" si="160"/>
        <v>Support</v>
      </c>
      <c r="BI342" s="32">
        <f t="shared" si="161"/>
        <v>1</v>
      </c>
    </row>
    <row r="343" spans="1:61" x14ac:dyDescent="0.45">
      <c r="A343" s="30">
        <f>step3_validation[[#This Row],[Persona_ID]]</f>
        <v>342</v>
      </c>
      <c r="B343" s="31">
        <f>step3_validation[[#This Row],[Used_Seed]]</f>
        <v>12686</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t="str">
        <f t="shared" si="135"/>
        <v>Neutral</v>
      </c>
      <c r="S343">
        <f>survey_responses[[#This Row],[Tôi tin rằng với các quy định quản lý thuế hiện nay, hành vi gian lận hoặc trốn thuế sẽ dễ dàng bị phát hiện và xử lý nghiêm. - HUMAN-ENF1]]</f>
        <v>5</v>
      </c>
      <c r="T343" t="str">
        <f t="shared" si="136"/>
        <v>Neutral</v>
      </c>
      <c r="U343" s="32">
        <f t="shared" si="137"/>
        <v>2</v>
      </c>
      <c r="V343">
        <f>step3_validation[[#This Row],[AI_ENF2]]</f>
        <v>8</v>
      </c>
      <c r="W343" t="str">
        <f t="shared" si="138"/>
        <v>Support</v>
      </c>
      <c r="X343">
        <f>survey_responses[[#This Row],[Tôi tin rằng Nhà nước, cơ quan thuế có đủ khả năng và công nghệ để phát hiện, xử lý nghiêm các hành vi trốn thuế. - HUMAN-ENF2]]</f>
        <v>5</v>
      </c>
      <c r="Y343" t="str">
        <f t="shared" si="139"/>
        <v>Neutral</v>
      </c>
      <c r="Z343" s="32">
        <f t="shared" si="140"/>
        <v>3</v>
      </c>
      <c r="AA343">
        <f>step3_validation[[#This Row],[AI_FAC1]]</f>
        <v>7</v>
      </c>
      <c r="AB343" t="str">
        <f t="shared" si="141"/>
        <v>Neutral</v>
      </c>
      <c r="AC343">
        <f>survey_responses[[#This Row],[Các thủ tục khai báo thuế VÀ/HOẶC quy trình làm việc với cơ quan thuế đơn giản, tiện lợi, nhanh chóng hơn so với trước đây. - HUMAN-FAC1]]</f>
        <v>6</v>
      </c>
      <c r="AD343" t="str">
        <f t="shared" si="142"/>
        <v>Neutral</v>
      </c>
      <c r="AE343" s="32">
        <f t="shared" si="143"/>
        <v>1</v>
      </c>
      <c r="AF343">
        <f>step3_validation[[#This Row],[AI_FAC2]]</f>
        <v>9</v>
      </c>
      <c r="AG343" t="str">
        <f t="shared" si="144"/>
        <v>Support</v>
      </c>
      <c r="AH343">
        <f>survey_responses[[#This Row],[So với trước đây, tôi thấy cách tính thuế và các bậc thuế trong phương án mới đơn giản, dễ hiểu và dễ thực hiện hơn. - HUMAN-FAC2]]</f>
        <v>7</v>
      </c>
      <c r="AI343" t="str">
        <f t="shared" si="145"/>
        <v>Neutral</v>
      </c>
      <c r="AJ343" s="32">
        <f t="shared" si="146"/>
        <v>2</v>
      </c>
      <c r="AK343">
        <f>step3_validation[[#This Row],[AI_TRU1]]</f>
        <v>8</v>
      </c>
      <c r="AL343" t="str">
        <f t="shared" si="147"/>
        <v>Support</v>
      </c>
      <c r="AM343">
        <f>survey_responses[[#This Row],[Tôi tin rằng Nhà nước, cơ quan thuế sẽ thực thi chính sách mới một cách khách quan, công tâm và đối xử bình đẳng với mọi người nộp thuế.  - HUMAN-TRU1]]</f>
        <v>5</v>
      </c>
      <c r="AN343" t="str">
        <f t="shared" si="148"/>
        <v>Neutral</v>
      </c>
      <c r="AO343" s="32">
        <f t="shared" si="149"/>
        <v>3</v>
      </c>
      <c r="AP343">
        <f>step3_validation[[#This Row],[AI_TRU2]]</f>
        <v>9</v>
      </c>
      <c r="AQ343" t="str">
        <f t="shared" si="150"/>
        <v>Support</v>
      </c>
      <c r="AR343">
        <f>survey_responses[[#This Row],[Tôi thấy mức thuế tôi phải đóng theo phương án mới là công bằng (người thu nhập như tôi đóng mức này là hợp lý). - HUMAN-TRU2]]</f>
        <v>8</v>
      </c>
      <c r="AS343" t="str">
        <f t="shared" si="151"/>
        <v>Support</v>
      </c>
      <c r="AT343" s="32">
        <f t="shared" si="152"/>
        <v>1</v>
      </c>
      <c r="AU343">
        <f>step3_validation[[#This Row],[AI_TRU3]]</f>
        <v>8</v>
      </c>
      <c r="AV343" t="str">
        <f t="shared" si="153"/>
        <v>Support</v>
      </c>
      <c r="AW343">
        <f>survey_responses[[#This Row],[Tôi tin tưởng số tiền thuế tôi đóng sẽ được Nhà nước sử dụng hiệu quả để cải thiện dịch vụ công (y tế, đường xá...). - HUMAN-TRU3]]</f>
        <v>6</v>
      </c>
      <c r="AX343" t="str">
        <f t="shared" si="154"/>
        <v>Neutral</v>
      </c>
      <c r="AY343" s="32">
        <f t="shared" si="155"/>
        <v>2</v>
      </c>
      <c r="AZ343">
        <f>step3_validation[[#This Row],[AI_TRU4]]</f>
        <v>8</v>
      </c>
      <c r="BA343" t="str">
        <f t="shared" si="156"/>
        <v>Support</v>
      </c>
      <c r="BB343">
        <f>survey_responses[[#This Row],[Tôi thấy Nhà nước đã giải thích rõ ràng, minh bạch về lý do và mục tiêu của việc sửa đổi thuế lần này. - HUMAN-TRU4]]</f>
        <v>6</v>
      </c>
      <c r="BC343" t="str">
        <f t="shared" si="157"/>
        <v>Neutral</v>
      </c>
      <c r="BD343" s="32">
        <f t="shared" si="158"/>
        <v>2</v>
      </c>
      <c r="BE343">
        <f>step3_validation[[#This Row],[AI_OUT1]]</f>
        <v>9</v>
      </c>
      <c r="BF343" t="str">
        <f t="shared" si="159"/>
        <v>Support</v>
      </c>
      <c r="BG343">
        <f>survey_responses[[#This Row],[Sau khi xem xét các quyền lợi và nghĩa vụ, bạn có ủng hộ và tuân thủ chính sách mới hiện nay? - HUMAN-OUT1]]</f>
        <v>7</v>
      </c>
      <c r="BH343" t="str">
        <f t="shared" si="160"/>
        <v>Neutral</v>
      </c>
      <c r="BI343" s="32">
        <f t="shared" si="161"/>
        <v>2</v>
      </c>
    </row>
    <row r="344" spans="1:61" x14ac:dyDescent="0.45">
      <c r="A344" s="30">
        <f>step3_validation[[#This Row],[Persona_ID]]</f>
        <v>343</v>
      </c>
      <c r="B344" s="31">
        <f>step3_validation[[#This Row],[Used_Seed]]</f>
        <v>12687</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15.381319407352597</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7</v>
      </c>
      <c r="R344" t="str">
        <f t="shared" si="135"/>
        <v>Neutral</v>
      </c>
      <c r="S344">
        <f>survey_responses[[#This Row],[Tôi tin rằng với các quy định quản lý thuế hiện nay, hành vi gian lận hoặc trốn thuế sẽ dễ dàng bị phát hiện và xử lý nghiêm. - HUMAN-ENF1]]</f>
        <v>7</v>
      </c>
      <c r="T344" t="str">
        <f t="shared" si="136"/>
        <v>Neutral</v>
      </c>
      <c r="U344" s="32">
        <f t="shared" si="137"/>
        <v>0</v>
      </c>
      <c r="V344">
        <f>step3_validation[[#This Row],[AI_ENF2]]</f>
        <v>8</v>
      </c>
      <c r="W344" t="str">
        <f t="shared" si="138"/>
        <v>Support</v>
      </c>
      <c r="X344">
        <f>survey_responses[[#This Row],[Tôi tin rằng Nhà nước, cơ quan thuế có đủ khả năng và công nghệ để phát hiện, xử lý nghiêm các hành vi trốn thuế. - HUMAN-ENF2]]</f>
        <v>7</v>
      </c>
      <c r="Y344" t="str">
        <f t="shared" si="139"/>
        <v>Neutral</v>
      </c>
      <c r="Z344" s="32">
        <f t="shared" si="140"/>
        <v>1</v>
      </c>
      <c r="AA344">
        <f>step3_validation[[#This Row],[AI_FAC1]]</f>
        <v>6</v>
      </c>
      <c r="AB344" t="str">
        <f t="shared" si="141"/>
        <v>Neutral</v>
      </c>
      <c r="AC344">
        <f>survey_responses[[#This Row],[Các thủ tục khai báo thuế VÀ/HOẶC quy trình làm việc với cơ quan thuế đơn giản, tiện lợi, nhanh chóng hơn so với trước đây. - HUMAN-FAC1]]</f>
        <v>8</v>
      </c>
      <c r="AD344" t="str">
        <f t="shared" si="142"/>
        <v>Support</v>
      </c>
      <c r="AE344" s="32">
        <f t="shared" si="143"/>
        <v>2</v>
      </c>
      <c r="AF344">
        <f>step3_validation[[#This Row],[AI_FAC2]]</f>
        <v>9</v>
      </c>
      <c r="AG344" t="str">
        <f t="shared" si="144"/>
        <v>Support</v>
      </c>
      <c r="AH344">
        <f>survey_responses[[#This Row],[So với trước đây, tôi thấy cách tính thuế và các bậc thuế trong phương án mới đơn giản, dễ hiểu và dễ thực hiện hơn. - HUMAN-FAC2]]</f>
        <v>7</v>
      </c>
      <c r="AI344" t="str">
        <f t="shared" si="145"/>
        <v>Neutral</v>
      </c>
      <c r="AJ344" s="32">
        <f t="shared" si="146"/>
        <v>2</v>
      </c>
      <c r="AK344">
        <f>step3_validation[[#This Row],[AI_TRU1]]</f>
        <v>7</v>
      </c>
      <c r="AL344" t="str">
        <f t="shared" si="147"/>
        <v>Neutral</v>
      </c>
      <c r="AM344">
        <f>survey_responses[[#This Row],[Tôi tin rằng Nhà nước, cơ quan thuế sẽ thực thi chính sách mới một cách khách quan, công tâm và đối xử bình đẳng với mọi người nộp thuế.  - HUMAN-TRU1]]</f>
        <v>8</v>
      </c>
      <c r="AN344" t="str">
        <f t="shared" si="148"/>
        <v>Support</v>
      </c>
      <c r="AO344" s="32">
        <f t="shared" si="149"/>
        <v>1</v>
      </c>
      <c r="AP344">
        <f>step3_validation[[#This Row],[AI_TRU2]]</f>
        <v>9</v>
      </c>
      <c r="AQ344" t="str">
        <f t="shared" si="150"/>
        <v>Support</v>
      </c>
      <c r="AR344">
        <f>survey_responses[[#This Row],[Tôi thấy mức thuế tôi phải đóng theo phương án mới là công bằng (người thu nhập như tôi đóng mức này là hợp lý). - HUMAN-TRU2]]</f>
        <v>8</v>
      </c>
      <c r="AS344" t="str">
        <f t="shared" si="151"/>
        <v>Support</v>
      </c>
      <c r="AT344" s="32">
        <f t="shared" si="152"/>
        <v>1</v>
      </c>
      <c r="AU344">
        <f>step3_validation[[#This Row],[AI_TRU3]]</f>
        <v>8</v>
      </c>
      <c r="AV344" t="str">
        <f t="shared" si="153"/>
        <v>Support</v>
      </c>
      <c r="AW344">
        <f>survey_responses[[#This Row],[Tôi tin tưởng số tiền thuế tôi đóng sẽ được Nhà nước sử dụng hiệu quả để cải thiện dịch vụ công (y tế, đường xá...). - HUMAN-TRU3]]</f>
        <v>8</v>
      </c>
      <c r="AX344" t="str">
        <f t="shared" si="154"/>
        <v>Support</v>
      </c>
      <c r="AY344" s="32">
        <f t="shared" si="155"/>
        <v>0</v>
      </c>
      <c r="AZ344">
        <f>step3_validation[[#This Row],[AI_TRU4]]</f>
        <v>7</v>
      </c>
      <c r="BA344" t="str">
        <f t="shared" si="156"/>
        <v>Neutral</v>
      </c>
      <c r="BB344">
        <f>survey_responses[[#This Row],[Tôi thấy Nhà nước đã giải thích rõ ràng, minh bạch về lý do và mục tiêu của việc sửa đổi thuế lần này. - HUMAN-TRU4]]</f>
        <v>7</v>
      </c>
      <c r="BC344" t="str">
        <f t="shared" si="157"/>
        <v>Neutral</v>
      </c>
      <c r="BD344" s="32">
        <f t="shared" si="158"/>
        <v>0</v>
      </c>
      <c r="BE344">
        <f>step3_validation[[#This Row],[AI_OUT1]]</f>
        <v>9</v>
      </c>
      <c r="BF344" t="str">
        <f t="shared" si="159"/>
        <v>Support</v>
      </c>
      <c r="BG344">
        <f>survey_responses[[#This Row],[Sau khi xem xét các quyền lợi và nghĩa vụ, bạn có ủng hộ và tuân thủ chính sách mới hiện nay? - HUMAN-OUT1]]</f>
        <v>8</v>
      </c>
      <c r="BH344" t="str">
        <f t="shared" si="160"/>
        <v>Support</v>
      </c>
      <c r="BI344" s="32">
        <f t="shared" si="161"/>
        <v>1</v>
      </c>
    </row>
    <row r="345" spans="1:61" x14ac:dyDescent="0.45">
      <c r="A345" s="30">
        <f>step3_validation[[#This Row],[Persona_ID]]</f>
        <v>344</v>
      </c>
      <c r="B345" s="31">
        <f>step3_validation[[#This Row],[Used_Seed]]</f>
        <v>12688</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67.320076132262471</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6</v>
      </c>
      <c r="R345" t="str">
        <f t="shared" si="135"/>
        <v>Neutral</v>
      </c>
      <c r="S345">
        <f>survey_responses[[#This Row],[Tôi tin rằng với các quy định quản lý thuế hiện nay, hành vi gian lận hoặc trốn thuế sẽ dễ dàng bị phát hiện và xử lý nghiêm. - HUMAN-ENF1]]</f>
        <v>7</v>
      </c>
      <c r="T345" t="str">
        <f t="shared" si="136"/>
        <v>Neutral</v>
      </c>
      <c r="U345" s="32">
        <f t="shared" si="137"/>
        <v>1</v>
      </c>
      <c r="V345">
        <f>step3_validation[[#This Row],[AI_ENF2]]</f>
        <v>6</v>
      </c>
      <c r="W345" t="str">
        <f t="shared" si="138"/>
        <v>Neutral</v>
      </c>
      <c r="X345">
        <f>survey_responses[[#This Row],[Tôi tin rằng Nhà nước, cơ quan thuế có đủ khả năng và công nghệ để phát hiện, xử lý nghiêm các hành vi trốn thuế. - HUMAN-ENF2]]</f>
        <v>7</v>
      </c>
      <c r="Y345" t="str">
        <f t="shared" si="139"/>
        <v>Neutral</v>
      </c>
      <c r="Z345" s="32">
        <f t="shared" si="140"/>
        <v>1</v>
      </c>
      <c r="AA345">
        <f>step3_validation[[#This Row],[AI_FAC1]]</f>
        <v>8</v>
      </c>
      <c r="AB345" t="str">
        <f t="shared" si="141"/>
        <v>Support</v>
      </c>
      <c r="AC345">
        <f>survey_responses[[#This Row],[Các thủ tục khai báo thuế VÀ/HOẶC quy trình làm việc với cơ quan thuế đơn giản, tiện lợi, nhanh chóng hơn so với trước đây. - HUMAN-FAC1]]</f>
        <v>5</v>
      </c>
      <c r="AD345" t="str">
        <f t="shared" si="142"/>
        <v>Neutral</v>
      </c>
      <c r="AE345" s="32">
        <f t="shared" si="143"/>
        <v>3</v>
      </c>
      <c r="AF345">
        <f>step3_validation[[#This Row],[AI_FAC2]]</f>
        <v>9</v>
      </c>
      <c r="AG345" t="str">
        <f t="shared" si="144"/>
        <v>Support</v>
      </c>
      <c r="AH345">
        <f>survey_responses[[#This Row],[So với trước đây, tôi thấy cách tính thuế và các bậc thuế trong phương án mới đơn giản, dễ hiểu và dễ thực hiện hơn. - HUMAN-FAC2]]</f>
        <v>8</v>
      </c>
      <c r="AI345" t="str">
        <f t="shared" si="145"/>
        <v>Support</v>
      </c>
      <c r="AJ345" s="32">
        <f t="shared" si="146"/>
        <v>1</v>
      </c>
      <c r="AK345">
        <f>step3_validation[[#This Row],[AI_TRU1]]</f>
        <v>7</v>
      </c>
      <c r="AL345" t="str">
        <f t="shared" si="147"/>
        <v>Neutral</v>
      </c>
      <c r="AM345">
        <f>survey_responses[[#This Row],[Tôi tin rằng Nhà nước, cơ quan thuế sẽ thực thi chính sách mới một cách khách quan, công tâm và đối xử bình đẳng với mọi người nộp thuế.  - HUMAN-TRU1]]</f>
        <v>6</v>
      </c>
      <c r="AN345" t="str">
        <f t="shared" si="148"/>
        <v>Neutral</v>
      </c>
      <c r="AO345" s="32">
        <f t="shared" si="149"/>
        <v>1</v>
      </c>
      <c r="AP345">
        <f>step3_validation[[#This Row],[AI_TRU2]]</f>
        <v>8</v>
      </c>
      <c r="AQ345" t="str">
        <f t="shared" si="150"/>
        <v>Support</v>
      </c>
      <c r="AR345">
        <f>survey_responses[[#This Row],[Tôi thấy mức thuế tôi phải đóng theo phương án mới là công bằng (người thu nhập như tôi đóng mức này là hợp lý). - HUMAN-TRU2]]</f>
        <v>5</v>
      </c>
      <c r="AS345" t="str">
        <f t="shared" si="151"/>
        <v>Neutral</v>
      </c>
      <c r="AT345" s="32">
        <f t="shared" si="152"/>
        <v>3</v>
      </c>
      <c r="AU345">
        <f>step3_validation[[#This Row],[AI_TRU3]]</f>
        <v>6</v>
      </c>
      <c r="AV345" t="str">
        <f t="shared" si="153"/>
        <v>Neutral</v>
      </c>
      <c r="AW345">
        <f>survey_responses[[#This Row],[Tôi tin tưởng số tiền thuế tôi đóng sẽ được Nhà nước sử dụng hiệu quả để cải thiện dịch vụ công (y tế, đường xá...). - HUMAN-TRU3]]</f>
        <v>5</v>
      </c>
      <c r="AX345" t="str">
        <f t="shared" si="154"/>
        <v>Neutral</v>
      </c>
      <c r="AY345" s="32">
        <f t="shared" si="155"/>
        <v>1</v>
      </c>
      <c r="AZ345">
        <f>step3_validation[[#This Row],[AI_TRU4]]</f>
        <v>7</v>
      </c>
      <c r="BA345" t="str">
        <f t="shared" si="156"/>
        <v>Neutral</v>
      </c>
      <c r="BB345">
        <f>survey_responses[[#This Row],[Tôi thấy Nhà nước đã giải thích rõ ràng, minh bạch về lý do và mục tiêu của việc sửa đổi thuế lần này. - HUMAN-TRU4]]</f>
        <v>6</v>
      </c>
      <c r="BC345" t="str">
        <f t="shared" si="157"/>
        <v>Neutral</v>
      </c>
      <c r="BD345" s="32">
        <f t="shared" si="158"/>
        <v>1</v>
      </c>
      <c r="BE345">
        <f>step3_validation[[#This Row],[AI_OUT1]]</f>
        <v>9</v>
      </c>
      <c r="BF345" t="str">
        <f t="shared" si="159"/>
        <v>Support</v>
      </c>
      <c r="BG345">
        <f>survey_responses[[#This Row],[Sau khi xem xét các quyền lợi và nghĩa vụ, bạn có ủng hộ và tuân thủ chính sách mới hiện nay? - HUMAN-OUT1]]</f>
        <v>5</v>
      </c>
      <c r="BH345" t="str">
        <f t="shared" si="160"/>
        <v>Neutral</v>
      </c>
      <c r="BI345" s="32">
        <f t="shared" si="161"/>
        <v>4</v>
      </c>
    </row>
    <row r="346" spans="1:61" x14ac:dyDescent="0.45">
      <c r="A346" s="30">
        <f>step3_validation[[#This Row],[Persona_ID]]</f>
        <v>345</v>
      </c>
      <c r="B346" s="31">
        <f>step3_validation[[#This Row],[Used_Seed]]</f>
        <v>12689</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12.069918907792498</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t="str">
        <f t="shared" si="135"/>
        <v>Neutral</v>
      </c>
      <c r="S346">
        <f>survey_responses[[#This Row],[Tôi tin rằng với các quy định quản lý thuế hiện nay, hành vi gian lận hoặc trốn thuế sẽ dễ dàng bị phát hiện và xử lý nghiêm. - HUMAN-ENF1]]</f>
        <v>7</v>
      </c>
      <c r="T346" t="str">
        <f t="shared" si="136"/>
        <v>Neutral</v>
      </c>
      <c r="U346" s="32">
        <f t="shared" si="137"/>
        <v>0</v>
      </c>
      <c r="V346">
        <f>step3_validation[[#This Row],[AI_ENF2]]</f>
        <v>7</v>
      </c>
      <c r="W346" t="str">
        <f t="shared" si="138"/>
        <v>Neutral</v>
      </c>
      <c r="X346">
        <f>survey_responses[[#This Row],[Tôi tin rằng Nhà nước, cơ quan thuế có đủ khả năng và công nghệ để phát hiện, xử lý nghiêm các hành vi trốn thuế. - HUMAN-ENF2]]</f>
        <v>7</v>
      </c>
      <c r="Y346" t="str">
        <f t="shared" si="139"/>
        <v>Neutral</v>
      </c>
      <c r="Z346" s="32">
        <f t="shared" si="140"/>
        <v>0</v>
      </c>
      <c r="AA346">
        <f>step3_validation[[#This Row],[AI_FAC1]]</f>
        <v>9</v>
      </c>
      <c r="AB346" t="str">
        <f t="shared" si="141"/>
        <v>Support</v>
      </c>
      <c r="AC346">
        <f>survey_responses[[#This Row],[Các thủ tục khai báo thuế VÀ/HOẶC quy trình làm việc với cơ quan thuế đơn giản, tiện lợi, nhanh chóng hơn so với trước đây. - HUMAN-FAC1]]</f>
        <v>5</v>
      </c>
      <c r="AD346" t="str">
        <f t="shared" si="142"/>
        <v>Neutral</v>
      </c>
      <c r="AE346" s="32">
        <f t="shared" si="143"/>
        <v>4</v>
      </c>
      <c r="AF346">
        <f>step3_validation[[#This Row],[AI_FAC2]]</f>
        <v>8</v>
      </c>
      <c r="AG346" t="str">
        <f t="shared" si="144"/>
        <v>Support</v>
      </c>
      <c r="AH346">
        <f>survey_responses[[#This Row],[So với trước đây, tôi thấy cách tính thuế và các bậc thuế trong phương án mới đơn giản, dễ hiểu và dễ thực hiện hơn. - HUMAN-FAC2]]</f>
        <v>8</v>
      </c>
      <c r="AI346" t="str">
        <f t="shared" si="145"/>
        <v>Support</v>
      </c>
      <c r="AJ346" s="32">
        <f t="shared" si="146"/>
        <v>0</v>
      </c>
      <c r="AK346">
        <f>step3_validation[[#This Row],[AI_TRU1]]</f>
        <v>6</v>
      </c>
      <c r="AL346" t="str">
        <f t="shared" si="147"/>
        <v>Neutral</v>
      </c>
      <c r="AM346">
        <f>survey_responses[[#This Row],[Tôi tin rằng Nhà nước, cơ quan thuế sẽ thực thi chính sách mới một cách khách quan, công tâm và đối xử bình đẳng với mọi người nộp thuế.  - HUMAN-TRU1]]</f>
        <v>7</v>
      </c>
      <c r="AN346" t="str">
        <f t="shared" si="148"/>
        <v>Neutral</v>
      </c>
      <c r="AO346" s="32">
        <f t="shared" si="149"/>
        <v>1</v>
      </c>
      <c r="AP346">
        <f>step3_validation[[#This Row],[AI_TRU2]]</f>
        <v>8</v>
      </c>
      <c r="AQ346" t="str">
        <f t="shared" si="150"/>
        <v>Support</v>
      </c>
      <c r="AR346">
        <f>survey_responses[[#This Row],[Tôi thấy mức thuế tôi phải đóng theo phương án mới là công bằng (người thu nhập như tôi đóng mức này là hợp lý). - HUMAN-TRU2]]</f>
        <v>7</v>
      </c>
      <c r="AS346" t="str">
        <f t="shared" si="151"/>
        <v>Neutral</v>
      </c>
      <c r="AT346" s="32">
        <f t="shared" si="152"/>
        <v>1</v>
      </c>
      <c r="AU346">
        <f>step3_validation[[#This Row],[AI_TRU3]]</f>
        <v>7</v>
      </c>
      <c r="AV346" t="str">
        <f t="shared" si="153"/>
        <v>Neutral</v>
      </c>
      <c r="AW346">
        <f>survey_responses[[#This Row],[Tôi tin tưởng số tiền thuế tôi đóng sẽ được Nhà nước sử dụng hiệu quả để cải thiện dịch vụ công (y tế, đường xá...). - HUMAN-TRU3]]</f>
        <v>6</v>
      </c>
      <c r="AX346" t="str">
        <f t="shared" si="154"/>
        <v>Neutral</v>
      </c>
      <c r="AY346" s="32">
        <f t="shared" si="155"/>
        <v>1</v>
      </c>
      <c r="AZ346">
        <f>step3_validation[[#This Row],[AI_TRU4]]</f>
        <v>6</v>
      </c>
      <c r="BA346" t="str">
        <f t="shared" si="156"/>
        <v>Neutral</v>
      </c>
      <c r="BB346">
        <f>survey_responses[[#This Row],[Tôi thấy Nhà nước đã giải thích rõ ràng, minh bạch về lý do và mục tiêu của việc sửa đổi thuế lần này. - HUMAN-TRU4]]</f>
        <v>7</v>
      </c>
      <c r="BC346" t="str">
        <f t="shared" si="157"/>
        <v>Neutral</v>
      </c>
      <c r="BD346" s="32">
        <f t="shared" si="158"/>
        <v>1</v>
      </c>
      <c r="BE346">
        <f>step3_validation[[#This Row],[AI_OUT1]]</f>
        <v>9</v>
      </c>
      <c r="BF346" t="str">
        <f t="shared" si="159"/>
        <v>Support</v>
      </c>
      <c r="BG346">
        <f>survey_responses[[#This Row],[Sau khi xem xét các quyền lợi và nghĩa vụ, bạn có ủng hộ và tuân thủ chính sách mới hiện nay? - HUMAN-OUT1]]</f>
        <v>7</v>
      </c>
      <c r="BH346" t="str">
        <f t="shared" si="160"/>
        <v>Neutral</v>
      </c>
      <c r="BI346" s="32">
        <f t="shared" si="161"/>
        <v>2</v>
      </c>
    </row>
    <row r="347" spans="1:61" x14ac:dyDescent="0.45">
      <c r="A347" s="30">
        <f>step3_validation[[#This Row],[Persona_ID]]</f>
        <v>346</v>
      </c>
      <c r="B347" s="31">
        <f>step3_validation[[#This Row],[Used_Seed]]</f>
        <v>12690</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28.869904376097207</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7</v>
      </c>
      <c r="R347" t="str">
        <f t="shared" si="135"/>
        <v>Neutral</v>
      </c>
      <c r="S347">
        <f>survey_responses[[#This Row],[Tôi tin rằng với các quy định quản lý thuế hiện nay, hành vi gian lận hoặc trốn thuế sẽ dễ dàng bị phát hiện và xử lý nghiêm. - HUMAN-ENF1]]</f>
        <v>9</v>
      </c>
      <c r="T347" t="str">
        <f t="shared" si="136"/>
        <v>Support</v>
      </c>
      <c r="U347" s="32">
        <f t="shared" si="137"/>
        <v>2</v>
      </c>
      <c r="V347">
        <f>step3_validation[[#This Row],[AI_ENF2]]</f>
        <v>8</v>
      </c>
      <c r="W347" t="str">
        <f t="shared" si="138"/>
        <v>Support</v>
      </c>
      <c r="X347">
        <f>survey_responses[[#This Row],[Tôi tin rằng Nhà nước, cơ quan thuế có đủ khả năng và công nghệ để phát hiện, xử lý nghiêm các hành vi trốn thuế. - HUMAN-ENF2]]</f>
        <v>8</v>
      </c>
      <c r="Y347" t="str">
        <f t="shared" si="139"/>
        <v>Support</v>
      </c>
      <c r="Z347" s="32">
        <f t="shared" si="140"/>
        <v>0</v>
      </c>
      <c r="AA347">
        <f>step3_validation[[#This Row],[AI_FAC1]]</f>
        <v>6</v>
      </c>
      <c r="AB347" t="str">
        <f t="shared" si="141"/>
        <v>Neutral</v>
      </c>
      <c r="AC347">
        <f>survey_responses[[#This Row],[Các thủ tục khai báo thuế VÀ/HOẶC quy trình làm việc với cơ quan thuế đơn giản, tiện lợi, nhanh chóng hơn so với trước đây. - HUMAN-FAC1]]</f>
        <v>8</v>
      </c>
      <c r="AD347" t="str">
        <f t="shared" si="142"/>
        <v>Support</v>
      </c>
      <c r="AE347" s="32">
        <f t="shared" si="143"/>
        <v>2</v>
      </c>
      <c r="AF347">
        <f>step3_validation[[#This Row],[AI_FAC2]]</f>
        <v>7</v>
      </c>
      <c r="AG347" t="str">
        <f t="shared" si="144"/>
        <v>Neutral</v>
      </c>
      <c r="AH347">
        <f>survey_responses[[#This Row],[So với trước đây, tôi thấy cách tính thuế và các bậc thuế trong phương án mới đơn giản, dễ hiểu và dễ thực hiện hơn. - HUMAN-FAC2]]</f>
        <v>9</v>
      </c>
      <c r="AI347" t="str">
        <f t="shared" si="145"/>
        <v>Support</v>
      </c>
      <c r="AJ347" s="32">
        <f t="shared" si="146"/>
        <v>2</v>
      </c>
      <c r="AK347">
        <f>step3_validation[[#This Row],[AI_TRU1]]</f>
        <v>7</v>
      </c>
      <c r="AL347" t="str">
        <f t="shared" si="147"/>
        <v>Neutral</v>
      </c>
      <c r="AM347">
        <f>survey_responses[[#This Row],[Tôi tin rằng Nhà nước, cơ quan thuế sẽ thực thi chính sách mới một cách khách quan, công tâm và đối xử bình đẳng với mọi người nộp thuế.  - HUMAN-TRU1]]</f>
        <v>7</v>
      </c>
      <c r="AN347" t="str">
        <f t="shared" si="148"/>
        <v>Neutral</v>
      </c>
      <c r="AO347" s="32">
        <f t="shared" si="149"/>
        <v>0</v>
      </c>
      <c r="AP347">
        <f>step3_validation[[#This Row],[AI_TRU2]]</f>
        <v>8</v>
      </c>
      <c r="AQ347" t="str">
        <f t="shared" si="150"/>
        <v>Support</v>
      </c>
      <c r="AR347">
        <f>survey_responses[[#This Row],[Tôi thấy mức thuế tôi phải đóng theo phương án mới là công bằng (người thu nhập như tôi đóng mức này là hợp lý). - HUMAN-TRU2]]</f>
        <v>8</v>
      </c>
      <c r="AS347" t="str">
        <f t="shared" si="151"/>
        <v>Support</v>
      </c>
      <c r="AT347" s="32">
        <f t="shared" si="152"/>
        <v>0</v>
      </c>
      <c r="AU347">
        <f>step3_validation[[#This Row],[AI_TRU3]]</f>
        <v>7</v>
      </c>
      <c r="AV347" t="str">
        <f t="shared" si="153"/>
        <v>Neutral</v>
      </c>
      <c r="AW347">
        <f>survey_responses[[#This Row],[Tôi tin tưởng số tiền thuế tôi đóng sẽ được Nhà nước sử dụng hiệu quả để cải thiện dịch vụ công (y tế, đường xá...). - HUMAN-TRU3]]</f>
        <v>7</v>
      </c>
      <c r="AX347" t="str">
        <f t="shared" si="154"/>
        <v>Neutral</v>
      </c>
      <c r="AY347" s="32">
        <f t="shared" si="155"/>
        <v>0</v>
      </c>
      <c r="AZ347">
        <f>step3_validation[[#This Row],[AI_TRU4]]</f>
        <v>6</v>
      </c>
      <c r="BA347" t="str">
        <f t="shared" si="156"/>
        <v>Neutral</v>
      </c>
      <c r="BB347">
        <f>survey_responses[[#This Row],[Tôi thấy Nhà nước đã giải thích rõ ràng, minh bạch về lý do và mục tiêu của việc sửa đổi thuế lần này. - HUMAN-TRU4]]</f>
        <v>7</v>
      </c>
      <c r="BC347" t="str">
        <f t="shared" si="157"/>
        <v>Neutral</v>
      </c>
      <c r="BD347" s="32">
        <f t="shared" si="158"/>
        <v>1</v>
      </c>
      <c r="BE347">
        <f>step3_validation[[#This Row],[AI_OUT1]]</f>
        <v>9</v>
      </c>
      <c r="BF347" t="str">
        <f t="shared" si="159"/>
        <v>Support</v>
      </c>
      <c r="BG347">
        <f>survey_responses[[#This Row],[Sau khi xem xét các quyền lợi và nghĩa vụ, bạn có ủng hộ và tuân thủ chính sách mới hiện nay? - HUMAN-OUT1]]</f>
        <v>8</v>
      </c>
      <c r="BH347" t="str">
        <f t="shared" si="160"/>
        <v>Support</v>
      </c>
      <c r="BI347" s="32">
        <f t="shared" si="161"/>
        <v>1</v>
      </c>
    </row>
    <row r="348" spans="1:61" x14ac:dyDescent="0.45">
      <c r="A348" s="30">
        <f>step3_validation[[#This Row],[Persona_ID]]</f>
        <v>347</v>
      </c>
      <c r="B348" s="31">
        <f>step3_validation[[#This Row],[Used_Seed]]</f>
        <v>12691</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18.18328571339428</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5</v>
      </c>
      <c r="R348" t="str">
        <f t="shared" si="135"/>
        <v>Neutral</v>
      </c>
      <c r="S348">
        <f>survey_responses[[#This Row],[Tôi tin rằng với các quy định quản lý thuế hiện nay, hành vi gian lận hoặc trốn thuế sẽ dễ dàng bị phát hiện và xử lý nghiêm. - HUMAN-ENF1]]</f>
        <v>8</v>
      </c>
      <c r="T348" t="str">
        <f t="shared" si="136"/>
        <v>Support</v>
      </c>
      <c r="U348" s="32">
        <f t="shared" si="137"/>
        <v>3</v>
      </c>
      <c r="V348">
        <f>step3_validation[[#This Row],[AI_ENF2]]</f>
        <v>4</v>
      </c>
      <c r="W348" t="str">
        <f t="shared" si="138"/>
        <v>Oppose</v>
      </c>
      <c r="X348">
        <f>survey_responses[[#This Row],[Tôi tin rằng Nhà nước, cơ quan thuế có đủ khả năng và công nghệ để phát hiện, xử lý nghiêm các hành vi trốn thuế. - HUMAN-ENF2]]</f>
        <v>8</v>
      </c>
      <c r="Y348" t="str">
        <f t="shared" si="139"/>
        <v>Support</v>
      </c>
      <c r="Z348" s="32">
        <f t="shared" si="140"/>
        <v>4</v>
      </c>
      <c r="AA348">
        <f>step3_validation[[#This Row],[AI_FAC1]]</f>
        <v>7</v>
      </c>
      <c r="AB348" t="str">
        <f t="shared" si="141"/>
        <v>Neutral</v>
      </c>
      <c r="AC348">
        <f>survey_responses[[#This Row],[Các thủ tục khai báo thuế VÀ/HOẶC quy trình làm việc với cơ quan thuế đơn giản, tiện lợi, nhanh chóng hơn so với trước đây. - HUMAN-FAC1]]</f>
        <v>7</v>
      </c>
      <c r="AD348" t="str">
        <f t="shared" si="142"/>
        <v>Neutral</v>
      </c>
      <c r="AE348" s="32">
        <f t="shared" si="143"/>
        <v>0</v>
      </c>
      <c r="AF348">
        <f>step3_validation[[#This Row],[AI_FAC2]]</f>
        <v>8</v>
      </c>
      <c r="AG348" t="str">
        <f t="shared" si="144"/>
        <v>Support</v>
      </c>
      <c r="AH348">
        <f>survey_responses[[#This Row],[So với trước đây, tôi thấy cách tính thuế và các bậc thuế trong phương án mới đơn giản, dễ hiểu và dễ thực hiện hơn. - HUMAN-FAC2]]</f>
        <v>8</v>
      </c>
      <c r="AI348" t="str">
        <f t="shared" si="145"/>
        <v>Support</v>
      </c>
      <c r="AJ348" s="32">
        <f t="shared" si="146"/>
        <v>0</v>
      </c>
      <c r="AK348">
        <f>step3_validation[[#This Row],[AI_TRU1]]</f>
        <v>6</v>
      </c>
      <c r="AL348" t="str">
        <f t="shared" si="147"/>
        <v>Neutral</v>
      </c>
      <c r="AM348">
        <f>survey_responses[[#This Row],[Tôi tin rằng Nhà nước, cơ quan thuế sẽ thực thi chính sách mới một cách khách quan, công tâm và đối xử bình đẳng với mọi người nộp thuế.  - HUMAN-TRU1]]</f>
        <v>6</v>
      </c>
      <c r="AN348" t="str">
        <f t="shared" si="148"/>
        <v>Neutral</v>
      </c>
      <c r="AO348" s="32">
        <f t="shared" si="149"/>
        <v>0</v>
      </c>
      <c r="AP348">
        <f>step3_validation[[#This Row],[AI_TRU2]]</f>
        <v>7</v>
      </c>
      <c r="AQ348" t="str">
        <f t="shared" si="150"/>
        <v>Neutral</v>
      </c>
      <c r="AR348">
        <f>survey_responses[[#This Row],[Tôi thấy mức thuế tôi phải đóng theo phương án mới là công bằng (người thu nhập như tôi đóng mức này là hợp lý). - HUMAN-TRU2]]</f>
        <v>8</v>
      </c>
      <c r="AS348" t="str">
        <f t="shared" si="151"/>
        <v>Support</v>
      </c>
      <c r="AT348" s="32">
        <f t="shared" si="152"/>
        <v>1</v>
      </c>
      <c r="AU348">
        <f>step3_validation[[#This Row],[AI_TRU3]]</f>
        <v>5</v>
      </c>
      <c r="AV348" t="str">
        <f t="shared" si="153"/>
        <v>Neutral</v>
      </c>
      <c r="AW348">
        <f>survey_responses[[#This Row],[Tôi tin tưởng số tiền thuế tôi đóng sẽ được Nhà nước sử dụng hiệu quả để cải thiện dịch vụ công (y tế, đường xá...). - HUMAN-TRU3]]</f>
        <v>6</v>
      </c>
      <c r="AX348" t="str">
        <f t="shared" si="154"/>
        <v>Neutral</v>
      </c>
      <c r="AY348" s="32">
        <f t="shared" si="155"/>
        <v>1</v>
      </c>
      <c r="AZ348">
        <f>step3_validation[[#This Row],[AI_TRU4]]</f>
        <v>6</v>
      </c>
      <c r="BA348" t="str">
        <f t="shared" si="156"/>
        <v>Neutral</v>
      </c>
      <c r="BB348">
        <f>survey_responses[[#This Row],[Tôi thấy Nhà nước đã giải thích rõ ràng, minh bạch về lý do và mục tiêu của việc sửa đổi thuế lần này. - HUMAN-TRU4]]</f>
        <v>6</v>
      </c>
      <c r="BC348" t="str">
        <f t="shared" si="157"/>
        <v>Neutral</v>
      </c>
      <c r="BD348" s="32">
        <f t="shared" si="158"/>
        <v>0</v>
      </c>
      <c r="BE348">
        <f>step3_validation[[#This Row],[AI_OUT1]]</f>
        <v>8</v>
      </c>
      <c r="BF348" t="str">
        <f t="shared" si="159"/>
        <v>Support</v>
      </c>
      <c r="BG348">
        <f>survey_responses[[#This Row],[Sau khi xem xét các quyền lợi và nghĩa vụ, bạn có ủng hộ và tuân thủ chính sách mới hiện nay? - HUMAN-OUT1]]</f>
        <v>8</v>
      </c>
      <c r="BH348" t="str">
        <f t="shared" si="160"/>
        <v>Support</v>
      </c>
      <c r="BI348" s="32">
        <f t="shared" si="161"/>
        <v>0</v>
      </c>
    </row>
    <row r="349" spans="1:61" x14ac:dyDescent="0.45">
      <c r="A349" s="30">
        <f>step3_validation[[#This Row],[Persona_ID]]</f>
        <v>348</v>
      </c>
      <c r="B349" s="31">
        <f>step3_validation[[#This Row],[Used_Seed]]</f>
        <v>12692</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21.829935364779054</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t="str">
        <f t="shared" si="135"/>
        <v>Neutral</v>
      </c>
      <c r="S349">
        <f>survey_responses[[#This Row],[Tôi tin rằng với các quy định quản lý thuế hiện nay, hành vi gian lận hoặc trốn thuế sẽ dễ dàng bị phát hiện và xử lý nghiêm. - HUMAN-ENF1]]</f>
        <v>8</v>
      </c>
      <c r="T349" t="str">
        <f t="shared" si="136"/>
        <v>Support</v>
      </c>
      <c r="U349" s="32">
        <f t="shared" si="137"/>
        <v>1</v>
      </c>
      <c r="V349">
        <f>step3_validation[[#This Row],[AI_ENF2]]</f>
        <v>7</v>
      </c>
      <c r="W349" t="str">
        <f t="shared" si="138"/>
        <v>Neutral</v>
      </c>
      <c r="X349">
        <f>survey_responses[[#This Row],[Tôi tin rằng Nhà nước, cơ quan thuế có đủ khả năng và công nghệ để phát hiện, xử lý nghiêm các hành vi trốn thuế. - HUMAN-ENF2]]</f>
        <v>8</v>
      </c>
      <c r="Y349" t="str">
        <f t="shared" si="139"/>
        <v>Support</v>
      </c>
      <c r="Z349" s="32">
        <f t="shared" si="140"/>
        <v>1</v>
      </c>
      <c r="AA349">
        <f>step3_validation[[#This Row],[AI_FAC1]]</f>
        <v>6</v>
      </c>
      <c r="AB349" t="str">
        <f t="shared" si="141"/>
        <v>Neutral</v>
      </c>
      <c r="AC349">
        <f>survey_responses[[#This Row],[Các thủ tục khai báo thuế VÀ/HOẶC quy trình làm việc với cơ quan thuế đơn giản, tiện lợi, nhanh chóng hơn so với trước đây. - HUMAN-FAC1]]</f>
        <v>7</v>
      </c>
      <c r="AD349" t="str">
        <f t="shared" si="142"/>
        <v>Neutral</v>
      </c>
      <c r="AE349" s="32">
        <f t="shared" si="143"/>
        <v>1</v>
      </c>
      <c r="AF349">
        <f>step3_validation[[#This Row],[AI_FAC2]]</f>
        <v>8</v>
      </c>
      <c r="AG349" t="str">
        <f t="shared" si="144"/>
        <v>Support</v>
      </c>
      <c r="AH349">
        <f>survey_responses[[#This Row],[So với trước đây, tôi thấy cách tính thuế và các bậc thuế trong phương án mới đơn giản, dễ hiểu và dễ thực hiện hơn. - HUMAN-FAC2]]</f>
        <v>7</v>
      </c>
      <c r="AI349" t="str">
        <f t="shared" si="145"/>
        <v>Neutral</v>
      </c>
      <c r="AJ349" s="32">
        <f t="shared" si="146"/>
        <v>1</v>
      </c>
      <c r="AK349">
        <f>step3_validation[[#This Row],[AI_TRU1]]</f>
        <v>9</v>
      </c>
      <c r="AL349" t="str">
        <f t="shared" si="147"/>
        <v>Support</v>
      </c>
      <c r="AM349">
        <f>survey_responses[[#This Row],[Tôi tin rằng Nhà nước, cơ quan thuế sẽ thực thi chính sách mới một cách khách quan, công tâm và đối xử bình đẳng với mọi người nộp thuế.  - HUMAN-TRU1]]</f>
        <v>6</v>
      </c>
      <c r="AN349" t="str">
        <f t="shared" si="148"/>
        <v>Neutral</v>
      </c>
      <c r="AO349" s="32">
        <f t="shared" si="149"/>
        <v>3</v>
      </c>
      <c r="AP349">
        <f>step3_validation[[#This Row],[AI_TRU2]]</f>
        <v>8</v>
      </c>
      <c r="AQ349" t="str">
        <f t="shared" si="150"/>
        <v>Support</v>
      </c>
      <c r="AR349">
        <f>survey_responses[[#This Row],[Tôi thấy mức thuế tôi phải đóng theo phương án mới là công bằng (người thu nhập như tôi đóng mức này là hợp lý). - HUMAN-TRU2]]</f>
        <v>7</v>
      </c>
      <c r="AS349" t="str">
        <f t="shared" si="151"/>
        <v>Neutral</v>
      </c>
      <c r="AT349" s="32">
        <f t="shared" si="152"/>
        <v>1</v>
      </c>
      <c r="AU349">
        <f>step3_validation[[#This Row],[AI_TRU3]]</f>
        <v>9</v>
      </c>
      <c r="AV349" t="str">
        <f t="shared" si="153"/>
        <v>Support</v>
      </c>
      <c r="AW349">
        <f>survey_responses[[#This Row],[Tôi tin tưởng số tiền thuế tôi đóng sẽ được Nhà nước sử dụng hiệu quả để cải thiện dịch vụ công (y tế, đường xá...). - HUMAN-TRU3]]</f>
        <v>6</v>
      </c>
      <c r="AX349" t="str">
        <f t="shared" si="154"/>
        <v>Neutral</v>
      </c>
      <c r="AY349" s="32">
        <f t="shared" si="155"/>
        <v>3</v>
      </c>
      <c r="AZ349">
        <f>step3_validation[[#This Row],[AI_TRU4]]</f>
        <v>7</v>
      </c>
      <c r="BA349" t="str">
        <f t="shared" si="156"/>
        <v>Neutral</v>
      </c>
      <c r="BB349">
        <f>survey_responses[[#This Row],[Tôi thấy Nhà nước đã giải thích rõ ràng, minh bạch về lý do và mục tiêu của việc sửa đổi thuế lần này. - HUMAN-TRU4]]</f>
        <v>6</v>
      </c>
      <c r="BC349" t="str">
        <f t="shared" si="157"/>
        <v>Neutral</v>
      </c>
      <c r="BD349" s="32">
        <f t="shared" si="158"/>
        <v>1</v>
      </c>
      <c r="BE349">
        <f>step3_validation[[#This Row],[AI_OUT1]]</f>
        <v>9</v>
      </c>
      <c r="BF349" t="str">
        <f t="shared" si="159"/>
        <v>Support</v>
      </c>
      <c r="BG349">
        <f>survey_responses[[#This Row],[Sau khi xem xét các quyền lợi và nghĩa vụ, bạn có ủng hộ và tuân thủ chính sách mới hiện nay? - HUMAN-OUT1]]</f>
        <v>7</v>
      </c>
      <c r="BH349" t="str">
        <f t="shared" si="160"/>
        <v>Neutral</v>
      </c>
      <c r="BI349" s="32">
        <f t="shared" si="161"/>
        <v>2</v>
      </c>
    </row>
    <row r="350" spans="1:61" x14ac:dyDescent="0.45">
      <c r="A350" s="30">
        <f>step3_validation[[#This Row],[Persona_ID]]</f>
        <v>349</v>
      </c>
      <c r="B350" s="31">
        <f>step3_validation[[#This Row],[Used_Seed]]</f>
        <v>12693</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18.940736922102833</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6</v>
      </c>
      <c r="R350" t="str">
        <f t="shared" si="135"/>
        <v>Neutral</v>
      </c>
      <c r="S350">
        <f>survey_responses[[#This Row],[Tôi tin rằng với các quy định quản lý thuế hiện nay, hành vi gian lận hoặc trốn thuế sẽ dễ dàng bị phát hiện và xử lý nghiêm. - HUMAN-ENF1]]</f>
        <v>4</v>
      </c>
      <c r="T350" t="str">
        <f t="shared" si="136"/>
        <v>Oppose</v>
      </c>
      <c r="U350" s="32">
        <f t="shared" si="137"/>
        <v>2</v>
      </c>
      <c r="V350">
        <f>step3_validation[[#This Row],[AI_ENF2]]</f>
        <v>7</v>
      </c>
      <c r="W350" t="str">
        <f t="shared" si="138"/>
        <v>Neutral</v>
      </c>
      <c r="X350">
        <f>survey_responses[[#This Row],[Tôi tin rằng Nhà nước, cơ quan thuế có đủ khả năng và công nghệ để phát hiện, xử lý nghiêm các hành vi trốn thuế. - HUMAN-ENF2]]</f>
        <v>4</v>
      </c>
      <c r="Y350" t="str">
        <f t="shared" si="139"/>
        <v>Oppose</v>
      </c>
      <c r="Z350" s="32">
        <f t="shared" si="140"/>
        <v>3</v>
      </c>
      <c r="AA350">
        <f>step3_validation[[#This Row],[AI_FAC1]]</f>
        <v>8</v>
      </c>
      <c r="AB350" t="str">
        <f t="shared" si="141"/>
        <v>Support</v>
      </c>
      <c r="AC350">
        <f>survey_responses[[#This Row],[Các thủ tục khai báo thuế VÀ/HOẶC quy trình làm việc với cơ quan thuế đơn giản, tiện lợi, nhanh chóng hơn so với trước đây. - HUMAN-FAC1]]</f>
        <v>5</v>
      </c>
      <c r="AD350" t="str">
        <f t="shared" si="142"/>
        <v>Neutral</v>
      </c>
      <c r="AE350" s="32">
        <f t="shared" si="143"/>
        <v>3</v>
      </c>
      <c r="AF350">
        <f>step3_validation[[#This Row],[AI_FAC2]]</f>
        <v>9</v>
      </c>
      <c r="AG350" t="str">
        <f t="shared" si="144"/>
        <v>Support</v>
      </c>
      <c r="AH350">
        <f>survey_responses[[#This Row],[So với trước đây, tôi thấy cách tính thuế và các bậc thuế trong phương án mới đơn giản, dễ hiểu và dễ thực hiện hơn. - HUMAN-FAC2]]</f>
        <v>7</v>
      </c>
      <c r="AI350" t="str">
        <f t="shared" si="145"/>
        <v>Neutral</v>
      </c>
      <c r="AJ350" s="32">
        <f t="shared" si="146"/>
        <v>2</v>
      </c>
      <c r="AK350">
        <f>step3_validation[[#This Row],[AI_TRU1]]</f>
        <v>7</v>
      </c>
      <c r="AL350" t="str">
        <f t="shared" si="147"/>
        <v>Neutral</v>
      </c>
      <c r="AM350">
        <f>survey_responses[[#This Row],[Tôi tin rằng Nhà nước, cơ quan thuế sẽ thực thi chính sách mới một cách khách quan, công tâm và đối xử bình đẳng với mọi người nộp thuế.  - HUMAN-TRU1]]</f>
        <v>5</v>
      </c>
      <c r="AN350" t="str">
        <f t="shared" si="148"/>
        <v>Neutral</v>
      </c>
      <c r="AO350" s="32">
        <f t="shared" si="149"/>
        <v>2</v>
      </c>
      <c r="AP350">
        <f>step3_validation[[#This Row],[AI_TRU2]]</f>
        <v>9</v>
      </c>
      <c r="AQ350" t="str">
        <f t="shared" si="150"/>
        <v>Support</v>
      </c>
      <c r="AR350">
        <f>survey_responses[[#This Row],[Tôi thấy mức thuế tôi phải đóng theo phương án mới là công bằng (người thu nhập như tôi đóng mức này là hợp lý). - HUMAN-TRU2]]</f>
        <v>6</v>
      </c>
      <c r="AS350" t="str">
        <f t="shared" si="151"/>
        <v>Neutral</v>
      </c>
      <c r="AT350" s="32">
        <f t="shared" si="152"/>
        <v>3</v>
      </c>
      <c r="AU350">
        <f>step3_validation[[#This Row],[AI_TRU3]]</f>
        <v>6</v>
      </c>
      <c r="AV350" t="str">
        <f t="shared" si="153"/>
        <v>Neutral</v>
      </c>
      <c r="AW350">
        <f>survey_responses[[#This Row],[Tôi tin tưởng số tiền thuế tôi đóng sẽ được Nhà nước sử dụng hiệu quả để cải thiện dịch vụ công (y tế, đường xá...). - HUMAN-TRU3]]</f>
        <v>6</v>
      </c>
      <c r="AX350" t="str">
        <f t="shared" si="154"/>
        <v>Neutral</v>
      </c>
      <c r="AY350" s="32">
        <f t="shared" si="155"/>
        <v>0</v>
      </c>
      <c r="AZ350">
        <f>step3_validation[[#This Row],[AI_TRU4]]</f>
        <v>7</v>
      </c>
      <c r="BA350" t="str">
        <f t="shared" si="156"/>
        <v>Neutral</v>
      </c>
      <c r="BB350">
        <f>survey_responses[[#This Row],[Tôi thấy Nhà nước đã giải thích rõ ràng, minh bạch về lý do và mục tiêu của việc sửa đổi thuế lần này. - HUMAN-TRU4]]</f>
        <v>6</v>
      </c>
      <c r="BC350" t="str">
        <f t="shared" si="157"/>
        <v>Neutral</v>
      </c>
      <c r="BD350" s="32">
        <f t="shared" si="158"/>
        <v>1</v>
      </c>
      <c r="BE350">
        <f>step3_validation[[#This Row],[AI_OUT1]]</f>
        <v>9</v>
      </c>
      <c r="BF350" t="str">
        <f t="shared" si="159"/>
        <v>Support</v>
      </c>
      <c r="BG350">
        <f>survey_responses[[#This Row],[Sau khi xem xét các quyền lợi và nghĩa vụ, bạn có ủng hộ và tuân thủ chính sách mới hiện nay? - HUMAN-OUT1]]</f>
        <v>6</v>
      </c>
      <c r="BH350" t="str">
        <f t="shared" si="160"/>
        <v>Neutral</v>
      </c>
      <c r="BI350" s="32">
        <f t="shared" si="161"/>
        <v>3</v>
      </c>
    </row>
    <row r="351" spans="1:61" x14ac:dyDescent="0.45">
      <c r="A351" s="30">
        <f>step3_validation[[#This Row],[Persona_ID]]</f>
        <v>350</v>
      </c>
      <c r="B351" s="31">
        <f>step3_validation[[#This Row],[Used_Seed]]</f>
        <v>12694</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25.591899975098052</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7</v>
      </c>
      <c r="R351" t="str">
        <f t="shared" si="135"/>
        <v>Neutral</v>
      </c>
      <c r="S351">
        <f>survey_responses[[#This Row],[Tôi tin rằng với các quy định quản lý thuế hiện nay, hành vi gian lận hoặc trốn thuế sẽ dễ dàng bị phát hiện và xử lý nghiêm. - HUMAN-ENF1]]</f>
        <v>7</v>
      </c>
      <c r="T351" t="str">
        <f t="shared" si="136"/>
        <v>Neutral</v>
      </c>
      <c r="U351" s="32">
        <f t="shared" si="137"/>
        <v>0</v>
      </c>
      <c r="V351">
        <f>step3_validation[[#This Row],[AI_ENF2]]</f>
        <v>8</v>
      </c>
      <c r="W351" t="str">
        <f t="shared" si="138"/>
        <v>Support</v>
      </c>
      <c r="X351">
        <f>survey_responses[[#This Row],[Tôi tin rằng Nhà nước, cơ quan thuế có đủ khả năng và công nghệ để phát hiện, xử lý nghiêm các hành vi trốn thuế. - HUMAN-ENF2]]</f>
        <v>7</v>
      </c>
      <c r="Y351" t="str">
        <f t="shared" si="139"/>
        <v>Neutral</v>
      </c>
      <c r="Z351" s="32">
        <f t="shared" si="140"/>
        <v>1</v>
      </c>
      <c r="AA351">
        <f>step3_validation[[#This Row],[AI_FAC1]]</f>
        <v>9</v>
      </c>
      <c r="AB351" t="str">
        <f t="shared" si="141"/>
        <v>Support</v>
      </c>
      <c r="AC351">
        <f>survey_responses[[#This Row],[Các thủ tục khai báo thuế VÀ/HOẶC quy trình làm việc với cơ quan thuế đơn giản, tiện lợi, nhanh chóng hơn so với trước đây. - HUMAN-FAC1]]</f>
        <v>8</v>
      </c>
      <c r="AD351" t="str">
        <f t="shared" si="142"/>
        <v>Support</v>
      </c>
      <c r="AE351" s="32">
        <f t="shared" si="143"/>
        <v>1</v>
      </c>
      <c r="AF351">
        <f>step3_validation[[#This Row],[AI_FAC2]]</f>
        <v>8</v>
      </c>
      <c r="AG351" t="str">
        <f t="shared" si="144"/>
        <v>Support</v>
      </c>
      <c r="AH351">
        <f>survey_responses[[#This Row],[So với trước đây, tôi thấy cách tính thuế và các bậc thuế trong phương án mới đơn giản, dễ hiểu và dễ thực hiện hơn. - HUMAN-FAC2]]</f>
        <v>8</v>
      </c>
      <c r="AI351" t="str">
        <f t="shared" si="145"/>
        <v>Support</v>
      </c>
      <c r="AJ351" s="32">
        <f t="shared" si="146"/>
        <v>0</v>
      </c>
      <c r="AK351">
        <f>step3_validation[[#This Row],[AI_TRU1]]</f>
        <v>9</v>
      </c>
      <c r="AL351" t="str">
        <f t="shared" si="147"/>
        <v>Support</v>
      </c>
      <c r="AM351">
        <f>survey_responses[[#This Row],[Tôi tin rằng Nhà nước, cơ quan thuế sẽ thực thi chính sách mới một cách khách quan, công tâm và đối xử bình đẳng với mọi người nộp thuế.  - HUMAN-TRU1]]</f>
        <v>7</v>
      </c>
      <c r="AN351" t="str">
        <f t="shared" si="148"/>
        <v>Neutral</v>
      </c>
      <c r="AO351" s="32">
        <f t="shared" si="149"/>
        <v>2</v>
      </c>
      <c r="AP351">
        <f>step3_validation[[#This Row],[AI_TRU2]]</f>
        <v>8</v>
      </c>
      <c r="AQ351" t="str">
        <f t="shared" si="150"/>
        <v>Support</v>
      </c>
      <c r="AR351">
        <f>survey_responses[[#This Row],[Tôi thấy mức thuế tôi phải đóng theo phương án mới là công bằng (người thu nhập như tôi đóng mức này là hợp lý). - HUMAN-TRU2]]</f>
        <v>7</v>
      </c>
      <c r="AS351" t="str">
        <f t="shared" si="151"/>
        <v>Neutral</v>
      </c>
      <c r="AT351" s="32">
        <f t="shared" si="152"/>
        <v>1</v>
      </c>
      <c r="AU351">
        <f>step3_validation[[#This Row],[AI_TRU3]]</f>
        <v>9</v>
      </c>
      <c r="AV351" t="str">
        <f t="shared" si="153"/>
        <v>Support</v>
      </c>
      <c r="AW351">
        <f>survey_responses[[#This Row],[Tôi tin tưởng số tiền thuế tôi đóng sẽ được Nhà nước sử dụng hiệu quả để cải thiện dịch vụ công (y tế, đường xá...). - HUMAN-TRU3]]</f>
        <v>8</v>
      </c>
      <c r="AX351" t="str">
        <f t="shared" si="154"/>
        <v>Support</v>
      </c>
      <c r="AY351" s="32">
        <f t="shared" si="155"/>
        <v>1</v>
      </c>
      <c r="AZ351">
        <f>step3_validation[[#This Row],[AI_TRU4]]</f>
        <v>8</v>
      </c>
      <c r="BA351" t="str">
        <f t="shared" si="156"/>
        <v>Support</v>
      </c>
      <c r="BB351">
        <f>survey_responses[[#This Row],[Tôi thấy Nhà nước đã giải thích rõ ràng, minh bạch về lý do và mục tiêu của việc sửa đổi thuế lần này. - HUMAN-TRU4]]</f>
        <v>7</v>
      </c>
      <c r="BC351" t="str">
        <f t="shared" si="157"/>
        <v>Neutral</v>
      </c>
      <c r="BD351" s="32">
        <f t="shared" si="158"/>
        <v>1</v>
      </c>
      <c r="BE351">
        <f>step3_validation[[#This Row],[AI_OUT1]]</f>
        <v>9</v>
      </c>
      <c r="BF351" t="str">
        <f t="shared" si="159"/>
        <v>Support</v>
      </c>
      <c r="BG351">
        <f>survey_responses[[#This Row],[Sau khi xem xét các quyền lợi và nghĩa vụ, bạn có ủng hộ và tuân thủ chính sách mới hiện nay? - HUMAN-OUT1]]</f>
        <v>8</v>
      </c>
      <c r="BH351" t="str">
        <f t="shared" si="160"/>
        <v>Support</v>
      </c>
      <c r="BI351" s="32">
        <f t="shared" si="161"/>
        <v>1</v>
      </c>
    </row>
    <row r="352" spans="1:61" x14ac:dyDescent="0.45">
      <c r="A352" s="30">
        <f>step3_validation[[#This Row],[Persona_ID]]</f>
        <v>351</v>
      </c>
      <c r="B352" s="31">
        <f>step3_validation[[#This Row],[Used_Seed]]</f>
        <v>12695</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35.271364870345501</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t="str">
        <f t="shared" si="135"/>
        <v>Neutral</v>
      </c>
      <c r="S352">
        <f>survey_responses[[#This Row],[Tôi tin rằng với các quy định quản lý thuế hiện nay, hành vi gian lận hoặc trốn thuế sẽ dễ dàng bị phát hiện và xử lý nghiêm. - HUMAN-ENF1]]</f>
        <v>8</v>
      </c>
      <c r="T352" t="str">
        <f t="shared" si="136"/>
        <v>Support</v>
      </c>
      <c r="U352" s="32">
        <f t="shared" si="137"/>
        <v>1</v>
      </c>
      <c r="V352">
        <f>step3_validation[[#This Row],[AI_ENF2]]</f>
        <v>7</v>
      </c>
      <c r="W352" t="str">
        <f t="shared" si="138"/>
        <v>Neutral</v>
      </c>
      <c r="X352">
        <f>survey_responses[[#This Row],[Tôi tin rằng Nhà nước, cơ quan thuế có đủ khả năng và công nghệ để phát hiện, xử lý nghiêm các hành vi trốn thuế. - HUMAN-ENF2]]</f>
        <v>8</v>
      </c>
      <c r="Y352" t="str">
        <f t="shared" si="139"/>
        <v>Support</v>
      </c>
      <c r="Z352" s="32">
        <f t="shared" si="140"/>
        <v>1</v>
      </c>
      <c r="AA352">
        <f>step3_validation[[#This Row],[AI_FAC1]]</f>
        <v>8</v>
      </c>
      <c r="AB352" t="str">
        <f t="shared" si="141"/>
        <v>Support</v>
      </c>
      <c r="AC352">
        <f>survey_responses[[#This Row],[Các thủ tục khai báo thuế VÀ/HOẶC quy trình làm việc với cơ quan thuế đơn giản, tiện lợi, nhanh chóng hơn so với trước đây. - HUMAN-FAC1]]</f>
        <v>6</v>
      </c>
      <c r="AD352" t="str">
        <f t="shared" si="142"/>
        <v>Neutral</v>
      </c>
      <c r="AE352" s="32">
        <f t="shared" si="143"/>
        <v>2</v>
      </c>
      <c r="AF352">
        <f>step3_validation[[#This Row],[AI_FAC2]]</f>
        <v>9</v>
      </c>
      <c r="AG352" t="str">
        <f t="shared" si="144"/>
        <v>Support</v>
      </c>
      <c r="AH352">
        <f>survey_responses[[#This Row],[So với trước đây, tôi thấy cách tính thuế và các bậc thuế trong phương án mới đơn giản, dễ hiểu và dễ thực hiện hơn. - HUMAN-FAC2]]</f>
        <v>7</v>
      </c>
      <c r="AI352" t="str">
        <f t="shared" si="145"/>
        <v>Neutral</v>
      </c>
      <c r="AJ352" s="32">
        <f t="shared" si="146"/>
        <v>2</v>
      </c>
      <c r="AK352">
        <f>step3_validation[[#This Row],[AI_TRU1]]</f>
        <v>7</v>
      </c>
      <c r="AL352" t="str">
        <f t="shared" si="147"/>
        <v>Neutral</v>
      </c>
      <c r="AM352">
        <f>survey_responses[[#This Row],[Tôi tin rằng Nhà nước, cơ quan thuế sẽ thực thi chính sách mới một cách khách quan, công tâm và đối xử bình đẳng với mọi người nộp thuế.  - HUMAN-TRU1]]</f>
        <v>6</v>
      </c>
      <c r="AN352" t="str">
        <f t="shared" si="148"/>
        <v>Neutral</v>
      </c>
      <c r="AO352" s="32">
        <f t="shared" si="149"/>
        <v>1</v>
      </c>
      <c r="AP352">
        <f>step3_validation[[#This Row],[AI_TRU2]]</f>
        <v>9</v>
      </c>
      <c r="AQ352" t="str">
        <f t="shared" si="150"/>
        <v>Support</v>
      </c>
      <c r="AR352">
        <f>survey_responses[[#This Row],[Tôi thấy mức thuế tôi phải đóng theo phương án mới là công bằng (người thu nhập như tôi đóng mức này là hợp lý). - HUMAN-TRU2]]</f>
        <v>7</v>
      </c>
      <c r="AS352" t="str">
        <f t="shared" si="151"/>
        <v>Neutral</v>
      </c>
      <c r="AT352" s="32">
        <f t="shared" si="152"/>
        <v>2</v>
      </c>
      <c r="AU352">
        <f>step3_validation[[#This Row],[AI_TRU3]]</f>
        <v>7</v>
      </c>
      <c r="AV352" t="str">
        <f t="shared" si="153"/>
        <v>Neutral</v>
      </c>
      <c r="AW352">
        <f>survey_responses[[#This Row],[Tôi tin tưởng số tiền thuế tôi đóng sẽ được Nhà nước sử dụng hiệu quả để cải thiện dịch vụ công (y tế, đường xá...). - HUMAN-TRU3]]</f>
        <v>5</v>
      </c>
      <c r="AX352" t="str">
        <f t="shared" si="154"/>
        <v>Neutral</v>
      </c>
      <c r="AY352" s="32">
        <f t="shared" si="155"/>
        <v>2</v>
      </c>
      <c r="AZ352">
        <f>step3_validation[[#This Row],[AI_TRU4]]</f>
        <v>8</v>
      </c>
      <c r="BA352" t="str">
        <f t="shared" si="156"/>
        <v>Support</v>
      </c>
      <c r="BB352">
        <f>survey_responses[[#This Row],[Tôi thấy Nhà nước đã giải thích rõ ràng, minh bạch về lý do và mục tiêu của việc sửa đổi thuế lần này. - HUMAN-TRU4]]</f>
        <v>7</v>
      </c>
      <c r="BC352" t="str">
        <f t="shared" si="157"/>
        <v>Neutral</v>
      </c>
      <c r="BD352" s="32">
        <f t="shared" si="158"/>
        <v>1</v>
      </c>
      <c r="BE352">
        <f>step3_validation[[#This Row],[AI_OUT1]]</f>
        <v>9</v>
      </c>
      <c r="BF352" t="str">
        <f t="shared" si="159"/>
        <v>Support</v>
      </c>
      <c r="BG352">
        <f>survey_responses[[#This Row],[Sau khi xem xét các quyền lợi và nghĩa vụ, bạn có ủng hộ và tuân thủ chính sách mới hiện nay? - HUMAN-OUT1]]</f>
        <v>7</v>
      </c>
      <c r="BH352" t="str">
        <f t="shared" si="160"/>
        <v>Neutral</v>
      </c>
      <c r="BI352" s="32">
        <f t="shared" si="161"/>
        <v>2</v>
      </c>
    </row>
    <row r="353" spans="1:61" x14ac:dyDescent="0.45">
      <c r="A353" s="30">
        <f>step3_validation[[#This Row],[Persona_ID]]</f>
        <v>352</v>
      </c>
      <c r="B353" s="31">
        <f>step3_validation[[#This Row],[Used_Seed]]</f>
        <v>12696</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27.965344578082892</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7</v>
      </c>
      <c r="R353" t="str">
        <f t="shared" si="135"/>
        <v>Neutral</v>
      </c>
      <c r="S353">
        <f>survey_responses[[#This Row],[Tôi tin rằng với các quy định quản lý thuế hiện nay, hành vi gian lận hoặc trốn thuế sẽ dễ dàng bị phát hiện và xử lý nghiêm. - HUMAN-ENF1]]</f>
        <v>6</v>
      </c>
      <c r="T353" t="str">
        <f t="shared" si="136"/>
        <v>Neutral</v>
      </c>
      <c r="U353" s="32">
        <f t="shared" si="137"/>
        <v>1</v>
      </c>
      <c r="V353">
        <f>step3_validation[[#This Row],[AI_ENF2]]</f>
        <v>8</v>
      </c>
      <c r="W353" t="str">
        <f t="shared" si="138"/>
        <v>Support</v>
      </c>
      <c r="X353">
        <f>survey_responses[[#This Row],[Tôi tin rằng Nhà nước, cơ quan thuế có đủ khả năng và công nghệ để phát hiện, xử lý nghiêm các hành vi trốn thuế. - HUMAN-ENF2]]</f>
        <v>6</v>
      </c>
      <c r="Y353" t="str">
        <f t="shared" si="139"/>
        <v>Neutral</v>
      </c>
      <c r="Z353" s="32">
        <f t="shared" si="140"/>
        <v>2</v>
      </c>
      <c r="AA353">
        <f>step3_validation[[#This Row],[AI_FAC1]]</f>
        <v>9</v>
      </c>
      <c r="AB353" t="str">
        <f t="shared" si="141"/>
        <v>Support</v>
      </c>
      <c r="AC353">
        <f>survey_responses[[#This Row],[Các thủ tục khai báo thuế VÀ/HOẶC quy trình làm việc với cơ quan thuế đơn giản, tiện lợi, nhanh chóng hơn so với trước đây. - HUMAN-FAC1]]</f>
        <v>8</v>
      </c>
      <c r="AD353" t="str">
        <f t="shared" si="142"/>
        <v>Support</v>
      </c>
      <c r="AE353" s="32">
        <f t="shared" si="143"/>
        <v>1</v>
      </c>
      <c r="AF353">
        <f>step3_validation[[#This Row],[AI_FAC2]]</f>
        <v>8</v>
      </c>
      <c r="AG353" t="str">
        <f t="shared" si="144"/>
        <v>Support</v>
      </c>
      <c r="AH353">
        <f>survey_responses[[#This Row],[So với trước đây, tôi thấy cách tính thuế và các bậc thuế trong phương án mới đơn giản, dễ hiểu và dễ thực hiện hơn. - HUMAN-FAC2]]</f>
        <v>7</v>
      </c>
      <c r="AI353" t="str">
        <f t="shared" si="145"/>
        <v>Neutral</v>
      </c>
      <c r="AJ353" s="32">
        <f t="shared" si="146"/>
        <v>1</v>
      </c>
      <c r="AK353">
        <f>step3_validation[[#This Row],[AI_TRU1]]</f>
        <v>7</v>
      </c>
      <c r="AL353" t="str">
        <f t="shared" si="147"/>
        <v>Neutral</v>
      </c>
      <c r="AM353">
        <f>survey_responses[[#This Row],[Tôi tin rằng Nhà nước, cơ quan thuế sẽ thực thi chính sách mới một cách khách quan, công tâm và đối xử bình đẳng với mọi người nộp thuế.  - HUMAN-TRU1]]</f>
        <v>7</v>
      </c>
      <c r="AN353" t="str">
        <f t="shared" si="148"/>
        <v>Neutral</v>
      </c>
      <c r="AO353" s="32">
        <f t="shared" si="149"/>
        <v>0</v>
      </c>
      <c r="AP353">
        <f>step3_validation[[#This Row],[AI_TRU2]]</f>
        <v>9</v>
      </c>
      <c r="AQ353" t="str">
        <f t="shared" si="150"/>
        <v>Support</v>
      </c>
      <c r="AR353">
        <f>survey_responses[[#This Row],[Tôi thấy mức thuế tôi phải đóng theo phương án mới là công bằng (người thu nhập như tôi đóng mức này là hợp lý). - HUMAN-TRU2]]</f>
        <v>7</v>
      </c>
      <c r="AS353" t="str">
        <f t="shared" si="151"/>
        <v>Neutral</v>
      </c>
      <c r="AT353" s="32">
        <f t="shared" si="152"/>
        <v>2</v>
      </c>
      <c r="AU353">
        <f>step3_validation[[#This Row],[AI_TRU3]]</f>
        <v>8</v>
      </c>
      <c r="AV353" t="str">
        <f t="shared" si="153"/>
        <v>Support</v>
      </c>
      <c r="AW353">
        <f>survey_responses[[#This Row],[Tôi tin tưởng số tiền thuế tôi đóng sẽ được Nhà nước sử dụng hiệu quả để cải thiện dịch vụ công (y tế, đường xá...). - HUMAN-TRU3]]</f>
        <v>5</v>
      </c>
      <c r="AX353" t="str">
        <f t="shared" si="154"/>
        <v>Neutral</v>
      </c>
      <c r="AY353" s="32">
        <f t="shared" si="155"/>
        <v>3</v>
      </c>
      <c r="AZ353">
        <f>step3_validation[[#This Row],[AI_TRU4]]</f>
        <v>9</v>
      </c>
      <c r="BA353" t="str">
        <f t="shared" si="156"/>
        <v>Support</v>
      </c>
      <c r="BB353">
        <f>survey_responses[[#This Row],[Tôi thấy Nhà nước đã giải thích rõ ràng, minh bạch về lý do và mục tiêu của việc sửa đổi thuế lần này. - HUMAN-TRU4]]</f>
        <v>6</v>
      </c>
      <c r="BC353" t="str">
        <f t="shared" si="157"/>
        <v>Neutral</v>
      </c>
      <c r="BD353" s="32">
        <f t="shared" si="158"/>
        <v>3</v>
      </c>
      <c r="BE353">
        <f>step3_validation[[#This Row],[AI_OUT1]]</f>
        <v>8</v>
      </c>
      <c r="BF353" t="str">
        <f t="shared" si="159"/>
        <v>Support</v>
      </c>
      <c r="BG353">
        <f>survey_responses[[#This Row],[Sau khi xem xét các quyền lợi và nghĩa vụ, bạn có ủng hộ và tuân thủ chính sách mới hiện nay? - HUMAN-OUT1]]</f>
        <v>7</v>
      </c>
      <c r="BH353" t="str">
        <f t="shared" si="160"/>
        <v>Neutral</v>
      </c>
      <c r="BI353" s="32">
        <f t="shared" si="161"/>
        <v>1</v>
      </c>
    </row>
    <row r="354" spans="1:61" x14ac:dyDescent="0.45">
      <c r="A354" s="30">
        <f>step3_validation[[#This Row],[Persona_ID]]</f>
        <v>353</v>
      </c>
      <c r="B354" s="31">
        <f>step3_validation[[#This Row],[Used_Seed]]</f>
        <v>12697</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84.867868707700836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t="str">
        <f t="shared" si="135"/>
        <v>Neutral</v>
      </c>
      <c r="S354">
        <f>survey_responses[[#This Row],[Tôi tin rằng với các quy định quản lý thuế hiện nay, hành vi gian lận hoặc trốn thuế sẽ dễ dàng bị phát hiện và xử lý nghiêm. - HUMAN-ENF1]]</f>
        <v>7</v>
      </c>
      <c r="T354" t="str">
        <f t="shared" si="136"/>
        <v>Neutral</v>
      </c>
      <c r="U354" s="32">
        <f t="shared" si="137"/>
        <v>0</v>
      </c>
      <c r="V354">
        <f>step3_validation[[#This Row],[AI_ENF2]]</f>
        <v>8</v>
      </c>
      <c r="W354" t="str">
        <f t="shared" si="138"/>
        <v>Support</v>
      </c>
      <c r="X354">
        <f>survey_responses[[#This Row],[Tôi tin rằng Nhà nước, cơ quan thuế có đủ khả năng và công nghệ để phát hiện, xử lý nghiêm các hành vi trốn thuế. - HUMAN-ENF2]]</f>
        <v>7</v>
      </c>
      <c r="Y354" t="str">
        <f t="shared" si="139"/>
        <v>Neutral</v>
      </c>
      <c r="Z354" s="32">
        <f t="shared" si="140"/>
        <v>1</v>
      </c>
      <c r="AA354">
        <f>step3_validation[[#This Row],[AI_FAC1]]</f>
        <v>9</v>
      </c>
      <c r="AB354" t="str">
        <f t="shared" si="141"/>
        <v>Support</v>
      </c>
      <c r="AC354">
        <f>survey_responses[[#This Row],[Các thủ tục khai báo thuế VÀ/HOẶC quy trình làm việc với cơ quan thuế đơn giản, tiện lợi, nhanh chóng hơn so với trước đây. - HUMAN-FAC1]]</f>
        <v>8</v>
      </c>
      <c r="AD354" t="str">
        <f t="shared" si="142"/>
        <v>Support</v>
      </c>
      <c r="AE354" s="32">
        <f t="shared" si="143"/>
        <v>1</v>
      </c>
      <c r="AF354">
        <f>step3_validation[[#This Row],[AI_FAC2]]</f>
        <v>9</v>
      </c>
      <c r="AG354" t="str">
        <f t="shared" si="144"/>
        <v>Support</v>
      </c>
      <c r="AH354">
        <f>survey_responses[[#This Row],[So với trước đây, tôi thấy cách tính thuế và các bậc thuế trong phương án mới đơn giản, dễ hiểu và dễ thực hiện hơn. - HUMAN-FAC2]]</f>
        <v>8</v>
      </c>
      <c r="AI354" t="str">
        <f t="shared" si="145"/>
        <v>Support</v>
      </c>
      <c r="AJ354" s="32">
        <f t="shared" si="146"/>
        <v>1</v>
      </c>
      <c r="AK354">
        <f>step3_validation[[#This Row],[AI_TRU1]]</f>
        <v>8</v>
      </c>
      <c r="AL354" t="str">
        <f t="shared" si="147"/>
        <v>Support</v>
      </c>
      <c r="AM354">
        <f>survey_responses[[#This Row],[Tôi tin rằng Nhà nước, cơ quan thuế sẽ thực thi chính sách mới một cách khách quan, công tâm và đối xử bình đẳng với mọi người nộp thuế.  - HUMAN-TRU1]]</f>
        <v>6</v>
      </c>
      <c r="AN354" t="str">
        <f t="shared" si="148"/>
        <v>Neutral</v>
      </c>
      <c r="AO354" s="32">
        <f t="shared" si="149"/>
        <v>2</v>
      </c>
      <c r="AP354">
        <f>step3_validation[[#This Row],[AI_TRU2]]</f>
        <v>9</v>
      </c>
      <c r="AQ354" t="str">
        <f t="shared" si="150"/>
        <v>Support</v>
      </c>
      <c r="AR354">
        <f>survey_responses[[#This Row],[Tôi thấy mức thuế tôi phải đóng theo phương án mới là công bằng (người thu nhập như tôi đóng mức này là hợp lý). - HUMAN-TRU2]]</f>
        <v>7</v>
      </c>
      <c r="AS354" t="str">
        <f t="shared" si="151"/>
        <v>Neutral</v>
      </c>
      <c r="AT354" s="32">
        <f t="shared" si="152"/>
        <v>2</v>
      </c>
      <c r="AU354">
        <f>step3_validation[[#This Row],[AI_TRU3]]</f>
        <v>8</v>
      </c>
      <c r="AV354" t="str">
        <f t="shared" si="153"/>
        <v>Support</v>
      </c>
      <c r="AW354">
        <f>survey_responses[[#This Row],[Tôi tin tưởng số tiền thuế tôi đóng sẽ được Nhà nước sử dụng hiệu quả để cải thiện dịch vụ công (y tế, đường xá...). - HUMAN-TRU3]]</f>
        <v>5</v>
      </c>
      <c r="AX354" t="str">
        <f t="shared" si="154"/>
        <v>Neutral</v>
      </c>
      <c r="AY354" s="32">
        <f t="shared" si="155"/>
        <v>3</v>
      </c>
      <c r="AZ354">
        <f>step3_validation[[#This Row],[AI_TRU4]]</f>
        <v>9</v>
      </c>
      <c r="BA354" t="str">
        <f t="shared" si="156"/>
        <v>Support</v>
      </c>
      <c r="BB354">
        <f>survey_responses[[#This Row],[Tôi thấy Nhà nước đã giải thích rõ ràng, minh bạch về lý do và mục tiêu của việc sửa đổi thuế lần này. - HUMAN-TRU4]]</f>
        <v>7</v>
      </c>
      <c r="BC354" t="str">
        <f t="shared" si="157"/>
        <v>Neutral</v>
      </c>
      <c r="BD354" s="32">
        <f t="shared" si="158"/>
        <v>2</v>
      </c>
      <c r="BE354">
        <f>step3_validation[[#This Row],[AI_OUT1]]</f>
        <v>8</v>
      </c>
      <c r="BF354" t="str">
        <f t="shared" si="159"/>
        <v>Support</v>
      </c>
      <c r="BG354">
        <f>survey_responses[[#This Row],[Sau khi xem xét các quyền lợi và nghĩa vụ, bạn có ủng hộ và tuân thủ chính sách mới hiện nay? - HUMAN-OUT1]]</f>
        <v>7</v>
      </c>
      <c r="BH354" t="str">
        <f t="shared" si="160"/>
        <v>Neutral</v>
      </c>
      <c r="BI354" s="32">
        <f t="shared" si="161"/>
        <v>1</v>
      </c>
    </row>
    <row r="355" spans="1:61" x14ac:dyDescent="0.45">
      <c r="A355" s="30">
        <f>step3_validation[[#This Row],[Persona_ID]]</f>
        <v>354</v>
      </c>
      <c r="B355" s="31">
        <f>step3_validation[[#This Row],[Used_Seed]]</f>
        <v>12698</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13.292739428794732</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6</v>
      </c>
      <c r="R355" t="str">
        <f t="shared" si="135"/>
        <v>Neutral</v>
      </c>
      <c r="S355">
        <f>survey_responses[[#This Row],[Tôi tin rằng với các quy định quản lý thuế hiện nay, hành vi gian lận hoặc trốn thuế sẽ dễ dàng bị phát hiện và xử lý nghiêm. - HUMAN-ENF1]]</f>
        <v>9</v>
      </c>
      <c r="T355" t="str">
        <f t="shared" si="136"/>
        <v>Support</v>
      </c>
      <c r="U355" s="32">
        <f t="shared" si="137"/>
        <v>3</v>
      </c>
      <c r="V355">
        <f>step3_validation[[#This Row],[AI_ENF2]]</f>
        <v>6</v>
      </c>
      <c r="W355" t="str">
        <f t="shared" si="138"/>
        <v>Neutral</v>
      </c>
      <c r="X355">
        <f>survey_responses[[#This Row],[Tôi tin rằng Nhà nước, cơ quan thuế có đủ khả năng và công nghệ để phát hiện, xử lý nghiêm các hành vi trốn thuế. - HUMAN-ENF2]]</f>
        <v>9</v>
      </c>
      <c r="Y355" t="str">
        <f t="shared" si="139"/>
        <v>Support</v>
      </c>
      <c r="Z355" s="32">
        <f t="shared" si="140"/>
        <v>3</v>
      </c>
      <c r="AA355">
        <f>step3_validation[[#This Row],[AI_FAC1]]</f>
        <v>9</v>
      </c>
      <c r="AB355" t="str">
        <f t="shared" si="141"/>
        <v>Support</v>
      </c>
      <c r="AC355">
        <f>survey_responses[[#This Row],[Các thủ tục khai báo thuế VÀ/HOẶC quy trình làm việc với cơ quan thuế đơn giản, tiện lợi, nhanh chóng hơn so với trước đây. - HUMAN-FAC1]]</f>
        <v>10</v>
      </c>
      <c r="AD355" t="str">
        <f t="shared" si="142"/>
        <v>Support</v>
      </c>
      <c r="AE355" s="32">
        <f t="shared" si="143"/>
        <v>1</v>
      </c>
      <c r="AF355">
        <f>step3_validation[[#This Row],[AI_FAC2]]</f>
        <v>9</v>
      </c>
      <c r="AG355" t="str">
        <f t="shared" si="144"/>
        <v>Support</v>
      </c>
      <c r="AH355">
        <f>survey_responses[[#This Row],[So với trước đây, tôi thấy cách tính thuế và các bậc thuế trong phương án mới đơn giản, dễ hiểu và dễ thực hiện hơn. - HUMAN-FAC2]]</f>
        <v>10</v>
      </c>
      <c r="AI355" t="str">
        <f t="shared" si="145"/>
        <v>Support</v>
      </c>
      <c r="AJ355" s="32">
        <f t="shared" si="146"/>
        <v>1</v>
      </c>
      <c r="AK355">
        <f>step3_validation[[#This Row],[AI_TRU1]]</f>
        <v>8</v>
      </c>
      <c r="AL355" t="str">
        <f t="shared" si="147"/>
        <v>Support</v>
      </c>
      <c r="AM355">
        <f>survey_responses[[#This Row],[Tôi tin rằng Nhà nước, cơ quan thuế sẽ thực thi chính sách mới một cách khách quan, công tâm và đối xử bình đẳng với mọi người nộp thuế.  - HUMAN-TRU1]]</f>
        <v>9</v>
      </c>
      <c r="AN355" t="str">
        <f t="shared" si="148"/>
        <v>Support</v>
      </c>
      <c r="AO355" s="32">
        <f t="shared" si="149"/>
        <v>1</v>
      </c>
      <c r="AP355">
        <f>step3_validation[[#This Row],[AI_TRU2]]</f>
        <v>8</v>
      </c>
      <c r="AQ355" t="str">
        <f t="shared" si="150"/>
        <v>Support</v>
      </c>
      <c r="AR355">
        <f>survey_responses[[#This Row],[Tôi thấy mức thuế tôi phải đóng theo phương án mới là công bằng (người thu nhập như tôi đóng mức này là hợp lý). - HUMAN-TRU2]]</f>
        <v>10</v>
      </c>
      <c r="AS355" t="str">
        <f t="shared" si="151"/>
        <v>Support</v>
      </c>
      <c r="AT355" s="32">
        <f t="shared" si="152"/>
        <v>2</v>
      </c>
      <c r="AU355">
        <f>step3_validation[[#This Row],[AI_TRU3]]</f>
        <v>7</v>
      </c>
      <c r="AV355" t="str">
        <f t="shared" si="153"/>
        <v>Neutral</v>
      </c>
      <c r="AW355">
        <f>survey_responses[[#This Row],[Tôi tin tưởng số tiền thuế tôi đóng sẽ được Nhà nước sử dụng hiệu quả để cải thiện dịch vụ công (y tế, đường xá...). - HUMAN-TRU3]]</f>
        <v>8</v>
      </c>
      <c r="AX355" t="str">
        <f t="shared" si="154"/>
        <v>Support</v>
      </c>
      <c r="AY355" s="32">
        <f t="shared" si="155"/>
        <v>1</v>
      </c>
      <c r="AZ355">
        <f>step3_validation[[#This Row],[AI_TRU4]]</f>
        <v>6</v>
      </c>
      <c r="BA355" t="str">
        <f t="shared" si="156"/>
        <v>Neutral</v>
      </c>
      <c r="BB355">
        <f>survey_responses[[#This Row],[Tôi thấy Nhà nước đã giải thích rõ ràng, minh bạch về lý do và mục tiêu của việc sửa đổi thuế lần này. - HUMAN-TRU4]]</f>
        <v>8</v>
      </c>
      <c r="BC355" t="str">
        <f t="shared" si="157"/>
        <v>Support</v>
      </c>
      <c r="BD355" s="32">
        <f t="shared" si="158"/>
        <v>2</v>
      </c>
      <c r="BE355">
        <f>step3_validation[[#This Row],[AI_OUT1]]</f>
        <v>8</v>
      </c>
      <c r="BF355" t="str">
        <f t="shared" si="159"/>
        <v>Support</v>
      </c>
      <c r="BG355">
        <f>survey_responses[[#This Row],[Sau khi xem xét các quyền lợi và nghĩa vụ, bạn có ủng hộ và tuân thủ chính sách mới hiện nay? - HUMAN-OUT1]]</f>
        <v>9</v>
      </c>
      <c r="BH355" t="str">
        <f t="shared" si="160"/>
        <v>Support</v>
      </c>
      <c r="BI355" s="32">
        <f t="shared" si="161"/>
        <v>1</v>
      </c>
    </row>
    <row r="356" spans="1:61" x14ac:dyDescent="0.45">
      <c r="A356" s="30">
        <f>step3_validation[[#This Row],[Persona_ID]]</f>
        <v>355</v>
      </c>
      <c r="B356" s="31">
        <f>step3_validation[[#This Row],[Used_Seed]]</f>
        <v>12699</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12.502771161707546</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8</v>
      </c>
      <c r="R356" t="str">
        <f t="shared" si="135"/>
        <v>Support</v>
      </c>
      <c r="S356">
        <f>survey_responses[[#This Row],[Tôi tin rằng với các quy định quản lý thuế hiện nay, hành vi gian lận hoặc trốn thuế sẽ dễ dàng bị phát hiện và xử lý nghiêm. - HUMAN-ENF1]]</f>
        <v>7</v>
      </c>
      <c r="T356" t="str">
        <f t="shared" si="136"/>
        <v>Neutral</v>
      </c>
      <c r="U356" s="32">
        <f t="shared" si="137"/>
        <v>1</v>
      </c>
      <c r="V356">
        <f>step3_validation[[#This Row],[AI_ENF2]]</f>
        <v>7</v>
      </c>
      <c r="W356" t="str">
        <f t="shared" si="138"/>
        <v>Neutral</v>
      </c>
      <c r="X356">
        <f>survey_responses[[#This Row],[Tôi tin rằng Nhà nước, cơ quan thuế có đủ khả năng và công nghệ để phát hiện, xử lý nghiêm các hành vi trốn thuế. - HUMAN-ENF2]]</f>
        <v>8</v>
      </c>
      <c r="Y356" t="str">
        <f t="shared" si="139"/>
        <v>Support</v>
      </c>
      <c r="Z356" s="32">
        <f t="shared" si="140"/>
        <v>1</v>
      </c>
      <c r="AA356">
        <f>step3_validation[[#This Row],[AI_FAC1]]</f>
        <v>9</v>
      </c>
      <c r="AB356" t="str">
        <f t="shared" si="141"/>
        <v>Support</v>
      </c>
      <c r="AC356">
        <f>survey_responses[[#This Row],[Các thủ tục khai báo thuế VÀ/HOẶC quy trình làm việc với cơ quan thuế đơn giản, tiện lợi, nhanh chóng hơn so với trước đây. - HUMAN-FAC1]]</f>
        <v>8</v>
      </c>
      <c r="AD356" t="str">
        <f t="shared" si="142"/>
        <v>Support</v>
      </c>
      <c r="AE356" s="32">
        <f t="shared" si="143"/>
        <v>1</v>
      </c>
      <c r="AF356">
        <f>step3_validation[[#This Row],[AI_FAC2]]</f>
        <v>10</v>
      </c>
      <c r="AG356" t="str">
        <f t="shared" si="144"/>
        <v>Support</v>
      </c>
      <c r="AH356">
        <f>survey_responses[[#This Row],[So với trước đây, tôi thấy cách tính thuế và các bậc thuế trong phương án mới đơn giản, dễ hiểu và dễ thực hiện hơn. - HUMAN-FAC2]]</f>
        <v>9</v>
      </c>
      <c r="AI356" t="str">
        <f t="shared" si="145"/>
        <v>Support</v>
      </c>
      <c r="AJ356" s="32">
        <f t="shared" si="146"/>
        <v>1</v>
      </c>
      <c r="AK356">
        <f>step3_validation[[#This Row],[AI_TRU1]]</f>
        <v>9</v>
      </c>
      <c r="AL356" t="str">
        <f t="shared" si="147"/>
        <v>Support</v>
      </c>
      <c r="AM356">
        <f>survey_responses[[#This Row],[Tôi tin rằng Nhà nước, cơ quan thuế sẽ thực thi chính sách mới một cách khách quan, công tâm và đối xử bình đẳng với mọi người nộp thuế.  - HUMAN-TRU1]]</f>
        <v>8</v>
      </c>
      <c r="AN356" t="str">
        <f t="shared" si="148"/>
        <v>Support</v>
      </c>
      <c r="AO356" s="32">
        <f t="shared" si="149"/>
        <v>1</v>
      </c>
      <c r="AP356">
        <f>step3_validation[[#This Row],[AI_TRU2]]</f>
        <v>8</v>
      </c>
      <c r="AQ356" t="str">
        <f t="shared" si="150"/>
        <v>Support</v>
      </c>
      <c r="AR356">
        <f>survey_responses[[#This Row],[Tôi thấy mức thuế tôi phải đóng theo phương án mới là công bằng (người thu nhập như tôi đóng mức này là hợp lý). - HUMAN-TRU2]]</f>
        <v>10</v>
      </c>
      <c r="AS356" t="str">
        <f t="shared" si="151"/>
        <v>Support</v>
      </c>
      <c r="AT356" s="32">
        <f t="shared" si="152"/>
        <v>2</v>
      </c>
      <c r="AU356">
        <f>step3_validation[[#This Row],[AI_TRU3]]</f>
        <v>9</v>
      </c>
      <c r="AV356" t="str">
        <f t="shared" si="153"/>
        <v>Support</v>
      </c>
      <c r="AW356">
        <f>survey_responses[[#This Row],[Tôi tin tưởng số tiền thuế tôi đóng sẽ được Nhà nước sử dụng hiệu quả để cải thiện dịch vụ công (y tế, đường xá...). - HUMAN-TRU3]]</f>
        <v>8</v>
      </c>
      <c r="AX356" t="str">
        <f t="shared" si="154"/>
        <v>Support</v>
      </c>
      <c r="AY356" s="32">
        <f t="shared" si="155"/>
        <v>1</v>
      </c>
      <c r="AZ356">
        <f>step3_validation[[#This Row],[AI_TRU4]]</f>
        <v>7</v>
      </c>
      <c r="BA356" t="str">
        <f t="shared" si="156"/>
        <v>Neutral</v>
      </c>
      <c r="BB356">
        <f>survey_responses[[#This Row],[Tôi thấy Nhà nước đã giải thích rõ ràng, minh bạch về lý do và mục tiêu của việc sửa đổi thuế lần này. - HUMAN-TRU4]]</f>
        <v>8</v>
      </c>
      <c r="BC356" t="str">
        <f t="shared" si="157"/>
        <v>Support</v>
      </c>
      <c r="BD356" s="32">
        <f t="shared" si="158"/>
        <v>1</v>
      </c>
      <c r="BE356">
        <f>step3_validation[[#This Row],[AI_OUT1]]</f>
        <v>9</v>
      </c>
      <c r="BF356" t="str">
        <f t="shared" si="159"/>
        <v>Support</v>
      </c>
      <c r="BG356">
        <f>survey_responses[[#This Row],[Sau khi xem xét các quyền lợi và nghĩa vụ, bạn có ủng hộ và tuân thủ chính sách mới hiện nay? - HUMAN-OUT1]]</f>
        <v>9</v>
      </c>
      <c r="BH356" t="str">
        <f t="shared" si="160"/>
        <v>Support</v>
      </c>
      <c r="BI356" s="32">
        <f t="shared" si="161"/>
        <v>0</v>
      </c>
    </row>
    <row r="357" spans="1:61" x14ac:dyDescent="0.45">
      <c r="A357" s="30">
        <f>step3_validation[[#This Row],[Persona_ID]]</f>
        <v>356</v>
      </c>
      <c r="B357" s="31">
        <f>step3_validation[[#This Row],[Used_Seed]]</f>
        <v>12700</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15.742557486937738</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6</v>
      </c>
      <c r="R357" t="str">
        <f t="shared" si="135"/>
        <v>Neutral</v>
      </c>
      <c r="S357">
        <f>survey_responses[[#This Row],[Tôi tin rằng với các quy định quản lý thuế hiện nay, hành vi gian lận hoặc trốn thuế sẽ dễ dàng bị phát hiện và xử lý nghiêm. - HUMAN-ENF1]]</f>
        <v>7</v>
      </c>
      <c r="T357" t="str">
        <f t="shared" si="136"/>
        <v>Neutral</v>
      </c>
      <c r="U357" s="32">
        <f t="shared" si="137"/>
        <v>1</v>
      </c>
      <c r="V357">
        <f>step3_validation[[#This Row],[AI_ENF2]]</f>
        <v>7</v>
      </c>
      <c r="W357" t="str">
        <f t="shared" si="138"/>
        <v>Neutral</v>
      </c>
      <c r="X357">
        <f>survey_responses[[#This Row],[Tôi tin rằng Nhà nước, cơ quan thuế có đủ khả năng và công nghệ để phát hiện, xử lý nghiêm các hành vi trốn thuế. - HUMAN-ENF2]]</f>
        <v>7</v>
      </c>
      <c r="Y357" t="str">
        <f t="shared" si="139"/>
        <v>Neutral</v>
      </c>
      <c r="Z357" s="32">
        <f t="shared" si="140"/>
        <v>0</v>
      </c>
      <c r="AA357">
        <f>step3_validation[[#This Row],[AI_FAC1]]</f>
        <v>9</v>
      </c>
      <c r="AB357" t="str">
        <f t="shared" si="141"/>
        <v>Support</v>
      </c>
      <c r="AC357">
        <f>survey_responses[[#This Row],[Các thủ tục khai báo thuế VÀ/HOẶC quy trình làm việc với cơ quan thuế đơn giản, tiện lợi, nhanh chóng hơn so với trước đây. - HUMAN-FAC1]]</f>
        <v>8</v>
      </c>
      <c r="AD357" t="str">
        <f t="shared" si="142"/>
        <v>Support</v>
      </c>
      <c r="AE357" s="32">
        <f t="shared" si="143"/>
        <v>1</v>
      </c>
      <c r="AF357">
        <f>step3_validation[[#This Row],[AI_FAC2]]</f>
        <v>8</v>
      </c>
      <c r="AG357" t="str">
        <f t="shared" si="144"/>
        <v>Support</v>
      </c>
      <c r="AH357">
        <f>survey_responses[[#This Row],[So với trước đây, tôi thấy cách tính thuế và các bậc thuế trong phương án mới đơn giản, dễ hiểu và dễ thực hiện hơn. - HUMAN-FAC2]]</f>
        <v>10</v>
      </c>
      <c r="AI357" t="str">
        <f t="shared" si="145"/>
        <v>Support</v>
      </c>
      <c r="AJ357" s="32">
        <f t="shared" si="146"/>
        <v>2</v>
      </c>
      <c r="AK357">
        <f>step3_validation[[#This Row],[AI_TRU1]]</f>
        <v>6</v>
      </c>
      <c r="AL357" t="str">
        <f t="shared" si="147"/>
        <v>Neutral</v>
      </c>
      <c r="AM357">
        <f>survey_responses[[#This Row],[Tôi tin rằng Nhà nước, cơ quan thuế sẽ thực thi chính sách mới một cách khách quan, công tâm và đối xử bình đẳng với mọi người nộp thuế.  - HUMAN-TRU1]]</f>
        <v>9</v>
      </c>
      <c r="AN357" t="str">
        <f t="shared" si="148"/>
        <v>Support</v>
      </c>
      <c r="AO357" s="32">
        <f t="shared" si="149"/>
        <v>3</v>
      </c>
      <c r="AP357">
        <f>step3_validation[[#This Row],[AI_TRU2]]</f>
        <v>8</v>
      </c>
      <c r="AQ357" t="str">
        <f t="shared" si="150"/>
        <v>Support</v>
      </c>
      <c r="AR357">
        <f>survey_responses[[#This Row],[Tôi thấy mức thuế tôi phải đóng theo phương án mới là công bằng (người thu nhập như tôi đóng mức này là hợp lý). - HUMAN-TRU2]]</f>
        <v>10</v>
      </c>
      <c r="AS357" t="str">
        <f t="shared" si="151"/>
        <v>Support</v>
      </c>
      <c r="AT357" s="32">
        <f t="shared" si="152"/>
        <v>2</v>
      </c>
      <c r="AU357">
        <f>step3_validation[[#This Row],[AI_TRU3]]</f>
        <v>7</v>
      </c>
      <c r="AV357" t="str">
        <f t="shared" si="153"/>
        <v>Neutral</v>
      </c>
      <c r="AW357">
        <f>survey_responses[[#This Row],[Tôi tin tưởng số tiền thuế tôi đóng sẽ được Nhà nước sử dụng hiệu quả để cải thiện dịch vụ công (y tế, đường xá...). - HUMAN-TRU3]]</f>
        <v>8</v>
      </c>
      <c r="AX357" t="str">
        <f t="shared" si="154"/>
        <v>Support</v>
      </c>
      <c r="AY357" s="32">
        <f t="shared" si="155"/>
        <v>1</v>
      </c>
      <c r="AZ357">
        <f>step3_validation[[#This Row],[AI_TRU4]]</f>
        <v>8</v>
      </c>
      <c r="BA357" t="str">
        <f t="shared" si="156"/>
        <v>Support</v>
      </c>
      <c r="BB357">
        <f>survey_responses[[#This Row],[Tôi thấy Nhà nước đã giải thích rõ ràng, minh bạch về lý do và mục tiêu của việc sửa đổi thuế lần này. - HUMAN-TRU4]]</f>
        <v>8</v>
      </c>
      <c r="BC357" t="str">
        <f t="shared" si="157"/>
        <v>Support</v>
      </c>
      <c r="BD357" s="32">
        <f t="shared" si="158"/>
        <v>0</v>
      </c>
      <c r="BE357">
        <f>step3_validation[[#This Row],[AI_OUT1]]</f>
        <v>9</v>
      </c>
      <c r="BF357" t="str">
        <f t="shared" si="159"/>
        <v>Support</v>
      </c>
      <c r="BG357">
        <f>survey_responses[[#This Row],[Sau khi xem xét các quyền lợi và nghĩa vụ, bạn có ủng hộ và tuân thủ chính sách mới hiện nay? - HUMAN-OUT1]]</f>
        <v>10</v>
      </c>
      <c r="BH357" t="str">
        <f t="shared" si="160"/>
        <v>Support</v>
      </c>
      <c r="BI357" s="32">
        <f t="shared" si="161"/>
        <v>1</v>
      </c>
    </row>
    <row r="358" spans="1:61" x14ac:dyDescent="0.45">
      <c r="A358" s="30">
        <f>step3_validation[[#This Row],[Persona_ID]]</f>
        <v>357</v>
      </c>
      <c r="B358" s="31">
        <f>step3_validation[[#This Row],[Used_Seed]]</f>
        <v>12701</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25.957773442227086</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9</v>
      </c>
      <c r="R358" t="str">
        <f t="shared" si="135"/>
        <v>Support</v>
      </c>
      <c r="S358">
        <f>survey_responses[[#This Row],[Tôi tin rằng với các quy định quản lý thuế hiện nay, hành vi gian lận hoặc trốn thuế sẽ dễ dàng bị phát hiện và xử lý nghiêm. - HUMAN-ENF1]]</f>
        <v>9</v>
      </c>
      <c r="T358" t="str">
        <f t="shared" si="136"/>
        <v>Support</v>
      </c>
      <c r="U358" s="32">
        <f t="shared" si="137"/>
        <v>0</v>
      </c>
      <c r="V358">
        <f>step3_validation[[#This Row],[AI_ENF2]]</f>
        <v>8</v>
      </c>
      <c r="W358" t="str">
        <f t="shared" si="138"/>
        <v>Support</v>
      </c>
      <c r="X358">
        <f>survey_responses[[#This Row],[Tôi tin rằng Nhà nước, cơ quan thuế có đủ khả năng và công nghệ để phát hiện, xử lý nghiêm các hành vi trốn thuế. - HUMAN-ENF2]]</f>
        <v>9</v>
      </c>
      <c r="Y358" t="str">
        <f t="shared" si="139"/>
        <v>Support</v>
      </c>
      <c r="Z358" s="32">
        <f t="shared" si="140"/>
        <v>1</v>
      </c>
      <c r="AA358">
        <f>step3_validation[[#This Row],[AI_FAC1]]</f>
        <v>9</v>
      </c>
      <c r="AB358" t="str">
        <f t="shared" si="141"/>
        <v>Support</v>
      </c>
      <c r="AC358">
        <f>survey_responses[[#This Row],[Các thủ tục khai báo thuế VÀ/HOẶC quy trình làm việc với cơ quan thuế đơn giản, tiện lợi, nhanh chóng hơn so với trước đây. - HUMAN-FAC1]]</f>
        <v>8</v>
      </c>
      <c r="AD358" t="str">
        <f t="shared" si="142"/>
        <v>Support</v>
      </c>
      <c r="AE358" s="32">
        <f t="shared" si="143"/>
        <v>1</v>
      </c>
      <c r="AF358">
        <f>step3_validation[[#This Row],[AI_FAC2]]</f>
        <v>10</v>
      </c>
      <c r="AG358" t="str">
        <f t="shared" si="144"/>
        <v>Support</v>
      </c>
      <c r="AH358">
        <f>survey_responses[[#This Row],[So với trước đây, tôi thấy cách tính thuế và các bậc thuế trong phương án mới đơn giản, dễ hiểu và dễ thực hiện hơn. - HUMAN-FAC2]]</f>
        <v>9</v>
      </c>
      <c r="AI358" t="str">
        <f t="shared" si="145"/>
        <v>Support</v>
      </c>
      <c r="AJ358" s="32">
        <f t="shared" si="146"/>
        <v>1</v>
      </c>
      <c r="AK358">
        <f>step3_validation[[#This Row],[AI_TRU1]]</f>
        <v>9</v>
      </c>
      <c r="AL358" t="str">
        <f t="shared" si="147"/>
        <v>Support</v>
      </c>
      <c r="AM358">
        <f>survey_responses[[#This Row],[Tôi tin rằng Nhà nước, cơ quan thuế sẽ thực thi chính sách mới một cách khách quan, công tâm và đối xử bình đẳng với mọi người nộp thuế.  - HUMAN-TRU1]]</f>
        <v>8</v>
      </c>
      <c r="AN358" t="str">
        <f t="shared" si="148"/>
        <v>Support</v>
      </c>
      <c r="AO358" s="32">
        <f t="shared" si="149"/>
        <v>1</v>
      </c>
      <c r="AP358">
        <f>step3_validation[[#This Row],[AI_TRU2]]</f>
        <v>8</v>
      </c>
      <c r="AQ358" t="str">
        <f t="shared" si="150"/>
        <v>Support</v>
      </c>
      <c r="AR358">
        <f>survey_responses[[#This Row],[Tôi thấy mức thuế tôi phải đóng theo phương án mới là công bằng (người thu nhập như tôi đóng mức này là hợp lý). - HUMAN-TRU2]]</f>
        <v>8</v>
      </c>
      <c r="AS358" t="str">
        <f t="shared" si="151"/>
        <v>Support</v>
      </c>
      <c r="AT358" s="32">
        <f t="shared" si="152"/>
        <v>0</v>
      </c>
      <c r="AU358">
        <f>step3_validation[[#This Row],[AI_TRU3]]</f>
        <v>9</v>
      </c>
      <c r="AV358" t="str">
        <f t="shared" si="153"/>
        <v>Support</v>
      </c>
      <c r="AW358">
        <f>survey_responses[[#This Row],[Tôi tin tưởng số tiền thuế tôi đóng sẽ được Nhà nước sử dụng hiệu quả để cải thiện dịch vụ công (y tế, đường xá...). - HUMAN-TRU3]]</f>
        <v>7</v>
      </c>
      <c r="AX358" t="str">
        <f t="shared" si="154"/>
        <v>Neutral</v>
      </c>
      <c r="AY358" s="32">
        <f t="shared" si="155"/>
        <v>2</v>
      </c>
      <c r="AZ358">
        <f>step3_validation[[#This Row],[AI_TRU4]]</f>
        <v>8</v>
      </c>
      <c r="BA358" t="str">
        <f t="shared" si="156"/>
        <v>Support</v>
      </c>
      <c r="BB358">
        <f>survey_responses[[#This Row],[Tôi thấy Nhà nước đã giải thích rõ ràng, minh bạch về lý do và mục tiêu của việc sửa đổi thuế lần này. - HUMAN-TRU4]]</f>
        <v>7</v>
      </c>
      <c r="BC358" t="str">
        <f t="shared" si="157"/>
        <v>Neutral</v>
      </c>
      <c r="BD358" s="32">
        <f t="shared" si="158"/>
        <v>1</v>
      </c>
      <c r="BE358">
        <f>step3_validation[[#This Row],[AI_OUT1]]</f>
        <v>9</v>
      </c>
      <c r="BF358" t="str">
        <f t="shared" si="159"/>
        <v>Support</v>
      </c>
      <c r="BG358">
        <f>survey_responses[[#This Row],[Sau khi xem xét các quyền lợi và nghĩa vụ, bạn có ủng hộ và tuân thủ chính sách mới hiện nay? - HUMAN-OUT1]]</f>
        <v>8</v>
      </c>
      <c r="BH358" t="str">
        <f t="shared" si="160"/>
        <v>Support</v>
      </c>
      <c r="BI358" s="32">
        <f t="shared" si="161"/>
        <v>1</v>
      </c>
    </row>
    <row r="359" spans="1:61" x14ac:dyDescent="0.45">
      <c r="A359" s="30">
        <f>step3_validation[[#This Row],[Persona_ID]]</f>
        <v>358</v>
      </c>
      <c r="B359" s="31">
        <f>step3_validation[[#This Row],[Used_Seed]]</f>
        <v>12702</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15.110265671808389</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6</v>
      </c>
      <c r="R359" t="str">
        <f t="shared" si="135"/>
        <v>Neutral</v>
      </c>
      <c r="S359">
        <f>survey_responses[[#This Row],[Tôi tin rằng với các quy định quản lý thuế hiện nay, hành vi gian lận hoặc trốn thuế sẽ dễ dàng bị phát hiện và xử lý nghiêm. - HUMAN-ENF1]]</f>
        <v>7</v>
      </c>
      <c r="T359" t="str">
        <f t="shared" si="136"/>
        <v>Neutral</v>
      </c>
      <c r="U359" s="32">
        <f t="shared" si="137"/>
        <v>1</v>
      </c>
      <c r="V359">
        <f>step3_validation[[#This Row],[AI_ENF2]]</f>
        <v>6</v>
      </c>
      <c r="W359" t="str">
        <f t="shared" si="138"/>
        <v>Neutral</v>
      </c>
      <c r="X359">
        <f>survey_responses[[#This Row],[Tôi tin rằng Nhà nước, cơ quan thuế có đủ khả năng và công nghệ để phát hiện, xử lý nghiêm các hành vi trốn thuế. - HUMAN-ENF2]]</f>
        <v>7</v>
      </c>
      <c r="Y359" t="str">
        <f t="shared" si="139"/>
        <v>Neutral</v>
      </c>
      <c r="Z359" s="32">
        <f t="shared" si="140"/>
        <v>1</v>
      </c>
      <c r="AA359">
        <f>step3_validation[[#This Row],[AI_FAC1]]</f>
        <v>9</v>
      </c>
      <c r="AB359" t="str">
        <f t="shared" si="141"/>
        <v>Support</v>
      </c>
      <c r="AC359">
        <f>survey_responses[[#This Row],[Các thủ tục khai báo thuế VÀ/HOẶC quy trình làm việc với cơ quan thuế đơn giản, tiện lợi, nhanh chóng hơn so với trước đây. - HUMAN-FAC1]]</f>
        <v>7</v>
      </c>
      <c r="AD359" t="str">
        <f t="shared" si="142"/>
        <v>Neutral</v>
      </c>
      <c r="AE359" s="32">
        <f t="shared" si="143"/>
        <v>2</v>
      </c>
      <c r="AF359">
        <f>step3_validation[[#This Row],[AI_FAC2]]</f>
        <v>8</v>
      </c>
      <c r="AG359" t="str">
        <f t="shared" si="144"/>
        <v>Support</v>
      </c>
      <c r="AH359">
        <f>survey_responses[[#This Row],[So với trước đây, tôi thấy cách tính thuế và các bậc thuế trong phương án mới đơn giản, dễ hiểu và dễ thực hiện hơn. - HUMAN-FAC2]]</f>
        <v>8</v>
      </c>
      <c r="AI359" t="str">
        <f t="shared" si="145"/>
        <v>Support</v>
      </c>
      <c r="AJ359" s="32">
        <f t="shared" si="146"/>
        <v>0</v>
      </c>
      <c r="AK359">
        <f>step3_validation[[#This Row],[AI_TRU1]]</f>
        <v>7</v>
      </c>
      <c r="AL359" t="str">
        <f t="shared" si="147"/>
        <v>Neutral</v>
      </c>
      <c r="AM359">
        <f>survey_responses[[#This Row],[Tôi tin rằng Nhà nước, cơ quan thuế sẽ thực thi chính sách mới một cách khách quan, công tâm và đối xử bình đẳng với mọi người nộp thuế.  - HUMAN-TRU1]]</f>
        <v>7</v>
      </c>
      <c r="AN359" t="str">
        <f t="shared" si="148"/>
        <v>Neutral</v>
      </c>
      <c r="AO359" s="32">
        <f t="shared" si="149"/>
        <v>0</v>
      </c>
      <c r="AP359">
        <f>step3_validation[[#This Row],[AI_TRU2]]</f>
        <v>9</v>
      </c>
      <c r="AQ359" t="str">
        <f t="shared" si="150"/>
        <v>Support</v>
      </c>
      <c r="AR359">
        <f>survey_responses[[#This Row],[Tôi thấy mức thuế tôi phải đóng theo phương án mới là công bằng (người thu nhập như tôi đóng mức này là hợp lý). - HUMAN-TRU2]]</f>
        <v>9</v>
      </c>
      <c r="AS359" t="str">
        <f t="shared" si="151"/>
        <v>Support</v>
      </c>
      <c r="AT359" s="32">
        <f t="shared" si="152"/>
        <v>0</v>
      </c>
      <c r="AU359">
        <f>step3_validation[[#This Row],[AI_TRU3]]</f>
        <v>7</v>
      </c>
      <c r="AV359" t="str">
        <f t="shared" si="153"/>
        <v>Neutral</v>
      </c>
      <c r="AW359">
        <f>survey_responses[[#This Row],[Tôi tin tưởng số tiền thuế tôi đóng sẽ được Nhà nước sử dụng hiệu quả để cải thiện dịch vụ công (y tế, đường xá...). - HUMAN-TRU3]]</f>
        <v>8</v>
      </c>
      <c r="AX359" t="str">
        <f t="shared" si="154"/>
        <v>Support</v>
      </c>
      <c r="AY359" s="32">
        <f t="shared" si="155"/>
        <v>1</v>
      </c>
      <c r="AZ359">
        <f>step3_validation[[#This Row],[AI_TRU4]]</f>
        <v>8</v>
      </c>
      <c r="BA359" t="str">
        <f t="shared" si="156"/>
        <v>Support</v>
      </c>
      <c r="BB359">
        <f>survey_responses[[#This Row],[Tôi thấy Nhà nước đã giải thích rõ ràng, minh bạch về lý do và mục tiêu của việc sửa đổi thuế lần này. - HUMAN-TRU4]]</f>
        <v>8</v>
      </c>
      <c r="BC359" t="str">
        <f t="shared" si="157"/>
        <v>Support</v>
      </c>
      <c r="BD359" s="32">
        <f t="shared" si="158"/>
        <v>0</v>
      </c>
      <c r="BE359">
        <f>step3_validation[[#This Row],[AI_OUT1]]</f>
        <v>9</v>
      </c>
      <c r="BF359" t="str">
        <f t="shared" si="159"/>
        <v>Support</v>
      </c>
      <c r="BG359">
        <f>survey_responses[[#This Row],[Sau khi xem xét các quyền lợi và nghĩa vụ, bạn có ủng hộ và tuân thủ chính sách mới hiện nay? - HUMAN-OUT1]]</f>
        <v>8</v>
      </c>
      <c r="BH359" t="str">
        <f t="shared" si="160"/>
        <v>Support</v>
      </c>
      <c r="BI359" s="32">
        <f t="shared" si="161"/>
        <v>1</v>
      </c>
    </row>
    <row r="360" spans="1:61" x14ac:dyDescent="0.45">
      <c r="A360" s="30">
        <f>step3_validation[[#This Row],[Persona_ID]]</f>
        <v>359</v>
      </c>
      <c r="B360" s="31">
        <f>step3_validation[[#This Row],[Used_Seed]]</f>
        <v>12703</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18.218602068343287</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t="str">
        <f t="shared" si="135"/>
        <v>Neutral</v>
      </c>
      <c r="S360">
        <f>survey_responses[[#This Row],[Tôi tin rằng với các quy định quản lý thuế hiện nay, hành vi gian lận hoặc trốn thuế sẽ dễ dàng bị phát hiện và xử lý nghiêm. - HUMAN-ENF1]]</f>
        <v>4</v>
      </c>
      <c r="T360" t="str">
        <f t="shared" si="136"/>
        <v>Oppose</v>
      </c>
      <c r="U360" s="32">
        <f t="shared" si="137"/>
        <v>3</v>
      </c>
      <c r="V360">
        <f>step3_validation[[#This Row],[AI_ENF2]]</f>
        <v>8</v>
      </c>
      <c r="W360" t="str">
        <f t="shared" si="138"/>
        <v>Support</v>
      </c>
      <c r="X360">
        <f>survey_responses[[#This Row],[Tôi tin rằng Nhà nước, cơ quan thuế có đủ khả năng và công nghệ để phát hiện, xử lý nghiêm các hành vi trốn thuế. - HUMAN-ENF2]]</f>
        <v>5</v>
      </c>
      <c r="Y360" t="str">
        <f t="shared" si="139"/>
        <v>Neutral</v>
      </c>
      <c r="Z360" s="32">
        <f t="shared" si="140"/>
        <v>3</v>
      </c>
      <c r="AA360">
        <f>step3_validation[[#This Row],[AI_FAC1]]</f>
        <v>9</v>
      </c>
      <c r="AB360" t="str">
        <f t="shared" si="141"/>
        <v>Support</v>
      </c>
      <c r="AC360">
        <f>survey_responses[[#This Row],[Các thủ tục khai báo thuế VÀ/HOẶC quy trình làm việc với cơ quan thuế đơn giản, tiện lợi, nhanh chóng hơn so với trước đây. - HUMAN-FAC1]]</f>
        <v>6</v>
      </c>
      <c r="AD360" t="str">
        <f t="shared" si="142"/>
        <v>Neutral</v>
      </c>
      <c r="AE360" s="32">
        <f t="shared" si="143"/>
        <v>3</v>
      </c>
      <c r="AF360">
        <f>step3_validation[[#This Row],[AI_FAC2]]</f>
        <v>9</v>
      </c>
      <c r="AG360" t="str">
        <f t="shared" si="144"/>
        <v>Support</v>
      </c>
      <c r="AH360">
        <f>survey_responses[[#This Row],[So với trước đây, tôi thấy cách tính thuế và các bậc thuế trong phương án mới đơn giản, dễ hiểu và dễ thực hiện hơn. - HUMAN-FAC2]]</f>
        <v>7</v>
      </c>
      <c r="AI360" t="str">
        <f t="shared" si="145"/>
        <v>Neutral</v>
      </c>
      <c r="AJ360" s="32">
        <f t="shared" si="146"/>
        <v>2</v>
      </c>
      <c r="AK360">
        <f>step3_validation[[#This Row],[AI_TRU1]]</f>
        <v>8</v>
      </c>
      <c r="AL360" t="str">
        <f t="shared" si="147"/>
        <v>Support</v>
      </c>
      <c r="AM360">
        <f>survey_responses[[#This Row],[Tôi tin rằng Nhà nước, cơ quan thuế sẽ thực thi chính sách mới một cách khách quan, công tâm và đối xử bình đẳng với mọi người nộp thuế.  - HUMAN-TRU1]]</f>
        <v>7</v>
      </c>
      <c r="AN360" t="str">
        <f t="shared" si="148"/>
        <v>Neutral</v>
      </c>
      <c r="AO360" s="32">
        <f t="shared" si="149"/>
        <v>1</v>
      </c>
      <c r="AP360">
        <f>step3_validation[[#This Row],[AI_TRU2]]</f>
        <v>9</v>
      </c>
      <c r="AQ360" t="str">
        <f t="shared" si="150"/>
        <v>Support</v>
      </c>
      <c r="AR360">
        <f>survey_responses[[#This Row],[Tôi thấy mức thuế tôi phải đóng theo phương án mới là công bằng (người thu nhập như tôi đóng mức này là hợp lý). - HUMAN-TRU2]]</f>
        <v>6</v>
      </c>
      <c r="AS360" t="str">
        <f t="shared" si="151"/>
        <v>Neutral</v>
      </c>
      <c r="AT360" s="32">
        <f t="shared" si="152"/>
        <v>3</v>
      </c>
      <c r="AU360">
        <f>step3_validation[[#This Row],[AI_TRU3]]</f>
        <v>8</v>
      </c>
      <c r="AV360" t="str">
        <f t="shared" si="153"/>
        <v>Support</v>
      </c>
      <c r="AW360">
        <f>survey_responses[[#This Row],[Tôi tin tưởng số tiền thuế tôi đóng sẽ được Nhà nước sử dụng hiệu quả để cải thiện dịch vụ công (y tế, đường xá...). - HUMAN-TRU3]]</f>
        <v>4</v>
      </c>
      <c r="AX360" t="str">
        <f t="shared" si="154"/>
        <v>Oppose</v>
      </c>
      <c r="AY360" s="32">
        <f t="shared" si="155"/>
        <v>4</v>
      </c>
      <c r="AZ360">
        <f>step3_validation[[#This Row],[AI_TRU4]]</f>
        <v>7</v>
      </c>
      <c r="BA360" t="str">
        <f t="shared" si="156"/>
        <v>Neutral</v>
      </c>
      <c r="BB360">
        <f>survey_responses[[#This Row],[Tôi thấy Nhà nước đã giải thích rõ ràng, minh bạch về lý do và mục tiêu của việc sửa đổi thuế lần này. - HUMAN-TRU4]]</f>
        <v>6</v>
      </c>
      <c r="BC360" t="str">
        <f t="shared" si="157"/>
        <v>Neutral</v>
      </c>
      <c r="BD360" s="32">
        <f t="shared" si="158"/>
        <v>1</v>
      </c>
      <c r="BE360">
        <f>step3_validation[[#This Row],[AI_OUT1]]</f>
        <v>9</v>
      </c>
      <c r="BF360" t="str">
        <f t="shared" si="159"/>
        <v>Support</v>
      </c>
      <c r="BG360">
        <f>survey_responses[[#This Row],[Sau khi xem xét các quyền lợi và nghĩa vụ, bạn có ủng hộ và tuân thủ chính sách mới hiện nay? - HUMAN-OUT1]]</f>
        <v>7</v>
      </c>
      <c r="BH360" t="str">
        <f t="shared" si="160"/>
        <v>Neutral</v>
      </c>
      <c r="BI360" s="32">
        <f t="shared" si="161"/>
        <v>2</v>
      </c>
    </row>
    <row r="361" spans="1:61" x14ac:dyDescent="0.45">
      <c r="A361" s="30">
        <f>step3_validation[[#This Row],[Persona_ID]]</f>
        <v>360</v>
      </c>
      <c r="B361" s="31">
        <f>step3_validation[[#This Row],[Used_Seed]]</f>
        <v>12704</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18.514557326781983</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t="str">
        <f t="shared" si="135"/>
        <v>Neutral</v>
      </c>
      <c r="S361">
        <f>survey_responses[[#This Row],[Tôi tin rằng với các quy định quản lý thuế hiện nay, hành vi gian lận hoặc trốn thuế sẽ dễ dàng bị phát hiện và xử lý nghiêm. - HUMAN-ENF1]]</f>
        <v>9</v>
      </c>
      <c r="T361" t="str">
        <f t="shared" si="136"/>
        <v>Support</v>
      </c>
      <c r="U361" s="32">
        <f t="shared" si="137"/>
        <v>2</v>
      </c>
      <c r="V361">
        <f>step3_validation[[#This Row],[AI_ENF2]]</f>
        <v>7</v>
      </c>
      <c r="W361" t="str">
        <f t="shared" si="138"/>
        <v>Neutral</v>
      </c>
      <c r="X361">
        <f>survey_responses[[#This Row],[Tôi tin rằng Nhà nước, cơ quan thuế có đủ khả năng và công nghệ để phát hiện, xử lý nghiêm các hành vi trốn thuế. - HUMAN-ENF2]]</f>
        <v>8</v>
      </c>
      <c r="Y361" t="str">
        <f t="shared" si="139"/>
        <v>Support</v>
      </c>
      <c r="Z361" s="32">
        <f t="shared" si="140"/>
        <v>1</v>
      </c>
      <c r="AA361">
        <f>step3_validation[[#This Row],[AI_FAC1]]</f>
        <v>8</v>
      </c>
      <c r="AB361" t="str">
        <f t="shared" si="141"/>
        <v>Support</v>
      </c>
      <c r="AC361">
        <f>survey_responses[[#This Row],[Các thủ tục khai báo thuế VÀ/HOẶC quy trình làm việc với cơ quan thuế đơn giản, tiện lợi, nhanh chóng hơn so với trước đây. - HUMAN-FAC1]]</f>
        <v>8</v>
      </c>
      <c r="AD361" t="str">
        <f t="shared" si="142"/>
        <v>Support</v>
      </c>
      <c r="AE361" s="32">
        <f t="shared" si="143"/>
        <v>0</v>
      </c>
      <c r="AF361">
        <f>step3_validation[[#This Row],[AI_FAC2]]</f>
        <v>9</v>
      </c>
      <c r="AG361" t="str">
        <f t="shared" si="144"/>
        <v>Support</v>
      </c>
      <c r="AH361">
        <f>survey_responses[[#This Row],[So với trước đây, tôi thấy cách tính thuế và các bậc thuế trong phương án mới đơn giản, dễ hiểu và dễ thực hiện hơn. - HUMAN-FAC2]]</f>
        <v>8</v>
      </c>
      <c r="AI361" t="str">
        <f t="shared" si="145"/>
        <v>Support</v>
      </c>
      <c r="AJ361" s="32">
        <f t="shared" si="146"/>
        <v>1</v>
      </c>
      <c r="AK361">
        <f>step3_validation[[#This Row],[AI_TRU1]]</f>
        <v>7</v>
      </c>
      <c r="AL361" t="str">
        <f t="shared" si="147"/>
        <v>Neutral</v>
      </c>
      <c r="AM361">
        <f>survey_responses[[#This Row],[Tôi tin rằng Nhà nước, cơ quan thuế sẽ thực thi chính sách mới một cách khách quan, công tâm và đối xử bình đẳng với mọi người nộp thuế.  - HUMAN-TRU1]]</f>
        <v>7</v>
      </c>
      <c r="AN361" t="str">
        <f t="shared" si="148"/>
        <v>Neutral</v>
      </c>
      <c r="AO361" s="32">
        <f t="shared" si="149"/>
        <v>0</v>
      </c>
      <c r="AP361">
        <f>step3_validation[[#This Row],[AI_TRU2]]</f>
        <v>8</v>
      </c>
      <c r="AQ361" t="str">
        <f t="shared" si="150"/>
        <v>Support</v>
      </c>
      <c r="AR361">
        <f>survey_responses[[#This Row],[Tôi thấy mức thuế tôi phải đóng theo phương án mới là công bằng (người thu nhập như tôi đóng mức này là hợp lý). - HUMAN-TRU2]]</f>
        <v>7</v>
      </c>
      <c r="AS361" t="str">
        <f t="shared" si="151"/>
        <v>Neutral</v>
      </c>
      <c r="AT361" s="32">
        <f t="shared" si="152"/>
        <v>1</v>
      </c>
      <c r="AU361">
        <f>step3_validation[[#This Row],[AI_TRU3]]</f>
        <v>7</v>
      </c>
      <c r="AV361" t="str">
        <f t="shared" si="153"/>
        <v>Neutral</v>
      </c>
      <c r="AW361">
        <f>survey_responses[[#This Row],[Tôi tin tưởng số tiền thuế tôi đóng sẽ được Nhà nước sử dụng hiệu quả để cải thiện dịch vụ công (y tế, đường xá...). - HUMAN-TRU3]]</f>
        <v>6</v>
      </c>
      <c r="AX361" t="str">
        <f t="shared" si="154"/>
        <v>Neutral</v>
      </c>
      <c r="AY361" s="32">
        <f t="shared" si="155"/>
        <v>1</v>
      </c>
      <c r="AZ361">
        <f>step3_validation[[#This Row],[AI_TRU4]]</f>
        <v>8</v>
      </c>
      <c r="BA361" t="str">
        <f t="shared" si="156"/>
        <v>Support</v>
      </c>
      <c r="BB361">
        <f>survey_responses[[#This Row],[Tôi thấy Nhà nước đã giải thích rõ ràng, minh bạch về lý do và mục tiêu của việc sửa đổi thuế lần này. - HUMAN-TRU4]]</f>
        <v>7</v>
      </c>
      <c r="BC361" t="str">
        <f t="shared" si="157"/>
        <v>Neutral</v>
      </c>
      <c r="BD361" s="32">
        <f t="shared" si="158"/>
        <v>1</v>
      </c>
      <c r="BE361">
        <f>step3_validation[[#This Row],[AI_OUT1]]</f>
        <v>9</v>
      </c>
      <c r="BF361" t="str">
        <f t="shared" si="159"/>
        <v>Support</v>
      </c>
      <c r="BG361">
        <f>survey_responses[[#This Row],[Sau khi xem xét các quyền lợi và nghĩa vụ, bạn có ủng hộ và tuân thủ chính sách mới hiện nay? - HUMAN-OUT1]]</f>
        <v>8</v>
      </c>
      <c r="BH361" t="str">
        <f t="shared" si="160"/>
        <v>Support</v>
      </c>
      <c r="BI361" s="32">
        <f t="shared" si="161"/>
        <v>1</v>
      </c>
    </row>
    <row r="362" spans="1:61" x14ac:dyDescent="0.45">
      <c r="A362" s="30">
        <f>step3_validation[[#This Row],[Persona_ID]]</f>
        <v>361</v>
      </c>
      <c r="B362" s="31">
        <f>step3_validation[[#This Row],[Used_Seed]]</f>
        <v>12705</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6</v>
      </c>
      <c r="R362" t="str">
        <f t="shared" si="135"/>
        <v>Neutral</v>
      </c>
      <c r="S362">
        <f>survey_responses[[#This Row],[Tôi tin rằng với các quy định quản lý thuế hiện nay, hành vi gian lận hoặc trốn thuế sẽ dễ dàng bị phát hiện và xử lý nghiêm. - HUMAN-ENF1]]</f>
        <v>7</v>
      </c>
      <c r="T362" t="str">
        <f t="shared" si="136"/>
        <v>Neutral</v>
      </c>
      <c r="U362" s="32">
        <f t="shared" si="137"/>
        <v>1</v>
      </c>
      <c r="V362">
        <f>step3_validation[[#This Row],[AI_ENF2]]</f>
        <v>7</v>
      </c>
      <c r="W362" t="str">
        <f t="shared" si="138"/>
        <v>Neutral</v>
      </c>
      <c r="X362">
        <f>survey_responses[[#This Row],[Tôi tin rằng Nhà nước, cơ quan thuế có đủ khả năng và công nghệ để phát hiện, xử lý nghiêm các hành vi trốn thuế. - HUMAN-ENF2]]</f>
        <v>7</v>
      </c>
      <c r="Y362" t="str">
        <f t="shared" si="139"/>
        <v>Neutral</v>
      </c>
      <c r="Z362" s="32">
        <f t="shared" si="140"/>
        <v>0</v>
      </c>
      <c r="AA362">
        <f>step3_validation[[#This Row],[AI_FAC1]]</f>
        <v>8</v>
      </c>
      <c r="AB362" t="str">
        <f t="shared" si="141"/>
        <v>Support</v>
      </c>
      <c r="AC362">
        <f>survey_responses[[#This Row],[Các thủ tục khai báo thuế VÀ/HOẶC quy trình làm việc với cơ quan thuế đơn giản, tiện lợi, nhanh chóng hơn so với trước đây. - HUMAN-FAC1]]</f>
        <v>8</v>
      </c>
      <c r="AD362" t="str">
        <f t="shared" si="142"/>
        <v>Support</v>
      </c>
      <c r="AE362" s="32">
        <f t="shared" si="143"/>
        <v>0</v>
      </c>
      <c r="AF362">
        <f>step3_validation[[#This Row],[AI_FAC2]]</f>
        <v>9</v>
      </c>
      <c r="AG362" t="str">
        <f t="shared" si="144"/>
        <v>Support</v>
      </c>
      <c r="AH362">
        <f>survey_responses[[#This Row],[So với trước đây, tôi thấy cách tính thuế và các bậc thuế trong phương án mới đơn giản, dễ hiểu và dễ thực hiện hơn. - HUMAN-FAC2]]</f>
        <v>9</v>
      </c>
      <c r="AI362" t="str">
        <f t="shared" si="145"/>
        <v>Support</v>
      </c>
      <c r="AJ362" s="32">
        <f t="shared" si="146"/>
        <v>0</v>
      </c>
      <c r="AK362">
        <f>step3_validation[[#This Row],[AI_TRU1]]</f>
        <v>7</v>
      </c>
      <c r="AL362" t="str">
        <f t="shared" si="147"/>
        <v>Neutral</v>
      </c>
      <c r="AM362">
        <f>survey_responses[[#This Row],[Tôi tin rằng Nhà nước, cơ quan thuế sẽ thực thi chính sách mới một cách khách quan, công tâm và đối xử bình đẳng với mọi người nộp thuế.  - HUMAN-TRU1]]</f>
        <v>7</v>
      </c>
      <c r="AN362" t="str">
        <f t="shared" si="148"/>
        <v>Neutral</v>
      </c>
      <c r="AO362" s="32">
        <f t="shared" si="149"/>
        <v>0</v>
      </c>
      <c r="AP362">
        <f>step3_validation[[#This Row],[AI_TRU2]]</f>
        <v>9</v>
      </c>
      <c r="AQ362" t="str">
        <f t="shared" si="150"/>
        <v>Support</v>
      </c>
      <c r="AR362">
        <f>survey_responses[[#This Row],[Tôi thấy mức thuế tôi phải đóng theo phương án mới là công bằng (người thu nhập như tôi đóng mức này là hợp lý). - HUMAN-TRU2]]</f>
        <v>10</v>
      </c>
      <c r="AS362" t="str">
        <f t="shared" si="151"/>
        <v>Support</v>
      </c>
      <c r="AT362" s="32">
        <f t="shared" si="152"/>
        <v>1</v>
      </c>
      <c r="AU362">
        <f>step3_validation[[#This Row],[AI_TRU3]]</f>
        <v>8</v>
      </c>
      <c r="AV362" t="str">
        <f t="shared" si="153"/>
        <v>Support</v>
      </c>
      <c r="AW362">
        <f>survey_responses[[#This Row],[Tôi tin tưởng số tiền thuế tôi đóng sẽ được Nhà nước sử dụng hiệu quả để cải thiện dịch vụ công (y tế, đường xá...). - HUMAN-TRU3]]</f>
        <v>8</v>
      </c>
      <c r="AX362" t="str">
        <f t="shared" si="154"/>
        <v>Support</v>
      </c>
      <c r="AY362" s="32">
        <f t="shared" si="155"/>
        <v>0</v>
      </c>
      <c r="AZ362">
        <f>step3_validation[[#This Row],[AI_TRU4]]</f>
        <v>7</v>
      </c>
      <c r="BA362" t="str">
        <f t="shared" si="156"/>
        <v>Neutral</v>
      </c>
      <c r="BB362">
        <f>survey_responses[[#This Row],[Tôi thấy Nhà nước đã giải thích rõ ràng, minh bạch về lý do và mục tiêu của việc sửa đổi thuế lần này. - HUMAN-TRU4]]</f>
        <v>8</v>
      </c>
      <c r="BC362" t="str">
        <f t="shared" si="157"/>
        <v>Support</v>
      </c>
      <c r="BD362" s="32">
        <f t="shared" si="158"/>
        <v>1</v>
      </c>
      <c r="BE362">
        <f>step3_validation[[#This Row],[AI_OUT1]]</f>
        <v>9</v>
      </c>
      <c r="BF362" t="str">
        <f t="shared" si="159"/>
        <v>Support</v>
      </c>
      <c r="BG362">
        <f>survey_responses[[#This Row],[Sau khi xem xét các quyền lợi và nghĩa vụ, bạn có ủng hộ và tuân thủ chính sách mới hiện nay? - HUMAN-OUT1]]</f>
        <v>10</v>
      </c>
      <c r="BH362" t="str">
        <f t="shared" si="160"/>
        <v>Support</v>
      </c>
      <c r="BI362" s="32">
        <f t="shared" si="161"/>
        <v>1</v>
      </c>
    </row>
    <row r="363" spans="1:61" x14ac:dyDescent="0.45">
      <c r="A363" s="30">
        <f>step3_validation[[#This Row],[Persona_ID]]</f>
        <v>362</v>
      </c>
      <c r="B363" s="31">
        <f>step3_validation[[#This Row],[Used_Seed]]</f>
        <v>12706</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16.270761270443494</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8</v>
      </c>
      <c r="R363" t="str">
        <f t="shared" si="135"/>
        <v>Support</v>
      </c>
      <c r="S363">
        <f>survey_responses[[#This Row],[Tôi tin rằng với các quy định quản lý thuế hiện nay, hành vi gian lận hoặc trốn thuế sẽ dễ dàng bị phát hiện và xử lý nghiêm. - HUMAN-ENF1]]</f>
        <v>3</v>
      </c>
      <c r="T363" t="str">
        <f t="shared" si="136"/>
        <v>Oppose</v>
      </c>
      <c r="U363" s="32">
        <f t="shared" si="137"/>
        <v>5</v>
      </c>
      <c r="V363">
        <f>step3_validation[[#This Row],[AI_ENF2]]</f>
        <v>9</v>
      </c>
      <c r="W363" t="str">
        <f t="shared" si="138"/>
        <v>Support</v>
      </c>
      <c r="X363">
        <f>survey_responses[[#This Row],[Tôi tin rằng Nhà nước, cơ quan thuế có đủ khả năng và công nghệ để phát hiện, xử lý nghiêm các hành vi trốn thuế. - HUMAN-ENF2]]</f>
        <v>3</v>
      </c>
      <c r="Y363" t="str">
        <f t="shared" si="139"/>
        <v>Oppose</v>
      </c>
      <c r="Z363" s="32">
        <f t="shared" si="140"/>
        <v>6</v>
      </c>
      <c r="AA363">
        <f>step3_validation[[#This Row],[AI_FAC1]]</f>
        <v>9</v>
      </c>
      <c r="AB363" t="str">
        <f t="shared" si="141"/>
        <v>Support</v>
      </c>
      <c r="AC363">
        <f>survey_responses[[#This Row],[Các thủ tục khai báo thuế VÀ/HOẶC quy trình làm việc với cơ quan thuế đơn giản, tiện lợi, nhanh chóng hơn so với trước đây. - HUMAN-FAC1]]</f>
        <v>5</v>
      </c>
      <c r="AD363" t="str">
        <f t="shared" si="142"/>
        <v>Neutral</v>
      </c>
      <c r="AE363" s="32">
        <f t="shared" si="143"/>
        <v>4</v>
      </c>
      <c r="AF363">
        <f>step3_validation[[#This Row],[AI_FAC2]]</f>
        <v>9</v>
      </c>
      <c r="AG363" t="str">
        <f t="shared" si="144"/>
        <v>Support</v>
      </c>
      <c r="AH363">
        <f>survey_responses[[#This Row],[So với trước đây, tôi thấy cách tính thuế và các bậc thuế trong phương án mới đơn giản, dễ hiểu và dễ thực hiện hơn. - HUMAN-FAC2]]</f>
        <v>6</v>
      </c>
      <c r="AI363" t="str">
        <f t="shared" si="145"/>
        <v>Neutral</v>
      </c>
      <c r="AJ363" s="32">
        <f t="shared" si="146"/>
        <v>3</v>
      </c>
      <c r="AK363">
        <f>step3_validation[[#This Row],[AI_TRU1]]</f>
        <v>8</v>
      </c>
      <c r="AL363" t="str">
        <f t="shared" si="147"/>
        <v>Support</v>
      </c>
      <c r="AM363">
        <f>survey_responses[[#This Row],[Tôi tin rằng Nhà nước, cơ quan thuế sẽ thực thi chính sách mới một cách khách quan, công tâm và đối xử bình đẳng với mọi người nộp thuế.  - HUMAN-TRU1]]</f>
        <v>5</v>
      </c>
      <c r="AN363" t="str">
        <f t="shared" si="148"/>
        <v>Neutral</v>
      </c>
      <c r="AO363" s="32">
        <f t="shared" si="149"/>
        <v>3</v>
      </c>
      <c r="AP363">
        <f>step3_validation[[#This Row],[AI_TRU2]]</f>
        <v>9</v>
      </c>
      <c r="AQ363" t="str">
        <f t="shared" si="150"/>
        <v>Support</v>
      </c>
      <c r="AR363">
        <f>survey_responses[[#This Row],[Tôi thấy mức thuế tôi phải đóng theo phương án mới là công bằng (người thu nhập như tôi đóng mức này là hợp lý). - HUMAN-TRU2]]</f>
        <v>6</v>
      </c>
      <c r="AS363" t="str">
        <f t="shared" si="151"/>
        <v>Neutral</v>
      </c>
      <c r="AT363" s="32">
        <f t="shared" si="152"/>
        <v>3</v>
      </c>
      <c r="AU363">
        <f>step3_validation[[#This Row],[AI_TRU3]]</f>
        <v>8</v>
      </c>
      <c r="AV363" t="str">
        <f t="shared" si="153"/>
        <v>Support</v>
      </c>
      <c r="AW363">
        <f>survey_responses[[#This Row],[Tôi tin tưởng số tiền thuế tôi đóng sẽ được Nhà nước sử dụng hiệu quả để cải thiện dịch vụ công (y tế, đường xá...). - HUMAN-TRU3]]</f>
        <v>4</v>
      </c>
      <c r="AX363" t="str">
        <f t="shared" si="154"/>
        <v>Oppose</v>
      </c>
      <c r="AY363" s="32">
        <f t="shared" si="155"/>
        <v>4</v>
      </c>
      <c r="AZ363">
        <f>step3_validation[[#This Row],[AI_TRU4]]</f>
        <v>9</v>
      </c>
      <c r="BA363" t="str">
        <f t="shared" si="156"/>
        <v>Support</v>
      </c>
      <c r="BB363">
        <f>survey_responses[[#This Row],[Tôi thấy Nhà nước đã giải thích rõ ràng, minh bạch về lý do và mục tiêu của việc sửa đổi thuế lần này. - HUMAN-TRU4]]</f>
        <v>6</v>
      </c>
      <c r="BC363" t="str">
        <f t="shared" si="157"/>
        <v>Neutral</v>
      </c>
      <c r="BD363" s="32">
        <f t="shared" si="158"/>
        <v>3</v>
      </c>
      <c r="BE363">
        <f>step3_validation[[#This Row],[AI_OUT1]]</f>
        <v>9</v>
      </c>
      <c r="BF363" t="str">
        <f t="shared" si="159"/>
        <v>Support</v>
      </c>
      <c r="BG363">
        <f>survey_responses[[#This Row],[Sau khi xem xét các quyền lợi và nghĩa vụ, bạn có ủng hộ và tuân thủ chính sách mới hiện nay? - HUMAN-OUT1]]</f>
        <v>6</v>
      </c>
      <c r="BH363" t="str">
        <f t="shared" si="160"/>
        <v>Neutral</v>
      </c>
      <c r="BI363" s="32">
        <f t="shared" si="161"/>
        <v>3</v>
      </c>
    </row>
    <row r="364" spans="1:61" x14ac:dyDescent="0.45">
      <c r="A364" s="30">
        <f>step3_validation[[#This Row],[Persona_ID]]</f>
        <v>363</v>
      </c>
      <c r="B364" s="31">
        <f>step3_validation[[#This Row],[Used_Seed]]</f>
        <v>12707</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25.836097824113111</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6</v>
      </c>
      <c r="R364" t="str">
        <f t="shared" si="135"/>
        <v>Neutral</v>
      </c>
      <c r="S364">
        <f>survey_responses[[#This Row],[Tôi tin rằng với các quy định quản lý thuế hiện nay, hành vi gian lận hoặc trốn thuế sẽ dễ dàng bị phát hiện và xử lý nghiêm. - HUMAN-ENF1]]</f>
        <v>8</v>
      </c>
      <c r="T364" t="str">
        <f t="shared" si="136"/>
        <v>Support</v>
      </c>
      <c r="U364" s="32">
        <f t="shared" si="137"/>
        <v>2</v>
      </c>
      <c r="V364">
        <f>step3_validation[[#This Row],[AI_ENF2]]</f>
        <v>6</v>
      </c>
      <c r="W364" t="str">
        <f t="shared" si="138"/>
        <v>Neutral</v>
      </c>
      <c r="X364">
        <f>survey_responses[[#This Row],[Tôi tin rằng Nhà nước, cơ quan thuế có đủ khả năng và công nghệ để phát hiện, xử lý nghiêm các hành vi trốn thuế. - HUMAN-ENF2]]</f>
        <v>8</v>
      </c>
      <c r="Y364" t="str">
        <f t="shared" si="139"/>
        <v>Support</v>
      </c>
      <c r="Z364" s="32">
        <f t="shared" si="140"/>
        <v>2</v>
      </c>
      <c r="AA364">
        <f>step3_validation[[#This Row],[AI_FAC1]]</f>
        <v>8</v>
      </c>
      <c r="AB364" t="str">
        <f t="shared" si="141"/>
        <v>Support</v>
      </c>
      <c r="AC364">
        <f>survey_responses[[#This Row],[Các thủ tục khai báo thuế VÀ/HOẶC quy trình làm việc với cơ quan thuế đơn giản, tiện lợi, nhanh chóng hơn so với trước đây. - HUMAN-FAC1]]</f>
        <v>5</v>
      </c>
      <c r="AD364" t="str">
        <f t="shared" si="142"/>
        <v>Neutral</v>
      </c>
      <c r="AE364" s="32">
        <f t="shared" si="143"/>
        <v>3</v>
      </c>
      <c r="AF364">
        <f>step3_validation[[#This Row],[AI_FAC2]]</f>
        <v>9</v>
      </c>
      <c r="AG364" t="str">
        <f t="shared" si="144"/>
        <v>Support</v>
      </c>
      <c r="AH364">
        <f>survey_responses[[#This Row],[So với trước đây, tôi thấy cách tính thuế và các bậc thuế trong phương án mới đơn giản, dễ hiểu và dễ thực hiện hơn. - HUMAN-FAC2]]</f>
        <v>7</v>
      </c>
      <c r="AI364" t="str">
        <f t="shared" si="145"/>
        <v>Neutral</v>
      </c>
      <c r="AJ364" s="32">
        <f t="shared" si="146"/>
        <v>2</v>
      </c>
      <c r="AK364">
        <f>step3_validation[[#This Row],[AI_TRU1]]</f>
        <v>7</v>
      </c>
      <c r="AL364" t="str">
        <f t="shared" si="147"/>
        <v>Neutral</v>
      </c>
      <c r="AM364">
        <f>survey_responses[[#This Row],[Tôi tin rằng Nhà nước, cơ quan thuế sẽ thực thi chính sách mới một cách khách quan, công tâm và đối xử bình đẳng với mọi người nộp thuế.  - HUMAN-TRU1]]</f>
        <v>5</v>
      </c>
      <c r="AN364" t="str">
        <f t="shared" si="148"/>
        <v>Neutral</v>
      </c>
      <c r="AO364" s="32">
        <f t="shared" si="149"/>
        <v>2</v>
      </c>
      <c r="AP364">
        <f>step3_validation[[#This Row],[AI_TRU2]]</f>
        <v>8</v>
      </c>
      <c r="AQ364" t="str">
        <f t="shared" si="150"/>
        <v>Support</v>
      </c>
      <c r="AR364">
        <f>survey_responses[[#This Row],[Tôi thấy mức thuế tôi phải đóng theo phương án mới là công bằng (người thu nhập như tôi đóng mức này là hợp lý). - HUMAN-TRU2]]</f>
        <v>8</v>
      </c>
      <c r="AS364" t="str">
        <f t="shared" si="151"/>
        <v>Support</v>
      </c>
      <c r="AT364" s="32">
        <f t="shared" si="152"/>
        <v>0</v>
      </c>
      <c r="AU364">
        <f>step3_validation[[#This Row],[AI_TRU3]]</f>
        <v>7</v>
      </c>
      <c r="AV364" t="str">
        <f t="shared" si="153"/>
        <v>Neutral</v>
      </c>
      <c r="AW364">
        <f>survey_responses[[#This Row],[Tôi tin tưởng số tiền thuế tôi đóng sẽ được Nhà nước sử dụng hiệu quả để cải thiện dịch vụ công (y tế, đường xá...). - HUMAN-TRU3]]</f>
        <v>5</v>
      </c>
      <c r="AX364" t="str">
        <f t="shared" si="154"/>
        <v>Neutral</v>
      </c>
      <c r="AY364" s="32">
        <f t="shared" si="155"/>
        <v>2</v>
      </c>
      <c r="AZ364">
        <f>step3_validation[[#This Row],[AI_TRU4]]</f>
        <v>6</v>
      </c>
      <c r="BA364" t="str">
        <f t="shared" si="156"/>
        <v>Neutral</v>
      </c>
      <c r="BB364">
        <f>survey_responses[[#This Row],[Tôi thấy Nhà nước đã giải thích rõ ràng, minh bạch về lý do và mục tiêu của việc sửa đổi thuế lần này. - HUMAN-TRU4]]</f>
        <v>7</v>
      </c>
      <c r="BC364" t="str">
        <f t="shared" si="157"/>
        <v>Neutral</v>
      </c>
      <c r="BD364" s="32">
        <f t="shared" si="158"/>
        <v>1</v>
      </c>
      <c r="BE364">
        <f>step3_validation[[#This Row],[AI_OUT1]]</f>
        <v>9</v>
      </c>
      <c r="BF364" t="str">
        <f t="shared" si="159"/>
        <v>Support</v>
      </c>
      <c r="BG364">
        <f>survey_responses[[#This Row],[Sau khi xem xét các quyền lợi và nghĩa vụ, bạn có ủng hộ và tuân thủ chính sách mới hiện nay? - HUMAN-OUT1]]</f>
        <v>8</v>
      </c>
      <c r="BH364" t="str">
        <f t="shared" si="160"/>
        <v>Support</v>
      </c>
      <c r="BI364" s="32">
        <f t="shared" si="161"/>
        <v>1</v>
      </c>
    </row>
    <row r="365" spans="1:61" x14ac:dyDescent="0.45">
      <c r="A365" s="30">
        <f>step3_validation[[#This Row],[Persona_ID]]</f>
        <v>364</v>
      </c>
      <c r="B365" s="31">
        <f>step3_validation[[#This Row],[Used_Seed]]</f>
        <v>12708</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18.182181126099756</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7</v>
      </c>
      <c r="R365" t="str">
        <f t="shared" si="135"/>
        <v>Neutral</v>
      </c>
      <c r="S365">
        <f>survey_responses[[#This Row],[Tôi tin rằng với các quy định quản lý thuế hiện nay, hành vi gian lận hoặc trốn thuế sẽ dễ dàng bị phát hiện và xử lý nghiêm. - HUMAN-ENF1]]</f>
        <v>4</v>
      </c>
      <c r="T365" t="str">
        <f t="shared" si="136"/>
        <v>Oppose</v>
      </c>
      <c r="U365" s="32">
        <f t="shared" si="137"/>
        <v>3</v>
      </c>
      <c r="V365">
        <f>step3_validation[[#This Row],[AI_ENF2]]</f>
        <v>8</v>
      </c>
      <c r="W365" t="str">
        <f t="shared" si="138"/>
        <v>Support</v>
      </c>
      <c r="X365">
        <f>survey_responses[[#This Row],[Tôi tin rằng Nhà nước, cơ quan thuế có đủ khả năng và công nghệ để phát hiện, xử lý nghiêm các hành vi trốn thuế. - HUMAN-ENF2]]</f>
        <v>5</v>
      </c>
      <c r="Y365" t="str">
        <f t="shared" si="139"/>
        <v>Neutral</v>
      </c>
      <c r="Z365" s="32">
        <f t="shared" si="140"/>
        <v>3</v>
      </c>
      <c r="AA365">
        <f>step3_validation[[#This Row],[AI_FAC1]]</f>
        <v>6</v>
      </c>
      <c r="AB365" t="str">
        <f t="shared" si="141"/>
        <v>Neutral</v>
      </c>
      <c r="AC365">
        <f>survey_responses[[#This Row],[Các thủ tục khai báo thuế VÀ/HOẶC quy trình làm việc với cơ quan thuế đơn giản, tiện lợi, nhanh chóng hơn so với trước đây. - HUMAN-FAC1]]</f>
        <v>5</v>
      </c>
      <c r="AD365" t="str">
        <f t="shared" si="142"/>
        <v>Neutral</v>
      </c>
      <c r="AE365" s="32">
        <f t="shared" si="143"/>
        <v>1</v>
      </c>
      <c r="AF365">
        <f>step3_validation[[#This Row],[AI_FAC2]]</f>
        <v>9</v>
      </c>
      <c r="AG365" t="str">
        <f t="shared" si="144"/>
        <v>Support</v>
      </c>
      <c r="AH365">
        <f>survey_responses[[#This Row],[So với trước đây, tôi thấy cách tính thuế và các bậc thuế trong phương án mới đơn giản, dễ hiểu và dễ thực hiện hơn. - HUMAN-FAC2]]</f>
        <v>7</v>
      </c>
      <c r="AI365" t="str">
        <f t="shared" si="145"/>
        <v>Neutral</v>
      </c>
      <c r="AJ365" s="32">
        <f t="shared" si="146"/>
        <v>2</v>
      </c>
      <c r="AK365">
        <f>step3_validation[[#This Row],[AI_TRU1]]</f>
        <v>8</v>
      </c>
      <c r="AL365" t="str">
        <f t="shared" si="147"/>
        <v>Support</v>
      </c>
      <c r="AM365">
        <f>survey_responses[[#This Row],[Tôi tin rằng Nhà nước, cơ quan thuế sẽ thực thi chính sách mới một cách khách quan, công tâm và đối xử bình đẳng với mọi người nộp thuế.  - HUMAN-TRU1]]</f>
        <v>5</v>
      </c>
      <c r="AN365" t="str">
        <f t="shared" si="148"/>
        <v>Neutral</v>
      </c>
      <c r="AO365" s="32">
        <f t="shared" si="149"/>
        <v>3</v>
      </c>
      <c r="AP365">
        <f>step3_validation[[#This Row],[AI_TRU2]]</f>
        <v>9</v>
      </c>
      <c r="AQ365" t="str">
        <f t="shared" si="150"/>
        <v>Support</v>
      </c>
      <c r="AR365">
        <f>survey_responses[[#This Row],[Tôi thấy mức thuế tôi phải đóng theo phương án mới là công bằng (người thu nhập như tôi đóng mức này là hợp lý). - HUMAN-TRU2]]</f>
        <v>7</v>
      </c>
      <c r="AS365" t="str">
        <f t="shared" si="151"/>
        <v>Neutral</v>
      </c>
      <c r="AT365" s="32">
        <f t="shared" si="152"/>
        <v>2</v>
      </c>
      <c r="AU365">
        <f>step3_validation[[#This Row],[AI_TRU3]]</f>
        <v>8</v>
      </c>
      <c r="AV365" t="str">
        <f t="shared" si="153"/>
        <v>Support</v>
      </c>
      <c r="AW365">
        <f>survey_responses[[#This Row],[Tôi tin tưởng số tiền thuế tôi đóng sẽ được Nhà nước sử dụng hiệu quả để cải thiện dịch vụ công (y tế, đường xá...). - HUMAN-TRU3]]</f>
        <v>5</v>
      </c>
      <c r="AX365" t="str">
        <f t="shared" si="154"/>
        <v>Neutral</v>
      </c>
      <c r="AY365" s="32">
        <f t="shared" si="155"/>
        <v>3</v>
      </c>
      <c r="AZ365">
        <f>step3_validation[[#This Row],[AI_TRU4]]</f>
        <v>9</v>
      </c>
      <c r="BA365" t="str">
        <f t="shared" si="156"/>
        <v>Support</v>
      </c>
      <c r="BB365">
        <f>survey_responses[[#This Row],[Tôi thấy Nhà nước đã giải thích rõ ràng, minh bạch về lý do và mục tiêu của việc sửa đổi thuế lần này. - HUMAN-TRU4]]</f>
        <v>6</v>
      </c>
      <c r="BC365" t="str">
        <f t="shared" si="157"/>
        <v>Neutral</v>
      </c>
      <c r="BD365" s="32">
        <f t="shared" si="158"/>
        <v>3</v>
      </c>
      <c r="BE365">
        <f>step3_validation[[#This Row],[AI_OUT1]]</f>
        <v>8</v>
      </c>
      <c r="BF365" t="str">
        <f t="shared" si="159"/>
        <v>Support</v>
      </c>
      <c r="BG365">
        <f>survey_responses[[#This Row],[Sau khi xem xét các quyền lợi và nghĩa vụ, bạn có ủng hộ và tuân thủ chính sách mới hiện nay? - HUMAN-OUT1]]</f>
        <v>7</v>
      </c>
      <c r="BH365" t="str">
        <f t="shared" si="160"/>
        <v>Neutral</v>
      </c>
      <c r="BI365" s="32">
        <f t="shared" si="161"/>
        <v>1</v>
      </c>
    </row>
    <row r="366" spans="1:61" x14ac:dyDescent="0.45">
      <c r="A366" s="30">
        <f>step3_validation[[#This Row],[Persona_ID]]</f>
        <v>365</v>
      </c>
      <c r="B366" s="31">
        <f>step3_validation[[#This Row],[Used_Seed]]</f>
        <v>12709</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46.942828274849099</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6</v>
      </c>
      <c r="R366" t="str">
        <f t="shared" si="135"/>
        <v>Neutral</v>
      </c>
      <c r="S366">
        <f>survey_responses[[#This Row],[Tôi tin rằng với các quy định quản lý thuế hiện nay, hành vi gian lận hoặc trốn thuế sẽ dễ dàng bị phát hiện và xử lý nghiêm. - HUMAN-ENF1]]</f>
        <v>9</v>
      </c>
      <c r="T366" t="str">
        <f t="shared" si="136"/>
        <v>Support</v>
      </c>
      <c r="U366" s="32">
        <f t="shared" si="137"/>
        <v>3</v>
      </c>
      <c r="V366">
        <f>step3_validation[[#This Row],[AI_ENF2]]</f>
        <v>8</v>
      </c>
      <c r="W366" t="str">
        <f t="shared" si="138"/>
        <v>Support</v>
      </c>
      <c r="X366">
        <f>survey_responses[[#This Row],[Tôi tin rằng Nhà nước, cơ quan thuế có đủ khả năng và công nghệ để phát hiện, xử lý nghiêm các hành vi trốn thuế. - HUMAN-ENF2]]</f>
        <v>9</v>
      </c>
      <c r="Y366" t="str">
        <f t="shared" si="139"/>
        <v>Support</v>
      </c>
      <c r="Z366" s="32">
        <f t="shared" si="140"/>
        <v>1</v>
      </c>
      <c r="AA366">
        <f>step3_validation[[#This Row],[AI_FAC1]]</f>
        <v>7</v>
      </c>
      <c r="AB366" t="str">
        <f t="shared" si="141"/>
        <v>Neutral</v>
      </c>
      <c r="AC366">
        <f>survey_responses[[#This Row],[Các thủ tục khai báo thuế VÀ/HOẶC quy trình làm việc với cơ quan thuế đơn giản, tiện lợi, nhanh chóng hơn so với trước đây. - HUMAN-FAC1]]</f>
        <v>8</v>
      </c>
      <c r="AD366" t="str">
        <f t="shared" si="142"/>
        <v>Support</v>
      </c>
      <c r="AE366" s="32">
        <f t="shared" si="143"/>
        <v>1</v>
      </c>
      <c r="AF366">
        <f>step3_validation[[#This Row],[AI_FAC2]]</f>
        <v>9</v>
      </c>
      <c r="AG366" t="str">
        <f t="shared" si="144"/>
        <v>Support</v>
      </c>
      <c r="AH366">
        <f>survey_responses[[#This Row],[So với trước đây, tôi thấy cách tính thuế và các bậc thuế trong phương án mới đơn giản, dễ hiểu và dễ thực hiện hơn. - HUMAN-FAC2]]</f>
        <v>9</v>
      </c>
      <c r="AI366" t="str">
        <f t="shared" si="145"/>
        <v>Support</v>
      </c>
      <c r="AJ366" s="32">
        <f t="shared" si="146"/>
        <v>0</v>
      </c>
      <c r="AK366">
        <f>step3_validation[[#This Row],[AI_TRU1]]</f>
        <v>7</v>
      </c>
      <c r="AL366" t="str">
        <f t="shared" si="147"/>
        <v>Neutral</v>
      </c>
      <c r="AM366">
        <f>survey_responses[[#This Row],[Tôi tin rằng Nhà nước, cơ quan thuế sẽ thực thi chính sách mới một cách khách quan, công tâm và đối xử bình đẳng với mọi người nộp thuế.  - HUMAN-TRU1]]</f>
        <v>9</v>
      </c>
      <c r="AN366" t="str">
        <f t="shared" si="148"/>
        <v>Support</v>
      </c>
      <c r="AO366" s="32">
        <f t="shared" si="149"/>
        <v>2</v>
      </c>
      <c r="AP366">
        <f>step3_validation[[#This Row],[AI_TRU2]]</f>
        <v>8</v>
      </c>
      <c r="AQ366" t="str">
        <f t="shared" si="150"/>
        <v>Support</v>
      </c>
      <c r="AR366">
        <f>survey_responses[[#This Row],[Tôi thấy mức thuế tôi phải đóng theo phương án mới là công bằng (người thu nhập như tôi đóng mức này là hợp lý). - HUMAN-TRU2]]</f>
        <v>7</v>
      </c>
      <c r="AS366" t="str">
        <f t="shared" si="151"/>
        <v>Neutral</v>
      </c>
      <c r="AT366" s="32">
        <f t="shared" si="152"/>
        <v>1</v>
      </c>
      <c r="AU366">
        <f>step3_validation[[#This Row],[AI_TRU3]]</f>
        <v>7</v>
      </c>
      <c r="AV366" t="str">
        <f t="shared" si="153"/>
        <v>Neutral</v>
      </c>
      <c r="AW366">
        <f>survey_responses[[#This Row],[Tôi tin tưởng số tiền thuế tôi đóng sẽ được Nhà nước sử dụng hiệu quả để cải thiện dịch vụ công (y tế, đường xá...). - HUMAN-TRU3]]</f>
        <v>7</v>
      </c>
      <c r="AX366" t="str">
        <f t="shared" si="154"/>
        <v>Neutral</v>
      </c>
      <c r="AY366" s="32">
        <f t="shared" si="155"/>
        <v>0</v>
      </c>
      <c r="AZ366">
        <f>step3_validation[[#This Row],[AI_TRU4]]</f>
        <v>6</v>
      </c>
      <c r="BA366" t="str">
        <f t="shared" si="156"/>
        <v>Neutral</v>
      </c>
      <c r="BB366">
        <f>survey_responses[[#This Row],[Tôi thấy Nhà nước đã giải thích rõ ràng, minh bạch về lý do và mục tiêu của việc sửa đổi thuế lần này. - HUMAN-TRU4]]</f>
        <v>7</v>
      </c>
      <c r="BC366" t="str">
        <f t="shared" si="157"/>
        <v>Neutral</v>
      </c>
      <c r="BD366" s="32">
        <f t="shared" si="158"/>
        <v>1</v>
      </c>
      <c r="BE366">
        <f>step3_validation[[#This Row],[AI_OUT1]]</f>
        <v>8</v>
      </c>
      <c r="BF366" t="str">
        <f t="shared" si="159"/>
        <v>Support</v>
      </c>
      <c r="BG366">
        <f>survey_responses[[#This Row],[Sau khi xem xét các quyền lợi và nghĩa vụ, bạn có ủng hộ và tuân thủ chính sách mới hiện nay? - HUMAN-OUT1]]</f>
        <v>7</v>
      </c>
      <c r="BH366" t="str">
        <f t="shared" si="160"/>
        <v>Neutral</v>
      </c>
      <c r="BI366" s="32">
        <f t="shared" si="161"/>
        <v>1</v>
      </c>
    </row>
    <row r="367" spans="1:61" x14ac:dyDescent="0.45">
      <c r="A367" s="30">
        <f>step3_validation[[#This Row],[Persona_ID]]</f>
        <v>366</v>
      </c>
      <c r="B367" s="31">
        <f>step3_validation[[#This Row],[Used_Seed]]</f>
        <v>12710</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68.883594394844124</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8</v>
      </c>
      <c r="R367" t="str">
        <f t="shared" si="135"/>
        <v>Support</v>
      </c>
      <c r="S367">
        <f>survey_responses[[#This Row],[Tôi tin rằng với các quy định quản lý thuế hiện nay, hành vi gian lận hoặc trốn thuế sẽ dễ dàng bị phát hiện và xử lý nghiêm. - HUMAN-ENF1]]</f>
        <v>7</v>
      </c>
      <c r="T367" t="str">
        <f t="shared" si="136"/>
        <v>Neutral</v>
      </c>
      <c r="U367" s="32">
        <f t="shared" si="137"/>
        <v>1</v>
      </c>
      <c r="V367">
        <f>step3_validation[[#This Row],[AI_ENF2]]</f>
        <v>8</v>
      </c>
      <c r="W367" t="str">
        <f t="shared" si="138"/>
        <v>Support</v>
      </c>
      <c r="X367">
        <f>survey_responses[[#This Row],[Tôi tin rằng Nhà nước, cơ quan thuế có đủ khả năng và công nghệ để phát hiện, xử lý nghiêm các hành vi trốn thuế. - HUMAN-ENF2]]</f>
        <v>8</v>
      </c>
      <c r="Y367" t="str">
        <f t="shared" si="139"/>
        <v>Support</v>
      </c>
      <c r="Z367" s="32">
        <f t="shared" si="140"/>
        <v>0</v>
      </c>
      <c r="AA367">
        <f>step3_validation[[#This Row],[AI_FAC1]]</f>
        <v>7</v>
      </c>
      <c r="AB367" t="str">
        <f t="shared" si="141"/>
        <v>Neutral</v>
      </c>
      <c r="AC367">
        <f>survey_responses[[#This Row],[Các thủ tục khai báo thuế VÀ/HOẶC quy trình làm việc với cơ quan thuế đơn giản, tiện lợi, nhanh chóng hơn so với trước đây. - HUMAN-FAC1]]</f>
        <v>8</v>
      </c>
      <c r="AD367" t="str">
        <f t="shared" si="142"/>
        <v>Support</v>
      </c>
      <c r="AE367" s="32">
        <f t="shared" si="143"/>
        <v>1</v>
      </c>
      <c r="AF367">
        <f>step3_validation[[#This Row],[AI_FAC2]]</f>
        <v>9</v>
      </c>
      <c r="AG367" t="str">
        <f t="shared" si="144"/>
        <v>Support</v>
      </c>
      <c r="AH367">
        <f>survey_responses[[#This Row],[So với trước đây, tôi thấy cách tính thuế và các bậc thuế trong phương án mới đơn giản, dễ hiểu và dễ thực hiện hơn. - HUMAN-FAC2]]</f>
        <v>8</v>
      </c>
      <c r="AI367" t="str">
        <f t="shared" si="145"/>
        <v>Support</v>
      </c>
      <c r="AJ367" s="32">
        <f t="shared" si="146"/>
        <v>1</v>
      </c>
      <c r="AK367">
        <f>step3_validation[[#This Row],[AI_TRU1]]</f>
        <v>7</v>
      </c>
      <c r="AL367" t="str">
        <f t="shared" si="147"/>
        <v>Neutral</v>
      </c>
      <c r="AM367">
        <f>survey_responses[[#This Row],[Tôi tin rằng Nhà nước, cơ quan thuế sẽ thực thi chính sách mới một cách khách quan, công tâm và đối xử bình đẳng với mọi người nộp thuế.  - HUMAN-TRU1]]</f>
        <v>5</v>
      </c>
      <c r="AN367" t="str">
        <f t="shared" si="148"/>
        <v>Neutral</v>
      </c>
      <c r="AO367" s="32">
        <f t="shared" si="149"/>
        <v>2</v>
      </c>
      <c r="AP367">
        <f>step3_validation[[#This Row],[AI_TRU2]]</f>
        <v>9</v>
      </c>
      <c r="AQ367" t="str">
        <f t="shared" si="150"/>
        <v>Support</v>
      </c>
      <c r="AR367">
        <f>survey_responses[[#This Row],[Tôi thấy mức thuế tôi phải đóng theo phương án mới là công bằng (người thu nhập như tôi đóng mức này là hợp lý). - HUMAN-TRU2]]</f>
        <v>6</v>
      </c>
      <c r="AS367" t="str">
        <f t="shared" si="151"/>
        <v>Neutral</v>
      </c>
      <c r="AT367" s="32">
        <f t="shared" si="152"/>
        <v>3</v>
      </c>
      <c r="AU367">
        <f>step3_validation[[#This Row],[AI_TRU3]]</f>
        <v>7</v>
      </c>
      <c r="AV367" t="str">
        <f t="shared" si="153"/>
        <v>Neutral</v>
      </c>
      <c r="AW367">
        <f>survey_responses[[#This Row],[Tôi tin tưởng số tiền thuế tôi đóng sẽ được Nhà nước sử dụng hiệu quả để cải thiện dịch vụ công (y tế, đường xá...). - HUMAN-TRU3]]</f>
        <v>5</v>
      </c>
      <c r="AX367" t="str">
        <f t="shared" si="154"/>
        <v>Neutral</v>
      </c>
      <c r="AY367" s="32">
        <f t="shared" si="155"/>
        <v>2</v>
      </c>
      <c r="AZ367">
        <f>step3_validation[[#This Row],[AI_TRU4]]</f>
        <v>8</v>
      </c>
      <c r="BA367" t="str">
        <f t="shared" si="156"/>
        <v>Support</v>
      </c>
      <c r="BB367">
        <f>survey_responses[[#This Row],[Tôi thấy Nhà nước đã giải thích rõ ràng, minh bạch về lý do và mục tiêu của việc sửa đổi thuế lần này. - HUMAN-TRU4]]</f>
        <v>6</v>
      </c>
      <c r="BC367" t="str">
        <f t="shared" si="157"/>
        <v>Neutral</v>
      </c>
      <c r="BD367" s="32">
        <f t="shared" si="158"/>
        <v>2</v>
      </c>
      <c r="BE367">
        <f>step3_validation[[#This Row],[AI_OUT1]]</f>
        <v>9</v>
      </c>
      <c r="BF367" t="str">
        <f t="shared" si="159"/>
        <v>Support</v>
      </c>
      <c r="BG367">
        <f>survey_responses[[#This Row],[Sau khi xem xét các quyền lợi và nghĩa vụ, bạn có ủng hộ và tuân thủ chính sách mới hiện nay? - HUMAN-OUT1]]</f>
        <v>6</v>
      </c>
      <c r="BH367" t="str">
        <f t="shared" si="160"/>
        <v>Neutral</v>
      </c>
      <c r="BI367" s="32">
        <f t="shared" si="161"/>
        <v>3</v>
      </c>
    </row>
    <row r="368" spans="1:61" x14ac:dyDescent="0.45">
      <c r="A368" s="30">
        <f>step3_validation[[#This Row],[Persona_ID]]</f>
        <v>367</v>
      </c>
      <c r="B368" s="31">
        <f>step3_validation[[#This Row],[Used_Seed]]</f>
        <v>12711</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16.818679472200255</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6</v>
      </c>
      <c r="R368" t="str">
        <f t="shared" si="135"/>
        <v>Neutral</v>
      </c>
      <c r="S368">
        <f>survey_responses[[#This Row],[Tôi tin rằng với các quy định quản lý thuế hiện nay, hành vi gian lận hoặc trốn thuế sẽ dễ dàng bị phát hiện và xử lý nghiêm. - HUMAN-ENF1]]</f>
        <v>8</v>
      </c>
      <c r="T368" t="str">
        <f t="shared" si="136"/>
        <v>Support</v>
      </c>
      <c r="U368" s="32">
        <f t="shared" si="137"/>
        <v>2</v>
      </c>
      <c r="V368">
        <f>step3_validation[[#This Row],[AI_ENF2]]</f>
        <v>5</v>
      </c>
      <c r="W368" t="str">
        <f t="shared" si="138"/>
        <v>Neutral</v>
      </c>
      <c r="X368">
        <f>survey_responses[[#This Row],[Tôi tin rằng Nhà nước, cơ quan thuế có đủ khả năng và công nghệ để phát hiện, xử lý nghiêm các hành vi trốn thuế. - HUMAN-ENF2]]</f>
        <v>9</v>
      </c>
      <c r="Y368" t="str">
        <f t="shared" si="139"/>
        <v>Support</v>
      </c>
      <c r="Z368" s="32">
        <f t="shared" si="140"/>
        <v>4</v>
      </c>
      <c r="AA368">
        <f>step3_validation[[#This Row],[AI_FAC1]]</f>
        <v>9</v>
      </c>
      <c r="AB368" t="str">
        <f t="shared" si="141"/>
        <v>Support</v>
      </c>
      <c r="AC368">
        <f>survey_responses[[#This Row],[Các thủ tục khai báo thuế VÀ/HOẶC quy trình làm việc với cơ quan thuế đơn giản, tiện lợi, nhanh chóng hơn so với trước đây. - HUMAN-FAC1]]</f>
        <v>8</v>
      </c>
      <c r="AD368" t="str">
        <f t="shared" si="142"/>
        <v>Support</v>
      </c>
      <c r="AE368" s="32">
        <f t="shared" si="143"/>
        <v>1</v>
      </c>
      <c r="AF368">
        <f>step3_validation[[#This Row],[AI_FAC2]]</f>
        <v>8</v>
      </c>
      <c r="AG368" t="str">
        <f t="shared" si="144"/>
        <v>Support</v>
      </c>
      <c r="AH368">
        <f>survey_responses[[#This Row],[So với trước đây, tôi thấy cách tính thuế và các bậc thuế trong phương án mới đơn giản, dễ hiểu và dễ thực hiện hơn. - HUMAN-FAC2]]</f>
        <v>8</v>
      </c>
      <c r="AI368" t="str">
        <f t="shared" si="145"/>
        <v>Support</v>
      </c>
      <c r="AJ368" s="32">
        <f t="shared" si="146"/>
        <v>0</v>
      </c>
      <c r="AK368">
        <f>step3_validation[[#This Row],[AI_TRU1]]</f>
        <v>9</v>
      </c>
      <c r="AL368" t="str">
        <f t="shared" si="147"/>
        <v>Support</v>
      </c>
      <c r="AM368">
        <f>survey_responses[[#This Row],[Tôi tin rằng Nhà nước, cơ quan thuế sẽ thực thi chính sách mới một cách khách quan, công tâm và đối xử bình đẳng với mọi người nộp thuế.  - HUMAN-TRU1]]</f>
        <v>9</v>
      </c>
      <c r="AN368" t="str">
        <f t="shared" si="148"/>
        <v>Support</v>
      </c>
      <c r="AO368" s="32">
        <f t="shared" si="149"/>
        <v>0</v>
      </c>
      <c r="AP368">
        <f>step3_validation[[#This Row],[AI_TRU2]]</f>
        <v>8</v>
      </c>
      <c r="AQ368" t="str">
        <f t="shared" si="150"/>
        <v>Support</v>
      </c>
      <c r="AR368">
        <f>survey_responses[[#This Row],[Tôi thấy mức thuế tôi phải đóng theo phương án mới là công bằng (người thu nhập như tôi đóng mức này là hợp lý). - HUMAN-TRU2]]</f>
        <v>10</v>
      </c>
      <c r="AS368" t="str">
        <f t="shared" si="151"/>
        <v>Support</v>
      </c>
      <c r="AT368" s="32">
        <f t="shared" si="152"/>
        <v>2</v>
      </c>
      <c r="AU368">
        <f>step3_validation[[#This Row],[AI_TRU3]]</f>
        <v>9</v>
      </c>
      <c r="AV368" t="str">
        <f t="shared" si="153"/>
        <v>Support</v>
      </c>
      <c r="AW368">
        <f>survey_responses[[#This Row],[Tôi tin tưởng số tiền thuế tôi đóng sẽ được Nhà nước sử dụng hiệu quả để cải thiện dịch vụ công (y tế, đường xá...). - HUMAN-TRU3]]</f>
        <v>10</v>
      </c>
      <c r="AX368" t="str">
        <f t="shared" si="154"/>
        <v>Support</v>
      </c>
      <c r="AY368" s="32">
        <f t="shared" si="155"/>
        <v>1</v>
      </c>
      <c r="AZ368">
        <f>step3_validation[[#This Row],[AI_TRU4]]</f>
        <v>7</v>
      </c>
      <c r="BA368" t="str">
        <f t="shared" si="156"/>
        <v>Neutral</v>
      </c>
      <c r="BB368">
        <f>survey_responses[[#This Row],[Tôi thấy Nhà nước đã giải thích rõ ràng, minh bạch về lý do và mục tiêu của việc sửa đổi thuế lần này. - HUMAN-TRU4]]</f>
        <v>9</v>
      </c>
      <c r="BC368" t="str">
        <f t="shared" si="157"/>
        <v>Support</v>
      </c>
      <c r="BD368" s="32">
        <f t="shared" si="158"/>
        <v>2</v>
      </c>
      <c r="BE368">
        <f>step3_validation[[#This Row],[AI_OUT1]]</f>
        <v>9</v>
      </c>
      <c r="BF368" t="str">
        <f t="shared" si="159"/>
        <v>Support</v>
      </c>
      <c r="BG368">
        <f>survey_responses[[#This Row],[Sau khi xem xét các quyền lợi và nghĩa vụ, bạn có ủng hộ và tuân thủ chính sách mới hiện nay? - HUMAN-OUT1]]</f>
        <v>10</v>
      </c>
      <c r="BH368" t="str">
        <f t="shared" si="160"/>
        <v>Support</v>
      </c>
      <c r="BI368" s="32">
        <f t="shared" si="161"/>
        <v>1</v>
      </c>
    </row>
    <row r="369" spans="1:61" x14ac:dyDescent="0.45">
      <c r="A369" s="30">
        <f>step3_validation[[#This Row],[Persona_ID]]</f>
        <v>368</v>
      </c>
      <c r="B369" s="31">
        <f>step3_validation[[#This Row],[Used_Seed]]</f>
        <v>12712</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29.223706589345699</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7</v>
      </c>
      <c r="R369" t="str">
        <f t="shared" si="135"/>
        <v>Neutral</v>
      </c>
      <c r="S369">
        <f>survey_responses[[#This Row],[Tôi tin rằng với các quy định quản lý thuế hiện nay, hành vi gian lận hoặc trốn thuế sẽ dễ dàng bị phát hiện và xử lý nghiêm. - HUMAN-ENF1]]</f>
        <v>7</v>
      </c>
      <c r="T369" t="str">
        <f t="shared" si="136"/>
        <v>Neutral</v>
      </c>
      <c r="U369" s="32">
        <f t="shared" si="137"/>
        <v>0</v>
      </c>
      <c r="V369">
        <f>step3_validation[[#This Row],[AI_ENF2]]</f>
        <v>9</v>
      </c>
      <c r="W369" t="str">
        <f t="shared" si="138"/>
        <v>Support</v>
      </c>
      <c r="X369">
        <f>survey_responses[[#This Row],[Tôi tin rằng Nhà nước, cơ quan thuế có đủ khả năng và công nghệ để phát hiện, xử lý nghiêm các hành vi trốn thuế. - HUMAN-ENF2]]</f>
        <v>7</v>
      </c>
      <c r="Y369" t="str">
        <f t="shared" si="139"/>
        <v>Neutral</v>
      </c>
      <c r="Z369" s="32">
        <f t="shared" si="140"/>
        <v>2</v>
      </c>
      <c r="AA369">
        <f>step3_validation[[#This Row],[AI_FAC1]]</f>
        <v>8</v>
      </c>
      <c r="AB369" t="str">
        <f t="shared" si="141"/>
        <v>Support</v>
      </c>
      <c r="AC369">
        <f>survey_responses[[#This Row],[Các thủ tục khai báo thuế VÀ/HOẶC quy trình làm việc với cơ quan thuế đơn giản, tiện lợi, nhanh chóng hơn so với trước đây. - HUMAN-FAC1]]</f>
        <v>8</v>
      </c>
      <c r="AD369" t="str">
        <f t="shared" si="142"/>
        <v>Support</v>
      </c>
      <c r="AE369" s="32">
        <f t="shared" si="143"/>
        <v>0</v>
      </c>
      <c r="AF369">
        <f>step3_validation[[#This Row],[AI_FAC2]]</f>
        <v>9</v>
      </c>
      <c r="AG369" t="str">
        <f t="shared" si="144"/>
        <v>Support</v>
      </c>
      <c r="AH369">
        <f>survey_responses[[#This Row],[So với trước đây, tôi thấy cách tính thuế và các bậc thuế trong phương án mới đơn giản, dễ hiểu và dễ thực hiện hơn. - HUMAN-FAC2]]</f>
        <v>8</v>
      </c>
      <c r="AI369" t="str">
        <f t="shared" si="145"/>
        <v>Support</v>
      </c>
      <c r="AJ369" s="32">
        <f t="shared" si="146"/>
        <v>1</v>
      </c>
      <c r="AK369">
        <f>step3_validation[[#This Row],[AI_TRU1]]</f>
        <v>7</v>
      </c>
      <c r="AL369" t="str">
        <f t="shared" si="147"/>
        <v>Neutral</v>
      </c>
      <c r="AM369">
        <f>survey_responses[[#This Row],[Tôi tin rằng Nhà nước, cơ quan thuế sẽ thực thi chính sách mới một cách khách quan, công tâm và đối xử bình đẳng với mọi người nộp thuế.  - HUMAN-TRU1]]</f>
        <v>6</v>
      </c>
      <c r="AN369" t="str">
        <f t="shared" si="148"/>
        <v>Neutral</v>
      </c>
      <c r="AO369" s="32">
        <f t="shared" si="149"/>
        <v>1</v>
      </c>
      <c r="AP369">
        <f>step3_validation[[#This Row],[AI_TRU2]]</f>
        <v>9</v>
      </c>
      <c r="AQ369" t="str">
        <f t="shared" si="150"/>
        <v>Support</v>
      </c>
      <c r="AR369">
        <f>survey_responses[[#This Row],[Tôi thấy mức thuế tôi phải đóng theo phương án mới là công bằng (người thu nhập như tôi đóng mức này là hợp lý). - HUMAN-TRU2]]</f>
        <v>8</v>
      </c>
      <c r="AS369" t="str">
        <f t="shared" si="151"/>
        <v>Support</v>
      </c>
      <c r="AT369" s="32">
        <f t="shared" si="152"/>
        <v>1</v>
      </c>
      <c r="AU369">
        <f>step3_validation[[#This Row],[AI_TRU3]]</f>
        <v>8</v>
      </c>
      <c r="AV369" t="str">
        <f t="shared" si="153"/>
        <v>Support</v>
      </c>
      <c r="AW369">
        <f>survey_responses[[#This Row],[Tôi tin tưởng số tiền thuế tôi đóng sẽ được Nhà nước sử dụng hiệu quả để cải thiện dịch vụ công (y tế, đường xá...). - HUMAN-TRU3]]</f>
        <v>6</v>
      </c>
      <c r="AX369" t="str">
        <f t="shared" si="154"/>
        <v>Neutral</v>
      </c>
      <c r="AY369" s="32">
        <f t="shared" si="155"/>
        <v>2</v>
      </c>
      <c r="AZ369">
        <f>step3_validation[[#This Row],[AI_TRU4]]</f>
        <v>7</v>
      </c>
      <c r="BA369" t="str">
        <f t="shared" si="156"/>
        <v>Neutral</v>
      </c>
      <c r="BB369">
        <f>survey_responses[[#This Row],[Tôi thấy Nhà nước đã giải thích rõ ràng, minh bạch về lý do và mục tiêu của việc sửa đổi thuế lần này. - HUMAN-TRU4]]</f>
        <v>7</v>
      </c>
      <c r="BC369" t="str">
        <f t="shared" si="157"/>
        <v>Neutral</v>
      </c>
      <c r="BD369" s="32">
        <f t="shared" si="158"/>
        <v>0</v>
      </c>
      <c r="BE369">
        <f>step3_validation[[#This Row],[AI_OUT1]]</f>
        <v>9</v>
      </c>
      <c r="BF369" t="str">
        <f t="shared" si="159"/>
        <v>Support</v>
      </c>
      <c r="BG369">
        <f>survey_responses[[#This Row],[Sau khi xem xét các quyền lợi và nghĩa vụ, bạn có ủng hộ và tuân thủ chính sách mới hiện nay? - HUMAN-OUT1]]</f>
        <v>8</v>
      </c>
      <c r="BH369" t="str">
        <f t="shared" si="160"/>
        <v>Support</v>
      </c>
      <c r="BI369" s="32">
        <f t="shared" si="161"/>
        <v>1</v>
      </c>
    </row>
    <row r="370" spans="1:61" x14ac:dyDescent="0.45">
      <c r="A370" s="30">
        <f>step3_validation[[#This Row],[Persona_ID]]</f>
        <v>369</v>
      </c>
      <c r="B370" s="31">
        <f>step3_validation[[#This Row],[Used_Seed]]</f>
        <v>12713</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14.334666874127459</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t="str">
        <f t="shared" si="135"/>
        <v>Neutral</v>
      </c>
      <c r="S370">
        <f>survey_responses[[#This Row],[Tôi tin rằng với các quy định quản lý thuế hiện nay, hành vi gian lận hoặc trốn thuế sẽ dễ dàng bị phát hiện và xử lý nghiêm. - HUMAN-ENF1]]</f>
        <v>6</v>
      </c>
      <c r="T370" t="str">
        <f t="shared" si="136"/>
        <v>Neutral</v>
      </c>
      <c r="U370" s="32">
        <f t="shared" si="137"/>
        <v>1</v>
      </c>
      <c r="V370">
        <f>step3_validation[[#This Row],[AI_ENF2]]</f>
        <v>8</v>
      </c>
      <c r="W370" t="str">
        <f t="shared" si="138"/>
        <v>Support</v>
      </c>
      <c r="X370">
        <f>survey_responses[[#This Row],[Tôi tin rằng Nhà nước, cơ quan thuế có đủ khả năng và công nghệ để phát hiện, xử lý nghiêm các hành vi trốn thuế. - HUMAN-ENF2]]</f>
        <v>6</v>
      </c>
      <c r="Y370" t="str">
        <f t="shared" si="139"/>
        <v>Neutral</v>
      </c>
      <c r="Z370" s="32">
        <f t="shared" si="140"/>
        <v>2</v>
      </c>
      <c r="AA370">
        <f>step3_validation[[#This Row],[AI_FAC1]]</f>
        <v>9</v>
      </c>
      <c r="AB370" t="str">
        <f t="shared" si="141"/>
        <v>Support</v>
      </c>
      <c r="AC370">
        <f>survey_responses[[#This Row],[Các thủ tục khai báo thuế VÀ/HOẶC quy trình làm việc với cơ quan thuế đơn giản, tiện lợi, nhanh chóng hơn so với trước đây. - HUMAN-FAC1]]</f>
        <v>8</v>
      </c>
      <c r="AD370" t="str">
        <f t="shared" si="142"/>
        <v>Support</v>
      </c>
      <c r="AE370" s="32">
        <f t="shared" si="143"/>
        <v>1</v>
      </c>
      <c r="AF370">
        <f>step3_validation[[#This Row],[AI_FAC2]]</f>
        <v>9</v>
      </c>
      <c r="AG370" t="str">
        <f t="shared" si="144"/>
        <v>Support</v>
      </c>
      <c r="AH370">
        <f>survey_responses[[#This Row],[So với trước đây, tôi thấy cách tính thuế và các bậc thuế trong phương án mới đơn giản, dễ hiểu và dễ thực hiện hơn. - HUMAN-FAC2]]</f>
        <v>9</v>
      </c>
      <c r="AI370" t="str">
        <f t="shared" si="145"/>
        <v>Support</v>
      </c>
      <c r="AJ370" s="32">
        <f t="shared" si="146"/>
        <v>0</v>
      </c>
      <c r="AK370">
        <f>step3_validation[[#This Row],[AI_TRU1]]</f>
        <v>8</v>
      </c>
      <c r="AL370" t="str">
        <f t="shared" si="147"/>
        <v>Support</v>
      </c>
      <c r="AM370">
        <f>survey_responses[[#This Row],[Tôi tin rằng Nhà nước, cơ quan thuế sẽ thực thi chính sách mới một cách khách quan, công tâm và đối xử bình đẳng với mọi người nộp thuế.  - HUMAN-TRU1]]</f>
        <v>8</v>
      </c>
      <c r="AN370" t="str">
        <f t="shared" si="148"/>
        <v>Support</v>
      </c>
      <c r="AO370" s="32">
        <f t="shared" si="149"/>
        <v>0</v>
      </c>
      <c r="AP370">
        <f>step3_validation[[#This Row],[AI_TRU2]]</f>
        <v>9</v>
      </c>
      <c r="AQ370" t="str">
        <f t="shared" si="150"/>
        <v>Support</v>
      </c>
      <c r="AR370">
        <f>survey_responses[[#This Row],[Tôi thấy mức thuế tôi phải đóng theo phương án mới là công bằng (người thu nhập như tôi đóng mức này là hợp lý). - HUMAN-TRU2]]</f>
        <v>8</v>
      </c>
      <c r="AS370" t="str">
        <f t="shared" si="151"/>
        <v>Support</v>
      </c>
      <c r="AT370" s="32">
        <f t="shared" si="152"/>
        <v>1</v>
      </c>
      <c r="AU370">
        <f>step3_validation[[#This Row],[AI_TRU3]]</f>
        <v>8</v>
      </c>
      <c r="AV370" t="str">
        <f t="shared" si="153"/>
        <v>Support</v>
      </c>
      <c r="AW370">
        <f>survey_responses[[#This Row],[Tôi tin tưởng số tiền thuế tôi đóng sẽ được Nhà nước sử dụng hiệu quả để cải thiện dịch vụ công (y tế, đường xá...). - HUMAN-TRU3]]</f>
        <v>5</v>
      </c>
      <c r="AX370" t="str">
        <f t="shared" si="154"/>
        <v>Neutral</v>
      </c>
      <c r="AY370" s="32">
        <f t="shared" si="155"/>
        <v>3</v>
      </c>
      <c r="AZ370">
        <f>step3_validation[[#This Row],[AI_TRU4]]</f>
        <v>9</v>
      </c>
      <c r="BA370" t="str">
        <f t="shared" si="156"/>
        <v>Support</v>
      </c>
      <c r="BB370">
        <f>survey_responses[[#This Row],[Tôi thấy Nhà nước đã giải thích rõ ràng, minh bạch về lý do và mục tiêu của việc sửa đổi thuế lần này. - HUMAN-TRU4]]</f>
        <v>7</v>
      </c>
      <c r="BC370" t="str">
        <f t="shared" si="157"/>
        <v>Neutral</v>
      </c>
      <c r="BD370" s="32">
        <f t="shared" si="158"/>
        <v>2</v>
      </c>
      <c r="BE370">
        <f>step3_validation[[#This Row],[AI_OUT1]]</f>
        <v>10</v>
      </c>
      <c r="BF370" t="str">
        <f t="shared" si="159"/>
        <v>Support</v>
      </c>
      <c r="BG370">
        <f>survey_responses[[#This Row],[Sau khi xem xét các quyền lợi và nghĩa vụ, bạn có ủng hộ và tuân thủ chính sách mới hiện nay? - HUMAN-OUT1]]</f>
        <v>8</v>
      </c>
      <c r="BH370" t="str">
        <f t="shared" si="160"/>
        <v>Support</v>
      </c>
      <c r="BI370" s="32">
        <f t="shared" si="161"/>
        <v>2</v>
      </c>
    </row>
    <row r="371" spans="1:61" x14ac:dyDescent="0.45">
      <c r="A371" s="30">
        <f>step3_validation[[#This Row],[Persona_ID]]</f>
        <v>370</v>
      </c>
      <c r="B371" s="31">
        <f>step3_validation[[#This Row],[Used_Seed]]</f>
        <v>12714</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18.287658310058934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7</v>
      </c>
      <c r="R371" t="str">
        <f t="shared" si="135"/>
        <v>Neutral</v>
      </c>
      <c r="S371">
        <f>survey_responses[[#This Row],[Tôi tin rằng với các quy định quản lý thuế hiện nay, hành vi gian lận hoặc trốn thuế sẽ dễ dàng bị phát hiện và xử lý nghiêm. - HUMAN-ENF1]]</f>
        <v>6</v>
      </c>
      <c r="T371" t="str">
        <f t="shared" si="136"/>
        <v>Neutral</v>
      </c>
      <c r="U371" s="32">
        <f t="shared" si="137"/>
        <v>1</v>
      </c>
      <c r="V371">
        <f>step3_validation[[#This Row],[AI_ENF2]]</f>
        <v>8</v>
      </c>
      <c r="W371" t="str">
        <f t="shared" si="138"/>
        <v>Support</v>
      </c>
      <c r="X371">
        <f>survey_responses[[#This Row],[Tôi tin rằng Nhà nước, cơ quan thuế có đủ khả năng và công nghệ để phát hiện, xử lý nghiêm các hành vi trốn thuế. - HUMAN-ENF2]]</f>
        <v>7</v>
      </c>
      <c r="Y371" t="str">
        <f t="shared" si="139"/>
        <v>Neutral</v>
      </c>
      <c r="Z371" s="32">
        <f t="shared" si="140"/>
        <v>1</v>
      </c>
      <c r="AA371">
        <f>step3_validation[[#This Row],[AI_FAC1]]</f>
        <v>9</v>
      </c>
      <c r="AB371" t="str">
        <f t="shared" si="141"/>
        <v>Support</v>
      </c>
      <c r="AC371">
        <f>survey_responses[[#This Row],[Các thủ tục khai báo thuế VÀ/HOẶC quy trình làm việc với cơ quan thuế đơn giản, tiện lợi, nhanh chóng hơn so với trước đây. - HUMAN-FAC1]]</f>
        <v>7</v>
      </c>
      <c r="AD371" t="str">
        <f t="shared" si="142"/>
        <v>Neutral</v>
      </c>
      <c r="AE371" s="32">
        <f t="shared" si="143"/>
        <v>2</v>
      </c>
      <c r="AF371">
        <f>step3_validation[[#This Row],[AI_FAC2]]</f>
        <v>9</v>
      </c>
      <c r="AG371" t="str">
        <f t="shared" si="144"/>
        <v>Support</v>
      </c>
      <c r="AH371">
        <f>survey_responses[[#This Row],[So với trước đây, tôi thấy cách tính thuế và các bậc thuế trong phương án mới đơn giản, dễ hiểu và dễ thực hiện hơn. - HUMAN-FAC2]]</f>
        <v>9</v>
      </c>
      <c r="AI371" t="str">
        <f t="shared" si="145"/>
        <v>Support</v>
      </c>
      <c r="AJ371" s="32">
        <f t="shared" si="146"/>
        <v>0</v>
      </c>
      <c r="AK371">
        <f>step3_validation[[#This Row],[AI_TRU1]]</f>
        <v>8</v>
      </c>
      <c r="AL371" t="str">
        <f t="shared" si="147"/>
        <v>Support</v>
      </c>
      <c r="AM371">
        <f>survey_responses[[#This Row],[Tôi tin rằng Nhà nước, cơ quan thuế sẽ thực thi chính sách mới một cách khách quan, công tâm và đối xử bình đẳng với mọi người nộp thuế.  - HUMAN-TRU1]]</f>
        <v>7</v>
      </c>
      <c r="AN371" t="str">
        <f t="shared" si="148"/>
        <v>Neutral</v>
      </c>
      <c r="AO371" s="32">
        <f t="shared" si="149"/>
        <v>1</v>
      </c>
      <c r="AP371">
        <f>step3_validation[[#This Row],[AI_TRU2]]</f>
        <v>9</v>
      </c>
      <c r="AQ371" t="str">
        <f t="shared" si="150"/>
        <v>Support</v>
      </c>
      <c r="AR371">
        <f>survey_responses[[#This Row],[Tôi thấy mức thuế tôi phải đóng theo phương án mới là công bằng (người thu nhập như tôi đóng mức này là hợp lý). - HUMAN-TRU2]]</f>
        <v>9</v>
      </c>
      <c r="AS371" t="str">
        <f t="shared" si="151"/>
        <v>Support</v>
      </c>
      <c r="AT371" s="32">
        <f t="shared" si="152"/>
        <v>0</v>
      </c>
      <c r="AU371">
        <f>step3_validation[[#This Row],[AI_TRU3]]</f>
        <v>8</v>
      </c>
      <c r="AV371" t="str">
        <f t="shared" si="153"/>
        <v>Support</v>
      </c>
      <c r="AW371">
        <f>survey_responses[[#This Row],[Tôi tin tưởng số tiền thuế tôi đóng sẽ được Nhà nước sử dụng hiệu quả để cải thiện dịch vụ công (y tế, đường xá...). - HUMAN-TRU3]]</f>
        <v>9</v>
      </c>
      <c r="AX371" t="str">
        <f t="shared" si="154"/>
        <v>Support</v>
      </c>
      <c r="AY371" s="32">
        <f t="shared" si="155"/>
        <v>1</v>
      </c>
      <c r="AZ371">
        <f>step3_validation[[#This Row],[AI_TRU4]]</f>
        <v>9</v>
      </c>
      <c r="BA371" t="str">
        <f t="shared" si="156"/>
        <v>Support</v>
      </c>
      <c r="BB371">
        <f>survey_responses[[#This Row],[Tôi thấy Nhà nước đã giải thích rõ ràng, minh bạch về lý do và mục tiêu của việc sửa đổi thuế lần này. - HUMAN-TRU4]]</f>
        <v>9</v>
      </c>
      <c r="BC371" t="str">
        <f t="shared" si="157"/>
        <v>Support</v>
      </c>
      <c r="BD371" s="32">
        <f t="shared" si="158"/>
        <v>0</v>
      </c>
      <c r="BE371">
        <f>step3_validation[[#This Row],[AI_OUT1]]</f>
        <v>9</v>
      </c>
      <c r="BF371" t="str">
        <f t="shared" si="159"/>
        <v>Support</v>
      </c>
      <c r="BG371">
        <f>survey_responses[[#This Row],[Sau khi xem xét các quyền lợi và nghĩa vụ, bạn có ủng hộ và tuân thủ chính sách mới hiện nay? - HUMAN-OUT1]]</f>
        <v>9</v>
      </c>
      <c r="BH371" t="str">
        <f t="shared" si="160"/>
        <v>Support</v>
      </c>
      <c r="BI371" s="32">
        <f t="shared" si="161"/>
        <v>0</v>
      </c>
    </row>
    <row r="372" spans="1:61" x14ac:dyDescent="0.45">
      <c r="A372" s="30">
        <f>step3_validation[[#This Row],[Persona_ID]]</f>
        <v>371</v>
      </c>
      <c r="B372" s="31">
        <f>step3_validation[[#This Row],[Used_Seed]]</f>
        <v>12715</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57.925657763033932</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8</v>
      </c>
      <c r="R372" t="str">
        <f t="shared" si="135"/>
        <v>Support</v>
      </c>
      <c r="S372">
        <f>survey_responses[[#This Row],[Tôi tin rằng với các quy định quản lý thuế hiện nay, hành vi gian lận hoặc trốn thuế sẽ dễ dàng bị phát hiện và xử lý nghiêm. - HUMAN-ENF1]]</f>
        <v>4</v>
      </c>
      <c r="T372" t="str">
        <f t="shared" si="136"/>
        <v>Oppose</v>
      </c>
      <c r="U372" s="32">
        <f t="shared" si="137"/>
        <v>4</v>
      </c>
      <c r="V372">
        <f>step3_validation[[#This Row],[AI_ENF2]]</f>
        <v>9</v>
      </c>
      <c r="W372" t="str">
        <f t="shared" si="138"/>
        <v>Support</v>
      </c>
      <c r="X372">
        <f>survey_responses[[#This Row],[Tôi tin rằng Nhà nước, cơ quan thuế có đủ khả năng và công nghệ để phát hiện, xử lý nghiêm các hành vi trốn thuế. - HUMAN-ENF2]]</f>
        <v>4</v>
      </c>
      <c r="Y372" t="str">
        <f t="shared" si="139"/>
        <v>Oppose</v>
      </c>
      <c r="Z372" s="32">
        <f t="shared" si="140"/>
        <v>5</v>
      </c>
      <c r="AA372">
        <f>step3_validation[[#This Row],[AI_FAC1]]</f>
        <v>8</v>
      </c>
      <c r="AB372" t="str">
        <f t="shared" si="141"/>
        <v>Support</v>
      </c>
      <c r="AC372">
        <f>survey_responses[[#This Row],[Các thủ tục khai báo thuế VÀ/HOẶC quy trình làm việc với cơ quan thuế đơn giản, tiện lợi, nhanh chóng hơn so với trước đây. - HUMAN-FAC1]]</f>
        <v>5</v>
      </c>
      <c r="AD372" t="str">
        <f t="shared" si="142"/>
        <v>Neutral</v>
      </c>
      <c r="AE372" s="32">
        <f t="shared" si="143"/>
        <v>3</v>
      </c>
      <c r="AF372">
        <f>step3_validation[[#This Row],[AI_FAC2]]</f>
        <v>9</v>
      </c>
      <c r="AG372" t="str">
        <f t="shared" si="144"/>
        <v>Support</v>
      </c>
      <c r="AH372">
        <f>survey_responses[[#This Row],[So với trước đây, tôi thấy cách tính thuế và các bậc thuế trong phương án mới đơn giản, dễ hiểu và dễ thực hiện hơn. - HUMAN-FAC2]]</f>
        <v>5</v>
      </c>
      <c r="AI372" t="str">
        <f t="shared" si="145"/>
        <v>Neutral</v>
      </c>
      <c r="AJ372" s="32">
        <f t="shared" si="146"/>
        <v>4</v>
      </c>
      <c r="AK372">
        <f>step3_validation[[#This Row],[AI_TRU1]]</f>
        <v>8</v>
      </c>
      <c r="AL372" t="str">
        <f t="shared" si="147"/>
        <v>Support</v>
      </c>
      <c r="AM372">
        <f>survey_responses[[#This Row],[Tôi tin rằng Nhà nước, cơ quan thuế sẽ thực thi chính sách mới một cách khách quan, công tâm và đối xử bình đẳng với mọi người nộp thuế.  - HUMAN-TRU1]]</f>
        <v>5</v>
      </c>
      <c r="AN372" t="str">
        <f t="shared" si="148"/>
        <v>Neutral</v>
      </c>
      <c r="AO372" s="32">
        <f t="shared" si="149"/>
        <v>3</v>
      </c>
      <c r="AP372">
        <f>step3_validation[[#This Row],[AI_TRU2]]</f>
        <v>9</v>
      </c>
      <c r="AQ372" t="str">
        <f t="shared" si="150"/>
        <v>Support</v>
      </c>
      <c r="AR372">
        <f>survey_responses[[#This Row],[Tôi thấy mức thuế tôi phải đóng theo phương án mới là công bằng (người thu nhập như tôi đóng mức này là hợp lý). - HUMAN-TRU2]]</f>
        <v>4</v>
      </c>
      <c r="AS372" t="str">
        <f t="shared" si="151"/>
        <v>Oppose</v>
      </c>
      <c r="AT372" s="32">
        <f t="shared" si="152"/>
        <v>5</v>
      </c>
      <c r="AU372">
        <f>step3_validation[[#This Row],[AI_TRU3]]</f>
        <v>8</v>
      </c>
      <c r="AV372" t="str">
        <f t="shared" si="153"/>
        <v>Support</v>
      </c>
      <c r="AW372">
        <f>survey_responses[[#This Row],[Tôi tin tưởng số tiền thuế tôi đóng sẽ được Nhà nước sử dụng hiệu quả để cải thiện dịch vụ công (y tế, đường xá...). - HUMAN-TRU3]]</f>
        <v>5</v>
      </c>
      <c r="AX372" t="str">
        <f t="shared" si="154"/>
        <v>Neutral</v>
      </c>
      <c r="AY372" s="32">
        <f t="shared" si="155"/>
        <v>3</v>
      </c>
      <c r="AZ372">
        <f>step3_validation[[#This Row],[AI_TRU4]]</f>
        <v>9</v>
      </c>
      <c r="BA372" t="str">
        <f t="shared" si="156"/>
        <v>Support</v>
      </c>
      <c r="BB372">
        <f>survey_responses[[#This Row],[Tôi thấy Nhà nước đã giải thích rõ ràng, minh bạch về lý do và mục tiêu của việc sửa đổi thuế lần này. - HUMAN-TRU4]]</f>
        <v>6</v>
      </c>
      <c r="BC372" t="str">
        <f t="shared" si="157"/>
        <v>Neutral</v>
      </c>
      <c r="BD372" s="32">
        <f t="shared" si="158"/>
        <v>3</v>
      </c>
      <c r="BE372">
        <f>step3_validation[[#This Row],[AI_OUT1]]</f>
        <v>10</v>
      </c>
      <c r="BF372" t="str">
        <f t="shared" si="159"/>
        <v>Support</v>
      </c>
      <c r="BG372">
        <f>survey_responses[[#This Row],[Sau khi xem xét các quyền lợi và nghĩa vụ, bạn có ủng hộ và tuân thủ chính sách mới hiện nay? - HUMAN-OUT1]]</f>
        <v>5</v>
      </c>
      <c r="BH372" t="str">
        <f t="shared" si="160"/>
        <v>Neutral</v>
      </c>
      <c r="BI372" s="32">
        <f t="shared" si="161"/>
        <v>5</v>
      </c>
    </row>
    <row r="373" spans="1:61" x14ac:dyDescent="0.45">
      <c r="A373" s="30">
        <f>step3_validation[[#This Row],[Persona_ID]]</f>
        <v>372</v>
      </c>
      <c r="B373" s="31">
        <f>step3_validation[[#This Row],[Used_Seed]]</f>
        <v>12716</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32.5114094180405</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t="str">
        <f t="shared" si="135"/>
        <v>Neutral</v>
      </c>
      <c r="S373">
        <f>survey_responses[[#This Row],[Tôi tin rằng với các quy định quản lý thuế hiện nay, hành vi gian lận hoặc trốn thuế sẽ dễ dàng bị phát hiện và xử lý nghiêm. - HUMAN-ENF1]]</f>
        <v>6</v>
      </c>
      <c r="T373" t="str">
        <f t="shared" si="136"/>
        <v>Neutral</v>
      </c>
      <c r="U373" s="32">
        <f t="shared" si="137"/>
        <v>1</v>
      </c>
      <c r="V373">
        <f>step3_validation[[#This Row],[AI_ENF2]]</f>
        <v>8</v>
      </c>
      <c r="W373" t="str">
        <f t="shared" si="138"/>
        <v>Support</v>
      </c>
      <c r="X373">
        <f>survey_responses[[#This Row],[Tôi tin rằng Nhà nước, cơ quan thuế có đủ khả năng và công nghệ để phát hiện, xử lý nghiêm các hành vi trốn thuế. - HUMAN-ENF2]]</f>
        <v>6</v>
      </c>
      <c r="Y373" t="str">
        <f t="shared" si="139"/>
        <v>Neutral</v>
      </c>
      <c r="Z373" s="32">
        <f t="shared" si="140"/>
        <v>2</v>
      </c>
      <c r="AA373">
        <f>step3_validation[[#This Row],[AI_FAC1]]</f>
        <v>9</v>
      </c>
      <c r="AB373" t="str">
        <f t="shared" si="141"/>
        <v>Support</v>
      </c>
      <c r="AC373">
        <f>survey_responses[[#This Row],[Các thủ tục khai báo thuế VÀ/HOẶC quy trình làm việc với cơ quan thuế đơn giản, tiện lợi, nhanh chóng hơn so với trước đây. - HUMAN-FAC1]]</f>
        <v>8</v>
      </c>
      <c r="AD373" t="str">
        <f t="shared" si="142"/>
        <v>Support</v>
      </c>
      <c r="AE373" s="32">
        <f t="shared" si="143"/>
        <v>1</v>
      </c>
      <c r="AF373">
        <f>step3_validation[[#This Row],[AI_FAC2]]</f>
        <v>10</v>
      </c>
      <c r="AG373" t="str">
        <f t="shared" si="144"/>
        <v>Support</v>
      </c>
      <c r="AH373">
        <f>survey_responses[[#This Row],[So với trước đây, tôi thấy cách tính thuế và các bậc thuế trong phương án mới đơn giản, dễ hiểu và dễ thực hiện hơn. - HUMAN-FAC2]]</f>
        <v>8</v>
      </c>
      <c r="AI373" t="str">
        <f t="shared" si="145"/>
        <v>Support</v>
      </c>
      <c r="AJ373" s="32">
        <f t="shared" si="146"/>
        <v>2</v>
      </c>
      <c r="AK373">
        <f>step3_validation[[#This Row],[AI_TRU1]]</f>
        <v>7</v>
      </c>
      <c r="AL373" t="str">
        <f t="shared" si="147"/>
        <v>Neutral</v>
      </c>
      <c r="AM373">
        <f>survey_responses[[#This Row],[Tôi tin rằng Nhà nước, cơ quan thuế sẽ thực thi chính sách mới một cách khách quan, công tâm và đối xử bình đẳng với mọi người nộp thuế.  - HUMAN-TRU1]]</f>
        <v>6</v>
      </c>
      <c r="AN373" t="str">
        <f t="shared" si="148"/>
        <v>Neutral</v>
      </c>
      <c r="AO373" s="32">
        <f t="shared" si="149"/>
        <v>1</v>
      </c>
      <c r="AP373">
        <f>step3_validation[[#This Row],[AI_TRU2]]</f>
        <v>9</v>
      </c>
      <c r="AQ373" t="str">
        <f t="shared" si="150"/>
        <v>Support</v>
      </c>
      <c r="AR373">
        <f>survey_responses[[#This Row],[Tôi thấy mức thuế tôi phải đóng theo phương án mới là công bằng (người thu nhập như tôi đóng mức này là hợp lý). - HUMAN-TRU2]]</f>
        <v>7</v>
      </c>
      <c r="AS373" t="str">
        <f t="shared" si="151"/>
        <v>Neutral</v>
      </c>
      <c r="AT373" s="32">
        <f t="shared" si="152"/>
        <v>2</v>
      </c>
      <c r="AU373">
        <f>step3_validation[[#This Row],[AI_TRU3]]</f>
        <v>6</v>
      </c>
      <c r="AV373" t="str">
        <f t="shared" si="153"/>
        <v>Neutral</v>
      </c>
      <c r="AW373">
        <f>survey_responses[[#This Row],[Tôi tin tưởng số tiền thuế tôi đóng sẽ được Nhà nước sử dụng hiệu quả để cải thiện dịch vụ công (y tế, đường xá...). - HUMAN-TRU3]]</f>
        <v>5</v>
      </c>
      <c r="AX373" t="str">
        <f t="shared" si="154"/>
        <v>Neutral</v>
      </c>
      <c r="AY373" s="32">
        <f t="shared" si="155"/>
        <v>1</v>
      </c>
      <c r="AZ373">
        <f>step3_validation[[#This Row],[AI_TRU4]]</f>
        <v>8</v>
      </c>
      <c r="BA373" t="str">
        <f t="shared" si="156"/>
        <v>Support</v>
      </c>
      <c r="BB373">
        <f>survey_responses[[#This Row],[Tôi thấy Nhà nước đã giải thích rõ ràng, minh bạch về lý do và mục tiêu của việc sửa đổi thuế lần này. - HUMAN-TRU4]]</f>
        <v>6</v>
      </c>
      <c r="BC373" t="str">
        <f t="shared" si="157"/>
        <v>Neutral</v>
      </c>
      <c r="BD373" s="32">
        <f t="shared" si="158"/>
        <v>2</v>
      </c>
      <c r="BE373">
        <f>step3_validation[[#This Row],[AI_OUT1]]</f>
        <v>9</v>
      </c>
      <c r="BF373" t="str">
        <f t="shared" si="159"/>
        <v>Support</v>
      </c>
      <c r="BG373">
        <f>survey_responses[[#This Row],[Sau khi xem xét các quyền lợi và nghĩa vụ, bạn có ủng hộ và tuân thủ chính sách mới hiện nay? - HUMAN-OUT1]]</f>
        <v>6</v>
      </c>
      <c r="BH373" t="str">
        <f t="shared" si="160"/>
        <v>Neutral</v>
      </c>
      <c r="BI373" s="32">
        <f t="shared" si="161"/>
        <v>3</v>
      </c>
    </row>
    <row r="374" spans="1:61" x14ac:dyDescent="0.45">
      <c r="A374" s="30">
        <f>step3_validation[[#This Row],[Persona_ID]]</f>
        <v>373</v>
      </c>
      <c r="B374" s="31">
        <f>step3_validation[[#This Row],[Used_Seed]]</f>
        <v>12717</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74.379603978091083</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t="str">
        <f t="shared" si="135"/>
        <v>Neutral</v>
      </c>
      <c r="S374">
        <f>survey_responses[[#This Row],[Tôi tin rằng với các quy định quản lý thuế hiện nay, hành vi gian lận hoặc trốn thuế sẽ dễ dàng bị phát hiện và xử lý nghiêm. - HUMAN-ENF1]]</f>
        <v>8</v>
      </c>
      <c r="T374" t="str">
        <f t="shared" si="136"/>
        <v>Support</v>
      </c>
      <c r="U374" s="32">
        <f t="shared" si="137"/>
        <v>1</v>
      </c>
      <c r="V374">
        <f>step3_validation[[#This Row],[AI_ENF2]]</f>
        <v>8</v>
      </c>
      <c r="W374" t="str">
        <f t="shared" si="138"/>
        <v>Support</v>
      </c>
      <c r="X374">
        <f>survey_responses[[#This Row],[Tôi tin rằng Nhà nước, cơ quan thuế có đủ khả năng và công nghệ để phát hiện, xử lý nghiêm các hành vi trốn thuế. - HUMAN-ENF2]]</f>
        <v>8</v>
      </c>
      <c r="Y374" t="str">
        <f t="shared" si="139"/>
        <v>Support</v>
      </c>
      <c r="Z374" s="32">
        <f t="shared" si="140"/>
        <v>0</v>
      </c>
      <c r="AA374">
        <f>step3_validation[[#This Row],[AI_FAC1]]</f>
        <v>9</v>
      </c>
      <c r="AB374" t="str">
        <f t="shared" si="141"/>
        <v>Support</v>
      </c>
      <c r="AC374">
        <f>survey_responses[[#This Row],[Các thủ tục khai báo thuế VÀ/HOẶC quy trình làm việc với cơ quan thuế đơn giản, tiện lợi, nhanh chóng hơn so với trước đây. - HUMAN-FAC1]]</f>
        <v>9</v>
      </c>
      <c r="AD374" t="str">
        <f t="shared" si="142"/>
        <v>Support</v>
      </c>
      <c r="AE374" s="32">
        <f t="shared" si="143"/>
        <v>0</v>
      </c>
      <c r="AF374">
        <f>step3_validation[[#This Row],[AI_FAC2]]</f>
        <v>8</v>
      </c>
      <c r="AG374" t="str">
        <f t="shared" si="144"/>
        <v>Support</v>
      </c>
      <c r="AH374">
        <f>survey_responses[[#This Row],[So với trước đây, tôi thấy cách tính thuế và các bậc thuế trong phương án mới đơn giản, dễ hiểu và dễ thực hiện hơn. - HUMAN-FAC2]]</f>
        <v>9</v>
      </c>
      <c r="AI374" t="str">
        <f t="shared" si="145"/>
        <v>Support</v>
      </c>
      <c r="AJ374" s="32">
        <f t="shared" si="146"/>
        <v>1</v>
      </c>
      <c r="AK374">
        <f>step3_validation[[#This Row],[AI_TRU1]]</f>
        <v>0</v>
      </c>
      <c r="AL374" t="str">
        <f t="shared" si="147"/>
        <v/>
      </c>
      <c r="AM374">
        <f>survey_responses[[#This Row],[Tôi tin rằng Nhà nước, cơ quan thuế sẽ thực thi chính sách mới một cách khách quan, công tâm và đối xử bình đẳng với mọi người nộp thuế.  - HUMAN-TRU1]]</f>
        <v>5</v>
      </c>
      <c r="AN374" t="str">
        <f t="shared" si="148"/>
        <v>Neutral</v>
      </c>
      <c r="AO374" s="32">
        <f t="shared" si="149"/>
        <v>5</v>
      </c>
      <c r="AP374">
        <f>step3_validation[[#This Row],[AI_TRU2]]</f>
        <v>0</v>
      </c>
      <c r="AQ374" t="str">
        <f t="shared" si="150"/>
        <v/>
      </c>
      <c r="AR374">
        <f>survey_responses[[#This Row],[Tôi thấy mức thuế tôi phải đóng theo phương án mới là công bằng (người thu nhập như tôi đóng mức này là hợp lý). - HUMAN-TRU2]]</f>
        <v>5</v>
      </c>
      <c r="AS374" t="str">
        <f t="shared" si="151"/>
        <v>Neutral</v>
      </c>
      <c r="AT374" s="32">
        <f t="shared" si="152"/>
        <v>5</v>
      </c>
      <c r="AU374">
        <f>step3_validation[[#This Row],[AI_TRU3]]</f>
        <v>0</v>
      </c>
      <c r="AV374" t="str">
        <f t="shared" si="153"/>
        <v/>
      </c>
      <c r="AW374">
        <f>survey_responses[[#This Row],[Tôi tin tưởng số tiền thuế tôi đóng sẽ được Nhà nước sử dụng hiệu quả để cải thiện dịch vụ công (y tế, đường xá...). - HUMAN-TRU3]]</f>
        <v>5</v>
      </c>
      <c r="AX374" t="str">
        <f t="shared" si="154"/>
        <v>Neutral</v>
      </c>
      <c r="AY374" s="32">
        <f t="shared" si="155"/>
        <v>5</v>
      </c>
      <c r="AZ374">
        <f>step3_validation[[#This Row],[AI_TRU4]]</f>
        <v>0</v>
      </c>
      <c r="BA374" t="str">
        <f t="shared" si="156"/>
        <v/>
      </c>
      <c r="BB374">
        <f>survey_responses[[#This Row],[Tôi thấy Nhà nước đã giải thích rõ ràng, minh bạch về lý do và mục tiêu của việc sửa đổi thuế lần này. - HUMAN-TRU4]]</f>
        <v>6</v>
      </c>
      <c r="BC374" t="str">
        <f t="shared" si="157"/>
        <v>Neutral</v>
      </c>
      <c r="BD374" s="32">
        <f t="shared" si="158"/>
        <v>6</v>
      </c>
      <c r="BE374">
        <f>step3_validation[[#This Row],[AI_OUT1]]</f>
        <v>0</v>
      </c>
      <c r="BF374" t="str">
        <f t="shared" si="159"/>
        <v/>
      </c>
      <c r="BG374">
        <f>survey_responses[[#This Row],[Sau khi xem xét các quyền lợi và nghĩa vụ, bạn có ủng hộ và tuân thủ chính sách mới hiện nay? - HUMAN-OUT1]]</f>
        <v>5</v>
      </c>
      <c r="BH374" t="str">
        <f t="shared" si="160"/>
        <v>Neutral</v>
      </c>
      <c r="BI374" s="32">
        <f t="shared" si="161"/>
        <v>5</v>
      </c>
    </row>
    <row r="375" spans="1:61" x14ac:dyDescent="0.45">
      <c r="A375" s="30">
        <f>step3_validation[[#This Row],[Persona_ID]]</f>
        <v>374</v>
      </c>
      <c r="B375" s="31">
        <f>step3_validation[[#This Row],[Used_Seed]]</f>
        <v>12718</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32.601505194681039</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8</v>
      </c>
      <c r="R375" t="str">
        <f t="shared" si="135"/>
        <v>Support</v>
      </c>
      <c r="S375">
        <f>survey_responses[[#This Row],[Tôi tin rằng với các quy định quản lý thuế hiện nay, hành vi gian lận hoặc trốn thuế sẽ dễ dàng bị phát hiện và xử lý nghiêm. - HUMAN-ENF1]]</f>
        <v>6</v>
      </c>
      <c r="T375" t="str">
        <f t="shared" si="136"/>
        <v>Neutral</v>
      </c>
      <c r="U375" s="32">
        <f t="shared" si="137"/>
        <v>2</v>
      </c>
      <c r="V375">
        <f>step3_validation[[#This Row],[AI_ENF2]]</f>
        <v>7</v>
      </c>
      <c r="W375" t="str">
        <f t="shared" si="138"/>
        <v>Neutral</v>
      </c>
      <c r="X375">
        <f>survey_responses[[#This Row],[Tôi tin rằng Nhà nước, cơ quan thuế có đủ khả năng và công nghệ để phát hiện, xử lý nghiêm các hành vi trốn thuế. - HUMAN-ENF2]]</f>
        <v>6</v>
      </c>
      <c r="Y375" t="str">
        <f t="shared" si="139"/>
        <v>Neutral</v>
      </c>
      <c r="Z375" s="32">
        <f t="shared" si="140"/>
        <v>1</v>
      </c>
      <c r="AA375">
        <f>step3_validation[[#This Row],[AI_FAC1]]</f>
        <v>6</v>
      </c>
      <c r="AB375" t="str">
        <f t="shared" si="141"/>
        <v>Neutral</v>
      </c>
      <c r="AC375">
        <f>survey_responses[[#This Row],[Các thủ tục khai báo thuế VÀ/HOẶC quy trình làm việc với cơ quan thuế đơn giản, tiện lợi, nhanh chóng hơn so với trước đây. - HUMAN-FAC1]]</f>
        <v>7</v>
      </c>
      <c r="AD375" t="str">
        <f t="shared" si="142"/>
        <v>Neutral</v>
      </c>
      <c r="AE375" s="32">
        <f t="shared" si="143"/>
        <v>1</v>
      </c>
      <c r="AF375">
        <f>step3_validation[[#This Row],[AI_FAC2]]</f>
        <v>8</v>
      </c>
      <c r="AG375" t="str">
        <f t="shared" si="144"/>
        <v>Support</v>
      </c>
      <c r="AH375">
        <f>survey_responses[[#This Row],[So với trước đây, tôi thấy cách tính thuế và các bậc thuế trong phương án mới đơn giản, dễ hiểu và dễ thực hiện hơn. - HUMAN-FAC2]]</f>
        <v>7</v>
      </c>
      <c r="AI375" t="str">
        <f t="shared" si="145"/>
        <v>Neutral</v>
      </c>
      <c r="AJ375" s="32">
        <f t="shared" si="146"/>
        <v>1</v>
      </c>
      <c r="AK375">
        <f>step3_validation[[#This Row],[AI_TRU1]]</f>
        <v>9</v>
      </c>
      <c r="AL375" t="str">
        <f t="shared" si="147"/>
        <v>Support</v>
      </c>
      <c r="AM375">
        <f>survey_responses[[#This Row],[Tôi tin rằng Nhà nước, cơ quan thuế sẽ thực thi chính sách mới một cách khách quan, công tâm và đối xử bình đẳng với mọi người nộp thuế.  - HUMAN-TRU1]]</f>
        <v>6</v>
      </c>
      <c r="AN375" t="str">
        <f t="shared" si="148"/>
        <v>Neutral</v>
      </c>
      <c r="AO375" s="32">
        <f t="shared" si="149"/>
        <v>3</v>
      </c>
      <c r="AP375">
        <f>step3_validation[[#This Row],[AI_TRU2]]</f>
        <v>9</v>
      </c>
      <c r="AQ375" t="str">
        <f t="shared" si="150"/>
        <v>Support</v>
      </c>
      <c r="AR375">
        <f>survey_responses[[#This Row],[Tôi thấy mức thuế tôi phải đóng theo phương án mới là công bằng (người thu nhập như tôi đóng mức này là hợp lý). - HUMAN-TRU2]]</f>
        <v>6</v>
      </c>
      <c r="AS375" t="str">
        <f t="shared" si="151"/>
        <v>Neutral</v>
      </c>
      <c r="AT375" s="32">
        <f t="shared" si="152"/>
        <v>3</v>
      </c>
      <c r="AU375">
        <f>step3_validation[[#This Row],[AI_TRU3]]</f>
        <v>8</v>
      </c>
      <c r="AV375" t="str">
        <f t="shared" si="153"/>
        <v>Support</v>
      </c>
      <c r="AW375">
        <f>survey_responses[[#This Row],[Tôi tin tưởng số tiền thuế tôi đóng sẽ được Nhà nước sử dụng hiệu quả để cải thiện dịch vụ công (y tế, đường xá...). - HUMAN-TRU3]]</f>
        <v>6</v>
      </c>
      <c r="AX375" t="str">
        <f t="shared" si="154"/>
        <v>Neutral</v>
      </c>
      <c r="AY375" s="32">
        <f t="shared" si="155"/>
        <v>2</v>
      </c>
      <c r="AZ375">
        <f>step3_validation[[#This Row],[AI_TRU4]]</f>
        <v>9</v>
      </c>
      <c r="BA375" t="str">
        <f t="shared" si="156"/>
        <v>Support</v>
      </c>
      <c r="BB375">
        <f>survey_responses[[#This Row],[Tôi thấy Nhà nước đã giải thích rõ ràng, minh bạch về lý do và mục tiêu của việc sửa đổi thuế lần này. - HUMAN-TRU4]]</f>
        <v>6</v>
      </c>
      <c r="BC375" t="str">
        <f t="shared" si="157"/>
        <v>Neutral</v>
      </c>
      <c r="BD375" s="32">
        <f t="shared" si="158"/>
        <v>3</v>
      </c>
      <c r="BE375">
        <f>step3_validation[[#This Row],[AI_OUT1]]</f>
        <v>9</v>
      </c>
      <c r="BF375" t="str">
        <f t="shared" si="159"/>
        <v>Support</v>
      </c>
      <c r="BG375">
        <f>survey_responses[[#This Row],[Sau khi xem xét các quyền lợi và nghĩa vụ, bạn có ủng hộ và tuân thủ chính sách mới hiện nay? - HUMAN-OUT1]]</f>
        <v>6</v>
      </c>
      <c r="BH375" t="str">
        <f t="shared" si="160"/>
        <v>Neutral</v>
      </c>
      <c r="BI375" s="32">
        <f t="shared" si="161"/>
        <v>3</v>
      </c>
    </row>
    <row r="376" spans="1:61" x14ac:dyDescent="0.45">
      <c r="A376" s="30">
        <f>step3_validation[[#This Row],[Persona_ID]]</f>
        <v>375</v>
      </c>
      <c r="B376" s="31">
        <f>step3_validation[[#This Row],[Used_Seed]]</f>
        <v>12719</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59.657926275255136</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8</v>
      </c>
      <c r="R376" t="str">
        <f t="shared" si="135"/>
        <v>Support</v>
      </c>
      <c r="S376">
        <f>survey_responses[[#This Row],[Tôi tin rằng với các quy định quản lý thuế hiện nay, hành vi gian lận hoặc trốn thuế sẽ dễ dàng bị phát hiện và xử lý nghiêm. - HUMAN-ENF1]]</f>
        <v>8</v>
      </c>
      <c r="T376" t="str">
        <f t="shared" si="136"/>
        <v>Support</v>
      </c>
      <c r="U376" s="32">
        <f t="shared" si="137"/>
        <v>0</v>
      </c>
      <c r="V376">
        <f>step3_validation[[#This Row],[AI_ENF2]]</f>
        <v>9</v>
      </c>
      <c r="W376" t="str">
        <f t="shared" si="138"/>
        <v>Support</v>
      </c>
      <c r="X376">
        <f>survey_responses[[#This Row],[Tôi tin rằng Nhà nước, cơ quan thuế có đủ khả năng và công nghệ để phát hiện, xử lý nghiêm các hành vi trốn thuế. - HUMAN-ENF2]]</f>
        <v>8</v>
      </c>
      <c r="Y376" t="str">
        <f t="shared" si="139"/>
        <v>Support</v>
      </c>
      <c r="Z376" s="32">
        <f t="shared" si="140"/>
        <v>1</v>
      </c>
      <c r="AA376">
        <f>step3_validation[[#This Row],[AI_FAC1]]</f>
        <v>8</v>
      </c>
      <c r="AB376" t="str">
        <f t="shared" si="141"/>
        <v>Support</v>
      </c>
      <c r="AC376">
        <f>survey_responses[[#This Row],[Các thủ tục khai báo thuế VÀ/HOẶC quy trình làm việc với cơ quan thuế đơn giản, tiện lợi, nhanh chóng hơn so với trước đây. - HUMAN-FAC1]]</f>
        <v>8</v>
      </c>
      <c r="AD376" t="str">
        <f t="shared" si="142"/>
        <v>Support</v>
      </c>
      <c r="AE376" s="32">
        <f t="shared" si="143"/>
        <v>0</v>
      </c>
      <c r="AF376">
        <f>step3_validation[[#This Row],[AI_FAC2]]</f>
        <v>9</v>
      </c>
      <c r="AG376" t="str">
        <f t="shared" si="144"/>
        <v>Support</v>
      </c>
      <c r="AH376">
        <f>survey_responses[[#This Row],[So với trước đây, tôi thấy cách tính thuế và các bậc thuế trong phương án mới đơn giản, dễ hiểu và dễ thực hiện hơn. - HUMAN-FAC2]]</f>
        <v>8</v>
      </c>
      <c r="AI376" t="str">
        <f t="shared" si="145"/>
        <v>Support</v>
      </c>
      <c r="AJ376" s="32">
        <f t="shared" si="146"/>
        <v>1</v>
      </c>
      <c r="AK376">
        <f>step3_validation[[#This Row],[AI_TRU1]]</f>
        <v>7</v>
      </c>
      <c r="AL376" t="str">
        <f t="shared" si="147"/>
        <v>Neutral</v>
      </c>
      <c r="AM376">
        <f>survey_responses[[#This Row],[Tôi tin rằng Nhà nước, cơ quan thuế sẽ thực thi chính sách mới một cách khách quan, công tâm và đối xử bình đẳng với mọi người nộp thuế.  - HUMAN-TRU1]]</f>
        <v>7</v>
      </c>
      <c r="AN376" t="str">
        <f t="shared" si="148"/>
        <v>Neutral</v>
      </c>
      <c r="AO376" s="32">
        <f t="shared" si="149"/>
        <v>0</v>
      </c>
      <c r="AP376">
        <f>step3_validation[[#This Row],[AI_TRU2]]</f>
        <v>9</v>
      </c>
      <c r="AQ376" t="str">
        <f t="shared" si="150"/>
        <v>Support</v>
      </c>
      <c r="AR376">
        <f>survey_responses[[#This Row],[Tôi thấy mức thuế tôi phải đóng theo phương án mới là công bằng (người thu nhập như tôi đóng mức này là hợp lý). - HUMAN-TRU2]]</f>
        <v>6</v>
      </c>
      <c r="AS376" t="str">
        <f t="shared" si="151"/>
        <v>Neutral</v>
      </c>
      <c r="AT376" s="32">
        <f t="shared" si="152"/>
        <v>3</v>
      </c>
      <c r="AU376">
        <f>step3_validation[[#This Row],[AI_TRU3]]</f>
        <v>8</v>
      </c>
      <c r="AV376" t="str">
        <f t="shared" si="153"/>
        <v>Support</v>
      </c>
      <c r="AW376">
        <f>survey_responses[[#This Row],[Tôi tin tưởng số tiền thuế tôi đóng sẽ được Nhà nước sử dụng hiệu quả để cải thiện dịch vụ công (y tế, đường xá...). - HUMAN-TRU3]]</f>
        <v>6</v>
      </c>
      <c r="AX376" t="str">
        <f t="shared" si="154"/>
        <v>Neutral</v>
      </c>
      <c r="AY376" s="32">
        <f t="shared" si="155"/>
        <v>2</v>
      </c>
      <c r="AZ376">
        <f>step3_validation[[#This Row],[AI_TRU4]]</f>
        <v>7</v>
      </c>
      <c r="BA376" t="str">
        <f t="shared" si="156"/>
        <v>Neutral</v>
      </c>
      <c r="BB376">
        <f>survey_responses[[#This Row],[Tôi thấy Nhà nước đã giải thích rõ ràng, minh bạch về lý do và mục tiêu của việc sửa đổi thuế lần này. - HUMAN-TRU4]]</f>
        <v>5</v>
      </c>
      <c r="BC376" t="str">
        <f t="shared" si="157"/>
        <v>Neutral</v>
      </c>
      <c r="BD376" s="32">
        <f t="shared" si="158"/>
        <v>2</v>
      </c>
      <c r="BE376">
        <f>step3_validation[[#This Row],[AI_OUT1]]</f>
        <v>9</v>
      </c>
      <c r="BF376" t="str">
        <f t="shared" si="159"/>
        <v>Support</v>
      </c>
      <c r="BG376">
        <f>survey_responses[[#This Row],[Sau khi xem xét các quyền lợi và nghĩa vụ, bạn có ủng hộ và tuân thủ chính sách mới hiện nay? - HUMAN-OUT1]]</f>
        <v>7</v>
      </c>
      <c r="BH376" t="str">
        <f t="shared" si="160"/>
        <v>Neutral</v>
      </c>
      <c r="BI376" s="32">
        <f t="shared" si="161"/>
        <v>2</v>
      </c>
    </row>
    <row r="377" spans="1:61" x14ac:dyDescent="0.45">
      <c r="A377" s="30">
        <f>step3_validation[[#This Row],[Persona_ID]]</f>
        <v>376</v>
      </c>
      <c r="B377" s="31">
        <f>step3_validation[[#This Row],[Used_Seed]]</f>
        <v>12720</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18.785665330489277</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8</v>
      </c>
      <c r="R377" t="str">
        <f t="shared" si="135"/>
        <v>Support</v>
      </c>
      <c r="S377">
        <f>survey_responses[[#This Row],[Tôi tin rằng với các quy định quản lý thuế hiện nay, hành vi gian lận hoặc trốn thuế sẽ dễ dàng bị phát hiện và xử lý nghiêm. - HUMAN-ENF1]]</f>
        <v>6</v>
      </c>
      <c r="T377" t="str">
        <f t="shared" si="136"/>
        <v>Neutral</v>
      </c>
      <c r="U377" s="32">
        <f t="shared" si="137"/>
        <v>2</v>
      </c>
      <c r="V377">
        <f>step3_validation[[#This Row],[AI_ENF2]]</f>
        <v>7</v>
      </c>
      <c r="W377" t="str">
        <f t="shared" si="138"/>
        <v>Neutral</v>
      </c>
      <c r="X377">
        <f>survey_responses[[#This Row],[Tôi tin rằng Nhà nước, cơ quan thuế có đủ khả năng và công nghệ để phát hiện, xử lý nghiêm các hành vi trốn thuế. - HUMAN-ENF2]]</f>
        <v>6</v>
      </c>
      <c r="Y377" t="str">
        <f t="shared" si="139"/>
        <v>Neutral</v>
      </c>
      <c r="Z377" s="32">
        <f t="shared" si="140"/>
        <v>1</v>
      </c>
      <c r="AA377">
        <f>step3_validation[[#This Row],[AI_FAC1]]</f>
        <v>9</v>
      </c>
      <c r="AB377" t="str">
        <f t="shared" si="141"/>
        <v>Support</v>
      </c>
      <c r="AC377">
        <f>survey_responses[[#This Row],[Các thủ tục khai báo thuế VÀ/HOẶC quy trình làm việc với cơ quan thuế đơn giản, tiện lợi, nhanh chóng hơn so với trước đây. - HUMAN-FAC1]]</f>
        <v>5</v>
      </c>
      <c r="AD377" t="str">
        <f t="shared" si="142"/>
        <v>Neutral</v>
      </c>
      <c r="AE377" s="32">
        <f t="shared" si="143"/>
        <v>4</v>
      </c>
      <c r="AF377">
        <f>step3_validation[[#This Row],[AI_FAC2]]</f>
        <v>9</v>
      </c>
      <c r="AG377" t="str">
        <f t="shared" si="144"/>
        <v>Support</v>
      </c>
      <c r="AH377">
        <f>survey_responses[[#This Row],[So với trước đây, tôi thấy cách tính thuế và các bậc thuế trong phương án mới đơn giản, dễ hiểu và dễ thực hiện hơn. - HUMAN-FAC2]]</f>
        <v>7</v>
      </c>
      <c r="AI377" t="str">
        <f t="shared" si="145"/>
        <v>Neutral</v>
      </c>
      <c r="AJ377" s="32">
        <f t="shared" si="146"/>
        <v>2</v>
      </c>
      <c r="AK377">
        <f>step3_validation[[#This Row],[AI_TRU1]]</f>
        <v>7</v>
      </c>
      <c r="AL377" t="str">
        <f t="shared" si="147"/>
        <v>Neutral</v>
      </c>
      <c r="AM377">
        <f>survey_responses[[#This Row],[Tôi tin rằng Nhà nước, cơ quan thuế sẽ thực thi chính sách mới một cách khách quan, công tâm và đối xử bình đẳng với mọi người nộp thuế.  - HUMAN-TRU1]]</f>
        <v>6</v>
      </c>
      <c r="AN377" t="str">
        <f t="shared" si="148"/>
        <v>Neutral</v>
      </c>
      <c r="AO377" s="32">
        <f t="shared" si="149"/>
        <v>1</v>
      </c>
      <c r="AP377">
        <f>step3_validation[[#This Row],[AI_TRU2]]</f>
        <v>8</v>
      </c>
      <c r="AQ377" t="str">
        <f t="shared" si="150"/>
        <v>Support</v>
      </c>
      <c r="AR377">
        <f>survey_responses[[#This Row],[Tôi thấy mức thuế tôi phải đóng theo phương án mới là công bằng (người thu nhập như tôi đóng mức này là hợp lý). - HUMAN-TRU2]]</f>
        <v>7</v>
      </c>
      <c r="AS377" t="str">
        <f t="shared" si="151"/>
        <v>Neutral</v>
      </c>
      <c r="AT377" s="32">
        <f t="shared" si="152"/>
        <v>1</v>
      </c>
      <c r="AU377">
        <f>step3_validation[[#This Row],[AI_TRU3]]</f>
        <v>7</v>
      </c>
      <c r="AV377" t="str">
        <f t="shared" si="153"/>
        <v>Neutral</v>
      </c>
      <c r="AW377">
        <f>survey_responses[[#This Row],[Tôi tin tưởng số tiền thuế tôi đóng sẽ được Nhà nước sử dụng hiệu quả để cải thiện dịch vụ công (y tế, đường xá...). - HUMAN-TRU3]]</f>
        <v>5</v>
      </c>
      <c r="AX377" t="str">
        <f t="shared" si="154"/>
        <v>Neutral</v>
      </c>
      <c r="AY377" s="32">
        <f t="shared" si="155"/>
        <v>2</v>
      </c>
      <c r="AZ377">
        <f>step3_validation[[#This Row],[AI_TRU4]]</f>
        <v>8</v>
      </c>
      <c r="BA377" t="str">
        <f t="shared" si="156"/>
        <v>Support</v>
      </c>
      <c r="BB377">
        <f>survey_responses[[#This Row],[Tôi thấy Nhà nước đã giải thích rõ ràng, minh bạch về lý do và mục tiêu của việc sửa đổi thuế lần này. - HUMAN-TRU4]]</f>
        <v>6</v>
      </c>
      <c r="BC377" t="str">
        <f t="shared" si="157"/>
        <v>Neutral</v>
      </c>
      <c r="BD377" s="32">
        <f t="shared" si="158"/>
        <v>2</v>
      </c>
      <c r="BE377">
        <f>step3_validation[[#This Row],[AI_OUT1]]</f>
        <v>8</v>
      </c>
      <c r="BF377" t="str">
        <f t="shared" si="159"/>
        <v>Support</v>
      </c>
      <c r="BG377">
        <f>survey_responses[[#This Row],[Sau khi xem xét các quyền lợi và nghĩa vụ, bạn có ủng hộ và tuân thủ chính sách mới hiện nay? - HUMAN-OUT1]]</f>
        <v>7</v>
      </c>
      <c r="BH377" t="str">
        <f t="shared" si="160"/>
        <v>Neutral</v>
      </c>
      <c r="BI377" s="32">
        <f t="shared" si="161"/>
        <v>1</v>
      </c>
    </row>
    <row r="378" spans="1:61" x14ac:dyDescent="0.45">
      <c r="A378" s="30">
        <f>step3_validation[[#This Row],[Persona_ID]]</f>
        <v>377</v>
      </c>
      <c r="B378" s="31">
        <f>step3_validation[[#This Row],[Used_Seed]]</f>
        <v>12721</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13.875214382941952</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t="str">
        <f t="shared" si="135"/>
        <v>Neutral</v>
      </c>
      <c r="S378">
        <f>survey_responses[[#This Row],[Tôi tin rằng với các quy định quản lý thuế hiện nay, hành vi gian lận hoặc trốn thuế sẽ dễ dàng bị phát hiện và xử lý nghiêm. - HUMAN-ENF1]]</f>
        <v>7</v>
      </c>
      <c r="T378" t="str">
        <f t="shared" si="136"/>
        <v>Neutral</v>
      </c>
      <c r="U378" s="32">
        <f t="shared" si="137"/>
        <v>0</v>
      </c>
      <c r="V378">
        <f>step3_validation[[#This Row],[AI_ENF2]]</f>
        <v>8</v>
      </c>
      <c r="W378" t="str">
        <f t="shared" si="138"/>
        <v>Support</v>
      </c>
      <c r="X378">
        <f>survey_responses[[#This Row],[Tôi tin rằng Nhà nước, cơ quan thuế có đủ khả năng và công nghệ để phát hiện, xử lý nghiêm các hành vi trốn thuế. - HUMAN-ENF2]]</f>
        <v>8</v>
      </c>
      <c r="Y378" t="str">
        <f t="shared" si="139"/>
        <v>Support</v>
      </c>
      <c r="Z378" s="32">
        <f t="shared" si="140"/>
        <v>0</v>
      </c>
      <c r="AA378">
        <f>step3_validation[[#This Row],[AI_FAC1]]</f>
        <v>9</v>
      </c>
      <c r="AB378" t="str">
        <f t="shared" si="141"/>
        <v>Support</v>
      </c>
      <c r="AC378">
        <f>survey_responses[[#This Row],[Các thủ tục khai báo thuế VÀ/HOẶC quy trình làm việc với cơ quan thuế đơn giản, tiện lợi, nhanh chóng hơn so với trước đây. - HUMAN-FAC1]]</f>
        <v>7</v>
      </c>
      <c r="AD378" t="str">
        <f t="shared" si="142"/>
        <v>Neutral</v>
      </c>
      <c r="AE378" s="32">
        <f t="shared" si="143"/>
        <v>2</v>
      </c>
      <c r="AF378">
        <f>step3_validation[[#This Row],[AI_FAC2]]</f>
        <v>9</v>
      </c>
      <c r="AG378" t="str">
        <f t="shared" si="144"/>
        <v>Support</v>
      </c>
      <c r="AH378">
        <f>survey_responses[[#This Row],[So với trước đây, tôi thấy cách tính thuế và các bậc thuế trong phương án mới đơn giản, dễ hiểu và dễ thực hiện hơn. - HUMAN-FAC2]]</f>
        <v>7</v>
      </c>
      <c r="AI378" t="str">
        <f t="shared" si="145"/>
        <v>Neutral</v>
      </c>
      <c r="AJ378" s="32">
        <f t="shared" si="146"/>
        <v>2</v>
      </c>
      <c r="AK378">
        <f>step3_validation[[#This Row],[AI_TRU1]]</f>
        <v>8</v>
      </c>
      <c r="AL378" t="str">
        <f t="shared" si="147"/>
        <v>Support</v>
      </c>
      <c r="AM378">
        <f>survey_responses[[#This Row],[Tôi tin rằng Nhà nước, cơ quan thuế sẽ thực thi chính sách mới một cách khách quan, công tâm và đối xử bình đẳng với mọi người nộp thuế.  - HUMAN-TRU1]]</f>
        <v>8</v>
      </c>
      <c r="AN378" t="str">
        <f t="shared" si="148"/>
        <v>Support</v>
      </c>
      <c r="AO378" s="32">
        <f t="shared" si="149"/>
        <v>0</v>
      </c>
      <c r="AP378">
        <f>step3_validation[[#This Row],[AI_TRU2]]</f>
        <v>9</v>
      </c>
      <c r="AQ378" t="str">
        <f t="shared" si="150"/>
        <v>Support</v>
      </c>
      <c r="AR378">
        <f>survey_responses[[#This Row],[Tôi thấy mức thuế tôi phải đóng theo phương án mới là công bằng (người thu nhập như tôi đóng mức này là hợp lý). - HUMAN-TRU2]]</f>
        <v>9</v>
      </c>
      <c r="AS378" t="str">
        <f t="shared" si="151"/>
        <v>Support</v>
      </c>
      <c r="AT378" s="32">
        <f t="shared" si="152"/>
        <v>0</v>
      </c>
      <c r="AU378">
        <f>step3_validation[[#This Row],[AI_TRU3]]</f>
        <v>8</v>
      </c>
      <c r="AV378" t="str">
        <f t="shared" si="153"/>
        <v>Support</v>
      </c>
      <c r="AW378">
        <f>survey_responses[[#This Row],[Tôi tin tưởng số tiền thuế tôi đóng sẽ được Nhà nước sử dụng hiệu quả để cải thiện dịch vụ công (y tế, đường xá...). - HUMAN-TRU3]]</f>
        <v>7</v>
      </c>
      <c r="AX378" t="str">
        <f t="shared" si="154"/>
        <v>Neutral</v>
      </c>
      <c r="AY378" s="32">
        <f t="shared" si="155"/>
        <v>1</v>
      </c>
      <c r="AZ378">
        <f>step3_validation[[#This Row],[AI_TRU4]]</f>
        <v>9</v>
      </c>
      <c r="BA378" t="str">
        <f t="shared" si="156"/>
        <v>Support</v>
      </c>
      <c r="BB378">
        <f>survey_responses[[#This Row],[Tôi thấy Nhà nước đã giải thích rõ ràng, minh bạch về lý do và mục tiêu của việc sửa đổi thuế lần này. - HUMAN-TRU4]]</f>
        <v>7</v>
      </c>
      <c r="BC378" t="str">
        <f t="shared" si="157"/>
        <v>Neutral</v>
      </c>
      <c r="BD378" s="32">
        <f t="shared" si="158"/>
        <v>2</v>
      </c>
      <c r="BE378">
        <f>step3_validation[[#This Row],[AI_OUT1]]</f>
        <v>9</v>
      </c>
      <c r="BF378" t="str">
        <f t="shared" si="159"/>
        <v>Support</v>
      </c>
      <c r="BG378">
        <f>survey_responses[[#This Row],[Sau khi xem xét các quyền lợi và nghĩa vụ, bạn có ủng hộ và tuân thủ chính sách mới hiện nay? - HUMAN-OUT1]]</f>
        <v>8</v>
      </c>
      <c r="BH378" t="str">
        <f t="shared" si="160"/>
        <v>Support</v>
      </c>
      <c r="BI378" s="32">
        <f t="shared" si="161"/>
        <v>1</v>
      </c>
    </row>
    <row r="379" spans="1:61" x14ac:dyDescent="0.45">
      <c r="A379" s="30">
        <f>step3_validation[[#This Row],[Persona_ID]]</f>
        <v>378</v>
      </c>
      <c r="B379" s="31">
        <f>step3_validation[[#This Row],[Used_Seed]]</f>
        <v>12722</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18.12689272860187</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t="str">
        <f t="shared" si="135"/>
        <v>Neutral</v>
      </c>
      <c r="S379">
        <f>survey_responses[[#This Row],[Tôi tin rằng với các quy định quản lý thuế hiện nay, hành vi gian lận hoặc trốn thuế sẽ dễ dàng bị phát hiện và xử lý nghiêm. - HUMAN-ENF1]]</f>
        <v>6</v>
      </c>
      <c r="T379" t="str">
        <f t="shared" si="136"/>
        <v>Neutral</v>
      </c>
      <c r="U379" s="32">
        <f t="shared" si="137"/>
        <v>1</v>
      </c>
      <c r="V379">
        <f>step3_validation[[#This Row],[AI_ENF2]]</f>
        <v>6</v>
      </c>
      <c r="W379" t="str">
        <f t="shared" si="138"/>
        <v>Neutral</v>
      </c>
      <c r="X379">
        <f>survey_responses[[#This Row],[Tôi tin rằng Nhà nước, cơ quan thuế có đủ khả năng và công nghệ để phát hiện, xử lý nghiêm các hành vi trốn thuế. - HUMAN-ENF2]]</f>
        <v>7</v>
      </c>
      <c r="Y379" t="str">
        <f t="shared" si="139"/>
        <v>Neutral</v>
      </c>
      <c r="Z379" s="32">
        <f t="shared" si="140"/>
        <v>1</v>
      </c>
      <c r="AA379">
        <f>step3_validation[[#This Row],[AI_FAC1]]</f>
        <v>8</v>
      </c>
      <c r="AB379" t="str">
        <f t="shared" si="141"/>
        <v>Support</v>
      </c>
      <c r="AC379">
        <f>survey_responses[[#This Row],[Các thủ tục khai báo thuế VÀ/HOẶC quy trình làm việc với cơ quan thuế đơn giản, tiện lợi, nhanh chóng hơn so với trước đây. - HUMAN-FAC1]]</f>
        <v>5</v>
      </c>
      <c r="AD379" t="str">
        <f t="shared" si="142"/>
        <v>Neutral</v>
      </c>
      <c r="AE379" s="32">
        <f t="shared" si="143"/>
        <v>3</v>
      </c>
      <c r="AF379">
        <f>step3_validation[[#This Row],[AI_FAC2]]</f>
        <v>9</v>
      </c>
      <c r="AG379" t="str">
        <f t="shared" si="144"/>
        <v>Support</v>
      </c>
      <c r="AH379">
        <f>survey_responses[[#This Row],[So với trước đây, tôi thấy cách tính thuế và các bậc thuế trong phương án mới đơn giản, dễ hiểu và dễ thực hiện hơn. - HUMAN-FAC2]]</f>
        <v>8</v>
      </c>
      <c r="AI379" t="str">
        <f t="shared" si="145"/>
        <v>Support</v>
      </c>
      <c r="AJ379" s="32">
        <f t="shared" si="146"/>
        <v>1</v>
      </c>
      <c r="AK379">
        <f>step3_validation[[#This Row],[AI_TRU1]]</f>
        <v>7</v>
      </c>
      <c r="AL379" t="str">
        <f t="shared" si="147"/>
        <v>Neutral</v>
      </c>
      <c r="AM379">
        <f>survey_responses[[#This Row],[Tôi tin rằng Nhà nước, cơ quan thuế sẽ thực thi chính sách mới một cách khách quan, công tâm và đối xử bình đẳng với mọi người nộp thuế.  - HUMAN-TRU1]]</f>
        <v>7</v>
      </c>
      <c r="AN379" t="str">
        <f t="shared" si="148"/>
        <v>Neutral</v>
      </c>
      <c r="AO379" s="32">
        <f t="shared" si="149"/>
        <v>0</v>
      </c>
      <c r="AP379">
        <f>step3_validation[[#This Row],[AI_TRU2]]</f>
        <v>8</v>
      </c>
      <c r="AQ379" t="str">
        <f t="shared" si="150"/>
        <v>Support</v>
      </c>
      <c r="AR379">
        <f>survey_responses[[#This Row],[Tôi thấy mức thuế tôi phải đóng theo phương án mới là công bằng (người thu nhập như tôi đóng mức này là hợp lý). - HUMAN-TRU2]]</f>
        <v>7</v>
      </c>
      <c r="AS379" t="str">
        <f t="shared" si="151"/>
        <v>Neutral</v>
      </c>
      <c r="AT379" s="32">
        <f t="shared" si="152"/>
        <v>1</v>
      </c>
      <c r="AU379">
        <f>step3_validation[[#This Row],[AI_TRU3]]</f>
        <v>7</v>
      </c>
      <c r="AV379" t="str">
        <f t="shared" si="153"/>
        <v>Neutral</v>
      </c>
      <c r="AW379">
        <f>survey_responses[[#This Row],[Tôi tin tưởng số tiền thuế tôi đóng sẽ được Nhà nước sử dụng hiệu quả để cải thiện dịch vụ công (y tế, đường xá...). - HUMAN-TRU3]]</f>
        <v>7</v>
      </c>
      <c r="AX379" t="str">
        <f t="shared" si="154"/>
        <v>Neutral</v>
      </c>
      <c r="AY379" s="32">
        <f t="shared" si="155"/>
        <v>0</v>
      </c>
      <c r="AZ379">
        <f>step3_validation[[#This Row],[AI_TRU4]]</f>
        <v>6</v>
      </c>
      <c r="BA379" t="str">
        <f t="shared" si="156"/>
        <v>Neutral</v>
      </c>
      <c r="BB379">
        <f>survey_responses[[#This Row],[Tôi thấy Nhà nước đã giải thích rõ ràng, minh bạch về lý do và mục tiêu của việc sửa đổi thuế lần này. - HUMAN-TRU4]]</f>
        <v>7</v>
      </c>
      <c r="BC379" t="str">
        <f t="shared" si="157"/>
        <v>Neutral</v>
      </c>
      <c r="BD379" s="32">
        <f t="shared" si="158"/>
        <v>1</v>
      </c>
      <c r="BE379">
        <f>step3_validation[[#This Row],[AI_OUT1]]</f>
        <v>9</v>
      </c>
      <c r="BF379" t="str">
        <f t="shared" si="159"/>
        <v>Support</v>
      </c>
      <c r="BG379">
        <f>survey_responses[[#This Row],[Sau khi xem xét các quyền lợi và nghĩa vụ, bạn có ủng hộ và tuân thủ chính sách mới hiện nay? - HUMAN-OUT1]]</f>
        <v>8</v>
      </c>
      <c r="BH379" t="str">
        <f t="shared" si="160"/>
        <v>Support</v>
      </c>
      <c r="BI379" s="32">
        <f t="shared" si="161"/>
        <v>1</v>
      </c>
    </row>
    <row r="380" spans="1:61" x14ac:dyDescent="0.45">
      <c r="A380" s="30">
        <f>step3_validation[[#This Row],[Persona_ID]]</f>
        <v>379</v>
      </c>
      <c r="B380" s="31">
        <f>step3_validation[[#This Row],[Used_Seed]]</f>
        <v>12723</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14.773397892892959</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6</v>
      </c>
      <c r="R380" t="str">
        <f t="shared" si="135"/>
        <v>Neutral</v>
      </c>
      <c r="S380">
        <f>survey_responses[[#This Row],[Tôi tin rằng với các quy định quản lý thuế hiện nay, hành vi gian lận hoặc trốn thuế sẽ dễ dàng bị phát hiện và xử lý nghiêm. - HUMAN-ENF1]]</f>
        <v>8</v>
      </c>
      <c r="T380" t="str">
        <f t="shared" si="136"/>
        <v>Support</v>
      </c>
      <c r="U380" s="32">
        <f t="shared" si="137"/>
        <v>2</v>
      </c>
      <c r="V380">
        <f>step3_validation[[#This Row],[AI_ENF2]]</f>
        <v>7</v>
      </c>
      <c r="W380" t="str">
        <f t="shared" si="138"/>
        <v>Neutral</v>
      </c>
      <c r="X380">
        <f>survey_responses[[#This Row],[Tôi tin rằng Nhà nước, cơ quan thuế có đủ khả năng và công nghệ để phát hiện, xử lý nghiêm các hành vi trốn thuế. - HUMAN-ENF2]]</f>
        <v>8</v>
      </c>
      <c r="Y380" t="str">
        <f t="shared" si="139"/>
        <v>Support</v>
      </c>
      <c r="Z380" s="32">
        <f t="shared" si="140"/>
        <v>1</v>
      </c>
      <c r="AA380">
        <f>step3_validation[[#This Row],[AI_FAC1]]</f>
        <v>9</v>
      </c>
      <c r="AB380" t="str">
        <f t="shared" si="141"/>
        <v>Support</v>
      </c>
      <c r="AC380">
        <f>survey_responses[[#This Row],[Các thủ tục khai báo thuế VÀ/HOẶC quy trình làm việc với cơ quan thuế đơn giản, tiện lợi, nhanh chóng hơn so với trước đây. - HUMAN-FAC1]]</f>
        <v>9</v>
      </c>
      <c r="AD380" t="str">
        <f t="shared" si="142"/>
        <v>Support</v>
      </c>
      <c r="AE380" s="32">
        <f t="shared" si="143"/>
        <v>0</v>
      </c>
      <c r="AF380">
        <f>step3_validation[[#This Row],[AI_FAC2]]</f>
        <v>8</v>
      </c>
      <c r="AG380" t="str">
        <f t="shared" si="144"/>
        <v>Support</v>
      </c>
      <c r="AH380">
        <f>survey_responses[[#This Row],[So với trước đây, tôi thấy cách tính thuế và các bậc thuế trong phương án mới đơn giản, dễ hiểu và dễ thực hiện hơn. - HUMAN-FAC2]]</f>
        <v>9</v>
      </c>
      <c r="AI380" t="str">
        <f t="shared" si="145"/>
        <v>Support</v>
      </c>
      <c r="AJ380" s="32">
        <f t="shared" si="146"/>
        <v>1</v>
      </c>
      <c r="AK380">
        <f>step3_validation[[#This Row],[AI_TRU1]]</f>
        <v>7</v>
      </c>
      <c r="AL380" t="str">
        <f t="shared" si="147"/>
        <v>Neutral</v>
      </c>
      <c r="AM380">
        <f>survey_responses[[#This Row],[Tôi tin rằng Nhà nước, cơ quan thuế sẽ thực thi chính sách mới một cách khách quan, công tâm và đối xử bình đẳng với mọi người nộp thuế.  - HUMAN-TRU1]]</f>
        <v>7</v>
      </c>
      <c r="AN380" t="str">
        <f t="shared" si="148"/>
        <v>Neutral</v>
      </c>
      <c r="AO380" s="32">
        <f t="shared" si="149"/>
        <v>0</v>
      </c>
      <c r="AP380">
        <f>step3_validation[[#This Row],[AI_TRU2]]</f>
        <v>9</v>
      </c>
      <c r="AQ380" t="str">
        <f t="shared" si="150"/>
        <v>Support</v>
      </c>
      <c r="AR380">
        <f>survey_responses[[#This Row],[Tôi thấy mức thuế tôi phải đóng theo phương án mới là công bằng (người thu nhập như tôi đóng mức này là hợp lý). - HUMAN-TRU2]]</f>
        <v>9</v>
      </c>
      <c r="AS380" t="str">
        <f t="shared" si="151"/>
        <v>Support</v>
      </c>
      <c r="AT380" s="32">
        <f t="shared" si="152"/>
        <v>0</v>
      </c>
      <c r="AU380">
        <f>step3_validation[[#This Row],[AI_TRU3]]</f>
        <v>8</v>
      </c>
      <c r="AV380" t="str">
        <f t="shared" si="153"/>
        <v>Support</v>
      </c>
      <c r="AW380">
        <f>survey_responses[[#This Row],[Tôi tin tưởng số tiền thuế tôi đóng sẽ được Nhà nước sử dụng hiệu quả để cải thiện dịch vụ công (y tế, đường xá...). - HUMAN-TRU3]]</f>
        <v>7</v>
      </c>
      <c r="AX380" t="str">
        <f t="shared" si="154"/>
        <v>Neutral</v>
      </c>
      <c r="AY380" s="32">
        <f t="shared" si="155"/>
        <v>1</v>
      </c>
      <c r="AZ380">
        <f>step3_validation[[#This Row],[AI_TRU4]]</f>
        <v>6</v>
      </c>
      <c r="BA380" t="str">
        <f t="shared" si="156"/>
        <v>Neutral</v>
      </c>
      <c r="BB380">
        <f>survey_responses[[#This Row],[Tôi thấy Nhà nước đã giải thích rõ ràng, minh bạch về lý do và mục tiêu của việc sửa đổi thuế lần này. - HUMAN-TRU4]]</f>
        <v>7</v>
      </c>
      <c r="BC380" t="str">
        <f t="shared" si="157"/>
        <v>Neutral</v>
      </c>
      <c r="BD380" s="32">
        <f t="shared" si="158"/>
        <v>1</v>
      </c>
      <c r="BE380">
        <f>step3_validation[[#This Row],[AI_OUT1]]</f>
        <v>9</v>
      </c>
      <c r="BF380" t="str">
        <f t="shared" si="159"/>
        <v>Support</v>
      </c>
      <c r="BG380">
        <f>survey_responses[[#This Row],[Sau khi xem xét các quyền lợi và nghĩa vụ, bạn có ủng hộ và tuân thủ chính sách mới hiện nay? - HUMAN-OUT1]]</f>
        <v>9</v>
      </c>
      <c r="BH380" t="str">
        <f t="shared" si="160"/>
        <v>Support</v>
      </c>
      <c r="BI380" s="32">
        <f t="shared" si="161"/>
        <v>0</v>
      </c>
    </row>
    <row r="381" spans="1:61" x14ac:dyDescent="0.45">
      <c r="A381" s="30">
        <f>step3_validation[[#This Row],[Persona_ID]]</f>
        <v>380</v>
      </c>
      <c r="B381" s="31">
        <f>step3_validation[[#This Row],[Used_Seed]]</f>
        <v>12724</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18.438804071098293</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t="str">
        <f t="shared" si="135"/>
        <v>Neutral</v>
      </c>
      <c r="S381">
        <f>survey_responses[[#This Row],[Tôi tin rằng với các quy định quản lý thuế hiện nay, hành vi gian lận hoặc trốn thuế sẽ dễ dàng bị phát hiện và xử lý nghiêm. - HUMAN-ENF1]]</f>
        <v>8</v>
      </c>
      <c r="T381" t="str">
        <f t="shared" si="136"/>
        <v>Support</v>
      </c>
      <c r="U381" s="32">
        <f t="shared" si="137"/>
        <v>1</v>
      </c>
      <c r="V381">
        <f>step3_validation[[#This Row],[AI_ENF2]]</f>
        <v>9</v>
      </c>
      <c r="W381" t="str">
        <f t="shared" si="138"/>
        <v>Support</v>
      </c>
      <c r="X381">
        <f>survey_responses[[#This Row],[Tôi tin rằng Nhà nước, cơ quan thuế có đủ khả năng và công nghệ để phát hiện, xử lý nghiêm các hành vi trốn thuế. - HUMAN-ENF2]]</f>
        <v>8</v>
      </c>
      <c r="Y381" t="str">
        <f t="shared" si="139"/>
        <v>Support</v>
      </c>
      <c r="Z381" s="32">
        <f t="shared" si="140"/>
        <v>1</v>
      </c>
      <c r="AA381">
        <f>step3_validation[[#This Row],[AI_FAC1]]</f>
        <v>8</v>
      </c>
      <c r="AB381" t="str">
        <f t="shared" si="141"/>
        <v>Support</v>
      </c>
      <c r="AC381">
        <f>survey_responses[[#This Row],[Các thủ tục khai báo thuế VÀ/HOẶC quy trình làm việc với cơ quan thuế đơn giản, tiện lợi, nhanh chóng hơn so với trước đây. - HUMAN-FAC1]]</f>
        <v>5</v>
      </c>
      <c r="AD381" t="str">
        <f t="shared" si="142"/>
        <v>Neutral</v>
      </c>
      <c r="AE381" s="32">
        <f t="shared" si="143"/>
        <v>3</v>
      </c>
      <c r="AF381">
        <f>step3_validation[[#This Row],[AI_FAC2]]</f>
        <v>9</v>
      </c>
      <c r="AG381" t="str">
        <f t="shared" si="144"/>
        <v>Support</v>
      </c>
      <c r="AH381">
        <f>survey_responses[[#This Row],[So với trước đây, tôi thấy cách tính thuế và các bậc thuế trong phương án mới đơn giản, dễ hiểu và dễ thực hiện hơn. - HUMAN-FAC2]]</f>
        <v>8</v>
      </c>
      <c r="AI381" t="str">
        <f t="shared" si="145"/>
        <v>Support</v>
      </c>
      <c r="AJ381" s="32">
        <f t="shared" si="146"/>
        <v>1</v>
      </c>
      <c r="AK381">
        <f>step3_validation[[#This Row],[AI_TRU1]]</f>
        <v>6</v>
      </c>
      <c r="AL381" t="str">
        <f t="shared" si="147"/>
        <v>Neutral</v>
      </c>
      <c r="AM381">
        <f>survey_responses[[#This Row],[Tôi tin rằng Nhà nước, cơ quan thuế sẽ thực thi chính sách mới một cách khách quan, công tâm và đối xử bình đẳng với mọi người nộp thuế.  - HUMAN-TRU1]]</f>
        <v>6</v>
      </c>
      <c r="AN381" t="str">
        <f t="shared" si="148"/>
        <v>Neutral</v>
      </c>
      <c r="AO381" s="32">
        <f t="shared" si="149"/>
        <v>0</v>
      </c>
      <c r="AP381">
        <f>step3_validation[[#This Row],[AI_TRU2]]</f>
        <v>8</v>
      </c>
      <c r="AQ381" t="str">
        <f t="shared" si="150"/>
        <v>Support</v>
      </c>
      <c r="AR381">
        <f>survey_responses[[#This Row],[Tôi thấy mức thuế tôi phải đóng theo phương án mới là công bằng (người thu nhập như tôi đóng mức này là hợp lý). - HUMAN-TRU2]]</f>
        <v>9</v>
      </c>
      <c r="AS381" t="str">
        <f t="shared" si="151"/>
        <v>Support</v>
      </c>
      <c r="AT381" s="32">
        <f t="shared" si="152"/>
        <v>1</v>
      </c>
      <c r="AU381">
        <f>step3_validation[[#This Row],[AI_TRU3]]</f>
        <v>7</v>
      </c>
      <c r="AV381" t="str">
        <f t="shared" si="153"/>
        <v>Neutral</v>
      </c>
      <c r="AW381">
        <f>survey_responses[[#This Row],[Tôi tin tưởng số tiền thuế tôi đóng sẽ được Nhà nước sử dụng hiệu quả để cải thiện dịch vụ công (y tế, đường xá...). - HUMAN-TRU3]]</f>
        <v>5</v>
      </c>
      <c r="AX381" t="str">
        <f t="shared" si="154"/>
        <v>Neutral</v>
      </c>
      <c r="AY381" s="32">
        <f t="shared" si="155"/>
        <v>2</v>
      </c>
      <c r="AZ381">
        <f>step3_validation[[#This Row],[AI_TRU4]]</f>
        <v>6</v>
      </c>
      <c r="BA381" t="str">
        <f t="shared" si="156"/>
        <v>Neutral</v>
      </c>
      <c r="BB381">
        <f>survey_responses[[#This Row],[Tôi thấy Nhà nước đã giải thích rõ ràng, minh bạch về lý do và mục tiêu của việc sửa đổi thuế lần này. - HUMAN-TRU4]]</f>
        <v>7</v>
      </c>
      <c r="BC381" t="str">
        <f t="shared" si="157"/>
        <v>Neutral</v>
      </c>
      <c r="BD381" s="32">
        <f t="shared" si="158"/>
        <v>1</v>
      </c>
      <c r="BE381">
        <f>step3_validation[[#This Row],[AI_OUT1]]</f>
        <v>9</v>
      </c>
      <c r="BF381" t="str">
        <f t="shared" si="159"/>
        <v>Support</v>
      </c>
      <c r="BG381">
        <f>survey_responses[[#This Row],[Sau khi xem xét các quyền lợi và nghĩa vụ, bạn có ủng hộ và tuân thủ chính sách mới hiện nay? - HUMAN-OUT1]]</f>
        <v>8</v>
      </c>
      <c r="BH381" t="str">
        <f t="shared" si="160"/>
        <v>Support</v>
      </c>
      <c r="BI381" s="32">
        <f t="shared" si="161"/>
        <v>1</v>
      </c>
    </row>
    <row r="382" spans="1:61" x14ac:dyDescent="0.45">
      <c r="A382" s="30">
        <f>step3_validation[[#This Row],[Persona_ID]]</f>
        <v>381</v>
      </c>
      <c r="B382" s="31">
        <f>step3_validation[[#This Row],[Used_Seed]]</f>
        <v>12725</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13.350333994675893</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4</v>
      </c>
      <c r="R382" t="str">
        <f t="shared" si="135"/>
        <v>Oppose</v>
      </c>
      <c r="S382">
        <f>survey_responses[[#This Row],[Tôi tin rằng với các quy định quản lý thuế hiện nay, hành vi gian lận hoặc trốn thuế sẽ dễ dàng bị phát hiện và xử lý nghiêm. - HUMAN-ENF1]]</f>
        <v>9</v>
      </c>
      <c r="T382" t="str">
        <f t="shared" si="136"/>
        <v>Support</v>
      </c>
      <c r="U382" s="32">
        <f t="shared" si="137"/>
        <v>5</v>
      </c>
      <c r="V382">
        <f>step3_validation[[#This Row],[AI_ENF2]]</f>
        <v>5</v>
      </c>
      <c r="W382" t="str">
        <f t="shared" si="138"/>
        <v>Neutral</v>
      </c>
      <c r="X382">
        <f>survey_responses[[#This Row],[Tôi tin rằng Nhà nước, cơ quan thuế có đủ khả năng và công nghệ để phát hiện, xử lý nghiêm các hành vi trốn thuế. - HUMAN-ENF2]]</f>
        <v>9</v>
      </c>
      <c r="Y382" t="str">
        <f t="shared" si="139"/>
        <v>Support</v>
      </c>
      <c r="Z382" s="32">
        <f t="shared" si="140"/>
        <v>4</v>
      </c>
      <c r="AA382">
        <f>step3_validation[[#This Row],[AI_FAC1]]</f>
        <v>8</v>
      </c>
      <c r="AB382" t="str">
        <f t="shared" si="141"/>
        <v>Support</v>
      </c>
      <c r="AC382">
        <f>survey_responses[[#This Row],[Các thủ tục khai báo thuế VÀ/HOẶC quy trình làm việc với cơ quan thuế đơn giản, tiện lợi, nhanh chóng hơn so với trước đây. - HUMAN-FAC1]]</f>
        <v>8</v>
      </c>
      <c r="AD382" t="str">
        <f t="shared" si="142"/>
        <v>Support</v>
      </c>
      <c r="AE382" s="32">
        <f t="shared" si="143"/>
        <v>0</v>
      </c>
      <c r="AF382">
        <f>step3_validation[[#This Row],[AI_FAC2]]</f>
        <v>9</v>
      </c>
      <c r="AG382" t="str">
        <f t="shared" si="144"/>
        <v>Support</v>
      </c>
      <c r="AH382">
        <f>survey_responses[[#This Row],[So với trước đây, tôi thấy cách tính thuế và các bậc thuế trong phương án mới đơn giản, dễ hiểu và dễ thực hiện hơn. - HUMAN-FAC2]]</f>
        <v>9</v>
      </c>
      <c r="AI382" t="str">
        <f t="shared" si="145"/>
        <v>Support</v>
      </c>
      <c r="AJ382" s="32">
        <f t="shared" si="146"/>
        <v>0</v>
      </c>
      <c r="AK382">
        <f>step3_validation[[#This Row],[AI_TRU1]]</f>
        <v>6</v>
      </c>
      <c r="AL382" t="str">
        <f t="shared" si="147"/>
        <v>Neutral</v>
      </c>
      <c r="AM382">
        <f>survey_responses[[#This Row],[Tôi tin rằng Nhà nước, cơ quan thuế sẽ thực thi chính sách mới một cách khách quan, công tâm và đối xử bình đẳng với mọi người nộp thuế.  - HUMAN-TRU1]]</f>
        <v>8</v>
      </c>
      <c r="AN382" t="str">
        <f t="shared" si="148"/>
        <v>Support</v>
      </c>
      <c r="AO382" s="32">
        <f t="shared" si="149"/>
        <v>2</v>
      </c>
      <c r="AP382">
        <f>step3_validation[[#This Row],[AI_TRU2]]</f>
        <v>9</v>
      </c>
      <c r="AQ382" t="str">
        <f t="shared" si="150"/>
        <v>Support</v>
      </c>
      <c r="AR382">
        <f>survey_responses[[#This Row],[Tôi thấy mức thuế tôi phải đóng theo phương án mới là công bằng (người thu nhập như tôi đóng mức này là hợp lý). - HUMAN-TRU2]]</f>
        <v>10</v>
      </c>
      <c r="AS382" t="str">
        <f t="shared" si="151"/>
        <v>Support</v>
      </c>
      <c r="AT382" s="32">
        <f t="shared" si="152"/>
        <v>1</v>
      </c>
      <c r="AU382">
        <f>step3_validation[[#This Row],[AI_TRU3]]</f>
        <v>7</v>
      </c>
      <c r="AV382" t="str">
        <f t="shared" si="153"/>
        <v>Neutral</v>
      </c>
      <c r="AW382">
        <f>survey_responses[[#This Row],[Tôi tin tưởng số tiền thuế tôi đóng sẽ được Nhà nước sử dụng hiệu quả để cải thiện dịch vụ công (y tế, đường xá...). - HUMAN-TRU3]]</f>
        <v>8</v>
      </c>
      <c r="AX382" t="str">
        <f t="shared" si="154"/>
        <v>Support</v>
      </c>
      <c r="AY382" s="32">
        <f t="shared" si="155"/>
        <v>1</v>
      </c>
      <c r="AZ382">
        <f>step3_validation[[#This Row],[AI_TRU4]]</f>
        <v>6</v>
      </c>
      <c r="BA382" t="str">
        <f t="shared" si="156"/>
        <v>Neutral</v>
      </c>
      <c r="BB382">
        <f>survey_responses[[#This Row],[Tôi thấy Nhà nước đã giải thích rõ ràng, minh bạch về lý do và mục tiêu của việc sửa đổi thuế lần này. - HUMAN-TRU4]]</f>
        <v>8</v>
      </c>
      <c r="BC382" t="str">
        <f t="shared" si="157"/>
        <v>Support</v>
      </c>
      <c r="BD382" s="32">
        <f t="shared" si="158"/>
        <v>2</v>
      </c>
      <c r="BE382">
        <f>step3_validation[[#This Row],[AI_OUT1]]</f>
        <v>8</v>
      </c>
      <c r="BF382" t="str">
        <f t="shared" si="159"/>
        <v>Support</v>
      </c>
      <c r="BG382">
        <f>survey_responses[[#This Row],[Sau khi xem xét các quyền lợi và nghĩa vụ, bạn có ủng hộ và tuân thủ chính sách mới hiện nay? - HUMAN-OUT1]]</f>
        <v>10</v>
      </c>
      <c r="BH382" t="str">
        <f t="shared" si="160"/>
        <v>Support</v>
      </c>
      <c r="BI382" s="32">
        <f t="shared" si="161"/>
        <v>2</v>
      </c>
    </row>
    <row r="383" spans="1:61" x14ac:dyDescent="0.45">
      <c r="A383" s="30">
        <f>step3_validation[[#This Row],[Persona_ID]]</f>
        <v>382</v>
      </c>
      <c r="B383" s="31">
        <f>step3_validation[[#This Row],[Used_Seed]]</f>
        <v>12726</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21.258895760174006</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t="str">
        <f t="shared" si="135"/>
        <v>Neutral</v>
      </c>
      <c r="S383">
        <f>survey_responses[[#This Row],[Tôi tin rằng với các quy định quản lý thuế hiện nay, hành vi gian lận hoặc trốn thuế sẽ dễ dàng bị phát hiện và xử lý nghiêm. - HUMAN-ENF1]]</f>
        <v>5</v>
      </c>
      <c r="T383" t="str">
        <f t="shared" si="136"/>
        <v>Neutral</v>
      </c>
      <c r="U383" s="32">
        <f t="shared" si="137"/>
        <v>2</v>
      </c>
      <c r="V383">
        <f>step3_validation[[#This Row],[AI_ENF2]]</f>
        <v>6</v>
      </c>
      <c r="W383" t="str">
        <f t="shared" si="138"/>
        <v>Neutral</v>
      </c>
      <c r="X383">
        <f>survey_responses[[#This Row],[Tôi tin rằng Nhà nước, cơ quan thuế có đủ khả năng và công nghệ để phát hiện, xử lý nghiêm các hành vi trốn thuế. - HUMAN-ENF2]]</f>
        <v>5</v>
      </c>
      <c r="Y383" t="str">
        <f t="shared" si="139"/>
        <v>Neutral</v>
      </c>
      <c r="Z383" s="32">
        <f t="shared" si="140"/>
        <v>1</v>
      </c>
      <c r="AA383">
        <f>step3_validation[[#This Row],[AI_FAC1]]</f>
        <v>9</v>
      </c>
      <c r="AB383" t="str">
        <f t="shared" si="141"/>
        <v>Support</v>
      </c>
      <c r="AC383">
        <f>survey_responses[[#This Row],[Các thủ tục khai báo thuế VÀ/HOẶC quy trình làm việc với cơ quan thuế đơn giản, tiện lợi, nhanh chóng hơn so với trước đây. - HUMAN-FAC1]]</f>
        <v>4</v>
      </c>
      <c r="AD383" t="str">
        <f t="shared" si="142"/>
        <v>Oppose</v>
      </c>
      <c r="AE383" s="32">
        <f t="shared" si="143"/>
        <v>5</v>
      </c>
      <c r="AF383">
        <f>step3_validation[[#This Row],[AI_FAC2]]</f>
        <v>8</v>
      </c>
      <c r="AG383" t="str">
        <f t="shared" si="144"/>
        <v>Support</v>
      </c>
      <c r="AH383">
        <f>survey_responses[[#This Row],[So với trước đây, tôi thấy cách tính thuế và các bậc thuế trong phương án mới đơn giản, dễ hiểu và dễ thực hiện hơn. - HUMAN-FAC2]]</f>
        <v>8</v>
      </c>
      <c r="AI383" t="str">
        <f t="shared" si="145"/>
        <v>Support</v>
      </c>
      <c r="AJ383" s="32">
        <f t="shared" si="146"/>
        <v>0</v>
      </c>
      <c r="AK383">
        <f>step3_validation[[#This Row],[AI_TRU1]]</f>
        <v>9</v>
      </c>
      <c r="AL383" t="str">
        <f t="shared" si="147"/>
        <v>Support</v>
      </c>
      <c r="AM383">
        <f>survey_responses[[#This Row],[Tôi tin rằng Nhà nước, cơ quan thuế sẽ thực thi chính sách mới một cách khách quan, công tâm và đối xử bình đẳng với mọi người nộp thuế.  - HUMAN-TRU1]]</f>
        <v>4</v>
      </c>
      <c r="AN383" t="str">
        <f t="shared" si="148"/>
        <v>Oppose</v>
      </c>
      <c r="AO383" s="32">
        <f t="shared" si="149"/>
        <v>5</v>
      </c>
      <c r="AP383">
        <f>step3_validation[[#This Row],[AI_TRU2]]</f>
        <v>8</v>
      </c>
      <c r="AQ383" t="str">
        <f t="shared" si="150"/>
        <v>Support</v>
      </c>
      <c r="AR383">
        <f>survey_responses[[#This Row],[Tôi thấy mức thuế tôi phải đóng theo phương án mới là công bằng (người thu nhập như tôi đóng mức này là hợp lý). - HUMAN-TRU2]]</f>
        <v>8</v>
      </c>
      <c r="AS383" t="str">
        <f t="shared" si="151"/>
        <v>Support</v>
      </c>
      <c r="AT383" s="32">
        <f t="shared" si="152"/>
        <v>0</v>
      </c>
      <c r="AU383">
        <f>step3_validation[[#This Row],[AI_TRU3]]</f>
        <v>9</v>
      </c>
      <c r="AV383" t="str">
        <f t="shared" si="153"/>
        <v>Support</v>
      </c>
      <c r="AW383">
        <f>survey_responses[[#This Row],[Tôi tin tưởng số tiền thuế tôi đóng sẽ được Nhà nước sử dụng hiệu quả để cải thiện dịch vụ công (y tế, đường xá...). - HUMAN-TRU3]]</f>
        <v>4</v>
      </c>
      <c r="AX383" t="str">
        <f t="shared" si="154"/>
        <v>Oppose</v>
      </c>
      <c r="AY383" s="32">
        <f t="shared" si="155"/>
        <v>5</v>
      </c>
      <c r="AZ383">
        <f>step3_validation[[#This Row],[AI_TRU4]]</f>
        <v>7</v>
      </c>
      <c r="BA383" t="str">
        <f t="shared" si="156"/>
        <v>Neutral</v>
      </c>
      <c r="BB383">
        <f>survey_responses[[#This Row],[Tôi thấy Nhà nước đã giải thích rõ ràng, minh bạch về lý do và mục tiêu của việc sửa đổi thuế lần này. - HUMAN-TRU4]]</f>
        <v>5</v>
      </c>
      <c r="BC383" t="str">
        <f t="shared" si="157"/>
        <v>Neutral</v>
      </c>
      <c r="BD383" s="32">
        <f t="shared" si="158"/>
        <v>2</v>
      </c>
      <c r="BE383">
        <f>step3_validation[[#This Row],[AI_OUT1]]</f>
        <v>9</v>
      </c>
      <c r="BF383" t="str">
        <f t="shared" si="159"/>
        <v>Support</v>
      </c>
      <c r="BG383">
        <f>survey_responses[[#This Row],[Sau khi xem xét các quyền lợi và nghĩa vụ, bạn có ủng hộ và tuân thủ chính sách mới hiện nay? - HUMAN-OUT1]]</f>
        <v>7</v>
      </c>
      <c r="BH383" t="str">
        <f t="shared" si="160"/>
        <v>Neutral</v>
      </c>
      <c r="BI383" s="32">
        <f t="shared" si="161"/>
        <v>2</v>
      </c>
    </row>
    <row r="384" spans="1:61" x14ac:dyDescent="0.45">
      <c r="A384" s="30">
        <f>step3_validation[[#This Row],[Persona_ID]]</f>
        <v>383</v>
      </c>
      <c r="B384" s="31">
        <f>step3_validation[[#This Row],[Used_Seed]]</f>
        <v>12727</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90.414380698726006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t="str">
        <f t="shared" si="135"/>
        <v>Neutral</v>
      </c>
      <c r="S384">
        <f>survey_responses[[#This Row],[Tôi tin rằng với các quy định quản lý thuế hiện nay, hành vi gian lận hoặc trốn thuế sẽ dễ dàng bị phát hiện và xử lý nghiêm. - HUMAN-ENF1]]</f>
        <v>1</v>
      </c>
      <c r="T384" t="str">
        <f t="shared" si="136"/>
        <v>Oppose</v>
      </c>
      <c r="U384" s="32">
        <f t="shared" si="137"/>
        <v>6</v>
      </c>
      <c r="V384">
        <f>step3_validation[[#This Row],[AI_ENF2]]</f>
        <v>8</v>
      </c>
      <c r="W384" t="str">
        <f t="shared" si="138"/>
        <v>Support</v>
      </c>
      <c r="X384">
        <f>survey_responses[[#This Row],[Tôi tin rằng Nhà nước, cơ quan thuế có đủ khả năng và công nghệ để phát hiện, xử lý nghiêm các hành vi trốn thuế. - HUMAN-ENF2]]</f>
        <v>1</v>
      </c>
      <c r="Y384" t="str">
        <f t="shared" si="139"/>
        <v>Oppose</v>
      </c>
      <c r="Z384" s="32">
        <f t="shared" si="140"/>
        <v>7</v>
      </c>
      <c r="AA384">
        <f>step3_validation[[#This Row],[AI_FAC1]]</f>
        <v>9</v>
      </c>
      <c r="AB384" t="str">
        <f t="shared" si="141"/>
        <v>Support</v>
      </c>
      <c r="AC384">
        <f>survey_responses[[#This Row],[Các thủ tục khai báo thuế VÀ/HOẶC quy trình làm việc với cơ quan thuế đơn giản, tiện lợi, nhanh chóng hơn so với trước đây. - HUMAN-FAC1]]</f>
        <v>4</v>
      </c>
      <c r="AD384" t="str">
        <f t="shared" si="142"/>
        <v>Oppose</v>
      </c>
      <c r="AE384" s="32">
        <f t="shared" si="143"/>
        <v>5</v>
      </c>
      <c r="AF384">
        <f>step3_validation[[#This Row],[AI_FAC2]]</f>
        <v>10</v>
      </c>
      <c r="AG384" t="str">
        <f t="shared" si="144"/>
        <v>Support</v>
      </c>
      <c r="AH384">
        <f>survey_responses[[#This Row],[So với trước đây, tôi thấy cách tính thuế và các bậc thuế trong phương án mới đơn giản, dễ hiểu và dễ thực hiện hơn. - HUMAN-FAC2]]</f>
        <v>5</v>
      </c>
      <c r="AI384" t="str">
        <f t="shared" si="145"/>
        <v>Neutral</v>
      </c>
      <c r="AJ384" s="32">
        <f t="shared" si="146"/>
        <v>5</v>
      </c>
      <c r="AK384">
        <f>step3_validation[[#This Row],[AI_TRU1]]</f>
        <v>9</v>
      </c>
      <c r="AL384" t="str">
        <f t="shared" si="147"/>
        <v>Support</v>
      </c>
      <c r="AM384">
        <f>survey_responses[[#This Row],[Tôi tin rằng Nhà nước, cơ quan thuế sẽ thực thi chính sách mới một cách khách quan, công tâm và đối xử bình đẳng với mọi người nộp thuế.  - HUMAN-TRU1]]</f>
        <v>5</v>
      </c>
      <c r="AN384" t="str">
        <f t="shared" si="148"/>
        <v>Neutral</v>
      </c>
      <c r="AO384" s="32">
        <f t="shared" si="149"/>
        <v>4</v>
      </c>
      <c r="AP384">
        <f>step3_validation[[#This Row],[AI_TRU2]]</f>
        <v>8</v>
      </c>
      <c r="AQ384" t="str">
        <f t="shared" si="150"/>
        <v>Support</v>
      </c>
      <c r="AR384">
        <f>survey_responses[[#This Row],[Tôi thấy mức thuế tôi phải đóng theo phương án mới là công bằng (người thu nhập như tôi đóng mức này là hợp lý). - HUMAN-TRU2]]</f>
        <v>4</v>
      </c>
      <c r="AS384" t="str">
        <f t="shared" si="151"/>
        <v>Oppose</v>
      </c>
      <c r="AT384" s="32">
        <f t="shared" si="152"/>
        <v>4</v>
      </c>
      <c r="AU384">
        <f>step3_validation[[#This Row],[AI_TRU3]]</f>
        <v>9</v>
      </c>
      <c r="AV384" t="str">
        <f t="shared" si="153"/>
        <v>Support</v>
      </c>
      <c r="AW384">
        <f>survey_responses[[#This Row],[Tôi tin tưởng số tiền thuế tôi đóng sẽ được Nhà nước sử dụng hiệu quả để cải thiện dịch vụ công (y tế, đường xá...). - HUMAN-TRU3]]</f>
        <v>4</v>
      </c>
      <c r="AX384" t="str">
        <f t="shared" si="154"/>
        <v>Oppose</v>
      </c>
      <c r="AY384" s="32">
        <f t="shared" si="155"/>
        <v>5</v>
      </c>
      <c r="AZ384">
        <f>step3_validation[[#This Row],[AI_TRU4]]</f>
        <v>7</v>
      </c>
      <c r="BA384" t="str">
        <f t="shared" si="156"/>
        <v>Neutral</v>
      </c>
      <c r="BB384">
        <f>survey_responses[[#This Row],[Tôi thấy Nhà nước đã giải thích rõ ràng, minh bạch về lý do và mục tiêu của việc sửa đổi thuế lần này. - HUMAN-TRU4]]</f>
        <v>5</v>
      </c>
      <c r="BC384" t="str">
        <f t="shared" si="157"/>
        <v>Neutral</v>
      </c>
      <c r="BD384" s="32">
        <f t="shared" si="158"/>
        <v>2</v>
      </c>
      <c r="BE384">
        <f>step3_validation[[#This Row],[AI_OUT1]]</f>
        <v>9</v>
      </c>
      <c r="BF384" t="str">
        <f t="shared" si="159"/>
        <v>Support</v>
      </c>
      <c r="BG384">
        <f>survey_responses[[#This Row],[Sau khi xem xét các quyền lợi và nghĩa vụ, bạn có ủng hộ và tuân thủ chính sách mới hiện nay? - HUMAN-OUT1]]</f>
        <v>3</v>
      </c>
      <c r="BH384" t="str">
        <f t="shared" si="160"/>
        <v>Oppose</v>
      </c>
      <c r="BI384" s="32">
        <f t="shared" si="161"/>
        <v>6</v>
      </c>
    </row>
    <row r="385" spans="1:61" x14ac:dyDescent="0.45">
      <c r="A385" s="30">
        <f>step3_validation[[#This Row],[Persona_ID]]</f>
        <v>384</v>
      </c>
      <c r="B385" s="31">
        <f>step3_validation[[#This Row],[Used_Seed]]</f>
        <v>12728</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5</v>
      </c>
      <c r="R385" t="str">
        <f t="shared" si="135"/>
        <v>Neutral</v>
      </c>
      <c r="S385">
        <f>survey_responses[[#This Row],[Tôi tin rằng với các quy định quản lý thuế hiện nay, hành vi gian lận hoặc trốn thuế sẽ dễ dàng bị phát hiện và xử lý nghiêm. - HUMAN-ENF1]]</f>
        <v>7</v>
      </c>
      <c r="T385" t="str">
        <f t="shared" si="136"/>
        <v>Neutral</v>
      </c>
      <c r="U385" s="32">
        <f t="shared" si="137"/>
        <v>2</v>
      </c>
      <c r="V385">
        <f>step3_validation[[#This Row],[AI_ENF2]]</f>
        <v>6</v>
      </c>
      <c r="W385" t="str">
        <f t="shared" si="138"/>
        <v>Neutral</v>
      </c>
      <c r="X385">
        <f>survey_responses[[#This Row],[Tôi tin rằng Nhà nước, cơ quan thuế có đủ khả năng và công nghệ để phát hiện, xử lý nghiêm các hành vi trốn thuế. - HUMAN-ENF2]]</f>
        <v>7</v>
      </c>
      <c r="Y385" t="str">
        <f t="shared" si="139"/>
        <v>Neutral</v>
      </c>
      <c r="Z385" s="32">
        <f t="shared" si="140"/>
        <v>1</v>
      </c>
      <c r="AA385">
        <f>step3_validation[[#This Row],[AI_FAC1]]</f>
        <v>9</v>
      </c>
      <c r="AB385" t="str">
        <f t="shared" si="141"/>
        <v>Support</v>
      </c>
      <c r="AC385">
        <f>survey_responses[[#This Row],[Các thủ tục khai báo thuế VÀ/HOẶC quy trình làm việc với cơ quan thuế đơn giản, tiện lợi, nhanh chóng hơn so với trước đây. - HUMAN-FAC1]]</f>
        <v>7</v>
      </c>
      <c r="AD385" t="str">
        <f t="shared" si="142"/>
        <v>Neutral</v>
      </c>
      <c r="AE385" s="32">
        <f t="shared" si="143"/>
        <v>2</v>
      </c>
      <c r="AF385">
        <f>step3_validation[[#This Row],[AI_FAC2]]</f>
        <v>8</v>
      </c>
      <c r="AG385" t="str">
        <f t="shared" si="144"/>
        <v>Support</v>
      </c>
      <c r="AH385">
        <f>survey_responses[[#This Row],[So với trước đây, tôi thấy cách tính thuế và các bậc thuế trong phương án mới đơn giản, dễ hiểu và dễ thực hiện hơn. - HUMAN-FAC2]]</f>
        <v>9</v>
      </c>
      <c r="AI385" t="str">
        <f t="shared" si="145"/>
        <v>Support</v>
      </c>
      <c r="AJ385" s="32">
        <f t="shared" si="146"/>
        <v>1</v>
      </c>
      <c r="AK385">
        <f>step3_validation[[#This Row],[AI_TRU1]]</f>
        <v>7</v>
      </c>
      <c r="AL385" t="str">
        <f t="shared" si="147"/>
        <v>Neutral</v>
      </c>
      <c r="AM385">
        <f>survey_responses[[#This Row],[Tôi tin rằng Nhà nước, cơ quan thuế sẽ thực thi chính sách mới một cách khách quan, công tâm và đối xử bình đẳng với mọi người nộp thuế.  - HUMAN-TRU1]]</f>
        <v>8</v>
      </c>
      <c r="AN385" t="str">
        <f t="shared" si="148"/>
        <v>Support</v>
      </c>
      <c r="AO385" s="32">
        <f t="shared" si="149"/>
        <v>1</v>
      </c>
      <c r="AP385">
        <f>step3_validation[[#This Row],[AI_TRU2]]</f>
        <v>9</v>
      </c>
      <c r="AQ385" t="str">
        <f t="shared" si="150"/>
        <v>Support</v>
      </c>
      <c r="AR385">
        <f>survey_responses[[#This Row],[Tôi thấy mức thuế tôi phải đóng theo phương án mới là công bằng (người thu nhập như tôi đóng mức này là hợp lý). - HUMAN-TRU2]]</f>
        <v>10</v>
      </c>
      <c r="AS385" t="str">
        <f t="shared" si="151"/>
        <v>Support</v>
      </c>
      <c r="AT385" s="32">
        <f t="shared" si="152"/>
        <v>1</v>
      </c>
      <c r="AU385">
        <f>step3_validation[[#This Row],[AI_TRU3]]</f>
        <v>8</v>
      </c>
      <c r="AV385" t="str">
        <f t="shared" si="153"/>
        <v>Support</v>
      </c>
      <c r="AW385">
        <f>survey_responses[[#This Row],[Tôi tin tưởng số tiền thuế tôi đóng sẽ được Nhà nước sử dụng hiệu quả để cải thiện dịch vụ công (y tế, đường xá...). - HUMAN-TRU3]]</f>
        <v>8</v>
      </c>
      <c r="AX385" t="str">
        <f t="shared" si="154"/>
        <v>Support</v>
      </c>
      <c r="AY385" s="32">
        <f t="shared" si="155"/>
        <v>0</v>
      </c>
      <c r="AZ385">
        <f>step3_validation[[#This Row],[AI_TRU4]]</f>
        <v>9</v>
      </c>
      <c r="BA385" t="str">
        <f t="shared" si="156"/>
        <v>Support</v>
      </c>
      <c r="BB385">
        <f>survey_responses[[#This Row],[Tôi thấy Nhà nước đã giải thích rõ ràng, minh bạch về lý do và mục tiêu của việc sửa đổi thuế lần này. - HUMAN-TRU4]]</f>
        <v>7</v>
      </c>
      <c r="BC385" t="str">
        <f t="shared" si="157"/>
        <v>Neutral</v>
      </c>
      <c r="BD385" s="32">
        <f t="shared" si="158"/>
        <v>2</v>
      </c>
      <c r="BE385">
        <f>step3_validation[[#This Row],[AI_OUT1]]</f>
        <v>8</v>
      </c>
      <c r="BF385" t="str">
        <f t="shared" si="159"/>
        <v>Support</v>
      </c>
      <c r="BG385">
        <f>survey_responses[[#This Row],[Sau khi xem xét các quyền lợi và nghĩa vụ, bạn có ủng hộ và tuân thủ chính sách mới hiện nay? - HUMAN-OUT1]]</f>
        <v>10</v>
      </c>
      <c r="BH385" t="str">
        <f t="shared" si="160"/>
        <v>Support</v>
      </c>
      <c r="BI385" s="32">
        <f t="shared" si="161"/>
        <v>2</v>
      </c>
    </row>
    <row r="386" spans="1:61" x14ac:dyDescent="0.45">
      <c r="A386" s="30">
        <f>step3_validation[[#This Row],[Persona_ID]]</f>
        <v>385</v>
      </c>
      <c r="B386" s="31">
        <f>step3_validation[[#This Row],[Used_Seed]]</f>
        <v>12729</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37.094163354900736</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8</v>
      </c>
      <c r="R386" t="str">
        <f t="shared" si="135"/>
        <v>Support</v>
      </c>
      <c r="S386">
        <f>survey_responses[[#This Row],[Tôi tin rằng với các quy định quản lý thuế hiện nay, hành vi gian lận hoặc trốn thuế sẽ dễ dàng bị phát hiện và xử lý nghiêm. - HUMAN-ENF1]]</f>
        <v>3</v>
      </c>
      <c r="T386" t="str">
        <f t="shared" si="136"/>
        <v>Oppose</v>
      </c>
      <c r="U386" s="32">
        <f t="shared" si="137"/>
        <v>5</v>
      </c>
      <c r="V386">
        <f>step3_validation[[#This Row],[AI_ENF2]]</f>
        <v>8</v>
      </c>
      <c r="W386" t="str">
        <f t="shared" si="138"/>
        <v>Support</v>
      </c>
      <c r="X386">
        <f>survey_responses[[#This Row],[Tôi tin rằng Nhà nước, cơ quan thuế có đủ khả năng và công nghệ để phát hiện, xử lý nghiêm các hành vi trốn thuế. - HUMAN-ENF2]]</f>
        <v>3</v>
      </c>
      <c r="Y386" t="str">
        <f t="shared" si="139"/>
        <v>Oppose</v>
      </c>
      <c r="Z386" s="32">
        <f t="shared" si="140"/>
        <v>5</v>
      </c>
      <c r="AA386">
        <f>step3_validation[[#This Row],[AI_FAC1]]</f>
        <v>9</v>
      </c>
      <c r="AB386" t="str">
        <f t="shared" si="141"/>
        <v>Support</v>
      </c>
      <c r="AC386">
        <f>survey_responses[[#This Row],[Các thủ tục khai báo thuế VÀ/HOẶC quy trình làm việc với cơ quan thuế đơn giản, tiện lợi, nhanh chóng hơn so với trước đây. - HUMAN-FAC1]]</f>
        <v>4</v>
      </c>
      <c r="AD386" t="str">
        <f t="shared" si="142"/>
        <v>Oppose</v>
      </c>
      <c r="AE386" s="32">
        <f t="shared" si="143"/>
        <v>5</v>
      </c>
      <c r="AF386">
        <f>step3_validation[[#This Row],[AI_FAC2]]</f>
        <v>10</v>
      </c>
      <c r="AG386" t="str">
        <f t="shared" si="144"/>
        <v>Support</v>
      </c>
      <c r="AH386">
        <f>survey_responses[[#This Row],[So với trước đây, tôi thấy cách tính thuế và các bậc thuế trong phương án mới đơn giản, dễ hiểu và dễ thực hiện hơn. - HUMAN-FAC2]]</f>
        <v>6</v>
      </c>
      <c r="AI386" t="str">
        <f t="shared" si="145"/>
        <v>Neutral</v>
      </c>
      <c r="AJ386" s="32">
        <f t="shared" si="146"/>
        <v>4</v>
      </c>
      <c r="AK386">
        <f>step3_validation[[#This Row],[AI_TRU1]]</f>
        <v>9</v>
      </c>
      <c r="AL386" t="str">
        <f t="shared" si="147"/>
        <v>Support</v>
      </c>
      <c r="AM386">
        <f>survey_responses[[#This Row],[Tôi tin rằng Nhà nước, cơ quan thuế sẽ thực thi chính sách mới một cách khách quan, công tâm và đối xử bình đẳng với mọi người nộp thuế.  - HUMAN-TRU1]]</f>
        <v>4</v>
      </c>
      <c r="AN386" t="str">
        <f t="shared" si="148"/>
        <v>Oppose</v>
      </c>
      <c r="AO386" s="32">
        <f t="shared" si="149"/>
        <v>5</v>
      </c>
      <c r="AP386">
        <f>step3_validation[[#This Row],[AI_TRU2]]</f>
        <v>9</v>
      </c>
      <c r="AQ386" t="str">
        <f t="shared" si="150"/>
        <v>Support</v>
      </c>
      <c r="AR386">
        <f>survey_responses[[#This Row],[Tôi thấy mức thuế tôi phải đóng theo phương án mới là công bằng (người thu nhập như tôi đóng mức này là hợp lý). - HUMAN-TRU2]]</f>
        <v>5</v>
      </c>
      <c r="AS386" t="str">
        <f t="shared" si="151"/>
        <v>Neutral</v>
      </c>
      <c r="AT386" s="32">
        <f t="shared" si="152"/>
        <v>4</v>
      </c>
      <c r="AU386">
        <f>step3_validation[[#This Row],[AI_TRU3]]</f>
        <v>8</v>
      </c>
      <c r="AV386" t="str">
        <f t="shared" si="153"/>
        <v>Support</v>
      </c>
      <c r="AW386">
        <f>survey_responses[[#This Row],[Tôi tin tưởng số tiền thuế tôi đóng sẽ được Nhà nước sử dụng hiệu quả để cải thiện dịch vụ công (y tế, đường xá...). - HUMAN-TRU3]]</f>
        <v>4</v>
      </c>
      <c r="AX386" t="str">
        <f t="shared" si="154"/>
        <v>Oppose</v>
      </c>
      <c r="AY386" s="32">
        <f t="shared" si="155"/>
        <v>4</v>
      </c>
      <c r="AZ386">
        <f>step3_validation[[#This Row],[AI_TRU4]]</f>
        <v>9</v>
      </c>
      <c r="BA386" t="str">
        <f t="shared" si="156"/>
        <v>Support</v>
      </c>
      <c r="BB386">
        <f>survey_responses[[#This Row],[Tôi thấy Nhà nước đã giải thích rõ ràng, minh bạch về lý do và mục tiêu của việc sửa đổi thuế lần này. - HUMAN-TRU4]]</f>
        <v>5</v>
      </c>
      <c r="BC386" t="str">
        <f t="shared" si="157"/>
        <v>Neutral</v>
      </c>
      <c r="BD386" s="32">
        <f t="shared" si="158"/>
        <v>4</v>
      </c>
      <c r="BE386">
        <f>step3_validation[[#This Row],[AI_OUT1]]</f>
        <v>10</v>
      </c>
      <c r="BF386" t="str">
        <f t="shared" si="159"/>
        <v>Support</v>
      </c>
      <c r="BG386">
        <f>survey_responses[[#This Row],[Sau khi xem xét các quyền lợi và nghĩa vụ, bạn có ủng hộ và tuân thủ chính sách mới hiện nay? - HUMAN-OUT1]]</f>
        <v>5</v>
      </c>
      <c r="BH386" t="str">
        <f t="shared" si="160"/>
        <v>Neutral</v>
      </c>
      <c r="BI386" s="32">
        <f t="shared" si="161"/>
        <v>5</v>
      </c>
    </row>
    <row r="387" spans="1:61" x14ac:dyDescent="0.45">
      <c r="A387" s="30">
        <f>step3_validation[[#This Row],[Persona_ID]]</f>
        <v>386</v>
      </c>
      <c r="B387" s="31">
        <f>step3_validation[[#This Row],[Used_Seed]]</f>
        <v>12730</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29.255482617924837</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5</v>
      </c>
      <c r="R387" t="str">
        <f t="shared" ref="R387:R404" si="162">IF(AND(Q387&gt;=1,Q387&lt;5),"Oppose",IF(AND(Q387&gt;=5,Q387&lt;8),"Neutral",IF(AND(Q387&gt;=8,Q387&lt;=10),"Support","")))</f>
        <v>Neutral</v>
      </c>
      <c r="S387">
        <f>survey_responses[[#This Row],[Tôi tin rằng với các quy định quản lý thuế hiện nay, hành vi gian lận hoặc trốn thuế sẽ dễ dàng bị phát hiện và xử lý nghiêm. - HUMAN-ENF1]]</f>
        <v>8</v>
      </c>
      <c r="T387" t="str">
        <f t="shared" ref="T387:T404" si="163">IF(AND(S387&gt;=1,S387&lt;5),"Oppose",IF(AND(S387&gt;=5,S387&lt;8),"Neutral",IF(AND(S387&gt;=8,S387&lt;=10),"Support","")))</f>
        <v>Support</v>
      </c>
      <c r="U387" s="32">
        <f t="shared" ref="U387:U404" si="164">ABS(S387-Q387)</f>
        <v>3</v>
      </c>
      <c r="V387">
        <f>step3_validation[[#This Row],[AI_ENF2]]</f>
        <v>6</v>
      </c>
      <c r="W387" t="str">
        <f t="shared" ref="W387:W404" si="165">IF(AND(V387&gt;=1,V387&lt;5),"Oppose",IF(AND(V387&gt;=5,V387&lt;8),"Neutral",IF(AND(V387&gt;=8,V387&lt;=10),"Support","")))</f>
        <v>Neutral</v>
      </c>
      <c r="X387">
        <f>survey_responses[[#This Row],[Tôi tin rằng Nhà nước, cơ quan thuế có đủ khả năng và công nghệ để phát hiện, xử lý nghiêm các hành vi trốn thuế. - HUMAN-ENF2]]</f>
        <v>8</v>
      </c>
      <c r="Y387" t="str">
        <f t="shared" ref="Y387:Y404" si="166">IF(AND(X387&gt;=1,X387&lt;5),"Oppose",IF(AND(X387&gt;=5,X387&lt;8),"Neutral",IF(AND(X387&gt;=8,X387&lt;=10),"Support","")))</f>
        <v>Support</v>
      </c>
      <c r="Z387" s="32">
        <f t="shared" ref="Z387:Z404" si="167">ABS(X387-V387)</f>
        <v>2</v>
      </c>
      <c r="AA387">
        <f>step3_validation[[#This Row],[AI_FAC1]]</f>
        <v>8</v>
      </c>
      <c r="AB387" t="str">
        <f t="shared" ref="AB387:AB404" si="168">IF(AND(AA387&gt;=1,AA387&lt;5),"Oppose",IF(AND(AA387&gt;=5,AA387&lt;8),"Neutral",IF(AND(AA387&gt;=8,AA387&lt;=10),"Support","")))</f>
        <v>Support</v>
      </c>
      <c r="AC387">
        <f>survey_responses[[#This Row],[Các thủ tục khai báo thuế VÀ/HOẶC quy trình làm việc với cơ quan thuế đơn giản, tiện lợi, nhanh chóng hơn so với trước đây. - HUMAN-FAC1]]</f>
        <v>9</v>
      </c>
      <c r="AD387" t="str">
        <f t="shared" ref="AD387:AD404" si="169">IF(AND(AC387&gt;=1,AC387&lt;5),"Oppose",IF(AND(AC387&gt;=5,AC387&lt;8),"Neutral",IF(AND(AC387&gt;=8,AC387&lt;=10),"Support","")))</f>
        <v>Support</v>
      </c>
      <c r="AE387" s="32">
        <f t="shared" ref="AE387:AE404" si="170">ABS(AC387-AA387)</f>
        <v>1</v>
      </c>
      <c r="AF387">
        <f>step3_validation[[#This Row],[AI_FAC2]]</f>
        <v>9</v>
      </c>
      <c r="AG387" t="str">
        <f t="shared" ref="AG387:AG404" si="171">IF(AND(AF387&gt;=1,AF387&lt;5),"Oppose",IF(AND(AF387&gt;=5,AF387&lt;8),"Neutral",IF(AND(AF387&gt;=8,AF387&lt;=10),"Support","")))</f>
        <v>Support</v>
      </c>
      <c r="AH387">
        <f>survey_responses[[#This Row],[So với trước đây, tôi thấy cách tính thuế và các bậc thuế trong phương án mới đơn giản, dễ hiểu và dễ thực hiện hơn. - HUMAN-FAC2]]</f>
        <v>8</v>
      </c>
      <c r="AI387" t="str">
        <f t="shared" ref="AI387:AI404" si="172">IF(AND(AH387&gt;=1,AH387&lt;5),"Oppose",IF(AND(AH387&gt;=5,AH387&lt;8),"Neutral",IF(AND(AH387&gt;=8,AH387&lt;=10),"Support","")))</f>
        <v>Support</v>
      </c>
      <c r="AJ387" s="32">
        <f t="shared" ref="AJ387:AJ404" si="173">ABS(AH387-AF387)</f>
        <v>1</v>
      </c>
      <c r="AK387">
        <f>step3_validation[[#This Row],[AI_TRU1]]</f>
        <v>7</v>
      </c>
      <c r="AL387" t="str">
        <f t="shared" ref="AL387:AL404" si="174">IF(AND(AK387&gt;=1,AK387&lt;5),"Oppose",IF(AND(AK387&gt;=5,AK387&lt;8),"Neutral",IF(AND(AK387&gt;=8,AK387&lt;=10),"Support","")))</f>
        <v>Neutral</v>
      </c>
      <c r="AM387">
        <f>survey_responses[[#This Row],[Tôi tin rằng Nhà nước, cơ quan thuế sẽ thực thi chính sách mới một cách khách quan, công tâm và đối xử bình đẳng với mọi người nộp thuế.  - HUMAN-TRU1]]</f>
        <v>7</v>
      </c>
      <c r="AN387" t="str">
        <f t="shared" ref="AN387:AN404" si="175">IF(AND(AM387&gt;=1,AM387&lt;5),"Oppose",IF(AND(AM387&gt;=5,AM387&lt;8),"Neutral",IF(AND(AM387&gt;=8,AM387&lt;=10),"Support","")))</f>
        <v>Neutral</v>
      </c>
      <c r="AO387" s="32">
        <f t="shared" ref="AO387:AO404" si="176">ABS(AM387-AK387)</f>
        <v>0</v>
      </c>
      <c r="AP387">
        <f>step3_validation[[#This Row],[AI_TRU2]]</f>
        <v>9</v>
      </c>
      <c r="AQ387" t="str">
        <f t="shared" ref="AQ387:AQ404" si="177">IF(AND(AP387&gt;=1,AP387&lt;5),"Oppose",IF(AND(AP387&gt;=5,AP387&lt;8),"Neutral",IF(AND(AP387&gt;=8,AP387&lt;=10),"Support","")))</f>
        <v>Support</v>
      </c>
      <c r="AR387">
        <f>survey_responses[[#This Row],[Tôi thấy mức thuế tôi phải đóng theo phương án mới là công bằng (người thu nhập như tôi đóng mức này là hợp lý). - HUMAN-TRU2]]</f>
        <v>8</v>
      </c>
      <c r="AS387" t="str">
        <f t="shared" ref="AS387:AS404" si="178">IF(AND(AR387&gt;=1,AR387&lt;5),"Oppose",IF(AND(AR387&gt;=5,AR387&lt;8),"Neutral",IF(AND(AR387&gt;=8,AR387&lt;=10),"Support","")))</f>
        <v>Support</v>
      </c>
      <c r="AT387" s="32">
        <f t="shared" ref="AT387:AT404" si="179">ABS(AR387-AP387)</f>
        <v>1</v>
      </c>
      <c r="AU387">
        <f>step3_validation[[#This Row],[AI_TRU3]]</f>
        <v>7</v>
      </c>
      <c r="AV387" t="str">
        <f t="shared" ref="AV387:AV404" si="180">IF(AND(AU387&gt;=1,AU387&lt;5),"Oppose",IF(AND(AU387&gt;=5,AU387&lt;8),"Neutral",IF(AND(AU387&gt;=8,AU387&lt;=10),"Support","")))</f>
        <v>Neutral</v>
      </c>
      <c r="AW387">
        <f>survey_responses[[#This Row],[Tôi tin tưởng số tiền thuế tôi đóng sẽ được Nhà nước sử dụng hiệu quả để cải thiện dịch vụ công (y tế, đường xá...). - HUMAN-TRU3]]</f>
        <v>7</v>
      </c>
      <c r="AX387" t="str">
        <f t="shared" ref="AX387:AX404" si="181">IF(AND(AW387&gt;=1,AW387&lt;5),"Oppose",IF(AND(AW387&gt;=5,AW387&lt;8),"Neutral",IF(AND(AW387&gt;=8,AW387&lt;=10),"Support","")))</f>
        <v>Neutral</v>
      </c>
      <c r="AY387" s="32">
        <f t="shared" ref="AY387:AY404" si="182">ABS(AW387-AU387)</f>
        <v>0</v>
      </c>
      <c r="AZ387">
        <f>step3_validation[[#This Row],[AI_TRU4]]</f>
        <v>8</v>
      </c>
      <c r="BA387" t="str">
        <f t="shared" ref="BA387:BA404" si="183">IF(AND(AZ387&gt;=1,AZ387&lt;5),"Oppose",IF(AND(AZ387&gt;=5,AZ387&lt;8),"Neutral",IF(AND(AZ387&gt;=8,AZ387&lt;=10),"Support","")))</f>
        <v>Support</v>
      </c>
      <c r="BB387">
        <f>survey_responses[[#This Row],[Tôi thấy Nhà nước đã giải thích rõ ràng, minh bạch về lý do và mục tiêu của việc sửa đổi thuế lần này. - HUMAN-TRU4]]</f>
        <v>7</v>
      </c>
      <c r="BC387" t="str">
        <f t="shared" ref="BC387:BC404" si="184">IF(AND(BB387&gt;=1,BB387&lt;5),"Oppose",IF(AND(BB387&gt;=5,BB387&lt;8),"Neutral",IF(AND(BB387&gt;=8,BB387&lt;=10),"Support","")))</f>
        <v>Neutral</v>
      </c>
      <c r="BD387" s="32">
        <f t="shared" ref="BD387:BD404" si="185">ABS(BB387-AZ387)</f>
        <v>1</v>
      </c>
      <c r="BE387">
        <f>step3_validation[[#This Row],[AI_OUT1]]</f>
        <v>7</v>
      </c>
      <c r="BF387" t="str">
        <f t="shared" ref="BF387:BF404" si="186">IF(AND(BE387&gt;=1,BE387&lt;5),"Oppose",IF(AND(BE387&gt;=5,BE387&lt;8),"Neutral",IF(AND(BE387&gt;=8,BE387&lt;=10),"Support","")))</f>
        <v>Neutral</v>
      </c>
      <c r="BG387">
        <f>survey_responses[[#This Row],[Sau khi xem xét các quyền lợi và nghĩa vụ, bạn có ủng hộ và tuân thủ chính sách mới hiện nay? - HUMAN-OUT1]]</f>
        <v>8</v>
      </c>
      <c r="BH387" t="str">
        <f t="shared" ref="BH387:BH404" si="187">IF(AND(BG387&gt;=1,BG387&lt;5),"Oppose",IF(AND(BG387&gt;=5,BG387&lt;8),"Neutral",IF(AND(BG387&gt;=8,BG387&lt;=10),"Support","")))</f>
        <v>Support</v>
      </c>
      <c r="BI387" s="32">
        <f t="shared" ref="BI387:BI404" si="188">ABS(BG387-BE387)</f>
        <v>1</v>
      </c>
    </row>
    <row r="388" spans="1:61" x14ac:dyDescent="0.45">
      <c r="A388" s="30">
        <f>step3_validation[[#This Row],[Persona_ID]]</f>
        <v>387</v>
      </c>
      <c r="B388" s="31">
        <f>step3_validation[[#This Row],[Used_Seed]]</f>
        <v>12731</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55.697175084285476</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t="str">
        <f t="shared" si="162"/>
        <v>Neutral</v>
      </c>
      <c r="S388">
        <f>survey_responses[[#This Row],[Tôi tin rằng với các quy định quản lý thuế hiện nay, hành vi gian lận hoặc trốn thuế sẽ dễ dàng bị phát hiện và xử lý nghiêm. - HUMAN-ENF1]]</f>
        <v>5</v>
      </c>
      <c r="T388" t="str">
        <f t="shared" si="163"/>
        <v>Neutral</v>
      </c>
      <c r="U388" s="32">
        <f t="shared" si="164"/>
        <v>2</v>
      </c>
      <c r="V388">
        <f>step3_validation[[#This Row],[AI_ENF2]]</f>
        <v>6</v>
      </c>
      <c r="W388" t="str">
        <f t="shared" si="165"/>
        <v>Neutral</v>
      </c>
      <c r="X388">
        <f>survey_responses[[#This Row],[Tôi tin rằng Nhà nước, cơ quan thuế có đủ khả năng và công nghệ để phát hiện, xử lý nghiêm các hành vi trốn thuế. - HUMAN-ENF2]]</f>
        <v>5</v>
      </c>
      <c r="Y388" t="str">
        <f t="shared" si="166"/>
        <v>Neutral</v>
      </c>
      <c r="Z388" s="32">
        <f t="shared" si="167"/>
        <v>1</v>
      </c>
      <c r="AA388">
        <f>step3_validation[[#This Row],[AI_FAC1]]</f>
        <v>8</v>
      </c>
      <c r="AB388" t="str">
        <f t="shared" si="168"/>
        <v>Support</v>
      </c>
      <c r="AC388">
        <f>survey_responses[[#This Row],[Các thủ tục khai báo thuế VÀ/HOẶC quy trình làm việc với cơ quan thuế đơn giản, tiện lợi, nhanh chóng hơn so với trước đây. - HUMAN-FAC1]]</f>
        <v>5</v>
      </c>
      <c r="AD388" t="str">
        <f t="shared" si="169"/>
        <v>Neutral</v>
      </c>
      <c r="AE388" s="32">
        <f t="shared" si="170"/>
        <v>3</v>
      </c>
      <c r="AF388">
        <f>step3_validation[[#This Row],[AI_FAC2]]</f>
        <v>9</v>
      </c>
      <c r="AG388" t="str">
        <f t="shared" si="171"/>
        <v>Support</v>
      </c>
      <c r="AH388">
        <f>survey_responses[[#This Row],[So với trước đây, tôi thấy cách tính thuế và các bậc thuế trong phương án mới đơn giản, dễ hiểu và dễ thực hiện hơn. - HUMAN-FAC2]]</f>
        <v>5</v>
      </c>
      <c r="AI388" t="str">
        <f t="shared" si="172"/>
        <v>Neutral</v>
      </c>
      <c r="AJ388" s="32">
        <f t="shared" si="173"/>
        <v>4</v>
      </c>
      <c r="AK388">
        <f>step3_validation[[#This Row],[AI_TRU1]]</f>
        <v>7</v>
      </c>
      <c r="AL388" t="str">
        <f t="shared" si="174"/>
        <v>Neutral</v>
      </c>
      <c r="AM388">
        <f>survey_responses[[#This Row],[Tôi tin rằng Nhà nước, cơ quan thuế sẽ thực thi chính sách mới một cách khách quan, công tâm và đối xử bình đẳng với mọi người nộp thuế.  - HUMAN-TRU1]]</f>
        <v>5</v>
      </c>
      <c r="AN388" t="str">
        <f t="shared" si="175"/>
        <v>Neutral</v>
      </c>
      <c r="AO388" s="32">
        <f t="shared" si="176"/>
        <v>2</v>
      </c>
      <c r="AP388">
        <f>step3_validation[[#This Row],[AI_TRU2]]</f>
        <v>9</v>
      </c>
      <c r="AQ388" t="str">
        <f t="shared" si="177"/>
        <v>Support</v>
      </c>
      <c r="AR388">
        <f>survey_responses[[#This Row],[Tôi thấy mức thuế tôi phải đóng theo phương án mới là công bằng (người thu nhập như tôi đóng mức này là hợp lý). - HUMAN-TRU2]]</f>
        <v>5</v>
      </c>
      <c r="AS388" t="str">
        <f t="shared" si="178"/>
        <v>Neutral</v>
      </c>
      <c r="AT388" s="32">
        <f t="shared" si="179"/>
        <v>4</v>
      </c>
      <c r="AU388">
        <f>step3_validation[[#This Row],[AI_TRU3]]</f>
        <v>7</v>
      </c>
      <c r="AV388" t="str">
        <f t="shared" si="180"/>
        <v>Neutral</v>
      </c>
      <c r="AW388">
        <f>survey_responses[[#This Row],[Tôi tin tưởng số tiền thuế tôi đóng sẽ được Nhà nước sử dụng hiệu quả để cải thiện dịch vụ công (y tế, đường xá...). - HUMAN-TRU3]]</f>
        <v>5</v>
      </c>
      <c r="AX388" t="str">
        <f t="shared" si="181"/>
        <v>Neutral</v>
      </c>
      <c r="AY388" s="32">
        <f t="shared" si="182"/>
        <v>2</v>
      </c>
      <c r="AZ388">
        <f>step3_validation[[#This Row],[AI_TRU4]]</f>
        <v>8</v>
      </c>
      <c r="BA388" t="str">
        <f t="shared" si="183"/>
        <v>Support</v>
      </c>
      <c r="BB388">
        <f>survey_responses[[#This Row],[Tôi thấy Nhà nước đã giải thích rõ ràng, minh bạch về lý do và mục tiêu của việc sửa đổi thuế lần này. - HUMAN-TRU4]]</f>
        <v>5</v>
      </c>
      <c r="BC388" t="str">
        <f t="shared" si="184"/>
        <v>Neutral</v>
      </c>
      <c r="BD388" s="32">
        <f t="shared" si="185"/>
        <v>3</v>
      </c>
      <c r="BE388">
        <f>step3_validation[[#This Row],[AI_OUT1]]</f>
        <v>9</v>
      </c>
      <c r="BF388" t="str">
        <f t="shared" si="186"/>
        <v>Support</v>
      </c>
      <c r="BG388">
        <f>survey_responses[[#This Row],[Sau khi xem xét các quyền lợi và nghĩa vụ, bạn có ủng hộ và tuân thủ chính sách mới hiện nay? - HUMAN-OUT1]]</f>
        <v>5</v>
      </c>
      <c r="BH388" t="str">
        <f t="shared" si="187"/>
        <v>Neutral</v>
      </c>
      <c r="BI388" s="32">
        <f t="shared" si="188"/>
        <v>4</v>
      </c>
    </row>
    <row r="389" spans="1:61" x14ac:dyDescent="0.45">
      <c r="A389" s="30">
        <f>step3_validation[[#This Row],[Persona_ID]]</f>
        <v>388</v>
      </c>
      <c r="B389" s="31">
        <f>step3_validation[[#This Row],[Used_Seed]]</f>
        <v>12732</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15.020886174324577</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9</v>
      </c>
      <c r="R389" t="str">
        <f t="shared" si="162"/>
        <v>Support</v>
      </c>
      <c r="S389">
        <f>survey_responses[[#This Row],[Tôi tin rằng với các quy định quản lý thuế hiện nay, hành vi gian lận hoặc trốn thuế sẽ dễ dàng bị phát hiện và xử lý nghiêm. - HUMAN-ENF1]]</f>
        <v>7</v>
      </c>
      <c r="T389" t="str">
        <f t="shared" si="163"/>
        <v>Neutral</v>
      </c>
      <c r="U389" s="32">
        <f t="shared" si="164"/>
        <v>2</v>
      </c>
      <c r="V389">
        <f>step3_validation[[#This Row],[AI_ENF2]]</f>
        <v>8</v>
      </c>
      <c r="W389" t="str">
        <f t="shared" si="165"/>
        <v>Support</v>
      </c>
      <c r="X389">
        <f>survey_responses[[#This Row],[Tôi tin rằng Nhà nước, cơ quan thuế có đủ khả năng và công nghệ để phát hiện, xử lý nghiêm các hành vi trốn thuế. - HUMAN-ENF2]]</f>
        <v>7</v>
      </c>
      <c r="Y389" t="str">
        <f t="shared" si="166"/>
        <v>Neutral</v>
      </c>
      <c r="Z389" s="32">
        <f t="shared" si="167"/>
        <v>1</v>
      </c>
      <c r="AA389">
        <f>step3_validation[[#This Row],[AI_FAC1]]</f>
        <v>9</v>
      </c>
      <c r="AB389" t="str">
        <f t="shared" si="168"/>
        <v>Support</v>
      </c>
      <c r="AC389">
        <f>survey_responses[[#This Row],[Các thủ tục khai báo thuế VÀ/HOẶC quy trình làm việc với cơ quan thuế đơn giản, tiện lợi, nhanh chóng hơn so với trước đây. - HUMAN-FAC1]]</f>
        <v>5</v>
      </c>
      <c r="AD389" t="str">
        <f t="shared" si="169"/>
        <v>Neutral</v>
      </c>
      <c r="AE389" s="32">
        <f t="shared" si="170"/>
        <v>4</v>
      </c>
      <c r="AF389">
        <f>step3_validation[[#This Row],[AI_FAC2]]</f>
        <v>8</v>
      </c>
      <c r="AG389" t="str">
        <f t="shared" si="171"/>
        <v>Support</v>
      </c>
      <c r="AH389">
        <f>survey_responses[[#This Row],[So với trước đây, tôi thấy cách tính thuế và các bậc thuế trong phương án mới đơn giản, dễ hiểu và dễ thực hiện hơn. - HUMAN-FAC2]]</f>
        <v>8</v>
      </c>
      <c r="AI389" t="str">
        <f t="shared" si="172"/>
        <v>Support</v>
      </c>
      <c r="AJ389" s="32">
        <f t="shared" si="173"/>
        <v>0</v>
      </c>
      <c r="AK389">
        <f>step3_validation[[#This Row],[AI_TRU1]]</f>
        <v>9</v>
      </c>
      <c r="AL389" t="str">
        <f t="shared" si="174"/>
        <v>Support</v>
      </c>
      <c r="AM389">
        <f>survey_responses[[#This Row],[Tôi tin rằng Nhà nước, cơ quan thuế sẽ thực thi chính sách mới một cách khách quan, công tâm và đối xử bình đẳng với mọi người nộp thuế.  - HUMAN-TRU1]]</f>
        <v>6</v>
      </c>
      <c r="AN389" t="str">
        <f t="shared" si="175"/>
        <v>Neutral</v>
      </c>
      <c r="AO389" s="32">
        <f t="shared" si="176"/>
        <v>3</v>
      </c>
      <c r="AP389">
        <f>step3_validation[[#This Row],[AI_TRU2]]</f>
        <v>8</v>
      </c>
      <c r="AQ389" t="str">
        <f t="shared" si="177"/>
        <v>Support</v>
      </c>
      <c r="AR389">
        <f>survey_responses[[#This Row],[Tôi thấy mức thuế tôi phải đóng theo phương án mới là công bằng (người thu nhập như tôi đóng mức này là hợp lý). - HUMAN-TRU2]]</f>
        <v>8</v>
      </c>
      <c r="AS389" t="str">
        <f t="shared" si="178"/>
        <v>Support</v>
      </c>
      <c r="AT389" s="32">
        <f t="shared" si="179"/>
        <v>0</v>
      </c>
      <c r="AU389">
        <f>step3_validation[[#This Row],[AI_TRU3]]</f>
        <v>9</v>
      </c>
      <c r="AV389" t="str">
        <f t="shared" si="180"/>
        <v>Support</v>
      </c>
      <c r="AW389">
        <f>survey_responses[[#This Row],[Tôi tin tưởng số tiền thuế tôi đóng sẽ được Nhà nước sử dụng hiệu quả để cải thiện dịch vụ công (y tế, đường xá...). - HUMAN-TRU3]]</f>
        <v>5</v>
      </c>
      <c r="AX389" t="str">
        <f t="shared" si="181"/>
        <v>Neutral</v>
      </c>
      <c r="AY389" s="32">
        <f t="shared" si="182"/>
        <v>4</v>
      </c>
      <c r="AZ389">
        <f>step3_validation[[#This Row],[AI_TRU4]]</f>
        <v>8</v>
      </c>
      <c r="BA389" t="str">
        <f t="shared" si="183"/>
        <v>Support</v>
      </c>
      <c r="BB389">
        <f>survey_responses[[#This Row],[Tôi thấy Nhà nước đã giải thích rõ ràng, minh bạch về lý do và mục tiêu của việc sửa đổi thuế lần này. - HUMAN-TRU4]]</f>
        <v>5</v>
      </c>
      <c r="BC389" t="str">
        <f t="shared" si="184"/>
        <v>Neutral</v>
      </c>
      <c r="BD389" s="32">
        <f t="shared" si="185"/>
        <v>3</v>
      </c>
      <c r="BE389">
        <f>step3_validation[[#This Row],[AI_OUT1]]</f>
        <v>9</v>
      </c>
      <c r="BF389" t="str">
        <f t="shared" si="186"/>
        <v>Support</v>
      </c>
      <c r="BG389">
        <f>survey_responses[[#This Row],[Sau khi xem xét các quyền lợi và nghĩa vụ, bạn có ủng hộ và tuân thủ chính sách mới hiện nay? - HUMAN-OUT1]]</f>
        <v>8</v>
      </c>
      <c r="BH389" t="str">
        <f t="shared" si="187"/>
        <v>Support</v>
      </c>
      <c r="BI389" s="32">
        <f t="shared" si="188"/>
        <v>1</v>
      </c>
    </row>
    <row r="390" spans="1:61" x14ac:dyDescent="0.45">
      <c r="A390" s="30">
        <f>step3_validation[[#This Row],[Persona_ID]]</f>
        <v>389</v>
      </c>
      <c r="B390" s="31">
        <f>step3_validation[[#This Row],[Used_Seed]]</f>
        <v>12733</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21.98653578409694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6</v>
      </c>
      <c r="R390" t="str">
        <f t="shared" si="162"/>
        <v>Neutral</v>
      </c>
      <c r="S390">
        <f>survey_responses[[#This Row],[Tôi tin rằng với các quy định quản lý thuế hiện nay, hành vi gian lận hoặc trốn thuế sẽ dễ dàng bị phát hiện và xử lý nghiêm. - HUMAN-ENF1]]</f>
        <v>6</v>
      </c>
      <c r="T390" t="str">
        <f t="shared" si="163"/>
        <v>Neutral</v>
      </c>
      <c r="U390" s="32">
        <f t="shared" si="164"/>
        <v>0</v>
      </c>
      <c r="V390">
        <f>step3_validation[[#This Row],[AI_ENF2]]</f>
        <v>7</v>
      </c>
      <c r="W390" t="str">
        <f t="shared" si="165"/>
        <v>Neutral</v>
      </c>
      <c r="X390">
        <f>survey_responses[[#This Row],[Tôi tin rằng Nhà nước, cơ quan thuế có đủ khả năng và công nghệ để phát hiện, xử lý nghiêm các hành vi trốn thuế. - HUMAN-ENF2]]</f>
        <v>8</v>
      </c>
      <c r="Y390" t="str">
        <f t="shared" si="166"/>
        <v>Support</v>
      </c>
      <c r="Z390" s="32">
        <f t="shared" si="167"/>
        <v>1</v>
      </c>
      <c r="AA390">
        <f>step3_validation[[#This Row],[AI_FAC1]]</f>
        <v>8</v>
      </c>
      <c r="AB390" t="str">
        <f t="shared" si="168"/>
        <v>Support</v>
      </c>
      <c r="AC390">
        <f>survey_responses[[#This Row],[Các thủ tục khai báo thuế VÀ/HOẶC quy trình làm việc với cơ quan thuế đơn giản, tiện lợi, nhanh chóng hơn so với trước đây. - HUMAN-FAC1]]</f>
        <v>7</v>
      </c>
      <c r="AD390" t="str">
        <f t="shared" si="169"/>
        <v>Neutral</v>
      </c>
      <c r="AE390" s="32">
        <f t="shared" si="170"/>
        <v>1</v>
      </c>
      <c r="AF390">
        <f>step3_validation[[#This Row],[AI_FAC2]]</f>
        <v>9</v>
      </c>
      <c r="AG390" t="str">
        <f t="shared" si="171"/>
        <v>Support</v>
      </c>
      <c r="AH390">
        <f>survey_responses[[#This Row],[So với trước đây, tôi thấy cách tính thuế và các bậc thuế trong phương án mới đơn giản, dễ hiểu và dễ thực hiện hơn. - HUMAN-FAC2]]</f>
        <v>8</v>
      </c>
      <c r="AI390" t="str">
        <f t="shared" si="172"/>
        <v>Support</v>
      </c>
      <c r="AJ390" s="32">
        <f t="shared" si="173"/>
        <v>1</v>
      </c>
      <c r="AK390">
        <f>step3_validation[[#This Row],[AI_TRU1]]</f>
        <v>7</v>
      </c>
      <c r="AL390" t="str">
        <f t="shared" si="174"/>
        <v>Neutral</v>
      </c>
      <c r="AM390">
        <f>survey_responses[[#This Row],[Tôi tin rằng Nhà nước, cơ quan thuế sẽ thực thi chính sách mới một cách khách quan, công tâm và đối xử bình đẳng với mọi người nộp thuế.  - HUMAN-TRU1]]</f>
        <v>6</v>
      </c>
      <c r="AN390" t="str">
        <f t="shared" si="175"/>
        <v>Neutral</v>
      </c>
      <c r="AO390" s="32">
        <f t="shared" si="176"/>
        <v>1</v>
      </c>
      <c r="AP390">
        <f>step3_validation[[#This Row],[AI_TRU2]]</f>
        <v>8</v>
      </c>
      <c r="AQ390" t="str">
        <f t="shared" si="177"/>
        <v>Support</v>
      </c>
      <c r="AR390">
        <f>survey_responses[[#This Row],[Tôi thấy mức thuế tôi phải đóng theo phương án mới là công bằng (người thu nhập như tôi đóng mức này là hợp lý). - HUMAN-TRU2]]</f>
        <v>8</v>
      </c>
      <c r="AS390" t="str">
        <f t="shared" si="178"/>
        <v>Support</v>
      </c>
      <c r="AT390" s="32">
        <f t="shared" si="179"/>
        <v>0</v>
      </c>
      <c r="AU390">
        <f>step3_validation[[#This Row],[AI_TRU3]]</f>
        <v>7</v>
      </c>
      <c r="AV390" t="str">
        <f t="shared" si="180"/>
        <v>Neutral</v>
      </c>
      <c r="AW390">
        <f>survey_responses[[#This Row],[Tôi tin tưởng số tiền thuế tôi đóng sẽ được Nhà nước sử dụng hiệu quả để cải thiện dịch vụ công (y tế, đường xá...). - HUMAN-TRU3]]</f>
        <v>5</v>
      </c>
      <c r="AX390" t="str">
        <f t="shared" si="181"/>
        <v>Neutral</v>
      </c>
      <c r="AY390" s="32">
        <f t="shared" si="182"/>
        <v>2</v>
      </c>
      <c r="AZ390">
        <f>step3_validation[[#This Row],[AI_TRU4]]</f>
        <v>6</v>
      </c>
      <c r="BA390" t="str">
        <f t="shared" si="183"/>
        <v>Neutral</v>
      </c>
      <c r="BB390">
        <f>survey_responses[[#This Row],[Tôi thấy Nhà nước đã giải thích rõ ràng, minh bạch về lý do và mục tiêu của việc sửa đổi thuế lần này. - HUMAN-TRU4]]</f>
        <v>5</v>
      </c>
      <c r="BC390" t="str">
        <f t="shared" si="184"/>
        <v>Neutral</v>
      </c>
      <c r="BD390" s="32">
        <f t="shared" si="185"/>
        <v>1</v>
      </c>
      <c r="BE390">
        <f>step3_validation[[#This Row],[AI_OUT1]]</f>
        <v>9</v>
      </c>
      <c r="BF390" t="str">
        <f t="shared" si="186"/>
        <v>Support</v>
      </c>
      <c r="BG390">
        <f>survey_responses[[#This Row],[Sau khi xem xét các quyền lợi và nghĩa vụ, bạn có ủng hộ và tuân thủ chính sách mới hiện nay? - HUMAN-OUT1]]</f>
        <v>8</v>
      </c>
      <c r="BH390" t="str">
        <f t="shared" si="187"/>
        <v>Support</v>
      </c>
      <c r="BI390" s="32">
        <f t="shared" si="188"/>
        <v>1</v>
      </c>
    </row>
    <row r="391" spans="1:61" x14ac:dyDescent="0.45">
      <c r="A391" s="30">
        <f>step3_validation[[#This Row],[Persona_ID]]</f>
        <v>390</v>
      </c>
      <c r="B391" s="31">
        <f>step3_validation[[#This Row],[Used_Seed]]</f>
        <v>12734</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35.315906845948973</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5</v>
      </c>
      <c r="R391" t="str">
        <f t="shared" si="162"/>
        <v>Neutral</v>
      </c>
      <c r="S391">
        <f>survey_responses[[#This Row],[Tôi tin rằng với các quy định quản lý thuế hiện nay, hành vi gian lận hoặc trốn thuế sẽ dễ dàng bị phát hiện và xử lý nghiêm. - HUMAN-ENF1]]</f>
        <v>10</v>
      </c>
      <c r="T391" t="str">
        <f t="shared" si="163"/>
        <v>Support</v>
      </c>
      <c r="U391" s="32">
        <f t="shared" si="164"/>
        <v>5</v>
      </c>
      <c r="V391">
        <f>step3_validation[[#This Row],[AI_ENF2]]</f>
        <v>7</v>
      </c>
      <c r="W391" t="str">
        <f t="shared" si="165"/>
        <v>Neutral</v>
      </c>
      <c r="X391">
        <f>survey_responses[[#This Row],[Tôi tin rằng Nhà nước, cơ quan thuế có đủ khả năng và công nghệ để phát hiện, xử lý nghiêm các hành vi trốn thuế. - HUMAN-ENF2]]</f>
        <v>10</v>
      </c>
      <c r="Y391" t="str">
        <f t="shared" si="166"/>
        <v>Support</v>
      </c>
      <c r="Z391" s="32">
        <f t="shared" si="167"/>
        <v>3</v>
      </c>
      <c r="AA391">
        <f>step3_validation[[#This Row],[AI_FAC1]]</f>
        <v>8</v>
      </c>
      <c r="AB391" t="str">
        <f t="shared" si="168"/>
        <v>Support</v>
      </c>
      <c r="AC391">
        <f>survey_responses[[#This Row],[Các thủ tục khai báo thuế VÀ/HOẶC quy trình làm việc với cơ quan thuế đơn giản, tiện lợi, nhanh chóng hơn so với trước đây. - HUMAN-FAC1]]</f>
        <v>5</v>
      </c>
      <c r="AD391" t="str">
        <f t="shared" si="169"/>
        <v>Neutral</v>
      </c>
      <c r="AE391" s="32">
        <f t="shared" si="170"/>
        <v>3</v>
      </c>
      <c r="AF391">
        <f>step3_validation[[#This Row],[AI_FAC2]]</f>
        <v>9</v>
      </c>
      <c r="AG391" t="str">
        <f t="shared" si="171"/>
        <v>Support</v>
      </c>
      <c r="AH391">
        <f>survey_responses[[#This Row],[So với trước đây, tôi thấy cách tính thuế và các bậc thuế trong phương án mới đơn giản, dễ hiểu và dễ thực hiện hơn. - HUMAN-FAC2]]</f>
        <v>9</v>
      </c>
      <c r="AI391" t="str">
        <f t="shared" si="172"/>
        <v>Support</v>
      </c>
      <c r="AJ391" s="32">
        <f t="shared" si="173"/>
        <v>0</v>
      </c>
      <c r="AK391">
        <f>step3_validation[[#This Row],[AI_TRU1]]</f>
        <v>6</v>
      </c>
      <c r="AL391" t="str">
        <f t="shared" si="174"/>
        <v>Neutral</v>
      </c>
      <c r="AM391">
        <f>survey_responses[[#This Row],[Tôi tin rằng Nhà nước, cơ quan thuế sẽ thực thi chính sách mới một cách khách quan, công tâm và đối xử bình đẳng với mọi người nộp thuế.  - HUMAN-TRU1]]</f>
        <v>7</v>
      </c>
      <c r="AN391" t="str">
        <f t="shared" si="175"/>
        <v>Neutral</v>
      </c>
      <c r="AO391" s="32">
        <f t="shared" si="176"/>
        <v>1</v>
      </c>
      <c r="AP391">
        <f>step3_validation[[#This Row],[AI_TRU2]]</f>
        <v>8</v>
      </c>
      <c r="AQ391" t="str">
        <f t="shared" si="177"/>
        <v>Support</v>
      </c>
      <c r="AR391">
        <f>survey_responses[[#This Row],[Tôi thấy mức thuế tôi phải đóng theo phương án mới là công bằng (người thu nhập như tôi đóng mức này là hợp lý). - HUMAN-TRU2]]</f>
        <v>8</v>
      </c>
      <c r="AS391" t="str">
        <f t="shared" si="178"/>
        <v>Support</v>
      </c>
      <c r="AT391" s="32">
        <f t="shared" si="179"/>
        <v>0</v>
      </c>
      <c r="AU391">
        <f>step3_validation[[#This Row],[AI_TRU3]]</f>
        <v>7</v>
      </c>
      <c r="AV391" t="str">
        <f t="shared" si="180"/>
        <v>Neutral</v>
      </c>
      <c r="AW391">
        <f>survey_responses[[#This Row],[Tôi tin tưởng số tiền thuế tôi đóng sẽ được Nhà nước sử dụng hiệu quả để cải thiện dịch vụ công (y tế, đường xá...). - HUMAN-TRU3]]</f>
        <v>5</v>
      </c>
      <c r="AX391" t="str">
        <f t="shared" si="181"/>
        <v>Neutral</v>
      </c>
      <c r="AY391" s="32">
        <f t="shared" si="182"/>
        <v>2</v>
      </c>
      <c r="AZ391">
        <f>step3_validation[[#This Row],[AI_TRU4]]</f>
        <v>6</v>
      </c>
      <c r="BA391" t="str">
        <f t="shared" si="183"/>
        <v>Neutral</v>
      </c>
      <c r="BB391">
        <f>survey_responses[[#This Row],[Tôi thấy Nhà nước đã giải thích rõ ràng, minh bạch về lý do và mục tiêu của việc sửa đổi thuế lần này. - HUMAN-TRU4]]</f>
        <v>5</v>
      </c>
      <c r="BC391" t="str">
        <f t="shared" si="184"/>
        <v>Neutral</v>
      </c>
      <c r="BD391" s="32">
        <f t="shared" si="185"/>
        <v>1</v>
      </c>
      <c r="BE391">
        <f>step3_validation[[#This Row],[AI_OUT1]]</f>
        <v>9</v>
      </c>
      <c r="BF391" t="str">
        <f t="shared" si="186"/>
        <v>Support</v>
      </c>
      <c r="BG391">
        <f>survey_responses[[#This Row],[Sau khi xem xét các quyền lợi và nghĩa vụ, bạn có ủng hộ và tuân thủ chính sách mới hiện nay? - HUMAN-OUT1]]</f>
        <v>8</v>
      </c>
      <c r="BH391" t="str">
        <f t="shared" si="187"/>
        <v>Support</v>
      </c>
      <c r="BI391" s="32">
        <f t="shared" si="188"/>
        <v>1</v>
      </c>
    </row>
    <row r="392" spans="1:61" x14ac:dyDescent="0.45">
      <c r="A392" s="30">
        <f>step3_validation[[#This Row],[Persona_ID]]</f>
        <v>391</v>
      </c>
      <c r="B392" s="31">
        <f>step3_validation[[#This Row],[Used_Seed]]</f>
        <v>12735</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13.913131000062391</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6</v>
      </c>
      <c r="R392" t="str">
        <f t="shared" si="162"/>
        <v>Neutral</v>
      </c>
      <c r="S392">
        <f>survey_responses[[#This Row],[Tôi tin rằng với các quy định quản lý thuế hiện nay, hành vi gian lận hoặc trốn thuế sẽ dễ dàng bị phát hiện và xử lý nghiêm. - HUMAN-ENF1]]</f>
        <v>4</v>
      </c>
      <c r="T392" t="str">
        <f t="shared" si="163"/>
        <v>Oppose</v>
      </c>
      <c r="U392" s="32">
        <f t="shared" si="164"/>
        <v>2</v>
      </c>
      <c r="V392">
        <f>step3_validation[[#This Row],[AI_ENF2]]</f>
        <v>6</v>
      </c>
      <c r="W392" t="str">
        <f t="shared" si="165"/>
        <v>Neutral</v>
      </c>
      <c r="X392">
        <f>survey_responses[[#This Row],[Tôi tin rằng Nhà nước, cơ quan thuế có đủ khả năng và công nghệ để phát hiện, xử lý nghiêm các hành vi trốn thuế. - HUMAN-ENF2]]</f>
        <v>5</v>
      </c>
      <c r="Y392" t="str">
        <f t="shared" si="166"/>
        <v>Neutral</v>
      </c>
      <c r="Z392" s="32">
        <f t="shared" si="167"/>
        <v>1</v>
      </c>
      <c r="AA392">
        <f>step3_validation[[#This Row],[AI_FAC1]]</f>
        <v>7</v>
      </c>
      <c r="AB392" t="str">
        <f t="shared" si="168"/>
        <v>Neutral</v>
      </c>
      <c r="AC392">
        <f>survey_responses[[#This Row],[Các thủ tục khai báo thuế VÀ/HOẶC quy trình làm việc với cơ quan thuế đơn giản, tiện lợi, nhanh chóng hơn so với trước đây. - HUMAN-FAC1]]</f>
        <v>7</v>
      </c>
      <c r="AD392" t="str">
        <f t="shared" si="169"/>
        <v>Neutral</v>
      </c>
      <c r="AE392" s="32">
        <f t="shared" si="170"/>
        <v>0</v>
      </c>
      <c r="AF392">
        <f>step3_validation[[#This Row],[AI_FAC2]]</f>
        <v>8</v>
      </c>
      <c r="AG392" t="str">
        <f t="shared" si="171"/>
        <v>Support</v>
      </c>
      <c r="AH392">
        <f>survey_responses[[#This Row],[So với trước đây, tôi thấy cách tính thuế và các bậc thuế trong phương án mới đơn giản, dễ hiểu và dễ thực hiện hơn. - HUMAN-FAC2]]</f>
        <v>7</v>
      </c>
      <c r="AI392" t="str">
        <f t="shared" si="172"/>
        <v>Neutral</v>
      </c>
      <c r="AJ392" s="32">
        <f t="shared" si="173"/>
        <v>1</v>
      </c>
      <c r="AK392">
        <f>step3_validation[[#This Row],[AI_TRU1]]</f>
        <v>7</v>
      </c>
      <c r="AL392" t="str">
        <f t="shared" si="174"/>
        <v>Neutral</v>
      </c>
      <c r="AM392">
        <f>survey_responses[[#This Row],[Tôi tin rằng Nhà nước, cơ quan thuế sẽ thực thi chính sách mới một cách khách quan, công tâm và đối xử bình đẳng với mọi người nộp thuế.  - HUMAN-TRU1]]</f>
        <v>5</v>
      </c>
      <c r="AN392" t="str">
        <f t="shared" si="175"/>
        <v>Neutral</v>
      </c>
      <c r="AO392" s="32">
        <f t="shared" si="176"/>
        <v>2</v>
      </c>
      <c r="AP392">
        <f>step3_validation[[#This Row],[AI_TRU2]]</f>
        <v>9</v>
      </c>
      <c r="AQ392" t="str">
        <f t="shared" si="177"/>
        <v>Support</v>
      </c>
      <c r="AR392">
        <f>survey_responses[[#This Row],[Tôi thấy mức thuế tôi phải đóng theo phương án mới là công bằng (người thu nhập như tôi đóng mức này là hợp lý). - HUMAN-TRU2]]</f>
        <v>7</v>
      </c>
      <c r="AS392" t="str">
        <f t="shared" si="178"/>
        <v>Neutral</v>
      </c>
      <c r="AT392" s="32">
        <f t="shared" si="179"/>
        <v>2</v>
      </c>
      <c r="AU392">
        <f>step3_validation[[#This Row],[AI_TRU3]]</f>
        <v>7</v>
      </c>
      <c r="AV392" t="str">
        <f t="shared" si="180"/>
        <v>Neutral</v>
      </c>
      <c r="AW392">
        <f>survey_responses[[#This Row],[Tôi tin tưởng số tiền thuế tôi đóng sẽ được Nhà nước sử dụng hiệu quả để cải thiện dịch vụ công (y tế, đường xá...). - HUMAN-TRU3]]</f>
        <v>5</v>
      </c>
      <c r="AX392" t="str">
        <f t="shared" si="181"/>
        <v>Neutral</v>
      </c>
      <c r="AY392" s="32">
        <f t="shared" si="182"/>
        <v>2</v>
      </c>
      <c r="AZ392">
        <f>step3_validation[[#This Row],[AI_TRU4]]</f>
        <v>8</v>
      </c>
      <c r="BA392" t="str">
        <f t="shared" si="183"/>
        <v>Support</v>
      </c>
      <c r="BB392">
        <f>survey_responses[[#This Row],[Tôi thấy Nhà nước đã giải thích rõ ràng, minh bạch về lý do và mục tiêu của việc sửa đổi thuế lần này. - HUMAN-TRU4]]</f>
        <v>5</v>
      </c>
      <c r="BC392" t="str">
        <f t="shared" si="184"/>
        <v>Neutral</v>
      </c>
      <c r="BD392" s="32">
        <f t="shared" si="185"/>
        <v>3</v>
      </c>
      <c r="BE392">
        <f>step3_validation[[#This Row],[AI_OUT1]]</f>
        <v>9</v>
      </c>
      <c r="BF392" t="str">
        <f t="shared" si="186"/>
        <v>Support</v>
      </c>
      <c r="BG392">
        <f>survey_responses[[#This Row],[Sau khi xem xét các quyền lợi và nghĩa vụ, bạn có ủng hộ và tuân thủ chính sách mới hiện nay? - HUMAN-OUT1]]</f>
        <v>7</v>
      </c>
      <c r="BH392" t="str">
        <f t="shared" si="187"/>
        <v>Neutral</v>
      </c>
      <c r="BI392" s="32">
        <f t="shared" si="188"/>
        <v>2</v>
      </c>
    </row>
    <row r="393" spans="1:61" x14ac:dyDescent="0.45">
      <c r="A393" s="30">
        <f>step3_validation[[#This Row],[Persona_ID]]</f>
        <v>392</v>
      </c>
      <c r="B393" s="31">
        <f>step3_validation[[#This Row],[Used_Seed]]</f>
        <v>12736</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134.44292884597559</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9</v>
      </c>
      <c r="R393" t="str">
        <f t="shared" si="162"/>
        <v>Support</v>
      </c>
      <c r="S393">
        <f>survey_responses[[#This Row],[Tôi tin rằng với các quy định quản lý thuế hiện nay, hành vi gian lận hoặc trốn thuế sẽ dễ dàng bị phát hiện và xử lý nghiêm. - HUMAN-ENF1]]</f>
        <v>2</v>
      </c>
      <c r="T393" t="str">
        <f t="shared" si="163"/>
        <v>Oppose</v>
      </c>
      <c r="U393" s="32">
        <f t="shared" si="164"/>
        <v>7</v>
      </c>
      <c r="V393">
        <f>step3_validation[[#This Row],[AI_ENF2]]</f>
        <v>8</v>
      </c>
      <c r="W393" t="str">
        <f t="shared" si="165"/>
        <v>Support</v>
      </c>
      <c r="X393">
        <f>survey_responses[[#This Row],[Tôi tin rằng Nhà nước, cơ quan thuế có đủ khả năng và công nghệ để phát hiện, xử lý nghiêm các hành vi trốn thuế. - HUMAN-ENF2]]</f>
        <v>3</v>
      </c>
      <c r="Y393" t="str">
        <f t="shared" si="166"/>
        <v>Oppose</v>
      </c>
      <c r="Z393" s="32">
        <f t="shared" si="167"/>
        <v>5</v>
      </c>
      <c r="AA393">
        <f>step3_validation[[#This Row],[AI_FAC1]]</f>
        <v>9</v>
      </c>
      <c r="AB393" t="str">
        <f t="shared" si="168"/>
        <v>Support</v>
      </c>
      <c r="AC393">
        <f>survey_responses[[#This Row],[Các thủ tục khai báo thuế VÀ/HOẶC quy trình làm việc với cơ quan thuế đơn giản, tiện lợi, nhanh chóng hơn so với trước đây. - HUMAN-FAC1]]</f>
        <v>3</v>
      </c>
      <c r="AD393" t="str">
        <f t="shared" si="169"/>
        <v>Oppose</v>
      </c>
      <c r="AE393" s="32">
        <f t="shared" si="170"/>
        <v>6</v>
      </c>
      <c r="AF393">
        <f>step3_validation[[#This Row],[AI_FAC2]]</f>
        <v>8</v>
      </c>
      <c r="AG393" t="str">
        <f t="shared" si="171"/>
        <v>Support</v>
      </c>
      <c r="AH393">
        <f>survey_responses[[#This Row],[So với trước đây, tôi thấy cách tính thuế và các bậc thuế trong phương án mới đơn giản, dễ hiểu và dễ thực hiện hơn. - HUMAN-FAC2]]</f>
        <v>6</v>
      </c>
      <c r="AI393" t="str">
        <f t="shared" si="172"/>
        <v>Neutral</v>
      </c>
      <c r="AJ393" s="32">
        <f t="shared" si="173"/>
        <v>2</v>
      </c>
      <c r="AK393">
        <f>step3_validation[[#This Row],[AI_TRU1]]</f>
        <v>9</v>
      </c>
      <c r="AL393" t="str">
        <f t="shared" si="174"/>
        <v>Support</v>
      </c>
      <c r="AM393">
        <f>survey_responses[[#This Row],[Tôi tin rằng Nhà nước, cơ quan thuế sẽ thực thi chính sách mới một cách khách quan, công tâm và đối xử bình đẳng với mọi người nộp thuế.  - HUMAN-TRU1]]</f>
        <v>5</v>
      </c>
      <c r="AN393" t="str">
        <f t="shared" si="175"/>
        <v>Neutral</v>
      </c>
      <c r="AO393" s="32">
        <f t="shared" si="176"/>
        <v>4</v>
      </c>
      <c r="AP393">
        <f>step3_validation[[#This Row],[AI_TRU2]]</f>
        <v>8</v>
      </c>
      <c r="AQ393" t="str">
        <f t="shared" si="177"/>
        <v>Support</v>
      </c>
      <c r="AR393">
        <f>survey_responses[[#This Row],[Tôi thấy mức thuế tôi phải đóng theo phương án mới là công bằng (người thu nhập như tôi đóng mức này là hợp lý). - HUMAN-TRU2]]</f>
        <v>5</v>
      </c>
      <c r="AS393" t="str">
        <f t="shared" si="178"/>
        <v>Neutral</v>
      </c>
      <c r="AT393" s="32">
        <f t="shared" si="179"/>
        <v>3</v>
      </c>
      <c r="AU393">
        <f>step3_validation[[#This Row],[AI_TRU3]]</f>
        <v>9</v>
      </c>
      <c r="AV393" t="str">
        <f t="shared" si="180"/>
        <v>Support</v>
      </c>
      <c r="AW393">
        <f>survey_responses[[#This Row],[Tôi tin tưởng số tiền thuế tôi đóng sẽ được Nhà nước sử dụng hiệu quả để cải thiện dịch vụ công (y tế, đường xá...). - HUMAN-TRU3]]</f>
        <v>5</v>
      </c>
      <c r="AX393" t="str">
        <f t="shared" si="181"/>
        <v>Neutral</v>
      </c>
      <c r="AY393" s="32">
        <f t="shared" si="182"/>
        <v>4</v>
      </c>
      <c r="AZ393">
        <f>step3_validation[[#This Row],[AI_TRU4]]</f>
        <v>8</v>
      </c>
      <c r="BA393" t="str">
        <f t="shared" si="183"/>
        <v>Support</v>
      </c>
      <c r="BB393">
        <f>survey_responses[[#This Row],[Tôi thấy Nhà nước đã giải thích rõ ràng, minh bạch về lý do và mục tiêu của việc sửa đổi thuế lần này. - HUMAN-TRU4]]</f>
        <v>5</v>
      </c>
      <c r="BC393" t="str">
        <f t="shared" si="184"/>
        <v>Neutral</v>
      </c>
      <c r="BD393" s="32">
        <f t="shared" si="185"/>
        <v>3</v>
      </c>
      <c r="BE393">
        <f>step3_validation[[#This Row],[AI_OUT1]]</f>
        <v>9</v>
      </c>
      <c r="BF393" t="str">
        <f t="shared" si="186"/>
        <v>Support</v>
      </c>
      <c r="BG393">
        <f>survey_responses[[#This Row],[Sau khi xem xét các quyền lợi và nghĩa vụ, bạn có ủng hộ và tuân thủ chính sách mới hiện nay? - HUMAN-OUT1]]</f>
        <v>5</v>
      </c>
      <c r="BH393" t="str">
        <f t="shared" si="187"/>
        <v>Neutral</v>
      </c>
      <c r="BI393" s="32">
        <f t="shared" si="188"/>
        <v>4</v>
      </c>
    </row>
    <row r="394" spans="1:61" x14ac:dyDescent="0.45">
      <c r="A394" s="30">
        <f>step3_validation[[#This Row],[Persona_ID]]</f>
        <v>393</v>
      </c>
      <c r="B394" s="31">
        <f>step3_validation[[#This Row],[Used_Seed]]</f>
        <v>12737</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24.670203317883299</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5</v>
      </c>
      <c r="R394" t="str">
        <f t="shared" si="162"/>
        <v>Neutral</v>
      </c>
      <c r="S394">
        <f>survey_responses[[#This Row],[Tôi tin rằng với các quy định quản lý thuế hiện nay, hành vi gian lận hoặc trốn thuế sẽ dễ dàng bị phát hiện và xử lý nghiêm. - HUMAN-ENF1]]</f>
        <v>7</v>
      </c>
      <c r="T394" t="str">
        <f t="shared" si="163"/>
        <v>Neutral</v>
      </c>
      <c r="U394" s="32">
        <f t="shared" si="164"/>
        <v>2</v>
      </c>
      <c r="V394">
        <f>step3_validation[[#This Row],[AI_ENF2]]</f>
        <v>7</v>
      </c>
      <c r="W394" t="str">
        <f t="shared" si="165"/>
        <v>Neutral</v>
      </c>
      <c r="X394">
        <f>survey_responses[[#This Row],[Tôi tin rằng Nhà nước, cơ quan thuế có đủ khả năng và công nghệ để phát hiện, xử lý nghiêm các hành vi trốn thuế. - HUMAN-ENF2]]</f>
        <v>7</v>
      </c>
      <c r="Y394" t="str">
        <f t="shared" si="166"/>
        <v>Neutral</v>
      </c>
      <c r="Z394" s="32">
        <f t="shared" si="167"/>
        <v>0</v>
      </c>
      <c r="AA394">
        <f>step3_validation[[#This Row],[AI_FAC1]]</f>
        <v>8</v>
      </c>
      <c r="AB394" t="str">
        <f t="shared" si="168"/>
        <v>Support</v>
      </c>
      <c r="AC394">
        <f>survey_responses[[#This Row],[Các thủ tục khai báo thuế VÀ/HOẶC quy trình làm việc với cơ quan thuế đơn giản, tiện lợi, nhanh chóng hơn so với trước đây. - HUMAN-FAC1]]</f>
        <v>5</v>
      </c>
      <c r="AD394" t="str">
        <f t="shared" si="169"/>
        <v>Neutral</v>
      </c>
      <c r="AE394" s="32">
        <f t="shared" si="170"/>
        <v>3</v>
      </c>
      <c r="AF394">
        <f>step3_validation[[#This Row],[AI_FAC2]]</f>
        <v>9</v>
      </c>
      <c r="AG394" t="str">
        <f t="shared" si="171"/>
        <v>Support</v>
      </c>
      <c r="AH394">
        <f>survey_responses[[#This Row],[So với trước đây, tôi thấy cách tính thuế và các bậc thuế trong phương án mới đơn giản, dễ hiểu và dễ thực hiện hơn. - HUMAN-FAC2]]</f>
        <v>8</v>
      </c>
      <c r="AI394" t="str">
        <f t="shared" si="172"/>
        <v>Support</v>
      </c>
      <c r="AJ394" s="32">
        <f t="shared" si="173"/>
        <v>1</v>
      </c>
      <c r="AK394">
        <f>step3_validation[[#This Row],[AI_TRU1]]</f>
        <v>8</v>
      </c>
      <c r="AL394" t="str">
        <f t="shared" si="174"/>
        <v>Support</v>
      </c>
      <c r="AM394">
        <f>survey_responses[[#This Row],[Tôi tin rằng Nhà nước, cơ quan thuế sẽ thực thi chính sách mới một cách khách quan, công tâm và đối xử bình đẳng với mọi người nộp thuế.  - HUMAN-TRU1]]</f>
        <v>7</v>
      </c>
      <c r="AN394" t="str">
        <f t="shared" si="175"/>
        <v>Neutral</v>
      </c>
      <c r="AO394" s="32">
        <f t="shared" si="176"/>
        <v>1</v>
      </c>
      <c r="AP394">
        <f>step3_validation[[#This Row],[AI_TRU2]]</f>
        <v>9</v>
      </c>
      <c r="AQ394" t="str">
        <f t="shared" si="177"/>
        <v>Support</v>
      </c>
      <c r="AR394">
        <f>survey_responses[[#This Row],[Tôi thấy mức thuế tôi phải đóng theo phương án mới là công bằng (người thu nhập như tôi đóng mức này là hợp lý). - HUMAN-TRU2]]</f>
        <v>7</v>
      </c>
      <c r="AS394" t="str">
        <f t="shared" si="178"/>
        <v>Neutral</v>
      </c>
      <c r="AT394" s="32">
        <f t="shared" si="179"/>
        <v>2</v>
      </c>
      <c r="AU394">
        <f>step3_validation[[#This Row],[AI_TRU3]]</f>
        <v>8</v>
      </c>
      <c r="AV394" t="str">
        <f t="shared" si="180"/>
        <v>Support</v>
      </c>
      <c r="AW394">
        <f>survey_responses[[#This Row],[Tôi tin tưởng số tiền thuế tôi đóng sẽ được Nhà nước sử dụng hiệu quả để cải thiện dịch vụ công (y tế, đường xá...). - HUMAN-TRU3]]</f>
        <v>5</v>
      </c>
      <c r="AX394" t="str">
        <f t="shared" si="181"/>
        <v>Neutral</v>
      </c>
      <c r="AY394" s="32">
        <f t="shared" si="182"/>
        <v>3</v>
      </c>
      <c r="AZ394">
        <f>step3_validation[[#This Row],[AI_TRU4]]</f>
        <v>7</v>
      </c>
      <c r="BA394" t="str">
        <f t="shared" si="183"/>
        <v>Neutral</v>
      </c>
      <c r="BB394">
        <f>survey_responses[[#This Row],[Tôi thấy Nhà nước đã giải thích rõ ràng, minh bạch về lý do và mục tiêu của việc sửa đổi thuế lần này. - HUMAN-TRU4]]</f>
        <v>6</v>
      </c>
      <c r="BC394" t="str">
        <f t="shared" si="184"/>
        <v>Neutral</v>
      </c>
      <c r="BD394" s="32">
        <f t="shared" si="185"/>
        <v>1</v>
      </c>
      <c r="BE394">
        <f>step3_validation[[#This Row],[AI_OUT1]]</f>
        <v>9</v>
      </c>
      <c r="BF394" t="str">
        <f t="shared" si="186"/>
        <v>Support</v>
      </c>
      <c r="BG394">
        <f>survey_responses[[#This Row],[Sau khi xem xét các quyền lợi và nghĩa vụ, bạn có ủng hộ và tuân thủ chính sách mới hiện nay? - HUMAN-OUT1]]</f>
        <v>7</v>
      </c>
      <c r="BH394" t="str">
        <f t="shared" si="187"/>
        <v>Neutral</v>
      </c>
      <c r="BI394" s="32">
        <f t="shared" si="188"/>
        <v>2</v>
      </c>
    </row>
    <row r="395" spans="1:61" x14ac:dyDescent="0.45">
      <c r="A395" s="30">
        <f>step3_validation[[#This Row],[Persona_ID]]</f>
        <v>394</v>
      </c>
      <c r="B395" s="31">
        <f>step3_validation[[#This Row],[Used_Seed]]</f>
        <v>12738</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t="str">
        <f t="shared" si="162"/>
        <v>Neutral</v>
      </c>
      <c r="S395">
        <f>survey_responses[[#This Row],[Tôi tin rằng với các quy định quản lý thuế hiện nay, hành vi gian lận hoặc trốn thuế sẽ dễ dàng bị phát hiện và xử lý nghiêm. - HUMAN-ENF1]]</f>
        <v>9</v>
      </c>
      <c r="T395" t="str">
        <f t="shared" si="163"/>
        <v>Support</v>
      </c>
      <c r="U395" s="32">
        <f t="shared" si="164"/>
        <v>2</v>
      </c>
      <c r="V395">
        <f>step3_validation[[#This Row],[AI_ENF2]]</f>
        <v>6</v>
      </c>
      <c r="W395" t="str">
        <f t="shared" si="165"/>
        <v>Neutral</v>
      </c>
      <c r="X395">
        <f>survey_responses[[#This Row],[Tôi tin rằng Nhà nước, cơ quan thuế có đủ khả năng và công nghệ để phát hiện, xử lý nghiêm các hành vi trốn thuế. - HUMAN-ENF2]]</f>
        <v>9</v>
      </c>
      <c r="Y395" t="str">
        <f t="shared" si="166"/>
        <v>Support</v>
      </c>
      <c r="Z395" s="32">
        <f t="shared" si="167"/>
        <v>3</v>
      </c>
      <c r="AA395">
        <f>step3_validation[[#This Row],[AI_FAC1]]</f>
        <v>9</v>
      </c>
      <c r="AB395" t="str">
        <f t="shared" si="168"/>
        <v>Support</v>
      </c>
      <c r="AC395">
        <f>survey_responses[[#This Row],[Các thủ tục khai báo thuế VÀ/HOẶC quy trình làm việc với cơ quan thuế đơn giản, tiện lợi, nhanh chóng hơn so với trước đây. - HUMAN-FAC1]]</f>
        <v>9</v>
      </c>
      <c r="AD395" t="str">
        <f t="shared" si="169"/>
        <v>Support</v>
      </c>
      <c r="AE395" s="32">
        <f t="shared" si="170"/>
        <v>0</v>
      </c>
      <c r="AF395">
        <f>step3_validation[[#This Row],[AI_FAC2]]</f>
        <v>8</v>
      </c>
      <c r="AG395" t="str">
        <f t="shared" si="171"/>
        <v>Support</v>
      </c>
      <c r="AH395">
        <f>survey_responses[[#This Row],[So với trước đây, tôi thấy cách tính thuế và các bậc thuế trong phương án mới đơn giản, dễ hiểu và dễ thực hiện hơn. - HUMAN-FAC2]]</f>
        <v>7</v>
      </c>
      <c r="AI395" t="str">
        <f t="shared" si="172"/>
        <v>Neutral</v>
      </c>
      <c r="AJ395" s="32">
        <f t="shared" si="173"/>
        <v>1</v>
      </c>
      <c r="AK395">
        <f>step3_validation[[#This Row],[AI_TRU1]]</f>
        <v>9</v>
      </c>
      <c r="AL395" t="str">
        <f t="shared" si="174"/>
        <v>Support</v>
      </c>
      <c r="AM395">
        <f>survey_responses[[#This Row],[Tôi tin rằng Nhà nước, cơ quan thuế sẽ thực thi chính sách mới một cách khách quan, công tâm và đối xử bình đẳng với mọi người nộp thuế.  - HUMAN-TRU1]]</f>
        <v>8</v>
      </c>
      <c r="AN395" t="str">
        <f t="shared" si="175"/>
        <v>Support</v>
      </c>
      <c r="AO395" s="32">
        <f t="shared" si="176"/>
        <v>1</v>
      </c>
      <c r="AP395">
        <f>step3_validation[[#This Row],[AI_TRU2]]</f>
        <v>8</v>
      </c>
      <c r="AQ395" t="str">
        <f t="shared" si="177"/>
        <v>Support</v>
      </c>
      <c r="AR395">
        <f>survey_responses[[#This Row],[Tôi thấy mức thuế tôi phải đóng theo phương án mới là công bằng (người thu nhập như tôi đóng mức này là hợp lý). - HUMAN-TRU2]]</f>
        <v>6</v>
      </c>
      <c r="AS395" t="str">
        <f t="shared" si="178"/>
        <v>Neutral</v>
      </c>
      <c r="AT395" s="32">
        <f t="shared" si="179"/>
        <v>2</v>
      </c>
      <c r="AU395">
        <f>step3_validation[[#This Row],[AI_TRU3]]</f>
        <v>7</v>
      </c>
      <c r="AV395" t="str">
        <f t="shared" si="180"/>
        <v>Neutral</v>
      </c>
      <c r="AW395">
        <f>survey_responses[[#This Row],[Tôi tin tưởng số tiền thuế tôi đóng sẽ được Nhà nước sử dụng hiệu quả để cải thiện dịch vụ công (y tế, đường xá...). - HUMAN-TRU3]]</f>
        <v>8</v>
      </c>
      <c r="AX395" t="str">
        <f t="shared" si="181"/>
        <v>Support</v>
      </c>
      <c r="AY395" s="32">
        <f t="shared" si="182"/>
        <v>1</v>
      </c>
      <c r="AZ395">
        <f>step3_validation[[#This Row],[AI_TRU4]]</f>
        <v>6</v>
      </c>
      <c r="BA395" t="str">
        <f t="shared" si="183"/>
        <v>Neutral</v>
      </c>
      <c r="BB395">
        <f>survey_responses[[#This Row],[Tôi thấy Nhà nước đã giải thích rõ ràng, minh bạch về lý do và mục tiêu của việc sửa đổi thuế lần này. - HUMAN-TRU4]]</f>
        <v>10</v>
      </c>
      <c r="BC395" t="str">
        <f t="shared" si="184"/>
        <v>Support</v>
      </c>
      <c r="BD395" s="32">
        <f t="shared" si="185"/>
        <v>4</v>
      </c>
      <c r="BE395">
        <f>step3_validation[[#This Row],[AI_OUT1]]</f>
        <v>8</v>
      </c>
      <c r="BF395" t="str">
        <f t="shared" si="186"/>
        <v>Support</v>
      </c>
      <c r="BG395">
        <f>survey_responses[[#This Row],[Sau khi xem xét các quyền lợi và nghĩa vụ, bạn có ủng hộ và tuân thủ chính sách mới hiện nay? - HUMAN-OUT1]]</f>
        <v>10</v>
      </c>
      <c r="BH395" t="str">
        <f t="shared" si="187"/>
        <v>Support</v>
      </c>
      <c r="BI395" s="32">
        <f t="shared" si="188"/>
        <v>2</v>
      </c>
    </row>
    <row r="396" spans="1:61" x14ac:dyDescent="0.45">
      <c r="A396" s="30">
        <f>step3_validation[[#This Row],[Persona_ID]]</f>
        <v>395</v>
      </c>
      <c r="B396" s="31">
        <f>step3_validation[[#This Row],[Used_Seed]]</f>
        <v>12739</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36.801474328622469</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t="str">
        <f t="shared" si="162"/>
        <v>Neutral</v>
      </c>
      <c r="S396">
        <f>survey_responses[[#This Row],[Tôi tin rằng với các quy định quản lý thuế hiện nay, hành vi gian lận hoặc trốn thuế sẽ dễ dàng bị phát hiện và xử lý nghiêm. - HUMAN-ENF1]]</f>
        <v>7</v>
      </c>
      <c r="T396" t="str">
        <f t="shared" si="163"/>
        <v>Neutral</v>
      </c>
      <c r="U396" s="32">
        <f t="shared" si="164"/>
        <v>0</v>
      </c>
      <c r="V396">
        <f>step3_validation[[#This Row],[AI_ENF2]]</f>
        <v>9</v>
      </c>
      <c r="W396" t="str">
        <f t="shared" si="165"/>
        <v>Support</v>
      </c>
      <c r="X396">
        <f>survey_responses[[#This Row],[Tôi tin rằng Nhà nước, cơ quan thuế có đủ khả năng và công nghệ để phát hiện, xử lý nghiêm các hành vi trốn thuế. - HUMAN-ENF2]]</f>
        <v>7</v>
      </c>
      <c r="Y396" t="str">
        <f t="shared" si="166"/>
        <v>Neutral</v>
      </c>
      <c r="Z396" s="32">
        <f t="shared" si="167"/>
        <v>2</v>
      </c>
      <c r="AA396">
        <f>step3_validation[[#This Row],[AI_FAC1]]</f>
        <v>8</v>
      </c>
      <c r="AB396" t="str">
        <f t="shared" si="168"/>
        <v>Support</v>
      </c>
      <c r="AC396">
        <f>survey_responses[[#This Row],[Các thủ tục khai báo thuế VÀ/HOẶC quy trình làm việc với cơ quan thuế đơn giản, tiện lợi, nhanh chóng hơn so với trước đây. - HUMAN-FAC1]]</f>
        <v>5</v>
      </c>
      <c r="AD396" t="str">
        <f t="shared" si="169"/>
        <v>Neutral</v>
      </c>
      <c r="AE396" s="32">
        <f t="shared" si="170"/>
        <v>3</v>
      </c>
      <c r="AF396">
        <f>step3_validation[[#This Row],[AI_FAC2]]</f>
        <v>9</v>
      </c>
      <c r="AG396" t="str">
        <f t="shared" si="171"/>
        <v>Support</v>
      </c>
      <c r="AH396">
        <f>survey_responses[[#This Row],[So với trước đây, tôi thấy cách tính thuế và các bậc thuế trong phương án mới đơn giản, dễ hiểu và dễ thực hiện hơn. - HUMAN-FAC2]]</f>
        <v>7</v>
      </c>
      <c r="AI396" t="str">
        <f t="shared" si="172"/>
        <v>Neutral</v>
      </c>
      <c r="AJ396" s="32">
        <f t="shared" si="173"/>
        <v>2</v>
      </c>
      <c r="AK396">
        <f>step3_validation[[#This Row],[AI_TRU1]]</f>
        <v>8</v>
      </c>
      <c r="AL396" t="str">
        <f t="shared" si="174"/>
        <v>Support</v>
      </c>
      <c r="AM396">
        <f>survey_responses[[#This Row],[Tôi tin rằng Nhà nước, cơ quan thuế sẽ thực thi chính sách mới một cách khách quan, công tâm và đối xử bình đẳng với mọi người nộp thuế.  - HUMAN-TRU1]]</f>
        <v>5</v>
      </c>
      <c r="AN396" t="str">
        <f t="shared" si="175"/>
        <v>Neutral</v>
      </c>
      <c r="AO396" s="32">
        <f t="shared" si="176"/>
        <v>3</v>
      </c>
      <c r="AP396">
        <f>step3_validation[[#This Row],[AI_TRU2]]</f>
        <v>9</v>
      </c>
      <c r="AQ396" t="str">
        <f t="shared" si="177"/>
        <v>Support</v>
      </c>
      <c r="AR396">
        <f>survey_responses[[#This Row],[Tôi thấy mức thuế tôi phải đóng theo phương án mới là công bằng (người thu nhập như tôi đóng mức này là hợp lý). - HUMAN-TRU2]]</f>
        <v>6</v>
      </c>
      <c r="AS396" t="str">
        <f t="shared" si="178"/>
        <v>Neutral</v>
      </c>
      <c r="AT396" s="32">
        <f t="shared" si="179"/>
        <v>3</v>
      </c>
      <c r="AU396">
        <f>step3_validation[[#This Row],[AI_TRU3]]</f>
        <v>8</v>
      </c>
      <c r="AV396" t="str">
        <f t="shared" si="180"/>
        <v>Support</v>
      </c>
      <c r="AW396">
        <f>survey_responses[[#This Row],[Tôi tin tưởng số tiền thuế tôi đóng sẽ được Nhà nước sử dụng hiệu quả để cải thiện dịch vụ công (y tế, đường xá...). - HUMAN-TRU3]]</f>
        <v>5</v>
      </c>
      <c r="AX396" t="str">
        <f t="shared" si="181"/>
        <v>Neutral</v>
      </c>
      <c r="AY396" s="32">
        <f t="shared" si="182"/>
        <v>3</v>
      </c>
      <c r="AZ396">
        <f>step3_validation[[#This Row],[AI_TRU4]]</f>
        <v>9</v>
      </c>
      <c r="BA396" t="str">
        <f t="shared" si="183"/>
        <v>Support</v>
      </c>
      <c r="BB396">
        <f>survey_responses[[#This Row],[Tôi thấy Nhà nước đã giải thích rõ ràng, minh bạch về lý do và mục tiêu của việc sửa đổi thuế lần này. - HUMAN-TRU4]]</f>
        <v>6</v>
      </c>
      <c r="BC396" t="str">
        <f t="shared" si="184"/>
        <v>Neutral</v>
      </c>
      <c r="BD396" s="32">
        <f t="shared" si="185"/>
        <v>3</v>
      </c>
      <c r="BE396">
        <f>step3_validation[[#This Row],[AI_OUT1]]</f>
        <v>10</v>
      </c>
      <c r="BF396" t="str">
        <f t="shared" si="186"/>
        <v>Support</v>
      </c>
      <c r="BG396">
        <f>survey_responses[[#This Row],[Sau khi xem xét các quyền lợi và nghĩa vụ, bạn có ủng hộ và tuân thủ chính sách mới hiện nay? - HUMAN-OUT1]]</f>
        <v>6</v>
      </c>
      <c r="BH396" t="str">
        <f t="shared" si="187"/>
        <v>Neutral</v>
      </c>
      <c r="BI396" s="32">
        <f t="shared" si="188"/>
        <v>4</v>
      </c>
    </row>
    <row r="397" spans="1:61" x14ac:dyDescent="0.45">
      <c r="A397" s="30">
        <f>step3_validation[[#This Row],[Persona_ID]]</f>
        <v>396</v>
      </c>
      <c r="B397" s="31">
        <f>step3_validation[[#This Row],[Used_Seed]]</f>
        <v>12740</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28.414981546846931</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6</v>
      </c>
      <c r="R397" t="str">
        <f t="shared" si="162"/>
        <v>Neutral</v>
      </c>
      <c r="S397">
        <f>survey_responses[[#This Row],[Tôi tin rằng với các quy định quản lý thuế hiện nay, hành vi gian lận hoặc trốn thuế sẽ dễ dàng bị phát hiện và xử lý nghiêm. - HUMAN-ENF1]]</f>
        <v>2</v>
      </c>
      <c r="T397" t="str">
        <f t="shared" si="163"/>
        <v>Oppose</v>
      </c>
      <c r="U397" s="32">
        <f t="shared" si="164"/>
        <v>4</v>
      </c>
      <c r="V397">
        <f>step3_validation[[#This Row],[AI_ENF2]]</f>
        <v>5</v>
      </c>
      <c r="W397" t="str">
        <f t="shared" si="165"/>
        <v>Neutral</v>
      </c>
      <c r="X397">
        <f>survey_responses[[#This Row],[Tôi tin rằng Nhà nước, cơ quan thuế có đủ khả năng và công nghệ để phát hiện, xử lý nghiêm các hành vi trốn thuế. - HUMAN-ENF2]]</f>
        <v>2</v>
      </c>
      <c r="Y397" t="str">
        <f t="shared" si="166"/>
        <v>Oppose</v>
      </c>
      <c r="Z397" s="32">
        <f t="shared" si="167"/>
        <v>3</v>
      </c>
      <c r="AA397">
        <f>step3_validation[[#This Row],[AI_FAC1]]</f>
        <v>8</v>
      </c>
      <c r="AB397" t="str">
        <f t="shared" si="168"/>
        <v>Support</v>
      </c>
      <c r="AC397">
        <f>survey_responses[[#This Row],[Các thủ tục khai báo thuế VÀ/HOẶC quy trình làm việc với cơ quan thuế đơn giản, tiện lợi, nhanh chóng hơn so với trước đây. - HUMAN-FAC1]]</f>
        <v>4</v>
      </c>
      <c r="AD397" t="str">
        <f t="shared" si="169"/>
        <v>Oppose</v>
      </c>
      <c r="AE397" s="32">
        <f t="shared" si="170"/>
        <v>4</v>
      </c>
      <c r="AF397">
        <f>step3_validation[[#This Row],[AI_FAC2]]</f>
        <v>7</v>
      </c>
      <c r="AG397" t="str">
        <f t="shared" si="171"/>
        <v>Neutral</v>
      </c>
      <c r="AH397">
        <f>survey_responses[[#This Row],[So với trước đây, tôi thấy cách tính thuế và các bậc thuế trong phương án mới đơn giản, dễ hiểu và dễ thực hiện hơn. - HUMAN-FAC2]]</f>
        <v>5</v>
      </c>
      <c r="AI397" t="str">
        <f t="shared" si="172"/>
        <v>Neutral</v>
      </c>
      <c r="AJ397" s="32">
        <f t="shared" si="173"/>
        <v>2</v>
      </c>
      <c r="AK397">
        <f>step3_validation[[#This Row],[AI_TRU1]]</f>
        <v>6</v>
      </c>
      <c r="AL397" t="str">
        <f t="shared" si="174"/>
        <v>Neutral</v>
      </c>
      <c r="AM397">
        <f>survey_responses[[#This Row],[Tôi tin rằng Nhà nước, cơ quan thuế sẽ thực thi chính sách mới một cách khách quan, công tâm và đối xử bình đẳng với mọi người nộp thuế.  - HUMAN-TRU1]]</f>
        <v>5</v>
      </c>
      <c r="AN397" t="str">
        <f t="shared" si="175"/>
        <v>Neutral</v>
      </c>
      <c r="AO397" s="32">
        <f t="shared" si="176"/>
        <v>1</v>
      </c>
      <c r="AP397">
        <f>step3_validation[[#This Row],[AI_TRU2]]</f>
        <v>8</v>
      </c>
      <c r="AQ397" t="str">
        <f t="shared" si="177"/>
        <v>Support</v>
      </c>
      <c r="AR397">
        <f>survey_responses[[#This Row],[Tôi thấy mức thuế tôi phải đóng theo phương án mới là công bằng (người thu nhập như tôi đóng mức này là hợp lý). - HUMAN-TRU2]]</f>
        <v>3</v>
      </c>
      <c r="AS397" t="str">
        <f t="shared" si="178"/>
        <v>Oppose</v>
      </c>
      <c r="AT397" s="32">
        <f t="shared" si="179"/>
        <v>5</v>
      </c>
      <c r="AU397">
        <f>step3_validation[[#This Row],[AI_TRU3]]</f>
        <v>5</v>
      </c>
      <c r="AV397" t="str">
        <f t="shared" si="180"/>
        <v>Neutral</v>
      </c>
      <c r="AW397">
        <f>survey_responses[[#This Row],[Tôi tin tưởng số tiền thuế tôi đóng sẽ được Nhà nước sử dụng hiệu quả để cải thiện dịch vụ công (y tế, đường xá...). - HUMAN-TRU3]]</f>
        <v>5</v>
      </c>
      <c r="AX397" t="str">
        <f t="shared" si="181"/>
        <v>Neutral</v>
      </c>
      <c r="AY397" s="32">
        <f t="shared" si="182"/>
        <v>0</v>
      </c>
      <c r="AZ397">
        <f>step3_validation[[#This Row],[AI_TRU4]]</f>
        <v>7</v>
      </c>
      <c r="BA397" t="str">
        <f t="shared" si="183"/>
        <v>Neutral</v>
      </c>
      <c r="BB397">
        <f>survey_responses[[#This Row],[Tôi thấy Nhà nước đã giải thích rõ ràng, minh bạch về lý do và mục tiêu của việc sửa đổi thuế lần này. - HUMAN-TRU4]]</f>
        <v>5</v>
      </c>
      <c r="BC397" t="str">
        <f t="shared" si="184"/>
        <v>Neutral</v>
      </c>
      <c r="BD397" s="32">
        <f t="shared" si="185"/>
        <v>2</v>
      </c>
      <c r="BE397">
        <f>step3_validation[[#This Row],[AI_OUT1]]</f>
        <v>8</v>
      </c>
      <c r="BF397" t="str">
        <f t="shared" si="186"/>
        <v>Support</v>
      </c>
      <c r="BG397">
        <f>survey_responses[[#This Row],[Sau khi xem xét các quyền lợi và nghĩa vụ, bạn có ủng hộ và tuân thủ chính sách mới hiện nay? - HUMAN-OUT1]]</f>
        <v>5</v>
      </c>
      <c r="BH397" t="str">
        <f t="shared" si="187"/>
        <v>Neutral</v>
      </c>
      <c r="BI397" s="32">
        <f t="shared" si="188"/>
        <v>3</v>
      </c>
    </row>
    <row r="398" spans="1:61" x14ac:dyDescent="0.45">
      <c r="A398" s="30">
        <f>step3_validation[[#This Row],[Persona_ID]]</f>
        <v>397</v>
      </c>
      <c r="B398" s="31">
        <f>step3_validation[[#This Row],[Used_Seed]]</f>
        <v>12741</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25.252540362353248</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8</v>
      </c>
      <c r="R398" t="str">
        <f t="shared" si="162"/>
        <v>Support</v>
      </c>
      <c r="S398">
        <f>survey_responses[[#This Row],[Tôi tin rằng với các quy định quản lý thuế hiện nay, hành vi gian lận hoặc trốn thuế sẽ dễ dàng bị phát hiện và xử lý nghiêm. - HUMAN-ENF1]]</f>
        <v>8</v>
      </c>
      <c r="T398" t="str">
        <f t="shared" si="163"/>
        <v>Support</v>
      </c>
      <c r="U398" s="32">
        <f t="shared" si="164"/>
        <v>0</v>
      </c>
      <c r="V398">
        <f>step3_validation[[#This Row],[AI_ENF2]]</f>
        <v>8</v>
      </c>
      <c r="W398" t="str">
        <f t="shared" si="165"/>
        <v>Support</v>
      </c>
      <c r="X398">
        <f>survey_responses[[#This Row],[Tôi tin rằng Nhà nước, cơ quan thuế có đủ khả năng và công nghệ để phát hiện, xử lý nghiêm các hành vi trốn thuế. - HUMAN-ENF2]]</f>
        <v>8</v>
      </c>
      <c r="Y398" t="str">
        <f t="shared" si="166"/>
        <v>Support</v>
      </c>
      <c r="Z398" s="32">
        <f t="shared" si="167"/>
        <v>0</v>
      </c>
      <c r="AA398">
        <f>step3_validation[[#This Row],[AI_FAC1]]</f>
        <v>9</v>
      </c>
      <c r="AB398" t="str">
        <f t="shared" si="168"/>
        <v>Support</v>
      </c>
      <c r="AC398">
        <f>survey_responses[[#This Row],[Các thủ tục khai báo thuế VÀ/HOẶC quy trình làm việc với cơ quan thuế đơn giản, tiện lợi, nhanh chóng hơn so với trước đây. - HUMAN-FAC1]]</f>
        <v>7</v>
      </c>
      <c r="AD398" t="str">
        <f t="shared" si="169"/>
        <v>Neutral</v>
      </c>
      <c r="AE398" s="32">
        <f t="shared" si="170"/>
        <v>2</v>
      </c>
      <c r="AF398">
        <f>step3_validation[[#This Row],[AI_FAC2]]</f>
        <v>9</v>
      </c>
      <c r="AG398" t="str">
        <f t="shared" si="171"/>
        <v>Support</v>
      </c>
      <c r="AH398">
        <f>survey_responses[[#This Row],[So với trước đây, tôi thấy cách tính thuế và các bậc thuế trong phương án mới đơn giản, dễ hiểu và dễ thực hiện hơn. - HUMAN-FAC2]]</f>
        <v>7</v>
      </c>
      <c r="AI398" t="str">
        <f t="shared" si="172"/>
        <v>Neutral</v>
      </c>
      <c r="AJ398" s="32">
        <f t="shared" si="173"/>
        <v>2</v>
      </c>
      <c r="AK398">
        <f>step3_validation[[#This Row],[AI_TRU1]]</f>
        <v>7</v>
      </c>
      <c r="AL398" t="str">
        <f t="shared" si="174"/>
        <v>Neutral</v>
      </c>
      <c r="AM398">
        <f>survey_responses[[#This Row],[Tôi tin rằng Nhà nước, cơ quan thuế sẽ thực thi chính sách mới một cách khách quan, công tâm và đối xử bình đẳng với mọi người nộp thuế.  - HUMAN-TRU1]]</f>
        <v>7</v>
      </c>
      <c r="AN398" t="str">
        <f t="shared" si="175"/>
        <v>Neutral</v>
      </c>
      <c r="AO398" s="32">
        <f t="shared" si="176"/>
        <v>0</v>
      </c>
      <c r="AP398">
        <f>step3_validation[[#This Row],[AI_TRU2]]</f>
        <v>8</v>
      </c>
      <c r="AQ398" t="str">
        <f t="shared" si="177"/>
        <v>Support</v>
      </c>
      <c r="AR398">
        <f>survey_responses[[#This Row],[Tôi thấy mức thuế tôi phải đóng theo phương án mới là công bằng (người thu nhập như tôi đóng mức này là hợp lý). - HUMAN-TRU2]]</f>
        <v>8</v>
      </c>
      <c r="AS398" t="str">
        <f t="shared" si="178"/>
        <v>Support</v>
      </c>
      <c r="AT398" s="32">
        <f t="shared" si="179"/>
        <v>0</v>
      </c>
      <c r="AU398">
        <f>step3_validation[[#This Row],[AI_TRU3]]</f>
        <v>7</v>
      </c>
      <c r="AV398" t="str">
        <f t="shared" si="180"/>
        <v>Neutral</v>
      </c>
      <c r="AW398">
        <f>survey_responses[[#This Row],[Tôi tin tưởng số tiền thuế tôi đóng sẽ được Nhà nước sử dụng hiệu quả để cải thiện dịch vụ công (y tế, đường xá...). - HUMAN-TRU3]]</f>
        <v>7</v>
      </c>
      <c r="AX398" t="str">
        <f t="shared" si="181"/>
        <v>Neutral</v>
      </c>
      <c r="AY398" s="32">
        <f t="shared" si="182"/>
        <v>0</v>
      </c>
      <c r="AZ398">
        <f>step3_validation[[#This Row],[AI_TRU4]]</f>
        <v>6</v>
      </c>
      <c r="BA398" t="str">
        <f t="shared" si="183"/>
        <v>Neutral</v>
      </c>
      <c r="BB398">
        <f>survey_responses[[#This Row],[Tôi thấy Nhà nước đã giải thích rõ ràng, minh bạch về lý do và mục tiêu của việc sửa đổi thuế lần này. - HUMAN-TRU4]]</f>
        <v>8</v>
      </c>
      <c r="BC398" t="str">
        <f t="shared" si="184"/>
        <v>Support</v>
      </c>
      <c r="BD398" s="32">
        <f t="shared" si="185"/>
        <v>2</v>
      </c>
      <c r="BE398">
        <f>step3_validation[[#This Row],[AI_OUT1]]</f>
        <v>8</v>
      </c>
      <c r="BF398" t="str">
        <f t="shared" si="186"/>
        <v>Support</v>
      </c>
      <c r="BG398">
        <f>survey_responses[[#This Row],[Sau khi xem xét các quyền lợi và nghĩa vụ, bạn có ủng hộ và tuân thủ chính sách mới hiện nay? - HUMAN-OUT1]]</f>
        <v>8</v>
      </c>
      <c r="BH398" t="str">
        <f t="shared" si="187"/>
        <v>Support</v>
      </c>
      <c r="BI398" s="32">
        <f t="shared" si="188"/>
        <v>0</v>
      </c>
    </row>
    <row r="399" spans="1:61" x14ac:dyDescent="0.45">
      <c r="A399" s="30">
        <f>step3_validation[[#This Row],[Persona_ID]]</f>
        <v>398</v>
      </c>
      <c r="B399" s="31">
        <f>step3_validation[[#This Row],[Used_Seed]]</f>
        <v>12742</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t="str">
        <f t="shared" si="162"/>
        <v>Neutral</v>
      </c>
      <c r="S399">
        <f>survey_responses[[#This Row],[Tôi tin rằng với các quy định quản lý thuế hiện nay, hành vi gian lận hoặc trốn thuế sẽ dễ dàng bị phát hiện và xử lý nghiêm. - HUMAN-ENF1]]</f>
        <v>9</v>
      </c>
      <c r="T399" t="str">
        <f t="shared" si="163"/>
        <v>Support</v>
      </c>
      <c r="U399" s="32">
        <f t="shared" si="164"/>
        <v>2</v>
      </c>
      <c r="V399">
        <f>step3_validation[[#This Row],[AI_ENF2]]</f>
        <v>8</v>
      </c>
      <c r="W399" t="str">
        <f t="shared" si="165"/>
        <v>Support</v>
      </c>
      <c r="X399">
        <f>survey_responses[[#This Row],[Tôi tin rằng Nhà nước, cơ quan thuế có đủ khả năng và công nghệ để phát hiện, xử lý nghiêm các hành vi trốn thuế. - HUMAN-ENF2]]</f>
        <v>9</v>
      </c>
      <c r="Y399" t="str">
        <f t="shared" si="166"/>
        <v>Support</v>
      </c>
      <c r="Z399" s="32">
        <f t="shared" si="167"/>
        <v>1</v>
      </c>
      <c r="AA399">
        <f>step3_validation[[#This Row],[AI_FAC1]]</f>
        <v>9</v>
      </c>
      <c r="AB399" t="str">
        <f t="shared" si="168"/>
        <v>Support</v>
      </c>
      <c r="AC399">
        <f>survey_responses[[#This Row],[Các thủ tục khai báo thuế VÀ/HOẶC quy trình làm việc với cơ quan thuế đơn giản, tiện lợi, nhanh chóng hơn so với trước đây. - HUMAN-FAC1]]</f>
        <v>8</v>
      </c>
      <c r="AD399" t="str">
        <f t="shared" si="169"/>
        <v>Support</v>
      </c>
      <c r="AE399" s="32">
        <f t="shared" si="170"/>
        <v>1</v>
      </c>
      <c r="AF399">
        <f>step3_validation[[#This Row],[AI_FAC2]]</f>
        <v>9</v>
      </c>
      <c r="AG399" t="str">
        <f t="shared" si="171"/>
        <v>Support</v>
      </c>
      <c r="AH399">
        <f>survey_responses[[#This Row],[So với trước đây, tôi thấy cách tính thuế và các bậc thuế trong phương án mới đơn giản, dễ hiểu và dễ thực hiện hơn. - HUMAN-FAC2]]</f>
        <v>9</v>
      </c>
      <c r="AI399" t="str">
        <f t="shared" si="172"/>
        <v>Support</v>
      </c>
      <c r="AJ399" s="32">
        <f t="shared" si="173"/>
        <v>0</v>
      </c>
      <c r="AK399">
        <f>step3_validation[[#This Row],[AI_TRU1]]</f>
        <v>8</v>
      </c>
      <c r="AL399" t="str">
        <f t="shared" si="174"/>
        <v>Support</v>
      </c>
      <c r="AM399">
        <f>survey_responses[[#This Row],[Tôi tin rằng Nhà nước, cơ quan thuế sẽ thực thi chính sách mới một cách khách quan, công tâm và đối xử bình đẳng với mọi người nộp thuế.  - HUMAN-TRU1]]</f>
        <v>7</v>
      </c>
      <c r="AN399" t="str">
        <f t="shared" si="175"/>
        <v>Neutral</v>
      </c>
      <c r="AO399" s="32">
        <f t="shared" si="176"/>
        <v>1</v>
      </c>
      <c r="AP399">
        <f>step3_validation[[#This Row],[AI_TRU2]]</f>
        <v>9</v>
      </c>
      <c r="AQ399" t="str">
        <f t="shared" si="177"/>
        <v>Support</v>
      </c>
      <c r="AR399">
        <f>survey_responses[[#This Row],[Tôi thấy mức thuế tôi phải đóng theo phương án mới là công bằng (người thu nhập như tôi đóng mức này là hợp lý). - HUMAN-TRU2]]</f>
        <v>9</v>
      </c>
      <c r="AS399" t="str">
        <f t="shared" si="178"/>
        <v>Support</v>
      </c>
      <c r="AT399" s="32">
        <f t="shared" si="179"/>
        <v>0</v>
      </c>
      <c r="AU399">
        <f>step3_validation[[#This Row],[AI_TRU3]]</f>
        <v>8</v>
      </c>
      <c r="AV399" t="str">
        <f t="shared" si="180"/>
        <v>Support</v>
      </c>
      <c r="AW399">
        <f>survey_responses[[#This Row],[Tôi tin tưởng số tiền thuế tôi đóng sẽ được Nhà nước sử dụng hiệu quả để cải thiện dịch vụ công (y tế, đường xá...). - HUMAN-TRU3]]</f>
        <v>8</v>
      </c>
      <c r="AX399" t="str">
        <f t="shared" si="181"/>
        <v>Support</v>
      </c>
      <c r="AY399" s="32">
        <f t="shared" si="182"/>
        <v>0</v>
      </c>
      <c r="AZ399">
        <f>step3_validation[[#This Row],[AI_TRU4]]</f>
        <v>7</v>
      </c>
      <c r="BA399" t="str">
        <f t="shared" si="183"/>
        <v>Neutral</v>
      </c>
      <c r="BB399">
        <f>survey_responses[[#This Row],[Tôi thấy Nhà nước đã giải thích rõ ràng, minh bạch về lý do và mục tiêu của việc sửa đổi thuế lần này. - HUMAN-TRU4]]</f>
        <v>8</v>
      </c>
      <c r="BC399" t="str">
        <f t="shared" si="184"/>
        <v>Support</v>
      </c>
      <c r="BD399" s="32">
        <f t="shared" si="185"/>
        <v>1</v>
      </c>
      <c r="BE399">
        <f>step3_validation[[#This Row],[AI_OUT1]]</f>
        <v>9</v>
      </c>
      <c r="BF399" t="str">
        <f t="shared" si="186"/>
        <v>Support</v>
      </c>
      <c r="BG399">
        <f>survey_responses[[#This Row],[Sau khi xem xét các quyền lợi và nghĩa vụ, bạn có ủng hộ và tuân thủ chính sách mới hiện nay? - HUMAN-OUT1]]</f>
        <v>8</v>
      </c>
      <c r="BH399" t="str">
        <f t="shared" si="187"/>
        <v>Support</v>
      </c>
      <c r="BI399" s="32">
        <f t="shared" si="188"/>
        <v>1</v>
      </c>
    </row>
    <row r="400" spans="1:61" x14ac:dyDescent="0.45">
      <c r="A400" s="30">
        <f>step3_validation[[#This Row],[Persona_ID]]</f>
        <v>399</v>
      </c>
      <c r="B400" s="31">
        <f>step3_validation[[#This Row],[Used_Seed]]</f>
        <v>12743</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24.811244643832339</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t="str">
        <f t="shared" si="162"/>
        <v>Neutral</v>
      </c>
      <c r="S400">
        <f>survey_responses[[#This Row],[Tôi tin rằng với các quy định quản lý thuế hiện nay, hành vi gian lận hoặc trốn thuế sẽ dễ dàng bị phát hiện và xử lý nghiêm. - HUMAN-ENF1]]</f>
        <v>7</v>
      </c>
      <c r="T400" t="str">
        <f t="shared" si="163"/>
        <v>Neutral</v>
      </c>
      <c r="U400" s="32">
        <f t="shared" si="164"/>
        <v>0</v>
      </c>
      <c r="V400">
        <f>step3_validation[[#This Row],[AI_ENF2]]</f>
        <v>8</v>
      </c>
      <c r="W400" t="str">
        <f t="shared" si="165"/>
        <v>Support</v>
      </c>
      <c r="X400">
        <f>survey_responses[[#This Row],[Tôi tin rằng Nhà nước, cơ quan thuế có đủ khả năng và công nghệ để phát hiện, xử lý nghiêm các hành vi trốn thuế. - HUMAN-ENF2]]</f>
        <v>7</v>
      </c>
      <c r="Y400" t="str">
        <f t="shared" si="166"/>
        <v>Neutral</v>
      </c>
      <c r="Z400" s="32">
        <f t="shared" si="167"/>
        <v>1</v>
      </c>
      <c r="AA400">
        <f>step3_validation[[#This Row],[AI_FAC1]]</f>
        <v>7</v>
      </c>
      <c r="AB400" t="str">
        <f t="shared" si="168"/>
        <v>Neutral</v>
      </c>
      <c r="AC400">
        <f>survey_responses[[#This Row],[Các thủ tục khai báo thuế VÀ/HOẶC quy trình làm việc với cơ quan thuế đơn giản, tiện lợi, nhanh chóng hơn so với trước đây. - HUMAN-FAC1]]</f>
        <v>5</v>
      </c>
      <c r="AD400" t="str">
        <f t="shared" si="169"/>
        <v>Neutral</v>
      </c>
      <c r="AE400" s="32">
        <f t="shared" si="170"/>
        <v>2</v>
      </c>
      <c r="AF400">
        <f>step3_validation[[#This Row],[AI_FAC2]]</f>
        <v>9</v>
      </c>
      <c r="AG400" t="str">
        <f t="shared" si="171"/>
        <v>Support</v>
      </c>
      <c r="AH400">
        <f>survey_responses[[#This Row],[So với trước đây, tôi thấy cách tính thuế và các bậc thuế trong phương án mới đơn giản, dễ hiểu và dễ thực hiện hơn. - HUMAN-FAC2]]</f>
        <v>8</v>
      </c>
      <c r="AI400" t="str">
        <f t="shared" si="172"/>
        <v>Support</v>
      </c>
      <c r="AJ400" s="32">
        <f t="shared" si="173"/>
        <v>1</v>
      </c>
      <c r="AK400">
        <f>step3_validation[[#This Row],[AI_TRU1]]</f>
        <v>8</v>
      </c>
      <c r="AL400" t="str">
        <f t="shared" si="174"/>
        <v>Support</v>
      </c>
      <c r="AM400">
        <f>survey_responses[[#This Row],[Tôi tin rằng Nhà nước, cơ quan thuế sẽ thực thi chính sách mới một cách khách quan, công tâm và đối xử bình đẳng với mọi người nộp thuế.  - HUMAN-TRU1]]</f>
        <v>7</v>
      </c>
      <c r="AN400" t="str">
        <f t="shared" si="175"/>
        <v>Neutral</v>
      </c>
      <c r="AO400" s="32">
        <f t="shared" si="176"/>
        <v>1</v>
      </c>
      <c r="AP400">
        <f>step3_validation[[#This Row],[AI_TRU2]]</f>
        <v>9</v>
      </c>
      <c r="AQ400" t="str">
        <f t="shared" si="177"/>
        <v>Support</v>
      </c>
      <c r="AR400">
        <f>survey_responses[[#This Row],[Tôi thấy mức thuế tôi phải đóng theo phương án mới là công bằng (người thu nhập như tôi đóng mức này là hợp lý). - HUMAN-TRU2]]</f>
        <v>8</v>
      </c>
      <c r="AS400" t="str">
        <f t="shared" si="178"/>
        <v>Support</v>
      </c>
      <c r="AT400" s="32">
        <f t="shared" si="179"/>
        <v>1</v>
      </c>
      <c r="AU400">
        <f>step3_validation[[#This Row],[AI_TRU3]]</f>
        <v>8</v>
      </c>
      <c r="AV400" t="str">
        <f t="shared" si="180"/>
        <v>Support</v>
      </c>
      <c r="AW400">
        <f>survey_responses[[#This Row],[Tôi tin tưởng số tiền thuế tôi đóng sẽ được Nhà nước sử dụng hiệu quả để cải thiện dịch vụ công (y tế, đường xá...). - HUMAN-TRU3]]</f>
        <v>6</v>
      </c>
      <c r="AX400" t="str">
        <f t="shared" si="181"/>
        <v>Neutral</v>
      </c>
      <c r="AY400" s="32">
        <f t="shared" si="182"/>
        <v>2</v>
      </c>
      <c r="AZ400">
        <f>step3_validation[[#This Row],[AI_TRU4]]</f>
        <v>7</v>
      </c>
      <c r="BA400" t="str">
        <f t="shared" si="183"/>
        <v>Neutral</v>
      </c>
      <c r="BB400">
        <f>survey_responses[[#This Row],[Tôi thấy Nhà nước đã giải thích rõ ràng, minh bạch về lý do và mục tiêu của việc sửa đổi thuế lần này. - HUMAN-TRU4]]</f>
        <v>6</v>
      </c>
      <c r="BC400" t="str">
        <f t="shared" si="184"/>
        <v>Neutral</v>
      </c>
      <c r="BD400" s="32">
        <f t="shared" si="185"/>
        <v>1</v>
      </c>
      <c r="BE400">
        <f>step3_validation[[#This Row],[AI_OUT1]]</f>
        <v>9</v>
      </c>
      <c r="BF400" t="str">
        <f t="shared" si="186"/>
        <v>Support</v>
      </c>
      <c r="BG400">
        <f>survey_responses[[#This Row],[Sau khi xem xét các quyền lợi và nghĩa vụ, bạn có ủng hộ và tuân thủ chính sách mới hiện nay? - HUMAN-OUT1]]</f>
        <v>8</v>
      </c>
      <c r="BH400" t="str">
        <f t="shared" si="187"/>
        <v>Support</v>
      </c>
      <c r="BI400" s="32">
        <f t="shared" si="188"/>
        <v>1</v>
      </c>
    </row>
    <row r="401" spans="1:61" x14ac:dyDescent="0.45">
      <c r="A401" s="30">
        <f>step3_validation[[#This Row],[Persona_ID]]</f>
        <v>400</v>
      </c>
      <c r="B401" s="31">
        <f>step3_validation[[#This Row],[Used_Seed]]</f>
        <v>12744</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37.311246644564896</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8</v>
      </c>
      <c r="R401" t="str">
        <f t="shared" si="162"/>
        <v>Support</v>
      </c>
      <c r="S401">
        <f>survey_responses[[#This Row],[Tôi tin rằng với các quy định quản lý thuế hiện nay, hành vi gian lận hoặc trốn thuế sẽ dễ dàng bị phát hiện và xử lý nghiêm. - HUMAN-ENF1]]</f>
        <v>8</v>
      </c>
      <c r="T401" t="str">
        <f t="shared" si="163"/>
        <v>Support</v>
      </c>
      <c r="U401" s="32">
        <f t="shared" si="164"/>
        <v>0</v>
      </c>
      <c r="V401">
        <f>step3_validation[[#This Row],[AI_ENF2]]</f>
        <v>9</v>
      </c>
      <c r="W401" t="str">
        <f t="shared" si="165"/>
        <v>Support</v>
      </c>
      <c r="X401">
        <f>survey_responses[[#This Row],[Tôi tin rằng Nhà nước, cơ quan thuế có đủ khả năng và công nghệ để phát hiện, xử lý nghiêm các hành vi trốn thuế. - HUMAN-ENF2]]</f>
        <v>9</v>
      </c>
      <c r="Y401" t="str">
        <f t="shared" si="166"/>
        <v>Support</v>
      </c>
      <c r="Z401" s="32">
        <f t="shared" si="167"/>
        <v>0</v>
      </c>
      <c r="AA401">
        <f>step3_validation[[#This Row],[AI_FAC1]]</f>
        <v>8</v>
      </c>
      <c r="AB401" t="str">
        <f t="shared" si="168"/>
        <v>Support</v>
      </c>
      <c r="AC401">
        <f>survey_responses[[#This Row],[Các thủ tục khai báo thuế VÀ/HOẶC quy trình làm việc với cơ quan thuế đơn giản, tiện lợi, nhanh chóng hơn so với trước đây. - HUMAN-FAC1]]</f>
        <v>8</v>
      </c>
      <c r="AD401" t="str">
        <f t="shared" si="169"/>
        <v>Support</v>
      </c>
      <c r="AE401" s="32">
        <f t="shared" si="170"/>
        <v>0</v>
      </c>
      <c r="AF401">
        <f>step3_validation[[#This Row],[AI_FAC2]]</f>
        <v>9</v>
      </c>
      <c r="AG401" t="str">
        <f t="shared" si="171"/>
        <v>Support</v>
      </c>
      <c r="AH401">
        <f>survey_responses[[#This Row],[So với trước đây, tôi thấy cách tính thuế và các bậc thuế trong phương án mới đơn giản, dễ hiểu và dễ thực hiện hơn. - HUMAN-FAC2]]</f>
        <v>8</v>
      </c>
      <c r="AI401" t="str">
        <f t="shared" si="172"/>
        <v>Support</v>
      </c>
      <c r="AJ401" s="32">
        <f t="shared" si="173"/>
        <v>1</v>
      </c>
      <c r="AK401">
        <f>step3_validation[[#This Row],[AI_TRU1]]</f>
        <v>8</v>
      </c>
      <c r="AL401" t="str">
        <f t="shared" si="174"/>
        <v>Support</v>
      </c>
      <c r="AM401">
        <f>survey_responses[[#This Row],[Tôi tin rằng Nhà nước, cơ quan thuế sẽ thực thi chính sách mới một cách khách quan, công tâm và đối xử bình đẳng với mọi người nộp thuế.  - HUMAN-TRU1]]</f>
        <v>7</v>
      </c>
      <c r="AN401" t="str">
        <f t="shared" si="175"/>
        <v>Neutral</v>
      </c>
      <c r="AO401" s="32">
        <f t="shared" si="176"/>
        <v>1</v>
      </c>
      <c r="AP401">
        <f>step3_validation[[#This Row],[AI_TRU2]]</f>
        <v>9</v>
      </c>
      <c r="AQ401" t="str">
        <f t="shared" si="177"/>
        <v>Support</v>
      </c>
      <c r="AR401">
        <f>survey_responses[[#This Row],[Tôi thấy mức thuế tôi phải đóng theo phương án mới là công bằng (người thu nhập như tôi đóng mức này là hợp lý). - HUMAN-TRU2]]</f>
        <v>7</v>
      </c>
      <c r="AS401" t="str">
        <f t="shared" si="178"/>
        <v>Neutral</v>
      </c>
      <c r="AT401" s="32">
        <f t="shared" si="179"/>
        <v>2</v>
      </c>
      <c r="AU401">
        <f>step3_validation[[#This Row],[AI_TRU3]]</f>
        <v>8</v>
      </c>
      <c r="AV401" t="str">
        <f t="shared" si="180"/>
        <v>Support</v>
      </c>
      <c r="AW401">
        <f>survey_responses[[#This Row],[Tôi tin tưởng số tiền thuế tôi đóng sẽ được Nhà nước sử dụng hiệu quả để cải thiện dịch vụ công (y tế, đường xá...). - HUMAN-TRU3]]</f>
        <v>7</v>
      </c>
      <c r="AX401" t="str">
        <f t="shared" si="181"/>
        <v>Neutral</v>
      </c>
      <c r="AY401" s="32">
        <f t="shared" si="182"/>
        <v>1</v>
      </c>
      <c r="AZ401">
        <f>step3_validation[[#This Row],[AI_TRU4]]</f>
        <v>9</v>
      </c>
      <c r="BA401" t="str">
        <f t="shared" si="183"/>
        <v>Support</v>
      </c>
      <c r="BB401">
        <f>survey_responses[[#This Row],[Tôi thấy Nhà nước đã giải thích rõ ràng, minh bạch về lý do và mục tiêu của việc sửa đổi thuế lần này. - HUMAN-TRU4]]</f>
        <v>7</v>
      </c>
      <c r="BC401" t="str">
        <f t="shared" si="184"/>
        <v>Neutral</v>
      </c>
      <c r="BD401" s="32">
        <f t="shared" si="185"/>
        <v>2</v>
      </c>
      <c r="BE401">
        <f>step3_validation[[#This Row],[AI_OUT1]]</f>
        <v>8</v>
      </c>
      <c r="BF401" t="str">
        <f t="shared" si="186"/>
        <v>Support</v>
      </c>
      <c r="BG401">
        <f>survey_responses[[#This Row],[Sau khi xem xét các quyền lợi và nghĩa vụ, bạn có ủng hộ và tuân thủ chính sách mới hiện nay? - HUMAN-OUT1]]</f>
        <v>8</v>
      </c>
      <c r="BH401" t="str">
        <f t="shared" si="187"/>
        <v>Support</v>
      </c>
      <c r="BI401" s="32">
        <f t="shared" si="188"/>
        <v>0</v>
      </c>
    </row>
    <row r="402" spans="1:61" x14ac:dyDescent="0.45">
      <c r="A402" s="30">
        <f>step3_validation[[#This Row],[Persona_ID]]</f>
        <v>401</v>
      </c>
      <c r="B402" s="31">
        <f>step3_validation[[#This Row],[Used_Seed]]</f>
        <v>12745</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13.230576735736584</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7</v>
      </c>
      <c r="R402" t="str">
        <f t="shared" si="162"/>
        <v>Neutral</v>
      </c>
      <c r="S402">
        <f>survey_responses[[#This Row],[Tôi tin rằng với các quy định quản lý thuế hiện nay, hành vi gian lận hoặc trốn thuế sẽ dễ dàng bị phát hiện và xử lý nghiêm. - HUMAN-ENF1]]</f>
        <v>4</v>
      </c>
      <c r="T402" t="str">
        <f t="shared" si="163"/>
        <v>Oppose</v>
      </c>
      <c r="U402" s="32">
        <f t="shared" si="164"/>
        <v>3</v>
      </c>
      <c r="V402">
        <f>step3_validation[[#This Row],[AI_ENF2]]</f>
        <v>6</v>
      </c>
      <c r="W402" t="str">
        <f t="shared" si="165"/>
        <v>Neutral</v>
      </c>
      <c r="X402">
        <f>survey_responses[[#This Row],[Tôi tin rằng Nhà nước, cơ quan thuế có đủ khả năng và công nghệ để phát hiện, xử lý nghiêm các hành vi trốn thuế. - HUMAN-ENF2]]</f>
        <v>4</v>
      </c>
      <c r="Y402" t="str">
        <f t="shared" si="166"/>
        <v>Oppose</v>
      </c>
      <c r="Z402" s="32">
        <f t="shared" si="167"/>
        <v>2</v>
      </c>
      <c r="AA402">
        <f>step3_validation[[#This Row],[AI_FAC1]]</f>
        <v>8</v>
      </c>
      <c r="AB402" t="str">
        <f t="shared" si="168"/>
        <v>Support</v>
      </c>
      <c r="AC402">
        <f>survey_responses[[#This Row],[Các thủ tục khai báo thuế VÀ/HOẶC quy trình làm việc với cơ quan thuế đơn giản, tiện lợi, nhanh chóng hơn so với trước đây. - HUMAN-FAC1]]</f>
        <v>3</v>
      </c>
      <c r="AD402" t="str">
        <f t="shared" si="169"/>
        <v>Oppose</v>
      </c>
      <c r="AE402" s="32">
        <f t="shared" si="170"/>
        <v>5</v>
      </c>
      <c r="AF402">
        <f>step3_validation[[#This Row],[AI_FAC2]]</f>
        <v>9</v>
      </c>
      <c r="AG402" t="str">
        <f t="shared" si="171"/>
        <v>Support</v>
      </c>
      <c r="AH402">
        <f>survey_responses[[#This Row],[So với trước đây, tôi thấy cách tính thuế và các bậc thuế trong phương án mới đơn giản, dễ hiểu và dễ thực hiện hơn. - HUMAN-FAC2]]</f>
        <v>5</v>
      </c>
      <c r="AI402" t="str">
        <f t="shared" si="172"/>
        <v>Neutral</v>
      </c>
      <c r="AJ402" s="32">
        <f t="shared" si="173"/>
        <v>4</v>
      </c>
      <c r="AK402">
        <f>step3_validation[[#This Row],[AI_TRU1]]</f>
        <v>8</v>
      </c>
      <c r="AL402" t="str">
        <f t="shared" si="174"/>
        <v>Support</v>
      </c>
      <c r="AM402">
        <f>survey_responses[[#This Row],[Tôi tin rằng Nhà nước, cơ quan thuế sẽ thực thi chính sách mới một cách khách quan, công tâm và đối xử bình đẳng với mọi người nộp thuế.  - HUMAN-TRU1]]</f>
        <v>5</v>
      </c>
      <c r="AN402" t="str">
        <f t="shared" si="175"/>
        <v>Neutral</v>
      </c>
      <c r="AO402" s="32">
        <f t="shared" si="176"/>
        <v>3</v>
      </c>
      <c r="AP402">
        <f>step3_validation[[#This Row],[AI_TRU2]]</f>
        <v>7</v>
      </c>
      <c r="AQ402" t="str">
        <f t="shared" si="177"/>
        <v>Neutral</v>
      </c>
      <c r="AR402">
        <f>survey_responses[[#This Row],[Tôi thấy mức thuế tôi phải đóng theo phương án mới là công bằng (người thu nhập như tôi đóng mức này là hợp lý). - HUMAN-TRU2]]</f>
        <v>2</v>
      </c>
      <c r="AS402" t="str">
        <f t="shared" si="178"/>
        <v>Oppose</v>
      </c>
      <c r="AT402" s="32">
        <f t="shared" si="179"/>
        <v>5</v>
      </c>
      <c r="AU402">
        <f>step3_validation[[#This Row],[AI_TRU3]]</f>
        <v>9</v>
      </c>
      <c r="AV402" t="str">
        <f t="shared" si="180"/>
        <v>Support</v>
      </c>
      <c r="AW402">
        <f>survey_responses[[#This Row],[Tôi tin tưởng số tiền thuế tôi đóng sẽ được Nhà nước sử dụng hiệu quả để cải thiện dịch vụ công (y tế, đường xá...). - HUMAN-TRU3]]</f>
        <v>2</v>
      </c>
      <c r="AX402" t="str">
        <f t="shared" si="181"/>
        <v>Oppose</v>
      </c>
      <c r="AY402" s="32">
        <f t="shared" si="182"/>
        <v>7</v>
      </c>
      <c r="AZ402">
        <f>step3_validation[[#This Row],[AI_TRU4]]</f>
        <v>8</v>
      </c>
      <c r="BA402" t="str">
        <f t="shared" si="183"/>
        <v>Support</v>
      </c>
      <c r="BB402">
        <f>survey_responses[[#This Row],[Tôi thấy Nhà nước đã giải thích rõ ràng, minh bạch về lý do và mục tiêu của việc sửa đổi thuế lần này. - HUMAN-TRU4]]</f>
        <v>5</v>
      </c>
      <c r="BC402" t="str">
        <f t="shared" si="184"/>
        <v>Neutral</v>
      </c>
      <c r="BD402" s="32">
        <f t="shared" si="185"/>
        <v>3</v>
      </c>
      <c r="BE402">
        <f>step3_validation[[#This Row],[AI_OUT1]]</f>
        <v>9</v>
      </c>
      <c r="BF402" t="str">
        <f t="shared" si="186"/>
        <v>Support</v>
      </c>
      <c r="BG402">
        <f>survey_responses[[#This Row],[Sau khi xem xét các quyền lợi và nghĩa vụ, bạn có ủng hộ và tuân thủ chính sách mới hiện nay? - HUMAN-OUT1]]</f>
        <v>2</v>
      </c>
      <c r="BH402" t="str">
        <f t="shared" si="187"/>
        <v>Oppose</v>
      </c>
      <c r="BI402" s="32">
        <f t="shared" si="188"/>
        <v>7</v>
      </c>
    </row>
    <row r="403" spans="1:61" x14ac:dyDescent="0.45">
      <c r="A403" s="30">
        <f>step3_validation[[#This Row],[Persona_ID]]</f>
        <v>402</v>
      </c>
      <c r="B403" s="31">
        <f>step3_validation[[#This Row],[Used_Seed]]</f>
        <v>12746</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223.22624100216419</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t="str">
        <f t="shared" si="162"/>
        <v>Neutral</v>
      </c>
      <c r="S403">
        <f>survey_responses[[#This Row],[Tôi tin rằng với các quy định quản lý thuế hiện nay, hành vi gian lận hoặc trốn thuế sẽ dễ dàng bị phát hiện và xử lý nghiêm. - HUMAN-ENF1]]</f>
        <v>7</v>
      </c>
      <c r="T403" t="str">
        <f t="shared" si="163"/>
        <v>Neutral</v>
      </c>
      <c r="U403" s="32">
        <f t="shared" si="164"/>
        <v>0</v>
      </c>
      <c r="V403">
        <f>step3_validation[[#This Row],[AI_ENF2]]</f>
        <v>6</v>
      </c>
      <c r="W403" t="str">
        <f t="shared" si="165"/>
        <v>Neutral</v>
      </c>
      <c r="X403">
        <f>survey_responses[[#This Row],[Tôi tin rằng Nhà nước, cơ quan thuế có đủ khả năng và công nghệ để phát hiện, xử lý nghiêm các hành vi trốn thuế. - HUMAN-ENF2]]</f>
        <v>7</v>
      </c>
      <c r="Y403" t="str">
        <f t="shared" si="166"/>
        <v>Neutral</v>
      </c>
      <c r="Z403" s="32">
        <f t="shared" si="167"/>
        <v>1</v>
      </c>
      <c r="AA403">
        <f>step3_validation[[#This Row],[AI_FAC1]]</f>
        <v>8</v>
      </c>
      <c r="AB403" t="str">
        <f t="shared" si="168"/>
        <v>Support</v>
      </c>
      <c r="AC403">
        <f>survey_responses[[#This Row],[Các thủ tục khai báo thuế VÀ/HOẶC quy trình làm việc với cơ quan thuế đơn giản, tiện lợi, nhanh chóng hơn so với trước đây. - HUMAN-FAC1]]</f>
        <v>4</v>
      </c>
      <c r="AD403" t="str">
        <f t="shared" si="169"/>
        <v>Oppose</v>
      </c>
      <c r="AE403" s="32">
        <f t="shared" si="170"/>
        <v>4</v>
      </c>
      <c r="AF403">
        <f>step3_validation[[#This Row],[AI_FAC2]]</f>
        <v>9</v>
      </c>
      <c r="AG403" t="str">
        <f t="shared" si="171"/>
        <v>Support</v>
      </c>
      <c r="AH403">
        <f>survey_responses[[#This Row],[So với trước đây, tôi thấy cách tính thuế và các bậc thuế trong phương án mới đơn giản, dễ hiểu và dễ thực hiện hơn. - HUMAN-FAC2]]</f>
        <v>6</v>
      </c>
      <c r="AI403" t="str">
        <f t="shared" si="172"/>
        <v>Neutral</v>
      </c>
      <c r="AJ403" s="32">
        <f t="shared" si="173"/>
        <v>3</v>
      </c>
      <c r="AK403">
        <f>step3_validation[[#This Row],[AI_TRU1]]</f>
        <v>8</v>
      </c>
      <c r="AL403" t="str">
        <f t="shared" si="174"/>
        <v>Support</v>
      </c>
      <c r="AM403">
        <f>survey_responses[[#This Row],[Tôi tin rằng Nhà nước, cơ quan thuế sẽ thực thi chính sách mới một cách khách quan, công tâm và đối xử bình đẳng với mọi người nộp thuế.  - HUMAN-TRU1]]</f>
        <v>5</v>
      </c>
      <c r="AN403" t="str">
        <f t="shared" si="175"/>
        <v>Neutral</v>
      </c>
      <c r="AO403" s="32">
        <f t="shared" si="176"/>
        <v>3</v>
      </c>
      <c r="AP403">
        <f>step3_validation[[#This Row],[AI_TRU2]]</f>
        <v>9</v>
      </c>
      <c r="AQ403" t="str">
        <f t="shared" si="177"/>
        <v>Support</v>
      </c>
      <c r="AR403">
        <f>survey_responses[[#This Row],[Tôi thấy mức thuế tôi phải đóng theo phương án mới là công bằng (người thu nhập như tôi đóng mức này là hợp lý). - HUMAN-TRU2]]</f>
        <v>4</v>
      </c>
      <c r="AS403" t="str">
        <f t="shared" si="178"/>
        <v>Oppose</v>
      </c>
      <c r="AT403" s="32">
        <f t="shared" si="179"/>
        <v>5</v>
      </c>
      <c r="AU403">
        <f>step3_validation[[#This Row],[AI_TRU3]]</f>
        <v>8</v>
      </c>
      <c r="AV403" t="str">
        <f t="shared" si="180"/>
        <v>Support</v>
      </c>
      <c r="AW403">
        <f>survey_responses[[#This Row],[Tôi tin tưởng số tiền thuế tôi đóng sẽ được Nhà nước sử dụng hiệu quả để cải thiện dịch vụ công (y tế, đường xá...). - HUMAN-TRU3]]</f>
        <v>5</v>
      </c>
      <c r="AX403" t="str">
        <f t="shared" si="181"/>
        <v>Neutral</v>
      </c>
      <c r="AY403" s="32">
        <f t="shared" si="182"/>
        <v>3</v>
      </c>
      <c r="AZ403">
        <f>step3_validation[[#This Row],[AI_TRU4]]</f>
        <v>7</v>
      </c>
      <c r="BA403" t="str">
        <f t="shared" si="183"/>
        <v>Neutral</v>
      </c>
      <c r="BB403">
        <f>survey_responses[[#This Row],[Tôi thấy Nhà nước đã giải thích rõ ràng, minh bạch về lý do và mục tiêu của việc sửa đổi thuế lần này. - HUMAN-TRU4]]</f>
        <v>5</v>
      </c>
      <c r="BC403" t="str">
        <f t="shared" si="184"/>
        <v>Neutral</v>
      </c>
      <c r="BD403" s="32">
        <f t="shared" si="185"/>
        <v>2</v>
      </c>
      <c r="BE403">
        <f>step3_validation[[#This Row],[AI_OUT1]]</f>
        <v>9</v>
      </c>
      <c r="BF403" t="str">
        <f t="shared" si="186"/>
        <v>Support</v>
      </c>
      <c r="BG403">
        <f>survey_responses[[#This Row],[Sau khi xem xét các quyền lợi và nghĩa vụ, bạn có ủng hộ và tuân thủ chính sách mới hiện nay? - HUMAN-OUT1]]</f>
        <v>5</v>
      </c>
      <c r="BH403" t="str">
        <f t="shared" si="187"/>
        <v>Neutral</v>
      </c>
      <c r="BI403" s="32">
        <f t="shared" si="188"/>
        <v>4</v>
      </c>
    </row>
    <row r="404" spans="1:61" x14ac:dyDescent="0.45">
      <c r="A404" s="30">
        <f>step3_validation[[#This Row],[Persona_ID]]</f>
        <v>403</v>
      </c>
      <c r="B404" s="31">
        <f>step3_validation[[#This Row],[Used_Seed]]</f>
        <v>12747</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29.431749745655683</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t="str">
        <f t="shared" si="162"/>
        <v>Neutral</v>
      </c>
      <c r="S404">
        <f>survey_responses[[#This Row],[Tôi tin rằng với các quy định quản lý thuế hiện nay, hành vi gian lận hoặc trốn thuế sẽ dễ dàng bị phát hiện và xử lý nghiêm. - HUMAN-ENF1]]</f>
        <v>7</v>
      </c>
      <c r="T404" t="str">
        <f t="shared" si="163"/>
        <v>Neutral</v>
      </c>
      <c r="U404" s="32">
        <f t="shared" si="164"/>
        <v>0</v>
      </c>
      <c r="V404">
        <f>step3_validation[[#This Row],[AI_ENF2]]</f>
        <v>8</v>
      </c>
      <c r="W404" t="str">
        <f t="shared" si="165"/>
        <v>Support</v>
      </c>
      <c r="X404">
        <f>survey_responses[[#This Row],[Tôi tin rằng Nhà nước, cơ quan thuế có đủ khả năng và công nghệ để phát hiện, xử lý nghiêm các hành vi trốn thuế. - HUMAN-ENF2]]</f>
        <v>7</v>
      </c>
      <c r="Y404" t="str">
        <f t="shared" si="166"/>
        <v>Neutral</v>
      </c>
      <c r="Z404" s="32">
        <f t="shared" si="167"/>
        <v>1</v>
      </c>
      <c r="AA404">
        <f>step3_validation[[#This Row],[AI_FAC1]]</f>
        <v>9</v>
      </c>
      <c r="AB404" t="str">
        <f t="shared" si="168"/>
        <v>Support</v>
      </c>
      <c r="AC404">
        <f>survey_responses[[#This Row],[Các thủ tục khai báo thuế VÀ/HOẶC quy trình làm việc với cơ quan thuế đơn giản, tiện lợi, nhanh chóng hơn so với trước đây. - HUMAN-FAC1]]</f>
        <v>7</v>
      </c>
      <c r="AD404" t="str">
        <f t="shared" si="169"/>
        <v>Neutral</v>
      </c>
      <c r="AE404" s="32">
        <f t="shared" si="170"/>
        <v>2</v>
      </c>
      <c r="AF404">
        <f>step3_validation[[#This Row],[AI_FAC2]]</f>
        <v>8</v>
      </c>
      <c r="AG404" t="str">
        <f t="shared" si="171"/>
        <v>Support</v>
      </c>
      <c r="AH404">
        <f>survey_responses[[#This Row],[So với trước đây, tôi thấy cách tính thuế và các bậc thuế trong phương án mới đơn giản, dễ hiểu và dễ thực hiện hơn. - HUMAN-FAC2]]</f>
        <v>7</v>
      </c>
      <c r="AI404" t="str">
        <f t="shared" si="172"/>
        <v>Neutral</v>
      </c>
      <c r="AJ404" s="32">
        <f t="shared" si="173"/>
        <v>1</v>
      </c>
      <c r="AK404">
        <f>step3_validation[[#This Row],[AI_TRU1]]</f>
        <v>6</v>
      </c>
      <c r="AL404" t="str">
        <f t="shared" si="174"/>
        <v>Neutral</v>
      </c>
      <c r="AM404">
        <f>survey_responses[[#This Row],[Tôi tin rằng Nhà nước, cơ quan thuế sẽ thực thi chính sách mới một cách khách quan, công tâm và đối xử bình đẳng với mọi người nộp thuế.  - HUMAN-TRU1]]</f>
        <v>7</v>
      </c>
      <c r="AN404" t="str">
        <f t="shared" si="175"/>
        <v>Neutral</v>
      </c>
      <c r="AO404" s="32">
        <f t="shared" si="176"/>
        <v>1</v>
      </c>
      <c r="AP404">
        <f>step3_validation[[#This Row],[AI_TRU2]]</f>
        <v>9</v>
      </c>
      <c r="AQ404" t="str">
        <f t="shared" si="177"/>
        <v>Support</v>
      </c>
      <c r="AR404">
        <f>survey_responses[[#This Row],[Tôi thấy mức thuế tôi phải đóng theo phương án mới là công bằng (người thu nhập như tôi đóng mức này là hợp lý). - HUMAN-TRU2]]</f>
        <v>7</v>
      </c>
      <c r="AS404" t="str">
        <f t="shared" si="178"/>
        <v>Neutral</v>
      </c>
      <c r="AT404" s="32">
        <f t="shared" si="179"/>
        <v>2</v>
      </c>
      <c r="AU404">
        <f>step3_validation[[#This Row],[AI_TRU3]]</f>
        <v>7</v>
      </c>
      <c r="AV404" t="str">
        <f t="shared" si="180"/>
        <v>Neutral</v>
      </c>
      <c r="AW404">
        <f>survey_responses[[#This Row],[Tôi tin tưởng số tiền thuế tôi đóng sẽ được Nhà nước sử dụng hiệu quả để cải thiện dịch vụ công (y tế, đường xá...). - HUMAN-TRU3]]</f>
        <v>7</v>
      </c>
      <c r="AX404" t="str">
        <f t="shared" si="181"/>
        <v>Neutral</v>
      </c>
      <c r="AY404" s="32">
        <f t="shared" si="182"/>
        <v>0</v>
      </c>
      <c r="AZ404">
        <f>step3_validation[[#This Row],[AI_TRU4]]</f>
        <v>8</v>
      </c>
      <c r="BA404" t="str">
        <f t="shared" si="183"/>
        <v>Support</v>
      </c>
      <c r="BB404">
        <f>survey_responses[[#This Row],[Tôi thấy Nhà nước đã giải thích rõ ràng, minh bạch về lý do và mục tiêu của việc sửa đổi thuế lần này. - HUMAN-TRU4]]</f>
        <v>7</v>
      </c>
      <c r="BC404" t="str">
        <f t="shared" si="184"/>
        <v>Neutral</v>
      </c>
      <c r="BD404" s="32">
        <f t="shared" si="185"/>
        <v>1</v>
      </c>
      <c r="BE404">
        <f>step3_validation[[#This Row],[AI_OUT1]]</f>
        <v>9</v>
      </c>
      <c r="BF404" t="str">
        <f t="shared" si="186"/>
        <v>Support</v>
      </c>
      <c r="BG404">
        <f>survey_responses[[#This Row],[Sau khi xem xét các quyền lợi và nghĩa vụ, bạn có ủng hộ và tuân thủ chính sách mới hiện nay? - HUMAN-OUT1]]</f>
        <v>7</v>
      </c>
      <c r="BH404" t="str">
        <f t="shared" si="187"/>
        <v>Neutral</v>
      </c>
      <c r="BI404" s="32">
        <f t="shared" si="188"/>
        <v>2</v>
      </c>
    </row>
    <row r="405" spans="1:61" x14ac:dyDescent="0.45">
      <c r="U405">
        <f>AVERAGE(U2:U404)</f>
        <v>1.9280397022332507</v>
      </c>
      <c r="Z405">
        <f>AVERAGE(Z2:Z404)</f>
        <v>1.903225806451613</v>
      </c>
      <c r="AE405">
        <f>AVERAGE(AE2:AE404)</f>
        <v>2.5459057071960296</v>
      </c>
      <c r="AJ405">
        <f>AVERAGE(AJ2:AJ404)</f>
        <v>1.8263027295285359</v>
      </c>
      <c r="AO405">
        <f>AVERAGE(AO2:AO404)</f>
        <v>2.096774193548387</v>
      </c>
      <c r="AT405">
        <f>AVERAGE(AT2:AT404)</f>
        <v>2.498759305210918</v>
      </c>
      <c r="AY405">
        <f>AVERAGE(AY2:AY404)</f>
        <v>2.4565756823821339</v>
      </c>
      <c r="BD405">
        <f>AVERAGE(BD2:BD404)</f>
        <v>2.0049627791563274</v>
      </c>
      <c r="BI405">
        <f>AVERAGE(BI2:BI404)</f>
        <v>2.2655086848635237</v>
      </c>
    </row>
    <row r="406" spans="1:61" x14ac:dyDescent="0.45">
      <c r="Q406" t="s">
        <v>1</v>
      </c>
      <c r="R406">
        <f>COUNTIF($R$2:$R$404,"Oppose")</f>
        <v>6</v>
      </c>
      <c r="S406" t="s">
        <v>1</v>
      </c>
      <c r="T406">
        <f>COUNTIF($T$2:$T$404,"Oppose")</f>
        <v>55</v>
      </c>
      <c r="V406" t="s">
        <v>1</v>
      </c>
      <c r="W406">
        <f>COUNTIF($W$2:$W$404,"Oppose")</f>
        <v>5</v>
      </c>
      <c r="X406" t="s">
        <v>1</v>
      </c>
      <c r="Y406">
        <f>COUNTIF($Y$2:$Y$404,"Oppose")</f>
        <v>45</v>
      </c>
      <c r="AA406" t="s">
        <v>1</v>
      </c>
      <c r="AB406">
        <f>COUNTIF($AB$2:$AB$404,"Oppose")</f>
        <v>1</v>
      </c>
      <c r="AC406" t="s">
        <v>1</v>
      </c>
      <c r="AD406">
        <f>COUNTIF($AD$2:$AD$404,"Oppose")</f>
        <v>83</v>
      </c>
      <c r="AF406" t="s">
        <v>1</v>
      </c>
      <c r="AG406">
        <f>COUNTIF($AG$2:$AG$404,"Oppose")</f>
        <v>0</v>
      </c>
      <c r="AH406" t="s">
        <v>1</v>
      </c>
      <c r="AI406">
        <f>COUNTIF($AI$2:$AI$404,"Oppose")</f>
        <v>21</v>
      </c>
      <c r="AK406" t="s">
        <v>1</v>
      </c>
      <c r="AL406">
        <f>COUNTIF($AL$2:$AL$404,"Oppose")</f>
        <v>4</v>
      </c>
      <c r="AM406" t="s">
        <v>1</v>
      </c>
      <c r="AN406">
        <f>COUNTIF($AN$2:$AN$404,"Oppose")</f>
        <v>57</v>
      </c>
      <c r="AP406" t="s">
        <v>1</v>
      </c>
      <c r="AQ406">
        <f>COUNTIF($AQ$2:$AQ$404,"Oppose")</f>
        <v>0</v>
      </c>
      <c r="AR406" t="s">
        <v>1</v>
      </c>
      <c r="AS406">
        <f>COUNTIF($AS$2:$AS$404,"Oppose")</f>
        <v>70</v>
      </c>
      <c r="AU406" t="s">
        <v>1</v>
      </c>
      <c r="AV406">
        <f>COUNTIF($AV$2:$AV$404,"Oppose")</f>
        <v>1</v>
      </c>
      <c r="AW406" t="s">
        <v>1</v>
      </c>
      <c r="AX406">
        <f>COUNTIF($AX$2:$AX$404,"Oppose")</f>
        <v>72</v>
      </c>
      <c r="AZ406" t="s">
        <v>1</v>
      </c>
      <c r="BA406">
        <f>COUNTIF($BA$2:$BA$404,"Oppose")</f>
        <v>0</v>
      </c>
      <c r="BB406" t="s">
        <v>1</v>
      </c>
      <c r="BC406">
        <f>COUNTIF($BC$2:$BC$404,"Oppose")</f>
        <v>46</v>
      </c>
      <c r="BE406" t="s">
        <v>1</v>
      </c>
      <c r="BF406">
        <f>COUNTIF($BF$2:$BF$404,"Oppose")</f>
        <v>0</v>
      </c>
      <c r="BG406" t="s">
        <v>1</v>
      </c>
      <c r="BH406">
        <f>COUNTIF($BH$2:$BH$404,"Oppose")</f>
        <v>35</v>
      </c>
    </row>
    <row r="407" spans="1:61" x14ac:dyDescent="0.45">
      <c r="Q407" t="s">
        <v>2</v>
      </c>
      <c r="R407">
        <f>COUNTIF($R$2:$R$404,"Neutral")</f>
        <v>289</v>
      </c>
      <c r="S407" t="s">
        <v>2</v>
      </c>
      <c r="T407">
        <f>COUNTIF($T$2:$T$404,"Neutral")</f>
        <v>180</v>
      </c>
      <c r="V407" t="s">
        <v>2</v>
      </c>
      <c r="W407">
        <f>COUNTIF($W$2:$W$404,"Neutral")</f>
        <v>214</v>
      </c>
      <c r="X407" t="s">
        <v>2</v>
      </c>
      <c r="Y407">
        <f>COUNTIF($Y$2:$Y$404,"Neutral")</f>
        <v>166</v>
      </c>
      <c r="AA407" t="s">
        <v>2</v>
      </c>
      <c r="AB407">
        <f>COUNTIF($AB$2:$AB$404,"Neutral")</f>
        <v>78</v>
      </c>
      <c r="AC407" t="s">
        <v>2</v>
      </c>
      <c r="AD407">
        <f>COUNTIF($AD$2:$AD$404,"Neutral")</f>
        <v>177</v>
      </c>
      <c r="AF407" t="s">
        <v>2</v>
      </c>
      <c r="AG407">
        <f>COUNTIF($AG$2:$AG$404,"Neutral")</f>
        <v>12</v>
      </c>
      <c r="AH407" t="s">
        <v>2</v>
      </c>
      <c r="AI407">
        <f>COUNTIF($AI$2:$AI$404,"Neutral")</f>
        <v>185</v>
      </c>
      <c r="AK407" t="s">
        <v>2</v>
      </c>
      <c r="AL407">
        <f>COUNTIF($AL$2:$AL$404,"Neutral")</f>
        <v>192</v>
      </c>
      <c r="AM407" t="s">
        <v>2</v>
      </c>
      <c r="AN407">
        <f>COUNTIF($AN$2:$AN$404,"Neutral")</f>
        <v>218</v>
      </c>
      <c r="AP407" t="s">
        <v>2</v>
      </c>
      <c r="AQ407">
        <f>COUNTIF($AQ$2:$AQ$404,"Neutral")</f>
        <v>25</v>
      </c>
      <c r="AR407" t="s">
        <v>2</v>
      </c>
      <c r="AS407">
        <f>COUNTIF($AS$2:$AS$404,"Neutral")</f>
        <v>178</v>
      </c>
      <c r="AU407" t="s">
        <v>2</v>
      </c>
      <c r="AV407">
        <f>COUNTIF($AV$2:$AV$404,"Neutral")</f>
        <v>173</v>
      </c>
      <c r="AW407" t="s">
        <v>2</v>
      </c>
      <c r="AX407">
        <f>COUNTIF($AX$2:$AX$404,"Neutral")</f>
        <v>217</v>
      </c>
      <c r="AZ407" t="s">
        <v>2</v>
      </c>
      <c r="BA407">
        <f>COUNTIF($BA$2:$BA$404,"Neutral")</f>
        <v>180</v>
      </c>
      <c r="BB407" t="s">
        <v>2</v>
      </c>
      <c r="BC407">
        <f>COUNTIF($BC$2:$BC$404,"Neutral")</f>
        <v>235</v>
      </c>
      <c r="BE407" t="s">
        <v>2</v>
      </c>
      <c r="BF407">
        <f>COUNTIF($BF$2:$BF$404,"Neutral")</f>
        <v>15</v>
      </c>
      <c r="BG407" t="s">
        <v>2</v>
      </c>
      <c r="BH407">
        <f>COUNTIF($BH$2:$BH$404,"Neutral")</f>
        <v>194</v>
      </c>
    </row>
    <row r="408" spans="1:61" x14ac:dyDescent="0.45">
      <c r="Q408" t="s">
        <v>3</v>
      </c>
      <c r="R408">
        <f>COUNTIF($R$2:$R$404,"Support")</f>
        <v>108</v>
      </c>
      <c r="S408" t="s">
        <v>3</v>
      </c>
      <c r="T408">
        <f>COUNTIF($T$2:$T$404,"Support")</f>
        <v>168</v>
      </c>
      <c r="V408" t="s">
        <v>3</v>
      </c>
      <c r="W408">
        <f>COUNTIF($W$2:$W$404,"Support")</f>
        <v>184</v>
      </c>
      <c r="X408" t="s">
        <v>3</v>
      </c>
      <c r="Y408">
        <f>COUNTIF($Y$2:$Y$404,"Support")</f>
        <v>192</v>
      </c>
      <c r="AA408" t="s">
        <v>3</v>
      </c>
      <c r="AB408">
        <f>COUNTIF($AB$2:$AB$404,"Support")</f>
        <v>324</v>
      </c>
      <c r="AC408" t="s">
        <v>3</v>
      </c>
      <c r="AD408">
        <f>COUNTIF($AD$2:$AD$404,"Support")</f>
        <v>143</v>
      </c>
      <c r="AF408" t="s">
        <v>3</v>
      </c>
      <c r="AG408">
        <f>COUNTIF($AG$2:$AG$404,"Support")</f>
        <v>391</v>
      </c>
      <c r="AH408" t="s">
        <v>3</v>
      </c>
      <c r="AI408">
        <f>COUNTIF($AI$2:$AI$404,"Support")</f>
        <v>197</v>
      </c>
      <c r="AK408" t="s">
        <v>3</v>
      </c>
      <c r="AL408">
        <f>COUNTIF($AL$2:$AL$404,"Support")</f>
        <v>205</v>
      </c>
      <c r="AM408" t="s">
        <v>3</v>
      </c>
      <c r="AN408">
        <f>COUNTIF($AN$2:$AN$404,"Support")</f>
        <v>128</v>
      </c>
      <c r="AP408" t="s">
        <v>3</v>
      </c>
      <c r="AQ408">
        <f>COUNTIF($AQ$2:$AQ$404,"Support")</f>
        <v>376</v>
      </c>
      <c r="AR408" t="s">
        <v>3</v>
      </c>
      <c r="AS408">
        <f>COUNTIF($AS$2:$AS$404,"Support")</f>
        <v>155</v>
      </c>
      <c r="AU408" t="s">
        <v>3</v>
      </c>
      <c r="AV408">
        <f>COUNTIF($AV$2:$AV$404,"Support")</f>
        <v>227</v>
      </c>
      <c r="AW408" t="s">
        <v>3</v>
      </c>
      <c r="AX408">
        <f>COUNTIF($AX$2:$AX$404,"Support")</f>
        <v>114</v>
      </c>
      <c r="AZ408" t="s">
        <v>3</v>
      </c>
      <c r="BA408">
        <f>COUNTIF($BA$2:$BA$404,"Support")</f>
        <v>221</v>
      </c>
      <c r="BB408" t="s">
        <v>3</v>
      </c>
      <c r="BC408">
        <f>COUNTIF($BC$2:$BC$404,"Support")</f>
        <v>122</v>
      </c>
      <c r="BE408" t="s">
        <v>3</v>
      </c>
      <c r="BF408">
        <f>COUNTIF($BF$2:$BF$404,"Support")</f>
        <v>386</v>
      </c>
      <c r="BG408" t="s">
        <v>3</v>
      </c>
      <c r="BH408">
        <f>COUNTIF($BH$2:$BH$404,"Support")</f>
        <v>174</v>
      </c>
    </row>
    <row r="409" spans="1:61" x14ac:dyDescent="0.45">
      <c r="R409">
        <f>SUM(R406:R408)</f>
        <v>403</v>
      </c>
      <c r="T409">
        <f>SUM(T406:T408)</f>
        <v>403</v>
      </c>
      <c r="W409">
        <f>SUM(W406:W408)</f>
        <v>403</v>
      </c>
      <c r="Y409">
        <f>SUM(Y406:Y408)</f>
        <v>403</v>
      </c>
      <c r="AB409">
        <f>SUM(AB406:AB408)</f>
        <v>403</v>
      </c>
      <c r="AD409">
        <f>SUM(AD406:AD408)</f>
        <v>403</v>
      </c>
      <c r="AG409">
        <f>SUM(AG406:AG408)</f>
        <v>403</v>
      </c>
      <c r="AI409">
        <f>SUM(AI406:AI408)</f>
        <v>403</v>
      </c>
      <c r="AL409">
        <f>SUM(AL406:AL408)</f>
        <v>401</v>
      </c>
      <c r="AN409">
        <f>SUM(AN406:AN408)</f>
        <v>403</v>
      </c>
      <c r="AQ409">
        <f>SUM(AQ406:AQ408)</f>
        <v>401</v>
      </c>
      <c r="AS409">
        <f>SUM(AS406:AS408)</f>
        <v>403</v>
      </c>
      <c r="AV409">
        <f>SUM(AV406:AV408)</f>
        <v>401</v>
      </c>
      <c r="AX409">
        <f>SUM(AX406:AX408)</f>
        <v>403</v>
      </c>
      <c r="BA409">
        <f>SUM(BA406:BA408)</f>
        <v>401</v>
      </c>
      <c r="BC409">
        <f>SUM(BC406:BC408)</f>
        <v>403</v>
      </c>
      <c r="BF409">
        <f>SUM(BF406:BF408)</f>
        <v>401</v>
      </c>
      <c r="BH409">
        <f>SUM(BH406:BH408)</f>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56B3-4301-4BDB-8555-EADDFD44B655}">
  <dimension ref="A1:BI405"/>
  <sheetViews>
    <sheetView topLeftCell="AP375" workbookViewId="0">
      <selection activeCell="BC405" sqref="BC405"/>
    </sheetView>
  </sheetViews>
  <sheetFormatPr defaultRowHeight="14.25" x14ac:dyDescent="0.45"/>
  <cols>
    <col min="1" max="16" width="0" hidden="1" customWidth="1"/>
  </cols>
  <sheetData>
    <row r="1" spans="1:61" s="23" customFormat="1" x14ac:dyDescent="0.45">
      <c r="A1" s="17" t="s">
        <v>37</v>
      </c>
      <c r="B1" s="18" t="s">
        <v>198</v>
      </c>
      <c r="C1" s="18" t="s">
        <v>112</v>
      </c>
      <c r="D1" s="18" t="s">
        <v>113</v>
      </c>
      <c r="E1" s="18" t="s">
        <v>114</v>
      </c>
      <c r="F1" s="18" t="s">
        <v>115</v>
      </c>
      <c r="G1" s="18" t="s">
        <v>116</v>
      </c>
      <c r="H1" s="18" t="s">
        <v>117</v>
      </c>
      <c r="I1" s="18" t="s">
        <v>118</v>
      </c>
      <c r="J1" s="18" t="s">
        <v>119</v>
      </c>
      <c r="K1" s="18" t="s">
        <v>120</v>
      </c>
      <c r="L1" s="18" t="s">
        <v>121</v>
      </c>
      <c r="M1" s="18" t="s">
        <v>122</v>
      </c>
      <c r="N1" s="18" t="s">
        <v>123</v>
      </c>
      <c r="O1" s="18" t="s">
        <v>124</v>
      </c>
      <c r="P1" s="18" t="s">
        <v>125</v>
      </c>
      <c r="Q1" s="21" t="s">
        <v>45</v>
      </c>
      <c r="R1" s="21" t="s">
        <v>227</v>
      </c>
      <c r="S1" s="21" t="s">
        <v>126</v>
      </c>
      <c r="T1" s="21" t="s">
        <v>228</v>
      </c>
      <c r="U1" s="22" t="s">
        <v>48</v>
      </c>
      <c r="V1" s="22" t="s">
        <v>229</v>
      </c>
      <c r="W1" s="22" t="s">
        <v>131</v>
      </c>
      <c r="X1" s="22" t="s">
        <v>230</v>
      </c>
      <c r="Y1" s="18" t="s">
        <v>244</v>
      </c>
      <c r="Z1" s="20" t="s">
        <v>245</v>
      </c>
      <c r="AA1" s="21" t="s">
        <v>51</v>
      </c>
      <c r="AB1" s="21" t="s">
        <v>231</v>
      </c>
      <c r="AC1" s="21" t="s">
        <v>135</v>
      </c>
      <c r="AD1" s="21" t="s">
        <v>232</v>
      </c>
      <c r="AE1" s="22" t="s">
        <v>54</v>
      </c>
      <c r="AF1" s="22" t="s">
        <v>233</v>
      </c>
      <c r="AG1" s="22" t="s">
        <v>139</v>
      </c>
      <c r="AH1" s="22" t="s">
        <v>234</v>
      </c>
      <c r="AI1" s="18" t="s">
        <v>246</v>
      </c>
      <c r="AJ1" s="22" t="s">
        <v>247</v>
      </c>
      <c r="AK1" s="21" t="s">
        <v>57</v>
      </c>
      <c r="AL1" s="21" t="s">
        <v>235</v>
      </c>
      <c r="AM1" s="21" t="s">
        <v>143</v>
      </c>
      <c r="AN1" s="21" t="s">
        <v>236</v>
      </c>
      <c r="AO1" s="22" t="s">
        <v>60</v>
      </c>
      <c r="AP1" s="22" t="s">
        <v>237</v>
      </c>
      <c r="AQ1" s="22" t="s">
        <v>147</v>
      </c>
      <c r="AR1" s="22" t="s">
        <v>238</v>
      </c>
      <c r="AS1" s="21" t="s">
        <v>63</v>
      </c>
      <c r="AT1" s="21" t="s">
        <v>239</v>
      </c>
      <c r="AU1" s="21" t="s">
        <v>151</v>
      </c>
      <c r="AV1" s="21" t="s">
        <v>240</v>
      </c>
      <c r="AW1" s="22" t="s">
        <v>66</v>
      </c>
      <c r="AX1" s="22" t="s">
        <v>241</v>
      </c>
      <c r="AY1" s="22" t="s">
        <v>155</v>
      </c>
      <c r="AZ1" s="22" t="s">
        <v>156</v>
      </c>
      <c r="BA1" s="21" t="s">
        <v>248</v>
      </c>
      <c r="BB1" s="22" t="s">
        <v>249</v>
      </c>
      <c r="BC1" s="22" t="s">
        <v>250</v>
      </c>
      <c r="BD1" s="22" t="s">
        <v>251</v>
      </c>
      <c r="BE1" s="21" t="s">
        <v>69</v>
      </c>
      <c r="BF1" s="21" t="s">
        <v>242</v>
      </c>
      <c r="BG1" s="21" t="s">
        <v>159</v>
      </c>
      <c r="BH1" s="21" t="s">
        <v>243</v>
      </c>
      <c r="BI1" s="21" t="s">
        <v>161</v>
      </c>
    </row>
    <row r="2" spans="1:61" x14ac:dyDescent="0.45">
      <c r="A2" s="30">
        <f>step3_validation[[#This Row],[Persona_ID]]</f>
        <v>1</v>
      </c>
      <c r="B2" s="31">
        <f>step3_validation[[#This Row],[Used_Seed]]</f>
        <v>12345</v>
      </c>
      <c r="C2" t="str">
        <f>step3_validation[[#This Row],[Gender]]</f>
        <v>Nữ</v>
      </c>
      <c r="D2" t="str">
        <f>survey_responses[[#This Row],[Giới tính của bạn:]]</f>
        <v>Nữ</v>
      </c>
      <c r="E2" t="str">
        <f>step3_validation[[#This Row],[Age_Group]]</f>
        <v>25 - 29</v>
      </c>
      <c r="F2" t="str">
        <f>survey_responses[[#This Row],[Độ tuổi của bạn:]]</f>
        <v>25 - 29</v>
      </c>
      <c r="G2" t="str">
        <f>step3_validation[[#This Row],[Region]]</f>
        <v>Thành thị</v>
      </c>
      <c r="H2" t="str">
        <f>survey_responses[[#This Row],[Khu vực bạn đang sinh sống:]]</f>
        <v>Thành thị</v>
      </c>
      <c r="I2" t="str">
        <f>step3_validation[[#This Row],[Education]]</f>
        <v>Đại học</v>
      </c>
      <c r="J2" t="str">
        <f>survey_responses[[#This Row],[Trình độ học vấn cao nhất:]]</f>
        <v>Đại học</v>
      </c>
      <c r="K2" t="str">
        <f>step3_validation[[#This Row],[Employment]]</f>
        <v>Chính thức</v>
      </c>
      <c r="L2" t="str">
        <f>survey_responses[[#This Row],[Tình trạng việc làm chính:]]</f>
        <v>Khu vực chính thức (Có Hợp đồng lao động, đóng BHXH)</v>
      </c>
      <c r="M2">
        <f>step3_validation[[#This Row],[Income_Mil]]</f>
        <v>13.136680112335849</v>
      </c>
      <c r="N2" t="str">
        <f>survey_responses[[#This Row],[Thu nhập bình quân tháng theo Hợp đồng lao động của bạn là bao nhiêu? (Vui lòng điền tổng thu nhập trước khi khấu trừ các loại Bảo hiểm (BHXH, BHYT, BHTN) và Thuế TNCN)]]</f>
        <v>Từ 12 - 18 triệu VNĐ</v>
      </c>
      <c r="O2">
        <f>step3_validation[[#This Row],[Dependents]]</f>
        <v>1</v>
      </c>
      <c r="P2" t="str">
        <f>survey_responses[[#This Row],[Số người phụ thuộc (con nhỏ, cha mẹ già...) đủ điều kiện giảm trừ gia cảnh:]]</f>
        <v>1 người</v>
      </c>
      <c r="Q2">
        <f>step3_validation[[#This Row],[AI_ENF1]]</f>
        <v>5</v>
      </c>
      <c r="R2">
        <f>(Q2-1)/9</f>
        <v>0.44444444444444442</v>
      </c>
      <c r="S2">
        <f>survey_responses[[#This Row],[Tôi tin rằng với các quy định quản lý thuế hiện nay, hành vi gian lận hoặc trốn thuế sẽ dễ dàng bị phát hiện và xử lý nghiêm. - HUMAN-ENF1]]</f>
        <v>10</v>
      </c>
      <c r="T2">
        <f>(S2-1)/9</f>
        <v>1</v>
      </c>
      <c r="U2">
        <f>step3_validation[[#This Row],[AI_ENF2]]</f>
        <v>6</v>
      </c>
      <c r="V2">
        <f>(U2-1)/9</f>
        <v>0.55555555555555558</v>
      </c>
      <c r="W2">
        <f>survey_responses[[#This Row],[Tôi tin rằng Nhà nước, cơ quan thuế có đủ khả năng và công nghệ để phát hiện, xử lý nghiêm các hành vi trốn thuế. - HUMAN-ENF2]]</f>
        <v>8</v>
      </c>
      <c r="X2">
        <f>(W2-1)/9</f>
        <v>0.77777777777777779</v>
      </c>
      <c r="Y2" s="32">
        <f>AVERAGE(R2,V2)</f>
        <v>0.5</v>
      </c>
      <c r="Z2" s="32">
        <f>AVERAGE(T2,X2)</f>
        <v>0.88888888888888884</v>
      </c>
      <c r="AA2">
        <f>step3_validation[[#This Row],[AI_FAC1]]</f>
        <v>8</v>
      </c>
      <c r="AB2">
        <f>(AA2-1)/9</f>
        <v>0.77777777777777779</v>
      </c>
      <c r="AC2">
        <f>survey_responses[[#This Row],[Các thủ tục khai báo thuế VÀ/HOẶC quy trình làm việc với cơ quan thuế đơn giản, tiện lợi, nhanh chóng hơn so với trước đây. - HUMAN-FAC1]]</f>
        <v>5</v>
      </c>
      <c r="AD2">
        <f>(AC2-1)/9</f>
        <v>0.44444444444444442</v>
      </c>
      <c r="AE2">
        <f>step3_validation[[#This Row],[AI_FAC2]]</f>
        <v>9</v>
      </c>
      <c r="AF2">
        <f>(AE2-1)/9</f>
        <v>0.88888888888888884</v>
      </c>
      <c r="AG2">
        <f>survey_responses[[#This Row],[So với trước đây, tôi thấy cách tính thuế và các bậc thuế trong phương án mới đơn giản, dễ hiểu và dễ thực hiện hơn. - HUMAN-FAC2]]</f>
        <v>5</v>
      </c>
      <c r="AH2">
        <f>(AG2-1)/9</f>
        <v>0.44444444444444442</v>
      </c>
      <c r="AI2" s="32">
        <f>AVERAGE(AB2,AF2)</f>
        <v>0.83333333333333326</v>
      </c>
      <c r="AJ2" s="32">
        <f>AVERAGE(AD2,AH2)</f>
        <v>0.44444444444444442</v>
      </c>
      <c r="AK2">
        <f>step3_validation[[#This Row],[AI_TRU1]]</f>
        <v>4</v>
      </c>
      <c r="AL2">
        <f>(AK2-1)/9</f>
        <v>0.33333333333333331</v>
      </c>
      <c r="AM2">
        <f>survey_responses[[#This Row],[Tôi tin rằng Nhà nước, cơ quan thuế sẽ thực thi chính sách mới một cách khách quan, công tâm và đối xử bình đẳng với mọi người nộp thuế.  - HUMAN-TRU1]]</f>
        <v>10</v>
      </c>
      <c r="AN2">
        <f>(AM2-1)/9</f>
        <v>1</v>
      </c>
      <c r="AO2">
        <f>step3_validation[[#This Row],[AI_TRU2]]</f>
        <v>7</v>
      </c>
      <c r="AP2">
        <f>(AO2-1)/9</f>
        <v>0.66666666666666663</v>
      </c>
      <c r="AQ2">
        <f>survey_responses[[#This Row],[Tôi thấy mức thuế tôi phải đóng theo phương án mới là công bằng (người thu nhập như tôi đóng mức này là hợp lý). - HUMAN-TRU2]]</f>
        <v>10</v>
      </c>
      <c r="AR2">
        <f>(AQ2-1)/9</f>
        <v>1</v>
      </c>
      <c r="AS2">
        <f>step3_validation[[#This Row],[AI_TRU3]]</f>
        <v>6</v>
      </c>
      <c r="AT2">
        <f>(AS2-1)/9</f>
        <v>0.55555555555555558</v>
      </c>
      <c r="AU2">
        <f>survey_responses[[#This Row],[Tôi tin tưởng số tiền thuế tôi đóng sẽ được Nhà nước sử dụng hiệu quả để cải thiện dịch vụ công (y tế, đường xá...). - HUMAN-TRU3]]</f>
        <v>10</v>
      </c>
      <c r="AV2">
        <f>(AU2-1)/9</f>
        <v>1</v>
      </c>
      <c r="AW2">
        <f>step3_validation[[#This Row],[AI_TRU4]]</f>
        <v>5</v>
      </c>
      <c r="AX2">
        <f>(AW2-1)/9</f>
        <v>0.44444444444444442</v>
      </c>
      <c r="AY2">
        <f>survey_responses[[#This Row],[Tôi thấy Nhà nước đã giải thích rõ ràng, minh bạch về lý do và mục tiêu của việc sửa đổi thuế lần này. - HUMAN-TRU4]]</f>
        <v>10</v>
      </c>
      <c r="AZ2">
        <f>(AY2-1)/9</f>
        <v>1</v>
      </c>
      <c r="BA2" s="32">
        <f>AVERAGE(AL2,AP2,AT2,AX2)</f>
        <v>0.5</v>
      </c>
      <c r="BB2" s="32">
        <f>AVERAGE(AN2,AR2,AV2,AZ2)</f>
        <v>1</v>
      </c>
      <c r="BC2" s="7">
        <f>(Y2+AI2+BA2)/3</f>
        <v>0.61111111111111105</v>
      </c>
      <c r="BD2" s="7">
        <f>(Z2+AJ2+BB2)/3</f>
        <v>0.77777777777777768</v>
      </c>
      <c r="BE2">
        <f>step3_validation[[#This Row],[AI_OUT1]]</f>
        <v>8</v>
      </c>
      <c r="BF2">
        <f>(BE2-1)/9</f>
        <v>0.77777777777777779</v>
      </c>
      <c r="BG2">
        <f>survey_responses[[#This Row],[Sau khi xem xét các quyền lợi và nghĩa vụ, bạn có ủng hộ và tuân thủ chính sách mới hiện nay? - HUMAN-OUT1]]</f>
        <v>10</v>
      </c>
      <c r="BH2">
        <f>(BG2-1)/9</f>
        <v>1</v>
      </c>
      <c r="BI2" s="32">
        <f>ABS(BG2-BE2)</f>
        <v>2</v>
      </c>
    </row>
    <row r="3" spans="1:61" x14ac:dyDescent="0.45">
      <c r="A3" s="30">
        <f>step3_validation[[#This Row],[Persona_ID]]</f>
        <v>2</v>
      </c>
      <c r="B3" s="31">
        <f>step3_validation[[#This Row],[Used_Seed]]</f>
        <v>12346</v>
      </c>
      <c r="C3" t="str">
        <f>step3_validation[[#This Row],[Gender]]</f>
        <v>Nữ</v>
      </c>
      <c r="D3" t="str">
        <f>survey_responses[[#This Row],[Giới tính của bạn:]]</f>
        <v>Nữ</v>
      </c>
      <c r="E3" t="str">
        <f>step3_validation[[#This Row],[Age_Group]]</f>
        <v>25 - 29</v>
      </c>
      <c r="F3" t="str">
        <f>survey_responses[[#This Row],[Độ tuổi của bạn:]]</f>
        <v>25 - 29</v>
      </c>
      <c r="G3" t="str">
        <f>step3_validation[[#This Row],[Region]]</f>
        <v>Thành thị</v>
      </c>
      <c r="H3" t="str">
        <f>survey_responses[[#This Row],[Khu vực bạn đang sinh sống:]]</f>
        <v>Thành thị</v>
      </c>
      <c r="I3" t="str">
        <f>step3_validation[[#This Row],[Education]]</f>
        <v>Đại học</v>
      </c>
      <c r="J3" t="str">
        <f>survey_responses[[#This Row],[Trình độ học vấn cao nhất:]]</f>
        <v>Đại học</v>
      </c>
      <c r="K3" t="str">
        <f>step3_validation[[#This Row],[Employment]]</f>
        <v>Chính thức</v>
      </c>
      <c r="L3" t="str">
        <f>survey_responses[[#This Row],[Tình trạng việc làm chính:]]</f>
        <v>Khu vực chính thức (Có Hợp đồng lao động, đóng BHXH)</v>
      </c>
      <c r="M3">
        <f>step3_validation[[#This Row],[Income_Mil]]</f>
        <v>14.367362109435824</v>
      </c>
      <c r="N3" t="str">
        <f>survey_responses[[#This Row],[Thu nhập bình quân tháng theo Hợp đồng lao động của bạn là bao nhiêu? (Vui lòng điền tổng thu nhập trước khi khấu trừ các loại Bảo hiểm (BHXH, BHYT, BHTN) và Thuế TNCN)]]</f>
        <v>Từ 12 - 18 triệu VNĐ</v>
      </c>
      <c r="O3">
        <f>step3_validation[[#This Row],[Dependents]]</f>
        <v>0</v>
      </c>
      <c r="P3" t="str">
        <f>survey_responses[[#This Row],[Số người phụ thuộc (con nhỏ, cha mẹ già...) đủ điều kiện giảm trừ gia cảnh:]]</f>
        <v>0 người</v>
      </c>
      <c r="Q3">
        <f>step3_validation[[#This Row],[AI_ENF1]]</f>
        <v>3</v>
      </c>
      <c r="R3">
        <f t="shared" ref="R3:R66" si="0">(Q3-1)/9</f>
        <v>0.22222222222222221</v>
      </c>
      <c r="S3">
        <f>survey_responses[[#This Row],[Tôi tin rằng với các quy định quản lý thuế hiện nay, hành vi gian lận hoặc trốn thuế sẽ dễ dàng bị phát hiện và xử lý nghiêm. - HUMAN-ENF1]]</f>
        <v>8</v>
      </c>
      <c r="T3">
        <f t="shared" ref="T3:T66" si="1">(S3-1)/9</f>
        <v>0.77777777777777779</v>
      </c>
      <c r="U3">
        <f>step3_validation[[#This Row],[AI_ENF2]]</f>
        <v>4</v>
      </c>
      <c r="V3">
        <f t="shared" ref="V3:V66" si="2">(U3-1)/9</f>
        <v>0.33333333333333331</v>
      </c>
      <c r="W3">
        <f>survey_responses[[#This Row],[Tôi tin rằng Nhà nước, cơ quan thuế có đủ khả năng và công nghệ để phát hiện, xử lý nghiêm các hành vi trốn thuế. - HUMAN-ENF2]]</f>
        <v>8</v>
      </c>
      <c r="X3">
        <f t="shared" ref="X3:X66" si="3">(W3-1)/9</f>
        <v>0.77777777777777779</v>
      </c>
      <c r="Y3" s="32">
        <f t="shared" ref="Y3:Y66" si="4">AVERAGE(R3,V3)</f>
        <v>0.27777777777777779</v>
      </c>
      <c r="Z3" s="32">
        <f t="shared" ref="Z3:Z66" si="5">AVERAGE(T3,X3)</f>
        <v>0.77777777777777779</v>
      </c>
      <c r="AA3">
        <f>step3_validation[[#This Row],[AI_FAC1]]</f>
        <v>8</v>
      </c>
      <c r="AB3">
        <f t="shared" ref="AB3:AB66" si="6">(AA3-1)/9</f>
        <v>0.77777777777777779</v>
      </c>
      <c r="AC3">
        <f>survey_responses[[#This Row],[Các thủ tục khai báo thuế VÀ/HOẶC quy trình làm việc với cơ quan thuế đơn giản, tiện lợi, nhanh chóng hơn so với trước đây. - HUMAN-FAC1]]</f>
        <v>6</v>
      </c>
      <c r="AD3">
        <f t="shared" ref="AD3:AD66" si="7">(AC3-1)/9</f>
        <v>0.55555555555555558</v>
      </c>
      <c r="AE3">
        <f>step3_validation[[#This Row],[AI_FAC2]]</f>
        <v>9</v>
      </c>
      <c r="AF3">
        <f t="shared" ref="AF3:AF66" si="8">(AE3-1)/9</f>
        <v>0.88888888888888884</v>
      </c>
      <c r="AG3">
        <f>survey_responses[[#This Row],[So với trước đây, tôi thấy cách tính thuế và các bậc thuế trong phương án mới đơn giản, dễ hiểu và dễ thực hiện hơn. - HUMAN-FAC2]]</f>
        <v>9</v>
      </c>
      <c r="AH3">
        <f t="shared" ref="AH3:AH66" si="9">(AG3-1)/9</f>
        <v>0.88888888888888884</v>
      </c>
      <c r="AI3" s="32">
        <f t="shared" ref="AI3:AI66" si="10">AVERAGE(AB3,AF3)</f>
        <v>0.83333333333333326</v>
      </c>
      <c r="AJ3" s="32">
        <f t="shared" ref="AJ3:AJ66" si="11">AVERAGE(AD3,AH3)</f>
        <v>0.72222222222222221</v>
      </c>
      <c r="AK3">
        <f>step3_validation[[#This Row],[AI_TRU1]]</f>
        <v>6</v>
      </c>
      <c r="AL3">
        <f t="shared" ref="AL3:AL66" si="12">(AK3-1)/9</f>
        <v>0.55555555555555558</v>
      </c>
      <c r="AM3">
        <f>survey_responses[[#This Row],[Tôi tin rằng Nhà nước, cơ quan thuế sẽ thực thi chính sách mới một cách khách quan, công tâm và đối xử bình đẳng với mọi người nộp thuế.  - HUMAN-TRU1]]</f>
        <v>10</v>
      </c>
      <c r="AN3">
        <f t="shared" ref="AN3:AN66" si="13">(AM3-1)/9</f>
        <v>1</v>
      </c>
      <c r="AO3">
        <f>step3_validation[[#This Row],[AI_TRU2]]</f>
        <v>7</v>
      </c>
      <c r="AP3">
        <f t="shared" ref="AP3:AP66" si="14">(AO3-1)/9</f>
        <v>0.66666666666666663</v>
      </c>
      <c r="AQ3">
        <f>survey_responses[[#This Row],[Tôi thấy mức thuế tôi phải đóng theo phương án mới là công bằng (người thu nhập như tôi đóng mức này là hợp lý). - HUMAN-TRU2]]</f>
        <v>9</v>
      </c>
      <c r="AR3">
        <f t="shared" ref="AR3:AR66" si="15">(AQ3-1)/9</f>
        <v>0.88888888888888884</v>
      </c>
      <c r="AS3">
        <f>step3_validation[[#This Row],[AI_TRU3]]</f>
        <v>5</v>
      </c>
      <c r="AT3">
        <f t="shared" ref="AT3:AT66" si="16">(AS3-1)/9</f>
        <v>0.44444444444444442</v>
      </c>
      <c r="AU3">
        <f>survey_responses[[#This Row],[Tôi tin tưởng số tiền thuế tôi đóng sẽ được Nhà nước sử dụng hiệu quả để cải thiện dịch vụ công (y tế, đường xá...). - HUMAN-TRU3]]</f>
        <v>8</v>
      </c>
      <c r="AV3">
        <f t="shared" ref="AV3:AV66" si="17">(AU3-1)/9</f>
        <v>0.77777777777777779</v>
      </c>
      <c r="AW3">
        <f>step3_validation[[#This Row],[AI_TRU4]]</f>
        <v>7</v>
      </c>
      <c r="AX3">
        <f t="shared" ref="AX3:AX66" si="18">(AW3-1)/9</f>
        <v>0.66666666666666663</v>
      </c>
      <c r="AY3">
        <f>survey_responses[[#This Row],[Tôi thấy Nhà nước đã giải thích rõ ràng, minh bạch về lý do và mục tiêu của việc sửa đổi thuế lần này. - HUMAN-TRU4]]</f>
        <v>9</v>
      </c>
      <c r="AZ3">
        <f t="shared" ref="AZ3:AZ66" si="19">(AY3-1)/9</f>
        <v>0.88888888888888884</v>
      </c>
      <c r="BA3" s="32">
        <f t="shared" ref="BA3:BA66" si="20">AVERAGE(AL3,AP3,AT3,AX3)</f>
        <v>0.58333333333333337</v>
      </c>
      <c r="BB3" s="32">
        <f t="shared" ref="BB3:BB66" si="21">AVERAGE(AN3,AR3,AV3,AZ3)</f>
        <v>0.88888888888888884</v>
      </c>
      <c r="BC3" s="7">
        <f t="shared" ref="BC3:BC66" si="22">(Y3+AI3+BA3)/3</f>
        <v>0.56481481481481488</v>
      </c>
      <c r="BD3" s="7">
        <f t="shared" ref="BD3:BD66" si="23">(Z3+AJ3+BB3)/3</f>
        <v>0.79629629629629628</v>
      </c>
      <c r="BE3">
        <f>step3_validation[[#This Row],[AI_OUT1]]</f>
        <v>8</v>
      </c>
      <c r="BF3">
        <f t="shared" ref="BF3:BF66" si="24">(BE3-1)/9</f>
        <v>0.77777777777777779</v>
      </c>
      <c r="BG3">
        <f>survey_responses[[#This Row],[Sau khi xem xét các quyền lợi và nghĩa vụ, bạn có ủng hộ và tuân thủ chính sách mới hiện nay? - HUMAN-OUT1]]</f>
        <v>10</v>
      </c>
      <c r="BH3">
        <f t="shared" ref="BH3:BH66" si="25">(BG3-1)/9</f>
        <v>1</v>
      </c>
      <c r="BI3" s="32">
        <f t="shared" ref="BI3:BI66" si="26">ABS(BG3-BE3)</f>
        <v>2</v>
      </c>
    </row>
    <row r="4" spans="1:61" x14ac:dyDescent="0.45">
      <c r="A4" s="30">
        <f>step3_validation[[#This Row],[Persona_ID]]</f>
        <v>3</v>
      </c>
      <c r="B4" s="31">
        <f>step3_validation[[#This Row],[Used_Seed]]</f>
        <v>12347</v>
      </c>
      <c r="C4" t="str">
        <f>step3_validation[[#This Row],[Gender]]</f>
        <v>Nam</v>
      </c>
      <c r="D4" t="str">
        <f>survey_responses[[#This Row],[Giới tính của bạn:]]</f>
        <v>Nam</v>
      </c>
      <c r="E4" t="str">
        <f>step3_validation[[#This Row],[Age_Group]]</f>
        <v>40 - 49</v>
      </c>
      <c r="F4" t="str">
        <f>survey_responses[[#This Row],[Độ tuổi của bạn:]]</f>
        <v>40 - 49</v>
      </c>
      <c r="G4" t="str">
        <f>step3_validation[[#This Row],[Region]]</f>
        <v>Thành thị</v>
      </c>
      <c r="H4" t="str">
        <f>survey_responses[[#This Row],[Khu vực bạn đang sinh sống:]]</f>
        <v>Thành thị</v>
      </c>
      <c r="I4" t="str">
        <f>step3_validation[[#This Row],[Education]]</f>
        <v>Sau Đại học</v>
      </c>
      <c r="J4" t="str">
        <f>survey_responses[[#This Row],[Trình độ học vấn cao nhất:]]</f>
        <v>Sau Đại học</v>
      </c>
      <c r="K4" t="str">
        <f>step3_validation[[#This Row],[Employment]]</f>
        <v>Chính thức</v>
      </c>
      <c r="L4" t="str">
        <f>survey_responses[[#This Row],[Tình trạng việc làm chính:]]</f>
        <v>Khu vực chính thức (Có Hợp đồng lao động, đóng BHXH)</v>
      </c>
      <c r="M4">
        <f>step3_validation[[#This Row],[Income_Mil]]</f>
        <v>68.743161446629699</v>
      </c>
      <c r="N4" t="str">
        <f>survey_responses[[#This Row],[Thu nhập bình quân tháng theo Hợp đồng lao động của bạn là bao nhiêu? (Vui lòng điền tổng thu nhập trước khi khấu trừ các loại Bảo hiểm (BHXH, BHYT, BHTN) và Thuế TNCN)]]</f>
        <v>Từ 48 - 70 triệu VNĐ</v>
      </c>
      <c r="O4">
        <f>step3_validation[[#This Row],[Dependents]]</f>
        <v>3</v>
      </c>
      <c r="P4" t="str">
        <f>survey_responses[[#This Row],[Số người phụ thuộc (con nhỏ, cha mẹ già...) đủ điều kiện giảm trừ gia cảnh:]]</f>
        <v>3 người</v>
      </c>
      <c r="Q4">
        <f>step3_validation[[#This Row],[AI_ENF1]]</f>
        <v>3</v>
      </c>
      <c r="R4">
        <f t="shared" si="0"/>
        <v>0.22222222222222221</v>
      </c>
      <c r="S4">
        <f>survey_responses[[#This Row],[Tôi tin rằng với các quy định quản lý thuế hiện nay, hành vi gian lận hoặc trốn thuế sẽ dễ dàng bị phát hiện và xử lý nghiêm. - HUMAN-ENF1]]</f>
        <v>6</v>
      </c>
      <c r="T4">
        <f t="shared" si="1"/>
        <v>0.55555555555555558</v>
      </c>
      <c r="U4">
        <f>step3_validation[[#This Row],[AI_ENF2]]</f>
        <v>4</v>
      </c>
      <c r="V4">
        <f t="shared" si="2"/>
        <v>0.33333333333333331</v>
      </c>
      <c r="W4">
        <f>survey_responses[[#This Row],[Tôi tin rằng Nhà nước, cơ quan thuế có đủ khả năng và công nghệ để phát hiện, xử lý nghiêm các hành vi trốn thuế. - HUMAN-ENF2]]</f>
        <v>5</v>
      </c>
      <c r="X4">
        <f t="shared" si="3"/>
        <v>0.44444444444444442</v>
      </c>
      <c r="Y4" s="32">
        <f t="shared" si="4"/>
        <v>0.27777777777777779</v>
      </c>
      <c r="Z4" s="32">
        <f t="shared" si="5"/>
        <v>0.5</v>
      </c>
      <c r="AA4">
        <f>step3_validation[[#This Row],[AI_FAC1]]</f>
        <v>9</v>
      </c>
      <c r="AB4">
        <f t="shared" si="6"/>
        <v>0.88888888888888884</v>
      </c>
      <c r="AC4">
        <f>survey_responses[[#This Row],[Các thủ tục khai báo thuế VÀ/HOẶC quy trình làm việc với cơ quan thuế đơn giản, tiện lợi, nhanh chóng hơn so với trước đây. - HUMAN-FAC1]]</f>
        <v>4</v>
      </c>
      <c r="AD4">
        <f t="shared" si="7"/>
        <v>0.33333333333333331</v>
      </c>
      <c r="AE4">
        <f>step3_validation[[#This Row],[AI_FAC2]]</f>
        <v>10</v>
      </c>
      <c r="AF4">
        <f t="shared" si="8"/>
        <v>1</v>
      </c>
      <c r="AG4">
        <f>survey_responses[[#This Row],[So với trước đây, tôi thấy cách tính thuế và các bậc thuế trong phương án mới đơn giản, dễ hiểu và dễ thực hiện hơn. - HUMAN-FAC2]]</f>
        <v>5</v>
      </c>
      <c r="AH4">
        <f t="shared" si="9"/>
        <v>0.44444444444444442</v>
      </c>
      <c r="AI4" s="32">
        <f t="shared" si="10"/>
        <v>0.94444444444444442</v>
      </c>
      <c r="AJ4" s="32">
        <f t="shared" si="11"/>
        <v>0.38888888888888884</v>
      </c>
      <c r="AK4">
        <f>step3_validation[[#This Row],[AI_TRU1]]</f>
        <v>7</v>
      </c>
      <c r="AL4">
        <f t="shared" si="12"/>
        <v>0.66666666666666663</v>
      </c>
      <c r="AM4">
        <f>survey_responses[[#This Row],[Tôi tin rằng Nhà nước, cơ quan thuế sẽ thực thi chính sách mới một cách khách quan, công tâm và đối xử bình đẳng với mọi người nộp thuế.  - HUMAN-TRU1]]</f>
        <v>4</v>
      </c>
      <c r="AN4">
        <f t="shared" si="13"/>
        <v>0.33333333333333331</v>
      </c>
      <c r="AO4">
        <f>step3_validation[[#This Row],[AI_TRU2]]</f>
        <v>9</v>
      </c>
      <c r="AP4">
        <f t="shared" si="14"/>
        <v>0.88888888888888884</v>
      </c>
      <c r="AQ4">
        <f>survey_responses[[#This Row],[Tôi thấy mức thuế tôi phải đóng theo phương án mới là công bằng (người thu nhập như tôi đóng mức này là hợp lý). - HUMAN-TRU2]]</f>
        <v>4</v>
      </c>
      <c r="AR4">
        <f t="shared" si="15"/>
        <v>0.33333333333333331</v>
      </c>
      <c r="AS4">
        <f>step3_validation[[#This Row],[AI_TRU3]]</f>
        <v>8</v>
      </c>
      <c r="AT4">
        <f t="shared" si="16"/>
        <v>0.77777777777777779</v>
      </c>
      <c r="AU4">
        <f>survey_responses[[#This Row],[Tôi tin tưởng số tiền thuế tôi đóng sẽ được Nhà nước sử dụng hiệu quả để cải thiện dịch vụ công (y tế, đường xá...). - HUMAN-TRU3]]</f>
        <v>4</v>
      </c>
      <c r="AV4">
        <f t="shared" si="17"/>
        <v>0.33333333333333331</v>
      </c>
      <c r="AW4">
        <f>step3_validation[[#This Row],[AI_TRU4]]</f>
        <v>9</v>
      </c>
      <c r="AX4">
        <f t="shared" si="18"/>
        <v>0.88888888888888884</v>
      </c>
      <c r="AY4">
        <f>survey_responses[[#This Row],[Tôi thấy Nhà nước đã giải thích rõ ràng, minh bạch về lý do và mục tiêu của việc sửa đổi thuế lần này. - HUMAN-TRU4]]</f>
        <v>10</v>
      </c>
      <c r="AZ4">
        <f t="shared" si="19"/>
        <v>1</v>
      </c>
      <c r="BA4" s="32">
        <f t="shared" si="20"/>
        <v>0.80555555555555547</v>
      </c>
      <c r="BB4" s="32">
        <f t="shared" si="21"/>
        <v>0.5</v>
      </c>
      <c r="BC4" s="7">
        <f t="shared" si="22"/>
        <v>0.67592592592592593</v>
      </c>
      <c r="BD4" s="7">
        <f t="shared" si="23"/>
        <v>0.46296296296296297</v>
      </c>
      <c r="BE4">
        <f>step3_validation[[#This Row],[AI_OUT1]]</f>
        <v>10</v>
      </c>
      <c r="BF4">
        <f t="shared" si="24"/>
        <v>1</v>
      </c>
      <c r="BG4">
        <f>survey_responses[[#This Row],[Sau khi xem xét các quyền lợi và nghĩa vụ, bạn có ủng hộ và tuân thủ chính sách mới hiện nay? - HUMAN-OUT1]]</f>
        <v>4</v>
      </c>
      <c r="BH4">
        <f t="shared" si="25"/>
        <v>0.33333333333333331</v>
      </c>
      <c r="BI4" s="32">
        <f t="shared" si="26"/>
        <v>6</v>
      </c>
    </row>
    <row r="5" spans="1:61" x14ac:dyDescent="0.45">
      <c r="A5" s="30">
        <f>step3_validation[[#This Row],[Persona_ID]]</f>
        <v>4</v>
      </c>
      <c r="B5" s="31">
        <f>step3_validation[[#This Row],[Used_Seed]]</f>
        <v>12348</v>
      </c>
      <c r="C5" t="str">
        <f>step3_validation[[#This Row],[Gender]]</f>
        <v>Nữ</v>
      </c>
      <c r="D5" t="str">
        <f>survey_responses[[#This Row],[Giới tính của bạn:]]</f>
        <v>Nữ</v>
      </c>
      <c r="E5" t="str">
        <f>step3_validation[[#This Row],[Age_Group]]</f>
        <v>18 - 24</v>
      </c>
      <c r="F5" t="str">
        <f>survey_responses[[#This Row],[Độ tuổi của bạn:]]</f>
        <v>18 - 24</v>
      </c>
      <c r="G5" t="str">
        <f>step3_validation[[#This Row],[Region]]</f>
        <v>Thành thị</v>
      </c>
      <c r="H5" t="str">
        <f>survey_responses[[#This Row],[Khu vực bạn đang sinh sống:]]</f>
        <v>Thành thị</v>
      </c>
      <c r="I5" t="str">
        <f>step3_validation[[#This Row],[Education]]</f>
        <v>Đại học</v>
      </c>
      <c r="J5" t="str">
        <f>survey_responses[[#This Row],[Trình độ học vấn cao nhất:]]</f>
        <v>Đại học</v>
      </c>
      <c r="K5" t="str">
        <f>step3_validation[[#This Row],[Employment]]</f>
        <v>Chính thức</v>
      </c>
      <c r="L5" t="str">
        <f>survey_responses[[#This Row],[Tình trạng việc làm chính:]]</f>
        <v>Khu vực chính thức (Có Hợp đồng lao động, đóng BHXH)</v>
      </c>
      <c r="M5">
        <f>step3_validation[[#This Row],[Income_Mil]]</f>
        <v>12</v>
      </c>
      <c r="N5" t="str">
        <f>survey_responses[[#This Row],[Thu nhập bình quân tháng theo Hợp đồng lao động của bạn là bao nhiêu? (Vui lòng điền tổng thu nhập trước khi khấu trừ các loại Bảo hiểm (BHXH, BHYT, BHTN) và Thuế TNCN)]]</f>
        <v>Dưới 12 triệu VNĐ</v>
      </c>
      <c r="O5">
        <f>step3_validation[[#This Row],[Dependents]]</f>
        <v>0</v>
      </c>
      <c r="P5" t="str">
        <f>survey_responses[[#This Row],[Số người phụ thuộc (con nhỏ, cha mẹ già...) đủ điều kiện giảm trừ gia cảnh:]]</f>
        <v>0 người</v>
      </c>
      <c r="Q5">
        <f>step3_validation[[#This Row],[AI_ENF1]]</f>
        <v>6</v>
      </c>
      <c r="R5">
        <f t="shared" si="0"/>
        <v>0.55555555555555558</v>
      </c>
      <c r="S5">
        <f>survey_responses[[#This Row],[Tôi tin rằng với các quy định quản lý thuế hiện nay, hành vi gian lận hoặc trốn thuế sẽ dễ dàng bị phát hiện và xử lý nghiêm. - HUMAN-ENF1]]</f>
        <v>10</v>
      </c>
      <c r="T5">
        <f t="shared" si="1"/>
        <v>1</v>
      </c>
      <c r="U5">
        <f>step3_validation[[#This Row],[AI_ENF2]]</f>
        <v>7</v>
      </c>
      <c r="V5">
        <f t="shared" si="2"/>
        <v>0.66666666666666663</v>
      </c>
      <c r="W5">
        <f>survey_responses[[#This Row],[Tôi tin rằng Nhà nước, cơ quan thuế có đủ khả năng và công nghệ để phát hiện, xử lý nghiêm các hành vi trốn thuế. - HUMAN-ENF2]]</f>
        <v>10</v>
      </c>
      <c r="X5">
        <f t="shared" si="3"/>
        <v>1</v>
      </c>
      <c r="Y5" s="32">
        <f t="shared" si="4"/>
        <v>0.61111111111111116</v>
      </c>
      <c r="Z5" s="32">
        <f t="shared" si="5"/>
        <v>1</v>
      </c>
      <c r="AA5">
        <f>step3_validation[[#This Row],[AI_FAC1]]</f>
        <v>8</v>
      </c>
      <c r="AB5">
        <f t="shared" si="6"/>
        <v>0.77777777777777779</v>
      </c>
      <c r="AC5">
        <f>survey_responses[[#This Row],[Các thủ tục khai báo thuế VÀ/HOẶC quy trình làm việc với cơ quan thuế đơn giản, tiện lợi, nhanh chóng hơn so với trước đây. - HUMAN-FAC1]]</f>
        <v>8</v>
      </c>
      <c r="AD5">
        <f t="shared" si="7"/>
        <v>0.77777777777777779</v>
      </c>
      <c r="AE5">
        <f>step3_validation[[#This Row],[AI_FAC2]]</f>
        <v>9</v>
      </c>
      <c r="AF5">
        <f t="shared" si="8"/>
        <v>0.88888888888888884</v>
      </c>
      <c r="AG5">
        <f>survey_responses[[#This Row],[So với trước đây, tôi thấy cách tính thuế và các bậc thuế trong phương án mới đơn giản, dễ hiểu và dễ thực hiện hơn. - HUMAN-FAC2]]</f>
        <v>9</v>
      </c>
      <c r="AH5">
        <f t="shared" si="9"/>
        <v>0.88888888888888884</v>
      </c>
      <c r="AI5" s="32">
        <f t="shared" si="10"/>
        <v>0.83333333333333326</v>
      </c>
      <c r="AJ5" s="32">
        <f t="shared" si="11"/>
        <v>0.83333333333333326</v>
      </c>
      <c r="AK5">
        <f>step3_validation[[#This Row],[AI_TRU1]]</f>
        <v>7</v>
      </c>
      <c r="AL5">
        <f t="shared" si="12"/>
        <v>0.66666666666666663</v>
      </c>
      <c r="AM5">
        <f>survey_responses[[#This Row],[Tôi tin rằng Nhà nước, cơ quan thuế sẽ thực thi chính sách mới một cách khách quan, công tâm và đối xử bình đẳng với mọi người nộp thuế.  - HUMAN-TRU1]]</f>
        <v>9</v>
      </c>
      <c r="AN5">
        <f t="shared" si="13"/>
        <v>0.88888888888888884</v>
      </c>
      <c r="AO5">
        <f>step3_validation[[#This Row],[AI_TRU2]]</f>
        <v>8</v>
      </c>
      <c r="AP5">
        <f t="shared" si="14"/>
        <v>0.77777777777777779</v>
      </c>
      <c r="AQ5">
        <f>survey_responses[[#This Row],[Tôi thấy mức thuế tôi phải đóng theo phương án mới là công bằng (người thu nhập như tôi đóng mức này là hợp lý). - HUMAN-TRU2]]</f>
        <v>7</v>
      </c>
      <c r="AR5">
        <f t="shared" si="15"/>
        <v>0.66666666666666663</v>
      </c>
      <c r="AS5">
        <f>step3_validation[[#This Row],[AI_TRU3]]</f>
        <v>7</v>
      </c>
      <c r="AT5">
        <f t="shared" si="16"/>
        <v>0.66666666666666663</v>
      </c>
      <c r="AU5">
        <f>survey_responses[[#This Row],[Tôi tin tưởng số tiền thuế tôi đóng sẽ được Nhà nước sử dụng hiệu quả để cải thiện dịch vụ công (y tế, đường xá...). - HUMAN-TRU3]]</f>
        <v>10</v>
      </c>
      <c r="AV5">
        <f t="shared" si="17"/>
        <v>1</v>
      </c>
      <c r="AW5">
        <f>step3_validation[[#This Row],[AI_TRU4]]</f>
        <v>6</v>
      </c>
      <c r="AX5">
        <f t="shared" si="18"/>
        <v>0.55555555555555558</v>
      </c>
      <c r="AY5">
        <f>survey_responses[[#This Row],[Tôi thấy Nhà nước đã giải thích rõ ràng, minh bạch về lý do và mục tiêu của việc sửa đổi thuế lần này. - HUMAN-TRU4]]</f>
        <v>7</v>
      </c>
      <c r="AZ5">
        <f t="shared" si="19"/>
        <v>0.66666666666666663</v>
      </c>
      <c r="BA5" s="32">
        <f t="shared" si="20"/>
        <v>0.66666666666666674</v>
      </c>
      <c r="BB5" s="32">
        <f t="shared" si="21"/>
        <v>0.80555555555555547</v>
      </c>
      <c r="BC5" s="7">
        <f t="shared" si="22"/>
        <v>0.70370370370370372</v>
      </c>
      <c r="BD5" s="7">
        <f t="shared" si="23"/>
        <v>0.87962962962962965</v>
      </c>
      <c r="BE5">
        <f>step3_validation[[#This Row],[AI_OUT1]]</f>
        <v>8</v>
      </c>
      <c r="BF5">
        <f t="shared" si="24"/>
        <v>0.77777777777777779</v>
      </c>
      <c r="BG5">
        <f>survey_responses[[#This Row],[Sau khi xem xét các quyền lợi và nghĩa vụ, bạn có ủng hộ và tuân thủ chính sách mới hiện nay? - HUMAN-OUT1]]</f>
        <v>10</v>
      </c>
      <c r="BH5">
        <f t="shared" si="25"/>
        <v>1</v>
      </c>
      <c r="BI5" s="32">
        <f t="shared" si="26"/>
        <v>2</v>
      </c>
    </row>
    <row r="6" spans="1:61" x14ac:dyDescent="0.45">
      <c r="A6" s="30">
        <f>step3_validation[[#This Row],[Persona_ID]]</f>
        <v>5</v>
      </c>
      <c r="B6" s="31">
        <f>step3_validation[[#This Row],[Used_Seed]]</f>
        <v>12349</v>
      </c>
      <c r="C6" t="str">
        <f>step3_validation[[#This Row],[Gender]]</f>
        <v>Nữ</v>
      </c>
      <c r="D6" t="str">
        <f>survey_responses[[#This Row],[Giới tính của bạn:]]</f>
        <v>Nữ</v>
      </c>
      <c r="E6" t="str">
        <f>step3_validation[[#This Row],[Age_Group]]</f>
        <v>25 - 29</v>
      </c>
      <c r="F6" t="str">
        <f>survey_responses[[#This Row],[Độ tuổi của bạn:]]</f>
        <v>25 - 29</v>
      </c>
      <c r="G6" t="str">
        <f>step3_validation[[#This Row],[Region]]</f>
        <v>Thành thị</v>
      </c>
      <c r="H6" t="str">
        <f>survey_responses[[#This Row],[Khu vực bạn đang sinh sống:]]</f>
        <v>Thành thị</v>
      </c>
      <c r="I6" t="str">
        <f>step3_validation[[#This Row],[Education]]</f>
        <v>Đại học</v>
      </c>
      <c r="J6" t="str">
        <f>survey_responses[[#This Row],[Trình độ học vấn cao nhất:]]</f>
        <v>Đại học</v>
      </c>
      <c r="K6" t="str">
        <f>step3_validation[[#This Row],[Employment]]</f>
        <v>Chính thức</v>
      </c>
      <c r="L6" t="str">
        <f>survey_responses[[#This Row],[Tình trạng việc làm chính:]]</f>
        <v>Khu vực chính thức (Có Hợp đồng lao động, đóng BHXH)</v>
      </c>
      <c r="M6">
        <f>step3_validation[[#This Row],[Income_Mil]]</f>
        <v>12</v>
      </c>
      <c r="N6" t="str">
        <f>survey_responses[[#This Row],[Thu nhập bình quân tháng theo Hợp đồng lao động của bạn là bao nhiêu? (Vui lòng điền tổng thu nhập trước khi khấu trừ các loại Bảo hiểm (BHXH, BHYT, BHTN) và Thuế TNCN)]]</f>
        <v>Dưới 12 triệu VNĐ</v>
      </c>
      <c r="O6">
        <f>step3_validation[[#This Row],[Dependents]]</f>
        <v>0</v>
      </c>
      <c r="P6" t="str">
        <f>survey_responses[[#This Row],[Số người phụ thuộc (con nhỏ, cha mẹ già...) đủ điều kiện giảm trừ gia cảnh:]]</f>
        <v>0 người</v>
      </c>
      <c r="Q6">
        <f>step3_validation[[#This Row],[AI_ENF1]]</f>
        <v>6</v>
      </c>
      <c r="R6">
        <f t="shared" si="0"/>
        <v>0.55555555555555558</v>
      </c>
      <c r="S6">
        <f>survey_responses[[#This Row],[Tôi tin rằng với các quy định quản lý thuế hiện nay, hành vi gian lận hoặc trốn thuế sẽ dễ dàng bị phát hiện và xử lý nghiêm. - HUMAN-ENF1]]</f>
        <v>9</v>
      </c>
      <c r="T6">
        <f t="shared" si="1"/>
        <v>0.88888888888888884</v>
      </c>
      <c r="U6">
        <f>step3_validation[[#This Row],[AI_ENF2]]</f>
        <v>7</v>
      </c>
      <c r="V6">
        <f t="shared" si="2"/>
        <v>0.66666666666666663</v>
      </c>
      <c r="W6">
        <f>survey_responses[[#This Row],[Tôi tin rằng Nhà nước, cơ quan thuế có đủ khả năng và công nghệ để phát hiện, xử lý nghiêm các hành vi trốn thuế. - HUMAN-ENF2]]</f>
        <v>9</v>
      </c>
      <c r="X6">
        <f t="shared" si="3"/>
        <v>0.88888888888888884</v>
      </c>
      <c r="Y6" s="32">
        <f t="shared" si="4"/>
        <v>0.61111111111111116</v>
      </c>
      <c r="Z6" s="32">
        <f t="shared" si="5"/>
        <v>0.88888888888888884</v>
      </c>
      <c r="AA6">
        <f>step3_validation[[#This Row],[AI_FAC1]]</f>
        <v>9</v>
      </c>
      <c r="AB6">
        <f t="shared" si="6"/>
        <v>0.88888888888888884</v>
      </c>
      <c r="AC6">
        <f>survey_responses[[#This Row],[Các thủ tục khai báo thuế VÀ/HOẶC quy trình làm việc với cơ quan thuế đơn giản, tiện lợi, nhanh chóng hơn so với trước đây. - HUMAN-FAC1]]</f>
        <v>10</v>
      </c>
      <c r="AD6">
        <f t="shared" si="7"/>
        <v>1</v>
      </c>
      <c r="AE6">
        <f>step3_validation[[#This Row],[AI_FAC2]]</f>
        <v>10</v>
      </c>
      <c r="AF6">
        <f t="shared" si="8"/>
        <v>1</v>
      </c>
      <c r="AG6">
        <f>survey_responses[[#This Row],[So với trước đây, tôi thấy cách tính thuế và các bậc thuế trong phương án mới đơn giản, dễ hiểu và dễ thực hiện hơn. - HUMAN-FAC2]]</f>
        <v>9</v>
      </c>
      <c r="AH6">
        <f t="shared" si="9"/>
        <v>0.88888888888888884</v>
      </c>
      <c r="AI6" s="32">
        <f t="shared" si="10"/>
        <v>0.94444444444444442</v>
      </c>
      <c r="AJ6" s="32">
        <f t="shared" si="11"/>
        <v>0.94444444444444442</v>
      </c>
      <c r="AK6">
        <f>step3_validation[[#This Row],[AI_TRU1]]</f>
        <v>8</v>
      </c>
      <c r="AL6">
        <f t="shared" si="12"/>
        <v>0.77777777777777779</v>
      </c>
      <c r="AM6">
        <f>survey_responses[[#This Row],[Tôi tin rằng Nhà nước, cơ quan thuế sẽ thực thi chính sách mới một cách khách quan, công tâm và đối xử bình đẳng với mọi người nộp thuế.  - HUMAN-TRU1]]</f>
        <v>9</v>
      </c>
      <c r="AN6">
        <f t="shared" si="13"/>
        <v>0.88888888888888884</v>
      </c>
      <c r="AO6">
        <f>step3_validation[[#This Row],[AI_TRU2]]</f>
        <v>9</v>
      </c>
      <c r="AP6">
        <f t="shared" si="14"/>
        <v>0.88888888888888884</v>
      </c>
      <c r="AQ6">
        <f>survey_responses[[#This Row],[Tôi thấy mức thuế tôi phải đóng theo phương án mới là công bằng (người thu nhập như tôi đóng mức này là hợp lý). - HUMAN-TRU2]]</f>
        <v>9</v>
      </c>
      <c r="AR6">
        <f t="shared" si="15"/>
        <v>0.88888888888888884</v>
      </c>
      <c r="AS6">
        <f>step3_validation[[#This Row],[AI_TRU3]]</f>
        <v>7</v>
      </c>
      <c r="AT6">
        <f t="shared" si="16"/>
        <v>0.66666666666666663</v>
      </c>
      <c r="AU6">
        <f>survey_responses[[#This Row],[Tôi tin tưởng số tiền thuế tôi đóng sẽ được Nhà nước sử dụng hiệu quả để cải thiện dịch vụ công (y tế, đường xá...). - HUMAN-TRU3]]</f>
        <v>9</v>
      </c>
      <c r="AV6">
        <f t="shared" si="17"/>
        <v>0.88888888888888884</v>
      </c>
      <c r="AW6">
        <f>step3_validation[[#This Row],[AI_TRU4]]</f>
        <v>8</v>
      </c>
      <c r="AX6">
        <f t="shared" si="18"/>
        <v>0.77777777777777779</v>
      </c>
      <c r="AY6">
        <f>survey_responses[[#This Row],[Tôi thấy Nhà nước đã giải thích rõ ràng, minh bạch về lý do và mục tiêu của việc sửa đổi thuế lần này. - HUMAN-TRU4]]</f>
        <v>9</v>
      </c>
      <c r="AZ6">
        <f t="shared" si="19"/>
        <v>0.88888888888888884</v>
      </c>
      <c r="BA6" s="32">
        <f t="shared" si="20"/>
        <v>0.77777777777777768</v>
      </c>
      <c r="BB6" s="32">
        <f t="shared" si="21"/>
        <v>0.88888888888888884</v>
      </c>
      <c r="BC6" s="7">
        <f t="shared" si="22"/>
        <v>0.77777777777777768</v>
      </c>
      <c r="BD6" s="7">
        <f t="shared" si="23"/>
        <v>0.90740740740740744</v>
      </c>
      <c r="BE6">
        <f>step3_validation[[#This Row],[AI_OUT1]]</f>
        <v>9</v>
      </c>
      <c r="BF6">
        <f t="shared" si="24"/>
        <v>0.88888888888888884</v>
      </c>
      <c r="BG6">
        <f>survey_responses[[#This Row],[Sau khi xem xét các quyền lợi và nghĩa vụ, bạn có ủng hộ và tuân thủ chính sách mới hiện nay? - HUMAN-OUT1]]</f>
        <v>9</v>
      </c>
      <c r="BH6">
        <f t="shared" si="25"/>
        <v>0.88888888888888884</v>
      </c>
      <c r="BI6" s="32">
        <f t="shared" si="26"/>
        <v>0</v>
      </c>
    </row>
    <row r="7" spans="1:61" x14ac:dyDescent="0.45">
      <c r="A7" s="30">
        <f>step3_validation[[#This Row],[Persona_ID]]</f>
        <v>6</v>
      </c>
      <c r="B7" s="31">
        <f>step3_validation[[#This Row],[Used_Seed]]</f>
        <v>12350</v>
      </c>
      <c r="C7" t="str">
        <f>step3_validation[[#This Row],[Gender]]</f>
        <v>Nữ</v>
      </c>
      <c r="D7" t="str">
        <f>survey_responses[[#This Row],[Giới tính của bạn:]]</f>
        <v>Nữ</v>
      </c>
      <c r="E7" t="str">
        <f>step3_validation[[#This Row],[Age_Group]]</f>
        <v>30 - 39</v>
      </c>
      <c r="F7" t="str">
        <f>survey_responses[[#This Row],[Độ tuổi của bạn:]]</f>
        <v>30 - 39</v>
      </c>
      <c r="G7" t="str">
        <f>step3_validation[[#This Row],[Region]]</f>
        <v>Thành thị</v>
      </c>
      <c r="H7" t="str">
        <f>survey_responses[[#This Row],[Khu vực bạn đang sinh sống:]]</f>
        <v>Thành thị</v>
      </c>
      <c r="I7" t="str">
        <f>step3_validation[[#This Row],[Education]]</f>
        <v>Sau Đại học</v>
      </c>
      <c r="J7" t="str">
        <f>survey_responses[[#This Row],[Trình độ học vấn cao nhất:]]</f>
        <v>Sau Đại học</v>
      </c>
      <c r="K7" t="str">
        <f>step3_validation[[#This Row],[Employment]]</f>
        <v>Chính thức</v>
      </c>
      <c r="L7" t="str">
        <f>survey_responses[[#This Row],[Tình trạng việc làm chính:]]</f>
        <v>Khu vực chính thức (Có Hợp đồng lao động, đóng BHXH)</v>
      </c>
      <c r="M7">
        <f>step3_validation[[#This Row],[Income_Mil]]</f>
        <v>100.9242271447424</v>
      </c>
      <c r="N7" t="str">
        <f>survey_responses[[#This Row],[Thu nhập bình quân tháng theo Hợp đồng lao động của bạn là bao nhiêu? (Vui lòng điền tổng thu nhập trước khi khấu trừ các loại Bảo hiểm (BHXH, BHYT, BHTN) và Thuế TNCN)]]</f>
        <v>Từ 70 - 102 triệu VNĐ</v>
      </c>
      <c r="O7">
        <f>step3_validation[[#This Row],[Dependents]]</f>
        <v>4</v>
      </c>
      <c r="P7" t="str">
        <f>survey_responses[[#This Row],[Số người phụ thuộc (con nhỏ, cha mẹ già...) đủ điều kiện giảm trừ gia cảnh:]]</f>
        <v>4 người trở lên</v>
      </c>
      <c r="Q7">
        <f>step3_validation[[#This Row],[AI_ENF1]]</f>
        <v>6</v>
      </c>
      <c r="R7">
        <f t="shared" si="0"/>
        <v>0.55555555555555558</v>
      </c>
      <c r="S7">
        <f>survey_responses[[#This Row],[Tôi tin rằng với các quy định quản lý thuế hiện nay, hành vi gian lận hoặc trốn thuế sẽ dễ dàng bị phát hiện và xử lý nghiêm. - HUMAN-ENF1]]</f>
        <v>8</v>
      </c>
      <c r="T7">
        <f t="shared" si="1"/>
        <v>0.77777777777777779</v>
      </c>
      <c r="U7">
        <f>step3_validation[[#This Row],[AI_ENF2]]</f>
        <v>8</v>
      </c>
      <c r="V7">
        <f t="shared" si="2"/>
        <v>0.77777777777777779</v>
      </c>
      <c r="W7">
        <f>survey_responses[[#This Row],[Tôi tin rằng Nhà nước, cơ quan thuế có đủ khả năng và công nghệ để phát hiện, xử lý nghiêm các hành vi trốn thuế. - HUMAN-ENF2]]</f>
        <v>8</v>
      </c>
      <c r="X7">
        <f t="shared" si="3"/>
        <v>0.77777777777777779</v>
      </c>
      <c r="Y7" s="32">
        <f t="shared" si="4"/>
        <v>0.66666666666666674</v>
      </c>
      <c r="Z7" s="32">
        <f t="shared" si="5"/>
        <v>0.77777777777777779</v>
      </c>
      <c r="AA7">
        <f>step3_validation[[#This Row],[AI_FAC1]]</f>
        <v>9</v>
      </c>
      <c r="AB7">
        <f t="shared" si="6"/>
        <v>0.88888888888888884</v>
      </c>
      <c r="AC7">
        <f>survey_responses[[#This Row],[Các thủ tục khai báo thuế VÀ/HOẶC quy trình làm việc với cơ quan thuế đơn giản, tiện lợi, nhanh chóng hơn so với trước đây. - HUMAN-FAC1]]</f>
        <v>5</v>
      </c>
      <c r="AD7">
        <f t="shared" si="7"/>
        <v>0.44444444444444442</v>
      </c>
      <c r="AE7">
        <f>step3_validation[[#This Row],[AI_FAC2]]</f>
        <v>10</v>
      </c>
      <c r="AF7">
        <f t="shared" si="8"/>
        <v>1</v>
      </c>
      <c r="AG7">
        <f>survey_responses[[#This Row],[So với trước đây, tôi thấy cách tính thuế và các bậc thuế trong phương án mới đơn giản, dễ hiểu và dễ thực hiện hơn. - HUMAN-FAC2]]</f>
        <v>8</v>
      </c>
      <c r="AH7">
        <f t="shared" si="9"/>
        <v>0.77777777777777779</v>
      </c>
      <c r="AI7" s="32">
        <f t="shared" si="10"/>
        <v>0.94444444444444442</v>
      </c>
      <c r="AJ7" s="32">
        <f t="shared" si="11"/>
        <v>0.61111111111111116</v>
      </c>
      <c r="AK7">
        <f>step3_validation[[#This Row],[AI_TRU1]]</f>
        <v>9</v>
      </c>
      <c r="AL7">
        <f t="shared" si="12"/>
        <v>0.88888888888888884</v>
      </c>
      <c r="AM7">
        <f>survey_responses[[#This Row],[Tôi tin rằng Nhà nước, cơ quan thuế sẽ thực thi chính sách mới một cách khách quan, công tâm và đối xử bình đẳng với mọi người nộp thuế.  - HUMAN-TRU1]]</f>
        <v>6</v>
      </c>
      <c r="AN7">
        <f t="shared" si="13"/>
        <v>0.55555555555555558</v>
      </c>
      <c r="AO7">
        <f>step3_validation[[#This Row],[AI_TRU2]]</f>
        <v>8</v>
      </c>
      <c r="AP7">
        <f t="shared" si="14"/>
        <v>0.77777777777777779</v>
      </c>
      <c r="AQ7">
        <f>survey_responses[[#This Row],[Tôi thấy mức thuế tôi phải đóng theo phương án mới là công bằng (người thu nhập như tôi đóng mức này là hợp lý). - HUMAN-TRU2]]</f>
        <v>6</v>
      </c>
      <c r="AR7">
        <f t="shared" si="15"/>
        <v>0.55555555555555558</v>
      </c>
      <c r="AS7">
        <f>step3_validation[[#This Row],[AI_TRU3]]</f>
        <v>7</v>
      </c>
      <c r="AT7">
        <f t="shared" si="16"/>
        <v>0.66666666666666663</v>
      </c>
      <c r="AU7">
        <f>survey_responses[[#This Row],[Tôi tin tưởng số tiền thuế tôi đóng sẽ được Nhà nước sử dụng hiệu quả để cải thiện dịch vụ công (y tế, đường xá...). - HUMAN-TRU3]]</f>
        <v>4</v>
      </c>
      <c r="AV7">
        <f t="shared" si="17"/>
        <v>0.33333333333333331</v>
      </c>
      <c r="AW7">
        <f>step3_validation[[#This Row],[AI_TRU4]]</f>
        <v>8</v>
      </c>
      <c r="AX7">
        <f t="shared" si="18"/>
        <v>0.77777777777777779</v>
      </c>
      <c r="AY7">
        <f>survey_responses[[#This Row],[Tôi thấy Nhà nước đã giải thích rõ ràng, minh bạch về lý do và mục tiêu của việc sửa đổi thuế lần này. - HUMAN-TRU4]]</f>
        <v>5</v>
      </c>
      <c r="AZ7">
        <f t="shared" si="19"/>
        <v>0.44444444444444442</v>
      </c>
      <c r="BA7" s="32">
        <f t="shared" si="20"/>
        <v>0.77777777777777768</v>
      </c>
      <c r="BB7" s="32">
        <f t="shared" si="21"/>
        <v>0.47222222222222221</v>
      </c>
      <c r="BC7" s="7">
        <f t="shared" si="22"/>
        <v>0.79629629629629628</v>
      </c>
      <c r="BD7" s="7">
        <f t="shared" si="23"/>
        <v>0.62037037037037035</v>
      </c>
      <c r="BE7">
        <f>step3_validation[[#This Row],[AI_OUT1]]</f>
        <v>9</v>
      </c>
      <c r="BF7">
        <f t="shared" si="24"/>
        <v>0.88888888888888884</v>
      </c>
      <c r="BG7">
        <f>survey_responses[[#This Row],[Sau khi xem xét các quyền lợi và nghĩa vụ, bạn có ủng hộ và tuân thủ chính sách mới hiện nay? - HUMAN-OUT1]]</f>
        <v>6</v>
      </c>
      <c r="BH7">
        <f t="shared" si="25"/>
        <v>0.55555555555555558</v>
      </c>
      <c r="BI7" s="32">
        <f t="shared" si="26"/>
        <v>3</v>
      </c>
    </row>
    <row r="8" spans="1:61" x14ac:dyDescent="0.45">
      <c r="A8" s="30">
        <f>step3_validation[[#This Row],[Persona_ID]]</f>
        <v>7</v>
      </c>
      <c r="B8" s="31">
        <f>step3_validation[[#This Row],[Used_Seed]]</f>
        <v>12351</v>
      </c>
      <c r="C8" t="str">
        <f>step3_validation[[#This Row],[Gender]]</f>
        <v>Nữ</v>
      </c>
      <c r="D8" t="str">
        <f>survey_responses[[#This Row],[Giới tính của bạn:]]</f>
        <v>Nữ</v>
      </c>
      <c r="E8" t="str">
        <f>step3_validation[[#This Row],[Age_Group]]</f>
        <v>30 - 39</v>
      </c>
      <c r="F8" t="str">
        <f>survey_responses[[#This Row],[Độ tuổi của bạn:]]</f>
        <v>30 - 39</v>
      </c>
      <c r="G8" t="str">
        <f>step3_validation[[#This Row],[Region]]</f>
        <v>Thành thị</v>
      </c>
      <c r="H8" t="str">
        <f>survey_responses[[#This Row],[Khu vực bạn đang sinh sống:]]</f>
        <v>Thành thị</v>
      </c>
      <c r="I8" t="str">
        <f>step3_validation[[#This Row],[Education]]</f>
        <v>Đại học</v>
      </c>
      <c r="J8" t="str">
        <f>survey_responses[[#This Row],[Trình độ học vấn cao nhất:]]</f>
        <v>Đại học</v>
      </c>
      <c r="K8" t="str">
        <f>step3_validation[[#This Row],[Employment]]</f>
        <v>Chính thức</v>
      </c>
      <c r="L8" t="str">
        <f>survey_responses[[#This Row],[Tình trạng việc làm chính:]]</f>
        <v>Khu vực chính thức (Có Hợp đồng lao động, đóng BHXH)</v>
      </c>
      <c r="M8">
        <f>step3_validation[[#This Row],[Income_Mil]]</f>
        <v>18.691318692838557</v>
      </c>
      <c r="N8" t="str">
        <f>survey_responses[[#This Row],[Thu nhập bình quân tháng theo Hợp đồng lao động của bạn là bao nhiêu? (Vui lòng điền tổng thu nhập trước khi khấu trừ các loại Bảo hiểm (BHXH, BHYT, BHTN) và Thuế TNCN)]]</f>
        <v>Từ 18 - 23 triệu VNĐ</v>
      </c>
      <c r="O8">
        <f>step3_validation[[#This Row],[Dependents]]</f>
        <v>2</v>
      </c>
      <c r="P8" t="str">
        <f>survey_responses[[#This Row],[Số người phụ thuộc (con nhỏ, cha mẹ già...) đủ điều kiện giảm trừ gia cảnh:]]</f>
        <v>2 người</v>
      </c>
      <c r="Q8">
        <f>step3_validation[[#This Row],[AI_ENF1]]</f>
        <v>6</v>
      </c>
      <c r="R8">
        <f t="shared" si="0"/>
        <v>0.55555555555555558</v>
      </c>
      <c r="S8">
        <f>survey_responses[[#This Row],[Tôi tin rằng với các quy định quản lý thuế hiện nay, hành vi gian lận hoặc trốn thuế sẽ dễ dàng bị phát hiện và xử lý nghiêm. - HUMAN-ENF1]]</f>
        <v>5</v>
      </c>
      <c r="T8">
        <f t="shared" si="1"/>
        <v>0.44444444444444442</v>
      </c>
      <c r="U8">
        <f>step3_validation[[#This Row],[AI_ENF2]]</f>
        <v>7</v>
      </c>
      <c r="V8">
        <f t="shared" si="2"/>
        <v>0.66666666666666663</v>
      </c>
      <c r="W8">
        <f>survey_responses[[#This Row],[Tôi tin rằng Nhà nước, cơ quan thuế có đủ khả năng và công nghệ để phát hiện, xử lý nghiêm các hành vi trốn thuế. - HUMAN-ENF2]]</f>
        <v>4</v>
      </c>
      <c r="X8">
        <f t="shared" si="3"/>
        <v>0.33333333333333331</v>
      </c>
      <c r="Y8" s="32">
        <f t="shared" si="4"/>
        <v>0.61111111111111116</v>
      </c>
      <c r="Z8" s="32">
        <f t="shared" si="5"/>
        <v>0.38888888888888884</v>
      </c>
      <c r="AA8">
        <f>step3_validation[[#This Row],[AI_FAC1]]</f>
        <v>8</v>
      </c>
      <c r="AB8">
        <f t="shared" si="6"/>
        <v>0.77777777777777779</v>
      </c>
      <c r="AC8">
        <f>survey_responses[[#This Row],[Các thủ tục khai báo thuế VÀ/HOẶC quy trình làm việc với cơ quan thuế đơn giản, tiện lợi, nhanh chóng hơn so với trước đây. - HUMAN-FAC1]]</f>
        <v>4</v>
      </c>
      <c r="AD8">
        <f t="shared" si="7"/>
        <v>0.33333333333333331</v>
      </c>
      <c r="AE8">
        <f>step3_validation[[#This Row],[AI_FAC2]]</f>
        <v>9</v>
      </c>
      <c r="AF8">
        <f t="shared" si="8"/>
        <v>0.88888888888888884</v>
      </c>
      <c r="AG8">
        <f>survey_responses[[#This Row],[So với trước đây, tôi thấy cách tính thuế và các bậc thuế trong phương án mới đơn giản, dễ hiểu và dễ thực hiện hơn. - HUMAN-FAC2]]</f>
        <v>6</v>
      </c>
      <c r="AH8">
        <f t="shared" si="9"/>
        <v>0.55555555555555558</v>
      </c>
      <c r="AI8" s="32">
        <f t="shared" si="10"/>
        <v>0.83333333333333326</v>
      </c>
      <c r="AJ8" s="32">
        <f t="shared" si="11"/>
        <v>0.44444444444444442</v>
      </c>
      <c r="AK8">
        <f>step3_validation[[#This Row],[AI_TRU1]]</f>
        <v>7</v>
      </c>
      <c r="AL8">
        <f t="shared" si="12"/>
        <v>0.66666666666666663</v>
      </c>
      <c r="AM8">
        <f>survey_responses[[#This Row],[Tôi tin rằng Nhà nước, cơ quan thuế sẽ thực thi chính sách mới một cách khách quan, công tâm và đối xử bình đẳng với mọi người nộp thuế.  - HUMAN-TRU1]]</f>
        <v>6</v>
      </c>
      <c r="AN8">
        <f t="shared" si="13"/>
        <v>0.55555555555555558</v>
      </c>
      <c r="AO8">
        <f>step3_validation[[#This Row],[AI_TRU2]]</f>
        <v>9</v>
      </c>
      <c r="AP8">
        <f t="shared" si="14"/>
        <v>0.88888888888888884</v>
      </c>
      <c r="AQ8">
        <f>survey_responses[[#This Row],[Tôi thấy mức thuế tôi phải đóng theo phương án mới là công bằng (người thu nhập như tôi đóng mức này là hợp lý). - HUMAN-TRU2]]</f>
        <v>7</v>
      </c>
      <c r="AR8">
        <f t="shared" si="15"/>
        <v>0.66666666666666663</v>
      </c>
      <c r="AS8">
        <f>step3_validation[[#This Row],[AI_TRU3]]</f>
        <v>8</v>
      </c>
      <c r="AT8">
        <f t="shared" si="16"/>
        <v>0.77777777777777779</v>
      </c>
      <c r="AU8">
        <f>survey_responses[[#This Row],[Tôi tin tưởng số tiền thuế tôi đóng sẽ được Nhà nước sử dụng hiệu quả để cải thiện dịch vụ công (y tế, đường xá...). - HUMAN-TRU3]]</f>
        <v>2</v>
      </c>
      <c r="AV8">
        <f t="shared" si="17"/>
        <v>0.1111111111111111</v>
      </c>
      <c r="AW8">
        <f>step3_validation[[#This Row],[AI_TRU4]]</f>
        <v>6</v>
      </c>
      <c r="AX8">
        <f t="shared" si="18"/>
        <v>0.55555555555555558</v>
      </c>
      <c r="AY8">
        <f>survey_responses[[#This Row],[Tôi thấy Nhà nước đã giải thích rõ ràng, minh bạch về lý do và mục tiêu của việc sửa đổi thuế lần này. - HUMAN-TRU4]]</f>
        <v>4</v>
      </c>
      <c r="AZ8">
        <f t="shared" si="19"/>
        <v>0.33333333333333331</v>
      </c>
      <c r="BA8" s="32">
        <f t="shared" si="20"/>
        <v>0.7222222222222221</v>
      </c>
      <c r="BB8" s="32">
        <f t="shared" si="21"/>
        <v>0.41666666666666669</v>
      </c>
      <c r="BC8" s="7">
        <f t="shared" si="22"/>
        <v>0.72222222222222221</v>
      </c>
      <c r="BD8" s="7">
        <f t="shared" si="23"/>
        <v>0.41666666666666669</v>
      </c>
      <c r="BE8">
        <f>step3_validation[[#This Row],[AI_OUT1]]</f>
        <v>9</v>
      </c>
      <c r="BF8">
        <f t="shared" si="24"/>
        <v>0.88888888888888884</v>
      </c>
      <c r="BG8">
        <f>survey_responses[[#This Row],[Sau khi xem xét các quyền lợi và nghĩa vụ, bạn có ủng hộ và tuân thủ chính sách mới hiện nay? - HUMAN-OUT1]]</f>
        <v>4</v>
      </c>
      <c r="BH8">
        <f t="shared" si="25"/>
        <v>0.33333333333333331</v>
      </c>
      <c r="BI8" s="32">
        <f t="shared" si="26"/>
        <v>5</v>
      </c>
    </row>
    <row r="9" spans="1:61" x14ac:dyDescent="0.45">
      <c r="A9" s="30">
        <f>step3_validation[[#This Row],[Persona_ID]]</f>
        <v>8</v>
      </c>
      <c r="B9" s="31">
        <f>step3_validation[[#This Row],[Used_Seed]]</f>
        <v>12352</v>
      </c>
      <c r="C9" t="str">
        <f>step3_validation[[#This Row],[Gender]]</f>
        <v>Nam</v>
      </c>
      <c r="D9" t="str">
        <f>survey_responses[[#This Row],[Giới tính của bạn:]]</f>
        <v>Nam</v>
      </c>
      <c r="E9" t="str">
        <f>step3_validation[[#This Row],[Age_Group]]</f>
        <v>40 - 49</v>
      </c>
      <c r="F9" t="str">
        <f>survey_responses[[#This Row],[Độ tuổi của bạn:]]</f>
        <v>40 - 49</v>
      </c>
      <c r="G9" t="str">
        <f>step3_validation[[#This Row],[Region]]</f>
        <v>Thành thị</v>
      </c>
      <c r="H9" t="str">
        <f>survey_responses[[#This Row],[Khu vực bạn đang sinh sống:]]</f>
        <v>Thành thị</v>
      </c>
      <c r="I9" t="str">
        <f>step3_validation[[#This Row],[Education]]</f>
        <v>Sau Đại học</v>
      </c>
      <c r="J9" t="str">
        <f>survey_responses[[#This Row],[Trình độ học vấn cao nhất:]]</f>
        <v>Sau Đại học</v>
      </c>
      <c r="K9" t="str">
        <f>step3_validation[[#This Row],[Employment]]</f>
        <v>Chính thức</v>
      </c>
      <c r="L9" t="str">
        <f>survey_responses[[#This Row],[Tình trạng việc làm chính:]]</f>
        <v>Khu vực chính thức (Có Hợp đồng lao động, đóng BHXH)</v>
      </c>
      <c r="M9">
        <f>step3_validation[[#This Row],[Income_Mil]]</f>
        <v>12</v>
      </c>
      <c r="N9" t="str">
        <f>survey_responses[[#This Row],[Thu nhập bình quân tháng theo Hợp đồng lao động của bạn là bao nhiêu? (Vui lòng điền tổng thu nhập trước khi khấu trừ các loại Bảo hiểm (BHXH, BHYT, BHTN) và Thuế TNCN)]]</f>
        <v>Dưới 12 triệu VNĐ</v>
      </c>
      <c r="O9">
        <f>step3_validation[[#This Row],[Dependents]]</f>
        <v>2</v>
      </c>
      <c r="P9" t="str">
        <f>survey_responses[[#This Row],[Số người phụ thuộc (con nhỏ, cha mẹ già...) đủ điều kiện giảm trừ gia cảnh:]]</f>
        <v>2 người</v>
      </c>
      <c r="Q9">
        <f>step3_validation[[#This Row],[AI_ENF1]]</f>
        <v>7</v>
      </c>
      <c r="R9">
        <f t="shared" si="0"/>
        <v>0.66666666666666663</v>
      </c>
      <c r="S9">
        <f>survey_responses[[#This Row],[Tôi tin rằng với các quy định quản lý thuế hiện nay, hành vi gian lận hoặc trốn thuế sẽ dễ dàng bị phát hiện và xử lý nghiêm. - HUMAN-ENF1]]</f>
        <v>1</v>
      </c>
      <c r="T9">
        <f t="shared" si="1"/>
        <v>0</v>
      </c>
      <c r="U9">
        <f>step3_validation[[#This Row],[AI_ENF2]]</f>
        <v>6</v>
      </c>
      <c r="V9">
        <f t="shared" si="2"/>
        <v>0.55555555555555558</v>
      </c>
      <c r="W9">
        <f>survey_responses[[#This Row],[Tôi tin rằng Nhà nước, cơ quan thuế có đủ khả năng và công nghệ để phát hiện, xử lý nghiêm các hành vi trốn thuế. - HUMAN-ENF2]]</f>
        <v>1</v>
      </c>
      <c r="X9">
        <f t="shared" si="3"/>
        <v>0</v>
      </c>
      <c r="Y9" s="32">
        <f t="shared" si="4"/>
        <v>0.61111111111111116</v>
      </c>
      <c r="Z9" s="32">
        <f t="shared" si="5"/>
        <v>0</v>
      </c>
      <c r="AA9">
        <f>step3_validation[[#This Row],[AI_FAC1]]</f>
        <v>4</v>
      </c>
      <c r="AB9">
        <f t="shared" si="6"/>
        <v>0.33333333333333331</v>
      </c>
      <c r="AC9">
        <f>survey_responses[[#This Row],[Các thủ tục khai báo thuế VÀ/HOẶC quy trình làm việc với cơ quan thuế đơn giản, tiện lợi, nhanh chóng hơn so với trước đây. - HUMAN-FAC1]]</f>
        <v>2</v>
      </c>
      <c r="AD9">
        <f t="shared" si="7"/>
        <v>0.1111111111111111</v>
      </c>
      <c r="AE9">
        <f>step3_validation[[#This Row],[AI_FAC2]]</f>
        <v>8</v>
      </c>
      <c r="AF9">
        <f t="shared" si="8"/>
        <v>0.77777777777777779</v>
      </c>
      <c r="AG9">
        <f>survey_responses[[#This Row],[So với trước đây, tôi thấy cách tính thuế và các bậc thuế trong phương án mới đơn giản, dễ hiểu và dễ thực hiện hơn. - HUMAN-FAC2]]</f>
        <v>3</v>
      </c>
      <c r="AH9">
        <f t="shared" si="9"/>
        <v>0.22222222222222221</v>
      </c>
      <c r="AI9" s="32">
        <f t="shared" si="10"/>
        <v>0.55555555555555558</v>
      </c>
      <c r="AJ9" s="32">
        <f t="shared" si="11"/>
        <v>0.16666666666666666</v>
      </c>
      <c r="AK9">
        <f>step3_validation[[#This Row],[AI_TRU1]]</f>
        <v>9</v>
      </c>
      <c r="AL9">
        <f t="shared" si="12"/>
        <v>0.88888888888888884</v>
      </c>
      <c r="AM9">
        <f>survey_responses[[#This Row],[Tôi tin rằng Nhà nước, cơ quan thuế sẽ thực thi chính sách mới một cách khách quan, công tâm và đối xử bình đẳng với mọi người nộp thuế.  - HUMAN-TRU1]]</f>
        <v>6</v>
      </c>
      <c r="AN9">
        <f t="shared" si="13"/>
        <v>0.55555555555555558</v>
      </c>
      <c r="AO9">
        <f>step3_validation[[#This Row],[AI_TRU2]]</f>
        <v>8</v>
      </c>
      <c r="AP9">
        <f t="shared" si="14"/>
        <v>0.77777777777777779</v>
      </c>
      <c r="AQ9">
        <f>survey_responses[[#This Row],[Tôi thấy mức thuế tôi phải đóng theo phương án mới là công bằng (người thu nhập như tôi đóng mức này là hợp lý). - HUMAN-TRU2]]</f>
        <v>2</v>
      </c>
      <c r="AR9">
        <f t="shared" si="15"/>
        <v>0.1111111111111111</v>
      </c>
      <c r="AS9">
        <f>step3_validation[[#This Row],[AI_TRU3]]</f>
        <v>9</v>
      </c>
      <c r="AT9">
        <f t="shared" si="16"/>
        <v>0.88888888888888884</v>
      </c>
      <c r="AU9">
        <f>survey_responses[[#This Row],[Tôi tin tưởng số tiền thuế tôi đóng sẽ được Nhà nước sử dụng hiệu quả để cải thiện dịch vụ công (y tế, đường xá...). - HUMAN-TRU3]]</f>
        <v>7</v>
      </c>
      <c r="AV9">
        <f t="shared" si="17"/>
        <v>0.66666666666666663</v>
      </c>
      <c r="AW9">
        <f>step3_validation[[#This Row],[AI_TRU4]]</f>
        <v>7</v>
      </c>
      <c r="AX9">
        <f t="shared" si="18"/>
        <v>0.66666666666666663</v>
      </c>
      <c r="AY9">
        <f>survey_responses[[#This Row],[Tôi thấy Nhà nước đã giải thích rõ ràng, minh bạch về lý do và mục tiêu của việc sửa đổi thuế lần này. - HUMAN-TRU4]]</f>
        <v>3</v>
      </c>
      <c r="AZ9">
        <f t="shared" si="19"/>
        <v>0.22222222222222221</v>
      </c>
      <c r="BA9" s="32">
        <f t="shared" si="20"/>
        <v>0.80555555555555547</v>
      </c>
      <c r="BB9" s="32">
        <f t="shared" si="21"/>
        <v>0.38888888888888895</v>
      </c>
      <c r="BC9" s="7">
        <f t="shared" si="22"/>
        <v>0.65740740740740744</v>
      </c>
      <c r="BD9" s="7">
        <f t="shared" si="23"/>
        <v>0.1851851851851852</v>
      </c>
      <c r="BE9">
        <f>step3_validation[[#This Row],[AI_OUT1]]</f>
        <v>9</v>
      </c>
      <c r="BF9">
        <f t="shared" si="24"/>
        <v>0.88888888888888884</v>
      </c>
      <c r="BG9">
        <f>survey_responses[[#This Row],[Sau khi xem xét các quyền lợi và nghĩa vụ, bạn có ủng hộ và tuân thủ chính sách mới hiện nay? - HUMAN-OUT1]]</f>
        <v>3</v>
      </c>
      <c r="BH9">
        <f t="shared" si="25"/>
        <v>0.22222222222222221</v>
      </c>
      <c r="BI9" s="32">
        <f t="shared" si="26"/>
        <v>6</v>
      </c>
    </row>
    <row r="10" spans="1:61" x14ac:dyDescent="0.45">
      <c r="A10" s="30">
        <f>step3_validation[[#This Row],[Persona_ID]]</f>
        <v>9</v>
      </c>
      <c r="B10" s="31">
        <f>step3_validation[[#This Row],[Used_Seed]]</f>
        <v>12353</v>
      </c>
      <c r="C10" t="str">
        <f>step3_validation[[#This Row],[Gender]]</f>
        <v>Nữ</v>
      </c>
      <c r="D10" t="str">
        <f>survey_responses[[#This Row],[Giới tính của bạn:]]</f>
        <v>Nữ</v>
      </c>
      <c r="E10" t="str">
        <f>step3_validation[[#This Row],[Age_Group]]</f>
        <v>25 - 29</v>
      </c>
      <c r="F10" t="str">
        <f>survey_responses[[#This Row],[Độ tuổi của bạn:]]</f>
        <v>25 - 29</v>
      </c>
      <c r="G10" t="str">
        <f>step3_validation[[#This Row],[Region]]</f>
        <v>Nông thôn</v>
      </c>
      <c r="H10" t="str">
        <f>survey_responses[[#This Row],[Khu vực bạn đang sinh sống:]]</f>
        <v>Nông thôn</v>
      </c>
      <c r="I10" t="str">
        <f>step3_validation[[#This Row],[Education]]</f>
        <v>Đại học</v>
      </c>
      <c r="J10" t="str">
        <f>survey_responses[[#This Row],[Trình độ học vấn cao nhất:]]</f>
        <v>Đại học</v>
      </c>
      <c r="K10" t="str">
        <f>step3_validation[[#This Row],[Employment]]</f>
        <v>Phi chính thức</v>
      </c>
      <c r="L10" t="str">
        <f>survey_responses[[#This Row],[Tình trạng việc làm chính:]]</f>
        <v>Khu vực phi chính thức (Lao động tự do, không có HĐLĐ)</v>
      </c>
      <c r="M10">
        <f>step3_validation[[#This Row],[Income_Mil]]</f>
        <v>14.325396151387569</v>
      </c>
      <c r="N10" t="str">
        <f>survey_responses[[#This Row],[Thu nhập bình quân tháng theo Hợp đồng lao động của bạn là bao nhiêu? (Vui lòng điền tổng thu nhập trước khi khấu trừ các loại Bảo hiểm (BHXH, BHYT, BHTN) và Thuế TNCN)]]</f>
        <v>Từ 12 - 18 triệu VNĐ</v>
      </c>
      <c r="O10">
        <f>step3_validation[[#This Row],[Dependents]]</f>
        <v>1</v>
      </c>
      <c r="P10" t="str">
        <f>survey_responses[[#This Row],[Số người phụ thuộc (con nhỏ, cha mẹ già...) đủ điều kiện giảm trừ gia cảnh:]]</f>
        <v>1 người</v>
      </c>
      <c r="Q10">
        <f>step3_validation[[#This Row],[AI_ENF1]]</f>
        <v>7</v>
      </c>
      <c r="R10">
        <f t="shared" si="0"/>
        <v>0.66666666666666663</v>
      </c>
      <c r="S10">
        <f>survey_responses[[#This Row],[Tôi tin rằng với các quy định quản lý thuế hiện nay, hành vi gian lận hoặc trốn thuế sẽ dễ dàng bị phát hiện và xử lý nghiêm. - HUMAN-ENF1]]</f>
        <v>10</v>
      </c>
      <c r="T10">
        <f t="shared" si="1"/>
        <v>1</v>
      </c>
      <c r="U10">
        <f>step3_validation[[#This Row],[AI_ENF2]]</f>
        <v>6</v>
      </c>
      <c r="V10">
        <f t="shared" si="2"/>
        <v>0.55555555555555558</v>
      </c>
      <c r="W10">
        <f>survey_responses[[#This Row],[Tôi tin rằng Nhà nước, cơ quan thuế có đủ khả năng và công nghệ để phát hiện, xử lý nghiêm các hành vi trốn thuế. - HUMAN-ENF2]]</f>
        <v>10</v>
      </c>
      <c r="X10">
        <f t="shared" si="3"/>
        <v>1</v>
      </c>
      <c r="Y10" s="32">
        <f t="shared" si="4"/>
        <v>0.61111111111111116</v>
      </c>
      <c r="Z10" s="32">
        <f t="shared" si="5"/>
        <v>1</v>
      </c>
      <c r="AA10">
        <f>step3_validation[[#This Row],[AI_FAC1]]</f>
        <v>9</v>
      </c>
      <c r="AB10">
        <f t="shared" si="6"/>
        <v>0.88888888888888884</v>
      </c>
      <c r="AC10">
        <f>survey_responses[[#This Row],[Các thủ tục khai báo thuế VÀ/HOẶC quy trình làm việc với cơ quan thuế đơn giản, tiện lợi, nhanh chóng hơn so với trước đây. - HUMAN-FAC1]]</f>
        <v>8</v>
      </c>
      <c r="AD10">
        <f t="shared" si="7"/>
        <v>0.77777777777777779</v>
      </c>
      <c r="AE10">
        <f>step3_validation[[#This Row],[AI_FAC2]]</f>
        <v>8</v>
      </c>
      <c r="AF10">
        <f t="shared" si="8"/>
        <v>0.77777777777777779</v>
      </c>
      <c r="AG10">
        <f>survey_responses[[#This Row],[So với trước đây, tôi thấy cách tính thuế và các bậc thuế trong phương án mới đơn giản, dễ hiểu và dễ thực hiện hơn. - HUMAN-FAC2]]</f>
        <v>7</v>
      </c>
      <c r="AH10">
        <f t="shared" si="9"/>
        <v>0.66666666666666663</v>
      </c>
      <c r="AI10" s="32">
        <f t="shared" si="10"/>
        <v>0.83333333333333326</v>
      </c>
      <c r="AJ10" s="32">
        <f t="shared" si="11"/>
        <v>0.72222222222222221</v>
      </c>
      <c r="AK10">
        <f>step3_validation[[#This Row],[AI_TRU1]]</f>
        <v>7</v>
      </c>
      <c r="AL10">
        <f t="shared" si="12"/>
        <v>0.66666666666666663</v>
      </c>
      <c r="AM10">
        <f>survey_responses[[#This Row],[Tôi tin rằng Nhà nước, cơ quan thuế sẽ thực thi chính sách mới một cách khách quan, công tâm và đối xử bình đẳng với mọi người nộp thuế.  - HUMAN-TRU1]]</f>
        <v>7</v>
      </c>
      <c r="AN10">
        <f t="shared" si="13"/>
        <v>0.66666666666666663</v>
      </c>
      <c r="AO10">
        <f>step3_validation[[#This Row],[AI_TRU2]]</f>
        <v>8</v>
      </c>
      <c r="AP10">
        <f t="shared" si="14"/>
        <v>0.77777777777777779</v>
      </c>
      <c r="AQ10">
        <f>survey_responses[[#This Row],[Tôi thấy mức thuế tôi phải đóng theo phương án mới là công bằng (người thu nhập như tôi đóng mức này là hợp lý). - HUMAN-TRU2]]</f>
        <v>5</v>
      </c>
      <c r="AR10">
        <f t="shared" si="15"/>
        <v>0.44444444444444442</v>
      </c>
      <c r="AS10">
        <f>step3_validation[[#This Row],[AI_TRU3]]</f>
        <v>7</v>
      </c>
      <c r="AT10">
        <f t="shared" si="16"/>
        <v>0.66666666666666663</v>
      </c>
      <c r="AU10">
        <f>survey_responses[[#This Row],[Tôi tin tưởng số tiền thuế tôi đóng sẽ được Nhà nước sử dụng hiệu quả để cải thiện dịch vụ công (y tế, đường xá...). - HUMAN-TRU3]]</f>
        <v>5</v>
      </c>
      <c r="AV10">
        <f t="shared" si="17"/>
        <v>0.44444444444444442</v>
      </c>
      <c r="AW10">
        <f>step3_validation[[#This Row],[AI_TRU4]]</f>
        <v>6</v>
      </c>
      <c r="AX10">
        <f t="shared" si="18"/>
        <v>0.55555555555555558</v>
      </c>
      <c r="AY10">
        <f>survey_responses[[#This Row],[Tôi thấy Nhà nước đã giải thích rõ ràng, minh bạch về lý do và mục tiêu của việc sửa đổi thuế lần này. - HUMAN-TRU4]]</f>
        <v>9</v>
      </c>
      <c r="AZ10">
        <f t="shared" si="19"/>
        <v>0.88888888888888884</v>
      </c>
      <c r="BA10" s="32">
        <f t="shared" si="20"/>
        <v>0.66666666666666674</v>
      </c>
      <c r="BB10" s="32">
        <f t="shared" si="21"/>
        <v>0.61111111111111116</v>
      </c>
      <c r="BC10" s="7">
        <f t="shared" si="22"/>
        <v>0.70370370370370372</v>
      </c>
      <c r="BD10" s="7">
        <f t="shared" si="23"/>
        <v>0.77777777777777779</v>
      </c>
      <c r="BE10">
        <f>step3_validation[[#This Row],[AI_OUT1]]</f>
        <v>8</v>
      </c>
      <c r="BF10">
        <f t="shared" si="24"/>
        <v>0.77777777777777779</v>
      </c>
      <c r="BG10">
        <f>survey_responses[[#This Row],[Sau khi xem xét các quyền lợi và nghĩa vụ, bạn có ủng hộ và tuân thủ chính sách mới hiện nay? - HUMAN-OUT1]]</f>
        <v>8</v>
      </c>
      <c r="BH10">
        <f t="shared" si="25"/>
        <v>0.77777777777777779</v>
      </c>
      <c r="BI10" s="32">
        <f t="shared" si="26"/>
        <v>0</v>
      </c>
    </row>
    <row r="11" spans="1:61" x14ac:dyDescent="0.45">
      <c r="A11" s="30">
        <f>step3_validation[[#This Row],[Persona_ID]]</f>
        <v>10</v>
      </c>
      <c r="B11" s="31">
        <f>step3_validation[[#This Row],[Used_Seed]]</f>
        <v>12354</v>
      </c>
      <c r="C11" t="str">
        <f>step3_validation[[#This Row],[Gender]]</f>
        <v>Nữ</v>
      </c>
      <c r="D11" t="str">
        <f>survey_responses[[#This Row],[Giới tính của bạn:]]</f>
        <v>Nữ</v>
      </c>
      <c r="E11" t="str">
        <f>step3_validation[[#This Row],[Age_Group]]</f>
        <v>25 - 29</v>
      </c>
      <c r="F11" t="str">
        <f>survey_responses[[#This Row],[Độ tuổi của bạn:]]</f>
        <v>25 - 29</v>
      </c>
      <c r="G11" t="str">
        <f>step3_validation[[#This Row],[Region]]</f>
        <v>Thành thị</v>
      </c>
      <c r="H11" t="str">
        <f>survey_responses[[#This Row],[Khu vực bạn đang sinh sống:]]</f>
        <v>Thành thị</v>
      </c>
      <c r="I11" t="str">
        <f>step3_validation[[#This Row],[Education]]</f>
        <v>Đại học</v>
      </c>
      <c r="J11" t="str">
        <f>survey_responses[[#This Row],[Trình độ học vấn cao nhất:]]</f>
        <v>Đại học</v>
      </c>
      <c r="K11" t="str">
        <f>step3_validation[[#This Row],[Employment]]</f>
        <v>Chính thức</v>
      </c>
      <c r="L11" t="str">
        <f>survey_responses[[#This Row],[Tình trạng việc làm chính:]]</f>
        <v>Khu vực chính thức (Có Hợp đồng lao động, đóng BHXH)</v>
      </c>
      <c r="M11">
        <f>step3_validation[[#This Row],[Income_Mil]]</f>
        <v>19.914375440519994</v>
      </c>
      <c r="N11" t="str">
        <f>survey_responses[[#This Row],[Thu nhập bình quân tháng theo Hợp đồng lao động của bạn là bao nhiêu? (Vui lòng điền tổng thu nhập trước khi khấu trừ các loại Bảo hiểm (BHXH, BHYT, BHTN) và Thuế TNCN)]]</f>
        <v>Từ 18 - 23 triệu VNĐ</v>
      </c>
      <c r="O11">
        <f>step3_validation[[#This Row],[Dependents]]</f>
        <v>0</v>
      </c>
      <c r="P11" t="str">
        <f>survey_responses[[#This Row],[Số người phụ thuộc (con nhỏ, cha mẹ già...) đủ điều kiện giảm trừ gia cảnh:]]</f>
        <v>0 người</v>
      </c>
      <c r="Q11">
        <f>step3_validation[[#This Row],[AI_ENF1]]</f>
        <v>6</v>
      </c>
      <c r="R11">
        <f t="shared" si="0"/>
        <v>0.55555555555555558</v>
      </c>
      <c r="S11">
        <f>survey_responses[[#This Row],[Tôi tin rằng với các quy định quản lý thuế hiện nay, hành vi gian lận hoặc trốn thuế sẽ dễ dàng bị phát hiện và xử lý nghiêm. - HUMAN-ENF1]]</f>
        <v>7</v>
      </c>
      <c r="T11">
        <f t="shared" si="1"/>
        <v>0.66666666666666663</v>
      </c>
      <c r="U11">
        <f>step3_validation[[#This Row],[AI_ENF2]]</f>
        <v>7</v>
      </c>
      <c r="V11">
        <f t="shared" si="2"/>
        <v>0.66666666666666663</v>
      </c>
      <c r="W11">
        <f>survey_responses[[#This Row],[Tôi tin rằng Nhà nước, cơ quan thuế có đủ khả năng và công nghệ để phát hiện, xử lý nghiêm các hành vi trốn thuế. - HUMAN-ENF2]]</f>
        <v>10</v>
      </c>
      <c r="X11">
        <f t="shared" si="3"/>
        <v>1</v>
      </c>
      <c r="Y11" s="32">
        <f t="shared" si="4"/>
        <v>0.61111111111111116</v>
      </c>
      <c r="Z11" s="32">
        <f t="shared" si="5"/>
        <v>0.83333333333333326</v>
      </c>
      <c r="AA11">
        <f>step3_validation[[#This Row],[AI_FAC1]]</f>
        <v>8</v>
      </c>
      <c r="AB11">
        <f t="shared" si="6"/>
        <v>0.77777777777777779</v>
      </c>
      <c r="AC11">
        <f>survey_responses[[#This Row],[Các thủ tục khai báo thuế VÀ/HOẶC quy trình làm việc với cơ quan thuế đơn giản, tiện lợi, nhanh chóng hơn so với trước đây. - HUMAN-FAC1]]</f>
        <v>1</v>
      </c>
      <c r="AD11">
        <f t="shared" si="7"/>
        <v>0</v>
      </c>
      <c r="AE11">
        <f>step3_validation[[#This Row],[AI_FAC2]]</f>
        <v>9</v>
      </c>
      <c r="AF11">
        <f t="shared" si="8"/>
        <v>0.88888888888888884</v>
      </c>
      <c r="AG11">
        <f>survey_responses[[#This Row],[So với trước đây, tôi thấy cách tính thuế và các bậc thuế trong phương án mới đơn giản, dễ hiểu và dễ thực hiện hơn. - HUMAN-FAC2]]</f>
        <v>5</v>
      </c>
      <c r="AH11">
        <f t="shared" si="9"/>
        <v>0.44444444444444442</v>
      </c>
      <c r="AI11" s="32">
        <f t="shared" si="10"/>
        <v>0.83333333333333326</v>
      </c>
      <c r="AJ11" s="32">
        <f t="shared" si="11"/>
        <v>0.22222222222222221</v>
      </c>
      <c r="AK11">
        <f>step3_validation[[#This Row],[AI_TRU1]]</f>
        <v>7</v>
      </c>
      <c r="AL11">
        <f t="shared" si="12"/>
        <v>0.66666666666666663</v>
      </c>
      <c r="AM11">
        <f>survey_responses[[#This Row],[Tôi tin rằng Nhà nước, cơ quan thuế sẽ thực thi chính sách mới một cách khách quan, công tâm và đối xử bình đẳng với mọi người nộp thuế.  - HUMAN-TRU1]]</f>
        <v>8</v>
      </c>
      <c r="AN11">
        <f t="shared" si="13"/>
        <v>0.77777777777777779</v>
      </c>
      <c r="AO11">
        <f>step3_validation[[#This Row],[AI_TRU2]]</f>
        <v>9</v>
      </c>
      <c r="AP11">
        <f t="shared" si="14"/>
        <v>0.88888888888888884</v>
      </c>
      <c r="AQ11">
        <f>survey_responses[[#This Row],[Tôi thấy mức thuế tôi phải đóng theo phương án mới là công bằng (người thu nhập như tôi đóng mức này là hợp lý). - HUMAN-TRU2]]</f>
        <v>5</v>
      </c>
      <c r="AR11">
        <f t="shared" si="15"/>
        <v>0.44444444444444442</v>
      </c>
      <c r="AS11">
        <f>step3_validation[[#This Row],[AI_TRU3]]</f>
        <v>8</v>
      </c>
      <c r="AT11">
        <f t="shared" si="16"/>
        <v>0.77777777777777779</v>
      </c>
      <c r="AU11">
        <f>survey_responses[[#This Row],[Tôi tin tưởng số tiền thuế tôi đóng sẽ được Nhà nước sử dụng hiệu quả để cải thiện dịch vụ công (y tế, đường xá...). - HUMAN-TRU3]]</f>
        <v>5</v>
      </c>
      <c r="AV11">
        <f t="shared" si="17"/>
        <v>0.44444444444444442</v>
      </c>
      <c r="AW11">
        <f>step3_validation[[#This Row],[AI_TRU4]]</f>
        <v>9</v>
      </c>
      <c r="AX11">
        <f t="shared" si="18"/>
        <v>0.88888888888888884</v>
      </c>
      <c r="AY11">
        <f>survey_responses[[#This Row],[Tôi thấy Nhà nước đã giải thích rõ ràng, minh bạch về lý do và mục tiêu của việc sửa đổi thuế lần này. - HUMAN-TRU4]]</f>
        <v>5</v>
      </c>
      <c r="AZ11">
        <f t="shared" si="19"/>
        <v>0.44444444444444442</v>
      </c>
      <c r="BA11" s="32">
        <f t="shared" si="20"/>
        <v>0.80555555555555547</v>
      </c>
      <c r="BB11" s="32">
        <f t="shared" si="21"/>
        <v>0.52777777777777779</v>
      </c>
      <c r="BC11" s="7">
        <f t="shared" si="22"/>
        <v>0.75</v>
      </c>
      <c r="BD11" s="7">
        <f t="shared" si="23"/>
        <v>0.52777777777777768</v>
      </c>
      <c r="BE11">
        <f>step3_validation[[#This Row],[AI_OUT1]]</f>
        <v>8</v>
      </c>
      <c r="BF11">
        <f t="shared" si="24"/>
        <v>0.77777777777777779</v>
      </c>
      <c r="BG11">
        <f>survey_responses[[#This Row],[Sau khi xem xét các quyền lợi và nghĩa vụ, bạn có ủng hộ và tuân thủ chính sách mới hiện nay? - HUMAN-OUT1]]</f>
        <v>10</v>
      </c>
      <c r="BH11">
        <f t="shared" si="25"/>
        <v>1</v>
      </c>
      <c r="BI11" s="32">
        <f t="shared" si="26"/>
        <v>2</v>
      </c>
    </row>
    <row r="12" spans="1:61" x14ac:dyDescent="0.45">
      <c r="A12" s="30">
        <f>step3_validation[[#This Row],[Persona_ID]]</f>
        <v>11</v>
      </c>
      <c r="B12" s="31">
        <f>step3_validation[[#This Row],[Used_Seed]]</f>
        <v>12355</v>
      </c>
      <c r="C12" t="str">
        <f>step3_validation[[#This Row],[Gender]]</f>
        <v>Nam</v>
      </c>
      <c r="D12" t="str">
        <f>survey_responses[[#This Row],[Giới tính của bạn:]]</f>
        <v>Nam</v>
      </c>
      <c r="E12" t="str">
        <f>step3_validation[[#This Row],[Age_Group]]</f>
        <v>30 - 39</v>
      </c>
      <c r="F12" t="str">
        <f>survey_responses[[#This Row],[Độ tuổi của bạn:]]</f>
        <v>30 - 39</v>
      </c>
      <c r="G12" t="str">
        <f>step3_validation[[#This Row],[Region]]</f>
        <v>Thành thị</v>
      </c>
      <c r="H12" t="str">
        <f>survey_responses[[#This Row],[Khu vực bạn đang sinh sống:]]</f>
        <v>Thành thị</v>
      </c>
      <c r="I12" t="str">
        <f>step3_validation[[#This Row],[Education]]</f>
        <v>Sau Đại học</v>
      </c>
      <c r="J12" t="str">
        <f>survey_responses[[#This Row],[Trình độ học vấn cao nhất:]]</f>
        <v>Sau Đại học</v>
      </c>
      <c r="K12" t="str">
        <f>step3_validation[[#This Row],[Employment]]</f>
        <v>Phi chính thức</v>
      </c>
      <c r="L12" t="str">
        <f>survey_responses[[#This Row],[Tình trạng việc làm chính:]]</f>
        <v>Khu vực phi chính thức (Lao động tự do, không có HĐLĐ)</v>
      </c>
      <c r="M12">
        <f>step3_validation[[#This Row],[Income_Mil]]</f>
        <v>42.066556778740022</v>
      </c>
      <c r="N12" t="str">
        <f>survey_responses[[#This Row],[Thu nhập bình quân tháng theo Hợp đồng lao động của bạn là bao nhiêu? (Vui lòng điền tổng thu nhập trước khi khấu trừ các loại Bảo hiểm (BHXH, BHYT, BHTN) và Thuế TNCN)]]</f>
        <v>Từ 32 - 48 triệu VNĐ</v>
      </c>
      <c r="O12">
        <f>step3_validation[[#This Row],[Dependents]]</f>
        <v>4</v>
      </c>
      <c r="P12" t="str">
        <f>survey_responses[[#This Row],[Số người phụ thuộc (con nhỏ, cha mẹ già...) đủ điều kiện giảm trừ gia cảnh:]]</f>
        <v>4 người trở lên</v>
      </c>
      <c r="Q12">
        <f>step3_validation[[#This Row],[AI_ENF1]]</f>
        <v>6</v>
      </c>
      <c r="R12">
        <f t="shared" si="0"/>
        <v>0.55555555555555558</v>
      </c>
      <c r="S12">
        <f>survey_responses[[#This Row],[Tôi tin rằng với các quy định quản lý thuế hiện nay, hành vi gian lận hoặc trốn thuế sẽ dễ dàng bị phát hiện và xử lý nghiêm. - HUMAN-ENF1]]</f>
        <v>10</v>
      </c>
      <c r="T12">
        <f t="shared" si="1"/>
        <v>1</v>
      </c>
      <c r="U12">
        <f>step3_validation[[#This Row],[AI_ENF2]]</f>
        <v>7</v>
      </c>
      <c r="V12">
        <f t="shared" si="2"/>
        <v>0.66666666666666663</v>
      </c>
      <c r="W12">
        <f>survey_responses[[#This Row],[Tôi tin rằng Nhà nước, cơ quan thuế có đủ khả năng và công nghệ để phát hiện, xử lý nghiêm các hành vi trốn thuế. - HUMAN-ENF2]]</f>
        <v>3</v>
      </c>
      <c r="X12">
        <f t="shared" si="3"/>
        <v>0.22222222222222221</v>
      </c>
      <c r="Y12" s="32">
        <f t="shared" si="4"/>
        <v>0.61111111111111116</v>
      </c>
      <c r="Z12" s="32">
        <f t="shared" si="5"/>
        <v>0.61111111111111116</v>
      </c>
      <c r="AA12">
        <f>step3_validation[[#This Row],[AI_FAC1]]</f>
        <v>8</v>
      </c>
      <c r="AB12">
        <f t="shared" si="6"/>
        <v>0.77777777777777779</v>
      </c>
      <c r="AC12">
        <f>survey_responses[[#This Row],[Các thủ tục khai báo thuế VÀ/HOẶC quy trình làm việc với cơ quan thuế đơn giản, tiện lợi, nhanh chóng hơn so với trước đây. - HUMAN-FAC1]]</f>
        <v>1</v>
      </c>
      <c r="AD12">
        <f t="shared" si="7"/>
        <v>0</v>
      </c>
      <c r="AE12">
        <f>step3_validation[[#This Row],[AI_FAC2]]</f>
        <v>9</v>
      </c>
      <c r="AF12">
        <f t="shared" si="8"/>
        <v>0.88888888888888884</v>
      </c>
      <c r="AG12">
        <f>survey_responses[[#This Row],[So với trước đây, tôi thấy cách tính thuế và các bậc thuế trong phương án mới đơn giản, dễ hiểu và dễ thực hiện hơn. - HUMAN-FAC2]]</f>
        <v>7</v>
      </c>
      <c r="AH12">
        <f t="shared" si="9"/>
        <v>0.66666666666666663</v>
      </c>
      <c r="AI12" s="32">
        <f t="shared" si="10"/>
        <v>0.83333333333333326</v>
      </c>
      <c r="AJ12" s="32">
        <f t="shared" si="11"/>
        <v>0.33333333333333331</v>
      </c>
      <c r="AK12">
        <f>step3_validation[[#This Row],[AI_TRU1]]</f>
        <v>7</v>
      </c>
      <c r="AL12">
        <f t="shared" si="12"/>
        <v>0.66666666666666663</v>
      </c>
      <c r="AM12">
        <f>survey_responses[[#This Row],[Tôi tin rằng Nhà nước, cơ quan thuế sẽ thực thi chính sách mới một cách khách quan, công tâm và đối xử bình đẳng với mọi người nộp thuế.  - HUMAN-TRU1]]</f>
        <v>1</v>
      </c>
      <c r="AN12">
        <f t="shared" si="13"/>
        <v>0</v>
      </c>
      <c r="AO12">
        <f>step3_validation[[#This Row],[AI_TRU2]]</f>
        <v>9</v>
      </c>
      <c r="AP12">
        <f t="shared" si="14"/>
        <v>0.88888888888888884</v>
      </c>
      <c r="AQ12">
        <f>survey_responses[[#This Row],[Tôi thấy mức thuế tôi phải đóng theo phương án mới là công bằng (người thu nhập như tôi đóng mức này là hợp lý). - HUMAN-TRU2]]</f>
        <v>5</v>
      </c>
      <c r="AR12">
        <f t="shared" si="15"/>
        <v>0.44444444444444442</v>
      </c>
      <c r="AS12">
        <f>step3_validation[[#This Row],[AI_TRU3]]</f>
        <v>8</v>
      </c>
      <c r="AT12">
        <f t="shared" si="16"/>
        <v>0.77777777777777779</v>
      </c>
      <c r="AU12">
        <f>survey_responses[[#This Row],[Tôi tin tưởng số tiền thuế tôi đóng sẽ được Nhà nước sử dụng hiệu quả để cải thiện dịch vụ công (y tế, đường xá...). - HUMAN-TRU3]]</f>
        <v>1</v>
      </c>
      <c r="AV12">
        <f t="shared" si="17"/>
        <v>0</v>
      </c>
      <c r="AW12">
        <f>step3_validation[[#This Row],[AI_TRU4]]</f>
        <v>7</v>
      </c>
      <c r="AX12">
        <f t="shared" si="18"/>
        <v>0.66666666666666663</v>
      </c>
      <c r="AY12">
        <f>survey_responses[[#This Row],[Tôi thấy Nhà nước đã giải thích rõ ràng, minh bạch về lý do và mục tiêu của việc sửa đổi thuế lần này. - HUMAN-TRU4]]</f>
        <v>8</v>
      </c>
      <c r="AZ12">
        <f t="shared" si="19"/>
        <v>0.77777777777777779</v>
      </c>
      <c r="BA12" s="32">
        <f t="shared" si="20"/>
        <v>0.74999999999999989</v>
      </c>
      <c r="BB12" s="32">
        <f t="shared" si="21"/>
        <v>0.30555555555555558</v>
      </c>
      <c r="BC12" s="7">
        <f t="shared" si="22"/>
        <v>0.7314814814814814</v>
      </c>
      <c r="BD12" s="7">
        <f t="shared" si="23"/>
        <v>0.41666666666666669</v>
      </c>
      <c r="BE12">
        <f>step3_validation[[#This Row],[AI_OUT1]]</f>
        <v>8</v>
      </c>
      <c r="BF12">
        <f t="shared" si="24"/>
        <v>0.77777777777777779</v>
      </c>
      <c r="BG12">
        <f>survey_responses[[#This Row],[Sau khi xem xét các quyền lợi và nghĩa vụ, bạn có ủng hộ và tuân thủ chính sách mới hiện nay? - HUMAN-OUT1]]</f>
        <v>6</v>
      </c>
      <c r="BH12">
        <f t="shared" si="25"/>
        <v>0.55555555555555558</v>
      </c>
      <c r="BI12" s="32">
        <f t="shared" si="26"/>
        <v>2</v>
      </c>
    </row>
    <row r="13" spans="1:61" x14ac:dyDescent="0.45">
      <c r="A13" s="30">
        <f>step3_validation[[#This Row],[Persona_ID]]</f>
        <v>12</v>
      </c>
      <c r="B13" s="31">
        <f>step3_validation[[#This Row],[Used_Seed]]</f>
        <v>12356</v>
      </c>
      <c r="C13" t="str">
        <f>step3_validation[[#This Row],[Gender]]</f>
        <v>Nữ</v>
      </c>
      <c r="D13" t="str">
        <f>survey_responses[[#This Row],[Giới tính của bạn:]]</f>
        <v>Nữ</v>
      </c>
      <c r="E13" t="str">
        <f>step3_validation[[#This Row],[Age_Group]]</f>
        <v>18 - 24</v>
      </c>
      <c r="F13" t="str">
        <f>survey_responses[[#This Row],[Độ tuổi của bạn:]]</f>
        <v>18 - 24</v>
      </c>
      <c r="G13" t="str">
        <f>step3_validation[[#This Row],[Region]]</f>
        <v>Thành thị</v>
      </c>
      <c r="H13" t="str">
        <f>survey_responses[[#This Row],[Khu vực bạn đang sinh sống:]]</f>
        <v>Thành thị</v>
      </c>
      <c r="I13" t="str">
        <f>step3_validation[[#This Row],[Education]]</f>
        <v>Đại học</v>
      </c>
      <c r="J13" t="str">
        <f>survey_responses[[#This Row],[Trình độ học vấn cao nhất:]]</f>
        <v>Đại học</v>
      </c>
      <c r="K13" t="str">
        <f>step3_validation[[#This Row],[Employment]]</f>
        <v>Chính thức</v>
      </c>
      <c r="L13" t="str">
        <f>survey_responses[[#This Row],[Tình trạng việc làm chính:]]</f>
        <v>Khu vực chính thức (Có Hợp đồng lao động, đóng BHXH)</v>
      </c>
      <c r="M13">
        <f>step3_validation[[#This Row],[Income_Mil]]</f>
        <v>12</v>
      </c>
      <c r="N13" t="str">
        <f>survey_responses[[#This Row],[Thu nhập bình quân tháng theo Hợp đồng lao động của bạn là bao nhiêu? (Vui lòng điền tổng thu nhập trước khi khấu trừ các loại Bảo hiểm (BHXH, BHYT, BHTN) và Thuế TNCN)]]</f>
        <v>Dưới 12 triệu VNĐ</v>
      </c>
      <c r="O13">
        <f>step3_validation[[#This Row],[Dependents]]</f>
        <v>0</v>
      </c>
      <c r="P13" t="str">
        <f>survey_responses[[#This Row],[Số người phụ thuộc (con nhỏ, cha mẹ già...) đủ điều kiện giảm trừ gia cảnh:]]</f>
        <v>0 người</v>
      </c>
      <c r="Q13">
        <f>step3_validation[[#This Row],[AI_ENF1]]</f>
        <v>8</v>
      </c>
      <c r="R13">
        <f t="shared" si="0"/>
        <v>0.77777777777777779</v>
      </c>
      <c r="S13">
        <f>survey_responses[[#This Row],[Tôi tin rằng với các quy định quản lý thuế hiện nay, hành vi gian lận hoặc trốn thuế sẽ dễ dàng bị phát hiện và xử lý nghiêm. - HUMAN-ENF1]]</f>
        <v>5</v>
      </c>
      <c r="T13">
        <f t="shared" si="1"/>
        <v>0.44444444444444442</v>
      </c>
      <c r="U13">
        <f>step3_validation[[#This Row],[AI_ENF2]]</f>
        <v>8</v>
      </c>
      <c r="V13">
        <f t="shared" si="2"/>
        <v>0.77777777777777779</v>
      </c>
      <c r="W13">
        <f>survey_responses[[#This Row],[Tôi tin rằng Nhà nước, cơ quan thuế có đủ khả năng và công nghệ để phát hiện, xử lý nghiêm các hành vi trốn thuế. - HUMAN-ENF2]]</f>
        <v>8</v>
      </c>
      <c r="X13">
        <f t="shared" si="3"/>
        <v>0.77777777777777779</v>
      </c>
      <c r="Y13" s="32">
        <f t="shared" si="4"/>
        <v>0.77777777777777779</v>
      </c>
      <c r="Z13" s="32">
        <f t="shared" si="5"/>
        <v>0.61111111111111116</v>
      </c>
      <c r="AA13">
        <f>step3_validation[[#This Row],[AI_FAC1]]</f>
        <v>9</v>
      </c>
      <c r="AB13">
        <f t="shared" si="6"/>
        <v>0.88888888888888884</v>
      </c>
      <c r="AC13">
        <f>survey_responses[[#This Row],[Các thủ tục khai báo thuế VÀ/HOẶC quy trình làm việc với cơ quan thuế đơn giản, tiện lợi, nhanh chóng hơn so với trước đây. - HUMAN-FAC1]]</f>
        <v>5</v>
      </c>
      <c r="AD13">
        <f t="shared" si="7"/>
        <v>0.44444444444444442</v>
      </c>
      <c r="AE13">
        <f>step3_validation[[#This Row],[AI_FAC2]]</f>
        <v>9</v>
      </c>
      <c r="AF13">
        <f t="shared" si="8"/>
        <v>0.88888888888888884</v>
      </c>
      <c r="AG13">
        <f>survey_responses[[#This Row],[So với trước đây, tôi thấy cách tính thuế và các bậc thuế trong phương án mới đơn giản, dễ hiểu và dễ thực hiện hơn. - HUMAN-FAC2]]</f>
        <v>5</v>
      </c>
      <c r="AH13">
        <f t="shared" si="9"/>
        <v>0.44444444444444442</v>
      </c>
      <c r="AI13" s="32">
        <f t="shared" si="10"/>
        <v>0.88888888888888884</v>
      </c>
      <c r="AJ13" s="32">
        <f t="shared" si="11"/>
        <v>0.44444444444444442</v>
      </c>
      <c r="AK13">
        <f>step3_validation[[#This Row],[AI_TRU1]]</f>
        <v>8</v>
      </c>
      <c r="AL13">
        <f t="shared" si="12"/>
        <v>0.77777777777777779</v>
      </c>
      <c r="AM13">
        <f>survey_responses[[#This Row],[Tôi tin rằng Nhà nước, cơ quan thuế sẽ thực thi chính sách mới một cách khách quan, công tâm và đối xử bình đẳng với mọi người nộp thuế.  - HUMAN-TRU1]]</f>
        <v>6</v>
      </c>
      <c r="AN13">
        <f t="shared" si="13"/>
        <v>0.55555555555555558</v>
      </c>
      <c r="AO13">
        <f>step3_validation[[#This Row],[AI_TRU2]]</f>
        <v>9</v>
      </c>
      <c r="AP13">
        <f t="shared" si="14"/>
        <v>0.88888888888888884</v>
      </c>
      <c r="AQ13">
        <f>survey_responses[[#This Row],[Tôi thấy mức thuế tôi phải đóng theo phương án mới là công bằng (người thu nhập như tôi đóng mức này là hợp lý). - HUMAN-TRU2]]</f>
        <v>5</v>
      </c>
      <c r="AR13">
        <f t="shared" si="15"/>
        <v>0.44444444444444442</v>
      </c>
      <c r="AS13">
        <f>step3_validation[[#This Row],[AI_TRU3]]</f>
        <v>8</v>
      </c>
      <c r="AT13">
        <f t="shared" si="16"/>
        <v>0.77777777777777779</v>
      </c>
      <c r="AU13">
        <f>survey_responses[[#This Row],[Tôi tin tưởng số tiền thuế tôi đóng sẽ được Nhà nước sử dụng hiệu quả để cải thiện dịch vụ công (y tế, đường xá...). - HUMAN-TRU3]]</f>
        <v>5</v>
      </c>
      <c r="AV13">
        <f t="shared" si="17"/>
        <v>0.44444444444444442</v>
      </c>
      <c r="AW13">
        <f>step3_validation[[#This Row],[AI_TRU4]]</f>
        <v>9</v>
      </c>
      <c r="AX13">
        <f t="shared" si="18"/>
        <v>0.88888888888888884</v>
      </c>
      <c r="AY13">
        <f>survey_responses[[#This Row],[Tôi thấy Nhà nước đã giải thích rõ ràng, minh bạch về lý do và mục tiêu của việc sửa đổi thuế lần này. - HUMAN-TRU4]]</f>
        <v>5</v>
      </c>
      <c r="AZ13">
        <f t="shared" si="19"/>
        <v>0.44444444444444442</v>
      </c>
      <c r="BA13" s="32">
        <f t="shared" si="20"/>
        <v>0.83333333333333326</v>
      </c>
      <c r="BB13" s="32">
        <f t="shared" si="21"/>
        <v>0.47222222222222221</v>
      </c>
      <c r="BC13" s="7">
        <f t="shared" si="22"/>
        <v>0.83333333333333337</v>
      </c>
      <c r="BD13" s="7">
        <f t="shared" si="23"/>
        <v>0.50925925925925919</v>
      </c>
      <c r="BE13">
        <f>step3_validation[[#This Row],[AI_OUT1]]</f>
        <v>9</v>
      </c>
      <c r="BF13">
        <f t="shared" si="24"/>
        <v>0.88888888888888884</v>
      </c>
      <c r="BG13">
        <f>survey_responses[[#This Row],[Sau khi xem xét các quyền lợi và nghĩa vụ, bạn có ủng hộ và tuân thủ chính sách mới hiện nay? - HUMAN-OUT1]]</f>
        <v>5</v>
      </c>
      <c r="BH13">
        <f t="shared" si="25"/>
        <v>0.44444444444444442</v>
      </c>
      <c r="BI13" s="32">
        <f t="shared" si="26"/>
        <v>4</v>
      </c>
    </row>
    <row r="14" spans="1:61" x14ac:dyDescent="0.45">
      <c r="A14" s="30">
        <f>step3_validation[[#This Row],[Persona_ID]]</f>
        <v>13</v>
      </c>
      <c r="B14" s="31">
        <f>step3_validation[[#This Row],[Used_Seed]]</f>
        <v>12357</v>
      </c>
      <c r="C14" t="str">
        <f>step3_validation[[#This Row],[Gender]]</f>
        <v>Nữ</v>
      </c>
      <c r="D14" t="str">
        <f>survey_responses[[#This Row],[Giới tính của bạn:]]</f>
        <v>Nữ</v>
      </c>
      <c r="E14" t="str">
        <f>step3_validation[[#This Row],[Age_Group]]</f>
        <v>18 - 24</v>
      </c>
      <c r="F14" t="str">
        <f>survey_responses[[#This Row],[Độ tuổi của bạn:]]</f>
        <v>18 - 24</v>
      </c>
      <c r="G14" t="str">
        <f>step3_validation[[#This Row],[Region]]</f>
        <v>Thành thị</v>
      </c>
      <c r="H14" t="str">
        <f>survey_responses[[#This Row],[Khu vực bạn đang sinh sống:]]</f>
        <v>Thành thị</v>
      </c>
      <c r="I14" t="str">
        <f>step3_validation[[#This Row],[Education]]</f>
        <v>Đại học</v>
      </c>
      <c r="J14" t="str">
        <f>survey_responses[[#This Row],[Trình độ học vấn cao nhất:]]</f>
        <v>Đại học</v>
      </c>
      <c r="K14" t="str">
        <f>step3_validation[[#This Row],[Employment]]</f>
        <v>Chính thức</v>
      </c>
      <c r="L14" t="str">
        <f>survey_responses[[#This Row],[Tình trạng việc làm chính:]]</f>
        <v>Khu vực chính thức (Có Hợp đồng lao động, đóng BHXH)</v>
      </c>
      <c r="M14">
        <f>step3_validation[[#This Row],[Income_Mil]]</f>
        <v>12</v>
      </c>
      <c r="N14" t="str">
        <f>survey_responses[[#This Row],[Thu nhập bình quân tháng theo Hợp đồng lao động của bạn là bao nhiêu? (Vui lòng điền tổng thu nhập trước khi khấu trừ các loại Bảo hiểm (BHXH, BHYT, BHTN) và Thuế TNCN)]]</f>
        <v>Dưới 12 triệu VNĐ</v>
      </c>
      <c r="O14">
        <f>step3_validation[[#This Row],[Dependents]]</f>
        <v>0</v>
      </c>
      <c r="P14" t="str">
        <f>survey_responses[[#This Row],[Số người phụ thuộc (con nhỏ, cha mẹ già...) đủ điều kiện giảm trừ gia cảnh:]]</f>
        <v>0 người</v>
      </c>
      <c r="Q14">
        <f>step3_validation[[#This Row],[AI_ENF1]]</f>
        <v>7</v>
      </c>
      <c r="R14">
        <f t="shared" si="0"/>
        <v>0.66666666666666663</v>
      </c>
      <c r="S14">
        <f>survey_responses[[#This Row],[Tôi tin rằng với các quy định quản lý thuế hiện nay, hành vi gian lận hoặc trốn thuế sẽ dễ dàng bị phát hiện và xử lý nghiêm. - HUMAN-ENF1]]</f>
        <v>8</v>
      </c>
      <c r="T14">
        <f t="shared" si="1"/>
        <v>0.77777777777777779</v>
      </c>
      <c r="U14">
        <f>step3_validation[[#This Row],[AI_ENF2]]</f>
        <v>9</v>
      </c>
      <c r="V14">
        <f t="shared" si="2"/>
        <v>0.88888888888888884</v>
      </c>
      <c r="W14">
        <f>survey_responses[[#This Row],[Tôi tin rằng Nhà nước, cơ quan thuế có đủ khả năng và công nghệ để phát hiện, xử lý nghiêm các hành vi trốn thuế. - HUMAN-ENF2]]</f>
        <v>7</v>
      </c>
      <c r="X14">
        <f t="shared" si="3"/>
        <v>0.66666666666666663</v>
      </c>
      <c r="Y14" s="32">
        <f t="shared" si="4"/>
        <v>0.77777777777777768</v>
      </c>
      <c r="Z14" s="32">
        <f t="shared" si="5"/>
        <v>0.72222222222222221</v>
      </c>
      <c r="AA14">
        <f>step3_validation[[#This Row],[AI_FAC1]]</f>
        <v>8</v>
      </c>
      <c r="AB14">
        <f t="shared" si="6"/>
        <v>0.77777777777777779</v>
      </c>
      <c r="AC14">
        <f>survey_responses[[#This Row],[Các thủ tục khai báo thuế VÀ/HOẶC quy trình làm việc với cơ quan thuế đơn giản, tiện lợi, nhanh chóng hơn so với trước đây. - HUMAN-FAC1]]</f>
        <v>7</v>
      </c>
      <c r="AD14">
        <f t="shared" si="7"/>
        <v>0.66666666666666663</v>
      </c>
      <c r="AE14">
        <f>step3_validation[[#This Row],[AI_FAC2]]</f>
        <v>9</v>
      </c>
      <c r="AF14">
        <f t="shared" si="8"/>
        <v>0.88888888888888884</v>
      </c>
      <c r="AG14">
        <f>survey_responses[[#This Row],[So với trước đây, tôi thấy cách tính thuế và các bậc thuế trong phương án mới đơn giản, dễ hiểu và dễ thực hiện hơn. - HUMAN-FAC2]]</f>
        <v>7</v>
      </c>
      <c r="AH14">
        <f t="shared" si="9"/>
        <v>0.66666666666666663</v>
      </c>
      <c r="AI14" s="32">
        <f t="shared" si="10"/>
        <v>0.83333333333333326</v>
      </c>
      <c r="AJ14" s="32">
        <f t="shared" si="11"/>
        <v>0.66666666666666663</v>
      </c>
      <c r="AK14">
        <f>step3_validation[[#This Row],[AI_TRU1]]</f>
        <v>8</v>
      </c>
      <c r="AL14">
        <f t="shared" si="12"/>
        <v>0.77777777777777779</v>
      </c>
      <c r="AM14">
        <f>survey_responses[[#This Row],[Tôi tin rằng Nhà nước, cơ quan thuế sẽ thực thi chính sách mới một cách khách quan, công tâm và đối xử bình đẳng với mọi người nộp thuế.  - HUMAN-TRU1]]</f>
        <v>7</v>
      </c>
      <c r="AN14">
        <f t="shared" si="13"/>
        <v>0.66666666666666663</v>
      </c>
      <c r="AO14">
        <f>step3_validation[[#This Row],[AI_TRU2]]</f>
        <v>9</v>
      </c>
      <c r="AP14">
        <f t="shared" si="14"/>
        <v>0.88888888888888884</v>
      </c>
      <c r="AQ14">
        <f>survey_responses[[#This Row],[Tôi thấy mức thuế tôi phải đóng theo phương án mới là công bằng (người thu nhập như tôi đóng mức này là hợp lý). - HUMAN-TRU2]]</f>
        <v>8</v>
      </c>
      <c r="AR14">
        <f t="shared" si="15"/>
        <v>0.77777777777777779</v>
      </c>
      <c r="AS14">
        <f>step3_validation[[#This Row],[AI_TRU3]]</f>
        <v>8</v>
      </c>
      <c r="AT14">
        <f t="shared" si="16"/>
        <v>0.77777777777777779</v>
      </c>
      <c r="AU14">
        <f>survey_responses[[#This Row],[Tôi tin tưởng số tiền thuế tôi đóng sẽ được Nhà nước sử dụng hiệu quả để cải thiện dịch vụ công (y tế, đường xá...). - HUMAN-TRU3]]</f>
        <v>7</v>
      </c>
      <c r="AV14">
        <f t="shared" si="17"/>
        <v>0.66666666666666663</v>
      </c>
      <c r="AW14">
        <f>step3_validation[[#This Row],[AI_TRU4]]</f>
        <v>9</v>
      </c>
      <c r="AX14">
        <f t="shared" si="18"/>
        <v>0.88888888888888884</v>
      </c>
      <c r="AY14">
        <f>survey_responses[[#This Row],[Tôi thấy Nhà nước đã giải thích rõ ràng, minh bạch về lý do và mục tiêu của việc sửa đổi thuế lần này. - HUMAN-TRU4]]</f>
        <v>7</v>
      </c>
      <c r="AZ14">
        <f t="shared" si="19"/>
        <v>0.66666666666666663</v>
      </c>
      <c r="BA14" s="32">
        <f t="shared" si="20"/>
        <v>0.83333333333333326</v>
      </c>
      <c r="BB14" s="32">
        <f t="shared" si="21"/>
        <v>0.69444444444444442</v>
      </c>
      <c r="BC14" s="7">
        <f t="shared" si="22"/>
        <v>0.81481481481481477</v>
      </c>
      <c r="BD14" s="7">
        <f t="shared" si="23"/>
        <v>0.69444444444444431</v>
      </c>
      <c r="BE14">
        <f>step3_validation[[#This Row],[AI_OUT1]]</f>
        <v>10</v>
      </c>
      <c r="BF14">
        <f t="shared" si="24"/>
        <v>1</v>
      </c>
      <c r="BG14">
        <f>survey_responses[[#This Row],[Sau khi xem xét các quyền lợi và nghĩa vụ, bạn có ủng hộ và tuân thủ chính sách mới hiện nay? - HUMAN-OUT1]]</f>
        <v>7</v>
      </c>
      <c r="BH14">
        <f t="shared" si="25"/>
        <v>0.66666666666666663</v>
      </c>
      <c r="BI14" s="32">
        <f t="shared" si="26"/>
        <v>3</v>
      </c>
    </row>
    <row r="15" spans="1:61" x14ac:dyDescent="0.45">
      <c r="A15" s="30">
        <f>step3_validation[[#This Row],[Persona_ID]]</f>
        <v>14</v>
      </c>
      <c r="B15" s="31">
        <f>step3_validation[[#This Row],[Used_Seed]]</f>
        <v>12358</v>
      </c>
      <c r="C15" t="str">
        <f>step3_validation[[#This Row],[Gender]]</f>
        <v>Nữ</v>
      </c>
      <c r="D15" t="str">
        <f>survey_responses[[#This Row],[Giới tính của bạn:]]</f>
        <v>Nữ</v>
      </c>
      <c r="E15" t="str">
        <f>step3_validation[[#This Row],[Age_Group]]</f>
        <v>30 - 39</v>
      </c>
      <c r="F15" t="str">
        <f>survey_responses[[#This Row],[Độ tuổi của bạn:]]</f>
        <v>30 - 39</v>
      </c>
      <c r="G15" t="str">
        <f>step3_validation[[#This Row],[Region]]</f>
        <v>Thành thị</v>
      </c>
      <c r="H15" t="str">
        <f>survey_responses[[#This Row],[Khu vực bạn đang sinh sống:]]</f>
        <v>Thành thị</v>
      </c>
      <c r="I15" t="str">
        <f>step3_validation[[#This Row],[Education]]</f>
        <v>Sau Đại học</v>
      </c>
      <c r="J15" t="str">
        <f>survey_responses[[#This Row],[Trình độ học vấn cao nhất:]]</f>
        <v>Sau Đại học</v>
      </c>
      <c r="K15" t="str">
        <f>step3_validation[[#This Row],[Employment]]</f>
        <v>Chính thức</v>
      </c>
      <c r="L15" t="str">
        <f>survey_responses[[#This Row],[Tình trạng việc làm chính:]]</f>
        <v>Khu vực chính thức (Có Hợp đồng lao động, đóng BHXH)</v>
      </c>
      <c r="M15">
        <f>step3_validation[[#This Row],[Income_Mil]]</f>
        <v>19.120867691875361</v>
      </c>
      <c r="N15" t="str">
        <f>survey_responses[[#This Row],[Thu nhập bình quân tháng theo Hợp đồng lao động của bạn là bao nhiêu? (Vui lòng điền tổng thu nhập trước khi khấu trừ các loại Bảo hiểm (BHXH, BHYT, BHTN) và Thuế TNCN)]]</f>
        <v>Từ 18 - 23 triệu VNĐ</v>
      </c>
      <c r="O15">
        <f>step3_validation[[#This Row],[Dependents]]</f>
        <v>0</v>
      </c>
      <c r="P15" t="str">
        <f>survey_responses[[#This Row],[Số người phụ thuộc (con nhỏ, cha mẹ già...) đủ điều kiện giảm trừ gia cảnh:]]</f>
        <v>0 người</v>
      </c>
      <c r="Q15">
        <f>step3_validation[[#This Row],[AI_ENF1]]</f>
        <v>8</v>
      </c>
      <c r="R15">
        <f t="shared" si="0"/>
        <v>0.77777777777777779</v>
      </c>
      <c r="S15">
        <f>survey_responses[[#This Row],[Tôi tin rằng với các quy định quản lý thuế hiện nay, hành vi gian lận hoặc trốn thuế sẽ dễ dàng bị phát hiện và xử lý nghiêm. - HUMAN-ENF1]]</f>
        <v>10</v>
      </c>
      <c r="T15">
        <f t="shared" si="1"/>
        <v>1</v>
      </c>
      <c r="U15">
        <f>step3_validation[[#This Row],[AI_ENF2]]</f>
        <v>8</v>
      </c>
      <c r="V15">
        <f t="shared" si="2"/>
        <v>0.77777777777777779</v>
      </c>
      <c r="W15">
        <f>survey_responses[[#This Row],[Tôi tin rằng Nhà nước, cơ quan thuế có đủ khả năng và công nghệ để phát hiện, xử lý nghiêm các hành vi trốn thuế. - HUMAN-ENF2]]</f>
        <v>10</v>
      </c>
      <c r="X15">
        <f t="shared" si="3"/>
        <v>1</v>
      </c>
      <c r="Y15" s="32">
        <f t="shared" si="4"/>
        <v>0.77777777777777779</v>
      </c>
      <c r="Z15" s="32">
        <f t="shared" si="5"/>
        <v>1</v>
      </c>
      <c r="AA15">
        <f>step3_validation[[#This Row],[AI_FAC1]]</f>
        <v>9</v>
      </c>
      <c r="AB15">
        <f t="shared" si="6"/>
        <v>0.88888888888888884</v>
      </c>
      <c r="AC15">
        <f>survey_responses[[#This Row],[Các thủ tục khai báo thuế VÀ/HOẶC quy trình làm việc với cơ quan thuế đơn giản, tiện lợi, nhanh chóng hơn so với trước đây. - HUMAN-FAC1]]</f>
        <v>8</v>
      </c>
      <c r="AD15">
        <f t="shared" si="7"/>
        <v>0.77777777777777779</v>
      </c>
      <c r="AE15">
        <f>step3_validation[[#This Row],[AI_FAC2]]</f>
        <v>8</v>
      </c>
      <c r="AF15">
        <f t="shared" si="8"/>
        <v>0.77777777777777779</v>
      </c>
      <c r="AG15">
        <f>survey_responses[[#This Row],[So với trước đây, tôi thấy cách tính thuế và các bậc thuế trong phương án mới đơn giản, dễ hiểu và dễ thực hiện hơn. - HUMAN-FAC2]]</f>
        <v>8</v>
      </c>
      <c r="AH15">
        <f t="shared" si="9"/>
        <v>0.77777777777777779</v>
      </c>
      <c r="AI15" s="32">
        <f t="shared" si="10"/>
        <v>0.83333333333333326</v>
      </c>
      <c r="AJ15" s="32">
        <f t="shared" si="11"/>
        <v>0.77777777777777779</v>
      </c>
      <c r="AK15">
        <f>step3_validation[[#This Row],[AI_TRU1]]</f>
        <v>9</v>
      </c>
      <c r="AL15">
        <f t="shared" si="12"/>
        <v>0.88888888888888884</v>
      </c>
      <c r="AM15">
        <f>survey_responses[[#This Row],[Tôi tin rằng Nhà nước, cơ quan thuế sẽ thực thi chính sách mới một cách khách quan, công tâm và đối xử bình đẳng với mọi người nộp thuế.  - HUMAN-TRU1]]</f>
        <v>8</v>
      </c>
      <c r="AN15">
        <f t="shared" si="13"/>
        <v>0.77777777777777779</v>
      </c>
      <c r="AO15">
        <f>step3_validation[[#This Row],[AI_TRU2]]</f>
        <v>8</v>
      </c>
      <c r="AP15">
        <f t="shared" si="14"/>
        <v>0.77777777777777779</v>
      </c>
      <c r="AQ15">
        <f>survey_responses[[#This Row],[Tôi thấy mức thuế tôi phải đóng theo phương án mới là công bằng (người thu nhập như tôi đóng mức này là hợp lý). - HUMAN-TRU2]]</f>
        <v>6</v>
      </c>
      <c r="AR15">
        <f t="shared" si="15"/>
        <v>0.55555555555555558</v>
      </c>
      <c r="AS15">
        <f>step3_validation[[#This Row],[AI_TRU3]]</f>
        <v>9</v>
      </c>
      <c r="AT15">
        <f t="shared" si="16"/>
        <v>0.88888888888888884</v>
      </c>
      <c r="AU15">
        <f>survey_responses[[#This Row],[Tôi tin tưởng số tiền thuế tôi đóng sẽ được Nhà nước sử dụng hiệu quả để cải thiện dịch vụ công (y tế, đường xá...). - HUMAN-TRU3]]</f>
        <v>6</v>
      </c>
      <c r="AV15">
        <f t="shared" si="17"/>
        <v>0.55555555555555558</v>
      </c>
      <c r="AW15">
        <f>step3_validation[[#This Row],[AI_TRU4]]</f>
        <v>8</v>
      </c>
      <c r="AX15">
        <f t="shared" si="18"/>
        <v>0.77777777777777779</v>
      </c>
      <c r="AY15">
        <f>survey_responses[[#This Row],[Tôi thấy Nhà nước đã giải thích rõ ràng, minh bạch về lý do và mục tiêu của việc sửa đổi thuế lần này. - HUMAN-TRU4]]</f>
        <v>5</v>
      </c>
      <c r="AZ15">
        <f t="shared" si="19"/>
        <v>0.44444444444444442</v>
      </c>
      <c r="BA15" s="32">
        <f t="shared" si="20"/>
        <v>0.83333333333333326</v>
      </c>
      <c r="BB15" s="32">
        <f t="shared" si="21"/>
        <v>0.58333333333333337</v>
      </c>
      <c r="BC15" s="7">
        <f t="shared" si="22"/>
        <v>0.81481481481481488</v>
      </c>
      <c r="BD15" s="7">
        <f t="shared" si="23"/>
        <v>0.78703703703703709</v>
      </c>
      <c r="BE15">
        <f>step3_validation[[#This Row],[AI_OUT1]]</f>
        <v>9</v>
      </c>
      <c r="BF15">
        <f t="shared" si="24"/>
        <v>0.88888888888888884</v>
      </c>
      <c r="BG15">
        <f>survey_responses[[#This Row],[Sau khi xem xét các quyền lợi và nghĩa vụ, bạn có ủng hộ và tuân thủ chính sách mới hiện nay? - HUMAN-OUT1]]</f>
        <v>5</v>
      </c>
      <c r="BH15">
        <f t="shared" si="25"/>
        <v>0.44444444444444442</v>
      </c>
      <c r="BI15" s="32">
        <f t="shared" si="26"/>
        <v>4</v>
      </c>
    </row>
    <row r="16" spans="1:61" x14ac:dyDescent="0.45">
      <c r="A16" s="30">
        <f>step3_validation[[#This Row],[Persona_ID]]</f>
        <v>15</v>
      </c>
      <c r="B16" s="31">
        <f>step3_validation[[#This Row],[Used_Seed]]</f>
        <v>12359</v>
      </c>
      <c r="C16" t="str">
        <f>step3_validation[[#This Row],[Gender]]</f>
        <v>Nam</v>
      </c>
      <c r="D16" t="str">
        <f>survey_responses[[#This Row],[Giới tính của bạn:]]</f>
        <v>Nam</v>
      </c>
      <c r="E16" t="str">
        <f>step3_validation[[#This Row],[Age_Group]]</f>
        <v>30 - 39</v>
      </c>
      <c r="F16" t="str">
        <f>survey_responses[[#This Row],[Độ tuổi của bạn:]]</f>
        <v>30 - 39</v>
      </c>
      <c r="G16" t="str">
        <f>step3_validation[[#This Row],[Region]]</f>
        <v>Thành thị</v>
      </c>
      <c r="H16" t="str">
        <f>survey_responses[[#This Row],[Khu vực bạn đang sinh sống:]]</f>
        <v>Thành thị</v>
      </c>
      <c r="I16" t="str">
        <f>step3_validation[[#This Row],[Education]]</f>
        <v>Sau Đại học</v>
      </c>
      <c r="J16" t="str">
        <f>survey_responses[[#This Row],[Trình độ học vấn cao nhất:]]</f>
        <v>Sau Đại học</v>
      </c>
      <c r="K16" t="str">
        <f>step3_validation[[#This Row],[Employment]]</f>
        <v>Chính thức</v>
      </c>
      <c r="L16" t="str">
        <f>survey_responses[[#This Row],[Tình trạng việc làm chính:]]</f>
        <v>Khu vực chính thức (Có Hợp đồng lao động, đóng BHXH)</v>
      </c>
      <c r="M16">
        <f>step3_validation[[#This Row],[Income_Mil]]</f>
        <v>33.088932394530367</v>
      </c>
      <c r="N16" t="str">
        <f>survey_responses[[#This Row],[Thu nhập bình quân tháng theo Hợp đồng lao động của bạn là bao nhiêu? (Vui lòng điền tổng thu nhập trước khi khấu trừ các loại Bảo hiểm (BHXH, BHYT, BHTN) và Thuế TNCN)]]</f>
        <v>Từ 32 - 48 triệu VNĐ</v>
      </c>
      <c r="O16">
        <f>step3_validation[[#This Row],[Dependents]]</f>
        <v>2</v>
      </c>
      <c r="P16" t="str">
        <f>survey_responses[[#This Row],[Số người phụ thuộc (con nhỏ, cha mẹ già...) đủ điều kiện giảm trừ gia cảnh:]]</f>
        <v>2 người</v>
      </c>
      <c r="Q16">
        <f>step3_validation[[#This Row],[AI_ENF1]]</f>
        <v>9</v>
      </c>
      <c r="R16">
        <f t="shared" si="0"/>
        <v>0.88888888888888884</v>
      </c>
      <c r="S16">
        <f>survey_responses[[#This Row],[Tôi tin rằng với các quy định quản lý thuế hiện nay, hành vi gian lận hoặc trốn thuế sẽ dễ dàng bị phát hiện và xử lý nghiêm. - HUMAN-ENF1]]</f>
        <v>7</v>
      </c>
      <c r="T16">
        <f t="shared" si="1"/>
        <v>0.66666666666666663</v>
      </c>
      <c r="U16">
        <f>step3_validation[[#This Row],[AI_ENF2]]</f>
        <v>9</v>
      </c>
      <c r="V16">
        <f t="shared" si="2"/>
        <v>0.88888888888888884</v>
      </c>
      <c r="W16">
        <f>survey_responses[[#This Row],[Tôi tin rằng Nhà nước, cơ quan thuế có đủ khả năng và công nghệ để phát hiện, xử lý nghiêm các hành vi trốn thuế. - HUMAN-ENF2]]</f>
        <v>9</v>
      </c>
      <c r="X16">
        <f t="shared" si="3"/>
        <v>0.88888888888888884</v>
      </c>
      <c r="Y16" s="32">
        <f t="shared" si="4"/>
        <v>0.88888888888888884</v>
      </c>
      <c r="Z16" s="32">
        <f t="shared" si="5"/>
        <v>0.77777777777777768</v>
      </c>
      <c r="AA16">
        <f>step3_validation[[#This Row],[AI_FAC1]]</f>
        <v>8</v>
      </c>
      <c r="AB16">
        <f t="shared" si="6"/>
        <v>0.77777777777777779</v>
      </c>
      <c r="AC16">
        <f>survey_responses[[#This Row],[Các thủ tục khai báo thuế VÀ/HOẶC quy trình làm việc với cơ quan thuế đơn giản, tiện lợi, nhanh chóng hơn so với trước đây. - HUMAN-FAC1]]</f>
        <v>3</v>
      </c>
      <c r="AD16">
        <f t="shared" si="7"/>
        <v>0.22222222222222221</v>
      </c>
      <c r="AE16">
        <f>step3_validation[[#This Row],[AI_FAC2]]</f>
        <v>8</v>
      </c>
      <c r="AF16">
        <f t="shared" si="8"/>
        <v>0.77777777777777779</v>
      </c>
      <c r="AG16">
        <f>survey_responses[[#This Row],[So với trước đây, tôi thấy cách tính thuế và các bậc thuế trong phương án mới đơn giản, dễ hiểu và dễ thực hiện hơn. - HUMAN-FAC2]]</f>
        <v>6</v>
      </c>
      <c r="AH16">
        <f t="shared" si="9"/>
        <v>0.55555555555555558</v>
      </c>
      <c r="AI16" s="32">
        <f t="shared" si="10"/>
        <v>0.77777777777777779</v>
      </c>
      <c r="AJ16" s="32">
        <f t="shared" si="11"/>
        <v>0.3888888888888889</v>
      </c>
      <c r="AK16">
        <f>step3_validation[[#This Row],[AI_TRU1]]</f>
        <v>9</v>
      </c>
      <c r="AL16">
        <f t="shared" si="12"/>
        <v>0.88888888888888884</v>
      </c>
      <c r="AM16">
        <f>survey_responses[[#This Row],[Tôi tin rằng Nhà nước, cơ quan thuế sẽ thực thi chính sách mới một cách khách quan, công tâm và đối xử bình đẳng với mọi người nộp thuế.  - HUMAN-TRU1]]</f>
        <v>1</v>
      </c>
      <c r="AN16">
        <f t="shared" si="13"/>
        <v>0</v>
      </c>
      <c r="AO16">
        <f>step3_validation[[#This Row],[AI_TRU2]]</f>
        <v>9</v>
      </c>
      <c r="AP16">
        <f t="shared" si="14"/>
        <v>0.88888888888888884</v>
      </c>
      <c r="AQ16">
        <f>survey_responses[[#This Row],[Tôi thấy mức thuế tôi phải đóng theo phương án mới là công bằng (người thu nhập như tôi đóng mức này là hợp lý). - HUMAN-TRU2]]</f>
        <v>1</v>
      </c>
      <c r="AR16">
        <f t="shared" si="15"/>
        <v>0</v>
      </c>
      <c r="AS16">
        <f>step3_validation[[#This Row],[AI_TRU3]]</f>
        <v>9</v>
      </c>
      <c r="AT16">
        <f t="shared" si="16"/>
        <v>0.88888888888888884</v>
      </c>
      <c r="AU16">
        <f>survey_responses[[#This Row],[Tôi tin tưởng số tiền thuế tôi đóng sẽ được Nhà nước sử dụng hiệu quả để cải thiện dịch vụ công (y tế, đường xá...). - HUMAN-TRU3]]</f>
        <v>1</v>
      </c>
      <c r="AV16">
        <f t="shared" si="17"/>
        <v>0</v>
      </c>
      <c r="AW16">
        <f>step3_validation[[#This Row],[AI_TRU4]]</f>
        <v>9</v>
      </c>
      <c r="AX16">
        <f t="shared" si="18"/>
        <v>0.88888888888888884</v>
      </c>
      <c r="AY16">
        <f>survey_responses[[#This Row],[Tôi thấy Nhà nước đã giải thích rõ ràng, minh bạch về lý do và mục tiêu của việc sửa đổi thuế lần này. - HUMAN-TRU4]]</f>
        <v>1</v>
      </c>
      <c r="AZ16">
        <f t="shared" si="19"/>
        <v>0</v>
      </c>
      <c r="BA16" s="32">
        <f t="shared" si="20"/>
        <v>0.88888888888888884</v>
      </c>
      <c r="BB16" s="32">
        <f t="shared" si="21"/>
        <v>0</v>
      </c>
      <c r="BC16" s="7">
        <f t="shared" si="22"/>
        <v>0.85185185185185175</v>
      </c>
      <c r="BD16" s="7">
        <f t="shared" si="23"/>
        <v>0.38888888888888884</v>
      </c>
      <c r="BE16">
        <f>step3_validation[[#This Row],[AI_OUT1]]</f>
        <v>9</v>
      </c>
      <c r="BF16">
        <f t="shared" si="24"/>
        <v>0.88888888888888884</v>
      </c>
      <c r="BG16">
        <f>survey_responses[[#This Row],[Sau khi xem xét các quyền lợi và nghĩa vụ, bạn có ủng hộ và tuân thủ chính sách mới hiện nay? - HUMAN-OUT1]]</f>
        <v>1</v>
      </c>
      <c r="BH16">
        <f t="shared" si="25"/>
        <v>0</v>
      </c>
      <c r="BI16" s="32">
        <f t="shared" si="26"/>
        <v>8</v>
      </c>
    </row>
    <row r="17" spans="1:61" x14ac:dyDescent="0.45">
      <c r="A17" s="30">
        <f>step3_validation[[#This Row],[Persona_ID]]</f>
        <v>16</v>
      </c>
      <c r="B17" s="31">
        <f>step3_validation[[#This Row],[Used_Seed]]</f>
        <v>12360</v>
      </c>
      <c r="C17" t="str">
        <f>step3_validation[[#This Row],[Gender]]</f>
        <v>Nam</v>
      </c>
      <c r="D17" t="str">
        <f>survey_responses[[#This Row],[Giới tính của bạn:]]</f>
        <v>Nam</v>
      </c>
      <c r="E17" t="str">
        <f>step3_validation[[#This Row],[Age_Group]]</f>
        <v>40 - 49</v>
      </c>
      <c r="F17" t="str">
        <f>survey_responses[[#This Row],[Độ tuổi của bạn:]]</f>
        <v>40 - 49</v>
      </c>
      <c r="G17" t="str">
        <f>step3_validation[[#This Row],[Region]]</f>
        <v>Thành thị</v>
      </c>
      <c r="H17" t="str">
        <f>survey_responses[[#This Row],[Khu vực bạn đang sinh sống:]]</f>
        <v>Thành thị</v>
      </c>
      <c r="I17" t="str">
        <f>step3_validation[[#This Row],[Education]]</f>
        <v>Sau Đại học</v>
      </c>
      <c r="J17" t="str">
        <f>survey_responses[[#This Row],[Trình độ học vấn cao nhất:]]</f>
        <v>Sau Đại học</v>
      </c>
      <c r="K17" t="str">
        <f>step3_validation[[#This Row],[Employment]]</f>
        <v>Chính thức</v>
      </c>
      <c r="L17" t="str">
        <f>survey_responses[[#This Row],[Tình trạng việc làm chính:]]</f>
        <v>Khu vực chính thức (Có Hợp đồng lao động, đóng BHXH)</v>
      </c>
      <c r="M17">
        <f>step3_validation[[#This Row],[Income_Mil]]</f>
        <v>83.97191403487318</v>
      </c>
      <c r="N17" t="str">
        <f>survey_responses[[#This Row],[Thu nhập bình quân tháng theo Hợp đồng lao động của bạn là bao nhiêu? (Vui lòng điền tổng thu nhập trước khi khấu trừ các loại Bảo hiểm (BHXH, BHYT, BHTN) và Thuế TNCN)]]</f>
        <v>Từ 70 - 102 triệu VNĐ</v>
      </c>
      <c r="O17">
        <f>step3_validation[[#This Row],[Dependents]]</f>
        <v>4</v>
      </c>
      <c r="P17" t="str">
        <f>survey_responses[[#This Row],[Số người phụ thuộc (con nhỏ, cha mẹ già...) đủ điều kiện giảm trừ gia cảnh:]]</f>
        <v>4 người trở lên</v>
      </c>
      <c r="Q17">
        <f>step3_validation[[#This Row],[AI_ENF1]]</f>
        <v>9</v>
      </c>
      <c r="R17">
        <f t="shared" si="0"/>
        <v>0.88888888888888884</v>
      </c>
      <c r="S17">
        <f>survey_responses[[#This Row],[Tôi tin rằng với các quy định quản lý thuế hiện nay, hành vi gian lận hoặc trốn thuế sẽ dễ dàng bị phát hiện và xử lý nghiêm. - HUMAN-ENF1]]</f>
        <v>8</v>
      </c>
      <c r="T17">
        <f t="shared" si="1"/>
        <v>0.77777777777777779</v>
      </c>
      <c r="U17">
        <f>step3_validation[[#This Row],[AI_ENF2]]</f>
        <v>8</v>
      </c>
      <c r="V17">
        <f t="shared" si="2"/>
        <v>0.77777777777777779</v>
      </c>
      <c r="W17">
        <f>survey_responses[[#This Row],[Tôi tin rằng Nhà nước, cơ quan thuế có đủ khả năng và công nghệ để phát hiện, xử lý nghiêm các hành vi trốn thuế. - HUMAN-ENF2]]</f>
        <v>8</v>
      </c>
      <c r="X17">
        <f t="shared" si="3"/>
        <v>0.77777777777777779</v>
      </c>
      <c r="Y17" s="32">
        <f t="shared" si="4"/>
        <v>0.83333333333333326</v>
      </c>
      <c r="Z17" s="32">
        <f t="shared" si="5"/>
        <v>0.77777777777777779</v>
      </c>
      <c r="AA17">
        <f>step3_validation[[#This Row],[AI_FAC1]]</f>
        <v>9</v>
      </c>
      <c r="AB17">
        <f t="shared" si="6"/>
        <v>0.88888888888888884</v>
      </c>
      <c r="AC17">
        <f>survey_responses[[#This Row],[Các thủ tục khai báo thuế VÀ/HOẶC quy trình làm việc với cơ quan thuế đơn giản, tiện lợi, nhanh chóng hơn so với trước đây. - HUMAN-FAC1]]</f>
        <v>8</v>
      </c>
      <c r="AD17">
        <f t="shared" si="7"/>
        <v>0.77777777777777779</v>
      </c>
      <c r="AE17">
        <f>step3_validation[[#This Row],[AI_FAC2]]</f>
        <v>8</v>
      </c>
      <c r="AF17">
        <f t="shared" si="8"/>
        <v>0.77777777777777779</v>
      </c>
      <c r="AG17">
        <f>survey_responses[[#This Row],[So với trước đây, tôi thấy cách tính thuế và các bậc thuế trong phương án mới đơn giản, dễ hiểu và dễ thực hiện hơn. - HUMAN-FAC2]]</f>
        <v>9</v>
      </c>
      <c r="AH17">
        <f t="shared" si="9"/>
        <v>0.88888888888888884</v>
      </c>
      <c r="AI17" s="32">
        <f t="shared" si="10"/>
        <v>0.83333333333333326</v>
      </c>
      <c r="AJ17" s="32">
        <f t="shared" si="11"/>
        <v>0.83333333333333326</v>
      </c>
      <c r="AK17">
        <f>step3_validation[[#This Row],[AI_TRU1]]</f>
        <v>9</v>
      </c>
      <c r="AL17">
        <f t="shared" si="12"/>
        <v>0.88888888888888884</v>
      </c>
      <c r="AM17">
        <f>survey_responses[[#This Row],[Tôi tin rằng Nhà nước, cơ quan thuế sẽ thực thi chính sách mới một cách khách quan, công tâm và đối xử bình đẳng với mọi người nộp thuế.  - HUMAN-TRU1]]</f>
        <v>7</v>
      </c>
      <c r="AN17">
        <f t="shared" si="13"/>
        <v>0.66666666666666663</v>
      </c>
      <c r="AO17">
        <f>step3_validation[[#This Row],[AI_TRU2]]</f>
        <v>8</v>
      </c>
      <c r="AP17">
        <f t="shared" si="14"/>
        <v>0.77777777777777779</v>
      </c>
      <c r="AQ17">
        <f>survey_responses[[#This Row],[Tôi thấy mức thuế tôi phải đóng theo phương án mới là công bằng (người thu nhập như tôi đóng mức này là hợp lý). - HUMAN-TRU2]]</f>
        <v>7</v>
      </c>
      <c r="AR17">
        <f t="shared" si="15"/>
        <v>0.66666666666666663</v>
      </c>
      <c r="AS17">
        <f>step3_validation[[#This Row],[AI_TRU3]]</f>
        <v>9</v>
      </c>
      <c r="AT17">
        <f t="shared" si="16"/>
        <v>0.88888888888888884</v>
      </c>
      <c r="AU17">
        <f>survey_responses[[#This Row],[Tôi tin tưởng số tiền thuế tôi đóng sẽ được Nhà nước sử dụng hiệu quả để cải thiện dịch vụ công (y tế, đường xá...). - HUMAN-TRU3]]</f>
        <v>9</v>
      </c>
      <c r="AV17">
        <f t="shared" si="17"/>
        <v>0.88888888888888884</v>
      </c>
      <c r="AW17">
        <f>step3_validation[[#This Row],[AI_TRU4]]</f>
        <v>8</v>
      </c>
      <c r="AX17">
        <f t="shared" si="18"/>
        <v>0.77777777777777779</v>
      </c>
      <c r="AY17">
        <f>survey_responses[[#This Row],[Tôi thấy Nhà nước đã giải thích rõ ràng, minh bạch về lý do và mục tiêu của việc sửa đổi thuế lần này. - HUMAN-TRU4]]</f>
        <v>8</v>
      </c>
      <c r="AZ17">
        <f t="shared" si="19"/>
        <v>0.77777777777777779</v>
      </c>
      <c r="BA17" s="32">
        <f t="shared" si="20"/>
        <v>0.83333333333333326</v>
      </c>
      <c r="BB17" s="32">
        <f t="shared" si="21"/>
        <v>0.75</v>
      </c>
      <c r="BC17" s="7">
        <f t="shared" si="22"/>
        <v>0.83333333333333337</v>
      </c>
      <c r="BD17" s="7">
        <f t="shared" si="23"/>
        <v>0.78703703703703709</v>
      </c>
      <c r="BE17">
        <f>step3_validation[[#This Row],[AI_OUT1]]</f>
        <v>9</v>
      </c>
      <c r="BF17">
        <f t="shared" si="24"/>
        <v>0.88888888888888884</v>
      </c>
      <c r="BG17">
        <f>survey_responses[[#This Row],[Sau khi xem xét các quyền lợi và nghĩa vụ, bạn có ủng hộ và tuân thủ chính sách mới hiện nay? - HUMAN-OUT1]]</f>
        <v>7</v>
      </c>
      <c r="BH17">
        <f t="shared" si="25"/>
        <v>0.66666666666666663</v>
      </c>
      <c r="BI17" s="32">
        <f t="shared" si="26"/>
        <v>2</v>
      </c>
    </row>
    <row r="18" spans="1:61" x14ac:dyDescent="0.45">
      <c r="A18" s="30">
        <f>step3_validation[[#This Row],[Persona_ID]]</f>
        <v>17</v>
      </c>
      <c r="B18" s="31">
        <f>step3_validation[[#This Row],[Used_Seed]]</f>
        <v>12361</v>
      </c>
      <c r="C18" t="str">
        <f>step3_validation[[#This Row],[Gender]]</f>
        <v>Nữ</v>
      </c>
      <c r="D18" t="str">
        <f>survey_responses[[#This Row],[Giới tính của bạn:]]</f>
        <v>Nữ</v>
      </c>
      <c r="E18" t="str">
        <f>step3_validation[[#This Row],[Age_Group]]</f>
        <v>25 - 29</v>
      </c>
      <c r="F18" t="str">
        <f>survey_responses[[#This Row],[Độ tuổi của bạn:]]</f>
        <v>25 - 29</v>
      </c>
      <c r="G18" t="str">
        <f>step3_validation[[#This Row],[Region]]</f>
        <v>Thành thị</v>
      </c>
      <c r="H18" t="str">
        <f>survey_responses[[#This Row],[Khu vực bạn đang sinh sống:]]</f>
        <v>Thành thị</v>
      </c>
      <c r="I18" t="str">
        <f>step3_validation[[#This Row],[Education]]</f>
        <v>Đại học</v>
      </c>
      <c r="J18" t="str">
        <f>survey_responses[[#This Row],[Trình độ học vấn cao nhất:]]</f>
        <v>Đại học</v>
      </c>
      <c r="K18" t="str">
        <f>step3_validation[[#This Row],[Employment]]</f>
        <v>Chính thức</v>
      </c>
      <c r="L18" t="str">
        <f>survey_responses[[#This Row],[Tình trạng việc làm chính:]]</f>
        <v>Khu vực chính thức (Có Hợp đồng lao động, đóng BHXH)</v>
      </c>
      <c r="M18">
        <f>step3_validation[[#This Row],[Income_Mil]]</f>
        <v>20.16566114604132</v>
      </c>
      <c r="N18" t="str">
        <f>survey_responses[[#This Row],[Thu nhập bình quân tháng theo Hợp đồng lao động của bạn là bao nhiêu? (Vui lòng điền tổng thu nhập trước khi khấu trừ các loại Bảo hiểm (BHXH, BHYT, BHTN) và Thuế TNCN)]]</f>
        <v>Từ 18 - 23 triệu VNĐ</v>
      </c>
      <c r="O18">
        <f>step3_validation[[#This Row],[Dependents]]</f>
        <v>2</v>
      </c>
      <c r="P18" t="str">
        <f>survey_responses[[#This Row],[Số người phụ thuộc (con nhỏ, cha mẹ già...) đủ điều kiện giảm trừ gia cảnh:]]</f>
        <v>2 người</v>
      </c>
      <c r="Q18">
        <f>step3_validation[[#This Row],[AI_ENF1]]</f>
        <v>7</v>
      </c>
      <c r="R18">
        <f t="shared" si="0"/>
        <v>0.66666666666666663</v>
      </c>
      <c r="S18">
        <f>survey_responses[[#This Row],[Tôi tin rằng với các quy định quản lý thuế hiện nay, hành vi gian lận hoặc trốn thuế sẽ dễ dàng bị phát hiện và xử lý nghiêm. - HUMAN-ENF1]]</f>
        <v>6</v>
      </c>
      <c r="T18">
        <f t="shared" si="1"/>
        <v>0.55555555555555558</v>
      </c>
      <c r="U18">
        <f>step3_validation[[#This Row],[AI_ENF2]]</f>
        <v>8</v>
      </c>
      <c r="V18">
        <f t="shared" si="2"/>
        <v>0.77777777777777779</v>
      </c>
      <c r="W18">
        <f>survey_responses[[#This Row],[Tôi tin rằng Nhà nước, cơ quan thuế có đủ khả năng và công nghệ để phát hiện, xử lý nghiêm các hành vi trốn thuế. - HUMAN-ENF2]]</f>
        <v>7</v>
      </c>
      <c r="X18">
        <f t="shared" si="3"/>
        <v>0.66666666666666663</v>
      </c>
      <c r="Y18" s="32">
        <f t="shared" si="4"/>
        <v>0.72222222222222221</v>
      </c>
      <c r="Z18" s="32">
        <f t="shared" si="5"/>
        <v>0.61111111111111116</v>
      </c>
      <c r="AA18">
        <f>step3_validation[[#This Row],[AI_FAC1]]</f>
        <v>9</v>
      </c>
      <c r="AB18">
        <f t="shared" si="6"/>
        <v>0.88888888888888884</v>
      </c>
      <c r="AC18">
        <f>survey_responses[[#This Row],[Các thủ tục khai báo thuế VÀ/HOẶC quy trình làm việc với cơ quan thuế đơn giản, tiện lợi, nhanh chóng hơn so với trước đây. - HUMAN-FAC1]]</f>
        <v>5</v>
      </c>
      <c r="AD18">
        <f t="shared" si="7"/>
        <v>0.44444444444444442</v>
      </c>
      <c r="AE18">
        <f>step3_validation[[#This Row],[AI_FAC2]]</f>
        <v>9</v>
      </c>
      <c r="AF18">
        <f t="shared" si="8"/>
        <v>0.88888888888888884</v>
      </c>
      <c r="AG18">
        <f>survey_responses[[#This Row],[So với trước đây, tôi thấy cách tính thuế và các bậc thuế trong phương án mới đơn giản, dễ hiểu và dễ thực hiện hơn. - HUMAN-FAC2]]</f>
        <v>5</v>
      </c>
      <c r="AH18">
        <f t="shared" si="9"/>
        <v>0.44444444444444442</v>
      </c>
      <c r="AI18" s="32">
        <f t="shared" si="10"/>
        <v>0.88888888888888884</v>
      </c>
      <c r="AJ18" s="32">
        <f t="shared" si="11"/>
        <v>0.44444444444444442</v>
      </c>
      <c r="AK18">
        <f>step3_validation[[#This Row],[AI_TRU1]]</f>
        <v>8</v>
      </c>
      <c r="AL18">
        <f t="shared" si="12"/>
        <v>0.77777777777777779</v>
      </c>
      <c r="AM18">
        <f>survey_responses[[#This Row],[Tôi tin rằng Nhà nước, cơ quan thuế sẽ thực thi chính sách mới một cách khách quan, công tâm và đối xử bình đẳng với mọi người nộp thuế.  - HUMAN-TRU1]]</f>
        <v>6</v>
      </c>
      <c r="AN18">
        <f t="shared" si="13"/>
        <v>0.55555555555555558</v>
      </c>
      <c r="AO18">
        <f>step3_validation[[#This Row],[AI_TRU2]]</f>
        <v>9</v>
      </c>
      <c r="AP18">
        <f t="shared" si="14"/>
        <v>0.88888888888888884</v>
      </c>
      <c r="AQ18">
        <f>survey_responses[[#This Row],[Tôi thấy mức thuế tôi phải đóng theo phương án mới là công bằng (người thu nhập như tôi đóng mức này là hợp lý). - HUMAN-TRU2]]</f>
        <v>7</v>
      </c>
      <c r="AR18">
        <f t="shared" si="15"/>
        <v>0.66666666666666663</v>
      </c>
      <c r="AS18">
        <f>step3_validation[[#This Row],[AI_TRU3]]</f>
        <v>8</v>
      </c>
      <c r="AT18">
        <f t="shared" si="16"/>
        <v>0.77777777777777779</v>
      </c>
      <c r="AU18">
        <f>survey_responses[[#This Row],[Tôi tin tưởng số tiền thuế tôi đóng sẽ được Nhà nước sử dụng hiệu quả để cải thiện dịch vụ công (y tế, đường xá...). - HUMAN-TRU3]]</f>
        <v>3</v>
      </c>
      <c r="AV18">
        <f t="shared" si="17"/>
        <v>0.22222222222222221</v>
      </c>
      <c r="AW18">
        <f>step3_validation[[#This Row],[AI_TRU4]]</f>
        <v>7</v>
      </c>
      <c r="AX18">
        <f t="shared" si="18"/>
        <v>0.66666666666666663</v>
      </c>
      <c r="AY18">
        <f>survey_responses[[#This Row],[Tôi thấy Nhà nước đã giải thích rõ ràng, minh bạch về lý do và mục tiêu của việc sửa đổi thuế lần này. - HUMAN-TRU4]]</f>
        <v>4</v>
      </c>
      <c r="AZ18">
        <f t="shared" si="19"/>
        <v>0.33333333333333331</v>
      </c>
      <c r="BA18" s="32">
        <f t="shared" si="20"/>
        <v>0.77777777777777768</v>
      </c>
      <c r="BB18" s="32">
        <f t="shared" si="21"/>
        <v>0.44444444444444448</v>
      </c>
      <c r="BC18" s="7">
        <f t="shared" si="22"/>
        <v>0.79629629629629628</v>
      </c>
      <c r="BD18" s="7">
        <f t="shared" si="23"/>
        <v>0.5</v>
      </c>
      <c r="BE18">
        <f>step3_validation[[#This Row],[AI_OUT1]]</f>
        <v>9</v>
      </c>
      <c r="BF18">
        <f t="shared" si="24"/>
        <v>0.88888888888888884</v>
      </c>
      <c r="BG18">
        <f>survey_responses[[#This Row],[Sau khi xem xét các quyền lợi và nghĩa vụ, bạn có ủng hộ và tuân thủ chính sách mới hiện nay? - HUMAN-OUT1]]</f>
        <v>5</v>
      </c>
      <c r="BH18">
        <f t="shared" si="25"/>
        <v>0.44444444444444442</v>
      </c>
      <c r="BI18" s="32">
        <f t="shared" si="26"/>
        <v>4</v>
      </c>
    </row>
    <row r="19" spans="1:61" x14ac:dyDescent="0.45">
      <c r="A19" s="30">
        <f>step3_validation[[#This Row],[Persona_ID]]</f>
        <v>18</v>
      </c>
      <c r="B19" s="31">
        <f>step3_validation[[#This Row],[Used_Seed]]</f>
        <v>12362</v>
      </c>
      <c r="C19" t="str">
        <f>step3_validation[[#This Row],[Gender]]</f>
        <v>Nam</v>
      </c>
      <c r="D19" t="str">
        <f>survey_responses[[#This Row],[Giới tính của bạn:]]</f>
        <v>Nam</v>
      </c>
      <c r="E19" t="str">
        <f>step3_validation[[#This Row],[Age_Group]]</f>
        <v>40 - 49</v>
      </c>
      <c r="F19" t="str">
        <f>survey_responses[[#This Row],[Độ tuổi của bạn:]]</f>
        <v>40 - 49</v>
      </c>
      <c r="G19" t="str">
        <f>step3_validation[[#This Row],[Region]]</f>
        <v>Thành thị</v>
      </c>
      <c r="H19" t="str">
        <f>survey_responses[[#This Row],[Khu vực bạn đang sinh sống:]]</f>
        <v>Thành thị</v>
      </c>
      <c r="I19" t="str">
        <f>step3_validation[[#This Row],[Education]]</f>
        <v>Đại học</v>
      </c>
      <c r="J19" t="str">
        <f>survey_responses[[#This Row],[Trình độ học vấn cao nhất:]]</f>
        <v>Đại học</v>
      </c>
      <c r="K19" t="str">
        <f>step3_validation[[#This Row],[Employment]]</f>
        <v>Phi chính thức</v>
      </c>
      <c r="L19" t="str">
        <f>survey_responses[[#This Row],[Tình trạng việc làm chính:]]</f>
        <v>Khu vực phi chính thức (Lao động tự do, không có HĐLĐ)</v>
      </c>
      <c r="M19">
        <f>step3_validation[[#This Row],[Income_Mil]]</f>
        <v>14.778987131493366</v>
      </c>
      <c r="N19" t="str">
        <f>survey_responses[[#This Row],[Thu nhập bình quân tháng theo Hợp đồng lao động của bạn là bao nhiêu? (Vui lòng điền tổng thu nhập trước khi khấu trừ các loại Bảo hiểm (BHXH, BHYT, BHTN) và Thuế TNCN)]]</f>
        <v>Từ 12 - 18 triệu VNĐ</v>
      </c>
      <c r="O19">
        <f>step3_validation[[#This Row],[Dependents]]</f>
        <v>0</v>
      </c>
      <c r="P19" t="str">
        <f>survey_responses[[#This Row],[Số người phụ thuộc (con nhỏ, cha mẹ già...) đủ điều kiện giảm trừ gia cảnh:]]</f>
        <v>0 người</v>
      </c>
      <c r="Q19">
        <f>step3_validation[[#This Row],[AI_ENF1]]</f>
        <v>8</v>
      </c>
      <c r="R19">
        <f t="shared" si="0"/>
        <v>0.77777777777777779</v>
      </c>
      <c r="S19">
        <f>survey_responses[[#This Row],[Tôi tin rằng với các quy định quản lý thuế hiện nay, hành vi gian lận hoặc trốn thuế sẽ dễ dàng bị phát hiện và xử lý nghiêm. - HUMAN-ENF1]]</f>
        <v>6</v>
      </c>
      <c r="T19">
        <f t="shared" si="1"/>
        <v>0.55555555555555558</v>
      </c>
      <c r="U19">
        <f>step3_validation[[#This Row],[AI_ENF2]]</f>
        <v>9</v>
      </c>
      <c r="V19">
        <f t="shared" si="2"/>
        <v>0.88888888888888884</v>
      </c>
      <c r="W19">
        <f>survey_responses[[#This Row],[Tôi tin rằng Nhà nước, cơ quan thuế có đủ khả năng và công nghệ để phát hiện, xử lý nghiêm các hành vi trốn thuế. - HUMAN-ENF2]]</f>
        <v>8</v>
      </c>
      <c r="X19">
        <f t="shared" si="3"/>
        <v>0.77777777777777779</v>
      </c>
      <c r="Y19" s="32">
        <f t="shared" si="4"/>
        <v>0.83333333333333326</v>
      </c>
      <c r="Z19" s="32">
        <f t="shared" si="5"/>
        <v>0.66666666666666674</v>
      </c>
      <c r="AA19">
        <f>step3_validation[[#This Row],[AI_FAC1]]</f>
        <v>9</v>
      </c>
      <c r="AB19">
        <f t="shared" si="6"/>
        <v>0.88888888888888884</v>
      </c>
      <c r="AC19">
        <f>survey_responses[[#This Row],[Các thủ tục khai báo thuế VÀ/HOẶC quy trình làm việc với cơ quan thuế đơn giản, tiện lợi, nhanh chóng hơn so với trước đây. - HUMAN-FAC1]]</f>
        <v>7</v>
      </c>
      <c r="AD19">
        <f t="shared" si="7"/>
        <v>0.66666666666666663</v>
      </c>
      <c r="AE19">
        <f>step3_validation[[#This Row],[AI_FAC2]]</f>
        <v>8</v>
      </c>
      <c r="AF19">
        <f t="shared" si="8"/>
        <v>0.77777777777777779</v>
      </c>
      <c r="AG19">
        <f>survey_responses[[#This Row],[So với trước đây, tôi thấy cách tính thuế và các bậc thuế trong phương án mới đơn giản, dễ hiểu và dễ thực hiện hơn. - HUMAN-FAC2]]</f>
        <v>8</v>
      </c>
      <c r="AH19">
        <f t="shared" si="9"/>
        <v>0.77777777777777779</v>
      </c>
      <c r="AI19" s="32">
        <f t="shared" si="10"/>
        <v>0.83333333333333326</v>
      </c>
      <c r="AJ19" s="32">
        <f t="shared" si="11"/>
        <v>0.72222222222222221</v>
      </c>
      <c r="AK19">
        <f>step3_validation[[#This Row],[AI_TRU1]]</f>
        <v>9</v>
      </c>
      <c r="AL19">
        <f t="shared" si="12"/>
        <v>0.88888888888888884</v>
      </c>
      <c r="AM19">
        <f>survey_responses[[#This Row],[Tôi tin rằng Nhà nước, cơ quan thuế sẽ thực thi chính sách mới một cách khách quan, công tâm và đối xử bình đẳng với mọi người nộp thuế.  - HUMAN-TRU1]]</f>
        <v>8</v>
      </c>
      <c r="AN19">
        <f t="shared" si="13"/>
        <v>0.77777777777777779</v>
      </c>
      <c r="AO19">
        <f>step3_validation[[#This Row],[AI_TRU2]]</f>
        <v>8</v>
      </c>
      <c r="AP19">
        <f t="shared" si="14"/>
        <v>0.77777777777777779</v>
      </c>
      <c r="AQ19">
        <f>survey_responses[[#This Row],[Tôi thấy mức thuế tôi phải đóng theo phương án mới là công bằng (người thu nhập như tôi đóng mức này là hợp lý). - HUMAN-TRU2]]</f>
        <v>7</v>
      </c>
      <c r="AR19">
        <f t="shared" si="15"/>
        <v>0.66666666666666663</v>
      </c>
      <c r="AS19">
        <f>step3_validation[[#This Row],[AI_TRU3]]</f>
        <v>9</v>
      </c>
      <c r="AT19">
        <f t="shared" si="16"/>
        <v>0.88888888888888884</v>
      </c>
      <c r="AU19">
        <f>survey_responses[[#This Row],[Tôi tin tưởng số tiền thuế tôi đóng sẽ được Nhà nước sử dụng hiệu quả để cải thiện dịch vụ công (y tế, đường xá...). - HUMAN-TRU3]]</f>
        <v>7</v>
      </c>
      <c r="AV19">
        <f t="shared" si="17"/>
        <v>0.66666666666666663</v>
      </c>
      <c r="AW19">
        <f>step3_validation[[#This Row],[AI_TRU4]]</f>
        <v>8</v>
      </c>
      <c r="AX19">
        <f t="shared" si="18"/>
        <v>0.77777777777777779</v>
      </c>
      <c r="AY19">
        <f>survey_responses[[#This Row],[Tôi thấy Nhà nước đã giải thích rõ ràng, minh bạch về lý do và mục tiêu của việc sửa đổi thuế lần này. - HUMAN-TRU4]]</f>
        <v>6</v>
      </c>
      <c r="AZ19">
        <f t="shared" si="19"/>
        <v>0.55555555555555558</v>
      </c>
      <c r="BA19" s="32">
        <f t="shared" si="20"/>
        <v>0.83333333333333326</v>
      </c>
      <c r="BB19" s="32">
        <f t="shared" si="21"/>
        <v>0.66666666666666674</v>
      </c>
      <c r="BC19" s="7">
        <f t="shared" si="22"/>
        <v>0.83333333333333337</v>
      </c>
      <c r="BD19" s="7">
        <f t="shared" si="23"/>
        <v>0.68518518518518512</v>
      </c>
      <c r="BE19">
        <f>step3_validation[[#This Row],[AI_OUT1]]</f>
        <v>9</v>
      </c>
      <c r="BF19">
        <f t="shared" si="24"/>
        <v>0.88888888888888884</v>
      </c>
      <c r="BG19">
        <f>survey_responses[[#This Row],[Sau khi xem xét các quyền lợi và nghĩa vụ, bạn có ủng hộ và tuân thủ chính sách mới hiện nay? - HUMAN-OUT1]]</f>
        <v>8</v>
      </c>
      <c r="BH19">
        <f t="shared" si="25"/>
        <v>0.77777777777777779</v>
      </c>
      <c r="BI19" s="32">
        <f t="shared" si="26"/>
        <v>1</v>
      </c>
    </row>
    <row r="20" spans="1:61" x14ac:dyDescent="0.45">
      <c r="A20" s="30">
        <f>step3_validation[[#This Row],[Persona_ID]]</f>
        <v>19</v>
      </c>
      <c r="B20" s="31">
        <f>step3_validation[[#This Row],[Used_Seed]]</f>
        <v>12363</v>
      </c>
      <c r="C20" t="str">
        <f>step3_validation[[#This Row],[Gender]]</f>
        <v>Nam</v>
      </c>
      <c r="D20" t="str">
        <f>survey_responses[[#This Row],[Giới tính của bạn:]]</f>
        <v>Nam</v>
      </c>
      <c r="E20" t="str">
        <f>step3_validation[[#This Row],[Age_Group]]</f>
        <v>40 - 49</v>
      </c>
      <c r="F20" t="str">
        <f>survey_responses[[#This Row],[Độ tuổi của bạn:]]</f>
        <v>40 - 49</v>
      </c>
      <c r="G20" t="str">
        <f>step3_validation[[#This Row],[Region]]</f>
        <v>Thành thị</v>
      </c>
      <c r="H20" t="str">
        <f>survey_responses[[#This Row],[Khu vực bạn đang sinh sống:]]</f>
        <v>Thành thị</v>
      </c>
      <c r="I20" t="str">
        <f>step3_validation[[#This Row],[Education]]</f>
        <v>Đại học</v>
      </c>
      <c r="J20" t="str">
        <f>survey_responses[[#This Row],[Trình độ học vấn cao nhất:]]</f>
        <v>Đại học</v>
      </c>
      <c r="K20" t="str">
        <f>step3_validation[[#This Row],[Employment]]</f>
        <v>Chính thức</v>
      </c>
      <c r="L20" t="str">
        <f>survey_responses[[#This Row],[Tình trạng việc làm chính:]]</f>
        <v>Khu vực chính thức (Có Hợp đồng lao động, đóng BHXH)</v>
      </c>
      <c r="M20">
        <f>step3_validation[[#This Row],[Income_Mil]]</f>
        <v>106.0420861707336</v>
      </c>
      <c r="N20" t="str">
        <f>survey_responses[[#This Row],[Thu nhập bình quân tháng theo Hợp đồng lao động của bạn là bao nhiêu? (Vui lòng điền tổng thu nhập trước khi khấu trừ các loại Bảo hiểm (BHXH, BHYT, BHTN) và Thuế TNCN)]]</f>
        <v>Trên 102 triệu VNĐ</v>
      </c>
      <c r="O20">
        <f>step3_validation[[#This Row],[Dependents]]</f>
        <v>4</v>
      </c>
      <c r="P20" t="str">
        <f>survey_responses[[#This Row],[Số người phụ thuộc (con nhỏ, cha mẹ già...) đủ điều kiện giảm trừ gia cảnh:]]</f>
        <v>4 người trở lên</v>
      </c>
      <c r="Q20">
        <f>step3_validation[[#This Row],[AI_ENF1]]</f>
        <v>9</v>
      </c>
      <c r="R20">
        <f t="shared" si="0"/>
        <v>0.88888888888888884</v>
      </c>
      <c r="S20">
        <f>survey_responses[[#This Row],[Tôi tin rằng với các quy định quản lý thuế hiện nay, hành vi gian lận hoặc trốn thuế sẽ dễ dàng bị phát hiện và xử lý nghiêm. - HUMAN-ENF1]]</f>
        <v>10</v>
      </c>
      <c r="T20">
        <f t="shared" si="1"/>
        <v>1</v>
      </c>
      <c r="U20">
        <f>step3_validation[[#This Row],[AI_ENF2]]</f>
        <v>8</v>
      </c>
      <c r="V20">
        <f t="shared" si="2"/>
        <v>0.77777777777777779</v>
      </c>
      <c r="W20">
        <f>survey_responses[[#This Row],[Tôi tin rằng Nhà nước, cơ quan thuế có đủ khả năng và công nghệ để phát hiện, xử lý nghiêm các hành vi trốn thuế. - HUMAN-ENF2]]</f>
        <v>10</v>
      </c>
      <c r="X20">
        <f t="shared" si="3"/>
        <v>1</v>
      </c>
      <c r="Y20" s="32">
        <f t="shared" si="4"/>
        <v>0.83333333333333326</v>
      </c>
      <c r="Z20" s="32">
        <f t="shared" si="5"/>
        <v>1</v>
      </c>
      <c r="AA20">
        <f>step3_validation[[#This Row],[AI_FAC1]]</f>
        <v>9</v>
      </c>
      <c r="AB20">
        <f t="shared" si="6"/>
        <v>0.88888888888888884</v>
      </c>
      <c r="AC20">
        <f>survey_responses[[#This Row],[Các thủ tục khai báo thuế VÀ/HOẶC quy trình làm việc với cơ quan thuế đơn giản, tiện lợi, nhanh chóng hơn so với trước đây. - HUMAN-FAC1]]</f>
        <v>5</v>
      </c>
      <c r="AD20">
        <f t="shared" si="7"/>
        <v>0.44444444444444442</v>
      </c>
      <c r="AE20">
        <f>step3_validation[[#This Row],[AI_FAC2]]</f>
        <v>8</v>
      </c>
      <c r="AF20">
        <f t="shared" si="8"/>
        <v>0.77777777777777779</v>
      </c>
      <c r="AG20">
        <f>survey_responses[[#This Row],[So với trước đây, tôi thấy cách tính thuế và các bậc thuế trong phương án mới đơn giản, dễ hiểu và dễ thực hiện hơn. - HUMAN-FAC2]]</f>
        <v>5</v>
      </c>
      <c r="AH20">
        <f t="shared" si="9"/>
        <v>0.44444444444444442</v>
      </c>
      <c r="AI20" s="32">
        <f t="shared" si="10"/>
        <v>0.83333333333333326</v>
      </c>
      <c r="AJ20" s="32">
        <f t="shared" si="11"/>
        <v>0.44444444444444442</v>
      </c>
      <c r="AK20">
        <f>step3_validation[[#This Row],[AI_TRU1]]</f>
        <v>9</v>
      </c>
      <c r="AL20">
        <f t="shared" si="12"/>
        <v>0.88888888888888884</v>
      </c>
      <c r="AM20">
        <f>survey_responses[[#This Row],[Tôi tin rằng Nhà nước, cơ quan thuế sẽ thực thi chính sách mới một cách khách quan, công tâm và đối xử bình đẳng với mọi người nộp thuế.  - HUMAN-TRU1]]</f>
        <v>5</v>
      </c>
      <c r="AN20">
        <f t="shared" si="13"/>
        <v>0.44444444444444442</v>
      </c>
      <c r="AO20">
        <f>step3_validation[[#This Row],[AI_TRU2]]</f>
        <v>8</v>
      </c>
      <c r="AP20">
        <f t="shared" si="14"/>
        <v>0.77777777777777779</v>
      </c>
      <c r="AQ20">
        <f>survey_responses[[#This Row],[Tôi thấy mức thuế tôi phải đóng theo phương án mới là công bằng (người thu nhập như tôi đóng mức này là hợp lý). - HUMAN-TRU2]]</f>
        <v>3</v>
      </c>
      <c r="AR20">
        <f t="shared" si="15"/>
        <v>0.22222222222222221</v>
      </c>
      <c r="AS20">
        <f>step3_validation[[#This Row],[AI_TRU3]]</f>
        <v>9</v>
      </c>
      <c r="AT20">
        <f t="shared" si="16"/>
        <v>0.88888888888888884</v>
      </c>
      <c r="AU20">
        <f>survey_responses[[#This Row],[Tôi tin tưởng số tiền thuế tôi đóng sẽ được Nhà nước sử dụng hiệu quả để cải thiện dịch vụ công (y tế, đường xá...). - HUMAN-TRU3]]</f>
        <v>2</v>
      </c>
      <c r="AV20">
        <f t="shared" si="17"/>
        <v>0.1111111111111111</v>
      </c>
      <c r="AW20">
        <f>step3_validation[[#This Row],[AI_TRU4]]</f>
        <v>8</v>
      </c>
      <c r="AX20">
        <f t="shared" si="18"/>
        <v>0.77777777777777779</v>
      </c>
      <c r="AY20">
        <f>survey_responses[[#This Row],[Tôi thấy Nhà nước đã giải thích rõ ràng, minh bạch về lý do và mục tiêu của việc sửa đổi thuế lần này. - HUMAN-TRU4]]</f>
        <v>5</v>
      </c>
      <c r="AZ20">
        <f t="shared" si="19"/>
        <v>0.44444444444444442</v>
      </c>
      <c r="BA20" s="32">
        <f t="shared" si="20"/>
        <v>0.83333333333333326</v>
      </c>
      <c r="BB20" s="32">
        <f t="shared" si="21"/>
        <v>0.30555555555555552</v>
      </c>
      <c r="BC20" s="7">
        <f t="shared" si="22"/>
        <v>0.83333333333333337</v>
      </c>
      <c r="BD20" s="7">
        <f t="shared" si="23"/>
        <v>0.58333333333333337</v>
      </c>
      <c r="BE20">
        <f>step3_validation[[#This Row],[AI_OUT1]]</f>
        <v>9</v>
      </c>
      <c r="BF20">
        <f t="shared" si="24"/>
        <v>0.88888888888888884</v>
      </c>
      <c r="BG20">
        <f>survey_responses[[#This Row],[Sau khi xem xét các quyền lợi và nghĩa vụ, bạn có ủng hộ và tuân thủ chính sách mới hiện nay? - HUMAN-OUT1]]</f>
        <v>8</v>
      </c>
      <c r="BH20">
        <f t="shared" si="25"/>
        <v>0.77777777777777779</v>
      </c>
      <c r="BI20" s="32">
        <f t="shared" si="26"/>
        <v>1</v>
      </c>
    </row>
    <row r="21" spans="1:61" x14ac:dyDescent="0.45">
      <c r="A21" s="30">
        <f>step3_validation[[#This Row],[Persona_ID]]</f>
        <v>20</v>
      </c>
      <c r="B21" s="31">
        <f>step3_validation[[#This Row],[Used_Seed]]</f>
        <v>12364</v>
      </c>
      <c r="C21" t="str">
        <f>step3_validation[[#This Row],[Gender]]</f>
        <v>Nam</v>
      </c>
      <c r="D21" t="str">
        <f>survey_responses[[#This Row],[Giới tính của bạn:]]</f>
        <v>Nam</v>
      </c>
      <c r="E21" t="str">
        <f>step3_validation[[#This Row],[Age_Group]]</f>
        <v>30 - 39</v>
      </c>
      <c r="F21" t="str">
        <f>survey_responses[[#This Row],[Độ tuổi của bạn:]]</f>
        <v>30 - 39</v>
      </c>
      <c r="G21" t="str">
        <f>step3_validation[[#This Row],[Region]]</f>
        <v>Thành thị</v>
      </c>
      <c r="H21" t="str">
        <f>survey_responses[[#This Row],[Khu vực bạn đang sinh sống:]]</f>
        <v>Thành thị</v>
      </c>
      <c r="I21" t="str">
        <f>step3_validation[[#This Row],[Education]]</f>
        <v>Sau Đại học</v>
      </c>
      <c r="J21" t="str">
        <f>survey_responses[[#This Row],[Trình độ học vấn cao nhất:]]</f>
        <v>Sau Đại học</v>
      </c>
      <c r="K21" t="str">
        <f>step3_validation[[#This Row],[Employment]]</f>
        <v>Chính thức</v>
      </c>
      <c r="L21" t="str">
        <f>survey_responses[[#This Row],[Tình trạng việc làm chính:]]</f>
        <v>Khu vực chính thức (Có Hợp đồng lao động, đóng BHXH)</v>
      </c>
      <c r="M21">
        <f>step3_validation[[#This Row],[Income_Mil]]</f>
        <v>67.573479496414791</v>
      </c>
      <c r="N21" t="str">
        <f>survey_responses[[#This Row],[Thu nhập bình quân tháng theo Hợp đồng lao động của bạn là bao nhiêu? (Vui lòng điền tổng thu nhập trước khi khấu trừ các loại Bảo hiểm (BHXH, BHYT, BHTN) và Thuế TNCN)]]</f>
        <v>Từ 48 - 70 triệu VNĐ</v>
      </c>
      <c r="O21">
        <f>step3_validation[[#This Row],[Dependents]]</f>
        <v>2</v>
      </c>
      <c r="P21" t="str">
        <f>survey_responses[[#This Row],[Số người phụ thuộc (con nhỏ, cha mẹ già...) đủ điều kiện giảm trừ gia cảnh:]]</f>
        <v>2 người</v>
      </c>
      <c r="Q21">
        <f>step3_validation[[#This Row],[AI_ENF1]]</f>
        <v>8</v>
      </c>
      <c r="R21">
        <f t="shared" si="0"/>
        <v>0.77777777777777779</v>
      </c>
      <c r="S21">
        <f>survey_responses[[#This Row],[Tôi tin rằng với các quy định quản lý thuế hiện nay, hành vi gian lận hoặc trốn thuế sẽ dễ dàng bị phát hiện và xử lý nghiêm. - HUMAN-ENF1]]</f>
        <v>9</v>
      </c>
      <c r="T21">
        <f t="shared" si="1"/>
        <v>0.88888888888888884</v>
      </c>
      <c r="U21">
        <f>step3_validation[[#This Row],[AI_ENF2]]</f>
        <v>9</v>
      </c>
      <c r="V21">
        <f t="shared" si="2"/>
        <v>0.88888888888888884</v>
      </c>
      <c r="W21">
        <f>survey_responses[[#This Row],[Tôi tin rằng Nhà nước, cơ quan thuế có đủ khả năng và công nghệ để phát hiện, xử lý nghiêm các hành vi trốn thuế. - HUMAN-ENF2]]</f>
        <v>9</v>
      </c>
      <c r="X21">
        <f t="shared" si="3"/>
        <v>0.88888888888888884</v>
      </c>
      <c r="Y21" s="32">
        <f t="shared" si="4"/>
        <v>0.83333333333333326</v>
      </c>
      <c r="Z21" s="32">
        <f t="shared" si="5"/>
        <v>0.88888888888888884</v>
      </c>
      <c r="AA21">
        <f>step3_validation[[#This Row],[AI_FAC1]]</f>
        <v>8</v>
      </c>
      <c r="AB21">
        <f t="shared" si="6"/>
        <v>0.77777777777777779</v>
      </c>
      <c r="AC21">
        <f>survey_responses[[#This Row],[Các thủ tục khai báo thuế VÀ/HOẶC quy trình làm việc với cơ quan thuế đơn giản, tiện lợi, nhanh chóng hơn so với trước đây. - HUMAN-FAC1]]</f>
        <v>7</v>
      </c>
      <c r="AD21">
        <f t="shared" si="7"/>
        <v>0.66666666666666663</v>
      </c>
      <c r="AE21">
        <f>step3_validation[[#This Row],[AI_FAC2]]</f>
        <v>9</v>
      </c>
      <c r="AF21">
        <f t="shared" si="8"/>
        <v>0.88888888888888884</v>
      </c>
      <c r="AG21">
        <f>survey_responses[[#This Row],[So với trước đây, tôi thấy cách tính thuế và các bậc thuế trong phương án mới đơn giản, dễ hiểu và dễ thực hiện hơn. - HUMAN-FAC2]]</f>
        <v>9</v>
      </c>
      <c r="AH21">
        <f t="shared" si="9"/>
        <v>0.88888888888888884</v>
      </c>
      <c r="AI21" s="32">
        <f t="shared" si="10"/>
        <v>0.83333333333333326</v>
      </c>
      <c r="AJ21" s="32">
        <f t="shared" si="11"/>
        <v>0.77777777777777768</v>
      </c>
      <c r="AK21">
        <f>step3_validation[[#This Row],[AI_TRU1]]</f>
        <v>7</v>
      </c>
      <c r="AL21">
        <f t="shared" si="12"/>
        <v>0.66666666666666663</v>
      </c>
      <c r="AM21">
        <f>survey_responses[[#This Row],[Tôi tin rằng Nhà nước, cơ quan thuế sẽ thực thi chính sách mới một cách khách quan, công tâm và đối xử bình đẳng với mọi người nộp thuế.  - HUMAN-TRU1]]</f>
        <v>7</v>
      </c>
      <c r="AN21">
        <f t="shared" si="13"/>
        <v>0.66666666666666663</v>
      </c>
      <c r="AO21">
        <f>step3_validation[[#This Row],[AI_TRU2]]</f>
        <v>9</v>
      </c>
      <c r="AP21">
        <f t="shared" si="14"/>
        <v>0.88888888888888884</v>
      </c>
      <c r="AQ21">
        <f>survey_responses[[#This Row],[Tôi thấy mức thuế tôi phải đóng theo phương án mới là công bằng (người thu nhập như tôi đóng mức này là hợp lý). - HUMAN-TRU2]]</f>
        <v>8</v>
      </c>
      <c r="AR21">
        <f t="shared" si="15"/>
        <v>0.77777777777777779</v>
      </c>
      <c r="AS21">
        <f>step3_validation[[#This Row],[AI_TRU3]]</f>
        <v>8</v>
      </c>
      <c r="AT21">
        <f t="shared" si="16"/>
        <v>0.77777777777777779</v>
      </c>
      <c r="AU21">
        <f>survey_responses[[#This Row],[Tôi tin tưởng số tiền thuế tôi đóng sẽ được Nhà nước sử dụng hiệu quả để cải thiện dịch vụ công (y tế, đường xá...). - HUMAN-TRU3]]</f>
        <v>5</v>
      </c>
      <c r="AV21">
        <f t="shared" si="17"/>
        <v>0.44444444444444442</v>
      </c>
      <c r="AW21">
        <f>step3_validation[[#This Row],[AI_TRU4]]</f>
        <v>7</v>
      </c>
      <c r="AX21">
        <f t="shared" si="18"/>
        <v>0.66666666666666663</v>
      </c>
      <c r="AY21">
        <f>survey_responses[[#This Row],[Tôi thấy Nhà nước đã giải thích rõ ràng, minh bạch về lý do và mục tiêu của việc sửa đổi thuế lần này. - HUMAN-TRU4]]</f>
        <v>5</v>
      </c>
      <c r="AZ21">
        <f t="shared" si="19"/>
        <v>0.44444444444444442</v>
      </c>
      <c r="BA21" s="32">
        <f t="shared" si="20"/>
        <v>0.74999999999999989</v>
      </c>
      <c r="BB21" s="32">
        <f t="shared" si="21"/>
        <v>0.58333333333333326</v>
      </c>
      <c r="BC21" s="7">
        <f t="shared" si="22"/>
        <v>0.80555555555555547</v>
      </c>
      <c r="BD21" s="7">
        <f t="shared" si="23"/>
        <v>0.75</v>
      </c>
      <c r="BE21">
        <f>step3_validation[[#This Row],[AI_OUT1]]</f>
        <v>9</v>
      </c>
      <c r="BF21">
        <f t="shared" si="24"/>
        <v>0.88888888888888884</v>
      </c>
      <c r="BG21">
        <f>survey_responses[[#This Row],[Sau khi xem xét các quyền lợi và nghĩa vụ, bạn có ủng hộ và tuân thủ chính sách mới hiện nay? - HUMAN-OUT1]]</f>
        <v>6</v>
      </c>
      <c r="BH21">
        <f t="shared" si="25"/>
        <v>0.55555555555555558</v>
      </c>
      <c r="BI21" s="32">
        <f t="shared" si="26"/>
        <v>3</v>
      </c>
    </row>
    <row r="22" spans="1:61" x14ac:dyDescent="0.45">
      <c r="A22" s="30">
        <f>step3_validation[[#This Row],[Persona_ID]]</f>
        <v>21</v>
      </c>
      <c r="B22" s="31">
        <f>step3_validation[[#This Row],[Used_Seed]]</f>
        <v>12365</v>
      </c>
      <c r="C22" t="str">
        <f>step3_validation[[#This Row],[Gender]]</f>
        <v>Nữ</v>
      </c>
      <c r="D22" t="str">
        <f>survey_responses[[#This Row],[Giới tính của bạn:]]</f>
        <v>Nữ</v>
      </c>
      <c r="E22" t="str">
        <f>step3_validation[[#This Row],[Age_Group]]</f>
        <v>40 - 49</v>
      </c>
      <c r="F22" t="str">
        <f>survey_responses[[#This Row],[Độ tuổi của bạn:]]</f>
        <v>40 - 49</v>
      </c>
      <c r="G22" t="str">
        <f>step3_validation[[#This Row],[Region]]</f>
        <v>Thành thị</v>
      </c>
      <c r="H22" t="str">
        <f>survey_responses[[#This Row],[Khu vực bạn đang sinh sống:]]</f>
        <v>Thành thị</v>
      </c>
      <c r="I22" t="str">
        <f>step3_validation[[#This Row],[Education]]</f>
        <v>Đại học</v>
      </c>
      <c r="J22" t="str">
        <f>survey_responses[[#This Row],[Trình độ học vấn cao nhất:]]</f>
        <v>Đại học</v>
      </c>
      <c r="K22" t="str">
        <f>step3_validation[[#This Row],[Employment]]</f>
        <v>Chính thức</v>
      </c>
      <c r="L22" t="str">
        <f>survey_responses[[#This Row],[Tình trạng việc làm chính:]]</f>
        <v>Khu vực chính thức (Có Hợp đồng lao động, đóng BHXH)</v>
      </c>
      <c r="M22">
        <f>step3_validation[[#This Row],[Income_Mil]]</f>
        <v>116.26419431137634</v>
      </c>
      <c r="N22" t="str">
        <f>survey_responses[[#This Row],[Thu nhập bình quân tháng theo Hợp đồng lao động của bạn là bao nhiêu? (Vui lòng điền tổng thu nhập trước khi khấu trừ các loại Bảo hiểm (BHXH, BHYT, BHTN) và Thuế TNCN)]]</f>
        <v>Trên 102 triệu VNĐ</v>
      </c>
      <c r="O22">
        <f>step3_validation[[#This Row],[Dependents]]</f>
        <v>3</v>
      </c>
      <c r="P22" t="str">
        <f>survey_responses[[#This Row],[Số người phụ thuộc (con nhỏ, cha mẹ già...) đủ điều kiện giảm trừ gia cảnh:]]</f>
        <v>3 người</v>
      </c>
      <c r="Q22">
        <f>step3_validation[[#This Row],[AI_ENF1]]</f>
        <v>6</v>
      </c>
      <c r="R22">
        <f t="shared" si="0"/>
        <v>0.55555555555555558</v>
      </c>
      <c r="S22">
        <f>survey_responses[[#This Row],[Tôi tin rằng với các quy định quản lý thuế hiện nay, hành vi gian lận hoặc trốn thuế sẽ dễ dàng bị phát hiện và xử lý nghiêm. - HUMAN-ENF1]]</f>
        <v>10</v>
      </c>
      <c r="T22">
        <f t="shared" si="1"/>
        <v>1</v>
      </c>
      <c r="U22">
        <f>step3_validation[[#This Row],[AI_ENF2]]</f>
        <v>7</v>
      </c>
      <c r="V22">
        <f t="shared" si="2"/>
        <v>0.66666666666666663</v>
      </c>
      <c r="W22">
        <f>survey_responses[[#This Row],[Tôi tin rằng Nhà nước, cơ quan thuế có đủ khả năng và công nghệ để phát hiện, xử lý nghiêm các hành vi trốn thuế. - HUMAN-ENF2]]</f>
        <v>10</v>
      </c>
      <c r="X22">
        <f t="shared" si="3"/>
        <v>1</v>
      </c>
      <c r="Y22" s="32">
        <f t="shared" si="4"/>
        <v>0.61111111111111116</v>
      </c>
      <c r="Z22" s="32">
        <f t="shared" si="5"/>
        <v>1</v>
      </c>
      <c r="AA22">
        <f>step3_validation[[#This Row],[AI_FAC1]]</f>
        <v>9</v>
      </c>
      <c r="AB22">
        <f t="shared" si="6"/>
        <v>0.88888888888888884</v>
      </c>
      <c r="AC22">
        <f>survey_responses[[#This Row],[Các thủ tục khai báo thuế VÀ/HOẶC quy trình làm việc với cơ quan thuế đơn giản, tiện lợi, nhanh chóng hơn so với trước đây. - HUMAN-FAC1]]</f>
        <v>8</v>
      </c>
      <c r="AD22">
        <f t="shared" si="7"/>
        <v>0.77777777777777779</v>
      </c>
      <c r="AE22">
        <f>step3_validation[[#This Row],[AI_FAC2]]</f>
        <v>8</v>
      </c>
      <c r="AF22">
        <f t="shared" si="8"/>
        <v>0.77777777777777779</v>
      </c>
      <c r="AG22">
        <f>survey_responses[[#This Row],[So với trước đây, tôi thấy cách tính thuế và các bậc thuế trong phương án mới đơn giản, dễ hiểu và dễ thực hiện hơn. - HUMAN-FAC2]]</f>
        <v>7</v>
      </c>
      <c r="AH22">
        <f t="shared" si="9"/>
        <v>0.66666666666666663</v>
      </c>
      <c r="AI22" s="32">
        <f t="shared" si="10"/>
        <v>0.83333333333333326</v>
      </c>
      <c r="AJ22" s="32">
        <f t="shared" si="11"/>
        <v>0.72222222222222221</v>
      </c>
      <c r="AK22">
        <f>step3_validation[[#This Row],[AI_TRU1]]</f>
        <v>7</v>
      </c>
      <c r="AL22">
        <f t="shared" si="12"/>
        <v>0.66666666666666663</v>
      </c>
      <c r="AM22">
        <f>survey_responses[[#This Row],[Tôi tin rằng Nhà nước, cơ quan thuế sẽ thực thi chính sách mới một cách khách quan, công tâm và đối xử bình đẳng với mọi người nộp thuế.  - HUMAN-TRU1]]</f>
        <v>7</v>
      </c>
      <c r="AN22">
        <f t="shared" si="13"/>
        <v>0.66666666666666663</v>
      </c>
      <c r="AO22">
        <f>step3_validation[[#This Row],[AI_TRU2]]</f>
        <v>9</v>
      </c>
      <c r="AP22">
        <f t="shared" si="14"/>
        <v>0.88888888888888884</v>
      </c>
      <c r="AQ22">
        <f>survey_responses[[#This Row],[Tôi thấy mức thuế tôi phải đóng theo phương án mới là công bằng (người thu nhập như tôi đóng mức này là hợp lý). - HUMAN-TRU2]]</f>
        <v>7</v>
      </c>
      <c r="AR22">
        <f t="shared" si="15"/>
        <v>0.66666666666666663</v>
      </c>
      <c r="AS22">
        <f>step3_validation[[#This Row],[AI_TRU3]]</f>
        <v>6</v>
      </c>
      <c r="AT22">
        <f t="shared" si="16"/>
        <v>0.55555555555555558</v>
      </c>
      <c r="AU22">
        <f>survey_responses[[#This Row],[Tôi tin tưởng số tiền thuế tôi đóng sẽ được Nhà nước sử dụng hiệu quả để cải thiện dịch vụ công (y tế, đường xá...). - HUMAN-TRU3]]</f>
        <v>2</v>
      </c>
      <c r="AV22">
        <f t="shared" si="17"/>
        <v>0.1111111111111111</v>
      </c>
      <c r="AW22">
        <f>step3_validation[[#This Row],[AI_TRU4]]</f>
        <v>8</v>
      </c>
      <c r="AX22">
        <f t="shared" si="18"/>
        <v>0.77777777777777779</v>
      </c>
      <c r="AY22">
        <f>survey_responses[[#This Row],[Tôi thấy Nhà nước đã giải thích rõ ràng, minh bạch về lý do và mục tiêu của việc sửa đổi thuế lần này. - HUMAN-TRU4]]</f>
        <v>3</v>
      </c>
      <c r="AZ22">
        <f t="shared" si="19"/>
        <v>0.22222222222222221</v>
      </c>
      <c r="BA22" s="32">
        <f t="shared" si="20"/>
        <v>0.7222222222222221</v>
      </c>
      <c r="BB22" s="32">
        <f t="shared" si="21"/>
        <v>0.41666666666666663</v>
      </c>
      <c r="BC22" s="7">
        <f t="shared" si="22"/>
        <v>0.72222222222222221</v>
      </c>
      <c r="BD22" s="7">
        <f t="shared" si="23"/>
        <v>0.71296296296296291</v>
      </c>
      <c r="BE22">
        <f>step3_validation[[#This Row],[AI_OUT1]]</f>
        <v>9</v>
      </c>
      <c r="BF22">
        <f t="shared" si="24"/>
        <v>0.88888888888888884</v>
      </c>
      <c r="BG22">
        <f>survey_responses[[#This Row],[Sau khi xem xét các quyền lợi và nghĩa vụ, bạn có ủng hộ và tuân thủ chính sách mới hiện nay? - HUMAN-OUT1]]</f>
        <v>3</v>
      </c>
      <c r="BH22">
        <f t="shared" si="25"/>
        <v>0.22222222222222221</v>
      </c>
      <c r="BI22" s="32">
        <f t="shared" si="26"/>
        <v>6</v>
      </c>
    </row>
    <row r="23" spans="1:61" x14ac:dyDescent="0.45">
      <c r="A23" s="30">
        <f>step3_validation[[#This Row],[Persona_ID]]</f>
        <v>22</v>
      </c>
      <c r="B23" s="31">
        <f>step3_validation[[#This Row],[Used_Seed]]</f>
        <v>12366</v>
      </c>
      <c r="C23" t="str">
        <f>step3_validation[[#This Row],[Gender]]</f>
        <v>Nữ</v>
      </c>
      <c r="D23" t="str">
        <f>survey_responses[[#This Row],[Giới tính của bạn:]]</f>
        <v>Nữ</v>
      </c>
      <c r="E23" t="str">
        <f>step3_validation[[#This Row],[Age_Group]]</f>
        <v>18 - 24</v>
      </c>
      <c r="F23" t="str">
        <f>survey_responses[[#This Row],[Độ tuổi của bạn:]]</f>
        <v>18 - 24</v>
      </c>
      <c r="G23" t="str">
        <f>step3_validation[[#This Row],[Region]]</f>
        <v>Thành thị</v>
      </c>
      <c r="H23" t="str">
        <f>survey_responses[[#This Row],[Khu vực bạn đang sinh sống:]]</f>
        <v>Thành thị</v>
      </c>
      <c r="I23" t="str">
        <f>step3_validation[[#This Row],[Education]]</f>
        <v>Đại học</v>
      </c>
      <c r="J23" t="str">
        <f>survey_responses[[#This Row],[Trình độ học vấn cao nhất:]]</f>
        <v>Đại học</v>
      </c>
      <c r="K23" t="str">
        <f>step3_validation[[#This Row],[Employment]]</f>
        <v>Chính thức</v>
      </c>
      <c r="L23" t="str">
        <f>survey_responses[[#This Row],[Tình trạng việc làm chính:]]</f>
        <v>Khu vực chính thức (Có Hợp đồng lao động, đóng BHXH)</v>
      </c>
      <c r="M23">
        <f>step3_validation[[#This Row],[Income_Mil]]</f>
        <v>15.160051629906439</v>
      </c>
      <c r="N23" t="str">
        <f>survey_responses[[#This Row],[Thu nhập bình quân tháng theo Hợp đồng lao động của bạn là bao nhiêu? (Vui lòng điền tổng thu nhập trước khi khấu trừ các loại Bảo hiểm (BHXH, BHYT, BHTN) và Thuế TNCN)]]</f>
        <v>Từ 12 - 18 triệu VNĐ</v>
      </c>
      <c r="O23">
        <f>step3_validation[[#This Row],[Dependents]]</f>
        <v>0</v>
      </c>
      <c r="P23" t="str">
        <f>survey_responses[[#This Row],[Số người phụ thuộc (con nhỏ, cha mẹ già...) đủ điều kiện giảm trừ gia cảnh:]]</f>
        <v>0 người</v>
      </c>
      <c r="Q23">
        <f>step3_validation[[#This Row],[AI_ENF1]]</f>
        <v>7</v>
      </c>
      <c r="R23">
        <f t="shared" si="0"/>
        <v>0.66666666666666663</v>
      </c>
      <c r="S23">
        <f>survey_responses[[#This Row],[Tôi tin rằng với các quy định quản lý thuế hiện nay, hành vi gian lận hoặc trốn thuế sẽ dễ dàng bị phát hiện và xử lý nghiêm. - HUMAN-ENF1]]</f>
        <v>8</v>
      </c>
      <c r="T23">
        <f t="shared" si="1"/>
        <v>0.77777777777777779</v>
      </c>
      <c r="U23">
        <f>step3_validation[[#This Row],[AI_ENF2]]</f>
        <v>6</v>
      </c>
      <c r="V23">
        <f t="shared" si="2"/>
        <v>0.55555555555555558</v>
      </c>
      <c r="W23">
        <f>survey_responses[[#This Row],[Tôi tin rằng Nhà nước, cơ quan thuế có đủ khả năng và công nghệ để phát hiện, xử lý nghiêm các hành vi trốn thuế. - HUMAN-ENF2]]</f>
        <v>8</v>
      </c>
      <c r="X23">
        <f t="shared" si="3"/>
        <v>0.77777777777777779</v>
      </c>
      <c r="Y23" s="32">
        <f t="shared" si="4"/>
        <v>0.61111111111111116</v>
      </c>
      <c r="Z23" s="32">
        <f t="shared" si="5"/>
        <v>0.77777777777777779</v>
      </c>
      <c r="AA23">
        <f>step3_validation[[#This Row],[AI_FAC1]]</f>
        <v>8</v>
      </c>
      <c r="AB23">
        <f t="shared" si="6"/>
        <v>0.77777777777777779</v>
      </c>
      <c r="AC23">
        <f>survey_responses[[#This Row],[Các thủ tục khai báo thuế VÀ/HOẶC quy trình làm việc với cơ quan thuế đơn giản, tiện lợi, nhanh chóng hơn so với trước đây. - HUMAN-FAC1]]</f>
        <v>5</v>
      </c>
      <c r="AD23">
        <f t="shared" si="7"/>
        <v>0.44444444444444442</v>
      </c>
      <c r="AE23">
        <f>step3_validation[[#This Row],[AI_FAC2]]</f>
        <v>9</v>
      </c>
      <c r="AF23">
        <f t="shared" si="8"/>
        <v>0.88888888888888884</v>
      </c>
      <c r="AG23">
        <f>survey_responses[[#This Row],[So với trước đây, tôi thấy cách tính thuế và các bậc thuế trong phương án mới đơn giản, dễ hiểu và dễ thực hiện hơn. - HUMAN-FAC2]]</f>
        <v>8</v>
      </c>
      <c r="AH23">
        <f t="shared" si="9"/>
        <v>0.77777777777777779</v>
      </c>
      <c r="AI23" s="32">
        <f t="shared" si="10"/>
        <v>0.83333333333333326</v>
      </c>
      <c r="AJ23" s="32">
        <f t="shared" si="11"/>
        <v>0.61111111111111116</v>
      </c>
      <c r="AK23">
        <f>step3_validation[[#This Row],[AI_TRU1]]</f>
        <v>7</v>
      </c>
      <c r="AL23">
        <f t="shared" si="12"/>
        <v>0.66666666666666663</v>
      </c>
      <c r="AM23">
        <f>survey_responses[[#This Row],[Tôi tin rằng Nhà nước, cơ quan thuế sẽ thực thi chính sách mới một cách khách quan, công tâm và đối xử bình đẳng với mọi người nộp thuế.  - HUMAN-TRU1]]</f>
        <v>8</v>
      </c>
      <c r="AN23">
        <f t="shared" si="13"/>
        <v>0.77777777777777779</v>
      </c>
      <c r="AO23">
        <f>step3_validation[[#This Row],[AI_TRU2]]</f>
        <v>9</v>
      </c>
      <c r="AP23">
        <f t="shared" si="14"/>
        <v>0.88888888888888884</v>
      </c>
      <c r="AQ23">
        <f>survey_responses[[#This Row],[Tôi thấy mức thuế tôi phải đóng theo phương án mới là công bằng (người thu nhập như tôi đóng mức này là hợp lý). - HUMAN-TRU2]]</f>
        <v>8</v>
      </c>
      <c r="AR23">
        <f t="shared" si="15"/>
        <v>0.77777777777777779</v>
      </c>
      <c r="AS23">
        <f>step3_validation[[#This Row],[AI_TRU3]]</f>
        <v>7</v>
      </c>
      <c r="AT23">
        <f t="shared" si="16"/>
        <v>0.66666666666666663</v>
      </c>
      <c r="AU23">
        <f>survey_responses[[#This Row],[Tôi tin tưởng số tiền thuế tôi đóng sẽ được Nhà nước sử dụng hiệu quả để cải thiện dịch vụ công (y tế, đường xá...). - HUMAN-TRU3]]</f>
        <v>8</v>
      </c>
      <c r="AV23">
        <f t="shared" si="17"/>
        <v>0.77777777777777779</v>
      </c>
      <c r="AW23">
        <f>step3_validation[[#This Row],[AI_TRU4]]</f>
        <v>6</v>
      </c>
      <c r="AX23">
        <f t="shared" si="18"/>
        <v>0.55555555555555558</v>
      </c>
      <c r="AY23">
        <f>survey_responses[[#This Row],[Tôi thấy Nhà nước đã giải thích rõ ràng, minh bạch về lý do và mục tiêu của việc sửa đổi thuế lần này. - HUMAN-TRU4]]</f>
        <v>8</v>
      </c>
      <c r="AZ23">
        <f t="shared" si="19"/>
        <v>0.77777777777777779</v>
      </c>
      <c r="BA23" s="32">
        <f t="shared" si="20"/>
        <v>0.69444444444444442</v>
      </c>
      <c r="BB23" s="32">
        <f t="shared" si="21"/>
        <v>0.77777777777777779</v>
      </c>
      <c r="BC23" s="7">
        <f t="shared" si="22"/>
        <v>0.71296296296296291</v>
      </c>
      <c r="BD23" s="7">
        <f t="shared" si="23"/>
        <v>0.72222222222222221</v>
      </c>
      <c r="BE23">
        <f>step3_validation[[#This Row],[AI_OUT1]]</f>
        <v>8</v>
      </c>
      <c r="BF23">
        <f t="shared" si="24"/>
        <v>0.77777777777777779</v>
      </c>
      <c r="BG23">
        <f>survey_responses[[#This Row],[Sau khi xem xét các quyền lợi và nghĩa vụ, bạn có ủng hộ và tuân thủ chính sách mới hiện nay? - HUMAN-OUT1]]</f>
        <v>8</v>
      </c>
      <c r="BH23">
        <f t="shared" si="25"/>
        <v>0.77777777777777779</v>
      </c>
      <c r="BI23" s="32">
        <f t="shared" si="26"/>
        <v>0</v>
      </c>
    </row>
    <row r="24" spans="1:61" x14ac:dyDescent="0.45">
      <c r="A24" s="30">
        <f>step3_validation[[#This Row],[Persona_ID]]</f>
        <v>23</v>
      </c>
      <c r="B24" s="31">
        <f>step3_validation[[#This Row],[Used_Seed]]</f>
        <v>12367</v>
      </c>
      <c r="C24" t="str">
        <f>step3_validation[[#This Row],[Gender]]</f>
        <v>Nữ</v>
      </c>
      <c r="D24" t="str">
        <f>survey_responses[[#This Row],[Giới tính của bạn:]]</f>
        <v>Nữ</v>
      </c>
      <c r="E24" t="str">
        <f>step3_validation[[#This Row],[Age_Group]]</f>
        <v>40 - 49</v>
      </c>
      <c r="F24" t="str">
        <f>survey_responses[[#This Row],[Độ tuổi của bạn:]]</f>
        <v>40 - 49</v>
      </c>
      <c r="G24" t="str">
        <f>step3_validation[[#This Row],[Region]]</f>
        <v>Thành thị</v>
      </c>
      <c r="H24" t="str">
        <f>survey_responses[[#This Row],[Khu vực bạn đang sinh sống:]]</f>
        <v>Thành thị</v>
      </c>
      <c r="I24" t="str">
        <f>step3_validation[[#This Row],[Education]]</f>
        <v>Sau Đại học</v>
      </c>
      <c r="J24" t="str">
        <f>survey_responses[[#This Row],[Trình độ học vấn cao nhất:]]</f>
        <v>Sau Đại học</v>
      </c>
      <c r="K24" t="str">
        <f>step3_validation[[#This Row],[Employment]]</f>
        <v>Chính thức</v>
      </c>
      <c r="L24" t="str">
        <f>survey_responses[[#This Row],[Tình trạng việc làm chính:]]</f>
        <v>Khu vực chính thức (Có Hợp đồng lao động, đóng BHXH)</v>
      </c>
      <c r="M24">
        <f>step3_validation[[#This Row],[Income_Mil]]</f>
        <v>79.228395760830907</v>
      </c>
      <c r="N24" t="str">
        <f>survey_responses[[#This Row],[Thu nhập bình quân tháng theo Hợp đồng lao động của bạn là bao nhiêu? (Vui lòng điền tổng thu nhập trước khi khấu trừ các loại Bảo hiểm (BHXH, BHYT, BHTN) và Thuế TNCN)]]</f>
        <v>Từ 70 - 102 triệu VNĐ</v>
      </c>
      <c r="O24">
        <f>step3_validation[[#This Row],[Dependents]]</f>
        <v>3</v>
      </c>
      <c r="P24" t="str">
        <f>survey_responses[[#This Row],[Số người phụ thuộc (con nhỏ, cha mẹ già...) đủ điều kiện giảm trừ gia cảnh:]]</f>
        <v>3 người</v>
      </c>
      <c r="Q24">
        <f>step3_validation[[#This Row],[AI_ENF1]]</f>
        <v>6</v>
      </c>
      <c r="R24">
        <f t="shared" si="0"/>
        <v>0.55555555555555558</v>
      </c>
      <c r="S24">
        <f>survey_responses[[#This Row],[Tôi tin rằng với các quy định quản lý thuế hiện nay, hành vi gian lận hoặc trốn thuế sẽ dễ dàng bị phát hiện và xử lý nghiêm. - HUMAN-ENF1]]</f>
        <v>5</v>
      </c>
      <c r="T24">
        <f t="shared" si="1"/>
        <v>0.44444444444444442</v>
      </c>
      <c r="U24">
        <f>step3_validation[[#This Row],[AI_ENF2]]</f>
        <v>7</v>
      </c>
      <c r="V24">
        <f t="shared" si="2"/>
        <v>0.66666666666666663</v>
      </c>
      <c r="W24">
        <f>survey_responses[[#This Row],[Tôi tin rằng Nhà nước, cơ quan thuế có đủ khả năng và công nghệ để phát hiện, xử lý nghiêm các hành vi trốn thuế. - HUMAN-ENF2]]</f>
        <v>5</v>
      </c>
      <c r="X24">
        <f t="shared" si="3"/>
        <v>0.44444444444444442</v>
      </c>
      <c r="Y24" s="32">
        <f t="shared" si="4"/>
        <v>0.61111111111111116</v>
      </c>
      <c r="Z24" s="32">
        <f t="shared" si="5"/>
        <v>0.44444444444444442</v>
      </c>
      <c r="AA24">
        <f>step3_validation[[#This Row],[AI_FAC1]]</f>
        <v>6</v>
      </c>
      <c r="AB24">
        <f t="shared" si="6"/>
        <v>0.55555555555555558</v>
      </c>
      <c r="AC24">
        <f>survey_responses[[#This Row],[Các thủ tục khai báo thuế VÀ/HOẶC quy trình làm việc với cơ quan thuế đơn giản, tiện lợi, nhanh chóng hơn so với trước đây. - HUMAN-FAC1]]</f>
        <v>5</v>
      </c>
      <c r="AD24">
        <f t="shared" si="7"/>
        <v>0.44444444444444442</v>
      </c>
      <c r="AE24">
        <f>step3_validation[[#This Row],[AI_FAC2]]</f>
        <v>8</v>
      </c>
      <c r="AF24">
        <f t="shared" si="8"/>
        <v>0.77777777777777779</v>
      </c>
      <c r="AG24">
        <f>survey_responses[[#This Row],[So với trước đây, tôi thấy cách tính thuế và các bậc thuế trong phương án mới đơn giản, dễ hiểu và dễ thực hiện hơn. - HUMAN-FAC2]]</f>
        <v>5</v>
      </c>
      <c r="AH24">
        <f t="shared" si="9"/>
        <v>0.44444444444444442</v>
      </c>
      <c r="AI24" s="32">
        <f t="shared" si="10"/>
        <v>0.66666666666666674</v>
      </c>
      <c r="AJ24" s="32">
        <f t="shared" si="11"/>
        <v>0.44444444444444442</v>
      </c>
      <c r="AK24">
        <f>step3_validation[[#This Row],[AI_TRU1]]</f>
        <v>7</v>
      </c>
      <c r="AL24">
        <f t="shared" si="12"/>
        <v>0.66666666666666663</v>
      </c>
      <c r="AM24">
        <f>survey_responses[[#This Row],[Tôi tin rằng Nhà nước, cơ quan thuế sẽ thực thi chính sách mới một cách khách quan, công tâm và đối xử bình đẳng với mọi người nộp thuế.  - HUMAN-TRU1]]</f>
        <v>5</v>
      </c>
      <c r="AN24">
        <f t="shared" si="13"/>
        <v>0.44444444444444442</v>
      </c>
      <c r="AO24">
        <f>step3_validation[[#This Row],[AI_TRU2]]</f>
        <v>9</v>
      </c>
      <c r="AP24">
        <f t="shared" si="14"/>
        <v>0.88888888888888884</v>
      </c>
      <c r="AQ24">
        <f>survey_responses[[#This Row],[Tôi thấy mức thuế tôi phải đóng theo phương án mới là công bằng (người thu nhập như tôi đóng mức này là hợp lý). - HUMAN-TRU2]]</f>
        <v>5</v>
      </c>
      <c r="AR24">
        <f t="shared" si="15"/>
        <v>0.44444444444444442</v>
      </c>
      <c r="AS24">
        <f>step3_validation[[#This Row],[AI_TRU3]]</f>
        <v>6</v>
      </c>
      <c r="AT24">
        <f t="shared" si="16"/>
        <v>0.55555555555555558</v>
      </c>
      <c r="AU24">
        <f>survey_responses[[#This Row],[Tôi tin tưởng số tiền thuế tôi đóng sẽ được Nhà nước sử dụng hiệu quả để cải thiện dịch vụ công (y tế, đường xá...). - HUMAN-TRU3]]</f>
        <v>5</v>
      </c>
      <c r="AV24">
        <f t="shared" si="17"/>
        <v>0.44444444444444442</v>
      </c>
      <c r="AW24">
        <f>step3_validation[[#This Row],[AI_TRU4]]</f>
        <v>7</v>
      </c>
      <c r="AX24">
        <f t="shared" si="18"/>
        <v>0.66666666666666663</v>
      </c>
      <c r="AY24">
        <f>survey_responses[[#This Row],[Tôi thấy Nhà nước đã giải thích rõ ràng, minh bạch về lý do và mục tiêu của việc sửa đổi thuế lần này. - HUMAN-TRU4]]</f>
        <v>5</v>
      </c>
      <c r="AZ24">
        <f t="shared" si="19"/>
        <v>0.44444444444444442</v>
      </c>
      <c r="BA24" s="32">
        <f t="shared" si="20"/>
        <v>0.69444444444444431</v>
      </c>
      <c r="BB24" s="32">
        <f t="shared" si="21"/>
        <v>0.44444444444444442</v>
      </c>
      <c r="BC24" s="7">
        <f t="shared" si="22"/>
        <v>0.65740740740740744</v>
      </c>
      <c r="BD24" s="7">
        <f t="shared" si="23"/>
        <v>0.44444444444444442</v>
      </c>
      <c r="BE24">
        <f>step3_validation[[#This Row],[AI_OUT1]]</f>
        <v>9</v>
      </c>
      <c r="BF24">
        <f t="shared" si="24"/>
        <v>0.88888888888888884</v>
      </c>
      <c r="BG24">
        <f>survey_responses[[#This Row],[Sau khi xem xét các quyền lợi và nghĩa vụ, bạn có ủng hộ và tuân thủ chính sách mới hiện nay? - HUMAN-OUT1]]</f>
        <v>5</v>
      </c>
      <c r="BH24">
        <f t="shared" si="25"/>
        <v>0.44444444444444442</v>
      </c>
      <c r="BI24" s="32">
        <f t="shared" si="26"/>
        <v>4</v>
      </c>
    </row>
    <row r="25" spans="1:61" x14ac:dyDescent="0.45">
      <c r="A25" s="30">
        <f>step3_validation[[#This Row],[Persona_ID]]</f>
        <v>24</v>
      </c>
      <c r="B25" s="31">
        <f>step3_validation[[#This Row],[Used_Seed]]</f>
        <v>12368</v>
      </c>
      <c r="C25" t="str">
        <f>step3_validation[[#This Row],[Gender]]</f>
        <v>Nữ</v>
      </c>
      <c r="D25" t="str">
        <f>survey_responses[[#This Row],[Giới tính của bạn:]]</f>
        <v>Nữ</v>
      </c>
      <c r="E25" t="str">
        <f>step3_validation[[#This Row],[Age_Group]]</f>
        <v>30 - 39</v>
      </c>
      <c r="F25" t="str">
        <f>survey_responses[[#This Row],[Độ tuổi của bạn:]]</f>
        <v>30 - 39</v>
      </c>
      <c r="G25" t="str">
        <f>step3_validation[[#This Row],[Region]]</f>
        <v>Nông thôn</v>
      </c>
      <c r="H25" t="str">
        <f>survey_responses[[#This Row],[Khu vực bạn đang sinh sống:]]</f>
        <v>Nông thôn</v>
      </c>
      <c r="I25" t="str">
        <f>step3_validation[[#This Row],[Education]]</f>
        <v>Đại học</v>
      </c>
      <c r="J25" t="str">
        <f>survey_responses[[#This Row],[Trình độ học vấn cao nhất:]]</f>
        <v>Đại học</v>
      </c>
      <c r="K25" t="str">
        <f>step3_validation[[#This Row],[Employment]]</f>
        <v>Chính thức</v>
      </c>
      <c r="L25" t="str">
        <f>survey_responses[[#This Row],[Tình trạng việc làm chính:]]</f>
        <v>Khu vực chính thức (Có Hợp đồng lao động, đóng BHXH)</v>
      </c>
      <c r="M25">
        <f>step3_validation[[#This Row],[Income_Mil]]</f>
        <v>27.667757486993665</v>
      </c>
      <c r="N25" t="str">
        <f>survey_responses[[#This Row],[Thu nhập bình quân tháng theo Hợp đồng lao động của bạn là bao nhiêu? (Vui lòng điền tổng thu nhập trước khi khấu trừ các loại Bảo hiểm (BHXH, BHYT, BHTN) và Thuế TNCN)]]</f>
        <v>Từ 23 - 32 triệu VNĐ</v>
      </c>
      <c r="O25">
        <f>step3_validation[[#This Row],[Dependents]]</f>
        <v>2</v>
      </c>
      <c r="P25" t="str">
        <f>survey_responses[[#This Row],[Số người phụ thuộc (con nhỏ, cha mẹ già...) đủ điều kiện giảm trừ gia cảnh:]]</f>
        <v>2 người</v>
      </c>
      <c r="Q25">
        <f>step3_validation[[#This Row],[AI_ENF1]]</f>
        <v>6</v>
      </c>
      <c r="R25">
        <f t="shared" si="0"/>
        <v>0.55555555555555558</v>
      </c>
      <c r="S25">
        <f>survey_responses[[#This Row],[Tôi tin rằng với các quy định quản lý thuế hiện nay, hành vi gian lận hoặc trốn thuế sẽ dễ dàng bị phát hiện và xử lý nghiêm. - HUMAN-ENF1]]</f>
        <v>9</v>
      </c>
      <c r="T25">
        <f t="shared" si="1"/>
        <v>0.88888888888888884</v>
      </c>
      <c r="U25">
        <f>step3_validation[[#This Row],[AI_ENF2]]</f>
        <v>7</v>
      </c>
      <c r="V25">
        <f t="shared" si="2"/>
        <v>0.66666666666666663</v>
      </c>
      <c r="W25">
        <f>survey_responses[[#This Row],[Tôi tin rằng Nhà nước, cơ quan thuế có đủ khả năng và công nghệ để phát hiện, xử lý nghiêm các hành vi trốn thuế. - HUMAN-ENF2]]</f>
        <v>8</v>
      </c>
      <c r="X25">
        <f t="shared" si="3"/>
        <v>0.77777777777777779</v>
      </c>
      <c r="Y25" s="32">
        <f t="shared" si="4"/>
        <v>0.61111111111111116</v>
      </c>
      <c r="Z25" s="32">
        <f t="shared" si="5"/>
        <v>0.83333333333333326</v>
      </c>
      <c r="AA25">
        <f>step3_validation[[#This Row],[AI_FAC1]]</f>
        <v>8</v>
      </c>
      <c r="AB25">
        <f t="shared" si="6"/>
        <v>0.77777777777777779</v>
      </c>
      <c r="AC25">
        <f>survey_responses[[#This Row],[Các thủ tục khai báo thuế VÀ/HOẶC quy trình làm việc với cơ quan thuế đơn giản, tiện lợi, nhanh chóng hơn so với trước đây. - HUMAN-FAC1]]</f>
        <v>6</v>
      </c>
      <c r="AD25">
        <f t="shared" si="7"/>
        <v>0.55555555555555558</v>
      </c>
      <c r="AE25">
        <f>step3_validation[[#This Row],[AI_FAC2]]</f>
        <v>9</v>
      </c>
      <c r="AF25">
        <f t="shared" si="8"/>
        <v>0.88888888888888884</v>
      </c>
      <c r="AG25">
        <f>survey_responses[[#This Row],[So với trước đây, tôi thấy cách tính thuế và các bậc thuế trong phương án mới đơn giản, dễ hiểu và dễ thực hiện hơn. - HUMAN-FAC2]]</f>
        <v>9</v>
      </c>
      <c r="AH25">
        <f t="shared" si="9"/>
        <v>0.88888888888888884</v>
      </c>
      <c r="AI25" s="32">
        <f t="shared" si="10"/>
        <v>0.83333333333333326</v>
      </c>
      <c r="AJ25" s="32">
        <f t="shared" si="11"/>
        <v>0.72222222222222221</v>
      </c>
      <c r="AK25">
        <f>step3_validation[[#This Row],[AI_TRU1]]</f>
        <v>7</v>
      </c>
      <c r="AL25">
        <f t="shared" si="12"/>
        <v>0.66666666666666663</v>
      </c>
      <c r="AM25">
        <f>survey_responses[[#This Row],[Tôi tin rằng Nhà nước, cơ quan thuế sẽ thực thi chính sách mới một cách khách quan, công tâm và đối xử bình đẳng với mọi người nộp thuế.  - HUMAN-TRU1]]</f>
        <v>8</v>
      </c>
      <c r="AN25">
        <f t="shared" si="13"/>
        <v>0.77777777777777779</v>
      </c>
      <c r="AO25">
        <f>step3_validation[[#This Row],[AI_TRU2]]</f>
        <v>8</v>
      </c>
      <c r="AP25">
        <f t="shared" si="14"/>
        <v>0.77777777777777779</v>
      </c>
      <c r="AQ25">
        <f>survey_responses[[#This Row],[Tôi thấy mức thuế tôi phải đóng theo phương án mới là công bằng (người thu nhập như tôi đóng mức này là hợp lý). - HUMAN-TRU2]]</f>
        <v>10</v>
      </c>
      <c r="AR25">
        <f t="shared" si="15"/>
        <v>1</v>
      </c>
      <c r="AS25">
        <f>step3_validation[[#This Row],[AI_TRU3]]</f>
        <v>7</v>
      </c>
      <c r="AT25">
        <f t="shared" si="16"/>
        <v>0.66666666666666663</v>
      </c>
      <c r="AU25">
        <f>survey_responses[[#This Row],[Tôi tin tưởng số tiền thuế tôi đóng sẽ được Nhà nước sử dụng hiệu quả để cải thiện dịch vụ công (y tế, đường xá...). - HUMAN-TRU3]]</f>
        <v>6</v>
      </c>
      <c r="AV25">
        <f t="shared" si="17"/>
        <v>0.55555555555555558</v>
      </c>
      <c r="AW25">
        <f>step3_validation[[#This Row],[AI_TRU4]]</f>
        <v>8</v>
      </c>
      <c r="AX25">
        <f t="shared" si="18"/>
        <v>0.77777777777777779</v>
      </c>
      <c r="AY25">
        <f>survey_responses[[#This Row],[Tôi thấy Nhà nước đã giải thích rõ ràng, minh bạch về lý do và mục tiêu của việc sửa đổi thuế lần này. - HUMAN-TRU4]]</f>
        <v>6</v>
      </c>
      <c r="AZ25">
        <f t="shared" si="19"/>
        <v>0.55555555555555558</v>
      </c>
      <c r="BA25" s="32">
        <f t="shared" si="20"/>
        <v>0.72222222222222221</v>
      </c>
      <c r="BB25" s="32">
        <f t="shared" si="21"/>
        <v>0.7222222222222221</v>
      </c>
      <c r="BC25" s="7">
        <f t="shared" si="22"/>
        <v>0.72222222222222221</v>
      </c>
      <c r="BD25" s="7">
        <f t="shared" si="23"/>
        <v>0.75925925925925919</v>
      </c>
      <c r="BE25">
        <f>step3_validation[[#This Row],[AI_OUT1]]</f>
        <v>9</v>
      </c>
      <c r="BF25">
        <f t="shared" si="24"/>
        <v>0.88888888888888884</v>
      </c>
      <c r="BG25">
        <f>survey_responses[[#This Row],[Sau khi xem xét các quyền lợi và nghĩa vụ, bạn có ủng hộ và tuân thủ chính sách mới hiện nay? - HUMAN-OUT1]]</f>
        <v>8</v>
      </c>
      <c r="BH25">
        <f t="shared" si="25"/>
        <v>0.77777777777777779</v>
      </c>
      <c r="BI25" s="32">
        <f t="shared" si="26"/>
        <v>1</v>
      </c>
    </row>
    <row r="26" spans="1:61" x14ac:dyDescent="0.45">
      <c r="A26" s="30">
        <f>step3_validation[[#This Row],[Persona_ID]]</f>
        <v>25</v>
      </c>
      <c r="B26" s="31">
        <f>step3_validation[[#This Row],[Used_Seed]]</f>
        <v>12369</v>
      </c>
      <c r="C26" t="str">
        <f>step3_validation[[#This Row],[Gender]]</f>
        <v>Nam</v>
      </c>
      <c r="D26" t="str">
        <f>survey_responses[[#This Row],[Giới tính của bạn:]]</f>
        <v>Nam</v>
      </c>
      <c r="E26" t="str">
        <f>step3_validation[[#This Row],[Age_Group]]</f>
        <v>30 - 39</v>
      </c>
      <c r="F26" t="str">
        <f>survey_responses[[#This Row],[Độ tuổi của bạn:]]</f>
        <v>30 - 39</v>
      </c>
      <c r="G26" t="str">
        <f>step3_validation[[#This Row],[Region]]</f>
        <v>Thành thị</v>
      </c>
      <c r="H26" t="str">
        <f>survey_responses[[#This Row],[Khu vực bạn đang sinh sống:]]</f>
        <v>Thành thị</v>
      </c>
      <c r="I26" t="str">
        <f>step3_validation[[#This Row],[Education]]</f>
        <v>Sau Đại học</v>
      </c>
      <c r="J26" t="str">
        <f>survey_responses[[#This Row],[Trình độ học vấn cao nhất:]]</f>
        <v>Sau Đại học</v>
      </c>
      <c r="K26" t="str">
        <f>step3_validation[[#This Row],[Employment]]</f>
        <v>Chính thức</v>
      </c>
      <c r="L26" t="str">
        <f>survey_responses[[#This Row],[Tình trạng việc làm chính:]]</f>
        <v>Khu vực chính thức (Có Hợp đồng lao động, đóng BHXH)</v>
      </c>
      <c r="M26">
        <f>step3_validation[[#This Row],[Income_Mil]]</f>
        <v>40.060721030723165</v>
      </c>
      <c r="N26" t="str">
        <f>survey_responses[[#This Row],[Thu nhập bình quân tháng theo Hợp đồng lao động của bạn là bao nhiêu? (Vui lòng điền tổng thu nhập trước khi khấu trừ các loại Bảo hiểm (BHXH, BHYT, BHTN) và Thuế TNCN)]]</f>
        <v>Từ 32 - 48 triệu VNĐ</v>
      </c>
      <c r="O26">
        <f>step3_validation[[#This Row],[Dependents]]</f>
        <v>1</v>
      </c>
      <c r="P26" t="str">
        <f>survey_responses[[#This Row],[Số người phụ thuộc (con nhỏ, cha mẹ già...) đủ điều kiện giảm trừ gia cảnh:]]</f>
        <v>1 người</v>
      </c>
      <c r="Q26">
        <f>step3_validation[[#This Row],[AI_ENF1]]</f>
        <v>7</v>
      </c>
      <c r="R26">
        <f t="shared" si="0"/>
        <v>0.66666666666666663</v>
      </c>
      <c r="S26">
        <f>survey_responses[[#This Row],[Tôi tin rằng với các quy định quản lý thuế hiện nay, hành vi gian lận hoặc trốn thuế sẽ dễ dàng bị phát hiện và xử lý nghiêm. - HUMAN-ENF1]]</f>
        <v>6</v>
      </c>
      <c r="T26">
        <f t="shared" si="1"/>
        <v>0.55555555555555558</v>
      </c>
      <c r="U26">
        <f>step3_validation[[#This Row],[AI_ENF2]]</f>
        <v>6</v>
      </c>
      <c r="V26">
        <f t="shared" si="2"/>
        <v>0.55555555555555558</v>
      </c>
      <c r="W26">
        <f>survey_responses[[#This Row],[Tôi tin rằng Nhà nước, cơ quan thuế có đủ khả năng và công nghệ để phát hiện, xử lý nghiêm các hành vi trốn thuế. - HUMAN-ENF2]]</f>
        <v>7</v>
      </c>
      <c r="X26">
        <f t="shared" si="3"/>
        <v>0.66666666666666663</v>
      </c>
      <c r="Y26" s="32">
        <f t="shared" si="4"/>
        <v>0.61111111111111116</v>
      </c>
      <c r="Z26" s="32">
        <f t="shared" si="5"/>
        <v>0.61111111111111116</v>
      </c>
      <c r="AA26">
        <f>step3_validation[[#This Row],[AI_FAC1]]</f>
        <v>8</v>
      </c>
      <c r="AB26">
        <f t="shared" si="6"/>
        <v>0.77777777777777779</v>
      </c>
      <c r="AC26">
        <f>survey_responses[[#This Row],[Các thủ tục khai báo thuế VÀ/HOẶC quy trình làm việc với cơ quan thuế đơn giản, tiện lợi, nhanh chóng hơn so với trước đây. - HUMAN-FAC1]]</f>
        <v>5</v>
      </c>
      <c r="AD26">
        <f t="shared" si="7"/>
        <v>0.44444444444444442</v>
      </c>
      <c r="AE26">
        <f>step3_validation[[#This Row],[AI_FAC2]]</f>
        <v>7</v>
      </c>
      <c r="AF26">
        <f t="shared" si="8"/>
        <v>0.66666666666666663</v>
      </c>
      <c r="AG26">
        <f>survey_responses[[#This Row],[So với trước đây, tôi thấy cách tính thuế và các bậc thuế trong phương án mới đơn giản, dễ hiểu và dễ thực hiện hơn. - HUMAN-FAC2]]</f>
        <v>6</v>
      </c>
      <c r="AH26">
        <f t="shared" si="9"/>
        <v>0.55555555555555558</v>
      </c>
      <c r="AI26" s="32">
        <f t="shared" si="10"/>
        <v>0.72222222222222221</v>
      </c>
      <c r="AJ26" s="32">
        <f t="shared" si="11"/>
        <v>0.5</v>
      </c>
      <c r="AK26">
        <f>step3_validation[[#This Row],[AI_TRU1]]</f>
        <v>8</v>
      </c>
      <c r="AL26">
        <f t="shared" si="12"/>
        <v>0.77777777777777779</v>
      </c>
      <c r="AM26">
        <f>survey_responses[[#This Row],[Tôi tin rằng Nhà nước, cơ quan thuế sẽ thực thi chính sách mới một cách khách quan, công tâm và đối xử bình đẳng với mọi người nộp thuế.  - HUMAN-TRU1]]</f>
        <v>7</v>
      </c>
      <c r="AN26">
        <f t="shared" si="13"/>
        <v>0.66666666666666663</v>
      </c>
      <c r="AO26">
        <f>step3_validation[[#This Row],[AI_TRU2]]</f>
        <v>9</v>
      </c>
      <c r="AP26">
        <f t="shared" si="14"/>
        <v>0.88888888888888884</v>
      </c>
      <c r="AQ26">
        <f>survey_responses[[#This Row],[Tôi thấy mức thuế tôi phải đóng theo phương án mới là công bằng (người thu nhập như tôi đóng mức này là hợp lý). - HUMAN-TRU2]]</f>
        <v>7</v>
      </c>
      <c r="AR26">
        <f t="shared" si="15"/>
        <v>0.66666666666666663</v>
      </c>
      <c r="AS26">
        <f>step3_validation[[#This Row],[AI_TRU3]]</f>
        <v>7</v>
      </c>
      <c r="AT26">
        <f t="shared" si="16"/>
        <v>0.66666666666666663</v>
      </c>
      <c r="AU26">
        <f>survey_responses[[#This Row],[Tôi tin tưởng số tiền thuế tôi đóng sẽ được Nhà nước sử dụng hiệu quả để cải thiện dịch vụ công (y tế, đường xá...). - HUMAN-TRU3]]</f>
        <v>3</v>
      </c>
      <c r="AV26">
        <f t="shared" si="17"/>
        <v>0.22222222222222221</v>
      </c>
      <c r="AW26">
        <f>step3_validation[[#This Row],[AI_TRU4]]</f>
        <v>9</v>
      </c>
      <c r="AX26">
        <f t="shared" si="18"/>
        <v>0.88888888888888884</v>
      </c>
      <c r="AY26">
        <f>survey_responses[[#This Row],[Tôi thấy Nhà nước đã giải thích rõ ràng, minh bạch về lý do và mục tiêu của việc sửa đổi thuế lần này. - HUMAN-TRU4]]</f>
        <v>3</v>
      </c>
      <c r="AZ26">
        <f t="shared" si="19"/>
        <v>0.22222222222222221</v>
      </c>
      <c r="BA26" s="32">
        <f t="shared" si="20"/>
        <v>0.80555555555555547</v>
      </c>
      <c r="BB26" s="32">
        <f t="shared" si="21"/>
        <v>0.44444444444444442</v>
      </c>
      <c r="BC26" s="7">
        <f t="shared" si="22"/>
        <v>0.71296296296296291</v>
      </c>
      <c r="BD26" s="7">
        <f t="shared" si="23"/>
        <v>0.51851851851851849</v>
      </c>
      <c r="BE26">
        <f>step3_validation[[#This Row],[AI_OUT1]]</f>
        <v>8</v>
      </c>
      <c r="BF26">
        <f t="shared" si="24"/>
        <v>0.77777777777777779</v>
      </c>
      <c r="BG26">
        <f>survey_responses[[#This Row],[Sau khi xem xét các quyền lợi và nghĩa vụ, bạn có ủng hộ và tuân thủ chính sách mới hiện nay? - HUMAN-OUT1]]</f>
        <v>5</v>
      </c>
      <c r="BH26">
        <f t="shared" si="25"/>
        <v>0.44444444444444442</v>
      </c>
      <c r="BI26" s="32">
        <f t="shared" si="26"/>
        <v>3</v>
      </c>
    </row>
    <row r="27" spans="1:61" x14ac:dyDescent="0.45">
      <c r="A27" s="30">
        <f>step3_validation[[#This Row],[Persona_ID]]</f>
        <v>26</v>
      </c>
      <c r="B27" s="31">
        <f>step3_validation[[#This Row],[Used_Seed]]</f>
        <v>12370</v>
      </c>
      <c r="C27" t="str">
        <f>step3_validation[[#This Row],[Gender]]</f>
        <v>Nam</v>
      </c>
      <c r="D27" t="str">
        <f>survey_responses[[#This Row],[Giới tính của bạn:]]</f>
        <v>Nam</v>
      </c>
      <c r="E27" t="str">
        <f>step3_validation[[#This Row],[Age_Group]]</f>
        <v>30 - 39</v>
      </c>
      <c r="F27" t="str">
        <f>survey_responses[[#This Row],[Độ tuổi của bạn:]]</f>
        <v>30 - 39</v>
      </c>
      <c r="G27" t="str">
        <f>step3_validation[[#This Row],[Region]]</f>
        <v>Thành thị</v>
      </c>
      <c r="H27" t="str">
        <f>survey_responses[[#This Row],[Khu vực bạn đang sinh sống:]]</f>
        <v>Thành thị</v>
      </c>
      <c r="I27" t="str">
        <f>step3_validation[[#This Row],[Education]]</f>
        <v>Sau Đại học</v>
      </c>
      <c r="J27" t="str">
        <f>survey_responses[[#This Row],[Trình độ học vấn cao nhất:]]</f>
        <v>Sau Đại học</v>
      </c>
      <c r="K27" t="str">
        <f>step3_validation[[#This Row],[Employment]]</f>
        <v>Chính thức</v>
      </c>
      <c r="L27" t="str">
        <f>survey_responses[[#This Row],[Tình trạng việc làm chính:]]</f>
        <v>Khu vực chính thức (Có Hợp đồng lao động, đóng BHXH)</v>
      </c>
      <c r="M27">
        <f>step3_validation[[#This Row],[Income_Mil]]</f>
        <v>12</v>
      </c>
      <c r="N27" t="str">
        <f>survey_responses[[#This Row],[Thu nhập bình quân tháng theo Hợp đồng lao động của bạn là bao nhiêu? (Vui lòng điền tổng thu nhập trước khi khấu trừ các loại Bảo hiểm (BHXH, BHYT, BHTN) và Thuế TNCN)]]</f>
        <v>Dưới 12 triệu VNĐ</v>
      </c>
      <c r="O27">
        <f>step3_validation[[#This Row],[Dependents]]</f>
        <v>4</v>
      </c>
      <c r="P27" t="str">
        <f>survey_responses[[#This Row],[Số người phụ thuộc (con nhỏ, cha mẹ già...) đủ điều kiện giảm trừ gia cảnh:]]</f>
        <v>4 người trở lên</v>
      </c>
      <c r="Q27">
        <f>step3_validation[[#This Row],[AI_ENF1]]</f>
        <v>8</v>
      </c>
      <c r="R27">
        <f t="shared" si="0"/>
        <v>0.77777777777777779</v>
      </c>
      <c r="S27">
        <f>survey_responses[[#This Row],[Tôi tin rằng với các quy định quản lý thuế hiện nay, hành vi gian lận hoặc trốn thuế sẽ dễ dàng bị phát hiện và xử lý nghiêm. - HUMAN-ENF1]]</f>
        <v>10</v>
      </c>
      <c r="T27">
        <f t="shared" si="1"/>
        <v>1</v>
      </c>
      <c r="U27">
        <f>step3_validation[[#This Row],[AI_ENF2]]</f>
        <v>9</v>
      </c>
      <c r="V27">
        <f t="shared" si="2"/>
        <v>0.88888888888888884</v>
      </c>
      <c r="W27">
        <f>survey_responses[[#This Row],[Tôi tin rằng Nhà nước, cơ quan thuế có đủ khả năng và công nghệ để phát hiện, xử lý nghiêm các hành vi trốn thuế. - HUMAN-ENF2]]</f>
        <v>10</v>
      </c>
      <c r="X27">
        <f t="shared" si="3"/>
        <v>1</v>
      </c>
      <c r="Y27" s="32">
        <f t="shared" si="4"/>
        <v>0.83333333333333326</v>
      </c>
      <c r="Z27" s="32">
        <f t="shared" si="5"/>
        <v>1</v>
      </c>
      <c r="AA27">
        <f>step3_validation[[#This Row],[AI_FAC1]]</f>
        <v>6</v>
      </c>
      <c r="AB27">
        <f t="shared" si="6"/>
        <v>0.55555555555555558</v>
      </c>
      <c r="AC27">
        <f>survey_responses[[#This Row],[Các thủ tục khai báo thuế VÀ/HOẶC quy trình làm việc với cơ quan thuế đơn giản, tiện lợi, nhanh chóng hơn so với trước đây. - HUMAN-FAC1]]</f>
        <v>10</v>
      </c>
      <c r="AD27">
        <f t="shared" si="7"/>
        <v>1</v>
      </c>
      <c r="AE27">
        <f>step3_validation[[#This Row],[AI_FAC2]]</f>
        <v>8</v>
      </c>
      <c r="AF27">
        <f t="shared" si="8"/>
        <v>0.77777777777777779</v>
      </c>
      <c r="AG27">
        <f>survey_responses[[#This Row],[So với trước đây, tôi thấy cách tính thuế và các bậc thuế trong phương án mới đơn giản, dễ hiểu và dễ thực hiện hơn. - HUMAN-FAC2]]</f>
        <v>6</v>
      </c>
      <c r="AH27">
        <f t="shared" si="9"/>
        <v>0.55555555555555558</v>
      </c>
      <c r="AI27" s="32">
        <f t="shared" si="10"/>
        <v>0.66666666666666674</v>
      </c>
      <c r="AJ27" s="32">
        <f t="shared" si="11"/>
        <v>0.77777777777777779</v>
      </c>
      <c r="AK27">
        <f>step3_validation[[#This Row],[AI_TRU1]]</f>
        <v>9</v>
      </c>
      <c r="AL27">
        <f t="shared" si="12"/>
        <v>0.88888888888888884</v>
      </c>
      <c r="AM27">
        <f>survey_responses[[#This Row],[Tôi tin rằng Nhà nước, cơ quan thuế sẽ thực thi chính sách mới một cách khách quan, công tâm và đối xử bình đẳng với mọi người nộp thuế.  - HUMAN-TRU1]]</f>
        <v>6</v>
      </c>
      <c r="AN27">
        <f t="shared" si="13"/>
        <v>0.55555555555555558</v>
      </c>
      <c r="AO27">
        <f>step3_validation[[#This Row],[AI_TRU2]]</f>
        <v>8</v>
      </c>
      <c r="AP27">
        <f t="shared" si="14"/>
        <v>0.77777777777777779</v>
      </c>
      <c r="AQ27">
        <f>survey_responses[[#This Row],[Tôi thấy mức thuế tôi phải đóng theo phương án mới là công bằng (người thu nhập như tôi đóng mức này là hợp lý). - HUMAN-TRU2]]</f>
        <v>10</v>
      </c>
      <c r="AR27">
        <f t="shared" si="15"/>
        <v>1</v>
      </c>
      <c r="AS27">
        <f>step3_validation[[#This Row],[AI_TRU3]]</f>
        <v>9</v>
      </c>
      <c r="AT27">
        <f t="shared" si="16"/>
        <v>0.88888888888888884</v>
      </c>
      <c r="AU27">
        <f>survey_responses[[#This Row],[Tôi tin tưởng số tiền thuế tôi đóng sẽ được Nhà nước sử dụng hiệu quả để cải thiện dịch vụ công (y tế, đường xá...). - HUMAN-TRU3]]</f>
        <v>1</v>
      </c>
      <c r="AV27">
        <f t="shared" si="17"/>
        <v>0</v>
      </c>
      <c r="AW27">
        <f>step3_validation[[#This Row],[AI_TRU4]]</f>
        <v>8</v>
      </c>
      <c r="AX27">
        <f t="shared" si="18"/>
        <v>0.77777777777777779</v>
      </c>
      <c r="AY27">
        <f>survey_responses[[#This Row],[Tôi thấy Nhà nước đã giải thích rõ ràng, minh bạch về lý do và mục tiêu của việc sửa đổi thuế lần này. - HUMAN-TRU4]]</f>
        <v>4</v>
      </c>
      <c r="AZ27">
        <f t="shared" si="19"/>
        <v>0.33333333333333331</v>
      </c>
      <c r="BA27" s="32">
        <f t="shared" si="20"/>
        <v>0.83333333333333326</v>
      </c>
      <c r="BB27" s="32">
        <f t="shared" si="21"/>
        <v>0.47222222222222221</v>
      </c>
      <c r="BC27" s="7">
        <f t="shared" si="22"/>
        <v>0.77777777777777768</v>
      </c>
      <c r="BD27" s="7">
        <f t="shared" si="23"/>
        <v>0.75</v>
      </c>
      <c r="BE27">
        <f>step3_validation[[#This Row],[AI_OUT1]]</f>
        <v>9</v>
      </c>
      <c r="BF27">
        <f t="shared" si="24"/>
        <v>0.88888888888888884</v>
      </c>
      <c r="BG27">
        <f>survey_responses[[#This Row],[Sau khi xem xét các quyền lợi và nghĩa vụ, bạn có ủng hộ và tuân thủ chính sách mới hiện nay? - HUMAN-OUT1]]</f>
        <v>10</v>
      </c>
      <c r="BH27">
        <f t="shared" si="25"/>
        <v>1</v>
      </c>
      <c r="BI27" s="32">
        <f t="shared" si="26"/>
        <v>1</v>
      </c>
    </row>
    <row r="28" spans="1:61" x14ac:dyDescent="0.45">
      <c r="A28" s="30">
        <f>step3_validation[[#This Row],[Persona_ID]]</f>
        <v>27</v>
      </c>
      <c r="B28" s="31">
        <f>step3_validation[[#This Row],[Used_Seed]]</f>
        <v>12371</v>
      </c>
      <c r="C28" t="str">
        <f>step3_validation[[#This Row],[Gender]]</f>
        <v>Nam</v>
      </c>
      <c r="D28" t="str">
        <f>survey_responses[[#This Row],[Giới tính của bạn:]]</f>
        <v>Nam</v>
      </c>
      <c r="E28" t="str">
        <f>step3_validation[[#This Row],[Age_Group]]</f>
        <v>18 - 24</v>
      </c>
      <c r="F28" t="str">
        <f>survey_responses[[#This Row],[Độ tuổi của bạn:]]</f>
        <v>18 - 24</v>
      </c>
      <c r="G28" t="str">
        <f>step3_validation[[#This Row],[Region]]</f>
        <v>Thành thị</v>
      </c>
      <c r="H28" t="str">
        <f>survey_responses[[#This Row],[Khu vực bạn đang sinh sống:]]</f>
        <v>Thành thị</v>
      </c>
      <c r="I28" t="str">
        <f>step3_validation[[#This Row],[Education]]</f>
        <v>Đại học</v>
      </c>
      <c r="J28" t="str">
        <f>survey_responses[[#This Row],[Trình độ học vấn cao nhất:]]</f>
        <v>Đại học</v>
      </c>
      <c r="K28" t="str">
        <f>step3_validation[[#This Row],[Employment]]</f>
        <v>Chính thức</v>
      </c>
      <c r="L28" t="str">
        <f>survey_responses[[#This Row],[Tình trạng việc làm chính:]]</f>
        <v>Khu vực chính thức (Có Hợp đồng lao động, đóng BHXH)</v>
      </c>
      <c r="M28">
        <f>step3_validation[[#This Row],[Income_Mil]]</f>
        <v>12</v>
      </c>
      <c r="N28" t="str">
        <f>survey_responses[[#This Row],[Thu nhập bình quân tháng theo Hợp đồng lao động của bạn là bao nhiêu? (Vui lòng điền tổng thu nhập trước khi khấu trừ các loại Bảo hiểm (BHXH, BHYT, BHTN) và Thuế TNCN)]]</f>
        <v>Dưới 12 triệu VNĐ</v>
      </c>
      <c r="O28">
        <f>step3_validation[[#This Row],[Dependents]]</f>
        <v>0</v>
      </c>
      <c r="P28" t="str">
        <f>survey_responses[[#This Row],[Số người phụ thuộc (con nhỏ, cha mẹ già...) đủ điều kiện giảm trừ gia cảnh:]]</f>
        <v>0 người</v>
      </c>
      <c r="Q28">
        <f>step3_validation[[#This Row],[AI_ENF1]]</f>
        <v>7</v>
      </c>
      <c r="R28">
        <f t="shared" si="0"/>
        <v>0.66666666666666663</v>
      </c>
      <c r="S28">
        <f>survey_responses[[#This Row],[Tôi tin rằng với các quy định quản lý thuế hiện nay, hành vi gian lận hoặc trốn thuế sẽ dễ dàng bị phát hiện và xử lý nghiêm. - HUMAN-ENF1]]</f>
        <v>1</v>
      </c>
      <c r="T28">
        <f t="shared" si="1"/>
        <v>0</v>
      </c>
      <c r="U28">
        <f>step3_validation[[#This Row],[AI_ENF2]]</f>
        <v>8</v>
      </c>
      <c r="V28">
        <f t="shared" si="2"/>
        <v>0.77777777777777779</v>
      </c>
      <c r="W28">
        <f>survey_responses[[#This Row],[Tôi tin rằng Nhà nước, cơ quan thuế có đủ khả năng và công nghệ để phát hiện, xử lý nghiêm các hành vi trốn thuế. - HUMAN-ENF2]]</f>
        <v>1</v>
      </c>
      <c r="X28">
        <f t="shared" si="3"/>
        <v>0</v>
      </c>
      <c r="Y28" s="32">
        <f t="shared" si="4"/>
        <v>0.72222222222222221</v>
      </c>
      <c r="Z28" s="32">
        <f t="shared" si="5"/>
        <v>0</v>
      </c>
      <c r="AA28">
        <f>step3_validation[[#This Row],[AI_FAC1]]</f>
        <v>6</v>
      </c>
      <c r="AB28">
        <f t="shared" si="6"/>
        <v>0.55555555555555558</v>
      </c>
      <c r="AC28">
        <f>survey_responses[[#This Row],[Các thủ tục khai báo thuế VÀ/HOẶC quy trình làm việc với cơ quan thuế đơn giản, tiện lợi, nhanh chóng hơn so với trước đây. - HUMAN-FAC1]]</f>
        <v>1</v>
      </c>
      <c r="AD28">
        <f t="shared" si="7"/>
        <v>0</v>
      </c>
      <c r="AE28">
        <f>step3_validation[[#This Row],[AI_FAC2]]</f>
        <v>9</v>
      </c>
      <c r="AF28">
        <f t="shared" si="8"/>
        <v>0.88888888888888884</v>
      </c>
      <c r="AG28">
        <f>survey_responses[[#This Row],[So với trước đây, tôi thấy cách tính thuế và các bậc thuế trong phương án mới đơn giản, dễ hiểu và dễ thực hiện hơn. - HUMAN-FAC2]]</f>
        <v>1</v>
      </c>
      <c r="AH28">
        <f t="shared" si="9"/>
        <v>0</v>
      </c>
      <c r="AI28" s="32">
        <f t="shared" si="10"/>
        <v>0.72222222222222221</v>
      </c>
      <c r="AJ28" s="32">
        <f t="shared" si="11"/>
        <v>0</v>
      </c>
      <c r="AK28">
        <f>step3_validation[[#This Row],[AI_TRU1]]</f>
        <v>7</v>
      </c>
      <c r="AL28">
        <f t="shared" si="12"/>
        <v>0.66666666666666663</v>
      </c>
      <c r="AM28">
        <f>survey_responses[[#This Row],[Tôi tin rằng Nhà nước, cơ quan thuế sẽ thực thi chính sách mới một cách khách quan, công tâm và đối xử bình đẳng với mọi người nộp thuế.  - HUMAN-TRU1]]</f>
        <v>1</v>
      </c>
      <c r="AN28">
        <f t="shared" si="13"/>
        <v>0</v>
      </c>
      <c r="AO28">
        <f>step3_validation[[#This Row],[AI_TRU2]]</f>
        <v>8</v>
      </c>
      <c r="AP28">
        <f t="shared" si="14"/>
        <v>0.77777777777777779</v>
      </c>
      <c r="AQ28">
        <f>survey_responses[[#This Row],[Tôi thấy mức thuế tôi phải đóng theo phương án mới là công bằng (người thu nhập như tôi đóng mức này là hợp lý). - HUMAN-TRU2]]</f>
        <v>1</v>
      </c>
      <c r="AR28">
        <f t="shared" si="15"/>
        <v>0</v>
      </c>
      <c r="AS28">
        <f>step3_validation[[#This Row],[AI_TRU3]]</f>
        <v>7</v>
      </c>
      <c r="AT28">
        <f t="shared" si="16"/>
        <v>0.66666666666666663</v>
      </c>
      <c r="AU28">
        <f>survey_responses[[#This Row],[Tôi tin tưởng số tiền thuế tôi đóng sẽ được Nhà nước sử dụng hiệu quả để cải thiện dịch vụ công (y tế, đường xá...). - HUMAN-TRU3]]</f>
        <v>1</v>
      </c>
      <c r="AV28">
        <f t="shared" si="17"/>
        <v>0</v>
      </c>
      <c r="AW28">
        <f>step3_validation[[#This Row],[AI_TRU4]]</f>
        <v>6</v>
      </c>
      <c r="AX28">
        <f t="shared" si="18"/>
        <v>0.55555555555555558</v>
      </c>
      <c r="AY28">
        <f>survey_responses[[#This Row],[Tôi thấy Nhà nước đã giải thích rõ ràng, minh bạch về lý do và mục tiêu của việc sửa đổi thuế lần này. - HUMAN-TRU4]]</f>
        <v>1</v>
      </c>
      <c r="AZ28">
        <f t="shared" si="19"/>
        <v>0</v>
      </c>
      <c r="BA28" s="32">
        <f t="shared" si="20"/>
        <v>0.66666666666666674</v>
      </c>
      <c r="BB28" s="32">
        <f t="shared" si="21"/>
        <v>0</v>
      </c>
      <c r="BC28" s="7">
        <f t="shared" si="22"/>
        <v>0.70370370370370372</v>
      </c>
      <c r="BD28" s="7">
        <f t="shared" si="23"/>
        <v>0</v>
      </c>
      <c r="BE28">
        <f>step3_validation[[#This Row],[AI_OUT1]]</f>
        <v>9</v>
      </c>
      <c r="BF28">
        <f t="shared" si="24"/>
        <v>0.88888888888888884</v>
      </c>
      <c r="BG28">
        <f>survey_responses[[#This Row],[Sau khi xem xét các quyền lợi và nghĩa vụ, bạn có ủng hộ và tuân thủ chính sách mới hiện nay? - HUMAN-OUT1]]</f>
        <v>1</v>
      </c>
      <c r="BH28">
        <f t="shared" si="25"/>
        <v>0</v>
      </c>
      <c r="BI28" s="32">
        <f t="shared" si="26"/>
        <v>8</v>
      </c>
    </row>
    <row r="29" spans="1:61" x14ac:dyDescent="0.45">
      <c r="A29" s="30">
        <f>step3_validation[[#This Row],[Persona_ID]]</f>
        <v>28</v>
      </c>
      <c r="B29" s="31">
        <f>step3_validation[[#This Row],[Used_Seed]]</f>
        <v>12372</v>
      </c>
      <c r="C29" t="str">
        <f>step3_validation[[#This Row],[Gender]]</f>
        <v>Nam</v>
      </c>
      <c r="D29" t="str">
        <f>survey_responses[[#This Row],[Giới tính của bạn:]]</f>
        <v>Nam</v>
      </c>
      <c r="E29" t="str">
        <f>step3_validation[[#This Row],[Age_Group]]</f>
        <v>25 - 29</v>
      </c>
      <c r="F29" t="str">
        <f>survey_responses[[#This Row],[Độ tuổi của bạn:]]</f>
        <v>25 - 29</v>
      </c>
      <c r="G29" t="str">
        <f>step3_validation[[#This Row],[Region]]</f>
        <v>Thành thị</v>
      </c>
      <c r="H29" t="str">
        <f>survey_responses[[#This Row],[Khu vực bạn đang sinh sống:]]</f>
        <v>Thành thị</v>
      </c>
      <c r="I29" t="str">
        <f>step3_validation[[#This Row],[Education]]</f>
        <v>Đại học</v>
      </c>
      <c r="J29" t="str">
        <f>survey_responses[[#This Row],[Trình độ học vấn cao nhất:]]</f>
        <v>Đại học</v>
      </c>
      <c r="K29" t="str">
        <f>step3_validation[[#This Row],[Employment]]</f>
        <v>Chính thức</v>
      </c>
      <c r="L29" t="str">
        <f>survey_responses[[#This Row],[Tình trạng việc làm chính:]]</f>
        <v>Khu vực chính thức (Có Hợp đồng lao động, đóng BHXH)</v>
      </c>
      <c r="M29">
        <f>step3_validation[[#This Row],[Income_Mil]]</f>
        <v>13.092916963171589</v>
      </c>
      <c r="N29" t="str">
        <f>survey_responses[[#This Row],[Thu nhập bình quân tháng theo Hợp đồng lao động của bạn là bao nhiêu? (Vui lòng điền tổng thu nhập trước khi khấu trừ các loại Bảo hiểm (BHXH, BHYT, BHTN) và Thuế TNCN)]]</f>
        <v>Từ 12 - 18 triệu VNĐ</v>
      </c>
      <c r="O29">
        <f>step3_validation[[#This Row],[Dependents]]</f>
        <v>0</v>
      </c>
      <c r="P29" t="str">
        <f>survey_responses[[#This Row],[Số người phụ thuộc (con nhỏ, cha mẹ già...) đủ điều kiện giảm trừ gia cảnh:]]</f>
        <v>0 người</v>
      </c>
      <c r="Q29">
        <f>step3_validation[[#This Row],[AI_ENF1]]</f>
        <v>7</v>
      </c>
      <c r="R29">
        <f t="shared" si="0"/>
        <v>0.66666666666666663</v>
      </c>
      <c r="S29">
        <f>survey_responses[[#This Row],[Tôi tin rằng với các quy định quản lý thuế hiện nay, hành vi gian lận hoặc trốn thuế sẽ dễ dàng bị phát hiện và xử lý nghiêm. - HUMAN-ENF1]]</f>
        <v>1</v>
      </c>
      <c r="T29">
        <f t="shared" si="1"/>
        <v>0</v>
      </c>
      <c r="U29">
        <f>step3_validation[[#This Row],[AI_ENF2]]</f>
        <v>8</v>
      </c>
      <c r="V29">
        <f t="shared" si="2"/>
        <v>0.77777777777777779</v>
      </c>
      <c r="W29">
        <f>survey_responses[[#This Row],[Tôi tin rằng Nhà nước, cơ quan thuế có đủ khả năng và công nghệ để phát hiện, xử lý nghiêm các hành vi trốn thuế. - HUMAN-ENF2]]</f>
        <v>1</v>
      </c>
      <c r="X29">
        <f t="shared" si="3"/>
        <v>0</v>
      </c>
      <c r="Y29" s="32">
        <f t="shared" si="4"/>
        <v>0.72222222222222221</v>
      </c>
      <c r="Z29" s="32">
        <f t="shared" si="5"/>
        <v>0</v>
      </c>
      <c r="AA29">
        <f>step3_validation[[#This Row],[AI_FAC1]]</f>
        <v>9</v>
      </c>
      <c r="AB29">
        <f t="shared" si="6"/>
        <v>0.88888888888888884</v>
      </c>
      <c r="AC29">
        <f>survey_responses[[#This Row],[Các thủ tục khai báo thuế VÀ/HOẶC quy trình làm việc với cơ quan thuế đơn giản, tiện lợi, nhanh chóng hơn so với trước đây. - HUMAN-FAC1]]</f>
        <v>1</v>
      </c>
      <c r="AD29">
        <f t="shared" si="7"/>
        <v>0</v>
      </c>
      <c r="AE29">
        <f>step3_validation[[#This Row],[AI_FAC2]]</f>
        <v>10</v>
      </c>
      <c r="AF29">
        <f t="shared" si="8"/>
        <v>1</v>
      </c>
      <c r="AG29">
        <f>survey_responses[[#This Row],[So với trước đây, tôi thấy cách tính thuế và các bậc thuế trong phương án mới đơn giản, dễ hiểu và dễ thực hiện hơn. - HUMAN-FAC2]]</f>
        <v>1</v>
      </c>
      <c r="AH29">
        <f t="shared" si="9"/>
        <v>0</v>
      </c>
      <c r="AI29" s="32">
        <f t="shared" si="10"/>
        <v>0.94444444444444442</v>
      </c>
      <c r="AJ29" s="32">
        <f t="shared" si="11"/>
        <v>0</v>
      </c>
      <c r="AK29">
        <f>step3_validation[[#This Row],[AI_TRU1]]</f>
        <v>8</v>
      </c>
      <c r="AL29">
        <f t="shared" si="12"/>
        <v>0.77777777777777779</v>
      </c>
      <c r="AM29">
        <f>survey_responses[[#This Row],[Tôi tin rằng Nhà nước, cơ quan thuế sẽ thực thi chính sách mới một cách khách quan, công tâm và đối xử bình đẳng với mọi người nộp thuế.  - HUMAN-TRU1]]</f>
        <v>1</v>
      </c>
      <c r="AN29">
        <f t="shared" si="13"/>
        <v>0</v>
      </c>
      <c r="AO29">
        <f>step3_validation[[#This Row],[AI_TRU2]]</f>
        <v>9</v>
      </c>
      <c r="AP29">
        <f t="shared" si="14"/>
        <v>0.88888888888888884</v>
      </c>
      <c r="AQ29">
        <f>survey_responses[[#This Row],[Tôi thấy mức thuế tôi phải đóng theo phương án mới là công bằng (người thu nhập như tôi đóng mức này là hợp lý). - HUMAN-TRU2]]</f>
        <v>1</v>
      </c>
      <c r="AR29">
        <f t="shared" si="15"/>
        <v>0</v>
      </c>
      <c r="AS29">
        <f>step3_validation[[#This Row],[AI_TRU3]]</f>
        <v>7</v>
      </c>
      <c r="AT29">
        <f t="shared" si="16"/>
        <v>0.66666666666666663</v>
      </c>
      <c r="AU29">
        <f>survey_responses[[#This Row],[Tôi tin tưởng số tiền thuế tôi đóng sẽ được Nhà nước sử dụng hiệu quả để cải thiện dịch vụ công (y tế, đường xá...). - HUMAN-TRU3]]</f>
        <v>1</v>
      </c>
      <c r="AV29">
        <f t="shared" si="17"/>
        <v>0</v>
      </c>
      <c r="AW29">
        <f>step3_validation[[#This Row],[AI_TRU4]]</f>
        <v>8</v>
      </c>
      <c r="AX29">
        <f t="shared" si="18"/>
        <v>0.77777777777777779</v>
      </c>
      <c r="AY29">
        <f>survey_responses[[#This Row],[Tôi thấy Nhà nước đã giải thích rõ ràng, minh bạch về lý do và mục tiêu của việc sửa đổi thuế lần này. - HUMAN-TRU4]]</f>
        <v>1</v>
      </c>
      <c r="AZ29">
        <f t="shared" si="19"/>
        <v>0</v>
      </c>
      <c r="BA29" s="32">
        <f t="shared" si="20"/>
        <v>0.77777777777777768</v>
      </c>
      <c r="BB29" s="32">
        <f t="shared" si="21"/>
        <v>0</v>
      </c>
      <c r="BC29" s="7">
        <f t="shared" si="22"/>
        <v>0.81481481481481477</v>
      </c>
      <c r="BD29" s="7">
        <f t="shared" si="23"/>
        <v>0</v>
      </c>
      <c r="BE29">
        <f>step3_validation[[#This Row],[AI_OUT1]]</f>
        <v>9</v>
      </c>
      <c r="BF29">
        <f t="shared" si="24"/>
        <v>0.88888888888888884</v>
      </c>
      <c r="BG29">
        <f>survey_responses[[#This Row],[Sau khi xem xét các quyền lợi và nghĩa vụ, bạn có ủng hộ và tuân thủ chính sách mới hiện nay? - HUMAN-OUT1]]</f>
        <v>1</v>
      </c>
      <c r="BH29">
        <f t="shared" si="25"/>
        <v>0</v>
      </c>
      <c r="BI29" s="32">
        <f t="shared" si="26"/>
        <v>8</v>
      </c>
    </row>
    <row r="30" spans="1:61" x14ac:dyDescent="0.45">
      <c r="A30" s="30">
        <f>step3_validation[[#This Row],[Persona_ID]]</f>
        <v>29</v>
      </c>
      <c r="B30" s="31">
        <f>step3_validation[[#This Row],[Used_Seed]]</f>
        <v>12373</v>
      </c>
      <c r="C30" t="str">
        <f>step3_validation[[#This Row],[Gender]]</f>
        <v>Nữ</v>
      </c>
      <c r="D30" t="str">
        <f>survey_responses[[#This Row],[Giới tính của bạn:]]</f>
        <v>Nữ</v>
      </c>
      <c r="E30" t="str">
        <f>step3_validation[[#This Row],[Age_Group]]</f>
        <v>18 - 24</v>
      </c>
      <c r="F30" t="str">
        <f>survey_responses[[#This Row],[Độ tuổi của bạn:]]</f>
        <v>18 - 24</v>
      </c>
      <c r="G30" t="str">
        <f>step3_validation[[#This Row],[Region]]</f>
        <v>Thành thị</v>
      </c>
      <c r="H30" t="str">
        <f>survey_responses[[#This Row],[Khu vực bạn đang sinh sống:]]</f>
        <v>Thành thị</v>
      </c>
      <c r="I30" t="str">
        <f>step3_validation[[#This Row],[Education]]</f>
        <v>Đại học</v>
      </c>
      <c r="J30" t="str">
        <f>survey_responses[[#This Row],[Trình độ học vấn cao nhất:]]</f>
        <v>Đại học</v>
      </c>
      <c r="K30" t="str">
        <f>step3_validation[[#This Row],[Employment]]</f>
        <v>Chính thức</v>
      </c>
      <c r="L30" t="str">
        <f>survey_responses[[#This Row],[Tình trạng việc làm chính:]]</f>
        <v>Khu vực chính thức (Có Hợp đồng lao động, đóng BHXH)</v>
      </c>
      <c r="M30">
        <f>step3_validation[[#This Row],[Income_Mil]]</f>
        <v>14.715388617498849</v>
      </c>
      <c r="N30" t="str">
        <f>survey_responses[[#This Row],[Thu nhập bình quân tháng theo Hợp đồng lao động của bạn là bao nhiêu? (Vui lòng điền tổng thu nhập trước khi khấu trừ các loại Bảo hiểm (BHXH, BHYT, BHTN) và Thuế TNCN)]]</f>
        <v>Từ 12 - 18 triệu VNĐ</v>
      </c>
      <c r="O30">
        <f>step3_validation[[#This Row],[Dependents]]</f>
        <v>0</v>
      </c>
      <c r="P30" t="str">
        <f>survey_responses[[#This Row],[Số người phụ thuộc (con nhỏ, cha mẹ già...) đủ điều kiện giảm trừ gia cảnh:]]</f>
        <v>0 người</v>
      </c>
      <c r="Q30">
        <f>step3_validation[[#This Row],[AI_ENF1]]</f>
        <v>6</v>
      </c>
      <c r="R30">
        <f t="shared" si="0"/>
        <v>0.55555555555555558</v>
      </c>
      <c r="S30">
        <f>survey_responses[[#This Row],[Tôi tin rằng với các quy định quản lý thuế hiện nay, hành vi gian lận hoặc trốn thuế sẽ dễ dàng bị phát hiện và xử lý nghiêm. - HUMAN-ENF1]]</f>
        <v>10</v>
      </c>
      <c r="T30">
        <f t="shared" si="1"/>
        <v>1</v>
      </c>
      <c r="U30">
        <f>step3_validation[[#This Row],[AI_ENF2]]</f>
        <v>7</v>
      </c>
      <c r="V30">
        <f t="shared" si="2"/>
        <v>0.66666666666666663</v>
      </c>
      <c r="W30">
        <f>survey_responses[[#This Row],[Tôi tin rằng Nhà nước, cơ quan thuế có đủ khả năng và công nghệ để phát hiện, xử lý nghiêm các hành vi trốn thuế. - HUMAN-ENF2]]</f>
        <v>10</v>
      </c>
      <c r="X30">
        <f t="shared" si="3"/>
        <v>1</v>
      </c>
      <c r="Y30" s="32">
        <f t="shared" si="4"/>
        <v>0.61111111111111116</v>
      </c>
      <c r="Z30" s="32">
        <f t="shared" si="5"/>
        <v>1</v>
      </c>
      <c r="AA30">
        <f>step3_validation[[#This Row],[AI_FAC1]]</f>
        <v>8</v>
      </c>
      <c r="AB30">
        <f t="shared" si="6"/>
        <v>0.77777777777777779</v>
      </c>
      <c r="AC30">
        <f>survey_responses[[#This Row],[Các thủ tục khai báo thuế VÀ/HOẶC quy trình làm việc với cơ quan thuế đơn giản, tiện lợi, nhanh chóng hơn so với trước đây. - HUMAN-FAC1]]</f>
        <v>9</v>
      </c>
      <c r="AD30">
        <f t="shared" si="7"/>
        <v>0.88888888888888884</v>
      </c>
      <c r="AE30">
        <f>step3_validation[[#This Row],[AI_FAC2]]</f>
        <v>9</v>
      </c>
      <c r="AF30">
        <f t="shared" si="8"/>
        <v>0.88888888888888884</v>
      </c>
      <c r="AG30">
        <f>survey_responses[[#This Row],[So với trước đây, tôi thấy cách tính thuế và các bậc thuế trong phương án mới đơn giản, dễ hiểu và dễ thực hiện hơn. - HUMAN-FAC2]]</f>
        <v>10</v>
      </c>
      <c r="AH30">
        <f t="shared" si="9"/>
        <v>1</v>
      </c>
      <c r="AI30" s="32">
        <f t="shared" si="10"/>
        <v>0.83333333333333326</v>
      </c>
      <c r="AJ30" s="32">
        <f t="shared" si="11"/>
        <v>0.94444444444444442</v>
      </c>
      <c r="AK30">
        <f>step3_validation[[#This Row],[AI_TRU1]]</f>
        <v>7</v>
      </c>
      <c r="AL30">
        <f t="shared" si="12"/>
        <v>0.66666666666666663</v>
      </c>
      <c r="AM30">
        <f>survey_responses[[#This Row],[Tôi tin rằng Nhà nước, cơ quan thuế sẽ thực thi chính sách mới một cách khách quan, công tâm và đối xử bình đẳng với mọi người nộp thuế.  - HUMAN-TRU1]]</f>
        <v>10</v>
      </c>
      <c r="AN30">
        <f t="shared" si="13"/>
        <v>1</v>
      </c>
      <c r="AO30">
        <f>step3_validation[[#This Row],[AI_TRU2]]</f>
        <v>9</v>
      </c>
      <c r="AP30">
        <f t="shared" si="14"/>
        <v>0.88888888888888884</v>
      </c>
      <c r="AQ30">
        <f>survey_responses[[#This Row],[Tôi thấy mức thuế tôi phải đóng theo phương án mới là công bằng (người thu nhập như tôi đóng mức này là hợp lý). - HUMAN-TRU2]]</f>
        <v>9</v>
      </c>
      <c r="AR30">
        <f t="shared" si="15"/>
        <v>0.88888888888888884</v>
      </c>
      <c r="AS30">
        <f>step3_validation[[#This Row],[AI_TRU3]]</f>
        <v>6</v>
      </c>
      <c r="AT30">
        <f t="shared" si="16"/>
        <v>0.55555555555555558</v>
      </c>
      <c r="AU30">
        <f>survey_responses[[#This Row],[Tôi tin tưởng số tiền thuế tôi đóng sẽ được Nhà nước sử dụng hiệu quả để cải thiện dịch vụ công (y tế, đường xá...). - HUMAN-TRU3]]</f>
        <v>10</v>
      </c>
      <c r="AV30">
        <f t="shared" si="17"/>
        <v>1</v>
      </c>
      <c r="AW30">
        <f>step3_validation[[#This Row],[AI_TRU4]]</f>
        <v>8</v>
      </c>
      <c r="AX30">
        <f t="shared" si="18"/>
        <v>0.77777777777777779</v>
      </c>
      <c r="AY30">
        <f>survey_responses[[#This Row],[Tôi thấy Nhà nước đã giải thích rõ ràng, minh bạch về lý do và mục tiêu của việc sửa đổi thuế lần này. - HUMAN-TRU4]]</f>
        <v>10</v>
      </c>
      <c r="AZ30">
        <f t="shared" si="19"/>
        <v>1</v>
      </c>
      <c r="BA30" s="32">
        <f t="shared" si="20"/>
        <v>0.7222222222222221</v>
      </c>
      <c r="BB30" s="32">
        <f t="shared" si="21"/>
        <v>0.97222222222222221</v>
      </c>
      <c r="BC30" s="7">
        <f t="shared" si="22"/>
        <v>0.72222222222222221</v>
      </c>
      <c r="BD30" s="7">
        <f t="shared" si="23"/>
        <v>0.97222222222222221</v>
      </c>
      <c r="BE30">
        <f>step3_validation[[#This Row],[AI_OUT1]]</f>
        <v>9</v>
      </c>
      <c r="BF30">
        <f t="shared" si="24"/>
        <v>0.88888888888888884</v>
      </c>
      <c r="BG30">
        <f>survey_responses[[#This Row],[Sau khi xem xét các quyền lợi và nghĩa vụ, bạn có ủng hộ và tuân thủ chính sách mới hiện nay? - HUMAN-OUT1]]</f>
        <v>10</v>
      </c>
      <c r="BH30">
        <f t="shared" si="25"/>
        <v>1</v>
      </c>
      <c r="BI30" s="32">
        <f t="shared" si="26"/>
        <v>1</v>
      </c>
    </row>
    <row r="31" spans="1:61" x14ac:dyDescent="0.45">
      <c r="A31" s="30">
        <f>step3_validation[[#This Row],[Persona_ID]]</f>
        <v>30</v>
      </c>
      <c r="B31" s="31">
        <f>step3_validation[[#This Row],[Used_Seed]]</f>
        <v>12374</v>
      </c>
      <c r="C31" t="str">
        <f>step3_validation[[#This Row],[Gender]]</f>
        <v>Nữ</v>
      </c>
      <c r="D31" t="str">
        <f>survey_responses[[#This Row],[Giới tính của bạn:]]</f>
        <v>Nữ</v>
      </c>
      <c r="E31" t="str">
        <f>step3_validation[[#This Row],[Age_Group]]</f>
        <v>18 - 24</v>
      </c>
      <c r="F31" t="str">
        <f>survey_responses[[#This Row],[Độ tuổi của bạn:]]</f>
        <v>18 - 24</v>
      </c>
      <c r="G31" t="str">
        <f>step3_validation[[#This Row],[Region]]</f>
        <v>Thành thị</v>
      </c>
      <c r="H31" t="str">
        <f>survey_responses[[#This Row],[Khu vực bạn đang sinh sống:]]</f>
        <v>Thành thị</v>
      </c>
      <c r="I31" t="str">
        <f>step3_validation[[#This Row],[Education]]</f>
        <v>Đại học</v>
      </c>
      <c r="J31" t="str">
        <f>survey_responses[[#This Row],[Trình độ học vấn cao nhất:]]</f>
        <v>Đại học</v>
      </c>
      <c r="K31" t="str">
        <f>step3_validation[[#This Row],[Employment]]</f>
        <v>Chính thức</v>
      </c>
      <c r="L31" t="str">
        <f>survey_responses[[#This Row],[Tình trạng việc làm chính:]]</f>
        <v>Khu vực chính thức (Có Hợp đồng lao động, đóng BHXH)</v>
      </c>
      <c r="M31">
        <f>step3_validation[[#This Row],[Income_Mil]]</f>
        <v>13.119903841367227</v>
      </c>
      <c r="N31" t="str">
        <f>survey_responses[[#This Row],[Thu nhập bình quân tháng theo Hợp đồng lao động của bạn là bao nhiêu? (Vui lòng điền tổng thu nhập trước khi khấu trừ các loại Bảo hiểm (BHXH, BHYT, BHTN) và Thuế TNCN)]]</f>
        <v>Từ 12 - 18 triệu VNĐ</v>
      </c>
      <c r="O31">
        <f>step3_validation[[#This Row],[Dependents]]</f>
        <v>0</v>
      </c>
      <c r="P31" t="str">
        <f>survey_responses[[#This Row],[Số người phụ thuộc (con nhỏ, cha mẹ già...) đủ điều kiện giảm trừ gia cảnh:]]</f>
        <v>0 người</v>
      </c>
      <c r="Q31">
        <f>step3_validation[[#This Row],[AI_ENF1]]</f>
        <v>7</v>
      </c>
      <c r="R31">
        <f t="shared" si="0"/>
        <v>0.66666666666666663</v>
      </c>
      <c r="S31">
        <f>survey_responses[[#This Row],[Tôi tin rằng với các quy định quản lý thuế hiện nay, hành vi gian lận hoặc trốn thuế sẽ dễ dàng bị phát hiện và xử lý nghiêm. - HUMAN-ENF1]]</f>
        <v>10</v>
      </c>
      <c r="T31">
        <f t="shared" si="1"/>
        <v>1</v>
      </c>
      <c r="U31">
        <f>step3_validation[[#This Row],[AI_ENF2]]</f>
        <v>8</v>
      </c>
      <c r="V31">
        <f t="shared" si="2"/>
        <v>0.77777777777777779</v>
      </c>
      <c r="W31">
        <f>survey_responses[[#This Row],[Tôi tin rằng Nhà nước, cơ quan thuế có đủ khả năng và công nghệ để phát hiện, xử lý nghiêm các hành vi trốn thuế. - HUMAN-ENF2]]</f>
        <v>10</v>
      </c>
      <c r="X31">
        <f t="shared" si="3"/>
        <v>1</v>
      </c>
      <c r="Y31" s="32">
        <f t="shared" si="4"/>
        <v>0.72222222222222221</v>
      </c>
      <c r="Z31" s="32">
        <f t="shared" si="5"/>
        <v>1</v>
      </c>
      <c r="AA31">
        <f>step3_validation[[#This Row],[AI_FAC1]]</f>
        <v>9</v>
      </c>
      <c r="AB31">
        <f t="shared" si="6"/>
        <v>0.88888888888888884</v>
      </c>
      <c r="AC31">
        <f>survey_responses[[#This Row],[Các thủ tục khai báo thuế VÀ/HOẶC quy trình làm việc với cơ quan thuế đơn giản, tiện lợi, nhanh chóng hơn so với trước đây. - HUMAN-FAC1]]</f>
        <v>9</v>
      </c>
      <c r="AD31">
        <f t="shared" si="7"/>
        <v>0.88888888888888884</v>
      </c>
      <c r="AE31">
        <f>step3_validation[[#This Row],[AI_FAC2]]</f>
        <v>9</v>
      </c>
      <c r="AF31">
        <f t="shared" si="8"/>
        <v>0.88888888888888884</v>
      </c>
      <c r="AG31">
        <f>survey_responses[[#This Row],[So với trước đây, tôi thấy cách tính thuế và các bậc thuế trong phương án mới đơn giản, dễ hiểu và dễ thực hiện hơn. - HUMAN-FAC2]]</f>
        <v>10</v>
      </c>
      <c r="AH31">
        <f t="shared" si="9"/>
        <v>1</v>
      </c>
      <c r="AI31" s="32">
        <f t="shared" si="10"/>
        <v>0.88888888888888884</v>
      </c>
      <c r="AJ31" s="32">
        <f t="shared" si="11"/>
        <v>0.94444444444444442</v>
      </c>
      <c r="AK31">
        <f>step3_validation[[#This Row],[AI_TRU1]]</f>
        <v>6</v>
      </c>
      <c r="AL31">
        <f t="shared" si="12"/>
        <v>0.55555555555555558</v>
      </c>
      <c r="AM31">
        <f>survey_responses[[#This Row],[Tôi tin rằng Nhà nước, cơ quan thuế sẽ thực thi chính sách mới một cách khách quan, công tâm và đối xử bình đẳng với mọi người nộp thuế.  - HUMAN-TRU1]]</f>
        <v>10</v>
      </c>
      <c r="AN31">
        <f t="shared" si="13"/>
        <v>1</v>
      </c>
      <c r="AO31">
        <f>step3_validation[[#This Row],[AI_TRU2]]</f>
        <v>9</v>
      </c>
      <c r="AP31">
        <f t="shared" si="14"/>
        <v>0.88888888888888884</v>
      </c>
      <c r="AQ31">
        <f>survey_responses[[#This Row],[Tôi thấy mức thuế tôi phải đóng theo phương án mới là công bằng (người thu nhập như tôi đóng mức này là hợp lý). - HUMAN-TRU2]]</f>
        <v>10</v>
      </c>
      <c r="AR31">
        <f t="shared" si="15"/>
        <v>1</v>
      </c>
      <c r="AS31">
        <f>step3_validation[[#This Row],[AI_TRU3]]</f>
        <v>7</v>
      </c>
      <c r="AT31">
        <f t="shared" si="16"/>
        <v>0.66666666666666663</v>
      </c>
      <c r="AU31">
        <f>survey_responses[[#This Row],[Tôi tin tưởng số tiền thuế tôi đóng sẽ được Nhà nước sử dụng hiệu quả để cải thiện dịch vụ công (y tế, đường xá...). - HUMAN-TRU3]]</f>
        <v>10</v>
      </c>
      <c r="AV31">
        <f t="shared" si="17"/>
        <v>1</v>
      </c>
      <c r="AW31">
        <f>step3_validation[[#This Row],[AI_TRU4]]</f>
        <v>8</v>
      </c>
      <c r="AX31">
        <f t="shared" si="18"/>
        <v>0.77777777777777779</v>
      </c>
      <c r="AY31">
        <f>survey_responses[[#This Row],[Tôi thấy Nhà nước đã giải thích rõ ràng, minh bạch về lý do và mục tiêu của việc sửa đổi thuế lần này. - HUMAN-TRU4]]</f>
        <v>10</v>
      </c>
      <c r="AZ31">
        <f t="shared" si="19"/>
        <v>1</v>
      </c>
      <c r="BA31" s="32">
        <f t="shared" si="20"/>
        <v>0.72222222222222221</v>
      </c>
      <c r="BB31" s="32">
        <f t="shared" si="21"/>
        <v>1</v>
      </c>
      <c r="BC31" s="7">
        <f t="shared" si="22"/>
        <v>0.77777777777777779</v>
      </c>
      <c r="BD31" s="7">
        <f t="shared" si="23"/>
        <v>0.98148148148148151</v>
      </c>
      <c r="BE31">
        <f>step3_validation[[#This Row],[AI_OUT1]]</f>
        <v>9</v>
      </c>
      <c r="BF31">
        <f t="shared" si="24"/>
        <v>0.88888888888888884</v>
      </c>
      <c r="BG31">
        <f>survey_responses[[#This Row],[Sau khi xem xét các quyền lợi và nghĩa vụ, bạn có ủng hộ và tuân thủ chính sách mới hiện nay? - HUMAN-OUT1]]</f>
        <v>10</v>
      </c>
      <c r="BH31">
        <f t="shared" si="25"/>
        <v>1</v>
      </c>
      <c r="BI31" s="32">
        <f t="shared" si="26"/>
        <v>1</v>
      </c>
    </row>
    <row r="32" spans="1:61" x14ac:dyDescent="0.45">
      <c r="A32" s="30">
        <f>step3_validation[[#This Row],[Persona_ID]]</f>
        <v>31</v>
      </c>
      <c r="B32" s="31">
        <f>step3_validation[[#This Row],[Used_Seed]]</f>
        <v>12375</v>
      </c>
      <c r="C32" t="str">
        <f>step3_validation[[#This Row],[Gender]]</f>
        <v>Nữ</v>
      </c>
      <c r="D32" t="str">
        <f>survey_responses[[#This Row],[Giới tính của bạn:]]</f>
        <v>Nữ</v>
      </c>
      <c r="E32" t="str">
        <f>step3_validation[[#This Row],[Age_Group]]</f>
        <v>25 - 29</v>
      </c>
      <c r="F32" t="str">
        <f>survey_responses[[#This Row],[Độ tuổi của bạn:]]</f>
        <v>25 - 29</v>
      </c>
      <c r="G32" t="str">
        <f>step3_validation[[#This Row],[Region]]</f>
        <v>Thành thị</v>
      </c>
      <c r="H32" t="str">
        <f>survey_responses[[#This Row],[Khu vực bạn đang sinh sống:]]</f>
        <v>Thành thị</v>
      </c>
      <c r="I32" t="str">
        <f>step3_validation[[#This Row],[Education]]</f>
        <v>Đại học</v>
      </c>
      <c r="J32" t="str">
        <f>survey_responses[[#This Row],[Trình độ học vấn cao nhất:]]</f>
        <v>Đại học</v>
      </c>
      <c r="K32" t="str">
        <f>step3_validation[[#This Row],[Employment]]</f>
        <v>Chính thức</v>
      </c>
      <c r="L32" t="str">
        <f>survey_responses[[#This Row],[Tình trạng việc làm chính:]]</f>
        <v>Khu vực chính thức (Có Hợp đồng lao động, đóng BHXH)</v>
      </c>
      <c r="M32">
        <f>step3_validation[[#This Row],[Income_Mil]]</f>
        <v>27.295945965192793</v>
      </c>
      <c r="N32" t="str">
        <f>survey_responses[[#This Row],[Thu nhập bình quân tháng theo Hợp đồng lao động của bạn là bao nhiêu? (Vui lòng điền tổng thu nhập trước khi khấu trừ các loại Bảo hiểm (BHXH, BHYT, BHTN) và Thuế TNCN)]]</f>
        <v>Từ 23 - 32 triệu VNĐ</v>
      </c>
      <c r="O32">
        <f>step3_validation[[#This Row],[Dependents]]</f>
        <v>0</v>
      </c>
      <c r="P32" t="str">
        <f>survey_responses[[#This Row],[Số người phụ thuộc (con nhỏ, cha mẹ già...) đủ điều kiện giảm trừ gia cảnh:]]</f>
        <v>0 người</v>
      </c>
      <c r="Q32">
        <f>step3_validation[[#This Row],[AI_ENF1]]</f>
        <v>6</v>
      </c>
      <c r="R32">
        <f t="shared" si="0"/>
        <v>0.55555555555555558</v>
      </c>
      <c r="S32">
        <f>survey_responses[[#This Row],[Tôi tin rằng với các quy định quản lý thuế hiện nay, hành vi gian lận hoặc trốn thuế sẽ dễ dàng bị phát hiện và xử lý nghiêm. - HUMAN-ENF1]]</f>
        <v>10</v>
      </c>
      <c r="T32">
        <f t="shared" si="1"/>
        <v>1</v>
      </c>
      <c r="U32">
        <f>step3_validation[[#This Row],[AI_ENF2]]</f>
        <v>6</v>
      </c>
      <c r="V32">
        <f t="shared" si="2"/>
        <v>0.55555555555555558</v>
      </c>
      <c r="W32">
        <f>survey_responses[[#This Row],[Tôi tin rằng Nhà nước, cơ quan thuế có đủ khả năng và công nghệ để phát hiện, xử lý nghiêm các hành vi trốn thuế. - HUMAN-ENF2]]</f>
        <v>7</v>
      </c>
      <c r="X32">
        <f t="shared" si="3"/>
        <v>0.66666666666666663</v>
      </c>
      <c r="Y32" s="32">
        <f t="shared" si="4"/>
        <v>0.55555555555555558</v>
      </c>
      <c r="Z32" s="32">
        <f t="shared" si="5"/>
        <v>0.83333333333333326</v>
      </c>
      <c r="AA32">
        <f>step3_validation[[#This Row],[AI_FAC1]]</f>
        <v>7</v>
      </c>
      <c r="AB32">
        <f t="shared" si="6"/>
        <v>0.66666666666666663</v>
      </c>
      <c r="AC32">
        <f>survey_responses[[#This Row],[Các thủ tục khai báo thuế VÀ/HOẶC quy trình làm việc với cơ quan thuế đơn giản, tiện lợi, nhanh chóng hơn so với trước đây. - HUMAN-FAC1]]</f>
        <v>10</v>
      </c>
      <c r="AD32">
        <f t="shared" si="7"/>
        <v>1</v>
      </c>
      <c r="AE32">
        <f>step3_validation[[#This Row],[AI_FAC2]]</f>
        <v>7</v>
      </c>
      <c r="AF32">
        <f t="shared" si="8"/>
        <v>0.66666666666666663</v>
      </c>
      <c r="AG32">
        <f>survey_responses[[#This Row],[So với trước đây, tôi thấy cách tính thuế và các bậc thuế trong phương án mới đơn giản, dễ hiểu và dễ thực hiện hơn. - HUMAN-FAC2]]</f>
        <v>7</v>
      </c>
      <c r="AH32">
        <f t="shared" si="9"/>
        <v>0.66666666666666663</v>
      </c>
      <c r="AI32" s="32">
        <f t="shared" si="10"/>
        <v>0.66666666666666663</v>
      </c>
      <c r="AJ32" s="32">
        <f t="shared" si="11"/>
        <v>0.83333333333333326</v>
      </c>
      <c r="AK32">
        <f>step3_validation[[#This Row],[AI_TRU1]]</f>
        <v>6</v>
      </c>
      <c r="AL32">
        <f t="shared" si="12"/>
        <v>0.55555555555555558</v>
      </c>
      <c r="AM32">
        <f>survey_responses[[#This Row],[Tôi tin rằng Nhà nước, cơ quan thuế sẽ thực thi chính sách mới một cách khách quan, công tâm và đối xử bình đẳng với mọi người nộp thuế.  - HUMAN-TRU1]]</f>
        <v>10</v>
      </c>
      <c r="AN32">
        <f t="shared" si="13"/>
        <v>1</v>
      </c>
      <c r="AO32">
        <f>step3_validation[[#This Row],[AI_TRU2]]</f>
        <v>7</v>
      </c>
      <c r="AP32">
        <f t="shared" si="14"/>
        <v>0.66666666666666663</v>
      </c>
      <c r="AQ32">
        <f>survey_responses[[#This Row],[Tôi thấy mức thuế tôi phải đóng theo phương án mới là công bằng (người thu nhập như tôi đóng mức này là hợp lý). - HUMAN-TRU2]]</f>
        <v>10</v>
      </c>
      <c r="AR32">
        <f t="shared" si="15"/>
        <v>1</v>
      </c>
      <c r="AS32">
        <f>step3_validation[[#This Row],[AI_TRU3]]</f>
        <v>6</v>
      </c>
      <c r="AT32">
        <f t="shared" si="16"/>
        <v>0.55555555555555558</v>
      </c>
      <c r="AU32">
        <f>survey_responses[[#This Row],[Tôi tin tưởng số tiền thuế tôi đóng sẽ được Nhà nước sử dụng hiệu quả để cải thiện dịch vụ công (y tế, đường xá...). - HUMAN-TRU3]]</f>
        <v>3</v>
      </c>
      <c r="AV32">
        <f t="shared" si="17"/>
        <v>0.22222222222222221</v>
      </c>
      <c r="AW32">
        <f>step3_validation[[#This Row],[AI_TRU4]]</f>
        <v>5</v>
      </c>
      <c r="AX32">
        <f t="shared" si="18"/>
        <v>0.44444444444444442</v>
      </c>
      <c r="AY32">
        <f>survey_responses[[#This Row],[Tôi thấy Nhà nước đã giải thích rõ ràng, minh bạch về lý do và mục tiêu của việc sửa đổi thuế lần này. - HUMAN-TRU4]]</f>
        <v>5</v>
      </c>
      <c r="AZ32">
        <f t="shared" si="19"/>
        <v>0.44444444444444442</v>
      </c>
      <c r="BA32" s="32">
        <f t="shared" si="20"/>
        <v>0.55555555555555558</v>
      </c>
      <c r="BB32" s="32">
        <f t="shared" si="21"/>
        <v>0.66666666666666674</v>
      </c>
      <c r="BC32" s="7">
        <f t="shared" si="22"/>
        <v>0.59259259259259267</v>
      </c>
      <c r="BD32" s="7">
        <f t="shared" si="23"/>
        <v>0.77777777777777768</v>
      </c>
      <c r="BE32">
        <f>step3_validation[[#This Row],[AI_OUT1]]</f>
        <v>8</v>
      </c>
      <c r="BF32">
        <f t="shared" si="24"/>
        <v>0.77777777777777779</v>
      </c>
      <c r="BG32">
        <f>survey_responses[[#This Row],[Sau khi xem xét các quyền lợi và nghĩa vụ, bạn có ủng hộ và tuân thủ chính sách mới hiện nay? - HUMAN-OUT1]]</f>
        <v>8</v>
      </c>
      <c r="BH32">
        <f t="shared" si="25"/>
        <v>0.77777777777777779</v>
      </c>
      <c r="BI32" s="32">
        <f t="shared" si="26"/>
        <v>0</v>
      </c>
    </row>
    <row r="33" spans="1:61" x14ac:dyDescent="0.45">
      <c r="A33" s="30">
        <f>step3_validation[[#This Row],[Persona_ID]]</f>
        <v>32</v>
      </c>
      <c r="B33" s="31">
        <f>step3_validation[[#This Row],[Used_Seed]]</f>
        <v>12376</v>
      </c>
      <c r="C33" t="str">
        <f>step3_validation[[#This Row],[Gender]]</f>
        <v>Nữ</v>
      </c>
      <c r="D33" t="str">
        <f>survey_responses[[#This Row],[Giới tính của bạn:]]</f>
        <v>Nữ</v>
      </c>
      <c r="E33" t="str">
        <f>step3_validation[[#This Row],[Age_Group]]</f>
        <v>18 - 24</v>
      </c>
      <c r="F33" t="str">
        <f>survey_responses[[#This Row],[Độ tuổi của bạn:]]</f>
        <v>18 - 24</v>
      </c>
      <c r="G33" t="str">
        <f>step3_validation[[#This Row],[Region]]</f>
        <v>Thành thị</v>
      </c>
      <c r="H33" t="str">
        <f>survey_responses[[#This Row],[Khu vực bạn đang sinh sống:]]</f>
        <v>Thành thị</v>
      </c>
      <c r="I33" t="str">
        <f>step3_validation[[#This Row],[Education]]</f>
        <v>Đại học</v>
      </c>
      <c r="J33" t="str">
        <f>survey_responses[[#This Row],[Trình độ học vấn cao nhất:]]</f>
        <v>Đại học</v>
      </c>
      <c r="K33" t="str">
        <f>step3_validation[[#This Row],[Employment]]</f>
        <v>Chính thức</v>
      </c>
      <c r="L33" t="str">
        <f>survey_responses[[#This Row],[Tình trạng việc làm chính:]]</f>
        <v>Khu vực chính thức (Có Hợp đồng lao động, đóng BHXH)</v>
      </c>
      <c r="M33">
        <f>step3_validation[[#This Row],[Income_Mil]]</f>
        <v>29.138658898904062</v>
      </c>
      <c r="N33" t="str">
        <f>survey_responses[[#This Row],[Thu nhập bình quân tháng theo Hợp đồng lao động của bạn là bao nhiêu? (Vui lòng điền tổng thu nhập trước khi khấu trừ các loại Bảo hiểm (BHXH, BHYT, BHTN) và Thuế TNCN)]]</f>
        <v>Từ 23 - 32 triệu VNĐ</v>
      </c>
      <c r="O33">
        <f>step3_validation[[#This Row],[Dependents]]</f>
        <v>0</v>
      </c>
      <c r="P33" t="str">
        <f>survey_responses[[#This Row],[Số người phụ thuộc (con nhỏ, cha mẹ già...) đủ điều kiện giảm trừ gia cảnh:]]</f>
        <v>0 người</v>
      </c>
      <c r="Q33">
        <f>step3_validation[[#This Row],[AI_ENF1]]</f>
        <v>6</v>
      </c>
      <c r="R33">
        <f t="shared" si="0"/>
        <v>0.55555555555555558</v>
      </c>
      <c r="S33">
        <f>survey_responses[[#This Row],[Tôi tin rằng với các quy định quản lý thuế hiện nay, hành vi gian lận hoặc trốn thuế sẽ dễ dàng bị phát hiện và xử lý nghiêm. - HUMAN-ENF1]]</f>
        <v>5</v>
      </c>
      <c r="T33">
        <f t="shared" si="1"/>
        <v>0.44444444444444442</v>
      </c>
      <c r="U33">
        <f>step3_validation[[#This Row],[AI_ENF2]]</f>
        <v>7</v>
      </c>
      <c r="V33">
        <f t="shared" si="2"/>
        <v>0.66666666666666663</v>
      </c>
      <c r="W33">
        <f>survey_responses[[#This Row],[Tôi tin rằng Nhà nước, cơ quan thuế có đủ khả năng và công nghệ để phát hiện, xử lý nghiêm các hành vi trốn thuế. - HUMAN-ENF2]]</f>
        <v>5</v>
      </c>
      <c r="X33">
        <f t="shared" si="3"/>
        <v>0.44444444444444442</v>
      </c>
      <c r="Y33" s="32">
        <f t="shared" si="4"/>
        <v>0.61111111111111116</v>
      </c>
      <c r="Z33" s="32">
        <f t="shared" si="5"/>
        <v>0.44444444444444442</v>
      </c>
      <c r="AA33">
        <f>step3_validation[[#This Row],[AI_FAC1]]</f>
        <v>9</v>
      </c>
      <c r="AB33">
        <f t="shared" si="6"/>
        <v>0.88888888888888884</v>
      </c>
      <c r="AC33">
        <f>survey_responses[[#This Row],[Các thủ tục khai báo thuế VÀ/HOẶC quy trình làm việc với cơ quan thuế đơn giản, tiện lợi, nhanh chóng hơn so với trước đây. - HUMAN-FAC1]]</f>
        <v>5</v>
      </c>
      <c r="AD33">
        <f t="shared" si="7"/>
        <v>0.44444444444444442</v>
      </c>
      <c r="AE33">
        <f>step3_validation[[#This Row],[AI_FAC2]]</f>
        <v>8</v>
      </c>
      <c r="AF33">
        <f t="shared" si="8"/>
        <v>0.77777777777777779</v>
      </c>
      <c r="AG33">
        <f>survey_responses[[#This Row],[So với trước đây, tôi thấy cách tính thuế và các bậc thuế trong phương án mới đơn giản, dễ hiểu và dễ thực hiện hơn. - HUMAN-FAC2]]</f>
        <v>5</v>
      </c>
      <c r="AH33">
        <f t="shared" si="9"/>
        <v>0.44444444444444442</v>
      </c>
      <c r="AI33" s="32">
        <f t="shared" si="10"/>
        <v>0.83333333333333326</v>
      </c>
      <c r="AJ33" s="32">
        <f t="shared" si="11"/>
        <v>0.44444444444444442</v>
      </c>
      <c r="AK33">
        <f>step3_validation[[#This Row],[AI_TRU1]]</f>
        <v>7</v>
      </c>
      <c r="AL33">
        <f t="shared" si="12"/>
        <v>0.66666666666666663</v>
      </c>
      <c r="AM33">
        <f>survey_responses[[#This Row],[Tôi tin rằng Nhà nước, cơ quan thuế sẽ thực thi chính sách mới một cách khách quan, công tâm và đối xử bình đẳng với mọi người nộp thuế.  - HUMAN-TRU1]]</f>
        <v>5</v>
      </c>
      <c r="AN33">
        <f t="shared" si="13"/>
        <v>0.44444444444444442</v>
      </c>
      <c r="AO33">
        <f>step3_validation[[#This Row],[AI_TRU2]]</f>
        <v>8</v>
      </c>
      <c r="AP33">
        <f t="shared" si="14"/>
        <v>0.77777777777777779</v>
      </c>
      <c r="AQ33">
        <f>survey_responses[[#This Row],[Tôi thấy mức thuế tôi phải đóng theo phương án mới là công bằng (người thu nhập như tôi đóng mức này là hợp lý). - HUMAN-TRU2]]</f>
        <v>5</v>
      </c>
      <c r="AR33">
        <f t="shared" si="15"/>
        <v>0.44444444444444442</v>
      </c>
      <c r="AS33">
        <f>step3_validation[[#This Row],[AI_TRU3]]</f>
        <v>8</v>
      </c>
      <c r="AT33">
        <f t="shared" si="16"/>
        <v>0.77777777777777779</v>
      </c>
      <c r="AU33">
        <f>survey_responses[[#This Row],[Tôi tin tưởng số tiền thuế tôi đóng sẽ được Nhà nước sử dụng hiệu quả để cải thiện dịch vụ công (y tế, đường xá...). - HUMAN-TRU3]]</f>
        <v>5</v>
      </c>
      <c r="AV33">
        <f t="shared" si="17"/>
        <v>0.44444444444444442</v>
      </c>
      <c r="AW33">
        <f>step3_validation[[#This Row],[AI_TRU4]]</f>
        <v>7</v>
      </c>
      <c r="AX33">
        <f t="shared" si="18"/>
        <v>0.66666666666666663</v>
      </c>
      <c r="AY33">
        <f>survey_responses[[#This Row],[Tôi thấy Nhà nước đã giải thích rõ ràng, minh bạch về lý do và mục tiêu của việc sửa đổi thuế lần này. - HUMAN-TRU4]]</f>
        <v>5</v>
      </c>
      <c r="AZ33">
        <f t="shared" si="19"/>
        <v>0.44444444444444442</v>
      </c>
      <c r="BA33" s="32">
        <f t="shared" si="20"/>
        <v>0.72222222222222221</v>
      </c>
      <c r="BB33" s="32">
        <f t="shared" si="21"/>
        <v>0.44444444444444442</v>
      </c>
      <c r="BC33" s="7">
        <f t="shared" si="22"/>
        <v>0.72222222222222221</v>
      </c>
      <c r="BD33" s="7">
        <f t="shared" si="23"/>
        <v>0.44444444444444442</v>
      </c>
      <c r="BE33">
        <f>step3_validation[[#This Row],[AI_OUT1]]</f>
        <v>9</v>
      </c>
      <c r="BF33">
        <f t="shared" si="24"/>
        <v>0.88888888888888884</v>
      </c>
      <c r="BG33">
        <f>survey_responses[[#This Row],[Sau khi xem xét các quyền lợi và nghĩa vụ, bạn có ủng hộ và tuân thủ chính sách mới hiện nay? - HUMAN-OUT1]]</f>
        <v>5</v>
      </c>
      <c r="BH33">
        <f t="shared" si="25"/>
        <v>0.44444444444444442</v>
      </c>
      <c r="BI33" s="32">
        <f t="shared" si="26"/>
        <v>4</v>
      </c>
    </row>
    <row r="34" spans="1:61" x14ac:dyDescent="0.45">
      <c r="A34" s="30">
        <f>step3_validation[[#This Row],[Persona_ID]]</f>
        <v>33</v>
      </c>
      <c r="B34" s="31">
        <f>step3_validation[[#This Row],[Used_Seed]]</f>
        <v>12377</v>
      </c>
      <c r="C34" t="str">
        <f>step3_validation[[#This Row],[Gender]]</f>
        <v>Nữ</v>
      </c>
      <c r="D34" t="str">
        <f>survey_responses[[#This Row],[Giới tính của bạn:]]</f>
        <v>Nữ</v>
      </c>
      <c r="E34" t="str">
        <f>step3_validation[[#This Row],[Age_Group]]</f>
        <v>25 - 29</v>
      </c>
      <c r="F34" t="str">
        <f>survey_responses[[#This Row],[Độ tuổi của bạn:]]</f>
        <v>25 - 29</v>
      </c>
      <c r="G34" t="str">
        <f>step3_validation[[#This Row],[Region]]</f>
        <v>Thành thị</v>
      </c>
      <c r="H34" t="str">
        <f>survey_responses[[#This Row],[Khu vực bạn đang sinh sống:]]</f>
        <v>Thành thị</v>
      </c>
      <c r="I34" t="str">
        <f>step3_validation[[#This Row],[Education]]</f>
        <v>Đại học</v>
      </c>
      <c r="J34" t="str">
        <f>survey_responses[[#This Row],[Trình độ học vấn cao nhất:]]</f>
        <v>Đại học</v>
      </c>
      <c r="K34" t="str">
        <f>step3_validation[[#This Row],[Employment]]</f>
        <v>Chính thức</v>
      </c>
      <c r="L34" t="str">
        <f>survey_responses[[#This Row],[Tình trạng việc làm chính:]]</f>
        <v>Khu vực chính thức (Có Hợp đồng lao động, đóng BHXH)</v>
      </c>
      <c r="M34">
        <f>step3_validation[[#This Row],[Income_Mil]]</f>
        <v>29.609550179087222</v>
      </c>
      <c r="N34" t="str">
        <f>survey_responses[[#This Row],[Thu nhập bình quân tháng theo Hợp đồng lao động của bạn là bao nhiêu? (Vui lòng điền tổng thu nhập trước khi khấu trừ các loại Bảo hiểm (BHXH, BHYT, BHTN) và Thuế TNCN)]]</f>
        <v>Từ 23 - 32 triệu VNĐ</v>
      </c>
      <c r="O34">
        <f>step3_validation[[#This Row],[Dependents]]</f>
        <v>0</v>
      </c>
      <c r="P34" t="str">
        <f>survey_responses[[#This Row],[Số người phụ thuộc (con nhỏ, cha mẹ già...) đủ điều kiện giảm trừ gia cảnh:]]</f>
        <v>0 người</v>
      </c>
      <c r="Q34">
        <f>step3_validation[[#This Row],[AI_ENF1]]</f>
        <v>7</v>
      </c>
      <c r="R34">
        <f t="shared" si="0"/>
        <v>0.66666666666666663</v>
      </c>
      <c r="S34">
        <f>survey_responses[[#This Row],[Tôi tin rằng với các quy định quản lý thuế hiện nay, hành vi gian lận hoặc trốn thuế sẽ dễ dàng bị phát hiện và xử lý nghiêm. - HUMAN-ENF1]]</f>
        <v>8</v>
      </c>
      <c r="T34">
        <f t="shared" si="1"/>
        <v>0.77777777777777779</v>
      </c>
      <c r="U34">
        <f>step3_validation[[#This Row],[AI_ENF2]]</f>
        <v>6</v>
      </c>
      <c r="V34">
        <f t="shared" si="2"/>
        <v>0.55555555555555558</v>
      </c>
      <c r="W34">
        <f>survey_responses[[#This Row],[Tôi tin rằng Nhà nước, cơ quan thuế có đủ khả năng và công nghệ để phát hiện, xử lý nghiêm các hành vi trốn thuế. - HUMAN-ENF2]]</f>
        <v>9</v>
      </c>
      <c r="X34">
        <f t="shared" si="3"/>
        <v>0.88888888888888884</v>
      </c>
      <c r="Y34" s="32">
        <f t="shared" si="4"/>
        <v>0.61111111111111116</v>
      </c>
      <c r="Z34" s="32">
        <f t="shared" si="5"/>
        <v>0.83333333333333326</v>
      </c>
      <c r="AA34">
        <f>step3_validation[[#This Row],[AI_FAC1]]</f>
        <v>9</v>
      </c>
      <c r="AB34">
        <f t="shared" si="6"/>
        <v>0.88888888888888884</v>
      </c>
      <c r="AC34">
        <f>survey_responses[[#This Row],[Các thủ tục khai báo thuế VÀ/HOẶC quy trình làm việc với cơ quan thuế đơn giản, tiện lợi, nhanh chóng hơn so với trước đây. - HUMAN-FAC1]]</f>
        <v>7</v>
      </c>
      <c r="AD34">
        <f t="shared" si="7"/>
        <v>0.66666666666666663</v>
      </c>
      <c r="AE34">
        <f>step3_validation[[#This Row],[AI_FAC2]]</f>
        <v>8</v>
      </c>
      <c r="AF34">
        <f t="shared" si="8"/>
        <v>0.77777777777777779</v>
      </c>
      <c r="AG34">
        <f>survey_responses[[#This Row],[So với trước đây, tôi thấy cách tính thuế và các bậc thuế trong phương án mới đơn giản, dễ hiểu và dễ thực hiện hơn. - HUMAN-FAC2]]</f>
        <v>8</v>
      </c>
      <c r="AH34">
        <f t="shared" si="9"/>
        <v>0.77777777777777779</v>
      </c>
      <c r="AI34" s="32">
        <f t="shared" si="10"/>
        <v>0.83333333333333326</v>
      </c>
      <c r="AJ34" s="32">
        <f t="shared" si="11"/>
        <v>0.72222222222222221</v>
      </c>
      <c r="AK34">
        <f>step3_validation[[#This Row],[AI_TRU1]]</f>
        <v>4</v>
      </c>
      <c r="AL34">
        <f t="shared" si="12"/>
        <v>0.33333333333333331</v>
      </c>
      <c r="AM34">
        <f>survey_responses[[#This Row],[Tôi tin rằng Nhà nước, cơ quan thuế sẽ thực thi chính sách mới một cách khách quan, công tâm và đối xử bình đẳng với mọi người nộp thuế.  - HUMAN-TRU1]]</f>
        <v>8</v>
      </c>
      <c r="AN34">
        <f t="shared" si="13"/>
        <v>0.77777777777777779</v>
      </c>
      <c r="AO34">
        <f>step3_validation[[#This Row],[AI_TRU2]]</f>
        <v>6</v>
      </c>
      <c r="AP34">
        <f t="shared" si="14"/>
        <v>0.55555555555555558</v>
      </c>
      <c r="AQ34">
        <f>survey_responses[[#This Row],[Tôi thấy mức thuế tôi phải đóng theo phương án mới là công bằng (người thu nhập như tôi đóng mức này là hợp lý). - HUMAN-TRU2]]</f>
        <v>8</v>
      </c>
      <c r="AR34">
        <f t="shared" si="15"/>
        <v>0.77777777777777779</v>
      </c>
      <c r="AS34">
        <f>step3_validation[[#This Row],[AI_TRU3]]</f>
        <v>5</v>
      </c>
      <c r="AT34">
        <f t="shared" si="16"/>
        <v>0.44444444444444442</v>
      </c>
      <c r="AU34">
        <f>survey_responses[[#This Row],[Tôi tin tưởng số tiền thuế tôi đóng sẽ được Nhà nước sử dụng hiệu quả để cải thiện dịch vụ công (y tế, đường xá...). - HUMAN-TRU3]]</f>
        <v>3</v>
      </c>
      <c r="AV34">
        <f t="shared" si="17"/>
        <v>0.22222222222222221</v>
      </c>
      <c r="AW34">
        <f>step3_validation[[#This Row],[AI_TRU4]]</f>
        <v>6</v>
      </c>
      <c r="AX34">
        <f t="shared" si="18"/>
        <v>0.55555555555555558</v>
      </c>
      <c r="AY34">
        <f>survey_responses[[#This Row],[Tôi thấy Nhà nước đã giải thích rõ ràng, minh bạch về lý do và mục tiêu của việc sửa đổi thuế lần này. - HUMAN-TRU4]]</f>
        <v>6</v>
      </c>
      <c r="AZ34">
        <f t="shared" si="19"/>
        <v>0.55555555555555558</v>
      </c>
      <c r="BA34" s="32">
        <f t="shared" si="20"/>
        <v>0.47222222222222221</v>
      </c>
      <c r="BB34" s="32">
        <f t="shared" si="21"/>
        <v>0.58333333333333326</v>
      </c>
      <c r="BC34" s="7">
        <f t="shared" si="22"/>
        <v>0.63888888888888884</v>
      </c>
      <c r="BD34" s="7">
        <f t="shared" si="23"/>
        <v>0.7129629629629628</v>
      </c>
      <c r="BE34">
        <f>step3_validation[[#This Row],[AI_OUT1]]</f>
        <v>9</v>
      </c>
      <c r="BF34">
        <f t="shared" si="24"/>
        <v>0.88888888888888884</v>
      </c>
      <c r="BG34">
        <f>survey_responses[[#This Row],[Sau khi xem xét các quyền lợi và nghĩa vụ, bạn có ủng hộ và tuân thủ chính sách mới hiện nay? - HUMAN-OUT1]]</f>
        <v>7</v>
      </c>
      <c r="BH34">
        <f t="shared" si="25"/>
        <v>0.66666666666666663</v>
      </c>
      <c r="BI34" s="32">
        <f t="shared" si="26"/>
        <v>2</v>
      </c>
    </row>
    <row r="35" spans="1:61" x14ac:dyDescent="0.45">
      <c r="A35" s="30">
        <f>step3_validation[[#This Row],[Persona_ID]]</f>
        <v>34</v>
      </c>
      <c r="B35" s="31">
        <f>step3_validation[[#This Row],[Used_Seed]]</f>
        <v>12378</v>
      </c>
      <c r="C35" t="str">
        <f>step3_validation[[#This Row],[Gender]]</f>
        <v>Nam</v>
      </c>
      <c r="D35" t="str">
        <f>survey_responses[[#This Row],[Giới tính của bạn:]]</f>
        <v>Nam</v>
      </c>
      <c r="E35" t="str">
        <f>step3_validation[[#This Row],[Age_Group]]</f>
        <v>25 - 29</v>
      </c>
      <c r="F35" t="str">
        <f>survey_responses[[#This Row],[Độ tuổi của bạn:]]</f>
        <v>25 - 29</v>
      </c>
      <c r="G35" t="str">
        <f>step3_validation[[#This Row],[Region]]</f>
        <v>Thành thị</v>
      </c>
      <c r="H35" t="str">
        <f>survey_responses[[#This Row],[Khu vực bạn đang sinh sống:]]</f>
        <v>Thành thị</v>
      </c>
      <c r="I35" t="str">
        <f>step3_validation[[#This Row],[Education]]</f>
        <v>Đại học</v>
      </c>
      <c r="J35" t="str">
        <f>survey_responses[[#This Row],[Trình độ học vấn cao nhất:]]</f>
        <v>Đại học</v>
      </c>
      <c r="K35" t="str">
        <f>step3_validation[[#This Row],[Employment]]</f>
        <v>Chính thức</v>
      </c>
      <c r="L35" t="str">
        <f>survey_responses[[#This Row],[Tình trạng việc làm chính:]]</f>
        <v>Khu vực chính thức (Có Hợp đồng lao động, đóng BHXH)</v>
      </c>
      <c r="M35">
        <f>step3_validation[[#This Row],[Income_Mil]]</f>
        <v>12.238145044249537</v>
      </c>
      <c r="N35" t="str">
        <f>survey_responses[[#This Row],[Thu nhập bình quân tháng theo Hợp đồng lao động của bạn là bao nhiêu? (Vui lòng điền tổng thu nhập trước khi khấu trừ các loại Bảo hiểm (BHXH, BHYT, BHTN) và Thuế TNCN)]]</f>
        <v>Từ 12 - 18 triệu VNĐ</v>
      </c>
      <c r="O35">
        <f>step3_validation[[#This Row],[Dependents]]</f>
        <v>1</v>
      </c>
      <c r="P35" t="str">
        <f>survey_responses[[#This Row],[Số người phụ thuộc (con nhỏ, cha mẹ già...) đủ điều kiện giảm trừ gia cảnh:]]</f>
        <v>1 người</v>
      </c>
      <c r="Q35">
        <f>step3_validation[[#This Row],[AI_ENF1]]</f>
        <v>6</v>
      </c>
      <c r="R35">
        <f t="shared" si="0"/>
        <v>0.55555555555555558</v>
      </c>
      <c r="S35">
        <f>survey_responses[[#This Row],[Tôi tin rằng với các quy định quản lý thuế hiện nay, hành vi gian lận hoặc trốn thuế sẽ dễ dàng bị phát hiện và xử lý nghiêm. - HUMAN-ENF1]]</f>
        <v>10</v>
      </c>
      <c r="T35">
        <f t="shared" si="1"/>
        <v>1</v>
      </c>
      <c r="U35">
        <f>step3_validation[[#This Row],[AI_ENF2]]</f>
        <v>7</v>
      </c>
      <c r="V35">
        <f t="shared" si="2"/>
        <v>0.66666666666666663</v>
      </c>
      <c r="W35">
        <f>survey_responses[[#This Row],[Tôi tin rằng Nhà nước, cơ quan thuế có đủ khả năng và công nghệ để phát hiện, xử lý nghiêm các hành vi trốn thuế. - HUMAN-ENF2]]</f>
        <v>10</v>
      </c>
      <c r="X35">
        <f t="shared" si="3"/>
        <v>1</v>
      </c>
      <c r="Y35" s="32">
        <f t="shared" si="4"/>
        <v>0.61111111111111116</v>
      </c>
      <c r="Z35" s="32">
        <f t="shared" si="5"/>
        <v>1</v>
      </c>
      <c r="AA35">
        <f>step3_validation[[#This Row],[AI_FAC1]]</f>
        <v>9</v>
      </c>
      <c r="AB35">
        <f t="shared" si="6"/>
        <v>0.88888888888888884</v>
      </c>
      <c r="AC35">
        <f>survey_responses[[#This Row],[Các thủ tục khai báo thuế VÀ/HOẶC quy trình làm việc với cơ quan thuế đơn giản, tiện lợi, nhanh chóng hơn so với trước đây. - HUMAN-FAC1]]</f>
        <v>10</v>
      </c>
      <c r="AD35">
        <f t="shared" si="7"/>
        <v>1</v>
      </c>
      <c r="AE35">
        <f>step3_validation[[#This Row],[AI_FAC2]]</f>
        <v>8</v>
      </c>
      <c r="AF35">
        <f t="shared" si="8"/>
        <v>0.77777777777777779</v>
      </c>
      <c r="AG35">
        <f>survey_responses[[#This Row],[So với trước đây, tôi thấy cách tính thuế và các bậc thuế trong phương án mới đơn giản, dễ hiểu và dễ thực hiện hơn. - HUMAN-FAC2]]</f>
        <v>10</v>
      </c>
      <c r="AH35">
        <f t="shared" si="9"/>
        <v>1</v>
      </c>
      <c r="AI35" s="32">
        <f t="shared" si="10"/>
        <v>0.83333333333333326</v>
      </c>
      <c r="AJ35" s="32">
        <f t="shared" si="11"/>
        <v>1</v>
      </c>
      <c r="AK35">
        <f>step3_validation[[#This Row],[AI_TRU1]]</f>
        <v>9</v>
      </c>
      <c r="AL35">
        <f t="shared" si="12"/>
        <v>0.88888888888888884</v>
      </c>
      <c r="AM35">
        <f>survey_responses[[#This Row],[Tôi tin rằng Nhà nước, cơ quan thuế sẽ thực thi chính sách mới một cách khách quan, công tâm và đối xử bình đẳng với mọi người nộp thuế.  - HUMAN-TRU1]]</f>
        <v>10</v>
      </c>
      <c r="AN35">
        <f t="shared" si="13"/>
        <v>1</v>
      </c>
      <c r="AO35">
        <f>step3_validation[[#This Row],[AI_TRU2]]</f>
        <v>8</v>
      </c>
      <c r="AP35">
        <f t="shared" si="14"/>
        <v>0.77777777777777779</v>
      </c>
      <c r="AQ35">
        <f>survey_responses[[#This Row],[Tôi thấy mức thuế tôi phải đóng theo phương án mới là công bằng (người thu nhập như tôi đóng mức này là hợp lý). - HUMAN-TRU2]]</f>
        <v>10</v>
      </c>
      <c r="AR35">
        <f t="shared" si="15"/>
        <v>1</v>
      </c>
      <c r="AS35">
        <f>step3_validation[[#This Row],[AI_TRU3]]</f>
        <v>9</v>
      </c>
      <c r="AT35">
        <f t="shared" si="16"/>
        <v>0.88888888888888884</v>
      </c>
      <c r="AU35">
        <f>survey_responses[[#This Row],[Tôi tin tưởng số tiền thuế tôi đóng sẽ được Nhà nước sử dụng hiệu quả để cải thiện dịch vụ công (y tế, đường xá...). - HUMAN-TRU3]]</f>
        <v>10</v>
      </c>
      <c r="AV35">
        <f t="shared" si="17"/>
        <v>1</v>
      </c>
      <c r="AW35">
        <f>step3_validation[[#This Row],[AI_TRU4]]</f>
        <v>8</v>
      </c>
      <c r="AX35">
        <f t="shared" si="18"/>
        <v>0.77777777777777779</v>
      </c>
      <c r="AY35">
        <f>survey_responses[[#This Row],[Tôi thấy Nhà nước đã giải thích rõ ràng, minh bạch về lý do và mục tiêu của việc sửa đổi thuế lần này. - HUMAN-TRU4]]</f>
        <v>10</v>
      </c>
      <c r="AZ35">
        <f t="shared" si="19"/>
        <v>1</v>
      </c>
      <c r="BA35" s="32">
        <f t="shared" si="20"/>
        <v>0.83333333333333326</v>
      </c>
      <c r="BB35" s="32">
        <f t="shared" si="21"/>
        <v>1</v>
      </c>
      <c r="BC35" s="7">
        <f t="shared" si="22"/>
        <v>0.75925925925925919</v>
      </c>
      <c r="BD35" s="7">
        <f t="shared" si="23"/>
        <v>1</v>
      </c>
      <c r="BE35">
        <f>step3_validation[[#This Row],[AI_OUT1]]</f>
        <v>9</v>
      </c>
      <c r="BF35">
        <f t="shared" si="24"/>
        <v>0.88888888888888884</v>
      </c>
      <c r="BG35">
        <f>survey_responses[[#This Row],[Sau khi xem xét các quyền lợi và nghĩa vụ, bạn có ủng hộ và tuân thủ chính sách mới hiện nay? - HUMAN-OUT1]]</f>
        <v>10</v>
      </c>
      <c r="BH35">
        <f t="shared" si="25"/>
        <v>1</v>
      </c>
      <c r="BI35" s="32">
        <f t="shared" si="26"/>
        <v>1</v>
      </c>
    </row>
    <row r="36" spans="1:61" x14ac:dyDescent="0.45">
      <c r="A36" s="30">
        <f>step3_validation[[#This Row],[Persona_ID]]</f>
        <v>35</v>
      </c>
      <c r="B36" s="31">
        <f>step3_validation[[#This Row],[Used_Seed]]</f>
        <v>12379</v>
      </c>
      <c r="C36" t="str">
        <f>step3_validation[[#This Row],[Gender]]</f>
        <v>Nữ</v>
      </c>
      <c r="D36" t="str">
        <f>survey_responses[[#This Row],[Giới tính của bạn:]]</f>
        <v>Nữ</v>
      </c>
      <c r="E36" t="str">
        <f>step3_validation[[#This Row],[Age_Group]]</f>
        <v>30 - 39</v>
      </c>
      <c r="F36" t="str">
        <f>survey_responses[[#This Row],[Độ tuổi của bạn:]]</f>
        <v>30 - 39</v>
      </c>
      <c r="G36" t="str">
        <f>step3_validation[[#This Row],[Region]]</f>
        <v>Thành thị</v>
      </c>
      <c r="H36" t="str">
        <f>survey_responses[[#This Row],[Khu vực bạn đang sinh sống:]]</f>
        <v>Thành thị</v>
      </c>
      <c r="I36" t="str">
        <f>step3_validation[[#This Row],[Education]]</f>
        <v>Cao đẳng</v>
      </c>
      <c r="J36" t="str">
        <f>survey_responses[[#This Row],[Trình độ học vấn cao nhất:]]</f>
        <v>Cao đẳng</v>
      </c>
      <c r="K36" t="str">
        <f>step3_validation[[#This Row],[Employment]]</f>
        <v>Chính thức</v>
      </c>
      <c r="L36" t="str">
        <f>survey_responses[[#This Row],[Tình trạng việc làm chính:]]</f>
        <v>Khu vực chính thức (Có Hợp đồng lao động, đóng BHXH)</v>
      </c>
      <c r="M36">
        <f>step3_validation[[#This Row],[Income_Mil]]</f>
        <v>12.199839148378798</v>
      </c>
      <c r="N36" t="str">
        <f>survey_responses[[#This Row],[Thu nhập bình quân tháng theo Hợp đồng lao động của bạn là bao nhiêu? (Vui lòng điền tổng thu nhập trước khi khấu trừ các loại Bảo hiểm (BHXH, BHYT, BHTN) và Thuế TNCN)]]</f>
        <v>Từ 12 - 18 triệu VNĐ</v>
      </c>
      <c r="O36">
        <f>step3_validation[[#This Row],[Dependents]]</f>
        <v>3</v>
      </c>
      <c r="P36" t="str">
        <f>survey_responses[[#This Row],[Số người phụ thuộc (con nhỏ, cha mẹ già...) đủ điều kiện giảm trừ gia cảnh:]]</f>
        <v>3 người</v>
      </c>
      <c r="Q36">
        <f>step3_validation[[#This Row],[AI_ENF1]]</f>
        <v>7</v>
      </c>
      <c r="R36">
        <f t="shared" si="0"/>
        <v>0.66666666666666663</v>
      </c>
      <c r="S36">
        <f>survey_responses[[#This Row],[Tôi tin rằng với các quy định quản lý thuế hiện nay, hành vi gian lận hoặc trốn thuế sẽ dễ dàng bị phát hiện và xử lý nghiêm. - HUMAN-ENF1]]</f>
        <v>10</v>
      </c>
      <c r="T36">
        <f t="shared" si="1"/>
        <v>1</v>
      </c>
      <c r="U36">
        <f>step3_validation[[#This Row],[AI_ENF2]]</f>
        <v>8</v>
      </c>
      <c r="V36">
        <f t="shared" si="2"/>
        <v>0.77777777777777779</v>
      </c>
      <c r="W36">
        <f>survey_responses[[#This Row],[Tôi tin rằng Nhà nước, cơ quan thuế có đủ khả năng và công nghệ để phát hiện, xử lý nghiêm các hành vi trốn thuế. - HUMAN-ENF2]]</f>
        <v>10</v>
      </c>
      <c r="X36">
        <f t="shared" si="3"/>
        <v>1</v>
      </c>
      <c r="Y36" s="32">
        <f t="shared" si="4"/>
        <v>0.72222222222222221</v>
      </c>
      <c r="Z36" s="32">
        <f t="shared" si="5"/>
        <v>1</v>
      </c>
      <c r="AA36">
        <f>step3_validation[[#This Row],[AI_FAC1]]</f>
        <v>9</v>
      </c>
      <c r="AB36">
        <f t="shared" si="6"/>
        <v>0.88888888888888884</v>
      </c>
      <c r="AC36">
        <f>survey_responses[[#This Row],[Các thủ tục khai báo thuế VÀ/HOẶC quy trình làm việc với cơ quan thuế đơn giản, tiện lợi, nhanh chóng hơn so với trước đây. - HUMAN-FAC1]]</f>
        <v>10</v>
      </c>
      <c r="AD36">
        <f t="shared" si="7"/>
        <v>1</v>
      </c>
      <c r="AE36">
        <f>step3_validation[[#This Row],[AI_FAC2]]</f>
        <v>9</v>
      </c>
      <c r="AF36">
        <f t="shared" si="8"/>
        <v>0.88888888888888884</v>
      </c>
      <c r="AG36">
        <f>survey_responses[[#This Row],[So với trước đây, tôi thấy cách tính thuế và các bậc thuế trong phương án mới đơn giản, dễ hiểu và dễ thực hiện hơn. - HUMAN-FAC2]]</f>
        <v>10</v>
      </c>
      <c r="AH36">
        <f t="shared" si="9"/>
        <v>1</v>
      </c>
      <c r="AI36" s="32">
        <f t="shared" si="10"/>
        <v>0.88888888888888884</v>
      </c>
      <c r="AJ36" s="32">
        <f t="shared" si="11"/>
        <v>1</v>
      </c>
      <c r="AK36">
        <f>step3_validation[[#This Row],[AI_TRU1]]</f>
        <v>8</v>
      </c>
      <c r="AL36">
        <f t="shared" si="12"/>
        <v>0.77777777777777779</v>
      </c>
      <c r="AM36">
        <f>survey_responses[[#This Row],[Tôi tin rằng Nhà nước, cơ quan thuế sẽ thực thi chính sách mới một cách khách quan, công tâm và đối xử bình đẳng với mọi người nộp thuế.  - HUMAN-TRU1]]</f>
        <v>10</v>
      </c>
      <c r="AN36">
        <f t="shared" si="13"/>
        <v>1</v>
      </c>
      <c r="AO36">
        <f>step3_validation[[#This Row],[AI_TRU2]]</f>
        <v>9</v>
      </c>
      <c r="AP36">
        <f t="shared" si="14"/>
        <v>0.88888888888888884</v>
      </c>
      <c r="AQ36">
        <f>survey_responses[[#This Row],[Tôi thấy mức thuế tôi phải đóng theo phương án mới là công bằng (người thu nhập như tôi đóng mức này là hợp lý). - HUMAN-TRU2]]</f>
        <v>10</v>
      </c>
      <c r="AR36">
        <f t="shared" si="15"/>
        <v>1</v>
      </c>
      <c r="AS36">
        <f>step3_validation[[#This Row],[AI_TRU3]]</f>
        <v>8</v>
      </c>
      <c r="AT36">
        <f t="shared" si="16"/>
        <v>0.77777777777777779</v>
      </c>
      <c r="AU36">
        <f>survey_responses[[#This Row],[Tôi tin tưởng số tiền thuế tôi đóng sẽ được Nhà nước sử dụng hiệu quả để cải thiện dịch vụ công (y tế, đường xá...). - HUMAN-TRU3]]</f>
        <v>10</v>
      </c>
      <c r="AV36">
        <f t="shared" si="17"/>
        <v>1</v>
      </c>
      <c r="AW36">
        <f>step3_validation[[#This Row],[AI_TRU4]]</f>
        <v>9</v>
      </c>
      <c r="AX36">
        <f t="shared" si="18"/>
        <v>0.88888888888888884</v>
      </c>
      <c r="AY36">
        <f>survey_responses[[#This Row],[Tôi thấy Nhà nước đã giải thích rõ ràng, minh bạch về lý do và mục tiêu của việc sửa đổi thuế lần này. - HUMAN-TRU4]]</f>
        <v>10</v>
      </c>
      <c r="AZ36">
        <f t="shared" si="19"/>
        <v>1</v>
      </c>
      <c r="BA36" s="32">
        <f t="shared" si="20"/>
        <v>0.83333333333333326</v>
      </c>
      <c r="BB36" s="32">
        <f t="shared" si="21"/>
        <v>1</v>
      </c>
      <c r="BC36" s="7">
        <f t="shared" si="22"/>
        <v>0.81481481481481488</v>
      </c>
      <c r="BD36" s="7">
        <f t="shared" si="23"/>
        <v>1</v>
      </c>
      <c r="BE36">
        <f>step3_validation[[#This Row],[AI_OUT1]]</f>
        <v>10</v>
      </c>
      <c r="BF36">
        <f t="shared" si="24"/>
        <v>1</v>
      </c>
      <c r="BG36">
        <f>survey_responses[[#This Row],[Sau khi xem xét các quyền lợi và nghĩa vụ, bạn có ủng hộ và tuân thủ chính sách mới hiện nay? - HUMAN-OUT1]]</f>
        <v>10</v>
      </c>
      <c r="BH36">
        <f t="shared" si="25"/>
        <v>1</v>
      </c>
      <c r="BI36" s="32">
        <f t="shared" si="26"/>
        <v>0</v>
      </c>
    </row>
    <row r="37" spans="1:61" x14ac:dyDescent="0.45">
      <c r="A37" s="30">
        <f>step3_validation[[#This Row],[Persona_ID]]</f>
        <v>36</v>
      </c>
      <c r="B37" s="31">
        <f>step3_validation[[#This Row],[Used_Seed]]</f>
        <v>12380</v>
      </c>
      <c r="C37" t="str">
        <f>step3_validation[[#This Row],[Gender]]</f>
        <v>Nữ</v>
      </c>
      <c r="D37" t="str">
        <f>survey_responses[[#This Row],[Giới tính của bạn:]]</f>
        <v>Nữ</v>
      </c>
      <c r="E37" t="str">
        <f>step3_validation[[#This Row],[Age_Group]]</f>
        <v>18 - 24</v>
      </c>
      <c r="F37" t="str">
        <f>survey_responses[[#This Row],[Độ tuổi của bạn:]]</f>
        <v>18 - 24</v>
      </c>
      <c r="G37" t="str">
        <f>step3_validation[[#This Row],[Region]]</f>
        <v>Thành thị</v>
      </c>
      <c r="H37" t="str">
        <f>survey_responses[[#This Row],[Khu vực bạn đang sinh sống:]]</f>
        <v>Thành thị</v>
      </c>
      <c r="I37" t="str">
        <f>step3_validation[[#This Row],[Education]]</f>
        <v>Đại học</v>
      </c>
      <c r="J37" t="str">
        <f>survey_responses[[#This Row],[Trình độ học vấn cao nhất:]]</f>
        <v>Đại học</v>
      </c>
      <c r="K37" t="str">
        <f>step3_validation[[#This Row],[Employment]]</f>
        <v>Chính thức</v>
      </c>
      <c r="L37" t="str">
        <f>survey_responses[[#This Row],[Tình trạng việc làm chính:]]</f>
        <v>Khu vực chính thức (Có Hợp đồng lao động, đóng BHXH)</v>
      </c>
      <c r="M37">
        <f>step3_validation[[#This Row],[Income_Mil]]</f>
        <v>12.036573186404826</v>
      </c>
      <c r="N37" t="str">
        <f>survey_responses[[#This Row],[Thu nhập bình quân tháng theo Hợp đồng lao động của bạn là bao nhiêu? (Vui lòng điền tổng thu nhập trước khi khấu trừ các loại Bảo hiểm (BHXH, BHYT, BHTN) và Thuế TNCN)]]</f>
        <v>Từ 12 - 18 triệu VNĐ</v>
      </c>
      <c r="O37">
        <f>step3_validation[[#This Row],[Dependents]]</f>
        <v>0</v>
      </c>
      <c r="P37" t="str">
        <f>survey_responses[[#This Row],[Số người phụ thuộc (con nhỏ, cha mẹ già...) đủ điều kiện giảm trừ gia cảnh:]]</f>
        <v>0 người</v>
      </c>
      <c r="Q37">
        <f>step3_validation[[#This Row],[AI_ENF1]]</f>
        <v>6</v>
      </c>
      <c r="R37">
        <f t="shared" si="0"/>
        <v>0.55555555555555558</v>
      </c>
      <c r="S37">
        <f>survey_responses[[#This Row],[Tôi tin rằng với các quy định quản lý thuế hiện nay, hành vi gian lận hoặc trốn thuế sẽ dễ dàng bị phát hiện và xử lý nghiêm. - HUMAN-ENF1]]</f>
        <v>10</v>
      </c>
      <c r="T37">
        <f t="shared" si="1"/>
        <v>1</v>
      </c>
      <c r="U37">
        <f>step3_validation[[#This Row],[AI_ENF2]]</f>
        <v>5</v>
      </c>
      <c r="V37">
        <f t="shared" si="2"/>
        <v>0.44444444444444442</v>
      </c>
      <c r="W37">
        <f>survey_responses[[#This Row],[Tôi tin rằng Nhà nước, cơ quan thuế có đủ khả năng và công nghệ để phát hiện, xử lý nghiêm các hành vi trốn thuế. - HUMAN-ENF2]]</f>
        <v>9</v>
      </c>
      <c r="X37">
        <f t="shared" si="3"/>
        <v>0.88888888888888884</v>
      </c>
      <c r="Y37" s="32">
        <f t="shared" si="4"/>
        <v>0.5</v>
      </c>
      <c r="Z37" s="32">
        <f t="shared" si="5"/>
        <v>0.94444444444444442</v>
      </c>
      <c r="AA37">
        <f>step3_validation[[#This Row],[AI_FAC1]]</f>
        <v>8</v>
      </c>
      <c r="AB37">
        <f t="shared" si="6"/>
        <v>0.77777777777777779</v>
      </c>
      <c r="AC37">
        <f>survey_responses[[#This Row],[Các thủ tục khai báo thuế VÀ/HOẶC quy trình làm việc với cơ quan thuế đơn giản, tiện lợi, nhanh chóng hơn so với trước đây. - HUMAN-FAC1]]</f>
        <v>10</v>
      </c>
      <c r="AD37">
        <f t="shared" si="7"/>
        <v>1</v>
      </c>
      <c r="AE37">
        <f>step3_validation[[#This Row],[AI_FAC2]]</f>
        <v>9</v>
      </c>
      <c r="AF37">
        <f t="shared" si="8"/>
        <v>0.88888888888888884</v>
      </c>
      <c r="AG37">
        <f>survey_responses[[#This Row],[So với trước đây, tôi thấy cách tính thuế và các bậc thuế trong phương án mới đơn giản, dễ hiểu và dễ thực hiện hơn. - HUMAN-FAC2]]</f>
        <v>8</v>
      </c>
      <c r="AH37">
        <f t="shared" si="9"/>
        <v>0.77777777777777779</v>
      </c>
      <c r="AI37" s="32">
        <f t="shared" si="10"/>
        <v>0.83333333333333326</v>
      </c>
      <c r="AJ37" s="32">
        <f t="shared" si="11"/>
        <v>0.88888888888888884</v>
      </c>
      <c r="AK37">
        <f>step3_validation[[#This Row],[AI_TRU1]]</f>
        <v>7</v>
      </c>
      <c r="AL37">
        <f t="shared" si="12"/>
        <v>0.66666666666666663</v>
      </c>
      <c r="AM37">
        <f>survey_responses[[#This Row],[Tôi tin rằng Nhà nước, cơ quan thuế sẽ thực thi chính sách mới một cách khách quan, công tâm và đối xử bình đẳng với mọi người nộp thuế.  - HUMAN-TRU1]]</f>
        <v>10</v>
      </c>
      <c r="AN37">
        <f t="shared" si="13"/>
        <v>1</v>
      </c>
      <c r="AO37">
        <f>step3_validation[[#This Row],[AI_TRU2]]</f>
        <v>8</v>
      </c>
      <c r="AP37">
        <f t="shared" si="14"/>
        <v>0.77777777777777779</v>
      </c>
      <c r="AQ37">
        <f>survey_responses[[#This Row],[Tôi thấy mức thuế tôi phải đóng theo phương án mới là công bằng (người thu nhập như tôi đóng mức này là hợp lý). - HUMAN-TRU2]]</f>
        <v>9</v>
      </c>
      <c r="AR37">
        <f t="shared" si="15"/>
        <v>0.88888888888888884</v>
      </c>
      <c r="AS37">
        <f>step3_validation[[#This Row],[AI_TRU3]]</f>
        <v>7</v>
      </c>
      <c r="AT37">
        <f t="shared" si="16"/>
        <v>0.66666666666666663</v>
      </c>
      <c r="AU37">
        <f>survey_responses[[#This Row],[Tôi tin tưởng số tiền thuế tôi đóng sẽ được Nhà nước sử dụng hiệu quả để cải thiện dịch vụ công (y tế, đường xá...). - HUMAN-TRU3]]</f>
        <v>10</v>
      </c>
      <c r="AV37">
        <f t="shared" si="17"/>
        <v>1</v>
      </c>
      <c r="AW37">
        <f>step3_validation[[#This Row],[AI_TRU4]]</f>
        <v>6</v>
      </c>
      <c r="AX37">
        <f t="shared" si="18"/>
        <v>0.55555555555555558</v>
      </c>
      <c r="AY37">
        <f>survey_responses[[#This Row],[Tôi thấy Nhà nước đã giải thích rõ ràng, minh bạch về lý do và mục tiêu của việc sửa đổi thuế lần này. - HUMAN-TRU4]]</f>
        <v>10</v>
      </c>
      <c r="AZ37">
        <f t="shared" si="19"/>
        <v>1</v>
      </c>
      <c r="BA37" s="32">
        <f t="shared" si="20"/>
        <v>0.66666666666666674</v>
      </c>
      <c r="BB37" s="32">
        <f t="shared" si="21"/>
        <v>0.97222222222222221</v>
      </c>
      <c r="BC37" s="7">
        <f t="shared" si="22"/>
        <v>0.66666666666666663</v>
      </c>
      <c r="BD37" s="7">
        <f t="shared" si="23"/>
        <v>0.93518518518518512</v>
      </c>
      <c r="BE37">
        <f>step3_validation[[#This Row],[AI_OUT1]]</f>
        <v>8</v>
      </c>
      <c r="BF37">
        <f t="shared" si="24"/>
        <v>0.77777777777777779</v>
      </c>
      <c r="BG37">
        <f>survey_responses[[#This Row],[Sau khi xem xét các quyền lợi và nghĩa vụ, bạn có ủng hộ và tuân thủ chính sách mới hiện nay? - HUMAN-OUT1]]</f>
        <v>10</v>
      </c>
      <c r="BH37">
        <f t="shared" si="25"/>
        <v>1</v>
      </c>
      <c r="BI37" s="32">
        <f t="shared" si="26"/>
        <v>2</v>
      </c>
    </row>
    <row r="38" spans="1:61" x14ac:dyDescent="0.45">
      <c r="A38" s="30">
        <f>step3_validation[[#This Row],[Persona_ID]]</f>
        <v>37</v>
      </c>
      <c r="B38" s="31">
        <f>step3_validation[[#This Row],[Used_Seed]]</f>
        <v>12381</v>
      </c>
      <c r="C38" t="str">
        <f>step3_validation[[#This Row],[Gender]]</f>
        <v>Nam</v>
      </c>
      <c r="D38" t="str">
        <f>survey_responses[[#This Row],[Giới tính của bạn:]]</f>
        <v>Nam</v>
      </c>
      <c r="E38" t="str">
        <f>step3_validation[[#This Row],[Age_Group]]</f>
        <v>18 - 24</v>
      </c>
      <c r="F38" t="str">
        <f>survey_responses[[#This Row],[Độ tuổi của bạn:]]</f>
        <v>18 - 24</v>
      </c>
      <c r="G38" t="str">
        <f>step3_validation[[#This Row],[Region]]</f>
        <v>Thành thị</v>
      </c>
      <c r="H38" t="str">
        <f>survey_responses[[#This Row],[Khu vực bạn đang sinh sống:]]</f>
        <v>Thành thị</v>
      </c>
      <c r="I38" t="str">
        <f>step3_validation[[#This Row],[Education]]</f>
        <v>Đại học</v>
      </c>
      <c r="J38" t="str">
        <f>survey_responses[[#This Row],[Trình độ học vấn cao nhất:]]</f>
        <v>Đại học</v>
      </c>
      <c r="K38" t="str">
        <f>step3_validation[[#This Row],[Employment]]</f>
        <v>Chính thức</v>
      </c>
      <c r="L38" t="str">
        <f>survey_responses[[#This Row],[Tình trạng việc làm chính:]]</f>
        <v>Khu vực chính thức (Có Hợp đồng lao động, đóng BHXH)</v>
      </c>
      <c r="M38">
        <f>step3_validation[[#This Row],[Income_Mil]]</f>
        <v>12.284195665474812</v>
      </c>
      <c r="N38" t="str">
        <f>survey_responses[[#This Row],[Thu nhập bình quân tháng theo Hợp đồng lao động của bạn là bao nhiêu? (Vui lòng điền tổng thu nhập trước khi khấu trừ các loại Bảo hiểm (BHXH, BHYT, BHTN) và Thuế TNCN)]]</f>
        <v>Từ 12 - 18 triệu VNĐ</v>
      </c>
      <c r="O38">
        <f>step3_validation[[#This Row],[Dependents]]</f>
        <v>0</v>
      </c>
      <c r="P38" t="str">
        <f>survey_responses[[#This Row],[Số người phụ thuộc (con nhỏ, cha mẹ già...) đủ điều kiện giảm trừ gia cảnh:]]</f>
        <v>0 người</v>
      </c>
      <c r="Q38">
        <f>step3_validation[[#This Row],[AI_ENF1]]</f>
        <v>8</v>
      </c>
      <c r="R38">
        <f t="shared" si="0"/>
        <v>0.77777777777777779</v>
      </c>
      <c r="S38">
        <f>survey_responses[[#This Row],[Tôi tin rằng với các quy định quản lý thuế hiện nay, hành vi gian lận hoặc trốn thuế sẽ dễ dàng bị phát hiện và xử lý nghiêm. - HUMAN-ENF1]]</f>
        <v>10</v>
      </c>
      <c r="T38">
        <f t="shared" si="1"/>
        <v>1</v>
      </c>
      <c r="U38">
        <f>step3_validation[[#This Row],[AI_ENF2]]</f>
        <v>9</v>
      </c>
      <c r="V38">
        <f t="shared" si="2"/>
        <v>0.88888888888888884</v>
      </c>
      <c r="W38">
        <f>survey_responses[[#This Row],[Tôi tin rằng Nhà nước, cơ quan thuế có đủ khả năng và công nghệ để phát hiện, xử lý nghiêm các hành vi trốn thuế. - HUMAN-ENF2]]</f>
        <v>10</v>
      </c>
      <c r="X38">
        <f t="shared" si="3"/>
        <v>1</v>
      </c>
      <c r="Y38" s="32">
        <f t="shared" si="4"/>
        <v>0.83333333333333326</v>
      </c>
      <c r="Z38" s="32">
        <f t="shared" si="5"/>
        <v>1</v>
      </c>
      <c r="AA38">
        <f>step3_validation[[#This Row],[AI_FAC1]]</f>
        <v>8</v>
      </c>
      <c r="AB38">
        <f t="shared" si="6"/>
        <v>0.77777777777777779</v>
      </c>
      <c r="AC38">
        <f>survey_responses[[#This Row],[Các thủ tục khai báo thuế VÀ/HOẶC quy trình làm việc với cơ quan thuế đơn giản, tiện lợi, nhanh chóng hơn so với trước đây. - HUMAN-FAC1]]</f>
        <v>10</v>
      </c>
      <c r="AD38">
        <f t="shared" si="7"/>
        <v>1</v>
      </c>
      <c r="AE38">
        <f>step3_validation[[#This Row],[AI_FAC2]]</f>
        <v>9</v>
      </c>
      <c r="AF38">
        <f t="shared" si="8"/>
        <v>0.88888888888888884</v>
      </c>
      <c r="AG38">
        <f>survey_responses[[#This Row],[So với trước đây, tôi thấy cách tính thuế và các bậc thuế trong phương án mới đơn giản, dễ hiểu và dễ thực hiện hơn. - HUMAN-FAC2]]</f>
        <v>10</v>
      </c>
      <c r="AH38">
        <f t="shared" si="9"/>
        <v>1</v>
      </c>
      <c r="AI38" s="32">
        <f t="shared" si="10"/>
        <v>0.83333333333333326</v>
      </c>
      <c r="AJ38" s="32">
        <f t="shared" si="11"/>
        <v>1</v>
      </c>
      <c r="AK38">
        <f>step3_validation[[#This Row],[AI_TRU1]]</f>
        <v>8</v>
      </c>
      <c r="AL38">
        <f t="shared" si="12"/>
        <v>0.77777777777777779</v>
      </c>
      <c r="AM38">
        <f>survey_responses[[#This Row],[Tôi tin rằng Nhà nước, cơ quan thuế sẽ thực thi chính sách mới một cách khách quan, công tâm và đối xử bình đẳng với mọi người nộp thuế.  - HUMAN-TRU1]]</f>
        <v>9</v>
      </c>
      <c r="AN38">
        <f t="shared" si="13"/>
        <v>0.88888888888888884</v>
      </c>
      <c r="AO38">
        <f>step3_validation[[#This Row],[AI_TRU2]]</f>
        <v>9</v>
      </c>
      <c r="AP38">
        <f t="shared" si="14"/>
        <v>0.88888888888888884</v>
      </c>
      <c r="AQ38">
        <f>survey_responses[[#This Row],[Tôi thấy mức thuế tôi phải đóng theo phương án mới là công bằng (người thu nhập như tôi đóng mức này là hợp lý). - HUMAN-TRU2]]</f>
        <v>9</v>
      </c>
      <c r="AR38">
        <f t="shared" si="15"/>
        <v>0.88888888888888884</v>
      </c>
      <c r="AS38">
        <f>step3_validation[[#This Row],[AI_TRU3]]</f>
        <v>8</v>
      </c>
      <c r="AT38">
        <f t="shared" si="16"/>
        <v>0.77777777777777779</v>
      </c>
      <c r="AU38">
        <f>survey_responses[[#This Row],[Tôi tin tưởng số tiền thuế tôi đóng sẽ được Nhà nước sử dụng hiệu quả để cải thiện dịch vụ công (y tế, đường xá...). - HUMAN-TRU3]]</f>
        <v>9</v>
      </c>
      <c r="AV38">
        <f t="shared" si="17"/>
        <v>0.88888888888888884</v>
      </c>
      <c r="AW38">
        <f>step3_validation[[#This Row],[AI_TRU4]]</f>
        <v>9</v>
      </c>
      <c r="AX38">
        <f t="shared" si="18"/>
        <v>0.88888888888888884</v>
      </c>
      <c r="AY38">
        <f>survey_responses[[#This Row],[Tôi thấy Nhà nước đã giải thích rõ ràng, minh bạch về lý do và mục tiêu của việc sửa đổi thuế lần này. - HUMAN-TRU4]]</f>
        <v>9</v>
      </c>
      <c r="AZ38">
        <f t="shared" si="19"/>
        <v>0.88888888888888884</v>
      </c>
      <c r="BA38" s="32">
        <f t="shared" si="20"/>
        <v>0.83333333333333326</v>
      </c>
      <c r="BB38" s="32">
        <f t="shared" si="21"/>
        <v>0.88888888888888884</v>
      </c>
      <c r="BC38" s="7">
        <f t="shared" si="22"/>
        <v>0.83333333333333337</v>
      </c>
      <c r="BD38" s="7">
        <f t="shared" si="23"/>
        <v>0.96296296296296291</v>
      </c>
      <c r="BE38">
        <f>step3_validation[[#This Row],[AI_OUT1]]</f>
        <v>8</v>
      </c>
      <c r="BF38">
        <f t="shared" si="24"/>
        <v>0.77777777777777779</v>
      </c>
      <c r="BG38">
        <f>survey_responses[[#This Row],[Sau khi xem xét các quyền lợi và nghĩa vụ, bạn có ủng hộ và tuân thủ chính sách mới hiện nay? - HUMAN-OUT1]]</f>
        <v>8</v>
      </c>
      <c r="BH38">
        <f t="shared" si="25"/>
        <v>0.77777777777777779</v>
      </c>
      <c r="BI38" s="32">
        <f t="shared" si="26"/>
        <v>0</v>
      </c>
    </row>
    <row r="39" spans="1:61" x14ac:dyDescent="0.45">
      <c r="A39" s="30">
        <f>step3_validation[[#This Row],[Persona_ID]]</f>
        <v>38</v>
      </c>
      <c r="B39" s="31">
        <f>step3_validation[[#This Row],[Used_Seed]]</f>
        <v>12382</v>
      </c>
      <c r="C39" t="str">
        <f>step3_validation[[#This Row],[Gender]]</f>
        <v>Nữ</v>
      </c>
      <c r="D39" t="str">
        <f>survey_responses[[#This Row],[Giới tính của bạn:]]</f>
        <v>Nữ</v>
      </c>
      <c r="E39" t="str">
        <f>step3_validation[[#This Row],[Age_Group]]</f>
        <v>30 - 39</v>
      </c>
      <c r="F39" t="str">
        <f>survey_responses[[#This Row],[Độ tuổi của bạn:]]</f>
        <v>30 - 39</v>
      </c>
      <c r="G39" t="str">
        <f>step3_validation[[#This Row],[Region]]</f>
        <v>Thành thị</v>
      </c>
      <c r="H39" t="str">
        <f>survey_responses[[#This Row],[Khu vực bạn đang sinh sống:]]</f>
        <v>Thành thị</v>
      </c>
      <c r="I39" t="str">
        <f>step3_validation[[#This Row],[Education]]</f>
        <v>Đại học</v>
      </c>
      <c r="J39" t="str">
        <f>survey_responses[[#This Row],[Trình độ học vấn cao nhất:]]</f>
        <v>Đại học</v>
      </c>
      <c r="K39" t="str">
        <f>step3_validation[[#This Row],[Employment]]</f>
        <v>Chính thức</v>
      </c>
      <c r="L39" t="str">
        <f>survey_responses[[#This Row],[Tình trạng việc làm chính:]]</f>
        <v>Khu vực chính thức (Có Hợp đồng lao động, đóng BHXH)</v>
      </c>
      <c r="M39">
        <f>step3_validation[[#This Row],[Income_Mil]]</f>
        <v>46.409239854903745</v>
      </c>
      <c r="N39" t="str">
        <f>survey_responses[[#This Row],[Thu nhập bình quân tháng theo Hợp đồng lao động của bạn là bao nhiêu? (Vui lòng điền tổng thu nhập trước khi khấu trừ các loại Bảo hiểm (BHXH, BHYT, BHTN) và Thuế TNCN)]]</f>
        <v>Từ 32 - 48 triệu VNĐ</v>
      </c>
      <c r="O39">
        <f>step3_validation[[#This Row],[Dependents]]</f>
        <v>1</v>
      </c>
      <c r="P39" t="str">
        <f>survey_responses[[#This Row],[Số người phụ thuộc (con nhỏ, cha mẹ già...) đủ điều kiện giảm trừ gia cảnh:]]</f>
        <v>1 người</v>
      </c>
      <c r="Q39">
        <f>step3_validation[[#This Row],[AI_ENF1]]</f>
        <v>7</v>
      </c>
      <c r="R39">
        <f t="shared" si="0"/>
        <v>0.66666666666666663</v>
      </c>
      <c r="S39">
        <f>survey_responses[[#This Row],[Tôi tin rằng với các quy định quản lý thuế hiện nay, hành vi gian lận hoặc trốn thuế sẽ dễ dàng bị phát hiện và xử lý nghiêm. - HUMAN-ENF1]]</f>
        <v>8</v>
      </c>
      <c r="T39">
        <f t="shared" si="1"/>
        <v>0.77777777777777779</v>
      </c>
      <c r="U39">
        <f>step3_validation[[#This Row],[AI_ENF2]]</f>
        <v>8</v>
      </c>
      <c r="V39">
        <f t="shared" si="2"/>
        <v>0.77777777777777779</v>
      </c>
      <c r="W39">
        <f>survey_responses[[#This Row],[Tôi tin rằng Nhà nước, cơ quan thuế có đủ khả năng và công nghệ để phát hiện, xử lý nghiêm các hành vi trốn thuế. - HUMAN-ENF2]]</f>
        <v>8</v>
      </c>
      <c r="X39">
        <f t="shared" si="3"/>
        <v>0.77777777777777779</v>
      </c>
      <c r="Y39" s="32">
        <f t="shared" si="4"/>
        <v>0.72222222222222221</v>
      </c>
      <c r="Z39" s="32">
        <f t="shared" si="5"/>
        <v>0.77777777777777779</v>
      </c>
      <c r="AA39">
        <f>step3_validation[[#This Row],[AI_FAC1]]</f>
        <v>7</v>
      </c>
      <c r="AB39">
        <f t="shared" si="6"/>
        <v>0.66666666666666663</v>
      </c>
      <c r="AC39">
        <f>survey_responses[[#This Row],[Các thủ tục khai báo thuế VÀ/HOẶC quy trình làm việc với cơ quan thuế đơn giản, tiện lợi, nhanh chóng hơn so với trước đây. - HUMAN-FAC1]]</f>
        <v>8</v>
      </c>
      <c r="AD39">
        <f t="shared" si="7"/>
        <v>0.77777777777777779</v>
      </c>
      <c r="AE39">
        <f>step3_validation[[#This Row],[AI_FAC2]]</f>
        <v>9</v>
      </c>
      <c r="AF39">
        <f t="shared" si="8"/>
        <v>0.88888888888888884</v>
      </c>
      <c r="AG39">
        <f>survey_responses[[#This Row],[So với trước đây, tôi thấy cách tính thuế và các bậc thuế trong phương án mới đơn giản, dễ hiểu và dễ thực hiện hơn. - HUMAN-FAC2]]</f>
        <v>8</v>
      </c>
      <c r="AH39">
        <f t="shared" si="9"/>
        <v>0.77777777777777779</v>
      </c>
      <c r="AI39" s="32">
        <f t="shared" si="10"/>
        <v>0.77777777777777768</v>
      </c>
      <c r="AJ39" s="32">
        <f t="shared" si="11"/>
        <v>0.77777777777777779</v>
      </c>
      <c r="AK39">
        <f>step3_validation[[#This Row],[AI_TRU1]]</f>
        <v>8</v>
      </c>
      <c r="AL39">
        <f t="shared" si="12"/>
        <v>0.77777777777777779</v>
      </c>
      <c r="AM39">
        <f>survey_responses[[#This Row],[Tôi tin rằng Nhà nước, cơ quan thuế sẽ thực thi chính sách mới một cách khách quan, công tâm và đối xử bình đẳng với mọi người nộp thuế.  - HUMAN-TRU1]]</f>
        <v>8</v>
      </c>
      <c r="AN39">
        <f t="shared" si="13"/>
        <v>0.77777777777777779</v>
      </c>
      <c r="AO39">
        <f>step3_validation[[#This Row],[AI_TRU2]]</f>
        <v>9</v>
      </c>
      <c r="AP39">
        <f t="shared" si="14"/>
        <v>0.88888888888888884</v>
      </c>
      <c r="AQ39">
        <f>survey_responses[[#This Row],[Tôi thấy mức thuế tôi phải đóng theo phương án mới là công bằng (người thu nhập như tôi đóng mức này là hợp lý). - HUMAN-TRU2]]</f>
        <v>8</v>
      </c>
      <c r="AR39">
        <f t="shared" si="15"/>
        <v>0.77777777777777779</v>
      </c>
      <c r="AS39">
        <f>step3_validation[[#This Row],[AI_TRU3]]</f>
        <v>8</v>
      </c>
      <c r="AT39">
        <f t="shared" si="16"/>
        <v>0.77777777777777779</v>
      </c>
      <c r="AU39">
        <f>survey_responses[[#This Row],[Tôi tin tưởng số tiền thuế tôi đóng sẽ được Nhà nước sử dụng hiệu quả để cải thiện dịch vụ công (y tế, đường xá...). - HUMAN-TRU3]]</f>
        <v>8</v>
      </c>
      <c r="AV39">
        <f t="shared" si="17"/>
        <v>0.77777777777777779</v>
      </c>
      <c r="AW39">
        <f>step3_validation[[#This Row],[AI_TRU4]]</f>
        <v>9</v>
      </c>
      <c r="AX39">
        <f t="shared" si="18"/>
        <v>0.88888888888888884</v>
      </c>
      <c r="AY39">
        <f>survey_responses[[#This Row],[Tôi thấy Nhà nước đã giải thích rõ ràng, minh bạch về lý do và mục tiêu của việc sửa đổi thuế lần này. - HUMAN-TRU4]]</f>
        <v>8</v>
      </c>
      <c r="AZ39">
        <f t="shared" si="19"/>
        <v>0.77777777777777779</v>
      </c>
      <c r="BA39" s="32">
        <f t="shared" si="20"/>
        <v>0.83333333333333326</v>
      </c>
      <c r="BB39" s="32">
        <f t="shared" si="21"/>
        <v>0.77777777777777779</v>
      </c>
      <c r="BC39" s="7">
        <f t="shared" si="22"/>
        <v>0.77777777777777768</v>
      </c>
      <c r="BD39" s="7">
        <f t="shared" si="23"/>
        <v>0.77777777777777779</v>
      </c>
      <c r="BE39">
        <f>step3_validation[[#This Row],[AI_OUT1]]</f>
        <v>8</v>
      </c>
      <c r="BF39">
        <f t="shared" si="24"/>
        <v>0.77777777777777779</v>
      </c>
      <c r="BG39">
        <f>survey_responses[[#This Row],[Sau khi xem xét các quyền lợi và nghĩa vụ, bạn có ủng hộ và tuân thủ chính sách mới hiện nay? - HUMAN-OUT1]]</f>
        <v>8</v>
      </c>
      <c r="BH39">
        <f t="shared" si="25"/>
        <v>0.77777777777777779</v>
      </c>
      <c r="BI39" s="32">
        <f t="shared" si="26"/>
        <v>0</v>
      </c>
    </row>
    <row r="40" spans="1:61" x14ac:dyDescent="0.45">
      <c r="A40" s="30">
        <f>step3_validation[[#This Row],[Persona_ID]]</f>
        <v>39</v>
      </c>
      <c r="B40" s="31">
        <f>step3_validation[[#This Row],[Used_Seed]]</f>
        <v>12383</v>
      </c>
      <c r="C40" t="str">
        <f>step3_validation[[#This Row],[Gender]]</f>
        <v>Nam</v>
      </c>
      <c r="D40" t="str">
        <f>survey_responses[[#This Row],[Giới tính của bạn:]]</f>
        <v>Nam</v>
      </c>
      <c r="E40" t="str">
        <f>step3_validation[[#This Row],[Age_Group]]</f>
        <v>25 - 29</v>
      </c>
      <c r="F40" t="str">
        <f>survey_responses[[#This Row],[Độ tuổi của bạn:]]</f>
        <v>25 - 29</v>
      </c>
      <c r="G40" t="str">
        <f>step3_validation[[#This Row],[Region]]</f>
        <v>Thành thị</v>
      </c>
      <c r="H40" t="str">
        <f>survey_responses[[#This Row],[Khu vực bạn đang sinh sống:]]</f>
        <v>Thành thị</v>
      </c>
      <c r="I40" t="str">
        <f>step3_validation[[#This Row],[Education]]</f>
        <v>Đại học</v>
      </c>
      <c r="J40" t="str">
        <f>survey_responses[[#This Row],[Trình độ học vấn cao nhất:]]</f>
        <v>Đại học</v>
      </c>
      <c r="K40" t="str">
        <f>step3_validation[[#This Row],[Employment]]</f>
        <v>Chính thức</v>
      </c>
      <c r="L40" t="str">
        <f>survey_responses[[#This Row],[Tình trạng việc làm chính:]]</f>
        <v>Khu vực chính thức (Có Hợp đồng lao động, đóng BHXH)</v>
      </c>
      <c r="M40">
        <f>step3_validation[[#This Row],[Income_Mil]]</f>
        <v>14.660964797434934</v>
      </c>
      <c r="N40" t="str">
        <f>survey_responses[[#This Row],[Thu nhập bình quân tháng theo Hợp đồng lao động của bạn là bao nhiêu? (Vui lòng điền tổng thu nhập trước khi khấu trừ các loại Bảo hiểm (BHXH, BHYT, BHTN) và Thuế TNCN)]]</f>
        <v>Từ 12 - 18 triệu VNĐ</v>
      </c>
      <c r="O40">
        <f>step3_validation[[#This Row],[Dependents]]</f>
        <v>0</v>
      </c>
      <c r="P40" t="str">
        <f>survey_responses[[#This Row],[Số người phụ thuộc (con nhỏ, cha mẹ già...) đủ điều kiện giảm trừ gia cảnh:]]</f>
        <v>0 người</v>
      </c>
      <c r="Q40">
        <f>step3_validation[[#This Row],[AI_ENF1]]</f>
        <v>8</v>
      </c>
      <c r="R40">
        <f t="shared" si="0"/>
        <v>0.77777777777777779</v>
      </c>
      <c r="S40">
        <f>survey_responses[[#This Row],[Tôi tin rằng với các quy định quản lý thuế hiện nay, hành vi gian lận hoặc trốn thuế sẽ dễ dàng bị phát hiện và xử lý nghiêm. - HUMAN-ENF1]]</f>
        <v>10</v>
      </c>
      <c r="T40">
        <f t="shared" si="1"/>
        <v>1</v>
      </c>
      <c r="U40">
        <f>step3_validation[[#This Row],[AI_ENF2]]</f>
        <v>9</v>
      </c>
      <c r="V40">
        <f t="shared" si="2"/>
        <v>0.88888888888888884</v>
      </c>
      <c r="W40">
        <f>survey_responses[[#This Row],[Tôi tin rằng Nhà nước, cơ quan thuế có đủ khả năng và công nghệ để phát hiện, xử lý nghiêm các hành vi trốn thuế. - HUMAN-ENF2]]</f>
        <v>10</v>
      </c>
      <c r="X40">
        <f t="shared" si="3"/>
        <v>1</v>
      </c>
      <c r="Y40" s="32">
        <f t="shared" si="4"/>
        <v>0.83333333333333326</v>
      </c>
      <c r="Z40" s="32">
        <f t="shared" si="5"/>
        <v>1</v>
      </c>
      <c r="AA40">
        <f>step3_validation[[#This Row],[AI_FAC1]]</f>
        <v>8</v>
      </c>
      <c r="AB40">
        <f t="shared" si="6"/>
        <v>0.77777777777777779</v>
      </c>
      <c r="AC40">
        <f>survey_responses[[#This Row],[Các thủ tục khai báo thuế VÀ/HOẶC quy trình làm việc với cơ quan thuế đơn giản, tiện lợi, nhanh chóng hơn so với trước đây. - HUMAN-FAC1]]</f>
        <v>10</v>
      </c>
      <c r="AD40">
        <f t="shared" si="7"/>
        <v>1</v>
      </c>
      <c r="AE40">
        <f>step3_validation[[#This Row],[AI_FAC2]]</f>
        <v>9</v>
      </c>
      <c r="AF40">
        <f t="shared" si="8"/>
        <v>0.88888888888888884</v>
      </c>
      <c r="AG40">
        <f>survey_responses[[#This Row],[So với trước đây, tôi thấy cách tính thuế và các bậc thuế trong phương án mới đơn giản, dễ hiểu và dễ thực hiện hơn. - HUMAN-FAC2]]</f>
        <v>10</v>
      </c>
      <c r="AH40">
        <f t="shared" si="9"/>
        <v>1</v>
      </c>
      <c r="AI40" s="32">
        <f t="shared" si="10"/>
        <v>0.83333333333333326</v>
      </c>
      <c r="AJ40" s="32">
        <f t="shared" si="11"/>
        <v>1</v>
      </c>
      <c r="AK40">
        <f>step3_validation[[#This Row],[AI_TRU1]]</f>
        <v>8</v>
      </c>
      <c r="AL40">
        <f t="shared" si="12"/>
        <v>0.77777777777777779</v>
      </c>
      <c r="AM40">
        <f>survey_responses[[#This Row],[Tôi tin rằng Nhà nước, cơ quan thuế sẽ thực thi chính sách mới một cách khách quan, công tâm và đối xử bình đẳng với mọi người nộp thuế.  - HUMAN-TRU1]]</f>
        <v>10</v>
      </c>
      <c r="AN40">
        <f t="shared" si="13"/>
        <v>1</v>
      </c>
      <c r="AO40">
        <f>step3_validation[[#This Row],[AI_TRU2]]</f>
        <v>9</v>
      </c>
      <c r="AP40">
        <f t="shared" si="14"/>
        <v>0.88888888888888884</v>
      </c>
      <c r="AQ40">
        <f>survey_responses[[#This Row],[Tôi thấy mức thuế tôi phải đóng theo phương án mới là công bằng (người thu nhập như tôi đóng mức này là hợp lý). - HUMAN-TRU2]]</f>
        <v>10</v>
      </c>
      <c r="AR40">
        <f t="shared" si="15"/>
        <v>1</v>
      </c>
      <c r="AS40">
        <f>step3_validation[[#This Row],[AI_TRU3]]</f>
        <v>8</v>
      </c>
      <c r="AT40">
        <f t="shared" si="16"/>
        <v>0.77777777777777779</v>
      </c>
      <c r="AU40">
        <f>survey_responses[[#This Row],[Tôi tin tưởng số tiền thuế tôi đóng sẽ được Nhà nước sử dụng hiệu quả để cải thiện dịch vụ công (y tế, đường xá...). - HUMAN-TRU3]]</f>
        <v>10</v>
      </c>
      <c r="AV40">
        <f t="shared" si="17"/>
        <v>1</v>
      </c>
      <c r="AW40">
        <f>step3_validation[[#This Row],[AI_TRU4]]</f>
        <v>9</v>
      </c>
      <c r="AX40">
        <f t="shared" si="18"/>
        <v>0.88888888888888884</v>
      </c>
      <c r="AY40">
        <f>survey_responses[[#This Row],[Tôi thấy Nhà nước đã giải thích rõ ràng, minh bạch về lý do và mục tiêu của việc sửa đổi thuế lần này. - HUMAN-TRU4]]</f>
        <v>10</v>
      </c>
      <c r="AZ40">
        <f t="shared" si="19"/>
        <v>1</v>
      </c>
      <c r="BA40" s="32">
        <f t="shared" si="20"/>
        <v>0.83333333333333326</v>
      </c>
      <c r="BB40" s="32">
        <f t="shared" si="21"/>
        <v>1</v>
      </c>
      <c r="BC40" s="7">
        <f t="shared" si="22"/>
        <v>0.83333333333333337</v>
      </c>
      <c r="BD40" s="7">
        <f t="shared" si="23"/>
        <v>1</v>
      </c>
      <c r="BE40">
        <f>step3_validation[[#This Row],[AI_OUT1]]</f>
        <v>10</v>
      </c>
      <c r="BF40">
        <f t="shared" si="24"/>
        <v>1</v>
      </c>
      <c r="BG40">
        <f>survey_responses[[#This Row],[Sau khi xem xét các quyền lợi và nghĩa vụ, bạn có ủng hộ và tuân thủ chính sách mới hiện nay? - HUMAN-OUT1]]</f>
        <v>10</v>
      </c>
      <c r="BH40">
        <f t="shared" si="25"/>
        <v>1</v>
      </c>
      <c r="BI40" s="32">
        <f t="shared" si="26"/>
        <v>0</v>
      </c>
    </row>
    <row r="41" spans="1:61" x14ac:dyDescent="0.45">
      <c r="A41" s="30">
        <f>step3_validation[[#This Row],[Persona_ID]]</f>
        <v>40</v>
      </c>
      <c r="B41" s="31">
        <f>step3_validation[[#This Row],[Used_Seed]]</f>
        <v>12384</v>
      </c>
      <c r="C41" t="str">
        <f>step3_validation[[#This Row],[Gender]]</f>
        <v>Nam</v>
      </c>
      <c r="D41" t="str">
        <f>survey_responses[[#This Row],[Giới tính của bạn:]]</f>
        <v>Nam</v>
      </c>
      <c r="E41" t="str">
        <f>step3_validation[[#This Row],[Age_Group]]</f>
        <v>30 - 39</v>
      </c>
      <c r="F41" t="str">
        <f>survey_responses[[#This Row],[Độ tuổi của bạn:]]</f>
        <v>30 - 39</v>
      </c>
      <c r="G41" t="str">
        <f>step3_validation[[#This Row],[Region]]</f>
        <v>Thành thị</v>
      </c>
      <c r="H41" t="str">
        <f>survey_responses[[#This Row],[Khu vực bạn đang sinh sống:]]</f>
        <v>Thành thị</v>
      </c>
      <c r="I41" t="str">
        <f>step3_validation[[#This Row],[Education]]</f>
        <v>Đại học</v>
      </c>
      <c r="J41" t="str">
        <f>survey_responses[[#This Row],[Trình độ học vấn cao nhất:]]</f>
        <v>Đại học</v>
      </c>
      <c r="K41" t="str">
        <f>step3_validation[[#This Row],[Employment]]</f>
        <v>Chính thức</v>
      </c>
      <c r="L41" t="str">
        <f>survey_responses[[#This Row],[Tình trạng việc làm chính:]]</f>
        <v>Khu vực chính thức (Có Hợp đồng lao động, đóng BHXH)</v>
      </c>
      <c r="M41">
        <f>step3_validation[[#This Row],[Income_Mil]]</f>
        <v>127.22034440499482</v>
      </c>
      <c r="N41" t="str">
        <f>survey_responses[[#This Row],[Thu nhập bình quân tháng theo Hợp đồng lao động của bạn là bao nhiêu? (Vui lòng điền tổng thu nhập trước khi khấu trừ các loại Bảo hiểm (BHXH, BHYT, BHTN) và Thuế TNCN)]]</f>
        <v>Trên 102 triệu VNĐ</v>
      </c>
      <c r="O41">
        <f>step3_validation[[#This Row],[Dependents]]</f>
        <v>1</v>
      </c>
      <c r="P41" t="str">
        <f>survey_responses[[#This Row],[Số người phụ thuộc (con nhỏ, cha mẹ già...) đủ điều kiện giảm trừ gia cảnh:]]</f>
        <v>1 người</v>
      </c>
      <c r="Q41">
        <f>step3_validation[[#This Row],[AI_ENF1]]</f>
        <v>9</v>
      </c>
      <c r="R41">
        <f t="shared" si="0"/>
        <v>0.88888888888888884</v>
      </c>
      <c r="S41">
        <f>survey_responses[[#This Row],[Tôi tin rằng với các quy định quản lý thuế hiện nay, hành vi gian lận hoặc trốn thuế sẽ dễ dàng bị phát hiện và xử lý nghiêm. - HUMAN-ENF1]]</f>
        <v>8</v>
      </c>
      <c r="T41">
        <f t="shared" si="1"/>
        <v>0.77777777777777779</v>
      </c>
      <c r="U41">
        <f>step3_validation[[#This Row],[AI_ENF2]]</f>
        <v>8</v>
      </c>
      <c r="V41">
        <f t="shared" si="2"/>
        <v>0.77777777777777779</v>
      </c>
      <c r="W41">
        <f>survey_responses[[#This Row],[Tôi tin rằng Nhà nước, cơ quan thuế có đủ khả năng và công nghệ để phát hiện, xử lý nghiêm các hành vi trốn thuế. - HUMAN-ENF2]]</f>
        <v>8</v>
      </c>
      <c r="X41">
        <f t="shared" si="3"/>
        <v>0.77777777777777779</v>
      </c>
      <c r="Y41" s="32">
        <f t="shared" si="4"/>
        <v>0.83333333333333326</v>
      </c>
      <c r="Z41" s="32">
        <f t="shared" si="5"/>
        <v>0.77777777777777779</v>
      </c>
      <c r="AA41">
        <f>step3_validation[[#This Row],[AI_FAC1]]</f>
        <v>7</v>
      </c>
      <c r="AB41">
        <f t="shared" si="6"/>
        <v>0.66666666666666663</v>
      </c>
      <c r="AC41">
        <f>survey_responses[[#This Row],[Các thủ tục khai báo thuế VÀ/HOẶC quy trình làm việc với cơ quan thuế đơn giản, tiện lợi, nhanh chóng hơn so với trước đây. - HUMAN-FAC1]]</f>
        <v>6</v>
      </c>
      <c r="AD41">
        <f t="shared" si="7"/>
        <v>0.55555555555555558</v>
      </c>
      <c r="AE41">
        <f>step3_validation[[#This Row],[AI_FAC2]]</f>
        <v>8</v>
      </c>
      <c r="AF41">
        <f t="shared" si="8"/>
        <v>0.77777777777777779</v>
      </c>
      <c r="AG41">
        <f>survey_responses[[#This Row],[So với trước đây, tôi thấy cách tính thuế và các bậc thuế trong phương án mới đơn giản, dễ hiểu và dễ thực hiện hơn. - HUMAN-FAC2]]</f>
        <v>8</v>
      </c>
      <c r="AH41">
        <f t="shared" si="9"/>
        <v>0.77777777777777779</v>
      </c>
      <c r="AI41" s="32">
        <f t="shared" si="10"/>
        <v>0.72222222222222221</v>
      </c>
      <c r="AJ41" s="32">
        <f t="shared" si="11"/>
        <v>0.66666666666666674</v>
      </c>
      <c r="AK41">
        <f>step3_validation[[#This Row],[AI_TRU1]]</f>
        <v>9</v>
      </c>
      <c r="AL41">
        <f t="shared" si="12"/>
        <v>0.88888888888888884</v>
      </c>
      <c r="AM41">
        <f>survey_responses[[#This Row],[Tôi tin rằng Nhà nước, cơ quan thuế sẽ thực thi chính sách mới một cách khách quan, công tâm và đối xử bình đẳng với mọi người nộp thuế.  - HUMAN-TRU1]]</f>
        <v>7</v>
      </c>
      <c r="AN41">
        <f t="shared" si="13"/>
        <v>0.66666666666666663</v>
      </c>
      <c r="AO41">
        <f>step3_validation[[#This Row],[AI_TRU2]]</f>
        <v>8</v>
      </c>
      <c r="AP41">
        <f t="shared" si="14"/>
        <v>0.77777777777777779</v>
      </c>
      <c r="AQ41">
        <f>survey_responses[[#This Row],[Tôi thấy mức thuế tôi phải đóng theo phương án mới là công bằng (người thu nhập như tôi đóng mức này là hợp lý). - HUMAN-TRU2]]</f>
        <v>8</v>
      </c>
      <c r="AR41">
        <f t="shared" si="15"/>
        <v>0.77777777777777779</v>
      </c>
      <c r="AS41">
        <f>step3_validation[[#This Row],[AI_TRU3]]</f>
        <v>9</v>
      </c>
      <c r="AT41">
        <f t="shared" si="16"/>
        <v>0.88888888888888884</v>
      </c>
      <c r="AU41">
        <f>survey_responses[[#This Row],[Tôi tin tưởng số tiền thuế tôi đóng sẽ được Nhà nước sử dụng hiệu quả để cải thiện dịch vụ công (y tế, đường xá...). - HUMAN-TRU3]]</f>
        <v>5</v>
      </c>
      <c r="AV41">
        <f t="shared" si="17"/>
        <v>0.44444444444444442</v>
      </c>
      <c r="AW41">
        <f>step3_validation[[#This Row],[AI_TRU4]]</f>
        <v>8</v>
      </c>
      <c r="AX41">
        <f t="shared" si="18"/>
        <v>0.77777777777777779</v>
      </c>
      <c r="AY41">
        <f>survey_responses[[#This Row],[Tôi thấy Nhà nước đã giải thích rõ ràng, minh bạch về lý do và mục tiêu của việc sửa đổi thuế lần này. - HUMAN-TRU4]]</f>
        <v>6</v>
      </c>
      <c r="AZ41">
        <f t="shared" si="19"/>
        <v>0.55555555555555558</v>
      </c>
      <c r="BA41" s="32">
        <f t="shared" si="20"/>
        <v>0.83333333333333326</v>
      </c>
      <c r="BB41" s="32">
        <f t="shared" si="21"/>
        <v>0.61111111111111116</v>
      </c>
      <c r="BC41" s="7">
        <f t="shared" si="22"/>
        <v>0.79629629629629617</v>
      </c>
      <c r="BD41" s="7">
        <f t="shared" si="23"/>
        <v>0.68518518518518523</v>
      </c>
      <c r="BE41">
        <f>step3_validation[[#This Row],[AI_OUT1]]</f>
        <v>9</v>
      </c>
      <c r="BF41">
        <f t="shared" si="24"/>
        <v>0.88888888888888884</v>
      </c>
      <c r="BG41">
        <f>survey_responses[[#This Row],[Sau khi xem xét các quyền lợi và nghĩa vụ, bạn có ủng hộ và tuân thủ chính sách mới hiện nay? - HUMAN-OUT1]]</f>
        <v>7</v>
      </c>
      <c r="BH41">
        <f t="shared" si="25"/>
        <v>0.66666666666666663</v>
      </c>
      <c r="BI41" s="32">
        <f t="shared" si="26"/>
        <v>2</v>
      </c>
    </row>
    <row r="42" spans="1:61" x14ac:dyDescent="0.45">
      <c r="A42" s="30">
        <f>step3_validation[[#This Row],[Persona_ID]]</f>
        <v>41</v>
      </c>
      <c r="B42" s="31">
        <f>step3_validation[[#This Row],[Used_Seed]]</f>
        <v>12385</v>
      </c>
      <c r="C42" t="str">
        <f>step3_validation[[#This Row],[Gender]]</f>
        <v>Nam</v>
      </c>
      <c r="D42" t="str">
        <f>survey_responses[[#This Row],[Giới tính của bạn:]]</f>
        <v>Nam</v>
      </c>
      <c r="E42" t="str">
        <f>step3_validation[[#This Row],[Age_Group]]</f>
        <v>30 - 39</v>
      </c>
      <c r="F42" t="str">
        <f>survey_responses[[#This Row],[Độ tuổi của bạn:]]</f>
        <v>30 - 39</v>
      </c>
      <c r="G42" t="str">
        <f>step3_validation[[#This Row],[Region]]</f>
        <v>Thành thị</v>
      </c>
      <c r="H42" t="str">
        <f>survey_responses[[#This Row],[Khu vực bạn đang sinh sống:]]</f>
        <v>Thành thị</v>
      </c>
      <c r="I42" t="str">
        <f>step3_validation[[#This Row],[Education]]</f>
        <v>Đại học</v>
      </c>
      <c r="J42" t="str">
        <f>survey_responses[[#This Row],[Trình độ học vấn cao nhất:]]</f>
        <v>Đại học</v>
      </c>
      <c r="K42" t="str">
        <f>step3_validation[[#This Row],[Employment]]</f>
        <v>Chính thức</v>
      </c>
      <c r="L42" t="str">
        <f>survey_responses[[#This Row],[Tình trạng việc làm chính:]]</f>
        <v>Khu vực chính thức (Có Hợp đồng lao động, đóng BHXH)</v>
      </c>
      <c r="M42">
        <f>step3_validation[[#This Row],[Income_Mil]]</f>
        <v>75.800182024381115</v>
      </c>
      <c r="N42" t="str">
        <f>survey_responses[[#This Row],[Thu nhập bình quân tháng theo Hợp đồng lao động của bạn là bao nhiêu? (Vui lòng điền tổng thu nhập trước khi khấu trừ các loại Bảo hiểm (BHXH, BHYT, BHTN) và Thuế TNCN)]]</f>
        <v>Từ 70 - 102 triệu VNĐ</v>
      </c>
      <c r="O42">
        <f>step3_validation[[#This Row],[Dependents]]</f>
        <v>2</v>
      </c>
      <c r="P42" t="str">
        <f>survey_responses[[#This Row],[Số người phụ thuộc (con nhỏ, cha mẹ già...) đủ điều kiện giảm trừ gia cảnh:]]</f>
        <v>2 người</v>
      </c>
      <c r="Q42">
        <f>step3_validation[[#This Row],[AI_ENF1]]</f>
        <v>8</v>
      </c>
      <c r="R42">
        <f t="shared" si="0"/>
        <v>0.77777777777777779</v>
      </c>
      <c r="S42">
        <f>survey_responses[[#This Row],[Tôi tin rằng với các quy định quản lý thuế hiện nay, hành vi gian lận hoặc trốn thuế sẽ dễ dàng bị phát hiện và xử lý nghiêm. - HUMAN-ENF1]]</f>
        <v>9</v>
      </c>
      <c r="T42">
        <f t="shared" si="1"/>
        <v>0.88888888888888884</v>
      </c>
      <c r="U42">
        <f>step3_validation[[#This Row],[AI_ENF2]]</f>
        <v>7</v>
      </c>
      <c r="V42">
        <f t="shared" si="2"/>
        <v>0.66666666666666663</v>
      </c>
      <c r="W42">
        <f>survey_responses[[#This Row],[Tôi tin rằng Nhà nước, cơ quan thuế có đủ khả năng và công nghệ để phát hiện, xử lý nghiêm các hành vi trốn thuế. - HUMAN-ENF2]]</f>
        <v>8</v>
      </c>
      <c r="X42">
        <f t="shared" si="3"/>
        <v>0.77777777777777779</v>
      </c>
      <c r="Y42" s="32">
        <f t="shared" si="4"/>
        <v>0.72222222222222221</v>
      </c>
      <c r="Z42" s="32">
        <f t="shared" si="5"/>
        <v>0.83333333333333326</v>
      </c>
      <c r="AA42">
        <f>step3_validation[[#This Row],[AI_FAC1]]</f>
        <v>9</v>
      </c>
      <c r="AB42">
        <f t="shared" si="6"/>
        <v>0.88888888888888884</v>
      </c>
      <c r="AC42">
        <f>survey_responses[[#This Row],[Các thủ tục khai báo thuế VÀ/HOẶC quy trình làm việc với cơ quan thuế đơn giản, tiện lợi, nhanh chóng hơn so với trước đây. - HUMAN-FAC1]]</f>
        <v>7</v>
      </c>
      <c r="AD42">
        <f t="shared" si="7"/>
        <v>0.66666666666666663</v>
      </c>
      <c r="AE42">
        <f>step3_validation[[#This Row],[AI_FAC2]]</f>
        <v>8</v>
      </c>
      <c r="AF42">
        <f t="shared" si="8"/>
        <v>0.77777777777777779</v>
      </c>
      <c r="AG42">
        <f>survey_responses[[#This Row],[So với trước đây, tôi thấy cách tính thuế và các bậc thuế trong phương án mới đơn giản, dễ hiểu và dễ thực hiện hơn. - HUMAN-FAC2]]</f>
        <v>8</v>
      </c>
      <c r="AH42">
        <f t="shared" si="9"/>
        <v>0.77777777777777779</v>
      </c>
      <c r="AI42" s="32">
        <f t="shared" si="10"/>
        <v>0.83333333333333326</v>
      </c>
      <c r="AJ42" s="32">
        <f t="shared" si="11"/>
        <v>0.72222222222222221</v>
      </c>
      <c r="AK42">
        <f>step3_validation[[#This Row],[AI_TRU1]]</f>
        <v>9</v>
      </c>
      <c r="AL42">
        <f t="shared" si="12"/>
        <v>0.88888888888888884</v>
      </c>
      <c r="AM42">
        <f>survey_responses[[#This Row],[Tôi tin rằng Nhà nước, cơ quan thuế sẽ thực thi chính sách mới một cách khách quan, công tâm và đối xử bình đẳng với mọi người nộp thuế.  - HUMAN-TRU1]]</f>
        <v>7</v>
      </c>
      <c r="AN42">
        <f t="shared" si="13"/>
        <v>0.66666666666666663</v>
      </c>
      <c r="AO42">
        <f>step3_validation[[#This Row],[AI_TRU2]]</f>
        <v>8</v>
      </c>
      <c r="AP42">
        <f t="shared" si="14"/>
        <v>0.77777777777777779</v>
      </c>
      <c r="AQ42">
        <f>survey_responses[[#This Row],[Tôi thấy mức thuế tôi phải đóng theo phương án mới là công bằng (người thu nhập như tôi đóng mức này là hợp lý). - HUMAN-TRU2]]</f>
        <v>4</v>
      </c>
      <c r="AR42">
        <f t="shared" si="15"/>
        <v>0.33333333333333331</v>
      </c>
      <c r="AS42">
        <f>step3_validation[[#This Row],[AI_TRU3]]</f>
        <v>9</v>
      </c>
      <c r="AT42">
        <f t="shared" si="16"/>
        <v>0.88888888888888884</v>
      </c>
      <c r="AU42">
        <f>survey_responses[[#This Row],[Tôi tin tưởng số tiền thuế tôi đóng sẽ được Nhà nước sử dụng hiệu quả để cải thiện dịch vụ công (y tế, đường xá...). - HUMAN-TRU3]]</f>
        <v>2</v>
      </c>
      <c r="AV42">
        <f t="shared" si="17"/>
        <v>0.1111111111111111</v>
      </c>
      <c r="AW42">
        <f>step3_validation[[#This Row],[AI_TRU4]]</f>
        <v>8</v>
      </c>
      <c r="AX42">
        <f t="shared" si="18"/>
        <v>0.77777777777777779</v>
      </c>
      <c r="AY42">
        <f>survey_responses[[#This Row],[Tôi thấy Nhà nước đã giải thích rõ ràng, minh bạch về lý do và mục tiêu của việc sửa đổi thuế lần này. - HUMAN-TRU4]]</f>
        <v>8</v>
      </c>
      <c r="AZ42">
        <f t="shared" si="19"/>
        <v>0.77777777777777779</v>
      </c>
      <c r="BA42" s="32">
        <f t="shared" si="20"/>
        <v>0.83333333333333326</v>
      </c>
      <c r="BB42" s="32">
        <f t="shared" si="21"/>
        <v>0.47222222222222221</v>
      </c>
      <c r="BC42" s="7">
        <f t="shared" si="22"/>
        <v>0.79629629629629617</v>
      </c>
      <c r="BD42" s="7">
        <f t="shared" si="23"/>
        <v>0.67592592592592593</v>
      </c>
      <c r="BE42">
        <f>step3_validation[[#This Row],[AI_OUT1]]</f>
        <v>9</v>
      </c>
      <c r="BF42">
        <f t="shared" si="24"/>
        <v>0.88888888888888884</v>
      </c>
      <c r="BG42">
        <f>survey_responses[[#This Row],[Sau khi xem xét các quyền lợi và nghĩa vụ, bạn có ủng hộ và tuân thủ chính sách mới hiện nay? - HUMAN-OUT1]]</f>
        <v>8</v>
      </c>
      <c r="BH42">
        <f t="shared" si="25"/>
        <v>0.77777777777777779</v>
      </c>
      <c r="BI42" s="32">
        <f t="shared" si="26"/>
        <v>1</v>
      </c>
    </row>
    <row r="43" spans="1:61" x14ac:dyDescent="0.45">
      <c r="A43" s="30">
        <f>step3_validation[[#This Row],[Persona_ID]]</f>
        <v>42</v>
      </c>
      <c r="B43" s="31">
        <f>step3_validation[[#This Row],[Used_Seed]]</f>
        <v>12386</v>
      </c>
      <c r="C43" t="str">
        <f>step3_validation[[#This Row],[Gender]]</f>
        <v>Nữ</v>
      </c>
      <c r="D43" t="str">
        <f>survey_responses[[#This Row],[Giới tính của bạn:]]</f>
        <v>Nữ</v>
      </c>
      <c r="E43" t="str">
        <f>step3_validation[[#This Row],[Age_Group]]</f>
        <v>30 - 39</v>
      </c>
      <c r="F43" t="str">
        <f>survey_responses[[#This Row],[Độ tuổi của bạn:]]</f>
        <v>30 - 39</v>
      </c>
      <c r="G43" t="str">
        <f>step3_validation[[#This Row],[Region]]</f>
        <v>Thành thị</v>
      </c>
      <c r="H43" t="str">
        <f>survey_responses[[#This Row],[Khu vực bạn đang sinh sống:]]</f>
        <v>Thành thị</v>
      </c>
      <c r="I43" t="str">
        <f>step3_validation[[#This Row],[Education]]</f>
        <v>Đại học</v>
      </c>
      <c r="J43" t="str">
        <f>survey_responses[[#This Row],[Trình độ học vấn cao nhất:]]</f>
        <v>Đại học</v>
      </c>
      <c r="K43" t="str">
        <f>step3_validation[[#This Row],[Employment]]</f>
        <v>Chính thức</v>
      </c>
      <c r="L43" t="str">
        <f>survey_responses[[#This Row],[Tình trạng việc làm chính:]]</f>
        <v>Khu vực chính thức (Có Hợp đồng lao động, đóng BHXH)</v>
      </c>
      <c r="M43">
        <f>step3_validation[[#This Row],[Income_Mil]]</f>
        <v>44.832411102554097</v>
      </c>
      <c r="N43" t="str">
        <f>survey_responses[[#This Row],[Thu nhập bình quân tháng theo Hợp đồng lao động của bạn là bao nhiêu? (Vui lòng điền tổng thu nhập trước khi khấu trừ các loại Bảo hiểm (BHXH, BHYT, BHTN) và Thuế TNCN)]]</f>
        <v>Từ 32 - 48 triệu VNĐ</v>
      </c>
      <c r="O43">
        <f>step3_validation[[#This Row],[Dependents]]</f>
        <v>3</v>
      </c>
      <c r="P43" t="str">
        <f>survey_responses[[#This Row],[Số người phụ thuộc (con nhỏ, cha mẹ già...) đủ điều kiện giảm trừ gia cảnh:]]</f>
        <v>3 người</v>
      </c>
      <c r="Q43">
        <f>step3_validation[[#This Row],[AI_ENF1]]</f>
        <v>7</v>
      </c>
      <c r="R43">
        <f t="shared" si="0"/>
        <v>0.66666666666666663</v>
      </c>
      <c r="S43">
        <f>survey_responses[[#This Row],[Tôi tin rằng với các quy định quản lý thuế hiện nay, hành vi gian lận hoặc trốn thuế sẽ dễ dàng bị phát hiện và xử lý nghiêm. - HUMAN-ENF1]]</f>
        <v>10</v>
      </c>
      <c r="T43">
        <f t="shared" si="1"/>
        <v>1</v>
      </c>
      <c r="U43">
        <f>step3_validation[[#This Row],[AI_ENF2]]</f>
        <v>8</v>
      </c>
      <c r="V43">
        <f t="shared" si="2"/>
        <v>0.77777777777777779</v>
      </c>
      <c r="W43">
        <f>survey_responses[[#This Row],[Tôi tin rằng Nhà nước, cơ quan thuế có đủ khả năng và công nghệ để phát hiện, xử lý nghiêm các hành vi trốn thuế. - HUMAN-ENF2]]</f>
        <v>10</v>
      </c>
      <c r="X43">
        <f t="shared" si="3"/>
        <v>1</v>
      </c>
      <c r="Y43" s="32">
        <f t="shared" si="4"/>
        <v>0.72222222222222221</v>
      </c>
      <c r="Z43" s="32">
        <f t="shared" si="5"/>
        <v>1</v>
      </c>
      <c r="AA43">
        <f>step3_validation[[#This Row],[AI_FAC1]]</f>
        <v>9</v>
      </c>
      <c r="AB43">
        <f t="shared" si="6"/>
        <v>0.88888888888888884</v>
      </c>
      <c r="AC43">
        <f>survey_responses[[#This Row],[Các thủ tục khai báo thuế VÀ/HOẶC quy trình làm việc với cơ quan thuế đơn giản, tiện lợi, nhanh chóng hơn so với trước đây. - HUMAN-FAC1]]</f>
        <v>9</v>
      </c>
      <c r="AD43">
        <f t="shared" si="7"/>
        <v>0.88888888888888884</v>
      </c>
      <c r="AE43">
        <f>step3_validation[[#This Row],[AI_FAC2]]</f>
        <v>9</v>
      </c>
      <c r="AF43">
        <f t="shared" si="8"/>
        <v>0.88888888888888884</v>
      </c>
      <c r="AG43">
        <f>survey_responses[[#This Row],[So với trước đây, tôi thấy cách tính thuế và các bậc thuế trong phương án mới đơn giản, dễ hiểu và dễ thực hiện hơn. - HUMAN-FAC2]]</f>
        <v>8</v>
      </c>
      <c r="AH43">
        <f t="shared" si="9"/>
        <v>0.77777777777777779</v>
      </c>
      <c r="AI43" s="32">
        <f t="shared" si="10"/>
        <v>0.88888888888888884</v>
      </c>
      <c r="AJ43" s="32">
        <f t="shared" si="11"/>
        <v>0.83333333333333326</v>
      </c>
      <c r="AK43">
        <f>step3_validation[[#This Row],[AI_TRU1]]</f>
        <v>7</v>
      </c>
      <c r="AL43">
        <f t="shared" si="12"/>
        <v>0.66666666666666663</v>
      </c>
      <c r="AM43">
        <f>survey_responses[[#This Row],[Tôi tin rằng Nhà nước, cơ quan thuế sẽ thực thi chính sách mới một cách khách quan, công tâm và đối xử bình đẳng với mọi người nộp thuế.  - HUMAN-TRU1]]</f>
        <v>7</v>
      </c>
      <c r="AN43">
        <f t="shared" si="13"/>
        <v>0.66666666666666663</v>
      </c>
      <c r="AO43">
        <f>step3_validation[[#This Row],[AI_TRU2]]</f>
        <v>9</v>
      </c>
      <c r="AP43">
        <f t="shared" si="14"/>
        <v>0.88888888888888884</v>
      </c>
      <c r="AQ43">
        <f>survey_responses[[#This Row],[Tôi thấy mức thuế tôi phải đóng theo phương án mới là công bằng (người thu nhập như tôi đóng mức này là hợp lý). - HUMAN-TRU2]]</f>
        <v>9</v>
      </c>
      <c r="AR43">
        <f t="shared" si="15"/>
        <v>0.88888888888888884</v>
      </c>
      <c r="AS43">
        <f>step3_validation[[#This Row],[AI_TRU3]]</f>
        <v>8</v>
      </c>
      <c r="AT43">
        <f t="shared" si="16"/>
        <v>0.77777777777777779</v>
      </c>
      <c r="AU43">
        <f>survey_responses[[#This Row],[Tôi tin tưởng số tiền thuế tôi đóng sẽ được Nhà nước sử dụng hiệu quả để cải thiện dịch vụ công (y tế, đường xá...). - HUMAN-TRU3]]</f>
        <v>9</v>
      </c>
      <c r="AV43">
        <f t="shared" si="17"/>
        <v>0.88888888888888884</v>
      </c>
      <c r="AW43">
        <f>step3_validation[[#This Row],[AI_TRU4]]</f>
        <v>7</v>
      </c>
      <c r="AX43">
        <f t="shared" si="18"/>
        <v>0.66666666666666663</v>
      </c>
      <c r="AY43">
        <f>survey_responses[[#This Row],[Tôi thấy Nhà nước đã giải thích rõ ràng, minh bạch về lý do và mục tiêu của việc sửa đổi thuế lần này. - HUMAN-TRU4]]</f>
        <v>8</v>
      </c>
      <c r="AZ43">
        <f t="shared" si="19"/>
        <v>0.77777777777777779</v>
      </c>
      <c r="BA43" s="32">
        <f t="shared" si="20"/>
        <v>0.74999999999999989</v>
      </c>
      <c r="BB43" s="32">
        <f t="shared" si="21"/>
        <v>0.80555555555555547</v>
      </c>
      <c r="BC43" s="7">
        <f t="shared" si="22"/>
        <v>0.78703703703703709</v>
      </c>
      <c r="BD43" s="7">
        <f t="shared" si="23"/>
        <v>0.87962962962962965</v>
      </c>
      <c r="BE43">
        <f>step3_validation[[#This Row],[AI_OUT1]]</f>
        <v>9</v>
      </c>
      <c r="BF43">
        <f t="shared" si="24"/>
        <v>0.88888888888888884</v>
      </c>
      <c r="BG43">
        <f>survey_responses[[#This Row],[Sau khi xem xét các quyền lợi và nghĩa vụ, bạn có ủng hộ và tuân thủ chính sách mới hiện nay? - HUMAN-OUT1]]</f>
        <v>8</v>
      </c>
      <c r="BH43">
        <f t="shared" si="25"/>
        <v>0.77777777777777779</v>
      </c>
      <c r="BI43" s="32">
        <f t="shared" si="26"/>
        <v>1</v>
      </c>
    </row>
    <row r="44" spans="1:61" x14ac:dyDescent="0.45">
      <c r="A44" s="30">
        <f>step3_validation[[#This Row],[Persona_ID]]</f>
        <v>43</v>
      </c>
      <c r="B44" s="31">
        <f>step3_validation[[#This Row],[Used_Seed]]</f>
        <v>12387</v>
      </c>
      <c r="C44" t="str">
        <f>step3_validation[[#This Row],[Gender]]</f>
        <v>Nữ</v>
      </c>
      <c r="D44" t="str">
        <f>survey_responses[[#This Row],[Giới tính của bạn:]]</f>
        <v>Nữ</v>
      </c>
      <c r="E44" t="str">
        <f>step3_validation[[#This Row],[Age_Group]]</f>
        <v>30 - 39</v>
      </c>
      <c r="F44" t="str">
        <f>survey_responses[[#This Row],[Độ tuổi của bạn:]]</f>
        <v>30 - 39</v>
      </c>
      <c r="G44" t="str">
        <f>step3_validation[[#This Row],[Region]]</f>
        <v>Thành thị</v>
      </c>
      <c r="H44" t="str">
        <f>survey_responses[[#This Row],[Khu vực bạn đang sinh sống:]]</f>
        <v>Thành thị</v>
      </c>
      <c r="I44" t="str">
        <f>step3_validation[[#This Row],[Education]]</f>
        <v>Đại học</v>
      </c>
      <c r="J44" t="str">
        <f>survey_responses[[#This Row],[Trình độ học vấn cao nhất:]]</f>
        <v>Đại học</v>
      </c>
      <c r="K44" t="str">
        <f>step3_validation[[#This Row],[Employment]]</f>
        <v>Chính thức</v>
      </c>
      <c r="L44" t="str">
        <f>survey_responses[[#This Row],[Tình trạng việc làm chính:]]</f>
        <v>Khu vực chính thức (Có Hợp đồng lao động, đóng BHXH)</v>
      </c>
      <c r="M44">
        <f>step3_validation[[#This Row],[Income_Mil]]</f>
        <v>181.46460242033686</v>
      </c>
      <c r="N44" t="str">
        <f>survey_responses[[#This Row],[Thu nhập bình quân tháng theo Hợp đồng lao động của bạn là bao nhiêu? (Vui lòng điền tổng thu nhập trước khi khấu trừ các loại Bảo hiểm (BHXH, BHYT, BHTN) và Thuế TNCN)]]</f>
        <v>Trên 102 triệu VNĐ</v>
      </c>
      <c r="O44">
        <f>step3_validation[[#This Row],[Dependents]]</f>
        <v>2</v>
      </c>
      <c r="P44" t="str">
        <f>survey_responses[[#This Row],[Số người phụ thuộc (con nhỏ, cha mẹ già...) đủ điều kiện giảm trừ gia cảnh:]]</f>
        <v>2 người</v>
      </c>
      <c r="Q44">
        <f>step3_validation[[#This Row],[AI_ENF1]]</f>
        <v>6</v>
      </c>
      <c r="R44">
        <f t="shared" si="0"/>
        <v>0.55555555555555558</v>
      </c>
      <c r="S44">
        <f>survey_responses[[#This Row],[Tôi tin rằng với các quy định quản lý thuế hiện nay, hành vi gian lận hoặc trốn thuế sẽ dễ dàng bị phát hiện và xử lý nghiêm. - HUMAN-ENF1]]</f>
        <v>6</v>
      </c>
      <c r="T44">
        <f t="shared" si="1"/>
        <v>0.55555555555555558</v>
      </c>
      <c r="U44">
        <f>step3_validation[[#This Row],[AI_ENF2]]</f>
        <v>7</v>
      </c>
      <c r="V44">
        <f t="shared" si="2"/>
        <v>0.66666666666666663</v>
      </c>
      <c r="W44">
        <f>survey_responses[[#This Row],[Tôi tin rằng Nhà nước, cơ quan thuế có đủ khả năng và công nghệ để phát hiện, xử lý nghiêm các hành vi trốn thuế. - HUMAN-ENF2]]</f>
        <v>6</v>
      </c>
      <c r="X44">
        <f t="shared" si="3"/>
        <v>0.55555555555555558</v>
      </c>
      <c r="Y44" s="32">
        <f t="shared" si="4"/>
        <v>0.61111111111111116</v>
      </c>
      <c r="Z44" s="32">
        <f t="shared" si="5"/>
        <v>0.55555555555555558</v>
      </c>
      <c r="AA44">
        <f>step3_validation[[#This Row],[AI_FAC1]]</f>
        <v>8</v>
      </c>
      <c r="AB44">
        <f t="shared" si="6"/>
        <v>0.77777777777777779</v>
      </c>
      <c r="AC44">
        <f>survey_responses[[#This Row],[Các thủ tục khai báo thuế VÀ/HOẶC quy trình làm việc với cơ quan thuế đơn giản, tiện lợi, nhanh chóng hơn so với trước đây. - HUMAN-FAC1]]</f>
        <v>8</v>
      </c>
      <c r="AD44">
        <f t="shared" si="7"/>
        <v>0.77777777777777779</v>
      </c>
      <c r="AE44">
        <f>step3_validation[[#This Row],[AI_FAC2]]</f>
        <v>9</v>
      </c>
      <c r="AF44">
        <f t="shared" si="8"/>
        <v>0.88888888888888884</v>
      </c>
      <c r="AG44">
        <f>survey_responses[[#This Row],[So với trước đây, tôi thấy cách tính thuế và các bậc thuế trong phương án mới đơn giản, dễ hiểu và dễ thực hiện hơn. - HUMAN-FAC2]]</f>
        <v>10</v>
      </c>
      <c r="AH44">
        <f t="shared" si="9"/>
        <v>1</v>
      </c>
      <c r="AI44" s="32">
        <f t="shared" si="10"/>
        <v>0.83333333333333326</v>
      </c>
      <c r="AJ44" s="32">
        <f t="shared" si="11"/>
        <v>0.88888888888888884</v>
      </c>
      <c r="AK44">
        <f>step3_validation[[#This Row],[AI_TRU1]]</f>
        <v>8</v>
      </c>
      <c r="AL44">
        <f t="shared" si="12"/>
        <v>0.77777777777777779</v>
      </c>
      <c r="AM44">
        <f>survey_responses[[#This Row],[Tôi tin rằng Nhà nước, cơ quan thuế sẽ thực thi chính sách mới một cách khách quan, công tâm và đối xử bình đẳng với mọi người nộp thuế.  - HUMAN-TRU1]]</f>
        <v>9</v>
      </c>
      <c r="AN44">
        <f t="shared" si="13"/>
        <v>0.88888888888888884</v>
      </c>
      <c r="AO44">
        <f>step3_validation[[#This Row],[AI_TRU2]]</f>
        <v>9</v>
      </c>
      <c r="AP44">
        <f t="shared" si="14"/>
        <v>0.88888888888888884</v>
      </c>
      <c r="AQ44">
        <f>survey_responses[[#This Row],[Tôi thấy mức thuế tôi phải đóng theo phương án mới là công bằng (người thu nhập như tôi đóng mức này là hợp lý). - HUMAN-TRU2]]</f>
        <v>1</v>
      </c>
      <c r="AR44">
        <f t="shared" si="15"/>
        <v>0</v>
      </c>
      <c r="AS44">
        <f>step3_validation[[#This Row],[AI_TRU3]]</f>
        <v>8</v>
      </c>
      <c r="AT44">
        <f t="shared" si="16"/>
        <v>0.77777777777777779</v>
      </c>
      <c r="AU44">
        <f>survey_responses[[#This Row],[Tôi tin tưởng số tiền thuế tôi đóng sẽ được Nhà nước sử dụng hiệu quả để cải thiện dịch vụ công (y tế, đường xá...). - HUMAN-TRU3]]</f>
        <v>7</v>
      </c>
      <c r="AV44">
        <f t="shared" si="17"/>
        <v>0.66666666666666663</v>
      </c>
      <c r="AW44">
        <f>step3_validation[[#This Row],[AI_TRU4]]</f>
        <v>7</v>
      </c>
      <c r="AX44">
        <f t="shared" si="18"/>
        <v>0.66666666666666663</v>
      </c>
      <c r="AY44">
        <f>survey_responses[[#This Row],[Tôi thấy Nhà nước đã giải thích rõ ràng, minh bạch về lý do và mục tiêu của việc sửa đổi thuế lần này. - HUMAN-TRU4]]</f>
        <v>7</v>
      </c>
      <c r="AZ44">
        <f t="shared" si="19"/>
        <v>0.66666666666666663</v>
      </c>
      <c r="BA44" s="32">
        <f t="shared" si="20"/>
        <v>0.77777777777777768</v>
      </c>
      <c r="BB44" s="32">
        <f t="shared" si="21"/>
        <v>0.55555555555555547</v>
      </c>
      <c r="BC44" s="7">
        <f t="shared" si="22"/>
        <v>0.74074074074074081</v>
      </c>
      <c r="BD44" s="7">
        <f t="shared" si="23"/>
        <v>0.66666666666666663</v>
      </c>
      <c r="BE44">
        <f>step3_validation[[#This Row],[AI_OUT1]]</f>
        <v>9</v>
      </c>
      <c r="BF44">
        <f t="shared" si="24"/>
        <v>0.88888888888888884</v>
      </c>
      <c r="BG44">
        <f>survey_responses[[#This Row],[Sau khi xem xét các quyền lợi và nghĩa vụ, bạn có ủng hộ và tuân thủ chính sách mới hiện nay? - HUMAN-OUT1]]</f>
        <v>8</v>
      </c>
      <c r="BH44">
        <f t="shared" si="25"/>
        <v>0.77777777777777779</v>
      </c>
      <c r="BI44" s="32">
        <f t="shared" si="26"/>
        <v>1</v>
      </c>
    </row>
    <row r="45" spans="1:61" x14ac:dyDescent="0.45">
      <c r="A45" s="30">
        <f>step3_validation[[#This Row],[Persona_ID]]</f>
        <v>44</v>
      </c>
      <c r="B45" s="31">
        <f>step3_validation[[#This Row],[Used_Seed]]</f>
        <v>12388</v>
      </c>
      <c r="C45" t="str">
        <f>step3_validation[[#This Row],[Gender]]</f>
        <v>Nam</v>
      </c>
      <c r="D45" t="str">
        <f>survey_responses[[#This Row],[Giới tính của bạn:]]</f>
        <v>Nam</v>
      </c>
      <c r="E45" t="str">
        <f>step3_validation[[#This Row],[Age_Group]]</f>
        <v>30 - 39</v>
      </c>
      <c r="F45" t="str">
        <f>survey_responses[[#This Row],[Độ tuổi của bạn:]]</f>
        <v>30 - 39</v>
      </c>
      <c r="G45" t="str">
        <f>step3_validation[[#This Row],[Region]]</f>
        <v>Thành thị</v>
      </c>
      <c r="H45" t="str">
        <f>survey_responses[[#This Row],[Khu vực bạn đang sinh sống:]]</f>
        <v>Thành thị</v>
      </c>
      <c r="I45" t="str">
        <f>step3_validation[[#This Row],[Education]]</f>
        <v>Đại học</v>
      </c>
      <c r="J45" t="str">
        <f>survey_responses[[#This Row],[Trình độ học vấn cao nhất:]]</f>
        <v>Đại học</v>
      </c>
      <c r="K45" t="str">
        <f>step3_validation[[#This Row],[Employment]]</f>
        <v>Chính thức</v>
      </c>
      <c r="L45" t="str">
        <f>survey_responses[[#This Row],[Tình trạng việc làm chính:]]</f>
        <v>Khu vực chính thức (Có Hợp đồng lao động, đóng BHXH)</v>
      </c>
      <c r="M45">
        <f>step3_validation[[#This Row],[Income_Mil]]</f>
        <v>27.035028786955039</v>
      </c>
      <c r="N45" t="str">
        <f>survey_responses[[#This Row],[Thu nhập bình quân tháng theo Hợp đồng lao động của bạn là bao nhiêu? (Vui lòng điền tổng thu nhập trước khi khấu trừ các loại Bảo hiểm (BHXH, BHYT, BHTN) và Thuế TNCN)]]</f>
        <v>Từ 23 - 32 triệu VNĐ</v>
      </c>
      <c r="O45">
        <f>step3_validation[[#This Row],[Dependents]]</f>
        <v>1</v>
      </c>
      <c r="P45" t="str">
        <f>survey_responses[[#This Row],[Số người phụ thuộc (con nhỏ, cha mẹ già...) đủ điều kiện giảm trừ gia cảnh:]]</f>
        <v>1 người</v>
      </c>
      <c r="Q45">
        <f>step3_validation[[#This Row],[AI_ENF1]]</f>
        <v>7</v>
      </c>
      <c r="R45">
        <f t="shared" si="0"/>
        <v>0.66666666666666663</v>
      </c>
      <c r="S45">
        <f>survey_responses[[#This Row],[Tôi tin rằng với các quy định quản lý thuế hiện nay, hành vi gian lận hoặc trốn thuế sẽ dễ dàng bị phát hiện và xử lý nghiêm. - HUMAN-ENF1]]</f>
        <v>8</v>
      </c>
      <c r="T45">
        <f t="shared" si="1"/>
        <v>0.77777777777777779</v>
      </c>
      <c r="U45">
        <f>step3_validation[[#This Row],[AI_ENF2]]</f>
        <v>8</v>
      </c>
      <c r="V45">
        <f t="shared" si="2"/>
        <v>0.77777777777777779</v>
      </c>
      <c r="W45">
        <f>survey_responses[[#This Row],[Tôi tin rằng Nhà nước, cơ quan thuế có đủ khả năng và công nghệ để phát hiện, xử lý nghiêm các hành vi trốn thuế. - HUMAN-ENF2]]</f>
        <v>8</v>
      </c>
      <c r="X45">
        <f t="shared" si="3"/>
        <v>0.77777777777777779</v>
      </c>
      <c r="Y45" s="32">
        <f t="shared" si="4"/>
        <v>0.72222222222222221</v>
      </c>
      <c r="Z45" s="32">
        <f t="shared" si="5"/>
        <v>0.77777777777777779</v>
      </c>
      <c r="AA45">
        <f>step3_validation[[#This Row],[AI_FAC1]]</f>
        <v>9</v>
      </c>
      <c r="AB45">
        <f t="shared" si="6"/>
        <v>0.88888888888888884</v>
      </c>
      <c r="AC45">
        <f>survey_responses[[#This Row],[Các thủ tục khai báo thuế VÀ/HOẶC quy trình làm việc với cơ quan thuế đơn giản, tiện lợi, nhanh chóng hơn so với trước đây. - HUMAN-FAC1]]</f>
        <v>8</v>
      </c>
      <c r="AD45">
        <f t="shared" si="7"/>
        <v>0.77777777777777779</v>
      </c>
      <c r="AE45">
        <f>step3_validation[[#This Row],[AI_FAC2]]</f>
        <v>10</v>
      </c>
      <c r="AF45">
        <f t="shared" si="8"/>
        <v>1</v>
      </c>
      <c r="AG45">
        <f>survey_responses[[#This Row],[So với trước đây, tôi thấy cách tính thuế và các bậc thuế trong phương án mới đơn giản, dễ hiểu và dễ thực hiện hơn. - HUMAN-FAC2]]</f>
        <v>8</v>
      </c>
      <c r="AH45">
        <f t="shared" si="9"/>
        <v>0.77777777777777779</v>
      </c>
      <c r="AI45" s="32">
        <f t="shared" si="10"/>
        <v>0.94444444444444442</v>
      </c>
      <c r="AJ45" s="32">
        <f t="shared" si="11"/>
        <v>0.77777777777777779</v>
      </c>
      <c r="AK45">
        <f>step3_validation[[#This Row],[AI_TRU1]]</f>
        <v>9</v>
      </c>
      <c r="AL45">
        <f t="shared" si="12"/>
        <v>0.88888888888888884</v>
      </c>
      <c r="AM45">
        <f>survey_responses[[#This Row],[Tôi tin rằng Nhà nước, cơ quan thuế sẽ thực thi chính sách mới một cách khách quan, công tâm và đối xử bình đẳng với mọi người nộp thuế.  - HUMAN-TRU1]]</f>
        <v>8</v>
      </c>
      <c r="AN45">
        <f t="shared" si="13"/>
        <v>0.77777777777777779</v>
      </c>
      <c r="AO45">
        <f>step3_validation[[#This Row],[AI_TRU2]]</f>
        <v>8</v>
      </c>
      <c r="AP45">
        <f t="shared" si="14"/>
        <v>0.77777777777777779</v>
      </c>
      <c r="AQ45">
        <f>survey_responses[[#This Row],[Tôi thấy mức thuế tôi phải đóng theo phương án mới là công bằng (người thu nhập như tôi đóng mức này là hợp lý). - HUMAN-TRU2]]</f>
        <v>8</v>
      </c>
      <c r="AR45">
        <f t="shared" si="15"/>
        <v>0.77777777777777779</v>
      </c>
      <c r="AS45">
        <f>step3_validation[[#This Row],[AI_TRU3]]</f>
        <v>9</v>
      </c>
      <c r="AT45">
        <f t="shared" si="16"/>
        <v>0.88888888888888884</v>
      </c>
      <c r="AU45">
        <f>survey_responses[[#This Row],[Tôi tin tưởng số tiền thuế tôi đóng sẽ được Nhà nước sử dụng hiệu quả để cải thiện dịch vụ công (y tế, đường xá...). - HUMAN-TRU3]]</f>
        <v>9</v>
      </c>
      <c r="AV45">
        <f t="shared" si="17"/>
        <v>0.88888888888888884</v>
      </c>
      <c r="AW45">
        <f>step3_validation[[#This Row],[AI_TRU4]]</f>
        <v>8</v>
      </c>
      <c r="AX45">
        <f t="shared" si="18"/>
        <v>0.77777777777777779</v>
      </c>
      <c r="AY45">
        <f>survey_responses[[#This Row],[Tôi thấy Nhà nước đã giải thích rõ ràng, minh bạch về lý do và mục tiêu của việc sửa đổi thuế lần này. - HUMAN-TRU4]]</f>
        <v>5</v>
      </c>
      <c r="AZ45">
        <f t="shared" si="19"/>
        <v>0.44444444444444442</v>
      </c>
      <c r="BA45" s="32">
        <f t="shared" si="20"/>
        <v>0.83333333333333326</v>
      </c>
      <c r="BB45" s="32">
        <f t="shared" si="21"/>
        <v>0.72222222222222232</v>
      </c>
      <c r="BC45" s="7">
        <f t="shared" si="22"/>
        <v>0.83333333333333337</v>
      </c>
      <c r="BD45" s="7">
        <f t="shared" si="23"/>
        <v>0.75925925925925919</v>
      </c>
      <c r="BE45">
        <f>step3_validation[[#This Row],[AI_OUT1]]</f>
        <v>9</v>
      </c>
      <c r="BF45">
        <f t="shared" si="24"/>
        <v>0.88888888888888884</v>
      </c>
      <c r="BG45">
        <f>survey_responses[[#This Row],[Sau khi xem xét các quyền lợi và nghĩa vụ, bạn có ủng hộ và tuân thủ chính sách mới hiện nay? - HUMAN-OUT1]]</f>
        <v>9</v>
      </c>
      <c r="BH45">
        <f t="shared" si="25"/>
        <v>0.88888888888888884</v>
      </c>
      <c r="BI45" s="32">
        <f t="shared" si="26"/>
        <v>0</v>
      </c>
    </row>
    <row r="46" spans="1:61" x14ac:dyDescent="0.45">
      <c r="A46" s="30">
        <f>step3_validation[[#This Row],[Persona_ID]]</f>
        <v>45</v>
      </c>
      <c r="B46" s="31">
        <f>step3_validation[[#This Row],[Used_Seed]]</f>
        <v>12389</v>
      </c>
      <c r="C46" t="str">
        <f>step3_validation[[#This Row],[Gender]]</f>
        <v>Nữ</v>
      </c>
      <c r="D46" t="str">
        <f>survey_responses[[#This Row],[Giới tính của bạn:]]</f>
        <v>Nữ</v>
      </c>
      <c r="E46" t="str">
        <f>step3_validation[[#This Row],[Age_Group]]</f>
        <v>40 - 49</v>
      </c>
      <c r="F46" t="str">
        <f>survey_responses[[#This Row],[Độ tuổi của bạn:]]</f>
        <v>40 - 49</v>
      </c>
      <c r="G46" t="str">
        <f>step3_validation[[#This Row],[Region]]</f>
        <v>Thành thị</v>
      </c>
      <c r="H46" t="str">
        <f>survey_responses[[#This Row],[Khu vực bạn đang sinh sống:]]</f>
        <v>Thành thị</v>
      </c>
      <c r="I46" t="str">
        <f>step3_validation[[#This Row],[Education]]</f>
        <v>Đại học</v>
      </c>
      <c r="J46" t="str">
        <f>survey_responses[[#This Row],[Trình độ học vấn cao nhất:]]</f>
        <v>Đại học</v>
      </c>
      <c r="K46" t="str">
        <f>step3_validation[[#This Row],[Employment]]</f>
        <v>Chính thức</v>
      </c>
      <c r="L46" t="str">
        <f>survey_responses[[#This Row],[Tình trạng việc làm chính:]]</f>
        <v>Khu vực chính thức (Có Hợp đồng lao động, đóng BHXH)</v>
      </c>
      <c r="M46">
        <f>step3_validation[[#This Row],[Income_Mil]]</f>
        <v>26.332748776775741</v>
      </c>
      <c r="N46" t="str">
        <f>survey_responses[[#This Row],[Thu nhập bình quân tháng theo Hợp đồng lao động của bạn là bao nhiêu? (Vui lòng điền tổng thu nhập trước khi khấu trừ các loại Bảo hiểm (BHXH, BHYT, BHTN) và Thuế TNCN)]]</f>
        <v>Từ 23 - 32 triệu VNĐ</v>
      </c>
      <c r="O46">
        <f>step3_validation[[#This Row],[Dependents]]</f>
        <v>2</v>
      </c>
      <c r="P46" t="str">
        <f>survey_responses[[#This Row],[Số người phụ thuộc (con nhỏ, cha mẹ già...) đủ điều kiện giảm trừ gia cảnh:]]</f>
        <v>2 người</v>
      </c>
      <c r="Q46">
        <f>step3_validation[[#This Row],[AI_ENF1]]</f>
        <v>8</v>
      </c>
      <c r="R46">
        <f t="shared" si="0"/>
        <v>0.77777777777777779</v>
      </c>
      <c r="S46">
        <f>survey_responses[[#This Row],[Tôi tin rằng với các quy định quản lý thuế hiện nay, hành vi gian lận hoặc trốn thuế sẽ dễ dàng bị phát hiện và xử lý nghiêm. - HUMAN-ENF1]]</f>
        <v>10</v>
      </c>
      <c r="T46">
        <f t="shared" si="1"/>
        <v>1</v>
      </c>
      <c r="U46">
        <f>step3_validation[[#This Row],[AI_ENF2]]</f>
        <v>7</v>
      </c>
      <c r="V46">
        <f t="shared" si="2"/>
        <v>0.66666666666666663</v>
      </c>
      <c r="W46">
        <f>survey_responses[[#This Row],[Tôi tin rằng Nhà nước, cơ quan thuế có đủ khả năng và công nghệ để phát hiện, xử lý nghiêm các hành vi trốn thuế. - HUMAN-ENF2]]</f>
        <v>10</v>
      </c>
      <c r="X46">
        <f t="shared" si="3"/>
        <v>1</v>
      </c>
      <c r="Y46" s="32">
        <f t="shared" si="4"/>
        <v>0.72222222222222221</v>
      </c>
      <c r="Z46" s="32">
        <f t="shared" si="5"/>
        <v>1</v>
      </c>
      <c r="AA46">
        <f>step3_validation[[#This Row],[AI_FAC1]]</f>
        <v>9</v>
      </c>
      <c r="AB46">
        <f t="shared" si="6"/>
        <v>0.88888888888888884</v>
      </c>
      <c r="AC46">
        <f>survey_responses[[#This Row],[Các thủ tục khai báo thuế VÀ/HOẶC quy trình làm việc với cơ quan thuế đơn giản, tiện lợi, nhanh chóng hơn so với trước đây. - HUMAN-FAC1]]</f>
        <v>10</v>
      </c>
      <c r="AD46">
        <f t="shared" si="7"/>
        <v>1</v>
      </c>
      <c r="AE46">
        <f>step3_validation[[#This Row],[AI_FAC2]]</f>
        <v>8</v>
      </c>
      <c r="AF46">
        <f t="shared" si="8"/>
        <v>0.77777777777777779</v>
      </c>
      <c r="AG46">
        <f>survey_responses[[#This Row],[So với trước đây, tôi thấy cách tính thuế và các bậc thuế trong phương án mới đơn giản, dễ hiểu và dễ thực hiện hơn. - HUMAN-FAC2]]</f>
        <v>9</v>
      </c>
      <c r="AH46">
        <f t="shared" si="9"/>
        <v>0.88888888888888884</v>
      </c>
      <c r="AI46" s="32">
        <f t="shared" si="10"/>
        <v>0.83333333333333326</v>
      </c>
      <c r="AJ46" s="32">
        <f t="shared" si="11"/>
        <v>0.94444444444444442</v>
      </c>
      <c r="AK46">
        <f>step3_validation[[#This Row],[AI_TRU1]]</f>
        <v>9</v>
      </c>
      <c r="AL46">
        <f t="shared" si="12"/>
        <v>0.88888888888888884</v>
      </c>
      <c r="AM46">
        <f>survey_responses[[#This Row],[Tôi tin rằng Nhà nước, cơ quan thuế sẽ thực thi chính sách mới một cách khách quan, công tâm và đối xử bình đẳng với mọi người nộp thuế.  - HUMAN-TRU1]]</f>
        <v>10</v>
      </c>
      <c r="AN46">
        <f t="shared" si="13"/>
        <v>1</v>
      </c>
      <c r="AO46">
        <f>step3_validation[[#This Row],[AI_TRU2]]</f>
        <v>9</v>
      </c>
      <c r="AP46">
        <f t="shared" si="14"/>
        <v>0.88888888888888884</v>
      </c>
      <c r="AQ46">
        <f>survey_responses[[#This Row],[Tôi thấy mức thuế tôi phải đóng theo phương án mới là công bằng (người thu nhập như tôi đóng mức này là hợp lý). - HUMAN-TRU2]]</f>
        <v>10</v>
      </c>
      <c r="AR46">
        <f t="shared" si="15"/>
        <v>1</v>
      </c>
      <c r="AS46">
        <f>step3_validation[[#This Row],[AI_TRU3]]</f>
        <v>8</v>
      </c>
      <c r="AT46">
        <f t="shared" si="16"/>
        <v>0.77777777777777779</v>
      </c>
      <c r="AU46">
        <f>survey_responses[[#This Row],[Tôi tin tưởng số tiền thuế tôi đóng sẽ được Nhà nước sử dụng hiệu quả để cải thiện dịch vụ công (y tế, đường xá...). - HUMAN-TRU3]]</f>
        <v>10</v>
      </c>
      <c r="AV46">
        <f t="shared" si="17"/>
        <v>1</v>
      </c>
      <c r="AW46">
        <f>step3_validation[[#This Row],[AI_TRU4]]</f>
        <v>7</v>
      </c>
      <c r="AX46">
        <f t="shared" si="18"/>
        <v>0.66666666666666663</v>
      </c>
      <c r="AY46">
        <f>survey_responses[[#This Row],[Tôi thấy Nhà nước đã giải thích rõ ràng, minh bạch về lý do và mục tiêu của việc sửa đổi thuế lần này. - HUMAN-TRU4]]</f>
        <v>10</v>
      </c>
      <c r="AZ46">
        <f t="shared" si="19"/>
        <v>1</v>
      </c>
      <c r="BA46" s="32">
        <f t="shared" si="20"/>
        <v>0.80555555555555547</v>
      </c>
      <c r="BB46" s="32">
        <f t="shared" si="21"/>
        <v>1</v>
      </c>
      <c r="BC46" s="7">
        <f t="shared" si="22"/>
        <v>0.78703703703703687</v>
      </c>
      <c r="BD46" s="7">
        <f t="shared" si="23"/>
        <v>0.98148148148148151</v>
      </c>
      <c r="BE46">
        <f>step3_validation[[#This Row],[AI_OUT1]]</f>
        <v>9</v>
      </c>
      <c r="BF46">
        <f t="shared" si="24"/>
        <v>0.88888888888888884</v>
      </c>
      <c r="BG46">
        <f>survey_responses[[#This Row],[Sau khi xem xét các quyền lợi và nghĩa vụ, bạn có ủng hộ và tuân thủ chính sách mới hiện nay? - HUMAN-OUT1]]</f>
        <v>10</v>
      </c>
      <c r="BH46">
        <f t="shared" si="25"/>
        <v>1</v>
      </c>
      <c r="BI46" s="32">
        <f t="shared" si="26"/>
        <v>1</v>
      </c>
    </row>
    <row r="47" spans="1:61" x14ac:dyDescent="0.45">
      <c r="A47" s="30">
        <f>step3_validation[[#This Row],[Persona_ID]]</f>
        <v>46</v>
      </c>
      <c r="B47" s="31">
        <f>step3_validation[[#This Row],[Used_Seed]]</f>
        <v>12390</v>
      </c>
      <c r="C47" t="str">
        <f>step3_validation[[#This Row],[Gender]]</f>
        <v>Nữ</v>
      </c>
      <c r="D47" t="str">
        <f>survey_responses[[#This Row],[Giới tính của bạn:]]</f>
        <v>Nữ</v>
      </c>
      <c r="E47" t="str">
        <f>step3_validation[[#This Row],[Age_Group]]</f>
        <v>50 - 54</v>
      </c>
      <c r="F47" t="str">
        <f>survey_responses[[#This Row],[Độ tuổi của bạn:]]</f>
        <v>50 - 54</v>
      </c>
      <c r="G47" t="str">
        <f>step3_validation[[#This Row],[Region]]</f>
        <v>Nông thôn</v>
      </c>
      <c r="H47" t="str">
        <f>survey_responses[[#This Row],[Khu vực bạn đang sinh sống:]]</f>
        <v>Nông thôn</v>
      </c>
      <c r="I47" t="str">
        <f>step3_validation[[#This Row],[Education]]</f>
        <v>Đại học</v>
      </c>
      <c r="J47" t="str">
        <f>survey_responses[[#This Row],[Trình độ học vấn cao nhất:]]</f>
        <v>Đại học</v>
      </c>
      <c r="K47" t="str">
        <f>step3_validation[[#This Row],[Employment]]</f>
        <v>Chính thức</v>
      </c>
      <c r="L47" t="str">
        <f>survey_responses[[#This Row],[Tình trạng việc làm chính:]]</f>
        <v>Khu vực chính thức (Có Hợp đồng lao động, đóng BHXH)</v>
      </c>
      <c r="M47">
        <f>step3_validation[[#This Row],[Income_Mil]]</f>
        <v>12</v>
      </c>
      <c r="N47" t="str">
        <f>survey_responses[[#This Row],[Thu nhập bình quân tháng theo Hợp đồng lao động của bạn là bao nhiêu? (Vui lòng điền tổng thu nhập trước khi khấu trừ các loại Bảo hiểm (BHXH, BHYT, BHTN) và Thuế TNCN)]]</f>
        <v>Dưới 12 triệu VNĐ</v>
      </c>
      <c r="O47">
        <f>step3_validation[[#This Row],[Dependents]]</f>
        <v>2</v>
      </c>
      <c r="P47" t="str">
        <f>survey_responses[[#This Row],[Số người phụ thuộc (con nhỏ, cha mẹ già...) đủ điều kiện giảm trừ gia cảnh:]]</f>
        <v>2 người</v>
      </c>
      <c r="Q47">
        <f>step3_validation[[#This Row],[AI_ENF1]]</f>
        <v>7</v>
      </c>
      <c r="R47">
        <f t="shared" si="0"/>
        <v>0.66666666666666663</v>
      </c>
      <c r="S47">
        <f>survey_responses[[#This Row],[Tôi tin rằng với các quy định quản lý thuế hiện nay, hành vi gian lận hoặc trốn thuế sẽ dễ dàng bị phát hiện và xử lý nghiêm. - HUMAN-ENF1]]</f>
        <v>1</v>
      </c>
      <c r="T47">
        <f t="shared" si="1"/>
        <v>0</v>
      </c>
      <c r="U47">
        <f>step3_validation[[#This Row],[AI_ENF2]]</f>
        <v>6</v>
      </c>
      <c r="V47">
        <f t="shared" si="2"/>
        <v>0.55555555555555558</v>
      </c>
      <c r="W47">
        <f>survey_responses[[#This Row],[Tôi tin rằng Nhà nước, cơ quan thuế có đủ khả năng và công nghệ để phát hiện, xử lý nghiêm các hành vi trốn thuế. - HUMAN-ENF2]]</f>
        <v>1</v>
      </c>
      <c r="X47">
        <f t="shared" si="3"/>
        <v>0</v>
      </c>
      <c r="Y47" s="32">
        <f t="shared" si="4"/>
        <v>0.61111111111111116</v>
      </c>
      <c r="Z47" s="32">
        <f t="shared" si="5"/>
        <v>0</v>
      </c>
      <c r="AA47">
        <f>step3_validation[[#This Row],[AI_FAC1]]</f>
        <v>8</v>
      </c>
      <c r="AB47">
        <f t="shared" si="6"/>
        <v>0.77777777777777779</v>
      </c>
      <c r="AC47">
        <f>survey_responses[[#This Row],[Các thủ tục khai báo thuế VÀ/HOẶC quy trình làm việc với cơ quan thuế đơn giản, tiện lợi, nhanh chóng hơn so với trước đây. - HUMAN-FAC1]]</f>
        <v>2</v>
      </c>
      <c r="AD47">
        <f t="shared" si="7"/>
        <v>0.1111111111111111</v>
      </c>
      <c r="AE47">
        <f>step3_validation[[#This Row],[AI_FAC2]]</f>
        <v>9</v>
      </c>
      <c r="AF47">
        <f t="shared" si="8"/>
        <v>0.88888888888888884</v>
      </c>
      <c r="AG47">
        <f>survey_responses[[#This Row],[So với trước đây, tôi thấy cách tính thuế và các bậc thuế trong phương án mới đơn giản, dễ hiểu và dễ thực hiện hơn. - HUMAN-FAC2]]</f>
        <v>1</v>
      </c>
      <c r="AH47">
        <f t="shared" si="9"/>
        <v>0</v>
      </c>
      <c r="AI47" s="32">
        <f t="shared" si="10"/>
        <v>0.83333333333333326</v>
      </c>
      <c r="AJ47" s="32">
        <f t="shared" si="11"/>
        <v>5.5555555555555552E-2</v>
      </c>
      <c r="AK47">
        <f>step3_validation[[#This Row],[AI_TRU1]]</f>
        <v>8</v>
      </c>
      <c r="AL47">
        <f t="shared" si="12"/>
        <v>0.77777777777777779</v>
      </c>
      <c r="AM47">
        <f>survey_responses[[#This Row],[Tôi tin rằng Nhà nước, cơ quan thuế sẽ thực thi chính sách mới một cách khách quan, công tâm và đối xử bình đẳng với mọi người nộp thuế.  - HUMAN-TRU1]]</f>
        <v>1</v>
      </c>
      <c r="AN47">
        <f t="shared" si="13"/>
        <v>0</v>
      </c>
      <c r="AO47">
        <f>step3_validation[[#This Row],[AI_TRU2]]</f>
        <v>9</v>
      </c>
      <c r="AP47">
        <f t="shared" si="14"/>
        <v>0.88888888888888884</v>
      </c>
      <c r="AQ47">
        <f>survey_responses[[#This Row],[Tôi thấy mức thuế tôi phải đóng theo phương án mới là công bằng (người thu nhập như tôi đóng mức này là hợp lý). - HUMAN-TRU2]]</f>
        <v>1</v>
      </c>
      <c r="AR47">
        <f t="shared" si="15"/>
        <v>0</v>
      </c>
      <c r="AS47">
        <f>step3_validation[[#This Row],[AI_TRU3]]</f>
        <v>8</v>
      </c>
      <c r="AT47">
        <f t="shared" si="16"/>
        <v>0.77777777777777779</v>
      </c>
      <c r="AU47">
        <f>survey_responses[[#This Row],[Tôi tin tưởng số tiền thuế tôi đóng sẽ được Nhà nước sử dụng hiệu quả để cải thiện dịch vụ công (y tế, đường xá...). - HUMAN-TRU3]]</f>
        <v>1</v>
      </c>
      <c r="AV47">
        <f t="shared" si="17"/>
        <v>0</v>
      </c>
      <c r="AW47">
        <f>step3_validation[[#This Row],[AI_TRU4]]</f>
        <v>9</v>
      </c>
      <c r="AX47">
        <f t="shared" si="18"/>
        <v>0.88888888888888884</v>
      </c>
      <c r="AY47">
        <f>survey_responses[[#This Row],[Tôi thấy Nhà nước đã giải thích rõ ràng, minh bạch về lý do và mục tiêu của việc sửa đổi thuế lần này. - HUMAN-TRU4]]</f>
        <v>1</v>
      </c>
      <c r="AZ47">
        <f t="shared" si="19"/>
        <v>0</v>
      </c>
      <c r="BA47" s="32">
        <f t="shared" si="20"/>
        <v>0.83333333333333326</v>
      </c>
      <c r="BB47" s="32">
        <f t="shared" si="21"/>
        <v>0</v>
      </c>
      <c r="BC47" s="7">
        <f t="shared" si="22"/>
        <v>0.75925925925925919</v>
      </c>
      <c r="BD47" s="7">
        <f t="shared" si="23"/>
        <v>1.8518518518518517E-2</v>
      </c>
      <c r="BE47">
        <f>step3_validation[[#This Row],[AI_OUT1]]</f>
        <v>10</v>
      </c>
      <c r="BF47">
        <f t="shared" si="24"/>
        <v>1</v>
      </c>
      <c r="BG47">
        <f>survey_responses[[#This Row],[Sau khi xem xét các quyền lợi và nghĩa vụ, bạn có ủng hộ và tuân thủ chính sách mới hiện nay? - HUMAN-OUT1]]</f>
        <v>1</v>
      </c>
      <c r="BH47">
        <f t="shared" si="25"/>
        <v>0</v>
      </c>
      <c r="BI47" s="32">
        <f t="shared" si="26"/>
        <v>9</v>
      </c>
    </row>
    <row r="48" spans="1:61" x14ac:dyDescent="0.45">
      <c r="A48" s="30">
        <f>step3_validation[[#This Row],[Persona_ID]]</f>
        <v>47</v>
      </c>
      <c r="B48" s="31">
        <f>step3_validation[[#This Row],[Used_Seed]]</f>
        <v>12391</v>
      </c>
      <c r="C48" t="str">
        <f>step3_validation[[#This Row],[Gender]]</f>
        <v>Nam</v>
      </c>
      <c r="D48" t="str">
        <f>survey_responses[[#This Row],[Giới tính của bạn:]]</f>
        <v>Nam</v>
      </c>
      <c r="E48" t="str">
        <f>step3_validation[[#This Row],[Age_Group]]</f>
        <v>30 - 39</v>
      </c>
      <c r="F48" t="str">
        <f>survey_responses[[#This Row],[Độ tuổi của bạn:]]</f>
        <v>30 - 39</v>
      </c>
      <c r="G48" t="str">
        <f>step3_validation[[#This Row],[Region]]</f>
        <v>Thành thị</v>
      </c>
      <c r="H48" t="str">
        <f>survey_responses[[#This Row],[Khu vực bạn đang sinh sống:]]</f>
        <v>Thành thị</v>
      </c>
      <c r="I48" t="str">
        <f>step3_validation[[#This Row],[Education]]</f>
        <v>Đại học</v>
      </c>
      <c r="J48" t="str">
        <f>survey_responses[[#This Row],[Trình độ học vấn cao nhất:]]</f>
        <v>Đại học</v>
      </c>
      <c r="K48" t="str">
        <f>step3_validation[[#This Row],[Employment]]</f>
        <v>Chính thức</v>
      </c>
      <c r="L48" t="str">
        <f>survey_responses[[#This Row],[Tình trạng việc làm chính:]]</f>
        <v>Khu vực chính thức (Có Hợp đồng lao động, đóng BHXH)</v>
      </c>
      <c r="M48">
        <f>step3_validation[[#This Row],[Income_Mil]]</f>
        <v>12</v>
      </c>
      <c r="N48" t="str">
        <f>survey_responses[[#This Row],[Thu nhập bình quân tháng theo Hợp đồng lao động của bạn là bao nhiêu? (Vui lòng điền tổng thu nhập trước khi khấu trừ các loại Bảo hiểm (BHXH, BHYT, BHTN) và Thuế TNCN)]]</f>
        <v>Dưới 12 triệu VNĐ</v>
      </c>
      <c r="O48">
        <f>step3_validation[[#This Row],[Dependents]]</f>
        <v>0</v>
      </c>
      <c r="P48" t="str">
        <f>survey_responses[[#This Row],[Số người phụ thuộc (con nhỏ, cha mẹ già...) đủ điều kiện giảm trừ gia cảnh:]]</f>
        <v>0 người</v>
      </c>
      <c r="Q48">
        <f>step3_validation[[#This Row],[AI_ENF1]]</f>
        <v>6</v>
      </c>
      <c r="R48">
        <f t="shared" si="0"/>
        <v>0.55555555555555558</v>
      </c>
      <c r="S48">
        <f>survey_responses[[#This Row],[Tôi tin rằng với các quy định quản lý thuế hiện nay, hành vi gian lận hoặc trốn thuế sẽ dễ dàng bị phát hiện và xử lý nghiêm. - HUMAN-ENF1]]</f>
        <v>8</v>
      </c>
      <c r="T48">
        <f t="shared" si="1"/>
        <v>0.77777777777777779</v>
      </c>
      <c r="U48">
        <f>step3_validation[[#This Row],[AI_ENF2]]</f>
        <v>7</v>
      </c>
      <c r="V48">
        <f t="shared" si="2"/>
        <v>0.66666666666666663</v>
      </c>
      <c r="W48">
        <f>survey_responses[[#This Row],[Tôi tin rằng Nhà nước, cơ quan thuế có đủ khả năng và công nghệ để phát hiện, xử lý nghiêm các hành vi trốn thuế. - HUMAN-ENF2]]</f>
        <v>8</v>
      </c>
      <c r="X48">
        <f t="shared" si="3"/>
        <v>0.77777777777777779</v>
      </c>
      <c r="Y48" s="32">
        <f t="shared" si="4"/>
        <v>0.61111111111111116</v>
      </c>
      <c r="Z48" s="32">
        <f t="shared" si="5"/>
        <v>0.77777777777777779</v>
      </c>
      <c r="AA48">
        <f>step3_validation[[#This Row],[AI_FAC1]]</f>
        <v>9</v>
      </c>
      <c r="AB48">
        <f t="shared" si="6"/>
        <v>0.88888888888888884</v>
      </c>
      <c r="AC48">
        <f>survey_responses[[#This Row],[Các thủ tục khai báo thuế VÀ/HOẶC quy trình làm việc với cơ quan thuế đơn giản, tiện lợi, nhanh chóng hơn so với trước đây. - HUMAN-FAC1]]</f>
        <v>8</v>
      </c>
      <c r="AD48">
        <f t="shared" si="7"/>
        <v>0.77777777777777779</v>
      </c>
      <c r="AE48">
        <f>step3_validation[[#This Row],[AI_FAC2]]</f>
        <v>9</v>
      </c>
      <c r="AF48">
        <f t="shared" si="8"/>
        <v>0.88888888888888884</v>
      </c>
      <c r="AG48">
        <f>survey_responses[[#This Row],[So với trước đây, tôi thấy cách tính thuế và các bậc thuế trong phương án mới đơn giản, dễ hiểu và dễ thực hiện hơn. - HUMAN-FAC2]]</f>
        <v>7</v>
      </c>
      <c r="AH48">
        <f t="shared" si="9"/>
        <v>0.66666666666666663</v>
      </c>
      <c r="AI48" s="32">
        <f t="shared" si="10"/>
        <v>0.88888888888888884</v>
      </c>
      <c r="AJ48" s="32">
        <f t="shared" si="11"/>
        <v>0.72222222222222221</v>
      </c>
      <c r="AK48">
        <f>step3_validation[[#This Row],[AI_TRU1]]</f>
        <v>7</v>
      </c>
      <c r="AL48">
        <f t="shared" si="12"/>
        <v>0.66666666666666663</v>
      </c>
      <c r="AM48">
        <f>survey_responses[[#This Row],[Tôi tin rằng Nhà nước, cơ quan thuế sẽ thực thi chính sách mới một cách khách quan, công tâm và đối xử bình đẳng với mọi người nộp thuế.  - HUMAN-TRU1]]</f>
        <v>6</v>
      </c>
      <c r="AN48">
        <f t="shared" si="13"/>
        <v>0.55555555555555558</v>
      </c>
      <c r="AO48">
        <f>step3_validation[[#This Row],[AI_TRU2]]</f>
        <v>9</v>
      </c>
      <c r="AP48">
        <f t="shared" si="14"/>
        <v>0.88888888888888884</v>
      </c>
      <c r="AQ48">
        <f>survey_responses[[#This Row],[Tôi thấy mức thuế tôi phải đóng theo phương án mới là công bằng (người thu nhập như tôi đóng mức này là hợp lý). - HUMAN-TRU2]]</f>
        <v>8</v>
      </c>
      <c r="AR48">
        <f t="shared" si="15"/>
        <v>0.77777777777777779</v>
      </c>
      <c r="AS48">
        <f>step3_validation[[#This Row],[AI_TRU3]]</f>
        <v>8</v>
      </c>
      <c r="AT48">
        <f t="shared" si="16"/>
        <v>0.77777777777777779</v>
      </c>
      <c r="AU48">
        <f>survey_responses[[#This Row],[Tôi tin tưởng số tiền thuế tôi đóng sẽ được Nhà nước sử dụng hiệu quả để cải thiện dịch vụ công (y tế, đường xá...). - HUMAN-TRU3]]</f>
        <v>8</v>
      </c>
      <c r="AV48">
        <f t="shared" si="17"/>
        <v>0.77777777777777779</v>
      </c>
      <c r="AW48">
        <f>step3_validation[[#This Row],[AI_TRU4]]</f>
        <v>7</v>
      </c>
      <c r="AX48">
        <f t="shared" si="18"/>
        <v>0.66666666666666663</v>
      </c>
      <c r="AY48">
        <f>survey_responses[[#This Row],[Tôi thấy Nhà nước đã giải thích rõ ràng, minh bạch về lý do và mục tiêu của việc sửa đổi thuế lần này. - HUMAN-TRU4]]</f>
        <v>9</v>
      </c>
      <c r="AZ48">
        <f t="shared" si="19"/>
        <v>0.88888888888888884</v>
      </c>
      <c r="BA48" s="32">
        <f t="shared" si="20"/>
        <v>0.74999999999999989</v>
      </c>
      <c r="BB48" s="32">
        <f t="shared" si="21"/>
        <v>0.75</v>
      </c>
      <c r="BC48" s="7">
        <f t="shared" si="22"/>
        <v>0.75</v>
      </c>
      <c r="BD48" s="7">
        <f t="shared" si="23"/>
        <v>0.75</v>
      </c>
      <c r="BE48">
        <f>step3_validation[[#This Row],[AI_OUT1]]</f>
        <v>9</v>
      </c>
      <c r="BF48">
        <f t="shared" si="24"/>
        <v>0.88888888888888884</v>
      </c>
      <c r="BG48">
        <f>survey_responses[[#This Row],[Sau khi xem xét các quyền lợi và nghĩa vụ, bạn có ủng hộ và tuân thủ chính sách mới hiện nay? - HUMAN-OUT1]]</f>
        <v>8</v>
      </c>
      <c r="BH48">
        <f t="shared" si="25"/>
        <v>0.77777777777777779</v>
      </c>
      <c r="BI48" s="32">
        <f t="shared" si="26"/>
        <v>1</v>
      </c>
    </row>
    <row r="49" spans="1:61" x14ac:dyDescent="0.45">
      <c r="A49" s="30">
        <f>step3_validation[[#This Row],[Persona_ID]]</f>
        <v>48</v>
      </c>
      <c r="B49" s="31">
        <f>step3_validation[[#This Row],[Used_Seed]]</f>
        <v>12392</v>
      </c>
      <c r="C49" t="str">
        <f>step3_validation[[#This Row],[Gender]]</f>
        <v>Nữ</v>
      </c>
      <c r="D49" t="str">
        <f>survey_responses[[#This Row],[Giới tính của bạn:]]</f>
        <v>Nữ</v>
      </c>
      <c r="E49" t="str">
        <f>step3_validation[[#This Row],[Age_Group]]</f>
        <v>30 - 39</v>
      </c>
      <c r="F49" t="str">
        <f>survey_responses[[#This Row],[Độ tuổi của bạn:]]</f>
        <v>30 - 39</v>
      </c>
      <c r="G49" t="str">
        <f>step3_validation[[#This Row],[Region]]</f>
        <v>Thành thị</v>
      </c>
      <c r="H49" t="str">
        <f>survey_responses[[#This Row],[Khu vực bạn đang sinh sống:]]</f>
        <v>Thành thị</v>
      </c>
      <c r="I49" t="str">
        <f>step3_validation[[#This Row],[Education]]</f>
        <v>Đại học</v>
      </c>
      <c r="J49" t="str">
        <f>survey_responses[[#This Row],[Trình độ học vấn cao nhất:]]</f>
        <v>Đại học</v>
      </c>
      <c r="K49" t="str">
        <f>step3_validation[[#This Row],[Employment]]</f>
        <v>Chính thức</v>
      </c>
      <c r="L49" t="str">
        <f>survey_responses[[#This Row],[Tình trạng việc làm chính:]]</f>
        <v>Khu vực chính thức (Có Hợp đồng lao động, đóng BHXH)</v>
      </c>
      <c r="M49">
        <f>step3_validation[[#This Row],[Income_Mil]]</f>
        <v>34.345379820134994</v>
      </c>
      <c r="N49" t="str">
        <f>survey_responses[[#This Row],[Thu nhập bình quân tháng theo Hợp đồng lao động của bạn là bao nhiêu? (Vui lòng điền tổng thu nhập trước khi khấu trừ các loại Bảo hiểm (BHXH, BHYT, BHTN) và Thuế TNCN)]]</f>
        <v>Từ 32 - 48 triệu VNĐ</v>
      </c>
      <c r="O49">
        <f>step3_validation[[#This Row],[Dependents]]</f>
        <v>3</v>
      </c>
      <c r="P49" t="str">
        <f>survey_responses[[#This Row],[Số người phụ thuộc (con nhỏ, cha mẹ già...) đủ điều kiện giảm trừ gia cảnh:]]</f>
        <v>3 người</v>
      </c>
      <c r="Q49">
        <f>step3_validation[[#This Row],[AI_ENF1]]</f>
        <v>6</v>
      </c>
      <c r="R49">
        <f t="shared" si="0"/>
        <v>0.55555555555555558</v>
      </c>
      <c r="S49">
        <f>survey_responses[[#This Row],[Tôi tin rằng với các quy định quản lý thuế hiện nay, hành vi gian lận hoặc trốn thuế sẽ dễ dàng bị phát hiện và xử lý nghiêm. - HUMAN-ENF1]]</f>
        <v>10</v>
      </c>
      <c r="T49">
        <f t="shared" si="1"/>
        <v>1</v>
      </c>
      <c r="U49">
        <f>step3_validation[[#This Row],[AI_ENF2]]</f>
        <v>6</v>
      </c>
      <c r="V49">
        <f t="shared" si="2"/>
        <v>0.55555555555555558</v>
      </c>
      <c r="W49">
        <f>survey_responses[[#This Row],[Tôi tin rằng Nhà nước, cơ quan thuế có đủ khả năng và công nghệ để phát hiện, xử lý nghiêm các hành vi trốn thuế. - HUMAN-ENF2]]</f>
        <v>10</v>
      </c>
      <c r="X49">
        <f t="shared" si="3"/>
        <v>1</v>
      </c>
      <c r="Y49" s="32">
        <f t="shared" si="4"/>
        <v>0.55555555555555558</v>
      </c>
      <c r="Z49" s="32">
        <f t="shared" si="5"/>
        <v>1</v>
      </c>
      <c r="AA49">
        <f>step3_validation[[#This Row],[AI_FAC1]]</f>
        <v>8</v>
      </c>
      <c r="AB49">
        <f t="shared" si="6"/>
        <v>0.77777777777777779</v>
      </c>
      <c r="AC49">
        <f>survey_responses[[#This Row],[Các thủ tục khai báo thuế VÀ/HOẶC quy trình làm việc với cơ quan thuế đơn giản, tiện lợi, nhanh chóng hơn so với trước đây. - HUMAN-FAC1]]</f>
        <v>10</v>
      </c>
      <c r="AD49">
        <f t="shared" si="7"/>
        <v>1</v>
      </c>
      <c r="AE49">
        <f>step3_validation[[#This Row],[AI_FAC2]]</f>
        <v>9</v>
      </c>
      <c r="AF49">
        <f t="shared" si="8"/>
        <v>0.88888888888888884</v>
      </c>
      <c r="AG49">
        <f>survey_responses[[#This Row],[So với trước đây, tôi thấy cách tính thuế và các bậc thuế trong phương án mới đơn giản, dễ hiểu và dễ thực hiện hơn. - HUMAN-FAC2]]</f>
        <v>10</v>
      </c>
      <c r="AH49">
        <f t="shared" si="9"/>
        <v>1</v>
      </c>
      <c r="AI49" s="32">
        <f t="shared" si="10"/>
        <v>0.83333333333333326</v>
      </c>
      <c r="AJ49" s="32">
        <f t="shared" si="11"/>
        <v>1</v>
      </c>
      <c r="AK49">
        <f>step3_validation[[#This Row],[AI_TRU1]]</f>
        <v>7</v>
      </c>
      <c r="AL49">
        <f t="shared" si="12"/>
        <v>0.66666666666666663</v>
      </c>
      <c r="AM49">
        <f>survey_responses[[#This Row],[Tôi tin rằng Nhà nước, cơ quan thuế sẽ thực thi chính sách mới một cách khách quan, công tâm và đối xử bình đẳng với mọi người nộp thuế.  - HUMAN-TRU1]]</f>
        <v>10</v>
      </c>
      <c r="AN49">
        <f t="shared" si="13"/>
        <v>1</v>
      </c>
      <c r="AO49">
        <f>step3_validation[[#This Row],[AI_TRU2]]</f>
        <v>6</v>
      </c>
      <c r="AP49">
        <f t="shared" si="14"/>
        <v>0.55555555555555558</v>
      </c>
      <c r="AQ49">
        <f>survey_responses[[#This Row],[Tôi thấy mức thuế tôi phải đóng theo phương án mới là công bằng (người thu nhập như tôi đóng mức này là hợp lý). - HUMAN-TRU2]]</f>
        <v>10</v>
      </c>
      <c r="AR49">
        <f t="shared" si="15"/>
        <v>1</v>
      </c>
      <c r="AS49">
        <f>step3_validation[[#This Row],[AI_TRU3]]</f>
        <v>5</v>
      </c>
      <c r="AT49">
        <f t="shared" si="16"/>
        <v>0.44444444444444442</v>
      </c>
      <c r="AU49">
        <f>survey_responses[[#This Row],[Tôi tin tưởng số tiền thuế tôi đóng sẽ được Nhà nước sử dụng hiệu quả để cải thiện dịch vụ công (y tế, đường xá...). - HUMAN-TRU3]]</f>
        <v>10</v>
      </c>
      <c r="AV49">
        <f t="shared" si="17"/>
        <v>1</v>
      </c>
      <c r="AW49">
        <f>step3_validation[[#This Row],[AI_TRU4]]</f>
        <v>7</v>
      </c>
      <c r="AX49">
        <f t="shared" si="18"/>
        <v>0.66666666666666663</v>
      </c>
      <c r="AY49">
        <f>survey_responses[[#This Row],[Tôi thấy Nhà nước đã giải thích rõ ràng, minh bạch về lý do và mục tiêu của việc sửa đổi thuế lần này. - HUMAN-TRU4]]</f>
        <v>10</v>
      </c>
      <c r="AZ49">
        <f t="shared" si="19"/>
        <v>1</v>
      </c>
      <c r="BA49" s="32">
        <f t="shared" si="20"/>
        <v>0.58333333333333337</v>
      </c>
      <c r="BB49" s="32">
        <f t="shared" si="21"/>
        <v>1</v>
      </c>
      <c r="BC49" s="7">
        <f t="shared" si="22"/>
        <v>0.65740740740740744</v>
      </c>
      <c r="BD49" s="7">
        <f t="shared" si="23"/>
        <v>1</v>
      </c>
      <c r="BE49">
        <f>step3_validation[[#This Row],[AI_OUT1]]</f>
        <v>8</v>
      </c>
      <c r="BF49">
        <f t="shared" si="24"/>
        <v>0.77777777777777779</v>
      </c>
      <c r="BG49">
        <f>survey_responses[[#This Row],[Sau khi xem xét các quyền lợi và nghĩa vụ, bạn có ủng hộ và tuân thủ chính sách mới hiện nay? - HUMAN-OUT1]]</f>
        <v>10</v>
      </c>
      <c r="BH49">
        <f t="shared" si="25"/>
        <v>1</v>
      </c>
      <c r="BI49" s="32">
        <f t="shared" si="26"/>
        <v>2</v>
      </c>
    </row>
    <row r="50" spans="1:61" x14ac:dyDescent="0.45">
      <c r="A50" s="30">
        <f>step3_validation[[#This Row],[Persona_ID]]</f>
        <v>49</v>
      </c>
      <c r="B50" s="31">
        <f>step3_validation[[#This Row],[Used_Seed]]</f>
        <v>12393</v>
      </c>
      <c r="C50" t="str">
        <f>step3_validation[[#This Row],[Gender]]</f>
        <v>Nam</v>
      </c>
      <c r="D50" t="str">
        <f>survey_responses[[#This Row],[Giới tính của bạn:]]</f>
        <v>Nam</v>
      </c>
      <c r="E50" t="str">
        <f>step3_validation[[#This Row],[Age_Group]]</f>
        <v>30 - 39</v>
      </c>
      <c r="F50" t="str">
        <f>survey_responses[[#This Row],[Độ tuổi của bạn:]]</f>
        <v>30 - 39</v>
      </c>
      <c r="G50" t="str">
        <f>step3_validation[[#This Row],[Region]]</f>
        <v>Thành thị</v>
      </c>
      <c r="H50" t="str">
        <f>survey_responses[[#This Row],[Khu vực bạn đang sinh sống:]]</f>
        <v>Thành thị</v>
      </c>
      <c r="I50" t="str">
        <f>step3_validation[[#This Row],[Education]]</f>
        <v>Đại học</v>
      </c>
      <c r="J50" t="str">
        <f>survey_responses[[#This Row],[Trình độ học vấn cao nhất:]]</f>
        <v>Đại học</v>
      </c>
      <c r="K50" t="str">
        <f>step3_validation[[#This Row],[Employment]]</f>
        <v>Chính thức</v>
      </c>
      <c r="L50" t="str">
        <f>survey_responses[[#This Row],[Tình trạng việc làm chính:]]</f>
        <v>Khu vực chính thức (Có Hợp đồng lao động, đóng BHXH)</v>
      </c>
      <c r="M50">
        <f>step3_validation[[#This Row],[Income_Mil]]</f>
        <v>108.15945156406887</v>
      </c>
      <c r="N50" t="str">
        <f>survey_responses[[#This Row],[Thu nhập bình quân tháng theo Hợp đồng lao động của bạn là bao nhiêu? (Vui lòng điền tổng thu nhập trước khi khấu trừ các loại Bảo hiểm (BHXH, BHYT, BHTN) và Thuế TNCN)]]</f>
        <v>Trên 102 triệu VNĐ</v>
      </c>
      <c r="O50">
        <f>step3_validation[[#This Row],[Dependents]]</f>
        <v>2</v>
      </c>
      <c r="P50" t="str">
        <f>survey_responses[[#This Row],[Số người phụ thuộc (con nhỏ, cha mẹ già...) đủ điều kiện giảm trừ gia cảnh:]]</f>
        <v>2 người</v>
      </c>
      <c r="Q50">
        <f>step3_validation[[#This Row],[AI_ENF1]]</f>
        <v>9</v>
      </c>
      <c r="R50">
        <f t="shared" si="0"/>
        <v>0.88888888888888884</v>
      </c>
      <c r="S50">
        <f>survey_responses[[#This Row],[Tôi tin rằng với các quy định quản lý thuế hiện nay, hành vi gian lận hoặc trốn thuế sẽ dễ dàng bị phát hiện và xử lý nghiêm. - HUMAN-ENF1]]</f>
        <v>8</v>
      </c>
      <c r="T50">
        <f t="shared" si="1"/>
        <v>0.77777777777777779</v>
      </c>
      <c r="U50">
        <f>step3_validation[[#This Row],[AI_ENF2]]</f>
        <v>9</v>
      </c>
      <c r="V50">
        <f t="shared" si="2"/>
        <v>0.88888888888888884</v>
      </c>
      <c r="W50">
        <f>survey_responses[[#This Row],[Tôi tin rằng Nhà nước, cơ quan thuế có đủ khả năng và công nghệ để phát hiện, xử lý nghiêm các hành vi trốn thuế. - HUMAN-ENF2]]</f>
        <v>8</v>
      </c>
      <c r="X50">
        <f t="shared" si="3"/>
        <v>0.77777777777777779</v>
      </c>
      <c r="Y50" s="32">
        <f t="shared" si="4"/>
        <v>0.88888888888888884</v>
      </c>
      <c r="Z50" s="32">
        <f t="shared" si="5"/>
        <v>0.77777777777777779</v>
      </c>
      <c r="AA50">
        <f>step3_validation[[#This Row],[AI_FAC1]]</f>
        <v>8</v>
      </c>
      <c r="AB50">
        <f t="shared" si="6"/>
        <v>0.77777777777777779</v>
      </c>
      <c r="AC50">
        <f>survey_responses[[#This Row],[Các thủ tục khai báo thuế VÀ/HOẶC quy trình làm việc với cơ quan thuế đơn giản, tiện lợi, nhanh chóng hơn so với trước đây. - HUMAN-FAC1]]</f>
        <v>7</v>
      </c>
      <c r="AD50">
        <f t="shared" si="7"/>
        <v>0.66666666666666663</v>
      </c>
      <c r="AE50">
        <f>step3_validation[[#This Row],[AI_FAC2]]</f>
        <v>9</v>
      </c>
      <c r="AF50">
        <f t="shared" si="8"/>
        <v>0.88888888888888884</v>
      </c>
      <c r="AG50">
        <f>survey_responses[[#This Row],[So với trước đây, tôi thấy cách tính thuế và các bậc thuế trong phương án mới đơn giản, dễ hiểu và dễ thực hiện hơn. - HUMAN-FAC2]]</f>
        <v>8</v>
      </c>
      <c r="AH50">
        <f t="shared" si="9"/>
        <v>0.77777777777777779</v>
      </c>
      <c r="AI50" s="32">
        <f t="shared" si="10"/>
        <v>0.83333333333333326</v>
      </c>
      <c r="AJ50" s="32">
        <f t="shared" si="11"/>
        <v>0.72222222222222221</v>
      </c>
      <c r="AK50">
        <f>step3_validation[[#This Row],[AI_TRU1]]</f>
        <v>8</v>
      </c>
      <c r="AL50">
        <f t="shared" si="12"/>
        <v>0.77777777777777779</v>
      </c>
      <c r="AM50">
        <f>survey_responses[[#This Row],[Tôi tin rằng Nhà nước, cơ quan thuế sẽ thực thi chính sách mới một cách khách quan, công tâm và đối xử bình đẳng với mọi người nộp thuế.  - HUMAN-TRU1]]</f>
        <v>6</v>
      </c>
      <c r="AN50">
        <f t="shared" si="13"/>
        <v>0.55555555555555558</v>
      </c>
      <c r="AO50">
        <f>step3_validation[[#This Row],[AI_TRU2]]</f>
        <v>9</v>
      </c>
      <c r="AP50">
        <f t="shared" si="14"/>
        <v>0.88888888888888884</v>
      </c>
      <c r="AQ50">
        <f>survey_responses[[#This Row],[Tôi thấy mức thuế tôi phải đóng theo phương án mới là công bằng (người thu nhập như tôi đóng mức này là hợp lý). - HUMAN-TRU2]]</f>
        <v>8</v>
      </c>
      <c r="AR50">
        <f t="shared" si="15"/>
        <v>0.77777777777777779</v>
      </c>
      <c r="AS50">
        <f>step3_validation[[#This Row],[AI_TRU3]]</f>
        <v>8</v>
      </c>
      <c r="AT50">
        <f t="shared" si="16"/>
        <v>0.77777777777777779</v>
      </c>
      <c r="AU50">
        <f>survey_responses[[#This Row],[Tôi tin tưởng số tiền thuế tôi đóng sẽ được Nhà nước sử dụng hiệu quả để cải thiện dịch vụ công (y tế, đường xá...). - HUMAN-TRU3]]</f>
        <v>6</v>
      </c>
      <c r="AV50">
        <f t="shared" si="17"/>
        <v>0.55555555555555558</v>
      </c>
      <c r="AW50">
        <f>step3_validation[[#This Row],[AI_TRU4]]</f>
        <v>7</v>
      </c>
      <c r="AX50">
        <f t="shared" si="18"/>
        <v>0.66666666666666663</v>
      </c>
      <c r="AY50">
        <f>survey_responses[[#This Row],[Tôi thấy Nhà nước đã giải thích rõ ràng, minh bạch về lý do và mục tiêu của việc sửa đổi thuế lần này. - HUMAN-TRU4]]</f>
        <v>5</v>
      </c>
      <c r="AZ50">
        <f t="shared" si="19"/>
        <v>0.44444444444444442</v>
      </c>
      <c r="BA50" s="32">
        <f t="shared" si="20"/>
        <v>0.77777777777777768</v>
      </c>
      <c r="BB50" s="32">
        <f t="shared" si="21"/>
        <v>0.58333333333333337</v>
      </c>
      <c r="BC50" s="7">
        <f t="shared" si="22"/>
        <v>0.83333333333333337</v>
      </c>
      <c r="BD50" s="7">
        <f t="shared" si="23"/>
        <v>0.69444444444444453</v>
      </c>
      <c r="BE50">
        <f>step3_validation[[#This Row],[AI_OUT1]]</f>
        <v>9</v>
      </c>
      <c r="BF50">
        <f t="shared" si="24"/>
        <v>0.88888888888888884</v>
      </c>
      <c r="BG50">
        <f>survey_responses[[#This Row],[Sau khi xem xét các quyền lợi và nghĩa vụ, bạn có ủng hộ và tuân thủ chính sách mới hiện nay? - HUMAN-OUT1]]</f>
        <v>8</v>
      </c>
      <c r="BH50">
        <f t="shared" si="25"/>
        <v>0.77777777777777779</v>
      </c>
      <c r="BI50" s="32">
        <f t="shared" si="26"/>
        <v>1</v>
      </c>
    </row>
    <row r="51" spans="1:61" x14ac:dyDescent="0.45">
      <c r="A51" s="30">
        <f>step3_validation[[#This Row],[Persona_ID]]</f>
        <v>50</v>
      </c>
      <c r="B51" s="31">
        <f>step3_validation[[#This Row],[Used_Seed]]</f>
        <v>12394</v>
      </c>
      <c r="C51" t="str">
        <f>step3_validation[[#This Row],[Gender]]</f>
        <v>Nữ</v>
      </c>
      <c r="D51" t="str">
        <f>survey_responses[[#This Row],[Giới tính của bạn:]]</f>
        <v>Nữ</v>
      </c>
      <c r="E51" t="str">
        <f>step3_validation[[#This Row],[Age_Group]]</f>
        <v>30 - 39</v>
      </c>
      <c r="F51" t="str">
        <f>survey_responses[[#This Row],[Độ tuổi của bạn:]]</f>
        <v>30 - 39</v>
      </c>
      <c r="G51" t="str">
        <f>step3_validation[[#This Row],[Region]]</f>
        <v>Thành thị</v>
      </c>
      <c r="H51" t="str">
        <f>survey_responses[[#This Row],[Khu vực bạn đang sinh sống:]]</f>
        <v>Thành thị</v>
      </c>
      <c r="I51" t="str">
        <f>step3_validation[[#This Row],[Education]]</f>
        <v>Đại học</v>
      </c>
      <c r="J51" t="str">
        <f>survey_responses[[#This Row],[Trình độ học vấn cao nhất:]]</f>
        <v>Đại học</v>
      </c>
      <c r="K51" t="str">
        <f>step3_validation[[#This Row],[Employment]]</f>
        <v>Chính thức</v>
      </c>
      <c r="L51" t="str">
        <f>survey_responses[[#This Row],[Tình trạng việc làm chính:]]</f>
        <v>Khu vực chính thức (Có Hợp đồng lao động, đóng BHXH)</v>
      </c>
      <c r="M51">
        <f>step3_validation[[#This Row],[Income_Mil]]</f>
        <v>20.174158865869114</v>
      </c>
      <c r="N51" t="str">
        <f>survey_responses[[#This Row],[Thu nhập bình quân tháng theo Hợp đồng lao động của bạn là bao nhiêu? (Vui lòng điền tổng thu nhập trước khi khấu trừ các loại Bảo hiểm (BHXH, BHYT, BHTN) và Thuế TNCN)]]</f>
        <v>Từ 18 - 23 triệu VNĐ</v>
      </c>
      <c r="O51">
        <f>step3_validation[[#This Row],[Dependents]]</f>
        <v>3</v>
      </c>
      <c r="P51" t="str">
        <f>survey_responses[[#This Row],[Số người phụ thuộc (con nhỏ, cha mẹ già...) đủ điều kiện giảm trừ gia cảnh:]]</f>
        <v>3 người</v>
      </c>
      <c r="Q51">
        <f>step3_validation[[#This Row],[AI_ENF1]]</f>
        <v>7</v>
      </c>
      <c r="R51">
        <f t="shared" si="0"/>
        <v>0.66666666666666663</v>
      </c>
      <c r="S51">
        <f>survey_responses[[#This Row],[Tôi tin rằng với các quy định quản lý thuế hiện nay, hành vi gian lận hoặc trốn thuế sẽ dễ dàng bị phát hiện và xử lý nghiêm. - HUMAN-ENF1]]</f>
        <v>10</v>
      </c>
      <c r="T51">
        <f t="shared" si="1"/>
        <v>1</v>
      </c>
      <c r="U51">
        <f>step3_validation[[#This Row],[AI_ENF2]]</f>
        <v>6</v>
      </c>
      <c r="V51">
        <f t="shared" si="2"/>
        <v>0.55555555555555558</v>
      </c>
      <c r="W51">
        <f>survey_responses[[#This Row],[Tôi tin rằng Nhà nước, cơ quan thuế có đủ khả năng và công nghệ để phát hiện, xử lý nghiêm các hành vi trốn thuế. - HUMAN-ENF2]]</f>
        <v>10</v>
      </c>
      <c r="X51">
        <f t="shared" si="3"/>
        <v>1</v>
      </c>
      <c r="Y51" s="32">
        <f t="shared" si="4"/>
        <v>0.61111111111111116</v>
      </c>
      <c r="Z51" s="32">
        <f t="shared" si="5"/>
        <v>1</v>
      </c>
      <c r="AA51">
        <f>step3_validation[[#This Row],[AI_FAC1]]</f>
        <v>9</v>
      </c>
      <c r="AB51">
        <f t="shared" si="6"/>
        <v>0.88888888888888884</v>
      </c>
      <c r="AC51">
        <f>survey_responses[[#This Row],[Các thủ tục khai báo thuế VÀ/HOẶC quy trình làm việc với cơ quan thuế đơn giản, tiện lợi, nhanh chóng hơn so với trước đây. - HUMAN-FAC1]]</f>
        <v>10</v>
      </c>
      <c r="AD51">
        <f t="shared" si="7"/>
        <v>1</v>
      </c>
      <c r="AE51">
        <f>step3_validation[[#This Row],[AI_FAC2]]</f>
        <v>8</v>
      </c>
      <c r="AF51">
        <f t="shared" si="8"/>
        <v>0.77777777777777779</v>
      </c>
      <c r="AG51">
        <f>survey_responses[[#This Row],[So với trước đây, tôi thấy cách tính thuế và các bậc thuế trong phương án mới đơn giản, dễ hiểu và dễ thực hiện hơn. - HUMAN-FAC2]]</f>
        <v>8</v>
      </c>
      <c r="AH51">
        <f t="shared" si="9"/>
        <v>0.77777777777777779</v>
      </c>
      <c r="AI51" s="32">
        <f t="shared" si="10"/>
        <v>0.83333333333333326</v>
      </c>
      <c r="AJ51" s="32">
        <f t="shared" si="11"/>
        <v>0.88888888888888884</v>
      </c>
      <c r="AK51">
        <f>step3_validation[[#This Row],[AI_TRU1]]</f>
        <v>9</v>
      </c>
      <c r="AL51">
        <f t="shared" si="12"/>
        <v>0.88888888888888884</v>
      </c>
      <c r="AM51">
        <f>survey_responses[[#This Row],[Tôi tin rằng Nhà nước, cơ quan thuế sẽ thực thi chính sách mới một cách khách quan, công tâm và đối xử bình đẳng với mọi người nộp thuế.  - HUMAN-TRU1]]</f>
        <v>8</v>
      </c>
      <c r="AN51">
        <f t="shared" si="13"/>
        <v>0.77777777777777779</v>
      </c>
      <c r="AO51">
        <f>step3_validation[[#This Row],[AI_TRU2]]</f>
        <v>8</v>
      </c>
      <c r="AP51">
        <f t="shared" si="14"/>
        <v>0.77777777777777779</v>
      </c>
      <c r="AQ51">
        <f>survey_responses[[#This Row],[Tôi thấy mức thuế tôi phải đóng theo phương án mới là công bằng (người thu nhập như tôi đóng mức này là hợp lý). - HUMAN-TRU2]]</f>
        <v>8</v>
      </c>
      <c r="AR51">
        <f t="shared" si="15"/>
        <v>0.77777777777777779</v>
      </c>
      <c r="AS51">
        <f>step3_validation[[#This Row],[AI_TRU3]]</f>
        <v>7</v>
      </c>
      <c r="AT51">
        <f t="shared" si="16"/>
        <v>0.66666666666666663</v>
      </c>
      <c r="AU51">
        <f>survey_responses[[#This Row],[Tôi tin tưởng số tiền thuế tôi đóng sẽ được Nhà nước sử dụng hiệu quả để cải thiện dịch vụ công (y tế, đường xá...). - HUMAN-TRU3]]</f>
        <v>8</v>
      </c>
      <c r="AV51">
        <f t="shared" si="17"/>
        <v>0.77777777777777779</v>
      </c>
      <c r="AW51">
        <f>step3_validation[[#This Row],[AI_TRU4]]</f>
        <v>6</v>
      </c>
      <c r="AX51">
        <f t="shared" si="18"/>
        <v>0.55555555555555558</v>
      </c>
      <c r="AY51">
        <f>survey_responses[[#This Row],[Tôi thấy Nhà nước đã giải thích rõ ràng, minh bạch về lý do và mục tiêu của việc sửa đổi thuế lần này. - HUMAN-TRU4]]</f>
        <v>8</v>
      </c>
      <c r="AZ51">
        <f t="shared" si="19"/>
        <v>0.77777777777777779</v>
      </c>
      <c r="BA51" s="32">
        <f t="shared" si="20"/>
        <v>0.7222222222222221</v>
      </c>
      <c r="BB51" s="32">
        <f t="shared" si="21"/>
        <v>0.77777777777777779</v>
      </c>
      <c r="BC51" s="7">
        <f t="shared" si="22"/>
        <v>0.72222222222222221</v>
      </c>
      <c r="BD51" s="7">
        <f t="shared" si="23"/>
        <v>0.88888888888888884</v>
      </c>
      <c r="BE51">
        <f>step3_validation[[#This Row],[AI_OUT1]]</f>
        <v>8</v>
      </c>
      <c r="BF51">
        <f t="shared" si="24"/>
        <v>0.77777777777777779</v>
      </c>
      <c r="BG51">
        <f>survey_responses[[#This Row],[Sau khi xem xét các quyền lợi và nghĩa vụ, bạn có ủng hộ và tuân thủ chính sách mới hiện nay? - HUMAN-OUT1]]</f>
        <v>8</v>
      </c>
      <c r="BH51">
        <f t="shared" si="25"/>
        <v>0.77777777777777779</v>
      </c>
      <c r="BI51" s="32">
        <f t="shared" si="26"/>
        <v>0</v>
      </c>
    </row>
    <row r="52" spans="1:61" x14ac:dyDescent="0.45">
      <c r="A52" s="30">
        <f>step3_validation[[#This Row],[Persona_ID]]</f>
        <v>51</v>
      </c>
      <c r="B52" s="31">
        <f>step3_validation[[#This Row],[Used_Seed]]</f>
        <v>12395</v>
      </c>
      <c r="C52" t="str">
        <f>step3_validation[[#This Row],[Gender]]</f>
        <v>Nam</v>
      </c>
      <c r="D52" t="str">
        <f>survey_responses[[#This Row],[Giới tính của bạn:]]</f>
        <v>Nam</v>
      </c>
      <c r="E52" t="str">
        <f>step3_validation[[#This Row],[Age_Group]]</f>
        <v>25 - 29</v>
      </c>
      <c r="F52" t="str">
        <f>survey_responses[[#This Row],[Độ tuổi của bạn:]]</f>
        <v>25 - 29</v>
      </c>
      <c r="G52" t="str">
        <f>step3_validation[[#This Row],[Region]]</f>
        <v>Thành thị</v>
      </c>
      <c r="H52" t="str">
        <f>survey_responses[[#This Row],[Khu vực bạn đang sinh sống:]]</f>
        <v>Thành thị</v>
      </c>
      <c r="I52" t="str">
        <f>step3_validation[[#This Row],[Education]]</f>
        <v>Đại học</v>
      </c>
      <c r="J52" t="str">
        <f>survey_responses[[#This Row],[Trình độ học vấn cao nhất:]]</f>
        <v>Đại học</v>
      </c>
      <c r="K52" t="str">
        <f>step3_validation[[#This Row],[Employment]]</f>
        <v>Chính thức</v>
      </c>
      <c r="L52" t="str">
        <f>survey_responses[[#This Row],[Tình trạng việc làm chính:]]</f>
        <v>Khu vực chính thức (Có Hợp đồng lao động, đóng BHXH)</v>
      </c>
      <c r="M52">
        <f>step3_validation[[#This Row],[Income_Mil]]</f>
        <v>12.655826388712205</v>
      </c>
      <c r="N52" t="str">
        <f>survey_responses[[#This Row],[Thu nhập bình quân tháng theo Hợp đồng lao động của bạn là bao nhiêu? (Vui lòng điền tổng thu nhập trước khi khấu trừ các loại Bảo hiểm (BHXH, BHYT, BHTN) và Thuế TNCN)]]</f>
        <v>Từ 12 - 18 triệu VNĐ</v>
      </c>
      <c r="O52">
        <f>step3_validation[[#This Row],[Dependents]]</f>
        <v>0</v>
      </c>
      <c r="P52" t="str">
        <f>survey_responses[[#This Row],[Số người phụ thuộc (con nhỏ, cha mẹ già...) đủ điều kiện giảm trừ gia cảnh:]]</f>
        <v>0 người</v>
      </c>
      <c r="Q52">
        <f>step3_validation[[#This Row],[AI_ENF1]]</f>
        <v>6</v>
      </c>
      <c r="R52">
        <f t="shared" si="0"/>
        <v>0.55555555555555558</v>
      </c>
      <c r="S52">
        <f>survey_responses[[#This Row],[Tôi tin rằng với các quy định quản lý thuế hiện nay, hành vi gian lận hoặc trốn thuế sẽ dễ dàng bị phát hiện và xử lý nghiêm. - HUMAN-ENF1]]</f>
        <v>10</v>
      </c>
      <c r="T52">
        <f t="shared" si="1"/>
        <v>1</v>
      </c>
      <c r="U52">
        <f>step3_validation[[#This Row],[AI_ENF2]]</f>
        <v>7</v>
      </c>
      <c r="V52">
        <f t="shared" si="2"/>
        <v>0.66666666666666663</v>
      </c>
      <c r="W52">
        <f>survey_responses[[#This Row],[Tôi tin rằng Nhà nước, cơ quan thuế có đủ khả năng và công nghệ để phát hiện, xử lý nghiêm các hành vi trốn thuế. - HUMAN-ENF2]]</f>
        <v>10</v>
      </c>
      <c r="X52">
        <f t="shared" si="3"/>
        <v>1</v>
      </c>
      <c r="Y52" s="32">
        <f t="shared" si="4"/>
        <v>0.61111111111111116</v>
      </c>
      <c r="Z52" s="32">
        <f t="shared" si="5"/>
        <v>1</v>
      </c>
      <c r="AA52">
        <f>step3_validation[[#This Row],[AI_FAC1]]</f>
        <v>9</v>
      </c>
      <c r="AB52">
        <f t="shared" si="6"/>
        <v>0.88888888888888884</v>
      </c>
      <c r="AC52">
        <f>survey_responses[[#This Row],[Các thủ tục khai báo thuế VÀ/HOẶC quy trình làm việc với cơ quan thuế đơn giản, tiện lợi, nhanh chóng hơn so với trước đây. - HUMAN-FAC1]]</f>
        <v>10</v>
      </c>
      <c r="AD52">
        <f t="shared" si="7"/>
        <v>1</v>
      </c>
      <c r="AE52">
        <f>step3_validation[[#This Row],[AI_FAC2]]</f>
        <v>8</v>
      </c>
      <c r="AF52">
        <f t="shared" si="8"/>
        <v>0.77777777777777779</v>
      </c>
      <c r="AG52">
        <f>survey_responses[[#This Row],[So với trước đây, tôi thấy cách tính thuế và các bậc thuế trong phương án mới đơn giản, dễ hiểu và dễ thực hiện hơn. - HUMAN-FAC2]]</f>
        <v>10</v>
      </c>
      <c r="AH52">
        <f t="shared" si="9"/>
        <v>1</v>
      </c>
      <c r="AI52" s="32">
        <f t="shared" si="10"/>
        <v>0.83333333333333326</v>
      </c>
      <c r="AJ52" s="32">
        <f t="shared" si="11"/>
        <v>1</v>
      </c>
      <c r="AK52">
        <f>step3_validation[[#This Row],[AI_TRU1]]</f>
        <v>9</v>
      </c>
      <c r="AL52">
        <f t="shared" si="12"/>
        <v>0.88888888888888884</v>
      </c>
      <c r="AM52">
        <f>survey_responses[[#This Row],[Tôi tin rằng Nhà nước, cơ quan thuế sẽ thực thi chính sách mới một cách khách quan, công tâm và đối xử bình đẳng với mọi người nộp thuế.  - HUMAN-TRU1]]</f>
        <v>10</v>
      </c>
      <c r="AN52">
        <f t="shared" si="13"/>
        <v>1</v>
      </c>
      <c r="AO52">
        <f>step3_validation[[#This Row],[AI_TRU2]]</f>
        <v>9</v>
      </c>
      <c r="AP52">
        <f t="shared" si="14"/>
        <v>0.88888888888888884</v>
      </c>
      <c r="AQ52">
        <f>survey_responses[[#This Row],[Tôi thấy mức thuế tôi phải đóng theo phương án mới là công bằng (người thu nhập như tôi đóng mức này là hợp lý). - HUMAN-TRU2]]</f>
        <v>10</v>
      </c>
      <c r="AR52">
        <f t="shared" si="15"/>
        <v>1</v>
      </c>
      <c r="AS52">
        <f>step3_validation[[#This Row],[AI_TRU3]]</f>
        <v>7</v>
      </c>
      <c r="AT52">
        <f t="shared" si="16"/>
        <v>0.66666666666666663</v>
      </c>
      <c r="AU52">
        <f>survey_responses[[#This Row],[Tôi tin tưởng số tiền thuế tôi đóng sẽ được Nhà nước sử dụng hiệu quả để cải thiện dịch vụ công (y tế, đường xá...). - HUMAN-TRU3]]</f>
        <v>10</v>
      </c>
      <c r="AV52">
        <f t="shared" si="17"/>
        <v>1</v>
      </c>
      <c r="AW52">
        <f>step3_validation[[#This Row],[AI_TRU4]]</f>
        <v>8</v>
      </c>
      <c r="AX52">
        <f t="shared" si="18"/>
        <v>0.77777777777777779</v>
      </c>
      <c r="AY52">
        <f>survey_responses[[#This Row],[Tôi thấy Nhà nước đã giải thích rõ ràng, minh bạch về lý do và mục tiêu của việc sửa đổi thuế lần này. - HUMAN-TRU4]]</f>
        <v>10</v>
      </c>
      <c r="AZ52">
        <f t="shared" si="19"/>
        <v>1</v>
      </c>
      <c r="BA52" s="32">
        <f t="shared" si="20"/>
        <v>0.80555555555555547</v>
      </c>
      <c r="BB52" s="32">
        <f t="shared" si="21"/>
        <v>1</v>
      </c>
      <c r="BC52" s="7">
        <f t="shared" si="22"/>
        <v>0.75</v>
      </c>
      <c r="BD52" s="7">
        <f t="shared" si="23"/>
        <v>1</v>
      </c>
      <c r="BE52">
        <f>step3_validation[[#This Row],[AI_OUT1]]</f>
        <v>9</v>
      </c>
      <c r="BF52">
        <f t="shared" si="24"/>
        <v>0.88888888888888884</v>
      </c>
      <c r="BG52">
        <f>survey_responses[[#This Row],[Sau khi xem xét các quyền lợi và nghĩa vụ, bạn có ủng hộ và tuân thủ chính sách mới hiện nay? - HUMAN-OUT1]]</f>
        <v>10</v>
      </c>
      <c r="BH52">
        <f t="shared" si="25"/>
        <v>1</v>
      </c>
      <c r="BI52" s="32">
        <f t="shared" si="26"/>
        <v>1</v>
      </c>
    </row>
    <row r="53" spans="1:61" x14ac:dyDescent="0.45">
      <c r="A53" s="30">
        <f>step3_validation[[#This Row],[Persona_ID]]</f>
        <v>52</v>
      </c>
      <c r="B53" s="31">
        <f>step3_validation[[#This Row],[Used_Seed]]</f>
        <v>12396</v>
      </c>
      <c r="C53" t="str">
        <f>step3_validation[[#This Row],[Gender]]</f>
        <v>Nữ</v>
      </c>
      <c r="D53" t="str">
        <f>survey_responses[[#This Row],[Giới tính của bạn:]]</f>
        <v>Nữ</v>
      </c>
      <c r="E53" t="str">
        <f>step3_validation[[#This Row],[Age_Group]]</f>
        <v>25 - 29</v>
      </c>
      <c r="F53" t="str">
        <f>survey_responses[[#This Row],[Độ tuổi của bạn:]]</f>
        <v>25 - 29</v>
      </c>
      <c r="G53" t="str">
        <f>step3_validation[[#This Row],[Region]]</f>
        <v>Thành thị</v>
      </c>
      <c r="H53" t="str">
        <f>survey_responses[[#This Row],[Khu vực bạn đang sinh sống:]]</f>
        <v>Thành thị</v>
      </c>
      <c r="I53" t="str">
        <f>step3_validation[[#This Row],[Education]]</f>
        <v>Đại học</v>
      </c>
      <c r="J53" t="str">
        <f>survey_responses[[#This Row],[Trình độ học vấn cao nhất:]]</f>
        <v>Đại học</v>
      </c>
      <c r="K53" t="str">
        <f>step3_validation[[#This Row],[Employment]]</f>
        <v>Chính thức</v>
      </c>
      <c r="L53" t="str">
        <f>survey_responses[[#This Row],[Tình trạng việc làm chính:]]</f>
        <v>Khu vực chính thức (Có Hợp đồng lao động, đóng BHXH)</v>
      </c>
      <c r="M53">
        <f>step3_validation[[#This Row],[Income_Mil]]</f>
        <v>18.604831155484682</v>
      </c>
      <c r="N53" t="str">
        <f>survey_responses[[#This Row],[Thu nhập bình quân tháng theo Hợp đồng lao động của bạn là bao nhiêu? (Vui lòng điền tổng thu nhập trước khi khấu trừ các loại Bảo hiểm (BHXH, BHYT, BHTN) và Thuế TNCN)]]</f>
        <v>Từ 18 - 23 triệu VNĐ</v>
      </c>
      <c r="O53">
        <f>step3_validation[[#This Row],[Dependents]]</f>
        <v>1</v>
      </c>
      <c r="P53" t="str">
        <f>survey_responses[[#This Row],[Số người phụ thuộc (con nhỏ, cha mẹ già...) đủ điều kiện giảm trừ gia cảnh:]]</f>
        <v>1 người</v>
      </c>
      <c r="Q53">
        <f>step3_validation[[#This Row],[AI_ENF1]]</f>
        <v>7</v>
      </c>
      <c r="R53">
        <f t="shared" si="0"/>
        <v>0.66666666666666663</v>
      </c>
      <c r="S53">
        <f>survey_responses[[#This Row],[Tôi tin rằng với các quy định quản lý thuế hiện nay, hành vi gian lận hoặc trốn thuế sẽ dễ dàng bị phát hiện và xử lý nghiêm. - HUMAN-ENF1]]</f>
        <v>10</v>
      </c>
      <c r="T53">
        <f t="shared" si="1"/>
        <v>1</v>
      </c>
      <c r="U53">
        <f>step3_validation[[#This Row],[AI_ENF2]]</f>
        <v>8</v>
      </c>
      <c r="V53">
        <f t="shared" si="2"/>
        <v>0.77777777777777779</v>
      </c>
      <c r="W53">
        <f>survey_responses[[#This Row],[Tôi tin rằng Nhà nước, cơ quan thuế có đủ khả năng và công nghệ để phát hiện, xử lý nghiêm các hành vi trốn thuế. - HUMAN-ENF2]]</f>
        <v>10</v>
      </c>
      <c r="X53">
        <f t="shared" si="3"/>
        <v>1</v>
      </c>
      <c r="Y53" s="32">
        <f t="shared" si="4"/>
        <v>0.72222222222222221</v>
      </c>
      <c r="Z53" s="32">
        <f t="shared" si="5"/>
        <v>1</v>
      </c>
      <c r="AA53">
        <f>step3_validation[[#This Row],[AI_FAC1]]</f>
        <v>9</v>
      </c>
      <c r="AB53">
        <f t="shared" si="6"/>
        <v>0.88888888888888884</v>
      </c>
      <c r="AC53">
        <f>survey_responses[[#This Row],[Các thủ tục khai báo thuế VÀ/HOẶC quy trình làm việc với cơ quan thuế đơn giản, tiện lợi, nhanh chóng hơn so với trước đây. - HUMAN-FAC1]]</f>
        <v>10</v>
      </c>
      <c r="AD53">
        <f t="shared" si="7"/>
        <v>1</v>
      </c>
      <c r="AE53">
        <f>step3_validation[[#This Row],[AI_FAC2]]</f>
        <v>8</v>
      </c>
      <c r="AF53">
        <f t="shared" si="8"/>
        <v>0.77777777777777779</v>
      </c>
      <c r="AG53">
        <f>survey_responses[[#This Row],[So với trước đây, tôi thấy cách tính thuế và các bậc thuế trong phương án mới đơn giản, dễ hiểu và dễ thực hiện hơn. - HUMAN-FAC2]]</f>
        <v>10</v>
      </c>
      <c r="AH53">
        <f t="shared" si="9"/>
        <v>1</v>
      </c>
      <c r="AI53" s="32">
        <f t="shared" si="10"/>
        <v>0.83333333333333326</v>
      </c>
      <c r="AJ53" s="32">
        <f t="shared" si="11"/>
        <v>1</v>
      </c>
      <c r="AK53">
        <f>step3_validation[[#This Row],[AI_TRU1]]</f>
        <v>9</v>
      </c>
      <c r="AL53">
        <f t="shared" si="12"/>
        <v>0.88888888888888884</v>
      </c>
      <c r="AM53">
        <f>survey_responses[[#This Row],[Tôi tin rằng Nhà nước, cơ quan thuế sẽ thực thi chính sách mới một cách khách quan, công tâm và đối xử bình đẳng với mọi người nộp thuế.  - HUMAN-TRU1]]</f>
        <v>10</v>
      </c>
      <c r="AN53">
        <f t="shared" si="13"/>
        <v>1</v>
      </c>
      <c r="AO53">
        <f>step3_validation[[#This Row],[AI_TRU2]]</f>
        <v>8</v>
      </c>
      <c r="AP53">
        <f t="shared" si="14"/>
        <v>0.77777777777777779</v>
      </c>
      <c r="AQ53">
        <f>survey_responses[[#This Row],[Tôi thấy mức thuế tôi phải đóng theo phương án mới là công bằng (người thu nhập như tôi đóng mức này là hợp lý). - HUMAN-TRU2]]</f>
        <v>10</v>
      </c>
      <c r="AR53">
        <f t="shared" si="15"/>
        <v>1</v>
      </c>
      <c r="AS53">
        <f>step3_validation[[#This Row],[AI_TRU3]]</f>
        <v>9</v>
      </c>
      <c r="AT53">
        <f t="shared" si="16"/>
        <v>0.88888888888888884</v>
      </c>
      <c r="AU53">
        <f>survey_responses[[#This Row],[Tôi tin tưởng số tiền thuế tôi đóng sẽ được Nhà nước sử dụng hiệu quả để cải thiện dịch vụ công (y tế, đường xá...). - HUMAN-TRU3]]</f>
        <v>10</v>
      </c>
      <c r="AV53">
        <f t="shared" si="17"/>
        <v>1</v>
      </c>
      <c r="AW53">
        <f>step3_validation[[#This Row],[AI_TRU4]]</f>
        <v>8</v>
      </c>
      <c r="AX53">
        <f t="shared" si="18"/>
        <v>0.77777777777777779</v>
      </c>
      <c r="AY53">
        <f>survey_responses[[#This Row],[Tôi thấy Nhà nước đã giải thích rõ ràng, minh bạch về lý do và mục tiêu của việc sửa đổi thuế lần này. - HUMAN-TRU4]]</f>
        <v>10</v>
      </c>
      <c r="AZ53">
        <f t="shared" si="19"/>
        <v>1</v>
      </c>
      <c r="BA53" s="32">
        <f t="shared" si="20"/>
        <v>0.83333333333333326</v>
      </c>
      <c r="BB53" s="32">
        <f t="shared" si="21"/>
        <v>1</v>
      </c>
      <c r="BC53" s="7">
        <f t="shared" si="22"/>
        <v>0.79629629629629617</v>
      </c>
      <c r="BD53" s="7">
        <f t="shared" si="23"/>
        <v>1</v>
      </c>
      <c r="BE53">
        <f>step3_validation[[#This Row],[AI_OUT1]]</f>
        <v>9</v>
      </c>
      <c r="BF53">
        <f t="shared" si="24"/>
        <v>0.88888888888888884</v>
      </c>
      <c r="BG53">
        <f>survey_responses[[#This Row],[Sau khi xem xét các quyền lợi và nghĩa vụ, bạn có ủng hộ và tuân thủ chính sách mới hiện nay? - HUMAN-OUT1]]</f>
        <v>8</v>
      </c>
      <c r="BH53">
        <f t="shared" si="25"/>
        <v>0.77777777777777779</v>
      </c>
      <c r="BI53" s="32">
        <f t="shared" si="26"/>
        <v>1</v>
      </c>
    </row>
    <row r="54" spans="1:61" x14ac:dyDescent="0.45">
      <c r="A54" s="30">
        <f>step3_validation[[#This Row],[Persona_ID]]</f>
        <v>53</v>
      </c>
      <c r="B54" s="31">
        <f>step3_validation[[#This Row],[Used_Seed]]</f>
        <v>12397</v>
      </c>
      <c r="C54" t="str">
        <f>step3_validation[[#This Row],[Gender]]</f>
        <v>Nam</v>
      </c>
      <c r="D54" t="str">
        <f>survey_responses[[#This Row],[Giới tính của bạn:]]</f>
        <v>Nam</v>
      </c>
      <c r="E54" t="str">
        <f>step3_validation[[#This Row],[Age_Group]]</f>
        <v>25 - 29</v>
      </c>
      <c r="F54" t="str">
        <f>survey_responses[[#This Row],[Độ tuổi của bạn:]]</f>
        <v>25 - 29</v>
      </c>
      <c r="G54" t="str">
        <f>step3_validation[[#This Row],[Region]]</f>
        <v>Thành thị</v>
      </c>
      <c r="H54" t="str">
        <f>survey_responses[[#This Row],[Khu vực bạn đang sinh sống:]]</f>
        <v>Thành thị</v>
      </c>
      <c r="I54" t="str">
        <f>step3_validation[[#This Row],[Education]]</f>
        <v>Sau Đại học</v>
      </c>
      <c r="J54" t="str">
        <f>survey_responses[[#This Row],[Trình độ học vấn cao nhất:]]</f>
        <v>Sau Đại học</v>
      </c>
      <c r="K54" t="str">
        <f>step3_validation[[#This Row],[Employment]]</f>
        <v>Chính thức</v>
      </c>
      <c r="L54" t="str">
        <f>survey_responses[[#This Row],[Tình trạng việc làm chính:]]</f>
        <v>Khu vực chính thức (Có Hợp đồng lao động, đóng BHXH)</v>
      </c>
      <c r="M54">
        <f>step3_validation[[#This Row],[Income_Mil]]</f>
        <v>14.9461250365175</v>
      </c>
      <c r="N54" t="str">
        <f>survey_responses[[#This Row],[Thu nhập bình quân tháng theo Hợp đồng lao động của bạn là bao nhiêu? (Vui lòng điền tổng thu nhập trước khi khấu trừ các loại Bảo hiểm (BHXH, BHYT, BHTN) và Thuế TNCN)]]</f>
        <v>Từ 12 - 18 triệu VNĐ</v>
      </c>
      <c r="O54">
        <f>step3_validation[[#This Row],[Dependents]]</f>
        <v>2</v>
      </c>
      <c r="P54" t="str">
        <f>survey_responses[[#This Row],[Số người phụ thuộc (con nhỏ, cha mẹ già...) đủ điều kiện giảm trừ gia cảnh:]]</f>
        <v>2 người</v>
      </c>
      <c r="Q54">
        <f>step3_validation[[#This Row],[AI_ENF1]]</f>
        <v>6</v>
      </c>
      <c r="R54">
        <f t="shared" si="0"/>
        <v>0.55555555555555558</v>
      </c>
      <c r="S54">
        <f>survey_responses[[#This Row],[Tôi tin rằng với các quy định quản lý thuế hiện nay, hành vi gian lận hoặc trốn thuế sẽ dễ dàng bị phát hiện và xử lý nghiêm. - HUMAN-ENF1]]</f>
        <v>10</v>
      </c>
      <c r="T54">
        <f t="shared" si="1"/>
        <v>1</v>
      </c>
      <c r="U54">
        <f>step3_validation[[#This Row],[AI_ENF2]]</f>
        <v>6</v>
      </c>
      <c r="V54">
        <f t="shared" si="2"/>
        <v>0.55555555555555558</v>
      </c>
      <c r="W54">
        <f>survey_responses[[#This Row],[Tôi tin rằng Nhà nước, cơ quan thuế có đủ khả năng và công nghệ để phát hiện, xử lý nghiêm các hành vi trốn thuế. - HUMAN-ENF2]]</f>
        <v>10</v>
      </c>
      <c r="X54">
        <f t="shared" si="3"/>
        <v>1</v>
      </c>
      <c r="Y54" s="32">
        <f t="shared" si="4"/>
        <v>0.55555555555555558</v>
      </c>
      <c r="Z54" s="32">
        <f t="shared" si="5"/>
        <v>1</v>
      </c>
      <c r="AA54">
        <f>step3_validation[[#This Row],[AI_FAC1]]</f>
        <v>7</v>
      </c>
      <c r="AB54">
        <f t="shared" si="6"/>
        <v>0.66666666666666663</v>
      </c>
      <c r="AC54">
        <f>survey_responses[[#This Row],[Các thủ tục khai báo thuế VÀ/HOẶC quy trình làm việc với cơ quan thuế đơn giản, tiện lợi, nhanh chóng hơn so với trước đây. - HUMAN-FAC1]]</f>
        <v>10</v>
      </c>
      <c r="AD54">
        <f t="shared" si="7"/>
        <v>1</v>
      </c>
      <c r="AE54">
        <f>step3_validation[[#This Row],[AI_FAC2]]</f>
        <v>8</v>
      </c>
      <c r="AF54">
        <f t="shared" si="8"/>
        <v>0.77777777777777779</v>
      </c>
      <c r="AG54">
        <f>survey_responses[[#This Row],[So với trước đây, tôi thấy cách tính thuế và các bậc thuế trong phương án mới đơn giản, dễ hiểu và dễ thực hiện hơn. - HUMAN-FAC2]]</f>
        <v>10</v>
      </c>
      <c r="AH54">
        <f t="shared" si="9"/>
        <v>1</v>
      </c>
      <c r="AI54" s="32">
        <f t="shared" si="10"/>
        <v>0.72222222222222221</v>
      </c>
      <c r="AJ54" s="32">
        <f t="shared" si="11"/>
        <v>1</v>
      </c>
      <c r="AK54">
        <f>step3_validation[[#This Row],[AI_TRU1]]</f>
        <v>9</v>
      </c>
      <c r="AL54">
        <f t="shared" si="12"/>
        <v>0.88888888888888884</v>
      </c>
      <c r="AM54">
        <f>survey_responses[[#This Row],[Tôi tin rằng Nhà nước, cơ quan thuế sẽ thực thi chính sách mới một cách khách quan, công tâm và đối xử bình đẳng với mọi người nộp thuế.  - HUMAN-TRU1]]</f>
        <v>10</v>
      </c>
      <c r="AN54">
        <f t="shared" si="13"/>
        <v>1</v>
      </c>
      <c r="AO54">
        <f>step3_validation[[#This Row],[AI_TRU2]]</f>
        <v>8</v>
      </c>
      <c r="AP54">
        <f t="shared" si="14"/>
        <v>0.77777777777777779</v>
      </c>
      <c r="AQ54">
        <f>survey_responses[[#This Row],[Tôi thấy mức thuế tôi phải đóng theo phương án mới là công bằng (người thu nhập như tôi đóng mức này là hợp lý). - HUMAN-TRU2]]</f>
        <v>10</v>
      </c>
      <c r="AR54">
        <f t="shared" si="15"/>
        <v>1</v>
      </c>
      <c r="AS54">
        <f>step3_validation[[#This Row],[AI_TRU3]]</f>
        <v>8</v>
      </c>
      <c r="AT54">
        <f t="shared" si="16"/>
        <v>0.77777777777777779</v>
      </c>
      <c r="AU54">
        <f>survey_responses[[#This Row],[Tôi tin tưởng số tiền thuế tôi đóng sẽ được Nhà nước sử dụng hiệu quả để cải thiện dịch vụ công (y tế, đường xá...). - HUMAN-TRU3]]</f>
        <v>10</v>
      </c>
      <c r="AV54">
        <f t="shared" si="17"/>
        <v>1</v>
      </c>
      <c r="AW54">
        <f>step3_validation[[#This Row],[AI_TRU4]]</f>
        <v>9</v>
      </c>
      <c r="AX54">
        <f t="shared" si="18"/>
        <v>0.88888888888888884</v>
      </c>
      <c r="AY54">
        <f>survey_responses[[#This Row],[Tôi thấy Nhà nước đã giải thích rõ ràng, minh bạch về lý do và mục tiêu của việc sửa đổi thuế lần này. - HUMAN-TRU4]]</f>
        <v>10</v>
      </c>
      <c r="AZ54">
        <f t="shared" si="19"/>
        <v>1</v>
      </c>
      <c r="BA54" s="32">
        <f t="shared" si="20"/>
        <v>0.83333333333333326</v>
      </c>
      <c r="BB54" s="32">
        <f t="shared" si="21"/>
        <v>1</v>
      </c>
      <c r="BC54" s="7">
        <f t="shared" si="22"/>
        <v>0.70370370370370361</v>
      </c>
      <c r="BD54" s="7">
        <f t="shared" si="23"/>
        <v>1</v>
      </c>
      <c r="BE54">
        <f>step3_validation[[#This Row],[AI_OUT1]]</f>
        <v>8</v>
      </c>
      <c r="BF54">
        <f t="shared" si="24"/>
        <v>0.77777777777777779</v>
      </c>
      <c r="BG54">
        <f>survey_responses[[#This Row],[Sau khi xem xét các quyền lợi và nghĩa vụ, bạn có ủng hộ và tuân thủ chính sách mới hiện nay? - HUMAN-OUT1]]</f>
        <v>10</v>
      </c>
      <c r="BH54">
        <f t="shared" si="25"/>
        <v>1</v>
      </c>
      <c r="BI54" s="32">
        <f t="shared" si="26"/>
        <v>2</v>
      </c>
    </row>
    <row r="55" spans="1:61" x14ac:dyDescent="0.45">
      <c r="A55" s="30">
        <f>step3_validation[[#This Row],[Persona_ID]]</f>
        <v>54</v>
      </c>
      <c r="B55" s="31">
        <f>step3_validation[[#This Row],[Used_Seed]]</f>
        <v>12398</v>
      </c>
      <c r="C55" t="str">
        <f>step3_validation[[#This Row],[Gender]]</f>
        <v>Nữ</v>
      </c>
      <c r="D55" t="str">
        <f>survey_responses[[#This Row],[Giới tính của bạn:]]</f>
        <v>Nữ</v>
      </c>
      <c r="E55" t="str">
        <f>step3_validation[[#This Row],[Age_Group]]</f>
        <v>40 - 49</v>
      </c>
      <c r="F55" t="str">
        <f>survey_responses[[#This Row],[Độ tuổi của bạn:]]</f>
        <v>40 - 49</v>
      </c>
      <c r="G55" t="str">
        <f>step3_validation[[#This Row],[Region]]</f>
        <v>Thành thị</v>
      </c>
      <c r="H55" t="str">
        <f>survey_responses[[#This Row],[Khu vực bạn đang sinh sống:]]</f>
        <v>Thành thị</v>
      </c>
      <c r="I55" t="str">
        <f>step3_validation[[#This Row],[Education]]</f>
        <v>Đại học</v>
      </c>
      <c r="J55" t="str">
        <f>survey_responses[[#This Row],[Trình độ học vấn cao nhất:]]</f>
        <v>Đại học</v>
      </c>
      <c r="K55" t="str">
        <f>step3_validation[[#This Row],[Employment]]</f>
        <v>Chính thức</v>
      </c>
      <c r="L55" t="str">
        <f>survey_responses[[#This Row],[Tình trạng việc làm chính:]]</f>
        <v>Khu vực chính thức (Có Hợp đồng lao động, đóng BHXH)</v>
      </c>
      <c r="M55">
        <f>step3_validation[[#This Row],[Income_Mil]]</f>
        <v>36.294419909457389</v>
      </c>
      <c r="N55" t="str">
        <f>survey_responses[[#This Row],[Thu nhập bình quân tháng theo Hợp đồng lao động của bạn là bao nhiêu? (Vui lòng điền tổng thu nhập trước khi khấu trừ các loại Bảo hiểm (BHXH, BHYT, BHTN) và Thuế TNCN)]]</f>
        <v>Từ 32 - 48 triệu VNĐ</v>
      </c>
      <c r="O55">
        <f>step3_validation[[#This Row],[Dependents]]</f>
        <v>2</v>
      </c>
      <c r="P55" t="str">
        <f>survey_responses[[#This Row],[Số người phụ thuộc (con nhỏ, cha mẹ già...) đủ điều kiện giảm trừ gia cảnh:]]</f>
        <v>2 người</v>
      </c>
      <c r="Q55">
        <f>step3_validation[[#This Row],[AI_ENF1]]</f>
        <v>6</v>
      </c>
      <c r="R55">
        <f t="shared" si="0"/>
        <v>0.55555555555555558</v>
      </c>
      <c r="S55">
        <f>survey_responses[[#This Row],[Tôi tin rằng với các quy định quản lý thuế hiện nay, hành vi gian lận hoặc trốn thuế sẽ dễ dàng bị phát hiện và xử lý nghiêm. - HUMAN-ENF1]]</f>
        <v>8</v>
      </c>
      <c r="T55">
        <f t="shared" si="1"/>
        <v>0.77777777777777779</v>
      </c>
      <c r="U55">
        <f>step3_validation[[#This Row],[AI_ENF2]]</f>
        <v>7</v>
      </c>
      <c r="V55">
        <f t="shared" si="2"/>
        <v>0.66666666666666663</v>
      </c>
      <c r="W55">
        <f>survey_responses[[#This Row],[Tôi tin rằng Nhà nước, cơ quan thuế có đủ khả năng và công nghệ để phát hiện, xử lý nghiêm các hành vi trốn thuế. - HUMAN-ENF2]]</f>
        <v>7</v>
      </c>
      <c r="X55">
        <f t="shared" si="3"/>
        <v>0.66666666666666663</v>
      </c>
      <c r="Y55" s="32">
        <f t="shared" si="4"/>
        <v>0.61111111111111116</v>
      </c>
      <c r="Z55" s="32">
        <f t="shared" si="5"/>
        <v>0.72222222222222221</v>
      </c>
      <c r="AA55">
        <f>step3_validation[[#This Row],[AI_FAC1]]</f>
        <v>8</v>
      </c>
      <c r="AB55">
        <f t="shared" si="6"/>
        <v>0.77777777777777779</v>
      </c>
      <c r="AC55">
        <f>survey_responses[[#This Row],[Các thủ tục khai báo thuế VÀ/HOẶC quy trình làm việc với cơ quan thuế đơn giản, tiện lợi, nhanh chóng hơn so với trước đây. - HUMAN-FAC1]]</f>
        <v>7</v>
      </c>
      <c r="AD55">
        <f t="shared" si="7"/>
        <v>0.66666666666666663</v>
      </c>
      <c r="AE55">
        <f>step3_validation[[#This Row],[AI_FAC2]]</f>
        <v>9</v>
      </c>
      <c r="AF55">
        <f t="shared" si="8"/>
        <v>0.88888888888888884</v>
      </c>
      <c r="AG55">
        <f>survey_responses[[#This Row],[So với trước đây, tôi thấy cách tính thuế và các bậc thuế trong phương án mới đơn giản, dễ hiểu và dễ thực hiện hơn. - HUMAN-FAC2]]</f>
        <v>8</v>
      </c>
      <c r="AH55">
        <f t="shared" si="9"/>
        <v>0.77777777777777779</v>
      </c>
      <c r="AI55" s="32">
        <f t="shared" si="10"/>
        <v>0.83333333333333326</v>
      </c>
      <c r="AJ55" s="32">
        <f t="shared" si="11"/>
        <v>0.72222222222222221</v>
      </c>
      <c r="AK55">
        <f>step3_validation[[#This Row],[AI_TRU1]]</f>
        <v>8</v>
      </c>
      <c r="AL55">
        <f t="shared" si="12"/>
        <v>0.77777777777777779</v>
      </c>
      <c r="AM55">
        <f>survey_responses[[#This Row],[Tôi tin rằng Nhà nước, cơ quan thuế sẽ thực thi chính sách mới một cách khách quan, công tâm và đối xử bình đẳng với mọi người nộp thuế.  - HUMAN-TRU1]]</f>
        <v>7</v>
      </c>
      <c r="AN55">
        <f t="shared" si="13"/>
        <v>0.66666666666666663</v>
      </c>
      <c r="AO55">
        <f>step3_validation[[#This Row],[AI_TRU2]]</f>
        <v>9</v>
      </c>
      <c r="AP55">
        <f t="shared" si="14"/>
        <v>0.88888888888888884</v>
      </c>
      <c r="AQ55">
        <f>survey_responses[[#This Row],[Tôi thấy mức thuế tôi phải đóng theo phương án mới là công bằng (người thu nhập như tôi đóng mức này là hợp lý). - HUMAN-TRU2]]</f>
        <v>8</v>
      </c>
      <c r="AR55">
        <f t="shared" si="15"/>
        <v>0.77777777777777779</v>
      </c>
      <c r="AS55">
        <f>step3_validation[[#This Row],[AI_TRU3]]</f>
        <v>7</v>
      </c>
      <c r="AT55">
        <f t="shared" si="16"/>
        <v>0.66666666666666663</v>
      </c>
      <c r="AU55">
        <f>survey_responses[[#This Row],[Tôi tin tưởng số tiền thuế tôi đóng sẽ được Nhà nước sử dụng hiệu quả để cải thiện dịch vụ công (y tế, đường xá...). - HUMAN-TRU3]]</f>
        <v>7</v>
      </c>
      <c r="AV55">
        <f t="shared" si="17"/>
        <v>0.66666666666666663</v>
      </c>
      <c r="AW55">
        <f>step3_validation[[#This Row],[AI_TRU4]]</f>
        <v>8</v>
      </c>
      <c r="AX55">
        <f t="shared" si="18"/>
        <v>0.77777777777777779</v>
      </c>
      <c r="AY55">
        <f>survey_responses[[#This Row],[Tôi thấy Nhà nước đã giải thích rõ ràng, minh bạch về lý do và mục tiêu của việc sửa đổi thuế lần này. - HUMAN-TRU4]]</f>
        <v>7</v>
      </c>
      <c r="AZ55">
        <f t="shared" si="19"/>
        <v>0.66666666666666663</v>
      </c>
      <c r="BA55" s="32">
        <f t="shared" si="20"/>
        <v>0.77777777777777768</v>
      </c>
      <c r="BB55" s="32">
        <f t="shared" si="21"/>
        <v>0.69444444444444442</v>
      </c>
      <c r="BC55" s="7">
        <f t="shared" si="22"/>
        <v>0.74074074074074081</v>
      </c>
      <c r="BD55" s="7">
        <f t="shared" si="23"/>
        <v>0.71296296296296291</v>
      </c>
      <c r="BE55">
        <f>step3_validation[[#This Row],[AI_OUT1]]</f>
        <v>9</v>
      </c>
      <c r="BF55">
        <f t="shared" si="24"/>
        <v>0.88888888888888884</v>
      </c>
      <c r="BG55">
        <f>survey_responses[[#This Row],[Sau khi xem xét các quyền lợi và nghĩa vụ, bạn có ủng hộ và tuân thủ chính sách mới hiện nay? - HUMAN-OUT1]]</f>
        <v>8</v>
      </c>
      <c r="BH55">
        <f t="shared" si="25"/>
        <v>0.77777777777777779</v>
      </c>
      <c r="BI55" s="32">
        <f t="shared" si="26"/>
        <v>1</v>
      </c>
    </row>
    <row r="56" spans="1:61" x14ac:dyDescent="0.45">
      <c r="A56" s="30">
        <f>step3_validation[[#This Row],[Persona_ID]]</f>
        <v>55</v>
      </c>
      <c r="B56" s="31">
        <f>step3_validation[[#This Row],[Used_Seed]]</f>
        <v>12399</v>
      </c>
      <c r="C56" t="str">
        <f>step3_validation[[#This Row],[Gender]]</f>
        <v>Nữ</v>
      </c>
      <c r="D56" t="str">
        <f>survey_responses[[#This Row],[Giới tính của bạn:]]</f>
        <v>Nữ</v>
      </c>
      <c r="E56" t="str">
        <f>step3_validation[[#This Row],[Age_Group]]</f>
        <v>30 - 39</v>
      </c>
      <c r="F56" t="str">
        <f>survey_responses[[#This Row],[Độ tuổi của bạn:]]</f>
        <v>30 - 39</v>
      </c>
      <c r="G56" t="str">
        <f>step3_validation[[#This Row],[Region]]</f>
        <v>Thành thị</v>
      </c>
      <c r="H56" t="str">
        <f>survey_responses[[#This Row],[Khu vực bạn đang sinh sống:]]</f>
        <v>Thành thị</v>
      </c>
      <c r="I56" t="str">
        <f>step3_validation[[#This Row],[Education]]</f>
        <v>Đại học</v>
      </c>
      <c r="J56" t="str">
        <f>survey_responses[[#This Row],[Trình độ học vấn cao nhất:]]</f>
        <v>Đại học</v>
      </c>
      <c r="K56" t="str">
        <f>step3_validation[[#This Row],[Employment]]</f>
        <v>Chính thức</v>
      </c>
      <c r="L56" t="str">
        <f>survey_responses[[#This Row],[Tình trạng việc làm chính:]]</f>
        <v>Khu vực chính thức (Có Hợp đồng lao động, đóng BHXH)</v>
      </c>
      <c r="M56">
        <f>step3_validation[[#This Row],[Income_Mil]]</f>
        <v>43.726389203210836</v>
      </c>
      <c r="N56" t="str">
        <f>survey_responses[[#This Row],[Thu nhập bình quân tháng theo Hợp đồng lao động của bạn là bao nhiêu? (Vui lòng điền tổng thu nhập trước khi khấu trừ các loại Bảo hiểm (BHXH, BHYT, BHTN) và Thuế TNCN)]]</f>
        <v>Từ 32 - 48 triệu VNĐ</v>
      </c>
      <c r="O56">
        <f>step3_validation[[#This Row],[Dependents]]</f>
        <v>1</v>
      </c>
      <c r="P56" t="str">
        <f>survey_responses[[#This Row],[Số người phụ thuộc (con nhỏ, cha mẹ già...) đủ điều kiện giảm trừ gia cảnh:]]</f>
        <v>1 người</v>
      </c>
      <c r="Q56">
        <f>step3_validation[[#This Row],[AI_ENF1]]</f>
        <v>7</v>
      </c>
      <c r="R56">
        <f t="shared" si="0"/>
        <v>0.66666666666666663</v>
      </c>
      <c r="S56">
        <f>survey_responses[[#This Row],[Tôi tin rằng với các quy định quản lý thuế hiện nay, hành vi gian lận hoặc trốn thuế sẽ dễ dàng bị phát hiện và xử lý nghiêm. - HUMAN-ENF1]]</f>
        <v>10</v>
      </c>
      <c r="T56">
        <f t="shared" si="1"/>
        <v>1</v>
      </c>
      <c r="U56">
        <f>step3_validation[[#This Row],[AI_ENF2]]</f>
        <v>6</v>
      </c>
      <c r="V56">
        <f t="shared" si="2"/>
        <v>0.55555555555555558</v>
      </c>
      <c r="W56">
        <f>survey_responses[[#This Row],[Tôi tin rằng Nhà nước, cơ quan thuế có đủ khả năng và công nghệ để phát hiện, xử lý nghiêm các hành vi trốn thuế. - HUMAN-ENF2]]</f>
        <v>9</v>
      </c>
      <c r="X56">
        <f t="shared" si="3"/>
        <v>0.88888888888888884</v>
      </c>
      <c r="Y56" s="32">
        <f t="shared" si="4"/>
        <v>0.61111111111111116</v>
      </c>
      <c r="Z56" s="32">
        <f t="shared" si="5"/>
        <v>0.94444444444444442</v>
      </c>
      <c r="AA56">
        <f>step3_validation[[#This Row],[AI_FAC1]]</f>
        <v>9</v>
      </c>
      <c r="AB56">
        <f t="shared" si="6"/>
        <v>0.88888888888888884</v>
      </c>
      <c r="AC56">
        <f>survey_responses[[#This Row],[Các thủ tục khai báo thuế VÀ/HOẶC quy trình làm việc với cơ quan thuế đơn giản, tiện lợi, nhanh chóng hơn so với trước đây. - HUMAN-FAC1]]</f>
        <v>3</v>
      </c>
      <c r="AD56">
        <f t="shared" si="7"/>
        <v>0.22222222222222221</v>
      </c>
      <c r="AE56">
        <f>step3_validation[[#This Row],[AI_FAC2]]</f>
        <v>8</v>
      </c>
      <c r="AF56">
        <f t="shared" si="8"/>
        <v>0.77777777777777779</v>
      </c>
      <c r="AG56">
        <f>survey_responses[[#This Row],[So với trước đây, tôi thấy cách tính thuế và các bậc thuế trong phương án mới đơn giản, dễ hiểu và dễ thực hiện hơn. - HUMAN-FAC2]]</f>
        <v>4</v>
      </c>
      <c r="AH56">
        <f t="shared" si="9"/>
        <v>0.33333333333333331</v>
      </c>
      <c r="AI56" s="32">
        <f t="shared" si="10"/>
        <v>0.83333333333333326</v>
      </c>
      <c r="AJ56" s="32">
        <f t="shared" si="11"/>
        <v>0.27777777777777779</v>
      </c>
      <c r="AK56">
        <f>step3_validation[[#This Row],[AI_TRU1]]</f>
        <v>7</v>
      </c>
      <c r="AL56">
        <f t="shared" si="12"/>
        <v>0.66666666666666663</v>
      </c>
      <c r="AM56">
        <f>survey_responses[[#This Row],[Tôi tin rằng Nhà nước, cơ quan thuế sẽ thực thi chính sách mới một cách khách quan, công tâm và đối xử bình đẳng với mọi người nộp thuế.  - HUMAN-TRU1]]</f>
        <v>3</v>
      </c>
      <c r="AN56">
        <f t="shared" si="13"/>
        <v>0.22222222222222221</v>
      </c>
      <c r="AO56">
        <f>step3_validation[[#This Row],[AI_TRU2]]</f>
        <v>8</v>
      </c>
      <c r="AP56">
        <f t="shared" si="14"/>
        <v>0.77777777777777779</v>
      </c>
      <c r="AQ56">
        <f>survey_responses[[#This Row],[Tôi thấy mức thuế tôi phải đóng theo phương án mới là công bằng (người thu nhập như tôi đóng mức này là hợp lý). - HUMAN-TRU2]]</f>
        <v>3</v>
      </c>
      <c r="AR56">
        <f t="shared" si="15"/>
        <v>0.22222222222222221</v>
      </c>
      <c r="AS56">
        <f>step3_validation[[#This Row],[AI_TRU3]]</f>
        <v>7</v>
      </c>
      <c r="AT56">
        <f t="shared" si="16"/>
        <v>0.66666666666666663</v>
      </c>
      <c r="AU56">
        <f>survey_responses[[#This Row],[Tôi tin tưởng số tiền thuế tôi đóng sẽ được Nhà nước sử dụng hiệu quả để cải thiện dịch vụ công (y tế, đường xá...). - HUMAN-TRU3]]</f>
        <v>1</v>
      </c>
      <c r="AV56">
        <f t="shared" si="17"/>
        <v>0</v>
      </c>
      <c r="AW56">
        <f>step3_validation[[#This Row],[AI_TRU4]]</f>
        <v>6</v>
      </c>
      <c r="AX56">
        <f t="shared" si="18"/>
        <v>0.55555555555555558</v>
      </c>
      <c r="AY56">
        <f>survey_responses[[#This Row],[Tôi thấy Nhà nước đã giải thích rõ ràng, minh bạch về lý do và mục tiêu của việc sửa đổi thuế lần này. - HUMAN-TRU4]]</f>
        <v>1</v>
      </c>
      <c r="AZ56">
        <f t="shared" si="19"/>
        <v>0</v>
      </c>
      <c r="BA56" s="32">
        <f t="shared" si="20"/>
        <v>0.66666666666666674</v>
      </c>
      <c r="BB56" s="32">
        <f t="shared" si="21"/>
        <v>0.1111111111111111</v>
      </c>
      <c r="BC56" s="7">
        <f t="shared" si="22"/>
        <v>0.70370370370370372</v>
      </c>
      <c r="BD56" s="7">
        <f t="shared" si="23"/>
        <v>0.44444444444444448</v>
      </c>
      <c r="BE56">
        <f>step3_validation[[#This Row],[AI_OUT1]]</f>
        <v>8</v>
      </c>
      <c r="BF56">
        <f t="shared" si="24"/>
        <v>0.77777777777777779</v>
      </c>
      <c r="BG56">
        <f>survey_responses[[#This Row],[Sau khi xem xét các quyền lợi và nghĩa vụ, bạn có ủng hộ và tuân thủ chính sách mới hiện nay? - HUMAN-OUT1]]</f>
        <v>3</v>
      </c>
      <c r="BH56">
        <f t="shared" si="25"/>
        <v>0.22222222222222221</v>
      </c>
      <c r="BI56" s="32">
        <f t="shared" si="26"/>
        <v>5</v>
      </c>
    </row>
    <row r="57" spans="1:61" x14ac:dyDescent="0.45">
      <c r="A57" s="30">
        <f>step3_validation[[#This Row],[Persona_ID]]</f>
        <v>56</v>
      </c>
      <c r="B57" s="31">
        <f>step3_validation[[#This Row],[Used_Seed]]</f>
        <v>12400</v>
      </c>
      <c r="C57" t="str">
        <f>step3_validation[[#This Row],[Gender]]</f>
        <v>Nam</v>
      </c>
      <c r="D57" t="str">
        <f>survey_responses[[#This Row],[Giới tính của bạn:]]</f>
        <v>Nam</v>
      </c>
      <c r="E57" t="str">
        <f>step3_validation[[#This Row],[Age_Group]]</f>
        <v>25 - 29</v>
      </c>
      <c r="F57" t="str">
        <f>survey_responses[[#This Row],[Độ tuổi của bạn:]]</f>
        <v>25 - 29</v>
      </c>
      <c r="G57" t="str">
        <f>step3_validation[[#This Row],[Region]]</f>
        <v>Thành thị</v>
      </c>
      <c r="H57" t="str">
        <f>survey_responses[[#This Row],[Khu vực bạn đang sinh sống:]]</f>
        <v>Thành thị</v>
      </c>
      <c r="I57" t="str">
        <f>step3_validation[[#This Row],[Education]]</f>
        <v>Đại học</v>
      </c>
      <c r="J57" t="str">
        <f>survey_responses[[#This Row],[Trình độ học vấn cao nhất:]]</f>
        <v>Đại học</v>
      </c>
      <c r="K57" t="str">
        <f>step3_validation[[#This Row],[Employment]]</f>
        <v>Chính thức</v>
      </c>
      <c r="L57" t="str">
        <f>survey_responses[[#This Row],[Tình trạng việc làm chính:]]</f>
        <v>Khu vực chính thức (Có Hợp đồng lao động, đóng BHXH)</v>
      </c>
      <c r="M57">
        <f>step3_validation[[#This Row],[Income_Mil]]</f>
        <v>12</v>
      </c>
      <c r="N57" t="str">
        <f>survey_responses[[#This Row],[Thu nhập bình quân tháng theo Hợp đồng lao động của bạn là bao nhiêu? (Vui lòng điền tổng thu nhập trước khi khấu trừ các loại Bảo hiểm (BHXH, BHYT, BHTN) và Thuế TNCN)]]</f>
        <v>Dưới 12 triệu VNĐ</v>
      </c>
      <c r="O57">
        <f>step3_validation[[#This Row],[Dependents]]</f>
        <v>0</v>
      </c>
      <c r="P57" t="str">
        <f>survey_responses[[#This Row],[Số người phụ thuộc (con nhỏ, cha mẹ già...) đủ điều kiện giảm trừ gia cảnh:]]</f>
        <v>0 người</v>
      </c>
      <c r="Q57">
        <f>step3_validation[[#This Row],[AI_ENF1]]</f>
        <v>7</v>
      </c>
      <c r="R57">
        <f t="shared" si="0"/>
        <v>0.66666666666666663</v>
      </c>
      <c r="S57">
        <f>survey_responses[[#This Row],[Tôi tin rằng với các quy định quản lý thuế hiện nay, hành vi gian lận hoặc trốn thuế sẽ dễ dàng bị phát hiện và xử lý nghiêm. - HUMAN-ENF1]]</f>
        <v>10</v>
      </c>
      <c r="T57">
        <f t="shared" si="1"/>
        <v>1</v>
      </c>
      <c r="U57">
        <f>step3_validation[[#This Row],[AI_ENF2]]</f>
        <v>6</v>
      </c>
      <c r="V57">
        <f t="shared" si="2"/>
        <v>0.55555555555555558</v>
      </c>
      <c r="W57">
        <f>survey_responses[[#This Row],[Tôi tin rằng Nhà nước, cơ quan thuế có đủ khả năng và công nghệ để phát hiện, xử lý nghiêm các hành vi trốn thuế. - HUMAN-ENF2]]</f>
        <v>10</v>
      </c>
      <c r="X57">
        <f t="shared" si="3"/>
        <v>1</v>
      </c>
      <c r="Y57" s="32">
        <f t="shared" si="4"/>
        <v>0.61111111111111116</v>
      </c>
      <c r="Z57" s="32">
        <f t="shared" si="5"/>
        <v>1</v>
      </c>
      <c r="AA57">
        <f>step3_validation[[#This Row],[AI_FAC1]]</f>
        <v>9</v>
      </c>
      <c r="AB57">
        <f t="shared" si="6"/>
        <v>0.88888888888888884</v>
      </c>
      <c r="AC57">
        <f>survey_responses[[#This Row],[Các thủ tục khai báo thuế VÀ/HOẶC quy trình làm việc với cơ quan thuế đơn giản, tiện lợi, nhanh chóng hơn so với trước đây. - HUMAN-FAC1]]</f>
        <v>9</v>
      </c>
      <c r="AD57">
        <f t="shared" si="7"/>
        <v>0.88888888888888884</v>
      </c>
      <c r="AE57">
        <f>step3_validation[[#This Row],[AI_FAC2]]</f>
        <v>8</v>
      </c>
      <c r="AF57">
        <f t="shared" si="8"/>
        <v>0.77777777777777779</v>
      </c>
      <c r="AG57">
        <f>survey_responses[[#This Row],[So với trước đây, tôi thấy cách tính thuế và các bậc thuế trong phương án mới đơn giản, dễ hiểu và dễ thực hiện hơn. - HUMAN-FAC2]]</f>
        <v>10</v>
      </c>
      <c r="AH57">
        <f t="shared" si="9"/>
        <v>1</v>
      </c>
      <c r="AI57" s="32">
        <f t="shared" si="10"/>
        <v>0.83333333333333326</v>
      </c>
      <c r="AJ57" s="32">
        <f t="shared" si="11"/>
        <v>0.94444444444444442</v>
      </c>
      <c r="AK57">
        <f>step3_validation[[#This Row],[AI_TRU1]]</f>
        <v>9</v>
      </c>
      <c r="AL57">
        <f t="shared" si="12"/>
        <v>0.88888888888888884</v>
      </c>
      <c r="AM57">
        <f>survey_responses[[#This Row],[Tôi tin rằng Nhà nước, cơ quan thuế sẽ thực thi chính sách mới một cách khách quan, công tâm và đối xử bình đẳng với mọi người nộp thuế.  - HUMAN-TRU1]]</f>
        <v>9</v>
      </c>
      <c r="AN57">
        <f t="shared" si="13"/>
        <v>0.88888888888888884</v>
      </c>
      <c r="AO57">
        <f>step3_validation[[#This Row],[AI_TRU2]]</f>
        <v>8</v>
      </c>
      <c r="AP57">
        <f t="shared" si="14"/>
        <v>0.77777777777777779</v>
      </c>
      <c r="AQ57">
        <f>survey_responses[[#This Row],[Tôi thấy mức thuế tôi phải đóng theo phương án mới là công bằng (người thu nhập như tôi đóng mức này là hợp lý). - HUMAN-TRU2]]</f>
        <v>10</v>
      </c>
      <c r="AR57">
        <f t="shared" si="15"/>
        <v>1</v>
      </c>
      <c r="AS57">
        <f>step3_validation[[#This Row],[AI_TRU3]]</f>
        <v>9</v>
      </c>
      <c r="AT57">
        <f t="shared" si="16"/>
        <v>0.88888888888888884</v>
      </c>
      <c r="AU57">
        <f>survey_responses[[#This Row],[Tôi tin tưởng số tiền thuế tôi đóng sẽ được Nhà nước sử dụng hiệu quả để cải thiện dịch vụ công (y tế, đường xá...). - HUMAN-TRU3]]</f>
        <v>9</v>
      </c>
      <c r="AV57">
        <f t="shared" si="17"/>
        <v>0.88888888888888884</v>
      </c>
      <c r="AW57">
        <f>step3_validation[[#This Row],[AI_TRU4]]</f>
        <v>8</v>
      </c>
      <c r="AX57">
        <f t="shared" si="18"/>
        <v>0.77777777777777779</v>
      </c>
      <c r="AY57">
        <f>survey_responses[[#This Row],[Tôi thấy Nhà nước đã giải thích rõ ràng, minh bạch về lý do và mục tiêu của việc sửa đổi thuế lần này. - HUMAN-TRU4]]</f>
        <v>10</v>
      </c>
      <c r="AZ57">
        <f t="shared" si="19"/>
        <v>1</v>
      </c>
      <c r="BA57" s="32">
        <f t="shared" si="20"/>
        <v>0.83333333333333326</v>
      </c>
      <c r="BB57" s="32">
        <f t="shared" si="21"/>
        <v>0.94444444444444442</v>
      </c>
      <c r="BC57" s="7">
        <f t="shared" si="22"/>
        <v>0.75925925925925919</v>
      </c>
      <c r="BD57" s="7">
        <f t="shared" si="23"/>
        <v>0.96296296296296291</v>
      </c>
      <c r="BE57">
        <f>step3_validation[[#This Row],[AI_OUT1]]</f>
        <v>9</v>
      </c>
      <c r="BF57">
        <f t="shared" si="24"/>
        <v>0.88888888888888884</v>
      </c>
      <c r="BG57">
        <f>survey_responses[[#This Row],[Sau khi xem xét các quyền lợi và nghĩa vụ, bạn có ủng hộ và tuân thủ chính sách mới hiện nay? - HUMAN-OUT1]]</f>
        <v>9</v>
      </c>
      <c r="BH57">
        <f t="shared" si="25"/>
        <v>0.88888888888888884</v>
      </c>
      <c r="BI57" s="32">
        <f t="shared" si="26"/>
        <v>0</v>
      </c>
    </row>
    <row r="58" spans="1:61" x14ac:dyDescent="0.45">
      <c r="A58" s="30">
        <f>step3_validation[[#This Row],[Persona_ID]]</f>
        <v>57</v>
      </c>
      <c r="B58" s="31">
        <f>step3_validation[[#This Row],[Used_Seed]]</f>
        <v>12401</v>
      </c>
      <c r="C58" t="str">
        <f>step3_validation[[#This Row],[Gender]]</f>
        <v>Nữ</v>
      </c>
      <c r="D58" t="str">
        <f>survey_responses[[#This Row],[Giới tính của bạn:]]</f>
        <v>Nữ</v>
      </c>
      <c r="E58" t="str">
        <f>step3_validation[[#This Row],[Age_Group]]</f>
        <v>30 - 39</v>
      </c>
      <c r="F58" t="str">
        <f>survey_responses[[#This Row],[Độ tuổi của bạn:]]</f>
        <v>30 - 39</v>
      </c>
      <c r="G58" t="str">
        <f>step3_validation[[#This Row],[Region]]</f>
        <v>Thành thị</v>
      </c>
      <c r="H58" t="str">
        <f>survey_responses[[#This Row],[Khu vực bạn đang sinh sống:]]</f>
        <v>Thành thị</v>
      </c>
      <c r="I58" t="str">
        <f>step3_validation[[#This Row],[Education]]</f>
        <v>Đại học</v>
      </c>
      <c r="J58" t="str">
        <f>survey_responses[[#This Row],[Trình độ học vấn cao nhất:]]</f>
        <v>Đại học</v>
      </c>
      <c r="K58" t="str">
        <f>step3_validation[[#This Row],[Employment]]</f>
        <v>Chính thức</v>
      </c>
      <c r="L58" t="str">
        <f>survey_responses[[#This Row],[Tình trạng việc làm chính:]]</f>
        <v>Khu vực chính thức (Có Hợp đồng lao động, đóng BHXH)</v>
      </c>
      <c r="M58">
        <f>step3_validation[[#This Row],[Income_Mil]]</f>
        <v>13.601403136374421</v>
      </c>
      <c r="N58" t="str">
        <f>survey_responses[[#This Row],[Thu nhập bình quân tháng theo Hợp đồng lao động của bạn là bao nhiêu? (Vui lòng điền tổng thu nhập trước khi khấu trừ các loại Bảo hiểm (BHXH, BHYT, BHTN) và Thuế TNCN)]]</f>
        <v>Từ 12 - 18 triệu VNĐ</v>
      </c>
      <c r="O58">
        <f>step3_validation[[#This Row],[Dependents]]</f>
        <v>2</v>
      </c>
      <c r="P58" t="str">
        <f>survey_responses[[#This Row],[Số người phụ thuộc (con nhỏ, cha mẹ già...) đủ điều kiện giảm trừ gia cảnh:]]</f>
        <v>2 người</v>
      </c>
      <c r="Q58">
        <f>step3_validation[[#This Row],[AI_ENF1]]</f>
        <v>7</v>
      </c>
      <c r="R58">
        <f t="shared" si="0"/>
        <v>0.66666666666666663</v>
      </c>
      <c r="S58">
        <f>survey_responses[[#This Row],[Tôi tin rằng với các quy định quản lý thuế hiện nay, hành vi gian lận hoặc trốn thuế sẽ dễ dàng bị phát hiện và xử lý nghiêm. - HUMAN-ENF1]]</f>
        <v>10</v>
      </c>
      <c r="T58">
        <f t="shared" si="1"/>
        <v>1</v>
      </c>
      <c r="U58">
        <f>step3_validation[[#This Row],[AI_ENF2]]</f>
        <v>6</v>
      </c>
      <c r="V58">
        <f t="shared" si="2"/>
        <v>0.55555555555555558</v>
      </c>
      <c r="W58">
        <f>survey_responses[[#This Row],[Tôi tin rằng Nhà nước, cơ quan thuế có đủ khả năng và công nghệ để phát hiện, xử lý nghiêm các hành vi trốn thuế. - HUMAN-ENF2]]</f>
        <v>10</v>
      </c>
      <c r="X58">
        <f t="shared" si="3"/>
        <v>1</v>
      </c>
      <c r="Y58" s="32">
        <f t="shared" si="4"/>
        <v>0.61111111111111116</v>
      </c>
      <c r="Z58" s="32">
        <f t="shared" si="5"/>
        <v>1</v>
      </c>
      <c r="AA58">
        <f>step3_validation[[#This Row],[AI_FAC1]]</f>
        <v>9</v>
      </c>
      <c r="AB58">
        <f t="shared" si="6"/>
        <v>0.88888888888888884</v>
      </c>
      <c r="AC58">
        <f>survey_responses[[#This Row],[Các thủ tục khai báo thuế VÀ/HOẶC quy trình làm việc với cơ quan thuế đơn giản, tiện lợi, nhanh chóng hơn so với trước đây. - HUMAN-FAC1]]</f>
        <v>1</v>
      </c>
      <c r="AD58">
        <f t="shared" si="7"/>
        <v>0</v>
      </c>
      <c r="AE58">
        <f>step3_validation[[#This Row],[AI_FAC2]]</f>
        <v>8</v>
      </c>
      <c r="AF58">
        <f t="shared" si="8"/>
        <v>0.77777777777777779</v>
      </c>
      <c r="AG58">
        <f>survey_responses[[#This Row],[So với trước đây, tôi thấy cách tính thuế và các bậc thuế trong phương án mới đơn giản, dễ hiểu và dễ thực hiện hơn. - HUMAN-FAC2]]</f>
        <v>5</v>
      </c>
      <c r="AH58">
        <f t="shared" si="9"/>
        <v>0.44444444444444442</v>
      </c>
      <c r="AI58" s="32">
        <f t="shared" si="10"/>
        <v>0.83333333333333326</v>
      </c>
      <c r="AJ58" s="32">
        <f t="shared" si="11"/>
        <v>0.22222222222222221</v>
      </c>
      <c r="AK58">
        <f>step3_validation[[#This Row],[AI_TRU1]]</f>
        <v>9</v>
      </c>
      <c r="AL58">
        <f t="shared" si="12"/>
        <v>0.88888888888888884</v>
      </c>
      <c r="AM58">
        <f>survey_responses[[#This Row],[Tôi tin rằng Nhà nước, cơ quan thuế sẽ thực thi chính sách mới một cách khách quan, công tâm và đối xử bình đẳng với mọi người nộp thuế.  - HUMAN-TRU1]]</f>
        <v>7</v>
      </c>
      <c r="AN58">
        <f t="shared" si="13"/>
        <v>0.66666666666666663</v>
      </c>
      <c r="AO58">
        <f>step3_validation[[#This Row],[AI_TRU2]]</f>
        <v>8</v>
      </c>
      <c r="AP58">
        <f t="shared" si="14"/>
        <v>0.77777777777777779</v>
      </c>
      <c r="AQ58">
        <f>survey_responses[[#This Row],[Tôi thấy mức thuế tôi phải đóng theo phương án mới là công bằng (người thu nhập như tôi đóng mức này là hợp lý). - HUMAN-TRU2]]</f>
        <v>10</v>
      </c>
      <c r="AR58">
        <f t="shared" si="15"/>
        <v>1</v>
      </c>
      <c r="AS58">
        <f>step3_validation[[#This Row],[AI_TRU3]]</f>
        <v>9</v>
      </c>
      <c r="AT58">
        <f t="shared" si="16"/>
        <v>0.88888888888888884</v>
      </c>
      <c r="AU58">
        <f>survey_responses[[#This Row],[Tôi tin tưởng số tiền thuế tôi đóng sẽ được Nhà nước sử dụng hiệu quả để cải thiện dịch vụ công (y tế, đường xá...). - HUMAN-TRU3]]</f>
        <v>9</v>
      </c>
      <c r="AV58">
        <f t="shared" si="17"/>
        <v>0.88888888888888884</v>
      </c>
      <c r="AW58">
        <f>step3_validation[[#This Row],[AI_TRU4]]</f>
        <v>8</v>
      </c>
      <c r="AX58">
        <f t="shared" si="18"/>
        <v>0.77777777777777779</v>
      </c>
      <c r="AY58">
        <f>survey_responses[[#This Row],[Tôi thấy Nhà nước đã giải thích rõ ràng, minh bạch về lý do và mục tiêu của việc sửa đổi thuế lần này. - HUMAN-TRU4]]</f>
        <v>9</v>
      </c>
      <c r="AZ58">
        <f t="shared" si="19"/>
        <v>0.88888888888888884</v>
      </c>
      <c r="BA58" s="32">
        <f t="shared" si="20"/>
        <v>0.83333333333333326</v>
      </c>
      <c r="BB58" s="32">
        <f t="shared" si="21"/>
        <v>0.86111111111111105</v>
      </c>
      <c r="BC58" s="7">
        <f t="shared" si="22"/>
        <v>0.75925925925925919</v>
      </c>
      <c r="BD58" s="7">
        <f t="shared" si="23"/>
        <v>0.69444444444444453</v>
      </c>
      <c r="BE58">
        <f>step3_validation[[#This Row],[AI_OUT1]]</f>
        <v>9</v>
      </c>
      <c r="BF58">
        <f t="shared" si="24"/>
        <v>0.88888888888888884</v>
      </c>
      <c r="BG58">
        <f>survey_responses[[#This Row],[Sau khi xem xét các quyền lợi và nghĩa vụ, bạn có ủng hộ và tuân thủ chính sách mới hiện nay? - HUMAN-OUT1]]</f>
        <v>10</v>
      </c>
      <c r="BH58">
        <f t="shared" si="25"/>
        <v>1</v>
      </c>
      <c r="BI58" s="32">
        <f t="shared" si="26"/>
        <v>1</v>
      </c>
    </row>
    <row r="59" spans="1:61" x14ac:dyDescent="0.45">
      <c r="A59" s="30">
        <f>step3_validation[[#This Row],[Persona_ID]]</f>
        <v>58</v>
      </c>
      <c r="B59" s="31">
        <f>step3_validation[[#This Row],[Used_Seed]]</f>
        <v>12402</v>
      </c>
      <c r="C59" t="str">
        <f>step3_validation[[#This Row],[Gender]]</f>
        <v>Nữ</v>
      </c>
      <c r="D59" t="str">
        <f>survey_responses[[#This Row],[Giới tính của bạn:]]</f>
        <v>Nữ</v>
      </c>
      <c r="E59" t="str">
        <f>step3_validation[[#This Row],[Age_Group]]</f>
        <v>40 - 49</v>
      </c>
      <c r="F59" t="str">
        <f>survey_responses[[#This Row],[Độ tuổi của bạn:]]</f>
        <v>40 - 49</v>
      </c>
      <c r="G59" t="str">
        <f>step3_validation[[#This Row],[Region]]</f>
        <v>Thành thị</v>
      </c>
      <c r="H59" t="str">
        <f>survey_responses[[#This Row],[Khu vực bạn đang sinh sống:]]</f>
        <v>Thành thị</v>
      </c>
      <c r="I59" t="str">
        <f>step3_validation[[#This Row],[Education]]</f>
        <v>Sau Đại học</v>
      </c>
      <c r="J59" t="str">
        <f>survey_responses[[#This Row],[Trình độ học vấn cao nhất:]]</f>
        <v>Sau Đại học</v>
      </c>
      <c r="K59" t="str">
        <f>step3_validation[[#This Row],[Employment]]</f>
        <v>Chính thức</v>
      </c>
      <c r="L59" t="str">
        <f>survey_responses[[#This Row],[Tình trạng việc làm chính:]]</f>
        <v>Khu vực chính thức (Có Hợp đồng lao động, đóng BHXH)</v>
      </c>
      <c r="M59">
        <f>step3_validation[[#This Row],[Income_Mil]]</f>
        <v>23.182107525731588</v>
      </c>
      <c r="N59" t="str">
        <f>survey_responses[[#This Row],[Thu nhập bình quân tháng theo Hợp đồng lao động của bạn là bao nhiêu? (Vui lòng điền tổng thu nhập trước khi khấu trừ các loại Bảo hiểm (BHXH, BHYT, BHTN) và Thuế TNCN)]]</f>
        <v>Từ 23 - 32 triệu VNĐ</v>
      </c>
      <c r="O59">
        <f>step3_validation[[#This Row],[Dependents]]</f>
        <v>1</v>
      </c>
      <c r="P59" t="str">
        <f>survey_responses[[#This Row],[Số người phụ thuộc (con nhỏ, cha mẹ già...) đủ điều kiện giảm trừ gia cảnh:]]</f>
        <v>1 người</v>
      </c>
      <c r="Q59">
        <f>step3_validation[[#This Row],[AI_ENF1]]</f>
        <v>6</v>
      </c>
      <c r="R59">
        <f t="shared" si="0"/>
        <v>0.55555555555555558</v>
      </c>
      <c r="S59">
        <f>survey_responses[[#This Row],[Tôi tin rằng với các quy định quản lý thuế hiện nay, hành vi gian lận hoặc trốn thuế sẽ dễ dàng bị phát hiện và xử lý nghiêm. - HUMAN-ENF1]]</f>
        <v>5</v>
      </c>
      <c r="T59">
        <f t="shared" si="1"/>
        <v>0.44444444444444442</v>
      </c>
      <c r="U59">
        <f>step3_validation[[#This Row],[AI_ENF2]]</f>
        <v>7</v>
      </c>
      <c r="V59">
        <f t="shared" si="2"/>
        <v>0.66666666666666663</v>
      </c>
      <c r="W59">
        <f>survey_responses[[#This Row],[Tôi tin rằng Nhà nước, cơ quan thuế có đủ khả năng và công nghệ để phát hiện, xử lý nghiêm các hành vi trốn thuế. - HUMAN-ENF2]]</f>
        <v>5</v>
      </c>
      <c r="X59">
        <f t="shared" si="3"/>
        <v>0.44444444444444442</v>
      </c>
      <c r="Y59" s="32">
        <f t="shared" si="4"/>
        <v>0.61111111111111116</v>
      </c>
      <c r="Z59" s="32">
        <f t="shared" si="5"/>
        <v>0.44444444444444442</v>
      </c>
      <c r="AA59">
        <f>step3_validation[[#This Row],[AI_FAC1]]</f>
        <v>8</v>
      </c>
      <c r="AB59">
        <f t="shared" si="6"/>
        <v>0.77777777777777779</v>
      </c>
      <c r="AC59">
        <f>survey_responses[[#This Row],[Các thủ tục khai báo thuế VÀ/HOẶC quy trình làm việc với cơ quan thuế đơn giản, tiện lợi, nhanh chóng hơn so với trước đây. - HUMAN-FAC1]]</f>
        <v>4</v>
      </c>
      <c r="AD59">
        <f t="shared" si="7"/>
        <v>0.33333333333333331</v>
      </c>
      <c r="AE59">
        <f>step3_validation[[#This Row],[AI_FAC2]]</f>
        <v>9</v>
      </c>
      <c r="AF59">
        <f t="shared" si="8"/>
        <v>0.88888888888888884</v>
      </c>
      <c r="AG59">
        <f>survey_responses[[#This Row],[So với trước đây, tôi thấy cách tính thuế và các bậc thuế trong phương án mới đơn giản, dễ hiểu và dễ thực hiện hơn. - HUMAN-FAC2]]</f>
        <v>8</v>
      </c>
      <c r="AH59">
        <f t="shared" si="9"/>
        <v>0.77777777777777779</v>
      </c>
      <c r="AI59" s="32">
        <f t="shared" si="10"/>
        <v>0.83333333333333326</v>
      </c>
      <c r="AJ59" s="32">
        <f t="shared" si="11"/>
        <v>0.55555555555555558</v>
      </c>
      <c r="AK59">
        <f>step3_validation[[#This Row],[AI_TRU1]]</f>
        <v>7</v>
      </c>
      <c r="AL59">
        <f t="shared" si="12"/>
        <v>0.66666666666666663</v>
      </c>
      <c r="AM59">
        <f>survey_responses[[#This Row],[Tôi tin rằng Nhà nước, cơ quan thuế sẽ thực thi chính sách mới một cách khách quan, công tâm và đối xử bình đẳng với mọi người nộp thuế.  - HUMAN-TRU1]]</f>
        <v>5</v>
      </c>
      <c r="AN59">
        <f t="shared" si="13"/>
        <v>0.44444444444444442</v>
      </c>
      <c r="AO59">
        <f>step3_validation[[#This Row],[AI_TRU2]]</f>
        <v>9</v>
      </c>
      <c r="AP59">
        <f t="shared" si="14"/>
        <v>0.88888888888888884</v>
      </c>
      <c r="AQ59">
        <f>survey_responses[[#This Row],[Tôi thấy mức thuế tôi phải đóng theo phương án mới là công bằng (người thu nhập như tôi đóng mức này là hợp lý). - HUMAN-TRU2]]</f>
        <v>7</v>
      </c>
      <c r="AR59">
        <f t="shared" si="15"/>
        <v>0.66666666666666663</v>
      </c>
      <c r="AS59">
        <f>step3_validation[[#This Row],[AI_TRU3]]</f>
        <v>7</v>
      </c>
      <c r="AT59">
        <f t="shared" si="16"/>
        <v>0.66666666666666663</v>
      </c>
      <c r="AU59">
        <f>survey_responses[[#This Row],[Tôi tin tưởng số tiền thuế tôi đóng sẽ được Nhà nước sử dụng hiệu quả để cải thiện dịch vụ công (y tế, đường xá...). - HUMAN-TRU3]]</f>
        <v>7</v>
      </c>
      <c r="AV59">
        <f t="shared" si="17"/>
        <v>0.66666666666666663</v>
      </c>
      <c r="AW59">
        <f>step3_validation[[#This Row],[AI_TRU4]]</f>
        <v>8</v>
      </c>
      <c r="AX59">
        <f t="shared" si="18"/>
        <v>0.77777777777777779</v>
      </c>
      <c r="AY59">
        <f>survey_responses[[#This Row],[Tôi thấy Nhà nước đã giải thích rõ ràng, minh bạch về lý do và mục tiêu của việc sửa đổi thuế lần này. - HUMAN-TRU4]]</f>
        <v>7</v>
      </c>
      <c r="AZ59">
        <f t="shared" si="19"/>
        <v>0.66666666666666663</v>
      </c>
      <c r="BA59" s="32">
        <f t="shared" si="20"/>
        <v>0.74999999999999989</v>
      </c>
      <c r="BB59" s="32">
        <f t="shared" si="21"/>
        <v>0.61111111111111105</v>
      </c>
      <c r="BC59" s="7">
        <f t="shared" si="22"/>
        <v>0.7314814814814814</v>
      </c>
      <c r="BD59" s="7">
        <f t="shared" si="23"/>
        <v>0.53703703703703709</v>
      </c>
      <c r="BE59">
        <f>step3_validation[[#This Row],[AI_OUT1]]</f>
        <v>9</v>
      </c>
      <c r="BF59">
        <f t="shared" si="24"/>
        <v>0.88888888888888884</v>
      </c>
      <c r="BG59">
        <f>survey_responses[[#This Row],[Sau khi xem xét các quyền lợi và nghĩa vụ, bạn có ủng hộ và tuân thủ chính sách mới hiện nay? - HUMAN-OUT1]]</f>
        <v>7</v>
      </c>
      <c r="BH59">
        <f t="shared" si="25"/>
        <v>0.66666666666666663</v>
      </c>
      <c r="BI59" s="32">
        <f t="shared" si="26"/>
        <v>2</v>
      </c>
    </row>
    <row r="60" spans="1:61" x14ac:dyDescent="0.45">
      <c r="A60" s="30">
        <f>step3_validation[[#This Row],[Persona_ID]]</f>
        <v>59</v>
      </c>
      <c r="B60" s="31">
        <f>step3_validation[[#This Row],[Used_Seed]]</f>
        <v>12403</v>
      </c>
      <c r="C60" t="str">
        <f>step3_validation[[#This Row],[Gender]]</f>
        <v>Nữ</v>
      </c>
      <c r="D60" t="str">
        <f>survey_responses[[#This Row],[Giới tính của bạn:]]</f>
        <v>Nữ</v>
      </c>
      <c r="E60" t="str">
        <f>step3_validation[[#This Row],[Age_Group]]</f>
        <v>18 - 24</v>
      </c>
      <c r="F60" t="str">
        <f>survey_responses[[#This Row],[Độ tuổi của bạn:]]</f>
        <v>18 - 24</v>
      </c>
      <c r="G60" t="str">
        <f>step3_validation[[#This Row],[Region]]</f>
        <v>Thành thị</v>
      </c>
      <c r="H60" t="str">
        <f>survey_responses[[#This Row],[Khu vực bạn đang sinh sống:]]</f>
        <v>Thành thị</v>
      </c>
      <c r="I60" t="str">
        <f>step3_validation[[#This Row],[Education]]</f>
        <v>Đại học</v>
      </c>
      <c r="J60" t="str">
        <f>survey_responses[[#This Row],[Trình độ học vấn cao nhất:]]</f>
        <v>Đại học</v>
      </c>
      <c r="K60" t="str">
        <f>step3_validation[[#This Row],[Employment]]</f>
        <v>Phi chính thức</v>
      </c>
      <c r="L60" t="str">
        <f>survey_responses[[#This Row],[Tình trạng việc làm chính:]]</f>
        <v>Khu vực phi chính thức (Lao động tự do, không có HĐLĐ)</v>
      </c>
      <c r="M60">
        <f>step3_validation[[#This Row],[Income_Mil]]</f>
        <v>12</v>
      </c>
      <c r="N60" t="str">
        <f>survey_responses[[#This Row],[Thu nhập bình quân tháng theo Hợp đồng lao động của bạn là bao nhiêu? (Vui lòng điền tổng thu nhập trước khi khấu trừ các loại Bảo hiểm (BHXH, BHYT, BHTN) và Thuế TNCN)]]</f>
        <v>Dưới 12 triệu VNĐ</v>
      </c>
      <c r="O60">
        <f>step3_validation[[#This Row],[Dependents]]</f>
        <v>0</v>
      </c>
      <c r="P60" t="str">
        <f>survey_responses[[#This Row],[Số người phụ thuộc (con nhỏ, cha mẹ già...) đủ điều kiện giảm trừ gia cảnh:]]</f>
        <v>0 người</v>
      </c>
      <c r="Q60">
        <f>step3_validation[[#This Row],[AI_ENF1]]</f>
        <v>8</v>
      </c>
      <c r="R60">
        <f t="shared" si="0"/>
        <v>0.77777777777777779</v>
      </c>
      <c r="S60">
        <f>survey_responses[[#This Row],[Tôi tin rằng với các quy định quản lý thuế hiện nay, hành vi gian lận hoặc trốn thuế sẽ dễ dàng bị phát hiện và xử lý nghiêm. - HUMAN-ENF1]]</f>
        <v>9</v>
      </c>
      <c r="T60">
        <f t="shared" si="1"/>
        <v>0.88888888888888884</v>
      </c>
      <c r="U60">
        <f>step3_validation[[#This Row],[AI_ENF2]]</f>
        <v>7</v>
      </c>
      <c r="V60">
        <f t="shared" si="2"/>
        <v>0.66666666666666663</v>
      </c>
      <c r="W60">
        <f>survey_responses[[#This Row],[Tôi tin rằng Nhà nước, cơ quan thuế có đủ khả năng và công nghệ để phát hiện, xử lý nghiêm các hành vi trốn thuế. - HUMAN-ENF2]]</f>
        <v>9</v>
      </c>
      <c r="X60">
        <f t="shared" si="3"/>
        <v>0.88888888888888884</v>
      </c>
      <c r="Y60" s="32">
        <f t="shared" si="4"/>
        <v>0.72222222222222221</v>
      </c>
      <c r="Z60" s="32">
        <f t="shared" si="5"/>
        <v>0.88888888888888884</v>
      </c>
      <c r="AA60">
        <f>step3_validation[[#This Row],[AI_FAC1]]</f>
        <v>9</v>
      </c>
      <c r="AB60">
        <f t="shared" si="6"/>
        <v>0.88888888888888884</v>
      </c>
      <c r="AC60">
        <f>survey_responses[[#This Row],[Các thủ tục khai báo thuế VÀ/HOẶC quy trình làm việc với cơ quan thuế đơn giản, tiện lợi, nhanh chóng hơn so với trước đây. - HUMAN-FAC1]]</f>
        <v>9</v>
      </c>
      <c r="AD60">
        <f t="shared" si="7"/>
        <v>0.88888888888888884</v>
      </c>
      <c r="AE60">
        <f>step3_validation[[#This Row],[AI_FAC2]]</f>
        <v>8</v>
      </c>
      <c r="AF60">
        <f t="shared" si="8"/>
        <v>0.77777777777777779</v>
      </c>
      <c r="AG60">
        <f>survey_responses[[#This Row],[So với trước đây, tôi thấy cách tính thuế và các bậc thuế trong phương án mới đơn giản, dễ hiểu và dễ thực hiện hơn. - HUMAN-FAC2]]</f>
        <v>7</v>
      </c>
      <c r="AH60">
        <f t="shared" si="9"/>
        <v>0.66666666666666663</v>
      </c>
      <c r="AI60" s="32">
        <f t="shared" si="10"/>
        <v>0.83333333333333326</v>
      </c>
      <c r="AJ60" s="32">
        <f t="shared" si="11"/>
        <v>0.77777777777777768</v>
      </c>
      <c r="AK60">
        <f>step3_validation[[#This Row],[AI_TRU1]]</f>
        <v>7</v>
      </c>
      <c r="AL60">
        <f t="shared" si="12"/>
        <v>0.66666666666666663</v>
      </c>
      <c r="AM60">
        <f>survey_responses[[#This Row],[Tôi tin rằng Nhà nước, cơ quan thuế sẽ thực thi chính sách mới một cách khách quan, công tâm và đối xử bình đẳng với mọi người nộp thuế.  - HUMAN-TRU1]]</f>
        <v>7</v>
      </c>
      <c r="AN60">
        <f t="shared" si="13"/>
        <v>0.66666666666666663</v>
      </c>
      <c r="AO60">
        <f>step3_validation[[#This Row],[AI_TRU2]]</f>
        <v>9</v>
      </c>
      <c r="AP60">
        <f t="shared" si="14"/>
        <v>0.88888888888888884</v>
      </c>
      <c r="AQ60">
        <f>survey_responses[[#This Row],[Tôi thấy mức thuế tôi phải đóng theo phương án mới là công bằng (người thu nhập như tôi đóng mức này là hợp lý). - HUMAN-TRU2]]</f>
        <v>8</v>
      </c>
      <c r="AR60">
        <f t="shared" si="15"/>
        <v>0.77777777777777779</v>
      </c>
      <c r="AS60">
        <f>step3_validation[[#This Row],[AI_TRU3]]</f>
        <v>8</v>
      </c>
      <c r="AT60">
        <f t="shared" si="16"/>
        <v>0.77777777777777779</v>
      </c>
      <c r="AU60">
        <f>survey_responses[[#This Row],[Tôi tin tưởng số tiền thuế tôi đóng sẽ được Nhà nước sử dụng hiệu quả để cải thiện dịch vụ công (y tế, đường xá...). - HUMAN-TRU3]]</f>
        <v>8</v>
      </c>
      <c r="AV60">
        <f t="shared" si="17"/>
        <v>0.77777777777777779</v>
      </c>
      <c r="AW60">
        <f>step3_validation[[#This Row],[AI_TRU4]]</f>
        <v>7</v>
      </c>
      <c r="AX60">
        <f t="shared" si="18"/>
        <v>0.66666666666666663</v>
      </c>
      <c r="AY60">
        <f>survey_responses[[#This Row],[Tôi thấy Nhà nước đã giải thích rõ ràng, minh bạch về lý do và mục tiêu của việc sửa đổi thuế lần này. - HUMAN-TRU4]]</f>
        <v>6</v>
      </c>
      <c r="AZ60">
        <f t="shared" si="19"/>
        <v>0.55555555555555558</v>
      </c>
      <c r="BA60" s="32">
        <f t="shared" si="20"/>
        <v>0.74999999999999989</v>
      </c>
      <c r="BB60" s="32">
        <f t="shared" si="21"/>
        <v>0.69444444444444442</v>
      </c>
      <c r="BC60" s="7">
        <f t="shared" si="22"/>
        <v>0.76851851851851849</v>
      </c>
      <c r="BD60" s="7">
        <f t="shared" si="23"/>
        <v>0.78703703703703687</v>
      </c>
      <c r="BE60">
        <f>step3_validation[[#This Row],[AI_OUT1]]</f>
        <v>9</v>
      </c>
      <c r="BF60">
        <f t="shared" si="24"/>
        <v>0.88888888888888884</v>
      </c>
      <c r="BG60">
        <f>survey_responses[[#This Row],[Sau khi xem xét các quyền lợi và nghĩa vụ, bạn có ủng hộ và tuân thủ chính sách mới hiện nay? - HUMAN-OUT1]]</f>
        <v>5</v>
      </c>
      <c r="BH60">
        <f t="shared" si="25"/>
        <v>0.44444444444444442</v>
      </c>
      <c r="BI60" s="32">
        <f t="shared" si="26"/>
        <v>4</v>
      </c>
    </row>
    <row r="61" spans="1:61" x14ac:dyDescent="0.45">
      <c r="A61" s="30">
        <f>step3_validation[[#This Row],[Persona_ID]]</f>
        <v>60</v>
      </c>
      <c r="B61" s="31">
        <f>step3_validation[[#This Row],[Used_Seed]]</f>
        <v>12404</v>
      </c>
      <c r="C61" t="str">
        <f>step3_validation[[#This Row],[Gender]]</f>
        <v>Nam</v>
      </c>
      <c r="D61" t="str">
        <f>survey_responses[[#This Row],[Giới tính của bạn:]]</f>
        <v>Nam</v>
      </c>
      <c r="E61" t="str">
        <f>step3_validation[[#This Row],[Age_Group]]</f>
        <v>25 - 29</v>
      </c>
      <c r="F61" t="str">
        <f>survey_responses[[#This Row],[Độ tuổi của bạn:]]</f>
        <v>25 - 29</v>
      </c>
      <c r="G61" t="str">
        <f>step3_validation[[#This Row],[Region]]</f>
        <v>Thành thị</v>
      </c>
      <c r="H61" t="str">
        <f>survey_responses[[#This Row],[Khu vực bạn đang sinh sống:]]</f>
        <v>Thành thị</v>
      </c>
      <c r="I61" t="str">
        <f>step3_validation[[#This Row],[Education]]</f>
        <v>Đại học</v>
      </c>
      <c r="J61" t="str">
        <f>survey_responses[[#This Row],[Trình độ học vấn cao nhất:]]</f>
        <v>Đại học</v>
      </c>
      <c r="K61" t="str">
        <f>step3_validation[[#This Row],[Employment]]</f>
        <v>Chính thức</v>
      </c>
      <c r="L61" t="str">
        <f>survey_responses[[#This Row],[Tình trạng việc làm chính:]]</f>
        <v>Khu vực chính thức (Có Hợp đồng lao động, đóng BHXH)</v>
      </c>
      <c r="M61">
        <f>step3_validation[[#This Row],[Income_Mil]]</f>
        <v>16.799528534169426</v>
      </c>
      <c r="N61" t="str">
        <f>survey_responses[[#This Row],[Thu nhập bình quân tháng theo Hợp đồng lao động của bạn là bao nhiêu? (Vui lòng điền tổng thu nhập trước khi khấu trừ các loại Bảo hiểm (BHXH, BHYT, BHTN) và Thuế TNCN)]]</f>
        <v>Từ 12 - 18 triệu VNĐ</v>
      </c>
      <c r="O61">
        <f>step3_validation[[#This Row],[Dependents]]</f>
        <v>0</v>
      </c>
      <c r="P61" t="str">
        <f>survey_responses[[#This Row],[Số người phụ thuộc (con nhỏ, cha mẹ già...) đủ điều kiện giảm trừ gia cảnh:]]</f>
        <v>0 người</v>
      </c>
      <c r="Q61">
        <f>step3_validation[[#This Row],[AI_ENF1]]</f>
        <v>7</v>
      </c>
      <c r="R61">
        <f t="shared" si="0"/>
        <v>0.66666666666666663</v>
      </c>
      <c r="S61">
        <f>survey_responses[[#This Row],[Tôi tin rằng với các quy định quản lý thuế hiện nay, hành vi gian lận hoặc trốn thuế sẽ dễ dàng bị phát hiện và xử lý nghiêm. - HUMAN-ENF1]]</f>
        <v>5</v>
      </c>
      <c r="T61">
        <f t="shared" si="1"/>
        <v>0.44444444444444442</v>
      </c>
      <c r="U61">
        <f>step3_validation[[#This Row],[AI_ENF2]]</f>
        <v>8</v>
      </c>
      <c r="V61">
        <f t="shared" si="2"/>
        <v>0.77777777777777779</v>
      </c>
      <c r="W61">
        <f>survey_responses[[#This Row],[Tôi tin rằng Nhà nước, cơ quan thuế có đủ khả năng và công nghệ để phát hiện, xử lý nghiêm các hành vi trốn thuế. - HUMAN-ENF2]]</f>
        <v>5</v>
      </c>
      <c r="X61">
        <f t="shared" si="3"/>
        <v>0.44444444444444442</v>
      </c>
      <c r="Y61" s="32">
        <f t="shared" si="4"/>
        <v>0.72222222222222221</v>
      </c>
      <c r="Z61" s="32">
        <f t="shared" si="5"/>
        <v>0.44444444444444442</v>
      </c>
      <c r="AA61">
        <f>step3_validation[[#This Row],[AI_FAC1]]</f>
        <v>9</v>
      </c>
      <c r="AB61">
        <f t="shared" si="6"/>
        <v>0.88888888888888884</v>
      </c>
      <c r="AC61">
        <f>survey_responses[[#This Row],[Các thủ tục khai báo thuế VÀ/HOẶC quy trình làm việc với cơ quan thuế đơn giản, tiện lợi, nhanh chóng hơn so với trước đây. - HUMAN-FAC1]]</f>
        <v>5</v>
      </c>
      <c r="AD61">
        <f t="shared" si="7"/>
        <v>0.44444444444444442</v>
      </c>
      <c r="AE61">
        <f>step3_validation[[#This Row],[AI_FAC2]]</f>
        <v>9</v>
      </c>
      <c r="AF61">
        <f t="shared" si="8"/>
        <v>0.88888888888888884</v>
      </c>
      <c r="AG61">
        <f>survey_responses[[#This Row],[So với trước đây, tôi thấy cách tính thuế và các bậc thuế trong phương án mới đơn giản, dễ hiểu và dễ thực hiện hơn. - HUMAN-FAC2]]</f>
        <v>5</v>
      </c>
      <c r="AH61">
        <f t="shared" si="9"/>
        <v>0.44444444444444442</v>
      </c>
      <c r="AI61" s="32">
        <f t="shared" si="10"/>
        <v>0.88888888888888884</v>
      </c>
      <c r="AJ61" s="32">
        <f t="shared" si="11"/>
        <v>0.44444444444444442</v>
      </c>
      <c r="AK61">
        <f>step3_validation[[#This Row],[AI_TRU1]]</f>
        <v>8</v>
      </c>
      <c r="AL61">
        <f t="shared" si="12"/>
        <v>0.77777777777777779</v>
      </c>
      <c r="AM61">
        <f>survey_responses[[#This Row],[Tôi tin rằng Nhà nước, cơ quan thuế sẽ thực thi chính sách mới một cách khách quan, công tâm và đối xử bình đẳng với mọi người nộp thuế.  - HUMAN-TRU1]]</f>
        <v>5</v>
      </c>
      <c r="AN61">
        <f t="shared" si="13"/>
        <v>0.44444444444444442</v>
      </c>
      <c r="AO61">
        <f>step3_validation[[#This Row],[AI_TRU2]]</f>
        <v>9</v>
      </c>
      <c r="AP61">
        <f t="shared" si="14"/>
        <v>0.88888888888888884</v>
      </c>
      <c r="AQ61">
        <f>survey_responses[[#This Row],[Tôi thấy mức thuế tôi phải đóng theo phương án mới là công bằng (người thu nhập như tôi đóng mức này là hợp lý). - HUMAN-TRU2]]</f>
        <v>8</v>
      </c>
      <c r="AR61">
        <f t="shared" si="15"/>
        <v>0.77777777777777779</v>
      </c>
      <c r="AS61">
        <f>step3_validation[[#This Row],[AI_TRU3]]</f>
        <v>8</v>
      </c>
      <c r="AT61">
        <f t="shared" si="16"/>
        <v>0.77777777777777779</v>
      </c>
      <c r="AU61">
        <f>survey_responses[[#This Row],[Tôi tin tưởng số tiền thuế tôi đóng sẽ được Nhà nước sử dụng hiệu quả để cải thiện dịch vụ công (y tế, đường xá...). - HUMAN-TRU3]]</f>
        <v>4</v>
      </c>
      <c r="AV61">
        <f t="shared" si="17"/>
        <v>0.33333333333333331</v>
      </c>
      <c r="AW61">
        <f>step3_validation[[#This Row],[AI_TRU4]]</f>
        <v>9</v>
      </c>
      <c r="AX61">
        <f t="shared" si="18"/>
        <v>0.88888888888888884</v>
      </c>
      <c r="AY61">
        <f>survey_responses[[#This Row],[Tôi thấy Nhà nước đã giải thích rõ ràng, minh bạch về lý do và mục tiêu của việc sửa đổi thuế lần này. - HUMAN-TRU4]]</f>
        <v>5</v>
      </c>
      <c r="AZ61">
        <f t="shared" si="19"/>
        <v>0.44444444444444442</v>
      </c>
      <c r="BA61" s="32">
        <f t="shared" si="20"/>
        <v>0.83333333333333326</v>
      </c>
      <c r="BB61" s="32">
        <f t="shared" si="21"/>
        <v>0.5</v>
      </c>
      <c r="BC61" s="7">
        <f t="shared" si="22"/>
        <v>0.81481481481481488</v>
      </c>
      <c r="BD61" s="7">
        <f t="shared" si="23"/>
        <v>0.46296296296296297</v>
      </c>
      <c r="BE61">
        <f>step3_validation[[#This Row],[AI_OUT1]]</f>
        <v>10</v>
      </c>
      <c r="BF61">
        <f t="shared" si="24"/>
        <v>1</v>
      </c>
      <c r="BG61">
        <f>survey_responses[[#This Row],[Sau khi xem xét các quyền lợi và nghĩa vụ, bạn có ủng hộ và tuân thủ chính sách mới hiện nay? - HUMAN-OUT1]]</f>
        <v>5</v>
      </c>
      <c r="BH61">
        <f t="shared" si="25"/>
        <v>0.44444444444444442</v>
      </c>
      <c r="BI61" s="32">
        <f t="shared" si="26"/>
        <v>5</v>
      </c>
    </row>
    <row r="62" spans="1:61" x14ac:dyDescent="0.45">
      <c r="A62" s="30">
        <f>step3_validation[[#This Row],[Persona_ID]]</f>
        <v>61</v>
      </c>
      <c r="B62" s="31">
        <f>step3_validation[[#This Row],[Used_Seed]]</f>
        <v>12405</v>
      </c>
      <c r="C62" t="str">
        <f>step3_validation[[#This Row],[Gender]]</f>
        <v>Nữ</v>
      </c>
      <c r="D62" t="str">
        <f>survey_responses[[#This Row],[Giới tính của bạn:]]</f>
        <v>Nữ</v>
      </c>
      <c r="E62" t="str">
        <f>step3_validation[[#This Row],[Age_Group]]</f>
        <v>30 - 39</v>
      </c>
      <c r="F62" t="str">
        <f>survey_responses[[#This Row],[Độ tuổi của bạn:]]</f>
        <v>30 - 39</v>
      </c>
      <c r="G62" t="str">
        <f>step3_validation[[#This Row],[Region]]</f>
        <v>Thành thị</v>
      </c>
      <c r="H62" t="str">
        <f>survey_responses[[#This Row],[Khu vực bạn đang sinh sống:]]</f>
        <v>Thành thị</v>
      </c>
      <c r="I62" t="str">
        <f>step3_validation[[#This Row],[Education]]</f>
        <v>Sau Đại học</v>
      </c>
      <c r="J62" t="str">
        <f>survey_responses[[#This Row],[Trình độ học vấn cao nhất:]]</f>
        <v>Sau Đại học</v>
      </c>
      <c r="K62" t="str">
        <f>step3_validation[[#This Row],[Employment]]</f>
        <v>Chính thức</v>
      </c>
      <c r="L62" t="str">
        <f>survey_responses[[#This Row],[Tình trạng việc làm chính:]]</f>
        <v>Khu vực chính thức (Có Hợp đồng lao động, đóng BHXH)</v>
      </c>
      <c r="M62">
        <f>step3_validation[[#This Row],[Income_Mil]]</f>
        <v>19.765813758228159</v>
      </c>
      <c r="N62" t="str">
        <f>survey_responses[[#This Row],[Thu nhập bình quân tháng theo Hợp đồng lao động của bạn là bao nhiêu? (Vui lòng điền tổng thu nhập trước khi khấu trừ các loại Bảo hiểm (BHXH, BHYT, BHTN) và Thuế TNCN)]]</f>
        <v>Từ 18 - 23 triệu VNĐ</v>
      </c>
      <c r="O62">
        <f>step3_validation[[#This Row],[Dependents]]</f>
        <v>1</v>
      </c>
      <c r="P62" t="str">
        <f>survey_responses[[#This Row],[Số người phụ thuộc (con nhỏ, cha mẹ già...) đủ điều kiện giảm trừ gia cảnh:]]</f>
        <v>1 người</v>
      </c>
      <c r="Q62">
        <f>step3_validation[[#This Row],[AI_ENF1]]</f>
        <v>7</v>
      </c>
      <c r="R62">
        <f t="shared" si="0"/>
        <v>0.66666666666666663</v>
      </c>
      <c r="S62">
        <f>survey_responses[[#This Row],[Tôi tin rằng với các quy định quản lý thuế hiện nay, hành vi gian lận hoặc trốn thuế sẽ dễ dàng bị phát hiện và xử lý nghiêm. - HUMAN-ENF1]]</f>
        <v>8</v>
      </c>
      <c r="T62">
        <f t="shared" si="1"/>
        <v>0.77777777777777779</v>
      </c>
      <c r="U62">
        <f>step3_validation[[#This Row],[AI_ENF2]]</f>
        <v>8</v>
      </c>
      <c r="V62">
        <f t="shared" si="2"/>
        <v>0.77777777777777779</v>
      </c>
      <c r="W62">
        <f>survey_responses[[#This Row],[Tôi tin rằng Nhà nước, cơ quan thuế có đủ khả năng và công nghệ để phát hiện, xử lý nghiêm các hành vi trốn thuế. - HUMAN-ENF2]]</f>
        <v>9</v>
      </c>
      <c r="X62">
        <f t="shared" si="3"/>
        <v>0.88888888888888884</v>
      </c>
      <c r="Y62" s="32">
        <f t="shared" si="4"/>
        <v>0.72222222222222221</v>
      </c>
      <c r="Z62" s="32">
        <f t="shared" si="5"/>
        <v>0.83333333333333326</v>
      </c>
      <c r="AA62">
        <f>step3_validation[[#This Row],[AI_FAC1]]</f>
        <v>9</v>
      </c>
      <c r="AB62">
        <f t="shared" si="6"/>
        <v>0.88888888888888884</v>
      </c>
      <c r="AC62">
        <f>survey_responses[[#This Row],[Các thủ tục khai báo thuế VÀ/HOẶC quy trình làm việc với cơ quan thuế đơn giản, tiện lợi, nhanh chóng hơn so với trước đây. - HUMAN-FAC1]]</f>
        <v>9</v>
      </c>
      <c r="AD62">
        <f t="shared" si="7"/>
        <v>0.88888888888888884</v>
      </c>
      <c r="AE62">
        <f>step3_validation[[#This Row],[AI_FAC2]]</f>
        <v>8</v>
      </c>
      <c r="AF62">
        <f t="shared" si="8"/>
        <v>0.77777777777777779</v>
      </c>
      <c r="AG62">
        <f>survey_responses[[#This Row],[So với trước đây, tôi thấy cách tính thuế và các bậc thuế trong phương án mới đơn giản, dễ hiểu và dễ thực hiện hơn. - HUMAN-FAC2]]</f>
        <v>9</v>
      </c>
      <c r="AH62">
        <f t="shared" si="9"/>
        <v>0.88888888888888884</v>
      </c>
      <c r="AI62" s="32">
        <f t="shared" si="10"/>
        <v>0.83333333333333326</v>
      </c>
      <c r="AJ62" s="32">
        <f t="shared" si="11"/>
        <v>0.88888888888888884</v>
      </c>
      <c r="AK62">
        <f>step3_validation[[#This Row],[AI_TRU1]]</f>
        <v>7</v>
      </c>
      <c r="AL62">
        <f t="shared" si="12"/>
        <v>0.66666666666666663</v>
      </c>
      <c r="AM62">
        <f>survey_responses[[#This Row],[Tôi tin rằng Nhà nước, cơ quan thuế sẽ thực thi chính sách mới một cách khách quan, công tâm và đối xử bình đẳng với mọi người nộp thuế.  - HUMAN-TRU1]]</f>
        <v>9</v>
      </c>
      <c r="AN62">
        <f t="shared" si="13"/>
        <v>0.88888888888888884</v>
      </c>
      <c r="AO62">
        <f>step3_validation[[#This Row],[AI_TRU2]]</f>
        <v>9</v>
      </c>
      <c r="AP62">
        <f t="shared" si="14"/>
        <v>0.88888888888888884</v>
      </c>
      <c r="AQ62">
        <f>survey_responses[[#This Row],[Tôi thấy mức thuế tôi phải đóng theo phương án mới là công bằng (người thu nhập như tôi đóng mức này là hợp lý). - HUMAN-TRU2]]</f>
        <v>8</v>
      </c>
      <c r="AR62">
        <f t="shared" si="15"/>
        <v>0.77777777777777779</v>
      </c>
      <c r="AS62">
        <f>step3_validation[[#This Row],[AI_TRU3]]</f>
        <v>8</v>
      </c>
      <c r="AT62">
        <f t="shared" si="16"/>
        <v>0.77777777777777779</v>
      </c>
      <c r="AU62">
        <f>survey_responses[[#This Row],[Tôi tin tưởng số tiền thuế tôi đóng sẽ được Nhà nước sử dụng hiệu quả để cải thiện dịch vụ công (y tế, đường xá...). - HUMAN-TRU3]]</f>
        <v>8</v>
      </c>
      <c r="AV62">
        <f t="shared" si="17"/>
        <v>0.77777777777777779</v>
      </c>
      <c r="AW62">
        <f>step3_validation[[#This Row],[AI_TRU4]]</f>
        <v>7</v>
      </c>
      <c r="AX62">
        <f t="shared" si="18"/>
        <v>0.66666666666666663</v>
      </c>
      <c r="AY62">
        <f>survey_responses[[#This Row],[Tôi thấy Nhà nước đã giải thích rõ ràng, minh bạch về lý do và mục tiêu của việc sửa đổi thuế lần này. - HUMAN-TRU4]]</f>
        <v>8</v>
      </c>
      <c r="AZ62">
        <f t="shared" si="19"/>
        <v>0.77777777777777779</v>
      </c>
      <c r="BA62" s="32">
        <f t="shared" si="20"/>
        <v>0.74999999999999989</v>
      </c>
      <c r="BB62" s="32">
        <f t="shared" si="21"/>
        <v>0.80555555555555547</v>
      </c>
      <c r="BC62" s="7">
        <f t="shared" si="22"/>
        <v>0.76851851851851849</v>
      </c>
      <c r="BD62" s="7">
        <f t="shared" si="23"/>
        <v>0.84259259259259256</v>
      </c>
      <c r="BE62">
        <f>step3_validation[[#This Row],[AI_OUT1]]</f>
        <v>9</v>
      </c>
      <c r="BF62">
        <f t="shared" si="24"/>
        <v>0.88888888888888884</v>
      </c>
      <c r="BG62">
        <f>survey_responses[[#This Row],[Sau khi xem xét các quyền lợi và nghĩa vụ, bạn có ủng hộ và tuân thủ chính sách mới hiện nay? - HUMAN-OUT1]]</f>
        <v>9</v>
      </c>
      <c r="BH62">
        <f t="shared" si="25"/>
        <v>0.88888888888888884</v>
      </c>
      <c r="BI62" s="32">
        <f t="shared" si="26"/>
        <v>0</v>
      </c>
    </row>
    <row r="63" spans="1:61" x14ac:dyDescent="0.45">
      <c r="A63" s="30">
        <f>step3_validation[[#This Row],[Persona_ID]]</f>
        <v>62</v>
      </c>
      <c r="B63" s="31">
        <f>step3_validation[[#This Row],[Used_Seed]]</f>
        <v>12406</v>
      </c>
      <c r="C63" t="str">
        <f>step3_validation[[#This Row],[Gender]]</f>
        <v>Nữ</v>
      </c>
      <c r="D63" t="str">
        <f>survey_responses[[#This Row],[Giới tính của bạn:]]</f>
        <v>Nữ</v>
      </c>
      <c r="E63" t="str">
        <f>step3_validation[[#This Row],[Age_Group]]</f>
        <v>25 - 29</v>
      </c>
      <c r="F63" t="str">
        <f>survey_responses[[#This Row],[Độ tuổi của bạn:]]</f>
        <v>25 - 29</v>
      </c>
      <c r="G63" t="str">
        <f>step3_validation[[#This Row],[Region]]</f>
        <v>Thành thị</v>
      </c>
      <c r="H63" t="str">
        <f>survey_responses[[#This Row],[Khu vực bạn đang sinh sống:]]</f>
        <v>Thành thị</v>
      </c>
      <c r="I63" t="str">
        <f>step3_validation[[#This Row],[Education]]</f>
        <v>Sau Đại học</v>
      </c>
      <c r="J63" t="str">
        <f>survey_responses[[#This Row],[Trình độ học vấn cao nhất:]]</f>
        <v>Sau Đại học</v>
      </c>
      <c r="K63" t="str">
        <f>step3_validation[[#This Row],[Employment]]</f>
        <v>Chính thức</v>
      </c>
      <c r="L63" t="str">
        <f>survey_responses[[#This Row],[Tình trạng việc làm chính:]]</f>
        <v>Khu vực chính thức (Có Hợp đồng lao động, đóng BHXH)</v>
      </c>
      <c r="M63">
        <f>step3_validation[[#This Row],[Income_Mil]]</f>
        <v>29.772795733875441</v>
      </c>
      <c r="N63" t="str">
        <f>survey_responses[[#This Row],[Thu nhập bình quân tháng theo Hợp đồng lao động của bạn là bao nhiêu? (Vui lòng điền tổng thu nhập trước khi khấu trừ các loại Bảo hiểm (BHXH, BHYT, BHTN) và Thuế TNCN)]]</f>
        <v>Từ 23 - 32 triệu VNĐ</v>
      </c>
      <c r="O63">
        <f>step3_validation[[#This Row],[Dependents]]</f>
        <v>0</v>
      </c>
      <c r="P63" t="str">
        <f>survey_responses[[#This Row],[Số người phụ thuộc (con nhỏ, cha mẹ già...) đủ điều kiện giảm trừ gia cảnh:]]</f>
        <v>0 người</v>
      </c>
      <c r="Q63">
        <f>step3_validation[[#This Row],[AI_ENF1]]</f>
        <v>7</v>
      </c>
      <c r="R63">
        <f t="shared" si="0"/>
        <v>0.66666666666666663</v>
      </c>
      <c r="S63">
        <f>survey_responses[[#This Row],[Tôi tin rằng với các quy định quản lý thuế hiện nay, hành vi gian lận hoặc trốn thuế sẽ dễ dàng bị phát hiện và xử lý nghiêm. - HUMAN-ENF1]]</f>
        <v>9</v>
      </c>
      <c r="T63">
        <f t="shared" si="1"/>
        <v>0.88888888888888884</v>
      </c>
      <c r="U63">
        <f>step3_validation[[#This Row],[AI_ENF2]]</f>
        <v>6</v>
      </c>
      <c r="V63">
        <f t="shared" si="2"/>
        <v>0.55555555555555558</v>
      </c>
      <c r="W63">
        <f>survey_responses[[#This Row],[Tôi tin rằng Nhà nước, cơ quan thuế có đủ khả năng và công nghệ để phát hiện, xử lý nghiêm các hành vi trốn thuế. - HUMAN-ENF2]]</f>
        <v>9</v>
      </c>
      <c r="X63">
        <f t="shared" si="3"/>
        <v>0.88888888888888884</v>
      </c>
      <c r="Y63" s="32">
        <f t="shared" si="4"/>
        <v>0.61111111111111116</v>
      </c>
      <c r="Z63" s="32">
        <f t="shared" si="5"/>
        <v>0.88888888888888884</v>
      </c>
      <c r="AA63">
        <f>step3_validation[[#This Row],[AI_FAC1]]</f>
        <v>8</v>
      </c>
      <c r="AB63">
        <f t="shared" si="6"/>
        <v>0.77777777777777779</v>
      </c>
      <c r="AC63">
        <f>survey_responses[[#This Row],[Các thủ tục khai báo thuế VÀ/HOẶC quy trình làm việc với cơ quan thuế đơn giản, tiện lợi, nhanh chóng hơn so với trước đây. - HUMAN-FAC1]]</f>
        <v>7</v>
      </c>
      <c r="AD63">
        <f t="shared" si="7"/>
        <v>0.66666666666666663</v>
      </c>
      <c r="AE63">
        <f>step3_validation[[#This Row],[AI_FAC2]]</f>
        <v>9</v>
      </c>
      <c r="AF63">
        <f t="shared" si="8"/>
        <v>0.88888888888888884</v>
      </c>
      <c r="AG63">
        <f>survey_responses[[#This Row],[So với trước đây, tôi thấy cách tính thuế và các bậc thuế trong phương án mới đơn giản, dễ hiểu và dễ thực hiện hơn. - HUMAN-FAC2]]</f>
        <v>6</v>
      </c>
      <c r="AH63">
        <f t="shared" si="9"/>
        <v>0.55555555555555558</v>
      </c>
      <c r="AI63" s="32">
        <f t="shared" si="10"/>
        <v>0.83333333333333326</v>
      </c>
      <c r="AJ63" s="32">
        <f t="shared" si="11"/>
        <v>0.61111111111111116</v>
      </c>
      <c r="AK63">
        <f>step3_validation[[#This Row],[AI_TRU1]]</f>
        <v>7</v>
      </c>
      <c r="AL63">
        <f t="shared" si="12"/>
        <v>0.66666666666666663</v>
      </c>
      <c r="AM63">
        <f>survey_responses[[#This Row],[Tôi tin rằng Nhà nước, cơ quan thuế sẽ thực thi chính sách mới một cách khách quan, công tâm và đối xử bình đẳng với mọi người nộp thuế.  - HUMAN-TRU1]]</f>
        <v>7</v>
      </c>
      <c r="AN63">
        <f t="shared" si="13"/>
        <v>0.66666666666666663</v>
      </c>
      <c r="AO63">
        <f>step3_validation[[#This Row],[AI_TRU2]]</f>
        <v>9</v>
      </c>
      <c r="AP63">
        <f t="shared" si="14"/>
        <v>0.88888888888888884</v>
      </c>
      <c r="AQ63">
        <f>survey_responses[[#This Row],[Tôi thấy mức thuế tôi phải đóng theo phương án mới là công bằng (người thu nhập như tôi đóng mức này là hợp lý). - HUMAN-TRU2]]</f>
        <v>5</v>
      </c>
      <c r="AR63">
        <f t="shared" si="15"/>
        <v>0.44444444444444442</v>
      </c>
      <c r="AS63">
        <f>step3_validation[[#This Row],[AI_TRU3]]</f>
        <v>6</v>
      </c>
      <c r="AT63">
        <f t="shared" si="16"/>
        <v>0.55555555555555558</v>
      </c>
      <c r="AU63">
        <f>survey_responses[[#This Row],[Tôi tin tưởng số tiền thuế tôi đóng sẽ được Nhà nước sử dụng hiệu quả để cải thiện dịch vụ công (y tế, đường xá...). - HUMAN-TRU3]]</f>
        <v>6</v>
      </c>
      <c r="AV63">
        <f t="shared" si="17"/>
        <v>0.55555555555555558</v>
      </c>
      <c r="AW63">
        <f>step3_validation[[#This Row],[AI_TRU4]]</f>
        <v>8</v>
      </c>
      <c r="AX63">
        <f t="shared" si="18"/>
        <v>0.77777777777777779</v>
      </c>
      <c r="AY63">
        <f>survey_responses[[#This Row],[Tôi thấy Nhà nước đã giải thích rõ ràng, minh bạch về lý do và mục tiêu của việc sửa đổi thuế lần này. - HUMAN-TRU4]]</f>
        <v>8</v>
      </c>
      <c r="AZ63">
        <f t="shared" si="19"/>
        <v>0.77777777777777779</v>
      </c>
      <c r="BA63" s="32">
        <f t="shared" si="20"/>
        <v>0.7222222222222221</v>
      </c>
      <c r="BB63" s="32">
        <f t="shared" si="21"/>
        <v>0.61111111111111116</v>
      </c>
      <c r="BC63" s="7">
        <f t="shared" si="22"/>
        <v>0.72222222222222221</v>
      </c>
      <c r="BD63" s="7">
        <f t="shared" si="23"/>
        <v>0.70370370370370372</v>
      </c>
      <c r="BE63">
        <f>step3_validation[[#This Row],[AI_OUT1]]</f>
        <v>9</v>
      </c>
      <c r="BF63">
        <f t="shared" si="24"/>
        <v>0.88888888888888884</v>
      </c>
      <c r="BG63">
        <f>survey_responses[[#This Row],[Sau khi xem xét các quyền lợi và nghĩa vụ, bạn có ủng hộ và tuân thủ chính sách mới hiện nay? - HUMAN-OUT1]]</f>
        <v>5</v>
      </c>
      <c r="BH63">
        <f t="shared" si="25"/>
        <v>0.44444444444444442</v>
      </c>
      <c r="BI63" s="32">
        <f t="shared" si="26"/>
        <v>4</v>
      </c>
    </row>
    <row r="64" spans="1:61" x14ac:dyDescent="0.45">
      <c r="A64" s="30">
        <f>step3_validation[[#This Row],[Persona_ID]]</f>
        <v>63</v>
      </c>
      <c r="B64" s="31">
        <f>step3_validation[[#This Row],[Used_Seed]]</f>
        <v>12407</v>
      </c>
      <c r="C64" t="str">
        <f>step3_validation[[#This Row],[Gender]]</f>
        <v>Nữ</v>
      </c>
      <c r="D64" t="str">
        <f>survey_responses[[#This Row],[Giới tính của bạn:]]</f>
        <v>Nữ</v>
      </c>
      <c r="E64" t="str">
        <f>step3_validation[[#This Row],[Age_Group]]</f>
        <v>50 - 54</v>
      </c>
      <c r="F64" t="str">
        <f>survey_responses[[#This Row],[Độ tuổi của bạn:]]</f>
        <v>50 - 54</v>
      </c>
      <c r="G64" t="str">
        <f>step3_validation[[#This Row],[Region]]</f>
        <v>Nông thôn</v>
      </c>
      <c r="H64" t="str">
        <f>survey_responses[[#This Row],[Khu vực bạn đang sinh sống:]]</f>
        <v>Nông thôn</v>
      </c>
      <c r="I64" t="str">
        <f>step3_validation[[#This Row],[Education]]</f>
        <v>Đại học</v>
      </c>
      <c r="J64" t="str">
        <f>survey_responses[[#This Row],[Trình độ học vấn cao nhất:]]</f>
        <v>Đại học</v>
      </c>
      <c r="K64" t="str">
        <f>step3_validation[[#This Row],[Employment]]</f>
        <v>Chính thức</v>
      </c>
      <c r="L64" t="str">
        <f>survey_responses[[#This Row],[Tình trạng việc làm chính:]]</f>
        <v>Khu vực chính thức (Có Hợp đồng lao động, đóng BHXH)</v>
      </c>
      <c r="M64">
        <f>step3_validation[[#This Row],[Income_Mil]]</f>
        <v>19.427213280906926</v>
      </c>
      <c r="N64" t="str">
        <f>survey_responses[[#This Row],[Thu nhập bình quân tháng theo Hợp đồng lao động của bạn là bao nhiêu? (Vui lòng điền tổng thu nhập trước khi khấu trừ các loại Bảo hiểm (BHXH, BHYT, BHTN) và Thuế TNCN)]]</f>
        <v>Từ 18 - 23 triệu VNĐ</v>
      </c>
      <c r="O64">
        <f>step3_validation[[#This Row],[Dependents]]</f>
        <v>1</v>
      </c>
      <c r="P64" t="str">
        <f>survey_responses[[#This Row],[Số người phụ thuộc (con nhỏ, cha mẹ già...) đủ điều kiện giảm trừ gia cảnh:]]</f>
        <v>1 người</v>
      </c>
      <c r="Q64">
        <f>step3_validation[[#This Row],[AI_ENF1]]</f>
        <v>5</v>
      </c>
      <c r="R64">
        <f t="shared" si="0"/>
        <v>0.44444444444444442</v>
      </c>
      <c r="S64">
        <f>survey_responses[[#This Row],[Tôi tin rằng với các quy định quản lý thuế hiện nay, hành vi gian lận hoặc trốn thuế sẽ dễ dàng bị phát hiện và xử lý nghiêm. - HUMAN-ENF1]]</f>
        <v>9</v>
      </c>
      <c r="T64">
        <f t="shared" si="1"/>
        <v>0.88888888888888884</v>
      </c>
      <c r="U64">
        <f>step3_validation[[#This Row],[AI_ENF2]]</f>
        <v>7</v>
      </c>
      <c r="V64">
        <f t="shared" si="2"/>
        <v>0.66666666666666663</v>
      </c>
      <c r="W64">
        <f>survey_responses[[#This Row],[Tôi tin rằng Nhà nước, cơ quan thuế có đủ khả năng và công nghệ để phát hiện, xử lý nghiêm các hành vi trốn thuế. - HUMAN-ENF2]]</f>
        <v>9</v>
      </c>
      <c r="X64">
        <f t="shared" si="3"/>
        <v>0.88888888888888884</v>
      </c>
      <c r="Y64" s="32">
        <f t="shared" si="4"/>
        <v>0.55555555555555558</v>
      </c>
      <c r="Z64" s="32">
        <f t="shared" si="5"/>
        <v>0.88888888888888884</v>
      </c>
      <c r="AA64">
        <f>step3_validation[[#This Row],[AI_FAC1]]</f>
        <v>8</v>
      </c>
      <c r="AB64">
        <f t="shared" si="6"/>
        <v>0.77777777777777779</v>
      </c>
      <c r="AC64">
        <f>survey_responses[[#This Row],[Các thủ tục khai báo thuế VÀ/HOẶC quy trình làm việc với cơ quan thuế đơn giản, tiện lợi, nhanh chóng hơn so với trước đây. - HUMAN-FAC1]]</f>
        <v>9</v>
      </c>
      <c r="AD64">
        <f t="shared" si="7"/>
        <v>0.88888888888888884</v>
      </c>
      <c r="AE64">
        <f>step3_validation[[#This Row],[AI_FAC2]]</f>
        <v>9</v>
      </c>
      <c r="AF64">
        <f t="shared" si="8"/>
        <v>0.88888888888888884</v>
      </c>
      <c r="AG64">
        <f>survey_responses[[#This Row],[So với trước đây, tôi thấy cách tính thuế và các bậc thuế trong phương án mới đơn giản, dễ hiểu và dễ thực hiện hơn. - HUMAN-FAC2]]</f>
        <v>9</v>
      </c>
      <c r="AH64">
        <f t="shared" si="9"/>
        <v>0.88888888888888884</v>
      </c>
      <c r="AI64" s="32">
        <f t="shared" si="10"/>
        <v>0.83333333333333326</v>
      </c>
      <c r="AJ64" s="32">
        <f t="shared" si="11"/>
        <v>0.88888888888888884</v>
      </c>
      <c r="AK64">
        <f>step3_validation[[#This Row],[AI_TRU1]]</f>
        <v>8</v>
      </c>
      <c r="AL64">
        <f t="shared" si="12"/>
        <v>0.77777777777777779</v>
      </c>
      <c r="AM64">
        <f>survey_responses[[#This Row],[Tôi tin rằng Nhà nước, cơ quan thuế sẽ thực thi chính sách mới một cách khách quan, công tâm và đối xử bình đẳng với mọi người nộp thuế.  - HUMAN-TRU1]]</f>
        <v>8</v>
      </c>
      <c r="AN64">
        <f t="shared" si="13"/>
        <v>0.77777777777777779</v>
      </c>
      <c r="AO64">
        <f>step3_validation[[#This Row],[AI_TRU2]]</f>
        <v>9</v>
      </c>
      <c r="AP64">
        <f t="shared" si="14"/>
        <v>0.88888888888888884</v>
      </c>
      <c r="AQ64">
        <f>survey_responses[[#This Row],[Tôi thấy mức thuế tôi phải đóng theo phương án mới là công bằng (người thu nhập như tôi đóng mức này là hợp lý). - HUMAN-TRU2]]</f>
        <v>9</v>
      </c>
      <c r="AR64">
        <f t="shared" si="15"/>
        <v>0.88888888888888884</v>
      </c>
      <c r="AS64">
        <f>step3_validation[[#This Row],[AI_TRU3]]</f>
        <v>7</v>
      </c>
      <c r="AT64">
        <f t="shared" si="16"/>
        <v>0.66666666666666663</v>
      </c>
      <c r="AU64">
        <f>survey_responses[[#This Row],[Tôi tin tưởng số tiền thuế tôi đóng sẽ được Nhà nước sử dụng hiệu quả để cải thiện dịch vụ công (y tế, đường xá...). - HUMAN-TRU3]]</f>
        <v>9</v>
      </c>
      <c r="AV64">
        <f t="shared" si="17"/>
        <v>0.88888888888888884</v>
      </c>
      <c r="AW64">
        <f>step3_validation[[#This Row],[AI_TRU4]]</f>
        <v>8</v>
      </c>
      <c r="AX64">
        <f t="shared" si="18"/>
        <v>0.77777777777777779</v>
      </c>
      <c r="AY64">
        <f>survey_responses[[#This Row],[Tôi thấy Nhà nước đã giải thích rõ ràng, minh bạch về lý do và mục tiêu của việc sửa đổi thuế lần này. - HUMAN-TRU4]]</f>
        <v>8</v>
      </c>
      <c r="AZ64">
        <f t="shared" si="19"/>
        <v>0.77777777777777779</v>
      </c>
      <c r="BA64" s="32">
        <f t="shared" si="20"/>
        <v>0.77777777777777768</v>
      </c>
      <c r="BB64" s="32">
        <f t="shared" si="21"/>
        <v>0.83333333333333326</v>
      </c>
      <c r="BC64" s="7">
        <f t="shared" si="22"/>
        <v>0.72222222222222221</v>
      </c>
      <c r="BD64" s="7">
        <f t="shared" si="23"/>
        <v>0.87037037037037024</v>
      </c>
      <c r="BE64">
        <f>step3_validation[[#This Row],[AI_OUT1]]</f>
        <v>8</v>
      </c>
      <c r="BF64">
        <f t="shared" si="24"/>
        <v>0.77777777777777779</v>
      </c>
      <c r="BG64">
        <f>survey_responses[[#This Row],[Sau khi xem xét các quyền lợi và nghĩa vụ, bạn có ủng hộ và tuân thủ chính sách mới hiện nay? - HUMAN-OUT1]]</f>
        <v>7</v>
      </c>
      <c r="BH64">
        <f t="shared" si="25"/>
        <v>0.66666666666666663</v>
      </c>
      <c r="BI64" s="32">
        <f t="shared" si="26"/>
        <v>1</v>
      </c>
    </row>
    <row r="65" spans="1:61" x14ac:dyDescent="0.45">
      <c r="A65" s="30">
        <f>step3_validation[[#This Row],[Persona_ID]]</f>
        <v>64</v>
      </c>
      <c r="B65" s="31">
        <f>step3_validation[[#This Row],[Used_Seed]]</f>
        <v>12408</v>
      </c>
      <c r="C65" t="str">
        <f>step3_validation[[#This Row],[Gender]]</f>
        <v>Nữ</v>
      </c>
      <c r="D65" t="str">
        <f>survey_responses[[#This Row],[Giới tính của bạn:]]</f>
        <v>Nữ</v>
      </c>
      <c r="E65" t="str">
        <f>step3_validation[[#This Row],[Age_Group]]</f>
        <v>30 - 39</v>
      </c>
      <c r="F65" t="str">
        <f>survey_responses[[#This Row],[Độ tuổi của bạn:]]</f>
        <v>30 - 39</v>
      </c>
      <c r="G65" t="str">
        <f>step3_validation[[#This Row],[Region]]</f>
        <v>Thành thị</v>
      </c>
      <c r="H65" t="str">
        <f>survey_responses[[#This Row],[Khu vực bạn đang sinh sống:]]</f>
        <v>Thành thị</v>
      </c>
      <c r="I65" t="str">
        <f>step3_validation[[#This Row],[Education]]</f>
        <v>Đại học</v>
      </c>
      <c r="J65" t="str">
        <f>survey_responses[[#This Row],[Trình độ học vấn cao nhất:]]</f>
        <v>Đại học</v>
      </c>
      <c r="K65" t="str">
        <f>step3_validation[[#This Row],[Employment]]</f>
        <v>Phi chính thức</v>
      </c>
      <c r="L65" t="str">
        <f>survey_responses[[#This Row],[Tình trạng việc làm chính:]]</f>
        <v>Khu vực phi chính thức (Lao động tự do, không có HĐLĐ)</v>
      </c>
      <c r="M65">
        <f>step3_validation[[#This Row],[Income_Mil]]</f>
        <v>220.56389065472962</v>
      </c>
      <c r="N65" t="str">
        <f>survey_responses[[#This Row],[Thu nhập bình quân tháng theo Hợp đồng lao động của bạn là bao nhiêu? (Vui lòng điền tổng thu nhập trước khi khấu trừ các loại Bảo hiểm (BHXH, BHYT, BHTN) và Thuế TNCN)]]</f>
        <v>Trên 102 triệu VNĐ</v>
      </c>
      <c r="O65">
        <f>step3_validation[[#This Row],[Dependents]]</f>
        <v>2</v>
      </c>
      <c r="P65" t="str">
        <f>survey_responses[[#This Row],[Số người phụ thuộc (con nhỏ, cha mẹ già...) đủ điều kiện giảm trừ gia cảnh:]]</f>
        <v>2 người</v>
      </c>
      <c r="Q65">
        <f>step3_validation[[#This Row],[AI_ENF1]]</f>
        <v>9</v>
      </c>
      <c r="R65">
        <f t="shared" si="0"/>
        <v>0.88888888888888884</v>
      </c>
      <c r="S65">
        <f>survey_responses[[#This Row],[Tôi tin rằng với các quy định quản lý thuế hiện nay, hành vi gian lận hoặc trốn thuế sẽ dễ dàng bị phát hiện và xử lý nghiêm. - HUMAN-ENF1]]</f>
        <v>9</v>
      </c>
      <c r="T65">
        <f t="shared" si="1"/>
        <v>0.88888888888888884</v>
      </c>
      <c r="U65">
        <f>step3_validation[[#This Row],[AI_ENF2]]</f>
        <v>8</v>
      </c>
      <c r="V65">
        <f t="shared" si="2"/>
        <v>0.77777777777777779</v>
      </c>
      <c r="W65">
        <f>survey_responses[[#This Row],[Tôi tin rằng Nhà nước, cơ quan thuế có đủ khả năng và công nghệ để phát hiện, xử lý nghiêm các hành vi trốn thuế. - HUMAN-ENF2]]</f>
        <v>10</v>
      </c>
      <c r="X65">
        <f t="shared" si="3"/>
        <v>1</v>
      </c>
      <c r="Y65" s="32">
        <f t="shared" si="4"/>
        <v>0.83333333333333326</v>
      </c>
      <c r="Z65" s="32">
        <f t="shared" si="5"/>
        <v>0.94444444444444442</v>
      </c>
      <c r="AA65">
        <f>step3_validation[[#This Row],[AI_FAC1]]</f>
        <v>8</v>
      </c>
      <c r="AB65">
        <f t="shared" si="6"/>
        <v>0.77777777777777779</v>
      </c>
      <c r="AC65">
        <f>survey_responses[[#This Row],[Các thủ tục khai báo thuế VÀ/HOẶC quy trình làm việc với cơ quan thuế đơn giản, tiện lợi, nhanh chóng hơn so với trước đây. - HUMAN-FAC1]]</f>
        <v>9</v>
      </c>
      <c r="AD65">
        <f t="shared" si="7"/>
        <v>0.88888888888888884</v>
      </c>
      <c r="AE65">
        <f>step3_validation[[#This Row],[AI_FAC2]]</f>
        <v>9</v>
      </c>
      <c r="AF65">
        <f t="shared" si="8"/>
        <v>0.88888888888888884</v>
      </c>
      <c r="AG65">
        <f>survey_responses[[#This Row],[So với trước đây, tôi thấy cách tính thuế và các bậc thuế trong phương án mới đơn giản, dễ hiểu và dễ thực hiện hơn. - HUMAN-FAC2]]</f>
        <v>10</v>
      </c>
      <c r="AH65">
        <f t="shared" si="9"/>
        <v>1</v>
      </c>
      <c r="AI65" s="32">
        <f t="shared" si="10"/>
        <v>0.83333333333333326</v>
      </c>
      <c r="AJ65" s="32">
        <f t="shared" si="11"/>
        <v>0.94444444444444442</v>
      </c>
      <c r="AK65">
        <f>step3_validation[[#This Row],[AI_TRU1]]</f>
        <v>9</v>
      </c>
      <c r="AL65">
        <f t="shared" si="12"/>
        <v>0.88888888888888884</v>
      </c>
      <c r="AM65">
        <f>survey_responses[[#This Row],[Tôi tin rằng Nhà nước, cơ quan thuế sẽ thực thi chính sách mới một cách khách quan, công tâm và đối xử bình đẳng với mọi người nộp thuế.  - HUMAN-TRU1]]</f>
        <v>10</v>
      </c>
      <c r="AN65">
        <f t="shared" si="13"/>
        <v>1</v>
      </c>
      <c r="AO65">
        <f>step3_validation[[#This Row],[AI_TRU2]]</f>
        <v>8</v>
      </c>
      <c r="AP65">
        <f t="shared" si="14"/>
        <v>0.77777777777777779</v>
      </c>
      <c r="AQ65">
        <f>survey_responses[[#This Row],[Tôi thấy mức thuế tôi phải đóng theo phương án mới là công bằng (người thu nhập như tôi đóng mức này là hợp lý). - HUMAN-TRU2]]</f>
        <v>5</v>
      </c>
      <c r="AR65">
        <f t="shared" si="15"/>
        <v>0.44444444444444442</v>
      </c>
      <c r="AS65">
        <f>step3_validation[[#This Row],[AI_TRU3]]</f>
        <v>9</v>
      </c>
      <c r="AT65">
        <f t="shared" si="16"/>
        <v>0.88888888888888884</v>
      </c>
      <c r="AU65">
        <f>survey_responses[[#This Row],[Tôi tin tưởng số tiền thuế tôi đóng sẽ được Nhà nước sử dụng hiệu quả để cải thiện dịch vụ công (y tế, đường xá...). - HUMAN-TRU3]]</f>
        <v>10</v>
      </c>
      <c r="AV65">
        <f t="shared" si="17"/>
        <v>1</v>
      </c>
      <c r="AW65">
        <f>step3_validation[[#This Row],[AI_TRU4]]</f>
        <v>8</v>
      </c>
      <c r="AX65">
        <f t="shared" si="18"/>
        <v>0.77777777777777779</v>
      </c>
      <c r="AY65">
        <f>survey_responses[[#This Row],[Tôi thấy Nhà nước đã giải thích rõ ràng, minh bạch về lý do và mục tiêu của việc sửa đổi thuế lần này. - HUMAN-TRU4]]</f>
        <v>7</v>
      </c>
      <c r="AZ65">
        <f t="shared" si="19"/>
        <v>0.66666666666666663</v>
      </c>
      <c r="BA65" s="32">
        <f t="shared" si="20"/>
        <v>0.83333333333333326</v>
      </c>
      <c r="BB65" s="32">
        <f t="shared" si="21"/>
        <v>0.77777777777777779</v>
      </c>
      <c r="BC65" s="7">
        <f t="shared" si="22"/>
        <v>0.83333333333333337</v>
      </c>
      <c r="BD65" s="7">
        <f t="shared" si="23"/>
        <v>0.88888888888888884</v>
      </c>
      <c r="BE65">
        <f>step3_validation[[#This Row],[AI_OUT1]]</f>
        <v>9</v>
      </c>
      <c r="BF65">
        <f t="shared" si="24"/>
        <v>0.88888888888888884</v>
      </c>
      <c r="BG65">
        <f>survey_responses[[#This Row],[Sau khi xem xét các quyền lợi và nghĩa vụ, bạn có ủng hộ và tuân thủ chính sách mới hiện nay? - HUMAN-OUT1]]</f>
        <v>9</v>
      </c>
      <c r="BH65">
        <f t="shared" si="25"/>
        <v>0.88888888888888884</v>
      </c>
      <c r="BI65" s="32">
        <f t="shared" si="26"/>
        <v>0</v>
      </c>
    </row>
    <row r="66" spans="1:61" x14ac:dyDescent="0.45">
      <c r="A66" s="30">
        <f>step3_validation[[#This Row],[Persona_ID]]</f>
        <v>65</v>
      </c>
      <c r="B66" s="31">
        <f>step3_validation[[#This Row],[Used_Seed]]</f>
        <v>12409</v>
      </c>
      <c r="C66" t="str">
        <f>step3_validation[[#This Row],[Gender]]</f>
        <v>Nữ</v>
      </c>
      <c r="D66" t="str">
        <f>survey_responses[[#This Row],[Giới tính của bạn:]]</f>
        <v>Nữ</v>
      </c>
      <c r="E66" t="str">
        <f>step3_validation[[#This Row],[Age_Group]]</f>
        <v>40 - 49</v>
      </c>
      <c r="F66" t="str">
        <f>survey_responses[[#This Row],[Độ tuổi của bạn:]]</f>
        <v>40 - 49</v>
      </c>
      <c r="G66" t="str">
        <f>step3_validation[[#This Row],[Region]]</f>
        <v>Nông thôn</v>
      </c>
      <c r="H66" t="str">
        <f>survey_responses[[#This Row],[Khu vực bạn đang sinh sống:]]</f>
        <v>Nông thôn</v>
      </c>
      <c r="I66" t="str">
        <f>step3_validation[[#This Row],[Education]]</f>
        <v>Đại học</v>
      </c>
      <c r="J66" t="str">
        <f>survey_responses[[#This Row],[Trình độ học vấn cao nhất:]]</f>
        <v>Đại học</v>
      </c>
      <c r="K66" t="str">
        <f>step3_validation[[#This Row],[Employment]]</f>
        <v>Chính thức</v>
      </c>
      <c r="L66" t="str">
        <f>survey_responses[[#This Row],[Tình trạng việc làm chính:]]</f>
        <v>Khu vực chính thức (Có Hợp đồng lao động, đóng BHXH)</v>
      </c>
      <c r="M66">
        <f>step3_validation[[#This Row],[Income_Mil]]</f>
        <v>12</v>
      </c>
      <c r="N66" t="str">
        <f>survey_responses[[#This Row],[Thu nhập bình quân tháng theo Hợp đồng lao động của bạn là bao nhiêu? (Vui lòng điền tổng thu nhập trước khi khấu trừ các loại Bảo hiểm (BHXH, BHYT, BHTN) và Thuế TNCN)]]</f>
        <v>Dưới 12 triệu VNĐ</v>
      </c>
      <c r="O66">
        <f>step3_validation[[#This Row],[Dependents]]</f>
        <v>2</v>
      </c>
      <c r="P66" t="str">
        <f>survey_responses[[#This Row],[Số người phụ thuộc (con nhỏ, cha mẹ già...) đủ điều kiện giảm trừ gia cảnh:]]</f>
        <v>2 người</v>
      </c>
      <c r="Q66">
        <f>step3_validation[[#This Row],[AI_ENF1]]</f>
        <v>8</v>
      </c>
      <c r="R66">
        <f t="shared" si="0"/>
        <v>0.77777777777777779</v>
      </c>
      <c r="S66">
        <f>survey_responses[[#This Row],[Tôi tin rằng với các quy định quản lý thuế hiện nay, hành vi gian lận hoặc trốn thuế sẽ dễ dàng bị phát hiện và xử lý nghiêm. - HUMAN-ENF1]]</f>
        <v>10</v>
      </c>
      <c r="T66">
        <f t="shared" si="1"/>
        <v>1</v>
      </c>
      <c r="U66">
        <f>step3_validation[[#This Row],[AI_ENF2]]</f>
        <v>9</v>
      </c>
      <c r="V66">
        <f t="shared" si="2"/>
        <v>0.88888888888888884</v>
      </c>
      <c r="W66">
        <f>survey_responses[[#This Row],[Tôi tin rằng Nhà nước, cơ quan thuế có đủ khả năng và công nghệ để phát hiện, xử lý nghiêm các hành vi trốn thuế. - HUMAN-ENF2]]</f>
        <v>10</v>
      </c>
      <c r="X66">
        <f t="shared" si="3"/>
        <v>1</v>
      </c>
      <c r="Y66" s="32">
        <f t="shared" si="4"/>
        <v>0.83333333333333326</v>
      </c>
      <c r="Z66" s="32">
        <f t="shared" si="5"/>
        <v>1</v>
      </c>
      <c r="AA66">
        <f>step3_validation[[#This Row],[AI_FAC1]]</f>
        <v>8</v>
      </c>
      <c r="AB66">
        <f t="shared" si="6"/>
        <v>0.77777777777777779</v>
      </c>
      <c r="AC66">
        <f>survey_responses[[#This Row],[Các thủ tục khai báo thuế VÀ/HOẶC quy trình làm việc với cơ quan thuế đơn giản, tiện lợi, nhanh chóng hơn so với trước đây. - HUMAN-FAC1]]</f>
        <v>10</v>
      </c>
      <c r="AD66">
        <f t="shared" si="7"/>
        <v>1</v>
      </c>
      <c r="AE66">
        <f>step3_validation[[#This Row],[AI_FAC2]]</f>
        <v>9</v>
      </c>
      <c r="AF66">
        <f t="shared" si="8"/>
        <v>0.88888888888888884</v>
      </c>
      <c r="AG66">
        <f>survey_responses[[#This Row],[So với trước đây, tôi thấy cách tính thuế và các bậc thuế trong phương án mới đơn giản, dễ hiểu và dễ thực hiện hơn. - HUMAN-FAC2]]</f>
        <v>10</v>
      </c>
      <c r="AH66">
        <f t="shared" si="9"/>
        <v>1</v>
      </c>
      <c r="AI66" s="32">
        <f t="shared" si="10"/>
        <v>0.83333333333333326</v>
      </c>
      <c r="AJ66" s="32">
        <f t="shared" si="11"/>
        <v>1</v>
      </c>
      <c r="AK66">
        <f>step3_validation[[#This Row],[AI_TRU1]]</f>
        <v>8</v>
      </c>
      <c r="AL66">
        <f t="shared" si="12"/>
        <v>0.77777777777777779</v>
      </c>
      <c r="AM66">
        <f>survey_responses[[#This Row],[Tôi tin rằng Nhà nước, cơ quan thuế sẽ thực thi chính sách mới một cách khách quan, công tâm và đối xử bình đẳng với mọi người nộp thuế.  - HUMAN-TRU1]]</f>
        <v>10</v>
      </c>
      <c r="AN66">
        <f t="shared" si="13"/>
        <v>1</v>
      </c>
      <c r="AO66">
        <f>step3_validation[[#This Row],[AI_TRU2]]</f>
        <v>9</v>
      </c>
      <c r="AP66">
        <f t="shared" si="14"/>
        <v>0.88888888888888884</v>
      </c>
      <c r="AQ66">
        <f>survey_responses[[#This Row],[Tôi thấy mức thuế tôi phải đóng theo phương án mới là công bằng (người thu nhập như tôi đóng mức này là hợp lý). - HUMAN-TRU2]]</f>
        <v>10</v>
      </c>
      <c r="AR66">
        <f t="shared" si="15"/>
        <v>1</v>
      </c>
      <c r="AS66">
        <f>step3_validation[[#This Row],[AI_TRU3]]</f>
        <v>8</v>
      </c>
      <c r="AT66">
        <f t="shared" si="16"/>
        <v>0.77777777777777779</v>
      </c>
      <c r="AU66">
        <f>survey_responses[[#This Row],[Tôi tin tưởng số tiền thuế tôi đóng sẽ được Nhà nước sử dụng hiệu quả để cải thiện dịch vụ công (y tế, đường xá...). - HUMAN-TRU3]]</f>
        <v>10</v>
      </c>
      <c r="AV66">
        <f t="shared" si="17"/>
        <v>1</v>
      </c>
      <c r="AW66">
        <f>step3_validation[[#This Row],[AI_TRU4]]</f>
        <v>9</v>
      </c>
      <c r="AX66">
        <f t="shared" si="18"/>
        <v>0.88888888888888884</v>
      </c>
      <c r="AY66">
        <f>survey_responses[[#This Row],[Tôi thấy Nhà nước đã giải thích rõ ràng, minh bạch về lý do và mục tiêu của việc sửa đổi thuế lần này. - HUMAN-TRU4]]</f>
        <v>10</v>
      </c>
      <c r="AZ66">
        <f t="shared" si="19"/>
        <v>1</v>
      </c>
      <c r="BA66" s="32">
        <f t="shared" si="20"/>
        <v>0.83333333333333326</v>
      </c>
      <c r="BB66" s="32">
        <f t="shared" si="21"/>
        <v>1</v>
      </c>
      <c r="BC66" s="7">
        <f t="shared" si="22"/>
        <v>0.83333333333333337</v>
      </c>
      <c r="BD66" s="7">
        <f t="shared" si="23"/>
        <v>1</v>
      </c>
      <c r="BE66">
        <f>step3_validation[[#This Row],[AI_OUT1]]</f>
        <v>8</v>
      </c>
      <c r="BF66">
        <f t="shared" si="24"/>
        <v>0.77777777777777779</v>
      </c>
      <c r="BG66">
        <f>survey_responses[[#This Row],[Sau khi xem xét các quyền lợi và nghĩa vụ, bạn có ủng hộ và tuân thủ chính sách mới hiện nay? - HUMAN-OUT1]]</f>
        <v>10</v>
      </c>
      <c r="BH66">
        <f t="shared" si="25"/>
        <v>1</v>
      </c>
      <c r="BI66" s="32">
        <f t="shared" si="26"/>
        <v>2</v>
      </c>
    </row>
    <row r="67" spans="1:61" x14ac:dyDescent="0.45">
      <c r="A67" s="30">
        <f>step3_validation[[#This Row],[Persona_ID]]</f>
        <v>66</v>
      </c>
      <c r="B67" s="31">
        <f>step3_validation[[#This Row],[Used_Seed]]</f>
        <v>12410</v>
      </c>
      <c r="C67" t="str">
        <f>step3_validation[[#This Row],[Gender]]</f>
        <v>Nữ</v>
      </c>
      <c r="D67" t="str">
        <f>survey_responses[[#This Row],[Giới tính của bạn:]]</f>
        <v>Nữ</v>
      </c>
      <c r="E67" t="str">
        <f>step3_validation[[#This Row],[Age_Group]]</f>
        <v>25 - 29</v>
      </c>
      <c r="F67" t="str">
        <f>survey_responses[[#This Row],[Độ tuổi của bạn:]]</f>
        <v>25 - 29</v>
      </c>
      <c r="G67" t="str">
        <f>step3_validation[[#This Row],[Region]]</f>
        <v>Thành thị</v>
      </c>
      <c r="H67" t="str">
        <f>survey_responses[[#This Row],[Khu vực bạn đang sinh sống:]]</f>
        <v>Thành thị</v>
      </c>
      <c r="I67" t="str">
        <f>step3_validation[[#This Row],[Education]]</f>
        <v>Cao đẳng</v>
      </c>
      <c r="J67" t="str">
        <f>survey_responses[[#This Row],[Trình độ học vấn cao nhất:]]</f>
        <v>Cao đẳng</v>
      </c>
      <c r="K67" t="str">
        <f>step3_validation[[#This Row],[Employment]]</f>
        <v>Chính thức</v>
      </c>
      <c r="L67" t="str">
        <f>survey_responses[[#This Row],[Tình trạng việc làm chính:]]</f>
        <v>Khu vực chính thức (Có Hợp đồng lao động, đóng BHXH)</v>
      </c>
      <c r="M67">
        <f>step3_validation[[#This Row],[Income_Mil]]</f>
        <v>15.941225843089081</v>
      </c>
      <c r="N67" t="str">
        <f>survey_responses[[#This Row],[Thu nhập bình quân tháng theo Hợp đồng lao động của bạn là bao nhiêu? (Vui lòng điền tổng thu nhập trước khi khấu trừ các loại Bảo hiểm (BHXH, BHYT, BHTN) và Thuế TNCN)]]</f>
        <v>Từ 12 - 18 triệu VNĐ</v>
      </c>
      <c r="O67">
        <f>step3_validation[[#This Row],[Dependents]]</f>
        <v>0</v>
      </c>
      <c r="P67" t="str">
        <f>survey_responses[[#This Row],[Số người phụ thuộc (con nhỏ, cha mẹ già...) đủ điều kiện giảm trừ gia cảnh:]]</f>
        <v>0 người</v>
      </c>
      <c r="Q67">
        <f>step3_validation[[#This Row],[AI_ENF1]]</f>
        <v>9</v>
      </c>
      <c r="R67">
        <f t="shared" ref="R67:R130" si="27">(Q67-1)/9</f>
        <v>0.88888888888888884</v>
      </c>
      <c r="S67">
        <f>survey_responses[[#This Row],[Tôi tin rằng với các quy định quản lý thuế hiện nay, hành vi gian lận hoặc trốn thuế sẽ dễ dàng bị phát hiện và xử lý nghiêm. - HUMAN-ENF1]]</f>
        <v>7</v>
      </c>
      <c r="T67">
        <f t="shared" ref="T67:T130" si="28">(S67-1)/9</f>
        <v>0.66666666666666663</v>
      </c>
      <c r="U67">
        <f>step3_validation[[#This Row],[AI_ENF2]]</f>
        <v>8</v>
      </c>
      <c r="V67">
        <f t="shared" ref="V67:V130" si="29">(U67-1)/9</f>
        <v>0.77777777777777779</v>
      </c>
      <c r="W67">
        <f>survey_responses[[#This Row],[Tôi tin rằng Nhà nước, cơ quan thuế có đủ khả năng và công nghệ để phát hiện, xử lý nghiêm các hành vi trốn thuế. - HUMAN-ENF2]]</f>
        <v>5</v>
      </c>
      <c r="X67">
        <f t="shared" ref="X67:X130" si="30">(W67-1)/9</f>
        <v>0.44444444444444442</v>
      </c>
      <c r="Y67" s="32">
        <f t="shared" ref="Y67:Y130" si="31">AVERAGE(R67,V67)</f>
        <v>0.83333333333333326</v>
      </c>
      <c r="Z67" s="32">
        <f t="shared" ref="Z67:Z130" si="32">AVERAGE(T67,X67)</f>
        <v>0.55555555555555558</v>
      </c>
      <c r="AA67">
        <f>step3_validation[[#This Row],[AI_FAC1]]</f>
        <v>9</v>
      </c>
      <c r="AB67">
        <f t="shared" ref="AB67:AB130" si="33">(AA67-1)/9</f>
        <v>0.88888888888888884</v>
      </c>
      <c r="AC67">
        <f>survey_responses[[#This Row],[Các thủ tục khai báo thuế VÀ/HOẶC quy trình làm việc với cơ quan thuế đơn giản, tiện lợi, nhanh chóng hơn so với trước đây. - HUMAN-FAC1]]</f>
        <v>3</v>
      </c>
      <c r="AD67">
        <f t="shared" ref="AD67:AD130" si="34">(AC67-1)/9</f>
        <v>0.22222222222222221</v>
      </c>
      <c r="AE67">
        <f>step3_validation[[#This Row],[AI_FAC2]]</f>
        <v>8</v>
      </c>
      <c r="AF67">
        <f t="shared" ref="AF67:AF130" si="35">(AE67-1)/9</f>
        <v>0.77777777777777779</v>
      </c>
      <c r="AG67">
        <f>survey_responses[[#This Row],[So với trước đây, tôi thấy cách tính thuế và các bậc thuế trong phương án mới đơn giản, dễ hiểu và dễ thực hiện hơn. - HUMAN-FAC2]]</f>
        <v>5</v>
      </c>
      <c r="AH67">
        <f t="shared" ref="AH67:AH130" si="36">(AG67-1)/9</f>
        <v>0.44444444444444442</v>
      </c>
      <c r="AI67" s="32">
        <f t="shared" ref="AI67:AI130" si="37">AVERAGE(AB67,AF67)</f>
        <v>0.83333333333333326</v>
      </c>
      <c r="AJ67" s="32">
        <f t="shared" ref="AJ67:AJ130" si="38">AVERAGE(AD67,AH67)</f>
        <v>0.33333333333333331</v>
      </c>
      <c r="AK67">
        <f>step3_validation[[#This Row],[AI_TRU1]]</f>
        <v>9</v>
      </c>
      <c r="AL67">
        <f t="shared" ref="AL67:AL130" si="39">(AK67-1)/9</f>
        <v>0.88888888888888884</v>
      </c>
      <c r="AM67">
        <f>survey_responses[[#This Row],[Tôi tin rằng Nhà nước, cơ quan thuế sẽ thực thi chính sách mới một cách khách quan, công tâm và đối xử bình đẳng với mọi người nộp thuế.  - HUMAN-TRU1]]</f>
        <v>4</v>
      </c>
      <c r="AN67">
        <f t="shared" ref="AN67:AN130" si="40">(AM67-1)/9</f>
        <v>0.33333333333333331</v>
      </c>
      <c r="AO67">
        <f>step3_validation[[#This Row],[AI_TRU2]]</f>
        <v>8</v>
      </c>
      <c r="AP67">
        <f t="shared" ref="AP67:AP130" si="41">(AO67-1)/9</f>
        <v>0.77777777777777779</v>
      </c>
      <c r="AQ67">
        <f>survey_responses[[#This Row],[Tôi thấy mức thuế tôi phải đóng theo phương án mới là công bằng (người thu nhập như tôi đóng mức này là hợp lý). - HUMAN-TRU2]]</f>
        <v>3</v>
      </c>
      <c r="AR67">
        <f t="shared" ref="AR67:AR130" si="42">(AQ67-1)/9</f>
        <v>0.22222222222222221</v>
      </c>
      <c r="AS67">
        <f>step3_validation[[#This Row],[AI_TRU3]]</f>
        <v>9</v>
      </c>
      <c r="AT67">
        <f t="shared" ref="AT67:AT130" si="43">(AS67-1)/9</f>
        <v>0.88888888888888884</v>
      </c>
      <c r="AU67">
        <f>survey_responses[[#This Row],[Tôi tin tưởng số tiền thuế tôi đóng sẽ được Nhà nước sử dụng hiệu quả để cải thiện dịch vụ công (y tế, đường xá...). - HUMAN-TRU3]]</f>
        <v>5</v>
      </c>
      <c r="AV67">
        <f t="shared" ref="AV67:AV130" si="44">(AU67-1)/9</f>
        <v>0.44444444444444442</v>
      </c>
      <c r="AW67">
        <f>step3_validation[[#This Row],[AI_TRU4]]</f>
        <v>8</v>
      </c>
      <c r="AX67">
        <f t="shared" ref="AX67:AX130" si="45">(AW67-1)/9</f>
        <v>0.77777777777777779</v>
      </c>
      <c r="AY67">
        <f>survey_responses[[#This Row],[Tôi thấy Nhà nước đã giải thích rõ ràng, minh bạch về lý do và mục tiêu của việc sửa đổi thuế lần này. - HUMAN-TRU4]]</f>
        <v>6</v>
      </c>
      <c r="AZ67">
        <f t="shared" ref="AZ67:AZ130" si="46">(AY67-1)/9</f>
        <v>0.55555555555555558</v>
      </c>
      <c r="BA67" s="32">
        <f t="shared" ref="BA67:BA130" si="47">AVERAGE(AL67,AP67,AT67,AX67)</f>
        <v>0.83333333333333326</v>
      </c>
      <c r="BB67" s="32">
        <f t="shared" ref="BB67:BB130" si="48">AVERAGE(AN67,AR67,AV67,AZ67)</f>
        <v>0.3888888888888889</v>
      </c>
      <c r="BC67" s="7">
        <f t="shared" ref="BC67:BC130" si="49">(Y67+AI67+BA67)/3</f>
        <v>0.83333333333333337</v>
      </c>
      <c r="BD67" s="7">
        <f t="shared" ref="BD67:BD130" si="50">(Z67+AJ67+BB67)/3</f>
        <v>0.42592592592592587</v>
      </c>
      <c r="BE67">
        <f>step3_validation[[#This Row],[AI_OUT1]]</f>
        <v>9</v>
      </c>
      <c r="BF67">
        <f t="shared" ref="BF67:BF130" si="51">(BE67-1)/9</f>
        <v>0.88888888888888884</v>
      </c>
      <c r="BG67">
        <f>survey_responses[[#This Row],[Sau khi xem xét các quyền lợi và nghĩa vụ, bạn có ủng hộ và tuân thủ chính sách mới hiện nay? - HUMAN-OUT1]]</f>
        <v>6</v>
      </c>
      <c r="BH67">
        <f t="shared" ref="BH67:BH130" si="52">(BG67-1)/9</f>
        <v>0.55555555555555558</v>
      </c>
      <c r="BI67" s="32">
        <f t="shared" ref="BI67:BI130" si="53">ABS(BG67-BE67)</f>
        <v>3</v>
      </c>
    </row>
    <row r="68" spans="1:61" x14ac:dyDescent="0.45">
      <c r="A68" s="30">
        <f>step3_validation[[#This Row],[Persona_ID]]</f>
        <v>67</v>
      </c>
      <c r="B68" s="31">
        <f>step3_validation[[#This Row],[Used_Seed]]</f>
        <v>12411</v>
      </c>
      <c r="C68" t="str">
        <f>step3_validation[[#This Row],[Gender]]</f>
        <v>Nam</v>
      </c>
      <c r="D68" t="str">
        <f>survey_responses[[#This Row],[Giới tính của bạn:]]</f>
        <v>Nam</v>
      </c>
      <c r="E68" t="str">
        <f>step3_validation[[#This Row],[Age_Group]]</f>
        <v>40 - 49</v>
      </c>
      <c r="F68" t="str">
        <f>survey_responses[[#This Row],[Độ tuổi của bạn:]]</f>
        <v>40 - 49</v>
      </c>
      <c r="G68" t="str">
        <f>step3_validation[[#This Row],[Region]]</f>
        <v>Thành thị</v>
      </c>
      <c r="H68" t="str">
        <f>survey_responses[[#This Row],[Khu vực bạn đang sinh sống:]]</f>
        <v>Thành thị</v>
      </c>
      <c r="I68" t="str">
        <f>step3_validation[[#This Row],[Education]]</f>
        <v>Sau Đại học</v>
      </c>
      <c r="J68" t="str">
        <f>survey_responses[[#This Row],[Trình độ học vấn cao nhất:]]</f>
        <v>Sau Đại học</v>
      </c>
      <c r="K68" t="str">
        <f>step3_validation[[#This Row],[Employment]]</f>
        <v>Chính thức</v>
      </c>
      <c r="L68" t="str">
        <f>survey_responses[[#This Row],[Tình trạng việc làm chính:]]</f>
        <v>Khu vực chính thức (Có Hợp đồng lao động, đóng BHXH)</v>
      </c>
      <c r="M68">
        <f>step3_validation[[#This Row],[Income_Mil]]</f>
        <v>74.297528366625542</v>
      </c>
      <c r="N68" t="str">
        <f>survey_responses[[#This Row],[Thu nhập bình quân tháng theo Hợp đồng lao động của bạn là bao nhiêu? (Vui lòng điền tổng thu nhập trước khi khấu trừ các loại Bảo hiểm (BHXH, BHYT, BHTN) và Thuế TNCN)]]</f>
        <v>Từ 70 - 102 triệu VNĐ</v>
      </c>
      <c r="O68">
        <f>step3_validation[[#This Row],[Dependents]]</f>
        <v>2</v>
      </c>
      <c r="P68" t="str">
        <f>survey_responses[[#This Row],[Số người phụ thuộc (con nhỏ, cha mẹ già...) đủ điều kiện giảm trừ gia cảnh:]]</f>
        <v>2 người</v>
      </c>
      <c r="Q68">
        <f>step3_validation[[#This Row],[AI_ENF1]]</f>
        <v>8</v>
      </c>
      <c r="R68">
        <f t="shared" si="27"/>
        <v>0.77777777777777779</v>
      </c>
      <c r="S68">
        <f>survey_responses[[#This Row],[Tôi tin rằng với các quy định quản lý thuế hiện nay, hành vi gian lận hoặc trốn thuế sẽ dễ dàng bị phát hiện và xử lý nghiêm. - HUMAN-ENF1]]</f>
        <v>5</v>
      </c>
      <c r="T68">
        <f t="shared" si="28"/>
        <v>0.44444444444444442</v>
      </c>
      <c r="U68">
        <f>step3_validation[[#This Row],[AI_ENF2]]</f>
        <v>7</v>
      </c>
      <c r="V68">
        <f t="shared" si="29"/>
        <v>0.66666666666666663</v>
      </c>
      <c r="W68">
        <f>survey_responses[[#This Row],[Tôi tin rằng Nhà nước, cơ quan thuế có đủ khả năng và công nghệ để phát hiện, xử lý nghiêm các hành vi trốn thuế. - HUMAN-ENF2]]</f>
        <v>5</v>
      </c>
      <c r="X68">
        <f t="shared" si="30"/>
        <v>0.44444444444444442</v>
      </c>
      <c r="Y68" s="32">
        <f t="shared" si="31"/>
        <v>0.72222222222222221</v>
      </c>
      <c r="Z68" s="32">
        <f t="shared" si="32"/>
        <v>0.44444444444444442</v>
      </c>
      <c r="AA68">
        <f>step3_validation[[#This Row],[AI_FAC1]]</f>
        <v>9</v>
      </c>
      <c r="AB68">
        <f t="shared" si="33"/>
        <v>0.88888888888888884</v>
      </c>
      <c r="AC68">
        <f>survey_responses[[#This Row],[Các thủ tục khai báo thuế VÀ/HOẶC quy trình làm việc với cơ quan thuế đơn giản, tiện lợi, nhanh chóng hơn so với trước đây. - HUMAN-FAC1]]</f>
        <v>4</v>
      </c>
      <c r="AD68">
        <f t="shared" si="34"/>
        <v>0.33333333333333331</v>
      </c>
      <c r="AE68">
        <f>step3_validation[[#This Row],[AI_FAC2]]</f>
        <v>8</v>
      </c>
      <c r="AF68">
        <f t="shared" si="35"/>
        <v>0.77777777777777779</v>
      </c>
      <c r="AG68">
        <f>survey_responses[[#This Row],[So với trước đây, tôi thấy cách tính thuế và các bậc thuế trong phương án mới đơn giản, dễ hiểu và dễ thực hiện hơn. - HUMAN-FAC2]]</f>
        <v>4</v>
      </c>
      <c r="AH68">
        <f t="shared" si="36"/>
        <v>0.33333333333333331</v>
      </c>
      <c r="AI68" s="32">
        <f t="shared" si="37"/>
        <v>0.83333333333333326</v>
      </c>
      <c r="AJ68" s="32">
        <f t="shared" si="38"/>
        <v>0.33333333333333331</v>
      </c>
      <c r="AK68">
        <f>step3_validation[[#This Row],[AI_TRU1]]</f>
        <v>7</v>
      </c>
      <c r="AL68">
        <f t="shared" si="39"/>
        <v>0.66666666666666663</v>
      </c>
      <c r="AM68">
        <f>survey_responses[[#This Row],[Tôi tin rằng Nhà nước, cơ quan thuế sẽ thực thi chính sách mới một cách khách quan, công tâm và đối xử bình đẳng với mọi người nộp thuế.  - HUMAN-TRU1]]</f>
        <v>2</v>
      </c>
      <c r="AN68">
        <f t="shared" si="40"/>
        <v>0.1111111111111111</v>
      </c>
      <c r="AO68">
        <f>step3_validation[[#This Row],[AI_TRU2]]</f>
        <v>9</v>
      </c>
      <c r="AP68">
        <f t="shared" si="41"/>
        <v>0.88888888888888884</v>
      </c>
      <c r="AQ68">
        <f>survey_responses[[#This Row],[Tôi thấy mức thuế tôi phải đóng theo phương án mới là công bằng (người thu nhập như tôi đóng mức này là hợp lý). - HUMAN-TRU2]]</f>
        <v>3</v>
      </c>
      <c r="AR68">
        <f t="shared" si="42"/>
        <v>0.22222222222222221</v>
      </c>
      <c r="AS68">
        <f>step3_validation[[#This Row],[AI_TRU3]]</f>
        <v>8</v>
      </c>
      <c r="AT68">
        <f t="shared" si="43"/>
        <v>0.77777777777777779</v>
      </c>
      <c r="AU68">
        <f>survey_responses[[#This Row],[Tôi tin tưởng số tiền thuế tôi đóng sẽ được Nhà nước sử dụng hiệu quả để cải thiện dịch vụ công (y tế, đường xá...). - HUMAN-TRU3]]</f>
        <v>2</v>
      </c>
      <c r="AV68">
        <f t="shared" si="44"/>
        <v>0.1111111111111111</v>
      </c>
      <c r="AW68">
        <f>step3_validation[[#This Row],[AI_TRU4]]</f>
        <v>7</v>
      </c>
      <c r="AX68">
        <f t="shared" si="45"/>
        <v>0.66666666666666663</v>
      </c>
      <c r="AY68">
        <f>survey_responses[[#This Row],[Tôi thấy Nhà nước đã giải thích rõ ràng, minh bạch về lý do và mục tiêu của việc sửa đổi thuế lần này. - HUMAN-TRU4]]</f>
        <v>3</v>
      </c>
      <c r="AZ68">
        <f t="shared" si="46"/>
        <v>0.22222222222222221</v>
      </c>
      <c r="BA68" s="32">
        <f t="shared" si="47"/>
        <v>0.74999999999999989</v>
      </c>
      <c r="BB68" s="32">
        <f t="shared" si="48"/>
        <v>0.16666666666666666</v>
      </c>
      <c r="BC68" s="7">
        <f t="shared" si="49"/>
        <v>0.76851851851851849</v>
      </c>
      <c r="BD68" s="7">
        <f t="shared" si="50"/>
        <v>0.31481481481481477</v>
      </c>
      <c r="BE68">
        <f>step3_validation[[#This Row],[AI_OUT1]]</f>
        <v>9</v>
      </c>
      <c r="BF68">
        <f t="shared" si="51"/>
        <v>0.88888888888888884</v>
      </c>
      <c r="BG68">
        <f>survey_responses[[#This Row],[Sau khi xem xét các quyền lợi và nghĩa vụ, bạn có ủng hộ và tuân thủ chính sách mới hiện nay? - HUMAN-OUT1]]</f>
        <v>3</v>
      </c>
      <c r="BH68">
        <f t="shared" si="52"/>
        <v>0.22222222222222221</v>
      </c>
      <c r="BI68" s="32">
        <f t="shared" si="53"/>
        <v>6</v>
      </c>
    </row>
    <row r="69" spans="1:61" x14ac:dyDescent="0.45">
      <c r="A69" s="30">
        <f>step3_validation[[#This Row],[Persona_ID]]</f>
        <v>68</v>
      </c>
      <c r="B69" s="31">
        <f>step3_validation[[#This Row],[Used_Seed]]</f>
        <v>12412</v>
      </c>
      <c r="C69" t="str">
        <f>step3_validation[[#This Row],[Gender]]</f>
        <v>Nữ</v>
      </c>
      <c r="D69" t="str">
        <f>survey_responses[[#This Row],[Giới tính của bạn:]]</f>
        <v>Nữ</v>
      </c>
      <c r="E69" t="str">
        <f>step3_validation[[#This Row],[Age_Group]]</f>
        <v>40 - 49</v>
      </c>
      <c r="F69" t="str">
        <f>survey_responses[[#This Row],[Độ tuổi của bạn:]]</f>
        <v>40 - 49</v>
      </c>
      <c r="G69" t="str">
        <f>step3_validation[[#This Row],[Region]]</f>
        <v>Thành thị</v>
      </c>
      <c r="H69" t="str">
        <f>survey_responses[[#This Row],[Khu vực bạn đang sinh sống:]]</f>
        <v>Thành thị</v>
      </c>
      <c r="I69" t="str">
        <f>step3_validation[[#This Row],[Education]]</f>
        <v>Đại học</v>
      </c>
      <c r="J69" t="str">
        <f>survey_responses[[#This Row],[Trình độ học vấn cao nhất:]]</f>
        <v>Đại học</v>
      </c>
      <c r="K69" t="str">
        <f>step3_validation[[#This Row],[Employment]]</f>
        <v>Chính thức</v>
      </c>
      <c r="L69" t="str">
        <f>survey_responses[[#This Row],[Tình trạng việc làm chính:]]</f>
        <v>Khu vực chính thức (Có Hợp đồng lao động, đóng BHXH)</v>
      </c>
      <c r="M69">
        <f>step3_validation[[#This Row],[Income_Mil]]</f>
        <v>53.094981893488004</v>
      </c>
      <c r="N69" t="str">
        <f>survey_responses[[#This Row],[Thu nhập bình quân tháng theo Hợp đồng lao động của bạn là bao nhiêu? (Vui lòng điền tổng thu nhập trước khi khấu trừ các loại Bảo hiểm (BHXH, BHYT, BHTN) và Thuế TNCN)]]</f>
        <v>Từ 48 - 70 triệu VNĐ</v>
      </c>
      <c r="O69">
        <f>step3_validation[[#This Row],[Dependents]]</f>
        <v>2</v>
      </c>
      <c r="P69" t="str">
        <f>survey_responses[[#This Row],[Số người phụ thuộc (con nhỏ, cha mẹ già...) đủ điều kiện giảm trừ gia cảnh:]]</f>
        <v>2 người</v>
      </c>
      <c r="Q69">
        <f>step3_validation[[#This Row],[AI_ENF1]]</f>
        <v>7</v>
      </c>
      <c r="R69">
        <f t="shared" si="27"/>
        <v>0.66666666666666663</v>
      </c>
      <c r="S69">
        <f>survey_responses[[#This Row],[Tôi tin rằng với các quy định quản lý thuế hiện nay, hành vi gian lận hoặc trốn thuế sẽ dễ dàng bị phát hiện và xử lý nghiêm. - HUMAN-ENF1]]</f>
        <v>4</v>
      </c>
      <c r="T69">
        <f t="shared" si="28"/>
        <v>0.33333333333333331</v>
      </c>
      <c r="U69">
        <f>step3_validation[[#This Row],[AI_ENF2]]</f>
        <v>6</v>
      </c>
      <c r="V69">
        <f t="shared" si="29"/>
        <v>0.55555555555555558</v>
      </c>
      <c r="W69">
        <f>survey_responses[[#This Row],[Tôi tin rằng Nhà nước, cơ quan thuế có đủ khả năng và công nghệ để phát hiện, xử lý nghiêm các hành vi trốn thuế. - HUMAN-ENF2]]</f>
        <v>3</v>
      </c>
      <c r="X69">
        <f t="shared" si="30"/>
        <v>0.22222222222222221</v>
      </c>
      <c r="Y69" s="32">
        <f t="shared" si="31"/>
        <v>0.61111111111111116</v>
      </c>
      <c r="Z69" s="32">
        <f t="shared" si="32"/>
        <v>0.27777777777777779</v>
      </c>
      <c r="AA69">
        <f>step3_validation[[#This Row],[AI_FAC1]]</f>
        <v>9</v>
      </c>
      <c r="AB69">
        <f t="shared" si="33"/>
        <v>0.88888888888888884</v>
      </c>
      <c r="AC69">
        <f>survey_responses[[#This Row],[Các thủ tục khai báo thuế VÀ/HOẶC quy trình làm việc với cơ quan thuế đơn giản, tiện lợi, nhanh chóng hơn so với trước đây. - HUMAN-FAC1]]</f>
        <v>1</v>
      </c>
      <c r="AD69">
        <f t="shared" si="34"/>
        <v>0</v>
      </c>
      <c r="AE69">
        <f>step3_validation[[#This Row],[AI_FAC2]]</f>
        <v>8</v>
      </c>
      <c r="AF69">
        <f t="shared" si="35"/>
        <v>0.77777777777777779</v>
      </c>
      <c r="AG69">
        <f>survey_responses[[#This Row],[So với trước đây, tôi thấy cách tính thuế và các bậc thuế trong phương án mới đơn giản, dễ hiểu và dễ thực hiện hơn. - HUMAN-FAC2]]</f>
        <v>5</v>
      </c>
      <c r="AH69">
        <f t="shared" si="36"/>
        <v>0.44444444444444442</v>
      </c>
      <c r="AI69" s="32">
        <f t="shared" si="37"/>
        <v>0.83333333333333326</v>
      </c>
      <c r="AJ69" s="32">
        <f t="shared" si="38"/>
        <v>0.22222222222222221</v>
      </c>
      <c r="AK69">
        <f>step3_validation[[#This Row],[AI_TRU1]]</f>
        <v>7</v>
      </c>
      <c r="AL69">
        <f t="shared" si="39"/>
        <v>0.66666666666666663</v>
      </c>
      <c r="AM69">
        <f>survey_responses[[#This Row],[Tôi tin rằng Nhà nước, cơ quan thuế sẽ thực thi chính sách mới một cách khách quan, công tâm và đối xử bình đẳng với mọi người nộp thuế.  - HUMAN-TRU1]]</f>
        <v>4</v>
      </c>
      <c r="AN69">
        <f t="shared" si="40"/>
        <v>0.33333333333333331</v>
      </c>
      <c r="AO69">
        <f>step3_validation[[#This Row],[AI_TRU2]]</f>
        <v>8</v>
      </c>
      <c r="AP69">
        <f t="shared" si="41"/>
        <v>0.77777777777777779</v>
      </c>
      <c r="AQ69">
        <f>survey_responses[[#This Row],[Tôi thấy mức thuế tôi phải đóng theo phương án mới là công bằng (người thu nhập như tôi đóng mức này là hợp lý). - HUMAN-TRU2]]</f>
        <v>3</v>
      </c>
      <c r="AR69">
        <f t="shared" si="42"/>
        <v>0.22222222222222221</v>
      </c>
      <c r="AS69">
        <f>step3_validation[[#This Row],[AI_TRU3]]</f>
        <v>7</v>
      </c>
      <c r="AT69">
        <f t="shared" si="43"/>
        <v>0.66666666666666663</v>
      </c>
      <c r="AU69">
        <f>survey_responses[[#This Row],[Tôi tin tưởng số tiền thuế tôi đóng sẽ được Nhà nước sử dụng hiệu quả để cải thiện dịch vụ công (y tế, đường xá...). - HUMAN-TRU3]]</f>
        <v>1</v>
      </c>
      <c r="AV69">
        <f t="shared" si="44"/>
        <v>0</v>
      </c>
      <c r="AW69">
        <f>step3_validation[[#This Row],[AI_TRU4]]</f>
        <v>8</v>
      </c>
      <c r="AX69">
        <f t="shared" si="45"/>
        <v>0.77777777777777779</v>
      </c>
      <c r="AY69">
        <f>survey_responses[[#This Row],[Tôi thấy Nhà nước đã giải thích rõ ràng, minh bạch về lý do và mục tiêu của việc sửa đổi thuế lần này. - HUMAN-TRU4]]</f>
        <v>3</v>
      </c>
      <c r="AZ69">
        <f t="shared" si="46"/>
        <v>0.22222222222222221</v>
      </c>
      <c r="BA69" s="32">
        <f t="shared" si="47"/>
        <v>0.72222222222222221</v>
      </c>
      <c r="BB69" s="32">
        <f t="shared" si="48"/>
        <v>0.19444444444444445</v>
      </c>
      <c r="BC69" s="7">
        <f t="shared" si="49"/>
        <v>0.72222222222222221</v>
      </c>
      <c r="BD69" s="7">
        <f t="shared" si="50"/>
        <v>0.23148148148148148</v>
      </c>
      <c r="BE69">
        <f>step3_validation[[#This Row],[AI_OUT1]]</f>
        <v>9</v>
      </c>
      <c r="BF69">
        <f t="shared" si="51"/>
        <v>0.88888888888888884</v>
      </c>
      <c r="BG69">
        <f>survey_responses[[#This Row],[Sau khi xem xét các quyền lợi và nghĩa vụ, bạn có ủng hộ và tuân thủ chính sách mới hiện nay? - HUMAN-OUT1]]</f>
        <v>5</v>
      </c>
      <c r="BH69">
        <f t="shared" si="52"/>
        <v>0.44444444444444442</v>
      </c>
      <c r="BI69" s="32">
        <f t="shared" si="53"/>
        <v>4</v>
      </c>
    </row>
    <row r="70" spans="1:61" x14ac:dyDescent="0.45">
      <c r="A70" s="30">
        <f>step3_validation[[#This Row],[Persona_ID]]</f>
        <v>69</v>
      </c>
      <c r="B70" s="31">
        <f>step3_validation[[#This Row],[Used_Seed]]</f>
        <v>12413</v>
      </c>
      <c r="C70" t="str">
        <f>step3_validation[[#This Row],[Gender]]</f>
        <v>Nam</v>
      </c>
      <c r="D70" t="str">
        <f>survey_responses[[#This Row],[Giới tính của bạn:]]</f>
        <v>Nam</v>
      </c>
      <c r="E70" t="str">
        <f>step3_validation[[#This Row],[Age_Group]]</f>
        <v>25 - 29</v>
      </c>
      <c r="F70" t="str">
        <f>survey_responses[[#This Row],[Độ tuổi của bạn:]]</f>
        <v>25 - 29</v>
      </c>
      <c r="G70" t="str">
        <f>step3_validation[[#This Row],[Region]]</f>
        <v>Thành thị</v>
      </c>
      <c r="H70" t="str">
        <f>survey_responses[[#This Row],[Khu vực bạn đang sinh sống:]]</f>
        <v>Thành thị</v>
      </c>
      <c r="I70" t="str">
        <f>step3_validation[[#This Row],[Education]]</f>
        <v>Đại học</v>
      </c>
      <c r="J70" t="str">
        <f>survey_responses[[#This Row],[Trình độ học vấn cao nhất:]]</f>
        <v>Đại học</v>
      </c>
      <c r="K70" t="str">
        <f>step3_validation[[#This Row],[Employment]]</f>
        <v>Chính thức</v>
      </c>
      <c r="L70" t="str">
        <f>survey_responses[[#This Row],[Tình trạng việc làm chính:]]</f>
        <v>Khu vực chính thức (Có Hợp đồng lao động, đóng BHXH)</v>
      </c>
      <c r="M70">
        <f>step3_validation[[#This Row],[Income_Mil]]</f>
        <v>20.004502608983355</v>
      </c>
      <c r="N70" t="str">
        <f>survey_responses[[#This Row],[Thu nhập bình quân tháng theo Hợp đồng lao động của bạn là bao nhiêu? (Vui lòng điền tổng thu nhập trước khi khấu trừ các loại Bảo hiểm (BHXH, BHYT, BHTN) và Thuế TNCN)]]</f>
        <v>Từ 18 - 23 triệu VNĐ</v>
      </c>
      <c r="O70">
        <f>step3_validation[[#This Row],[Dependents]]</f>
        <v>0</v>
      </c>
      <c r="P70" t="str">
        <f>survey_responses[[#This Row],[Số người phụ thuộc (con nhỏ, cha mẹ già...) đủ điều kiện giảm trừ gia cảnh:]]</f>
        <v>0 người</v>
      </c>
      <c r="Q70">
        <f>step3_validation[[#This Row],[AI_ENF1]]</f>
        <v>9</v>
      </c>
      <c r="R70">
        <f t="shared" si="27"/>
        <v>0.88888888888888884</v>
      </c>
      <c r="S70">
        <f>survey_responses[[#This Row],[Tôi tin rằng với các quy định quản lý thuế hiện nay, hành vi gian lận hoặc trốn thuế sẽ dễ dàng bị phát hiện và xử lý nghiêm. - HUMAN-ENF1]]</f>
        <v>7</v>
      </c>
      <c r="T70">
        <f t="shared" si="28"/>
        <v>0.66666666666666663</v>
      </c>
      <c r="U70">
        <f>step3_validation[[#This Row],[AI_ENF2]]</f>
        <v>8</v>
      </c>
      <c r="V70">
        <f t="shared" si="29"/>
        <v>0.77777777777777779</v>
      </c>
      <c r="W70">
        <f>survey_responses[[#This Row],[Tôi tin rằng Nhà nước, cơ quan thuế có đủ khả năng và công nghệ để phát hiện, xử lý nghiêm các hành vi trốn thuế. - HUMAN-ENF2]]</f>
        <v>7</v>
      </c>
      <c r="X70">
        <f t="shared" si="30"/>
        <v>0.66666666666666663</v>
      </c>
      <c r="Y70" s="32">
        <f t="shared" si="31"/>
        <v>0.83333333333333326</v>
      </c>
      <c r="Z70" s="32">
        <f t="shared" si="32"/>
        <v>0.66666666666666663</v>
      </c>
      <c r="AA70">
        <f>step3_validation[[#This Row],[AI_FAC1]]</f>
        <v>9</v>
      </c>
      <c r="AB70">
        <f t="shared" si="33"/>
        <v>0.88888888888888884</v>
      </c>
      <c r="AC70">
        <f>survey_responses[[#This Row],[Các thủ tục khai báo thuế VÀ/HOẶC quy trình làm việc với cơ quan thuế đơn giản, tiện lợi, nhanh chóng hơn so với trước đây. - HUMAN-FAC1]]</f>
        <v>8</v>
      </c>
      <c r="AD70">
        <f t="shared" si="34"/>
        <v>0.77777777777777779</v>
      </c>
      <c r="AE70">
        <f>step3_validation[[#This Row],[AI_FAC2]]</f>
        <v>10</v>
      </c>
      <c r="AF70">
        <f t="shared" si="35"/>
        <v>1</v>
      </c>
      <c r="AG70">
        <f>survey_responses[[#This Row],[So với trước đây, tôi thấy cách tính thuế và các bậc thuế trong phương án mới đơn giản, dễ hiểu và dễ thực hiện hơn. - HUMAN-FAC2]]</f>
        <v>9</v>
      </c>
      <c r="AH70">
        <f t="shared" si="36"/>
        <v>0.88888888888888884</v>
      </c>
      <c r="AI70" s="32">
        <f t="shared" si="37"/>
        <v>0.94444444444444442</v>
      </c>
      <c r="AJ70" s="32">
        <f t="shared" si="38"/>
        <v>0.83333333333333326</v>
      </c>
      <c r="AK70">
        <f>step3_validation[[#This Row],[AI_TRU1]]</f>
        <v>9</v>
      </c>
      <c r="AL70">
        <f t="shared" si="39"/>
        <v>0.88888888888888884</v>
      </c>
      <c r="AM70">
        <f>survey_responses[[#This Row],[Tôi tin rằng Nhà nước, cơ quan thuế sẽ thực thi chính sách mới một cách khách quan, công tâm và đối xử bình đẳng với mọi người nộp thuế.  - HUMAN-TRU1]]</f>
        <v>8</v>
      </c>
      <c r="AN70">
        <f t="shared" si="40"/>
        <v>0.77777777777777779</v>
      </c>
      <c r="AO70">
        <f>step3_validation[[#This Row],[AI_TRU2]]</f>
        <v>8</v>
      </c>
      <c r="AP70">
        <f t="shared" si="41"/>
        <v>0.77777777777777779</v>
      </c>
      <c r="AQ70">
        <f>survey_responses[[#This Row],[Tôi thấy mức thuế tôi phải đóng theo phương án mới là công bằng (người thu nhập như tôi đóng mức này là hợp lý). - HUMAN-TRU2]]</f>
        <v>10</v>
      </c>
      <c r="AR70">
        <f t="shared" si="42"/>
        <v>1</v>
      </c>
      <c r="AS70">
        <f>step3_validation[[#This Row],[AI_TRU3]]</f>
        <v>9</v>
      </c>
      <c r="AT70">
        <f t="shared" si="43"/>
        <v>0.88888888888888884</v>
      </c>
      <c r="AU70">
        <f>survey_responses[[#This Row],[Tôi tin tưởng số tiền thuế tôi đóng sẽ được Nhà nước sử dụng hiệu quả để cải thiện dịch vụ công (y tế, đường xá...). - HUMAN-TRU3]]</f>
        <v>9</v>
      </c>
      <c r="AV70">
        <f t="shared" si="44"/>
        <v>0.88888888888888884</v>
      </c>
      <c r="AW70">
        <f>step3_validation[[#This Row],[AI_TRU4]]</f>
        <v>10</v>
      </c>
      <c r="AX70">
        <f t="shared" si="45"/>
        <v>1</v>
      </c>
      <c r="AY70">
        <f>survey_responses[[#This Row],[Tôi thấy Nhà nước đã giải thích rõ ràng, minh bạch về lý do và mục tiêu của việc sửa đổi thuế lần này. - HUMAN-TRU4]]</f>
        <v>9</v>
      </c>
      <c r="AZ70">
        <f t="shared" si="46"/>
        <v>0.88888888888888884</v>
      </c>
      <c r="BA70" s="32">
        <f t="shared" si="47"/>
        <v>0.88888888888888884</v>
      </c>
      <c r="BB70" s="32">
        <f t="shared" si="48"/>
        <v>0.88888888888888884</v>
      </c>
      <c r="BC70" s="7">
        <f t="shared" si="49"/>
        <v>0.88888888888888884</v>
      </c>
      <c r="BD70" s="7">
        <f t="shared" si="50"/>
        <v>0.79629629629629628</v>
      </c>
      <c r="BE70">
        <f>step3_validation[[#This Row],[AI_OUT1]]</f>
        <v>9</v>
      </c>
      <c r="BF70">
        <f t="shared" si="51"/>
        <v>0.88888888888888884</v>
      </c>
      <c r="BG70">
        <f>survey_responses[[#This Row],[Sau khi xem xét các quyền lợi và nghĩa vụ, bạn có ủng hộ và tuân thủ chính sách mới hiện nay? - HUMAN-OUT1]]</f>
        <v>9</v>
      </c>
      <c r="BH70">
        <f t="shared" si="52"/>
        <v>0.88888888888888884</v>
      </c>
      <c r="BI70" s="32">
        <f t="shared" si="53"/>
        <v>0</v>
      </c>
    </row>
    <row r="71" spans="1:61" x14ac:dyDescent="0.45">
      <c r="A71" s="30">
        <f>step3_validation[[#This Row],[Persona_ID]]</f>
        <v>70</v>
      </c>
      <c r="B71" s="31">
        <f>step3_validation[[#This Row],[Used_Seed]]</f>
        <v>12414</v>
      </c>
      <c r="C71" t="str">
        <f>step3_validation[[#This Row],[Gender]]</f>
        <v>Nam</v>
      </c>
      <c r="D71" t="str">
        <f>survey_responses[[#This Row],[Giới tính của bạn:]]</f>
        <v>Nam</v>
      </c>
      <c r="E71" t="str">
        <f>step3_validation[[#This Row],[Age_Group]]</f>
        <v>40 - 49</v>
      </c>
      <c r="F71" t="str">
        <f>survey_responses[[#This Row],[Độ tuổi của bạn:]]</f>
        <v>40 - 49</v>
      </c>
      <c r="G71" t="str">
        <f>step3_validation[[#This Row],[Region]]</f>
        <v>Thành thị</v>
      </c>
      <c r="H71" t="str">
        <f>survey_responses[[#This Row],[Khu vực bạn đang sinh sống:]]</f>
        <v>Thành thị</v>
      </c>
      <c r="I71" t="str">
        <f>step3_validation[[#This Row],[Education]]</f>
        <v>Sau Đại học</v>
      </c>
      <c r="J71" t="str">
        <f>survey_responses[[#This Row],[Trình độ học vấn cao nhất:]]</f>
        <v>Sau Đại học</v>
      </c>
      <c r="K71" t="str">
        <f>step3_validation[[#This Row],[Employment]]</f>
        <v>Phi chính thức</v>
      </c>
      <c r="L71" t="str">
        <f>survey_responses[[#This Row],[Tình trạng việc làm chính:]]</f>
        <v>Khu vực phi chính thức (Lao động tự do, không có HĐLĐ)</v>
      </c>
      <c r="M71">
        <f>step3_validation[[#This Row],[Income_Mil]]</f>
        <v>176.18011881551902</v>
      </c>
      <c r="N71" t="str">
        <f>survey_responses[[#This Row],[Thu nhập bình quân tháng theo Hợp đồng lao động của bạn là bao nhiêu? (Vui lòng điền tổng thu nhập trước khi khấu trừ các loại Bảo hiểm (BHXH, BHYT, BHTN) và Thuế TNCN)]]</f>
        <v>Trên 102 triệu VNĐ</v>
      </c>
      <c r="O71">
        <f>step3_validation[[#This Row],[Dependents]]</f>
        <v>1</v>
      </c>
      <c r="P71" t="str">
        <f>survey_responses[[#This Row],[Số người phụ thuộc (con nhỏ, cha mẹ già...) đủ điều kiện giảm trừ gia cảnh:]]</f>
        <v>1 người</v>
      </c>
      <c r="Q71">
        <f>step3_validation[[#This Row],[AI_ENF1]]</f>
        <v>7</v>
      </c>
      <c r="R71">
        <f t="shared" si="27"/>
        <v>0.66666666666666663</v>
      </c>
      <c r="S71">
        <f>survey_responses[[#This Row],[Tôi tin rằng với các quy định quản lý thuế hiện nay, hành vi gian lận hoặc trốn thuế sẽ dễ dàng bị phát hiện và xử lý nghiêm. - HUMAN-ENF1]]</f>
        <v>6</v>
      </c>
      <c r="T71">
        <f t="shared" si="28"/>
        <v>0.55555555555555558</v>
      </c>
      <c r="U71">
        <f>step3_validation[[#This Row],[AI_ENF2]]</f>
        <v>7</v>
      </c>
      <c r="V71">
        <f t="shared" si="29"/>
        <v>0.66666666666666663</v>
      </c>
      <c r="W71">
        <f>survey_responses[[#This Row],[Tôi tin rằng Nhà nước, cơ quan thuế có đủ khả năng và công nghệ để phát hiện, xử lý nghiêm các hành vi trốn thuế. - HUMAN-ENF2]]</f>
        <v>6</v>
      </c>
      <c r="X71">
        <f t="shared" si="30"/>
        <v>0.55555555555555558</v>
      </c>
      <c r="Y71" s="32">
        <f t="shared" si="31"/>
        <v>0.66666666666666663</v>
      </c>
      <c r="Z71" s="32">
        <f t="shared" si="32"/>
        <v>0.55555555555555558</v>
      </c>
      <c r="AA71">
        <f>step3_validation[[#This Row],[AI_FAC1]]</f>
        <v>8</v>
      </c>
      <c r="AB71">
        <f t="shared" si="33"/>
        <v>0.77777777777777779</v>
      </c>
      <c r="AC71">
        <f>survey_responses[[#This Row],[Các thủ tục khai báo thuế VÀ/HOẶC quy trình làm việc với cơ quan thuế đơn giản, tiện lợi, nhanh chóng hơn so với trước đây. - HUMAN-FAC1]]</f>
        <v>5</v>
      </c>
      <c r="AD71">
        <f t="shared" si="34"/>
        <v>0.44444444444444442</v>
      </c>
      <c r="AE71">
        <f>step3_validation[[#This Row],[AI_FAC2]]</f>
        <v>9</v>
      </c>
      <c r="AF71">
        <f t="shared" si="35"/>
        <v>0.88888888888888884</v>
      </c>
      <c r="AG71">
        <f>survey_responses[[#This Row],[So với trước đây, tôi thấy cách tính thuế và các bậc thuế trong phương án mới đơn giản, dễ hiểu và dễ thực hiện hơn. - HUMAN-FAC2]]</f>
        <v>5</v>
      </c>
      <c r="AH71">
        <f t="shared" si="36"/>
        <v>0.44444444444444442</v>
      </c>
      <c r="AI71" s="32">
        <f t="shared" si="37"/>
        <v>0.83333333333333326</v>
      </c>
      <c r="AJ71" s="32">
        <f t="shared" si="38"/>
        <v>0.44444444444444442</v>
      </c>
      <c r="AK71">
        <f>step3_validation[[#This Row],[AI_TRU1]]</f>
        <v>7</v>
      </c>
      <c r="AL71">
        <f t="shared" si="39"/>
        <v>0.66666666666666663</v>
      </c>
      <c r="AM71">
        <f>survey_responses[[#This Row],[Tôi tin rằng Nhà nước, cơ quan thuế sẽ thực thi chính sách mới một cách khách quan, công tâm và đối xử bình đẳng với mọi người nộp thuế.  - HUMAN-TRU1]]</f>
        <v>5</v>
      </c>
      <c r="AN71">
        <f t="shared" si="40"/>
        <v>0.44444444444444442</v>
      </c>
      <c r="AO71">
        <f>step3_validation[[#This Row],[AI_TRU2]]</f>
        <v>7</v>
      </c>
      <c r="AP71">
        <f t="shared" si="41"/>
        <v>0.66666666666666663</v>
      </c>
      <c r="AQ71">
        <f>survey_responses[[#This Row],[Tôi thấy mức thuế tôi phải đóng theo phương án mới là công bằng (người thu nhập như tôi đóng mức này là hợp lý). - HUMAN-TRU2]]</f>
        <v>1</v>
      </c>
      <c r="AR71">
        <f t="shared" si="42"/>
        <v>0</v>
      </c>
      <c r="AS71">
        <f>step3_validation[[#This Row],[AI_TRU3]]</f>
        <v>6</v>
      </c>
      <c r="AT71">
        <f t="shared" si="43"/>
        <v>0.55555555555555558</v>
      </c>
      <c r="AU71">
        <f>survey_responses[[#This Row],[Tôi tin tưởng số tiền thuế tôi đóng sẽ được Nhà nước sử dụng hiệu quả để cải thiện dịch vụ công (y tế, đường xá...). - HUMAN-TRU3]]</f>
        <v>5</v>
      </c>
      <c r="AV71">
        <f t="shared" si="44"/>
        <v>0.44444444444444442</v>
      </c>
      <c r="AW71">
        <f>step3_validation[[#This Row],[AI_TRU4]]</f>
        <v>7</v>
      </c>
      <c r="AX71">
        <f t="shared" si="45"/>
        <v>0.66666666666666663</v>
      </c>
      <c r="AY71">
        <f>survey_responses[[#This Row],[Tôi thấy Nhà nước đã giải thích rõ ràng, minh bạch về lý do và mục tiêu của việc sửa đổi thuế lần này. - HUMAN-TRU4]]</f>
        <v>5</v>
      </c>
      <c r="AZ71">
        <f t="shared" si="46"/>
        <v>0.44444444444444442</v>
      </c>
      <c r="BA71" s="32">
        <f t="shared" si="47"/>
        <v>0.63888888888888884</v>
      </c>
      <c r="BB71" s="32">
        <f t="shared" si="48"/>
        <v>0.33333333333333331</v>
      </c>
      <c r="BC71" s="7">
        <f t="shared" si="49"/>
        <v>0.71296296296296291</v>
      </c>
      <c r="BD71" s="7">
        <f t="shared" si="50"/>
        <v>0.44444444444444442</v>
      </c>
      <c r="BE71">
        <f>step3_validation[[#This Row],[AI_OUT1]]</f>
        <v>8</v>
      </c>
      <c r="BF71">
        <f t="shared" si="51"/>
        <v>0.77777777777777779</v>
      </c>
      <c r="BG71">
        <f>survey_responses[[#This Row],[Sau khi xem xét các quyền lợi và nghĩa vụ, bạn có ủng hộ và tuân thủ chính sách mới hiện nay? - HUMAN-OUT1]]</f>
        <v>5</v>
      </c>
      <c r="BH71">
        <f t="shared" si="52"/>
        <v>0.44444444444444442</v>
      </c>
      <c r="BI71" s="32">
        <f t="shared" si="53"/>
        <v>3</v>
      </c>
    </row>
    <row r="72" spans="1:61" x14ac:dyDescent="0.45">
      <c r="A72" s="30">
        <f>step3_validation[[#This Row],[Persona_ID]]</f>
        <v>71</v>
      </c>
      <c r="B72" s="31">
        <f>step3_validation[[#This Row],[Used_Seed]]</f>
        <v>12415</v>
      </c>
      <c r="C72" t="str">
        <f>step3_validation[[#This Row],[Gender]]</f>
        <v>Nữ</v>
      </c>
      <c r="D72" t="str">
        <f>survey_responses[[#This Row],[Giới tính của bạn:]]</f>
        <v>Nữ</v>
      </c>
      <c r="E72" t="str">
        <f>step3_validation[[#This Row],[Age_Group]]</f>
        <v>30 - 39</v>
      </c>
      <c r="F72" t="str">
        <f>survey_responses[[#This Row],[Độ tuổi của bạn:]]</f>
        <v>30 - 39</v>
      </c>
      <c r="G72" t="str">
        <f>step3_validation[[#This Row],[Region]]</f>
        <v>Thành thị</v>
      </c>
      <c r="H72" t="str">
        <f>survey_responses[[#This Row],[Khu vực bạn đang sinh sống:]]</f>
        <v>Thành thị</v>
      </c>
      <c r="I72" t="str">
        <f>step3_validation[[#This Row],[Education]]</f>
        <v>Sau Đại học</v>
      </c>
      <c r="J72" t="str">
        <f>survey_responses[[#This Row],[Trình độ học vấn cao nhất:]]</f>
        <v>Sau Đại học</v>
      </c>
      <c r="K72" t="str">
        <f>step3_validation[[#This Row],[Employment]]</f>
        <v>Chính thức</v>
      </c>
      <c r="L72" t="str">
        <f>survey_responses[[#This Row],[Tình trạng việc làm chính:]]</f>
        <v>Khu vực chính thức (Có Hợp đồng lao động, đóng BHXH)</v>
      </c>
      <c r="M72">
        <f>step3_validation[[#This Row],[Income_Mil]]</f>
        <v>28.784619879217345</v>
      </c>
      <c r="N72" t="str">
        <f>survey_responses[[#This Row],[Thu nhập bình quân tháng theo Hợp đồng lao động của bạn là bao nhiêu? (Vui lòng điền tổng thu nhập trước khi khấu trừ các loại Bảo hiểm (BHXH, BHYT, BHTN) và Thuế TNCN)]]</f>
        <v>Từ 23 - 32 triệu VNĐ</v>
      </c>
      <c r="O72">
        <f>step3_validation[[#This Row],[Dependents]]</f>
        <v>2</v>
      </c>
      <c r="P72" t="str">
        <f>survey_responses[[#This Row],[Số người phụ thuộc (con nhỏ, cha mẹ già...) đủ điều kiện giảm trừ gia cảnh:]]</f>
        <v>2 người</v>
      </c>
      <c r="Q72">
        <f>step3_validation[[#This Row],[AI_ENF1]]</f>
        <v>7</v>
      </c>
      <c r="R72">
        <f t="shared" si="27"/>
        <v>0.66666666666666663</v>
      </c>
      <c r="S72">
        <f>survey_responses[[#This Row],[Tôi tin rằng với các quy định quản lý thuế hiện nay, hành vi gian lận hoặc trốn thuế sẽ dễ dàng bị phát hiện và xử lý nghiêm. - HUMAN-ENF1]]</f>
        <v>3</v>
      </c>
      <c r="T72">
        <f t="shared" si="28"/>
        <v>0.22222222222222221</v>
      </c>
      <c r="U72">
        <f>step3_validation[[#This Row],[AI_ENF2]]</f>
        <v>6</v>
      </c>
      <c r="V72">
        <f t="shared" si="29"/>
        <v>0.55555555555555558</v>
      </c>
      <c r="W72">
        <f>survey_responses[[#This Row],[Tôi tin rằng Nhà nước, cơ quan thuế có đủ khả năng và công nghệ để phát hiện, xử lý nghiêm các hành vi trốn thuế. - HUMAN-ENF2]]</f>
        <v>3</v>
      </c>
      <c r="X72">
        <f t="shared" si="30"/>
        <v>0.22222222222222221</v>
      </c>
      <c r="Y72" s="32">
        <f t="shared" si="31"/>
        <v>0.61111111111111116</v>
      </c>
      <c r="Z72" s="32">
        <f t="shared" si="32"/>
        <v>0.22222222222222221</v>
      </c>
      <c r="AA72">
        <f>step3_validation[[#This Row],[AI_FAC1]]</f>
        <v>8</v>
      </c>
      <c r="AB72">
        <f t="shared" si="33"/>
        <v>0.77777777777777779</v>
      </c>
      <c r="AC72">
        <f>survey_responses[[#This Row],[Các thủ tục khai báo thuế VÀ/HOẶC quy trình làm việc với cơ quan thuế đơn giản, tiện lợi, nhanh chóng hơn so với trước đây. - HUMAN-FAC1]]</f>
        <v>3</v>
      </c>
      <c r="AD72">
        <f t="shared" si="34"/>
        <v>0.22222222222222221</v>
      </c>
      <c r="AE72">
        <f>step3_validation[[#This Row],[AI_FAC2]]</f>
        <v>9</v>
      </c>
      <c r="AF72">
        <f t="shared" si="35"/>
        <v>0.88888888888888884</v>
      </c>
      <c r="AG72">
        <f>survey_responses[[#This Row],[So với trước đây, tôi thấy cách tính thuế và các bậc thuế trong phương án mới đơn giản, dễ hiểu và dễ thực hiện hơn. - HUMAN-FAC2]]</f>
        <v>5</v>
      </c>
      <c r="AH72">
        <f t="shared" si="36"/>
        <v>0.44444444444444442</v>
      </c>
      <c r="AI72" s="32">
        <f t="shared" si="37"/>
        <v>0.83333333333333326</v>
      </c>
      <c r="AJ72" s="32">
        <f t="shared" si="38"/>
        <v>0.33333333333333331</v>
      </c>
      <c r="AK72">
        <f>step3_validation[[#This Row],[AI_TRU1]]</f>
        <v>8</v>
      </c>
      <c r="AL72">
        <f t="shared" si="39"/>
        <v>0.77777777777777779</v>
      </c>
      <c r="AM72">
        <f>survey_responses[[#This Row],[Tôi tin rằng Nhà nước, cơ quan thuế sẽ thực thi chính sách mới một cách khách quan, công tâm và đối xử bình đẳng với mọi người nộp thuế.  - HUMAN-TRU1]]</f>
        <v>3</v>
      </c>
      <c r="AN72">
        <f t="shared" si="40"/>
        <v>0.22222222222222221</v>
      </c>
      <c r="AO72">
        <f>step3_validation[[#This Row],[AI_TRU2]]</f>
        <v>9</v>
      </c>
      <c r="AP72">
        <f t="shared" si="41"/>
        <v>0.88888888888888884</v>
      </c>
      <c r="AQ72">
        <f>survey_responses[[#This Row],[Tôi thấy mức thuế tôi phải đóng theo phương án mới là công bằng (người thu nhập như tôi đóng mức này là hợp lý). - HUMAN-TRU2]]</f>
        <v>3</v>
      </c>
      <c r="AR72">
        <f t="shared" si="42"/>
        <v>0.22222222222222221</v>
      </c>
      <c r="AS72">
        <f>step3_validation[[#This Row],[AI_TRU3]]</f>
        <v>8</v>
      </c>
      <c r="AT72">
        <f t="shared" si="43"/>
        <v>0.77777777777777779</v>
      </c>
      <c r="AU72">
        <f>survey_responses[[#This Row],[Tôi tin tưởng số tiền thuế tôi đóng sẽ được Nhà nước sử dụng hiệu quả để cải thiện dịch vụ công (y tế, đường xá...). - HUMAN-TRU3]]</f>
        <v>3</v>
      </c>
      <c r="AV72">
        <f t="shared" si="44"/>
        <v>0.22222222222222221</v>
      </c>
      <c r="AW72">
        <f>step3_validation[[#This Row],[AI_TRU4]]</f>
        <v>7</v>
      </c>
      <c r="AX72">
        <f t="shared" si="45"/>
        <v>0.66666666666666663</v>
      </c>
      <c r="AY72">
        <f>survey_responses[[#This Row],[Tôi thấy Nhà nước đã giải thích rõ ràng, minh bạch về lý do và mục tiêu của việc sửa đổi thuế lần này. - HUMAN-TRU4]]</f>
        <v>3</v>
      </c>
      <c r="AZ72">
        <f t="shared" si="46"/>
        <v>0.22222222222222221</v>
      </c>
      <c r="BA72" s="32">
        <f t="shared" si="47"/>
        <v>0.77777777777777768</v>
      </c>
      <c r="BB72" s="32">
        <f t="shared" si="48"/>
        <v>0.22222222222222221</v>
      </c>
      <c r="BC72" s="7">
        <f t="shared" si="49"/>
        <v>0.74074074074074081</v>
      </c>
      <c r="BD72" s="7">
        <f t="shared" si="50"/>
        <v>0.25925925925925924</v>
      </c>
      <c r="BE72">
        <f>step3_validation[[#This Row],[AI_OUT1]]</f>
        <v>9</v>
      </c>
      <c r="BF72">
        <f t="shared" si="51"/>
        <v>0.88888888888888884</v>
      </c>
      <c r="BG72">
        <f>survey_responses[[#This Row],[Sau khi xem xét các quyền lợi và nghĩa vụ, bạn có ủng hộ và tuân thủ chính sách mới hiện nay? - HUMAN-OUT1]]</f>
        <v>4</v>
      </c>
      <c r="BH72">
        <f t="shared" si="52"/>
        <v>0.33333333333333331</v>
      </c>
      <c r="BI72" s="32">
        <f t="shared" si="53"/>
        <v>5</v>
      </c>
    </row>
    <row r="73" spans="1:61" x14ac:dyDescent="0.45">
      <c r="A73" s="30">
        <f>step3_validation[[#This Row],[Persona_ID]]</f>
        <v>72</v>
      </c>
      <c r="B73" s="31">
        <f>step3_validation[[#This Row],[Used_Seed]]</f>
        <v>12416</v>
      </c>
      <c r="C73" t="str">
        <f>step3_validation[[#This Row],[Gender]]</f>
        <v>Nam</v>
      </c>
      <c r="D73" t="str">
        <f>survey_responses[[#This Row],[Giới tính của bạn:]]</f>
        <v>Nam</v>
      </c>
      <c r="E73" t="str">
        <f>step3_validation[[#This Row],[Age_Group]]</f>
        <v>30 - 39</v>
      </c>
      <c r="F73" t="str">
        <f>survey_responses[[#This Row],[Độ tuổi của bạn:]]</f>
        <v>30 - 39</v>
      </c>
      <c r="G73" t="str">
        <f>step3_validation[[#This Row],[Region]]</f>
        <v>Thành thị</v>
      </c>
      <c r="H73" t="str">
        <f>survey_responses[[#This Row],[Khu vực bạn đang sinh sống:]]</f>
        <v>Thành thị</v>
      </c>
      <c r="I73" t="str">
        <f>step3_validation[[#This Row],[Education]]</f>
        <v>Đại học</v>
      </c>
      <c r="J73" t="str">
        <f>survey_responses[[#This Row],[Trình độ học vấn cao nhất:]]</f>
        <v>Đại học</v>
      </c>
      <c r="K73" t="str">
        <f>step3_validation[[#This Row],[Employment]]</f>
        <v>Phi chính thức</v>
      </c>
      <c r="L73" t="str">
        <f>survey_responses[[#This Row],[Tình trạng việc làm chính:]]</f>
        <v>Khu vực phi chính thức (Lao động tự do, không có HĐLĐ)</v>
      </c>
      <c r="M73">
        <f>step3_validation[[#This Row],[Income_Mil]]</f>
        <v>20.235315403830867</v>
      </c>
      <c r="N73" t="str">
        <f>survey_responses[[#This Row],[Thu nhập bình quân tháng theo Hợp đồng lao động của bạn là bao nhiêu? (Vui lòng điền tổng thu nhập trước khi khấu trừ các loại Bảo hiểm (BHXH, BHYT, BHTN) và Thuế TNCN)]]</f>
        <v>Từ 18 - 23 triệu VNĐ</v>
      </c>
      <c r="O73">
        <f>step3_validation[[#This Row],[Dependents]]</f>
        <v>3</v>
      </c>
      <c r="P73" t="str">
        <f>survey_responses[[#This Row],[Số người phụ thuộc (con nhỏ, cha mẹ già...) đủ điều kiện giảm trừ gia cảnh:]]</f>
        <v>3 người</v>
      </c>
      <c r="Q73">
        <f>step3_validation[[#This Row],[AI_ENF1]]</f>
        <v>8</v>
      </c>
      <c r="R73">
        <f t="shared" si="27"/>
        <v>0.77777777777777779</v>
      </c>
      <c r="S73">
        <f>survey_responses[[#This Row],[Tôi tin rằng với các quy định quản lý thuế hiện nay, hành vi gian lận hoặc trốn thuế sẽ dễ dàng bị phát hiện và xử lý nghiêm. - HUMAN-ENF1]]</f>
        <v>8</v>
      </c>
      <c r="T73">
        <f t="shared" si="28"/>
        <v>0.77777777777777779</v>
      </c>
      <c r="U73">
        <f>step3_validation[[#This Row],[AI_ENF2]]</f>
        <v>9</v>
      </c>
      <c r="V73">
        <f t="shared" si="29"/>
        <v>0.88888888888888884</v>
      </c>
      <c r="W73">
        <f>survey_responses[[#This Row],[Tôi tin rằng Nhà nước, cơ quan thuế có đủ khả năng và công nghệ để phát hiện, xử lý nghiêm các hành vi trốn thuế. - HUMAN-ENF2]]</f>
        <v>8</v>
      </c>
      <c r="X73">
        <f t="shared" si="30"/>
        <v>0.77777777777777779</v>
      </c>
      <c r="Y73" s="32">
        <f t="shared" si="31"/>
        <v>0.83333333333333326</v>
      </c>
      <c r="Z73" s="32">
        <f t="shared" si="32"/>
        <v>0.77777777777777779</v>
      </c>
      <c r="AA73">
        <f>step3_validation[[#This Row],[AI_FAC1]]</f>
        <v>8</v>
      </c>
      <c r="AB73">
        <f t="shared" si="33"/>
        <v>0.77777777777777779</v>
      </c>
      <c r="AC73">
        <f>survey_responses[[#This Row],[Các thủ tục khai báo thuế VÀ/HOẶC quy trình làm việc với cơ quan thuế đơn giản, tiện lợi, nhanh chóng hơn so với trước đây. - HUMAN-FAC1]]</f>
        <v>4</v>
      </c>
      <c r="AD73">
        <f t="shared" si="34"/>
        <v>0.33333333333333331</v>
      </c>
      <c r="AE73">
        <f>step3_validation[[#This Row],[AI_FAC2]]</f>
        <v>9</v>
      </c>
      <c r="AF73">
        <f t="shared" si="35"/>
        <v>0.88888888888888884</v>
      </c>
      <c r="AG73">
        <f>survey_responses[[#This Row],[So với trước đây, tôi thấy cách tính thuế và các bậc thuế trong phương án mới đơn giản, dễ hiểu và dễ thực hiện hơn. - HUMAN-FAC2]]</f>
        <v>2</v>
      </c>
      <c r="AH73">
        <f t="shared" si="36"/>
        <v>0.1111111111111111</v>
      </c>
      <c r="AI73" s="32">
        <f t="shared" si="37"/>
        <v>0.83333333333333326</v>
      </c>
      <c r="AJ73" s="32">
        <f t="shared" si="38"/>
        <v>0.22222222222222221</v>
      </c>
      <c r="AK73">
        <f>step3_validation[[#This Row],[AI_TRU1]]</f>
        <v>8</v>
      </c>
      <c r="AL73">
        <f t="shared" si="39"/>
        <v>0.77777777777777779</v>
      </c>
      <c r="AM73">
        <f>survey_responses[[#This Row],[Tôi tin rằng Nhà nước, cơ quan thuế sẽ thực thi chính sách mới một cách khách quan, công tâm và đối xử bình đẳng với mọi người nộp thuế.  - HUMAN-TRU1]]</f>
        <v>6</v>
      </c>
      <c r="AN73">
        <f t="shared" si="40"/>
        <v>0.55555555555555558</v>
      </c>
      <c r="AO73">
        <f>step3_validation[[#This Row],[AI_TRU2]]</f>
        <v>8</v>
      </c>
      <c r="AP73">
        <f t="shared" si="41"/>
        <v>0.77777777777777779</v>
      </c>
      <c r="AQ73">
        <f>survey_responses[[#This Row],[Tôi thấy mức thuế tôi phải đóng theo phương án mới là công bằng (người thu nhập như tôi đóng mức này là hợp lý). - HUMAN-TRU2]]</f>
        <v>3</v>
      </c>
      <c r="AR73">
        <f t="shared" si="42"/>
        <v>0.22222222222222221</v>
      </c>
      <c r="AS73">
        <f>step3_validation[[#This Row],[AI_TRU3]]</f>
        <v>8</v>
      </c>
      <c r="AT73">
        <f t="shared" si="43"/>
        <v>0.77777777777777779</v>
      </c>
      <c r="AU73">
        <f>survey_responses[[#This Row],[Tôi tin tưởng số tiền thuế tôi đóng sẽ được Nhà nước sử dụng hiệu quả để cải thiện dịch vụ công (y tế, đường xá...). - HUMAN-TRU3]]</f>
        <v>8</v>
      </c>
      <c r="AV73">
        <f t="shared" si="44"/>
        <v>0.77777777777777779</v>
      </c>
      <c r="AW73">
        <f>step3_validation[[#This Row],[AI_TRU4]]</f>
        <v>7</v>
      </c>
      <c r="AX73">
        <f t="shared" si="45"/>
        <v>0.66666666666666663</v>
      </c>
      <c r="AY73">
        <f>survey_responses[[#This Row],[Tôi thấy Nhà nước đã giải thích rõ ràng, minh bạch về lý do và mục tiêu của việc sửa đổi thuế lần này. - HUMAN-TRU4]]</f>
        <v>4</v>
      </c>
      <c r="AZ73">
        <f t="shared" si="46"/>
        <v>0.33333333333333331</v>
      </c>
      <c r="BA73" s="32">
        <f t="shared" si="47"/>
        <v>0.75</v>
      </c>
      <c r="BB73" s="32">
        <f t="shared" si="48"/>
        <v>0.47222222222222221</v>
      </c>
      <c r="BC73" s="7">
        <f t="shared" si="49"/>
        <v>0.80555555555555547</v>
      </c>
      <c r="BD73" s="7">
        <f t="shared" si="50"/>
        <v>0.49074074074074076</v>
      </c>
      <c r="BE73">
        <f>step3_validation[[#This Row],[AI_OUT1]]</f>
        <v>8</v>
      </c>
      <c r="BF73">
        <f t="shared" si="51"/>
        <v>0.77777777777777779</v>
      </c>
      <c r="BG73">
        <f>survey_responses[[#This Row],[Sau khi xem xét các quyền lợi và nghĩa vụ, bạn có ủng hộ và tuân thủ chính sách mới hiện nay? - HUMAN-OUT1]]</f>
        <v>8</v>
      </c>
      <c r="BH73">
        <f t="shared" si="52"/>
        <v>0.77777777777777779</v>
      </c>
      <c r="BI73" s="32">
        <f t="shared" si="53"/>
        <v>0</v>
      </c>
    </row>
    <row r="74" spans="1:61" x14ac:dyDescent="0.45">
      <c r="A74" s="30">
        <f>step3_validation[[#This Row],[Persona_ID]]</f>
        <v>73</v>
      </c>
      <c r="B74" s="31">
        <f>step3_validation[[#This Row],[Used_Seed]]</f>
        <v>12417</v>
      </c>
      <c r="C74" t="str">
        <f>step3_validation[[#This Row],[Gender]]</f>
        <v>Nam</v>
      </c>
      <c r="D74" t="str">
        <f>survey_responses[[#This Row],[Giới tính của bạn:]]</f>
        <v>Nam</v>
      </c>
      <c r="E74" t="str">
        <f>step3_validation[[#This Row],[Age_Group]]</f>
        <v>18 - 24</v>
      </c>
      <c r="F74" t="str">
        <f>survey_responses[[#This Row],[Độ tuổi của bạn:]]</f>
        <v>18 - 24</v>
      </c>
      <c r="G74" t="str">
        <f>step3_validation[[#This Row],[Region]]</f>
        <v>Thành thị</v>
      </c>
      <c r="H74" t="str">
        <f>survey_responses[[#This Row],[Khu vực bạn đang sinh sống:]]</f>
        <v>Thành thị</v>
      </c>
      <c r="I74" t="str">
        <f>step3_validation[[#This Row],[Education]]</f>
        <v>Trung học phổ thông</v>
      </c>
      <c r="J74" t="str">
        <f>survey_responses[[#This Row],[Trình độ học vấn cao nhất:]]</f>
        <v>Trung học phổ thông</v>
      </c>
      <c r="K74" t="str">
        <f>step3_validation[[#This Row],[Employment]]</f>
        <v>Chính thức</v>
      </c>
      <c r="L74" t="str">
        <f>survey_responses[[#This Row],[Tình trạng việc làm chính:]]</f>
        <v>Khu vực chính thức (Có Hợp đồng lao động, đóng BHXH)</v>
      </c>
      <c r="M74">
        <f>step3_validation[[#This Row],[Income_Mil]]</f>
        <v>14.673189306981197</v>
      </c>
      <c r="N74" t="str">
        <f>survey_responses[[#This Row],[Thu nhập bình quân tháng theo Hợp đồng lao động của bạn là bao nhiêu? (Vui lòng điền tổng thu nhập trước khi khấu trừ các loại Bảo hiểm (BHXH, BHYT, BHTN) và Thuế TNCN)]]</f>
        <v>Từ 12 - 18 triệu VNĐ</v>
      </c>
      <c r="O74">
        <f>step3_validation[[#This Row],[Dependents]]</f>
        <v>0</v>
      </c>
      <c r="P74" t="str">
        <f>survey_responses[[#This Row],[Số người phụ thuộc (con nhỏ, cha mẹ già...) đủ điều kiện giảm trừ gia cảnh:]]</f>
        <v>0 người</v>
      </c>
      <c r="Q74">
        <f>step3_validation[[#This Row],[AI_ENF1]]</f>
        <v>7</v>
      </c>
      <c r="R74">
        <f t="shared" si="27"/>
        <v>0.66666666666666663</v>
      </c>
      <c r="S74">
        <f>survey_responses[[#This Row],[Tôi tin rằng với các quy định quản lý thuế hiện nay, hành vi gian lận hoặc trốn thuế sẽ dễ dàng bị phát hiện và xử lý nghiêm. - HUMAN-ENF1]]</f>
        <v>5</v>
      </c>
      <c r="T74">
        <f t="shared" si="28"/>
        <v>0.44444444444444442</v>
      </c>
      <c r="U74">
        <f>step3_validation[[#This Row],[AI_ENF2]]</f>
        <v>7</v>
      </c>
      <c r="V74">
        <f t="shared" si="29"/>
        <v>0.66666666666666663</v>
      </c>
      <c r="W74">
        <f>survey_responses[[#This Row],[Tôi tin rằng Nhà nước, cơ quan thuế có đủ khả năng và công nghệ để phát hiện, xử lý nghiêm các hành vi trốn thuế. - HUMAN-ENF2]]</f>
        <v>5</v>
      </c>
      <c r="X74">
        <f t="shared" si="30"/>
        <v>0.44444444444444442</v>
      </c>
      <c r="Y74" s="32">
        <f t="shared" si="31"/>
        <v>0.66666666666666663</v>
      </c>
      <c r="Z74" s="32">
        <f t="shared" si="32"/>
        <v>0.44444444444444442</v>
      </c>
      <c r="AA74">
        <f>step3_validation[[#This Row],[AI_FAC1]]</f>
        <v>6</v>
      </c>
      <c r="AB74">
        <f t="shared" si="33"/>
        <v>0.55555555555555558</v>
      </c>
      <c r="AC74">
        <f>survey_responses[[#This Row],[Các thủ tục khai báo thuế VÀ/HOẶC quy trình làm việc với cơ quan thuế đơn giản, tiện lợi, nhanh chóng hơn so với trước đây. - HUMAN-FAC1]]</f>
        <v>5</v>
      </c>
      <c r="AD74">
        <f t="shared" si="34"/>
        <v>0.44444444444444442</v>
      </c>
      <c r="AE74">
        <f>step3_validation[[#This Row],[AI_FAC2]]</f>
        <v>9</v>
      </c>
      <c r="AF74">
        <f t="shared" si="35"/>
        <v>0.88888888888888884</v>
      </c>
      <c r="AG74">
        <f>survey_responses[[#This Row],[So với trước đây, tôi thấy cách tính thuế và các bậc thuế trong phương án mới đơn giản, dễ hiểu và dễ thực hiện hơn. - HUMAN-FAC2]]</f>
        <v>5</v>
      </c>
      <c r="AH74">
        <f t="shared" si="36"/>
        <v>0.44444444444444442</v>
      </c>
      <c r="AI74" s="32">
        <f t="shared" si="37"/>
        <v>0.72222222222222221</v>
      </c>
      <c r="AJ74" s="32">
        <f t="shared" si="38"/>
        <v>0.44444444444444442</v>
      </c>
      <c r="AK74">
        <f>step3_validation[[#This Row],[AI_TRU1]]</f>
        <v>8</v>
      </c>
      <c r="AL74">
        <f t="shared" si="39"/>
        <v>0.77777777777777779</v>
      </c>
      <c r="AM74">
        <f>survey_responses[[#This Row],[Tôi tin rằng Nhà nước, cơ quan thuế sẽ thực thi chính sách mới một cách khách quan, công tâm và đối xử bình đẳng với mọi người nộp thuế.  - HUMAN-TRU1]]</f>
        <v>5</v>
      </c>
      <c r="AN74">
        <f t="shared" si="40"/>
        <v>0.44444444444444442</v>
      </c>
      <c r="AO74">
        <f>step3_validation[[#This Row],[AI_TRU2]]</f>
        <v>9</v>
      </c>
      <c r="AP74">
        <f t="shared" si="41"/>
        <v>0.88888888888888884</v>
      </c>
      <c r="AQ74">
        <f>survey_responses[[#This Row],[Tôi thấy mức thuế tôi phải đóng theo phương án mới là công bằng (người thu nhập như tôi đóng mức này là hợp lý). - HUMAN-TRU2]]</f>
        <v>10</v>
      </c>
      <c r="AR74">
        <f t="shared" si="42"/>
        <v>1</v>
      </c>
      <c r="AS74">
        <f>step3_validation[[#This Row],[AI_TRU3]]</f>
        <v>7</v>
      </c>
      <c r="AT74">
        <f t="shared" si="43"/>
        <v>0.66666666666666663</v>
      </c>
      <c r="AU74">
        <f>survey_responses[[#This Row],[Tôi tin tưởng số tiền thuế tôi đóng sẽ được Nhà nước sử dụng hiệu quả để cải thiện dịch vụ công (y tế, đường xá...). - HUMAN-TRU3]]</f>
        <v>5</v>
      </c>
      <c r="AV74">
        <f t="shared" si="44"/>
        <v>0.44444444444444442</v>
      </c>
      <c r="AW74">
        <f>step3_validation[[#This Row],[AI_TRU4]]</f>
        <v>8</v>
      </c>
      <c r="AX74">
        <f t="shared" si="45"/>
        <v>0.77777777777777779</v>
      </c>
      <c r="AY74">
        <f>survey_responses[[#This Row],[Tôi thấy Nhà nước đã giải thích rõ ràng, minh bạch về lý do và mục tiêu của việc sửa đổi thuế lần này. - HUMAN-TRU4]]</f>
        <v>5</v>
      </c>
      <c r="AZ74">
        <f t="shared" si="46"/>
        <v>0.44444444444444442</v>
      </c>
      <c r="BA74" s="32">
        <f t="shared" si="47"/>
        <v>0.77777777777777768</v>
      </c>
      <c r="BB74" s="32">
        <f t="shared" si="48"/>
        <v>0.58333333333333326</v>
      </c>
      <c r="BC74" s="7">
        <f t="shared" si="49"/>
        <v>0.72222222222222221</v>
      </c>
      <c r="BD74" s="7">
        <f t="shared" si="50"/>
        <v>0.4907407407407407</v>
      </c>
      <c r="BE74">
        <f>step3_validation[[#This Row],[AI_OUT1]]</f>
        <v>9</v>
      </c>
      <c r="BF74">
        <f t="shared" si="51"/>
        <v>0.88888888888888884</v>
      </c>
      <c r="BG74">
        <f>survey_responses[[#This Row],[Sau khi xem xét các quyền lợi và nghĩa vụ, bạn có ủng hộ và tuân thủ chính sách mới hiện nay? - HUMAN-OUT1]]</f>
        <v>10</v>
      </c>
      <c r="BH74">
        <f t="shared" si="52"/>
        <v>1</v>
      </c>
      <c r="BI74" s="32">
        <f t="shared" si="53"/>
        <v>1</v>
      </c>
    </row>
    <row r="75" spans="1:61" x14ac:dyDescent="0.45">
      <c r="A75" s="30">
        <f>step3_validation[[#This Row],[Persona_ID]]</f>
        <v>74</v>
      </c>
      <c r="B75" s="31">
        <f>step3_validation[[#This Row],[Used_Seed]]</f>
        <v>12418</v>
      </c>
      <c r="C75" t="str">
        <f>step3_validation[[#This Row],[Gender]]</f>
        <v>Nữ</v>
      </c>
      <c r="D75" t="str">
        <f>survey_responses[[#This Row],[Giới tính của bạn:]]</f>
        <v>Nữ</v>
      </c>
      <c r="E75" t="str">
        <f>step3_validation[[#This Row],[Age_Group]]</f>
        <v>30 - 39</v>
      </c>
      <c r="F75" t="str">
        <f>survey_responses[[#This Row],[Độ tuổi của bạn:]]</f>
        <v>30 - 39</v>
      </c>
      <c r="G75" t="str">
        <f>step3_validation[[#This Row],[Region]]</f>
        <v>Thành thị</v>
      </c>
      <c r="H75" t="str">
        <f>survey_responses[[#This Row],[Khu vực bạn đang sinh sống:]]</f>
        <v>Thành thị</v>
      </c>
      <c r="I75" t="str">
        <f>step3_validation[[#This Row],[Education]]</f>
        <v>Đại học</v>
      </c>
      <c r="J75" t="str">
        <f>survey_responses[[#This Row],[Trình độ học vấn cao nhất:]]</f>
        <v>Đại học</v>
      </c>
      <c r="K75" t="str">
        <f>step3_validation[[#This Row],[Employment]]</f>
        <v>Phi chính thức</v>
      </c>
      <c r="L75" t="str">
        <f>survey_responses[[#This Row],[Tình trạng việc làm chính:]]</f>
        <v>Khu vực phi chính thức (Lao động tự do, không có HĐLĐ)</v>
      </c>
      <c r="M75">
        <f>step3_validation[[#This Row],[Income_Mil]]</f>
        <v>19.207040619684111</v>
      </c>
      <c r="N75" t="str">
        <f>survey_responses[[#This Row],[Thu nhập bình quân tháng theo Hợp đồng lao động của bạn là bao nhiêu? (Vui lòng điền tổng thu nhập trước khi khấu trừ các loại Bảo hiểm (BHXH, BHYT, BHTN) và Thuế TNCN)]]</f>
        <v>Từ 18 - 23 triệu VNĐ</v>
      </c>
      <c r="O75">
        <f>step3_validation[[#This Row],[Dependents]]</f>
        <v>1</v>
      </c>
      <c r="P75" t="str">
        <f>survey_responses[[#This Row],[Số người phụ thuộc (con nhỏ, cha mẹ già...) đủ điều kiện giảm trừ gia cảnh:]]</f>
        <v>1 người</v>
      </c>
      <c r="Q75">
        <f>step3_validation[[#This Row],[AI_ENF1]]</f>
        <v>7</v>
      </c>
      <c r="R75">
        <f t="shared" si="27"/>
        <v>0.66666666666666663</v>
      </c>
      <c r="S75">
        <f>survey_responses[[#This Row],[Tôi tin rằng với các quy định quản lý thuế hiện nay, hành vi gian lận hoặc trốn thuế sẽ dễ dàng bị phát hiện và xử lý nghiêm. - HUMAN-ENF1]]</f>
        <v>5</v>
      </c>
      <c r="T75">
        <f t="shared" si="28"/>
        <v>0.44444444444444442</v>
      </c>
      <c r="U75">
        <f>step3_validation[[#This Row],[AI_ENF2]]</f>
        <v>7</v>
      </c>
      <c r="V75">
        <f t="shared" si="29"/>
        <v>0.66666666666666663</v>
      </c>
      <c r="W75">
        <f>survey_responses[[#This Row],[Tôi tin rằng Nhà nước, cơ quan thuế có đủ khả năng và công nghệ để phát hiện, xử lý nghiêm các hành vi trốn thuế. - HUMAN-ENF2]]</f>
        <v>10</v>
      </c>
      <c r="X75">
        <f t="shared" si="30"/>
        <v>1</v>
      </c>
      <c r="Y75" s="32">
        <f t="shared" si="31"/>
        <v>0.66666666666666663</v>
      </c>
      <c r="Z75" s="32">
        <f t="shared" si="32"/>
        <v>0.72222222222222221</v>
      </c>
      <c r="AA75">
        <f>step3_validation[[#This Row],[AI_FAC1]]</f>
        <v>9</v>
      </c>
      <c r="AB75">
        <f t="shared" si="33"/>
        <v>0.88888888888888884</v>
      </c>
      <c r="AC75">
        <f>survey_responses[[#This Row],[Các thủ tục khai báo thuế VÀ/HOẶC quy trình làm việc với cơ quan thuế đơn giản, tiện lợi, nhanh chóng hơn so với trước đây. - HUMAN-FAC1]]</f>
        <v>2</v>
      </c>
      <c r="AD75">
        <f t="shared" si="34"/>
        <v>0.1111111111111111</v>
      </c>
      <c r="AE75">
        <f>step3_validation[[#This Row],[AI_FAC2]]</f>
        <v>9</v>
      </c>
      <c r="AF75">
        <f t="shared" si="35"/>
        <v>0.88888888888888884</v>
      </c>
      <c r="AG75">
        <f>survey_responses[[#This Row],[So với trước đây, tôi thấy cách tính thuế và các bậc thuế trong phương án mới đơn giản, dễ hiểu và dễ thực hiện hơn. - HUMAN-FAC2]]</f>
        <v>8</v>
      </c>
      <c r="AH75">
        <f t="shared" si="36"/>
        <v>0.77777777777777779</v>
      </c>
      <c r="AI75" s="32">
        <f t="shared" si="37"/>
        <v>0.88888888888888884</v>
      </c>
      <c r="AJ75" s="32">
        <f t="shared" si="38"/>
        <v>0.44444444444444442</v>
      </c>
      <c r="AK75">
        <f>step3_validation[[#This Row],[AI_TRU1]]</f>
        <v>6</v>
      </c>
      <c r="AL75">
        <f t="shared" si="39"/>
        <v>0.55555555555555558</v>
      </c>
      <c r="AM75">
        <f>survey_responses[[#This Row],[Tôi tin rằng Nhà nước, cơ quan thuế sẽ thực thi chính sách mới một cách khách quan, công tâm và đối xử bình đẳng với mọi người nộp thuế.  - HUMAN-TRU1]]</f>
        <v>5</v>
      </c>
      <c r="AN75">
        <f t="shared" si="40"/>
        <v>0.44444444444444442</v>
      </c>
      <c r="AO75">
        <f>step3_validation[[#This Row],[AI_TRU2]]</f>
        <v>9</v>
      </c>
      <c r="AP75">
        <f t="shared" si="41"/>
        <v>0.88888888888888884</v>
      </c>
      <c r="AQ75">
        <f>survey_responses[[#This Row],[Tôi thấy mức thuế tôi phải đóng theo phương án mới là công bằng (người thu nhập như tôi đóng mức này là hợp lý). - HUMAN-TRU2]]</f>
        <v>5</v>
      </c>
      <c r="AR75">
        <f t="shared" si="42"/>
        <v>0.44444444444444442</v>
      </c>
      <c r="AS75">
        <f>step3_validation[[#This Row],[AI_TRU3]]</f>
        <v>6</v>
      </c>
      <c r="AT75">
        <f t="shared" si="43"/>
        <v>0.55555555555555558</v>
      </c>
      <c r="AU75">
        <f>survey_responses[[#This Row],[Tôi tin tưởng số tiền thuế tôi đóng sẽ được Nhà nước sử dụng hiệu quả để cải thiện dịch vụ công (y tế, đường xá...). - HUMAN-TRU3]]</f>
        <v>1</v>
      </c>
      <c r="AV75">
        <f t="shared" si="44"/>
        <v>0</v>
      </c>
      <c r="AW75">
        <f>step3_validation[[#This Row],[AI_TRU4]]</f>
        <v>6</v>
      </c>
      <c r="AX75">
        <f t="shared" si="45"/>
        <v>0.55555555555555558</v>
      </c>
      <c r="AY75">
        <f>survey_responses[[#This Row],[Tôi thấy Nhà nước đã giải thích rõ ràng, minh bạch về lý do và mục tiêu của việc sửa đổi thuế lần này. - HUMAN-TRU4]]</f>
        <v>4</v>
      </c>
      <c r="AZ75">
        <f t="shared" si="46"/>
        <v>0.33333333333333331</v>
      </c>
      <c r="BA75" s="32">
        <f t="shared" si="47"/>
        <v>0.63888888888888884</v>
      </c>
      <c r="BB75" s="32">
        <f t="shared" si="48"/>
        <v>0.30555555555555552</v>
      </c>
      <c r="BC75" s="7">
        <f t="shared" si="49"/>
        <v>0.7314814814814814</v>
      </c>
      <c r="BD75" s="7">
        <f t="shared" si="50"/>
        <v>0.4907407407407407</v>
      </c>
      <c r="BE75">
        <f>step3_validation[[#This Row],[AI_OUT1]]</f>
        <v>9</v>
      </c>
      <c r="BF75">
        <f t="shared" si="51"/>
        <v>0.88888888888888884</v>
      </c>
      <c r="BG75">
        <f>survey_responses[[#This Row],[Sau khi xem xét các quyền lợi và nghĩa vụ, bạn có ủng hộ và tuân thủ chính sách mới hiện nay? - HUMAN-OUT1]]</f>
        <v>5</v>
      </c>
      <c r="BH75">
        <f t="shared" si="52"/>
        <v>0.44444444444444442</v>
      </c>
      <c r="BI75" s="32">
        <f t="shared" si="53"/>
        <v>4</v>
      </c>
    </row>
    <row r="76" spans="1:61" x14ac:dyDescent="0.45">
      <c r="A76" s="30">
        <f>step3_validation[[#This Row],[Persona_ID]]</f>
        <v>75</v>
      </c>
      <c r="B76" s="31">
        <f>step3_validation[[#This Row],[Used_Seed]]</f>
        <v>12419</v>
      </c>
      <c r="C76" t="str">
        <f>step3_validation[[#This Row],[Gender]]</f>
        <v>Nam</v>
      </c>
      <c r="D76" t="str">
        <f>survey_responses[[#This Row],[Giới tính của bạn:]]</f>
        <v>Nam</v>
      </c>
      <c r="E76" t="str">
        <f>step3_validation[[#This Row],[Age_Group]]</f>
        <v>40 - 49</v>
      </c>
      <c r="F76" t="str">
        <f>survey_responses[[#This Row],[Độ tuổi của bạn:]]</f>
        <v>40 - 49</v>
      </c>
      <c r="G76" t="str">
        <f>step3_validation[[#This Row],[Region]]</f>
        <v>Thành thị</v>
      </c>
      <c r="H76" t="str">
        <f>survey_responses[[#This Row],[Khu vực bạn đang sinh sống:]]</f>
        <v>Thành thị</v>
      </c>
      <c r="I76" t="str">
        <f>step3_validation[[#This Row],[Education]]</f>
        <v>Sau Đại học</v>
      </c>
      <c r="J76" t="str">
        <f>survey_responses[[#This Row],[Trình độ học vấn cao nhất:]]</f>
        <v>Sau Đại học</v>
      </c>
      <c r="K76" t="str">
        <f>step3_validation[[#This Row],[Employment]]</f>
        <v>Chính thức</v>
      </c>
      <c r="L76" t="str">
        <f>survey_responses[[#This Row],[Tình trạng việc làm chính:]]</f>
        <v>Khu vực chính thức (Có Hợp đồng lao động, đóng BHXH)</v>
      </c>
      <c r="M76">
        <f>step3_validation[[#This Row],[Income_Mil]]</f>
        <v>52.464608183525499</v>
      </c>
      <c r="N76" t="str">
        <f>survey_responses[[#This Row],[Thu nhập bình quân tháng theo Hợp đồng lao động của bạn là bao nhiêu? (Vui lòng điền tổng thu nhập trước khi khấu trừ các loại Bảo hiểm (BHXH, BHYT, BHTN) và Thuế TNCN)]]</f>
        <v>Từ 48 - 70 triệu VNĐ</v>
      </c>
      <c r="O76">
        <f>step3_validation[[#This Row],[Dependents]]</f>
        <v>2</v>
      </c>
      <c r="P76" t="str">
        <f>survey_responses[[#This Row],[Số người phụ thuộc (con nhỏ, cha mẹ già...) đủ điều kiện giảm trừ gia cảnh:]]</f>
        <v>2 người</v>
      </c>
      <c r="Q76">
        <f>step3_validation[[#This Row],[AI_ENF1]]</f>
        <v>7</v>
      </c>
      <c r="R76">
        <f t="shared" si="27"/>
        <v>0.66666666666666663</v>
      </c>
      <c r="S76">
        <f>survey_responses[[#This Row],[Tôi tin rằng với các quy định quản lý thuế hiện nay, hành vi gian lận hoặc trốn thuế sẽ dễ dàng bị phát hiện và xử lý nghiêm. - HUMAN-ENF1]]</f>
        <v>8</v>
      </c>
      <c r="T76">
        <f t="shared" si="28"/>
        <v>0.77777777777777779</v>
      </c>
      <c r="U76">
        <f>step3_validation[[#This Row],[AI_ENF2]]</f>
        <v>8</v>
      </c>
      <c r="V76">
        <f t="shared" si="29"/>
        <v>0.77777777777777779</v>
      </c>
      <c r="W76">
        <f>survey_responses[[#This Row],[Tôi tin rằng Nhà nước, cơ quan thuế có đủ khả năng và công nghệ để phát hiện, xử lý nghiêm các hành vi trốn thuế. - HUMAN-ENF2]]</f>
        <v>9</v>
      </c>
      <c r="X76">
        <f t="shared" si="30"/>
        <v>0.88888888888888884</v>
      </c>
      <c r="Y76" s="32">
        <f t="shared" si="31"/>
        <v>0.72222222222222221</v>
      </c>
      <c r="Z76" s="32">
        <f t="shared" si="32"/>
        <v>0.83333333333333326</v>
      </c>
      <c r="AA76">
        <f>step3_validation[[#This Row],[AI_FAC1]]</f>
        <v>9</v>
      </c>
      <c r="AB76">
        <f t="shared" si="33"/>
        <v>0.88888888888888884</v>
      </c>
      <c r="AC76">
        <f>survey_responses[[#This Row],[Các thủ tục khai báo thuế VÀ/HOẶC quy trình làm việc với cơ quan thuế đơn giản, tiện lợi, nhanh chóng hơn so với trước đây. - HUMAN-FAC1]]</f>
        <v>9</v>
      </c>
      <c r="AD76">
        <f t="shared" si="34"/>
        <v>0.88888888888888884</v>
      </c>
      <c r="AE76">
        <f>step3_validation[[#This Row],[AI_FAC2]]</f>
        <v>9</v>
      </c>
      <c r="AF76">
        <f t="shared" si="35"/>
        <v>0.88888888888888884</v>
      </c>
      <c r="AG76">
        <f>survey_responses[[#This Row],[So với trước đây, tôi thấy cách tính thuế và các bậc thuế trong phương án mới đơn giản, dễ hiểu và dễ thực hiện hơn. - HUMAN-FAC2]]</f>
        <v>9</v>
      </c>
      <c r="AH76">
        <f t="shared" si="36"/>
        <v>0.88888888888888884</v>
      </c>
      <c r="AI76" s="32">
        <f t="shared" si="37"/>
        <v>0.88888888888888884</v>
      </c>
      <c r="AJ76" s="32">
        <f t="shared" si="38"/>
        <v>0.88888888888888884</v>
      </c>
      <c r="AK76">
        <f>step3_validation[[#This Row],[AI_TRU1]]</f>
        <v>7</v>
      </c>
      <c r="AL76">
        <f t="shared" si="39"/>
        <v>0.66666666666666663</v>
      </c>
      <c r="AM76">
        <f>survey_responses[[#This Row],[Tôi tin rằng Nhà nước, cơ quan thuế sẽ thực thi chính sách mới một cách khách quan, công tâm và đối xử bình đẳng với mọi người nộp thuế.  - HUMAN-TRU1]]</f>
        <v>3</v>
      </c>
      <c r="AN76">
        <f t="shared" si="40"/>
        <v>0.22222222222222221</v>
      </c>
      <c r="AO76">
        <f>step3_validation[[#This Row],[AI_TRU2]]</f>
        <v>8</v>
      </c>
      <c r="AP76">
        <f t="shared" si="41"/>
        <v>0.77777777777777779</v>
      </c>
      <c r="AQ76">
        <f>survey_responses[[#This Row],[Tôi thấy mức thuế tôi phải đóng theo phương án mới là công bằng (người thu nhập như tôi đóng mức này là hợp lý). - HUMAN-TRU2]]</f>
        <v>3</v>
      </c>
      <c r="AR76">
        <f t="shared" si="42"/>
        <v>0.22222222222222221</v>
      </c>
      <c r="AS76">
        <f>step3_validation[[#This Row],[AI_TRU3]]</f>
        <v>7</v>
      </c>
      <c r="AT76">
        <f t="shared" si="43"/>
        <v>0.66666666666666663</v>
      </c>
      <c r="AU76">
        <f>survey_responses[[#This Row],[Tôi tin tưởng số tiền thuế tôi đóng sẽ được Nhà nước sử dụng hiệu quả để cải thiện dịch vụ công (y tế, đường xá...). - HUMAN-TRU3]]</f>
        <v>2</v>
      </c>
      <c r="AV76">
        <f t="shared" si="44"/>
        <v>0.1111111111111111</v>
      </c>
      <c r="AW76">
        <f>step3_validation[[#This Row],[AI_TRU4]]</f>
        <v>6</v>
      </c>
      <c r="AX76">
        <f t="shared" si="45"/>
        <v>0.55555555555555558</v>
      </c>
      <c r="AY76">
        <f>survey_responses[[#This Row],[Tôi thấy Nhà nước đã giải thích rõ ràng, minh bạch về lý do và mục tiêu của việc sửa đổi thuế lần này. - HUMAN-TRU4]]</f>
        <v>2</v>
      </c>
      <c r="AZ76">
        <f t="shared" si="46"/>
        <v>0.1111111111111111</v>
      </c>
      <c r="BA76" s="32">
        <f t="shared" si="47"/>
        <v>0.66666666666666674</v>
      </c>
      <c r="BB76" s="32">
        <f t="shared" si="48"/>
        <v>0.16666666666666669</v>
      </c>
      <c r="BC76" s="7">
        <f t="shared" si="49"/>
        <v>0.75925925925925919</v>
      </c>
      <c r="BD76" s="7">
        <f t="shared" si="50"/>
        <v>0.62962962962962965</v>
      </c>
      <c r="BE76">
        <f>step3_validation[[#This Row],[AI_OUT1]]</f>
        <v>9</v>
      </c>
      <c r="BF76">
        <f t="shared" si="51"/>
        <v>0.88888888888888884</v>
      </c>
      <c r="BG76">
        <f>survey_responses[[#This Row],[Sau khi xem xét các quyền lợi và nghĩa vụ, bạn có ủng hộ và tuân thủ chính sách mới hiện nay? - HUMAN-OUT1]]</f>
        <v>6</v>
      </c>
      <c r="BH76">
        <f t="shared" si="52"/>
        <v>0.55555555555555558</v>
      </c>
      <c r="BI76" s="32">
        <f t="shared" si="53"/>
        <v>3</v>
      </c>
    </row>
    <row r="77" spans="1:61" x14ac:dyDescent="0.45">
      <c r="A77" s="30">
        <f>step3_validation[[#This Row],[Persona_ID]]</f>
        <v>76</v>
      </c>
      <c r="B77" s="31">
        <f>step3_validation[[#This Row],[Used_Seed]]</f>
        <v>12420</v>
      </c>
      <c r="C77" t="str">
        <f>step3_validation[[#This Row],[Gender]]</f>
        <v>Nam</v>
      </c>
      <c r="D77" t="str">
        <f>survey_responses[[#This Row],[Giới tính của bạn:]]</f>
        <v>Nam</v>
      </c>
      <c r="E77" t="str">
        <f>step3_validation[[#This Row],[Age_Group]]</f>
        <v>40 - 49</v>
      </c>
      <c r="F77" t="str">
        <f>survey_responses[[#This Row],[Độ tuổi của bạn:]]</f>
        <v>40 - 49</v>
      </c>
      <c r="G77" t="str">
        <f>step3_validation[[#This Row],[Region]]</f>
        <v>Nông thôn</v>
      </c>
      <c r="H77" t="str">
        <f>survey_responses[[#This Row],[Khu vực bạn đang sinh sống:]]</f>
        <v>Nông thôn</v>
      </c>
      <c r="I77" t="str">
        <f>step3_validation[[#This Row],[Education]]</f>
        <v>Trung học phổ thông</v>
      </c>
      <c r="J77" t="str">
        <f>survey_responses[[#This Row],[Trình độ học vấn cao nhất:]]</f>
        <v>Trung học phổ thông</v>
      </c>
      <c r="K77" t="str">
        <f>step3_validation[[#This Row],[Employment]]</f>
        <v>Phi chính thức</v>
      </c>
      <c r="L77" t="str">
        <f>survey_responses[[#This Row],[Tình trạng việc làm chính:]]</f>
        <v>Khu vực phi chính thức (Lao động tự do, không có HĐLĐ)</v>
      </c>
      <c r="M77">
        <f>step3_validation[[#This Row],[Income_Mil]]</f>
        <v>13.707324246743351</v>
      </c>
      <c r="N77" t="str">
        <f>survey_responses[[#This Row],[Thu nhập bình quân tháng theo Hợp đồng lao động của bạn là bao nhiêu? (Vui lòng điền tổng thu nhập trước khi khấu trừ các loại Bảo hiểm (BHXH, BHYT, BHTN) và Thuế TNCN)]]</f>
        <v>Từ 12 - 18 triệu VNĐ</v>
      </c>
      <c r="O77">
        <f>step3_validation[[#This Row],[Dependents]]</f>
        <v>3</v>
      </c>
      <c r="P77" t="str">
        <f>survey_responses[[#This Row],[Số người phụ thuộc (con nhỏ, cha mẹ già...) đủ điều kiện giảm trừ gia cảnh:]]</f>
        <v>3 người</v>
      </c>
      <c r="Q77">
        <f>step3_validation[[#This Row],[AI_ENF1]]</f>
        <v>3</v>
      </c>
      <c r="R77">
        <f t="shared" si="27"/>
        <v>0.22222222222222221</v>
      </c>
      <c r="S77">
        <f>survey_responses[[#This Row],[Tôi tin rằng với các quy định quản lý thuế hiện nay, hành vi gian lận hoặc trốn thuế sẽ dễ dàng bị phát hiện và xử lý nghiêm. - HUMAN-ENF1]]</f>
        <v>5</v>
      </c>
      <c r="T77">
        <f t="shared" si="28"/>
        <v>0.44444444444444442</v>
      </c>
      <c r="U77">
        <f>step3_validation[[#This Row],[AI_ENF2]]</f>
        <v>4</v>
      </c>
      <c r="V77">
        <f t="shared" si="29"/>
        <v>0.33333333333333331</v>
      </c>
      <c r="W77">
        <f>survey_responses[[#This Row],[Tôi tin rằng Nhà nước, cơ quan thuế có đủ khả năng và công nghệ để phát hiện, xử lý nghiêm các hành vi trốn thuế. - HUMAN-ENF2]]</f>
        <v>5</v>
      </c>
      <c r="X77">
        <f t="shared" si="30"/>
        <v>0.44444444444444442</v>
      </c>
      <c r="Y77" s="32">
        <f t="shared" si="31"/>
        <v>0.27777777777777779</v>
      </c>
      <c r="Z77" s="32">
        <f t="shared" si="32"/>
        <v>0.44444444444444442</v>
      </c>
      <c r="AA77">
        <f>step3_validation[[#This Row],[AI_FAC1]]</f>
        <v>6</v>
      </c>
      <c r="AB77">
        <f t="shared" si="33"/>
        <v>0.55555555555555558</v>
      </c>
      <c r="AC77">
        <f>survey_responses[[#This Row],[Các thủ tục khai báo thuế VÀ/HOẶC quy trình làm việc với cơ quan thuế đơn giản, tiện lợi, nhanh chóng hơn so với trước đây. - HUMAN-FAC1]]</f>
        <v>5</v>
      </c>
      <c r="AD77">
        <f t="shared" si="34"/>
        <v>0.44444444444444442</v>
      </c>
      <c r="AE77">
        <f>step3_validation[[#This Row],[AI_FAC2]]</f>
        <v>8</v>
      </c>
      <c r="AF77">
        <f t="shared" si="35"/>
        <v>0.77777777777777779</v>
      </c>
      <c r="AG77">
        <f>survey_responses[[#This Row],[So với trước đây, tôi thấy cách tính thuế và các bậc thuế trong phương án mới đơn giản, dễ hiểu và dễ thực hiện hơn. - HUMAN-FAC2]]</f>
        <v>5</v>
      </c>
      <c r="AH77">
        <f t="shared" si="36"/>
        <v>0.44444444444444442</v>
      </c>
      <c r="AI77" s="32">
        <f t="shared" si="37"/>
        <v>0.66666666666666674</v>
      </c>
      <c r="AJ77" s="32">
        <f t="shared" si="38"/>
        <v>0.44444444444444442</v>
      </c>
      <c r="AK77">
        <f>step3_validation[[#This Row],[AI_TRU1]]</f>
        <v>7</v>
      </c>
      <c r="AL77">
        <f t="shared" si="39"/>
        <v>0.66666666666666663</v>
      </c>
      <c r="AM77">
        <f>survey_responses[[#This Row],[Tôi tin rằng Nhà nước, cơ quan thuế sẽ thực thi chính sách mới một cách khách quan, công tâm và đối xử bình đẳng với mọi người nộp thuế.  - HUMAN-TRU1]]</f>
        <v>5</v>
      </c>
      <c r="AN77">
        <f t="shared" si="40"/>
        <v>0.44444444444444442</v>
      </c>
      <c r="AO77">
        <f>step3_validation[[#This Row],[AI_TRU2]]</f>
        <v>9</v>
      </c>
      <c r="AP77">
        <f t="shared" si="41"/>
        <v>0.88888888888888884</v>
      </c>
      <c r="AQ77">
        <f>survey_responses[[#This Row],[Tôi thấy mức thuế tôi phải đóng theo phương án mới là công bằng (người thu nhập như tôi đóng mức này là hợp lý). - HUMAN-TRU2]]</f>
        <v>5</v>
      </c>
      <c r="AR77">
        <f t="shared" si="42"/>
        <v>0.44444444444444442</v>
      </c>
      <c r="AS77">
        <f>step3_validation[[#This Row],[AI_TRU3]]</f>
        <v>8</v>
      </c>
      <c r="AT77">
        <f t="shared" si="43"/>
        <v>0.77777777777777779</v>
      </c>
      <c r="AU77">
        <f>survey_responses[[#This Row],[Tôi tin tưởng số tiền thuế tôi đóng sẽ được Nhà nước sử dụng hiệu quả để cải thiện dịch vụ công (y tế, đường xá...). - HUMAN-TRU3]]</f>
        <v>5</v>
      </c>
      <c r="AV77">
        <f t="shared" si="44"/>
        <v>0.44444444444444442</v>
      </c>
      <c r="AW77">
        <f>step3_validation[[#This Row],[AI_TRU4]]</f>
        <v>6</v>
      </c>
      <c r="AX77">
        <f t="shared" si="45"/>
        <v>0.55555555555555558</v>
      </c>
      <c r="AY77">
        <f>survey_responses[[#This Row],[Tôi thấy Nhà nước đã giải thích rõ ràng, minh bạch về lý do và mục tiêu của việc sửa đổi thuế lần này. - HUMAN-TRU4]]</f>
        <v>5</v>
      </c>
      <c r="AZ77">
        <f t="shared" si="46"/>
        <v>0.44444444444444442</v>
      </c>
      <c r="BA77" s="32">
        <f t="shared" si="47"/>
        <v>0.7222222222222221</v>
      </c>
      <c r="BB77" s="32">
        <f t="shared" si="48"/>
        <v>0.44444444444444442</v>
      </c>
      <c r="BC77" s="7">
        <f t="shared" si="49"/>
        <v>0.55555555555555547</v>
      </c>
      <c r="BD77" s="7">
        <f t="shared" si="50"/>
        <v>0.44444444444444442</v>
      </c>
      <c r="BE77">
        <f>step3_validation[[#This Row],[AI_OUT1]]</f>
        <v>9</v>
      </c>
      <c r="BF77">
        <f t="shared" si="51"/>
        <v>0.88888888888888884</v>
      </c>
      <c r="BG77">
        <f>survey_responses[[#This Row],[Sau khi xem xét các quyền lợi và nghĩa vụ, bạn có ủng hộ và tuân thủ chính sách mới hiện nay? - HUMAN-OUT1]]</f>
        <v>5</v>
      </c>
      <c r="BH77">
        <f t="shared" si="52"/>
        <v>0.44444444444444442</v>
      </c>
      <c r="BI77" s="32">
        <f t="shared" si="53"/>
        <v>4</v>
      </c>
    </row>
    <row r="78" spans="1:61" x14ac:dyDescent="0.45">
      <c r="A78" s="30">
        <f>step3_validation[[#This Row],[Persona_ID]]</f>
        <v>77</v>
      </c>
      <c r="B78" s="31">
        <f>step3_validation[[#This Row],[Used_Seed]]</f>
        <v>12421</v>
      </c>
      <c r="C78" t="str">
        <f>step3_validation[[#This Row],[Gender]]</f>
        <v>Nữ</v>
      </c>
      <c r="D78" t="str">
        <f>survey_responses[[#This Row],[Giới tính của bạn:]]</f>
        <v>Nữ</v>
      </c>
      <c r="E78" t="str">
        <f>step3_validation[[#This Row],[Age_Group]]</f>
        <v>50 - 54</v>
      </c>
      <c r="F78" t="str">
        <f>survey_responses[[#This Row],[Độ tuổi của bạn:]]</f>
        <v>50 - 54</v>
      </c>
      <c r="G78" t="str">
        <f>step3_validation[[#This Row],[Region]]</f>
        <v>Thành thị</v>
      </c>
      <c r="H78" t="str">
        <f>survey_responses[[#This Row],[Khu vực bạn đang sinh sống:]]</f>
        <v>Thành thị</v>
      </c>
      <c r="I78" t="str">
        <f>step3_validation[[#This Row],[Education]]</f>
        <v>Đại học</v>
      </c>
      <c r="J78" t="str">
        <f>survey_responses[[#This Row],[Trình độ học vấn cao nhất:]]</f>
        <v>Đại học</v>
      </c>
      <c r="K78" t="str">
        <f>step3_validation[[#This Row],[Employment]]</f>
        <v>Chính thức</v>
      </c>
      <c r="L78" t="str">
        <f>survey_responses[[#This Row],[Tình trạng việc làm chính:]]</f>
        <v>Khu vực chính thức (Có Hợp đồng lao động, đóng BHXH)</v>
      </c>
      <c r="M78">
        <f>step3_validation[[#This Row],[Income_Mil]]</f>
        <v>15.590317767582842</v>
      </c>
      <c r="N78" t="str">
        <f>survey_responses[[#This Row],[Thu nhập bình quân tháng theo Hợp đồng lao động của bạn là bao nhiêu? (Vui lòng điền tổng thu nhập trước khi khấu trừ các loại Bảo hiểm (BHXH, BHYT, BHTN) và Thuế TNCN)]]</f>
        <v>Từ 12 - 18 triệu VNĐ</v>
      </c>
      <c r="O78">
        <f>step3_validation[[#This Row],[Dependents]]</f>
        <v>2</v>
      </c>
      <c r="P78" t="str">
        <f>survey_responses[[#This Row],[Số người phụ thuộc (con nhỏ, cha mẹ già...) đủ điều kiện giảm trừ gia cảnh:]]</f>
        <v>2 người</v>
      </c>
      <c r="Q78">
        <f>step3_validation[[#This Row],[AI_ENF1]]</f>
        <v>7</v>
      </c>
      <c r="R78">
        <f t="shared" si="27"/>
        <v>0.66666666666666663</v>
      </c>
      <c r="S78">
        <f>survey_responses[[#This Row],[Tôi tin rằng với các quy định quản lý thuế hiện nay, hành vi gian lận hoặc trốn thuế sẽ dễ dàng bị phát hiện và xử lý nghiêm. - HUMAN-ENF1]]</f>
        <v>8</v>
      </c>
      <c r="T78">
        <f t="shared" si="28"/>
        <v>0.77777777777777779</v>
      </c>
      <c r="U78">
        <f>step3_validation[[#This Row],[AI_ENF2]]</f>
        <v>6</v>
      </c>
      <c r="V78">
        <f t="shared" si="29"/>
        <v>0.55555555555555558</v>
      </c>
      <c r="W78">
        <f>survey_responses[[#This Row],[Tôi tin rằng Nhà nước, cơ quan thuế có đủ khả năng và công nghệ để phát hiện, xử lý nghiêm các hành vi trốn thuế. - HUMAN-ENF2]]</f>
        <v>8</v>
      </c>
      <c r="X78">
        <f t="shared" si="30"/>
        <v>0.77777777777777779</v>
      </c>
      <c r="Y78" s="32">
        <f t="shared" si="31"/>
        <v>0.61111111111111116</v>
      </c>
      <c r="Z78" s="32">
        <f t="shared" si="32"/>
        <v>0.77777777777777779</v>
      </c>
      <c r="AA78">
        <f>step3_validation[[#This Row],[AI_FAC1]]</f>
        <v>8</v>
      </c>
      <c r="AB78">
        <f t="shared" si="33"/>
        <v>0.77777777777777779</v>
      </c>
      <c r="AC78">
        <f>survey_responses[[#This Row],[Các thủ tục khai báo thuế VÀ/HOẶC quy trình làm việc với cơ quan thuế đơn giản, tiện lợi, nhanh chóng hơn so với trước đây. - HUMAN-FAC1]]</f>
        <v>8</v>
      </c>
      <c r="AD78">
        <f t="shared" si="34"/>
        <v>0.77777777777777779</v>
      </c>
      <c r="AE78">
        <f>step3_validation[[#This Row],[AI_FAC2]]</f>
        <v>9</v>
      </c>
      <c r="AF78">
        <f t="shared" si="35"/>
        <v>0.88888888888888884</v>
      </c>
      <c r="AG78">
        <f>survey_responses[[#This Row],[So với trước đây, tôi thấy cách tính thuế và các bậc thuế trong phương án mới đơn giản, dễ hiểu và dễ thực hiện hơn. - HUMAN-FAC2]]</f>
        <v>8</v>
      </c>
      <c r="AH78">
        <f t="shared" si="36"/>
        <v>0.77777777777777779</v>
      </c>
      <c r="AI78" s="32">
        <f t="shared" si="37"/>
        <v>0.83333333333333326</v>
      </c>
      <c r="AJ78" s="32">
        <f t="shared" si="38"/>
        <v>0.77777777777777779</v>
      </c>
      <c r="AK78">
        <f>step3_validation[[#This Row],[AI_TRU1]]</f>
        <v>7</v>
      </c>
      <c r="AL78">
        <f t="shared" si="39"/>
        <v>0.66666666666666663</v>
      </c>
      <c r="AM78">
        <f>survey_responses[[#This Row],[Tôi tin rằng Nhà nước, cơ quan thuế sẽ thực thi chính sách mới một cách khách quan, công tâm và đối xử bình đẳng với mọi người nộp thuế.  - HUMAN-TRU1]]</f>
        <v>9</v>
      </c>
      <c r="AN78">
        <f t="shared" si="40"/>
        <v>0.88888888888888884</v>
      </c>
      <c r="AO78">
        <f>step3_validation[[#This Row],[AI_TRU2]]</f>
        <v>9</v>
      </c>
      <c r="AP78">
        <f t="shared" si="41"/>
        <v>0.88888888888888884</v>
      </c>
      <c r="AQ78">
        <f>survey_responses[[#This Row],[Tôi thấy mức thuế tôi phải đóng theo phương án mới là công bằng (người thu nhập như tôi đóng mức này là hợp lý). - HUMAN-TRU2]]</f>
        <v>7</v>
      </c>
      <c r="AR78">
        <f t="shared" si="42"/>
        <v>0.66666666666666663</v>
      </c>
      <c r="AS78">
        <f>step3_validation[[#This Row],[AI_TRU3]]</f>
        <v>8</v>
      </c>
      <c r="AT78">
        <f t="shared" si="43"/>
        <v>0.77777777777777779</v>
      </c>
      <c r="AU78">
        <f>survey_responses[[#This Row],[Tôi tin tưởng số tiền thuế tôi đóng sẽ được Nhà nước sử dụng hiệu quả để cải thiện dịch vụ công (y tế, đường xá...). - HUMAN-TRU3]]</f>
        <v>9</v>
      </c>
      <c r="AV78">
        <f t="shared" si="44"/>
        <v>0.88888888888888884</v>
      </c>
      <c r="AW78">
        <f>step3_validation[[#This Row],[AI_TRU4]]</f>
        <v>7</v>
      </c>
      <c r="AX78">
        <f t="shared" si="45"/>
        <v>0.66666666666666663</v>
      </c>
      <c r="AY78">
        <f>survey_responses[[#This Row],[Tôi thấy Nhà nước đã giải thích rõ ràng, minh bạch về lý do và mục tiêu của việc sửa đổi thuế lần này. - HUMAN-TRU4]]</f>
        <v>10</v>
      </c>
      <c r="AZ78">
        <f t="shared" si="46"/>
        <v>1</v>
      </c>
      <c r="BA78" s="32">
        <f t="shared" si="47"/>
        <v>0.74999999999999989</v>
      </c>
      <c r="BB78" s="32">
        <f t="shared" si="48"/>
        <v>0.86111111111111105</v>
      </c>
      <c r="BC78" s="7">
        <f t="shared" si="49"/>
        <v>0.7314814814814814</v>
      </c>
      <c r="BD78" s="7">
        <f t="shared" si="50"/>
        <v>0.80555555555555547</v>
      </c>
      <c r="BE78">
        <f>step3_validation[[#This Row],[AI_OUT1]]</f>
        <v>9</v>
      </c>
      <c r="BF78">
        <f t="shared" si="51"/>
        <v>0.88888888888888884</v>
      </c>
      <c r="BG78">
        <f>survey_responses[[#This Row],[Sau khi xem xét các quyền lợi và nghĩa vụ, bạn có ủng hộ và tuân thủ chính sách mới hiện nay? - HUMAN-OUT1]]</f>
        <v>8</v>
      </c>
      <c r="BH78">
        <f t="shared" si="52"/>
        <v>0.77777777777777779</v>
      </c>
      <c r="BI78" s="32">
        <f t="shared" si="53"/>
        <v>1</v>
      </c>
    </row>
    <row r="79" spans="1:61" x14ac:dyDescent="0.45">
      <c r="A79" s="30">
        <f>step3_validation[[#This Row],[Persona_ID]]</f>
        <v>78</v>
      </c>
      <c r="B79" s="31">
        <f>step3_validation[[#This Row],[Used_Seed]]</f>
        <v>12422</v>
      </c>
      <c r="C79" t="str">
        <f>step3_validation[[#This Row],[Gender]]</f>
        <v>Nữ</v>
      </c>
      <c r="D79" t="str">
        <f>survey_responses[[#This Row],[Giới tính của bạn:]]</f>
        <v>Nữ</v>
      </c>
      <c r="E79" t="str">
        <f>step3_validation[[#This Row],[Age_Group]]</f>
        <v>30 - 39</v>
      </c>
      <c r="F79" t="str">
        <f>survey_responses[[#This Row],[Độ tuổi của bạn:]]</f>
        <v>30 - 39</v>
      </c>
      <c r="G79" t="str">
        <f>step3_validation[[#This Row],[Region]]</f>
        <v>Thành thị</v>
      </c>
      <c r="H79" t="str">
        <f>survey_responses[[#This Row],[Khu vực bạn đang sinh sống:]]</f>
        <v>Thành thị</v>
      </c>
      <c r="I79" t="str">
        <f>step3_validation[[#This Row],[Education]]</f>
        <v>Sau Đại học</v>
      </c>
      <c r="J79" t="str">
        <f>survey_responses[[#This Row],[Trình độ học vấn cao nhất:]]</f>
        <v>Sau Đại học</v>
      </c>
      <c r="K79" t="str">
        <f>step3_validation[[#This Row],[Employment]]</f>
        <v>Chính thức</v>
      </c>
      <c r="L79" t="str">
        <f>survey_responses[[#This Row],[Tình trạng việc làm chính:]]</f>
        <v>Khu vực chính thức (Có Hợp đồng lao động, đóng BHXH)</v>
      </c>
      <c r="M79">
        <f>step3_validation[[#This Row],[Income_Mil]]</f>
        <v>39.11859631923631</v>
      </c>
      <c r="N79" t="str">
        <f>survey_responses[[#This Row],[Thu nhập bình quân tháng theo Hợp đồng lao động của bạn là bao nhiêu? (Vui lòng điền tổng thu nhập trước khi khấu trừ các loại Bảo hiểm (BHXH, BHYT, BHTN) và Thuế TNCN)]]</f>
        <v>Từ 32 - 48 triệu VNĐ</v>
      </c>
      <c r="O79">
        <f>step3_validation[[#This Row],[Dependents]]</f>
        <v>2</v>
      </c>
      <c r="P79" t="str">
        <f>survey_responses[[#This Row],[Số người phụ thuộc (con nhỏ, cha mẹ già...) đủ điều kiện giảm trừ gia cảnh:]]</f>
        <v>2 người</v>
      </c>
      <c r="Q79">
        <f>step3_validation[[#This Row],[AI_ENF1]]</f>
        <v>6</v>
      </c>
      <c r="R79">
        <f t="shared" si="27"/>
        <v>0.55555555555555558</v>
      </c>
      <c r="S79">
        <f>survey_responses[[#This Row],[Tôi tin rằng với các quy định quản lý thuế hiện nay, hành vi gian lận hoặc trốn thuế sẽ dễ dàng bị phát hiện và xử lý nghiêm. - HUMAN-ENF1]]</f>
        <v>8</v>
      </c>
      <c r="T79">
        <f t="shared" si="28"/>
        <v>0.77777777777777779</v>
      </c>
      <c r="U79">
        <f>step3_validation[[#This Row],[AI_ENF2]]</f>
        <v>8</v>
      </c>
      <c r="V79">
        <f t="shared" si="29"/>
        <v>0.77777777777777779</v>
      </c>
      <c r="W79">
        <f>survey_responses[[#This Row],[Tôi tin rằng Nhà nước, cơ quan thuế có đủ khả năng và công nghệ để phát hiện, xử lý nghiêm các hành vi trốn thuế. - HUMAN-ENF2]]</f>
        <v>7</v>
      </c>
      <c r="X79">
        <f t="shared" si="30"/>
        <v>0.66666666666666663</v>
      </c>
      <c r="Y79" s="32">
        <f t="shared" si="31"/>
        <v>0.66666666666666674</v>
      </c>
      <c r="Z79" s="32">
        <f t="shared" si="32"/>
        <v>0.72222222222222221</v>
      </c>
      <c r="AA79">
        <f>step3_validation[[#This Row],[AI_FAC1]]</f>
        <v>7</v>
      </c>
      <c r="AB79">
        <f t="shared" si="33"/>
        <v>0.66666666666666663</v>
      </c>
      <c r="AC79">
        <f>survey_responses[[#This Row],[Các thủ tục khai báo thuế VÀ/HOẶC quy trình làm việc với cơ quan thuế đơn giản, tiện lợi, nhanh chóng hơn so với trước đây. - HUMAN-FAC1]]</f>
        <v>9</v>
      </c>
      <c r="AD79">
        <f t="shared" si="34"/>
        <v>0.88888888888888884</v>
      </c>
      <c r="AE79">
        <f>step3_validation[[#This Row],[AI_FAC2]]</f>
        <v>9</v>
      </c>
      <c r="AF79">
        <f t="shared" si="35"/>
        <v>0.88888888888888884</v>
      </c>
      <c r="AG79">
        <f>survey_responses[[#This Row],[So với trước đây, tôi thấy cách tính thuế và các bậc thuế trong phương án mới đơn giản, dễ hiểu và dễ thực hiện hơn. - HUMAN-FAC2]]</f>
        <v>8</v>
      </c>
      <c r="AH79">
        <f t="shared" si="36"/>
        <v>0.77777777777777779</v>
      </c>
      <c r="AI79" s="32">
        <f t="shared" si="37"/>
        <v>0.77777777777777768</v>
      </c>
      <c r="AJ79" s="32">
        <f t="shared" si="38"/>
        <v>0.83333333333333326</v>
      </c>
      <c r="AK79">
        <f>step3_validation[[#This Row],[AI_TRU1]]</f>
        <v>7</v>
      </c>
      <c r="AL79">
        <f t="shared" si="39"/>
        <v>0.66666666666666663</v>
      </c>
      <c r="AM79">
        <f>survey_responses[[#This Row],[Tôi tin rằng Nhà nước, cơ quan thuế sẽ thực thi chính sách mới một cách khách quan, công tâm và đối xử bình đẳng với mọi người nộp thuế.  - HUMAN-TRU1]]</f>
        <v>8</v>
      </c>
      <c r="AN79">
        <f t="shared" si="40"/>
        <v>0.77777777777777779</v>
      </c>
      <c r="AO79">
        <f>step3_validation[[#This Row],[AI_TRU2]]</f>
        <v>9</v>
      </c>
      <c r="AP79">
        <f t="shared" si="41"/>
        <v>0.88888888888888884</v>
      </c>
      <c r="AQ79">
        <f>survey_responses[[#This Row],[Tôi thấy mức thuế tôi phải đóng theo phương án mới là công bằng (người thu nhập như tôi đóng mức này là hợp lý). - HUMAN-TRU2]]</f>
        <v>8</v>
      </c>
      <c r="AR79">
        <f t="shared" si="42"/>
        <v>0.77777777777777779</v>
      </c>
      <c r="AS79">
        <f>step3_validation[[#This Row],[AI_TRU3]]</f>
        <v>7</v>
      </c>
      <c r="AT79">
        <f t="shared" si="43"/>
        <v>0.66666666666666663</v>
      </c>
      <c r="AU79">
        <f>survey_responses[[#This Row],[Tôi tin tưởng số tiền thuế tôi đóng sẽ được Nhà nước sử dụng hiệu quả để cải thiện dịch vụ công (y tế, đường xá...). - HUMAN-TRU3]]</f>
        <v>6</v>
      </c>
      <c r="AV79">
        <f t="shared" si="44"/>
        <v>0.55555555555555558</v>
      </c>
      <c r="AW79">
        <f>step3_validation[[#This Row],[AI_TRU4]]</f>
        <v>8</v>
      </c>
      <c r="AX79">
        <f t="shared" si="45"/>
        <v>0.77777777777777779</v>
      </c>
      <c r="AY79">
        <f>survey_responses[[#This Row],[Tôi thấy Nhà nước đã giải thích rõ ràng, minh bạch về lý do và mục tiêu của việc sửa đổi thuế lần này. - HUMAN-TRU4]]</f>
        <v>6</v>
      </c>
      <c r="AZ79">
        <f t="shared" si="46"/>
        <v>0.55555555555555558</v>
      </c>
      <c r="BA79" s="32">
        <f t="shared" si="47"/>
        <v>0.74999999999999989</v>
      </c>
      <c r="BB79" s="32">
        <f t="shared" si="48"/>
        <v>0.66666666666666674</v>
      </c>
      <c r="BC79" s="7">
        <f t="shared" si="49"/>
        <v>0.7314814814814814</v>
      </c>
      <c r="BD79" s="7">
        <f t="shared" si="50"/>
        <v>0.74074074074074081</v>
      </c>
      <c r="BE79">
        <f>step3_validation[[#This Row],[AI_OUT1]]</f>
        <v>9</v>
      </c>
      <c r="BF79">
        <f t="shared" si="51"/>
        <v>0.88888888888888884</v>
      </c>
      <c r="BG79">
        <f>survey_responses[[#This Row],[Sau khi xem xét các quyền lợi và nghĩa vụ, bạn có ủng hộ và tuân thủ chính sách mới hiện nay? - HUMAN-OUT1]]</f>
        <v>7</v>
      </c>
      <c r="BH79">
        <f t="shared" si="52"/>
        <v>0.66666666666666663</v>
      </c>
      <c r="BI79" s="32">
        <f t="shared" si="53"/>
        <v>2</v>
      </c>
    </row>
    <row r="80" spans="1:61" x14ac:dyDescent="0.45">
      <c r="A80" s="30">
        <f>step3_validation[[#This Row],[Persona_ID]]</f>
        <v>79</v>
      </c>
      <c r="B80" s="31">
        <f>step3_validation[[#This Row],[Used_Seed]]</f>
        <v>12423</v>
      </c>
      <c r="C80" t="str">
        <f>step3_validation[[#This Row],[Gender]]</f>
        <v>Nữ</v>
      </c>
      <c r="D80" t="str">
        <f>survey_responses[[#This Row],[Giới tính của bạn:]]</f>
        <v>Nữ</v>
      </c>
      <c r="E80" t="str">
        <f>step3_validation[[#This Row],[Age_Group]]</f>
        <v>55 - 64</v>
      </c>
      <c r="F80" t="str">
        <f>survey_responses[[#This Row],[Độ tuổi của bạn:]]</f>
        <v>55 - 64</v>
      </c>
      <c r="G80" t="str">
        <f>step3_validation[[#This Row],[Region]]</f>
        <v>Thành thị</v>
      </c>
      <c r="H80" t="str">
        <f>survey_responses[[#This Row],[Khu vực bạn đang sinh sống:]]</f>
        <v>Thành thị</v>
      </c>
      <c r="I80" t="str">
        <f>step3_validation[[#This Row],[Education]]</f>
        <v>Trung học phổ thông</v>
      </c>
      <c r="J80" t="str">
        <f>survey_responses[[#This Row],[Trình độ học vấn cao nhất:]]</f>
        <v>Trung học phổ thông</v>
      </c>
      <c r="K80" t="str">
        <f>step3_validation[[#This Row],[Employment]]</f>
        <v>Phi chính thức</v>
      </c>
      <c r="L80" t="str">
        <f>survey_responses[[#This Row],[Tình trạng việc làm chính:]]</f>
        <v>Khác (Về hưu, nội trợ, sinh viên)</v>
      </c>
      <c r="M80">
        <f>step3_validation[[#This Row],[Income_Mil]]</f>
        <v>15.103633376351024</v>
      </c>
      <c r="N80" t="str">
        <f>survey_responses[[#This Row],[Thu nhập bình quân tháng theo Hợp đồng lao động của bạn là bao nhiêu? (Vui lòng điền tổng thu nhập trước khi khấu trừ các loại Bảo hiểm (BHXH, BHYT, BHTN) và Thuế TNCN)]]</f>
        <v>Từ 12 - 18 triệu VNĐ</v>
      </c>
      <c r="O80">
        <f>step3_validation[[#This Row],[Dependents]]</f>
        <v>0</v>
      </c>
      <c r="P80" t="str">
        <f>survey_responses[[#This Row],[Số người phụ thuộc (con nhỏ, cha mẹ già...) đủ điều kiện giảm trừ gia cảnh:]]</f>
        <v>0 người</v>
      </c>
      <c r="Q80">
        <f>step3_validation[[#This Row],[AI_ENF1]]</f>
        <v>5</v>
      </c>
      <c r="R80">
        <f t="shared" si="27"/>
        <v>0.44444444444444442</v>
      </c>
      <c r="S80">
        <f>survey_responses[[#This Row],[Tôi tin rằng với các quy định quản lý thuế hiện nay, hành vi gian lận hoặc trốn thuế sẽ dễ dàng bị phát hiện và xử lý nghiêm. - HUMAN-ENF1]]</f>
        <v>6</v>
      </c>
      <c r="T80">
        <f t="shared" si="28"/>
        <v>0.55555555555555558</v>
      </c>
      <c r="U80">
        <f>step3_validation[[#This Row],[AI_ENF2]]</f>
        <v>6</v>
      </c>
      <c r="V80">
        <f t="shared" si="29"/>
        <v>0.55555555555555558</v>
      </c>
      <c r="W80">
        <f>survey_responses[[#This Row],[Tôi tin rằng Nhà nước, cơ quan thuế có đủ khả năng và công nghệ để phát hiện, xử lý nghiêm các hành vi trốn thuế. - HUMAN-ENF2]]</f>
        <v>2</v>
      </c>
      <c r="X80">
        <f t="shared" si="30"/>
        <v>0.1111111111111111</v>
      </c>
      <c r="Y80" s="32">
        <f t="shared" si="31"/>
        <v>0.5</v>
      </c>
      <c r="Z80" s="32">
        <f t="shared" si="32"/>
        <v>0.33333333333333337</v>
      </c>
      <c r="AA80">
        <f>step3_validation[[#This Row],[AI_FAC1]]</f>
        <v>7</v>
      </c>
      <c r="AB80">
        <f t="shared" si="33"/>
        <v>0.66666666666666663</v>
      </c>
      <c r="AC80">
        <f>survey_responses[[#This Row],[Các thủ tục khai báo thuế VÀ/HOẶC quy trình làm việc với cơ quan thuế đơn giản, tiện lợi, nhanh chóng hơn so với trước đây. - HUMAN-FAC1]]</f>
        <v>3</v>
      </c>
      <c r="AD80">
        <f t="shared" si="34"/>
        <v>0.22222222222222221</v>
      </c>
      <c r="AE80">
        <f>step3_validation[[#This Row],[AI_FAC2]]</f>
        <v>8</v>
      </c>
      <c r="AF80">
        <f t="shared" si="35"/>
        <v>0.77777777777777779</v>
      </c>
      <c r="AG80">
        <f>survey_responses[[#This Row],[So với trước đây, tôi thấy cách tính thuế và các bậc thuế trong phương án mới đơn giản, dễ hiểu và dễ thực hiện hơn. - HUMAN-FAC2]]</f>
        <v>2</v>
      </c>
      <c r="AH80">
        <f t="shared" si="36"/>
        <v>0.1111111111111111</v>
      </c>
      <c r="AI80" s="32">
        <f t="shared" si="37"/>
        <v>0.72222222222222221</v>
      </c>
      <c r="AJ80" s="32">
        <f t="shared" si="38"/>
        <v>0.16666666666666666</v>
      </c>
      <c r="AK80">
        <f>step3_validation[[#This Row],[AI_TRU1]]</f>
        <v>7</v>
      </c>
      <c r="AL80">
        <f t="shared" si="39"/>
        <v>0.66666666666666663</v>
      </c>
      <c r="AM80">
        <f>survey_responses[[#This Row],[Tôi tin rằng Nhà nước, cơ quan thuế sẽ thực thi chính sách mới một cách khách quan, công tâm và đối xử bình đẳng với mọi người nộp thuế.  - HUMAN-TRU1]]</f>
        <v>3</v>
      </c>
      <c r="AN80">
        <f t="shared" si="40"/>
        <v>0.22222222222222221</v>
      </c>
      <c r="AO80">
        <f>step3_validation[[#This Row],[AI_TRU2]]</f>
        <v>9</v>
      </c>
      <c r="AP80">
        <f t="shared" si="41"/>
        <v>0.88888888888888884</v>
      </c>
      <c r="AQ80">
        <f>survey_responses[[#This Row],[Tôi thấy mức thuế tôi phải đóng theo phương án mới là công bằng (người thu nhập như tôi đóng mức này là hợp lý). - HUMAN-TRU2]]</f>
        <v>7</v>
      </c>
      <c r="AR80">
        <f t="shared" si="42"/>
        <v>0.66666666666666663</v>
      </c>
      <c r="AS80">
        <f>step3_validation[[#This Row],[AI_TRU3]]</f>
        <v>8</v>
      </c>
      <c r="AT80">
        <f t="shared" si="43"/>
        <v>0.77777777777777779</v>
      </c>
      <c r="AU80">
        <f>survey_responses[[#This Row],[Tôi tin tưởng số tiền thuế tôi đóng sẽ được Nhà nước sử dụng hiệu quả để cải thiện dịch vụ công (y tế, đường xá...). - HUMAN-TRU3]]</f>
        <v>5</v>
      </c>
      <c r="AV80">
        <f t="shared" si="44"/>
        <v>0.44444444444444442</v>
      </c>
      <c r="AW80">
        <f>step3_validation[[#This Row],[AI_TRU4]]</f>
        <v>9</v>
      </c>
      <c r="AX80">
        <f t="shared" si="45"/>
        <v>0.88888888888888884</v>
      </c>
      <c r="AY80">
        <f>survey_responses[[#This Row],[Tôi thấy Nhà nước đã giải thích rõ ràng, minh bạch về lý do và mục tiêu của việc sửa đổi thuế lần này. - HUMAN-TRU4]]</f>
        <v>5</v>
      </c>
      <c r="AZ80">
        <f t="shared" si="46"/>
        <v>0.44444444444444442</v>
      </c>
      <c r="BA80" s="32">
        <f t="shared" si="47"/>
        <v>0.80555555555555547</v>
      </c>
      <c r="BB80" s="32">
        <f t="shared" si="48"/>
        <v>0.44444444444444442</v>
      </c>
      <c r="BC80" s="7">
        <f t="shared" si="49"/>
        <v>0.67592592592592593</v>
      </c>
      <c r="BD80" s="7">
        <f t="shared" si="50"/>
        <v>0.31481481481481483</v>
      </c>
      <c r="BE80">
        <f>step3_validation[[#This Row],[AI_OUT1]]</f>
        <v>9</v>
      </c>
      <c r="BF80">
        <f t="shared" si="51"/>
        <v>0.88888888888888884</v>
      </c>
      <c r="BG80">
        <f>survey_responses[[#This Row],[Sau khi xem xét các quyền lợi và nghĩa vụ, bạn có ủng hộ và tuân thủ chính sách mới hiện nay? - HUMAN-OUT1]]</f>
        <v>7</v>
      </c>
      <c r="BH80">
        <f t="shared" si="52"/>
        <v>0.66666666666666663</v>
      </c>
      <c r="BI80" s="32">
        <f t="shared" si="53"/>
        <v>2</v>
      </c>
    </row>
    <row r="81" spans="1:61" x14ac:dyDescent="0.45">
      <c r="A81" s="30">
        <f>step3_validation[[#This Row],[Persona_ID]]</f>
        <v>80</v>
      </c>
      <c r="B81" s="31">
        <f>step3_validation[[#This Row],[Used_Seed]]</f>
        <v>12424</v>
      </c>
      <c r="C81" t="str">
        <f>step3_validation[[#This Row],[Gender]]</f>
        <v>Nam</v>
      </c>
      <c r="D81" t="str">
        <f>survey_responses[[#This Row],[Giới tính của bạn:]]</f>
        <v>Nam</v>
      </c>
      <c r="E81" t="str">
        <f>step3_validation[[#This Row],[Age_Group]]</f>
        <v>25 - 29</v>
      </c>
      <c r="F81" t="str">
        <f>survey_responses[[#This Row],[Độ tuổi của bạn:]]</f>
        <v>25 - 29</v>
      </c>
      <c r="G81" t="str">
        <f>step3_validation[[#This Row],[Region]]</f>
        <v>Thành thị</v>
      </c>
      <c r="H81" t="str">
        <f>survey_responses[[#This Row],[Khu vực bạn đang sinh sống:]]</f>
        <v>Thành thị</v>
      </c>
      <c r="I81" t="str">
        <f>step3_validation[[#This Row],[Education]]</f>
        <v>Đại học</v>
      </c>
      <c r="J81" t="str">
        <f>survey_responses[[#This Row],[Trình độ học vấn cao nhất:]]</f>
        <v>Đại học</v>
      </c>
      <c r="K81" t="str">
        <f>step3_validation[[#This Row],[Employment]]</f>
        <v>Chính thức</v>
      </c>
      <c r="L81" t="str">
        <f>survey_responses[[#This Row],[Tình trạng việc làm chính:]]</f>
        <v>Khu vực chính thức (Có Hợp đồng lao động, đóng BHXH)</v>
      </c>
      <c r="M81">
        <f>step3_validation[[#This Row],[Income_Mil]]</f>
        <v>14.140176863895586</v>
      </c>
      <c r="N81" t="str">
        <f>survey_responses[[#This Row],[Thu nhập bình quân tháng theo Hợp đồng lao động của bạn là bao nhiêu? (Vui lòng điền tổng thu nhập trước khi khấu trừ các loại Bảo hiểm (BHXH, BHYT, BHTN) và Thuế TNCN)]]</f>
        <v>Từ 12 - 18 triệu VNĐ</v>
      </c>
      <c r="O81">
        <f>step3_validation[[#This Row],[Dependents]]</f>
        <v>0</v>
      </c>
      <c r="P81" t="str">
        <f>survey_responses[[#This Row],[Số người phụ thuộc (con nhỏ, cha mẹ già...) đủ điều kiện giảm trừ gia cảnh:]]</f>
        <v>0 người</v>
      </c>
      <c r="Q81">
        <f>step3_validation[[#This Row],[AI_ENF1]]</f>
        <v>8</v>
      </c>
      <c r="R81">
        <f t="shared" si="27"/>
        <v>0.77777777777777779</v>
      </c>
      <c r="S81">
        <f>survey_responses[[#This Row],[Tôi tin rằng với các quy định quản lý thuế hiện nay, hành vi gian lận hoặc trốn thuế sẽ dễ dàng bị phát hiện và xử lý nghiêm. - HUMAN-ENF1]]</f>
        <v>8</v>
      </c>
      <c r="T81">
        <f t="shared" si="28"/>
        <v>0.77777777777777779</v>
      </c>
      <c r="U81">
        <f>step3_validation[[#This Row],[AI_ENF2]]</f>
        <v>8</v>
      </c>
      <c r="V81">
        <f t="shared" si="29"/>
        <v>0.77777777777777779</v>
      </c>
      <c r="W81">
        <f>survey_responses[[#This Row],[Tôi tin rằng Nhà nước, cơ quan thuế có đủ khả năng và công nghệ để phát hiện, xử lý nghiêm các hành vi trốn thuế. - HUMAN-ENF2]]</f>
        <v>8</v>
      </c>
      <c r="X81">
        <f t="shared" si="30"/>
        <v>0.77777777777777779</v>
      </c>
      <c r="Y81" s="32">
        <f t="shared" si="31"/>
        <v>0.77777777777777779</v>
      </c>
      <c r="Z81" s="32">
        <f t="shared" si="32"/>
        <v>0.77777777777777779</v>
      </c>
      <c r="AA81">
        <f>step3_validation[[#This Row],[AI_FAC1]]</f>
        <v>9</v>
      </c>
      <c r="AB81">
        <f t="shared" si="33"/>
        <v>0.88888888888888884</v>
      </c>
      <c r="AC81">
        <f>survey_responses[[#This Row],[Các thủ tục khai báo thuế VÀ/HOẶC quy trình làm việc với cơ quan thuế đơn giản, tiện lợi, nhanh chóng hơn so với trước đây. - HUMAN-FAC1]]</f>
        <v>8</v>
      </c>
      <c r="AD81">
        <f t="shared" si="34"/>
        <v>0.77777777777777779</v>
      </c>
      <c r="AE81">
        <f>step3_validation[[#This Row],[AI_FAC2]]</f>
        <v>8</v>
      </c>
      <c r="AF81">
        <f t="shared" si="35"/>
        <v>0.77777777777777779</v>
      </c>
      <c r="AG81">
        <f>survey_responses[[#This Row],[So với trước đây, tôi thấy cách tính thuế và các bậc thuế trong phương án mới đơn giản, dễ hiểu và dễ thực hiện hơn. - HUMAN-FAC2]]</f>
        <v>8</v>
      </c>
      <c r="AH81">
        <f t="shared" si="36"/>
        <v>0.77777777777777779</v>
      </c>
      <c r="AI81" s="32">
        <f t="shared" si="37"/>
        <v>0.83333333333333326</v>
      </c>
      <c r="AJ81" s="32">
        <f t="shared" si="38"/>
        <v>0.77777777777777779</v>
      </c>
      <c r="AK81">
        <f>step3_validation[[#This Row],[AI_TRU1]]</f>
        <v>9</v>
      </c>
      <c r="AL81">
        <f t="shared" si="39"/>
        <v>0.88888888888888884</v>
      </c>
      <c r="AM81">
        <f>survey_responses[[#This Row],[Tôi tin rằng Nhà nước, cơ quan thuế sẽ thực thi chính sách mới một cách khách quan, công tâm và đối xử bình đẳng với mọi người nộp thuế.  - HUMAN-TRU1]]</f>
        <v>8</v>
      </c>
      <c r="AN81">
        <f t="shared" si="40"/>
        <v>0.77777777777777779</v>
      </c>
      <c r="AO81">
        <f>step3_validation[[#This Row],[AI_TRU2]]</f>
        <v>8</v>
      </c>
      <c r="AP81">
        <f t="shared" si="41"/>
        <v>0.77777777777777779</v>
      </c>
      <c r="AQ81">
        <f>survey_responses[[#This Row],[Tôi thấy mức thuế tôi phải đóng theo phương án mới là công bằng (người thu nhập như tôi đóng mức này là hợp lý). - HUMAN-TRU2]]</f>
        <v>8</v>
      </c>
      <c r="AR81">
        <f t="shared" si="42"/>
        <v>0.77777777777777779</v>
      </c>
      <c r="AS81">
        <f>step3_validation[[#This Row],[AI_TRU3]]</f>
        <v>9</v>
      </c>
      <c r="AT81">
        <f t="shared" si="43"/>
        <v>0.88888888888888884</v>
      </c>
      <c r="AU81">
        <f>survey_responses[[#This Row],[Tôi tin tưởng số tiền thuế tôi đóng sẽ được Nhà nước sử dụng hiệu quả để cải thiện dịch vụ công (y tế, đường xá...). - HUMAN-TRU3]]</f>
        <v>8</v>
      </c>
      <c r="AV81">
        <f t="shared" si="44"/>
        <v>0.77777777777777779</v>
      </c>
      <c r="AW81">
        <f>step3_validation[[#This Row],[AI_TRU4]]</f>
        <v>8</v>
      </c>
      <c r="AX81">
        <f t="shared" si="45"/>
        <v>0.77777777777777779</v>
      </c>
      <c r="AY81">
        <f>survey_responses[[#This Row],[Tôi thấy Nhà nước đã giải thích rõ ràng, minh bạch về lý do và mục tiêu của việc sửa đổi thuế lần này. - HUMAN-TRU4]]</f>
        <v>8</v>
      </c>
      <c r="AZ81">
        <f t="shared" si="46"/>
        <v>0.77777777777777779</v>
      </c>
      <c r="BA81" s="32">
        <f t="shared" si="47"/>
        <v>0.83333333333333326</v>
      </c>
      <c r="BB81" s="32">
        <f t="shared" si="48"/>
        <v>0.77777777777777779</v>
      </c>
      <c r="BC81" s="7">
        <f t="shared" si="49"/>
        <v>0.81481481481481488</v>
      </c>
      <c r="BD81" s="7">
        <f t="shared" si="50"/>
        <v>0.77777777777777779</v>
      </c>
      <c r="BE81">
        <f>step3_validation[[#This Row],[AI_OUT1]]</f>
        <v>9</v>
      </c>
      <c r="BF81">
        <f t="shared" si="51"/>
        <v>0.88888888888888884</v>
      </c>
      <c r="BG81">
        <f>survey_responses[[#This Row],[Sau khi xem xét các quyền lợi và nghĩa vụ, bạn có ủng hộ và tuân thủ chính sách mới hiện nay? - HUMAN-OUT1]]</f>
        <v>8</v>
      </c>
      <c r="BH81">
        <f t="shared" si="52"/>
        <v>0.77777777777777779</v>
      </c>
      <c r="BI81" s="32">
        <f t="shared" si="53"/>
        <v>1</v>
      </c>
    </row>
    <row r="82" spans="1:61" x14ac:dyDescent="0.45">
      <c r="A82" s="30">
        <f>step3_validation[[#This Row],[Persona_ID]]</f>
        <v>81</v>
      </c>
      <c r="B82" s="31">
        <f>step3_validation[[#This Row],[Used_Seed]]</f>
        <v>12425</v>
      </c>
      <c r="C82" t="str">
        <f>step3_validation[[#This Row],[Gender]]</f>
        <v>Nam</v>
      </c>
      <c r="D82" t="str">
        <f>survey_responses[[#This Row],[Giới tính của bạn:]]</f>
        <v>Nam</v>
      </c>
      <c r="E82" t="str">
        <f>step3_validation[[#This Row],[Age_Group]]</f>
        <v>55 - 64</v>
      </c>
      <c r="F82" t="str">
        <f>survey_responses[[#This Row],[Độ tuổi của bạn:]]</f>
        <v>55 - 64</v>
      </c>
      <c r="G82" t="str">
        <f>step3_validation[[#This Row],[Region]]</f>
        <v>Thành thị</v>
      </c>
      <c r="H82" t="str">
        <f>survey_responses[[#This Row],[Khu vực bạn đang sinh sống:]]</f>
        <v>Thành thị</v>
      </c>
      <c r="I82" t="str">
        <f>step3_validation[[#This Row],[Education]]</f>
        <v>Sau Đại học</v>
      </c>
      <c r="J82" t="str">
        <f>survey_responses[[#This Row],[Trình độ học vấn cao nhất:]]</f>
        <v>Sau Đại học</v>
      </c>
      <c r="K82" t="str">
        <f>step3_validation[[#This Row],[Employment]]</f>
        <v>Phi chính thức</v>
      </c>
      <c r="L82" t="str">
        <f>survey_responses[[#This Row],[Tình trạng việc làm chính:]]</f>
        <v>Khác (Về hưu, nội trợ, sinh viên)</v>
      </c>
      <c r="M82">
        <f>step3_validation[[#This Row],[Income_Mil]]</f>
        <v>12</v>
      </c>
      <c r="N82" t="str">
        <f>survey_responses[[#This Row],[Thu nhập bình quân tháng theo Hợp đồng lao động của bạn là bao nhiêu? (Vui lòng điền tổng thu nhập trước khi khấu trừ các loại Bảo hiểm (BHXH, BHYT, BHTN) và Thuế TNCN)]]</f>
        <v>Dưới 12 triệu VNĐ</v>
      </c>
      <c r="O82">
        <f>step3_validation[[#This Row],[Dependents]]</f>
        <v>0</v>
      </c>
      <c r="P82" t="str">
        <f>survey_responses[[#This Row],[Số người phụ thuộc (con nhỏ, cha mẹ già...) đủ điều kiện giảm trừ gia cảnh:]]</f>
        <v>0 người</v>
      </c>
      <c r="Q82">
        <f>step3_validation[[#This Row],[AI_ENF1]]</f>
        <v>5</v>
      </c>
      <c r="R82">
        <f t="shared" si="27"/>
        <v>0.44444444444444442</v>
      </c>
      <c r="S82">
        <f>survey_responses[[#This Row],[Tôi tin rằng với các quy định quản lý thuế hiện nay, hành vi gian lận hoặc trốn thuế sẽ dễ dàng bị phát hiện và xử lý nghiêm. - HUMAN-ENF1]]</f>
        <v>7</v>
      </c>
      <c r="T82">
        <f t="shared" si="28"/>
        <v>0.66666666666666663</v>
      </c>
      <c r="U82">
        <f>step3_validation[[#This Row],[AI_ENF2]]</f>
        <v>6</v>
      </c>
      <c r="V82">
        <f t="shared" si="29"/>
        <v>0.55555555555555558</v>
      </c>
      <c r="W82">
        <f>survey_responses[[#This Row],[Tôi tin rằng Nhà nước, cơ quan thuế có đủ khả năng và công nghệ để phát hiện, xử lý nghiêm các hành vi trốn thuế. - HUMAN-ENF2]]</f>
        <v>7</v>
      </c>
      <c r="X82">
        <f t="shared" si="30"/>
        <v>0.66666666666666663</v>
      </c>
      <c r="Y82" s="32">
        <f t="shared" si="31"/>
        <v>0.5</v>
      </c>
      <c r="Z82" s="32">
        <f t="shared" si="32"/>
        <v>0.66666666666666663</v>
      </c>
      <c r="AA82">
        <f>step3_validation[[#This Row],[AI_FAC1]]</f>
        <v>9</v>
      </c>
      <c r="AB82">
        <f t="shared" si="33"/>
        <v>0.88888888888888884</v>
      </c>
      <c r="AC82">
        <f>survey_responses[[#This Row],[Các thủ tục khai báo thuế VÀ/HOẶC quy trình làm việc với cơ quan thuế đơn giản, tiện lợi, nhanh chóng hơn so với trước đây. - HUMAN-FAC1]]</f>
        <v>5</v>
      </c>
      <c r="AD82">
        <f t="shared" si="34"/>
        <v>0.44444444444444442</v>
      </c>
      <c r="AE82">
        <f>step3_validation[[#This Row],[AI_FAC2]]</f>
        <v>8</v>
      </c>
      <c r="AF82">
        <f t="shared" si="35"/>
        <v>0.77777777777777779</v>
      </c>
      <c r="AG82">
        <f>survey_responses[[#This Row],[So với trước đây, tôi thấy cách tính thuế và các bậc thuế trong phương án mới đơn giản, dễ hiểu và dễ thực hiện hơn. - HUMAN-FAC2]]</f>
        <v>5</v>
      </c>
      <c r="AH82">
        <f t="shared" si="36"/>
        <v>0.44444444444444442</v>
      </c>
      <c r="AI82" s="32">
        <f t="shared" si="37"/>
        <v>0.83333333333333326</v>
      </c>
      <c r="AJ82" s="32">
        <f t="shared" si="38"/>
        <v>0.44444444444444442</v>
      </c>
      <c r="AK82">
        <f>step3_validation[[#This Row],[AI_TRU1]]</f>
        <v>7</v>
      </c>
      <c r="AL82">
        <f t="shared" si="39"/>
        <v>0.66666666666666663</v>
      </c>
      <c r="AM82">
        <f>survey_responses[[#This Row],[Tôi tin rằng Nhà nước, cơ quan thuế sẽ thực thi chính sách mới một cách khách quan, công tâm và đối xử bình đẳng với mọi người nộp thuế.  - HUMAN-TRU1]]</f>
        <v>6</v>
      </c>
      <c r="AN82">
        <f t="shared" si="40"/>
        <v>0.55555555555555558</v>
      </c>
      <c r="AO82">
        <f>step3_validation[[#This Row],[AI_TRU2]]</f>
        <v>9</v>
      </c>
      <c r="AP82">
        <f t="shared" si="41"/>
        <v>0.88888888888888884</v>
      </c>
      <c r="AQ82">
        <f>survey_responses[[#This Row],[Tôi thấy mức thuế tôi phải đóng theo phương án mới là công bằng (người thu nhập như tôi đóng mức này là hợp lý). - HUMAN-TRU2]]</f>
        <v>5</v>
      </c>
      <c r="AR82">
        <f t="shared" si="42"/>
        <v>0.44444444444444442</v>
      </c>
      <c r="AS82">
        <f>step3_validation[[#This Row],[AI_TRU3]]</f>
        <v>7</v>
      </c>
      <c r="AT82">
        <f t="shared" si="43"/>
        <v>0.66666666666666663</v>
      </c>
      <c r="AU82">
        <f>survey_responses[[#This Row],[Tôi tin tưởng số tiền thuế tôi đóng sẽ được Nhà nước sử dụng hiệu quả để cải thiện dịch vụ công (y tế, đường xá...). - HUMAN-TRU3]]</f>
        <v>8</v>
      </c>
      <c r="AV82">
        <f t="shared" si="44"/>
        <v>0.77777777777777779</v>
      </c>
      <c r="AW82">
        <f>step3_validation[[#This Row],[AI_TRU4]]</f>
        <v>6</v>
      </c>
      <c r="AX82">
        <f t="shared" si="45"/>
        <v>0.55555555555555558</v>
      </c>
      <c r="AY82">
        <f>survey_responses[[#This Row],[Tôi thấy Nhà nước đã giải thích rõ ràng, minh bạch về lý do và mục tiêu của việc sửa đổi thuế lần này. - HUMAN-TRU4]]</f>
        <v>6</v>
      </c>
      <c r="AZ82">
        <f t="shared" si="46"/>
        <v>0.55555555555555558</v>
      </c>
      <c r="BA82" s="32">
        <f t="shared" si="47"/>
        <v>0.69444444444444442</v>
      </c>
      <c r="BB82" s="32">
        <f t="shared" si="48"/>
        <v>0.58333333333333326</v>
      </c>
      <c r="BC82" s="7">
        <f t="shared" si="49"/>
        <v>0.67592592592592593</v>
      </c>
      <c r="BD82" s="7">
        <f t="shared" si="50"/>
        <v>0.56481481481481477</v>
      </c>
      <c r="BE82">
        <f>step3_validation[[#This Row],[AI_OUT1]]</f>
        <v>9</v>
      </c>
      <c r="BF82">
        <f t="shared" si="51"/>
        <v>0.88888888888888884</v>
      </c>
      <c r="BG82">
        <f>survey_responses[[#This Row],[Sau khi xem xét các quyền lợi và nghĩa vụ, bạn có ủng hộ và tuân thủ chính sách mới hiện nay? - HUMAN-OUT1]]</f>
        <v>8</v>
      </c>
      <c r="BH82">
        <f t="shared" si="52"/>
        <v>0.77777777777777779</v>
      </c>
      <c r="BI82" s="32">
        <f t="shared" si="53"/>
        <v>1</v>
      </c>
    </row>
    <row r="83" spans="1:61" x14ac:dyDescent="0.45">
      <c r="A83" s="30">
        <f>step3_validation[[#This Row],[Persona_ID]]</f>
        <v>82</v>
      </c>
      <c r="B83" s="31">
        <f>step3_validation[[#This Row],[Used_Seed]]</f>
        <v>12426</v>
      </c>
      <c r="C83" t="str">
        <f>step3_validation[[#This Row],[Gender]]</f>
        <v>Nữ</v>
      </c>
      <c r="D83" t="str">
        <f>survey_responses[[#This Row],[Giới tính của bạn:]]</f>
        <v>Nữ</v>
      </c>
      <c r="E83" t="str">
        <f>step3_validation[[#This Row],[Age_Group]]</f>
        <v>55 - 64</v>
      </c>
      <c r="F83" t="str">
        <f>survey_responses[[#This Row],[Độ tuổi của bạn:]]</f>
        <v>55 - 64</v>
      </c>
      <c r="G83" t="str">
        <f>step3_validation[[#This Row],[Region]]</f>
        <v>Thành thị</v>
      </c>
      <c r="H83" t="str">
        <f>survey_responses[[#This Row],[Khu vực bạn đang sinh sống:]]</f>
        <v>Thành thị</v>
      </c>
      <c r="I83" t="str">
        <f>step3_validation[[#This Row],[Education]]</f>
        <v>Đại học</v>
      </c>
      <c r="J83" t="str">
        <f>survey_responses[[#This Row],[Trình độ học vấn cao nhất:]]</f>
        <v>Đại học</v>
      </c>
      <c r="K83" t="str">
        <f>step3_validation[[#This Row],[Employment]]</f>
        <v>Phi chính thức</v>
      </c>
      <c r="L83" t="str">
        <f>survey_responses[[#This Row],[Tình trạng việc làm chính:]]</f>
        <v>Khác (Về hưu, nội trợ, sinh viên)</v>
      </c>
      <c r="M83">
        <f>step3_validation[[#This Row],[Income_Mil]]</f>
        <v>15.135041924578026</v>
      </c>
      <c r="N83" t="str">
        <f>survey_responses[[#This Row],[Thu nhập bình quân tháng theo Hợp đồng lao động của bạn là bao nhiêu? (Vui lòng điền tổng thu nhập trước khi khấu trừ các loại Bảo hiểm (BHXH, BHYT, BHTN) và Thuế TNCN)]]</f>
        <v>Từ 12 - 18 triệu VNĐ</v>
      </c>
      <c r="O83">
        <f>step3_validation[[#This Row],[Dependents]]</f>
        <v>1</v>
      </c>
      <c r="P83" t="str">
        <f>survey_responses[[#This Row],[Số người phụ thuộc (con nhỏ, cha mẹ già...) đủ điều kiện giảm trừ gia cảnh:]]</f>
        <v>1 người</v>
      </c>
      <c r="Q83">
        <f>step3_validation[[#This Row],[AI_ENF1]]</f>
        <v>7</v>
      </c>
      <c r="R83">
        <f t="shared" si="27"/>
        <v>0.66666666666666663</v>
      </c>
      <c r="S83">
        <f>survey_responses[[#This Row],[Tôi tin rằng với các quy định quản lý thuế hiện nay, hành vi gian lận hoặc trốn thuế sẽ dễ dàng bị phát hiện và xử lý nghiêm. - HUMAN-ENF1]]</f>
        <v>8</v>
      </c>
      <c r="T83">
        <f t="shared" si="28"/>
        <v>0.77777777777777779</v>
      </c>
      <c r="U83">
        <f>step3_validation[[#This Row],[AI_ENF2]]</f>
        <v>8</v>
      </c>
      <c r="V83">
        <f t="shared" si="29"/>
        <v>0.77777777777777779</v>
      </c>
      <c r="W83">
        <f>survey_responses[[#This Row],[Tôi tin rằng Nhà nước, cơ quan thuế có đủ khả năng và công nghệ để phát hiện, xử lý nghiêm các hành vi trốn thuế. - HUMAN-ENF2]]</f>
        <v>9</v>
      </c>
      <c r="X83">
        <f t="shared" si="30"/>
        <v>0.88888888888888884</v>
      </c>
      <c r="Y83" s="32">
        <f t="shared" si="31"/>
        <v>0.72222222222222221</v>
      </c>
      <c r="Z83" s="32">
        <f t="shared" si="32"/>
        <v>0.83333333333333326</v>
      </c>
      <c r="AA83">
        <f>step3_validation[[#This Row],[AI_FAC1]]</f>
        <v>9</v>
      </c>
      <c r="AB83">
        <f t="shared" si="33"/>
        <v>0.88888888888888884</v>
      </c>
      <c r="AC83">
        <f>survey_responses[[#This Row],[Các thủ tục khai báo thuế VÀ/HOẶC quy trình làm việc với cơ quan thuế đơn giản, tiện lợi, nhanh chóng hơn so với trước đây. - HUMAN-FAC1]]</f>
        <v>5</v>
      </c>
      <c r="AD83">
        <f t="shared" si="34"/>
        <v>0.44444444444444442</v>
      </c>
      <c r="AE83">
        <f>step3_validation[[#This Row],[AI_FAC2]]</f>
        <v>10</v>
      </c>
      <c r="AF83">
        <f t="shared" si="35"/>
        <v>1</v>
      </c>
      <c r="AG83">
        <f>survey_responses[[#This Row],[So với trước đây, tôi thấy cách tính thuế và các bậc thuế trong phương án mới đơn giản, dễ hiểu và dễ thực hiện hơn. - HUMAN-FAC2]]</f>
        <v>5</v>
      </c>
      <c r="AH83">
        <f t="shared" si="36"/>
        <v>0.44444444444444442</v>
      </c>
      <c r="AI83" s="32">
        <f t="shared" si="37"/>
        <v>0.94444444444444442</v>
      </c>
      <c r="AJ83" s="32">
        <f t="shared" si="38"/>
        <v>0.44444444444444442</v>
      </c>
      <c r="AK83">
        <f>step3_validation[[#This Row],[AI_TRU1]]</f>
        <v>7</v>
      </c>
      <c r="AL83">
        <f t="shared" si="39"/>
        <v>0.66666666666666663</v>
      </c>
      <c r="AM83">
        <f>survey_responses[[#This Row],[Tôi tin rằng Nhà nước, cơ quan thuế sẽ thực thi chính sách mới một cách khách quan, công tâm và đối xử bình đẳng với mọi người nộp thuế.  - HUMAN-TRU1]]</f>
        <v>5</v>
      </c>
      <c r="AN83">
        <f t="shared" si="40"/>
        <v>0.44444444444444442</v>
      </c>
      <c r="AO83">
        <f>step3_validation[[#This Row],[AI_TRU2]]</f>
        <v>8</v>
      </c>
      <c r="AP83">
        <f t="shared" si="41"/>
        <v>0.77777777777777779</v>
      </c>
      <c r="AQ83">
        <f>survey_responses[[#This Row],[Tôi thấy mức thuế tôi phải đóng theo phương án mới là công bằng (người thu nhập như tôi đóng mức này là hợp lý). - HUMAN-TRU2]]</f>
        <v>5</v>
      </c>
      <c r="AR83">
        <f t="shared" si="42"/>
        <v>0.44444444444444442</v>
      </c>
      <c r="AS83">
        <f>step3_validation[[#This Row],[AI_TRU3]]</f>
        <v>7</v>
      </c>
      <c r="AT83">
        <f t="shared" si="43"/>
        <v>0.66666666666666663</v>
      </c>
      <c r="AU83">
        <f>survey_responses[[#This Row],[Tôi tin tưởng số tiền thuế tôi đóng sẽ được Nhà nước sử dụng hiệu quả để cải thiện dịch vụ công (y tế, đường xá...). - HUMAN-TRU3]]</f>
        <v>1</v>
      </c>
      <c r="AV83">
        <f t="shared" si="44"/>
        <v>0</v>
      </c>
      <c r="AW83">
        <f>step3_validation[[#This Row],[AI_TRU4]]</f>
        <v>6</v>
      </c>
      <c r="AX83">
        <f t="shared" si="45"/>
        <v>0.55555555555555558</v>
      </c>
      <c r="AY83">
        <f>survey_responses[[#This Row],[Tôi thấy Nhà nước đã giải thích rõ ràng, minh bạch về lý do và mục tiêu của việc sửa đổi thuế lần này. - HUMAN-TRU4]]</f>
        <v>5</v>
      </c>
      <c r="AZ83">
        <f t="shared" si="46"/>
        <v>0.44444444444444442</v>
      </c>
      <c r="BA83" s="32">
        <f t="shared" si="47"/>
        <v>0.66666666666666674</v>
      </c>
      <c r="BB83" s="32">
        <f t="shared" si="48"/>
        <v>0.33333333333333331</v>
      </c>
      <c r="BC83" s="7">
        <f t="shared" si="49"/>
        <v>0.77777777777777768</v>
      </c>
      <c r="BD83" s="7">
        <f t="shared" si="50"/>
        <v>0.53703703703703698</v>
      </c>
      <c r="BE83">
        <f>step3_validation[[#This Row],[AI_OUT1]]</f>
        <v>8</v>
      </c>
      <c r="BF83">
        <f t="shared" si="51"/>
        <v>0.77777777777777779</v>
      </c>
      <c r="BG83">
        <f>survey_responses[[#This Row],[Sau khi xem xét các quyền lợi và nghĩa vụ, bạn có ủng hộ và tuân thủ chính sách mới hiện nay? - HUMAN-OUT1]]</f>
        <v>5</v>
      </c>
      <c r="BH83">
        <f t="shared" si="52"/>
        <v>0.44444444444444442</v>
      </c>
      <c r="BI83" s="32">
        <f t="shared" si="53"/>
        <v>3</v>
      </c>
    </row>
    <row r="84" spans="1:61" x14ac:dyDescent="0.45">
      <c r="A84" s="30">
        <f>step3_validation[[#This Row],[Persona_ID]]</f>
        <v>83</v>
      </c>
      <c r="B84" s="31">
        <f>step3_validation[[#This Row],[Used_Seed]]</f>
        <v>12427</v>
      </c>
      <c r="C84" t="str">
        <f>step3_validation[[#This Row],[Gender]]</f>
        <v>Nữ</v>
      </c>
      <c r="D84" t="str">
        <f>survey_responses[[#This Row],[Giới tính của bạn:]]</f>
        <v>Nữ</v>
      </c>
      <c r="E84" t="str">
        <f>step3_validation[[#This Row],[Age_Group]]</f>
        <v>40 - 49</v>
      </c>
      <c r="F84" t="str">
        <f>survey_responses[[#This Row],[Độ tuổi của bạn:]]</f>
        <v>40 - 49</v>
      </c>
      <c r="G84" t="str">
        <f>step3_validation[[#This Row],[Region]]</f>
        <v>Thành thị</v>
      </c>
      <c r="H84" t="str">
        <f>survey_responses[[#This Row],[Khu vực bạn đang sinh sống:]]</f>
        <v>Thành thị</v>
      </c>
      <c r="I84" t="str">
        <f>step3_validation[[#This Row],[Education]]</f>
        <v>Sau Đại học</v>
      </c>
      <c r="J84" t="str">
        <f>survey_responses[[#This Row],[Trình độ học vấn cao nhất:]]</f>
        <v>Sau Đại học</v>
      </c>
      <c r="K84" t="str">
        <f>step3_validation[[#This Row],[Employment]]</f>
        <v>Chính thức</v>
      </c>
      <c r="L84" t="str">
        <f>survey_responses[[#This Row],[Tình trạng việc làm chính:]]</f>
        <v>Khu vực chính thức (Có Hợp đồng lao động, đóng BHXH)</v>
      </c>
      <c r="M84">
        <f>step3_validation[[#This Row],[Income_Mil]]</f>
        <v>12.3044467206063</v>
      </c>
      <c r="N84" t="str">
        <f>survey_responses[[#This Row],[Thu nhập bình quân tháng theo Hợp đồng lao động của bạn là bao nhiêu? (Vui lòng điền tổng thu nhập trước khi khấu trừ các loại Bảo hiểm (BHXH, BHYT, BHTN) và Thuế TNCN)]]</f>
        <v>Từ 12 - 18 triệu VNĐ</v>
      </c>
      <c r="O84">
        <f>step3_validation[[#This Row],[Dependents]]</f>
        <v>2</v>
      </c>
      <c r="P84" t="str">
        <f>survey_responses[[#This Row],[Số người phụ thuộc (con nhỏ, cha mẹ già...) đủ điều kiện giảm trừ gia cảnh:]]</f>
        <v>2 người</v>
      </c>
      <c r="Q84">
        <f>step3_validation[[#This Row],[AI_ENF1]]</f>
        <v>4</v>
      </c>
      <c r="R84">
        <f t="shared" si="27"/>
        <v>0.33333333333333331</v>
      </c>
      <c r="S84">
        <f>survey_responses[[#This Row],[Tôi tin rằng với các quy định quản lý thuế hiện nay, hành vi gian lận hoặc trốn thuế sẽ dễ dàng bị phát hiện và xử lý nghiêm. - HUMAN-ENF1]]</f>
        <v>10</v>
      </c>
      <c r="T84">
        <f t="shared" si="28"/>
        <v>1</v>
      </c>
      <c r="U84">
        <f>step3_validation[[#This Row],[AI_ENF2]]</f>
        <v>5</v>
      </c>
      <c r="V84">
        <f t="shared" si="29"/>
        <v>0.44444444444444442</v>
      </c>
      <c r="W84">
        <f>survey_responses[[#This Row],[Tôi tin rằng Nhà nước, cơ quan thuế có đủ khả năng và công nghệ để phát hiện, xử lý nghiêm các hành vi trốn thuế. - HUMAN-ENF2]]</f>
        <v>8</v>
      </c>
      <c r="X84">
        <f t="shared" si="30"/>
        <v>0.77777777777777779</v>
      </c>
      <c r="Y84" s="32">
        <f t="shared" si="31"/>
        <v>0.38888888888888884</v>
      </c>
      <c r="Z84" s="32">
        <f t="shared" si="32"/>
        <v>0.88888888888888884</v>
      </c>
      <c r="AA84">
        <f>step3_validation[[#This Row],[AI_FAC1]]</f>
        <v>8</v>
      </c>
      <c r="AB84">
        <f t="shared" si="33"/>
        <v>0.77777777777777779</v>
      </c>
      <c r="AC84">
        <f>survey_responses[[#This Row],[Các thủ tục khai báo thuế VÀ/HOẶC quy trình làm việc với cơ quan thuế đơn giản, tiện lợi, nhanh chóng hơn so với trước đây. - HUMAN-FAC1]]</f>
        <v>8</v>
      </c>
      <c r="AD84">
        <f t="shared" si="34"/>
        <v>0.77777777777777779</v>
      </c>
      <c r="AE84">
        <f>step3_validation[[#This Row],[AI_FAC2]]</f>
        <v>9</v>
      </c>
      <c r="AF84">
        <f t="shared" si="35"/>
        <v>0.88888888888888884</v>
      </c>
      <c r="AG84">
        <f>survey_responses[[#This Row],[So với trước đây, tôi thấy cách tính thuế và các bậc thuế trong phương án mới đơn giản, dễ hiểu và dễ thực hiện hơn. - HUMAN-FAC2]]</f>
        <v>7</v>
      </c>
      <c r="AH84">
        <f t="shared" si="36"/>
        <v>0.66666666666666663</v>
      </c>
      <c r="AI84" s="32">
        <f t="shared" si="37"/>
        <v>0.83333333333333326</v>
      </c>
      <c r="AJ84" s="32">
        <f t="shared" si="38"/>
        <v>0.72222222222222221</v>
      </c>
      <c r="AK84">
        <f>step3_validation[[#This Row],[AI_TRU1]]</f>
        <v>8</v>
      </c>
      <c r="AL84">
        <f t="shared" si="39"/>
        <v>0.77777777777777779</v>
      </c>
      <c r="AM84">
        <f>survey_responses[[#This Row],[Tôi tin rằng Nhà nước, cơ quan thuế sẽ thực thi chính sách mới một cách khách quan, công tâm và đối xử bình đẳng với mọi người nộp thuế.  - HUMAN-TRU1]]</f>
        <v>7</v>
      </c>
      <c r="AN84">
        <f t="shared" si="40"/>
        <v>0.66666666666666663</v>
      </c>
      <c r="AO84">
        <f>step3_validation[[#This Row],[AI_TRU2]]</f>
        <v>9</v>
      </c>
      <c r="AP84">
        <f t="shared" si="41"/>
        <v>0.88888888888888884</v>
      </c>
      <c r="AQ84">
        <f>survey_responses[[#This Row],[Tôi thấy mức thuế tôi phải đóng theo phương án mới là công bằng (người thu nhập như tôi đóng mức này là hợp lý). - HUMAN-TRU2]]</f>
        <v>6</v>
      </c>
      <c r="AR84">
        <f t="shared" si="42"/>
        <v>0.55555555555555558</v>
      </c>
      <c r="AS84">
        <f>step3_validation[[#This Row],[AI_TRU3]]</f>
        <v>8</v>
      </c>
      <c r="AT84">
        <f t="shared" si="43"/>
        <v>0.77777777777777779</v>
      </c>
      <c r="AU84">
        <f>survey_responses[[#This Row],[Tôi tin tưởng số tiền thuế tôi đóng sẽ được Nhà nước sử dụng hiệu quả để cải thiện dịch vụ công (y tế, đường xá...). - HUMAN-TRU3]]</f>
        <v>7</v>
      </c>
      <c r="AV84">
        <f t="shared" si="44"/>
        <v>0.66666666666666663</v>
      </c>
      <c r="AW84">
        <f>step3_validation[[#This Row],[AI_TRU4]]</f>
        <v>6</v>
      </c>
      <c r="AX84">
        <f t="shared" si="45"/>
        <v>0.55555555555555558</v>
      </c>
      <c r="AY84">
        <f>survey_responses[[#This Row],[Tôi thấy Nhà nước đã giải thích rõ ràng, minh bạch về lý do và mục tiêu của việc sửa đổi thuế lần này. - HUMAN-TRU4]]</f>
        <v>6</v>
      </c>
      <c r="AZ84">
        <f t="shared" si="46"/>
        <v>0.55555555555555558</v>
      </c>
      <c r="BA84" s="32">
        <f t="shared" si="47"/>
        <v>0.75</v>
      </c>
      <c r="BB84" s="32">
        <f t="shared" si="48"/>
        <v>0.61111111111111116</v>
      </c>
      <c r="BC84" s="7">
        <f t="shared" si="49"/>
        <v>0.65740740740740733</v>
      </c>
      <c r="BD84" s="7">
        <f t="shared" si="50"/>
        <v>0.74074074074074081</v>
      </c>
      <c r="BE84">
        <f>step3_validation[[#This Row],[AI_OUT1]]</f>
        <v>7</v>
      </c>
      <c r="BF84">
        <f t="shared" si="51"/>
        <v>0.66666666666666663</v>
      </c>
      <c r="BG84">
        <f>survey_responses[[#This Row],[Sau khi xem xét các quyền lợi và nghĩa vụ, bạn có ủng hộ và tuân thủ chính sách mới hiện nay? - HUMAN-OUT1]]</f>
        <v>8</v>
      </c>
      <c r="BH84">
        <f t="shared" si="52"/>
        <v>0.77777777777777779</v>
      </c>
      <c r="BI84" s="32">
        <f t="shared" si="53"/>
        <v>1</v>
      </c>
    </row>
    <row r="85" spans="1:61" x14ac:dyDescent="0.45">
      <c r="A85" s="30">
        <f>step3_validation[[#This Row],[Persona_ID]]</f>
        <v>84</v>
      </c>
      <c r="B85" s="31">
        <f>step3_validation[[#This Row],[Used_Seed]]</f>
        <v>12428</v>
      </c>
      <c r="C85" t="str">
        <f>step3_validation[[#This Row],[Gender]]</f>
        <v>Nữ</v>
      </c>
      <c r="D85" t="str">
        <f>survey_responses[[#This Row],[Giới tính của bạn:]]</f>
        <v>Nữ</v>
      </c>
      <c r="E85" t="str">
        <f>step3_validation[[#This Row],[Age_Group]]</f>
        <v>30 - 39</v>
      </c>
      <c r="F85" t="str">
        <f>survey_responses[[#This Row],[Độ tuổi của bạn:]]</f>
        <v>30 - 39</v>
      </c>
      <c r="G85" t="str">
        <f>step3_validation[[#This Row],[Region]]</f>
        <v>Thành thị</v>
      </c>
      <c r="H85" t="str">
        <f>survey_responses[[#This Row],[Khu vực bạn đang sinh sống:]]</f>
        <v>Thành thị</v>
      </c>
      <c r="I85" t="str">
        <f>step3_validation[[#This Row],[Education]]</f>
        <v>Cao đẳng</v>
      </c>
      <c r="J85" t="str">
        <f>survey_responses[[#This Row],[Trình độ học vấn cao nhất:]]</f>
        <v>Cao đẳng</v>
      </c>
      <c r="K85" t="str">
        <f>step3_validation[[#This Row],[Employment]]</f>
        <v>Chính thức</v>
      </c>
      <c r="L85" t="str">
        <f>survey_responses[[#This Row],[Tình trạng việc làm chính:]]</f>
        <v>Khu vực chính thức (Có Hợp đồng lao động, đóng BHXH)</v>
      </c>
      <c r="M85">
        <f>step3_validation[[#This Row],[Income_Mil]]</f>
        <v>12.024673872801911</v>
      </c>
      <c r="N85" t="str">
        <f>survey_responses[[#This Row],[Thu nhập bình quân tháng theo Hợp đồng lao động của bạn là bao nhiêu? (Vui lòng điền tổng thu nhập trước khi khấu trừ các loại Bảo hiểm (BHXH, BHYT, BHTN) và Thuế TNCN)]]</f>
        <v>Từ 12 - 18 triệu VNĐ</v>
      </c>
      <c r="O85">
        <f>step3_validation[[#This Row],[Dependents]]</f>
        <v>1</v>
      </c>
      <c r="P85" t="str">
        <f>survey_responses[[#This Row],[Số người phụ thuộc (con nhỏ, cha mẹ già...) đủ điều kiện giảm trừ gia cảnh:]]</f>
        <v>1 người</v>
      </c>
      <c r="Q85">
        <f>step3_validation[[#This Row],[AI_ENF1]]</f>
        <v>8</v>
      </c>
      <c r="R85">
        <f t="shared" si="27"/>
        <v>0.77777777777777779</v>
      </c>
      <c r="S85">
        <f>survey_responses[[#This Row],[Tôi tin rằng với các quy định quản lý thuế hiện nay, hành vi gian lận hoặc trốn thuế sẽ dễ dàng bị phát hiện và xử lý nghiêm. - HUMAN-ENF1]]</f>
        <v>6</v>
      </c>
      <c r="T85">
        <f t="shared" si="28"/>
        <v>0.55555555555555558</v>
      </c>
      <c r="U85">
        <f>step3_validation[[#This Row],[AI_ENF2]]</f>
        <v>9</v>
      </c>
      <c r="V85">
        <f t="shared" si="29"/>
        <v>0.88888888888888884</v>
      </c>
      <c r="W85">
        <f>survey_responses[[#This Row],[Tôi tin rằng Nhà nước, cơ quan thuế có đủ khả năng và công nghệ để phát hiện, xử lý nghiêm các hành vi trốn thuế. - HUMAN-ENF2]]</f>
        <v>7</v>
      </c>
      <c r="X85">
        <f t="shared" si="30"/>
        <v>0.66666666666666663</v>
      </c>
      <c r="Y85" s="32">
        <f t="shared" si="31"/>
        <v>0.83333333333333326</v>
      </c>
      <c r="Z85" s="32">
        <f t="shared" si="32"/>
        <v>0.61111111111111116</v>
      </c>
      <c r="AA85">
        <f>step3_validation[[#This Row],[AI_FAC1]]</f>
        <v>7</v>
      </c>
      <c r="AB85">
        <f t="shared" si="33"/>
        <v>0.66666666666666663</v>
      </c>
      <c r="AC85">
        <f>survey_responses[[#This Row],[Các thủ tục khai báo thuế VÀ/HOẶC quy trình làm việc với cơ quan thuế đơn giản, tiện lợi, nhanh chóng hơn so với trước đây. - HUMAN-FAC1]]</f>
        <v>5</v>
      </c>
      <c r="AD85">
        <f t="shared" si="34"/>
        <v>0.44444444444444442</v>
      </c>
      <c r="AE85">
        <f>step3_validation[[#This Row],[AI_FAC2]]</f>
        <v>9</v>
      </c>
      <c r="AF85">
        <f t="shared" si="35"/>
        <v>0.88888888888888884</v>
      </c>
      <c r="AG85">
        <f>survey_responses[[#This Row],[So với trước đây, tôi thấy cách tính thuế và các bậc thuế trong phương án mới đơn giản, dễ hiểu và dễ thực hiện hơn. - HUMAN-FAC2]]</f>
        <v>5</v>
      </c>
      <c r="AH85">
        <f t="shared" si="36"/>
        <v>0.44444444444444442</v>
      </c>
      <c r="AI85" s="32">
        <f t="shared" si="37"/>
        <v>0.77777777777777768</v>
      </c>
      <c r="AJ85" s="32">
        <f t="shared" si="38"/>
        <v>0.44444444444444442</v>
      </c>
      <c r="AK85">
        <f>step3_validation[[#This Row],[AI_TRU1]]</f>
        <v>8</v>
      </c>
      <c r="AL85">
        <f t="shared" si="39"/>
        <v>0.77777777777777779</v>
      </c>
      <c r="AM85">
        <f>survey_responses[[#This Row],[Tôi tin rằng Nhà nước, cơ quan thuế sẽ thực thi chính sách mới một cách khách quan, công tâm và đối xử bình đẳng với mọi người nộp thuế.  - HUMAN-TRU1]]</f>
        <v>5</v>
      </c>
      <c r="AN85">
        <f t="shared" si="40"/>
        <v>0.44444444444444442</v>
      </c>
      <c r="AO85">
        <f>step3_validation[[#This Row],[AI_TRU2]]</f>
        <v>9</v>
      </c>
      <c r="AP85">
        <f t="shared" si="41"/>
        <v>0.88888888888888884</v>
      </c>
      <c r="AQ85">
        <f>survey_responses[[#This Row],[Tôi thấy mức thuế tôi phải đóng theo phương án mới là công bằng (người thu nhập như tôi đóng mức này là hợp lý). - HUMAN-TRU2]]</f>
        <v>5</v>
      </c>
      <c r="AR85">
        <f t="shared" si="42"/>
        <v>0.44444444444444442</v>
      </c>
      <c r="AS85">
        <f>step3_validation[[#This Row],[AI_TRU3]]</f>
        <v>8</v>
      </c>
      <c r="AT85">
        <f t="shared" si="43"/>
        <v>0.77777777777777779</v>
      </c>
      <c r="AU85">
        <f>survey_responses[[#This Row],[Tôi tin tưởng số tiền thuế tôi đóng sẽ được Nhà nước sử dụng hiệu quả để cải thiện dịch vụ công (y tế, đường xá...). - HUMAN-TRU3]]</f>
        <v>5</v>
      </c>
      <c r="AV85">
        <f t="shared" si="44"/>
        <v>0.44444444444444442</v>
      </c>
      <c r="AW85">
        <f>step3_validation[[#This Row],[AI_TRU4]]</f>
        <v>9</v>
      </c>
      <c r="AX85">
        <f t="shared" si="45"/>
        <v>0.88888888888888884</v>
      </c>
      <c r="AY85">
        <f>survey_responses[[#This Row],[Tôi thấy Nhà nước đã giải thích rõ ràng, minh bạch về lý do và mục tiêu của việc sửa đổi thuế lần này. - HUMAN-TRU4]]</f>
        <v>5</v>
      </c>
      <c r="AZ85">
        <f t="shared" si="46"/>
        <v>0.44444444444444442</v>
      </c>
      <c r="BA85" s="32">
        <f t="shared" si="47"/>
        <v>0.83333333333333326</v>
      </c>
      <c r="BB85" s="32">
        <f t="shared" si="48"/>
        <v>0.44444444444444442</v>
      </c>
      <c r="BC85" s="7">
        <f t="shared" si="49"/>
        <v>0.81481481481481477</v>
      </c>
      <c r="BD85" s="7">
        <f t="shared" si="50"/>
        <v>0.5</v>
      </c>
      <c r="BE85">
        <f>step3_validation[[#This Row],[AI_OUT1]]</f>
        <v>8</v>
      </c>
      <c r="BF85">
        <f t="shared" si="51"/>
        <v>0.77777777777777779</v>
      </c>
      <c r="BG85">
        <f>survey_responses[[#This Row],[Sau khi xem xét các quyền lợi và nghĩa vụ, bạn có ủng hộ và tuân thủ chính sách mới hiện nay? - HUMAN-OUT1]]</f>
        <v>5</v>
      </c>
      <c r="BH85">
        <f t="shared" si="52"/>
        <v>0.44444444444444442</v>
      </c>
      <c r="BI85" s="32">
        <f t="shared" si="53"/>
        <v>3</v>
      </c>
    </row>
    <row r="86" spans="1:61" x14ac:dyDescent="0.45">
      <c r="A86" s="30">
        <f>step3_validation[[#This Row],[Persona_ID]]</f>
        <v>85</v>
      </c>
      <c r="B86" s="31">
        <f>step3_validation[[#This Row],[Used_Seed]]</f>
        <v>12429</v>
      </c>
      <c r="C86" t="str">
        <f>step3_validation[[#This Row],[Gender]]</f>
        <v>Nữ</v>
      </c>
      <c r="D86" t="str">
        <f>survey_responses[[#This Row],[Giới tính của bạn:]]</f>
        <v>Nữ</v>
      </c>
      <c r="E86" t="str">
        <f>step3_validation[[#This Row],[Age_Group]]</f>
        <v>40 - 49</v>
      </c>
      <c r="F86" t="str">
        <f>survey_responses[[#This Row],[Độ tuổi của bạn:]]</f>
        <v>40 - 49</v>
      </c>
      <c r="G86" t="str">
        <f>step3_validation[[#This Row],[Region]]</f>
        <v>Thành thị</v>
      </c>
      <c r="H86" t="str">
        <f>survey_responses[[#This Row],[Khu vực bạn đang sinh sống:]]</f>
        <v>Thành thị</v>
      </c>
      <c r="I86" t="str">
        <f>step3_validation[[#This Row],[Education]]</f>
        <v>Đại học</v>
      </c>
      <c r="J86" t="str">
        <f>survey_responses[[#This Row],[Trình độ học vấn cao nhất:]]</f>
        <v>Đại học</v>
      </c>
      <c r="K86" t="str">
        <f>step3_validation[[#This Row],[Employment]]</f>
        <v>Chính thức</v>
      </c>
      <c r="L86" t="str">
        <f>survey_responses[[#This Row],[Tình trạng việc làm chính:]]</f>
        <v>Khu vực chính thức (Có Hợp đồng lao động, đóng BHXH)</v>
      </c>
      <c r="M86">
        <f>step3_validation[[#This Row],[Income_Mil]]</f>
        <v>14.83525377811864</v>
      </c>
      <c r="N86" t="str">
        <f>survey_responses[[#This Row],[Thu nhập bình quân tháng theo Hợp đồng lao động của bạn là bao nhiêu? (Vui lòng điền tổng thu nhập trước khi khấu trừ các loại Bảo hiểm (BHXH, BHYT, BHTN) và Thuế TNCN)]]</f>
        <v>Từ 12 - 18 triệu VNĐ</v>
      </c>
      <c r="O86">
        <f>step3_validation[[#This Row],[Dependents]]</f>
        <v>2</v>
      </c>
      <c r="P86" t="str">
        <f>survey_responses[[#This Row],[Số người phụ thuộc (con nhỏ, cha mẹ già...) đủ điều kiện giảm trừ gia cảnh:]]</f>
        <v>2 người</v>
      </c>
      <c r="Q86">
        <f>step3_validation[[#This Row],[AI_ENF1]]</f>
        <v>6</v>
      </c>
      <c r="R86">
        <f t="shared" si="27"/>
        <v>0.55555555555555558</v>
      </c>
      <c r="S86">
        <f>survey_responses[[#This Row],[Tôi tin rằng với các quy định quản lý thuế hiện nay, hành vi gian lận hoặc trốn thuế sẽ dễ dàng bị phát hiện và xử lý nghiêm. - HUMAN-ENF1]]</f>
        <v>9</v>
      </c>
      <c r="T86">
        <f t="shared" si="28"/>
        <v>0.88888888888888884</v>
      </c>
      <c r="U86">
        <f>step3_validation[[#This Row],[AI_ENF2]]</f>
        <v>6</v>
      </c>
      <c r="V86">
        <f t="shared" si="29"/>
        <v>0.55555555555555558</v>
      </c>
      <c r="W86">
        <f>survey_responses[[#This Row],[Tôi tin rằng Nhà nước, cơ quan thuế có đủ khả năng và công nghệ để phát hiện, xử lý nghiêm các hành vi trốn thuế. - HUMAN-ENF2]]</f>
        <v>9</v>
      </c>
      <c r="X86">
        <f t="shared" si="30"/>
        <v>0.88888888888888884</v>
      </c>
      <c r="Y86" s="32">
        <f t="shared" si="31"/>
        <v>0.55555555555555558</v>
      </c>
      <c r="Z86" s="32">
        <f t="shared" si="32"/>
        <v>0.88888888888888884</v>
      </c>
      <c r="AA86">
        <f>step3_validation[[#This Row],[AI_FAC1]]</f>
        <v>8</v>
      </c>
      <c r="AB86">
        <f t="shared" si="33"/>
        <v>0.77777777777777779</v>
      </c>
      <c r="AC86">
        <f>survey_responses[[#This Row],[Các thủ tục khai báo thuế VÀ/HOẶC quy trình làm việc với cơ quan thuế đơn giản, tiện lợi, nhanh chóng hơn so với trước đây. - HUMAN-FAC1]]</f>
        <v>8</v>
      </c>
      <c r="AD86">
        <f t="shared" si="34"/>
        <v>0.77777777777777779</v>
      </c>
      <c r="AE86">
        <f>step3_validation[[#This Row],[AI_FAC2]]</f>
        <v>9</v>
      </c>
      <c r="AF86">
        <f t="shared" si="35"/>
        <v>0.88888888888888884</v>
      </c>
      <c r="AG86">
        <f>survey_responses[[#This Row],[So với trước đây, tôi thấy cách tính thuế và các bậc thuế trong phương án mới đơn giản, dễ hiểu và dễ thực hiện hơn. - HUMAN-FAC2]]</f>
        <v>9</v>
      </c>
      <c r="AH86">
        <f t="shared" si="36"/>
        <v>0.88888888888888884</v>
      </c>
      <c r="AI86" s="32">
        <f t="shared" si="37"/>
        <v>0.83333333333333326</v>
      </c>
      <c r="AJ86" s="32">
        <f t="shared" si="38"/>
        <v>0.83333333333333326</v>
      </c>
      <c r="AK86">
        <f>step3_validation[[#This Row],[AI_TRU1]]</f>
        <v>8</v>
      </c>
      <c r="AL86">
        <f t="shared" si="39"/>
        <v>0.77777777777777779</v>
      </c>
      <c r="AM86">
        <f>survey_responses[[#This Row],[Tôi tin rằng Nhà nước, cơ quan thuế sẽ thực thi chính sách mới một cách khách quan, công tâm và đối xử bình đẳng với mọi người nộp thuế.  - HUMAN-TRU1]]</f>
        <v>9</v>
      </c>
      <c r="AN86">
        <f t="shared" si="40"/>
        <v>0.88888888888888884</v>
      </c>
      <c r="AO86">
        <f>step3_validation[[#This Row],[AI_TRU2]]</f>
        <v>7</v>
      </c>
      <c r="AP86">
        <f t="shared" si="41"/>
        <v>0.66666666666666663</v>
      </c>
      <c r="AQ86">
        <f>survey_responses[[#This Row],[Tôi thấy mức thuế tôi phải đóng theo phương án mới là công bằng (người thu nhập như tôi đóng mức này là hợp lý). - HUMAN-TRU2]]</f>
        <v>9</v>
      </c>
      <c r="AR86">
        <f t="shared" si="42"/>
        <v>0.88888888888888884</v>
      </c>
      <c r="AS86">
        <f>step3_validation[[#This Row],[AI_TRU3]]</f>
        <v>8</v>
      </c>
      <c r="AT86">
        <f t="shared" si="43"/>
        <v>0.77777777777777779</v>
      </c>
      <c r="AU86">
        <f>survey_responses[[#This Row],[Tôi tin tưởng số tiền thuế tôi đóng sẽ được Nhà nước sử dụng hiệu quả để cải thiện dịch vụ công (y tế, đường xá...). - HUMAN-TRU3]]</f>
        <v>7</v>
      </c>
      <c r="AV86">
        <f t="shared" si="44"/>
        <v>0.66666666666666663</v>
      </c>
      <c r="AW86">
        <f>step3_validation[[#This Row],[AI_TRU4]]</f>
        <v>7</v>
      </c>
      <c r="AX86">
        <f t="shared" si="45"/>
        <v>0.66666666666666663</v>
      </c>
      <c r="AY86">
        <f>survey_responses[[#This Row],[Tôi thấy Nhà nước đã giải thích rõ ràng, minh bạch về lý do và mục tiêu của việc sửa đổi thuế lần này. - HUMAN-TRU4]]</f>
        <v>8</v>
      </c>
      <c r="AZ86">
        <f t="shared" si="46"/>
        <v>0.77777777777777779</v>
      </c>
      <c r="BA86" s="32">
        <f t="shared" si="47"/>
        <v>0.72222222222222221</v>
      </c>
      <c r="BB86" s="32">
        <f t="shared" si="48"/>
        <v>0.80555555555555547</v>
      </c>
      <c r="BC86" s="7">
        <f t="shared" si="49"/>
        <v>0.70370370370370372</v>
      </c>
      <c r="BD86" s="7">
        <f t="shared" si="50"/>
        <v>0.84259259259259256</v>
      </c>
      <c r="BE86">
        <f>step3_validation[[#This Row],[AI_OUT1]]</f>
        <v>8</v>
      </c>
      <c r="BF86">
        <f t="shared" si="51"/>
        <v>0.77777777777777779</v>
      </c>
      <c r="BG86">
        <f>survey_responses[[#This Row],[Sau khi xem xét các quyền lợi và nghĩa vụ, bạn có ủng hộ và tuân thủ chính sách mới hiện nay? - HUMAN-OUT1]]</f>
        <v>8</v>
      </c>
      <c r="BH86">
        <f t="shared" si="52"/>
        <v>0.77777777777777779</v>
      </c>
      <c r="BI86" s="32">
        <f t="shared" si="53"/>
        <v>0</v>
      </c>
    </row>
    <row r="87" spans="1:61" x14ac:dyDescent="0.45">
      <c r="A87" s="30">
        <f>step3_validation[[#This Row],[Persona_ID]]</f>
        <v>86</v>
      </c>
      <c r="B87" s="31">
        <f>step3_validation[[#This Row],[Used_Seed]]</f>
        <v>12430</v>
      </c>
      <c r="C87" t="str">
        <f>step3_validation[[#This Row],[Gender]]</f>
        <v>Nam</v>
      </c>
      <c r="D87" t="str">
        <f>survey_responses[[#This Row],[Giới tính của bạn:]]</f>
        <v>Nam</v>
      </c>
      <c r="E87" t="str">
        <f>step3_validation[[#This Row],[Age_Group]]</f>
        <v>30 - 39</v>
      </c>
      <c r="F87" t="str">
        <f>survey_responses[[#This Row],[Độ tuổi của bạn:]]</f>
        <v>30 - 39</v>
      </c>
      <c r="G87" t="str">
        <f>step3_validation[[#This Row],[Region]]</f>
        <v>Nông thôn</v>
      </c>
      <c r="H87" t="str">
        <f>survey_responses[[#This Row],[Khu vực bạn đang sinh sống:]]</f>
        <v>Nông thôn</v>
      </c>
      <c r="I87" t="str">
        <f>step3_validation[[#This Row],[Education]]</f>
        <v>Đại học</v>
      </c>
      <c r="J87" t="str">
        <f>survey_responses[[#This Row],[Trình độ học vấn cao nhất:]]</f>
        <v>Đại học</v>
      </c>
      <c r="K87" t="str">
        <f>step3_validation[[#This Row],[Employment]]</f>
        <v>Chính thức</v>
      </c>
      <c r="L87" t="str">
        <f>survey_responses[[#This Row],[Tình trạng việc làm chính:]]</f>
        <v>Khu vực chính thức (Có Hợp đồng lao động, đóng BHXH)</v>
      </c>
      <c r="M87">
        <f>step3_validation[[#This Row],[Income_Mil]]</f>
        <v>14.195470345216716</v>
      </c>
      <c r="N87" t="str">
        <f>survey_responses[[#This Row],[Thu nhập bình quân tháng theo Hợp đồng lao động của bạn là bao nhiêu? (Vui lòng điền tổng thu nhập trước khi khấu trừ các loại Bảo hiểm (BHXH, BHYT, BHTN) và Thuế TNCN)]]</f>
        <v>Từ 12 - 18 triệu VNĐ</v>
      </c>
      <c r="O87">
        <f>step3_validation[[#This Row],[Dependents]]</f>
        <v>0</v>
      </c>
      <c r="P87" t="str">
        <f>survey_responses[[#This Row],[Số người phụ thuộc (con nhỏ, cha mẹ già...) đủ điều kiện giảm trừ gia cảnh:]]</f>
        <v>0 người</v>
      </c>
      <c r="Q87">
        <f>step3_validation[[#This Row],[AI_ENF1]]</f>
        <v>8</v>
      </c>
      <c r="R87">
        <f t="shared" si="27"/>
        <v>0.77777777777777779</v>
      </c>
      <c r="S87">
        <f>survey_responses[[#This Row],[Tôi tin rằng với các quy định quản lý thuế hiện nay, hành vi gian lận hoặc trốn thuế sẽ dễ dàng bị phát hiện và xử lý nghiêm. - HUMAN-ENF1]]</f>
        <v>5</v>
      </c>
      <c r="T87">
        <f t="shared" si="28"/>
        <v>0.44444444444444442</v>
      </c>
      <c r="U87">
        <f>step3_validation[[#This Row],[AI_ENF2]]</f>
        <v>9</v>
      </c>
      <c r="V87">
        <f t="shared" si="29"/>
        <v>0.88888888888888884</v>
      </c>
      <c r="W87">
        <f>survey_responses[[#This Row],[Tôi tin rằng Nhà nước, cơ quan thuế có đủ khả năng và công nghệ để phát hiện, xử lý nghiêm các hành vi trốn thuế. - HUMAN-ENF2]]</f>
        <v>5</v>
      </c>
      <c r="X87">
        <f t="shared" si="30"/>
        <v>0.44444444444444442</v>
      </c>
      <c r="Y87" s="32">
        <f t="shared" si="31"/>
        <v>0.83333333333333326</v>
      </c>
      <c r="Z87" s="32">
        <f t="shared" si="32"/>
        <v>0.44444444444444442</v>
      </c>
      <c r="AA87">
        <f>step3_validation[[#This Row],[AI_FAC1]]</f>
        <v>8</v>
      </c>
      <c r="AB87">
        <f t="shared" si="33"/>
        <v>0.77777777777777779</v>
      </c>
      <c r="AC87">
        <f>survey_responses[[#This Row],[Các thủ tục khai báo thuế VÀ/HOẶC quy trình làm việc với cơ quan thuế đơn giản, tiện lợi, nhanh chóng hơn so với trước đây. - HUMAN-FAC1]]</f>
        <v>10</v>
      </c>
      <c r="AD87">
        <f t="shared" si="34"/>
        <v>1</v>
      </c>
      <c r="AE87">
        <f>step3_validation[[#This Row],[AI_FAC2]]</f>
        <v>9</v>
      </c>
      <c r="AF87">
        <f t="shared" si="35"/>
        <v>0.88888888888888884</v>
      </c>
      <c r="AG87">
        <f>survey_responses[[#This Row],[So với trước đây, tôi thấy cách tính thuế và các bậc thuế trong phương án mới đơn giản, dễ hiểu và dễ thực hiện hơn. - HUMAN-FAC2]]</f>
        <v>4</v>
      </c>
      <c r="AH87">
        <f t="shared" si="36"/>
        <v>0.33333333333333331</v>
      </c>
      <c r="AI87" s="32">
        <f t="shared" si="37"/>
        <v>0.83333333333333326</v>
      </c>
      <c r="AJ87" s="32">
        <f t="shared" si="38"/>
        <v>0.66666666666666663</v>
      </c>
      <c r="AK87">
        <f>step3_validation[[#This Row],[AI_TRU1]]</f>
        <v>7</v>
      </c>
      <c r="AL87">
        <f t="shared" si="39"/>
        <v>0.66666666666666663</v>
      </c>
      <c r="AM87">
        <f>survey_responses[[#This Row],[Tôi tin rằng Nhà nước, cơ quan thuế sẽ thực thi chính sách mới một cách khách quan, công tâm và đối xử bình đẳng với mọi người nộp thuế.  - HUMAN-TRU1]]</f>
        <v>4</v>
      </c>
      <c r="AN87">
        <f t="shared" si="40"/>
        <v>0.33333333333333331</v>
      </c>
      <c r="AO87">
        <f>step3_validation[[#This Row],[AI_TRU2]]</f>
        <v>9</v>
      </c>
      <c r="AP87">
        <f t="shared" si="41"/>
        <v>0.88888888888888884</v>
      </c>
      <c r="AQ87">
        <f>survey_responses[[#This Row],[Tôi thấy mức thuế tôi phải đóng theo phương án mới là công bằng (người thu nhập như tôi đóng mức này là hợp lý). - HUMAN-TRU2]]</f>
        <v>5</v>
      </c>
      <c r="AR87">
        <f t="shared" si="42"/>
        <v>0.44444444444444442</v>
      </c>
      <c r="AS87">
        <f>step3_validation[[#This Row],[AI_TRU3]]</f>
        <v>6</v>
      </c>
      <c r="AT87">
        <f t="shared" si="43"/>
        <v>0.55555555555555558</v>
      </c>
      <c r="AU87">
        <f>survey_responses[[#This Row],[Tôi tin tưởng số tiền thuế tôi đóng sẽ được Nhà nước sử dụng hiệu quả để cải thiện dịch vụ công (y tế, đường xá...). - HUMAN-TRU3]]</f>
        <v>5</v>
      </c>
      <c r="AV87">
        <f t="shared" si="44"/>
        <v>0.44444444444444442</v>
      </c>
      <c r="AW87">
        <f>step3_validation[[#This Row],[AI_TRU4]]</f>
        <v>8</v>
      </c>
      <c r="AX87">
        <f t="shared" si="45"/>
        <v>0.77777777777777779</v>
      </c>
      <c r="AY87">
        <f>survey_responses[[#This Row],[Tôi thấy Nhà nước đã giải thích rõ ràng, minh bạch về lý do và mục tiêu của việc sửa đổi thuế lần này. - HUMAN-TRU4]]</f>
        <v>8</v>
      </c>
      <c r="AZ87">
        <f t="shared" si="46"/>
        <v>0.77777777777777779</v>
      </c>
      <c r="BA87" s="32">
        <f t="shared" si="47"/>
        <v>0.7222222222222221</v>
      </c>
      <c r="BB87" s="32">
        <f t="shared" si="48"/>
        <v>0.5</v>
      </c>
      <c r="BC87" s="7">
        <f t="shared" si="49"/>
        <v>0.79629629629629617</v>
      </c>
      <c r="BD87" s="7">
        <f t="shared" si="50"/>
        <v>0.53703703703703709</v>
      </c>
      <c r="BE87">
        <f>step3_validation[[#This Row],[AI_OUT1]]</f>
        <v>9</v>
      </c>
      <c r="BF87">
        <f t="shared" si="51"/>
        <v>0.88888888888888884</v>
      </c>
      <c r="BG87">
        <f>survey_responses[[#This Row],[Sau khi xem xét các quyền lợi và nghĩa vụ, bạn có ủng hộ và tuân thủ chính sách mới hiện nay? - HUMAN-OUT1]]</f>
        <v>8</v>
      </c>
      <c r="BH87">
        <f t="shared" si="52"/>
        <v>0.77777777777777779</v>
      </c>
      <c r="BI87" s="32">
        <f t="shared" si="53"/>
        <v>1</v>
      </c>
    </row>
    <row r="88" spans="1:61" x14ac:dyDescent="0.45">
      <c r="A88" s="30">
        <f>step3_validation[[#This Row],[Persona_ID]]</f>
        <v>87</v>
      </c>
      <c r="B88" s="31">
        <f>step3_validation[[#This Row],[Used_Seed]]</f>
        <v>12431</v>
      </c>
      <c r="C88" t="str">
        <f>step3_validation[[#This Row],[Gender]]</f>
        <v>Nam</v>
      </c>
      <c r="D88" t="str">
        <f>survey_responses[[#This Row],[Giới tính của bạn:]]</f>
        <v>Nam</v>
      </c>
      <c r="E88" t="str">
        <f>step3_validation[[#This Row],[Age_Group]]</f>
        <v>40 - 49</v>
      </c>
      <c r="F88" t="str">
        <f>survey_responses[[#This Row],[Độ tuổi của bạn:]]</f>
        <v>40 - 49</v>
      </c>
      <c r="G88" t="str">
        <f>step3_validation[[#This Row],[Region]]</f>
        <v>Thành thị</v>
      </c>
      <c r="H88" t="str">
        <f>survey_responses[[#This Row],[Khu vực bạn đang sinh sống:]]</f>
        <v>Thành thị</v>
      </c>
      <c r="I88" t="str">
        <f>step3_validation[[#This Row],[Education]]</f>
        <v>Đại học</v>
      </c>
      <c r="J88" t="str">
        <f>survey_responses[[#This Row],[Trình độ học vấn cao nhất:]]</f>
        <v>Đại học</v>
      </c>
      <c r="K88" t="str">
        <f>step3_validation[[#This Row],[Employment]]</f>
        <v>Chính thức</v>
      </c>
      <c r="L88" t="str">
        <f>survey_responses[[#This Row],[Tình trạng việc làm chính:]]</f>
        <v>Khu vực chính thức (Có Hợp đồng lao động, đóng BHXH)</v>
      </c>
      <c r="M88">
        <f>step3_validation[[#This Row],[Income_Mil]]</f>
        <v>13.88391325950928</v>
      </c>
      <c r="N88" t="str">
        <f>survey_responses[[#This Row],[Thu nhập bình quân tháng theo Hợp đồng lao động của bạn là bao nhiêu? (Vui lòng điền tổng thu nhập trước khi khấu trừ các loại Bảo hiểm (BHXH, BHYT, BHTN) và Thuế TNCN)]]</f>
        <v>Từ 12 - 18 triệu VNĐ</v>
      </c>
      <c r="O88">
        <f>step3_validation[[#This Row],[Dependents]]</f>
        <v>2</v>
      </c>
      <c r="P88" t="str">
        <f>survey_responses[[#This Row],[Số người phụ thuộc (con nhỏ, cha mẹ già...) đủ điều kiện giảm trừ gia cảnh:]]</f>
        <v>2 người</v>
      </c>
      <c r="Q88">
        <f>step3_validation[[#This Row],[AI_ENF1]]</f>
        <v>7</v>
      </c>
      <c r="R88">
        <f t="shared" si="27"/>
        <v>0.66666666666666663</v>
      </c>
      <c r="S88">
        <f>survey_responses[[#This Row],[Tôi tin rằng với các quy định quản lý thuế hiện nay, hành vi gian lận hoặc trốn thuế sẽ dễ dàng bị phát hiện và xử lý nghiêm. - HUMAN-ENF1]]</f>
        <v>10</v>
      </c>
      <c r="T88">
        <f t="shared" si="28"/>
        <v>1</v>
      </c>
      <c r="U88">
        <f>step3_validation[[#This Row],[AI_ENF2]]</f>
        <v>6</v>
      </c>
      <c r="V88">
        <f t="shared" si="29"/>
        <v>0.55555555555555558</v>
      </c>
      <c r="W88">
        <f>survey_responses[[#This Row],[Tôi tin rằng Nhà nước, cơ quan thuế có đủ khả năng và công nghệ để phát hiện, xử lý nghiêm các hành vi trốn thuế. - HUMAN-ENF2]]</f>
        <v>9</v>
      </c>
      <c r="X88">
        <f t="shared" si="30"/>
        <v>0.88888888888888884</v>
      </c>
      <c r="Y88" s="32">
        <f t="shared" si="31"/>
        <v>0.61111111111111116</v>
      </c>
      <c r="Z88" s="32">
        <f t="shared" si="32"/>
        <v>0.94444444444444442</v>
      </c>
      <c r="AA88">
        <f>step3_validation[[#This Row],[AI_FAC1]]</f>
        <v>8</v>
      </c>
      <c r="AB88">
        <f t="shared" si="33"/>
        <v>0.77777777777777779</v>
      </c>
      <c r="AC88">
        <f>survey_responses[[#This Row],[Các thủ tục khai báo thuế VÀ/HOẶC quy trình làm việc với cơ quan thuế đơn giản, tiện lợi, nhanh chóng hơn so với trước đây. - HUMAN-FAC1]]</f>
        <v>9</v>
      </c>
      <c r="AD88">
        <f t="shared" si="34"/>
        <v>0.88888888888888884</v>
      </c>
      <c r="AE88">
        <f>step3_validation[[#This Row],[AI_FAC2]]</f>
        <v>9</v>
      </c>
      <c r="AF88">
        <f t="shared" si="35"/>
        <v>0.88888888888888884</v>
      </c>
      <c r="AG88">
        <f>survey_responses[[#This Row],[So với trước đây, tôi thấy cách tính thuế và các bậc thuế trong phương án mới đơn giản, dễ hiểu và dễ thực hiện hơn. - HUMAN-FAC2]]</f>
        <v>9</v>
      </c>
      <c r="AH88">
        <f t="shared" si="36"/>
        <v>0.88888888888888884</v>
      </c>
      <c r="AI88" s="32">
        <f t="shared" si="37"/>
        <v>0.83333333333333326</v>
      </c>
      <c r="AJ88" s="32">
        <f t="shared" si="38"/>
        <v>0.88888888888888884</v>
      </c>
      <c r="AK88">
        <f>step3_validation[[#This Row],[AI_TRU1]]</f>
        <v>8</v>
      </c>
      <c r="AL88">
        <f t="shared" si="39"/>
        <v>0.77777777777777779</v>
      </c>
      <c r="AM88">
        <f>survey_responses[[#This Row],[Tôi tin rằng Nhà nước, cơ quan thuế sẽ thực thi chính sách mới một cách khách quan, công tâm và đối xử bình đẳng với mọi người nộp thuế.  - HUMAN-TRU1]]</f>
        <v>9</v>
      </c>
      <c r="AN88">
        <f t="shared" si="40"/>
        <v>0.88888888888888884</v>
      </c>
      <c r="AO88">
        <f>step3_validation[[#This Row],[AI_TRU2]]</f>
        <v>9</v>
      </c>
      <c r="AP88">
        <f t="shared" si="41"/>
        <v>0.88888888888888884</v>
      </c>
      <c r="AQ88">
        <f>survey_responses[[#This Row],[Tôi thấy mức thuế tôi phải đóng theo phương án mới là công bằng (người thu nhập như tôi đóng mức này là hợp lý). - HUMAN-TRU2]]</f>
        <v>9</v>
      </c>
      <c r="AR88">
        <f t="shared" si="42"/>
        <v>0.88888888888888884</v>
      </c>
      <c r="AS88">
        <f>step3_validation[[#This Row],[AI_TRU3]]</f>
        <v>8</v>
      </c>
      <c r="AT88">
        <f t="shared" si="43"/>
        <v>0.77777777777777779</v>
      </c>
      <c r="AU88">
        <f>survey_responses[[#This Row],[Tôi tin tưởng số tiền thuế tôi đóng sẽ được Nhà nước sử dụng hiệu quả để cải thiện dịch vụ công (y tế, đường xá...). - HUMAN-TRU3]]</f>
        <v>10</v>
      </c>
      <c r="AV88">
        <f t="shared" si="44"/>
        <v>1</v>
      </c>
      <c r="AW88">
        <f>step3_validation[[#This Row],[AI_TRU4]]</f>
        <v>7</v>
      </c>
      <c r="AX88">
        <f t="shared" si="45"/>
        <v>0.66666666666666663</v>
      </c>
      <c r="AY88">
        <f>survey_responses[[#This Row],[Tôi thấy Nhà nước đã giải thích rõ ràng, minh bạch về lý do và mục tiêu của việc sửa đổi thuế lần này. - HUMAN-TRU4]]</f>
        <v>9</v>
      </c>
      <c r="AZ88">
        <f t="shared" si="46"/>
        <v>0.88888888888888884</v>
      </c>
      <c r="BA88" s="32">
        <f t="shared" si="47"/>
        <v>0.77777777777777768</v>
      </c>
      <c r="BB88" s="32">
        <f t="shared" si="48"/>
        <v>0.91666666666666663</v>
      </c>
      <c r="BC88" s="7">
        <f t="shared" si="49"/>
        <v>0.74074074074074081</v>
      </c>
      <c r="BD88" s="7">
        <f t="shared" si="50"/>
        <v>0.91666666666666663</v>
      </c>
      <c r="BE88">
        <f>step3_validation[[#This Row],[AI_OUT1]]</f>
        <v>8</v>
      </c>
      <c r="BF88">
        <f t="shared" si="51"/>
        <v>0.77777777777777779</v>
      </c>
      <c r="BG88">
        <f>survey_responses[[#This Row],[Sau khi xem xét các quyền lợi và nghĩa vụ, bạn có ủng hộ và tuân thủ chính sách mới hiện nay? - HUMAN-OUT1]]</f>
        <v>10</v>
      </c>
      <c r="BH88">
        <f t="shared" si="52"/>
        <v>1</v>
      </c>
      <c r="BI88" s="32">
        <f t="shared" si="53"/>
        <v>2</v>
      </c>
    </row>
    <row r="89" spans="1:61" x14ac:dyDescent="0.45">
      <c r="A89" s="30">
        <f>step3_validation[[#This Row],[Persona_ID]]</f>
        <v>88</v>
      </c>
      <c r="B89" s="31">
        <f>step3_validation[[#This Row],[Used_Seed]]</f>
        <v>12432</v>
      </c>
      <c r="C89" t="str">
        <f>step3_validation[[#This Row],[Gender]]</f>
        <v>Nữ</v>
      </c>
      <c r="D89" t="str">
        <f>survey_responses[[#This Row],[Giới tính của bạn:]]</f>
        <v>Nữ</v>
      </c>
      <c r="E89" t="str">
        <f>step3_validation[[#This Row],[Age_Group]]</f>
        <v>40 - 49</v>
      </c>
      <c r="F89" t="str">
        <f>survey_responses[[#This Row],[Độ tuổi của bạn:]]</f>
        <v>40 - 49</v>
      </c>
      <c r="G89" t="str">
        <f>step3_validation[[#This Row],[Region]]</f>
        <v>Thành thị</v>
      </c>
      <c r="H89" t="str">
        <f>survey_responses[[#This Row],[Khu vực bạn đang sinh sống:]]</f>
        <v>Thành thị</v>
      </c>
      <c r="I89" t="str">
        <f>step3_validation[[#This Row],[Education]]</f>
        <v>Trung học phổ thông</v>
      </c>
      <c r="J89" t="str">
        <f>survey_responses[[#This Row],[Trình độ học vấn cao nhất:]]</f>
        <v>Trung học phổ thông</v>
      </c>
      <c r="K89" t="str">
        <f>step3_validation[[#This Row],[Employment]]</f>
        <v>Chính thức</v>
      </c>
      <c r="L89" t="str">
        <f>survey_responses[[#This Row],[Tình trạng việc làm chính:]]</f>
        <v>Khu vực chính thức (Có Hợp đồng lao động, đóng BHXH)</v>
      </c>
      <c r="M89">
        <f>step3_validation[[#This Row],[Income_Mil]]</f>
        <v>12</v>
      </c>
      <c r="N89" t="str">
        <f>survey_responses[[#This Row],[Thu nhập bình quân tháng theo Hợp đồng lao động của bạn là bao nhiêu? (Vui lòng điền tổng thu nhập trước khi khấu trừ các loại Bảo hiểm (BHXH, BHYT, BHTN) và Thuế TNCN)]]</f>
        <v>Dưới 12 triệu VNĐ</v>
      </c>
      <c r="O89">
        <f>step3_validation[[#This Row],[Dependents]]</f>
        <v>2</v>
      </c>
      <c r="P89" t="str">
        <f>survey_responses[[#This Row],[Số người phụ thuộc (con nhỏ, cha mẹ già...) đủ điều kiện giảm trừ gia cảnh:]]</f>
        <v>2 người</v>
      </c>
      <c r="Q89">
        <f>step3_validation[[#This Row],[AI_ENF1]]</f>
        <v>7</v>
      </c>
      <c r="R89">
        <f t="shared" si="27"/>
        <v>0.66666666666666663</v>
      </c>
      <c r="S89">
        <f>survey_responses[[#This Row],[Tôi tin rằng với các quy định quản lý thuế hiện nay, hành vi gian lận hoặc trốn thuế sẽ dễ dàng bị phát hiện và xử lý nghiêm. - HUMAN-ENF1]]</f>
        <v>10</v>
      </c>
      <c r="T89">
        <f t="shared" si="28"/>
        <v>1</v>
      </c>
      <c r="U89">
        <f>step3_validation[[#This Row],[AI_ENF2]]</f>
        <v>6</v>
      </c>
      <c r="V89">
        <f t="shared" si="29"/>
        <v>0.55555555555555558</v>
      </c>
      <c r="W89">
        <f>survey_responses[[#This Row],[Tôi tin rằng Nhà nước, cơ quan thuế có đủ khả năng và công nghệ để phát hiện, xử lý nghiêm các hành vi trốn thuế. - HUMAN-ENF2]]</f>
        <v>10</v>
      </c>
      <c r="X89">
        <f t="shared" si="30"/>
        <v>1</v>
      </c>
      <c r="Y89" s="32">
        <f t="shared" si="31"/>
        <v>0.61111111111111116</v>
      </c>
      <c r="Z89" s="32">
        <f t="shared" si="32"/>
        <v>1</v>
      </c>
      <c r="AA89">
        <f>step3_validation[[#This Row],[AI_FAC1]]</f>
        <v>7</v>
      </c>
      <c r="AB89">
        <f t="shared" si="33"/>
        <v>0.66666666666666663</v>
      </c>
      <c r="AC89">
        <f>survey_responses[[#This Row],[Các thủ tục khai báo thuế VÀ/HOẶC quy trình làm việc với cơ quan thuế đơn giản, tiện lợi, nhanh chóng hơn so với trước đây. - HUMAN-FAC1]]</f>
        <v>10</v>
      </c>
      <c r="AD89">
        <f t="shared" si="34"/>
        <v>1</v>
      </c>
      <c r="AE89">
        <f>step3_validation[[#This Row],[AI_FAC2]]</f>
        <v>9</v>
      </c>
      <c r="AF89">
        <f t="shared" si="35"/>
        <v>0.88888888888888884</v>
      </c>
      <c r="AG89">
        <f>survey_responses[[#This Row],[So với trước đây, tôi thấy cách tính thuế và các bậc thuế trong phương án mới đơn giản, dễ hiểu và dễ thực hiện hơn. - HUMAN-FAC2]]</f>
        <v>10</v>
      </c>
      <c r="AH89">
        <f t="shared" si="36"/>
        <v>1</v>
      </c>
      <c r="AI89" s="32">
        <f t="shared" si="37"/>
        <v>0.77777777777777768</v>
      </c>
      <c r="AJ89" s="32">
        <f t="shared" si="38"/>
        <v>1</v>
      </c>
      <c r="AK89">
        <f>step3_validation[[#This Row],[AI_TRU1]]</f>
        <v>6</v>
      </c>
      <c r="AL89">
        <f t="shared" si="39"/>
        <v>0.55555555555555558</v>
      </c>
      <c r="AM89">
        <f>survey_responses[[#This Row],[Tôi tin rằng Nhà nước, cơ quan thuế sẽ thực thi chính sách mới một cách khách quan, công tâm và đối xử bình đẳng với mọi người nộp thuế.  - HUMAN-TRU1]]</f>
        <v>10</v>
      </c>
      <c r="AN89">
        <f t="shared" si="40"/>
        <v>1</v>
      </c>
      <c r="AO89">
        <f>step3_validation[[#This Row],[AI_TRU2]]</f>
        <v>9</v>
      </c>
      <c r="AP89">
        <f t="shared" si="41"/>
        <v>0.88888888888888884</v>
      </c>
      <c r="AQ89">
        <f>survey_responses[[#This Row],[Tôi thấy mức thuế tôi phải đóng theo phương án mới là công bằng (người thu nhập như tôi đóng mức này là hợp lý). - HUMAN-TRU2]]</f>
        <v>10</v>
      </c>
      <c r="AR89">
        <f t="shared" si="42"/>
        <v>1</v>
      </c>
      <c r="AS89">
        <f>step3_validation[[#This Row],[AI_TRU3]]</f>
        <v>7</v>
      </c>
      <c r="AT89">
        <f t="shared" si="43"/>
        <v>0.66666666666666663</v>
      </c>
      <c r="AU89">
        <f>survey_responses[[#This Row],[Tôi tin tưởng số tiền thuế tôi đóng sẽ được Nhà nước sử dụng hiệu quả để cải thiện dịch vụ công (y tế, đường xá...). - HUMAN-TRU3]]</f>
        <v>10</v>
      </c>
      <c r="AV89">
        <f t="shared" si="44"/>
        <v>1</v>
      </c>
      <c r="AW89">
        <f>step3_validation[[#This Row],[AI_TRU4]]</f>
        <v>8</v>
      </c>
      <c r="AX89">
        <f t="shared" si="45"/>
        <v>0.77777777777777779</v>
      </c>
      <c r="AY89">
        <f>survey_responses[[#This Row],[Tôi thấy Nhà nước đã giải thích rõ ràng, minh bạch về lý do và mục tiêu của việc sửa đổi thuế lần này. - HUMAN-TRU4]]</f>
        <v>10</v>
      </c>
      <c r="AZ89">
        <f t="shared" si="46"/>
        <v>1</v>
      </c>
      <c r="BA89" s="32">
        <f t="shared" si="47"/>
        <v>0.72222222222222221</v>
      </c>
      <c r="BB89" s="32">
        <f t="shared" si="48"/>
        <v>1</v>
      </c>
      <c r="BC89" s="7">
        <f t="shared" si="49"/>
        <v>0.70370370370370372</v>
      </c>
      <c r="BD89" s="7">
        <f t="shared" si="50"/>
        <v>1</v>
      </c>
      <c r="BE89">
        <f>step3_validation[[#This Row],[AI_OUT1]]</f>
        <v>7</v>
      </c>
      <c r="BF89">
        <f t="shared" si="51"/>
        <v>0.66666666666666663</v>
      </c>
      <c r="BG89">
        <f>survey_responses[[#This Row],[Sau khi xem xét các quyền lợi và nghĩa vụ, bạn có ủng hộ và tuân thủ chính sách mới hiện nay? - HUMAN-OUT1]]</f>
        <v>10</v>
      </c>
      <c r="BH89">
        <f t="shared" si="52"/>
        <v>1</v>
      </c>
      <c r="BI89" s="32">
        <f t="shared" si="53"/>
        <v>3</v>
      </c>
    </row>
    <row r="90" spans="1:61" x14ac:dyDescent="0.45">
      <c r="A90" s="30">
        <f>step3_validation[[#This Row],[Persona_ID]]</f>
        <v>89</v>
      </c>
      <c r="B90" s="31">
        <f>step3_validation[[#This Row],[Used_Seed]]</f>
        <v>12433</v>
      </c>
      <c r="C90" t="str">
        <f>step3_validation[[#This Row],[Gender]]</f>
        <v>Nữ</v>
      </c>
      <c r="D90" t="str">
        <f>survey_responses[[#This Row],[Giới tính của bạn:]]</f>
        <v>Nữ</v>
      </c>
      <c r="E90" t="str">
        <f>step3_validation[[#This Row],[Age_Group]]</f>
        <v>30 - 39</v>
      </c>
      <c r="F90" t="str">
        <f>survey_responses[[#This Row],[Độ tuổi của bạn:]]</f>
        <v>30 - 39</v>
      </c>
      <c r="G90" t="str">
        <f>step3_validation[[#This Row],[Region]]</f>
        <v>Thành thị</v>
      </c>
      <c r="H90" t="str">
        <f>survey_responses[[#This Row],[Khu vực bạn đang sinh sống:]]</f>
        <v>Thành thị</v>
      </c>
      <c r="I90" t="str">
        <f>step3_validation[[#This Row],[Education]]</f>
        <v>Cao đẳng</v>
      </c>
      <c r="J90" t="str">
        <f>survey_responses[[#This Row],[Trình độ học vấn cao nhất:]]</f>
        <v>Cao đẳng</v>
      </c>
      <c r="K90" t="str">
        <f>step3_validation[[#This Row],[Employment]]</f>
        <v>Chính thức</v>
      </c>
      <c r="L90" t="str">
        <f>survey_responses[[#This Row],[Tình trạng việc làm chính:]]</f>
        <v>Khu vực chính thức (Có Hợp đồng lao động, đóng BHXH)</v>
      </c>
      <c r="M90">
        <f>step3_validation[[#This Row],[Income_Mil]]</f>
        <v>12</v>
      </c>
      <c r="N90" t="str">
        <f>survey_responses[[#This Row],[Thu nhập bình quân tháng theo Hợp đồng lao động của bạn là bao nhiêu? (Vui lòng điền tổng thu nhập trước khi khấu trừ các loại Bảo hiểm (BHXH, BHYT, BHTN) và Thuế TNCN)]]</f>
        <v>Dưới 12 triệu VNĐ</v>
      </c>
      <c r="O90">
        <f>step3_validation[[#This Row],[Dependents]]</f>
        <v>1</v>
      </c>
      <c r="P90" t="str">
        <f>survey_responses[[#This Row],[Số người phụ thuộc (con nhỏ, cha mẹ già...) đủ điều kiện giảm trừ gia cảnh:]]</f>
        <v>1 người</v>
      </c>
      <c r="Q90">
        <f>step3_validation[[#This Row],[AI_ENF1]]</f>
        <v>7</v>
      </c>
      <c r="R90">
        <f t="shared" si="27"/>
        <v>0.66666666666666663</v>
      </c>
      <c r="S90">
        <f>survey_responses[[#This Row],[Tôi tin rằng với các quy định quản lý thuế hiện nay, hành vi gian lận hoặc trốn thuế sẽ dễ dàng bị phát hiện và xử lý nghiêm. - HUMAN-ENF1]]</f>
        <v>10</v>
      </c>
      <c r="T90">
        <f t="shared" si="28"/>
        <v>1</v>
      </c>
      <c r="U90">
        <f>step3_validation[[#This Row],[AI_ENF2]]</f>
        <v>7</v>
      </c>
      <c r="V90">
        <f t="shared" si="29"/>
        <v>0.66666666666666663</v>
      </c>
      <c r="W90">
        <f>survey_responses[[#This Row],[Tôi tin rằng Nhà nước, cơ quan thuế có đủ khả năng và công nghệ để phát hiện, xử lý nghiêm các hành vi trốn thuế. - HUMAN-ENF2]]</f>
        <v>9</v>
      </c>
      <c r="X90">
        <f t="shared" si="30"/>
        <v>0.88888888888888884</v>
      </c>
      <c r="Y90" s="32">
        <f t="shared" si="31"/>
        <v>0.66666666666666663</v>
      </c>
      <c r="Z90" s="32">
        <f t="shared" si="32"/>
        <v>0.94444444444444442</v>
      </c>
      <c r="AA90">
        <f>step3_validation[[#This Row],[AI_FAC1]]</f>
        <v>8</v>
      </c>
      <c r="AB90">
        <f t="shared" si="33"/>
        <v>0.77777777777777779</v>
      </c>
      <c r="AC90">
        <f>survey_responses[[#This Row],[Các thủ tục khai báo thuế VÀ/HOẶC quy trình làm việc với cơ quan thuế đơn giản, tiện lợi, nhanh chóng hơn so với trước đây. - HUMAN-FAC1]]</f>
        <v>9</v>
      </c>
      <c r="AD90">
        <f t="shared" si="34"/>
        <v>0.88888888888888884</v>
      </c>
      <c r="AE90">
        <f>step3_validation[[#This Row],[AI_FAC2]]</f>
        <v>9</v>
      </c>
      <c r="AF90">
        <f t="shared" si="35"/>
        <v>0.88888888888888884</v>
      </c>
      <c r="AG90">
        <f>survey_responses[[#This Row],[So với trước đây, tôi thấy cách tính thuế và các bậc thuế trong phương án mới đơn giản, dễ hiểu và dễ thực hiện hơn. - HUMAN-FAC2]]</f>
        <v>9</v>
      </c>
      <c r="AH90">
        <f t="shared" si="36"/>
        <v>0.88888888888888884</v>
      </c>
      <c r="AI90" s="32">
        <f t="shared" si="37"/>
        <v>0.83333333333333326</v>
      </c>
      <c r="AJ90" s="32">
        <f t="shared" si="38"/>
        <v>0.88888888888888884</v>
      </c>
      <c r="AK90">
        <f>step3_validation[[#This Row],[AI_TRU1]]</f>
        <v>9</v>
      </c>
      <c r="AL90">
        <f t="shared" si="39"/>
        <v>0.88888888888888884</v>
      </c>
      <c r="AM90">
        <f>survey_responses[[#This Row],[Tôi tin rằng Nhà nước, cơ quan thuế sẽ thực thi chính sách mới một cách khách quan, công tâm và đối xử bình đẳng với mọi người nộp thuế.  - HUMAN-TRU1]]</f>
        <v>10</v>
      </c>
      <c r="AN90">
        <f t="shared" si="40"/>
        <v>1</v>
      </c>
      <c r="AO90">
        <f>step3_validation[[#This Row],[AI_TRU2]]</f>
        <v>9</v>
      </c>
      <c r="AP90">
        <f t="shared" si="41"/>
        <v>0.88888888888888884</v>
      </c>
      <c r="AQ90">
        <f>survey_responses[[#This Row],[Tôi thấy mức thuế tôi phải đóng theo phương án mới là công bằng (người thu nhập như tôi đóng mức này là hợp lý). - HUMAN-TRU2]]</f>
        <v>9</v>
      </c>
      <c r="AR90">
        <f t="shared" si="42"/>
        <v>0.88888888888888884</v>
      </c>
      <c r="AS90">
        <f>step3_validation[[#This Row],[AI_TRU3]]</f>
        <v>8</v>
      </c>
      <c r="AT90">
        <f t="shared" si="43"/>
        <v>0.77777777777777779</v>
      </c>
      <c r="AU90">
        <f>survey_responses[[#This Row],[Tôi tin tưởng số tiền thuế tôi đóng sẽ được Nhà nước sử dụng hiệu quả để cải thiện dịch vụ công (y tế, đường xá...). - HUMAN-TRU3]]</f>
        <v>9</v>
      </c>
      <c r="AV90">
        <f t="shared" si="44"/>
        <v>0.88888888888888884</v>
      </c>
      <c r="AW90">
        <f>step3_validation[[#This Row],[AI_TRU4]]</f>
        <v>9</v>
      </c>
      <c r="AX90">
        <f t="shared" si="45"/>
        <v>0.88888888888888884</v>
      </c>
      <c r="AY90">
        <f>survey_responses[[#This Row],[Tôi thấy Nhà nước đã giải thích rõ ràng, minh bạch về lý do và mục tiêu của việc sửa đổi thuế lần này. - HUMAN-TRU4]]</f>
        <v>8</v>
      </c>
      <c r="AZ90">
        <f t="shared" si="46"/>
        <v>0.77777777777777779</v>
      </c>
      <c r="BA90" s="32">
        <f t="shared" si="47"/>
        <v>0.86111111111111105</v>
      </c>
      <c r="BB90" s="32">
        <f t="shared" si="48"/>
        <v>0.88888888888888884</v>
      </c>
      <c r="BC90" s="7">
        <f t="shared" si="49"/>
        <v>0.78703703703703709</v>
      </c>
      <c r="BD90" s="7">
        <f t="shared" si="50"/>
        <v>0.90740740740740744</v>
      </c>
      <c r="BE90">
        <f>step3_validation[[#This Row],[AI_OUT1]]</f>
        <v>9</v>
      </c>
      <c r="BF90">
        <f t="shared" si="51"/>
        <v>0.88888888888888884</v>
      </c>
      <c r="BG90">
        <f>survey_responses[[#This Row],[Sau khi xem xét các quyền lợi và nghĩa vụ, bạn có ủng hộ và tuân thủ chính sách mới hiện nay? - HUMAN-OUT1]]</f>
        <v>9</v>
      </c>
      <c r="BH90">
        <f t="shared" si="52"/>
        <v>0.88888888888888884</v>
      </c>
      <c r="BI90" s="32">
        <f t="shared" si="53"/>
        <v>0</v>
      </c>
    </row>
    <row r="91" spans="1:61" x14ac:dyDescent="0.45">
      <c r="A91" s="30">
        <f>step3_validation[[#This Row],[Persona_ID]]</f>
        <v>90</v>
      </c>
      <c r="B91" s="31">
        <f>step3_validation[[#This Row],[Used_Seed]]</f>
        <v>12434</v>
      </c>
      <c r="C91" t="str">
        <f>step3_validation[[#This Row],[Gender]]</f>
        <v>Nữ</v>
      </c>
      <c r="D91" t="str">
        <f>survey_responses[[#This Row],[Giới tính của bạn:]]</f>
        <v>Nữ</v>
      </c>
      <c r="E91" t="str">
        <f>step3_validation[[#This Row],[Age_Group]]</f>
        <v>30 - 39</v>
      </c>
      <c r="F91" t="str">
        <f>survey_responses[[#This Row],[Độ tuổi của bạn:]]</f>
        <v>30 - 39</v>
      </c>
      <c r="G91" t="str">
        <f>step3_validation[[#This Row],[Region]]</f>
        <v>Nông thôn</v>
      </c>
      <c r="H91" t="str">
        <f>survey_responses[[#This Row],[Khu vực bạn đang sinh sống:]]</f>
        <v>Nông thôn</v>
      </c>
      <c r="I91" t="str">
        <f>step3_validation[[#This Row],[Education]]</f>
        <v>Đại học</v>
      </c>
      <c r="J91" t="str">
        <f>survey_responses[[#This Row],[Trình độ học vấn cao nhất:]]</f>
        <v>Đại học</v>
      </c>
      <c r="K91" t="str">
        <f>step3_validation[[#This Row],[Employment]]</f>
        <v>Chính thức</v>
      </c>
      <c r="L91" t="str">
        <f>survey_responses[[#This Row],[Tình trạng việc làm chính:]]</f>
        <v>Khu vực chính thức (Có Hợp đồng lao động, đóng BHXH)</v>
      </c>
      <c r="M91">
        <f>step3_validation[[#This Row],[Income_Mil]]</f>
        <v>12</v>
      </c>
      <c r="N91" t="str">
        <f>survey_responses[[#This Row],[Thu nhập bình quân tháng theo Hợp đồng lao động của bạn là bao nhiêu? (Vui lòng điền tổng thu nhập trước khi khấu trừ các loại Bảo hiểm (BHXH, BHYT, BHTN) và Thuế TNCN)]]</f>
        <v>Dưới 12 triệu VNĐ</v>
      </c>
      <c r="O91">
        <f>step3_validation[[#This Row],[Dependents]]</f>
        <v>4</v>
      </c>
      <c r="P91" t="str">
        <f>survey_responses[[#This Row],[Số người phụ thuộc (con nhỏ, cha mẹ già...) đủ điều kiện giảm trừ gia cảnh:]]</f>
        <v>4 người trở lên</v>
      </c>
      <c r="Q91">
        <f>step3_validation[[#This Row],[AI_ENF1]]</f>
        <v>7</v>
      </c>
      <c r="R91">
        <f t="shared" si="27"/>
        <v>0.66666666666666663</v>
      </c>
      <c r="S91">
        <f>survey_responses[[#This Row],[Tôi tin rằng với các quy định quản lý thuế hiện nay, hành vi gian lận hoặc trốn thuế sẽ dễ dàng bị phát hiện và xử lý nghiêm. - HUMAN-ENF1]]</f>
        <v>6</v>
      </c>
      <c r="T91">
        <f t="shared" si="28"/>
        <v>0.55555555555555558</v>
      </c>
      <c r="U91">
        <f>step3_validation[[#This Row],[AI_ENF2]]</f>
        <v>8</v>
      </c>
      <c r="V91">
        <f t="shared" si="29"/>
        <v>0.77777777777777779</v>
      </c>
      <c r="W91">
        <f>survey_responses[[#This Row],[Tôi tin rằng Nhà nước, cơ quan thuế có đủ khả năng và công nghệ để phát hiện, xử lý nghiêm các hành vi trốn thuế. - HUMAN-ENF2]]</f>
        <v>10</v>
      </c>
      <c r="X91">
        <f t="shared" si="30"/>
        <v>1</v>
      </c>
      <c r="Y91" s="32">
        <f t="shared" si="31"/>
        <v>0.72222222222222221</v>
      </c>
      <c r="Z91" s="32">
        <f t="shared" si="32"/>
        <v>0.77777777777777779</v>
      </c>
      <c r="AA91">
        <f>step3_validation[[#This Row],[AI_FAC1]]</f>
        <v>7</v>
      </c>
      <c r="AB91">
        <f t="shared" si="33"/>
        <v>0.66666666666666663</v>
      </c>
      <c r="AC91">
        <f>survey_responses[[#This Row],[Các thủ tục khai báo thuế VÀ/HOẶC quy trình làm việc với cơ quan thuế đơn giản, tiện lợi, nhanh chóng hơn so với trước đây. - HUMAN-FAC1]]</f>
        <v>8</v>
      </c>
      <c r="AD91">
        <f t="shared" si="34"/>
        <v>0.77777777777777779</v>
      </c>
      <c r="AE91">
        <f>step3_validation[[#This Row],[AI_FAC2]]</f>
        <v>9</v>
      </c>
      <c r="AF91">
        <f t="shared" si="35"/>
        <v>0.88888888888888884</v>
      </c>
      <c r="AG91">
        <f>survey_responses[[#This Row],[So với trước đây, tôi thấy cách tính thuế và các bậc thuế trong phương án mới đơn giản, dễ hiểu và dễ thực hiện hơn. - HUMAN-FAC2]]</f>
        <v>9</v>
      </c>
      <c r="AH91">
        <f t="shared" si="36"/>
        <v>0.88888888888888884</v>
      </c>
      <c r="AI91" s="32">
        <f t="shared" si="37"/>
        <v>0.77777777777777768</v>
      </c>
      <c r="AJ91" s="32">
        <f t="shared" si="38"/>
        <v>0.83333333333333326</v>
      </c>
      <c r="AK91">
        <f>step3_validation[[#This Row],[AI_TRU1]]</f>
        <v>8</v>
      </c>
      <c r="AL91">
        <f t="shared" si="39"/>
        <v>0.77777777777777779</v>
      </c>
      <c r="AM91">
        <f>survey_responses[[#This Row],[Tôi tin rằng Nhà nước, cơ quan thuế sẽ thực thi chính sách mới một cách khách quan, công tâm và đối xử bình đẳng với mọi người nộp thuế.  - HUMAN-TRU1]]</f>
        <v>9</v>
      </c>
      <c r="AN91">
        <f t="shared" si="40"/>
        <v>0.88888888888888884</v>
      </c>
      <c r="AO91">
        <f>step3_validation[[#This Row],[AI_TRU2]]</f>
        <v>9</v>
      </c>
      <c r="AP91">
        <f t="shared" si="41"/>
        <v>0.88888888888888884</v>
      </c>
      <c r="AQ91">
        <f>survey_responses[[#This Row],[Tôi thấy mức thuế tôi phải đóng theo phương án mới là công bằng (người thu nhập như tôi đóng mức này là hợp lý). - HUMAN-TRU2]]</f>
        <v>9</v>
      </c>
      <c r="AR91">
        <f t="shared" si="42"/>
        <v>0.88888888888888884</v>
      </c>
      <c r="AS91">
        <f>step3_validation[[#This Row],[AI_TRU3]]</f>
        <v>8</v>
      </c>
      <c r="AT91">
        <f t="shared" si="43"/>
        <v>0.77777777777777779</v>
      </c>
      <c r="AU91">
        <f>survey_responses[[#This Row],[Tôi tin tưởng số tiền thuế tôi đóng sẽ được Nhà nước sử dụng hiệu quả để cải thiện dịch vụ công (y tế, đường xá...). - HUMAN-TRU3]]</f>
        <v>8</v>
      </c>
      <c r="AV91">
        <f t="shared" si="44"/>
        <v>0.77777777777777779</v>
      </c>
      <c r="AW91">
        <f>step3_validation[[#This Row],[AI_TRU4]]</f>
        <v>9</v>
      </c>
      <c r="AX91">
        <f t="shared" si="45"/>
        <v>0.88888888888888884</v>
      </c>
      <c r="AY91">
        <f>survey_responses[[#This Row],[Tôi thấy Nhà nước đã giải thích rõ ràng, minh bạch về lý do và mục tiêu của việc sửa đổi thuế lần này. - HUMAN-TRU4]]</f>
        <v>8</v>
      </c>
      <c r="AZ91">
        <f t="shared" si="46"/>
        <v>0.77777777777777779</v>
      </c>
      <c r="BA91" s="32">
        <f t="shared" si="47"/>
        <v>0.83333333333333326</v>
      </c>
      <c r="BB91" s="32">
        <f t="shared" si="48"/>
        <v>0.83333333333333326</v>
      </c>
      <c r="BC91" s="7">
        <f t="shared" si="49"/>
        <v>0.77777777777777768</v>
      </c>
      <c r="BD91" s="7">
        <f t="shared" si="50"/>
        <v>0.81481481481481488</v>
      </c>
      <c r="BE91">
        <f>step3_validation[[#This Row],[AI_OUT1]]</f>
        <v>8</v>
      </c>
      <c r="BF91">
        <f t="shared" si="51"/>
        <v>0.77777777777777779</v>
      </c>
      <c r="BG91">
        <f>survey_responses[[#This Row],[Sau khi xem xét các quyền lợi và nghĩa vụ, bạn có ủng hộ và tuân thủ chính sách mới hiện nay? - HUMAN-OUT1]]</f>
        <v>9</v>
      </c>
      <c r="BH91">
        <f t="shared" si="52"/>
        <v>0.88888888888888884</v>
      </c>
      <c r="BI91" s="32">
        <f t="shared" si="53"/>
        <v>1</v>
      </c>
    </row>
    <row r="92" spans="1:61" x14ac:dyDescent="0.45">
      <c r="A92" s="30">
        <f>step3_validation[[#This Row],[Persona_ID]]</f>
        <v>91</v>
      </c>
      <c r="B92" s="31">
        <f>step3_validation[[#This Row],[Used_Seed]]</f>
        <v>12435</v>
      </c>
      <c r="C92" t="str">
        <f>step3_validation[[#This Row],[Gender]]</f>
        <v>Nữ</v>
      </c>
      <c r="D92" t="str">
        <f>survey_responses[[#This Row],[Giới tính của bạn:]]</f>
        <v>Nữ</v>
      </c>
      <c r="E92" t="str">
        <f>step3_validation[[#This Row],[Age_Group]]</f>
        <v>30 - 39</v>
      </c>
      <c r="F92" t="str">
        <f>survey_responses[[#This Row],[Độ tuổi của bạn:]]</f>
        <v>30 - 39</v>
      </c>
      <c r="G92" t="str">
        <f>step3_validation[[#This Row],[Region]]</f>
        <v>Thành thị</v>
      </c>
      <c r="H92" t="str">
        <f>survey_responses[[#This Row],[Khu vực bạn đang sinh sống:]]</f>
        <v>Thành thị</v>
      </c>
      <c r="I92" t="str">
        <f>step3_validation[[#This Row],[Education]]</f>
        <v>Đại học</v>
      </c>
      <c r="J92" t="str">
        <f>survey_responses[[#This Row],[Trình độ học vấn cao nhất:]]</f>
        <v>Đại học</v>
      </c>
      <c r="K92" t="str">
        <f>step3_validation[[#This Row],[Employment]]</f>
        <v>Chính thức</v>
      </c>
      <c r="L92" t="str">
        <f>survey_responses[[#This Row],[Tình trạng việc làm chính:]]</f>
        <v>Khu vực chính thức (Có Hợp đồng lao động, đóng BHXH)</v>
      </c>
      <c r="M92">
        <f>step3_validation[[#This Row],[Income_Mil]]</f>
        <v>12</v>
      </c>
      <c r="N92" t="str">
        <f>survey_responses[[#This Row],[Thu nhập bình quân tháng theo Hợp đồng lao động của bạn là bao nhiêu? (Vui lòng điền tổng thu nhập trước khi khấu trừ các loại Bảo hiểm (BHXH, BHYT, BHTN) và Thuế TNCN)]]</f>
        <v>Dưới 12 triệu VNĐ</v>
      </c>
      <c r="O92">
        <f>step3_validation[[#This Row],[Dependents]]</f>
        <v>2</v>
      </c>
      <c r="P92" t="str">
        <f>survey_responses[[#This Row],[Số người phụ thuộc (con nhỏ, cha mẹ già...) đủ điều kiện giảm trừ gia cảnh:]]</f>
        <v>2 người</v>
      </c>
      <c r="Q92">
        <f>step3_validation[[#This Row],[AI_ENF1]]</f>
        <v>6</v>
      </c>
      <c r="R92">
        <f t="shared" si="27"/>
        <v>0.55555555555555558</v>
      </c>
      <c r="S92">
        <f>survey_responses[[#This Row],[Tôi tin rằng với các quy định quản lý thuế hiện nay, hành vi gian lận hoặc trốn thuế sẽ dễ dàng bị phát hiện và xử lý nghiêm. - HUMAN-ENF1]]</f>
        <v>10</v>
      </c>
      <c r="T92">
        <f t="shared" si="28"/>
        <v>1</v>
      </c>
      <c r="U92">
        <f>step3_validation[[#This Row],[AI_ENF2]]</f>
        <v>7</v>
      </c>
      <c r="V92">
        <f t="shared" si="29"/>
        <v>0.66666666666666663</v>
      </c>
      <c r="W92">
        <f>survey_responses[[#This Row],[Tôi tin rằng Nhà nước, cơ quan thuế có đủ khả năng và công nghệ để phát hiện, xử lý nghiêm các hành vi trốn thuế. - HUMAN-ENF2]]</f>
        <v>9</v>
      </c>
      <c r="X92">
        <f t="shared" si="30"/>
        <v>0.88888888888888884</v>
      </c>
      <c r="Y92" s="32">
        <f t="shared" si="31"/>
        <v>0.61111111111111116</v>
      </c>
      <c r="Z92" s="32">
        <f t="shared" si="32"/>
        <v>0.94444444444444442</v>
      </c>
      <c r="AA92">
        <f>step3_validation[[#This Row],[AI_FAC1]]</f>
        <v>8</v>
      </c>
      <c r="AB92">
        <f t="shared" si="33"/>
        <v>0.77777777777777779</v>
      </c>
      <c r="AC92">
        <f>survey_responses[[#This Row],[Các thủ tục khai báo thuế VÀ/HOẶC quy trình làm việc với cơ quan thuế đơn giản, tiện lợi, nhanh chóng hơn so với trước đây. - HUMAN-FAC1]]</f>
        <v>9</v>
      </c>
      <c r="AD92">
        <f t="shared" si="34"/>
        <v>0.88888888888888884</v>
      </c>
      <c r="AE92">
        <f>step3_validation[[#This Row],[AI_FAC2]]</f>
        <v>9</v>
      </c>
      <c r="AF92">
        <f t="shared" si="35"/>
        <v>0.88888888888888884</v>
      </c>
      <c r="AG92">
        <f>survey_responses[[#This Row],[So với trước đây, tôi thấy cách tính thuế và các bậc thuế trong phương án mới đơn giản, dễ hiểu và dễ thực hiện hơn. - HUMAN-FAC2]]</f>
        <v>9</v>
      </c>
      <c r="AH92">
        <f t="shared" si="36"/>
        <v>0.88888888888888884</v>
      </c>
      <c r="AI92" s="32">
        <f t="shared" si="37"/>
        <v>0.83333333333333326</v>
      </c>
      <c r="AJ92" s="32">
        <f t="shared" si="38"/>
        <v>0.88888888888888884</v>
      </c>
      <c r="AK92">
        <f>step3_validation[[#This Row],[AI_TRU1]]</f>
        <v>7</v>
      </c>
      <c r="AL92">
        <f t="shared" si="39"/>
        <v>0.66666666666666663</v>
      </c>
      <c r="AM92">
        <f>survey_responses[[#This Row],[Tôi tin rằng Nhà nước, cơ quan thuế sẽ thực thi chính sách mới một cách khách quan, công tâm và đối xử bình đẳng với mọi người nộp thuế.  - HUMAN-TRU1]]</f>
        <v>10</v>
      </c>
      <c r="AN92">
        <f t="shared" si="40"/>
        <v>1</v>
      </c>
      <c r="AO92">
        <f>step3_validation[[#This Row],[AI_TRU2]]</f>
        <v>8</v>
      </c>
      <c r="AP92">
        <f t="shared" si="41"/>
        <v>0.77777777777777779</v>
      </c>
      <c r="AQ92">
        <f>survey_responses[[#This Row],[Tôi thấy mức thuế tôi phải đóng theo phương án mới là công bằng (người thu nhập như tôi đóng mức này là hợp lý). - HUMAN-TRU2]]</f>
        <v>9</v>
      </c>
      <c r="AR92">
        <f t="shared" si="42"/>
        <v>0.88888888888888884</v>
      </c>
      <c r="AS92">
        <f>step3_validation[[#This Row],[AI_TRU3]]</f>
        <v>7</v>
      </c>
      <c r="AT92">
        <f t="shared" si="43"/>
        <v>0.66666666666666663</v>
      </c>
      <c r="AU92">
        <f>survey_responses[[#This Row],[Tôi tin tưởng số tiền thuế tôi đóng sẽ được Nhà nước sử dụng hiệu quả để cải thiện dịch vụ công (y tế, đường xá...). - HUMAN-TRU3]]</f>
        <v>8</v>
      </c>
      <c r="AV92">
        <f t="shared" si="44"/>
        <v>0.77777777777777779</v>
      </c>
      <c r="AW92">
        <f>step3_validation[[#This Row],[AI_TRU4]]</f>
        <v>7</v>
      </c>
      <c r="AX92">
        <f t="shared" si="45"/>
        <v>0.66666666666666663</v>
      </c>
      <c r="AY92">
        <f>survey_responses[[#This Row],[Tôi thấy Nhà nước đã giải thích rõ ràng, minh bạch về lý do và mục tiêu của việc sửa đổi thuế lần này. - HUMAN-TRU4]]</f>
        <v>8</v>
      </c>
      <c r="AZ92">
        <f t="shared" si="46"/>
        <v>0.77777777777777779</v>
      </c>
      <c r="BA92" s="32">
        <f t="shared" si="47"/>
        <v>0.69444444444444442</v>
      </c>
      <c r="BB92" s="32">
        <f t="shared" si="48"/>
        <v>0.86111111111111105</v>
      </c>
      <c r="BC92" s="7">
        <f t="shared" si="49"/>
        <v>0.71296296296296291</v>
      </c>
      <c r="BD92" s="7">
        <f t="shared" si="50"/>
        <v>0.89814814814814803</v>
      </c>
      <c r="BE92">
        <f>step3_validation[[#This Row],[AI_OUT1]]</f>
        <v>6</v>
      </c>
      <c r="BF92">
        <f t="shared" si="51"/>
        <v>0.55555555555555558</v>
      </c>
      <c r="BG92">
        <f>survey_responses[[#This Row],[Sau khi xem xét các quyền lợi và nghĩa vụ, bạn có ủng hộ và tuân thủ chính sách mới hiện nay? - HUMAN-OUT1]]</f>
        <v>10</v>
      </c>
      <c r="BH92">
        <f t="shared" si="52"/>
        <v>1</v>
      </c>
      <c r="BI92" s="32">
        <f t="shared" si="53"/>
        <v>4</v>
      </c>
    </row>
    <row r="93" spans="1:61" x14ac:dyDescent="0.45">
      <c r="A93" s="30">
        <f>step3_validation[[#This Row],[Persona_ID]]</f>
        <v>92</v>
      </c>
      <c r="B93" s="31">
        <f>step3_validation[[#This Row],[Used_Seed]]</f>
        <v>12436</v>
      </c>
      <c r="C93" t="str">
        <f>step3_validation[[#This Row],[Gender]]</f>
        <v>Nam</v>
      </c>
      <c r="D93" t="str">
        <f>survey_responses[[#This Row],[Giới tính của bạn:]]</f>
        <v>Nam</v>
      </c>
      <c r="E93" t="str">
        <f>step3_validation[[#This Row],[Age_Group]]</f>
        <v>30 - 39</v>
      </c>
      <c r="F93" t="str">
        <f>survey_responses[[#This Row],[Độ tuổi của bạn:]]</f>
        <v>30 - 39</v>
      </c>
      <c r="G93" t="str">
        <f>step3_validation[[#This Row],[Region]]</f>
        <v>Thành thị</v>
      </c>
      <c r="H93" t="str">
        <f>survey_responses[[#This Row],[Khu vực bạn đang sinh sống:]]</f>
        <v>Thành thị</v>
      </c>
      <c r="I93" t="str">
        <f>step3_validation[[#This Row],[Education]]</f>
        <v>Đại học</v>
      </c>
      <c r="J93" t="str">
        <f>survey_responses[[#This Row],[Trình độ học vấn cao nhất:]]</f>
        <v>Đại học</v>
      </c>
      <c r="K93" t="str">
        <f>step3_validation[[#This Row],[Employment]]</f>
        <v>Chính thức</v>
      </c>
      <c r="L93" t="str">
        <f>survey_responses[[#This Row],[Tình trạng việc làm chính:]]</f>
        <v>Khu vực chính thức (Có Hợp đồng lao động, đóng BHXH)</v>
      </c>
      <c r="M93">
        <f>step3_validation[[#This Row],[Income_Mil]]</f>
        <v>12</v>
      </c>
      <c r="N93" t="str">
        <f>survey_responses[[#This Row],[Thu nhập bình quân tháng theo Hợp đồng lao động của bạn là bao nhiêu? (Vui lòng điền tổng thu nhập trước khi khấu trừ các loại Bảo hiểm (BHXH, BHYT, BHTN) và Thuế TNCN)]]</f>
        <v>Dưới 12 triệu VNĐ</v>
      </c>
      <c r="O93">
        <f>step3_validation[[#This Row],[Dependents]]</f>
        <v>2</v>
      </c>
      <c r="P93" t="str">
        <f>survey_responses[[#This Row],[Số người phụ thuộc (con nhỏ, cha mẹ già...) đủ điều kiện giảm trừ gia cảnh:]]</f>
        <v>2 người</v>
      </c>
      <c r="Q93">
        <f>step3_validation[[#This Row],[AI_ENF1]]</f>
        <v>7</v>
      </c>
      <c r="R93">
        <f t="shared" si="27"/>
        <v>0.66666666666666663</v>
      </c>
      <c r="S93">
        <f>survey_responses[[#This Row],[Tôi tin rằng với các quy định quản lý thuế hiện nay, hành vi gian lận hoặc trốn thuế sẽ dễ dàng bị phát hiện và xử lý nghiêm. - HUMAN-ENF1]]</f>
        <v>10</v>
      </c>
      <c r="T93">
        <f t="shared" si="28"/>
        <v>1</v>
      </c>
      <c r="U93">
        <f>step3_validation[[#This Row],[AI_ENF2]]</f>
        <v>6</v>
      </c>
      <c r="V93">
        <f t="shared" si="29"/>
        <v>0.55555555555555558</v>
      </c>
      <c r="W93">
        <f>survey_responses[[#This Row],[Tôi tin rằng Nhà nước, cơ quan thuế có đủ khả năng và công nghệ để phát hiện, xử lý nghiêm các hành vi trốn thuế. - HUMAN-ENF2]]</f>
        <v>10</v>
      </c>
      <c r="X93">
        <f t="shared" si="30"/>
        <v>1</v>
      </c>
      <c r="Y93" s="32">
        <f t="shared" si="31"/>
        <v>0.61111111111111116</v>
      </c>
      <c r="Z93" s="32">
        <f t="shared" si="32"/>
        <v>1</v>
      </c>
      <c r="AA93">
        <f>step3_validation[[#This Row],[AI_FAC1]]</f>
        <v>8</v>
      </c>
      <c r="AB93">
        <f t="shared" si="33"/>
        <v>0.77777777777777779</v>
      </c>
      <c r="AC93">
        <f>survey_responses[[#This Row],[Các thủ tục khai báo thuế VÀ/HOẶC quy trình làm việc với cơ quan thuế đơn giản, tiện lợi, nhanh chóng hơn so với trước đây. - HUMAN-FAC1]]</f>
        <v>10</v>
      </c>
      <c r="AD93">
        <f t="shared" si="34"/>
        <v>1</v>
      </c>
      <c r="AE93">
        <f>step3_validation[[#This Row],[AI_FAC2]]</f>
        <v>9</v>
      </c>
      <c r="AF93">
        <f t="shared" si="35"/>
        <v>0.88888888888888884</v>
      </c>
      <c r="AG93">
        <f>survey_responses[[#This Row],[So với trước đây, tôi thấy cách tính thuế và các bậc thuế trong phương án mới đơn giản, dễ hiểu và dễ thực hiện hơn. - HUMAN-FAC2]]</f>
        <v>10</v>
      </c>
      <c r="AH93">
        <f t="shared" si="36"/>
        <v>1</v>
      </c>
      <c r="AI93" s="32">
        <f t="shared" si="37"/>
        <v>0.83333333333333326</v>
      </c>
      <c r="AJ93" s="32">
        <f t="shared" si="38"/>
        <v>1</v>
      </c>
      <c r="AK93">
        <f>step3_validation[[#This Row],[AI_TRU1]]</f>
        <v>8</v>
      </c>
      <c r="AL93">
        <f t="shared" si="39"/>
        <v>0.77777777777777779</v>
      </c>
      <c r="AM93">
        <f>survey_responses[[#This Row],[Tôi tin rằng Nhà nước, cơ quan thuế sẽ thực thi chính sách mới một cách khách quan, công tâm và đối xử bình đẳng với mọi người nộp thuế.  - HUMAN-TRU1]]</f>
        <v>10</v>
      </c>
      <c r="AN93">
        <f t="shared" si="40"/>
        <v>1</v>
      </c>
      <c r="AO93">
        <f>step3_validation[[#This Row],[AI_TRU2]]</f>
        <v>9</v>
      </c>
      <c r="AP93">
        <f t="shared" si="41"/>
        <v>0.88888888888888884</v>
      </c>
      <c r="AQ93">
        <f>survey_responses[[#This Row],[Tôi thấy mức thuế tôi phải đóng theo phương án mới là công bằng (người thu nhập như tôi đóng mức này là hợp lý). - HUMAN-TRU2]]</f>
        <v>1</v>
      </c>
      <c r="AR93">
        <f t="shared" si="42"/>
        <v>0</v>
      </c>
      <c r="AS93">
        <f>step3_validation[[#This Row],[AI_TRU3]]</f>
        <v>8</v>
      </c>
      <c r="AT93">
        <f t="shared" si="43"/>
        <v>0.77777777777777779</v>
      </c>
      <c r="AU93">
        <f>survey_responses[[#This Row],[Tôi tin tưởng số tiền thuế tôi đóng sẽ được Nhà nước sử dụng hiệu quả để cải thiện dịch vụ công (y tế, đường xá...). - HUMAN-TRU3]]</f>
        <v>10</v>
      </c>
      <c r="AV93">
        <f t="shared" si="44"/>
        <v>1</v>
      </c>
      <c r="AW93">
        <f>step3_validation[[#This Row],[AI_TRU4]]</f>
        <v>9</v>
      </c>
      <c r="AX93">
        <f t="shared" si="45"/>
        <v>0.88888888888888884</v>
      </c>
      <c r="AY93">
        <f>survey_responses[[#This Row],[Tôi thấy Nhà nước đã giải thích rõ ràng, minh bạch về lý do và mục tiêu của việc sửa đổi thuế lần này. - HUMAN-TRU4]]</f>
        <v>10</v>
      </c>
      <c r="AZ93">
        <f t="shared" si="46"/>
        <v>1</v>
      </c>
      <c r="BA93" s="32">
        <f t="shared" si="47"/>
        <v>0.83333333333333326</v>
      </c>
      <c r="BB93" s="32">
        <f t="shared" si="48"/>
        <v>0.75</v>
      </c>
      <c r="BC93" s="7">
        <f t="shared" si="49"/>
        <v>0.75925925925925919</v>
      </c>
      <c r="BD93" s="7">
        <f t="shared" si="50"/>
        <v>0.91666666666666663</v>
      </c>
      <c r="BE93">
        <f>step3_validation[[#This Row],[AI_OUT1]]</f>
        <v>10</v>
      </c>
      <c r="BF93">
        <f t="shared" si="51"/>
        <v>1</v>
      </c>
      <c r="BG93">
        <f>survey_responses[[#This Row],[Sau khi xem xét các quyền lợi và nghĩa vụ, bạn có ủng hộ và tuân thủ chính sách mới hiện nay? - HUMAN-OUT1]]</f>
        <v>10</v>
      </c>
      <c r="BH93">
        <f t="shared" si="52"/>
        <v>1</v>
      </c>
      <c r="BI93" s="32">
        <f t="shared" si="53"/>
        <v>0</v>
      </c>
    </row>
    <row r="94" spans="1:61" x14ac:dyDescent="0.45">
      <c r="A94" s="30">
        <f>step3_validation[[#This Row],[Persona_ID]]</f>
        <v>93</v>
      </c>
      <c r="B94" s="31">
        <f>step3_validation[[#This Row],[Used_Seed]]</f>
        <v>12437</v>
      </c>
      <c r="C94" t="str">
        <f>step3_validation[[#This Row],[Gender]]</f>
        <v>Nam</v>
      </c>
      <c r="D94" t="str">
        <f>survey_responses[[#This Row],[Giới tính của bạn:]]</f>
        <v>Nam</v>
      </c>
      <c r="E94" t="str">
        <f>step3_validation[[#This Row],[Age_Group]]</f>
        <v>30 - 39</v>
      </c>
      <c r="F94" t="str">
        <f>survey_responses[[#This Row],[Độ tuổi của bạn:]]</f>
        <v>30 - 39</v>
      </c>
      <c r="G94" t="str">
        <f>step3_validation[[#This Row],[Region]]</f>
        <v>Thành thị</v>
      </c>
      <c r="H94" t="str">
        <f>survey_responses[[#This Row],[Khu vực bạn đang sinh sống:]]</f>
        <v>Thành thị</v>
      </c>
      <c r="I94" t="str">
        <f>step3_validation[[#This Row],[Education]]</f>
        <v>Đại học</v>
      </c>
      <c r="J94" t="str">
        <f>survey_responses[[#This Row],[Trình độ học vấn cao nhất:]]</f>
        <v>Đại học</v>
      </c>
      <c r="K94" t="str">
        <f>step3_validation[[#This Row],[Employment]]</f>
        <v>Chính thức</v>
      </c>
      <c r="L94" t="str">
        <f>survey_responses[[#This Row],[Tình trạng việc làm chính:]]</f>
        <v>Khu vực chính thức (Có Hợp đồng lao động, đóng BHXH)</v>
      </c>
      <c r="M94">
        <f>step3_validation[[#This Row],[Income_Mil]]</f>
        <v>32.798162109154326</v>
      </c>
      <c r="N94" t="str">
        <f>survey_responses[[#This Row],[Thu nhập bình quân tháng theo Hợp đồng lao động của bạn là bao nhiêu? (Vui lòng điền tổng thu nhập trước khi khấu trừ các loại Bảo hiểm (BHXH, BHYT, BHTN) và Thuế TNCN)]]</f>
        <v>Từ 32 - 48 triệu VNĐ</v>
      </c>
      <c r="O94">
        <f>step3_validation[[#This Row],[Dependents]]</f>
        <v>2</v>
      </c>
      <c r="P94" t="str">
        <f>survey_responses[[#This Row],[Số người phụ thuộc (con nhỏ, cha mẹ già...) đủ điều kiện giảm trừ gia cảnh:]]</f>
        <v>2 người</v>
      </c>
      <c r="Q94">
        <f>step3_validation[[#This Row],[AI_ENF1]]</f>
        <v>7</v>
      </c>
      <c r="R94">
        <f t="shared" si="27"/>
        <v>0.66666666666666663</v>
      </c>
      <c r="S94">
        <f>survey_responses[[#This Row],[Tôi tin rằng với các quy định quản lý thuế hiện nay, hành vi gian lận hoặc trốn thuế sẽ dễ dàng bị phát hiện và xử lý nghiêm. - HUMAN-ENF1]]</f>
        <v>5</v>
      </c>
      <c r="T94">
        <f t="shared" si="28"/>
        <v>0.44444444444444442</v>
      </c>
      <c r="U94">
        <f>step3_validation[[#This Row],[AI_ENF2]]</f>
        <v>8</v>
      </c>
      <c r="V94">
        <f t="shared" si="29"/>
        <v>0.77777777777777779</v>
      </c>
      <c r="W94">
        <f>survey_responses[[#This Row],[Tôi tin rằng Nhà nước, cơ quan thuế có đủ khả năng và công nghệ để phát hiện, xử lý nghiêm các hành vi trốn thuế. - HUMAN-ENF2]]</f>
        <v>8</v>
      </c>
      <c r="X94">
        <f t="shared" si="30"/>
        <v>0.77777777777777779</v>
      </c>
      <c r="Y94" s="32">
        <f t="shared" si="31"/>
        <v>0.72222222222222221</v>
      </c>
      <c r="Z94" s="32">
        <f t="shared" si="32"/>
        <v>0.61111111111111116</v>
      </c>
      <c r="AA94">
        <f>step3_validation[[#This Row],[AI_FAC1]]</f>
        <v>9</v>
      </c>
      <c r="AB94">
        <f t="shared" si="33"/>
        <v>0.88888888888888884</v>
      </c>
      <c r="AC94">
        <f>survey_responses[[#This Row],[Các thủ tục khai báo thuế VÀ/HOẶC quy trình làm việc với cơ quan thuế đơn giản, tiện lợi, nhanh chóng hơn so với trước đây. - HUMAN-FAC1]]</f>
        <v>4</v>
      </c>
      <c r="AD94">
        <f t="shared" si="34"/>
        <v>0.33333333333333331</v>
      </c>
      <c r="AE94">
        <f>step3_validation[[#This Row],[AI_FAC2]]</f>
        <v>9</v>
      </c>
      <c r="AF94">
        <f t="shared" si="35"/>
        <v>0.88888888888888884</v>
      </c>
      <c r="AG94">
        <f>survey_responses[[#This Row],[So với trước đây, tôi thấy cách tính thuế và các bậc thuế trong phương án mới đơn giản, dễ hiểu và dễ thực hiện hơn. - HUMAN-FAC2]]</f>
        <v>9</v>
      </c>
      <c r="AH94">
        <f t="shared" si="36"/>
        <v>0.88888888888888884</v>
      </c>
      <c r="AI94" s="32">
        <f t="shared" si="37"/>
        <v>0.88888888888888884</v>
      </c>
      <c r="AJ94" s="32">
        <f t="shared" si="38"/>
        <v>0.61111111111111105</v>
      </c>
      <c r="AK94">
        <f>step3_validation[[#This Row],[AI_TRU1]]</f>
        <v>6</v>
      </c>
      <c r="AL94">
        <f t="shared" si="39"/>
        <v>0.55555555555555558</v>
      </c>
      <c r="AM94">
        <f>survey_responses[[#This Row],[Tôi tin rằng Nhà nước, cơ quan thuế sẽ thực thi chính sách mới một cách khách quan, công tâm và đối xử bình đẳng với mọi người nộp thuế.  - HUMAN-TRU1]]</f>
        <v>7</v>
      </c>
      <c r="AN94">
        <f t="shared" si="40"/>
        <v>0.66666666666666663</v>
      </c>
      <c r="AO94">
        <f>step3_validation[[#This Row],[AI_TRU2]]</f>
        <v>8</v>
      </c>
      <c r="AP94">
        <f t="shared" si="41"/>
        <v>0.77777777777777779</v>
      </c>
      <c r="AQ94">
        <f>survey_responses[[#This Row],[Tôi thấy mức thuế tôi phải đóng theo phương án mới là công bằng (người thu nhập như tôi đóng mức này là hợp lý). - HUMAN-TRU2]]</f>
        <v>5</v>
      </c>
      <c r="AR94">
        <f t="shared" si="42"/>
        <v>0.44444444444444442</v>
      </c>
      <c r="AS94">
        <f>step3_validation[[#This Row],[AI_TRU3]]</f>
        <v>7</v>
      </c>
      <c r="AT94">
        <f t="shared" si="43"/>
        <v>0.66666666666666663</v>
      </c>
      <c r="AU94">
        <f>survey_responses[[#This Row],[Tôi tin tưởng số tiền thuế tôi đóng sẽ được Nhà nước sử dụng hiệu quả để cải thiện dịch vụ công (y tế, đường xá...). - HUMAN-TRU3]]</f>
        <v>7</v>
      </c>
      <c r="AV94">
        <f t="shared" si="44"/>
        <v>0.66666666666666663</v>
      </c>
      <c r="AW94">
        <f>step3_validation[[#This Row],[AI_TRU4]]</f>
        <v>8</v>
      </c>
      <c r="AX94">
        <f t="shared" si="45"/>
        <v>0.77777777777777779</v>
      </c>
      <c r="AY94">
        <f>survey_responses[[#This Row],[Tôi thấy Nhà nước đã giải thích rõ ràng, minh bạch về lý do và mục tiêu của việc sửa đổi thuế lần này. - HUMAN-TRU4]]</f>
        <v>8</v>
      </c>
      <c r="AZ94">
        <f t="shared" si="46"/>
        <v>0.77777777777777779</v>
      </c>
      <c r="BA94" s="32">
        <f t="shared" si="47"/>
        <v>0.69444444444444442</v>
      </c>
      <c r="BB94" s="32">
        <f t="shared" si="48"/>
        <v>0.63888888888888884</v>
      </c>
      <c r="BC94" s="7">
        <f t="shared" si="49"/>
        <v>0.76851851851851849</v>
      </c>
      <c r="BD94" s="7">
        <f t="shared" si="50"/>
        <v>0.62037037037037035</v>
      </c>
      <c r="BE94">
        <f>step3_validation[[#This Row],[AI_OUT1]]</f>
        <v>9</v>
      </c>
      <c r="BF94">
        <f t="shared" si="51"/>
        <v>0.88888888888888884</v>
      </c>
      <c r="BG94">
        <f>survey_responses[[#This Row],[Sau khi xem xét các quyền lợi và nghĩa vụ, bạn có ủng hộ và tuân thủ chính sách mới hiện nay? - HUMAN-OUT1]]</f>
        <v>10</v>
      </c>
      <c r="BH94">
        <f t="shared" si="52"/>
        <v>1</v>
      </c>
      <c r="BI94" s="32">
        <f t="shared" si="53"/>
        <v>1</v>
      </c>
    </row>
    <row r="95" spans="1:61" x14ac:dyDescent="0.45">
      <c r="A95" s="30">
        <f>step3_validation[[#This Row],[Persona_ID]]</f>
        <v>94</v>
      </c>
      <c r="B95" s="31">
        <f>step3_validation[[#This Row],[Used_Seed]]</f>
        <v>12438</v>
      </c>
      <c r="C95" t="str">
        <f>step3_validation[[#This Row],[Gender]]</f>
        <v>Nữ</v>
      </c>
      <c r="D95" t="str">
        <f>survey_responses[[#This Row],[Giới tính của bạn:]]</f>
        <v>Nữ</v>
      </c>
      <c r="E95" t="str">
        <f>step3_validation[[#This Row],[Age_Group]]</f>
        <v>30 - 39</v>
      </c>
      <c r="F95" t="str">
        <f>survey_responses[[#This Row],[Độ tuổi của bạn:]]</f>
        <v>30 - 39</v>
      </c>
      <c r="G95" t="str">
        <f>step3_validation[[#This Row],[Region]]</f>
        <v>Thành thị</v>
      </c>
      <c r="H95" t="str">
        <f>survey_responses[[#This Row],[Khu vực bạn đang sinh sống:]]</f>
        <v>Thành thị</v>
      </c>
      <c r="I95" t="str">
        <f>step3_validation[[#This Row],[Education]]</f>
        <v>Sau Đại học</v>
      </c>
      <c r="J95" t="str">
        <f>survey_responses[[#This Row],[Trình độ học vấn cao nhất:]]</f>
        <v>Sau Đại học</v>
      </c>
      <c r="K95" t="str">
        <f>step3_validation[[#This Row],[Employment]]</f>
        <v>Chính thức</v>
      </c>
      <c r="L95" t="str">
        <f>survey_responses[[#This Row],[Tình trạng việc làm chính:]]</f>
        <v>Khu vực chính thức (Có Hợp đồng lao động, đóng BHXH)</v>
      </c>
      <c r="M95">
        <f>step3_validation[[#This Row],[Income_Mil]]</f>
        <v>12</v>
      </c>
      <c r="N95" t="str">
        <f>survey_responses[[#This Row],[Thu nhập bình quân tháng theo Hợp đồng lao động của bạn là bao nhiêu? (Vui lòng điền tổng thu nhập trước khi khấu trừ các loại Bảo hiểm (BHXH, BHYT, BHTN) và Thuế TNCN)]]</f>
        <v>Dưới 12 triệu VNĐ</v>
      </c>
      <c r="O95">
        <f>step3_validation[[#This Row],[Dependents]]</f>
        <v>0</v>
      </c>
      <c r="P95" t="str">
        <f>survey_responses[[#This Row],[Số người phụ thuộc (con nhỏ, cha mẹ già...) đủ điều kiện giảm trừ gia cảnh:]]</f>
        <v>0 người</v>
      </c>
      <c r="Q95">
        <f>step3_validation[[#This Row],[AI_ENF1]]</f>
        <v>6</v>
      </c>
      <c r="R95">
        <f t="shared" si="27"/>
        <v>0.55555555555555558</v>
      </c>
      <c r="S95">
        <f>survey_responses[[#This Row],[Tôi tin rằng với các quy định quản lý thuế hiện nay, hành vi gian lận hoặc trốn thuế sẽ dễ dàng bị phát hiện và xử lý nghiêm. - HUMAN-ENF1]]</f>
        <v>9</v>
      </c>
      <c r="T95">
        <f t="shared" si="28"/>
        <v>0.88888888888888884</v>
      </c>
      <c r="U95">
        <f>step3_validation[[#This Row],[AI_ENF2]]</f>
        <v>8</v>
      </c>
      <c r="V95">
        <f t="shared" si="29"/>
        <v>0.77777777777777779</v>
      </c>
      <c r="W95">
        <f>survey_responses[[#This Row],[Tôi tin rằng Nhà nước, cơ quan thuế có đủ khả năng và công nghệ để phát hiện, xử lý nghiêm các hành vi trốn thuế. - HUMAN-ENF2]]</f>
        <v>7</v>
      </c>
      <c r="X95">
        <f t="shared" si="30"/>
        <v>0.66666666666666663</v>
      </c>
      <c r="Y95" s="32">
        <f t="shared" si="31"/>
        <v>0.66666666666666674</v>
      </c>
      <c r="Z95" s="32">
        <f t="shared" si="32"/>
        <v>0.77777777777777768</v>
      </c>
      <c r="AA95">
        <f>step3_validation[[#This Row],[AI_FAC1]]</f>
        <v>9</v>
      </c>
      <c r="AB95">
        <f t="shared" si="33"/>
        <v>0.88888888888888884</v>
      </c>
      <c r="AC95">
        <f>survey_responses[[#This Row],[Các thủ tục khai báo thuế VÀ/HOẶC quy trình làm việc với cơ quan thuế đơn giản, tiện lợi, nhanh chóng hơn so với trước đây. - HUMAN-FAC1]]</f>
        <v>5</v>
      </c>
      <c r="AD95">
        <f t="shared" si="34"/>
        <v>0.44444444444444442</v>
      </c>
      <c r="AE95">
        <f>step3_validation[[#This Row],[AI_FAC2]]</f>
        <v>9</v>
      </c>
      <c r="AF95">
        <f t="shared" si="35"/>
        <v>0.88888888888888884</v>
      </c>
      <c r="AG95">
        <f>survey_responses[[#This Row],[So với trước đây, tôi thấy cách tính thuế và các bậc thuế trong phương án mới đơn giản, dễ hiểu và dễ thực hiện hơn. - HUMAN-FAC2]]</f>
        <v>7</v>
      </c>
      <c r="AH95">
        <f t="shared" si="36"/>
        <v>0.66666666666666663</v>
      </c>
      <c r="AI95" s="32">
        <f t="shared" si="37"/>
        <v>0.88888888888888884</v>
      </c>
      <c r="AJ95" s="32">
        <f t="shared" si="38"/>
        <v>0.55555555555555558</v>
      </c>
      <c r="AK95">
        <f>step3_validation[[#This Row],[AI_TRU1]]</f>
        <v>8</v>
      </c>
      <c r="AL95">
        <f t="shared" si="39"/>
        <v>0.77777777777777779</v>
      </c>
      <c r="AM95">
        <f>survey_responses[[#This Row],[Tôi tin rằng Nhà nước, cơ quan thuế sẽ thực thi chính sách mới một cách khách quan, công tâm và đối xử bình đẳng với mọi người nộp thuế.  - HUMAN-TRU1]]</f>
        <v>5</v>
      </c>
      <c r="AN95">
        <f t="shared" si="40"/>
        <v>0.44444444444444442</v>
      </c>
      <c r="AO95">
        <f>step3_validation[[#This Row],[AI_TRU2]]</f>
        <v>9</v>
      </c>
      <c r="AP95">
        <f t="shared" si="41"/>
        <v>0.88888888888888884</v>
      </c>
      <c r="AQ95">
        <f>survey_responses[[#This Row],[Tôi thấy mức thuế tôi phải đóng theo phương án mới là công bằng (người thu nhập như tôi đóng mức này là hợp lý). - HUMAN-TRU2]]</f>
        <v>8</v>
      </c>
      <c r="AR95">
        <f t="shared" si="42"/>
        <v>0.77777777777777779</v>
      </c>
      <c r="AS95">
        <f>step3_validation[[#This Row],[AI_TRU3]]</f>
        <v>8</v>
      </c>
      <c r="AT95">
        <f t="shared" si="43"/>
        <v>0.77777777777777779</v>
      </c>
      <c r="AU95">
        <f>survey_responses[[#This Row],[Tôi tin tưởng số tiền thuế tôi đóng sẽ được Nhà nước sử dụng hiệu quả để cải thiện dịch vụ công (y tế, đường xá...). - HUMAN-TRU3]]</f>
        <v>5</v>
      </c>
      <c r="AV95">
        <f t="shared" si="44"/>
        <v>0.44444444444444442</v>
      </c>
      <c r="AW95">
        <f>step3_validation[[#This Row],[AI_TRU4]]</f>
        <v>7</v>
      </c>
      <c r="AX95">
        <f t="shared" si="45"/>
        <v>0.66666666666666663</v>
      </c>
      <c r="AY95">
        <f>survey_responses[[#This Row],[Tôi thấy Nhà nước đã giải thích rõ ràng, minh bạch về lý do và mục tiêu của việc sửa đổi thuế lần này. - HUMAN-TRU4]]</f>
        <v>5</v>
      </c>
      <c r="AZ95">
        <f t="shared" si="46"/>
        <v>0.44444444444444442</v>
      </c>
      <c r="BA95" s="32">
        <f t="shared" si="47"/>
        <v>0.77777777777777768</v>
      </c>
      <c r="BB95" s="32">
        <f t="shared" si="48"/>
        <v>0.52777777777777779</v>
      </c>
      <c r="BC95" s="7">
        <f t="shared" si="49"/>
        <v>0.77777777777777768</v>
      </c>
      <c r="BD95" s="7">
        <f t="shared" si="50"/>
        <v>0.62037037037037035</v>
      </c>
      <c r="BE95">
        <f>step3_validation[[#This Row],[AI_OUT1]]</f>
        <v>9</v>
      </c>
      <c r="BF95">
        <f t="shared" si="51"/>
        <v>0.88888888888888884</v>
      </c>
      <c r="BG95">
        <f>survey_responses[[#This Row],[Sau khi xem xét các quyền lợi và nghĩa vụ, bạn có ủng hộ và tuân thủ chính sách mới hiện nay? - HUMAN-OUT1]]</f>
        <v>7</v>
      </c>
      <c r="BH95">
        <f t="shared" si="52"/>
        <v>0.66666666666666663</v>
      </c>
      <c r="BI95" s="32">
        <f t="shared" si="53"/>
        <v>2</v>
      </c>
    </row>
    <row r="96" spans="1:61" x14ac:dyDescent="0.45">
      <c r="A96" s="30">
        <f>step3_validation[[#This Row],[Persona_ID]]</f>
        <v>95</v>
      </c>
      <c r="B96" s="31">
        <f>step3_validation[[#This Row],[Used_Seed]]</f>
        <v>12439</v>
      </c>
      <c r="C96" t="str">
        <f>step3_validation[[#This Row],[Gender]]</f>
        <v>Nữ</v>
      </c>
      <c r="D96" t="str">
        <f>survey_responses[[#This Row],[Giới tính của bạn:]]</f>
        <v>Nữ</v>
      </c>
      <c r="E96" t="str">
        <f>step3_validation[[#This Row],[Age_Group]]</f>
        <v>40 - 49</v>
      </c>
      <c r="F96" t="str">
        <f>survey_responses[[#This Row],[Độ tuổi của bạn:]]</f>
        <v>40 - 49</v>
      </c>
      <c r="G96" t="str">
        <f>step3_validation[[#This Row],[Region]]</f>
        <v>Thành thị</v>
      </c>
      <c r="H96" t="str">
        <f>survey_responses[[#This Row],[Khu vực bạn đang sinh sống:]]</f>
        <v>Thành thị</v>
      </c>
      <c r="I96" t="str">
        <f>step3_validation[[#This Row],[Education]]</f>
        <v>Đại học</v>
      </c>
      <c r="J96" t="str">
        <f>survey_responses[[#This Row],[Trình độ học vấn cao nhất:]]</f>
        <v>Đại học</v>
      </c>
      <c r="K96" t="str">
        <f>step3_validation[[#This Row],[Employment]]</f>
        <v>Chính thức</v>
      </c>
      <c r="L96" t="str">
        <f>survey_responses[[#This Row],[Tình trạng việc làm chính:]]</f>
        <v>Khu vực chính thức (Có Hợp đồng lao động, đóng BHXH)</v>
      </c>
      <c r="M96">
        <f>step3_validation[[#This Row],[Income_Mil]]</f>
        <v>33.847147653280899</v>
      </c>
      <c r="N96" t="str">
        <f>survey_responses[[#This Row],[Thu nhập bình quân tháng theo Hợp đồng lao động của bạn là bao nhiêu? (Vui lòng điền tổng thu nhập trước khi khấu trừ các loại Bảo hiểm (BHXH, BHYT, BHTN) và Thuế TNCN)]]</f>
        <v>Từ 32 - 48 triệu VNĐ</v>
      </c>
      <c r="O96">
        <f>step3_validation[[#This Row],[Dependents]]</f>
        <v>3</v>
      </c>
      <c r="P96" t="str">
        <f>survey_responses[[#This Row],[Số người phụ thuộc (con nhỏ, cha mẹ già...) đủ điều kiện giảm trừ gia cảnh:]]</f>
        <v>3 người</v>
      </c>
      <c r="Q96">
        <f>step3_validation[[#This Row],[AI_ENF1]]</f>
        <v>6</v>
      </c>
      <c r="R96">
        <f t="shared" si="27"/>
        <v>0.55555555555555558</v>
      </c>
      <c r="S96">
        <f>survey_responses[[#This Row],[Tôi tin rằng với các quy định quản lý thuế hiện nay, hành vi gian lận hoặc trốn thuế sẽ dễ dàng bị phát hiện và xử lý nghiêm. - HUMAN-ENF1]]</f>
        <v>4</v>
      </c>
      <c r="T96">
        <f t="shared" si="28"/>
        <v>0.33333333333333331</v>
      </c>
      <c r="U96">
        <f>step3_validation[[#This Row],[AI_ENF2]]</f>
        <v>7</v>
      </c>
      <c r="V96">
        <f t="shared" si="29"/>
        <v>0.66666666666666663</v>
      </c>
      <c r="W96">
        <f>survey_responses[[#This Row],[Tôi tin rằng Nhà nước, cơ quan thuế có đủ khả năng và công nghệ để phát hiện, xử lý nghiêm các hành vi trốn thuế. - HUMAN-ENF2]]</f>
        <v>6</v>
      </c>
      <c r="X96">
        <f t="shared" si="30"/>
        <v>0.55555555555555558</v>
      </c>
      <c r="Y96" s="32">
        <f t="shared" si="31"/>
        <v>0.61111111111111116</v>
      </c>
      <c r="Z96" s="32">
        <f t="shared" si="32"/>
        <v>0.44444444444444442</v>
      </c>
      <c r="AA96">
        <f>step3_validation[[#This Row],[AI_FAC1]]</f>
        <v>8</v>
      </c>
      <c r="AB96">
        <f t="shared" si="33"/>
        <v>0.77777777777777779</v>
      </c>
      <c r="AC96">
        <f>survey_responses[[#This Row],[Các thủ tục khai báo thuế VÀ/HOẶC quy trình làm việc với cơ quan thuế đơn giản, tiện lợi, nhanh chóng hơn so với trước đây. - HUMAN-FAC1]]</f>
        <v>5</v>
      </c>
      <c r="AD96">
        <f t="shared" si="34"/>
        <v>0.44444444444444442</v>
      </c>
      <c r="AE96">
        <f>step3_validation[[#This Row],[AI_FAC2]]</f>
        <v>9</v>
      </c>
      <c r="AF96">
        <f t="shared" si="35"/>
        <v>0.88888888888888884</v>
      </c>
      <c r="AG96">
        <f>survey_responses[[#This Row],[So với trước đây, tôi thấy cách tính thuế và các bậc thuế trong phương án mới đơn giản, dễ hiểu và dễ thực hiện hơn. - HUMAN-FAC2]]</f>
        <v>5</v>
      </c>
      <c r="AH96">
        <f t="shared" si="36"/>
        <v>0.44444444444444442</v>
      </c>
      <c r="AI96" s="32">
        <f t="shared" si="37"/>
        <v>0.83333333333333326</v>
      </c>
      <c r="AJ96" s="32">
        <f t="shared" si="38"/>
        <v>0.44444444444444442</v>
      </c>
      <c r="AK96">
        <f>step3_validation[[#This Row],[AI_TRU1]]</f>
        <v>7</v>
      </c>
      <c r="AL96">
        <f t="shared" si="39"/>
        <v>0.66666666666666663</v>
      </c>
      <c r="AM96">
        <f>survey_responses[[#This Row],[Tôi tin rằng Nhà nước, cơ quan thuế sẽ thực thi chính sách mới một cách khách quan, công tâm và đối xử bình đẳng với mọi người nộp thuế.  - HUMAN-TRU1]]</f>
        <v>4</v>
      </c>
      <c r="AN96">
        <f t="shared" si="40"/>
        <v>0.33333333333333331</v>
      </c>
      <c r="AO96">
        <f>step3_validation[[#This Row],[AI_TRU2]]</f>
        <v>8</v>
      </c>
      <c r="AP96">
        <f t="shared" si="41"/>
        <v>0.77777777777777779</v>
      </c>
      <c r="AQ96">
        <f>survey_responses[[#This Row],[Tôi thấy mức thuế tôi phải đóng theo phương án mới là công bằng (người thu nhập như tôi đóng mức này là hợp lý). - HUMAN-TRU2]]</f>
        <v>4</v>
      </c>
      <c r="AR96">
        <f t="shared" si="42"/>
        <v>0.33333333333333331</v>
      </c>
      <c r="AS96">
        <f>step3_validation[[#This Row],[AI_TRU3]]</f>
        <v>7</v>
      </c>
      <c r="AT96">
        <f t="shared" si="43"/>
        <v>0.66666666666666663</v>
      </c>
      <c r="AU96">
        <f>survey_responses[[#This Row],[Tôi tin tưởng số tiền thuế tôi đóng sẽ được Nhà nước sử dụng hiệu quả để cải thiện dịch vụ công (y tế, đường xá...). - HUMAN-TRU3]]</f>
        <v>3</v>
      </c>
      <c r="AV96">
        <f t="shared" si="44"/>
        <v>0.22222222222222221</v>
      </c>
      <c r="AW96">
        <f>step3_validation[[#This Row],[AI_TRU4]]</f>
        <v>6</v>
      </c>
      <c r="AX96">
        <f t="shared" si="45"/>
        <v>0.55555555555555558</v>
      </c>
      <c r="AY96">
        <f>survey_responses[[#This Row],[Tôi thấy Nhà nước đã giải thích rõ ràng, minh bạch về lý do và mục tiêu của việc sửa đổi thuế lần này. - HUMAN-TRU4]]</f>
        <v>4</v>
      </c>
      <c r="AZ96">
        <f t="shared" si="46"/>
        <v>0.33333333333333331</v>
      </c>
      <c r="BA96" s="32">
        <f t="shared" si="47"/>
        <v>0.66666666666666674</v>
      </c>
      <c r="BB96" s="32">
        <f t="shared" si="48"/>
        <v>0.30555555555555552</v>
      </c>
      <c r="BC96" s="7">
        <f t="shared" si="49"/>
        <v>0.70370370370370372</v>
      </c>
      <c r="BD96" s="7">
        <f t="shared" si="50"/>
        <v>0.39814814814814814</v>
      </c>
      <c r="BE96">
        <f>step3_validation[[#This Row],[AI_OUT1]]</f>
        <v>8</v>
      </c>
      <c r="BF96">
        <f t="shared" si="51"/>
        <v>0.77777777777777779</v>
      </c>
      <c r="BG96">
        <f>survey_responses[[#This Row],[Sau khi xem xét các quyền lợi và nghĩa vụ, bạn có ủng hộ và tuân thủ chính sách mới hiện nay? - HUMAN-OUT1]]</f>
        <v>3</v>
      </c>
      <c r="BH96">
        <f t="shared" si="52"/>
        <v>0.22222222222222221</v>
      </c>
      <c r="BI96" s="32">
        <f t="shared" si="53"/>
        <v>5</v>
      </c>
    </row>
    <row r="97" spans="1:61" x14ac:dyDescent="0.45">
      <c r="A97" s="30">
        <f>step3_validation[[#This Row],[Persona_ID]]</f>
        <v>96</v>
      </c>
      <c r="B97" s="31">
        <f>step3_validation[[#This Row],[Used_Seed]]</f>
        <v>12440</v>
      </c>
      <c r="C97" t="str">
        <f>step3_validation[[#This Row],[Gender]]</f>
        <v>Nam</v>
      </c>
      <c r="D97" t="str">
        <f>survey_responses[[#This Row],[Giới tính của bạn:]]</f>
        <v>Nam</v>
      </c>
      <c r="E97" t="str">
        <f>step3_validation[[#This Row],[Age_Group]]</f>
        <v>18 - 24</v>
      </c>
      <c r="F97" t="str">
        <f>survey_responses[[#This Row],[Độ tuổi của bạn:]]</f>
        <v>18 - 24</v>
      </c>
      <c r="G97" t="str">
        <f>step3_validation[[#This Row],[Region]]</f>
        <v>Thành thị</v>
      </c>
      <c r="H97" t="str">
        <f>survey_responses[[#This Row],[Khu vực bạn đang sinh sống:]]</f>
        <v>Thành thị</v>
      </c>
      <c r="I97" t="str">
        <f>step3_validation[[#This Row],[Education]]</f>
        <v>Đại học</v>
      </c>
      <c r="J97" t="str">
        <f>survey_responses[[#This Row],[Trình độ học vấn cao nhất:]]</f>
        <v>Đại học</v>
      </c>
      <c r="K97" t="str">
        <f>step3_validation[[#This Row],[Employment]]</f>
        <v>Chính thức</v>
      </c>
      <c r="L97" t="str">
        <f>survey_responses[[#This Row],[Tình trạng việc làm chính:]]</f>
        <v>Khu vực chính thức (Có Hợp đồng lao động, đóng BHXH)</v>
      </c>
      <c r="M97">
        <f>step3_validation[[#This Row],[Income_Mil]]</f>
        <v>12</v>
      </c>
      <c r="N97" t="str">
        <f>survey_responses[[#This Row],[Thu nhập bình quân tháng theo Hợp đồng lao động của bạn là bao nhiêu? (Vui lòng điền tổng thu nhập trước khi khấu trừ các loại Bảo hiểm (BHXH, BHYT, BHTN) và Thuế TNCN)]]</f>
        <v>Dưới 12 triệu VNĐ</v>
      </c>
      <c r="O97">
        <f>step3_validation[[#This Row],[Dependents]]</f>
        <v>0</v>
      </c>
      <c r="P97" t="str">
        <f>survey_responses[[#This Row],[Số người phụ thuộc (con nhỏ, cha mẹ già...) đủ điều kiện giảm trừ gia cảnh:]]</f>
        <v>0 người</v>
      </c>
      <c r="Q97">
        <f>step3_validation[[#This Row],[AI_ENF1]]</f>
        <v>8</v>
      </c>
      <c r="R97">
        <f t="shared" si="27"/>
        <v>0.77777777777777779</v>
      </c>
      <c r="S97">
        <f>survey_responses[[#This Row],[Tôi tin rằng với các quy định quản lý thuế hiện nay, hành vi gian lận hoặc trốn thuế sẽ dễ dàng bị phát hiện và xử lý nghiêm. - HUMAN-ENF1]]</f>
        <v>8</v>
      </c>
      <c r="T97">
        <f t="shared" si="28"/>
        <v>0.77777777777777779</v>
      </c>
      <c r="U97">
        <f>step3_validation[[#This Row],[AI_ENF2]]</f>
        <v>9</v>
      </c>
      <c r="V97">
        <f t="shared" si="29"/>
        <v>0.88888888888888884</v>
      </c>
      <c r="W97">
        <f>survey_responses[[#This Row],[Tôi tin rằng Nhà nước, cơ quan thuế có đủ khả năng và công nghệ để phát hiện, xử lý nghiêm các hành vi trốn thuế. - HUMAN-ENF2]]</f>
        <v>7</v>
      </c>
      <c r="X97">
        <f t="shared" si="30"/>
        <v>0.66666666666666663</v>
      </c>
      <c r="Y97" s="32">
        <f t="shared" si="31"/>
        <v>0.83333333333333326</v>
      </c>
      <c r="Z97" s="32">
        <f t="shared" si="32"/>
        <v>0.72222222222222221</v>
      </c>
      <c r="AA97">
        <f>step3_validation[[#This Row],[AI_FAC1]]</f>
        <v>7</v>
      </c>
      <c r="AB97">
        <f t="shared" si="33"/>
        <v>0.66666666666666663</v>
      </c>
      <c r="AC97">
        <f>survey_responses[[#This Row],[Các thủ tục khai báo thuế VÀ/HOẶC quy trình làm việc với cơ quan thuế đơn giản, tiện lợi, nhanh chóng hơn so với trước đây. - HUMAN-FAC1]]</f>
        <v>5</v>
      </c>
      <c r="AD97">
        <f t="shared" si="34"/>
        <v>0.44444444444444442</v>
      </c>
      <c r="AE97">
        <f>step3_validation[[#This Row],[AI_FAC2]]</f>
        <v>9</v>
      </c>
      <c r="AF97">
        <f t="shared" si="35"/>
        <v>0.88888888888888884</v>
      </c>
      <c r="AG97">
        <f>survey_responses[[#This Row],[So với trước đây, tôi thấy cách tính thuế và các bậc thuế trong phương án mới đơn giản, dễ hiểu và dễ thực hiện hơn. - HUMAN-FAC2]]</f>
        <v>7</v>
      </c>
      <c r="AH97">
        <f t="shared" si="36"/>
        <v>0.66666666666666663</v>
      </c>
      <c r="AI97" s="32">
        <f t="shared" si="37"/>
        <v>0.77777777777777768</v>
      </c>
      <c r="AJ97" s="32">
        <f t="shared" si="38"/>
        <v>0.55555555555555558</v>
      </c>
      <c r="AK97">
        <f>step3_validation[[#This Row],[AI_TRU1]]</f>
        <v>8</v>
      </c>
      <c r="AL97">
        <f t="shared" si="39"/>
        <v>0.77777777777777779</v>
      </c>
      <c r="AM97">
        <f>survey_responses[[#This Row],[Tôi tin rằng Nhà nước, cơ quan thuế sẽ thực thi chính sách mới một cách khách quan, công tâm và đối xử bình đẳng với mọi người nộp thuế.  - HUMAN-TRU1]]</f>
        <v>7</v>
      </c>
      <c r="AN97">
        <f t="shared" si="40"/>
        <v>0.66666666666666663</v>
      </c>
      <c r="AO97">
        <f>step3_validation[[#This Row],[AI_TRU2]]</f>
        <v>9</v>
      </c>
      <c r="AP97">
        <f t="shared" si="41"/>
        <v>0.88888888888888884</v>
      </c>
      <c r="AQ97">
        <f>survey_responses[[#This Row],[Tôi thấy mức thuế tôi phải đóng theo phương án mới là công bằng (người thu nhập như tôi đóng mức này là hợp lý). - HUMAN-TRU2]]</f>
        <v>5</v>
      </c>
      <c r="AR97">
        <f t="shared" si="42"/>
        <v>0.44444444444444442</v>
      </c>
      <c r="AS97">
        <f>step3_validation[[#This Row],[AI_TRU3]]</f>
        <v>8</v>
      </c>
      <c r="AT97">
        <f t="shared" si="43"/>
        <v>0.77777777777777779</v>
      </c>
      <c r="AU97">
        <f>survey_responses[[#This Row],[Tôi tin tưởng số tiền thuế tôi đóng sẽ được Nhà nước sử dụng hiệu quả để cải thiện dịch vụ công (y tế, đường xá...). - HUMAN-TRU3]]</f>
        <v>5</v>
      </c>
      <c r="AV97">
        <f t="shared" si="44"/>
        <v>0.44444444444444442</v>
      </c>
      <c r="AW97">
        <f>step3_validation[[#This Row],[AI_TRU4]]</f>
        <v>9</v>
      </c>
      <c r="AX97">
        <f t="shared" si="45"/>
        <v>0.88888888888888884</v>
      </c>
      <c r="AY97">
        <f>survey_responses[[#This Row],[Tôi thấy Nhà nước đã giải thích rõ ràng, minh bạch về lý do và mục tiêu của việc sửa đổi thuế lần này. - HUMAN-TRU4]]</f>
        <v>7</v>
      </c>
      <c r="AZ97">
        <f t="shared" si="46"/>
        <v>0.66666666666666663</v>
      </c>
      <c r="BA97" s="32">
        <f t="shared" si="47"/>
        <v>0.83333333333333326</v>
      </c>
      <c r="BB97" s="32">
        <f t="shared" si="48"/>
        <v>0.55555555555555558</v>
      </c>
      <c r="BC97" s="7">
        <f t="shared" si="49"/>
        <v>0.81481481481481477</v>
      </c>
      <c r="BD97" s="7">
        <f t="shared" si="50"/>
        <v>0.61111111111111105</v>
      </c>
      <c r="BE97">
        <f>step3_validation[[#This Row],[AI_OUT1]]</f>
        <v>8</v>
      </c>
      <c r="BF97">
        <f t="shared" si="51"/>
        <v>0.77777777777777779</v>
      </c>
      <c r="BG97">
        <f>survey_responses[[#This Row],[Sau khi xem xét các quyền lợi và nghĩa vụ, bạn có ủng hộ và tuân thủ chính sách mới hiện nay? - HUMAN-OUT1]]</f>
        <v>7</v>
      </c>
      <c r="BH97">
        <f t="shared" si="52"/>
        <v>0.66666666666666663</v>
      </c>
      <c r="BI97" s="32">
        <f t="shared" si="53"/>
        <v>1</v>
      </c>
    </row>
    <row r="98" spans="1:61" x14ac:dyDescent="0.45">
      <c r="A98" s="30">
        <f>step3_validation[[#This Row],[Persona_ID]]</f>
        <v>97</v>
      </c>
      <c r="B98" s="31">
        <f>step3_validation[[#This Row],[Used_Seed]]</f>
        <v>12441</v>
      </c>
      <c r="C98" t="str">
        <f>step3_validation[[#This Row],[Gender]]</f>
        <v>Nữ</v>
      </c>
      <c r="D98" t="str">
        <f>survey_responses[[#This Row],[Giới tính của bạn:]]</f>
        <v>Nữ</v>
      </c>
      <c r="E98" t="str">
        <f>step3_validation[[#This Row],[Age_Group]]</f>
        <v>55 - 64</v>
      </c>
      <c r="F98" t="str">
        <f>survey_responses[[#This Row],[Độ tuổi của bạn:]]</f>
        <v>55 - 64</v>
      </c>
      <c r="G98" t="str">
        <f>step3_validation[[#This Row],[Region]]</f>
        <v>Thành thị</v>
      </c>
      <c r="H98" t="str">
        <f>survey_responses[[#This Row],[Khu vực bạn đang sinh sống:]]</f>
        <v>Thành thị</v>
      </c>
      <c r="I98" t="str">
        <f>step3_validation[[#This Row],[Education]]</f>
        <v>Đại học</v>
      </c>
      <c r="J98" t="str">
        <f>survey_responses[[#This Row],[Trình độ học vấn cao nhất:]]</f>
        <v>Đại học</v>
      </c>
      <c r="K98" t="str">
        <f>step3_validation[[#This Row],[Employment]]</f>
        <v>Phi chính thức</v>
      </c>
      <c r="L98" t="str">
        <f>survey_responses[[#This Row],[Tình trạng việc làm chính:]]</f>
        <v>Khu vực phi chính thức (Lao động tự do, không có HĐLĐ)</v>
      </c>
      <c r="M98">
        <f>step3_validation[[#This Row],[Income_Mil]]</f>
        <v>111.51328760485315</v>
      </c>
      <c r="N98" t="str">
        <f>survey_responses[[#This Row],[Thu nhập bình quân tháng theo Hợp đồng lao động của bạn là bao nhiêu? (Vui lòng điền tổng thu nhập trước khi khấu trừ các loại Bảo hiểm (BHXH, BHYT, BHTN) và Thuế TNCN)]]</f>
        <v>Trên 102 triệu VNĐ</v>
      </c>
      <c r="O98">
        <f>step3_validation[[#This Row],[Dependents]]</f>
        <v>4</v>
      </c>
      <c r="P98" t="str">
        <f>survey_responses[[#This Row],[Số người phụ thuộc (con nhỏ, cha mẹ già...) đủ điều kiện giảm trừ gia cảnh:]]</f>
        <v>4 người trở lên</v>
      </c>
      <c r="Q98">
        <f>step3_validation[[#This Row],[AI_ENF1]]</f>
        <v>8</v>
      </c>
      <c r="R98">
        <f t="shared" si="27"/>
        <v>0.77777777777777779</v>
      </c>
      <c r="S98">
        <f>survey_responses[[#This Row],[Tôi tin rằng với các quy định quản lý thuế hiện nay, hành vi gian lận hoặc trốn thuế sẽ dễ dàng bị phát hiện và xử lý nghiêm. - HUMAN-ENF1]]</f>
        <v>6</v>
      </c>
      <c r="T98">
        <f t="shared" si="28"/>
        <v>0.55555555555555558</v>
      </c>
      <c r="U98">
        <f>step3_validation[[#This Row],[AI_ENF2]]</f>
        <v>7</v>
      </c>
      <c r="V98">
        <f t="shared" si="29"/>
        <v>0.66666666666666663</v>
      </c>
      <c r="W98">
        <f>survey_responses[[#This Row],[Tôi tin rằng Nhà nước, cơ quan thuế có đủ khả năng và công nghệ để phát hiện, xử lý nghiêm các hành vi trốn thuế. - HUMAN-ENF2]]</f>
        <v>6</v>
      </c>
      <c r="X98">
        <f t="shared" si="30"/>
        <v>0.55555555555555558</v>
      </c>
      <c r="Y98" s="32">
        <f t="shared" si="31"/>
        <v>0.72222222222222221</v>
      </c>
      <c r="Z98" s="32">
        <f t="shared" si="32"/>
        <v>0.55555555555555558</v>
      </c>
      <c r="AA98">
        <f>step3_validation[[#This Row],[AI_FAC1]]</f>
        <v>9</v>
      </c>
      <c r="AB98">
        <f t="shared" si="33"/>
        <v>0.88888888888888884</v>
      </c>
      <c r="AC98">
        <f>survey_responses[[#This Row],[Các thủ tục khai báo thuế VÀ/HOẶC quy trình làm việc với cơ quan thuế đơn giản, tiện lợi, nhanh chóng hơn so với trước đây. - HUMAN-FAC1]]</f>
        <v>5</v>
      </c>
      <c r="AD98">
        <f t="shared" si="34"/>
        <v>0.44444444444444442</v>
      </c>
      <c r="AE98">
        <f>step3_validation[[#This Row],[AI_FAC2]]</f>
        <v>8</v>
      </c>
      <c r="AF98">
        <f t="shared" si="35"/>
        <v>0.77777777777777779</v>
      </c>
      <c r="AG98">
        <f>survey_responses[[#This Row],[So với trước đây, tôi thấy cách tính thuế và các bậc thuế trong phương án mới đơn giản, dễ hiểu và dễ thực hiện hơn. - HUMAN-FAC2]]</f>
        <v>5</v>
      </c>
      <c r="AH98">
        <f t="shared" si="36"/>
        <v>0.44444444444444442</v>
      </c>
      <c r="AI98" s="32">
        <f t="shared" si="37"/>
        <v>0.83333333333333326</v>
      </c>
      <c r="AJ98" s="32">
        <f t="shared" si="38"/>
        <v>0.44444444444444442</v>
      </c>
      <c r="AK98">
        <f>step3_validation[[#This Row],[AI_TRU1]]</f>
        <v>9</v>
      </c>
      <c r="AL98">
        <f t="shared" si="39"/>
        <v>0.88888888888888884</v>
      </c>
      <c r="AM98">
        <f>survey_responses[[#This Row],[Tôi tin rằng Nhà nước, cơ quan thuế sẽ thực thi chính sách mới một cách khách quan, công tâm và đối xử bình đẳng với mọi người nộp thuế.  - HUMAN-TRU1]]</f>
        <v>5</v>
      </c>
      <c r="AN98">
        <f t="shared" si="40"/>
        <v>0.44444444444444442</v>
      </c>
      <c r="AO98">
        <f>step3_validation[[#This Row],[AI_TRU2]]</f>
        <v>8</v>
      </c>
      <c r="AP98">
        <f t="shared" si="41"/>
        <v>0.77777777777777779</v>
      </c>
      <c r="AQ98">
        <f>survey_responses[[#This Row],[Tôi thấy mức thuế tôi phải đóng theo phương án mới là công bằng (người thu nhập như tôi đóng mức này là hợp lý). - HUMAN-TRU2]]</f>
        <v>5</v>
      </c>
      <c r="AR98">
        <f t="shared" si="42"/>
        <v>0.44444444444444442</v>
      </c>
      <c r="AS98">
        <f>step3_validation[[#This Row],[AI_TRU3]]</f>
        <v>9</v>
      </c>
      <c r="AT98">
        <f t="shared" si="43"/>
        <v>0.88888888888888884</v>
      </c>
      <c r="AU98">
        <f>survey_responses[[#This Row],[Tôi tin tưởng số tiền thuế tôi đóng sẽ được Nhà nước sử dụng hiệu quả để cải thiện dịch vụ công (y tế, đường xá...). - HUMAN-TRU3]]</f>
        <v>5</v>
      </c>
      <c r="AV98">
        <f t="shared" si="44"/>
        <v>0.44444444444444442</v>
      </c>
      <c r="AW98">
        <f>step3_validation[[#This Row],[AI_TRU4]]</f>
        <v>8</v>
      </c>
      <c r="AX98">
        <f t="shared" si="45"/>
        <v>0.77777777777777779</v>
      </c>
      <c r="AY98">
        <f>survey_responses[[#This Row],[Tôi thấy Nhà nước đã giải thích rõ ràng, minh bạch về lý do và mục tiêu của việc sửa đổi thuế lần này. - HUMAN-TRU4]]</f>
        <v>5</v>
      </c>
      <c r="AZ98">
        <f t="shared" si="46"/>
        <v>0.44444444444444442</v>
      </c>
      <c r="BA98" s="32">
        <f t="shared" si="47"/>
        <v>0.83333333333333326</v>
      </c>
      <c r="BB98" s="32">
        <f t="shared" si="48"/>
        <v>0.44444444444444442</v>
      </c>
      <c r="BC98" s="7">
        <f t="shared" si="49"/>
        <v>0.79629629629629617</v>
      </c>
      <c r="BD98" s="7">
        <f t="shared" si="50"/>
        <v>0.48148148148148145</v>
      </c>
      <c r="BE98">
        <f>step3_validation[[#This Row],[AI_OUT1]]</f>
        <v>9</v>
      </c>
      <c r="BF98">
        <f t="shared" si="51"/>
        <v>0.88888888888888884</v>
      </c>
      <c r="BG98">
        <f>survey_responses[[#This Row],[Sau khi xem xét các quyền lợi và nghĩa vụ, bạn có ủng hộ và tuân thủ chính sách mới hiện nay? - HUMAN-OUT1]]</f>
        <v>5</v>
      </c>
      <c r="BH98">
        <f t="shared" si="52"/>
        <v>0.44444444444444442</v>
      </c>
      <c r="BI98" s="32">
        <f t="shared" si="53"/>
        <v>4</v>
      </c>
    </row>
    <row r="99" spans="1:61" x14ac:dyDescent="0.45">
      <c r="A99" s="30">
        <f>step3_validation[[#This Row],[Persona_ID]]</f>
        <v>98</v>
      </c>
      <c r="B99" s="31">
        <f>step3_validation[[#This Row],[Used_Seed]]</f>
        <v>12442</v>
      </c>
      <c r="C99" t="str">
        <f>step3_validation[[#This Row],[Gender]]</f>
        <v>Nữ</v>
      </c>
      <c r="D99" t="str">
        <f>survey_responses[[#This Row],[Giới tính của bạn:]]</f>
        <v>Nữ</v>
      </c>
      <c r="E99" t="str">
        <f>step3_validation[[#This Row],[Age_Group]]</f>
        <v>30 - 39</v>
      </c>
      <c r="F99" t="str">
        <f>survey_responses[[#This Row],[Độ tuổi của bạn:]]</f>
        <v>30 - 39</v>
      </c>
      <c r="G99" t="str">
        <f>step3_validation[[#This Row],[Region]]</f>
        <v>Nông thôn</v>
      </c>
      <c r="H99" t="str">
        <f>survey_responses[[#This Row],[Khu vực bạn đang sinh sống:]]</f>
        <v>Nông thôn</v>
      </c>
      <c r="I99" t="str">
        <f>step3_validation[[#This Row],[Education]]</f>
        <v>Đại học</v>
      </c>
      <c r="J99" t="str">
        <f>survey_responses[[#This Row],[Trình độ học vấn cao nhất:]]</f>
        <v>Đại học</v>
      </c>
      <c r="K99" t="str">
        <f>step3_validation[[#This Row],[Employment]]</f>
        <v>Chính thức</v>
      </c>
      <c r="L99" t="str">
        <f>survey_responses[[#This Row],[Tình trạng việc làm chính:]]</f>
        <v>Khu vực chính thức (Có Hợp đồng lao động, đóng BHXH)</v>
      </c>
      <c r="M99">
        <f>step3_validation[[#This Row],[Income_Mil]]</f>
        <v>20.932553600708715</v>
      </c>
      <c r="N99" t="str">
        <f>survey_responses[[#This Row],[Thu nhập bình quân tháng theo Hợp đồng lao động của bạn là bao nhiêu? (Vui lòng điền tổng thu nhập trước khi khấu trừ các loại Bảo hiểm (BHXH, BHYT, BHTN) và Thuế TNCN)]]</f>
        <v>Từ 18 - 23 triệu VNĐ</v>
      </c>
      <c r="O99">
        <f>step3_validation[[#This Row],[Dependents]]</f>
        <v>0</v>
      </c>
      <c r="P99" t="str">
        <f>survey_responses[[#This Row],[Số người phụ thuộc (con nhỏ, cha mẹ già...) đủ điều kiện giảm trừ gia cảnh:]]</f>
        <v>0 người</v>
      </c>
      <c r="Q99">
        <f>step3_validation[[#This Row],[AI_ENF1]]</f>
        <v>6</v>
      </c>
      <c r="R99">
        <f t="shared" si="27"/>
        <v>0.55555555555555558</v>
      </c>
      <c r="S99">
        <f>survey_responses[[#This Row],[Tôi tin rằng với các quy định quản lý thuế hiện nay, hành vi gian lận hoặc trốn thuế sẽ dễ dàng bị phát hiện và xử lý nghiêm. - HUMAN-ENF1]]</f>
        <v>8</v>
      </c>
      <c r="T99">
        <f t="shared" si="28"/>
        <v>0.77777777777777779</v>
      </c>
      <c r="U99">
        <f>step3_validation[[#This Row],[AI_ENF2]]</f>
        <v>6</v>
      </c>
      <c r="V99">
        <f t="shared" si="29"/>
        <v>0.55555555555555558</v>
      </c>
      <c r="W99">
        <f>survey_responses[[#This Row],[Tôi tin rằng Nhà nước, cơ quan thuế có đủ khả năng và công nghệ để phát hiện, xử lý nghiêm các hành vi trốn thuế. - HUMAN-ENF2]]</f>
        <v>8</v>
      </c>
      <c r="X99">
        <f t="shared" si="30"/>
        <v>0.77777777777777779</v>
      </c>
      <c r="Y99" s="32">
        <f t="shared" si="31"/>
        <v>0.55555555555555558</v>
      </c>
      <c r="Z99" s="32">
        <f t="shared" si="32"/>
        <v>0.77777777777777779</v>
      </c>
      <c r="AA99">
        <f>step3_validation[[#This Row],[AI_FAC1]]</f>
        <v>8</v>
      </c>
      <c r="AB99">
        <f t="shared" si="33"/>
        <v>0.77777777777777779</v>
      </c>
      <c r="AC99">
        <f>survey_responses[[#This Row],[Các thủ tục khai báo thuế VÀ/HOẶC quy trình làm việc với cơ quan thuế đơn giản, tiện lợi, nhanh chóng hơn so với trước đây. - HUMAN-FAC1]]</f>
        <v>5</v>
      </c>
      <c r="AD99">
        <f t="shared" si="34"/>
        <v>0.44444444444444442</v>
      </c>
      <c r="AE99">
        <f>step3_validation[[#This Row],[AI_FAC2]]</f>
        <v>9</v>
      </c>
      <c r="AF99">
        <f t="shared" si="35"/>
        <v>0.88888888888888884</v>
      </c>
      <c r="AG99">
        <f>survey_responses[[#This Row],[So với trước đây, tôi thấy cách tính thuế và các bậc thuế trong phương án mới đơn giản, dễ hiểu và dễ thực hiện hơn. - HUMAN-FAC2]]</f>
        <v>8</v>
      </c>
      <c r="AH99">
        <f t="shared" si="36"/>
        <v>0.77777777777777779</v>
      </c>
      <c r="AI99" s="32">
        <f t="shared" si="37"/>
        <v>0.83333333333333326</v>
      </c>
      <c r="AJ99" s="32">
        <f t="shared" si="38"/>
        <v>0.61111111111111116</v>
      </c>
      <c r="AK99">
        <f>step3_validation[[#This Row],[AI_TRU1]]</f>
        <v>8</v>
      </c>
      <c r="AL99">
        <f t="shared" si="39"/>
        <v>0.77777777777777779</v>
      </c>
      <c r="AM99">
        <f>survey_responses[[#This Row],[Tôi tin rằng Nhà nước, cơ quan thuế sẽ thực thi chính sách mới một cách khách quan, công tâm và đối xử bình đẳng với mọi người nộp thuế.  - HUMAN-TRU1]]</f>
        <v>6</v>
      </c>
      <c r="AN99">
        <f t="shared" si="40"/>
        <v>0.55555555555555558</v>
      </c>
      <c r="AO99">
        <f>step3_validation[[#This Row],[AI_TRU2]]</f>
        <v>9</v>
      </c>
      <c r="AP99">
        <f t="shared" si="41"/>
        <v>0.88888888888888884</v>
      </c>
      <c r="AQ99">
        <f>survey_responses[[#This Row],[Tôi thấy mức thuế tôi phải đóng theo phương án mới là công bằng (người thu nhập như tôi đóng mức này là hợp lý). - HUMAN-TRU2]]</f>
        <v>9</v>
      </c>
      <c r="AR99">
        <f t="shared" si="42"/>
        <v>0.88888888888888884</v>
      </c>
      <c r="AS99">
        <f>step3_validation[[#This Row],[AI_TRU3]]</f>
        <v>8</v>
      </c>
      <c r="AT99">
        <f t="shared" si="43"/>
        <v>0.77777777777777779</v>
      </c>
      <c r="AU99">
        <f>survey_responses[[#This Row],[Tôi tin tưởng số tiền thuế tôi đóng sẽ được Nhà nước sử dụng hiệu quả để cải thiện dịch vụ công (y tế, đường xá...). - HUMAN-TRU3]]</f>
        <v>5</v>
      </c>
      <c r="AV99">
        <f t="shared" si="44"/>
        <v>0.44444444444444442</v>
      </c>
      <c r="AW99">
        <f>step3_validation[[#This Row],[AI_TRU4]]</f>
        <v>7</v>
      </c>
      <c r="AX99">
        <f t="shared" si="45"/>
        <v>0.66666666666666663</v>
      </c>
      <c r="AY99">
        <f>survey_responses[[#This Row],[Tôi thấy Nhà nước đã giải thích rõ ràng, minh bạch về lý do và mục tiêu của việc sửa đổi thuế lần này. - HUMAN-TRU4]]</f>
        <v>7</v>
      </c>
      <c r="AZ99">
        <f t="shared" si="46"/>
        <v>0.66666666666666663</v>
      </c>
      <c r="BA99" s="32">
        <f t="shared" si="47"/>
        <v>0.77777777777777768</v>
      </c>
      <c r="BB99" s="32">
        <f t="shared" si="48"/>
        <v>0.63888888888888884</v>
      </c>
      <c r="BC99" s="7">
        <f t="shared" si="49"/>
        <v>0.72222222222222221</v>
      </c>
      <c r="BD99" s="7">
        <f t="shared" si="50"/>
        <v>0.67592592592592593</v>
      </c>
      <c r="BE99">
        <f>step3_validation[[#This Row],[AI_OUT1]]</f>
        <v>9</v>
      </c>
      <c r="BF99">
        <f t="shared" si="51"/>
        <v>0.88888888888888884</v>
      </c>
      <c r="BG99">
        <f>survey_responses[[#This Row],[Sau khi xem xét các quyền lợi và nghĩa vụ, bạn có ủng hộ và tuân thủ chính sách mới hiện nay? - HUMAN-OUT1]]</f>
        <v>8</v>
      </c>
      <c r="BH99">
        <f t="shared" si="52"/>
        <v>0.77777777777777779</v>
      </c>
      <c r="BI99" s="32">
        <f t="shared" si="53"/>
        <v>1</v>
      </c>
    </row>
    <row r="100" spans="1:61" x14ac:dyDescent="0.45">
      <c r="A100" s="30">
        <f>step3_validation[[#This Row],[Persona_ID]]</f>
        <v>99</v>
      </c>
      <c r="B100" s="31">
        <f>step3_validation[[#This Row],[Used_Seed]]</f>
        <v>12443</v>
      </c>
      <c r="C100" t="str">
        <f>step3_validation[[#This Row],[Gender]]</f>
        <v>Nam</v>
      </c>
      <c r="D100" t="str">
        <f>survey_responses[[#This Row],[Giới tính của bạn:]]</f>
        <v>Nam</v>
      </c>
      <c r="E100" t="str">
        <f>step3_validation[[#This Row],[Age_Group]]</f>
        <v>25 - 29</v>
      </c>
      <c r="F100" t="str">
        <f>survey_responses[[#This Row],[Độ tuổi của bạn:]]</f>
        <v>25 - 29</v>
      </c>
      <c r="G100" t="str">
        <f>step3_validation[[#This Row],[Region]]</f>
        <v>Thành thị</v>
      </c>
      <c r="H100" t="str">
        <f>survey_responses[[#This Row],[Khu vực bạn đang sinh sống:]]</f>
        <v>Thành thị</v>
      </c>
      <c r="I100" t="str">
        <f>step3_validation[[#This Row],[Education]]</f>
        <v>Đại học</v>
      </c>
      <c r="J100" t="str">
        <f>survey_responses[[#This Row],[Trình độ học vấn cao nhất:]]</f>
        <v>Đại học</v>
      </c>
      <c r="K100" t="str">
        <f>step3_validation[[#This Row],[Employment]]</f>
        <v>Chính thức</v>
      </c>
      <c r="L100" t="str">
        <f>survey_responses[[#This Row],[Tình trạng việc làm chính:]]</f>
        <v>Khu vực chính thức (Có Hợp đồng lao động, đóng BHXH)</v>
      </c>
      <c r="M100">
        <f>step3_validation[[#This Row],[Income_Mil]]</f>
        <v>28.721568597096145</v>
      </c>
      <c r="N100" t="str">
        <f>survey_responses[[#This Row],[Thu nhập bình quân tháng theo Hợp đồng lao động của bạn là bao nhiêu? (Vui lòng điền tổng thu nhập trước khi khấu trừ các loại Bảo hiểm (BHXH, BHYT, BHTN) và Thuế TNCN)]]</f>
        <v>Từ 23 - 32 triệu VNĐ</v>
      </c>
      <c r="O100">
        <f>step3_validation[[#This Row],[Dependents]]</f>
        <v>1</v>
      </c>
      <c r="P100" t="str">
        <f>survey_responses[[#This Row],[Số người phụ thuộc (con nhỏ, cha mẹ già...) đủ điều kiện giảm trừ gia cảnh:]]</f>
        <v>1 người</v>
      </c>
      <c r="Q100">
        <f>step3_validation[[#This Row],[AI_ENF1]]</f>
        <v>6</v>
      </c>
      <c r="R100">
        <f t="shared" si="27"/>
        <v>0.55555555555555558</v>
      </c>
      <c r="S100">
        <f>survey_responses[[#This Row],[Tôi tin rằng với các quy định quản lý thuế hiện nay, hành vi gian lận hoặc trốn thuế sẽ dễ dàng bị phát hiện và xử lý nghiêm. - HUMAN-ENF1]]</f>
        <v>6</v>
      </c>
      <c r="T100">
        <f t="shared" si="28"/>
        <v>0.55555555555555558</v>
      </c>
      <c r="U100">
        <f>step3_validation[[#This Row],[AI_ENF2]]</f>
        <v>7</v>
      </c>
      <c r="V100">
        <f t="shared" si="29"/>
        <v>0.66666666666666663</v>
      </c>
      <c r="W100">
        <f>survey_responses[[#This Row],[Tôi tin rằng Nhà nước, cơ quan thuế có đủ khả năng và công nghệ để phát hiện, xử lý nghiêm các hành vi trốn thuế. - HUMAN-ENF2]]</f>
        <v>6</v>
      </c>
      <c r="X100">
        <f t="shared" si="30"/>
        <v>0.55555555555555558</v>
      </c>
      <c r="Y100" s="32">
        <f t="shared" si="31"/>
        <v>0.61111111111111116</v>
      </c>
      <c r="Z100" s="32">
        <f t="shared" si="32"/>
        <v>0.55555555555555558</v>
      </c>
      <c r="AA100">
        <f>step3_validation[[#This Row],[AI_FAC1]]</f>
        <v>9</v>
      </c>
      <c r="AB100">
        <f t="shared" si="33"/>
        <v>0.88888888888888884</v>
      </c>
      <c r="AC100">
        <f>survey_responses[[#This Row],[Các thủ tục khai báo thuế VÀ/HOẶC quy trình làm việc với cơ quan thuế đơn giản, tiện lợi, nhanh chóng hơn so với trước đây. - HUMAN-FAC1]]</f>
        <v>3</v>
      </c>
      <c r="AD100">
        <f t="shared" si="34"/>
        <v>0.22222222222222221</v>
      </c>
      <c r="AE100">
        <f>step3_validation[[#This Row],[AI_FAC2]]</f>
        <v>8</v>
      </c>
      <c r="AF100">
        <f t="shared" si="35"/>
        <v>0.77777777777777779</v>
      </c>
      <c r="AG100">
        <f>survey_responses[[#This Row],[So với trước đây, tôi thấy cách tính thuế và các bậc thuế trong phương án mới đơn giản, dễ hiểu và dễ thực hiện hơn. - HUMAN-FAC2]]</f>
        <v>6</v>
      </c>
      <c r="AH100">
        <f t="shared" si="36"/>
        <v>0.55555555555555558</v>
      </c>
      <c r="AI100" s="32">
        <f t="shared" si="37"/>
        <v>0.83333333333333326</v>
      </c>
      <c r="AJ100" s="32">
        <f t="shared" si="38"/>
        <v>0.3888888888888889</v>
      </c>
      <c r="AK100">
        <f>step3_validation[[#This Row],[AI_TRU1]]</f>
        <v>7</v>
      </c>
      <c r="AL100">
        <f t="shared" si="39"/>
        <v>0.66666666666666663</v>
      </c>
      <c r="AM100">
        <f>survey_responses[[#This Row],[Tôi tin rằng Nhà nước, cơ quan thuế sẽ thực thi chính sách mới một cách khách quan, công tâm và đối xử bình đẳng với mọi người nộp thuế.  - HUMAN-TRU1]]</f>
        <v>5</v>
      </c>
      <c r="AN100">
        <f t="shared" si="40"/>
        <v>0.44444444444444442</v>
      </c>
      <c r="AO100">
        <f>step3_validation[[#This Row],[AI_TRU2]]</f>
        <v>9</v>
      </c>
      <c r="AP100">
        <f t="shared" si="41"/>
        <v>0.88888888888888884</v>
      </c>
      <c r="AQ100">
        <f>survey_responses[[#This Row],[Tôi thấy mức thuế tôi phải đóng theo phương án mới là công bằng (người thu nhập như tôi đóng mức này là hợp lý). - HUMAN-TRU2]]</f>
        <v>6</v>
      </c>
      <c r="AR100">
        <f t="shared" si="42"/>
        <v>0.55555555555555558</v>
      </c>
      <c r="AS100">
        <f>step3_validation[[#This Row],[AI_TRU3]]</f>
        <v>7</v>
      </c>
      <c r="AT100">
        <f t="shared" si="43"/>
        <v>0.66666666666666663</v>
      </c>
      <c r="AU100">
        <f>survey_responses[[#This Row],[Tôi tin tưởng số tiền thuế tôi đóng sẽ được Nhà nước sử dụng hiệu quả để cải thiện dịch vụ công (y tế, đường xá...). - HUMAN-TRU3]]</f>
        <v>5</v>
      </c>
      <c r="AV100">
        <f t="shared" si="44"/>
        <v>0.44444444444444442</v>
      </c>
      <c r="AW100">
        <f>step3_validation[[#This Row],[AI_TRU4]]</f>
        <v>8</v>
      </c>
      <c r="AX100">
        <f t="shared" si="45"/>
        <v>0.77777777777777779</v>
      </c>
      <c r="AY100">
        <f>survey_responses[[#This Row],[Tôi thấy Nhà nước đã giải thích rõ ràng, minh bạch về lý do và mục tiêu của việc sửa đổi thuế lần này. - HUMAN-TRU4]]</f>
        <v>6</v>
      </c>
      <c r="AZ100">
        <f t="shared" si="46"/>
        <v>0.55555555555555558</v>
      </c>
      <c r="BA100" s="32">
        <f t="shared" si="47"/>
        <v>0.74999999999999989</v>
      </c>
      <c r="BB100" s="32">
        <f t="shared" si="48"/>
        <v>0.5</v>
      </c>
      <c r="BC100" s="7">
        <f t="shared" si="49"/>
        <v>0.7314814814814814</v>
      </c>
      <c r="BD100" s="7">
        <f t="shared" si="50"/>
        <v>0.48148148148148145</v>
      </c>
      <c r="BE100">
        <f>step3_validation[[#This Row],[AI_OUT1]]</f>
        <v>9</v>
      </c>
      <c r="BF100">
        <f t="shared" si="51"/>
        <v>0.88888888888888884</v>
      </c>
      <c r="BG100">
        <f>survey_responses[[#This Row],[Sau khi xem xét các quyền lợi và nghĩa vụ, bạn có ủng hộ và tuân thủ chính sách mới hiện nay? - HUMAN-OUT1]]</f>
        <v>6</v>
      </c>
      <c r="BH100">
        <f t="shared" si="52"/>
        <v>0.55555555555555558</v>
      </c>
      <c r="BI100" s="32">
        <f t="shared" si="53"/>
        <v>3</v>
      </c>
    </row>
    <row r="101" spans="1:61" x14ac:dyDescent="0.45">
      <c r="A101" s="30">
        <f>step3_validation[[#This Row],[Persona_ID]]</f>
        <v>100</v>
      </c>
      <c r="B101" s="31">
        <f>step3_validation[[#This Row],[Used_Seed]]</f>
        <v>12444</v>
      </c>
      <c r="C101" t="str">
        <f>step3_validation[[#This Row],[Gender]]</f>
        <v>Nữ</v>
      </c>
      <c r="D101" t="str">
        <f>survey_responses[[#This Row],[Giới tính của bạn:]]</f>
        <v>Nữ</v>
      </c>
      <c r="E101" t="str">
        <f>step3_validation[[#This Row],[Age_Group]]</f>
        <v>55 - 64</v>
      </c>
      <c r="F101" t="str">
        <f>survey_responses[[#This Row],[Độ tuổi của bạn:]]</f>
        <v>55 - 64</v>
      </c>
      <c r="G101" t="str">
        <f>step3_validation[[#This Row],[Region]]</f>
        <v>Thành thị</v>
      </c>
      <c r="H101" t="str">
        <f>survey_responses[[#This Row],[Khu vực bạn đang sinh sống:]]</f>
        <v>Thành thị</v>
      </c>
      <c r="I101" t="str">
        <f>step3_validation[[#This Row],[Education]]</f>
        <v>Đại học</v>
      </c>
      <c r="J101" t="str">
        <f>survey_responses[[#This Row],[Trình độ học vấn cao nhất:]]</f>
        <v>Đại học</v>
      </c>
      <c r="K101" t="str">
        <f>step3_validation[[#This Row],[Employment]]</f>
        <v>Chính thức</v>
      </c>
      <c r="L101" t="str">
        <f>survey_responses[[#This Row],[Tình trạng việc làm chính:]]</f>
        <v>Khu vực chính thức (Có Hợp đồng lao động, đóng BHXH)</v>
      </c>
      <c r="M101">
        <f>step3_validation[[#This Row],[Income_Mil]]</f>
        <v>12.02439855645668</v>
      </c>
      <c r="N101" t="str">
        <f>survey_responses[[#This Row],[Thu nhập bình quân tháng theo Hợp đồng lao động của bạn là bao nhiêu? (Vui lòng điền tổng thu nhập trước khi khấu trừ các loại Bảo hiểm (BHXH, BHYT, BHTN) và Thuế TNCN)]]</f>
        <v>Từ 12 - 18 triệu VNĐ</v>
      </c>
      <c r="O101">
        <f>step3_validation[[#This Row],[Dependents]]</f>
        <v>1</v>
      </c>
      <c r="P101" t="str">
        <f>survey_responses[[#This Row],[Số người phụ thuộc (con nhỏ, cha mẹ già...) đủ điều kiện giảm trừ gia cảnh:]]</f>
        <v>1 người</v>
      </c>
      <c r="Q101">
        <f>step3_validation[[#This Row],[AI_ENF1]]</f>
        <v>8</v>
      </c>
      <c r="R101">
        <f t="shared" si="27"/>
        <v>0.77777777777777779</v>
      </c>
      <c r="S101">
        <f>survey_responses[[#This Row],[Tôi tin rằng với các quy định quản lý thuế hiện nay, hành vi gian lận hoặc trốn thuế sẽ dễ dàng bị phát hiện và xử lý nghiêm. - HUMAN-ENF1]]</f>
        <v>8</v>
      </c>
      <c r="T101">
        <f t="shared" si="28"/>
        <v>0.77777777777777779</v>
      </c>
      <c r="U101">
        <f>step3_validation[[#This Row],[AI_ENF2]]</f>
        <v>8</v>
      </c>
      <c r="V101">
        <f t="shared" si="29"/>
        <v>0.77777777777777779</v>
      </c>
      <c r="W101">
        <f>survey_responses[[#This Row],[Tôi tin rằng Nhà nước, cơ quan thuế có đủ khả năng và công nghệ để phát hiện, xử lý nghiêm các hành vi trốn thuế. - HUMAN-ENF2]]</f>
        <v>8</v>
      </c>
      <c r="X101">
        <f t="shared" si="30"/>
        <v>0.77777777777777779</v>
      </c>
      <c r="Y101" s="32">
        <f t="shared" si="31"/>
        <v>0.77777777777777779</v>
      </c>
      <c r="Z101" s="32">
        <f t="shared" si="32"/>
        <v>0.77777777777777779</v>
      </c>
      <c r="AA101">
        <f>step3_validation[[#This Row],[AI_FAC1]]</f>
        <v>9</v>
      </c>
      <c r="AB101">
        <f t="shared" si="33"/>
        <v>0.88888888888888884</v>
      </c>
      <c r="AC101">
        <f>survey_responses[[#This Row],[Các thủ tục khai báo thuế VÀ/HOẶC quy trình làm việc với cơ quan thuế đơn giản, tiện lợi, nhanh chóng hơn so với trước đây. - HUMAN-FAC1]]</f>
        <v>8</v>
      </c>
      <c r="AD101">
        <f t="shared" si="34"/>
        <v>0.77777777777777779</v>
      </c>
      <c r="AE101">
        <f>step3_validation[[#This Row],[AI_FAC2]]</f>
        <v>9</v>
      </c>
      <c r="AF101">
        <f t="shared" si="35"/>
        <v>0.88888888888888884</v>
      </c>
      <c r="AG101">
        <f>survey_responses[[#This Row],[So với trước đây, tôi thấy cách tính thuế và các bậc thuế trong phương án mới đơn giản, dễ hiểu và dễ thực hiện hơn. - HUMAN-FAC2]]</f>
        <v>10</v>
      </c>
      <c r="AH101">
        <f t="shared" si="36"/>
        <v>1</v>
      </c>
      <c r="AI101" s="32">
        <f t="shared" si="37"/>
        <v>0.88888888888888884</v>
      </c>
      <c r="AJ101" s="32">
        <f t="shared" si="38"/>
        <v>0.88888888888888884</v>
      </c>
      <c r="AK101">
        <f>step3_validation[[#This Row],[AI_TRU1]]</f>
        <v>8</v>
      </c>
      <c r="AL101">
        <f t="shared" si="39"/>
        <v>0.77777777777777779</v>
      </c>
      <c r="AM101">
        <f>survey_responses[[#This Row],[Tôi tin rằng Nhà nước, cơ quan thuế sẽ thực thi chính sách mới một cách khách quan, công tâm và đối xử bình đẳng với mọi người nộp thuế.  - HUMAN-TRU1]]</f>
        <v>10</v>
      </c>
      <c r="AN101">
        <f t="shared" si="40"/>
        <v>1</v>
      </c>
      <c r="AO101">
        <f>step3_validation[[#This Row],[AI_TRU2]]</f>
        <v>9</v>
      </c>
      <c r="AP101">
        <f t="shared" si="41"/>
        <v>0.88888888888888884</v>
      </c>
      <c r="AQ101">
        <f>survey_responses[[#This Row],[Tôi thấy mức thuế tôi phải đóng theo phương án mới là công bằng (người thu nhập như tôi đóng mức này là hợp lý). - HUMAN-TRU2]]</f>
        <v>10</v>
      </c>
      <c r="AR101">
        <f t="shared" si="42"/>
        <v>1</v>
      </c>
      <c r="AS101">
        <f>step3_validation[[#This Row],[AI_TRU3]]</f>
        <v>8</v>
      </c>
      <c r="AT101">
        <f t="shared" si="43"/>
        <v>0.77777777777777779</v>
      </c>
      <c r="AU101">
        <f>survey_responses[[#This Row],[Tôi tin tưởng số tiền thuế tôi đóng sẽ được Nhà nước sử dụng hiệu quả để cải thiện dịch vụ công (y tế, đường xá...). - HUMAN-TRU3]]</f>
        <v>10</v>
      </c>
      <c r="AV101">
        <f t="shared" si="44"/>
        <v>1</v>
      </c>
      <c r="AW101">
        <f>step3_validation[[#This Row],[AI_TRU4]]</f>
        <v>9</v>
      </c>
      <c r="AX101">
        <f t="shared" si="45"/>
        <v>0.88888888888888884</v>
      </c>
      <c r="AY101">
        <f>survey_responses[[#This Row],[Tôi thấy Nhà nước đã giải thích rõ ràng, minh bạch về lý do và mục tiêu của việc sửa đổi thuế lần này. - HUMAN-TRU4]]</f>
        <v>10</v>
      </c>
      <c r="AZ101">
        <f t="shared" si="46"/>
        <v>1</v>
      </c>
      <c r="BA101" s="32">
        <f t="shared" si="47"/>
        <v>0.83333333333333326</v>
      </c>
      <c r="BB101" s="32">
        <f t="shared" si="48"/>
        <v>1</v>
      </c>
      <c r="BC101" s="7">
        <f t="shared" si="49"/>
        <v>0.83333333333333337</v>
      </c>
      <c r="BD101" s="7">
        <f t="shared" si="50"/>
        <v>0.88888888888888884</v>
      </c>
      <c r="BE101">
        <f>step3_validation[[#This Row],[AI_OUT1]]</f>
        <v>8</v>
      </c>
      <c r="BF101">
        <f t="shared" si="51"/>
        <v>0.77777777777777779</v>
      </c>
      <c r="BG101">
        <f>survey_responses[[#This Row],[Sau khi xem xét các quyền lợi và nghĩa vụ, bạn có ủng hộ và tuân thủ chính sách mới hiện nay? - HUMAN-OUT1]]</f>
        <v>10</v>
      </c>
      <c r="BH101">
        <f t="shared" si="52"/>
        <v>1</v>
      </c>
      <c r="BI101" s="32">
        <f t="shared" si="53"/>
        <v>2</v>
      </c>
    </row>
    <row r="102" spans="1:61" x14ac:dyDescent="0.45">
      <c r="A102" s="30">
        <f>step3_validation[[#This Row],[Persona_ID]]</f>
        <v>101</v>
      </c>
      <c r="B102" s="31">
        <f>step3_validation[[#This Row],[Used_Seed]]</f>
        <v>12445</v>
      </c>
      <c r="C102" t="str">
        <f>step3_validation[[#This Row],[Gender]]</f>
        <v>Nữ</v>
      </c>
      <c r="D102" t="str">
        <f>survey_responses[[#This Row],[Giới tính của bạn:]]</f>
        <v>Nữ</v>
      </c>
      <c r="E102" t="str">
        <f>step3_validation[[#This Row],[Age_Group]]</f>
        <v>50 - 54</v>
      </c>
      <c r="F102" t="str">
        <f>survey_responses[[#This Row],[Độ tuổi của bạn:]]</f>
        <v>50 - 54</v>
      </c>
      <c r="G102" t="str">
        <f>step3_validation[[#This Row],[Region]]</f>
        <v>Thành thị</v>
      </c>
      <c r="H102" t="str">
        <f>survey_responses[[#This Row],[Khu vực bạn đang sinh sống:]]</f>
        <v>Thành thị</v>
      </c>
      <c r="I102" t="str">
        <f>step3_validation[[#This Row],[Education]]</f>
        <v>Sau Đại học</v>
      </c>
      <c r="J102" t="str">
        <f>survey_responses[[#This Row],[Trình độ học vấn cao nhất:]]</f>
        <v>Sau Đại học</v>
      </c>
      <c r="K102" t="str">
        <f>step3_validation[[#This Row],[Employment]]</f>
        <v>Chính thức</v>
      </c>
      <c r="L102" t="str">
        <f>survey_responses[[#This Row],[Tình trạng việc làm chính:]]</f>
        <v>Khu vực chính thức (Có Hợp đồng lao động, đóng BHXH)</v>
      </c>
      <c r="M102">
        <f>step3_validation[[#This Row],[Income_Mil]]</f>
        <v>72.010444821870379</v>
      </c>
      <c r="N102" t="str">
        <f>survey_responses[[#This Row],[Thu nhập bình quân tháng theo Hợp đồng lao động của bạn là bao nhiêu? (Vui lòng điền tổng thu nhập trước khi khấu trừ các loại Bảo hiểm (BHXH, BHYT, BHTN) và Thuế TNCN)]]</f>
        <v>Từ 70 - 102 triệu VNĐ</v>
      </c>
      <c r="O102">
        <f>step3_validation[[#This Row],[Dependents]]</f>
        <v>4</v>
      </c>
      <c r="P102" t="str">
        <f>survey_responses[[#This Row],[Số người phụ thuộc (con nhỏ, cha mẹ già...) đủ điều kiện giảm trừ gia cảnh:]]</f>
        <v>4 người trở lên</v>
      </c>
      <c r="Q102">
        <f>step3_validation[[#This Row],[AI_ENF1]]</f>
        <v>7</v>
      </c>
      <c r="R102">
        <f t="shared" si="27"/>
        <v>0.66666666666666663</v>
      </c>
      <c r="S102">
        <f>survey_responses[[#This Row],[Tôi tin rằng với các quy định quản lý thuế hiện nay, hành vi gian lận hoặc trốn thuế sẽ dễ dàng bị phát hiện và xử lý nghiêm. - HUMAN-ENF1]]</f>
        <v>8</v>
      </c>
      <c r="T102">
        <f t="shared" si="28"/>
        <v>0.77777777777777779</v>
      </c>
      <c r="U102">
        <f>step3_validation[[#This Row],[AI_ENF2]]</f>
        <v>8</v>
      </c>
      <c r="V102">
        <f t="shared" si="29"/>
        <v>0.77777777777777779</v>
      </c>
      <c r="W102">
        <f>survey_responses[[#This Row],[Tôi tin rằng Nhà nước, cơ quan thuế có đủ khả năng và công nghệ để phát hiện, xử lý nghiêm các hành vi trốn thuế. - HUMAN-ENF2]]</f>
        <v>8</v>
      </c>
      <c r="X102">
        <f t="shared" si="30"/>
        <v>0.77777777777777779</v>
      </c>
      <c r="Y102" s="32">
        <f t="shared" si="31"/>
        <v>0.72222222222222221</v>
      </c>
      <c r="Z102" s="32">
        <f t="shared" si="32"/>
        <v>0.77777777777777779</v>
      </c>
      <c r="AA102">
        <f>step3_validation[[#This Row],[AI_FAC1]]</f>
        <v>7</v>
      </c>
      <c r="AB102">
        <f t="shared" si="33"/>
        <v>0.66666666666666663</v>
      </c>
      <c r="AC102">
        <f>survey_responses[[#This Row],[Các thủ tục khai báo thuế VÀ/HOẶC quy trình làm việc với cơ quan thuế đơn giản, tiện lợi, nhanh chóng hơn so với trước đây. - HUMAN-FAC1]]</f>
        <v>7</v>
      </c>
      <c r="AD102">
        <f t="shared" si="34"/>
        <v>0.66666666666666663</v>
      </c>
      <c r="AE102">
        <f>step3_validation[[#This Row],[AI_FAC2]]</f>
        <v>9</v>
      </c>
      <c r="AF102">
        <f t="shared" si="35"/>
        <v>0.88888888888888884</v>
      </c>
      <c r="AG102">
        <f>survey_responses[[#This Row],[So với trước đây, tôi thấy cách tính thuế và các bậc thuế trong phương án mới đơn giản, dễ hiểu và dễ thực hiện hơn. - HUMAN-FAC2]]</f>
        <v>8</v>
      </c>
      <c r="AH102">
        <f t="shared" si="36"/>
        <v>0.77777777777777779</v>
      </c>
      <c r="AI102" s="32">
        <f t="shared" si="37"/>
        <v>0.77777777777777768</v>
      </c>
      <c r="AJ102" s="32">
        <f t="shared" si="38"/>
        <v>0.72222222222222221</v>
      </c>
      <c r="AK102">
        <f>step3_validation[[#This Row],[AI_TRU1]]</f>
        <v>8</v>
      </c>
      <c r="AL102">
        <f t="shared" si="39"/>
        <v>0.77777777777777779</v>
      </c>
      <c r="AM102">
        <f>survey_responses[[#This Row],[Tôi tin rằng Nhà nước, cơ quan thuế sẽ thực thi chính sách mới một cách khách quan, công tâm và đối xử bình đẳng với mọi người nộp thuế.  - HUMAN-TRU1]]</f>
        <v>8</v>
      </c>
      <c r="AN102">
        <f t="shared" si="40"/>
        <v>0.77777777777777779</v>
      </c>
      <c r="AO102">
        <f>step3_validation[[#This Row],[AI_TRU2]]</f>
        <v>9</v>
      </c>
      <c r="AP102">
        <f t="shared" si="41"/>
        <v>0.88888888888888884</v>
      </c>
      <c r="AQ102">
        <f>survey_responses[[#This Row],[Tôi thấy mức thuế tôi phải đóng theo phương án mới là công bằng (người thu nhập như tôi đóng mức này là hợp lý). - HUMAN-TRU2]]</f>
        <v>7</v>
      </c>
      <c r="AR102">
        <f t="shared" si="42"/>
        <v>0.66666666666666663</v>
      </c>
      <c r="AS102">
        <f>step3_validation[[#This Row],[AI_TRU3]]</f>
        <v>8</v>
      </c>
      <c r="AT102">
        <f t="shared" si="43"/>
        <v>0.77777777777777779</v>
      </c>
      <c r="AU102">
        <f>survey_responses[[#This Row],[Tôi tin tưởng số tiền thuế tôi đóng sẽ được Nhà nước sử dụng hiệu quả để cải thiện dịch vụ công (y tế, đường xá...). - HUMAN-TRU3]]</f>
        <v>7</v>
      </c>
      <c r="AV102">
        <f t="shared" si="44"/>
        <v>0.66666666666666663</v>
      </c>
      <c r="AW102">
        <f>step3_validation[[#This Row],[AI_TRU4]]</f>
        <v>9</v>
      </c>
      <c r="AX102">
        <f t="shared" si="45"/>
        <v>0.88888888888888884</v>
      </c>
      <c r="AY102">
        <f>survey_responses[[#This Row],[Tôi thấy Nhà nước đã giải thích rõ ràng, minh bạch về lý do và mục tiêu của việc sửa đổi thuế lần này. - HUMAN-TRU4]]</f>
        <v>7</v>
      </c>
      <c r="AZ102">
        <f t="shared" si="46"/>
        <v>0.66666666666666663</v>
      </c>
      <c r="BA102" s="32">
        <f t="shared" si="47"/>
        <v>0.83333333333333326</v>
      </c>
      <c r="BB102" s="32">
        <f t="shared" si="48"/>
        <v>0.69444444444444442</v>
      </c>
      <c r="BC102" s="7">
        <f t="shared" si="49"/>
        <v>0.77777777777777768</v>
      </c>
      <c r="BD102" s="7">
        <f t="shared" si="50"/>
        <v>0.73148148148148151</v>
      </c>
      <c r="BE102">
        <f>step3_validation[[#This Row],[AI_OUT1]]</f>
        <v>8</v>
      </c>
      <c r="BF102">
        <f t="shared" si="51"/>
        <v>0.77777777777777779</v>
      </c>
      <c r="BG102">
        <f>survey_responses[[#This Row],[Sau khi xem xét các quyền lợi và nghĩa vụ, bạn có ủng hộ và tuân thủ chính sách mới hiện nay? - HUMAN-OUT1]]</f>
        <v>8</v>
      </c>
      <c r="BH102">
        <f t="shared" si="52"/>
        <v>0.77777777777777779</v>
      </c>
      <c r="BI102" s="32">
        <f t="shared" si="53"/>
        <v>0</v>
      </c>
    </row>
    <row r="103" spans="1:61" x14ac:dyDescent="0.45">
      <c r="A103" s="30">
        <f>step3_validation[[#This Row],[Persona_ID]]</f>
        <v>102</v>
      </c>
      <c r="B103" s="31">
        <f>step3_validation[[#This Row],[Used_Seed]]</f>
        <v>12446</v>
      </c>
      <c r="C103" t="str">
        <f>step3_validation[[#This Row],[Gender]]</f>
        <v>Nam</v>
      </c>
      <c r="D103" t="str">
        <f>survey_responses[[#This Row],[Giới tính của bạn:]]</f>
        <v>Nam</v>
      </c>
      <c r="E103" t="str">
        <f>step3_validation[[#This Row],[Age_Group]]</f>
        <v>18 - 24</v>
      </c>
      <c r="F103" t="str">
        <f>survey_responses[[#This Row],[Độ tuổi của bạn:]]</f>
        <v>18 - 24</v>
      </c>
      <c r="G103" t="str">
        <f>step3_validation[[#This Row],[Region]]</f>
        <v>Thành thị</v>
      </c>
      <c r="H103" t="str">
        <f>survey_responses[[#This Row],[Khu vực bạn đang sinh sống:]]</f>
        <v>Thành thị</v>
      </c>
      <c r="I103" t="str">
        <f>step3_validation[[#This Row],[Education]]</f>
        <v>Đại học</v>
      </c>
      <c r="J103" t="str">
        <f>survey_responses[[#This Row],[Trình độ học vấn cao nhất:]]</f>
        <v>Đại học</v>
      </c>
      <c r="K103" t="str">
        <f>step3_validation[[#This Row],[Employment]]</f>
        <v>Chính thức</v>
      </c>
      <c r="L103" t="str">
        <f>survey_responses[[#This Row],[Tình trạng việc làm chính:]]</f>
        <v>Khu vực chính thức (Có Hợp đồng lao động, đóng BHXH)</v>
      </c>
      <c r="M103">
        <f>step3_validation[[#This Row],[Income_Mil]]</f>
        <v>15.171310177104186</v>
      </c>
      <c r="N103" t="str">
        <f>survey_responses[[#This Row],[Thu nhập bình quân tháng theo Hợp đồng lao động của bạn là bao nhiêu? (Vui lòng điền tổng thu nhập trước khi khấu trừ các loại Bảo hiểm (BHXH, BHYT, BHTN) và Thuế TNCN)]]</f>
        <v>Từ 12 - 18 triệu VNĐ</v>
      </c>
      <c r="O103">
        <f>step3_validation[[#This Row],[Dependents]]</f>
        <v>0</v>
      </c>
      <c r="P103" t="str">
        <f>survey_responses[[#This Row],[Số người phụ thuộc (con nhỏ, cha mẹ già...) đủ điều kiện giảm trừ gia cảnh:]]</f>
        <v>0 người</v>
      </c>
      <c r="Q103">
        <f>step3_validation[[#This Row],[AI_ENF1]]</f>
        <v>7</v>
      </c>
      <c r="R103">
        <f t="shared" si="27"/>
        <v>0.66666666666666663</v>
      </c>
      <c r="S103">
        <f>survey_responses[[#This Row],[Tôi tin rằng với các quy định quản lý thuế hiện nay, hành vi gian lận hoặc trốn thuế sẽ dễ dàng bị phát hiện và xử lý nghiêm. - HUMAN-ENF1]]</f>
        <v>5</v>
      </c>
      <c r="T103">
        <f t="shared" si="28"/>
        <v>0.44444444444444442</v>
      </c>
      <c r="U103">
        <f>step3_validation[[#This Row],[AI_ENF2]]</f>
        <v>6</v>
      </c>
      <c r="V103">
        <f t="shared" si="29"/>
        <v>0.55555555555555558</v>
      </c>
      <c r="W103">
        <f>survey_responses[[#This Row],[Tôi tin rằng Nhà nước, cơ quan thuế có đủ khả năng và công nghệ để phát hiện, xử lý nghiêm các hành vi trốn thuế. - HUMAN-ENF2]]</f>
        <v>5</v>
      </c>
      <c r="X103">
        <f t="shared" si="30"/>
        <v>0.44444444444444442</v>
      </c>
      <c r="Y103" s="32">
        <f t="shared" si="31"/>
        <v>0.61111111111111116</v>
      </c>
      <c r="Z103" s="32">
        <f t="shared" si="32"/>
        <v>0.44444444444444442</v>
      </c>
      <c r="AA103">
        <f>step3_validation[[#This Row],[AI_FAC1]]</f>
        <v>8</v>
      </c>
      <c r="AB103">
        <f t="shared" si="33"/>
        <v>0.77777777777777779</v>
      </c>
      <c r="AC103">
        <f>survey_responses[[#This Row],[Các thủ tục khai báo thuế VÀ/HOẶC quy trình làm việc với cơ quan thuế đơn giản, tiện lợi, nhanh chóng hơn so với trước đây. - HUMAN-FAC1]]</f>
        <v>5</v>
      </c>
      <c r="AD103">
        <f t="shared" si="34"/>
        <v>0.44444444444444442</v>
      </c>
      <c r="AE103">
        <f>step3_validation[[#This Row],[AI_FAC2]]</f>
        <v>9</v>
      </c>
      <c r="AF103">
        <f t="shared" si="35"/>
        <v>0.88888888888888884</v>
      </c>
      <c r="AG103">
        <f>survey_responses[[#This Row],[So với trước đây, tôi thấy cách tính thuế và các bậc thuế trong phương án mới đơn giản, dễ hiểu và dễ thực hiện hơn. - HUMAN-FAC2]]</f>
        <v>5</v>
      </c>
      <c r="AH103">
        <f t="shared" si="36"/>
        <v>0.44444444444444442</v>
      </c>
      <c r="AI103" s="32">
        <f t="shared" si="37"/>
        <v>0.83333333333333326</v>
      </c>
      <c r="AJ103" s="32">
        <f t="shared" si="38"/>
        <v>0.44444444444444442</v>
      </c>
      <c r="AK103">
        <f>step3_validation[[#This Row],[AI_TRU1]]</f>
        <v>7</v>
      </c>
      <c r="AL103">
        <f t="shared" si="39"/>
        <v>0.66666666666666663</v>
      </c>
      <c r="AM103">
        <f>survey_responses[[#This Row],[Tôi tin rằng Nhà nước, cơ quan thuế sẽ thực thi chính sách mới một cách khách quan, công tâm và đối xử bình đẳng với mọi người nộp thuế.  - HUMAN-TRU1]]</f>
        <v>5</v>
      </c>
      <c r="AN103">
        <f t="shared" si="40"/>
        <v>0.44444444444444442</v>
      </c>
      <c r="AO103">
        <f>step3_validation[[#This Row],[AI_TRU2]]</f>
        <v>8</v>
      </c>
      <c r="AP103">
        <f t="shared" si="41"/>
        <v>0.77777777777777779</v>
      </c>
      <c r="AQ103">
        <f>survey_responses[[#This Row],[Tôi thấy mức thuế tôi phải đóng theo phương án mới là công bằng (người thu nhập như tôi đóng mức này là hợp lý). - HUMAN-TRU2]]</f>
        <v>5</v>
      </c>
      <c r="AR103">
        <f t="shared" si="42"/>
        <v>0.44444444444444442</v>
      </c>
      <c r="AS103">
        <f>step3_validation[[#This Row],[AI_TRU3]]</f>
        <v>7</v>
      </c>
      <c r="AT103">
        <f t="shared" si="43"/>
        <v>0.66666666666666663</v>
      </c>
      <c r="AU103">
        <f>survey_responses[[#This Row],[Tôi tin tưởng số tiền thuế tôi đóng sẽ được Nhà nước sử dụng hiệu quả để cải thiện dịch vụ công (y tế, đường xá...). - HUMAN-TRU3]]</f>
        <v>5</v>
      </c>
      <c r="AV103">
        <f t="shared" si="44"/>
        <v>0.44444444444444442</v>
      </c>
      <c r="AW103">
        <f>step3_validation[[#This Row],[AI_TRU4]]</f>
        <v>8</v>
      </c>
      <c r="AX103">
        <f t="shared" si="45"/>
        <v>0.77777777777777779</v>
      </c>
      <c r="AY103">
        <f>survey_responses[[#This Row],[Tôi thấy Nhà nước đã giải thích rõ ràng, minh bạch về lý do và mục tiêu của việc sửa đổi thuế lần này. - HUMAN-TRU4]]</f>
        <v>5</v>
      </c>
      <c r="AZ103">
        <f t="shared" si="46"/>
        <v>0.44444444444444442</v>
      </c>
      <c r="BA103" s="32">
        <f t="shared" si="47"/>
        <v>0.72222222222222221</v>
      </c>
      <c r="BB103" s="32">
        <f t="shared" si="48"/>
        <v>0.44444444444444442</v>
      </c>
      <c r="BC103" s="7">
        <f t="shared" si="49"/>
        <v>0.72222222222222221</v>
      </c>
      <c r="BD103" s="7">
        <f t="shared" si="50"/>
        <v>0.44444444444444442</v>
      </c>
      <c r="BE103">
        <f>step3_validation[[#This Row],[AI_OUT1]]</f>
        <v>9</v>
      </c>
      <c r="BF103">
        <f t="shared" si="51"/>
        <v>0.88888888888888884</v>
      </c>
      <c r="BG103">
        <f>survey_responses[[#This Row],[Sau khi xem xét các quyền lợi và nghĩa vụ, bạn có ủng hộ và tuân thủ chính sách mới hiện nay? - HUMAN-OUT1]]</f>
        <v>5</v>
      </c>
      <c r="BH103">
        <f t="shared" si="52"/>
        <v>0.44444444444444442</v>
      </c>
      <c r="BI103" s="32">
        <f t="shared" si="53"/>
        <v>4</v>
      </c>
    </row>
    <row r="104" spans="1:61" x14ac:dyDescent="0.45">
      <c r="A104" s="30">
        <f>step3_validation[[#This Row],[Persona_ID]]</f>
        <v>103</v>
      </c>
      <c r="B104" s="31">
        <f>step3_validation[[#This Row],[Used_Seed]]</f>
        <v>12447</v>
      </c>
      <c r="C104" t="str">
        <f>step3_validation[[#This Row],[Gender]]</f>
        <v>Nữ</v>
      </c>
      <c r="D104" t="str">
        <f>survey_responses[[#This Row],[Giới tính của bạn:]]</f>
        <v>Nữ</v>
      </c>
      <c r="E104" t="str">
        <f>step3_validation[[#This Row],[Age_Group]]</f>
        <v>55 - 64</v>
      </c>
      <c r="F104" t="str">
        <f>survey_responses[[#This Row],[Độ tuổi của bạn:]]</f>
        <v>55 - 64</v>
      </c>
      <c r="G104" t="str">
        <f>step3_validation[[#This Row],[Region]]</f>
        <v>Thành thị</v>
      </c>
      <c r="H104" t="str">
        <f>survey_responses[[#This Row],[Khu vực bạn đang sinh sống:]]</f>
        <v>Thành thị</v>
      </c>
      <c r="I104" t="str">
        <f>step3_validation[[#This Row],[Education]]</f>
        <v>Đại học</v>
      </c>
      <c r="J104" t="str">
        <f>survey_responses[[#This Row],[Trình độ học vấn cao nhất:]]</f>
        <v>Đại học</v>
      </c>
      <c r="K104" t="str">
        <f>step3_validation[[#This Row],[Employment]]</f>
        <v>Chính thức</v>
      </c>
      <c r="L104" t="str">
        <f>survey_responses[[#This Row],[Tình trạng việc làm chính:]]</f>
        <v>Khu vực chính thức (Có Hợp đồng lao động, đóng BHXH)</v>
      </c>
      <c r="M104">
        <f>step3_validation[[#This Row],[Income_Mil]]</f>
        <v>42.613387938153792</v>
      </c>
      <c r="N104" t="str">
        <f>survey_responses[[#This Row],[Thu nhập bình quân tháng theo Hợp đồng lao động của bạn là bao nhiêu? (Vui lòng điền tổng thu nhập trước khi khấu trừ các loại Bảo hiểm (BHXH, BHYT, BHTN) và Thuế TNCN)]]</f>
        <v>Từ 32 - 48 triệu VNĐ</v>
      </c>
      <c r="O104">
        <f>step3_validation[[#This Row],[Dependents]]</f>
        <v>2</v>
      </c>
      <c r="P104" t="str">
        <f>survey_responses[[#This Row],[Số người phụ thuộc (con nhỏ, cha mẹ già...) đủ điều kiện giảm trừ gia cảnh:]]</f>
        <v>2 người</v>
      </c>
      <c r="Q104">
        <f>step3_validation[[#This Row],[AI_ENF1]]</f>
        <v>7</v>
      </c>
      <c r="R104">
        <f t="shared" si="27"/>
        <v>0.66666666666666663</v>
      </c>
      <c r="S104">
        <f>survey_responses[[#This Row],[Tôi tin rằng với các quy định quản lý thuế hiện nay, hành vi gian lận hoặc trốn thuế sẽ dễ dàng bị phát hiện và xử lý nghiêm. - HUMAN-ENF1]]</f>
        <v>8</v>
      </c>
      <c r="T104">
        <f t="shared" si="28"/>
        <v>0.77777777777777779</v>
      </c>
      <c r="U104">
        <f>step3_validation[[#This Row],[AI_ENF2]]</f>
        <v>6</v>
      </c>
      <c r="V104">
        <f t="shared" si="29"/>
        <v>0.55555555555555558</v>
      </c>
      <c r="W104">
        <f>survey_responses[[#This Row],[Tôi tin rằng Nhà nước, cơ quan thuế có đủ khả năng và công nghệ để phát hiện, xử lý nghiêm các hành vi trốn thuế. - HUMAN-ENF2]]</f>
        <v>8</v>
      </c>
      <c r="X104">
        <f t="shared" si="30"/>
        <v>0.77777777777777779</v>
      </c>
      <c r="Y104" s="32">
        <f t="shared" si="31"/>
        <v>0.61111111111111116</v>
      </c>
      <c r="Z104" s="32">
        <f t="shared" si="32"/>
        <v>0.77777777777777779</v>
      </c>
      <c r="AA104">
        <f>step3_validation[[#This Row],[AI_FAC1]]</f>
        <v>9</v>
      </c>
      <c r="AB104">
        <f t="shared" si="33"/>
        <v>0.88888888888888884</v>
      </c>
      <c r="AC104">
        <f>survey_responses[[#This Row],[Các thủ tục khai báo thuế VÀ/HOẶC quy trình làm việc với cơ quan thuế đơn giản, tiện lợi, nhanh chóng hơn so với trước đây. - HUMAN-FAC1]]</f>
        <v>5</v>
      </c>
      <c r="AD104">
        <f t="shared" si="34"/>
        <v>0.44444444444444442</v>
      </c>
      <c r="AE104">
        <f>step3_validation[[#This Row],[AI_FAC2]]</f>
        <v>8</v>
      </c>
      <c r="AF104">
        <f t="shared" si="35"/>
        <v>0.77777777777777779</v>
      </c>
      <c r="AG104">
        <f>survey_responses[[#This Row],[So với trước đây, tôi thấy cách tính thuế và các bậc thuế trong phương án mới đơn giản, dễ hiểu và dễ thực hiện hơn. - HUMAN-FAC2]]</f>
        <v>8</v>
      </c>
      <c r="AH104">
        <f t="shared" si="36"/>
        <v>0.77777777777777779</v>
      </c>
      <c r="AI104" s="32">
        <f t="shared" si="37"/>
        <v>0.83333333333333326</v>
      </c>
      <c r="AJ104" s="32">
        <f t="shared" si="38"/>
        <v>0.61111111111111116</v>
      </c>
      <c r="AK104">
        <f>step3_validation[[#This Row],[AI_TRU1]]</f>
        <v>9</v>
      </c>
      <c r="AL104">
        <f t="shared" si="39"/>
        <v>0.88888888888888884</v>
      </c>
      <c r="AM104">
        <f>survey_responses[[#This Row],[Tôi tin rằng Nhà nước, cơ quan thuế sẽ thực thi chính sách mới một cách khách quan, công tâm và đối xử bình đẳng với mọi người nộp thuế.  - HUMAN-TRU1]]</f>
        <v>5</v>
      </c>
      <c r="AN104">
        <f t="shared" si="40"/>
        <v>0.44444444444444442</v>
      </c>
      <c r="AO104">
        <f>step3_validation[[#This Row],[AI_TRU2]]</f>
        <v>8</v>
      </c>
      <c r="AP104">
        <f t="shared" si="41"/>
        <v>0.77777777777777779</v>
      </c>
      <c r="AQ104">
        <f>survey_responses[[#This Row],[Tôi thấy mức thuế tôi phải đóng theo phương án mới là công bằng (người thu nhập như tôi đóng mức này là hợp lý). - HUMAN-TRU2]]</f>
        <v>5</v>
      </c>
      <c r="AR104">
        <f t="shared" si="42"/>
        <v>0.44444444444444442</v>
      </c>
      <c r="AS104">
        <f>step3_validation[[#This Row],[AI_TRU3]]</f>
        <v>9</v>
      </c>
      <c r="AT104">
        <f t="shared" si="43"/>
        <v>0.88888888888888884</v>
      </c>
      <c r="AU104">
        <f>survey_responses[[#This Row],[Tôi tin tưởng số tiền thuế tôi đóng sẽ được Nhà nước sử dụng hiệu quả để cải thiện dịch vụ công (y tế, đường xá...). - HUMAN-TRU3]]</f>
        <v>6</v>
      </c>
      <c r="AV104">
        <f t="shared" si="44"/>
        <v>0.55555555555555558</v>
      </c>
      <c r="AW104">
        <f>step3_validation[[#This Row],[AI_TRU4]]</f>
        <v>7</v>
      </c>
      <c r="AX104">
        <f t="shared" si="45"/>
        <v>0.66666666666666663</v>
      </c>
      <c r="AY104">
        <f>survey_responses[[#This Row],[Tôi thấy Nhà nước đã giải thích rõ ràng, minh bạch về lý do và mục tiêu của việc sửa đổi thuế lần này. - HUMAN-TRU4]]</f>
        <v>6</v>
      </c>
      <c r="AZ104">
        <f t="shared" si="46"/>
        <v>0.55555555555555558</v>
      </c>
      <c r="BA104" s="32">
        <f t="shared" si="47"/>
        <v>0.80555555555555547</v>
      </c>
      <c r="BB104" s="32">
        <f t="shared" si="48"/>
        <v>0.5</v>
      </c>
      <c r="BC104" s="7">
        <f t="shared" si="49"/>
        <v>0.75</v>
      </c>
      <c r="BD104" s="7">
        <f t="shared" si="50"/>
        <v>0.62962962962962965</v>
      </c>
      <c r="BE104">
        <f>step3_validation[[#This Row],[AI_OUT1]]</f>
        <v>9</v>
      </c>
      <c r="BF104">
        <f t="shared" si="51"/>
        <v>0.88888888888888884</v>
      </c>
      <c r="BG104">
        <f>survey_responses[[#This Row],[Sau khi xem xét các quyền lợi và nghĩa vụ, bạn có ủng hộ và tuân thủ chính sách mới hiện nay? - HUMAN-OUT1]]</f>
        <v>5</v>
      </c>
      <c r="BH104">
        <f t="shared" si="52"/>
        <v>0.44444444444444442</v>
      </c>
      <c r="BI104" s="32">
        <f t="shared" si="53"/>
        <v>4</v>
      </c>
    </row>
    <row r="105" spans="1:61" x14ac:dyDescent="0.45">
      <c r="A105" s="30">
        <f>step3_validation[[#This Row],[Persona_ID]]</f>
        <v>104</v>
      </c>
      <c r="B105" s="31">
        <f>step3_validation[[#This Row],[Used_Seed]]</f>
        <v>12448</v>
      </c>
      <c r="C105" t="str">
        <f>step3_validation[[#This Row],[Gender]]</f>
        <v>Nam</v>
      </c>
      <c r="D105" t="str">
        <f>survey_responses[[#This Row],[Giới tính của bạn:]]</f>
        <v>Nam</v>
      </c>
      <c r="E105" t="str">
        <f>step3_validation[[#This Row],[Age_Group]]</f>
        <v>30 - 39</v>
      </c>
      <c r="F105" t="str">
        <f>survey_responses[[#This Row],[Độ tuổi của bạn:]]</f>
        <v>30 - 39</v>
      </c>
      <c r="G105" t="str">
        <f>step3_validation[[#This Row],[Region]]</f>
        <v>Thành thị</v>
      </c>
      <c r="H105" t="str">
        <f>survey_responses[[#This Row],[Khu vực bạn đang sinh sống:]]</f>
        <v>Thành thị</v>
      </c>
      <c r="I105" t="str">
        <f>step3_validation[[#This Row],[Education]]</f>
        <v>Đại học</v>
      </c>
      <c r="J105" t="str">
        <f>survey_responses[[#This Row],[Trình độ học vấn cao nhất:]]</f>
        <v>Đại học</v>
      </c>
      <c r="K105" t="str">
        <f>step3_validation[[#This Row],[Employment]]</f>
        <v>Chính thức</v>
      </c>
      <c r="L105" t="str">
        <f>survey_responses[[#This Row],[Tình trạng việc làm chính:]]</f>
        <v>Khu vực chính thức (Có Hợp đồng lao động, đóng BHXH)</v>
      </c>
      <c r="M105">
        <f>step3_validation[[#This Row],[Income_Mil]]</f>
        <v>20.849608677786225</v>
      </c>
      <c r="N105" t="str">
        <f>survey_responses[[#This Row],[Thu nhập bình quân tháng theo Hợp đồng lao động của bạn là bao nhiêu? (Vui lòng điền tổng thu nhập trước khi khấu trừ các loại Bảo hiểm (BHXH, BHYT, BHTN) và Thuế TNCN)]]</f>
        <v>Từ 18 - 23 triệu VNĐ</v>
      </c>
      <c r="O105">
        <f>step3_validation[[#This Row],[Dependents]]</f>
        <v>0</v>
      </c>
      <c r="P105" t="str">
        <f>survey_responses[[#This Row],[Số người phụ thuộc (con nhỏ, cha mẹ già...) đủ điều kiện giảm trừ gia cảnh:]]</f>
        <v>0 người</v>
      </c>
      <c r="Q105">
        <f>step3_validation[[#This Row],[AI_ENF1]]</f>
        <v>6</v>
      </c>
      <c r="R105">
        <f t="shared" si="27"/>
        <v>0.55555555555555558</v>
      </c>
      <c r="S105">
        <f>survey_responses[[#This Row],[Tôi tin rằng với các quy định quản lý thuế hiện nay, hành vi gian lận hoặc trốn thuế sẽ dễ dàng bị phát hiện và xử lý nghiêm. - HUMAN-ENF1]]</f>
        <v>6</v>
      </c>
      <c r="T105">
        <f t="shared" si="28"/>
        <v>0.55555555555555558</v>
      </c>
      <c r="U105">
        <f>step3_validation[[#This Row],[AI_ENF2]]</f>
        <v>6</v>
      </c>
      <c r="V105">
        <f t="shared" si="29"/>
        <v>0.55555555555555558</v>
      </c>
      <c r="W105">
        <f>survey_responses[[#This Row],[Tôi tin rằng Nhà nước, cơ quan thuế có đủ khả năng và công nghệ để phát hiện, xử lý nghiêm các hành vi trốn thuế. - HUMAN-ENF2]]</f>
        <v>7</v>
      </c>
      <c r="X105">
        <f t="shared" si="30"/>
        <v>0.66666666666666663</v>
      </c>
      <c r="Y105" s="32">
        <f t="shared" si="31"/>
        <v>0.55555555555555558</v>
      </c>
      <c r="Z105" s="32">
        <f t="shared" si="32"/>
        <v>0.61111111111111116</v>
      </c>
      <c r="AA105">
        <f>step3_validation[[#This Row],[AI_FAC1]]</f>
        <v>9</v>
      </c>
      <c r="AB105">
        <f t="shared" si="33"/>
        <v>0.88888888888888884</v>
      </c>
      <c r="AC105">
        <f>survey_responses[[#This Row],[Các thủ tục khai báo thuế VÀ/HOẶC quy trình làm việc với cơ quan thuế đơn giản, tiện lợi, nhanh chóng hơn so với trước đây. - HUMAN-FAC1]]</f>
        <v>6</v>
      </c>
      <c r="AD105">
        <f t="shared" si="34"/>
        <v>0.55555555555555558</v>
      </c>
      <c r="AE105">
        <f>step3_validation[[#This Row],[AI_FAC2]]</f>
        <v>9</v>
      </c>
      <c r="AF105">
        <f t="shared" si="35"/>
        <v>0.88888888888888884</v>
      </c>
      <c r="AG105">
        <f>survey_responses[[#This Row],[So với trước đây, tôi thấy cách tính thuế và các bậc thuế trong phương án mới đơn giản, dễ hiểu và dễ thực hiện hơn. - HUMAN-FAC2]]</f>
        <v>8</v>
      </c>
      <c r="AH105">
        <f t="shared" si="36"/>
        <v>0.77777777777777779</v>
      </c>
      <c r="AI105" s="32">
        <f t="shared" si="37"/>
        <v>0.88888888888888884</v>
      </c>
      <c r="AJ105" s="32">
        <f t="shared" si="38"/>
        <v>0.66666666666666674</v>
      </c>
      <c r="AK105">
        <f>step3_validation[[#This Row],[AI_TRU1]]</f>
        <v>7</v>
      </c>
      <c r="AL105">
        <f t="shared" si="39"/>
        <v>0.66666666666666663</v>
      </c>
      <c r="AM105">
        <f>survey_responses[[#This Row],[Tôi tin rằng Nhà nước, cơ quan thuế sẽ thực thi chính sách mới một cách khách quan, công tâm và đối xử bình đẳng với mọi người nộp thuế.  - HUMAN-TRU1]]</f>
        <v>6</v>
      </c>
      <c r="AN105">
        <f t="shared" si="40"/>
        <v>0.55555555555555558</v>
      </c>
      <c r="AO105">
        <f>step3_validation[[#This Row],[AI_TRU2]]</f>
        <v>8</v>
      </c>
      <c r="AP105">
        <f t="shared" si="41"/>
        <v>0.77777777777777779</v>
      </c>
      <c r="AQ105">
        <f>survey_responses[[#This Row],[Tôi thấy mức thuế tôi phải đóng theo phương án mới là công bằng (người thu nhập như tôi đóng mức này là hợp lý). - HUMAN-TRU2]]</f>
        <v>7</v>
      </c>
      <c r="AR105">
        <f t="shared" si="42"/>
        <v>0.66666666666666663</v>
      </c>
      <c r="AS105">
        <f>step3_validation[[#This Row],[AI_TRU3]]</f>
        <v>7</v>
      </c>
      <c r="AT105">
        <f t="shared" si="43"/>
        <v>0.66666666666666663</v>
      </c>
      <c r="AU105">
        <f>survey_responses[[#This Row],[Tôi tin tưởng số tiền thuế tôi đóng sẽ được Nhà nước sử dụng hiệu quả để cải thiện dịch vụ công (y tế, đường xá...). - HUMAN-TRU3]]</f>
        <v>6</v>
      </c>
      <c r="AV105">
        <f t="shared" si="44"/>
        <v>0.55555555555555558</v>
      </c>
      <c r="AW105">
        <f>step3_validation[[#This Row],[AI_TRU4]]</f>
        <v>6</v>
      </c>
      <c r="AX105">
        <f t="shared" si="45"/>
        <v>0.55555555555555558</v>
      </c>
      <c r="AY105">
        <f>survey_responses[[#This Row],[Tôi thấy Nhà nước đã giải thích rõ ràng, minh bạch về lý do và mục tiêu của việc sửa đổi thuế lần này. - HUMAN-TRU4]]</f>
        <v>6</v>
      </c>
      <c r="AZ105">
        <f t="shared" si="46"/>
        <v>0.55555555555555558</v>
      </c>
      <c r="BA105" s="32">
        <f t="shared" si="47"/>
        <v>0.66666666666666674</v>
      </c>
      <c r="BB105" s="32">
        <f t="shared" si="48"/>
        <v>0.58333333333333337</v>
      </c>
      <c r="BC105" s="7">
        <f t="shared" si="49"/>
        <v>0.70370370370370372</v>
      </c>
      <c r="BD105" s="7">
        <f t="shared" si="50"/>
        <v>0.62037037037037035</v>
      </c>
      <c r="BE105">
        <f>step3_validation[[#This Row],[AI_OUT1]]</f>
        <v>8</v>
      </c>
      <c r="BF105">
        <f t="shared" si="51"/>
        <v>0.77777777777777779</v>
      </c>
      <c r="BG105">
        <f>survey_responses[[#This Row],[Sau khi xem xét các quyền lợi và nghĩa vụ, bạn có ủng hộ và tuân thủ chính sách mới hiện nay? - HUMAN-OUT1]]</f>
        <v>7</v>
      </c>
      <c r="BH105">
        <f t="shared" si="52"/>
        <v>0.66666666666666663</v>
      </c>
      <c r="BI105" s="32">
        <f t="shared" si="53"/>
        <v>1</v>
      </c>
    </row>
    <row r="106" spans="1:61" x14ac:dyDescent="0.45">
      <c r="A106" s="30">
        <f>step3_validation[[#This Row],[Persona_ID]]</f>
        <v>105</v>
      </c>
      <c r="B106" s="31">
        <f>step3_validation[[#This Row],[Used_Seed]]</f>
        <v>12449</v>
      </c>
      <c r="C106" t="str">
        <f>step3_validation[[#This Row],[Gender]]</f>
        <v>Nam</v>
      </c>
      <c r="D106" t="str">
        <f>survey_responses[[#This Row],[Giới tính của bạn:]]</f>
        <v>Nam</v>
      </c>
      <c r="E106" t="str">
        <f>step3_validation[[#This Row],[Age_Group]]</f>
        <v>25 - 29</v>
      </c>
      <c r="F106" t="str">
        <f>survey_responses[[#This Row],[Độ tuổi của bạn:]]</f>
        <v>25 - 29</v>
      </c>
      <c r="G106" t="str">
        <f>step3_validation[[#This Row],[Region]]</f>
        <v>Thành thị</v>
      </c>
      <c r="H106" t="str">
        <f>survey_responses[[#This Row],[Khu vực bạn đang sinh sống:]]</f>
        <v>Thành thị</v>
      </c>
      <c r="I106" t="str">
        <f>step3_validation[[#This Row],[Education]]</f>
        <v>Đại học</v>
      </c>
      <c r="J106" t="str">
        <f>survey_responses[[#This Row],[Trình độ học vấn cao nhất:]]</f>
        <v>Đại học</v>
      </c>
      <c r="K106" t="str">
        <f>step3_validation[[#This Row],[Employment]]</f>
        <v>Chính thức</v>
      </c>
      <c r="L106" t="str">
        <f>survey_responses[[#This Row],[Tình trạng việc làm chính:]]</f>
        <v>Khu vực chính thức (Có Hợp đồng lao động, đóng BHXH)</v>
      </c>
      <c r="M106">
        <f>step3_validation[[#This Row],[Income_Mil]]</f>
        <v>14.730034307049822</v>
      </c>
      <c r="N106" t="str">
        <f>survey_responses[[#This Row],[Thu nhập bình quân tháng theo Hợp đồng lao động của bạn là bao nhiêu? (Vui lòng điền tổng thu nhập trước khi khấu trừ các loại Bảo hiểm (BHXH, BHYT, BHTN) và Thuế TNCN)]]</f>
        <v>Từ 12 - 18 triệu VNĐ</v>
      </c>
      <c r="O106">
        <f>step3_validation[[#This Row],[Dependents]]</f>
        <v>1</v>
      </c>
      <c r="P106" t="str">
        <f>survey_responses[[#This Row],[Số người phụ thuộc (con nhỏ, cha mẹ già...) đủ điều kiện giảm trừ gia cảnh:]]</f>
        <v>1 người</v>
      </c>
      <c r="Q106">
        <f>step3_validation[[#This Row],[AI_ENF1]]</f>
        <v>6</v>
      </c>
      <c r="R106">
        <f t="shared" si="27"/>
        <v>0.55555555555555558</v>
      </c>
      <c r="S106">
        <f>survey_responses[[#This Row],[Tôi tin rằng với các quy định quản lý thuế hiện nay, hành vi gian lận hoặc trốn thuế sẽ dễ dàng bị phát hiện và xử lý nghiêm. - HUMAN-ENF1]]</f>
        <v>9</v>
      </c>
      <c r="T106">
        <f t="shared" si="28"/>
        <v>0.88888888888888884</v>
      </c>
      <c r="U106">
        <f>step3_validation[[#This Row],[AI_ENF2]]</f>
        <v>7</v>
      </c>
      <c r="V106">
        <f t="shared" si="29"/>
        <v>0.66666666666666663</v>
      </c>
      <c r="W106">
        <f>survey_responses[[#This Row],[Tôi tin rằng Nhà nước, cơ quan thuế có đủ khả năng và công nghệ để phát hiện, xử lý nghiêm các hành vi trốn thuế. - HUMAN-ENF2]]</f>
        <v>10</v>
      </c>
      <c r="X106">
        <f t="shared" si="30"/>
        <v>1</v>
      </c>
      <c r="Y106" s="32">
        <f t="shared" si="31"/>
        <v>0.61111111111111116</v>
      </c>
      <c r="Z106" s="32">
        <f t="shared" si="32"/>
        <v>0.94444444444444442</v>
      </c>
      <c r="AA106">
        <f>step3_validation[[#This Row],[AI_FAC1]]</f>
        <v>9</v>
      </c>
      <c r="AB106">
        <f t="shared" si="33"/>
        <v>0.88888888888888884</v>
      </c>
      <c r="AC106">
        <f>survey_responses[[#This Row],[Các thủ tục khai báo thuế VÀ/HOẶC quy trình làm việc với cơ quan thuế đơn giản, tiện lợi, nhanh chóng hơn so với trước đây. - HUMAN-FAC1]]</f>
        <v>8</v>
      </c>
      <c r="AD106">
        <f t="shared" si="34"/>
        <v>0.77777777777777779</v>
      </c>
      <c r="AE106">
        <f>step3_validation[[#This Row],[AI_FAC2]]</f>
        <v>8</v>
      </c>
      <c r="AF106">
        <f t="shared" si="35"/>
        <v>0.77777777777777779</v>
      </c>
      <c r="AG106">
        <f>survey_responses[[#This Row],[So với trước đây, tôi thấy cách tính thuế và các bậc thuế trong phương án mới đơn giản, dễ hiểu và dễ thực hiện hơn. - HUMAN-FAC2]]</f>
        <v>8</v>
      </c>
      <c r="AH106">
        <f t="shared" si="36"/>
        <v>0.77777777777777779</v>
      </c>
      <c r="AI106" s="32">
        <f t="shared" si="37"/>
        <v>0.83333333333333326</v>
      </c>
      <c r="AJ106" s="32">
        <f t="shared" si="38"/>
        <v>0.77777777777777779</v>
      </c>
      <c r="AK106">
        <f>step3_validation[[#This Row],[AI_TRU1]]</f>
        <v>9</v>
      </c>
      <c r="AL106">
        <f t="shared" si="39"/>
        <v>0.88888888888888884</v>
      </c>
      <c r="AM106">
        <f>survey_responses[[#This Row],[Tôi tin rằng Nhà nước, cơ quan thuế sẽ thực thi chính sách mới một cách khách quan, công tâm và đối xử bình đẳng với mọi người nộp thuế.  - HUMAN-TRU1]]</f>
        <v>9</v>
      </c>
      <c r="AN106">
        <f t="shared" si="40"/>
        <v>0.88888888888888884</v>
      </c>
      <c r="AO106">
        <f>step3_validation[[#This Row],[AI_TRU2]]</f>
        <v>8</v>
      </c>
      <c r="AP106">
        <f t="shared" si="41"/>
        <v>0.77777777777777779</v>
      </c>
      <c r="AQ106">
        <f>survey_responses[[#This Row],[Tôi thấy mức thuế tôi phải đóng theo phương án mới là công bằng (người thu nhập như tôi đóng mức này là hợp lý). - HUMAN-TRU2]]</f>
        <v>9</v>
      </c>
      <c r="AR106">
        <f t="shared" si="42"/>
        <v>0.88888888888888884</v>
      </c>
      <c r="AS106">
        <f>step3_validation[[#This Row],[AI_TRU3]]</f>
        <v>7</v>
      </c>
      <c r="AT106">
        <f t="shared" si="43"/>
        <v>0.66666666666666663</v>
      </c>
      <c r="AU106">
        <f>survey_responses[[#This Row],[Tôi tin tưởng số tiền thuế tôi đóng sẽ được Nhà nước sử dụng hiệu quả để cải thiện dịch vụ công (y tế, đường xá...). - HUMAN-TRU3]]</f>
        <v>8</v>
      </c>
      <c r="AV106">
        <f t="shared" si="44"/>
        <v>0.77777777777777779</v>
      </c>
      <c r="AW106">
        <f>step3_validation[[#This Row],[AI_TRU4]]</f>
        <v>8</v>
      </c>
      <c r="AX106">
        <f t="shared" si="45"/>
        <v>0.77777777777777779</v>
      </c>
      <c r="AY106">
        <f>survey_responses[[#This Row],[Tôi thấy Nhà nước đã giải thích rõ ràng, minh bạch về lý do và mục tiêu của việc sửa đổi thuế lần này. - HUMAN-TRU4]]</f>
        <v>6</v>
      </c>
      <c r="AZ106">
        <f t="shared" si="46"/>
        <v>0.55555555555555558</v>
      </c>
      <c r="BA106" s="32">
        <f t="shared" si="47"/>
        <v>0.77777777777777768</v>
      </c>
      <c r="BB106" s="32">
        <f t="shared" si="48"/>
        <v>0.77777777777777768</v>
      </c>
      <c r="BC106" s="7">
        <f t="shared" si="49"/>
        <v>0.74074074074074081</v>
      </c>
      <c r="BD106" s="7">
        <f t="shared" si="50"/>
        <v>0.83333333333333337</v>
      </c>
      <c r="BE106">
        <f>step3_validation[[#This Row],[AI_OUT1]]</f>
        <v>9</v>
      </c>
      <c r="BF106">
        <f t="shared" si="51"/>
        <v>0.88888888888888884</v>
      </c>
      <c r="BG106">
        <f>survey_responses[[#This Row],[Sau khi xem xét các quyền lợi và nghĩa vụ, bạn có ủng hộ và tuân thủ chính sách mới hiện nay? - HUMAN-OUT1]]</f>
        <v>9</v>
      </c>
      <c r="BH106">
        <f t="shared" si="52"/>
        <v>0.88888888888888884</v>
      </c>
      <c r="BI106" s="32">
        <f t="shared" si="53"/>
        <v>0</v>
      </c>
    </row>
    <row r="107" spans="1:61" x14ac:dyDescent="0.45">
      <c r="A107" s="30">
        <f>step3_validation[[#This Row],[Persona_ID]]</f>
        <v>106</v>
      </c>
      <c r="B107" s="31">
        <f>step3_validation[[#This Row],[Used_Seed]]</f>
        <v>12450</v>
      </c>
      <c r="C107" t="str">
        <f>step3_validation[[#This Row],[Gender]]</f>
        <v>Nữ</v>
      </c>
      <c r="D107" t="str">
        <f>survey_responses[[#This Row],[Giới tính của bạn:]]</f>
        <v>Nữ</v>
      </c>
      <c r="E107" t="str">
        <f>step3_validation[[#This Row],[Age_Group]]</f>
        <v>25 - 29</v>
      </c>
      <c r="F107" t="str">
        <f>survey_responses[[#This Row],[Độ tuổi của bạn:]]</f>
        <v>25 - 29</v>
      </c>
      <c r="G107" t="str">
        <f>step3_validation[[#This Row],[Region]]</f>
        <v>Thành thị</v>
      </c>
      <c r="H107" t="str">
        <f>survey_responses[[#This Row],[Khu vực bạn đang sinh sống:]]</f>
        <v>Thành thị</v>
      </c>
      <c r="I107" t="str">
        <f>step3_validation[[#This Row],[Education]]</f>
        <v>Đại học</v>
      </c>
      <c r="J107" t="str">
        <f>survey_responses[[#This Row],[Trình độ học vấn cao nhất:]]</f>
        <v>Đại học</v>
      </c>
      <c r="K107" t="str">
        <f>step3_validation[[#This Row],[Employment]]</f>
        <v>Chính thức</v>
      </c>
      <c r="L107" t="str">
        <f>survey_responses[[#This Row],[Tình trạng việc làm chính:]]</f>
        <v>Khu vực chính thức (Có Hợp đồng lao động, đóng BHXH)</v>
      </c>
      <c r="M107">
        <f>step3_validation[[#This Row],[Income_Mil]]</f>
        <v>12</v>
      </c>
      <c r="N107" t="str">
        <f>survey_responses[[#This Row],[Thu nhập bình quân tháng theo Hợp đồng lao động của bạn là bao nhiêu? (Vui lòng điền tổng thu nhập trước khi khấu trừ các loại Bảo hiểm (BHXH, BHYT, BHTN) và Thuế TNCN)]]</f>
        <v>Dưới 12 triệu VNĐ</v>
      </c>
      <c r="O107">
        <f>step3_validation[[#This Row],[Dependents]]</f>
        <v>0</v>
      </c>
      <c r="P107" t="str">
        <f>survey_responses[[#This Row],[Số người phụ thuộc (con nhỏ, cha mẹ già...) đủ điều kiện giảm trừ gia cảnh:]]</f>
        <v>0 người</v>
      </c>
      <c r="Q107">
        <f>step3_validation[[#This Row],[AI_ENF1]]</f>
        <v>6</v>
      </c>
      <c r="R107">
        <f t="shared" si="27"/>
        <v>0.55555555555555558</v>
      </c>
      <c r="S107">
        <f>survey_responses[[#This Row],[Tôi tin rằng với các quy định quản lý thuế hiện nay, hành vi gian lận hoặc trốn thuế sẽ dễ dàng bị phát hiện và xử lý nghiêm. - HUMAN-ENF1]]</f>
        <v>10</v>
      </c>
      <c r="T107">
        <f t="shared" si="28"/>
        <v>1</v>
      </c>
      <c r="U107">
        <f>step3_validation[[#This Row],[AI_ENF2]]</f>
        <v>8</v>
      </c>
      <c r="V107">
        <f t="shared" si="29"/>
        <v>0.77777777777777779</v>
      </c>
      <c r="W107">
        <f>survey_responses[[#This Row],[Tôi tin rằng Nhà nước, cơ quan thuế có đủ khả năng và công nghệ để phát hiện, xử lý nghiêm các hành vi trốn thuế. - HUMAN-ENF2]]</f>
        <v>5</v>
      </c>
      <c r="X107">
        <f t="shared" si="30"/>
        <v>0.44444444444444442</v>
      </c>
      <c r="Y107" s="32">
        <f t="shared" si="31"/>
        <v>0.66666666666666674</v>
      </c>
      <c r="Z107" s="32">
        <f t="shared" si="32"/>
        <v>0.72222222222222221</v>
      </c>
      <c r="AA107">
        <f>step3_validation[[#This Row],[AI_FAC1]]</f>
        <v>7</v>
      </c>
      <c r="AB107">
        <f t="shared" si="33"/>
        <v>0.66666666666666663</v>
      </c>
      <c r="AC107">
        <f>survey_responses[[#This Row],[Các thủ tục khai báo thuế VÀ/HOẶC quy trình làm việc với cơ quan thuế đơn giản, tiện lợi, nhanh chóng hơn so với trước đây. - HUMAN-FAC1]]</f>
        <v>8</v>
      </c>
      <c r="AD107">
        <f t="shared" si="34"/>
        <v>0.77777777777777779</v>
      </c>
      <c r="AE107">
        <f>step3_validation[[#This Row],[AI_FAC2]]</f>
        <v>9</v>
      </c>
      <c r="AF107">
        <f t="shared" si="35"/>
        <v>0.88888888888888884</v>
      </c>
      <c r="AG107">
        <f>survey_responses[[#This Row],[So với trước đây, tôi thấy cách tính thuế và các bậc thuế trong phương án mới đơn giản, dễ hiểu và dễ thực hiện hơn. - HUMAN-FAC2]]</f>
        <v>8</v>
      </c>
      <c r="AH107">
        <f t="shared" si="36"/>
        <v>0.77777777777777779</v>
      </c>
      <c r="AI107" s="32">
        <f t="shared" si="37"/>
        <v>0.77777777777777768</v>
      </c>
      <c r="AJ107" s="32">
        <f t="shared" si="38"/>
        <v>0.77777777777777779</v>
      </c>
      <c r="AK107">
        <f>step3_validation[[#This Row],[AI_TRU1]]</f>
        <v>7</v>
      </c>
      <c r="AL107">
        <f t="shared" si="39"/>
        <v>0.66666666666666663</v>
      </c>
      <c r="AM107">
        <f>survey_responses[[#This Row],[Tôi tin rằng Nhà nước, cơ quan thuế sẽ thực thi chính sách mới một cách khách quan, công tâm và đối xử bình đẳng với mọi người nộp thuế.  - HUMAN-TRU1]]</f>
        <v>10</v>
      </c>
      <c r="AN107">
        <f t="shared" si="40"/>
        <v>1</v>
      </c>
      <c r="AO107">
        <f>step3_validation[[#This Row],[AI_TRU2]]</f>
        <v>8</v>
      </c>
      <c r="AP107">
        <f t="shared" si="41"/>
        <v>0.77777777777777779</v>
      </c>
      <c r="AQ107">
        <f>survey_responses[[#This Row],[Tôi thấy mức thuế tôi phải đóng theo phương án mới là công bằng (người thu nhập như tôi đóng mức này là hợp lý). - HUMAN-TRU2]]</f>
        <v>10</v>
      </c>
      <c r="AR107">
        <f t="shared" si="42"/>
        <v>1</v>
      </c>
      <c r="AS107">
        <f>step3_validation[[#This Row],[AI_TRU3]]</f>
        <v>7</v>
      </c>
      <c r="AT107">
        <f t="shared" si="43"/>
        <v>0.66666666666666663</v>
      </c>
      <c r="AU107">
        <f>survey_responses[[#This Row],[Tôi tin tưởng số tiền thuế tôi đóng sẽ được Nhà nước sử dụng hiệu quả để cải thiện dịch vụ công (y tế, đường xá...). - HUMAN-TRU3]]</f>
        <v>10</v>
      </c>
      <c r="AV107">
        <f t="shared" si="44"/>
        <v>1</v>
      </c>
      <c r="AW107">
        <f>step3_validation[[#This Row],[AI_TRU4]]</f>
        <v>8</v>
      </c>
      <c r="AX107">
        <f t="shared" si="45"/>
        <v>0.77777777777777779</v>
      </c>
      <c r="AY107">
        <f>survey_responses[[#This Row],[Tôi thấy Nhà nước đã giải thích rõ ràng, minh bạch về lý do và mục tiêu của việc sửa đổi thuế lần này. - HUMAN-TRU4]]</f>
        <v>10</v>
      </c>
      <c r="AZ107">
        <f t="shared" si="46"/>
        <v>1</v>
      </c>
      <c r="BA107" s="32">
        <f t="shared" si="47"/>
        <v>0.72222222222222221</v>
      </c>
      <c r="BB107" s="32">
        <f t="shared" si="48"/>
        <v>1</v>
      </c>
      <c r="BC107" s="7">
        <f t="shared" si="49"/>
        <v>0.72222222222222221</v>
      </c>
      <c r="BD107" s="7">
        <f t="shared" si="50"/>
        <v>0.83333333333333337</v>
      </c>
      <c r="BE107">
        <f>step3_validation[[#This Row],[AI_OUT1]]</f>
        <v>9</v>
      </c>
      <c r="BF107">
        <f t="shared" si="51"/>
        <v>0.88888888888888884</v>
      </c>
      <c r="BG107">
        <f>survey_responses[[#This Row],[Sau khi xem xét các quyền lợi và nghĩa vụ, bạn có ủng hộ và tuân thủ chính sách mới hiện nay? - HUMAN-OUT1]]</f>
        <v>10</v>
      </c>
      <c r="BH107">
        <f t="shared" si="52"/>
        <v>1</v>
      </c>
      <c r="BI107" s="32">
        <f t="shared" si="53"/>
        <v>1</v>
      </c>
    </row>
    <row r="108" spans="1:61" x14ac:dyDescent="0.45">
      <c r="A108" s="30">
        <f>step3_validation[[#This Row],[Persona_ID]]</f>
        <v>107</v>
      </c>
      <c r="B108" s="31">
        <f>step3_validation[[#This Row],[Used_Seed]]</f>
        <v>12451</v>
      </c>
      <c r="C108" t="str">
        <f>step3_validation[[#This Row],[Gender]]</f>
        <v>Nữ</v>
      </c>
      <c r="D108" t="str">
        <f>survey_responses[[#This Row],[Giới tính của bạn:]]</f>
        <v>Nữ</v>
      </c>
      <c r="E108" t="str">
        <f>step3_validation[[#This Row],[Age_Group]]</f>
        <v>40 - 49</v>
      </c>
      <c r="F108" t="str">
        <f>survey_responses[[#This Row],[Độ tuổi của bạn:]]</f>
        <v>40 - 49</v>
      </c>
      <c r="G108" t="str">
        <f>step3_validation[[#This Row],[Region]]</f>
        <v>Thành thị</v>
      </c>
      <c r="H108" t="str">
        <f>survey_responses[[#This Row],[Khu vực bạn đang sinh sống:]]</f>
        <v>Thành thị</v>
      </c>
      <c r="I108" t="str">
        <f>step3_validation[[#This Row],[Education]]</f>
        <v>Đại học</v>
      </c>
      <c r="J108" t="str">
        <f>survey_responses[[#This Row],[Trình độ học vấn cao nhất:]]</f>
        <v>Đại học</v>
      </c>
      <c r="K108" t="str">
        <f>step3_validation[[#This Row],[Employment]]</f>
        <v>Chính thức</v>
      </c>
      <c r="L108" t="str">
        <f>survey_responses[[#This Row],[Tình trạng việc làm chính:]]</f>
        <v>Khu vực chính thức (Có Hợp đồng lao động, đóng BHXH)</v>
      </c>
      <c r="M108">
        <f>step3_validation[[#This Row],[Income_Mil]]</f>
        <v>28.517515336086191</v>
      </c>
      <c r="N108" t="str">
        <f>survey_responses[[#This Row],[Thu nhập bình quân tháng theo Hợp đồng lao động của bạn là bao nhiêu? (Vui lòng điền tổng thu nhập trước khi khấu trừ các loại Bảo hiểm (BHXH, BHYT, BHTN) và Thuế TNCN)]]</f>
        <v>Từ 23 - 32 triệu VNĐ</v>
      </c>
      <c r="O108">
        <f>step3_validation[[#This Row],[Dependents]]</f>
        <v>1</v>
      </c>
      <c r="P108" t="str">
        <f>survey_responses[[#This Row],[Số người phụ thuộc (con nhỏ, cha mẹ già...) đủ điều kiện giảm trừ gia cảnh:]]</f>
        <v>1 người</v>
      </c>
      <c r="Q108">
        <f>step3_validation[[#This Row],[AI_ENF1]]</f>
        <v>6</v>
      </c>
      <c r="R108">
        <f t="shared" si="27"/>
        <v>0.55555555555555558</v>
      </c>
      <c r="S108">
        <f>survey_responses[[#This Row],[Tôi tin rằng với các quy định quản lý thuế hiện nay, hành vi gian lận hoặc trốn thuế sẽ dễ dàng bị phát hiện và xử lý nghiêm. - HUMAN-ENF1]]</f>
        <v>7</v>
      </c>
      <c r="T108">
        <f t="shared" si="28"/>
        <v>0.66666666666666663</v>
      </c>
      <c r="U108">
        <f>step3_validation[[#This Row],[AI_ENF2]]</f>
        <v>7</v>
      </c>
      <c r="V108">
        <f t="shared" si="29"/>
        <v>0.66666666666666663</v>
      </c>
      <c r="W108">
        <f>survey_responses[[#This Row],[Tôi tin rằng Nhà nước, cơ quan thuế có đủ khả năng và công nghệ để phát hiện, xử lý nghiêm các hành vi trốn thuế. - HUMAN-ENF2]]</f>
        <v>7</v>
      </c>
      <c r="X108">
        <f t="shared" si="30"/>
        <v>0.66666666666666663</v>
      </c>
      <c r="Y108" s="32">
        <f t="shared" si="31"/>
        <v>0.61111111111111116</v>
      </c>
      <c r="Z108" s="32">
        <f t="shared" si="32"/>
        <v>0.66666666666666663</v>
      </c>
      <c r="AA108">
        <f>step3_validation[[#This Row],[AI_FAC1]]</f>
        <v>5</v>
      </c>
      <c r="AB108">
        <f t="shared" si="33"/>
        <v>0.44444444444444442</v>
      </c>
      <c r="AC108">
        <f>survey_responses[[#This Row],[Các thủ tục khai báo thuế VÀ/HOẶC quy trình làm việc với cơ quan thuế đơn giản, tiện lợi, nhanh chóng hơn so với trước đây. - HUMAN-FAC1]]</f>
        <v>7</v>
      </c>
      <c r="AD108">
        <f t="shared" si="34"/>
        <v>0.66666666666666663</v>
      </c>
      <c r="AE108">
        <f>step3_validation[[#This Row],[AI_FAC2]]</f>
        <v>8</v>
      </c>
      <c r="AF108">
        <f t="shared" si="35"/>
        <v>0.77777777777777779</v>
      </c>
      <c r="AG108">
        <f>survey_responses[[#This Row],[So với trước đây, tôi thấy cách tính thuế và các bậc thuế trong phương án mới đơn giản, dễ hiểu và dễ thực hiện hơn. - HUMAN-FAC2]]</f>
        <v>7</v>
      </c>
      <c r="AH108">
        <f t="shared" si="36"/>
        <v>0.66666666666666663</v>
      </c>
      <c r="AI108" s="32">
        <f t="shared" si="37"/>
        <v>0.61111111111111116</v>
      </c>
      <c r="AJ108" s="32">
        <f t="shared" si="38"/>
        <v>0.66666666666666663</v>
      </c>
      <c r="AK108">
        <f>step3_validation[[#This Row],[AI_TRU1]]</f>
        <v>3</v>
      </c>
      <c r="AL108">
        <f t="shared" si="39"/>
        <v>0.22222222222222221</v>
      </c>
      <c r="AM108">
        <f>survey_responses[[#This Row],[Tôi tin rằng Nhà nước, cơ quan thuế sẽ thực thi chính sách mới một cách khách quan, công tâm và đối xử bình đẳng với mọi người nộp thuế.  - HUMAN-TRU1]]</f>
        <v>7</v>
      </c>
      <c r="AN108">
        <f t="shared" si="40"/>
        <v>0.66666666666666663</v>
      </c>
      <c r="AO108">
        <f>step3_validation[[#This Row],[AI_TRU2]]</f>
        <v>8</v>
      </c>
      <c r="AP108">
        <f t="shared" si="41"/>
        <v>0.77777777777777779</v>
      </c>
      <c r="AQ108">
        <f>survey_responses[[#This Row],[Tôi thấy mức thuế tôi phải đóng theo phương án mới là công bằng (người thu nhập như tôi đóng mức này là hợp lý). - HUMAN-TRU2]]</f>
        <v>7</v>
      </c>
      <c r="AR108">
        <f t="shared" si="42"/>
        <v>0.66666666666666663</v>
      </c>
      <c r="AS108">
        <f>step3_validation[[#This Row],[AI_TRU3]]</f>
        <v>4</v>
      </c>
      <c r="AT108">
        <f t="shared" si="43"/>
        <v>0.33333333333333331</v>
      </c>
      <c r="AU108">
        <f>survey_responses[[#This Row],[Tôi tin tưởng số tiền thuế tôi đóng sẽ được Nhà nước sử dụng hiệu quả để cải thiện dịch vụ công (y tế, đường xá...). - HUMAN-TRU3]]</f>
        <v>7</v>
      </c>
      <c r="AV108">
        <f t="shared" si="44"/>
        <v>0.66666666666666663</v>
      </c>
      <c r="AW108">
        <f>step3_validation[[#This Row],[AI_TRU4]]</f>
        <v>7</v>
      </c>
      <c r="AX108">
        <f t="shared" si="45"/>
        <v>0.66666666666666663</v>
      </c>
      <c r="AY108">
        <f>survey_responses[[#This Row],[Tôi thấy Nhà nước đã giải thích rõ ràng, minh bạch về lý do và mục tiêu của việc sửa đổi thuế lần này. - HUMAN-TRU4]]</f>
        <v>7</v>
      </c>
      <c r="AZ108">
        <f t="shared" si="46"/>
        <v>0.66666666666666663</v>
      </c>
      <c r="BA108" s="32">
        <f t="shared" si="47"/>
        <v>0.5</v>
      </c>
      <c r="BB108" s="32">
        <f t="shared" si="48"/>
        <v>0.66666666666666663</v>
      </c>
      <c r="BC108" s="7">
        <f t="shared" si="49"/>
        <v>0.57407407407407407</v>
      </c>
      <c r="BD108" s="7">
        <f t="shared" si="50"/>
        <v>0.66666666666666663</v>
      </c>
      <c r="BE108">
        <f>step3_validation[[#This Row],[AI_OUT1]]</f>
        <v>9</v>
      </c>
      <c r="BF108">
        <f t="shared" si="51"/>
        <v>0.88888888888888884</v>
      </c>
      <c r="BG108">
        <f>survey_responses[[#This Row],[Sau khi xem xét các quyền lợi và nghĩa vụ, bạn có ủng hộ và tuân thủ chính sách mới hiện nay? - HUMAN-OUT1]]</f>
        <v>8</v>
      </c>
      <c r="BH108">
        <f t="shared" si="52"/>
        <v>0.77777777777777779</v>
      </c>
      <c r="BI108" s="32">
        <f t="shared" si="53"/>
        <v>1</v>
      </c>
    </row>
    <row r="109" spans="1:61" x14ac:dyDescent="0.45">
      <c r="A109" s="30">
        <f>step3_validation[[#This Row],[Persona_ID]]</f>
        <v>108</v>
      </c>
      <c r="B109" s="31">
        <f>step3_validation[[#This Row],[Used_Seed]]</f>
        <v>12452</v>
      </c>
      <c r="C109" t="str">
        <f>step3_validation[[#This Row],[Gender]]</f>
        <v>Nữ</v>
      </c>
      <c r="D109" t="str">
        <f>survey_responses[[#This Row],[Giới tính của bạn:]]</f>
        <v>Nữ</v>
      </c>
      <c r="E109" t="str">
        <f>step3_validation[[#This Row],[Age_Group]]</f>
        <v>40 - 49</v>
      </c>
      <c r="F109" t="str">
        <f>survey_responses[[#This Row],[Độ tuổi của bạn:]]</f>
        <v>40 - 49</v>
      </c>
      <c r="G109" t="str">
        <f>step3_validation[[#This Row],[Region]]</f>
        <v>Thành thị</v>
      </c>
      <c r="H109" t="str">
        <f>survey_responses[[#This Row],[Khu vực bạn đang sinh sống:]]</f>
        <v>Thành thị</v>
      </c>
      <c r="I109" t="str">
        <f>step3_validation[[#This Row],[Education]]</f>
        <v>Đại học</v>
      </c>
      <c r="J109" t="str">
        <f>survey_responses[[#This Row],[Trình độ học vấn cao nhất:]]</f>
        <v>Đại học</v>
      </c>
      <c r="K109" t="str">
        <f>step3_validation[[#This Row],[Employment]]</f>
        <v>Chính thức</v>
      </c>
      <c r="L109" t="str">
        <f>survey_responses[[#This Row],[Tình trạng việc làm chính:]]</f>
        <v>Khu vực chính thức (Có Hợp đồng lao động, đóng BHXH)</v>
      </c>
      <c r="M109">
        <f>step3_validation[[#This Row],[Income_Mil]]</f>
        <v>16.635438384955165</v>
      </c>
      <c r="N109" t="str">
        <f>survey_responses[[#This Row],[Thu nhập bình quân tháng theo Hợp đồng lao động của bạn là bao nhiêu? (Vui lòng điền tổng thu nhập trước khi khấu trừ các loại Bảo hiểm (BHXH, BHYT, BHTN) và Thuế TNCN)]]</f>
        <v>Từ 12 - 18 triệu VNĐ</v>
      </c>
      <c r="O109">
        <f>step3_validation[[#This Row],[Dependents]]</f>
        <v>1</v>
      </c>
      <c r="P109" t="str">
        <f>survey_responses[[#This Row],[Số người phụ thuộc (con nhỏ, cha mẹ già...) đủ điều kiện giảm trừ gia cảnh:]]</f>
        <v>1 người</v>
      </c>
      <c r="Q109">
        <f>step3_validation[[#This Row],[AI_ENF1]]</f>
        <v>8</v>
      </c>
      <c r="R109">
        <f t="shared" si="27"/>
        <v>0.77777777777777779</v>
      </c>
      <c r="S109">
        <f>survey_responses[[#This Row],[Tôi tin rằng với các quy định quản lý thuế hiện nay, hành vi gian lận hoặc trốn thuế sẽ dễ dàng bị phát hiện và xử lý nghiêm. - HUMAN-ENF1]]</f>
        <v>5</v>
      </c>
      <c r="T109">
        <f t="shared" si="28"/>
        <v>0.44444444444444442</v>
      </c>
      <c r="U109">
        <f>step3_validation[[#This Row],[AI_ENF2]]</f>
        <v>7</v>
      </c>
      <c r="V109">
        <f t="shared" si="29"/>
        <v>0.66666666666666663</v>
      </c>
      <c r="W109">
        <f>survey_responses[[#This Row],[Tôi tin rằng Nhà nước, cơ quan thuế có đủ khả năng và công nghệ để phát hiện, xử lý nghiêm các hành vi trốn thuế. - HUMAN-ENF2]]</f>
        <v>10</v>
      </c>
      <c r="X109">
        <f t="shared" si="30"/>
        <v>1</v>
      </c>
      <c r="Y109" s="32">
        <f t="shared" si="31"/>
        <v>0.72222222222222221</v>
      </c>
      <c r="Z109" s="32">
        <f t="shared" si="32"/>
        <v>0.72222222222222221</v>
      </c>
      <c r="AA109">
        <f>step3_validation[[#This Row],[AI_FAC1]]</f>
        <v>9</v>
      </c>
      <c r="AB109">
        <f t="shared" si="33"/>
        <v>0.88888888888888884</v>
      </c>
      <c r="AC109">
        <f>survey_responses[[#This Row],[Các thủ tục khai báo thuế VÀ/HOẶC quy trình làm việc với cơ quan thuế đơn giản, tiện lợi, nhanh chóng hơn so với trước đây. - HUMAN-FAC1]]</f>
        <v>5</v>
      </c>
      <c r="AD109">
        <f t="shared" si="34"/>
        <v>0.44444444444444442</v>
      </c>
      <c r="AE109">
        <f>step3_validation[[#This Row],[AI_FAC2]]</f>
        <v>8</v>
      </c>
      <c r="AF109">
        <f t="shared" si="35"/>
        <v>0.77777777777777779</v>
      </c>
      <c r="AG109">
        <f>survey_responses[[#This Row],[So với trước đây, tôi thấy cách tính thuế và các bậc thuế trong phương án mới đơn giản, dễ hiểu và dễ thực hiện hơn. - HUMAN-FAC2]]</f>
        <v>5</v>
      </c>
      <c r="AH109">
        <f t="shared" si="36"/>
        <v>0.44444444444444442</v>
      </c>
      <c r="AI109" s="32">
        <f t="shared" si="37"/>
        <v>0.83333333333333326</v>
      </c>
      <c r="AJ109" s="32">
        <f t="shared" si="38"/>
        <v>0.44444444444444442</v>
      </c>
      <c r="AK109">
        <f>step3_validation[[#This Row],[AI_TRU1]]</f>
        <v>9</v>
      </c>
      <c r="AL109">
        <f t="shared" si="39"/>
        <v>0.88888888888888884</v>
      </c>
      <c r="AM109">
        <f>survey_responses[[#This Row],[Tôi tin rằng Nhà nước, cơ quan thuế sẽ thực thi chính sách mới một cách khách quan, công tâm và đối xử bình đẳng với mọi người nộp thuế.  - HUMAN-TRU1]]</f>
        <v>5</v>
      </c>
      <c r="AN109">
        <f t="shared" si="40"/>
        <v>0.44444444444444442</v>
      </c>
      <c r="AO109">
        <f>step3_validation[[#This Row],[AI_TRU2]]</f>
        <v>8</v>
      </c>
      <c r="AP109">
        <f t="shared" si="41"/>
        <v>0.77777777777777779</v>
      </c>
      <c r="AQ109">
        <f>survey_responses[[#This Row],[Tôi thấy mức thuế tôi phải đóng theo phương án mới là công bằng (người thu nhập như tôi đóng mức này là hợp lý). - HUMAN-TRU2]]</f>
        <v>5</v>
      </c>
      <c r="AR109">
        <f t="shared" si="42"/>
        <v>0.44444444444444442</v>
      </c>
      <c r="AS109">
        <f>step3_validation[[#This Row],[AI_TRU3]]</f>
        <v>7</v>
      </c>
      <c r="AT109">
        <f t="shared" si="43"/>
        <v>0.66666666666666663</v>
      </c>
      <c r="AU109">
        <f>survey_responses[[#This Row],[Tôi tin tưởng số tiền thuế tôi đóng sẽ được Nhà nước sử dụng hiệu quả để cải thiện dịch vụ công (y tế, đường xá...). - HUMAN-TRU3]]</f>
        <v>8</v>
      </c>
      <c r="AV109">
        <f t="shared" si="44"/>
        <v>0.77777777777777779</v>
      </c>
      <c r="AW109">
        <f>step3_validation[[#This Row],[AI_TRU4]]</f>
        <v>6</v>
      </c>
      <c r="AX109">
        <f t="shared" si="45"/>
        <v>0.55555555555555558</v>
      </c>
      <c r="AY109">
        <f>survey_responses[[#This Row],[Tôi thấy Nhà nước đã giải thích rõ ràng, minh bạch về lý do và mục tiêu của việc sửa đổi thuế lần này. - HUMAN-TRU4]]</f>
        <v>5</v>
      </c>
      <c r="AZ109">
        <f t="shared" si="46"/>
        <v>0.44444444444444442</v>
      </c>
      <c r="BA109" s="32">
        <f t="shared" si="47"/>
        <v>0.7222222222222221</v>
      </c>
      <c r="BB109" s="32">
        <f t="shared" si="48"/>
        <v>0.52777777777777768</v>
      </c>
      <c r="BC109" s="7">
        <f t="shared" si="49"/>
        <v>0.75925925925925919</v>
      </c>
      <c r="BD109" s="7">
        <f t="shared" si="50"/>
        <v>0.56481481481481477</v>
      </c>
      <c r="BE109">
        <f>step3_validation[[#This Row],[AI_OUT1]]</f>
        <v>9</v>
      </c>
      <c r="BF109">
        <f t="shared" si="51"/>
        <v>0.88888888888888884</v>
      </c>
      <c r="BG109">
        <f>survey_responses[[#This Row],[Sau khi xem xét các quyền lợi và nghĩa vụ, bạn có ủng hộ và tuân thủ chính sách mới hiện nay? - HUMAN-OUT1]]</f>
        <v>6</v>
      </c>
      <c r="BH109">
        <f t="shared" si="52"/>
        <v>0.55555555555555558</v>
      </c>
      <c r="BI109" s="32">
        <f t="shared" si="53"/>
        <v>3</v>
      </c>
    </row>
    <row r="110" spans="1:61" x14ac:dyDescent="0.45">
      <c r="A110" s="30">
        <f>step3_validation[[#This Row],[Persona_ID]]</f>
        <v>109</v>
      </c>
      <c r="B110" s="31">
        <f>step3_validation[[#This Row],[Used_Seed]]</f>
        <v>12453</v>
      </c>
      <c r="C110" t="str">
        <f>step3_validation[[#This Row],[Gender]]</f>
        <v>Nữ</v>
      </c>
      <c r="D110" t="str">
        <f>survey_responses[[#This Row],[Giới tính của bạn:]]</f>
        <v>Nữ</v>
      </c>
      <c r="E110" t="str">
        <f>step3_validation[[#This Row],[Age_Group]]</f>
        <v>40 - 49</v>
      </c>
      <c r="F110" t="str">
        <f>survey_responses[[#This Row],[Độ tuổi của bạn:]]</f>
        <v>40 - 49</v>
      </c>
      <c r="G110" t="str">
        <f>step3_validation[[#This Row],[Region]]</f>
        <v>Thành thị</v>
      </c>
      <c r="H110" t="str">
        <f>survey_responses[[#This Row],[Khu vực bạn đang sinh sống:]]</f>
        <v>Thành thị</v>
      </c>
      <c r="I110" t="str">
        <f>step3_validation[[#This Row],[Education]]</f>
        <v>Đại học</v>
      </c>
      <c r="J110" t="str">
        <f>survey_responses[[#This Row],[Trình độ học vấn cao nhất:]]</f>
        <v>Đại học</v>
      </c>
      <c r="K110" t="str">
        <f>step3_validation[[#This Row],[Employment]]</f>
        <v>Chính thức</v>
      </c>
      <c r="L110" t="str">
        <f>survey_responses[[#This Row],[Tình trạng việc làm chính:]]</f>
        <v>Khu vực chính thức (Có Hợp đồng lao động, đóng BHXH)</v>
      </c>
      <c r="M110">
        <f>step3_validation[[#This Row],[Income_Mil]]</f>
        <v>14.883680992411993</v>
      </c>
      <c r="N110" t="str">
        <f>survey_responses[[#This Row],[Thu nhập bình quân tháng theo Hợp đồng lao động của bạn là bao nhiêu? (Vui lòng điền tổng thu nhập trước khi khấu trừ các loại Bảo hiểm (BHXH, BHYT, BHTN) và Thuế TNCN)]]</f>
        <v>Từ 12 - 18 triệu VNĐ</v>
      </c>
      <c r="O110">
        <f>step3_validation[[#This Row],[Dependents]]</f>
        <v>1</v>
      </c>
      <c r="P110" t="str">
        <f>survey_responses[[#This Row],[Số người phụ thuộc (con nhỏ, cha mẹ già...) đủ điều kiện giảm trừ gia cảnh:]]</f>
        <v>1 người</v>
      </c>
      <c r="Q110">
        <f>step3_validation[[#This Row],[AI_ENF1]]</f>
        <v>5</v>
      </c>
      <c r="R110">
        <f t="shared" si="27"/>
        <v>0.44444444444444442</v>
      </c>
      <c r="S110">
        <f>survey_responses[[#This Row],[Tôi tin rằng với các quy định quản lý thuế hiện nay, hành vi gian lận hoặc trốn thuế sẽ dễ dàng bị phát hiện và xử lý nghiêm. - HUMAN-ENF1]]</f>
        <v>10</v>
      </c>
      <c r="T110">
        <f t="shared" si="28"/>
        <v>1</v>
      </c>
      <c r="U110">
        <f>step3_validation[[#This Row],[AI_ENF2]]</f>
        <v>6</v>
      </c>
      <c r="V110">
        <f t="shared" si="29"/>
        <v>0.55555555555555558</v>
      </c>
      <c r="W110">
        <f>survey_responses[[#This Row],[Tôi tin rằng Nhà nước, cơ quan thuế có đủ khả năng và công nghệ để phát hiện, xử lý nghiêm các hành vi trốn thuế. - HUMAN-ENF2]]</f>
        <v>10</v>
      </c>
      <c r="X110">
        <f t="shared" si="30"/>
        <v>1</v>
      </c>
      <c r="Y110" s="32">
        <f t="shared" si="31"/>
        <v>0.5</v>
      </c>
      <c r="Z110" s="32">
        <f t="shared" si="32"/>
        <v>1</v>
      </c>
      <c r="AA110">
        <f>step3_validation[[#This Row],[AI_FAC1]]</f>
        <v>7</v>
      </c>
      <c r="AB110">
        <f t="shared" si="33"/>
        <v>0.66666666666666663</v>
      </c>
      <c r="AC110">
        <f>survey_responses[[#This Row],[Các thủ tục khai báo thuế VÀ/HOẶC quy trình làm việc với cơ quan thuế đơn giản, tiện lợi, nhanh chóng hơn so với trước đây. - HUMAN-FAC1]]</f>
        <v>10</v>
      </c>
      <c r="AD110">
        <f t="shared" si="34"/>
        <v>1</v>
      </c>
      <c r="AE110">
        <f>step3_validation[[#This Row],[AI_FAC2]]</f>
        <v>8</v>
      </c>
      <c r="AF110">
        <f t="shared" si="35"/>
        <v>0.77777777777777779</v>
      </c>
      <c r="AG110">
        <f>survey_responses[[#This Row],[So với trước đây, tôi thấy cách tính thuế và các bậc thuế trong phương án mới đơn giản, dễ hiểu và dễ thực hiện hơn. - HUMAN-FAC2]]</f>
        <v>10</v>
      </c>
      <c r="AH110">
        <f t="shared" si="36"/>
        <v>1</v>
      </c>
      <c r="AI110" s="32">
        <f t="shared" si="37"/>
        <v>0.72222222222222221</v>
      </c>
      <c r="AJ110" s="32">
        <f t="shared" si="38"/>
        <v>1</v>
      </c>
      <c r="AK110">
        <f>step3_validation[[#This Row],[AI_TRU1]]</f>
        <v>7</v>
      </c>
      <c r="AL110">
        <f t="shared" si="39"/>
        <v>0.66666666666666663</v>
      </c>
      <c r="AM110">
        <f>survey_responses[[#This Row],[Tôi tin rằng Nhà nước, cơ quan thuế sẽ thực thi chính sách mới một cách khách quan, công tâm và đối xử bình đẳng với mọi người nộp thuế.  - HUMAN-TRU1]]</f>
        <v>10</v>
      </c>
      <c r="AN110">
        <f t="shared" si="40"/>
        <v>1</v>
      </c>
      <c r="AO110">
        <f>step3_validation[[#This Row],[AI_TRU2]]</f>
        <v>6</v>
      </c>
      <c r="AP110">
        <f t="shared" si="41"/>
        <v>0.55555555555555558</v>
      </c>
      <c r="AQ110">
        <f>survey_responses[[#This Row],[Tôi thấy mức thuế tôi phải đóng theo phương án mới là công bằng (người thu nhập như tôi đóng mức này là hợp lý). - HUMAN-TRU2]]</f>
        <v>10</v>
      </c>
      <c r="AR110">
        <f t="shared" si="42"/>
        <v>1</v>
      </c>
      <c r="AS110">
        <f>step3_validation[[#This Row],[AI_TRU3]]</f>
        <v>7</v>
      </c>
      <c r="AT110">
        <f t="shared" si="43"/>
        <v>0.66666666666666663</v>
      </c>
      <c r="AU110">
        <f>survey_responses[[#This Row],[Tôi tin tưởng số tiền thuế tôi đóng sẽ được Nhà nước sử dụng hiệu quả để cải thiện dịch vụ công (y tế, đường xá...). - HUMAN-TRU3]]</f>
        <v>10</v>
      </c>
      <c r="AV110">
        <f t="shared" si="44"/>
        <v>1</v>
      </c>
      <c r="AW110">
        <f>step3_validation[[#This Row],[AI_TRU4]]</f>
        <v>6</v>
      </c>
      <c r="AX110">
        <f t="shared" si="45"/>
        <v>0.55555555555555558</v>
      </c>
      <c r="AY110">
        <f>survey_responses[[#This Row],[Tôi thấy Nhà nước đã giải thích rõ ràng, minh bạch về lý do và mục tiêu của việc sửa đổi thuế lần này. - HUMAN-TRU4]]</f>
        <v>10</v>
      </c>
      <c r="AZ110">
        <f t="shared" si="46"/>
        <v>1</v>
      </c>
      <c r="BA110" s="32">
        <f t="shared" si="47"/>
        <v>0.61111111111111116</v>
      </c>
      <c r="BB110" s="32">
        <f t="shared" si="48"/>
        <v>1</v>
      </c>
      <c r="BC110" s="7">
        <f t="shared" si="49"/>
        <v>0.61111111111111116</v>
      </c>
      <c r="BD110" s="7">
        <f t="shared" si="50"/>
        <v>1</v>
      </c>
      <c r="BE110">
        <f>step3_validation[[#This Row],[AI_OUT1]]</f>
        <v>8</v>
      </c>
      <c r="BF110">
        <f t="shared" si="51"/>
        <v>0.77777777777777779</v>
      </c>
      <c r="BG110">
        <f>survey_responses[[#This Row],[Sau khi xem xét các quyền lợi và nghĩa vụ, bạn có ủng hộ và tuân thủ chính sách mới hiện nay? - HUMAN-OUT1]]</f>
        <v>10</v>
      </c>
      <c r="BH110">
        <f t="shared" si="52"/>
        <v>1</v>
      </c>
      <c r="BI110" s="32">
        <f t="shared" si="53"/>
        <v>2</v>
      </c>
    </row>
    <row r="111" spans="1:61" x14ac:dyDescent="0.45">
      <c r="A111" s="30">
        <f>step3_validation[[#This Row],[Persona_ID]]</f>
        <v>110</v>
      </c>
      <c r="B111" s="31">
        <f>step3_validation[[#This Row],[Used_Seed]]</f>
        <v>12454</v>
      </c>
      <c r="C111" t="str">
        <f>step3_validation[[#This Row],[Gender]]</f>
        <v>Nam</v>
      </c>
      <c r="D111" t="str">
        <f>survey_responses[[#This Row],[Giới tính của bạn:]]</f>
        <v>Nam</v>
      </c>
      <c r="E111" t="str">
        <f>step3_validation[[#This Row],[Age_Group]]</f>
        <v>30 - 39</v>
      </c>
      <c r="F111" t="str">
        <f>survey_responses[[#This Row],[Độ tuổi của bạn:]]</f>
        <v>30 - 39</v>
      </c>
      <c r="G111" t="str">
        <f>step3_validation[[#This Row],[Region]]</f>
        <v>Thành thị</v>
      </c>
      <c r="H111" t="str">
        <f>survey_responses[[#This Row],[Khu vực bạn đang sinh sống:]]</f>
        <v>Thành thị</v>
      </c>
      <c r="I111" t="str">
        <f>step3_validation[[#This Row],[Education]]</f>
        <v>Đại học</v>
      </c>
      <c r="J111" t="str">
        <f>survey_responses[[#This Row],[Trình độ học vấn cao nhất:]]</f>
        <v>Đại học</v>
      </c>
      <c r="K111" t="str">
        <f>step3_validation[[#This Row],[Employment]]</f>
        <v>Chính thức</v>
      </c>
      <c r="L111" t="str">
        <f>survey_responses[[#This Row],[Tình trạng việc làm chính:]]</f>
        <v>Khu vực chính thức (Có Hợp đồng lao động, đóng BHXH)</v>
      </c>
      <c r="M111">
        <f>step3_validation[[#This Row],[Income_Mil]]</f>
        <v>58.525058070727127</v>
      </c>
      <c r="N111" t="str">
        <f>survey_responses[[#This Row],[Thu nhập bình quân tháng theo Hợp đồng lao động của bạn là bao nhiêu? (Vui lòng điền tổng thu nhập trước khi khấu trừ các loại Bảo hiểm (BHXH, BHYT, BHTN) và Thuế TNCN)]]</f>
        <v>Từ 48 - 70 triệu VNĐ</v>
      </c>
      <c r="O111">
        <f>step3_validation[[#This Row],[Dependents]]</f>
        <v>2</v>
      </c>
      <c r="P111" t="str">
        <f>survey_responses[[#This Row],[Số người phụ thuộc (con nhỏ, cha mẹ già...) đủ điều kiện giảm trừ gia cảnh:]]</f>
        <v>2 người</v>
      </c>
      <c r="Q111">
        <f>step3_validation[[#This Row],[AI_ENF1]]</f>
        <v>8</v>
      </c>
      <c r="R111">
        <f t="shared" si="27"/>
        <v>0.77777777777777779</v>
      </c>
      <c r="S111">
        <f>survey_responses[[#This Row],[Tôi tin rằng với các quy định quản lý thuế hiện nay, hành vi gian lận hoặc trốn thuế sẽ dễ dàng bị phát hiện và xử lý nghiêm. - HUMAN-ENF1]]</f>
        <v>7</v>
      </c>
      <c r="T111">
        <f t="shared" si="28"/>
        <v>0.66666666666666663</v>
      </c>
      <c r="U111">
        <f>step3_validation[[#This Row],[AI_ENF2]]</f>
        <v>8</v>
      </c>
      <c r="V111">
        <f t="shared" si="29"/>
        <v>0.77777777777777779</v>
      </c>
      <c r="W111">
        <f>survey_responses[[#This Row],[Tôi tin rằng Nhà nước, cơ quan thuế có đủ khả năng và công nghệ để phát hiện, xử lý nghiêm các hành vi trốn thuế. - HUMAN-ENF2]]</f>
        <v>6</v>
      </c>
      <c r="X111">
        <f t="shared" si="30"/>
        <v>0.55555555555555558</v>
      </c>
      <c r="Y111" s="32">
        <f t="shared" si="31"/>
        <v>0.77777777777777779</v>
      </c>
      <c r="Z111" s="32">
        <f t="shared" si="32"/>
        <v>0.61111111111111116</v>
      </c>
      <c r="AA111">
        <f>step3_validation[[#This Row],[AI_FAC1]]</f>
        <v>9</v>
      </c>
      <c r="AB111">
        <f t="shared" si="33"/>
        <v>0.88888888888888884</v>
      </c>
      <c r="AC111">
        <f>survey_responses[[#This Row],[Các thủ tục khai báo thuế VÀ/HOẶC quy trình làm việc với cơ quan thuế đơn giản, tiện lợi, nhanh chóng hơn so với trước đây. - HUMAN-FAC1]]</f>
        <v>8</v>
      </c>
      <c r="AD111">
        <f t="shared" si="34"/>
        <v>0.77777777777777779</v>
      </c>
      <c r="AE111">
        <f>step3_validation[[#This Row],[AI_FAC2]]</f>
        <v>7</v>
      </c>
      <c r="AF111">
        <f t="shared" si="35"/>
        <v>0.66666666666666663</v>
      </c>
      <c r="AG111">
        <f>survey_responses[[#This Row],[So với trước đây, tôi thấy cách tính thuế và các bậc thuế trong phương án mới đơn giản, dễ hiểu và dễ thực hiện hơn. - HUMAN-FAC2]]</f>
        <v>8</v>
      </c>
      <c r="AH111">
        <f t="shared" si="36"/>
        <v>0.77777777777777779</v>
      </c>
      <c r="AI111" s="32">
        <f t="shared" si="37"/>
        <v>0.77777777777777768</v>
      </c>
      <c r="AJ111" s="32">
        <f t="shared" si="38"/>
        <v>0.77777777777777779</v>
      </c>
      <c r="AK111">
        <f>step3_validation[[#This Row],[AI_TRU1]]</f>
        <v>9</v>
      </c>
      <c r="AL111">
        <f t="shared" si="39"/>
        <v>0.88888888888888884</v>
      </c>
      <c r="AM111">
        <f>survey_responses[[#This Row],[Tôi tin rằng Nhà nước, cơ quan thuế sẽ thực thi chính sách mới một cách khách quan, công tâm và đối xử bình đẳng với mọi người nộp thuế.  - HUMAN-TRU1]]</f>
        <v>7</v>
      </c>
      <c r="AN111">
        <f t="shared" si="40"/>
        <v>0.66666666666666663</v>
      </c>
      <c r="AO111">
        <f>step3_validation[[#This Row],[AI_TRU2]]</f>
        <v>9</v>
      </c>
      <c r="AP111">
        <f t="shared" si="41"/>
        <v>0.88888888888888884</v>
      </c>
      <c r="AQ111">
        <f>survey_responses[[#This Row],[Tôi thấy mức thuế tôi phải đóng theo phương án mới là công bằng (người thu nhập như tôi đóng mức này là hợp lý). - HUMAN-TRU2]]</f>
        <v>6</v>
      </c>
      <c r="AR111">
        <f t="shared" si="42"/>
        <v>0.55555555555555558</v>
      </c>
      <c r="AS111">
        <f>step3_validation[[#This Row],[AI_TRU3]]</f>
        <v>9</v>
      </c>
      <c r="AT111">
        <f t="shared" si="43"/>
        <v>0.88888888888888884</v>
      </c>
      <c r="AU111">
        <f>survey_responses[[#This Row],[Tôi tin tưởng số tiền thuế tôi đóng sẽ được Nhà nước sử dụng hiệu quả để cải thiện dịch vụ công (y tế, đường xá...). - HUMAN-TRU3]]</f>
        <v>5</v>
      </c>
      <c r="AV111">
        <f t="shared" si="44"/>
        <v>0.44444444444444442</v>
      </c>
      <c r="AW111">
        <f>step3_validation[[#This Row],[AI_TRU4]]</f>
        <v>8</v>
      </c>
      <c r="AX111">
        <f t="shared" si="45"/>
        <v>0.77777777777777779</v>
      </c>
      <c r="AY111">
        <f>survey_responses[[#This Row],[Tôi thấy Nhà nước đã giải thích rõ ràng, minh bạch về lý do và mục tiêu của việc sửa đổi thuế lần này. - HUMAN-TRU4]]</f>
        <v>5</v>
      </c>
      <c r="AZ111">
        <f t="shared" si="46"/>
        <v>0.44444444444444442</v>
      </c>
      <c r="BA111" s="32">
        <f t="shared" si="47"/>
        <v>0.86111111111111105</v>
      </c>
      <c r="BB111" s="32">
        <f t="shared" si="48"/>
        <v>0.52777777777777779</v>
      </c>
      <c r="BC111" s="7">
        <f t="shared" si="49"/>
        <v>0.80555555555555547</v>
      </c>
      <c r="BD111" s="7">
        <f t="shared" si="50"/>
        <v>0.63888888888888884</v>
      </c>
      <c r="BE111">
        <f>step3_validation[[#This Row],[AI_OUT1]]</f>
        <v>9</v>
      </c>
      <c r="BF111">
        <f t="shared" si="51"/>
        <v>0.88888888888888884</v>
      </c>
      <c r="BG111">
        <f>survey_responses[[#This Row],[Sau khi xem xét các quyền lợi và nghĩa vụ, bạn có ủng hộ và tuân thủ chính sách mới hiện nay? - HUMAN-OUT1]]</f>
        <v>8</v>
      </c>
      <c r="BH111">
        <f t="shared" si="52"/>
        <v>0.77777777777777779</v>
      </c>
      <c r="BI111" s="32">
        <f t="shared" si="53"/>
        <v>1</v>
      </c>
    </row>
    <row r="112" spans="1:61" x14ac:dyDescent="0.45">
      <c r="A112" s="30">
        <f>step3_validation[[#This Row],[Persona_ID]]</f>
        <v>111</v>
      </c>
      <c r="B112" s="31">
        <f>step3_validation[[#This Row],[Used_Seed]]</f>
        <v>12455</v>
      </c>
      <c r="C112" t="str">
        <f>step3_validation[[#This Row],[Gender]]</f>
        <v>Nam</v>
      </c>
      <c r="D112" t="str">
        <f>survey_responses[[#This Row],[Giới tính của bạn:]]</f>
        <v>Nam</v>
      </c>
      <c r="E112" t="str">
        <f>step3_validation[[#This Row],[Age_Group]]</f>
        <v>50 - 54</v>
      </c>
      <c r="F112" t="str">
        <f>survey_responses[[#This Row],[Độ tuổi của bạn:]]</f>
        <v>50 - 54</v>
      </c>
      <c r="G112" t="str">
        <f>step3_validation[[#This Row],[Region]]</f>
        <v>Thành thị</v>
      </c>
      <c r="H112" t="str">
        <f>survey_responses[[#This Row],[Khu vực bạn đang sinh sống:]]</f>
        <v>Thành thị</v>
      </c>
      <c r="I112" t="str">
        <f>step3_validation[[#This Row],[Education]]</f>
        <v>Đại học</v>
      </c>
      <c r="J112" t="str">
        <f>survey_responses[[#This Row],[Trình độ học vấn cao nhất:]]</f>
        <v>Đại học</v>
      </c>
      <c r="K112" t="str">
        <f>step3_validation[[#This Row],[Employment]]</f>
        <v>Chính thức</v>
      </c>
      <c r="L112" t="str">
        <f>survey_responses[[#This Row],[Tình trạng việc làm chính:]]</f>
        <v>Khu vực chính thức (Có Hợp đồng lao động, đóng BHXH)</v>
      </c>
      <c r="M112">
        <f>step3_validation[[#This Row],[Income_Mil]]</f>
        <v>25.493820036727968</v>
      </c>
      <c r="N112" t="str">
        <f>survey_responses[[#This Row],[Thu nhập bình quân tháng theo Hợp đồng lao động của bạn là bao nhiêu? (Vui lòng điền tổng thu nhập trước khi khấu trừ các loại Bảo hiểm (BHXH, BHYT, BHTN) và Thuế TNCN)]]</f>
        <v>Từ 23 - 32 triệu VNĐ</v>
      </c>
      <c r="O112">
        <f>step3_validation[[#This Row],[Dependents]]</f>
        <v>1</v>
      </c>
      <c r="P112" t="str">
        <f>survey_responses[[#This Row],[Số người phụ thuộc (con nhỏ, cha mẹ già...) đủ điều kiện giảm trừ gia cảnh:]]</f>
        <v>1 người</v>
      </c>
      <c r="Q112">
        <f>step3_validation[[#This Row],[AI_ENF1]]</f>
        <v>8</v>
      </c>
      <c r="R112">
        <f t="shared" si="27"/>
        <v>0.77777777777777779</v>
      </c>
      <c r="S112">
        <f>survey_responses[[#This Row],[Tôi tin rằng với các quy định quản lý thuế hiện nay, hành vi gian lận hoặc trốn thuế sẽ dễ dàng bị phát hiện và xử lý nghiêm. - HUMAN-ENF1]]</f>
        <v>8</v>
      </c>
      <c r="T112">
        <f t="shared" si="28"/>
        <v>0.77777777777777779</v>
      </c>
      <c r="U112">
        <f>step3_validation[[#This Row],[AI_ENF2]]</f>
        <v>7</v>
      </c>
      <c r="V112">
        <f t="shared" si="29"/>
        <v>0.66666666666666663</v>
      </c>
      <c r="W112">
        <f>survey_responses[[#This Row],[Tôi tin rằng Nhà nước, cơ quan thuế có đủ khả năng và công nghệ để phát hiện, xử lý nghiêm các hành vi trốn thuế. - HUMAN-ENF2]]</f>
        <v>8</v>
      </c>
      <c r="X112">
        <f t="shared" si="30"/>
        <v>0.77777777777777779</v>
      </c>
      <c r="Y112" s="32">
        <f t="shared" si="31"/>
        <v>0.72222222222222221</v>
      </c>
      <c r="Z112" s="32">
        <f t="shared" si="32"/>
        <v>0.77777777777777779</v>
      </c>
      <c r="AA112">
        <f>step3_validation[[#This Row],[AI_FAC1]]</f>
        <v>6</v>
      </c>
      <c r="AB112">
        <f t="shared" si="33"/>
        <v>0.55555555555555558</v>
      </c>
      <c r="AC112">
        <f>survey_responses[[#This Row],[Các thủ tục khai báo thuế VÀ/HOẶC quy trình làm việc với cơ quan thuế đơn giản, tiện lợi, nhanh chóng hơn so với trước đây. - HUMAN-FAC1]]</f>
        <v>6</v>
      </c>
      <c r="AD112">
        <f t="shared" si="34"/>
        <v>0.55555555555555558</v>
      </c>
      <c r="AE112">
        <f>step3_validation[[#This Row],[AI_FAC2]]</f>
        <v>9</v>
      </c>
      <c r="AF112">
        <f t="shared" si="35"/>
        <v>0.88888888888888884</v>
      </c>
      <c r="AG112">
        <f>survey_responses[[#This Row],[So với trước đây, tôi thấy cách tính thuế và các bậc thuế trong phương án mới đơn giản, dễ hiểu và dễ thực hiện hơn. - HUMAN-FAC2]]</f>
        <v>7</v>
      </c>
      <c r="AH112">
        <f t="shared" si="36"/>
        <v>0.66666666666666663</v>
      </c>
      <c r="AI112" s="32">
        <f t="shared" si="37"/>
        <v>0.72222222222222221</v>
      </c>
      <c r="AJ112" s="32">
        <f t="shared" si="38"/>
        <v>0.61111111111111116</v>
      </c>
      <c r="AK112">
        <f>step3_validation[[#This Row],[AI_TRU1]]</f>
        <v>7</v>
      </c>
      <c r="AL112">
        <f t="shared" si="39"/>
        <v>0.66666666666666663</v>
      </c>
      <c r="AM112">
        <f>survey_responses[[#This Row],[Tôi tin rằng Nhà nước, cơ quan thuế sẽ thực thi chính sách mới một cách khách quan, công tâm và đối xử bình đẳng với mọi người nộp thuế.  - HUMAN-TRU1]]</f>
        <v>6</v>
      </c>
      <c r="AN112">
        <f t="shared" si="40"/>
        <v>0.55555555555555558</v>
      </c>
      <c r="AO112">
        <f>step3_validation[[#This Row],[AI_TRU2]]</f>
        <v>8</v>
      </c>
      <c r="AP112">
        <f t="shared" si="41"/>
        <v>0.77777777777777779</v>
      </c>
      <c r="AQ112">
        <f>survey_responses[[#This Row],[Tôi thấy mức thuế tôi phải đóng theo phương án mới là công bằng (người thu nhập như tôi đóng mức này là hợp lý). - HUMAN-TRU2]]</f>
        <v>7</v>
      </c>
      <c r="AR112">
        <f t="shared" si="42"/>
        <v>0.66666666666666663</v>
      </c>
      <c r="AS112">
        <f>step3_validation[[#This Row],[AI_TRU3]]</f>
        <v>7</v>
      </c>
      <c r="AT112">
        <f t="shared" si="43"/>
        <v>0.66666666666666663</v>
      </c>
      <c r="AU112">
        <f>survey_responses[[#This Row],[Tôi tin tưởng số tiền thuế tôi đóng sẽ được Nhà nước sử dụng hiệu quả để cải thiện dịch vụ công (y tế, đường xá...). - HUMAN-TRU3]]</f>
        <v>5</v>
      </c>
      <c r="AV112">
        <f t="shared" si="44"/>
        <v>0.44444444444444442</v>
      </c>
      <c r="AW112">
        <f>step3_validation[[#This Row],[AI_TRU4]]</f>
        <v>6</v>
      </c>
      <c r="AX112">
        <f t="shared" si="45"/>
        <v>0.55555555555555558</v>
      </c>
      <c r="AY112">
        <f>survey_responses[[#This Row],[Tôi thấy Nhà nước đã giải thích rõ ràng, minh bạch về lý do và mục tiêu của việc sửa đổi thuế lần này. - HUMAN-TRU4]]</f>
        <v>5</v>
      </c>
      <c r="AZ112">
        <f t="shared" si="46"/>
        <v>0.44444444444444442</v>
      </c>
      <c r="BA112" s="32">
        <f t="shared" si="47"/>
        <v>0.66666666666666674</v>
      </c>
      <c r="BB112" s="32">
        <f t="shared" si="48"/>
        <v>0.52777777777777779</v>
      </c>
      <c r="BC112" s="7">
        <f t="shared" si="49"/>
        <v>0.70370370370370372</v>
      </c>
      <c r="BD112" s="7">
        <f t="shared" si="50"/>
        <v>0.63888888888888884</v>
      </c>
      <c r="BE112">
        <f>step3_validation[[#This Row],[AI_OUT1]]</f>
        <v>9</v>
      </c>
      <c r="BF112">
        <f t="shared" si="51"/>
        <v>0.88888888888888884</v>
      </c>
      <c r="BG112">
        <f>survey_responses[[#This Row],[Sau khi xem xét các quyền lợi và nghĩa vụ, bạn có ủng hộ và tuân thủ chính sách mới hiện nay? - HUMAN-OUT1]]</f>
        <v>5</v>
      </c>
      <c r="BH112">
        <f t="shared" si="52"/>
        <v>0.44444444444444442</v>
      </c>
      <c r="BI112" s="32">
        <f t="shared" si="53"/>
        <v>4</v>
      </c>
    </row>
    <row r="113" spans="1:61" x14ac:dyDescent="0.45">
      <c r="A113" s="30">
        <f>step3_validation[[#This Row],[Persona_ID]]</f>
        <v>112</v>
      </c>
      <c r="B113" s="31">
        <f>step3_validation[[#This Row],[Used_Seed]]</f>
        <v>12456</v>
      </c>
      <c r="C113" t="str">
        <f>step3_validation[[#This Row],[Gender]]</f>
        <v>Nữ</v>
      </c>
      <c r="D113" t="str">
        <f>survey_responses[[#This Row],[Giới tính của bạn:]]</f>
        <v>Nữ</v>
      </c>
      <c r="E113" t="str">
        <f>step3_validation[[#This Row],[Age_Group]]</f>
        <v>40 - 49</v>
      </c>
      <c r="F113" t="str">
        <f>survey_responses[[#This Row],[Độ tuổi của bạn:]]</f>
        <v>40 - 49</v>
      </c>
      <c r="G113" t="str">
        <f>step3_validation[[#This Row],[Region]]</f>
        <v>Thành thị</v>
      </c>
      <c r="H113" t="str">
        <f>survey_responses[[#This Row],[Khu vực bạn đang sinh sống:]]</f>
        <v>Thành thị</v>
      </c>
      <c r="I113" t="str">
        <f>step3_validation[[#This Row],[Education]]</f>
        <v>Đại học</v>
      </c>
      <c r="J113" t="str">
        <f>survey_responses[[#This Row],[Trình độ học vấn cao nhất:]]</f>
        <v>Đại học</v>
      </c>
      <c r="K113" t="str">
        <f>step3_validation[[#This Row],[Employment]]</f>
        <v>Chính thức</v>
      </c>
      <c r="L113" t="str">
        <f>survey_responses[[#This Row],[Tình trạng việc làm chính:]]</f>
        <v>Khu vực chính thức (Có Hợp đồng lao động, đóng BHXH)</v>
      </c>
      <c r="M113">
        <f>step3_validation[[#This Row],[Income_Mil]]</f>
        <v>20.609619001907113</v>
      </c>
      <c r="N113" t="str">
        <f>survey_responses[[#This Row],[Thu nhập bình quân tháng theo Hợp đồng lao động của bạn là bao nhiêu? (Vui lòng điền tổng thu nhập trước khi khấu trừ các loại Bảo hiểm (BHXH, BHYT, BHTN) và Thuế TNCN)]]</f>
        <v>Từ 18 - 23 triệu VNĐ</v>
      </c>
      <c r="O113">
        <f>step3_validation[[#This Row],[Dependents]]</f>
        <v>2</v>
      </c>
      <c r="P113" t="str">
        <f>survey_responses[[#This Row],[Số người phụ thuộc (con nhỏ, cha mẹ già...) đủ điều kiện giảm trừ gia cảnh:]]</f>
        <v>2 người</v>
      </c>
      <c r="Q113">
        <f>step3_validation[[#This Row],[AI_ENF1]]</f>
        <v>7</v>
      </c>
      <c r="R113">
        <f t="shared" si="27"/>
        <v>0.66666666666666663</v>
      </c>
      <c r="S113">
        <f>survey_responses[[#This Row],[Tôi tin rằng với các quy định quản lý thuế hiện nay, hành vi gian lận hoặc trốn thuế sẽ dễ dàng bị phát hiện và xử lý nghiêm. - HUMAN-ENF1]]</f>
        <v>7</v>
      </c>
      <c r="T113">
        <f t="shared" si="28"/>
        <v>0.66666666666666663</v>
      </c>
      <c r="U113">
        <f>step3_validation[[#This Row],[AI_ENF2]]</f>
        <v>8</v>
      </c>
      <c r="V113">
        <f t="shared" si="29"/>
        <v>0.77777777777777779</v>
      </c>
      <c r="W113">
        <f>survey_responses[[#This Row],[Tôi tin rằng Nhà nước, cơ quan thuế có đủ khả năng và công nghệ để phát hiện, xử lý nghiêm các hành vi trốn thuế. - HUMAN-ENF2]]</f>
        <v>8</v>
      </c>
      <c r="X113">
        <f t="shared" si="30"/>
        <v>0.77777777777777779</v>
      </c>
      <c r="Y113" s="32">
        <f t="shared" si="31"/>
        <v>0.72222222222222221</v>
      </c>
      <c r="Z113" s="32">
        <f t="shared" si="32"/>
        <v>0.72222222222222221</v>
      </c>
      <c r="AA113">
        <f>step3_validation[[#This Row],[AI_FAC1]]</f>
        <v>9</v>
      </c>
      <c r="AB113">
        <f t="shared" si="33"/>
        <v>0.88888888888888884</v>
      </c>
      <c r="AC113">
        <f>survey_responses[[#This Row],[Các thủ tục khai báo thuế VÀ/HOẶC quy trình làm việc với cơ quan thuế đơn giản, tiện lợi, nhanh chóng hơn so với trước đây. - HUMAN-FAC1]]</f>
        <v>8</v>
      </c>
      <c r="AD113">
        <f t="shared" si="34"/>
        <v>0.77777777777777779</v>
      </c>
      <c r="AE113">
        <f>step3_validation[[#This Row],[AI_FAC2]]</f>
        <v>10</v>
      </c>
      <c r="AF113">
        <f t="shared" si="35"/>
        <v>1</v>
      </c>
      <c r="AG113">
        <f>survey_responses[[#This Row],[So với trước đây, tôi thấy cách tính thuế và các bậc thuế trong phương án mới đơn giản, dễ hiểu và dễ thực hiện hơn. - HUMAN-FAC2]]</f>
        <v>8</v>
      </c>
      <c r="AH113">
        <f t="shared" si="36"/>
        <v>0.77777777777777779</v>
      </c>
      <c r="AI113" s="32">
        <f t="shared" si="37"/>
        <v>0.94444444444444442</v>
      </c>
      <c r="AJ113" s="32">
        <f t="shared" si="38"/>
        <v>0.77777777777777779</v>
      </c>
      <c r="AK113">
        <f>step3_validation[[#This Row],[AI_TRU1]]</f>
        <v>9</v>
      </c>
      <c r="AL113">
        <f t="shared" si="39"/>
        <v>0.88888888888888884</v>
      </c>
      <c r="AM113">
        <f>survey_responses[[#This Row],[Tôi tin rằng Nhà nước, cơ quan thuế sẽ thực thi chính sách mới một cách khách quan, công tâm và đối xử bình đẳng với mọi người nộp thuế.  - HUMAN-TRU1]]</f>
        <v>8</v>
      </c>
      <c r="AN113">
        <f t="shared" si="40"/>
        <v>0.77777777777777779</v>
      </c>
      <c r="AO113">
        <f>step3_validation[[#This Row],[AI_TRU2]]</f>
        <v>9</v>
      </c>
      <c r="AP113">
        <f t="shared" si="41"/>
        <v>0.88888888888888884</v>
      </c>
      <c r="AQ113">
        <f>survey_responses[[#This Row],[Tôi thấy mức thuế tôi phải đóng theo phương án mới là công bằng (người thu nhập như tôi đóng mức này là hợp lý). - HUMAN-TRU2]]</f>
        <v>8</v>
      </c>
      <c r="AR113">
        <f t="shared" si="42"/>
        <v>0.77777777777777779</v>
      </c>
      <c r="AS113">
        <f>step3_validation[[#This Row],[AI_TRU3]]</f>
        <v>8</v>
      </c>
      <c r="AT113">
        <f t="shared" si="43"/>
        <v>0.77777777777777779</v>
      </c>
      <c r="AU113">
        <f>survey_responses[[#This Row],[Tôi tin tưởng số tiền thuế tôi đóng sẽ được Nhà nước sử dụng hiệu quả để cải thiện dịch vụ công (y tế, đường xá...). - HUMAN-TRU3]]</f>
        <v>8</v>
      </c>
      <c r="AV113">
        <f t="shared" si="44"/>
        <v>0.77777777777777779</v>
      </c>
      <c r="AW113">
        <f>step3_validation[[#This Row],[AI_TRU4]]</f>
        <v>9</v>
      </c>
      <c r="AX113">
        <f t="shared" si="45"/>
        <v>0.88888888888888884</v>
      </c>
      <c r="AY113">
        <f>survey_responses[[#This Row],[Tôi thấy Nhà nước đã giải thích rõ ràng, minh bạch về lý do và mục tiêu của việc sửa đổi thuế lần này. - HUMAN-TRU4]]</f>
        <v>8</v>
      </c>
      <c r="AZ113">
        <f t="shared" si="46"/>
        <v>0.77777777777777779</v>
      </c>
      <c r="BA113" s="32">
        <f t="shared" si="47"/>
        <v>0.86111111111111105</v>
      </c>
      <c r="BB113" s="32">
        <f t="shared" si="48"/>
        <v>0.77777777777777779</v>
      </c>
      <c r="BC113" s="7">
        <f t="shared" si="49"/>
        <v>0.84259259259259256</v>
      </c>
      <c r="BD113" s="7">
        <f t="shared" si="50"/>
        <v>0.75925925925925919</v>
      </c>
      <c r="BE113">
        <f>step3_validation[[#This Row],[AI_OUT1]]</f>
        <v>9</v>
      </c>
      <c r="BF113">
        <f t="shared" si="51"/>
        <v>0.88888888888888884</v>
      </c>
      <c r="BG113">
        <f>survey_responses[[#This Row],[Sau khi xem xét các quyền lợi và nghĩa vụ, bạn có ủng hộ và tuân thủ chính sách mới hiện nay? - HUMAN-OUT1]]</f>
        <v>8</v>
      </c>
      <c r="BH113">
        <f t="shared" si="52"/>
        <v>0.77777777777777779</v>
      </c>
      <c r="BI113" s="32">
        <f t="shared" si="53"/>
        <v>1</v>
      </c>
    </row>
    <row r="114" spans="1:61" x14ac:dyDescent="0.45">
      <c r="A114" s="30">
        <f>step3_validation[[#This Row],[Persona_ID]]</f>
        <v>113</v>
      </c>
      <c r="B114" s="31">
        <f>step3_validation[[#This Row],[Used_Seed]]</f>
        <v>12457</v>
      </c>
      <c r="C114" t="str">
        <f>step3_validation[[#This Row],[Gender]]</f>
        <v>Nữ</v>
      </c>
      <c r="D114" t="str">
        <f>survey_responses[[#This Row],[Giới tính của bạn:]]</f>
        <v>Nữ</v>
      </c>
      <c r="E114" t="str">
        <f>step3_validation[[#This Row],[Age_Group]]</f>
        <v>30 - 39</v>
      </c>
      <c r="F114" t="str">
        <f>survey_responses[[#This Row],[Độ tuổi của bạn:]]</f>
        <v>30 - 39</v>
      </c>
      <c r="G114" t="str">
        <f>step3_validation[[#This Row],[Region]]</f>
        <v>Thành thị</v>
      </c>
      <c r="H114" t="str">
        <f>survey_responses[[#This Row],[Khu vực bạn đang sinh sống:]]</f>
        <v>Thành thị</v>
      </c>
      <c r="I114" t="str">
        <f>step3_validation[[#This Row],[Education]]</f>
        <v>Đại học</v>
      </c>
      <c r="J114" t="str">
        <f>survey_responses[[#This Row],[Trình độ học vấn cao nhất:]]</f>
        <v>Đại học</v>
      </c>
      <c r="K114" t="str">
        <f>step3_validation[[#This Row],[Employment]]</f>
        <v>Chính thức</v>
      </c>
      <c r="L114" t="str">
        <f>survey_responses[[#This Row],[Tình trạng việc làm chính:]]</f>
        <v>Khu vực chính thức (Có Hợp đồng lao động, đóng BHXH)</v>
      </c>
      <c r="M114">
        <f>step3_validation[[#This Row],[Income_Mil]]</f>
        <v>12</v>
      </c>
      <c r="N114" t="str">
        <f>survey_responses[[#This Row],[Thu nhập bình quân tháng theo Hợp đồng lao động của bạn là bao nhiêu? (Vui lòng điền tổng thu nhập trước khi khấu trừ các loại Bảo hiểm (BHXH, BHYT, BHTN) và Thuế TNCN)]]</f>
        <v>Dưới 12 triệu VNĐ</v>
      </c>
      <c r="O114">
        <f>step3_validation[[#This Row],[Dependents]]</f>
        <v>3</v>
      </c>
      <c r="P114" t="str">
        <f>survey_responses[[#This Row],[Số người phụ thuộc (con nhỏ, cha mẹ già...) đủ điều kiện giảm trừ gia cảnh:]]</f>
        <v>3 người</v>
      </c>
      <c r="Q114">
        <f>step3_validation[[#This Row],[AI_ENF1]]</f>
        <v>7</v>
      </c>
      <c r="R114">
        <f t="shared" si="27"/>
        <v>0.66666666666666663</v>
      </c>
      <c r="S114">
        <f>survey_responses[[#This Row],[Tôi tin rằng với các quy định quản lý thuế hiện nay, hành vi gian lận hoặc trốn thuế sẽ dễ dàng bị phát hiện và xử lý nghiêm. - HUMAN-ENF1]]</f>
        <v>1</v>
      </c>
      <c r="T114">
        <f t="shared" si="28"/>
        <v>0</v>
      </c>
      <c r="U114">
        <f>step3_validation[[#This Row],[AI_ENF2]]</f>
        <v>6</v>
      </c>
      <c r="V114">
        <f t="shared" si="29"/>
        <v>0.55555555555555558</v>
      </c>
      <c r="W114">
        <f>survey_responses[[#This Row],[Tôi tin rằng Nhà nước, cơ quan thuế có đủ khả năng và công nghệ để phát hiện, xử lý nghiêm các hành vi trốn thuế. - HUMAN-ENF2]]</f>
        <v>1</v>
      </c>
      <c r="X114">
        <f t="shared" si="30"/>
        <v>0</v>
      </c>
      <c r="Y114" s="32">
        <f t="shared" si="31"/>
        <v>0.61111111111111116</v>
      </c>
      <c r="Z114" s="32">
        <f t="shared" si="32"/>
        <v>0</v>
      </c>
      <c r="AA114">
        <f>step3_validation[[#This Row],[AI_FAC1]]</f>
        <v>5</v>
      </c>
      <c r="AB114">
        <f t="shared" si="33"/>
        <v>0.44444444444444442</v>
      </c>
      <c r="AC114">
        <f>survey_responses[[#This Row],[Các thủ tục khai báo thuế VÀ/HOẶC quy trình làm việc với cơ quan thuế đơn giản, tiện lợi, nhanh chóng hơn so với trước đây. - HUMAN-FAC1]]</f>
        <v>1</v>
      </c>
      <c r="AD114">
        <f t="shared" si="34"/>
        <v>0</v>
      </c>
      <c r="AE114">
        <f>step3_validation[[#This Row],[AI_FAC2]]</f>
        <v>8</v>
      </c>
      <c r="AF114">
        <f t="shared" si="35"/>
        <v>0.77777777777777779</v>
      </c>
      <c r="AG114">
        <f>survey_responses[[#This Row],[So với trước đây, tôi thấy cách tính thuế và các bậc thuế trong phương án mới đơn giản, dễ hiểu và dễ thực hiện hơn. - HUMAN-FAC2]]</f>
        <v>1</v>
      </c>
      <c r="AH114">
        <f t="shared" si="36"/>
        <v>0</v>
      </c>
      <c r="AI114" s="32">
        <f t="shared" si="37"/>
        <v>0.61111111111111116</v>
      </c>
      <c r="AJ114" s="32">
        <f t="shared" si="38"/>
        <v>0</v>
      </c>
      <c r="AK114">
        <f>step3_validation[[#This Row],[AI_TRU1]]</f>
        <v>6</v>
      </c>
      <c r="AL114">
        <f t="shared" si="39"/>
        <v>0.55555555555555558</v>
      </c>
      <c r="AM114">
        <f>survey_responses[[#This Row],[Tôi tin rằng Nhà nước, cơ quan thuế sẽ thực thi chính sách mới một cách khách quan, công tâm và đối xử bình đẳng với mọi người nộp thuế.  - HUMAN-TRU1]]</f>
        <v>1</v>
      </c>
      <c r="AN114">
        <f t="shared" si="40"/>
        <v>0</v>
      </c>
      <c r="AO114">
        <f>step3_validation[[#This Row],[AI_TRU2]]</f>
        <v>9</v>
      </c>
      <c r="AP114">
        <f t="shared" si="41"/>
        <v>0.88888888888888884</v>
      </c>
      <c r="AQ114">
        <f>survey_responses[[#This Row],[Tôi thấy mức thuế tôi phải đóng theo phương án mới là công bằng (người thu nhập như tôi đóng mức này là hợp lý). - HUMAN-TRU2]]</f>
        <v>1</v>
      </c>
      <c r="AR114">
        <f t="shared" si="42"/>
        <v>0</v>
      </c>
      <c r="AS114">
        <f>step3_validation[[#This Row],[AI_TRU3]]</f>
        <v>7</v>
      </c>
      <c r="AT114">
        <f t="shared" si="43"/>
        <v>0.66666666666666663</v>
      </c>
      <c r="AU114">
        <f>survey_responses[[#This Row],[Tôi tin tưởng số tiền thuế tôi đóng sẽ được Nhà nước sử dụng hiệu quả để cải thiện dịch vụ công (y tế, đường xá...). - HUMAN-TRU3]]</f>
        <v>1</v>
      </c>
      <c r="AV114">
        <f t="shared" si="44"/>
        <v>0</v>
      </c>
      <c r="AW114">
        <f>step3_validation[[#This Row],[AI_TRU4]]</f>
        <v>8</v>
      </c>
      <c r="AX114">
        <f t="shared" si="45"/>
        <v>0.77777777777777779</v>
      </c>
      <c r="AY114">
        <f>survey_responses[[#This Row],[Tôi thấy Nhà nước đã giải thích rõ ràng, minh bạch về lý do và mục tiêu của việc sửa đổi thuế lần này. - HUMAN-TRU4]]</f>
        <v>1</v>
      </c>
      <c r="AZ114">
        <f t="shared" si="46"/>
        <v>0</v>
      </c>
      <c r="BA114" s="32">
        <f t="shared" si="47"/>
        <v>0.72222222222222221</v>
      </c>
      <c r="BB114" s="32">
        <f t="shared" si="48"/>
        <v>0</v>
      </c>
      <c r="BC114" s="7">
        <f t="shared" si="49"/>
        <v>0.64814814814814825</v>
      </c>
      <c r="BD114" s="7">
        <f t="shared" si="50"/>
        <v>0</v>
      </c>
      <c r="BE114">
        <f>step3_validation[[#This Row],[AI_OUT1]]</f>
        <v>9</v>
      </c>
      <c r="BF114">
        <f t="shared" si="51"/>
        <v>0.88888888888888884</v>
      </c>
      <c r="BG114">
        <f>survey_responses[[#This Row],[Sau khi xem xét các quyền lợi và nghĩa vụ, bạn có ủng hộ và tuân thủ chính sách mới hiện nay? - HUMAN-OUT1]]</f>
        <v>1</v>
      </c>
      <c r="BH114">
        <f t="shared" si="52"/>
        <v>0</v>
      </c>
      <c r="BI114" s="32">
        <f t="shared" si="53"/>
        <v>8</v>
      </c>
    </row>
    <row r="115" spans="1:61" x14ac:dyDescent="0.45">
      <c r="A115" s="30">
        <f>step3_validation[[#This Row],[Persona_ID]]</f>
        <v>114</v>
      </c>
      <c r="B115" s="31">
        <f>step3_validation[[#This Row],[Used_Seed]]</f>
        <v>12458</v>
      </c>
      <c r="C115" t="str">
        <f>step3_validation[[#This Row],[Gender]]</f>
        <v>Nữ</v>
      </c>
      <c r="D115" t="str">
        <f>survey_responses[[#This Row],[Giới tính của bạn:]]</f>
        <v>Nữ</v>
      </c>
      <c r="E115" t="str">
        <f>step3_validation[[#This Row],[Age_Group]]</f>
        <v>40 - 49</v>
      </c>
      <c r="F115" t="str">
        <f>survey_responses[[#This Row],[Độ tuổi của bạn:]]</f>
        <v>40 - 49</v>
      </c>
      <c r="G115" t="str">
        <f>step3_validation[[#This Row],[Region]]</f>
        <v>Thành thị</v>
      </c>
      <c r="H115" t="str">
        <f>survey_responses[[#This Row],[Khu vực bạn đang sinh sống:]]</f>
        <v>Thành thị</v>
      </c>
      <c r="I115" t="str">
        <f>step3_validation[[#This Row],[Education]]</f>
        <v>Đại học</v>
      </c>
      <c r="J115" t="str">
        <f>survey_responses[[#This Row],[Trình độ học vấn cao nhất:]]</f>
        <v>Đại học</v>
      </c>
      <c r="K115" t="str">
        <f>step3_validation[[#This Row],[Employment]]</f>
        <v>Chính thức</v>
      </c>
      <c r="L115" t="str">
        <f>survey_responses[[#This Row],[Tình trạng việc làm chính:]]</f>
        <v>Khu vực chính thức (Có Hợp đồng lao động, đóng BHXH)</v>
      </c>
      <c r="M115">
        <f>step3_validation[[#This Row],[Income_Mil]]</f>
        <v>18.479963422825136</v>
      </c>
      <c r="N115" t="str">
        <f>survey_responses[[#This Row],[Thu nhập bình quân tháng theo Hợp đồng lao động của bạn là bao nhiêu? (Vui lòng điền tổng thu nhập trước khi khấu trừ các loại Bảo hiểm (BHXH, BHYT, BHTN) và Thuế TNCN)]]</f>
        <v>Từ 18 - 23 triệu VNĐ</v>
      </c>
      <c r="O115">
        <f>step3_validation[[#This Row],[Dependents]]</f>
        <v>4</v>
      </c>
      <c r="P115" t="str">
        <f>survey_responses[[#This Row],[Số người phụ thuộc (con nhỏ, cha mẹ già...) đủ điều kiện giảm trừ gia cảnh:]]</f>
        <v>4 người trở lên</v>
      </c>
      <c r="Q115">
        <f>step3_validation[[#This Row],[AI_ENF1]]</f>
        <v>7</v>
      </c>
      <c r="R115">
        <f t="shared" si="27"/>
        <v>0.66666666666666663</v>
      </c>
      <c r="S115">
        <f>survey_responses[[#This Row],[Tôi tin rằng với các quy định quản lý thuế hiện nay, hành vi gian lận hoặc trốn thuế sẽ dễ dàng bị phát hiện và xử lý nghiêm. - HUMAN-ENF1]]</f>
        <v>10</v>
      </c>
      <c r="T115">
        <f t="shared" si="28"/>
        <v>1</v>
      </c>
      <c r="U115">
        <f>step3_validation[[#This Row],[AI_ENF2]]</f>
        <v>8</v>
      </c>
      <c r="V115">
        <f t="shared" si="29"/>
        <v>0.77777777777777779</v>
      </c>
      <c r="W115">
        <f>survey_responses[[#This Row],[Tôi tin rằng Nhà nước, cơ quan thuế có đủ khả năng và công nghệ để phát hiện, xử lý nghiêm các hành vi trốn thuế. - HUMAN-ENF2]]</f>
        <v>10</v>
      </c>
      <c r="X115">
        <f t="shared" si="30"/>
        <v>1</v>
      </c>
      <c r="Y115" s="32">
        <f t="shared" si="31"/>
        <v>0.72222222222222221</v>
      </c>
      <c r="Z115" s="32">
        <f t="shared" si="32"/>
        <v>1</v>
      </c>
      <c r="AA115">
        <f>step3_validation[[#This Row],[AI_FAC1]]</f>
        <v>9</v>
      </c>
      <c r="AB115">
        <f t="shared" si="33"/>
        <v>0.88888888888888884</v>
      </c>
      <c r="AC115">
        <f>survey_responses[[#This Row],[Các thủ tục khai báo thuế VÀ/HOẶC quy trình làm việc với cơ quan thuế đơn giản, tiện lợi, nhanh chóng hơn so với trước đây. - HUMAN-FAC1]]</f>
        <v>10</v>
      </c>
      <c r="AD115">
        <f t="shared" si="34"/>
        <v>1</v>
      </c>
      <c r="AE115">
        <f>step3_validation[[#This Row],[AI_FAC2]]</f>
        <v>8</v>
      </c>
      <c r="AF115">
        <f t="shared" si="35"/>
        <v>0.77777777777777779</v>
      </c>
      <c r="AG115">
        <f>survey_responses[[#This Row],[So với trước đây, tôi thấy cách tính thuế và các bậc thuế trong phương án mới đơn giản, dễ hiểu và dễ thực hiện hơn. - HUMAN-FAC2]]</f>
        <v>10</v>
      </c>
      <c r="AH115">
        <f t="shared" si="36"/>
        <v>1</v>
      </c>
      <c r="AI115" s="32">
        <f t="shared" si="37"/>
        <v>0.83333333333333326</v>
      </c>
      <c r="AJ115" s="32">
        <f t="shared" si="38"/>
        <v>1</v>
      </c>
      <c r="AK115">
        <f>step3_validation[[#This Row],[AI_TRU1]]</f>
        <v>7</v>
      </c>
      <c r="AL115">
        <f t="shared" si="39"/>
        <v>0.66666666666666663</v>
      </c>
      <c r="AM115">
        <f>survey_responses[[#This Row],[Tôi tin rằng Nhà nước, cơ quan thuế sẽ thực thi chính sách mới một cách khách quan, công tâm và đối xử bình đẳng với mọi người nộp thuế.  - HUMAN-TRU1]]</f>
        <v>10</v>
      </c>
      <c r="AN115">
        <f t="shared" si="40"/>
        <v>1</v>
      </c>
      <c r="AO115">
        <f>step3_validation[[#This Row],[AI_TRU2]]</f>
        <v>9</v>
      </c>
      <c r="AP115">
        <f t="shared" si="41"/>
        <v>0.88888888888888884</v>
      </c>
      <c r="AQ115">
        <f>survey_responses[[#This Row],[Tôi thấy mức thuế tôi phải đóng theo phương án mới là công bằng (người thu nhập như tôi đóng mức này là hợp lý). - HUMAN-TRU2]]</f>
        <v>10</v>
      </c>
      <c r="AR115">
        <f t="shared" si="42"/>
        <v>1</v>
      </c>
      <c r="AS115">
        <f>step3_validation[[#This Row],[AI_TRU3]]</f>
        <v>7</v>
      </c>
      <c r="AT115">
        <f t="shared" si="43"/>
        <v>0.66666666666666663</v>
      </c>
      <c r="AU115">
        <f>survey_responses[[#This Row],[Tôi tin tưởng số tiền thuế tôi đóng sẽ được Nhà nước sử dụng hiệu quả để cải thiện dịch vụ công (y tế, đường xá...). - HUMAN-TRU3]]</f>
        <v>10</v>
      </c>
      <c r="AV115">
        <f t="shared" si="44"/>
        <v>1</v>
      </c>
      <c r="AW115">
        <f>step3_validation[[#This Row],[AI_TRU4]]</f>
        <v>8</v>
      </c>
      <c r="AX115">
        <f t="shared" si="45"/>
        <v>0.77777777777777779</v>
      </c>
      <c r="AY115">
        <f>survey_responses[[#This Row],[Tôi thấy Nhà nước đã giải thích rõ ràng, minh bạch về lý do và mục tiêu của việc sửa đổi thuế lần này. - HUMAN-TRU4]]</f>
        <v>10</v>
      </c>
      <c r="AZ115">
        <f t="shared" si="46"/>
        <v>1</v>
      </c>
      <c r="BA115" s="32">
        <f t="shared" si="47"/>
        <v>0.74999999999999989</v>
      </c>
      <c r="BB115" s="32">
        <f t="shared" si="48"/>
        <v>1</v>
      </c>
      <c r="BC115" s="7">
        <f t="shared" si="49"/>
        <v>0.76851851851851849</v>
      </c>
      <c r="BD115" s="7">
        <f t="shared" si="50"/>
        <v>1</v>
      </c>
      <c r="BE115">
        <f>step3_validation[[#This Row],[AI_OUT1]]</f>
        <v>9</v>
      </c>
      <c r="BF115">
        <f t="shared" si="51"/>
        <v>0.88888888888888884</v>
      </c>
      <c r="BG115">
        <f>survey_responses[[#This Row],[Sau khi xem xét các quyền lợi và nghĩa vụ, bạn có ủng hộ và tuân thủ chính sách mới hiện nay? - HUMAN-OUT1]]</f>
        <v>10</v>
      </c>
      <c r="BH115">
        <f t="shared" si="52"/>
        <v>1</v>
      </c>
      <c r="BI115" s="32">
        <f t="shared" si="53"/>
        <v>1</v>
      </c>
    </row>
    <row r="116" spans="1:61" x14ac:dyDescent="0.45">
      <c r="A116" s="30">
        <f>step3_validation[[#This Row],[Persona_ID]]</f>
        <v>115</v>
      </c>
      <c r="B116" s="31">
        <f>step3_validation[[#This Row],[Used_Seed]]</f>
        <v>12459</v>
      </c>
      <c r="C116" t="str">
        <f>step3_validation[[#This Row],[Gender]]</f>
        <v>Nữ</v>
      </c>
      <c r="D116" t="str">
        <f>survey_responses[[#This Row],[Giới tính của bạn:]]</f>
        <v>Nữ</v>
      </c>
      <c r="E116" t="str">
        <f>step3_validation[[#This Row],[Age_Group]]</f>
        <v>40 - 49</v>
      </c>
      <c r="F116" t="str">
        <f>survey_responses[[#This Row],[Độ tuổi của bạn:]]</f>
        <v>40 - 49</v>
      </c>
      <c r="G116" t="str">
        <f>step3_validation[[#This Row],[Region]]</f>
        <v>Thành thị</v>
      </c>
      <c r="H116" t="str">
        <f>survey_responses[[#This Row],[Khu vực bạn đang sinh sống:]]</f>
        <v>Thành thị</v>
      </c>
      <c r="I116" t="str">
        <f>step3_validation[[#This Row],[Education]]</f>
        <v>Sau Đại học</v>
      </c>
      <c r="J116" t="str">
        <f>survey_responses[[#This Row],[Trình độ học vấn cao nhất:]]</f>
        <v>Sau Đại học</v>
      </c>
      <c r="K116" t="str">
        <f>step3_validation[[#This Row],[Employment]]</f>
        <v>Chính thức</v>
      </c>
      <c r="L116" t="str">
        <f>survey_responses[[#This Row],[Tình trạng việc làm chính:]]</f>
        <v>Khu vực chính thức (Có Hợp đồng lao động, đóng BHXH)</v>
      </c>
      <c r="M116">
        <f>step3_validation[[#This Row],[Income_Mil]]</f>
        <v>13.627736245856385</v>
      </c>
      <c r="N116" t="str">
        <f>survey_responses[[#This Row],[Thu nhập bình quân tháng theo Hợp đồng lao động của bạn là bao nhiêu? (Vui lòng điền tổng thu nhập trước khi khấu trừ các loại Bảo hiểm (BHXH, BHYT, BHTN) và Thuế TNCN)]]</f>
        <v>Từ 12 - 18 triệu VNĐ</v>
      </c>
      <c r="O116">
        <f>step3_validation[[#This Row],[Dependents]]</f>
        <v>4</v>
      </c>
      <c r="P116" t="str">
        <f>survey_responses[[#This Row],[Số người phụ thuộc (con nhỏ, cha mẹ già...) đủ điều kiện giảm trừ gia cảnh:]]</f>
        <v>4 người trở lên</v>
      </c>
      <c r="Q116">
        <f>step3_validation[[#This Row],[AI_ENF1]]</f>
        <v>8</v>
      </c>
      <c r="R116">
        <f t="shared" si="27"/>
        <v>0.77777777777777779</v>
      </c>
      <c r="S116">
        <f>survey_responses[[#This Row],[Tôi tin rằng với các quy định quản lý thuế hiện nay, hành vi gian lận hoặc trốn thuế sẽ dễ dàng bị phát hiện và xử lý nghiêm. - HUMAN-ENF1]]</f>
        <v>1</v>
      </c>
      <c r="T116">
        <f t="shared" si="28"/>
        <v>0</v>
      </c>
      <c r="U116">
        <f>step3_validation[[#This Row],[AI_ENF2]]</f>
        <v>8</v>
      </c>
      <c r="V116">
        <f t="shared" si="29"/>
        <v>0.77777777777777779</v>
      </c>
      <c r="W116">
        <f>survey_responses[[#This Row],[Tôi tin rằng Nhà nước, cơ quan thuế có đủ khả năng và công nghệ để phát hiện, xử lý nghiêm các hành vi trốn thuế. - HUMAN-ENF2]]</f>
        <v>1</v>
      </c>
      <c r="X116">
        <f t="shared" si="30"/>
        <v>0</v>
      </c>
      <c r="Y116" s="32">
        <f t="shared" si="31"/>
        <v>0.77777777777777779</v>
      </c>
      <c r="Z116" s="32">
        <f t="shared" si="32"/>
        <v>0</v>
      </c>
      <c r="AA116">
        <f>step3_validation[[#This Row],[AI_FAC1]]</f>
        <v>7</v>
      </c>
      <c r="AB116">
        <f t="shared" si="33"/>
        <v>0.66666666666666663</v>
      </c>
      <c r="AC116">
        <f>survey_responses[[#This Row],[Các thủ tục khai báo thuế VÀ/HOẶC quy trình làm việc với cơ quan thuế đơn giản, tiện lợi, nhanh chóng hơn so với trước đây. - HUMAN-FAC1]]</f>
        <v>1</v>
      </c>
      <c r="AD116">
        <f t="shared" si="34"/>
        <v>0</v>
      </c>
      <c r="AE116">
        <f>step3_validation[[#This Row],[AI_FAC2]]</f>
        <v>9</v>
      </c>
      <c r="AF116">
        <f t="shared" si="35"/>
        <v>0.88888888888888884</v>
      </c>
      <c r="AG116">
        <f>survey_responses[[#This Row],[So với trước đây, tôi thấy cách tính thuế và các bậc thuế trong phương án mới đơn giản, dễ hiểu và dễ thực hiện hơn. - HUMAN-FAC2]]</f>
        <v>1</v>
      </c>
      <c r="AH116">
        <f t="shared" si="36"/>
        <v>0</v>
      </c>
      <c r="AI116" s="32">
        <f t="shared" si="37"/>
        <v>0.77777777777777768</v>
      </c>
      <c r="AJ116" s="32">
        <f t="shared" si="38"/>
        <v>0</v>
      </c>
      <c r="AK116">
        <f>step3_validation[[#This Row],[AI_TRU1]]</f>
        <v>8</v>
      </c>
      <c r="AL116">
        <f t="shared" si="39"/>
        <v>0.77777777777777779</v>
      </c>
      <c r="AM116">
        <f>survey_responses[[#This Row],[Tôi tin rằng Nhà nước, cơ quan thuế sẽ thực thi chính sách mới một cách khách quan, công tâm và đối xử bình đẳng với mọi người nộp thuế.  - HUMAN-TRU1]]</f>
        <v>1</v>
      </c>
      <c r="AN116">
        <f t="shared" si="40"/>
        <v>0</v>
      </c>
      <c r="AO116">
        <f>step3_validation[[#This Row],[AI_TRU2]]</f>
        <v>7</v>
      </c>
      <c r="AP116">
        <f t="shared" si="41"/>
        <v>0.66666666666666663</v>
      </c>
      <c r="AQ116">
        <f>survey_responses[[#This Row],[Tôi thấy mức thuế tôi phải đóng theo phương án mới là công bằng (người thu nhập như tôi đóng mức này là hợp lý). - HUMAN-TRU2]]</f>
        <v>1</v>
      </c>
      <c r="AR116">
        <f t="shared" si="42"/>
        <v>0</v>
      </c>
      <c r="AS116">
        <f>step3_validation[[#This Row],[AI_TRU3]]</f>
        <v>8</v>
      </c>
      <c r="AT116">
        <f t="shared" si="43"/>
        <v>0.77777777777777779</v>
      </c>
      <c r="AU116">
        <f>survey_responses[[#This Row],[Tôi tin tưởng số tiền thuế tôi đóng sẽ được Nhà nước sử dụng hiệu quả để cải thiện dịch vụ công (y tế, đường xá...). - HUMAN-TRU3]]</f>
        <v>1</v>
      </c>
      <c r="AV116">
        <f t="shared" si="44"/>
        <v>0</v>
      </c>
      <c r="AW116">
        <f>step3_validation[[#This Row],[AI_TRU4]]</f>
        <v>9</v>
      </c>
      <c r="AX116">
        <f t="shared" si="45"/>
        <v>0.88888888888888884</v>
      </c>
      <c r="AY116">
        <f>survey_responses[[#This Row],[Tôi thấy Nhà nước đã giải thích rõ ràng, minh bạch về lý do và mục tiêu của việc sửa đổi thuế lần này. - HUMAN-TRU4]]</f>
        <v>1</v>
      </c>
      <c r="AZ116">
        <f t="shared" si="46"/>
        <v>0</v>
      </c>
      <c r="BA116" s="32">
        <f t="shared" si="47"/>
        <v>0.77777777777777779</v>
      </c>
      <c r="BB116" s="32">
        <f t="shared" si="48"/>
        <v>0</v>
      </c>
      <c r="BC116" s="7">
        <f t="shared" si="49"/>
        <v>0.77777777777777768</v>
      </c>
      <c r="BD116" s="7">
        <f t="shared" si="50"/>
        <v>0</v>
      </c>
      <c r="BE116">
        <f>step3_validation[[#This Row],[AI_OUT1]]</f>
        <v>8</v>
      </c>
      <c r="BF116">
        <f t="shared" si="51"/>
        <v>0.77777777777777779</v>
      </c>
      <c r="BG116">
        <f>survey_responses[[#This Row],[Sau khi xem xét các quyền lợi và nghĩa vụ, bạn có ủng hộ và tuân thủ chính sách mới hiện nay? - HUMAN-OUT1]]</f>
        <v>1</v>
      </c>
      <c r="BH116">
        <f t="shared" si="52"/>
        <v>0</v>
      </c>
      <c r="BI116" s="32">
        <f t="shared" si="53"/>
        <v>7</v>
      </c>
    </row>
    <row r="117" spans="1:61" x14ac:dyDescent="0.45">
      <c r="A117" s="30">
        <f>step3_validation[[#This Row],[Persona_ID]]</f>
        <v>116</v>
      </c>
      <c r="B117" s="31">
        <f>step3_validation[[#This Row],[Used_Seed]]</f>
        <v>12460</v>
      </c>
      <c r="C117" t="str">
        <f>step3_validation[[#This Row],[Gender]]</f>
        <v>Nữ</v>
      </c>
      <c r="D117" t="str">
        <f>survey_responses[[#This Row],[Giới tính của bạn:]]</f>
        <v>Nữ</v>
      </c>
      <c r="E117" t="str">
        <f>step3_validation[[#This Row],[Age_Group]]</f>
        <v>40 - 49</v>
      </c>
      <c r="F117" t="str">
        <f>survey_responses[[#This Row],[Độ tuổi của bạn:]]</f>
        <v>40 - 49</v>
      </c>
      <c r="G117" t="str">
        <f>step3_validation[[#This Row],[Region]]</f>
        <v>Thành thị</v>
      </c>
      <c r="H117" t="str">
        <f>survey_responses[[#This Row],[Khu vực bạn đang sinh sống:]]</f>
        <v>Thành thị</v>
      </c>
      <c r="I117" t="str">
        <f>step3_validation[[#This Row],[Education]]</f>
        <v>Sau Đại học</v>
      </c>
      <c r="J117" t="str">
        <f>survey_responses[[#This Row],[Trình độ học vấn cao nhất:]]</f>
        <v>Sau Đại học</v>
      </c>
      <c r="K117" t="str">
        <f>step3_validation[[#This Row],[Employment]]</f>
        <v>Chính thức</v>
      </c>
      <c r="L117" t="str">
        <f>survey_responses[[#This Row],[Tình trạng việc làm chính:]]</f>
        <v>Khu vực chính thức (Có Hợp đồng lao động, đóng BHXH)</v>
      </c>
      <c r="M117">
        <f>step3_validation[[#This Row],[Income_Mil]]</f>
        <v>15.764306891880848</v>
      </c>
      <c r="N117" t="str">
        <f>survey_responses[[#This Row],[Thu nhập bình quân tháng theo Hợp đồng lao động của bạn là bao nhiêu? (Vui lòng điền tổng thu nhập trước khi khấu trừ các loại Bảo hiểm (BHXH, BHYT, BHTN) và Thuế TNCN)]]</f>
        <v>Từ 12 - 18 triệu VNĐ</v>
      </c>
      <c r="O117">
        <f>step3_validation[[#This Row],[Dependents]]</f>
        <v>0</v>
      </c>
      <c r="P117" t="str">
        <f>survey_responses[[#This Row],[Số người phụ thuộc (con nhỏ, cha mẹ già...) đủ điều kiện giảm trừ gia cảnh:]]</f>
        <v>0 người</v>
      </c>
      <c r="Q117">
        <f>step3_validation[[#This Row],[AI_ENF1]]</f>
        <v>6</v>
      </c>
      <c r="R117">
        <f t="shared" si="27"/>
        <v>0.55555555555555558</v>
      </c>
      <c r="S117">
        <f>survey_responses[[#This Row],[Tôi tin rằng với các quy định quản lý thuế hiện nay, hành vi gian lận hoặc trốn thuế sẽ dễ dàng bị phát hiện và xử lý nghiêm. - HUMAN-ENF1]]</f>
        <v>9</v>
      </c>
      <c r="T117">
        <f t="shared" si="28"/>
        <v>0.88888888888888884</v>
      </c>
      <c r="U117">
        <f>step3_validation[[#This Row],[AI_ENF2]]</f>
        <v>5</v>
      </c>
      <c r="V117">
        <f t="shared" si="29"/>
        <v>0.44444444444444442</v>
      </c>
      <c r="W117">
        <f>survey_responses[[#This Row],[Tôi tin rằng Nhà nước, cơ quan thuế có đủ khả năng và công nghệ để phát hiện, xử lý nghiêm các hành vi trốn thuế. - HUMAN-ENF2]]</f>
        <v>9</v>
      </c>
      <c r="X117">
        <f t="shared" si="30"/>
        <v>0.88888888888888884</v>
      </c>
      <c r="Y117" s="32">
        <f t="shared" si="31"/>
        <v>0.5</v>
      </c>
      <c r="Z117" s="32">
        <f t="shared" si="32"/>
        <v>0.88888888888888884</v>
      </c>
      <c r="AA117">
        <f>step3_validation[[#This Row],[AI_FAC1]]</f>
        <v>7</v>
      </c>
      <c r="AB117">
        <f t="shared" si="33"/>
        <v>0.66666666666666663</v>
      </c>
      <c r="AC117">
        <f>survey_responses[[#This Row],[Các thủ tục khai báo thuế VÀ/HOẶC quy trình làm việc với cơ quan thuế đơn giản, tiện lợi, nhanh chóng hơn so với trước đây. - HUMAN-FAC1]]</f>
        <v>9</v>
      </c>
      <c r="AD117">
        <f t="shared" si="34"/>
        <v>0.88888888888888884</v>
      </c>
      <c r="AE117">
        <f>step3_validation[[#This Row],[AI_FAC2]]</f>
        <v>8</v>
      </c>
      <c r="AF117">
        <f t="shared" si="35"/>
        <v>0.77777777777777779</v>
      </c>
      <c r="AG117">
        <f>survey_responses[[#This Row],[So với trước đây, tôi thấy cách tính thuế và các bậc thuế trong phương án mới đơn giản, dễ hiểu và dễ thực hiện hơn. - HUMAN-FAC2]]</f>
        <v>9</v>
      </c>
      <c r="AH117">
        <f t="shared" si="36"/>
        <v>0.88888888888888884</v>
      </c>
      <c r="AI117" s="32">
        <f t="shared" si="37"/>
        <v>0.72222222222222221</v>
      </c>
      <c r="AJ117" s="32">
        <f t="shared" si="38"/>
        <v>0.88888888888888884</v>
      </c>
      <c r="AK117">
        <f>step3_validation[[#This Row],[AI_TRU1]]</f>
        <v>7</v>
      </c>
      <c r="AL117">
        <f t="shared" si="39"/>
        <v>0.66666666666666663</v>
      </c>
      <c r="AM117">
        <f>survey_responses[[#This Row],[Tôi tin rằng Nhà nước, cơ quan thuế sẽ thực thi chính sách mới một cách khách quan, công tâm và đối xử bình đẳng với mọi người nộp thuế.  - HUMAN-TRU1]]</f>
        <v>9</v>
      </c>
      <c r="AN117">
        <f t="shared" si="40"/>
        <v>0.88888888888888884</v>
      </c>
      <c r="AO117">
        <f>step3_validation[[#This Row],[AI_TRU2]]</f>
        <v>6</v>
      </c>
      <c r="AP117">
        <f t="shared" si="41"/>
        <v>0.55555555555555558</v>
      </c>
      <c r="AQ117">
        <f>survey_responses[[#This Row],[Tôi thấy mức thuế tôi phải đóng theo phương án mới là công bằng (người thu nhập như tôi đóng mức này là hợp lý). - HUMAN-TRU2]]</f>
        <v>9</v>
      </c>
      <c r="AR117">
        <f t="shared" si="42"/>
        <v>0.88888888888888884</v>
      </c>
      <c r="AS117">
        <f>step3_validation[[#This Row],[AI_TRU3]]</f>
        <v>7</v>
      </c>
      <c r="AT117">
        <f t="shared" si="43"/>
        <v>0.66666666666666663</v>
      </c>
      <c r="AU117">
        <f>survey_responses[[#This Row],[Tôi tin tưởng số tiền thuế tôi đóng sẽ được Nhà nước sử dụng hiệu quả để cải thiện dịch vụ công (y tế, đường xá...). - HUMAN-TRU3]]</f>
        <v>9</v>
      </c>
      <c r="AV117">
        <f t="shared" si="44"/>
        <v>0.88888888888888884</v>
      </c>
      <c r="AW117">
        <f>step3_validation[[#This Row],[AI_TRU4]]</f>
        <v>6</v>
      </c>
      <c r="AX117">
        <f t="shared" si="45"/>
        <v>0.55555555555555558</v>
      </c>
      <c r="AY117">
        <f>survey_responses[[#This Row],[Tôi thấy Nhà nước đã giải thích rõ ràng, minh bạch về lý do và mục tiêu của việc sửa đổi thuế lần này. - HUMAN-TRU4]]</f>
        <v>8</v>
      </c>
      <c r="AZ117">
        <f t="shared" si="46"/>
        <v>0.77777777777777779</v>
      </c>
      <c r="BA117" s="32">
        <f t="shared" si="47"/>
        <v>0.61111111111111116</v>
      </c>
      <c r="BB117" s="32">
        <f t="shared" si="48"/>
        <v>0.86111111111111105</v>
      </c>
      <c r="BC117" s="7">
        <f t="shared" si="49"/>
        <v>0.61111111111111116</v>
      </c>
      <c r="BD117" s="7">
        <f t="shared" si="50"/>
        <v>0.87962962962962965</v>
      </c>
      <c r="BE117">
        <f>step3_validation[[#This Row],[AI_OUT1]]</f>
        <v>8</v>
      </c>
      <c r="BF117">
        <f t="shared" si="51"/>
        <v>0.77777777777777779</v>
      </c>
      <c r="BG117">
        <f>survey_responses[[#This Row],[Sau khi xem xét các quyền lợi và nghĩa vụ, bạn có ủng hộ và tuân thủ chính sách mới hiện nay? - HUMAN-OUT1]]</f>
        <v>9</v>
      </c>
      <c r="BH117">
        <f t="shared" si="52"/>
        <v>0.88888888888888884</v>
      </c>
      <c r="BI117" s="32">
        <f t="shared" si="53"/>
        <v>1</v>
      </c>
    </row>
    <row r="118" spans="1:61" x14ac:dyDescent="0.45">
      <c r="A118" s="30">
        <f>step3_validation[[#This Row],[Persona_ID]]</f>
        <v>117</v>
      </c>
      <c r="B118" s="31">
        <f>step3_validation[[#This Row],[Used_Seed]]</f>
        <v>12461</v>
      </c>
      <c r="C118" t="str">
        <f>step3_validation[[#This Row],[Gender]]</f>
        <v>Nữ</v>
      </c>
      <c r="D118" t="str">
        <f>survey_responses[[#This Row],[Giới tính của bạn:]]</f>
        <v>Nữ</v>
      </c>
      <c r="E118" t="str">
        <f>step3_validation[[#This Row],[Age_Group]]</f>
        <v>40 - 49</v>
      </c>
      <c r="F118" t="str">
        <f>survey_responses[[#This Row],[Độ tuổi của bạn:]]</f>
        <v>40 - 49</v>
      </c>
      <c r="G118" t="str">
        <f>step3_validation[[#This Row],[Region]]</f>
        <v>Thành thị</v>
      </c>
      <c r="H118" t="str">
        <f>survey_responses[[#This Row],[Khu vực bạn đang sinh sống:]]</f>
        <v>Thành thị</v>
      </c>
      <c r="I118" t="str">
        <f>step3_validation[[#This Row],[Education]]</f>
        <v>Đại học</v>
      </c>
      <c r="J118" t="str">
        <f>survey_responses[[#This Row],[Trình độ học vấn cao nhất:]]</f>
        <v>Đại học</v>
      </c>
      <c r="K118" t="str">
        <f>step3_validation[[#This Row],[Employment]]</f>
        <v>Chính thức</v>
      </c>
      <c r="L118" t="str">
        <f>survey_responses[[#This Row],[Tình trạng việc làm chính:]]</f>
        <v>Khu vực chính thức (Có Hợp đồng lao động, đóng BHXH)</v>
      </c>
      <c r="M118">
        <f>step3_validation[[#This Row],[Income_Mil]]</f>
        <v>55.109305365447113</v>
      </c>
      <c r="N118" t="str">
        <f>survey_responses[[#This Row],[Thu nhập bình quân tháng theo Hợp đồng lao động của bạn là bao nhiêu? (Vui lòng điền tổng thu nhập trước khi khấu trừ các loại Bảo hiểm (BHXH, BHYT, BHTN) và Thuế TNCN)]]</f>
        <v>Từ 48 - 70 triệu VNĐ</v>
      </c>
      <c r="O118">
        <f>step3_validation[[#This Row],[Dependents]]</f>
        <v>0</v>
      </c>
      <c r="P118" t="str">
        <f>survey_responses[[#This Row],[Số người phụ thuộc (con nhỏ, cha mẹ già...) đủ điều kiện giảm trừ gia cảnh:]]</f>
        <v>0 người</v>
      </c>
      <c r="Q118">
        <f>step3_validation[[#This Row],[AI_ENF1]]</f>
        <v>6</v>
      </c>
      <c r="R118">
        <f t="shared" si="27"/>
        <v>0.55555555555555558</v>
      </c>
      <c r="S118">
        <f>survey_responses[[#This Row],[Tôi tin rằng với các quy định quản lý thuế hiện nay, hành vi gian lận hoặc trốn thuế sẽ dễ dàng bị phát hiện và xử lý nghiêm. - HUMAN-ENF1]]</f>
        <v>8</v>
      </c>
      <c r="T118">
        <f t="shared" si="28"/>
        <v>0.77777777777777779</v>
      </c>
      <c r="U118">
        <f>step3_validation[[#This Row],[AI_ENF2]]</f>
        <v>7</v>
      </c>
      <c r="V118">
        <f t="shared" si="29"/>
        <v>0.66666666666666663</v>
      </c>
      <c r="W118">
        <f>survey_responses[[#This Row],[Tôi tin rằng Nhà nước, cơ quan thuế có đủ khả năng và công nghệ để phát hiện, xử lý nghiêm các hành vi trốn thuế. - HUMAN-ENF2]]</f>
        <v>9</v>
      </c>
      <c r="X118">
        <f t="shared" si="30"/>
        <v>0.88888888888888884</v>
      </c>
      <c r="Y118" s="32">
        <f t="shared" si="31"/>
        <v>0.61111111111111116</v>
      </c>
      <c r="Z118" s="32">
        <f t="shared" si="32"/>
        <v>0.83333333333333326</v>
      </c>
      <c r="AA118">
        <f>step3_validation[[#This Row],[AI_FAC1]]</f>
        <v>9</v>
      </c>
      <c r="AB118">
        <f t="shared" si="33"/>
        <v>0.88888888888888884</v>
      </c>
      <c r="AC118">
        <f>survey_responses[[#This Row],[Các thủ tục khai báo thuế VÀ/HOẶC quy trình làm việc với cơ quan thuế đơn giản, tiện lợi, nhanh chóng hơn so với trước đây. - HUMAN-FAC1]]</f>
        <v>8</v>
      </c>
      <c r="AD118">
        <f t="shared" si="34"/>
        <v>0.77777777777777779</v>
      </c>
      <c r="AE118">
        <f>step3_validation[[#This Row],[AI_FAC2]]</f>
        <v>8</v>
      </c>
      <c r="AF118">
        <f t="shared" si="35"/>
        <v>0.77777777777777779</v>
      </c>
      <c r="AG118">
        <f>survey_responses[[#This Row],[So với trước đây, tôi thấy cách tính thuế và các bậc thuế trong phương án mới đơn giản, dễ hiểu và dễ thực hiện hơn. - HUMAN-FAC2]]</f>
        <v>6</v>
      </c>
      <c r="AH118">
        <f t="shared" si="36"/>
        <v>0.55555555555555558</v>
      </c>
      <c r="AI118" s="32">
        <f t="shared" si="37"/>
        <v>0.83333333333333326</v>
      </c>
      <c r="AJ118" s="32">
        <f t="shared" si="38"/>
        <v>0.66666666666666674</v>
      </c>
      <c r="AK118">
        <f>step3_validation[[#This Row],[AI_TRU1]]</f>
        <v>6</v>
      </c>
      <c r="AL118">
        <f t="shared" si="39"/>
        <v>0.55555555555555558</v>
      </c>
      <c r="AM118">
        <f>survey_responses[[#This Row],[Tôi tin rằng Nhà nước, cơ quan thuế sẽ thực thi chính sách mới một cách khách quan, công tâm và đối xử bình đẳng với mọi người nộp thuế.  - HUMAN-TRU1]]</f>
        <v>8</v>
      </c>
      <c r="AN118">
        <f t="shared" si="40"/>
        <v>0.77777777777777779</v>
      </c>
      <c r="AO118">
        <f>step3_validation[[#This Row],[AI_TRU2]]</f>
        <v>8</v>
      </c>
      <c r="AP118">
        <f t="shared" si="41"/>
        <v>0.77777777777777779</v>
      </c>
      <c r="AQ118">
        <f>survey_responses[[#This Row],[Tôi thấy mức thuế tôi phải đóng theo phương án mới là công bằng (người thu nhập như tôi đóng mức này là hợp lý). - HUMAN-TRU2]]</f>
        <v>8</v>
      </c>
      <c r="AR118">
        <f t="shared" si="42"/>
        <v>0.77777777777777779</v>
      </c>
      <c r="AS118">
        <f>step3_validation[[#This Row],[AI_TRU3]]</f>
        <v>7</v>
      </c>
      <c r="AT118">
        <f t="shared" si="43"/>
        <v>0.66666666666666663</v>
      </c>
      <c r="AU118">
        <f>survey_responses[[#This Row],[Tôi tin tưởng số tiền thuế tôi đóng sẽ được Nhà nước sử dụng hiệu quả để cải thiện dịch vụ công (y tế, đường xá...). - HUMAN-TRU3]]</f>
        <v>8</v>
      </c>
      <c r="AV118">
        <f t="shared" si="44"/>
        <v>0.77777777777777779</v>
      </c>
      <c r="AW118">
        <f>step3_validation[[#This Row],[AI_TRU4]]</f>
        <v>6</v>
      </c>
      <c r="AX118">
        <f t="shared" si="45"/>
        <v>0.55555555555555558</v>
      </c>
      <c r="AY118">
        <f>survey_responses[[#This Row],[Tôi thấy Nhà nước đã giải thích rõ ràng, minh bạch về lý do và mục tiêu của việc sửa đổi thuế lần này. - HUMAN-TRU4]]</f>
        <v>8</v>
      </c>
      <c r="AZ118">
        <f t="shared" si="46"/>
        <v>0.77777777777777779</v>
      </c>
      <c r="BA118" s="32">
        <f t="shared" si="47"/>
        <v>0.63888888888888884</v>
      </c>
      <c r="BB118" s="32">
        <f t="shared" si="48"/>
        <v>0.77777777777777779</v>
      </c>
      <c r="BC118" s="7">
        <f t="shared" si="49"/>
        <v>0.69444444444444431</v>
      </c>
      <c r="BD118" s="7">
        <f t="shared" si="50"/>
        <v>0.75925925925925919</v>
      </c>
      <c r="BE118">
        <f>step3_validation[[#This Row],[AI_OUT1]]</f>
        <v>7</v>
      </c>
      <c r="BF118">
        <f t="shared" si="51"/>
        <v>0.66666666666666663</v>
      </c>
      <c r="BG118">
        <f>survey_responses[[#This Row],[Sau khi xem xét các quyền lợi và nghĩa vụ, bạn có ủng hộ và tuân thủ chính sách mới hiện nay? - HUMAN-OUT1]]</f>
        <v>6</v>
      </c>
      <c r="BH118">
        <f t="shared" si="52"/>
        <v>0.55555555555555558</v>
      </c>
      <c r="BI118" s="32">
        <f t="shared" si="53"/>
        <v>1</v>
      </c>
    </row>
    <row r="119" spans="1:61" x14ac:dyDescent="0.45">
      <c r="A119" s="30">
        <f>step3_validation[[#This Row],[Persona_ID]]</f>
        <v>118</v>
      </c>
      <c r="B119" s="31">
        <f>step3_validation[[#This Row],[Used_Seed]]</f>
        <v>12462</v>
      </c>
      <c r="C119" t="str">
        <f>step3_validation[[#This Row],[Gender]]</f>
        <v>Nam</v>
      </c>
      <c r="D119" t="str">
        <f>survey_responses[[#This Row],[Giới tính của bạn:]]</f>
        <v>Nam</v>
      </c>
      <c r="E119" t="str">
        <f>step3_validation[[#This Row],[Age_Group]]</f>
        <v>30 - 39</v>
      </c>
      <c r="F119" t="str">
        <f>survey_responses[[#This Row],[Độ tuổi của bạn:]]</f>
        <v>30 - 39</v>
      </c>
      <c r="G119" t="str">
        <f>step3_validation[[#This Row],[Region]]</f>
        <v>Thành thị</v>
      </c>
      <c r="H119" t="str">
        <f>survey_responses[[#This Row],[Khu vực bạn đang sinh sống:]]</f>
        <v>Thành thị</v>
      </c>
      <c r="I119" t="str">
        <f>step3_validation[[#This Row],[Education]]</f>
        <v>Sau Đại học</v>
      </c>
      <c r="J119" t="str">
        <f>survey_responses[[#This Row],[Trình độ học vấn cao nhất:]]</f>
        <v>Sau Đại học</v>
      </c>
      <c r="K119" t="str">
        <f>step3_validation[[#This Row],[Employment]]</f>
        <v>Chính thức</v>
      </c>
      <c r="L119" t="str">
        <f>survey_responses[[#This Row],[Tình trạng việc làm chính:]]</f>
        <v>Khu vực chính thức (Có Hợp đồng lao động, đóng BHXH)</v>
      </c>
      <c r="M119">
        <f>step3_validation[[#This Row],[Income_Mil]]</f>
        <v>32.303049665570924</v>
      </c>
      <c r="N119" t="str">
        <f>survey_responses[[#This Row],[Thu nhập bình quân tháng theo Hợp đồng lao động của bạn là bao nhiêu? (Vui lòng điền tổng thu nhập trước khi khấu trừ các loại Bảo hiểm (BHXH, BHYT, BHTN) và Thuế TNCN)]]</f>
        <v>Từ 32 - 48 triệu VNĐ</v>
      </c>
      <c r="O119">
        <f>step3_validation[[#This Row],[Dependents]]</f>
        <v>1</v>
      </c>
      <c r="P119" t="str">
        <f>survey_responses[[#This Row],[Số người phụ thuộc (con nhỏ, cha mẹ già...) đủ điều kiện giảm trừ gia cảnh:]]</f>
        <v>1 người</v>
      </c>
      <c r="Q119">
        <f>step3_validation[[#This Row],[AI_ENF1]]</f>
        <v>7</v>
      </c>
      <c r="R119">
        <f t="shared" si="27"/>
        <v>0.66666666666666663</v>
      </c>
      <c r="S119">
        <f>survey_responses[[#This Row],[Tôi tin rằng với các quy định quản lý thuế hiện nay, hành vi gian lận hoặc trốn thuế sẽ dễ dàng bị phát hiện và xử lý nghiêm. - HUMAN-ENF1]]</f>
        <v>4</v>
      </c>
      <c r="T119">
        <f t="shared" si="28"/>
        <v>0.33333333333333331</v>
      </c>
      <c r="U119">
        <f>step3_validation[[#This Row],[AI_ENF2]]</f>
        <v>8</v>
      </c>
      <c r="V119">
        <f t="shared" si="29"/>
        <v>0.77777777777777779</v>
      </c>
      <c r="W119">
        <f>survey_responses[[#This Row],[Tôi tin rằng Nhà nước, cơ quan thuế có đủ khả năng và công nghệ để phát hiện, xử lý nghiêm các hành vi trốn thuế. - HUMAN-ENF2]]</f>
        <v>1</v>
      </c>
      <c r="X119">
        <f t="shared" si="30"/>
        <v>0</v>
      </c>
      <c r="Y119" s="32">
        <f t="shared" si="31"/>
        <v>0.72222222222222221</v>
      </c>
      <c r="Z119" s="32">
        <f t="shared" si="32"/>
        <v>0.16666666666666666</v>
      </c>
      <c r="AA119">
        <f>step3_validation[[#This Row],[AI_FAC1]]</f>
        <v>9</v>
      </c>
      <c r="AB119">
        <f t="shared" si="33"/>
        <v>0.88888888888888884</v>
      </c>
      <c r="AC119">
        <f>survey_responses[[#This Row],[Các thủ tục khai báo thuế VÀ/HOẶC quy trình làm việc với cơ quan thuế đơn giản, tiện lợi, nhanh chóng hơn so với trước đây. - HUMAN-FAC1]]</f>
        <v>1</v>
      </c>
      <c r="AD119">
        <f t="shared" si="34"/>
        <v>0</v>
      </c>
      <c r="AE119">
        <f>step3_validation[[#This Row],[AI_FAC2]]</f>
        <v>9</v>
      </c>
      <c r="AF119">
        <f t="shared" si="35"/>
        <v>0.88888888888888884</v>
      </c>
      <c r="AG119">
        <f>survey_responses[[#This Row],[So với trước đây, tôi thấy cách tính thuế và các bậc thuế trong phương án mới đơn giản, dễ hiểu và dễ thực hiện hơn. - HUMAN-FAC2]]</f>
        <v>5</v>
      </c>
      <c r="AH119">
        <f t="shared" si="36"/>
        <v>0.44444444444444442</v>
      </c>
      <c r="AI119" s="32">
        <f t="shared" si="37"/>
        <v>0.88888888888888884</v>
      </c>
      <c r="AJ119" s="32">
        <f t="shared" si="38"/>
        <v>0.22222222222222221</v>
      </c>
      <c r="AK119">
        <f>step3_validation[[#This Row],[AI_TRU1]]</f>
        <v>8</v>
      </c>
      <c r="AL119">
        <f t="shared" si="39"/>
        <v>0.77777777777777779</v>
      </c>
      <c r="AM119">
        <f>survey_responses[[#This Row],[Tôi tin rằng Nhà nước, cơ quan thuế sẽ thực thi chính sách mới một cách khách quan, công tâm và đối xử bình đẳng với mọi người nộp thuế.  - HUMAN-TRU1]]</f>
        <v>1</v>
      </c>
      <c r="AN119">
        <f t="shared" si="40"/>
        <v>0</v>
      </c>
      <c r="AO119">
        <f>step3_validation[[#This Row],[AI_TRU2]]</f>
        <v>9</v>
      </c>
      <c r="AP119">
        <f t="shared" si="41"/>
        <v>0.88888888888888884</v>
      </c>
      <c r="AQ119">
        <f>survey_responses[[#This Row],[Tôi thấy mức thuế tôi phải đóng theo phương án mới là công bằng (người thu nhập như tôi đóng mức này là hợp lý). - HUMAN-TRU2]]</f>
        <v>3</v>
      </c>
      <c r="AR119">
        <f t="shared" si="42"/>
        <v>0.22222222222222221</v>
      </c>
      <c r="AS119">
        <f>step3_validation[[#This Row],[AI_TRU3]]</f>
        <v>8</v>
      </c>
      <c r="AT119">
        <f t="shared" si="43"/>
        <v>0.77777777777777779</v>
      </c>
      <c r="AU119">
        <f>survey_responses[[#This Row],[Tôi tin tưởng số tiền thuế tôi đóng sẽ được Nhà nước sử dụng hiệu quả để cải thiện dịch vụ công (y tế, đường xá...). - HUMAN-TRU3]]</f>
        <v>1</v>
      </c>
      <c r="AV119">
        <f t="shared" si="44"/>
        <v>0</v>
      </c>
      <c r="AW119">
        <f>step3_validation[[#This Row],[AI_TRU4]]</f>
        <v>7</v>
      </c>
      <c r="AX119">
        <f t="shared" si="45"/>
        <v>0.66666666666666663</v>
      </c>
      <c r="AY119">
        <f>survey_responses[[#This Row],[Tôi thấy Nhà nước đã giải thích rõ ràng, minh bạch về lý do và mục tiêu của việc sửa đổi thuế lần này. - HUMAN-TRU4]]</f>
        <v>1</v>
      </c>
      <c r="AZ119">
        <f t="shared" si="46"/>
        <v>0</v>
      </c>
      <c r="BA119" s="32">
        <f t="shared" si="47"/>
        <v>0.77777777777777768</v>
      </c>
      <c r="BB119" s="32">
        <f t="shared" si="48"/>
        <v>5.5555555555555552E-2</v>
      </c>
      <c r="BC119" s="7">
        <f t="shared" si="49"/>
        <v>0.79629629629629628</v>
      </c>
      <c r="BD119" s="7">
        <f t="shared" si="50"/>
        <v>0.14814814814814814</v>
      </c>
      <c r="BE119">
        <f>step3_validation[[#This Row],[AI_OUT1]]</f>
        <v>9</v>
      </c>
      <c r="BF119">
        <f t="shared" si="51"/>
        <v>0.88888888888888884</v>
      </c>
      <c r="BG119">
        <f>survey_responses[[#This Row],[Sau khi xem xét các quyền lợi và nghĩa vụ, bạn có ủng hộ và tuân thủ chính sách mới hiện nay? - HUMAN-OUT1]]</f>
        <v>5</v>
      </c>
      <c r="BH119">
        <f t="shared" si="52"/>
        <v>0.44444444444444442</v>
      </c>
      <c r="BI119" s="32">
        <f t="shared" si="53"/>
        <v>4</v>
      </c>
    </row>
    <row r="120" spans="1:61" x14ac:dyDescent="0.45">
      <c r="A120" s="30">
        <f>step3_validation[[#This Row],[Persona_ID]]</f>
        <v>119</v>
      </c>
      <c r="B120" s="31">
        <f>step3_validation[[#This Row],[Used_Seed]]</f>
        <v>12463</v>
      </c>
      <c r="C120" t="str">
        <f>step3_validation[[#This Row],[Gender]]</f>
        <v>Nữ</v>
      </c>
      <c r="D120" t="str">
        <f>survey_responses[[#This Row],[Giới tính của bạn:]]</f>
        <v>Nữ</v>
      </c>
      <c r="E120" t="str">
        <f>step3_validation[[#This Row],[Age_Group]]</f>
        <v>55 - 64</v>
      </c>
      <c r="F120" t="str">
        <f>survey_responses[[#This Row],[Độ tuổi của bạn:]]</f>
        <v>55 - 64</v>
      </c>
      <c r="G120" t="str">
        <f>step3_validation[[#This Row],[Region]]</f>
        <v>Thành thị</v>
      </c>
      <c r="H120" t="str">
        <f>survey_responses[[#This Row],[Khu vực bạn đang sinh sống:]]</f>
        <v>Thành thị</v>
      </c>
      <c r="I120" t="str">
        <f>step3_validation[[#This Row],[Education]]</f>
        <v>Đại học</v>
      </c>
      <c r="J120" t="str">
        <f>survey_responses[[#This Row],[Trình độ học vấn cao nhất:]]</f>
        <v>Đại học</v>
      </c>
      <c r="K120" t="str">
        <f>step3_validation[[#This Row],[Employment]]</f>
        <v>Chính thức</v>
      </c>
      <c r="L120" t="str">
        <f>survey_responses[[#This Row],[Tình trạng việc làm chính:]]</f>
        <v>Khu vực chính thức (Có Hợp đồng lao động, đóng BHXH)</v>
      </c>
      <c r="M120">
        <f>step3_validation[[#This Row],[Income_Mil]]</f>
        <v>54.417220266336805</v>
      </c>
      <c r="N120" t="str">
        <f>survey_responses[[#This Row],[Thu nhập bình quân tháng theo Hợp đồng lao động của bạn là bao nhiêu? (Vui lòng điền tổng thu nhập trước khi khấu trừ các loại Bảo hiểm (BHXH, BHYT, BHTN) và Thuế TNCN)]]</f>
        <v>Từ 48 - 70 triệu VNĐ</v>
      </c>
      <c r="O120">
        <f>step3_validation[[#This Row],[Dependents]]</f>
        <v>4</v>
      </c>
      <c r="P120" t="str">
        <f>survey_responses[[#This Row],[Số người phụ thuộc (con nhỏ, cha mẹ già...) đủ điều kiện giảm trừ gia cảnh:]]</f>
        <v>4 người trở lên</v>
      </c>
      <c r="Q120">
        <f>step3_validation[[#This Row],[AI_ENF1]]</f>
        <v>7</v>
      </c>
      <c r="R120">
        <f t="shared" si="27"/>
        <v>0.66666666666666663</v>
      </c>
      <c r="S120">
        <f>survey_responses[[#This Row],[Tôi tin rằng với các quy định quản lý thuế hiện nay, hành vi gian lận hoặc trốn thuế sẽ dễ dàng bị phát hiện và xử lý nghiêm. - HUMAN-ENF1]]</f>
        <v>8</v>
      </c>
      <c r="T120">
        <f t="shared" si="28"/>
        <v>0.77777777777777779</v>
      </c>
      <c r="U120">
        <f>step3_validation[[#This Row],[AI_ENF2]]</f>
        <v>8</v>
      </c>
      <c r="V120">
        <f t="shared" si="29"/>
        <v>0.77777777777777779</v>
      </c>
      <c r="W120">
        <f>survey_responses[[#This Row],[Tôi tin rằng Nhà nước, cơ quan thuế có đủ khả năng và công nghệ để phát hiện, xử lý nghiêm các hành vi trốn thuế. - HUMAN-ENF2]]</f>
        <v>8</v>
      </c>
      <c r="X120">
        <f t="shared" si="30"/>
        <v>0.77777777777777779</v>
      </c>
      <c r="Y120" s="32">
        <f t="shared" si="31"/>
        <v>0.72222222222222221</v>
      </c>
      <c r="Z120" s="32">
        <f t="shared" si="32"/>
        <v>0.77777777777777779</v>
      </c>
      <c r="AA120">
        <f>step3_validation[[#This Row],[AI_FAC1]]</f>
        <v>6</v>
      </c>
      <c r="AB120">
        <f t="shared" si="33"/>
        <v>0.55555555555555558</v>
      </c>
      <c r="AC120">
        <f>survey_responses[[#This Row],[Các thủ tục khai báo thuế VÀ/HOẶC quy trình làm việc với cơ quan thuế đơn giản, tiện lợi, nhanh chóng hơn so với trước đây. - HUMAN-FAC1]]</f>
        <v>6</v>
      </c>
      <c r="AD120">
        <f t="shared" si="34"/>
        <v>0.55555555555555558</v>
      </c>
      <c r="AE120">
        <f>step3_validation[[#This Row],[AI_FAC2]]</f>
        <v>9</v>
      </c>
      <c r="AF120">
        <f t="shared" si="35"/>
        <v>0.88888888888888884</v>
      </c>
      <c r="AG120">
        <f>survey_responses[[#This Row],[So với trước đây, tôi thấy cách tính thuế và các bậc thuế trong phương án mới đơn giản, dễ hiểu và dễ thực hiện hơn. - HUMAN-FAC2]]</f>
        <v>9</v>
      </c>
      <c r="AH120">
        <f t="shared" si="36"/>
        <v>0.88888888888888884</v>
      </c>
      <c r="AI120" s="32">
        <f t="shared" si="37"/>
        <v>0.72222222222222221</v>
      </c>
      <c r="AJ120" s="32">
        <f t="shared" si="38"/>
        <v>0.72222222222222221</v>
      </c>
      <c r="AK120">
        <f>step3_validation[[#This Row],[AI_TRU1]]</f>
        <v>7</v>
      </c>
      <c r="AL120">
        <f t="shared" si="39"/>
        <v>0.66666666666666663</v>
      </c>
      <c r="AM120">
        <f>survey_responses[[#This Row],[Tôi tin rằng Nhà nước, cơ quan thuế sẽ thực thi chính sách mới một cách khách quan, công tâm và đối xử bình đẳng với mọi người nộp thuế.  - HUMAN-TRU1]]</f>
        <v>8</v>
      </c>
      <c r="AN120">
        <f t="shared" si="40"/>
        <v>0.77777777777777779</v>
      </c>
      <c r="AO120">
        <f>step3_validation[[#This Row],[AI_TRU2]]</f>
        <v>9</v>
      </c>
      <c r="AP120">
        <f t="shared" si="41"/>
        <v>0.88888888888888884</v>
      </c>
      <c r="AQ120">
        <f>survey_responses[[#This Row],[Tôi thấy mức thuế tôi phải đóng theo phương án mới là công bằng (người thu nhập như tôi đóng mức này là hợp lý). - HUMAN-TRU2]]</f>
        <v>7</v>
      </c>
      <c r="AR120">
        <f t="shared" si="42"/>
        <v>0.66666666666666663</v>
      </c>
      <c r="AS120">
        <f>step3_validation[[#This Row],[AI_TRU3]]</f>
        <v>7</v>
      </c>
      <c r="AT120">
        <f t="shared" si="43"/>
        <v>0.66666666666666663</v>
      </c>
      <c r="AU120">
        <f>survey_responses[[#This Row],[Tôi tin tưởng số tiền thuế tôi đóng sẽ được Nhà nước sử dụng hiệu quả để cải thiện dịch vụ công (y tế, đường xá...). - HUMAN-TRU3]]</f>
        <v>7</v>
      </c>
      <c r="AV120">
        <f t="shared" si="44"/>
        <v>0.66666666666666663</v>
      </c>
      <c r="AW120">
        <f>step3_validation[[#This Row],[AI_TRU4]]</f>
        <v>6</v>
      </c>
      <c r="AX120">
        <f t="shared" si="45"/>
        <v>0.55555555555555558</v>
      </c>
      <c r="AY120">
        <f>survey_responses[[#This Row],[Tôi thấy Nhà nước đã giải thích rõ ràng, minh bạch về lý do và mục tiêu của việc sửa đổi thuế lần này. - HUMAN-TRU4]]</f>
        <v>7</v>
      </c>
      <c r="AZ120">
        <f t="shared" si="46"/>
        <v>0.66666666666666663</v>
      </c>
      <c r="BA120" s="32">
        <f t="shared" si="47"/>
        <v>0.69444444444444442</v>
      </c>
      <c r="BB120" s="32">
        <f t="shared" si="48"/>
        <v>0.69444444444444442</v>
      </c>
      <c r="BC120" s="7">
        <f t="shared" si="49"/>
        <v>0.71296296296296291</v>
      </c>
      <c r="BD120" s="7">
        <f t="shared" si="50"/>
        <v>0.73148148148148151</v>
      </c>
      <c r="BE120">
        <f>step3_validation[[#This Row],[AI_OUT1]]</f>
        <v>7</v>
      </c>
      <c r="BF120">
        <f t="shared" si="51"/>
        <v>0.66666666666666663</v>
      </c>
      <c r="BG120">
        <f>survey_responses[[#This Row],[Sau khi xem xét các quyền lợi và nghĩa vụ, bạn có ủng hộ và tuân thủ chính sách mới hiện nay? - HUMAN-OUT1]]</f>
        <v>7</v>
      </c>
      <c r="BH120">
        <f t="shared" si="52"/>
        <v>0.66666666666666663</v>
      </c>
      <c r="BI120" s="32">
        <f t="shared" si="53"/>
        <v>0</v>
      </c>
    </row>
    <row r="121" spans="1:61" x14ac:dyDescent="0.45">
      <c r="A121" s="30">
        <f>step3_validation[[#This Row],[Persona_ID]]</f>
        <v>120</v>
      </c>
      <c r="B121" s="31">
        <f>step3_validation[[#This Row],[Used_Seed]]</f>
        <v>12464</v>
      </c>
      <c r="C121" t="str">
        <f>step3_validation[[#This Row],[Gender]]</f>
        <v>Nữ</v>
      </c>
      <c r="D121" t="str">
        <f>survey_responses[[#This Row],[Giới tính của bạn:]]</f>
        <v>Nữ</v>
      </c>
      <c r="E121" t="str">
        <f>step3_validation[[#This Row],[Age_Group]]</f>
        <v>40 - 49</v>
      </c>
      <c r="F121" t="str">
        <f>survey_responses[[#This Row],[Độ tuổi của bạn:]]</f>
        <v>40 - 49</v>
      </c>
      <c r="G121" t="str">
        <f>step3_validation[[#This Row],[Region]]</f>
        <v>Nông thôn</v>
      </c>
      <c r="H121" t="str">
        <f>survey_responses[[#This Row],[Khu vực bạn đang sinh sống:]]</f>
        <v>Nông thôn</v>
      </c>
      <c r="I121" t="str">
        <f>step3_validation[[#This Row],[Education]]</f>
        <v>Đại học</v>
      </c>
      <c r="J121" t="str">
        <f>survey_responses[[#This Row],[Trình độ học vấn cao nhất:]]</f>
        <v>Đại học</v>
      </c>
      <c r="K121" t="str">
        <f>step3_validation[[#This Row],[Employment]]</f>
        <v>Chính thức</v>
      </c>
      <c r="L121" t="str">
        <f>survey_responses[[#This Row],[Tình trạng việc làm chính:]]</f>
        <v>Khu vực chính thức (Có Hợp đồng lao động, đóng BHXH)</v>
      </c>
      <c r="M121">
        <f>step3_validation[[#This Row],[Income_Mil]]</f>
        <v>24.420304051526717</v>
      </c>
      <c r="N121" t="str">
        <f>survey_responses[[#This Row],[Thu nhập bình quân tháng theo Hợp đồng lao động của bạn là bao nhiêu? (Vui lòng điền tổng thu nhập trước khi khấu trừ các loại Bảo hiểm (BHXH, BHYT, BHTN) và Thuế TNCN)]]</f>
        <v>Từ 23 - 32 triệu VNĐ</v>
      </c>
      <c r="O121">
        <f>step3_validation[[#This Row],[Dependents]]</f>
        <v>3</v>
      </c>
      <c r="P121" t="str">
        <f>survey_responses[[#This Row],[Số người phụ thuộc (con nhỏ, cha mẹ già...) đủ điều kiện giảm trừ gia cảnh:]]</f>
        <v>3 người</v>
      </c>
      <c r="Q121">
        <f>step3_validation[[#This Row],[AI_ENF1]]</f>
        <v>6</v>
      </c>
      <c r="R121">
        <f t="shared" si="27"/>
        <v>0.55555555555555558</v>
      </c>
      <c r="S121">
        <f>survey_responses[[#This Row],[Tôi tin rằng với các quy định quản lý thuế hiện nay, hành vi gian lận hoặc trốn thuế sẽ dễ dàng bị phát hiện và xử lý nghiêm. - HUMAN-ENF1]]</f>
        <v>6</v>
      </c>
      <c r="T121">
        <f t="shared" si="28"/>
        <v>0.55555555555555558</v>
      </c>
      <c r="U121">
        <f>step3_validation[[#This Row],[AI_ENF2]]</f>
        <v>6</v>
      </c>
      <c r="V121">
        <f t="shared" si="29"/>
        <v>0.55555555555555558</v>
      </c>
      <c r="W121">
        <f>survey_responses[[#This Row],[Tôi tin rằng Nhà nước, cơ quan thuế có đủ khả năng và công nghệ để phát hiện, xử lý nghiêm các hành vi trốn thuế. - HUMAN-ENF2]]</f>
        <v>6</v>
      </c>
      <c r="X121">
        <f t="shared" si="30"/>
        <v>0.55555555555555558</v>
      </c>
      <c r="Y121" s="32">
        <f t="shared" si="31"/>
        <v>0.55555555555555558</v>
      </c>
      <c r="Z121" s="32">
        <f t="shared" si="32"/>
        <v>0.55555555555555558</v>
      </c>
      <c r="AA121">
        <f>step3_validation[[#This Row],[AI_FAC1]]</f>
        <v>7</v>
      </c>
      <c r="AB121">
        <f t="shared" si="33"/>
        <v>0.66666666666666663</v>
      </c>
      <c r="AC121">
        <f>survey_responses[[#This Row],[Các thủ tục khai báo thuế VÀ/HOẶC quy trình làm việc với cơ quan thuế đơn giản, tiện lợi, nhanh chóng hơn so với trước đây. - HUMAN-FAC1]]</f>
        <v>6</v>
      </c>
      <c r="AD121">
        <f t="shared" si="34"/>
        <v>0.55555555555555558</v>
      </c>
      <c r="AE121">
        <f>step3_validation[[#This Row],[AI_FAC2]]</f>
        <v>8</v>
      </c>
      <c r="AF121">
        <f t="shared" si="35"/>
        <v>0.77777777777777779</v>
      </c>
      <c r="AG121">
        <f>survey_responses[[#This Row],[So với trước đây, tôi thấy cách tính thuế và các bậc thuế trong phương án mới đơn giản, dễ hiểu và dễ thực hiện hơn. - HUMAN-FAC2]]</f>
        <v>6</v>
      </c>
      <c r="AH121">
        <f t="shared" si="36"/>
        <v>0.55555555555555558</v>
      </c>
      <c r="AI121" s="32">
        <f t="shared" si="37"/>
        <v>0.72222222222222221</v>
      </c>
      <c r="AJ121" s="32">
        <f t="shared" si="38"/>
        <v>0.55555555555555558</v>
      </c>
      <c r="AK121">
        <f>step3_validation[[#This Row],[AI_TRU1]]</f>
        <v>9</v>
      </c>
      <c r="AL121">
        <f t="shared" si="39"/>
        <v>0.88888888888888884</v>
      </c>
      <c r="AM121">
        <f>survey_responses[[#This Row],[Tôi tin rằng Nhà nước, cơ quan thuế sẽ thực thi chính sách mới một cách khách quan, công tâm và đối xử bình đẳng với mọi người nộp thuế.  - HUMAN-TRU1]]</f>
        <v>6</v>
      </c>
      <c r="AN121">
        <f t="shared" si="40"/>
        <v>0.55555555555555558</v>
      </c>
      <c r="AO121">
        <f>step3_validation[[#This Row],[AI_TRU2]]</f>
        <v>8</v>
      </c>
      <c r="AP121">
        <f t="shared" si="41"/>
        <v>0.77777777777777779</v>
      </c>
      <c r="AQ121">
        <f>survey_responses[[#This Row],[Tôi thấy mức thuế tôi phải đóng theo phương án mới là công bằng (người thu nhập như tôi đóng mức này là hợp lý). - HUMAN-TRU2]]</f>
        <v>6</v>
      </c>
      <c r="AR121">
        <f t="shared" si="42"/>
        <v>0.55555555555555558</v>
      </c>
      <c r="AS121">
        <f>step3_validation[[#This Row],[AI_TRU3]]</f>
        <v>7</v>
      </c>
      <c r="AT121">
        <f t="shared" si="43"/>
        <v>0.66666666666666663</v>
      </c>
      <c r="AU121">
        <f>survey_responses[[#This Row],[Tôi tin tưởng số tiền thuế tôi đóng sẽ được Nhà nước sử dụng hiệu quả để cải thiện dịch vụ công (y tế, đường xá...). - HUMAN-TRU3]]</f>
        <v>6</v>
      </c>
      <c r="AV121">
        <f t="shared" si="44"/>
        <v>0.55555555555555558</v>
      </c>
      <c r="AW121">
        <f>step3_validation[[#This Row],[AI_TRU4]]</f>
        <v>6</v>
      </c>
      <c r="AX121">
        <f t="shared" si="45"/>
        <v>0.55555555555555558</v>
      </c>
      <c r="AY121">
        <f>survey_responses[[#This Row],[Tôi thấy Nhà nước đã giải thích rõ ràng, minh bạch về lý do và mục tiêu của việc sửa đổi thuế lần này. - HUMAN-TRU4]]</f>
        <v>6</v>
      </c>
      <c r="AZ121">
        <f t="shared" si="46"/>
        <v>0.55555555555555558</v>
      </c>
      <c r="BA121" s="32">
        <f t="shared" si="47"/>
        <v>0.7222222222222221</v>
      </c>
      <c r="BB121" s="32">
        <f t="shared" si="48"/>
        <v>0.55555555555555558</v>
      </c>
      <c r="BC121" s="7">
        <f t="shared" si="49"/>
        <v>0.66666666666666663</v>
      </c>
      <c r="BD121" s="7">
        <f t="shared" si="50"/>
        <v>0.55555555555555558</v>
      </c>
      <c r="BE121">
        <f>step3_validation[[#This Row],[AI_OUT1]]</f>
        <v>9</v>
      </c>
      <c r="BF121">
        <f t="shared" si="51"/>
        <v>0.88888888888888884</v>
      </c>
      <c r="BG121">
        <f>survey_responses[[#This Row],[Sau khi xem xét các quyền lợi và nghĩa vụ, bạn có ủng hộ và tuân thủ chính sách mới hiện nay? - HUMAN-OUT1]]</f>
        <v>6</v>
      </c>
      <c r="BH121">
        <f t="shared" si="52"/>
        <v>0.55555555555555558</v>
      </c>
      <c r="BI121" s="32">
        <f t="shared" si="53"/>
        <v>3</v>
      </c>
    </row>
    <row r="122" spans="1:61" x14ac:dyDescent="0.45">
      <c r="A122" s="30">
        <f>step3_validation[[#This Row],[Persona_ID]]</f>
        <v>121</v>
      </c>
      <c r="B122" s="31">
        <f>step3_validation[[#This Row],[Used_Seed]]</f>
        <v>12465</v>
      </c>
      <c r="C122" t="str">
        <f>step3_validation[[#This Row],[Gender]]</f>
        <v>Nam</v>
      </c>
      <c r="D122" t="str">
        <f>survey_responses[[#This Row],[Giới tính của bạn:]]</f>
        <v>Nam</v>
      </c>
      <c r="E122" t="str">
        <f>step3_validation[[#This Row],[Age_Group]]</f>
        <v>50 - 54</v>
      </c>
      <c r="F122" t="str">
        <f>survey_responses[[#This Row],[Độ tuổi của bạn:]]</f>
        <v>50 - 54</v>
      </c>
      <c r="G122" t="str">
        <f>step3_validation[[#This Row],[Region]]</f>
        <v>Thành thị</v>
      </c>
      <c r="H122" t="str">
        <f>survey_responses[[#This Row],[Khu vực bạn đang sinh sống:]]</f>
        <v>Thành thị</v>
      </c>
      <c r="I122" t="str">
        <f>step3_validation[[#This Row],[Education]]</f>
        <v>Sau Đại học</v>
      </c>
      <c r="J122" t="str">
        <f>survey_responses[[#This Row],[Trình độ học vấn cao nhất:]]</f>
        <v>Sau Đại học</v>
      </c>
      <c r="K122" t="str">
        <f>step3_validation[[#This Row],[Employment]]</f>
        <v>Phi chính thức</v>
      </c>
      <c r="L122" t="str">
        <f>survey_responses[[#This Row],[Tình trạng việc làm chính:]]</f>
        <v>Khu vực phi chính thức (Lao động tự do, không có HĐLĐ)</v>
      </c>
      <c r="M122">
        <f>step3_validation[[#This Row],[Income_Mil]]</f>
        <v>190.93869660954104</v>
      </c>
      <c r="N122" t="str">
        <f>survey_responses[[#This Row],[Thu nhập bình quân tháng theo Hợp đồng lao động của bạn là bao nhiêu? (Vui lòng điền tổng thu nhập trước khi khấu trừ các loại Bảo hiểm (BHXH, BHYT, BHTN) và Thuế TNCN)]]</f>
        <v>Trên 102 triệu VNĐ</v>
      </c>
      <c r="O122">
        <f>step3_validation[[#This Row],[Dependents]]</f>
        <v>4</v>
      </c>
      <c r="P122" t="str">
        <f>survey_responses[[#This Row],[Số người phụ thuộc (con nhỏ, cha mẹ già...) đủ điều kiện giảm trừ gia cảnh:]]</f>
        <v>4 người trở lên</v>
      </c>
      <c r="Q122">
        <f>step3_validation[[#This Row],[AI_ENF1]]</f>
        <v>7</v>
      </c>
      <c r="R122">
        <f t="shared" si="27"/>
        <v>0.66666666666666663</v>
      </c>
      <c r="S122">
        <f>survey_responses[[#This Row],[Tôi tin rằng với các quy định quản lý thuế hiện nay, hành vi gian lận hoặc trốn thuế sẽ dễ dàng bị phát hiện và xử lý nghiêm. - HUMAN-ENF1]]</f>
        <v>1</v>
      </c>
      <c r="T122">
        <f t="shared" si="28"/>
        <v>0</v>
      </c>
      <c r="U122">
        <f>step3_validation[[#This Row],[AI_ENF2]]</f>
        <v>6</v>
      </c>
      <c r="V122">
        <f t="shared" si="29"/>
        <v>0.55555555555555558</v>
      </c>
      <c r="W122">
        <f>survey_responses[[#This Row],[Tôi tin rằng Nhà nước, cơ quan thuế có đủ khả năng và công nghệ để phát hiện, xử lý nghiêm các hành vi trốn thuế. - HUMAN-ENF2]]</f>
        <v>1</v>
      </c>
      <c r="X122">
        <f t="shared" si="30"/>
        <v>0</v>
      </c>
      <c r="Y122" s="32">
        <f t="shared" si="31"/>
        <v>0.61111111111111116</v>
      </c>
      <c r="Z122" s="32">
        <f t="shared" si="32"/>
        <v>0</v>
      </c>
      <c r="AA122">
        <f>step3_validation[[#This Row],[AI_FAC1]]</f>
        <v>5</v>
      </c>
      <c r="AB122">
        <f t="shared" si="33"/>
        <v>0.44444444444444442</v>
      </c>
      <c r="AC122">
        <f>survey_responses[[#This Row],[Các thủ tục khai báo thuế VÀ/HOẶC quy trình làm việc với cơ quan thuế đơn giản, tiện lợi, nhanh chóng hơn so với trước đây. - HUMAN-FAC1]]</f>
        <v>1</v>
      </c>
      <c r="AD122">
        <f t="shared" si="34"/>
        <v>0</v>
      </c>
      <c r="AE122">
        <f>step3_validation[[#This Row],[AI_FAC2]]</f>
        <v>8</v>
      </c>
      <c r="AF122">
        <f t="shared" si="35"/>
        <v>0.77777777777777779</v>
      </c>
      <c r="AG122">
        <f>survey_responses[[#This Row],[So với trước đây, tôi thấy cách tính thuế và các bậc thuế trong phương án mới đơn giản, dễ hiểu và dễ thực hiện hơn. - HUMAN-FAC2]]</f>
        <v>5</v>
      </c>
      <c r="AH122">
        <f t="shared" si="36"/>
        <v>0.44444444444444442</v>
      </c>
      <c r="AI122" s="32">
        <f t="shared" si="37"/>
        <v>0.61111111111111116</v>
      </c>
      <c r="AJ122" s="32">
        <f t="shared" si="38"/>
        <v>0.22222222222222221</v>
      </c>
      <c r="AK122">
        <f>step3_validation[[#This Row],[AI_TRU1]]</f>
        <v>7</v>
      </c>
      <c r="AL122">
        <f t="shared" si="39"/>
        <v>0.66666666666666663</v>
      </c>
      <c r="AM122">
        <f>survey_responses[[#This Row],[Tôi tin rằng Nhà nước, cơ quan thuế sẽ thực thi chính sách mới một cách khách quan, công tâm và đối xử bình đẳng với mọi người nộp thuế.  - HUMAN-TRU1]]</f>
        <v>1</v>
      </c>
      <c r="AN122">
        <f t="shared" si="40"/>
        <v>0</v>
      </c>
      <c r="AO122">
        <f>step3_validation[[#This Row],[AI_TRU2]]</f>
        <v>9</v>
      </c>
      <c r="AP122">
        <f t="shared" si="41"/>
        <v>0.88888888888888884</v>
      </c>
      <c r="AQ122">
        <f>survey_responses[[#This Row],[Tôi thấy mức thuế tôi phải đóng theo phương án mới là công bằng (người thu nhập như tôi đóng mức này là hợp lý). - HUMAN-TRU2]]</f>
        <v>1</v>
      </c>
      <c r="AR122">
        <f t="shared" si="42"/>
        <v>0</v>
      </c>
      <c r="AS122">
        <f>step3_validation[[#This Row],[AI_TRU3]]</f>
        <v>7</v>
      </c>
      <c r="AT122">
        <f t="shared" si="43"/>
        <v>0.66666666666666663</v>
      </c>
      <c r="AU122">
        <f>survey_responses[[#This Row],[Tôi tin tưởng số tiền thuế tôi đóng sẽ được Nhà nước sử dụng hiệu quả để cải thiện dịch vụ công (y tế, đường xá...). - HUMAN-TRU3]]</f>
        <v>1</v>
      </c>
      <c r="AV122">
        <f t="shared" si="44"/>
        <v>0</v>
      </c>
      <c r="AW122">
        <f>step3_validation[[#This Row],[AI_TRU4]]</f>
        <v>6</v>
      </c>
      <c r="AX122">
        <f t="shared" si="45"/>
        <v>0.55555555555555558</v>
      </c>
      <c r="AY122">
        <f>survey_responses[[#This Row],[Tôi thấy Nhà nước đã giải thích rõ ràng, minh bạch về lý do và mục tiêu của việc sửa đổi thuế lần này. - HUMAN-TRU4]]</f>
        <v>1</v>
      </c>
      <c r="AZ122">
        <f t="shared" si="46"/>
        <v>0</v>
      </c>
      <c r="BA122" s="32">
        <f t="shared" si="47"/>
        <v>0.69444444444444442</v>
      </c>
      <c r="BB122" s="32">
        <f t="shared" si="48"/>
        <v>0</v>
      </c>
      <c r="BC122" s="7">
        <f t="shared" si="49"/>
        <v>0.63888888888888895</v>
      </c>
      <c r="BD122" s="7">
        <f t="shared" si="50"/>
        <v>7.407407407407407E-2</v>
      </c>
      <c r="BE122">
        <f>step3_validation[[#This Row],[AI_OUT1]]</f>
        <v>9</v>
      </c>
      <c r="BF122">
        <f t="shared" si="51"/>
        <v>0.88888888888888884</v>
      </c>
      <c r="BG122">
        <f>survey_responses[[#This Row],[Sau khi xem xét các quyền lợi và nghĩa vụ, bạn có ủng hộ và tuân thủ chính sách mới hiện nay? - HUMAN-OUT1]]</f>
        <v>5</v>
      </c>
      <c r="BH122">
        <f t="shared" si="52"/>
        <v>0.44444444444444442</v>
      </c>
      <c r="BI122" s="32">
        <f t="shared" si="53"/>
        <v>4</v>
      </c>
    </row>
    <row r="123" spans="1:61" x14ac:dyDescent="0.45">
      <c r="A123" s="30">
        <f>step3_validation[[#This Row],[Persona_ID]]</f>
        <v>122</v>
      </c>
      <c r="B123" s="31">
        <f>step3_validation[[#This Row],[Used_Seed]]</f>
        <v>12466</v>
      </c>
      <c r="C123" t="str">
        <f>step3_validation[[#This Row],[Gender]]</f>
        <v>Nam</v>
      </c>
      <c r="D123" t="str">
        <f>survey_responses[[#This Row],[Giới tính của bạn:]]</f>
        <v>Nam</v>
      </c>
      <c r="E123" t="str">
        <f>step3_validation[[#This Row],[Age_Group]]</f>
        <v>40 - 49</v>
      </c>
      <c r="F123" t="str">
        <f>survey_responses[[#This Row],[Độ tuổi của bạn:]]</f>
        <v>40 - 49</v>
      </c>
      <c r="G123" t="str">
        <f>step3_validation[[#This Row],[Region]]</f>
        <v>Thành thị</v>
      </c>
      <c r="H123" t="str">
        <f>survey_responses[[#This Row],[Khu vực bạn đang sinh sống:]]</f>
        <v>Thành thị</v>
      </c>
      <c r="I123" t="str">
        <f>step3_validation[[#This Row],[Education]]</f>
        <v>Đại học</v>
      </c>
      <c r="J123" t="str">
        <f>survey_responses[[#This Row],[Trình độ học vấn cao nhất:]]</f>
        <v>Đại học</v>
      </c>
      <c r="K123" t="str">
        <f>step3_validation[[#This Row],[Employment]]</f>
        <v>Chính thức</v>
      </c>
      <c r="L123" t="str">
        <f>survey_responses[[#This Row],[Tình trạng việc làm chính:]]</f>
        <v>Khu vực chính thức (Có Hợp đồng lao động, đóng BHXH)</v>
      </c>
      <c r="M123">
        <f>step3_validation[[#This Row],[Income_Mil]]</f>
        <v>216.9380314138582</v>
      </c>
      <c r="N123" t="str">
        <f>survey_responses[[#This Row],[Thu nhập bình quân tháng theo Hợp đồng lao động của bạn là bao nhiêu? (Vui lòng điền tổng thu nhập trước khi khấu trừ các loại Bảo hiểm (BHXH, BHYT, BHTN) và Thuế TNCN)]]</f>
        <v>Trên 102 triệu VNĐ</v>
      </c>
      <c r="O123">
        <f>step3_validation[[#This Row],[Dependents]]</f>
        <v>0</v>
      </c>
      <c r="P123" t="str">
        <f>survey_responses[[#This Row],[Số người phụ thuộc (con nhỏ, cha mẹ già...) đủ điều kiện giảm trừ gia cảnh:]]</f>
        <v>0 người</v>
      </c>
      <c r="Q123">
        <f>step3_validation[[#This Row],[AI_ENF1]]</f>
        <v>7</v>
      </c>
      <c r="R123">
        <f t="shared" si="27"/>
        <v>0.66666666666666663</v>
      </c>
      <c r="S123">
        <f>survey_responses[[#This Row],[Tôi tin rằng với các quy định quản lý thuế hiện nay, hành vi gian lận hoặc trốn thuế sẽ dễ dàng bị phát hiện và xử lý nghiêm. - HUMAN-ENF1]]</f>
        <v>4</v>
      </c>
      <c r="T123">
        <f t="shared" si="28"/>
        <v>0.33333333333333331</v>
      </c>
      <c r="U123">
        <f>step3_validation[[#This Row],[AI_ENF2]]</f>
        <v>7</v>
      </c>
      <c r="V123">
        <f t="shared" si="29"/>
        <v>0.66666666666666663</v>
      </c>
      <c r="W123">
        <f>survey_responses[[#This Row],[Tôi tin rằng Nhà nước, cơ quan thuế có đủ khả năng và công nghệ để phát hiện, xử lý nghiêm các hành vi trốn thuế. - HUMAN-ENF2]]</f>
        <v>4</v>
      </c>
      <c r="X123">
        <f t="shared" si="30"/>
        <v>0.33333333333333331</v>
      </c>
      <c r="Y123" s="32">
        <f t="shared" si="31"/>
        <v>0.66666666666666663</v>
      </c>
      <c r="Z123" s="32">
        <f t="shared" si="32"/>
        <v>0.33333333333333331</v>
      </c>
      <c r="AA123">
        <f>step3_validation[[#This Row],[AI_FAC1]]</f>
        <v>8</v>
      </c>
      <c r="AB123">
        <f t="shared" si="33"/>
        <v>0.77777777777777779</v>
      </c>
      <c r="AC123">
        <f>survey_responses[[#This Row],[Các thủ tục khai báo thuế VÀ/HOẶC quy trình làm việc với cơ quan thuế đơn giản, tiện lợi, nhanh chóng hơn so với trước đây. - HUMAN-FAC1]]</f>
        <v>2</v>
      </c>
      <c r="AD123">
        <f t="shared" si="34"/>
        <v>0.1111111111111111</v>
      </c>
      <c r="AE123">
        <f>step3_validation[[#This Row],[AI_FAC2]]</f>
        <v>9</v>
      </c>
      <c r="AF123">
        <f t="shared" si="35"/>
        <v>0.88888888888888884</v>
      </c>
      <c r="AG123">
        <f>survey_responses[[#This Row],[So với trước đây, tôi thấy cách tính thuế và các bậc thuế trong phương án mới đơn giản, dễ hiểu và dễ thực hiện hơn. - HUMAN-FAC2]]</f>
        <v>5</v>
      </c>
      <c r="AH123">
        <f t="shared" si="36"/>
        <v>0.44444444444444442</v>
      </c>
      <c r="AI123" s="32">
        <f t="shared" si="37"/>
        <v>0.83333333333333326</v>
      </c>
      <c r="AJ123" s="32">
        <f t="shared" si="38"/>
        <v>0.27777777777777779</v>
      </c>
      <c r="AK123">
        <f>step3_validation[[#This Row],[AI_TRU1]]</f>
        <v>6</v>
      </c>
      <c r="AL123">
        <f t="shared" si="39"/>
        <v>0.55555555555555558</v>
      </c>
      <c r="AM123">
        <f>survey_responses[[#This Row],[Tôi tin rằng Nhà nước, cơ quan thuế sẽ thực thi chính sách mới một cách khách quan, công tâm và đối xử bình đẳng với mọi người nộp thuế.  - HUMAN-TRU1]]</f>
        <v>1</v>
      </c>
      <c r="AN123">
        <f t="shared" si="40"/>
        <v>0</v>
      </c>
      <c r="AO123">
        <f>step3_validation[[#This Row],[AI_TRU2]]</f>
        <v>7</v>
      </c>
      <c r="AP123">
        <f t="shared" si="41"/>
        <v>0.66666666666666663</v>
      </c>
      <c r="AQ123">
        <f>survey_responses[[#This Row],[Tôi thấy mức thuế tôi phải đóng theo phương án mới là công bằng (người thu nhập như tôi đóng mức này là hợp lý). - HUMAN-TRU2]]</f>
        <v>1</v>
      </c>
      <c r="AR123">
        <f t="shared" si="42"/>
        <v>0</v>
      </c>
      <c r="AS123">
        <f>step3_validation[[#This Row],[AI_TRU3]]</f>
        <v>6</v>
      </c>
      <c r="AT123">
        <f t="shared" si="43"/>
        <v>0.55555555555555558</v>
      </c>
      <c r="AU123">
        <f>survey_responses[[#This Row],[Tôi tin tưởng số tiền thuế tôi đóng sẽ được Nhà nước sử dụng hiệu quả để cải thiện dịch vụ công (y tế, đường xá...). - HUMAN-TRU3]]</f>
        <v>1</v>
      </c>
      <c r="AV123">
        <f t="shared" si="44"/>
        <v>0</v>
      </c>
      <c r="AW123">
        <f>step3_validation[[#This Row],[AI_TRU4]]</f>
        <v>8</v>
      </c>
      <c r="AX123">
        <f t="shared" si="45"/>
        <v>0.77777777777777779</v>
      </c>
      <c r="AY123">
        <f>survey_responses[[#This Row],[Tôi thấy Nhà nước đã giải thích rõ ràng, minh bạch về lý do và mục tiêu của việc sửa đổi thuế lần này. - HUMAN-TRU4]]</f>
        <v>4</v>
      </c>
      <c r="AZ123">
        <f t="shared" si="46"/>
        <v>0.33333333333333331</v>
      </c>
      <c r="BA123" s="32">
        <f t="shared" si="47"/>
        <v>0.63888888888888895</v>
      </c>
      <c r="BB123" s="32">
        <f t="shared" si="48"/>
        <v>8.3333333333333329E-2</v>
      </c>
      <c r="BC123" s="7">
        <f t="shared" si="49"/>
        <v>0.71296296296296291</v>
      </c>
      <c r="BD123" s="7">
        <f t="shared" si="50"/>
        <v>0.23148148148148151</v>
      </c>
      <c r="BE123">
        <f>step3_validation[[#This Row],[AI_OUT1]]</f>
        <v>9</v>
      </c>
      <c r="BF123">
        <f t="shared" si="51"/>
        <v>0.88888888888888884</v>
      </c>
      <c r="BG123">
        <f>survey_responses[[#This Row],[Sau khi xem xét các quyền lợi và nghĩa vụ, bạn có ủng hộ và tuân thủ chính sách mới hiện nay? - HUMAN-OUT1]]</f>
        <v>4</v>
      </c>
      <c r="BH123">
        <f t="shared" si="52"/>
        <v>0.33333333333333331</v>
      </c>
      <c r="BI123" s="32">
        <f t="shared" si="53"/>
        <v>5</v>
      </c>
    </row>
    <row r="124" spans="1:61" x14ac:dyDescent="0.45">
      <c r="A124" s="30">
        <f>step3_validation[[#This Row],[Persona_ID]]</f>
        <v>123</v>
      </c>
      <c r="B124" s="31">
        <f>step3_validation[[#This Row],[Used_Seed]]</f>
        <v>12467</v>
      </c>
      <c r="C124" t="str">
        <f>step3_validation[[#This Row],[Gender]]</f>
        <v>Nữ</v>
      </c>
      <c r="D124" t="str">
        <f>survey_responses[[#This Row],[Giới tính của bạn:]]</f>
        <v>Nữ</v>
      </c>
      <c r="E124" t="str">
        <f>step3_validation[[#This Row],[Age_Group]]</f>
        <v>18 - 24</v>
      </c>
      <c r="F124" t="str">
        <f>survey_responses[[#This Row],[Độ tuổi của bạn:]]</f>
        <v>18 - 24</v>
      </c>
      <c r="G124" t="str">
        <f>step3_validation[[#This Row],[Region]]</f>
        <v>Thành thị</v>
      </c>
      <c r="H124" t="str">
        <f>survey_responses[[#This Row],[Khu vực bạn đang sinh sống:]]</f>
        <v>Thành thị</v>
      </c>
      <c r="I124" t="str">
        <f>step3_validation[[#This Row],[Education]]</f>
        <v>Đại học</v>
      </c>
      <c r="J124" t="str">
        <f>survey_responses[[#This Row],[Trình độ học vấn cao nhất:]]</f>
        <v>Đại học</v>
      </c>
      <c r="K124" t="str">
        <f>step3_validation[[#This Row],[Employment]]</f>
        <v>Chính thức</v>
      </c>
      <c r="L124" t="str">
        <f>survey_responses[[#This Row],[Tình trạng việc làm chính:]]</f>
        <v>Khu vực chính thức (Có Hợp đồng lao động, đóng BHXH)</v>
      </c>
      <c r="M124">
        <f>step3_validation[[#This Row],[Income_Mil]]</f>
        <v>12</v>
      </c>
      <c r="N124" t="str">
        <f>survey_responses[[#This Row],[Thu nhập bình quân tháng theo Hợp đồng lao động của bạn là bao nhiêu? (Vui lòng điền tổng thu nhập trước khi khấu trừ các loại Bảo hiểm (BHXH, BHYT, BHTN) và Thuế TNCN)]]</f>
        <v>Dưới 12 triệu VNĐ</v>
      </c>
      <c r="O124">
        <f>step3_validation[[#This Row],[Dependents]]</f>
        <v>0</v>
      </c>
      <c r="P124" t="str">
        <f>survey_responses[[#This Row],[Số người phụ thuộc (con nhỏ, cha mẹ già...) đủ điều kiện giảm trừ gia cảnh:]]</f>
        <v>0 người</v>
      </c>
      <c r="Q124">
        <f>step3_validation[[#This Row],[AI_ENF1]]</f>
        <v>8</v>
      </c>
      <c r="R124">
        <f t="shared" si="27"/>
        <v>0.77777777777777779</v>
      </c>
      <c r="S124">
        <f>survey_responses[[#This Row],[Tôi tin rằng với các quy định quản lý thuế hiện nay, hành vi gian lận hoặc trốn thuế sẽ dễ dàng bị phát hiện và xử lý nghiêm. - HUMAN-ENF1]]</f>
        <v>7</v>
      </c>
      <c r="T124">
        <f t="shared" si="28"/>
        <v>0.66666666666666663</v>
      </c>
      <c r="U124">
        <f>step3_validation[[#This Row],[AI_ENF2]]</f>
        <v>7</v>
      </c>
      <c r="V124">
        <f t="shared" si="29"/>
        <v>0.66666666666666663</v>
      </c>
      <c r="W124">
        <f>survey_responses[[#This Row],[Tôi tin rằng Nhà nước, cơ quan thuế có đủ khả năng và công nghệ để phát hiện, xử lý nghiêm các hành vi trốn thuế. - HUMAN-ENF2]]</f>
        <v>7</v>
      </c>
      <c r="X124">
        <f t="shared" si="30"/>
        <v>0.66666666666666663</v>
      </c>
      <c r="Y124" s="32">
        <f t="shared" si="31"/>
        <v>0.72222222222222221</v>
      </c>
      <c r="Z124" s="32">
        <f t="shared" si="32"/>
        <v>0.66666666666666663</v>
      </c>
      <c r="AA124">
        <f>step3_validation[[#This Row],[AI_FAC1]]</f>
        <v>9</v>
      </c>
      <c r="AB124">
        <f t="shared" si="33"/>
        <v>0.88888888888888884</v>
      </c>
      <c r="AC124">
        <f>survey_responses[[#This Row],[Các thủ tục khai báo thuế VÀ/HOẶC quy trình làm việc với cơ quan thuế đơn giản, tiện lợi, nhanh chóng hơn so với trước đây. - HUMAN-FAC1]]</f>
        <v>7</v>
      </c>
      <c r="AD124">
        <f t="shared" si="34"/>
        <v>0.66666666666666663</v>
      </c>
      <c r="AE124">
        <f>step3_validation[[#This Row],[AI_FAC2]]</f>
        <v>8</v>
      </c>
      <c r="AF124">
        <f t="shared" si="35"/>
        <v>0.77777777777777779</v>
      </c>
      <c r="AG124">
        <f>survey_responses[[#This Row],[So với trước đây, tôi thấy cách tính thuế và các bậc thuế trong phương án mới đơn giản, dễ hiểu và dễ thực hiện hơn. - HUMAN-FAC2]]</f>
        <v>7</v>
      </c>
      <c r="AH124">
        <f t="shared" si="36"/>
        <v>0.66666666666666663</v>
      </c>
      <c r="AI124" s="32">
        <f t="shared" si="37"/>
        <v>0.83333333333333326</v>
      </c>
      <c r="AJ124" s="32">
        <f t="shared" si="38"/>
        <v>0.66666666666666663</v>
      </c>
      <c r="AK124">
        <f>step3_validation[[#This Row],[AI_TRU1]]</f>
        <v>9</v>
      </c>
      <c r="AL124">
        <f t="shared" si="39"/>
        <v>0.88888888888888884</v>
      </c>
      <c r="AM124">
        <f>survey_responses[[#This Row],[Tôi tin rằng Nhà nước, cơ quan thuế sẽ thực thi chính sách mới một cách khách quan, công tâm và đối xử bình đẳng với mọi người nộp thuế.  - HUMAN-TRU1]]</f>
        <v>7</v>
      </c>
      <c r="AN124">
        <f t="shared" si="40"/>
        <v>0.66666666666666663</v>
      </c>
      <c r="AO124">
        <f>step3_validation[[#This Row],[AI_TRU2]]</f>
        <v>8</v>
      </c>
      <c r="AP124">
        <f t="shared" si="41"/>
        <v>0.77777777777777779</v>
      </c>
      <c r="AQ124">
        <f>survey_responses[[#This Row],[Tôi thấy mức thuế tôi phải đóng theo phương án mới là công bằng (người thu nhập như tôi đóng mức này là hợp lý). - HUMAN-TRU2]]</f>
        <v>7</v>
      </c>
      <c r="AR124">
        <f t="shared" si="42"/>
        <v>0.66666666666666663</v>
      </c>
      <c r="AS124">
        <f>step3_validation[[#This Row],[AI_TRU3]]</f>
        <v>9</v>
      </c>
      <c r="AT124">
        <f t="shared" si="43"/>
        <v>0.88888888888888884</v>
      </c>
      <c r="AU124">
        <f>survey_responses[[#This Row],[Tôi tin tưởng số tiền thuế tôi đóng sẽ được Nhà nước sử dụng hiệu quả để cải thiện dịch vụ công (y tế, đường xá...). - HUMAN-TRU3]]</f>
        <v>7</v>
      </c>
      <c r="AV124">
        <f t="shared" si="44"/>
        <v>0.66666666666666663</v>
      </c>
      <c r="AW124">
        <f>step3_validation[[#This Row],[AI_TRU4]]</f>
        <v>7</v>
      </c>
      <c r="AX124">
        <f t="shared" si="45"/>
        <v>0.66666666666666663</v>
      </c>
      <c r="AY124">
        <f>survey_responses[[#This Row],[Tôi thấy Nhà nước đã giải thích rõ ràng, minh bạch về lý do và mục tiêu của việc sửa đổi thuế lần này. - HUMAN-TRU4]]</f>
        <v>7</v>
      </c>
      <c r="AZ124">
        <f t="shared" si="46"/>
        <v>0.66666666666666663</v>
      </c>
      <c r="BA124" s="32">
        <f t="shared" si="47"/>
        <v>0.80555555555555547</v>
      </c>
      <c r="BB124" s="32">
        <f t="shared" si="48"/>
        <v>0.66666666666666663</v>
      </c>
      <c r="BC124" s="7">
        <f t="shared" si="49"/>
        <v>0.78703703703703687</v>
      </c>
      <c r="BD124" s="7">
        <f t="shared" si="50"/>
        <v>0.66666666666666663</v>
      </c>
      <c r="BE124">
        <f>step3_validation[[#This Row],[AI_OUT1]]</f>
        <v>9</v>
      </c>
      <c r="BF124">
        <f t="shared" si="51"/>
        <v>0.88888888888888884</v>
      </c>
      <c r="BG124">
        <f>survey_responses[[#This Row],[Sau khi xem xét các quyền lợi và nghĩa vụ, bạn có ủng hộ và tuân thủ chính sách mới hiện nay? - HUMAN-OUT1]]</f>
        <v>8</v>
      </c>
      <c r="BH124">
        <f t="shared" si="52"/>
        <v>0.77777777777777779</v>
      </c>
      <c r="BI124" s="32">
        <f t="shared" si="53"/>
        <v>1</v>
      </c>
    </row>
    <row r="125" spans="1:61" x14ac:dyDescent="0.45">
      <c r="A125" s="30">
        <f>step3_validation[[#This Row],[Persona_ID]]</f>
        <v>124</v>
      </c>
      <c r="B125" s="31">
        <f>step3_validation[[#This Row],[Used_Seed]]</f>
        <v>12468</v>
      </c>
      <c r="C125" t="str">
        <f>step3_validation[[#This Row],[Gender]]</f>
        <v>Nữ</v>
      </c>
      <c r="D125" t="str">
        <f>survey_responses[[#This Row],[Giới tính của bạn:]]</f>
        <v>Nữ</v>
      </c>
      <c r="E125" t="str">
        <f>step3_validation[[#This Row],[Age_Group]]</f>
        <v>50 - 54</v>
      </c>
      <c r="F125" t="str">
        <f>survey_responses[[#This Row],[Độ tuổi của bạn:]]</f>
        <v>50 - 54</v>
      </c>
      <c r="G125" t="str">
        <f>step3_validation[[#This Row],[Region]]</f>
        <v>Thành thị</v>
      </c>
      <c r="H125" t="str">
        <f>survey_responses[[#This Row],[Khu vực bạn đang sinh sống:]]</f>
        <v>Thành thị</v>
      </c>
      <c r="I125" t="str">
        <f>step3_validation[[#This Row],[Education]]</f>
        <v>Sau Đại học</v>
      </c>
      <c r="J125" t="str">
        <f>survey_responses[[#This Row],[Trình độ học vấn cao nhất:]]</f>
        <v>Sau Đại học</v>
      </c>
      <c r="K125" t="str">
        <f>step3_validation[[#This Row],[Employment]]</f>
        <v>Chính thức</v>
      </c>
      <c r="L125" t="str">
        <f>survey_responses[[#This Row],[Tình trạng việc làm chính:]]</f>
        <v>Khu vực chính thức (Có Hợp đồng lao động, đóng BHXH)</v>
      </c>
      <c r="M125">
        <f>step3_validation[[#This Row],[Income_Mil]]</f>
        <v>41.480798696452553</v>
      </c>
      <c r="N125" t="str">
        <f>survey_responses[[#This Row],[Thu nhập bình quân tháng theo Hợp đồng lao động của bạn là bao nhiêu? (Vui lòng điền tổng thu nhập trước khi khấu trừ các loại Bảo hiểm (BHXH, BHYT, BHTN) và Thuế TNCN)]]</f>
        <v>Từ 32 - 48 triệu VNĐ</v>
      </c>
      <c r="O125">
        <f>step3_validation[[#This Row],[Dependents]]</f>
        <v>1</v>
      </c>
      <c r="P125" t="str">
        <f>survey_responses[[#This Row],[Số người phụ thuộc (con nhỏ, cha mẹ già...) đủ điều kiện giảm trừ gia cảnh:]]</f>
        <v>1 người</v>
      </c>
      <c r="Q125">
        <f>step3_validation[[#This Row],[AI_ENF1]]</f>
        <v>6</v>
      </c>
      <c r="R125">
        <f t="shared" si="27"/>
        <v>0.55555555555555558</v>
      </c>
      <c r="S125">
        <f>survey_responses[[#This Row],[Tôi tin rằng với các quy định quản lý thuế hiện nay, hành vi gian lận hoặc trốn thuế sẽ dễ dàng bị phát hiện và xử lý nghiêm. - HUMAN-ENF1]]</f>
        <v>10</v>
      </c>
      <c r="T125">
        <f t="shared" si="28"/>
        <v>1</v>
      </c>
      <c r="U125">
        <f>step3_validation[[#This Row],[AI_ENF2]]</f>
        <v>7</v>
      </c>
      <c r="V125">
        <f t="shared" si="29"/>
        <v>0.66666666666666663</v>
      </c>
      <c r="W125">
        <f>survey_responses[[#This Row],[Tôi tin rằng Nhà nước, cơ quan thuế có đủ khả năng và công nghệ để phát hiện, xử lý nghiêm các hành vi trốn thuế. - HUMAN-ENF2]]</f>
        <v>9</v>
      </c>
      <c r="X125">
        <f t="shared" si="30"/>
        <v>0.88888888888888884</v>
      </c>
      <c r="Y125" s="32">
        <f t="shared" si="31"/>
        <v>0.61111111111111116</v>
      </c>
      <c r="Z125" s="32">
        <f t="shared" si="32"/>
        <v>0.94444444444444442</v>
      </c>
      <c r="AA125">
        <f>step3_validation[[#This Row],[AI_FAC1]]</f>
        <v>8</v>
      </c>
      <c r="AB125">
        <f t="shared" si="33"/>
        <v>0.77777777777777779</v>
      </c>
      <c r="AC125">
        <f>survey_responses[[#This Row],[Các thủ tục khai báo thuế VÀ/HOẶC quy trình làm việc với cơ quan thuế đơn giản, tiện lợi, nhanh chóng hơn so với trước đây. - HUMAN-FAC1]]</f>
        <v>10</v>
      </c>
      <c r="AD125">
        <f t="shared" si="34"/>
        <v>1</v>
      </c>
      <c r="AE125">
        <f>step3_validation[[#This Row],[AI_FAC2]]</f>
        <v>9</v>
      </c>
      <c r="AF125">
        <f t="shared" si="35"/>
        <v>0.88888888888888884</v>
      </c>
      <c r="AG125">
        <f>survey_responses[[#This Row],[So với trước đây, tôi thấy cách tính thuế và các bậc thuế trong phương án mới đơn giản, dễ hiểu và dễ thực hiện hơn. - HUMAN-FAC2]]</f>
        <v>10</v>
      </c>
      <c r="AH125">
        <f t="shared" si="36"/>
        <v>1</v>
      </c>
      <c r="AI125" s="32">
        <f t="shared" si="37"/>
        <v>0.83333333333333326</v>
      </c>
      <c r="AJ125" s="32">
        <f t="shared" si="38"/>
        <v>1</v>
      </c>
      <c r="AK125">
        <f>step3_validation[[#This Row],[AI_TRU1]]</f>
        <v>7</v>
      </c>
      <c r="AL125">
        <f t="shared" si="39"/>
        <v>0.66666666666666663</v>
      </c>
      <c r="AM125">
        <f>survey_responses[[#This Row],[Tôi tin rằng Nhà nước, cơ quan thuế sẽ thực thi chính sách mới một cách khách quan, công tâm và đối xử bình đẳng với mọi người nộp thuế.  - HUMAN-TRU1]]</f>
        <v>10</v>
      </c>
      <c r="AN125">
        <f t="shared" si="40"/>
        <v>1</v>
      </c>
      <c r="AO125">
        <f>step3_validation[[#This Row],[AI_TRU2]]</f>
        <v>8</v>
      </c>
      <c r="AP125">
        <f t="shared" si="41"/>
        <v>0.77777777777777779</v>
      </c>
      <c r="AQ125">
        <f>survey_responses[[#This Row],[Tôi thấy mức thuế tôi phải đóng theo phương án mới là công bằng (người thu nhập như tôi đóng mức này là hợp lý). - HUMAN-TRU2]]</f>
        <v>8</v>
      </c>
      <c r="AR125">
        <f t="shared" si="42"/>
        <v>0.77777777777777779</v>
      </c>
      <c r="AS125">
        <f>step3_validation[[#This Row],[AI_TRU3]]</f>
        <v>7</v>
      </c>
      <c r="AT125">
        <f t="shared" si="43"/>
        <v>0.66666666666666663</v>
      </c>
      <c r="AU125">
        <f>survey_responses[[#This Row],[Tôi tin tưởng số tiền thuế tôi đóng sẽ được Nhà nước sử dụng hiệu quả để cải thiện dịch vụ công (y tế, đường xá...). - HUMAN-TRU3]]</f>
        <v>9</v>
      </c>
      <c r="AV125">
        <f t="shared" si="44"/>
        <v>0.88888888888888884</v>
      </c>
      <c r="AW125">
        <f>step3_validation[[#This Row],[AI_TRU4]]</f>
        <v>9</v>
      </c>
      <c r="AX125">
        <f t="shared" si="45"/>
        <v>0.88888888888888884</v>
      </c>
      <c r="AY125">
        <f>survey_responses[[#This Row],[Tôi thấy Nhà nước đã giải thích rõ ràng, minh bạch về lý do và mục tiêu của việc sửa đổi thuế lần này. - HUMAN-TRU4]]</f>
        <v>9</v>
      </c>
      <c r="AZ125">
        <f t="shared" si="46"/>
        <v>0.88888888888888884</v>
      </c>
      <c r="BA125" s="32">
        <f t="shared" si="47"/>
        <v>0.75</v>
      </c>
      <c r="BB125" s="32">
        <f t="shared" si="48"/>
        <v>0.88888888888888884</v>
      </c>
      <c r="BC125" s="7">
        <f t="shared" si="49"/>
        <v>0.73148148148148151</v>
      </c>
      <c r="BD125" s="7">
        <f t="shared" si="50"/>
        <v>0.94444444444444431</v>
      </c>
      <c r="BE125">
        <f>step3_validation[[#This Row],[AI_OUT1]]</f>
        <v>8</v>
      </c>
      <c r="BF125">
        <f t="shared" si="51"/>
        <v>0.77777777777777779</v>
      </c>
      <c r="BG125">
        <f>survey_responses[[#This Row],[Sau khi xem xét các quyền lợi và nghĩa vụ, bạn có ủng hộ và tuân thủ chính sách mới hiện nay? - HUMAN-OUT1]]</f>
        <v>9</v>
      </c>
      <c r="BH125">
        <f t="shared" si="52"/>
        <v>0.88888888888888884</v>
      </c>
      <c r="BI125" s="32">
        <f t="shared" si="53"/>
        <v>1</v>
      </c>
    </row>
    <row r="126" spans="1:61" x14ac:dyDescent="0.45">
      <c r="A126" s="30">
        <f>step3_validation[[#This Row],[Persona_ID]]</f>
        <v>125</v>
      </c>
      <c r="B126" s="31">
        <f>step3_validation[[#This Row],[Used_Seed]]</f>
        <v>12469</v>
      </c>
      <c r="C126" t="str">
        <f>step3_validation[[#This Row],[Gender]]</f>
        <v>Nữ</v>
      </c>
      <c r="D126" t="str">
        <f>survey_responses[[#This Row],[Giới tính của bạn:]]</f>
        <v>Nữ</v>
      </c>
      <c r="E126" t="str">
        <f>step3_validation[[#This Row],[Age_Group]]</f>
        <v>18 - 24</v>
      </c>
      <c r="F126" t="str">
        <f>survey_responses[[#This Row],[Độ tuổi của bạn:]]</f>
        <v>18 - 24</v>
      </c>
      <c r="G126" t="str">
        <f>step3_validation[[#This Row],[Region]]</f>
        <v>Thành thị</v>
      </c>
      <c r="H126" t="str">
        <f>survey_responses[[#This Row],[Khu vực bạn đang sinh sống:]]</f>
        <v>Thành thị</v>
      </c>
      <c r="I126" t="str">
        <f>step3_validation[[#This Row],[Education]]</f>
        <v>Đại học</v>
      </c>
      <c r="J126" t="str">
        <f>survey_responses[[#This Row],[Trình độ học vấn cao nhất:]]</f>
        <v>Đại học</v>
      </c>
      <c r="K126" t="str">
        <f>step3_validation[[#This Row],[Employment]]</f>
        <v>Chính thức</v>
      </c>
      <c r="L126" t="str">
        <f>survey_responses[[#This Row],[Tình trạng việc làm chính:]]</f>
        <v>Khu vực chính thức (Có Hợp đồng lao động, đóng BHXH)</v>
      </c>
      <c r="M126">
        <f>step3_validation[[#This Row],[Income_Mil]]</f>
        <v>12.055014978250577</v>
      </c>
      <c r="N126" t="str">
        <f>survey_responses[[#This Row],[Thu nhập bình quân tháng theo Hợp đồng lao động của bạn là bao nhiêu? (Vui lòng điền tổng thu nhập trước khi khấu trừ các loại Bảo hiểm (BHXH, BHYT, BHTN) và Thuế TNCN)]]</f>
        <v>Từ 12 - 18 triệu VNĐ</v>
      </c>
      <c r="O126">
        <f>step3_validation[[#This Row],[Dependents]]</f>
        <v>2</v>
      </c>
      <c r="P126" t="str">
        <f>survey_responses[[#This Row],[Số người phụ thuộc (con nhỏ, cha mẹ già...) đủ điều kiện giảm trừ gia cảnh:]]</f>
        <v>2 người</v>
      </c>
      <c r="Q126">
        <f>step3_validation[[#This Row],[AI_ENF1]]</f>
        <v>7</v>
      </c>
      <c r="R126">
        <f t="shared" si="27"/>
        <v>0.66666666666666663</v>
      </c>
      <c r="S126">
        <f>survey_responses[[#This Row],[Tôi tin rằng với các quy định quản lý thuế hiện nay, hành vi gian lận hoặc trốn thuế sẽ dễ dàng bị phát hiện và xử lý nghiêm. - HUMAN-ENF1]]</f>
        <v>10</v>
      </c>
      <c r="T126">
        <f t="shared" si="28"/>
        <v>1</v>
      </c>
      <c r="U126">
        <f>step3_validation[[#This Row],[AI_ENF2]]</f>
        <v>8</v>
      </c>
      <c r="V126">
        <f t="shared" si="29"/>
        <v>0.77777777777777779</v>
      </c>
      <c r="W126">
        <f>survey_responses[[#This Row],[Tôi tin rằng Nhà nước, cơ quan thuế có đủ khả năng và công nghệ để phát hiện, xử lý nghiêm các hành vi trốn thuế. - HUMAN-ENF2]]</f>
        <v>10</v>
      </c>
      <c r="X126">
        <f t="shared" si="30"/>
        <v>1</v>
      </c>
      <c r="Y126" s="32">
        <f t="shared" si="31"/>
        <v>0.72222222222222221</v>
      </c>
      <c r="Z126" s="32">
        <f t="shared" si="32"/>
        <v>1</v>
      </c>
      <c r="AA126">
        <f>step3_validation[[#This Row],[AI_FAC1]]</f>
        <v>7</v>
      </c>
      <c r="AB126">
        <f t="shared" si="33"/>
        <v>0.66666666666666663</v>
      </c>
      <c r="AC126">
        <f>survey_responses[[#This Row],[Các thủ tục khai báo thuế VÀ/HOẶC quy trình làm việc với cơ quan thuế đơn giản, tiện lợi, nhanh chóng hơn so với trước đây. - HUMAN-FAC1]]</f>
        <v>10</v>
      </c>
      <c r="AD126">
        <f t="shared" si="34"/>
        <v>1</v>
      </c>
      <c r="AE126">
        <f>step3_validation[[#This Row],[AI_FAC2]]</f>
        <v>9</v>
      </c>
      <c r="AF126">
        <f t="shared" si="35"/>
        <v>0.88888888888888884</v>
      </c>
      <c r="AG126">
        <f>survey_responses[[#This Row],[So với trước đây, tôi thấy cách tính thuế và các bậc thuế trong phương án mới đơn giản, dễ hiểu và dễ thực hiện hơn. - HUMAN-FAC2]]</f>
        <v>10</v>
      </c>
      <c r="AH126">
        <f t="shared" si="36"/>
        <v>1</v>
      </c>
      <c r="AI126" s="32">
        <f t="shared" si="37"/>
        <v>0.77777777777777768</v>
      </c>
      <c r="AJ126" s="32">
        <f t="shared" si="38"/>
        <v>1</v>
      </c>
      <c r="AK126">
        <f>step3_validation[[#This Row],[AI_TRU1]]</f>
        <v>8</v>
      </c>
      <c r="AL126">
        <f t="shared" si="39"/>
        <v>0.77777777777777779</v>
      </c>
      <c r="AM126">
        <f>survey_responses[[#This Row],[Tôi tin rằng Nhà nước, cơ quan thuế sẽ thực thi chính sách mới một cách khách quan, công tâm và đối xử bình đẳng với mọi người nộp thuế.  - HUMAN-TRU1]]</f>
        <v>10</v>
      </c>
      <c r="AN126">
        <f t="shared" si="40"/>
        <v>1</v>
      </c>
      <c r="AO126">
        <f>step3_validation[[#This Row],[AI_TRU2]]</f>
        <v>9</v>
      </c>
      <c r="AP126">
        <f t="shared" si="41"/>
        <v>0.88888888888888884</v>
      </c>
      <c r="AQ126">
        <f>survey_responses[[#This Row],[Tôi thấy mức thuế tôi phải đóng theo phương án mới là công bằng (người thu nhập như tôi đóng mức này là hợp lý). - HUMAN-TRU2]]</f>
        <v>10</v>
      </c>
      <c r="AR126">
        <f t="shared" si="42"/>
        <v>1</v>
      </c>
      <c r="AS126">
        <f>step3_validation[[#This Row],[AI_TRU3]]</f>
        <v>8</v>
      </c>
      <c r="AT126">
        <f t="shared" si="43"/>
        <v>0.77777777777777779</v>
      </c>
      <c r="AU126">
        <f>survey_responses[[#This Row],[Tôi tin tưởng số tiền thuế tôi đóng sẽ được Nhà nước sử dụng hiệu quả để cải thiện dịch vụ công (y tế, đường xá...). - HUMAN-TRU3]]</f>
        <v>10</v>
      </c>
      <c r="AV126">
        <f t="shared" si="44"/>
        <v>1</v>
      </c>
      <c r="AW126">
        <f>step3_validation[[#This Row],[AI_TRU4]]</f>
        <v>7</v>
      </c>
      <c r="AX126">
        <f t="shared" si="45"/>
        <v>0.66666666666666663</v>
      </c>
      <c r="AY126">
        <f>survey_responses[[#This Row],[Tôi thấy Nhà nước đã giải thích rõ ràng, minh bạch về lý do và mục tiêu của việc sửa đổi thuế lần này. - HUMAN-TRU4]]</f>
        <v>10</v>
      </c>
      <c r="AZ126">
        <f t="shared" si="46"/>
        <v>1</v>
      </c>
      <c r="BA126" s="32">
        <f t="shared" si="47"/>
        <v>0.77777777777777768</v>
      </c>
      <c r="BB126" s="32">
        <f t="shared" si="48"/>
        <v>1</v>
      </c>
      <c r="BC126" s="7">
        <f t="shared" si="49"/>
        <v>0.75925925925925919</v>
      </c>
      <c r="BD126" s="7">
        <f t="shared" si="50"/>
        <v>1</v>
      </c>
      <c r="BE126">
        <f>step3_validation[[#This Row],[AI_OUT1]]</f>
        <v>8</v>
      </c>
      <c r="BF126">
        <f t="shared" si="51"/>
        <v>0.77777777777777779</v>
      </c>
      <c r="BG126">
        <f>survey_responses[[#This Row],[Sau khi xem xét các quyền lợi và nghĩa vụ, bạn có ủng hộ và tuân thủ chính sách mới hiện nay? - HUMAN-OUT1]]</f>
        <v>10</v>
      </c>
      <c r="BH126">
        <f t="shared" si="52"/>
        <v>1</v>
      </c>
      <c r="BI126" s="32">
        <f t="shared" si="53"/>
        <v>2</v>
      </c>
    </row>
    <row r="127" spans="1:61" x14ac:dyDescent="0.45">
      <c r="A127" s="30">
        <f>step3_validation[[#This Row],[Persona_ID]]</f>
        <v>126</v>
      </c>
      <c r="B127" s="31">
        <f>step3_validation[[#This Row],[Used_Seed]]</f>
        <v>12470</v>
      </c>
      <c r="C127" t="str">
        <f>step3_validation[[#This Row],[Gender]]</f>
        <v>Nam</v>
      </c>
      <c r="D127" t="str">
        <f>survey_responses[[#This Row],[Giới tính của bạn:]]</f>
        <v>Nam</v>
      </c>
      <c r="E127" t="str">
        <f>step3_validation[[#This Row],[Age_Group]]</f>
        <v>25 - 29</v>
      </c>
      <c r="F127" t="str">
        <f>survey_responses[[#This Row],[Độ tuổi của bạn:]]</f>
        <v>25 - 29</v>
      </c>
      <c r="G127" t="str">
        <f>step3_validation[[#This Row],[Region]]</f>
        <v>Thành thị</v>
      </c>
      <c r="H127" t="str">
        <f>survey_responses[[#This Row],[Khu vực bạn đang sinh sống:]]</f>
        <v>Thành thị</v>
      </c>
      <c r="I127" t="str">
        <f>step3_validation[[#This Row],[Education]]</f>
        <v>Đại học</v>
      </c>
      <c r="J127" t="str">
        <f>survey_responses[[#This Row],[Trình độ học vấn cao nhất:]]</f>
        <v>Đại học</v>
      </c>
      <c r="K127" t="str">
        <f>step3_validation[[#This Row],[Employment]]</f>
        <v>Chính thức</v>
      </c>
      <c r="L127" t="str">
        <f>survey_responses[[#This Row],[Tình trạng việc làm chính:]]</f>
        <v>Khu vực chính thức (Có Hợp đồng lao động, đóng BHXH)</v>
      </c>
      <c r="M127">
        <f>step3_validation[[#This Row],[Income_Mil]]</f>
        <v>28.406554438717116</v>
      </c>
      <c r="N127" t="str">
        <f>survey_responses[[#This Row],[Thu nhập bình quân tháng theo Hợp đồng lao động của bạn là bao nhiêu? (Vui lòng điền tổng thu nhập trước khi khấu trừ các loại Bảo hiểm (BHXH, BHYT, BHTN) và Thuế TNCN)]]</f>
        <v>Từ 23 - 32 triệu VNĐ</v>
      </c>
      <c r="O127">
        <f>step3_validation[[#This Row],[Dependents]]</f>
        <v>0</v>
      </c>
      <c r="P127" t="str">
        <f>survey_responses[[#This Row],[Số người phụ thuộc (con nhỏ, cha mẹ già...) đủ điều kiện giảm trừ gia cảnh:]]</f>
        <v>0 người</v>
      </c>
      <c r="Q127">
        <f>step3_validation[[#This Row],[AI_ENF1]]</f>
        <v>8</v>
      </c>
      <c r="R127">
        <f t="shared" si="27"/>
        <v>0.77777777777777779</v>
      </c>
      <c r="S127">
        <f>survey_responses[[#This Row],[Tôi tin rằng với các quy định quản lý thuế hiện nay, hành vi gian lận hoặc trốn thuế sẽ dễ dàng bị phát hiện và xử lý nghiêm. - HUMAN-ENF1]]</f>
        <v>8</v>
      </c>
      <c r="T127">
        <f t="shared" si="28"/>
        <v>0.77777777777777779</v>
      </c>
      <c r="U127">
        <f>step3_validation[[#This Row],[AI_ENF2]]</f>
        <v>7</v>
      </c>
      <c r="V127">
        <f t="shared" si="29"/>
        <v>0.66666666666666663</v>
      </c>
      <c r="W127">
        <f>survey_responses[[#This Row],[Tôi tin rằng Nhà nước, cơ quan thuế có đủ khả năng và công nghệ để phát hiện, xử lý nghiêm các hành vi trốn thuế. - HUMAN-ENF2]]</f>
        <v>8</v>
      </c>
      <c r="X127">
        <f t="shared" si="30"/>
        <v>0.77777777777777779</v>
      </c>
      <c r="Y127" s="32">
        <f t="shared" si="31"/>
        <v>0.72222222222222221</v>
      </c>
      <c r="Z127" s="32">
        <f t="shared" si="32"/>
        <v>0.77777777777777779</v>
      </c>
      <c r="AA127">
        <f>step3_validation[[#This Row],[AI_FAC1]]</f>
        <v>9</v>
      </c>
      <c r="AB127">
        <f t="shared" si="33"/>
        <v>0.88888888888888884</v>
      </c>
      <c r="AC127">
        <f>survey_responses[[#This Row],[Các thủ tục khai báo thuế VÀ/HOẶC quy trình làm việc với cơ quan thuế đơn giản, tiện lợi, nhanh chóng hơn so với trước đây. - HUMAN-FAC1]]</f>
        <v>5</v>
      </c>
      <c r="AD127">
        <f t="shared" si="34"/>
        <v>0.44444444444444442</v>
      </c>
      <c r="AE127">
        <f>step3_validation[[#This Row],[AI_FAC2]]</f>
        <v>8</v>
      </c>
      <c r="AF127">
        <f t="shared" si="35"/>
        <v>0.77777777777777779</v>
      </c>
      <c r="AG127">
        <f>survey_responses[[#This Row],[So với trước đây, tôi thấy cách tính thuế và các bậc thuế trong phương án mới đơn giản, dễ hiểu và dễ thực hiện hơn. - HUMAN-FAC2]]</f>
        <v>8</v>
      </c>
      <c r="AH127">
        <f t="shared" si="36"/>
        <v>0.77777777777777779</v>
      </c>
      <c r="AI127" s="32">
        <f t="shared" si="37"/>
        <v>0.83333333333333326</v>
      </c>
      <c r="AJ127" s="32">
        <f t="shared" si="38"/>
        <v>0.61111111111111116</v>
      </c>
      <c r="AK127">
        <f>step3_validation[[#This Row],[AI_TRU1]]</f>
        <v>9</v>
      </c>
      <c r="AL127">
        <f t="shared" si="39"/>
        <v>0.88888888888888884</v>
      </c>
      <c r="AM127">
        <f>survey_responses[[#This Row],[Tôi tin rằng Nhà nước, cơ quan thuế sẽ thực thi chính sách mới một cách khách quan, công tâm và đối xử bình đẳng với mọi người nộp thuế.  - HUMAN-TRU1]]</f>
        <v>8</v>
      </c>
      <c r="AN127">
        <f t="shared" si="40"/>
        <v>0.77777777777777779</v>
      </c>
      <c r="AO127">
        <f>step3_validation[[#This Row],[AI_TRU2]]</f>
        <v>8</v>
      </c>
      <c r="AP127">
        <f t="shared" si="41"/>
        <v>0.77777777777777779</v>
      </c>
      <c r="AQ127">
        <f>survey_responses[[#This Row],[Tôi thấy mức thuế tôi phải đóng theo phương án mới là công bằng (người thu nhập như tôi đóng mức này là hợp lý). - HUMAN-TRU2]]</f>
        <v>8</v>
      </c>
      <c r="AR127">
        <f t="shared" si="42"/>
        <v>0.77777777777777779</v>
      </c>
      <c r="AS127">
        <f>step3_validation[[#This Row],[AI_TRU3]]</f>
        <v>9</v>
      </c>
      <c r="AT127">
        <f t="shared" si="43"/>
        <v>0.88888888888888884</v>
      </c>
      <c r="AU127">
        <f>survey_responses[[#This Row],[Tôi tin tưởng số tiền thuế tôi đóng sẽ được Nhà nước sử dụng hiệu quả để cải thiện dịch vụ công (y tế, đường xá...). - HUMAN-TRU3]]</f>
        <v>7</v>
      </c>
      <c r="AV127">
        <f t="shared" si="44"/>
        <v>0.66666666666666663</v>
      </c>
      <c r="AW127">
        <f>step3_validation[[#This Row],[AI_TRU4]]</f>
        <v>8</v>
      </c>
      <c r="AX127">
        <f t="shared" si="45"/>
        <v>0.77777777777777779</v>
      </c>
      <c r="AY127">
        <f>survey_responses[[#This Row],[Tôi thấy Nhà nước đã giải thích rõ ràng, minh bạch về lý do và mục tiêu của việc sửa đổi thuế lần này. - HUMAN-TRU4]]</f>
        <v>7</v>
      </c>
      <c r="AZ127">
        <f t="shared" si="46"/>
        <v>0.66666666666666663</v>
      </c>
      <c r="BA127" s="32">
        <f t="shared" si="47"/>
        <v>0.83333333333333326</v>
      </c>
      <c r="BB127" s="32">
        <f t="shared" si="48"/>
        <v>0.72222222222222221</v>
      </c>
      <c r="BC127" s="7">
        <f t="shared" si="49"/>
        <v>0.79629629629629617</v>
      </c>
      <c r="BD127" s="7">
        <f t="shared" si="50"/>
        <v>0.70370370370370372</v>
      </c>
      <c r="BE127">
        <f>step3_validation[[#This Row],[AI_OUT1]]</f>
        <v>9</v>
      </c>
      <c r="BF127">
        <f t="shared" si="51"/>
        <v>0.88888888888888884</v>
      </c>
      <c r="BG127">
        <f>survey_responses[[#This Row],[Sau khi xem xét các quyền lợi và nghĩa vụ, bạn có ủng hộ và tuân thủ chính sách mới hiện nay? - HUMAN-OUT1]]</f>
        <v>8</v>
      </c>
      <c r="BH127">
        <f t="shared" si="52"/>
        <v>0.77777777777777779</v>
      </c>
      <c r="BI127" s="32">
        <f t="shared" si="53"/>
        <v>1</v>
      </c>
    </row>
    <row r="128" spans="1:61" x14ac:dyDescent="0.45">
      <c r="A128" s="30">
        <f>step3_validation[[#This Row],[Persona_ID]]</f>
        <v>127</v>
      </c>
      <c r="B128" s="31">
        <f>step3_validation[[#This Row],[Used_Seed]]</f>
        <v>12471</v>
      </c>
      <c r="C128" t="str">
        <f>step3_validation[[#This Row],[Gender]]</f>
        <v>Nữ</v>
      </c>
      <c r="D128" t="str">
        <f>survey_responses[[#This Row],[Giới tính của bạn:]]</f>
        <v>Nữ</v>
      </c>
      <c r="E128" t="str">
        <f>step3_validation[[#This Row],[Age_Group]]</f>
        <v>40 - 49</v>
      </c>
      <c r="F128" t="str">
        <f>survey_responses[[#This Row],[Độ tuổi của bạn:]]</f>
        <v>40 - 49</v>
      </c>
      <c r="G128" t="str">
        <f>step3_validation[[#This Row],[Region]]</f>
        <v>Thành thị</v>
      </c>
      <c r="H128" t="str">
        <f>survey_responses[[#This Row],[Khu vực bạn đang sinh sống:]]</f>
        <v>Thành thị</v>
      </c>
      <c r="I128" t="str">
        <f>step3_validation[[#This Row],[Education]]</f>
        <v>Đại học</v>
      </c>
      <c r="J128" t="str">
        <f>survey_responses[[#This Row],[Trình độ học vấn cao nhất:]]</f>
        <v>Đại học</v>
      </c>
      <c r="K128" t="str">
        <f>step3_validation[[#This Row],[Employment]]</f>
        <v>Chính thức</v>
      </c>
      <c r="L128" t="str">
        <f>survey_responses[[#This Row],[Tình trạng việc làm chính:]]</f>
        <v>Khu vực chính thức (Có Hợp đồng lao động, đóng BHXH)</v>
      </c>
      <c r="M128">
        <f>step3_validation[[#This Row],[Income_Mil]]</f>
        <v>198.64462478714378</v>
      </c>
      <c r="N128" t="str">
        <f>survey_responses[[#This Row],[Thu nhập bình quân tháng theo Hợp đồng lao động của bạn là bao nhiêu? (Vui lòng điền tổng thu nhập trước khi khấu trừ các loại Bảo hiểm (BHXH, BHYT, BHTN) và Thuế TNCN)]]</f>
        <v>Trên 102 triệu VNĐ</v>
      </c>
      <c r="O128">
        <f>step3_validation[[#This Row],[Dependents]]</f>
        <v>4</v>
      </c>
      <c r="P128" t="str">
        <f>survey_responses[[#This Row],[Số người phụ thuộc (con nhỏ, cha mẹ già...) đủ điều kiện giảm trừ gia cảnh:]]</f>
        <v>4 người trở lên</v>
      </c>
      <c r="Q128">
        <f>step3_validation[[#This Row],[AI_ENF1]]</f>
        <v>6</v>
      </c>
      <c r="R128">
        <f t="shared" si="27"/>
        <v>0.55555555555555558</v>
      </c>
      <c r="S128">
        <f>survey_responses[[#This Row],[Tôi tin rằng với các quy định quản lý thuế hiện nay, hành vi gian lận hoặc trốn thuế sẽ dễ dàng bị phát hiện và xử lý nghiêm. - HUMAN-ENF1]]</f>
        <v>1</v>
      </c>
      <c r="T128">
        <f t="shared" si="28"/>
        <v>0</v>
      </c>
      <c r="U128">
        <f>step3_validation[[#This Row],[AI_ENF2]]</f>
        <v>7</v>
      </c>
      <c r="V128">
        <f t="shared" si="29"/>
        <v>0.66666666666666663</v>
      </c>
      <c r="W128">
        <f>survey_responses[[#This Row],[Tôi tin rằng Nhà nước, cơ quan thuế có đủ khả năng và công nghệ để phát hiện, xử lý nghiêm các hành vi trốn thuế. - HUMAN-ENF2]]</f>
        <v>1</v>
      </c>
      <c r="X128">
        <f t="shared" si="30"/>
        <v>0</v>
      </c>
      <c r="Y128" s="32">
        <f t="shared" si="31"/>
        <v>0.61111111111111116</v>
      </c>
      <c r="Z128" s="32">
        <f t="shared" si="32"/>
        <v>0</v>
      </c>
      <c r="AA128">
        <f>step3_validation[[#This Row],[AI_FAC1]]</f>
        <v>8</v>
      </c>
      <c r="AB128">
        <f t="shared" si="33"/>
        <v>0.77777777777777779</v>
      </c>
      <c r="AC128">
        <f>survey_responses[[#This Row],[Các thủ tục khai báo thuế VÀ/HOẶC quy trình làm việc với cơ quan thuế đơn giản, tiện lợi, nhanh chóng hơn so với trước đây. - HUMAN-FAC1]]</f>
        <v>1</v>
      </c>
      <c r="AD128">
        <f t="shared" si="34"/>
        <v>0</v>
      </c>
      <c r="AE128">
        <f>step3_validation[[#This Row],[AI_FAC2]]</f>
        <v>9</v>
      </c>
      <c r="AF128">
        <f t="shared" si="35"/>
        <v>0.88888888888888884</v>
      </c>
      <c r="AG128">
        <f>survey_responses[[#This Row],[So với trước đây, tôi thấy cách tính thuế và các bậc thuế trong phương án mới đơn giản, dễ hiểu và dễ thực hiện hơn. - HUMAN-FAC2]]</f>
        <v>5</v>
      </c>
      <c r="AH128">
        <f t="shared" si="36"/>
        <v>0.44444444444444442</v>
      </c>
      <c r="AI128" s="32">
        <f t="shared" si="37"/>
        <v>0.83333333333333326</v>
      </c>
      <c r="AJ128" s="32">
        <f t="shared" si="38"/>
        <v>0.22222222222222221</v>
      </c>
      <c r="AK128">
        <f>step3_validation[[#This Row],[AI_TRU1]]</f>
        <v>7</v>
      </c>
      <c r="AL128">
        <f t="shared" si="39"/>
        <v>0.66666666666666663</v>
      </c>
      <c r="AM128">
        <f>survey_responses[[#This Row],[Tôi tin rằng Nhà nước, cơ quan thuế sẽ thực thi chính sách mới một cách khách quan, công tâm và đối xử bình đẳng với mọi người nộp thuế.  - HUMAN-TRU1]]</f>
        <v>1</v>
      </c>
      <c r="AN128">
        <f t="shared" si="40"/>
        <v>0</v>
      </c>
      <c r="AO128">
        <f>step3_validation[[#This Row],[AI_TRU2]]</f>
        <v>8</v>
      </c>
      <c r="AP128">
        <f t="shared" si="41"/>
        <v>0.77777777777777779</v>
      </c>
      <c r="AQ128">
        <f>survey_responses[[#This Row],[Tôi thấy mức thuế tôi phải đóng theo phương án mới là công bằng (người thu nhập như tôi đóng mức này là hợp lý). - HUMAN-TRU2]]</f>
        <v>1</v>
      </c>
      <c r="AR128">
        <f t="shared" si="42"/>
        <v>0</v>
      </c>
      <c r="AS128">
        <f>step3_validation[[#This Row],[AI_TRU3]]</f>
        <v>7</v>
      </c>
      <c r="AT128">
        <f t="shared" si="43"/>
        <v>0.66666666666666663</v>
      </c>
      <c r="AU128">
        <f>survey_responses[[#This Row],[Tôi tin tưởng số tiền thuế tôi đóng sẽ được Nhà nước sử dụng hiệu quả để cải thiện dịch vụ công (y tế, đường xá...). - HUMAN-TRU3]]</f>
        <v>1</v>
      </c>
      <c r="AV128">
        <f t="shared" si="44"/>
        <v>0</v>
      </c>
      <c r="AW128">
        <f>step3_validation[[#This Row],[AI_TRU4]]</f>
        <v>8</v>
      </c>
      <c r="AX128">
        <f t="shared" si="45"/>
        <v>0.77777777777777779</v>
      </c>
      <c r="AY128">
        <f>survey_responses[[#This Row],[Tôi thấy Nhà nước đã giải thích rõ ràng, minh bạch về lý do và mục tiêu của việc sửa đổi thuế lần này. - HUMAN-TRU4]]</f>
        <v>5</v>
      </c>
      <c r="AZ128">
        <f t="shared" si="46"/>
        <v>0.44444444444444442</v>
      </c>
      <c r="BA128" s="32">
        <f t="shared" si="47"/>
        <v>0.72222222222222221</v>
      </c>
      <c r="BB128" s="32">
        <f t="shared" si="48"/>
        <v>0.1111111111111111</v>
      </c>
      <c r="BC128" s="7">
        <f t="shared" si="49"/>
        <v>0.72222222222222221</v>
      </c>
      <c r="BD128" s="7">
        <f t="shared" si="50"/>
        <v>0.1111111111111111</v>
      </c>
      <c r="BE128">
        <f>step3_validation[[#This Row],[AI_OUT1]]</f>
        <v>9</v>
      </c>
      <c r="BF128">
        <f t="shared" si="51"/>
        <v>0.88888888888888884</v>
      </c>
      <c r="BG128">
        <f>survey_responses[[#This Row],[Sau khi xem xét các quyền lợi và nghĩa vụ, bạn có ủng hộ và tuân thủ chính sách mới hiện nay? - HUMAN-OUT1]]</f>
        <v>5</v>
      </c>
      <c r="BH128">
        <f t="shared" si="52"/>
        <v>0.44444444444444442</v>
      </c>
      <c r="BI128" s="32">
        <f t="shared" si="53"/>
        <v>4</v>
      </c>
    </row>
    <row r="129" spans="1:61" x14ac:dyDescent="0.45">
      <c r="A129" s="30">
        <f>step3_validation[[#This Row],[Persona_ID]]</f>
        <v>128</v>
      </c>
      <c r="B129" s="31">
        <f>step3_validation[[#This Row],[Used_Seed]]</f>
        <v>12472</v>
      </c>
      <c r="C129" t="str">
        <f>step3_validation[[#This Row],[Gender]]</f>
        <v>Nam</v>
      </c>
      <c r="D129" t="str">
        <f>survey_responses[[#This Row],[Giới tính của bạn:]]</f>
        <v>Nam</v>
      </c>
      <c r="E129" t="str">
        <f>step3_validation[[#This Row],[Age_Group]]</f>
        <v>50 - 54</v>
      </c>
      <c r="F129" t="str">
        <f>survey_responses[[#This Row],[Độ tuổi của bạn:]]</f>
        <v>50 - 54</v>
      </c>
      <c r="G129" t="str">
        <f>step3_validation[[#This Row],[Region]]</f>
        <v>Thành thị</v>
      </c>
      <c r="H129" t="str">
        <f>survey_responses[[#This Row],[Khu vực bạn đang sinh sống:]]</f>
        <v>Thành thị</v>
      </c>
      <c r="I129" t="str">
        <f>step3_validation[[#This Row],[Education]]</f>
        <v>Đại học</v>
      </c>
      <c r="J129" t="str">
        <f>survey_responses[[#This Row],[Trình độ học vấn cao nhất:]]</f>
        <v>Đại học</v>
      </c>
      <c r="K129" t="str">
        <f>step3_validation[[#This Row],[Employment]]</f>
        <v>Chính thức</v>
      </c>
      <c r="L129" t="str">
        <f>survey_responses[[#This Row],[Tình trạng việc làm chính:]]</f>
        <v>Khu vực chính thức (Có Hợp đồng lao động, đóng BHXH)</v>
      </c>
      <c r="M129">
        <f>step3_validation[[#This Row],[Income_Mil]]</f>
        <v>117.90727278959787</v>
      </c>
      <c r="N129" t="str">
        <f>survey_responses[[#This Row],[Thu nhập bình quân tháng theo Hợp đồng lao động của bạn là bao nhiêu? (Vui lòng điền tổng thu nhập trước khi khấu trừ các loại Bảo hiểm (BHXH, BHYT, BHTN) và Thuế TNCN)]]</f>
        <v>Trên 102 triệu VNĐ</v>
      </c>
      <c r="O129">
        <f>step3_validation[[#This Row],[Dependents]]</f>
        <v>4</v>
      </c>
      <c r="P129" t="str">
        <f>survey_responses[[#This Row],[Số người phụ thuộc (con nhỏ, cha mẹ già...) đủ điều kiện giảm trừ gia cảnh:]]</f>
        <v>4 người trở lên</v>
      </c>
      <c r="Q129">
        <f>step3_validation[[#This Row],[AI_ENF1]]</f>
        <v>7</v>
      </c>
      <c r="R129">
        <f t="shared" si="27"/>
        <v>0.66666666666666663</v>
      </c>
      <c r="S129">
        <f>survey_responses[[#This Row],[Tôi tin rằng với các quy định quản lý thuế hiện nay, hành vi gian lận hoặc trốn thuế sẽ dễ dàng bị phát hiện và xử lý nghiêm. - HUMAN-ENF1]]</f>
        <v>6</v>
      </c>
      <c r="T129">
        <f t="shared" si="28"/>
        <v>0.55555555555555558</v>
      </c>
      <c r="U129">
        <f>step3_validation[[#This Row],[AI_ENF2]]</f>
        <v>8</v>
      </c>
      <c r="V129">
        <f t="shared" si="29"/>
        <v>0.77777777777777779</v>
      </c>
      <c r="W129">
        <f>survey_responses[[#This Row],[Tôi tin rằng Nhà nước, cơ quan thuế có đủ khả năng và công nghệ để phát hiện, xử lý nghiêm các hành vi trốn thuế. - HUMAN-ENF2]]</f>
        <v>6</v>
      </c>
      <c r="X129">
        <f t="shared" si="30"/>
        <v>0.55555555555555558</v>
      </c>
      <c r="Y129" s="32">
        <f t="shared" si="31"/>
        <v>0.72222222222222221</v>
      </c>
      <c r="Z129" s="32">
        <f t="shared" si="32"/>
        <v>0.55555555555555558</v>
      </c>
      <c r="AA129">
        <f>step3_validation[[#This Row],[AI_FAC1]]</f>
        <v>9</v>
      </c>
      <c r="AB129">
        <f t="shared" si="33"/>
        <v>0.88888888888888884</v>
      </c>
      <c r="AC129">
        <f>survey_responses[[#This Row],[Các thủ tục khai báo thuế VÀ/HOẶC quy trình làm việc với cơ quan thuế đơn giản, tiện lợi, nhanh chóng hơn so với trước đây. - HUMAN-FAC1]]</f>
        <v>6</v>
      </c>
      <c r="AD129">
        <f t="shared" si="34"/>
        <v>0.55555555555555558</v>
      </c>
      <c r="AE129">
        <f>step3_validation[[#This Row],[AI_FAC2]]</f>
        <v>10</v>
      </c>
      <c r="AF129">
        <f t="shared" si="35"/>
        <v>1</v>
      </c>
      <c r="AG129">
        <f>survey_responses[[#This Row],[So với trước đây, tôi thấy cách tính thuế và các bậc thuế trong phương án mới đơn giản, dễ hiểu và dễ thực hiện hơn. - HUMAN-FAC2]]</f>
        <v>8</v>
      </c>
      <c r="AH129">
        <f t="shared" si="36"/>
        <v>0.77777777777777779</v>
      </c>
      <c r="AI129" s="32">
        <f t="shared" si="37"/>
        <v>0.94444444444444442</v>
      </c>
      <c r="AJ129" s="32">
        <f t="shared" si="38"/>
        <v>0.66666666666666674</v>
      </c>
      <c r="AK129">
        <f>step3_validation[[#This Row],[AI_TRU1]]</f>
        <v>9</v>
      </c>
      <c r="AL129">
        <f t="shared" si="39"/>
        <v>0.88888888888888884</v>
      </c>
      <c r="AM129">
        <f>survey_responses[[#This Row],[Tôi tin rằng Nhà nước, cơ quan thuế sẽ thực thi chính sách mới một cách khách quan, công tâm và đối xử bình đẳng với mọi người nộp thuế.  - HUMAN-TRU1]]</f>
        <v>6</v>
      </c>
      <c r="AN129">
        <f t="shared" si="40"/>
        <v>0.55555555555555558</v>
      </c>
      <c r="AO129">
        <f>step3_validation[[#This Row],[AI_TRU2]]</f>
        <v>9</v>
      </c>
      <c r="AP129">
        <f t="shared" si="41"/>
        <v>0.88888888888888884</v>
      </c>
      <c r="AQ129">
        <f>survey_responses[[#This Row],[Tôi thấy mức thuế tôi phải đóng theo phương án mới là công bằng (người thu nhập như tôi đóng mức này là hợp lý). - HUMAN-TRU2]]</f>
        <v>3</v>
      </c>
      <c r="AR129">
        <f t="shared" si="42"/>
        <v>0.22222222222222221</v>
      </c>
      <c r="AS129">
        <f>step3_validation[[#This Row],[AI_TRU3]]</f>
        <v>8</v>
      </c>
      <c r="AT129">
        <f t="shared" si="43"/>
        <v>0.77777777777777779</v>
      </c>
      <c r="AU129">
        <f>survey_responses[[#This Row],[Tôi tin tưởng số tiền thuế tôi đóng sẽ được Nhà nước sử dụng hiệu quả để cải thiện dịch vụ công (y tế, đường xá...). - HUMAN-TRU3]]</f>
        <v>5</v>
      </c>
      <c r="AV129">
        <f t="shared" si="44"/>
        <v>0.44444444444444442</v>
      </c>
      <c r="AW129">
        <f>step3_validation[[#This Row],[AI_TRU4]]</f>
        <v>9</v>
      </c>
      <c r="AX129">
        <f t="shared" si="45"/>
        <v>0.88888888888888884</v>
      </c>
      <c r="AY129">
        <f>survey_responses[[#This Row],[Tôi thấy Nhà nước đã giải thích rõ ràng, minh bạch về lý do và mục tiêu của việc sửa đổi thuế lần này. - HUMAN-TRU4]]</f>
        <v>5</v>
      </c>
      <c r="AZ129">
        <f t="shared" si="46"/>
        <v>0.44444444444444442</v>
      </c>
      <c r="BA129" s="32">
        <f t="shared" si="47"/>
        <v>0.86111111111111105</v>
      </c>
      <c r="BB129" s="32">
        <f t="shared" si="48"/>
        <v>0.41666666666666669</v>
      </c>
      <c r="BC129" s="7">
        <f t="shared" si="49"/>
        <v>0.84259259259259256</v>
      </c>
      <c r="BD129" s="7">
        <f t="shared" si="50"/>
        <v>0.54629629629629639</v>
      </c>
      <c r="BE129">
        <f>step3_validation[[#This Row],[AI_OUT1]]</f>
        <v>10</v>
      </c>
      <c r="BF129">
        <f t="shared" si="51"/>
        <v>1</v>
      </c>
      <c r="BG129">
        <f>survey_responses[[#This Row],[Sau khi xem xét các quyền lợi và nghĩa vụ, bạn có ủng hộ và tuân thủ chính sách mới hiện nay? - HUMAN-OUT1]]</f>
        <v>4</v>
      </c>
      <c r="BH129">
        <f t="shared" si="52"/>
        <v>0.33333333333333331</v>
      </c>
      <c r="BI129" s="32">
        <f t="shared" si="53"/>
        <v>6</v>
      </c>
    </row>
    <row r="130" spans="1:61" x14ac:dyDescent="0.45">
      <c r="A130" s="30">
        <f>step3_validation[[#This Row],[Persona_ID]]</f>
        <v>129</v>
      </c>
      <c r="B130" s="31">
        <f>step3_validation[[#This Row],[Used_Seed]]</f>
        <v>12473</v>
      </c>
      <c r="C130" t="str">
        <f>step3_validation[[#This Row],[Gender]]</f>
        <v>Nam</v>
      </c>
      <c r="D130" t="str">
        <f>survey_responses[[#This Row],[Giới tính của bạn:]]</f>
        <v>Nam</v>
      </c>
      <c r="E130" t="str">
        <f>step3_validation[[#This Row],[Age_Group]]</f>
        <v>50 - 54</v>
      </c>
      <c r="F130" t="str">
        <f>survey_responses[[#This Row],[Độ tuổi của bạn:]]</f>
        <v>50 - 54</v>
      </c>
      <c r="G130" t="str">
        <f>step3_validation[[#This Row],[Region]]</f>
        <v>Thành thị</v>
      </c>
      <c r="H130" t="str">
        <f>survey_responses[[#This Row],[Khu vực bạn đang sinh sống:]]</f>
        <v>Thành thị</v>
      </c>
      <c r="I130" t="str">
        <f>step3_validation[[#This Row],[Education]]</f>
        <v>Sau Đại học</v>
      </c>
      <c r="J130" t="str">
        <f>survey_responses[[#This Row],[Trình độ học vấn cao nhất:]]</f>
        <v>Sau Đại học</v>
      </c>
      <c r="K130" t="str">
        <f>step3_validation[[#This Row],[Employment]]</f>
        <v>Chính thức</v>
      </c>
      <c r="L130" t="str">
        <f>survey_responses[[#This Row],[Tình trạng việc làm chính:]]</f>
        <v>Khu vực chính thức (Có Hợp đồng lao động, đóng BHXH)</v>
      </c>
      <c r="M130">
        <f>step3_validation[[#This Row],[Income_Mil]]</f>
        <v>123.77938844694197</v>
      </c>
      <c r="N130" t="str">
        <f>survey_responses[[#This Row],[Thu nhập bình quân tháng theo Hợp đồng lao động của bạn là bao nhiêu? (Vui lòng điền tổng thu nhập trước khi khấu trừ các loại Bảo hiểm (BHXH, BHYT, BHTN) và Thuế TNCN)]]</f>
        <v>Trên 102 triệu VNĐ</v>
      </c>
      <c r="O130">
        <f>step3_validation[[#This Row],[Dependents]]</f>
        <v>3</v>
      </c>
      <c r="P130" t="str">
        <f>survey_responses[[#This Row],[Số người phụ thuộc (con nhỏ, cha mẹ già...) đủ điều kiện giảm trừ gia cảnh:]]</f>
        <v>3 người</v>
      </c>
      <c r="Q130">
        <f>step3_validation[[#This Row],[AI_ENF1]]</f>
        <v>8</v>
      </c>
      <c r="R130">
        <f t="shared" si="27"/>
        <v>0.77777777777777779</v>
      </c>
      <c r="S130">
        <f>survey_responses[[#This Row],[Tôi tin rằng với các quy định quản lý thuế hiện nay, hành vi gian lận hoặc trốn thuế sẽ dễ dàng bị phát hiện và xử lý nghiêm. - HUMAN-ENF1]]</f>
        <v>6</v>
      </c>
      <c r="T130">
        <f t="shared" si="28"/>
        <v>0.55555555555555558</v>
      </c>
      <c r="U130">
        <f>step3_validation[[#This Row],[AI_ENF2]]</f>
        <v>9</v>
      </c>
      <c r="V130">
        <f t="shared" si="29"/>
        <v>0.88888888888888884</v>
      </c>
      <c r="W130">
        <f>survey_responses[[#This Row],[Tôi tin rằng Nhà nước, cơ quan thuế có đủ khả năng và công nghệ để phát hiện, xử lý nghiêm các hành vi trốn thuế. - HUMAN-ENF2]]</f>
        <v>6</v>
      </c>
      <c r="X130">
        <f t="shared" si="30"/>
        <v>0.55555555555555558</v>
      </c>
      <c r="Y130" s="32">
        <f t="shared" si="31"/>
        <v>0.83333333333333326</v>
      </c>
      <c r="Z130" s="32">
        <f t="shared" si="32"/>
        <v>0.55555555555555558</v>
      </c>
      <c r="AA130">
        <f>step3_validation[[#This Row],[AI_FAC1]]</f>
        <v>7</v>
      </c>
      <c r="AB130">
        <f t="shared" si="33"/>
        <v>0.66666666666666663</v>
      </c>
      <c r="AC130">
        <f>survey_responses[[#This Row],[Các thủ tục khai báo thuế VÀ/HOẶC quy trình làm việc với cơ quan thuế đơn giản, tiện lợi, nhanh chóng hơn so với trước đây. - HUMAN-FAC1]]</f>
        <v>4</v>
      </c>
      <c r="AD130">
        <f t="shared" si="34"/>
        <v>0.33333333333333331</v>
      </c>
      <c r="AE130">
        <f>step3_validation[[#This Row],[AI_FAC2]]</f>
        <v>9</v>
      </c>
      <c r="AF130">
        <f t="shared" si="35"/>
        <v>0.88888888888888884</v>
      </c>
      <c r="AG130">
        <f>survey_responses[[#This Row],[So với trước đây, tôi thấy cách tính thuế và các bậc thuế trong phương án mới đơn giản, dễ hiểu và dễ thực hiện hơn. - HUMAN-FAC2]]</f>
        <v>5</v>
      </c>
      <c r="AH130">
        <f t="shared" si="36"/>
        <v>0.44444444444444442</v>
      </c>
      <c r="AI130" s="32">
        <f t="shared" si="37"/>
        <v>0.77777777777777768</v>
      </c>
      <c r="AJ130" s="32">
        <f t="shared" si="38"/>
        <v>0.38888888888888884</v>
      </c>
      <c r="AK130">
        <f>step3_validation[[#This Row],[AI_TRU1]]</f>
        <v>7</v>
      </c>
      <c r="AL130">
        <f t="shared" si="39"/>
        <v>0.66666666666666663</v>
      </c>
      <c r="AM130">
        <f>survey_responses[[#This Row],[Tôi tin rằng Nhà nước, cơ quan thuế sẽ thực thi chính sách mới một cách khách quan, công tâm và đối xử bình đẳng với mọi người nộp thuế.  - HUMAN-TRU1]]</f>
        <v>5</v>
      </c>
      <c r="AN130">
        <f t="shared" si="40"/>
        <v>0.44444444444444442</v>
      </c>
      <c r="AO130">
        <f>step3_validation[[#This Row],[AI_TRU2]]</f>
        <v>8</v>
      </c>
      <c r="AP130">
        <f t="shared" si="41"/>
        <v>0.77777777777777779</v>
      </c>
      <c r="AQ130">
        <f>survey_responses[[#This Row],[Tôi thấy mức thuế tôi phải đóng theo phương án mới là công bằng (người thu nhập như tôi đóng mức này là hợp lý). - HUMAN-TRU2]]</f>
        <v>1</v>
      </c>
      <c r="AR130">
        <f t="shared" si="42"/>
        <v>0</v>
      </c>
      <c r="AS130">
        <f>step3_validation[[#This Row],[AI_TRU3]]</f>
        <v>7</v>
      </c>
      <c r="AT130">
        <f t="shared" si="43"/>
        <v>0.66666666666666663</v>
      </c>
      <c r="AU130">
        <f>survey_responses[[#This Row],[Tôi tin tưởng số tiền thuế tôi đóng sẽ được Nhà nước sử dụng hiệu quả để cải thiện dịch vụ công (y tế, đường xá...). - HUMAN-TRU3]]</f>
        <v>5</v>
      </c>
      <c r="AV130">
        <f t="shared" si="44"/>
        <v>0.44444444444444442</v>
      </c>
      <c r="AW130">
        <f>step3_validation[[#This Row],[AI_TRU4]]</f>
        <v>8</v>
      </c>
      <c r="AX130">
        <f t="shared" si="45"/>
        <v>0.77777777777777779</v>
      </c>
      <c r="AY130">
        <f>survey_responses[[#This Row],[Tôi thấy Nhà nước đã giải thích rõ ràng, minh bạch về lý do và mục tiêu của việc sửa đổi thuế lần này. - HUMAN-TRU4]]</f>
        <v>4</v>
      </c>
      <c r="AZ130">
        <f t="shared" si="46"/>
        <v>0.33333333333333331</v>
      </c>
      <c r="BA130" s="32">
        <f t="shared" si="47"/>
        <v>0.72222222222222221</v>
      </c>
      <c r="BB130" s="32">
        <f t="shared" si="48"/>
        <v>0.30555555555555552</v>
      </c>
      <c r="BC130" s="7">
        <f t="shared" si="49"/>
        <v>0.77777777777777768</v>
      </c>
      <c r="BD130" s="7">
        <f t="shared" si="50"/>
        <v>0.41666666666666669</v>
      </c>
      <c r="BE130">
        <f>step3_validation[[#This Row],[AI_OUT1]]</f>
        <v>9</v>
      </c>
      <c r="BF130">
        <f t="shared" si="51"/>
        <v>0.88888888888888884</v>
      </c>
      <c r="BG130">
        <f>survey_responses[[#This Row],[Sau khi xem xét các quyền lợi và nghĩa vụ, bạn có ủng hộ và tuân thủ chính sách mới hiện nay? - HUMAN-OUT1]]</f>
        <v>5</v>
      </c>
      <c r="BH130">
        <f t="shared" si="52"/>
        <v>0.44444444444444442</v>
      </c>
      <c r="BI130" s="32">
        <f t="shared" si="53"/>
        <v>4</v>
      </c>
    </row>
    <row r="131" spans="1:61" x14ac:dyDescent="0.45">
      <c r="A131" s="30">
        <f>step3_validation[[#This Row],[Persona_ID]]</f>
        <v>130</v>
      </c>
      <c r="B131" s="31">
        <f>step3_validation[[#This Row],[Used_Seed]]</f>
        <v>12474</v>
      </c>
      <c r="C131" t="str">
        <f>step3_validation[[#This Row],[Gender]]</f>
        <v>Nữ</v>
      </c>
      <c r="D131" t="str">
        <f>survey_responses[[#This Row],[Giới tính của bạn:]]</f>
        <v>Nữ</v>
      </c>
      <c r="E131" t="str">
        <f>step3_validation[[#This Row],[Age_Group]]</f>
        <v>55 - 64</v>
      </c>
      <c r="F131" t="str">
        <f>survey_responses[[#This Row],[Độ tuổi của bạn:]]</f>
        <v>55 - 64</v>
      </c>
      <c r="G131" t="str">
        <f>step3_validation[[#This Row],[Region]]</f>
        <v>Thành thị</v>
      </c>
      <c r="H131" t="str">
        <f>survey_responses[[#This Row],[Khu vực bạn đang sinh sống:]]</f>
        <v>Thành thị</v>
      </c>
      <c r="I131" t="str">
        <f>step3_validation[[#This Row],[Education]]</f>
        <v>Sau Đại học</v>
      </c>
      <c r="J131" t="str">
        <f>survey_responses[[#This Row],[Trình độ học vấn cao nhất:]]</f>
        <v>Sau Đại học</v>
      </c>
      <c r="K131" t="str">
        <f>step3_validation[[#This Row],[Employment]]</f>
        <v>Chính thức</v>
      </c>
      <c r="L131" t="str">
        <f>survey_responses[[#This Row],[Tình trạng việc làm chính:]]</f>
        <v>Khu vực chính thức (Có Hợp đồng lao động, đóng BHXH)</v>
      </c>
      <c r="M131">
        <f>step3_validation[[#This Row],[Income_Mil]]</f>
        <v>76.963883500430342</v>
      </c>
      <c r="N131" t="str">
        <f>survey_responses[[#This Row],[Thu nhập bình quân tháng theo Hợp đồng lao động của bạn là bao nhiêu? (Vui lòng điền tổng thu nhập trước khi khấu trừ các loại Bảo hiểm (BHXH, BHYT, BHTN) và Thuế TNCN)]]</f>
        <v>Từ 70 - 102 triệu VNĐ</v>
      </c>
      <c r="O131">
        <f>step3_validation[[#This Row],[Dependents]]</f>
        <v>2</v>
      </c>
      <c r="P131" t="str">
        <f>survey_responses[[#This Row],[Số người phụ thuộc (con nhỏ, cha mẹ già...) đủ điều kiện giảm trừ gia cảnh:]]</f>
        <v>2 người</v>
      </c>
      <c r="Q131">
        <f>step3_validation[[#This Row],[AI_ENF1]]</f>
        <v>6</v>
      </c>
      <c r="R131">
        <f t="shared" ref="R131:R194" si="54">(Q131-1)/9</f>
        <v>0.55555555555555558</v>
      </c>
      <c r="S131">
        <f>survey_responses[[#This Row],[Tôi tin rằng với các quy định quản lý thuế hiện nay, hành vi gian lận hoặc trốn thuế sẽ dễ dàng bị phát hiện và xử lý nghiêm. - HUMAN-ENF1]]</f>
        <v>5</v>
      </c>
      <c r="T131">
        <f t="shared" ref="T131:T194" si="55">(S131-1)/9</f>
        <v>0.44444444444444442</v>
      </c>
      <c r="U131">
        <f>step3_validation[[#This Row],[AI_ENF2]]</f>
        <v>7</v>
      </c>
      <c r="V131">
        <f t="shared" ref="V131:V194" si="56">(U131-1)/9</f>
        <v>0.66666666666666663</v>
      </c>
      <c r="W131">
        <f>survey_responses[[#This Row],[Tôi tin rằng Nhà nước, cơ quan thuế có đủ khả năng và công nghệ để phát hiện, xử lý nghiêm các hành vi trốn thuế. - HUMAN-ENF2]]</f>
        <v>5</v>
      </c>
      <c r="X131">
        <f t="shared" ref="X131:X194" si="57">(W131-1)/9</f>
        <v>0.44444444444444442</v>
      </c>
      <c r="Y131" s="32">
        <f t="shared" ref="Y131:Y194" si="58">AVERAGE(R131,V131)</f>
        <v>0.61111111111111116</v>
      </c>
      <c r="Z131" s="32">
        <f t="shared" ref="Z131:Z194" si="59">AVERAGE(T131,X131)</f>
        <v>0.44444444444444442</v>
      </c>
      <c r="AA131">
        <f>step3_validation[[#This Row],[AI_FAC1]]</f>
        <v>8</v>
      </c>
      <c r="AB131">
        <f t="shared" ref="AB131:AB194" si="60">(AA131-1)/9</f>
        <v>0.77777777777777779</v>
      </c>
      <c r="AC131">
        <f>survey_responses[[#This Row],[Các thủ tục khai báo thuế VÀ/HOẶC quy trình làm việc với cơ quan thuế đơn giản, tiện lợi, nhanh chóng hơn so với trước đây. - HUMAN-FAC1]]</f>
        <v>1</v>
      </c>
      <c r="AD131">
        <f t="shared" ref="AD131:AD194" si="61">(AC131-1)/9</f>
        <v>0</v>
      </c>
      <c r="AE131">
        <f>step3_validation[[#This Row],[AI_FAC2]]</f>
        <v>9</v>
      </c>
      <c r="AF131">
        <f t="shared" ref="AF131:AF194" si="62">(AE131-1)/9</f>
        <v>0.88888888888888884</v>
      </c>
      <c r="AG131">
        <f>survey_responses[[#This Row],[So với trước đây, tôi thấy cách tính thuế và các bậc thuế trong phương án mới đơn giản, dễ hiểu và dễ thực hiện hơn. - HUMAN-FAC2]]</f>
        <v>4</v>
      </c>
      <c r="AH131">
        <f t="shared" ref="AH131:AH194" si="63">(AG131-1)/9</f>
        <v>0.33333333333333331</v>
      </c>
      <c r="AI131" s="32">
        <f t="shared" ref="AI131:AI194" si="64">AVERAGE(AB131,AF131)</f>
        <v>0.83333333333333326</v>
      </c>
      <c r="AJ131" s="32">
        <f t="shared" ref="AJ131:AJ194" si="65">AVERAGE(AD131,AH131)</f>
        <v>0.16666666666666666</v>
      </c>
      <c r="AK131">
        <f>step3_validation[[#This Row],[AI_TRU1]]</f>
        <v>7</v>
      </c>
      <c r="AL131">
        <f t="shared" ref="AL131:AL194" si="66">(AK131-1)/9</f>
        <v>0.66666666666666663</v>
      </c>
      <c r="AM131">
        <f>survey_responses[[#This Row],[Tôi tin rằng Nhà nước, cơ quan thuế sẽ thực thi chính sách mới một cách khách quan, công tâm và đối xử bình đẳng với mọi người nộp thuế.  - HUMAN-TRU1]]</f>
        <v>2</v>
      </c>
      <c r="AN131">
        <f t="shared" ref="AN131:AN194" si="67">(AM131-1)/9</f>
        <v>0.1111111111111111</v>
      </c>
      <c r="AO131">
        <f>step3_validation[[#This Row],[AI_TRU2]]</f>
        <v>8</v>
      </c>
      <c r="AP131">
        <f t="shared" ref="AP131:AP194" si="68">(AO131-1)/9</f>
        <v>0.77777777777777779</v>
      </c>
      <c r="AQ131">
        <f>survey_responses[[#This Row],[Tôi thấy mức thuế tôi phải đóng theo phương án mới là công bằng (người thu nhập như tôi đóng mức này là hợp lý). - HUMAN-TRU2]]</f>
        <v>1</v>
      </c>
      <c r="AR131">
        <f t="shared" ref="AR131:AR194" si="69">(AQ131-1)/9</f>
        <v>0</v>
      </c>
      <c r="AS131">
        <f>step3_validation[[#This Row],[AI_TRU3]]</f>
        <v>6</v>
      </c>
      <c r="AT131">
        <f t="shared" ref="AT131:AT194" si="70">(AS131-1)/9</f>
        <v>0.55555555555555558</v>
      </c>
      <c r="AU131">
        <f>survey_responses[[#This Row],[Tôi tin tưởng số tiền thuế tôi đóng sẽ được Nhà nước sử dụng hiệu quả để cải thiện dịch vụ công (y tế, đường xá...). - HUMAN-TRU3]]</f>
        <v>1</v>
      </c>
      <c r="AV131">
        <f t="shared" ref="AV131:AV194" si="71">(AU131-1)/9</f>
        <v>0</v>
      </c>
      <c r="AW131">
        <f>step3_validation[[#This Row],[AI_TRU4]]</f>
        <v>7</v>
      </c>
      <c r="AX131">
        <f t="shared" ref="AX131:AX194" si="72">(AW131-1)/9</f>
        <v>0.66666666666666663</v>
      </c>
      <c r="AY131">
        <f>survey_responses[[#This Row],[Tôi thấy Nhà nước đã giải thích rõ ràng, minh bạch về lý do và mục tiêu của việc sửa đổi thuế lần này. - HUMAN-TRU4]]</f>
        <v>1</v>
      </c>
      <c r="AZ131">
        <f t="shared" ref="AZ131:AZ194" si="73">(AY131-1)/9</f>
        <v>0</v>
      </c>
      <c r="BA131" s="32">
        <f t="shared" ref="BA131:BA194" si="74">AVERAGE(AL131,AP131,AT131,AX131)</f>
        <v>0.66666666666666663</v>
      </c>
      <c r="BB131" s="32">
        <f t="shared" ref="BB131:BB194" si="75">AVERAGE(AN131,AR131,AV131,AZ131)</f>
        <v>2.7777777777777776E-2</v>
      </c>
      <c r="BC131" s="7">
        <f t="shared" ref="BC131:BC194" si="76">(Y131+AI131+BA131)/3</f>
        <v>0.70370370370370372</v>
      </c>
      <c r="BD131" s="7">
        <f t="shared" ref="BD131:BD194" si="77">(Z131+AJ131+BB131)/3</f>
        <v>0.21296296296296294</v>
      </c>
      <c r="BE131">
        <f>step3_validation[[#This Row],[AI_OUT1]]</f>
        <v>9</v>
      </c>
      <c r="BF131">
        <f t="shared" ref="BF131:BF194" si="78">(BE131-1)/9</f>
        <v>0.88888888888888884</v>
      </c>
      <c r="BG131">
        <f>survey_responses[[#This Row],[Sau khi xem xét các quyền lợi và nghĩa vụ, bạn có ủng hộ và tuân thủ chính sách mới hiện nay? - HUMAN-OUT1]]</f>
        <v>5</v>
      </c>
      <c r="BH131">
        <f t="shared" ref="BH131:BH194" si="79">(BG131-1)/9</f>
        <v>0.44444444444444442</v>
      </c>
      <c r="BI131" s="32">
        <f t="shared" ref="BI131:BI194" si="80">ABS(BG131-BE131)</f>
        <v>4</v>
      </c>
    </row>
    <row r="132" spans="1:61" x14ac:dyDescent="0.45">
      <c r="A132" s="30">
        <f>step3_validation[[#This Row],[Persona_ID]]</f>
        <v>131</v>
      </c>
      <c r="B132" s="31">
        <f>step3_validation[[#This Row],[Used_Seed]]</f>
        <v>12475</v>
      </c>
      <c r="C132" t="str">
        <f>step3_validation[[#This Row],[Gender]]</f>
        <v>Nữ</v>
      </c>
      <c r="D132" t="str">
        <f>survey_responses[[#This Row],[Giới tính của bạn:]]</f>
        <v>Nữ</v>
      </c>
      <c r="E132" t="str">
        <f>step3_validation[[#This Row],[Age_Group]]</f>
        <v>30 - 39</v>
      </c>
      <c r="F132" t="str">
        <f>survey_responses[[#This Row],[Độ tuổi của bạn:]]</f>
        <v>30 - 39</v>
      </c>
      <c r="G132" t="str">
        <f>step3_validation[[#This Row],[Region]]</f>
        <v>Thành thị</v>
      </c>
      <c r="H132" t="str">
        <f>survey_responses[[#This Row],[Khu vực bạn đang sinh sống:]]</f>
        <v>Thành thị</v>
      </c>
      <c r="I132" t="str">
        <f>step3_validation[[#This Row],[Education]]</f>
        <v>Sau Đại học</v>
      </c>
      <c r="J132" t="str">
        <f>survey_responses[[#This Row],[Trình độ học vấn cao nhất:]]</f>
        <v>Sau Đại học</v>
      </c>
      <c r="K132" t="str">
        <f>step3_validation[[#This Row],[Employment]]</f>
        <v>Chính thức</v>
      </c>
      <c r="L132" t="str">
        <f>survey_responses[[#This Row],[Tình trạng việc làm chính:]]</f>
        <v>Khu vực chính thức (Có Hợp đồng lao động, đóng BHXH)</v>
      </c>
      <c r="M132">
        <f>step3_validation[[#This Row],[Income_Mil]]</f>
        <v>83.111831894022401</v>
      </c>
      <c r="N132" t="str">
        <f>survey_responses[[#This Row],[Thu nhập bình quân tháng theo Hợp đồng lao động của bạn là bao nhiêu? (Vui lòng điền tổng thu nhập trước khi khấu trừ các loại Bảo hiểm (BHXH, BHYT, BHTN) và Thuế TNCN)]]</f>
        <v>Từ 70 - 102 triệu VNĐ</v>
      </c>
      <c r="O132">
        <f>step3_validation[[#This Row],[Dependents]]</f>
        <v>1</v>
      </c>
      <c r="P132" t="str">
        <f>survey_responses[[#This Row],[Số người phụ thuộc (con nhỏ, cha mẹ già...) đủ điều kiện giảm trừ gia cảnh:]]</f>
        <v>1 người</v>
      </c>
      <c r="Q132">
        <f>step3_validation[[#This Row],[AI_ENF1]]</f>
        <v>8</v>
      </c>
      <c r="R132">
        <f t="shared" si="54"/>
        <v>0.77777777777777779</v>
      </c>
      <c r="S132">
        <f>survey_responses[[#This Row],[Tôi tin rằng với các quy định quản lý thuế hiện nay, hành vi gian lận hoặc trốn thuế sẽ dễ dàng bị phát hiện và xử lý nghiêm. - HUMAN-ENF1]]</f>
        <v>8</v>
      </c>
      <c r="T132">
        <f t="shared" si="55"/>
        <v>0.77777777777777779</v>
      </c>
      <c r="U132">
        <f>step3_validation[[#This Row],[AI_ENF2]]</f>
        <v>7</v>
      </c>
      <c r="V132">
        <f t="shared" si="56"/>
        <v>0.66666666666666663</v>
      </c>
      <c r="W132">
        <f>survey_responses[[#This Row],[Tôi tin rằng Nhà nước, cơ quan thuế có đủ khả năng và công nghệ để phát hiện, xử lý nghiêm các hành vi trốn thuế. - HUMAN-ENF2]]</f>
        <v>9</v>
      </c>
      <c r="X132">
        <f t="shared" si="57"/>
        <v>0.88888888888888884</v>
      </c>
      <c r="Y132" s="32">
        <f t="shared" si="58"/>
        <v>0.72222222222222221</v>
      </c>
      <c r="Z132" s="32">
        <f t="shared" si="59"/>
        <v>0.83333333333333326</v>
      </c>
      <c r="AA132">
        <f>step3_validation[[#This Row],[AI_FAC1]]</f>
        <v>7</v>
      </c>
      <c r="AB132">
        <f t="shared" si="60"/>
        <v>0.66666666666666663</v>
      </c>
      <c r="AC132">
        <f>survey_responses[[#This Row],[Các thủ tục khai báo thuế VÀ/HOẶC quy trình làm việc với cơ quan thuế đơn giản, tiện lợi, nhanh chóng hơn so với trước đây. - HUMAN-FAC1]]</f>
        <v>5</v>
      </c>
      <c r="AD132">
        <f t="shared" si="61"/>
        <v>0.44444444444444442</v>
      </c>
      <c r="AE132">
        <f>step3_validation[[#This Row],[AI_FAC2]]</f>
        <v>8</v>
      </c>
      <c r="AF132">
        <f t="shared" si="62"/>
        <v>0.77777777777777779</v>
      </c>
      <c r="AG132">
        <f>survey_responses[[#This Row],[So với trước đây, tôi thấy cách tính thuế và các bậc thuế trong phương án mới đơn giản, dễ hiểu và dễ thực hiện hơn. - HUMAN-FAC2]]</f>
        <v>5</v>
      </c>
      <c r="AH132">
        <f t="shared" si="63"/>
        <v>0.44444444444444442</v>
      </c>
      <c r="AI132" s="32">
        <f t="shared" si="64"/>
        <v>0.72222222222222221</v>
      </c>
      <c r="AJ132" s="32">
        <f t="shared" si="65"/>
        <v>0.44444444444444442</v>
      </c>
      <c r="AK132">
        <f>step3_validation[[#This Row],[AI_TRU1]]</f>
        <v>9</v>
      </c>
      <c r="AL132">
        <f t="shared" si="66"/>
        <v>0.88888888888888884</v>
      </c>
      <c r="AM132">
        <f>survey_responses[[#This Row],[Tôi tin rằng Nhà nước, cơ quan thuế sẽ thực thi chính sách mới một cách khách quan, công tâm và đối xử bình đẳng với mọi người nộp thuế.  - HUMAN-TRU1]]</f>
        <v>5</v>
      </c>
      <c r="AN132">
        <f t="shared" si="67"/>
        <v>0.44444444444444442</v>
      </c>
      <c r="AO132">
        <f>step3_validation[[#This Row],[AI_TRU2]]</f>
        <v>9</v>
      </c>
      <c r="AP132">
        <f t="shared" si="68"/>
        <v>0.88888888888888884</v>
      </c>
      <c r="AQ132">
        <f>survey_responses[[#This Row],[Tôi thấy mức thuế tôi phải đóng theo phương án mới là công bằng (người thu nhập như tôi đóng mức này là hợp lý). - HUMAN-TRU2]]</f>
        <v>4</v>
      </c>
      <c r="AR132">
        <f t="shared" si="69"/>
        <v>0.33333333333333331</v>
      </c>
      <c r="AS132">
        <f>step3_validation[[#This Row],[AI_TRU3]]</f>
        <v>8</v>
      </c>
      <c r="AT132">
        <f t="shared" si="70"/>
        <v>0.77777777777777779</v>
      </c>
      <c r="AU132">
        <f>survey_responses[[#This Row],[Tôi tin tưởng số tiền thuế tôi đóng sẽ được Nhà nước sử dụng hiệu quả để cải thiện dịch vụ công (y tế, đường xá...). - HUMAN-TRU3]]</f>
        <v>5</v>
      </c>
      <c r="AV132">
        <f t="shared" si="71"/>
        <v>0.44444444444444442</v>
      </c>
      <c r="AW132">
        <f>step3_validation[[#This Row],[AI_TRU4]]</f>
        <v>7</v>
      </c>
      <c r="AX132">
        <f t="shared" si="72"/>
        <v>0.66666666666666663</v>
      </c>
      <c r="AY132">
        <f>survey_responses[[#This Row],[Tôi thấy Nhà nước đã giải thích rõ ràng, minh bạch về lý do và mục tiêu của việc sửa đổi thuế lần này. - HUMAN-TRU4]]</f>
        <v>5</v>
      </c>
      <c r="AZ132">
        <f t="shared" si="73"/>
        <v>0.44444444444444442</v>
      </c>
      <c r="BA132" s="32">
        <f t="shared" si="74"/>
        <v>0.80555555555555547</v>
      </c>
      <c r="BB132" s="32">
        <f t="shared" si="75"/>
        <v>0.41666666666666663</v>
      </c>
      <c r="BC132" s="7">
        <f t="shared" si="76"/>
        <v>0.75</v>
      </c>
      <c r="BD132" s="7">
        <f t="shared" si="77"/>
        <v>0.56481481481481477</v>
      </c>
      <c r="BE132">
        <f>step3_validation[[#This Row],[AI_OUT1]]</f>
        <v>9</v>
      </c>
      <c r="BF132">
        <f t="shared" si="78"/>
        <v>0.88888888888888884</v>
      </c>
      <c r="BG132">
        <f>survey_responses[[#This Row],[Sau khi xem xét các quyền lợi và nghĩa vụ, bạn có ủng hộ và tuân thủ chính sách mới hiện nay? - HUMAN-OUT1]]</f>
        <v>5</v>
      </c>
      <c r="BH132">
        <f t="shared" si="79"/>
        <v>0.44444444444444442</v>
      </c>
      <c r="BI132" s="32">
        <f t="shared" si="80"/>
        <v>4</v>
      </c>
    </row>
    <row r="133" spans="1:61" x14ac:dyDescent="0.45">
      <c r="A133" s="30">
        <f>step3_validation[[#This Row],[Persona_ID]]</f>
        <v>132</v>
      </c>
      <c r="B133" s="31">
        <f>step3_validation[[#This Row],[Used_Seed]]</f>
        <v>12476</v>
      </c>
      <c r="C133" t="str">
        <f>step3_validation[[#This Row],[Gender]]</f>
        <v>Nam</v>
      </c>
      <c r="D133" t="str">
        <f>survey_responses[[#This Row],[Giới tính của bạn:]]</f>
        <v>Nam</v>
      </c>
      <c r="E133" t="str">
        <f>step3_validation[[#This Row],[Age_Group]]</f>
        <v>18 - 24</v>
      </c>
      <c r="F133" t="str">
        <f>survey_responses[[#This Row],[Độ tuổi của bạn:]]</f>
        <v>18 - 24</v>
      </c>
      <c r="G133" t="str">
        <f>step3_validation[[#This Row],[Region]]</f>
        <v>Thành thị</v>
      </c>
      <c r="H133" t="str">
        <f>survey_responses[[#This Row],[Khu vực bạn đang sinh sống:]]</f>
        <v>Thành thị</v>
      </c>
      <c r="I133" t="str">
        <f>step3_validation[[#This Row],[Education]]</f>
        <v>Đại học</v>
      </c>
      <c r="J133" t="str">
        <f>survey_responses[[#This Row],[Trình độ học vấn cao nhất:]]</f>
        <v>Đại học</v>
      </c>
      <c r="K133" t="str">
        <f>step3_validation[[#This Row],[Employment]]</f>
        <v>Chính thức</v>
      </c>
      <c r="L133" t="str">
        <f>survey_responses[[#This Row],[Tình trạng việc làm chính:]]</f>
        <v>Khu vực chính thức (Có Hợp đồng lao động, đóng BHXH)</v>
      </c>
      <c r="M133">
        <f>step3_validation[[#This Row],[Income_Mil]]</f>
        <v>12.677340809925916</v>
      </c>
      <c r="N133" t="str">
        <f>survey_responses[[#This Row],[Thu nhập bình quân tháng theo Hợp đồng lao động của bạn là bao nhiêu? (Vui lòng điền tổng thu nhập trước khi khấu trừ các loại Bảo hiểm (BHXH, BHYT, BHTN) và Thuế TNCN)]]</f>
        <v>Từ 12 - 18 triệu VNĐ</v>
      </c>
      <c r="O133">
        <f>step3_validation[[#This Row],[Dependents]]</f>
        <v>0</v>
      </c>
      <c r="P133" t="str">
        <f>survey_responses[[#This Row],[Số người phụ thuộc (con nhỏ, cha mẹ già...) đủ điều kiện giảm trừ gia cảnh:]]</f>
        <v>0 người</v>
      </c>
      <c r="Q133">
        <f>step3_validation[[#This Row],[AI_ENF1]]</f>
        <v>7</v>
      </c>
      <c r="R133">
        <f t="shared" si="54"/>
        <v>0.66666666666666663</v>
      </c>
      <c r="S133">
        <f>survey_responses[[#This Row],[Tôi tin rằng với các quy định quản lý thuế hiện nay, hành vi gian lận hoặc trốn thuế sẽ dễ dàng bị phát hiện và xử lý nghiêm. - HUMAN-ENF1]]</f>
        <v>9</v>
      </c>
      <c r="T133">
        <f t="shared" si="55"/>
        <v>0.88888888888888884</v>
      </c>
      <c r="U133">
        <f>step3_validation[[#This Row],[AI_ENF2]]</f>
        <v>8</v>
      </c>
      <c r="V133">
        <f t="shared" si="56"/>
        <v>0.77777777777777779</v>
      </c>
      <c r="W133">
        <f>survey_responses[[#This Row],[Tôi tin rằng Nhà nước, cơ quan thuế có đủ khả năng và công nghệ để phát hiện, xử lý nghiêm các hành vi trốn thuế. - HUMAN-ENF2]]</f>
        <v>9</v>
      </c>
      <c r="X133">
        <f t="shared" si="57"/>
        <v>0.88888888888888884</v>
      </c>
      <c r="Y133" s="32">
        <f t="shared" si="58"/>
        <v>0.72222222222222221</v>
      </c>
      <c r="Z133" s="32">
        <f t="shared" si="59"/>
        <v>0.88888888888888884</v>
      </c>
      <c r="AA133">
        <f>step3_validation[[#This Row],[AI_FAC1]]</f>
        <v>6</v>
      </c>
      <c r="AB133">
        <f t="shared" si="60"/>
        <v>0.55555555555555558</v>
      </c>
      <c r="AC133">
        <f>survey_responses[[#This Row],[Các thủ tục khai báo thuế VÀ/HOẶC quy trình làm việc với cơ quan thuế đơn giản, tiện lợi, nhanh chóng hơn so với trước đây. - HUMAN-FAC1]]</f>
        <v>9</v>
      </c>
      <c r="AD133">
        <f t="shared" si="61"/>
        <v>0.88888888888888884</v>
      </c>
      <c r="AE133">
        <f>step3_validation[[#This Row],[AI_FAC2]]</f>
        <v>9</v>
      </c>
      <c r="AF133">
        <f t="shared" si="62"/>
        <v>0.88888888888888884</v>
      </c>
      <c r="AG133">
        <f>survey_responses[[#This Row],[So với trước đây, tôi thấy cách tính thuế và các bậc thuế trong phương án mới đơn giản, dễ hiểu và dễ thực hiện hơn. - HUMAN-FAC2]]</f>
        <v>9</v>
      </c>
      <c r="AH133">
        <f t="shared" si="63"/>
        <v>0.88888888888888884</v>
      </c>
      <c r="AI133" s="32">
        <f t="shared" si="64"/>
        <v>0.72222222222222221</v>
      </c>
      <c r="AJ133" s="32">
        <f t="shared" si="65"/>
        <v>0.88888888888888884</v>
      </c>
      <c r="AK133">
        <f>step3_validation[[#This Row],[AI_TRU1]]</f>
        <v>7</v>
      </c>
      <c r="AL133">
        <f t="shared" si="66"/>
        <v>0.66666666666666663</v>
      </c>
      <c r="AM133">
        <f>survey_responses[[#This Row],[Tôi tin rằng Nhà nước, cơ quan thuế sẽ thực thi chính sách mới một cách khách quan, công tâm và đối xử bình đẳng với mọi người nộp thuế.  - HUMAN-TRU1]]</f>
        <v>7</v>
      </c>
      <c r="AN133">
        <f t="shared" si="67"/>
        <v>0.66666666666666663</v>
      </c>
      <c r="AO133">
        <f>step3_validation[[#This Row],[AI_TRU2]]</f>
        <v>9</v>
      </c>
      <c r="AP133">
        <f t="shared" si="68"/>
        <v>0.88888888888888884</v>
      </c>
      <c r="AQ133">
        <f>survey_responses[[#This Row],[Tôi thấy mức thuế tôi phải đóng theo phương án mới là công bằng (người thu nhập như tôi đóng mức này là hợp lý). - HUMAN-TRU2]]</f>
        <v>10</v>
      </c>
      <c r="AR133">
        <f t="shared" si="69"/>
        <v>1</v>
      </c>
      <c r="AS133">
        <f>step3_validation[[#This Row],[AI_TRU3]]</f>
        <v>7</v>
      </c>
      <c r="AT133">
        <f t="shared" si="70"/>
        <v>0.66666666666666663</v>
      </c>
      <c r="AU133">
        <f>survey_responses[[#This Row],[Tôi tin tưởng số tiền thuế tôi đóng sẽ được Nhà nước sử dụng hiệu quả để cải thiện dịch vụ công (y tế, đường xá...). - HUMAN-TRU3]]</f>
        <v>5</v>
      </c>
      <c r="AV133">
        <f t="shared" si="71"/>
        <v>0.44444444444444442</v>
      </c>
      <c r="AW133">
        <f>step3_validation[[#This Row],[AI_TRU4]]</f>
        <v>8</v>
      </c>
      <c r="AX133">
        <f t="shared" si="72"/>
        <v>0.77777777777777779</v>
      </c>
      <c r="AY133">
        <f>survey_responses[[#This Row],[Tôi thấy Nhà nước đã giải thích rõ ràng, minh bạch về lý do và mục tiêu của việc sửa đổi thuế lần này. - HUMAN-TRU4]]</f>
        <v>5</v>
      </c>
      <c r="AZ133">
        <f t="shared" si="73"/>
        <v>0.44444444444444442</v>
      </c>
      <c r="BA133" s="32">
        <f t="shared" si="74"/>
        <v>0.74999999999999989</v>
      </c>
      <c r="BB133" s="32">
        <f t="shared" si="75"/>
        <v>0.63888888888888884</v>
      </c>
      <c r="BC133" s="7">
        <f t="shared" si="76"/>
        <v>0.7314814814814814</v>
      </c>
      <c r="BD133" s="7">
        <f t="shared" si="77"/>
        <v>0.80555555555555547</v>
      </c>
      <c r="BE133">
        <f>step3_validation[[#This Row],[AI_OUT1]]</f>
        <v>9</v>
      </c>
      <c r="BF133">
        <f t="shared" si="78"/>
        <v>0.88888888888888884</v>
      </c>
      <c r="BG133">
        <f>survey_responses[[#This Row],[Sau khi xem xét các quyền lợi và nghĩa vụ, bạn có ủng hộ và tuân thủ chính sách mới hiện nay? - HUMAN-OUT1]]</f>
        <v>9</v>
      </c>
      <c r="BH133">
        <f t="shared" si="79"/>
        <v>0.88888888888888884</v>
      </c>
      <c r="BI133" s="32">
        <f t="shared" si="80"/>
        <v>0</v>
      </c>
    </row>
    <row r="134" spans="1:61" x14ac:dyDescent="0.45">
      <c r="A134" s="30">
        <f>step3_validation[[#This Row],[Persona_ID]]</f>
        <v>133</v>
      </c>
      <c r="B134" s="31">
        <f>step3_validation[[#This Row],[Used_Seed]]</f>
        <v>12477</v>
      </c>
      <c r="C134" t="str">
        <f>step3_validation[[#This Row],[Gender]]</f>
        <v>Nam</v>
      </c>
      <c r="D134" t="str">
        <f>survey_responses[[#This Row],[Giới tính của bạn:]]</f>
        <v>Nam</v>
      </c>
      <c r="E134" t="str">
        <f>step3_validation[[#This Row],[Age_Group]]</f>
        <v>25 - 29</v>
      </c>
      <c r="F134" t="str">
        <f>survey_responses[[#This Row],[Độ tuổi của bạn:]]</f>
        <v>25 - 29</v>
      </c>
      <c r="G134" t="str">
        <f>step3_validation[[#This Row],[Region]]</f>
        <v>Thành thị</v>
      </c>
      <c r="H134" t="str">
        <f>survey_responses[[#This Row],[Khu vực bạn đang sinh sống:]]</f>
        <v>Thành thị</v>
      </c>
      <c r="I134" t="str">
        <f>step3_validation[[#This Row],[Education]]</f>
        <v>Cao đẳng</v>
      </c>
      <c r="J134" t="str">
        <f>survey_responses[[#This Row],[Trình độ học vấn cao nhất:]]</f>
        <v>Cao đẳng</v>
      </c>
      <c r="K134" t="str">
        <f>step3_validation[[#This Row],[Employment]]</f>
        <v>Chính thức</v>
      </c>
      <c r="L134" t="str">
        <f>survey_responses[[#This Row],[Tình trạng việc làm chính:]]</f>
        <v>Khu vực chính thức (Có Hợp đồng lao động, đóng BHXH)</v>
      </c>
      <c r="M134">
        <f>step3_validation[[#This Row],[Income_Mil]]</f>
        <v>42.030908308466138</v>
      </c>
      <c r="N134" t="str">
        <f>survey_responses[[#This Row],[Thu nhập bình quân tháng theo Hợp đồng lao động của bạn là bao nhiêu? (Vui lòng điền tổng thu nhập trước khi khấu trừ các loại Bảo hiểm (BHXH, BHYT, BHTN) và Thuế TNCN)]]</f>
        <v>Từ 32 - 48 triệu VNĐ</v>
      </c>
      <c r="O134">
        <f>step3_validation[[#This Row],[Dependents]]</f>
        <v>0</v>
      </c>
      <c r="P134" t="str">
        <f>survey_responses[[#This Row],[Số người phụ thuộc (con nhỏ, cha mẹ già...) đủ điều kiện giảm trừ gia cảnh:]]</f>
        <v>0 người</v>
      </c>
      <c r="Q134">
        <f>step3_validation[[#This Row],[AI_ENF1]]</f>
        <v>6</v>
      </c>
      <c r="R134">
        <f t="shared" si="54"/>
        <v>0.55555555555555558</v>
      </c>
      <c r="S134">
        <f>survey_responses[[#This Row],[Tôi tin rằng với các quy định quản lý thuế hiện nay, hành vi gian lận hoặc trốn thuế sẽ dễ dàng bị phát hiện và xử lý nghiêm. - HUMAN-ENF1]]</f>
        <v>5</v>
      </c>
      <c r="T134">
        <f t="shared" si="55"/>
        <v>0.44444444444444442</v>
      </c>
      <c r="U134">
        <f>step3_validation[[#This Row],[AI_ENF2]]</f>
        <v>7</v>
      </c>
      <c r="V134">
        <f t="shared" si="56"/>
        <v>0.66666666666666663</v>
      </c>
      <c r="W134">
        <f>survey_responses[[#This Row],[Tôi tin rằng Nhà nước, cơ quan thuế có đủ khả năng và công nghệ để phát hiện, xử lý nghiêm các hành vi trốn thuế. - HUMAN-ENF2]]</f>
        <v>5</v>
      </c>
      <c r="X134">
        <f t="shared" si="57"/>
        <v>0.44444444444444442</v>
      </c>
      <c r="Y134" s="32">
        <f t="shared" si="58"/>
        <v>0.61111111111111116</v>
      </c>
      <c r="Z134" s="32">
        <f t="shared" si="59"/>
        <v>0.44444444444444442</v>
      </c>
      <c r="AA134">
        <f>step3_validation[[#This Row],[AI_FAC1]]</f>
        <v>8</v>
      </c>
      <c r="AB134">
        <f t="shared" si="60"/>
        <v>0.77777777777777779</v>
      </c>
      <c r="AC134">
        <f>survey_responses[[#This Row],[Các thủ tục khai báo thuế VÀ/HOẶC quy trình làm việc với cơ quan thuế đơn giản, tiện lợi, nhanh chóng hơn so với trước đây. - HUMAN-FAC1]]</f>
        <v>5</v>
      </c>
      <c r="AD134">
        <f t="shared" si="61"/>
        <v>0.44444444444444442</v>
      </c>
      <c r="AE134">
        <f>step3_validation[[#This Row],[AI_FAC2]]</f>
        <v>9</v>
      </c>
      <c r="AF134">
        <f t="shared" si="62"/>
        <v>0.88888888888888884</v>
      </c>
      <c r="AG134">
        <f>survey_responses[[#This Row],[So với trước đây, tôi thấy cách tính thuế và các bậc thuế trong phương án mới đơn giản, dễ hiểu và dễ thực hiện hơn. - HUMAN-FAC2]]</f>
        <v>5</v>
      </c>
      <c r="AH134">
        <f t="shared" si="63"/>
        <v>0.44444444444444442</v>
      </c>
      <c r="AI134" s="32">
        <f t="shared" si="64"/>
        <v>0.83333333333333326</v>
      </c>
      <c r="AJ134" s="32">
        <f t="shared" si="65"/>
        <v>0.44444444444444442</v>
      </c>
      <c r="AK134">
        <f>step3_validation[[#This Row],[AI_TRU1]]</f>
        <v>7</v>
      </c>
      <c r="AL134">
        <f t="shared" si="66"/>
        <v>0.66666666666666663</v>
      </c>
      <c r="AM134">
        <f>survey_responses[[#This Row],[Tôi tin rằng Nhà nước, cơ quan thuế sẽ thực thi chính sách mới một cách khách quan, công tâm và đối xử bình đẳng với mọi người nộp thuế.  - HUMAN-TRU1]]</f>
        <v>5</v>
      </c>
      <c r="AN134">
        <f t="shared" si="67"/>
        <v>0.44444444444444442</v>
      </c>
      <c r="AO134">
        <f>step3_validation[[#This Row],[AI_TRU2]]</f>
        <v>9</v>
      </c>
      <c r="AP134">
        <f t="shared" si="68"/>
        <v>0.88888888888888884</v>
      </c>
      <c r="AQ134">
        <f>survey_responses[[#This Row],[Tôi thấy mức thuế tôi phải đóng theo phương án mới là công bằng (người thu nhập như tôi đóng mức này là hợp lý). - HUMAN-TRU2]]</f>
        <v>5</v>
      </c>
      <c r="AR134">
        <f t="shared" si="69"/>
        <v>0.44444444444444442</v>
      </c>
      <c r="AS134">
        <f>step3_validation[[#This Row],[AI_TRU3]]</f>
        <v>8</v>
      </c>
      <c r="AT134">
        <f t="shared" si="70"/>
        <v>0.77777777777777779</v>
      </c>
      <c r="AU134">
        <f>survey_responses[[#This Row],[Tôi tin tưởng số tiền thuế tôi đóng sẽ được Nhà nước sử dụng hiệu quả để cải thiện dịch vụ công (y tế, đường xá...). - HUMAN-TRU3]]</f>
        <v>5</v>
      </c>
      <c r="AV134">
        <f t="shared" si="71"/>
        <v>0.44444444444444442</v>
      </c>
      <c r="AW134">
        <f>step3_validation[[#This Row],[AI_TRU4]]</f>
        <v>9</v>
      </c>
      <c r="AX134">
        <f t="shared" si="72"/>
        <v>0.88888888888888884</v>
      </c>
      <c r="AY134">
        <f>survey_responses[[#This Row],[Tôi thấy Nhà nước đã giải thích rõ ràng, minh bạch về lý do và mục tiêu của việc sửa đổi thuế lần này. - HUMAN-TRU4]]</f>
        <v>5</v>
      </c>
      <c r="AZ134">
        <f t="shared" si="73"/>
        <v>0.44444444444444442</v>
      </c>
      <c r="BA134" s="32">
        <f t="shared" si="74"/>
        <v>0.80555555555555547</v>
      </c>
      <c r="BB134" s="32">
        <f t="shared" si="75"/>
        <v>0.44444444444444442</v>
      </c>
      <c r="BC134" s="7">
        <f t="shared" si="76"/>
        <v>0.75</v>
      </c>
      <c r="BD134" s="7">
        <f t="shared" si="77"/>
        <v>0.44444444444444442</v>
      </c>
      <c r="BE134">
        <f>step3_validation[[#This Row],[AI_OUT1]]</f>
        <v>9</v>
      </c>
      <c r="BF134">
        <f t="shared" si="78"/>
        <v>0.88888888888888884</v>
      </c>
      <c r="BG134">
        <f>survey_responses[[#This Row],[Sau khi xem xét các quyền lợi và nghĩa vụ, bạn có ủng hộ và tuân thủ chính sách mới hiện nay? - HUMAN-OUT1]]</f>
        <v>5</v>
      </c>
      <c r="BH134">
        <f t="shared" si="79"/>
        <v>0.44444444444444442</v>
      </c>
      <c r="BI134" s="32">
        <f t="shared" si="80"/>
        <v>4</v>
      </c>
    </row>
    <row r="135" spans="1:61" x14ac:dyDescent="0.45">
      <c r="A135" s="30">
        <f>step3_validation[[#This Row],[Persona_ID]]</f>
        <v>134</v>
      </c>
      <c r="B135" s="31">
        <f>step3_validation[[#This Row],[Used_Seed]]</f>
        <v>12478</v>
      </c>
      <c r="C135" t="str">
        <f>step3_validation[[#This Row],[Gender]]</f>
        <v>Nữ</v>
      </c>
      <c r="D135" t="str">
        <f>survey_responses[[#This Row],[Giới tính của bạn:]]</f>
        <v>Nữ</v>
      </c>
      <c r="E135" t="str">
        <f>step3_validation[[#This Row],[Age_Group]]</f>
        <v>18 - 24</v>
      </c>
      <c r="F135" t="str">
        <f>survey_responses[[#This Row],[Độ tuổi của bạn:]]</f>
        <v>18 - 24</v>
      </c>
      <c r="G135" t="str">
        <f>step3_validation[[#This Row],[Region]]</f>
        <v>Thành thị</v>
      </c>
      <c r="H135" t="str">
        <f>survey_responses[[#This Row],[Khu vực bạn đang sinh sống:]]</f>
        <v>Thành thị</v>
      </c>
      <c r="I135" t="str">
        <f>step3_validation[[#This Row],[Education]]</f>
        <v>Đại học</v>
      </c>
      <c r="J135" t="str">
        <f>survey_responses[[#This Row],[Trình độ học vấn cao nhất:]]</f>
        <v>Đại học</v>
      </c>
      <c r="K135" t="str">
        <f>step3_validation[[#This Row],[Employment]]</f>
        <v>Chính thức</v>
      </c>
      <c r="L135" t="str">
        <f>survey_responses[[#This Row],[Tình trạng việc làm chính:]]</f>
        <v>Khu vực chính thức (Có Hợp đồng lao động, đóng BHXH)</v>
      </c>
      <c r="M135">
        <f>step3_validation[[#This Row],[Income_Mil]]</f>
        <v>19.566114812780143</v>
      </c>
      <c r="N135" t="str">
        <f>survey_responses[[#This Row],[Thu nhập bình quân tháng theo Hợp đồng lao động của bạn là bao nhiêu? (Vui lòng điền tổng thu nhập trước khi khấu trừ các loại Bảo hiểm (BHXH, BHYT, BHTN) và Thuế TNCN)]]</f>
        <v>Từ 18 - 23 triệu VNĐ</v>
      </c>
      <c r="O135">
        <f>step3_validation[[#This Row],[Dependents]]</f>
        <v>0</v>
      </c>
      <c r="P135" t="str">
        <f>survey_responses[[#This Row],[Số người phụ thuộc (con nhỏ, cha mẹ già...) đủ điều kiện giảm trừ gia cảnh:]]</f>
        <v>0 người</v>
      </c>
      <c r="Q135">
        <f>step3_validation[[#This Row],[AI_ENF1]]</f>
        <v>6</v>
      </c>
      <c r="R135">
        <f t="shared" si="54"/>
        <v>0.55555555555555558</v>
      </c>
      <c r="S135">
        <f>survey_responses[[#This Row],[Tôi tin rằng với các quy định quản lý thuế hiện nay, hành vi gian lận hoặc trốn thuế sẽ dễ dàng bị phát hiện và xử lý nghiêm. - HUMAN-ENF1]]</f>
        <v>9</v>
      </c>
      <c r="T135">
        <f t="shared" si="55"/>
        <v>0.88888888888888884</v>
      </c>
      <c r="U135">
        <f>step3_validation[[#This Row],[AI_ENF2]]</f>
        <v>7</v>
      </c>
      <c r="V135">
        <f t="shared" si="56"/>
        <v>0.66666666666666663</v>
      </c>
      <c r="W135">
        <f>survey_responses[[#This Row],[Tôi tin rằng Nhà nước, cơ quan thuế có đủ khả năng và công nghệ để phát hiện, xử lý nghiêm các hành vi trốn thuế. - HUMAN-ENF2]]</f>
        <v>9</v>
      </c>
      <c r="X135">
        <f t="shared" si="57"/>
        <v>0.88888888888888884</v>
      </c>
      <c r="Y135" s="32">
        <f t="shared" si="58"/>
        <v>0.61111111111111116</v>
      </c>
      <c r="Z135" s="32">
        <f t="shared" si="59"/>
        <v>0.88888888888888884</v>
      </c>
      <c r="AA135">
        <f>step3_validation[[#This Row],[AI_FAC1]]</f>
        <v>8</v>
      </c>
      <c r="AB135">
        <f t="shared" si="60"/>
        <v>0.77777777777777779</v>
      </c>
      <c r="AC135">
        <f>survey_responses[[#This Row],[Các thủ tục khai báo thuế VÀ/HOẶC quy trình làm việc với cơ quan thuế đơn giản, tiện lợi, nhanh chóng hơn so với trước đây. - HUMAN-FAC1]]</f>
        <v>5</v>
      </c>
      <c r="AD135">
        <f t="shared" si="61"/>
        <v>0.44444444444444442</v>
      </c>
      <c r="AE135">
        <f>step3_validation[[#This Row],[AI_FAC2]]</f>
        <v>9</v>
      </c>
      <c r="AF135">
        <f t="shared" si="62"/>
        <v>0.88888888888888884</v>
      </c>
      <c r="AG135">
        <f>survey_responses[[#This Row],[So với trước đây, tôi thấy cách tính thuế và các bậc thuế trong phương án mới đơn giản, dễ hiểu và dễ thực hiện hơn. - HUMAN-FAC2]]</f>
        <v>9</v>
      </c>
      <c r="AH135">
        <f t="shared" si="63"/>
        <v>0.88888888888888884</v>
      </c>
      <c r="AI135" s="32">
        <f t="shared" si="64"/>
        <v>0.83333333333333326</v>
      </c>
      <c r="AJ135" s="32">
        <f t="shared" si="65"/>
        <v>0.66666666666666663</v>
      </c>
      <c r="AK135">
        <f>step3_validation[[#This Row],[AI_TRU1]]</f>
        <v>7</v>
      </c>
      <c r="AL135">
        <f t="shared" si="66"/>
        <v>0.66666666666666663</v>
      </c>
      <c r="AM135">
        <f>survey_responses[[#This Row],[Tôi tin rằng Nhà nước, cơ quan thuế sẽ thực thi chính sách mới một cách khách quan, công tâm và đối xử bình đẳng với mọi người nộp thuế.  - HUMAN-TRU1]]</f>
        <v>8</v>
      </c>
      <c r="AN135">
        <f t="shared" si="67"/>
        <v>0.77777777777777779</v>
      </c>
      <c r="AO135">
        <f>step3_validation[[#This Row],[AI_TRU2]]</f>
        <v>9</v>
      </c>
      <c r="AP135">
        <f t="shared" si="68"/>
        <v>0.88888888888888884</v>
      </c>
      <c r="AQ135">
        <f>survey_responses[[#This Row],[Tôi thấy mức thuế tôi phải đóng theo phương án mới là công bằng (người thu nhập như tôi đóng mức này là hợp lý). - HUMAN-TRU2]]</f>
        <v>10</v>
      </c>
      <c r="AR135">
        <f t="shared" si="69"/>
        <v>1</v>
      </c>
      <c r="AS135">
        <f>step3_validation[[#This Row],[AI_TRU3]]</f>
        <v>7</v>
      </c>
      <c r="AT135">
        <f t="shared" si="70"/>
        <v>0.66666666666666663</v>
      </c>
      <c r="AU135">
        <f>survey_responses[[#This Row],[Tôi tin tưởng số tiền thuế tôi đóng sẽ được Nhà nước sử dụng hiệu quả để cải thiện dịch vụ công (y tế, đường xá...). - HUMAN-TRU3]]</f>
        <v>5</v>
      </c>
      <c r="AV135">
        <f t="shared" si="71"/>
        <v>0.44444444444444442</v>
      </c>
      <c r="AW135">
        <f>step3_validation[[#This Row],[AI_TRU4]]</f>
        <v>8</v>
      </c>
      <c r="AX135">
        <f t="shared" si="72"/>
        <v>0.77777777777777779</v>
      </c>
      <c r="AY135">
        <f>survey_responses[[#This Row],[Tôi thấy Nhà nước đã giải thích rõ ràng, minh bạch về lý do và mục tiêu của việc sửa đổi thuế lần này. - HUMAN-TRU4]]</f>
        <v>5</v>
      </c>
      <c r="AZ135">
        <f t="shared" si="73"/>
        <v>0.44444444444444442</v>
      </c>
      <c r="BA135" s="32">
        <f t="shared" si="74"/>
        <v>0.74999999999999989</v>
      </c>
      <c r="BB135" s="32">
        <f t="shared" si="75"/>
        <v>0.66666666666666674</v>
      </c>
      <c r="BC135" s="7">
        <f t="shared" si="76"/>
        <v>0.7314814814814814</v>
      </c>
      <c r="BD135" s="7">
        <f t="shared" si="77"/>
        <v>0.74074074074074081</v>
      </c>
      <c r="BE135">
        <f>step3_validation[[#This Row],[AI_OUT1]]</f>
        <v>9</v>
      </c>
      <c r="BF135">
        <f t="shared" si="78"/>
        <v>0.88888888888888884</v>
      </c>
      <c r="BG135">
        <f>survey_responses[[#This Row],[Sau khi xem xét các quyền lợi và nghĩa vụ, bạn có ủng hộ và tuân thủ chính sách mới hiện nay? - HUMAN-OUT1]]</f>
        <v>7</v>
      </c>
      <c r="BH135">
        <f t="shared" si="79"/>
        <v>0.66666666666666663</v>
      </c>
      <c r="BI135" s="32">
        <f t="shared" si="80"/>
        <v>2</v>
      </c>
    </row>
    <row r="136" spans="1:61" x14ac:dyDescent="0.45">
      <c r="A136" s="30">
        <f>step3_validation[[#This Row],[Persona_ID]]</f>
        <v>135</v>
      </c>
      <c r="B136" s="31">
        <f>step3_validation[[#This Row],[Used_Seed]]</f>
        <v>12479</v>
      </c>
      <c r="C136" t="str">
        <f>step3_validation[[#This Row],[Gender]]</f>
        <v>Nam</v>
      </c>
      <c r="D136" t="str">
        <f>survey_responses[[#This Row],[Giới tính của bạn:]]</f>
        <v>Nam</v>
      </c>
      <c r="E136" t="str">
        <f>step3_validation[[#This Row],[Age_Group]]</f>
        <v>18 - 24</v>
      </c>
      <c r="F136" t="str">
        <f>survey_responses[[#This Row],[Độ tuổi của bạn:]]</f>
        <v>18 - 24</v>
      </c>
      <c r="G136" t="str">
        <f>step3_validation[[#This Row],[Region]]</f>
        <v>Thành thị</v>
      </c>
      <c r="H136" t="str">
        <f>survey_responses[[#This Row],[Khu vực bạn đang sinh sống:]]</f>
        <v>Thành thị</v>
      </c>
      <c r="I136" t="str">
        <f>step3_validation[[#This Row],[Education]]</f>
        <v>Đại học</v>
      </c>
      <c r="J136" t="str">
        <f>survey_responses[[#This Row],[Trình độ học vấn cao nhất:]]</f>
        <v>Đại học</v>
      </c>
      <c r="K136" t="str">
        <f>step3_validation[[#This Row],[Employment]]</f>
        <v>Chính thức</v>
      </c>
      <c r="L136" t="str">
        <f>survey_responses[[#This Row],[Tình trạng việc làm chính:]]</f>
        <v>Khu vực chính thức (Có Hợp đồng lao động, đóng BHXH)</v>
      </c>
      <c r="M136">
        <f>step3_validation[[#This Row],[Income_Mil]]</f>
        <v>14.048329736593841</v>
      </c>
      <c r="N136" t="str">
        <f>survey_responses[[#This Row],[Thu nhập bình quân tháng theo Hợp đồng lao động của bạn là bao nhiêu? (Vui lòng điền tổng thu nhập trước khi khấu trừ các loại Bảo hiểm (BHXH, BHYT, BHTN) và Thuế TNCN)]]</f>
        <v>Từ 12 - 18 triệu VNĐ</v>
      </c>
      <c r="O136">
        <f>step3_validation[[#This Row],[Dependents]]</f>
        <v>0</v>
      </c>
      <c r="P136" t="str">
        <f>survey_responses[[#This Row],[Số người phụ thuộc (con nhỏ, cha mẹ già...) đủ điều kiện giảm trừ gia cảnh:]]</f>
        <v>0 người</v>
      </c>
      <c r="Q136">
        <f>step3_validation[[#This Row],[AI_ENF1]]</f>
        <v>9</v>
      </c>
      <c r="R136">
        <f t="shared" si="54"/>
        <v>0.88888888888888884</v>
      </c>
      <c r="S136">
        <f>survey_responses[[#This Row],[Tôi tin rằng với các quy định quản lý thuế hiện nay, hành vi gian lận hoặc trốn thuế sẽ dễ dàng bị phát hiện và xử lý nghiêm. - HUMAN-ENF1]]</f>
        <v>5</v>
      </c>
      <c r="T136">
        <f t="shared" si="55"/>
        <v>0.44444444444444442</v>
      </c>
      <c r="U136">
        <f>step3_validation[[#This Row],[AI_ENF2]]</f>
        <v>8</v>
      </c>
      <c r="V136">
        <f t="shared" si="56"/>
        <v>0.77777777777777779</v>
      </c>
      <c r="W136">
        <f>survey_responses[[#This Row],[Tôi tin rằng Nhà nước, cơ quan thuế có đủ khả năng và công nghệ để phát hiện, xử lý nghiêm các hành vi trốn thuế. - HUMAN-ENF2]]</f>
        <v>5</v>
      </c>
      <c r="X136">
        <f t="shared" si="57"/>
        <v>0.44444444444444442</v>
      </c>
      <c r="Y136" s="32">
        <f t="shared" si="58"/>
        <v>0.83333333333333326</v>
      </c>
      <c r="Z136" s="32">
        <f t="shared" si="59"/>
        <v>0.44444444444444442</v>
      </c>
      <c r="AA136">
        <f>step3_validation[[#This Row],[AI_FAC1]]</f>
        <v>9</v>
      </c>
      <c r="AB136">
        <f t="shared" si="60"/>
        <v>0.88888888888888884</v>
      </c>
      <c r="AC136">
        <f>survey_responses[[#This Row],[Các thủ tục khai báo thuế VÀ/HOẶC quy trình làm việc với cơ quan thuế đơn giản, tiện lợi, nhanh chóng hơn so với trước đây. - HUMAN-FAC1]]</f>
        <v>5</v>
      </c>
      <c r="AD136">
        <f t="shared" si="61"/>
        <v>0.44444444444444442</v>
      </c>
      <c r="AE136">
        <f>step3_validation[[#This Row],[AI_FAC2]]</f>
        <v>8</v>
      </c>
      <c r="AF136">
        <f t="shared" si="62"/>
        <v>0.77777777777777779</v>
      </c>
      <c r="AG136">
        <f>survey_responses[[#This Row],[So với trước đây, tôi thấy cách tính thuế và các bậc thuế trong phương án mới đơn giản, dễ hiểu và dễ thực hiện hơn. - HUMAN-FAC2]]</f>
        <v>6</v>
      </c>
      <c r="AH136">
        <f t="shared" si="63"/>
        <v>0.55555555555555558</v>
      </c>
      <c r="AI136" s="32">
        <f t="shared" si="64"/>
        <v>0.83333333333333326</v>
      </c>
      <c r="AJ136" s="32">
        <f t="shared" si="65"/>
        <v>0.5</v>
      </c>
      <c r="AK136">
        <f>step3_validation[[#This Row],[AI_TRU1]]</f>
        <v>9</v>
      </c>
      <c r="AL136">
        <f t="shared" si="66"/>
        <v>0.88888888888888884</v>
      </c>
      <c r="AM136">
        <f>survey_responses[[#This Row],[Tôi tin rằng Nhà nước, cơ quan thuế sẽ thực thi chính sách mới một cách khách quan, công tâm và đối xử bình đẳng với mọi người nộp thuế.  - HUMAN-TRU1]]</f>
        <v>6</v>
      </c>
      <c r="AN136">
        <f t="shared" si="67"/>
        <v>0.55555555555555558</v>
      </c>
      <c r="AO136">
        <f>step3_validation[[#This Row],[AI_TRU2]]</f>
        <v>8</v>
      </c>
      <c r="AP136">
        <f t="shared" si="68"/>
        <v>0.77777777777777779</v>
      </c>
      <c r="AQ136">
        <f>survey_responses[[#This Row],[Tôi thấy mức thuế tôi phải đóng theo phương án mới là công bằng (người thu nhập như tôi đóng mức này là hợp lý). - HUMAN-TRU2]]</f>
        <v>6</v>
      </c>
      <c r="AR136">
        <f t="shared" si="69"/>
        <v>0.55555555555555558</v>
      </c>
      <c r="AS136">
        <f>step3_validation[[#This Row],[AI_TRU3]]</f>
        <v>9</v>
      </c>
      <c r="AT136">
        <f t="shared" si="70"/>
        <v>0.88888888888888884</v>
      </c>
      <c r="AU136">
        <f>survey_responses[[#This Row],[Tôi tin tưởng số tiền thuế tôi đóng sẽ được Nhà nước sử dụng hiệu quả để cải thiện dịch vụ công (y tế, đường xá...). - HUMAN-TRU3]]</f>
        <v>6</v>
      </c>
      <c r="AV136">
        <f t="shared" si="71"/>
        <v>0.55555555555555558</v>
      </c>
      <c r="AW136">
        <f>step3_validation[[#This Row],[AI_TRU4]]</f>
        <v>8</v>
      </c>
      <c r="AX136">
        <f t="shared" si="72"/>
        <v>0.77777777777777779</v>
      </c>
      <c r="AY136">
        <f>survey_responses[[#This Row],[Tôi thấy Nhà nước đã giải thích rõ ràng, minh bạch về lý do và mục tiêu của việc sửa đổi thuế lần này. - HUMAN-TRU4]]</f>
        <v>6</v>
      </c>
      <c r="AZ136">
        <f t="shared" si="73"/>
        <v>0.55555555555555558</v>
      </c>
      <c r="BA136" s="32">
        <f t="shared" si="74"/>
        <v>0.83333333333333326</v>
      </c>
      <c r="BB136" s="32">
        <f t="shared" si="75"/>
        <v>0.55555555555555558</v>
      </c>
      <c r="BC136" s="7">
        <f t="shared" si="76"/>
        <v>0.83333333333333337</v>
      </c>
      <c r="BD136" s="7">
        <f t="shared" si="77"/>
        <v>0.5</v>
      </c>
      <c r="BE136">
        <f>step3_validation[[#This Row],[AI_OUT1]]</f>
        <v>7</v>
      </c>
      <c r="BF136">
        <f t="shared" si="78"/>
        <v>0.66666666666666663</v>
      </c>
      <c r="BG136">
        <f>survey_responses[[#This Row],[Sau khi xem xét các quyền lợi và nghĩa vụ, bạn có ủng hộ và tuân thủ chính sách mới hiện nay? - HUMAN-OUT1]]</f>
        <v>6</v>
      </c>
      <c r="BH136">
        <f t="shared" si="79"/>
        <v>0.55555555555555558</v>
      </c>
      <c r="BI136" s="32">
        <f t="shared" si="80"/>
        <v>1</v>
      </c>
    </row>
    <row r="137" spans="1:61" x14ac:dyDescent="0.45">
      <c r="A137" s="30">
        <f>step3_validation[[#This Row],[Persona_ID]]</f>
        <v>136</v>
      </c>
      <c r="B137" s="31">
        <f>step3_validation[[#This Row],[Used_Seed]]</f>
        <v>12480</v>
      </c>
      <c r="C137" t="str">
        <f>step3_validation[[#This Row],[Gender]]</f>
        <v>Nữ</v>
      </c>
      <c r="D137" t="str">
        <f>survey_responses[[#This Row],[Giới tính của bạn:]]</f>
        <v>Nữ</v>
      </c>
      <c r="E137" t="str">
        <f>step3_validation[[#This Row],[Age_Group]]</f>
        <v>55 - 64</v>
      </c>
      <c r="F137" t="str">
        <f>survey_responses[[#This Row],[Độ tuổi của bạn:]]</f>
        <v>55 - 64</v>
      </c>
      <c r="G137" t="str">
        <f>step3_validation[[#This Row],[Region]]</f>
        <v>Thành thị</v>
      </c>
      <c r="H137" t="str">
        <f>survey_responses[[#This Row],[Khu vực bạn đang sinh sống:]]</f>
        <v>Thành thị</v>
      </c>
      <c r="I137" t="str">
        <f>step3_validation[[#This Row],[Education]]</f>
        <v>Đại học</v>
      </c>
      <c r="J137" t="str">
        <f>survey_responses[[#This Row],[Trình độ học vấn cao nhất:]]</f>
        <v>Đại học</v>
      </c>
      <c r="K137" t="str">
        <f>step3_validation[[#This Row],[Employment]]</f>
        <v>Phi chính thức</v>
      </c>
      <c r="L137" t="str">
        <f>survey_responses[[#This Row],[Tình trạng việc làm chính:]]</f>
        <v>Khác (Về hưu, nội trợ, sinh viên)</v>
      </c>
      <c r="M137">
        <f>step3_validation[[#This Row],[Income_Mil]]</f>
        <v>12</v>
      </c>
      <c r="N137" t="str">
        <f>survey_responses[[#This Row],[Thu nhập bình quân tháng theo Hợp đồng lao động của bạn là bao nhiêu? (Vui lòng điền tổng thu nhập trước khi khấu trừ các loại Bảo hiểm (BHXH, BHYT, BHTN) và Thuế TNCN)]]</f>
        <v>Dưới 12 triệu VNĐ</v>
      </c>
      <c r="O137">
        <f>step3_validation[[#This Row],[Dependents]]</f>
        <v>0</v>
      </c>
      <c r="P137" t="str">
        <f>survey_responses[[#This Row],[Số người phụ thuộc (con nhỏ, cha mẹ già...) đủ điều kiện giảm trừ gia cảnh:]]</f>
        <v>0 người</v>
      </c>
      <c r="Q137">
        <f>step3_validation[[#This Row],[AI_ENF1]]</f>
        <v>6</v>
      </c>
      <c r="R137">
        <f t="shared" si="54"/>
        <v>0.55555555555555558</v>
      </c>
      <c r="S137">
        <f>survey_responses[[#This Row],[Tôi tin rằng với các quy định quản lý thuế hiện nay, hành vi gian lận hoặc trốn thuế sẽ dễ dàng bị phát hiện và xử lý nghiêm. - HUMAN-ENF1]]</f>
        <v>8</v>
      </c>
      <c r="T137">
        <f t="shared" si="55"/>
        <v>0.77777777777777779</v>
      </c>
      <c r="U137">
        <f>step3_validation[[#This Row],[AI_ENF2]]</f>
        <v>6</v>
      </c>
      <c r="V137">
        <f t="shared" si="56"/>
        <v>0.55555555555555558</v>
      </c>
      <c r="W137">
        <f>survey_responses[[#This Row],[Tôi tin rằng Nhà nước, cơ quan thuế có đủ khả năng và công nghệ để phát hiện, xử lý nghiêm các hành vi trốn thuế. - HUMAN-ENF2]]</f>
        <v>8</v>
      </c>
      <c r="X137">
        <f t="shared" si="57"/>
        <v>0.77777777777777779</v>
      </c>
      <c r="Y137" s="32">
        <f t="shared" si="58"/>
        <v>0.55555555555555558</v>
      </c>
      <c r="Z137" s="32">
        <f t="shared" si="59"/>
        <v>0.77777777777777779</v>
      </c>
      <c r="AA137">
        <f>step3_validation[[#This Row],[AI_FAC1]]</f>
        <v>9</v>
      </c>
      <c r="AB137">
        <f t="shared" si="60"/>
        <v>0.88888888888888884</v>
      </c>
      <c r="AC137">
        <f>survey_responses[[#This Row],[Các thủ tục khai báo thuế VÀ/HOẶC quy trình làm việc với cơ quan thuế đơn giản, tiện lợi, nhanh chóng hơn so với trước đây. - HUMAN-FAC1]]</f>
        <v>8</v>
      </c>
      <c r="AD137">
        <f t="shared" si="61"/>
        <v>0.77777777777777779</v>
      </c>
      <c r="AE137">
        <f>step3_validation[[#This Row],[AI_FAC2]]</f>
        <v>9</v>
      </c>
      <c r="AF137">
        <f t="shared" si="62"/>
        <v>0.88888888888888884</v>
      </c>
      <c r="AG137">
        <f>survey_responses[[#This Row],[So với trước đây, tôi thấy cách tính thuế và các bậc thuế trong phương án mới đơn giản, dễ hiểu và dễ thực hiện hơn. - HUMAN-FAC2]]</f>
        <v>8</v>
      </c>
      <c r="AH137">
        <f t="shared" si="63"/>
        <v>0.77777777777777779</v>
      </c>
      <c r="AI137" s="32">
        <f t="shared" si="64"/>
        <v>0.88888888888888884</v>
      </c>
      <c r="AJ137" s="32">
        <f t="shared" si="65"/>
        <v>0.77777777777777779</v>
      </c>
      <c r="AK137">
        <f>step3_validation[[#This Row],[AI_TRU1]]</f>
        <v>8</v>
      </c>
      <c r="AL137">
        <f t="shared" si="66"/>
        <v>0.77777777777777779</v>
      </c>
      <c r="AM137">
        <f>survey_responses[[#This Row],[Tôi tin rằng Nhà nước, cơ quan thuế sẽ thực thi chính sách mới một cách khách quan, công tâm và đối xử bình đẳng với mọi người nộp thuế.  - HUMAN-TRU1]]</f>
        <v>10</v>
      </c>
      <c r="AN137">
        <f t="shared" si="67"/>
        <v>1</v>
      </c>
      <c r="AO137">
        <f>step3_validation[[#This Row],[AI_TRU2]]</f>
        <v>9</v>
      </c>
      <c r="AP137">
        <f t="shared" si="68"/>
        <v>0.88888888888888884</v>
      </c>
      <c r="AQ137">
        <f>survey_responses[[#This Row],[Tôi thấy mức thuế tôi phải đóng theo phương án mới là công bằng (người thu nhập như tôi đóng mức này là hợp lý). - HUMAN-TRU2]]</f>
        <v>10</v>
      </c>
      <c r="AR137">
        <f t="shared" si="69"/>
        <v>1</v>
      </c>
      <c r="AS137">
        <f>step3_validation[[#This Row],[AI_TRU3]]</f>
        <v>8</v>
      </c>
      <c r="AT137">
        <f t="shared" si="70"/>
        <v>0.77777777777777779</v>
      </c>
      <c r="AU137">
        <f>survey_responses[[#This Row],[Tôi tin tưởng số tiền thuế tôi đóng sẽ được Nhà nước sử dụng hiệu quả để cải thiện dịch vụ công (y tế, đường xá...). - HUMAN-TRU3]]</f>
        <v>10</v>
      </c>
      <c r="AV137">
        <f t="shared" si="71"/>
        <v>1</v>
      </c>
      <c r="AW137">
        <f>step3_validation[[#This Row],[AI_TRU4]]</f>
        <v>7</v>
      </c>
      <c r="AX137">
        <f t="shared" si="72"/>
        <v>0.66666666666666663</v>
      </c>
      <c r="AY137">
        <f>survey_responses[[#This Row],[Tôi thấy Nhà nước đã giải thích rõ ràng, minh bạch về lý do và mục tiêu của việc sửa đổi thuế lần này. - HUMAN-TRU4]]</f>
        <v>10</v>
      </c>
      <c r="AZ137">
        <f t="shared" si="73"/>
        <v>1</v>
      </c>
      <c r="BA137" s="32">
        <f t="shared" si="74"/>
        <v>0.77777777777777768</v>
      </c>
      <c r="BB137" s="32">
        <f t="shared" si="75"/>
        <v>1</v>
      </c>
      <c r="BC137" s="7">
        <f t="shared" si="76"/>
        <v>0.74074074074074081</v>
      </c>
      <c r="BD137" s="7">
        <f t="shared" si="77"/>
        <v>0.85185185185185175</v>
      </c>
      <c r="BE137">
        <f>step3_validation[[#This Row],[AI_OUT1]]</f>
        <v>9</v>
      </c>
      <c r="BF137">
        <f t="shared" si="78"/>
        <v>0.88888888888888884</v>
      </c>
      <c r="BG137">
        <f>survey_responses[[#This Row],[Sau khi xem xét các quyền lợi và nghĩa vụ, bạn có ủng hộ và tuân thủ chính sách mới hiện nay? - HUMAN-OUT1]]</f>
        <v>10</v>
      </c>
      <c r="BH137">
        <f t="shared" si="79"/>
        <v>1</v>
      </c>
      <c r="BI137" s="32">
        <f t="shared" si="80"/>
        <v>1</v>
      </c>
    </row>
    <row r="138" spans="1:61" x14ac:dyDescent="0.45">
      <c r="A138" s="30">
        <f>step3_validation[[#This Row],[Persona_ID]]</f>
        <v>137</v>
      </c>
      <c r="B138" s="31">
        <f>step3_validation[[#This Row],[Used_Seed]]</f>
        <v>12481</v>
      </c>
      <c r="C138" t="str">
        <f>step3_validation[[#This Row],[Gender]]</f>
        <v>Nam</v>
      </c>
      <c r="D138" t="str">
        <f>survey_responses[[#This Row],[Giới tính của bạn:]]</f>
        <v>Nam</v>
      </c>
      <c r="E138" t="str">
        <f>step3_validation[[#This Row],[Age_Group]]</f>
        <v>50 - 54</v>
      </c>
      <c r="F138" t="str">
        <f>survey_responses[[#This Row],[Độ tuổi của bạn:]]</f>
        <v>50 - 54</v>
      </c>
      <c r="G138" t="str">
        <f>step3_validation[[#This Row],[Region]]</f>
        <v>Thành thị</v>
      </c>
      <c r="H138" t="str">
        <f>survey_responses[[#This Row],[Khu vực bạn đang sinh sống:]]</f>
        <v>Thành thị</v>
      </c>
      <c r="I138" t="str">
        <f>step3_validation[[#This Row],[Education]]</f>
        <v>Đại học</v>
      </c>
      <c r="J138" t="str">
        <f>survey_responses[[#This Row],[Trình độ học vấn cao nhất:]]</f>
        <v>Đại học</v>
      </c>
      <c r="K138" t="str">
        <f>step3_validation[[#This Row],[Employment]]</f>
        <v>Chính thức</v>
      </c>
      <c r="L138" t="str">
        <f>survey_responses[[#This Row],[Tình trạng việc làm chính:]]</f>
        <v>Khu vực chính thức (Có Hợp đồng lao động, đóng BHXH)</v>
      </c>
      <c r="M138">
        <f>step3_validation[[#This Row],[Income_Mil]]</f>
        <v>135.68484840159198</v>
      </c>
      <c r="N138" t="str">
        <f>survey_responses[[#This Row],[Thu nhập bình quân tháng theo Hợp đồng lao động của bạn là bao nhiêu? (Vui lòng điền tổng thu nhập trước khi khấu trừ các loại Bảo hiểm (BHXH, BHYT, BHTN) và Thuế TNCN)]]</f>
        <v>Trên 102 triệu VNĐ</v>
      </c>
      <c r="O138">
        <f>step3_validation[[#This Row],[Dependents]]</f>
        <v>4</v>
      </c>
      <c r="P138" t="str">
        <f>survey_responses[[#This Row],[Số người phụ thuộc (con nhỏ, cha mẹ già...) đủ điều kiện giảm trừ gia cảnh:]]</f>
        <v>4 người trở lên</v>
      </c>
      <c r="Q138">
        <f>step3_validation[[#This Row],[AI_ENF1]]</f>
        <v>7</v>
      </c>
      <c r="R138">
        <f t="shared" si="54"/>
        <v>0.66666666666666663</v>
      </c>
      <c r="S138">
        <f>survey_responses[[#This Row],[Tôi tin rằng với các quy định quản lý thuế hiện nay, hành vi gian lận hoặc trốn thuế sẽ dễ dàng bị phát hiện và xử lý nghiêm. - HUMAN-ENF1]]</f>
        <v>8</v>
      </c>
      <c r="T138">
        <f t="shared" si="55"/>
        <v>0.77777777777777779</v>
      </c>
      <c r="U138">
        <f>step3_validation[[#This Row],[AI_ENF2]]</f>
        <v>8</v>
      </c>
      <c r="V138">
        <f t="shared" si="56"/>
        <v>0.77777777777777779</v>
      </c>
      <c r="W138">
        <f>survey_responses[[#This Row],[Tôi tin rằng Nhà nước, cơ quan thuế có đủ khả năng và công nghệ để phát hiện, xử lý nghiêm các hành vi trốn thuế. - HUMAN-ENF2]]</f>
        <v>8</v>
      </c>
      <c r="X138">
        <f t="shared" si="57"/>
        <v>0.77777777777777779</v>
      </c>
      <c r="Y138" s="32">
        <f t="shared" si="58"/>
        <v>0.72222222222222221</v>
      </c>
      <c r="Z138" s="32">
        <f t="shared" si="59"/>
        <v>0.77777777777777779</v>
      </c>
      <c r="AA138">
        <f>step3_validation[[#This Row],[AI_FAC1]]</f>
        <v>9</v>
      </c>
      <c r="AB138">
        <f t="shared" si="60"/>
        <v>0.88888888888888884</v>
      </c>
      <c r="AC138">
        <f>survey_responses[[#This Row],[Các thủ tục khai báo thuế VÀ/HOẶC quy trình làm việc với cơ quan thuế đơn giản, tiện lợi, nhanh chóng hơn so với trước đây. - HUMAN-FAC1]]</f>
        <v>8</v>
      </c>
      <c r="AD138">
        <f t="shared" si="61"/>
        <v>0.77777777777777779</v>
      </c>
      <c r="AE138">
        <f>step3_validation[[#This Row],[AI_FAC2]]</f>
        <v>9</v>
      </c>
      <c r="AF138">
        <f t="shared" si="62"/>
        <v>0.88888888888888884</v>
      </c>
      <c r="AG138">
        <f>survey_responses[[#This Row],[So với trước đây, tôi thấy cách tính thuế và các bậc thuế trong phương án mới đơn giản, dễ hiểu và dễ thực hiện hơn. - HUMAN-FAC2]]</f>
        <v>8</v>
      </c>
      <c r="AH138">
        <f t="shared" si="63"/>
        <v>0.77777777777777779</v>
      </c>
      <c r="AI138" s="32">
        <f t="shared" si="64"/>
        <v>0.88888888888888884</v>
      </c>
      <c r="AJ138" s="32">
        <f t="shared" si="65"/>
        <v>0.77777777777777779</v>
      </c>
      <c r="AK138">
        <f>step3_validation[[#This Row],[AI_TRU1]]</f>
        <v>8</v>
      </c>
      <c r="AL138">
        <f t="shared" si="66"/>
        <v>0.77777777777777779</v>
      </c>
      <c r="AM138">
        <f>survey_responses[[#This Row],[Tôi tin rằng Nhà nước, cơ quan thuế sẽ thực thi chính sách mới một cách khách quan, công tâm và đối xử bình đẳng với mọi người nộp thuế.  - HUMAN-TRU1]]</f>
        <v>8</v>
      </c>
      <c r="AN138">
        <f t="shared" si="67"/>
        <v>0.77777777777777779</v>
      </c>
      <c r="AO138">
        <f>step3_validation[[#This Row],[AI_TRU2]]</f>
        <v>9</v>
      </c>
      <c r="AP138">
        <f t="shared" si="68"/>
        <v>0.88888888888888884</v>
      </c>
      <c r="AQ138">
        <f>survey_responses[[#This Row],[Tôi thấy mức thuế tôi phải đóng theo phương án mới là công bằng (người thu nhập như tôi đóng mức này là hợp lý). - HUMAN-TRU2]]</f>
        <v>8</v>
      </c>
      <c r="AR138">
        <f t="shared" si="69"/>
        <v>0.77777777777777779</v>
      </c>
      <c r="AS138">
        <f>step3_validation[[#This Row],[AI_TRU3]]</f>
        <v>8</v>
      </c>
      <c r="AT138">
        <f t="shared" si="70"/>
        <v>0.77777777777777779</v>
      </c>
      <c r="AU138">
        <f>survey_responses[[#This Row],[Tôi tin tưởng số tiền thuế tôi đóng sẽ được Nhà nước sử dụng hiệu quả để cải thiện dịch vụ công (y tế, đường xá...). - HUMAN-TRU3]]</f>
        <v>5</v>
      </c>
      <c r="AV138">
        <f t="shared" si="71"/>
        <v>0.44444444444444442</v>
      </c>
      <c r="AW138">
        <f>step3_validation[[#This Row],[AI_TRU4]]</f>
        <v>9</v>
      </c>
      <c r="AX138">
        <f t="shared" si="72"/>
        <v>0.88888888888888884</v>
      </c>
      <c r="AY138">
        <f>survey_responses[[#This Row],[Tôi thấy Nhà nước đã giải thích rõ ràng, minh bạch về lý do và mục tiêu của việc sửa đổi thuế lần này. - HUMAN-TRU4]]</f>
        <v>7</v>
      </c>
      <c r="AZ138">
        <f t="shared" si="73"/>
        <v>0.66666666666666663</v>
      </c>
      <c r="BA138" s="32">
        <f t="shared" si="74"/>
        <v>0.83333333333333326</v>
      </c>
      <c r="BB138" s="32">
        <f t="shared" si="75"/>
        <v>0.66666666666666663</v>
      </c>
      <c r="BC138" s="7">
        <f t="shared" si="76"/>
        <v>0.81481481481481488</v>
      </c>
      <c r="BD138" s="7">
        <f t="shared" si="77"/>
        <v>0.74074074074074081</v>
      </c>
      <c r="BE138">
        <f>step3_validation[[#This Row],[AI_OUT1]]</f>
        <v>8</v>
      </c>
      <c r="BF138">
        <f t="shared" si="78"/>
        <v>0.77777777777777779</v>
      </c>
      <c r="BG138">
        <f>survey_responses[[#This Row],[Sau khi xem xét các quyền lợi và nghĩa vụ, bạn có ủng hộ và tuân thủ chính sách mới hiện nay? - HUMAN-OUT1]]</f>
        <v>8</v>
      </c>
      <c r="BH138">
        <f t="shared" si="79"/>
        <v>0.77777777777777779</v>
      </c>
      <c r="BI138" s="32">
        <f t="shared" si="80"/>
        <v>0</v>
      </c>
    </row>
    <row r="139" spans="1:61" x14ac:dyDescent="0.45">
      <c r="A139" s="30">
        <f>step3_validation[[#This Row],[Persona_ID]]</f>
        <v>138</v>
      </c>
      <c r="B139" s="31">
        <f>step3_validation[[#This Row],[Used_Seed]]</f>
        <v>12482</v>
      </c>
      <c r="C139" t="str">
        <f>step3_validation[[#This Row],[Gender]]</f>
        <v>Nữ</v>
      </c>
      <c r="D139" t="str">
        <f>survey_responses[[#This Row],[Giới tính của bạn:]]</f>
        <v>Nữ</v>
      </c>
      <c r="E139" t="str">
        <f>step3_validation[[#This Row],[Age_Group]]</f>
        <v>25 - 29</v>
      </c>
      <c r="F139" t="str">
        <f>survey_responses[[#This Row],[Độ tuổi của bạn:]]</f>
        <v>25 - 29</v>
      </c>
      <c r="G139" t="str">
        <f>step3_validation[[#This Row],[Region]]</f>
        <v>Thành thị</v>
      </c>
      <c r="H139" t="str">
        <f>survey_responses[[#This Row],[Khu vực bạn đang sinh sống:]]</f>
        <v>Thành thị</v>
      </c>
      <c r="I139" t="str">
        <f>step3_validation[[#This Row],[Education]]</f>
        <v>Sau Đại học</v>
      </c>
      <c r="J139" t="str">
        <f>survey_responses[[#This Row],[Trình độ học vấn cao nhất:]]</f>
        <v>Sau Đại học</v>
      </c>
      <c r="K139" t="str">
        <f>step3_validation[[#This Row],[Employment]]</f>
        <v>Chính thức</v>
      </c>
      <c r="L139" t="str">
        <f>survey_responses[[#This Row],[Tình trạng việc làm chính:]]</f>
        <v>Khu vực chính thức (Có Hợp đồng lao động, đóng BHXH)</v>
      </c>
      <c r="M139">
        <f>step3_validation[[#This Row],[Income_Mil]]</f>
        <v>14.139724413877779</v>
      </c>
      <c r="N139" t="str">
        <f>survey_responses[[#This Row],[Thu nhập bình quân tháng theo Hợp đồng lao động của bạn là bao nhiêu? (Vui lòng điền tổng thu nhập trước khi khấu trừ các loại Bảo hiểm (BHXH, BHYT, BHTN) và Thuế TNCN)]]</f>
        <v>Từ 12 - 18 triệu VNĐ</v>
      </c>
      <c r="O139">
        <f>step3_validation[[#This Row],[Dependents]]</f>
        <v>0</v>
      </c>
      <c r="P139" t="str">
        <f>survey_responses[[#This Row],[Số người phụ thuộc (con nhỏ, cha mẹ già...) đủ điều kiện giảm trừ gia cảnh:]]</f>
        <v>0 người</v>
      </c>
      <c r="Q139">
        <f>step3_validation[[#This Row],[AI_ENF1]]</f>
        <v>6</v>
      </c>
      <c r="R139">
        <f t="shared" si="54"/>
        <v>0.55555555555555558</v>
      </c>
      <c r="S139">
        <f>survey_responses[[#This Row],[Tôi tin rằng với các quy định quản lý thuế hiện nay, hành vi gian lận hoặc trốn thuế sẽ dễ dàng bị phát hiện và xử lý nghiêm. - HUMAN-ENF1]]</f>
        <v>8</v>
      </c>
      <c r="T139">
        <f t="shared" si="55"/>
        <v>0.77777777777777779</v>
      </c>
      <c r="U139">
        <f>step3_validation[[#This Row],[AI_ENF2]]</f>
        <v>7</v>
      </c>
      <c r="V139">
        <f t="shared" si="56"/>
        <v>0.66666666666666663</v>
      </c>
      <c r="W139">
        <f>survey_responses[[#This Row],[Tôi tin rằng Nhà nước, cơ quan thuế có đủ khả năng và công nghệ để phát hiện, xử lý nghiêm các hành vi trốn thuế. - HUMAN-ENF2]]</f>
        <v>9</v>
      </c>
      <c r="X139">
        <f t="shared" si="57"/>
        <v>0.88888888888888884</v>
      </c>
      <c r="Y139" s="32">
        <f t="shared" si="58"/>
        <v>0.61111111111111116</v>
      </c>
      <c r="Z139" s="32">
        <f t="shared" si="59"/>
        <v>0.83333333333333326</v>
      </c>
      <c r="AA139">
        <f>step3_validation[[#This Row],[AI_FAC1]]</f>
        <v>9</v>
      </c>
      <c r="AB139">
        <f t="shared" si="60"/>
        <v>0.88888888888888884</v>
      </c>
      <c r="AC139">
        <f>survey_responses[[#This Row],[Các thủ tục khai báo thuế VÀ/HOẶC quy trình làm việc với cơ quan thuế đơn giản, tiện lợi, nhanh chóng hơn so với trước đây. - HUMAN-FAC1]]</f>
        <v>7</v>
      </c>
      <c r="AD139">
        <f t="shared" si="61"/>
        <v>0.66666666666666663</v>
      </c>
      <c r="AE139">
        <f>step3_validation[[#This Row],[AI_FAC2]]</f>
        <v>8</v>
      </c>
      <c r="AF139">
        <f t="shared" si="62"/>
        <v>0.77777777777777779</v>
      </c>
      <c r="AG139">
        <f>survey_responses[[#This Row],[So với trước đây, tôi thấy cách tính thuế và các bậc thuế trong phương án mới đơn giản, dễ hiểu và dễ thực hiện hơn. - HUMAN-FAC2]]</f>
        <v>7</v>
      </c>
      <c r="AH139">
        <f t="shared" si="63"/>
        <v>0.66666666666666663</v>
      </c>
      <c r="AI139" s="32">
        <f t="shared" si="64"/>
        <v>0.83333333333333326</v>
      </c>
      <c r="AJ139" s="32">
        <f t="shared" si="65"/>
        <v>0.66666666666666663</v>
      </c>
      <c r="AK139">
        <f>step3_validation[[#This Row],[AI_TRU1]]</f>
        <v>7</v>
      </c>
      <c r="AL139">
        <f t="shared" si="66"/>
        <v>0.66666666666666663</v>
      </c>
      <c r="AM139">
        <f>survey_responses[[#This Row],[Tôi tin rằng Nhà nước, cơ quan thuế sẽ thực thi chính sách mới một cách khách quan, công tâm và đối xử bình đẳng với mọi người nộp thuế.  - HUMAN-TRU1]]</f>
        <v>6</v>
      </c>
      <c r="AN139">
        <f t="shared" si="67"/>
        <v>0.55555555555555558</v>
      </c>
      <c r="AO139">
        <f>step3_validation[[#This Row],[AI_TRU2]]</f>
        <v>9</v>
      </c>
      <c r="AP139">
        <f t="shared" si="68"/>
        <v>0.88888888888888884</v>
      </c>
      <c r="AQ139">
        <f>survey_responses[[#This Row],[Tôi thấy mức thuế tôi phải đóng theo phương án mới là công bằng (người thu nhập như tôi đóng mức này là hợp lý). - HUMAN-TRU2]]</f>
        <v>6</v>
      </c>
      <c r="AR139">
        <f t="shared" si="69"/>
        <v>0.55555555555555558</v>
      </c>
      <c r="AS139">
        <f>step3_validation[[#This Row],[AI_TRU3]]</f>
        <v>8</v>
      </c>
      <c r="AT139">
        <f t="shared" si="70"/>
        <v>0.77777777777777779</v>
      </c>
      <c r="AU139">
        <f>survey_responses[[#This Row],[Tôi tin tưởng số tiền thuế tôi đóng sẽ được Nhà nước sử dụng hiệu quả để cải thiện dịch vụ công (y tế, đường xá...). - HUMAN-TRU3]]</f>
        <v>2</v>
      </c>
      <c r="AV139">
        <f t="shared" si="71"/>
        <v>0.1111111111111111</v>
      </c>
      <c r="AW139">
        <f>step3_validation[[#This Row],[AI_TRU4]]</f>
        <v>7</v>
      </c>
      <c r="AX139">
        <f t="shared" si="72"/>
        <v>0.66666666666666663</v>
      </c>
      <c r="AY139">
        <f>survey_responses[[#This Row],[Tôi thấy Nhà nước đã giải thích rõ ràng, minh bạch về lý do và mục tiêu của việc sửa đổi thuế lần này. - HUMAN-TRU4]]</f>
        <v>5</v>
      </c>
      <c r="AZ139">
        <f t="shared" si="73"/>
        <v>0.44444444444444442</v>
      </c>
      <c r="BA139" s="32">
        <f t="shared" si="74"/>
        <v>0.74999999999999989</v>
      </c>
      <c r="BB139" s="32">
        <f t="shared" si="75"/>
        <v>0.41666666666666669</v>
      </c>
      <c r="BC139" s="7">
        <f t="shared" si="76"/>
        <v>0.7314814814814814</v>
      </c>
      <c r="BD139" s="7">
        <f t="shared" si="77"/>
        <v>0.63888888888888895</v>
      </c>
      <c r="BE139">
        <f>step3_validation[[#This Row],[AI_OUT1]]</f>
        <v>8</v>
      </c>
      <c r="BF139">
        <f t="shared" si="78"/>
        <v>0.77777777777777779</v>
      </c>
      <c r="BG139">
        <f>survey_responses[[#This Row],[Sau khi xem xét các quyền lợi và nghĩa vụ, bạn có ủng hộ và tuân thủ chính sách mới hiện nay? - HUMAN-OUT1]]</f>
        <v>6</v>
      </c>
      <c r="BH139">
        <f t="shared" si="79"/>
        <v>0.55555555555555558</v>
      </c>
      <c r="BI139" s="32">
        <f t="shared" si="80"/>
        <v>2</v>
      </c>
    </row>
    <row r="140" spans="1:61" x14ac:dyDescent="0.45">
      <c r="A140" s="30">
        <f>step3_validation[[#This Row],[Persona_ID]]</f>
        <v>139</v>
      </c>
      <c r="B140" s="31">
        <f>step3_validation[[#This Row],[Used_Seed]]</f>
        <v>12483</v>
      </c>
      <c r="C140" t="str">
        <f>step3_validation[[#This Row],[Gender]]</f>
        <v>Nữ</v>
      </c>
      <c r="D140" t="str">
        <f>survey_responses[[#This Row],[Giới tính của bạn:]]</f>
        <v>Nữ</v>
      </c>
      <c r="E140" t="str">
        <f>step3_validation[[#This Row],[Age_Group]]</f>
        <v>40 - 49</v>
      </c>
      <c r="F140" t="str">
        <f>survey_responses[[#This Row],[Độ tuổi của bạn:]]</f>
        <v>40 - 49</v>
      </c>
      <c r="G140" t="str">
        <f>step3_validation[[#This Row],[Region]]</f>
        <v>Thành thị</v>
      </c>
      <c r="H140" t="str">
        <f>survey_responses[[#This Row],[Khu vực bạn đang sinh sống:]]</f>
        <v>Thành thị</v>
      </c>
      <c r="I140" t="str">
        <f>step3_validation[[#This Row],[Education]]</f>
        <v>Sau Đại học</v>
      </c>
      <c r="J140" t="str">
        <f>survey_responses[[#This Row],[Trình độ học vấn cao nhất:]]</f>
        <v>Sau Đại học</v>
      </c>
      <c r="K140" t="str">
        <f>step3_validation[[#This Row],[Employment]]</f>
        <v>Chính thức</v>
      </c>
      <c r="L140" t="str">
        <f>survey_responses[[#This Row],[Tình trạng việc làm chính:]]</f>
        <v>Khu vực chính thức (Có Hợp đồng lao động, đóng BHXH)</v>
      </c>
      <c r="M140">
        <f>step3_validation[[#This Row],[Income_Mil]]</f>
        <v>158.4554792969042</v>
      </c>
      <c r="N140" t="str">
        <f>survey_responses[[#This Row],[Thu nhập bình quân tháng theo Hợp đồng lao động của bạn là bao nhiêu? (Vui lòng điền tổng thu nhập trước khi khấu trừ các loại Bảo hiểm (BHXH, BHYT, BHTN) và Thuế TNCN)]]</f>
        <v>Trên 102 triệu VNĐ</v>
      </c>
      <c r="O140">
        <f>step3_validation[[#This Row],[Dependents]]</f>
        <v>2</v>
      </c>
      <c r="P140" t="str">
        <f>survey_responses[[#This Row],[Số người phụ thuộc (con nhỏ, cha mẹ già...) đủ điều kiện giảm trừ gia cảnh:]]</f>
        <v>2 người</v>
      </c>
      <c r="Q140">
        <f>step3_validation[[#This Row],[AI_ENF1]]</f>
        <v>9</v>
      </c>
      <c r="R140">
        <f t="shared" si="54"/>
        <v>0.88888888888888884</v>
      </c>
      <c r="S140">
        <f>survey_responses[[#This Row],[Tôi tin rằng với các quy định quản lý thuế hiện nay, hành vi gian lận hoặc trốn thuế sẽ dễ dàng bị phát hiện và xử lý nghiêm. - HUMAN-ENF1]]</f>
        <v>5</v>
      </c>
      <c r="T140">
        <f t="shared" si="55"/>
        <v>0.44444444444444442</v>
      </c>
      <c r="U140">
        <f>step3_validation[[#This Row],[AI_ENF2]]</f>
        <v>8</v>
      </c>
      <c r="V140">
        <f t="shared" si="56"/>
        <v>0.77777777777777779</v>
      </c>
      <c r="W140">
        <f>survey_responses[[#This Row],[Tôi tin rằng Nhà nước, cơ quan thuế có đủ khả năng và công nghệ để phát hiện, xử lý nghiêm các hành vi trốn thuế. - HUMAN-ENF2]]</f>
        <v>4</v>
      </c>
      <c r="X140">
        <f t="shared" si="57"/>
        <v>0.33333333333333331</v>
      </c>
      <c r="Y140" s="32">
        <f t="shared" si="58"/>
        <v>0.83333333333333326</v>
      </c>
      <c r="Z140" s="32">
        <f t="shared" si="59"/>
        <v>0.38888888888888884</v>
      </c>
      <c r="AA140">
        <f>step3_validation[[#This Row],[AI_FAC1]]</f>
        <v>9</v>
      </c>
      <c r="AB140">
        <f t="shared" si="60"/>
        <v>0.88888888888888884</v>
      </c>
      <c r="AC140">
        <f>survey_responses[[#This Row],[Các thủ tục khai báo thuế VÀ/HOẶC quy trình làm việc với cơ quan thuế đơn giản, tiện lợi, nhanh chóng hơn so với trước đây. - HUMAN-FAC1]]</f>
        <v>7</v>
      </c>
      <c r="AD140">
        <f t="shared" si="61"/>
        <v>0.66666666666666663</v>
      </c>
      <c r="AE140">
        <f>step3_validation[[#This Row],[AI_FAC2]]</f>
        <v>8</v>
      </c>
      <c r="AF140">
        <f t="shared" si="62"/>
        <v>0.77777777777777779</v>
      </c>
      <c r="AG140">
        <f>survey_responses[[#This Row],[So với trước đây, tôi thấy cách tính thuế và các bậc thuế trong phương án mới đơn giản, dễ hiểu và dễ thực hiện hơn. - HUMAN-FAC2]]</f>
        <v>6</v>
      </c>
      <c r="AH140">
        <f t="shared" si="63"/>
        <v>0.55555555555555558</v>
      </c>
      <c r="AI140" s="32">
        <f t="shared" si="64"/>
        <v>0.83333333333333326</v>
      </c>
      <c r="AJ140" s="32">
        <f t="shared" si="65"/>
        <v>0.61111111111111116</v>
      </c>
      <c r="AK140">
        <f>step3_validation[[#This Row],[AI_TRU1]]</f>
        <v>9</v>
      </c>
      <c r="AL140">
        <f t="shared" si="66"/>
        <v>0.88888888888888884</v>
      </c>
      <c r="AM140">
        <f>survey_responses[[#This Row],[Tôi tin rằng Nhà nước, cơ quan thuế sẽ thực thi chính sách mới một cách khách quan, công tâm và đối xử bình đẳng với mọi người nộp thuế.  - HUMAN-TRU1]]</f>
        <v>3</v>
      </c>
      <c r="AN140">
        <f t="shared" si="67"/>
        <v>0.22222222222222221</v>
      </c>
      <c r="AO140">
        <f>step3_validation[[#This Row],[AI_TRU2]]</f>
        <v>8</v>
      </c>
      <c r="AP140">
        <f t="shared" si="68"/>
        <v>0.77777777777777779</v>
      </c>
      <c r="AQ140">
        <f>survey_responses[[#This Row],[Tôi thấy mức thuế tôi phải đóng theo phương án mới là công bằng (người thu nhập như tôi đóng mức này là hợp lý). - HUMAN-TRU2]]</f>
        <v>4</v>
      </c>
      <c r="AR140">
        <f t="shared" si="69"/>
        <v>0.33333333333333331</v>
      </c>
      <c r="AS140">
        <f>step3_validation[[#This Row],[AI_TRU3]]</f>
        <v>9</v>
      </c>
      <c r="AT140">
        <f t="shared" si="70"/>
        <v>0.88888888888888884</v>
      </c>
      <c r="AU140">
        <f>survey_responses[[#This Row],[Tôi tin tưởng số tiền thuế tôi đóng sẽ được Nhà nước sử dụng hiệu quả để cải thiện dịch vụ công (y tế, đường xá...). - HUMAN-TRU3]]</f>
        <v>4</v>
      </c>
      <c r="AV140">
        <f t="shared" si="71"/>
        <v>0.33333333333333331</v>
      </c>
      <c r="AW140">
        <f>step3_validation[[#This Row],[AI_TRU4]]</f>
        <v>8</v>
      </c>
      <c r="AX140">
        <f t="shared" si="72"/>
        <v>0.77777777777777779</v>
      </c>
      <c r="AY140">
        <f>survey_responses[[#This Row],[Tôi thấy Nhà nước đã giải thích rõ ràng, minh bạch về lý do và mục tiêu của việc sửa đổi thuế lần này. - HUMAN-TRU4]]</f>
        <v>5</v>
      </c>
      <c r="AZ140">
        <f t="shared" si="73"/>
        <v>0.44444444444444442</v>
      </c>
      <c r="BA140" s="32">
        <f t="shared" si="74"/>
        <v>0.83333333333333326</v>
      </c>
      <c r="BB140" s="32">
        <f t="shared" si="75"/>
        <v>0.33333333333333331</v>
      </c>
      <c r="BC140" s="7">
        <f t="shared" si="76"/>
        <v>0.83333333333333337</v>
      </c>
      <c r="BD140" s="7">
        <f t="shared" si="77"/>
        <v>0.44444444444444442</v>
      </c>
      <c r="BE140">
        <f>step3_validation[[#This Row],[AI_OUT1]]</f>
        <v>9</v>
      </c>
      <c r="BF140">
        <f t="shared" si="78"/>
        <v>0.88888888888888884</v>
      </c>
      <c r="BG140">
        <f>survey_responses[[#This Row],[Sau khi xem xét các quyền lợi và nghĩa vụ, bạn có ủng hộ và tuân thủ chính sách mới hiện nay? - HUMAN-OUT1]]</f>
        <v>5</v>
      </c>
      <c r="BH140">
        <f t="shared" si="79"/>
        <v>0.44444444444444442</v>
      </c>
      <c r="BI140" s="32">
        <f t="shared" si="80"/>
        <v>4</v>
      </c>
    </row>
    <row r="141" spans="1:61" x14ac:dyDescent="0.45">
      <c r="A141" s="30">
        <f>step3_validation[[#This Row],[Persona_ID]]</f>
        <v>140</v>
      </c>
      <c r="B141" s="31">
        <f>step3_validation[[#This Row],[Used_Seed]]</f>
        <v>12484</v>
      </c>
      <c r="C141" t="str">
        <f>step3_validation[[#This Row],[Gender]]</f>
        <v>Nữ</v>
      </c>
      <c r="D141" t="str">
        <f>survey_responses[[#This Row],[Giới tính của bạn:]]</f>
        <v>Nữ</v>
      </c>
      <c r="E141" t="str">
        <f>step3_validation[[#This Row],[Age_Group]]</f>
        <v>30 - 39</v>
      </c>
      <c r="F141" t="str">
        <f>survey_responses[[#This Row],[Độ tuổi của bạn:]]</f>
        <v>30 - 39</v>
      </c>
      <c r="G141" t="str">
        <f>step3_validation[[#This Row],[Region]]</f>
        <v>Thành thị</v>
      </c>
      <c r="H141" t="str">
        <f>survey_responses[[#This Row],[Khu vực bạn đang sinh sống:]]</f>
        <v>Thành thị</v>
      </c>
      <c r="I141" t="str">
        <f>step3_validation[[#This Row],[Education]]</f>
        <v>Đại học</v>
      </c>
      <c r="J141" t="str">
        <f>survey_responses[[#This Row],[Trình độ học vấn cao nhất:]]</f>
        <v>Đại học</v>
      </c>
      <c r="K141" t="str">
        <f>step3_validation[[#This Row],[Employment]]</f>
        <v>Chính thức</v>
      </c>
      <c r="L141" t="str">
        <f>survey_responses[[#This Row],[Tình trạng việc làm chính:]]</f>
        <v>Khu vực chính thức (Có Hợp đồng lao động, đóng BHXH)</v>
      </c>
      <c r="M141">
        <f>step3_validation[[#This Row],[Income_Mil]]</f>
        <v>26.307433001153747</v>
      </c>
      <c r="N141" t="str">
        <f>survey_responses[[#This Row],[Thu nhập bình quân tháng theo Hợp đồng lao động của bạn là bao nhiêu? (Vui lòng điền tổng thu nhập trước khi khấu trừ các loại Bảo hiểm (BHXH, BHYT, BHTN) và Thuế TNCN)]]</f>
        <v>Từ 23 - 32 triệu VNĐ</v>
      </c>
      <c r="O141">
        <f>step3_validation[[#This Row],[Dependents]]</f>
        <v>1</v>
      </c>
      <c r="P141" t="str">
        <f>survey_responses[[#This Row],[Số người phụ thuộc (con nhỏ, cha mẹ già...) đủ điều kiện giảm trừ gia cảnh:]]</f>
        <v>1 người</v>
      </c>
      <c r="Q141">
        <f>step3_validation[[#This Row],[AI_ENF1]]</f>
        <v>7</v>
      </c>
      <c r="R141">
        <f t="shared" si="54"/>
        <v>0.66666666666666663</v>
      </c>
      <c r="S141">
        <f>survey_responses[[#This Row],[Tôi tin rằng với các quy định quản lý thuế hiện nay, hành vi gian lận hoặc trốn thuế sẽ dễ dàng bị phát hiện và xử lý nghiêm. - HUMAN-ENF1]]</f>
        <v>10</v>
      </c>
      <c r="T141">
        <f t="shared" si="55"/>
        <v>1</v>
      </c>
      <c r="U141">
        <f>step3_validation[[#This Row],[AI_ENF2]]</f>
        <v>8</v>
      </c>
      <c r="V141">
        <f t="shared" si="56"/>
        <v>0.77777777777777779</v>
      </c>
      <c r="W141">
        <f>survey_responses[[#This Row],[Tôi tin rằng Nhà nước, cơ quan thuế có đủ khả năng và công nghệ để phát hiện, xử lý nghiêm các hành vi trốn thuế. - HUMAN-ENF2]]</f>
        <v>9</v>
      </c>
      <c r="X141">
        <f t="shared" si="57"/>
        <v>0.88888888888888884</v>
      </c>
      <c r="Y141" s="32">
        <f t="shared" si="58"/>
        <v>0.72222222222222221</v>
      </c>
      <c r="Z141" s="32">
        <f t="shared" si="59"/>
        <v>0.94444444444444442</v>
      </c>
      <c r="AA141">
        <f>step3_validation[[#This Row],[AI_FAC1]]</f>
        <v>9</v>
      </c>
      <c r="AB141">
        <f t="shared" si="60"/>
        <v>0.88888888888888884</v>
      </c>
      <c r="AC141">
        <f>survey_responses[[#This Row],[Các thủ tục khai báo thuế VÀ/HOẶC quy trình làm việc với cơ quan thuế đơn giản, tiện lợi, nhanh chóng hơn so với trước đây. - HUMAN-FAC1]]</f>
        <v>9</v>
      </c>
      <c r="AD141">
        <f t="shared" si="61"/>
        <v>0.88888888888888884</v>
      </c>
      <c r="AE141">
        <f>step3_validation[[#This Row],[AI_FAC2]]</f>
        <v>8</v>
      </c>
      <c r="AF141">
        <f t="shared" si="62"/>
        <v>0.77777777777777779</v>
      </c>
      <c r="AG141">
        <f>survey_responses[[#This Row],[So với trước đây, tôi thấy cách tính thuế và các bậc thuế trong phương án mới đơn giản, dễ hiểu và dễ thực hiện hơn. - HUMAN-FAC2]]</f>
        <v>9</v>
      </c>
      <c r="AH141">
        <f t="shared" si="63"/>
        <v>0.88888888888888884</v>
      </c>
      <c r="AI141" s="32">
        <f t="shared" si="64"/>
        <v>0.83333333333333326</v>
      </c>
      <c r="AJ141" s="32">
        <f t="shared" si="65"/>
        <v>0.88888888888888884</v>
      </c>
      <c r="AK141">
        <f>step3_validation[[#This Row],[AI_TRU1]]</f>
        <v>7</v>
      </c>
      <c r="AL141">
        <f t="shared" si="66"/>
        <v>0.66666666666666663</v>
      </c>
      <c r="AM141">
        <f>survey_responses[[#This Row],[Tôi tin rằng Nhà nước, cơ quan thuế sẽ thực thi chính sách mới một cách khách quan, công tâm và đối xử bình đẳng với mọi người nộp thuế.  - HUMAN-TRU1]]</f>
        <v>8</v>
      </c>
      <c r="AN141">
        <f t="shared" si="67"/>
        <v>0.77777777777777779</v>
      </c>
      <c r="AO141">
        <f>step3_validation[[#This Row],[AI_TRU2]]</f>
        <v>9</v>
      </c>
      <c r="AP141">
        <f t="shared" si="68"/>
        <v>0.88888888888888884</v>
      </c>
      <c r="AQ141">
        <f>survey_responses[[#This Row],[Tôi thấy mức thuế tôi phải đóng theo phương án mới là công bằng (người thu nhập như tôi đóng mức này là hợp lý). - HUMAN-TRU2]]</f>
        <v>8</v>
      </c>
      <c r="AR141">
        <f t="shared" si="69"/>
        <v>0.77777777777777779</v>
      </c>
      <c r="AS141">
        <f>step3_validation[[#This Row],[AI_TRU3]]</f>
        <v>8</v>
      </c>
      <c r="AT141">
        <f t="shared" si="70"/>
        <v>0.77777777777777779</v>
      </c>
      <c r="AU141">
        <f>survey_responses[[#This Row],[Tôi tin tưởng số tiền thuế tôi đóng sẽ được Nhà nước sử dụng hiệu quả để cải thiện dịch vụ công (y tế, đường xá...). - HUMAN-TRU3]]</f>
        <v>8</v>
      </c>
      <c r="AV141">
        <f t="shared" si="71"/>
        <v>0.77777777777777779</v>
      </c>
      <c r="AW141">
        <f>step3_validation[[#This Row],[AI_TRU4]]</f>
        <v>7</v>
      </c>
      <c r="AX141">
        <f t="shared" si="72"/>
        <v>0.66666666666666663</v>
      </c>
      <c r="AY141">
        <f>survey_responses[[#This Row],[Tôi thấy Nhà nước đã giải thích rõ ràng, minh bạch về lý do và mục tiêu của việc sửa đổi thuế lần này. - HUMAN-TRU4]]</f>
        <v>8</v>
      </c>
      <c r="AZ141">
        <f t="shared" si="73"/>
        <v>0.77777777777777779</v>
      </c>
      <c r="BA141" s="32">
        <f t="shared" si="74"/>
        <v>0.74999999999999989</v>
      </c>
      <c r="BB141" s="32">
        <f t="shared" si="75"/>
        <v>0.77777777777777779</v>
      </c>
      <c r="BC141" s="7">
        <f t="shared" si="76"/>
        <v>0.76851851851851849</v>
      </c>
      <c r="BD141" s="7">
        <f t="shared" si="77"/>
        <v>0.87037037037037035</v>
      </c>
      <c r="BE141">
        <f>step3_validation[[#This Row],[AI_OUT1]]</f>
        <v>9</v>
      </c>
      <c r="BF141">
        <f t="shared" si="78"/>
        <v>0.88888888888888884</v>
      </c>
      <c r="BG141">
        <f>survey_responses[[#This Row],[Sau khi xem xét các quyền lợi và nghĩa vụ, bạn có ủng hộ và tuân thủ chính sách mới hiện nay? - HUMAN-OUT1]]</f>
        <v>10</v>
      </c>
      <c r="BH141">
        <f t="shared" si="79"/>
        <v>1</v>
      </c>
      <c r="BI141" s="32">
        <f t="shared" si="80"/>
        <v>1</v>
      </c>
    </row>
    <row r="142" spans="1:61" x14ac:dyDescent="0.45">
      <c r="A142" s="30">
        <f>step3_validation[[#This Row],[Persona_ID]]</f>
        <v>141</v>
      </c>
      <c r="B142" s="31">
        <f>step3_validation[[#This Row],[Used_Seed]]</f>
        <v>12485</v>
      </c>
      <c r="C142" t="str">
        <f>step3_validation[[#This Row],[Gender]]</f>
        <v>Nam</v>
      </c>
      <c r="D142" t="str">
        <f>survey_responses[[#This Row],[Giới tính của bạn:]]</f>
        <v>Nam</v>
      </c>
      <c r="E142" t="str">
        <f>step3_validation[[#This Row],[Age_Group]]</f>
        <v>30 - 39</v>
      </c>
      <c r="F142" t="str">
        <f>survey_responses[[#This Row],[Độ tuổi của bạn:]]</f>
        <v>30 - 39</v>
      </c>
      <c r="G142" t="str">
        <f>step3_validation[[#This Row],[Region]]</f>
        <v>Thành thị</v>
      </c>
      <c r="H142" t="str">
        <f>survey_responses[[#This Row],[Khu vực bạn đang sinh sống:]]</f>
        <v>Thành thị</v>
      </c>
      <c r="I142" t="str">
        <f>step3_validation[[#This Row],[Education]]</f>
        <v>Đại học</v>
      </c>
      <c r="J142" t="str">
        <f>survey_responses[[#This Row],[Trình độ học vấn cao nhất:]]</f>
        <v>Đại học</v>
      </c>
      <c r="K142" t="str">
        <f>step3_validation[[#This Row],[Employment]]</f>
        <v>Chính thức</v>
      </c>
      <c r="L142" t="str">
        <f>survey_responses[[#This Row],[Tình trạng việc làm chính:]]</f>
        <v>Khu vực chính thức (Có Hợp đồng lao động, đóng BHXH)</v>
      </c>
      <c r="M142">
        <f>step3_validation[[#This Row],[Income_Mil]]</f>
        <v>24.022720572137843</v>
      </c>
      <c r="N142" t="str">
        <f>survey_responses[[#This Row],[Thu nhập bình quân tháng theo Hợp đồng lao động của bạn là bao nhiêu? (Vui lòng điền tổng thu nhập trước khi khấu trừ các loại Bảo hiểm (BHXH, BHYT, BHTN) và Thuế TNCN)]]</f>
        <v>Từ 23 - 32 triệu VNĐ</v>
      </c>
      <c r="O142">
        <f>step3_validation[[#This Row],[Dependents]]</f>
        <v>1</v>
      </c>
      <c r="P142" t="str">
        <f>survey_responses[[#This Row],[Số người phụ thuộc (con nhỏ, cha mẹ già...) đủ điều kiện giảm trừ gia cảnh:]]</f>
        <v>1 người</v>
      </c>
      <c r="Q142">
        <f>step3_validation[[#This Row],[AI_ENF1]]</f>
        <v>8</v>
      </c>
      <c r="R142">
        <f t="shared" si="54"/>
        <v>0.77777777777777779</v>
      </c>
      <c r="S142">
        <f>survey_responses[[#This Row],[Tôi tin rằng với các quy định quản lý thuế hiện nay, hành vi gian lận hoặc trốn thuế sẽ dễ dàng bị phát hiện và xử lý nghiêm. - HUMAN-ENF1]]</f>
        <v>8</v>
      </c>
      <c r="T142">
        <f t="shared" si="55"/>
        <v>0.77777777777777779</v>
      </c>
      <c r="U142">
        <f>step3_validation[[#This Row],[AI_ENF2]]</f>
        <v>9</v>
      </c>
      <c r="V142">
        <f t="shared" si="56"/>
        <v>0.88888888888888884</v>
      </c>
      <c r="W142">
        <f>survey_responses[[#This Row],[Tôi tin rằng Nhà nước, cơ quan thuế có đủ khả năng và công nghệ để phát hiện, xử lý nghiêm các hành vi trốn thuế. - HUMAN-ENF2]]</f>
        <v>7</v>
      </c>
      <c r="X142">
        <f t="shared" si="57"/>
        <v>0.66666666666666663</v>
      </c>
      <c r="Y142" s="32">
        <f t="shared" si="58"/>
        <v>0.83333333333333326</v>
      </c>
      <c r="Z142" s="32">
        <f t="shared" si="59"/>
        <v>0.72222222222222221</v>
      </c>
      <c r="AA142">
        <f>step3_validation[[#This Row],[AI_FAC1]]</f>
        <v>8</v>
      </c>
      <c r="AB142">
        <f t="shared" si="60"/>
        <v>0.77777777777777779</v>
      </c>
      <c r="AC142">
        <f>survey_responses[[#This Row],[Các thủ tục khai báo thuế VÀ/HOẶC quy trình làm việc với cơ quan thuế đơn giản, tiện lợi, nhanh chóng hơn so với trước đây. - HUMAN-FAC1]]</f>
        <v>6</v>
      </c>
      <c r="AD142">
        <f t="shared" si="61"/>
        <v>0.55555555555555558</v>
      </c>
      <c r="AE142">
        <f>step3_validation[[#This Row],[AI_FAC2]]</f>
        <v>9</v>
      </c>
      <c r="AF142">
        <f t="shared" si="62"/>
        <v>0.88888888888888884</v>
      </c>
      <c r="AG142">
        <f>survey_responses[[#This Row],[So với trước đây, tôi thấy cách tính thuế và các bậc thuế trong phương án mới đơn giản, dễ hiểu và dễ thực hiện hơn. - HUMAN-FAC2]]</f>
        <v>6</v>
      </c>
      <c r="AH142">
        <f t="shared" si="63"/>
        <v>0.55555555555555558</v>
      </c>
      <c r="AI142" s="32">
        <f t="shared" si="64"/>
        <v>0.83333333333333326</v>
      </c>
      <c r="AJ142" s="32">
        <f t="shared" si="65"/>
        <v>0.55555555555555558</v>
      </c>
      <c r="AK142">
        <f>step3_validation[[#This Row],[AI_TRU1]]</f>
        <v>8</v>
      </c>
      <c r="AL142">
        <f t="shared" si="66"/>
        <v>0.77777777777777779</v>
      </c>
      <c r="AM142">
        <f>survey_responses[[#This Row],[Tôi tin rằng Nhà nước, cơ quan thuế sẽ thực thi chính sách mới một cách khách quan, công tâm và đối xử bình đẳng với mọi người nộp thuế.  - HUMAN-TRU1]]</f>
        <v>5</v>
      </c>
      <c r="AN142">
        <f t="shared" si="67"/>
        <v>0.44444444444444442</v>
      </c>
      <c r="AO142">
        <f>step3_validation[[#This Row],[AI_TRU2]]</f>
        <v>9</v>
      </c>
      <c r="AP142">
        <f t="shared" si="68"/>
        <v>0.88888888888888884</v>
      </c>
      <c r="AQ142">
        <f>survey_responses[[#This Row],[Tôi thấy mức thuế tôi phải đóng theo phương án mới là công bằng (người thu nhập như tôi đóng mức này là hợp lý). - HUMAN-TRU2]]</f>
        <v>5</v>
      </c>
      <c r="AR142">
        <f t="shared" si="69"/>
        <v>0.44444444444444442</v>
      </c>
      <c r="AS142">
        <f>step3_validation[[#This Row],[AI_TRU3]]</f>
        <v>8</v>
      </c>
      <c r="AT142">
        <f t="shared" si="70"/>
        <v>0.77777777777777779</v>
      </c>
      <c r="AU142">
        <f>survey_responses[[#This Row],[Tôi tin tưởng số tiền thuế tôi đóng sẽ được Nhà nước sử dụng hiệu quả để cải thiện dịch vụ công (y tế, đường xá...). - HUMAN-TRU3]]</f>
        <v>3</v>
      </c>
      <c r="AV142">
        <f t="shared" si="71"/>
        <v>0.22222222222222221</v>
      </c>
      <c r="AW142">
        <f>step3_validation[[#This Row],[AI_TRU4]]</f>
        <v>9</v>
      </c>
      <c r="AX142">
        <f t="shared" si="72"/>
        <v>0.88888888888888884</v>
      </c>
      <c r="AY142">
        <f>survey_responses[[#This Row],[Tôi thấy Nhà nước đã giải thích rõ ràng, minh bạch về lý do và mục tiêu của việc sửa đổi thuế lần này. - HUMAN-TRU4]]</f>
        <v>3</v>
      </c>
      <c r="AZ142">
        <f t="shared" si="73"/>
        <v>0.22222222222222221</v>
      </c>
      <c r="BA142" s="32">
        <f t="shared" si="74"/>
        <v>0.83333333333333326</v>
      </c>
      <c r="BB142" s="32">
        <f t="shared" si="75"/>
        <v>0.33333333333333337</v>
      </c>
      <c r="BC142" s="7">
        <f t="shared" si="76"/>
        <v>0.83333333333333337</v>
      </c>
      <c r="BD142" s="7">
        <f t="shared" si="77"/>
        <v>0.53703703703703709</v>
      </c>
      <c r="BE142">
        <f>step3_validation[[#This Row],[AI_OUT1]]</f>
        <v>9</v>
      </c>
      <c r="BF142">
        <f t="shared" si="78"/>
        <v>0.88888888888888884</v>
      </c>
      <c r="BG142">
        <f>survey_responses[[#This Row],[Sau khi xem xét các quyền lợi và nghĩa vụ, bạn có ủng hộ và tuân thủ chính sách mới hiện nay? - HUMAN-OUT1]]</f>
        <v>5</v>
      </c>
      <c r="BH142">
        <f t="shared" si="79"/>
        <v>0.44444444444444442</v>
      </c>
      <c r="BI142" s="32">
        <f t="shared" si="80"/>
        <v>4</v>
      </c>
    </row>
    <row r="143" spans="1:61" x14ac:dyDescent="0.45">
      <c r="A143" s="30">
        <f>step3_validation[[#This Row],[Persona_ID]]</f>
        <v>142</v>
      </c>
      <c r="B143" s="31">
        <f>step3_validation[[#This Row],[Used_Seed]]</f>
        <v>12486</v>
      </c>
      <c r="C143" t="str">
        <f>step3_validation[[#This Row],[Gender]]</f>
        <v>Nam</v>
      </c>
      <c r="D143" t="str">
        <f>survey_responses[[#This Row],[Giới tính của bạn:]]</f>
        <v>Nam</v>
      </c>
      <c r="E143" t="str">
        <f>step3_validation[[#This Row],[Age_Group]]</f>
        <v>40 - 49</v>
      </c>
      <c r="F143" t="str">
        <f>survey_responses[[#This Row],[Độ tuổi của bạn:]]</f>
        <v>40 - 49</v>
      </c>
      <c r="G143" t="str">
        <f>step3_validation[[#This Row],[Region]]</f>
        <v>Thành thị</v>
      </c>
      <c r="H143" t="str">
        <f>survey_responses[[#This Row],[Khu vực bạn đang sinh sống:]]</f>
        <v>Thành thị</v>
      </c>
      <c r="I143" t="str">
        <f>step3_validation[[#This Row],[Education]]</f>
        <v>Sau Đại học</v>
      </c>
      <c r="J143" t="str">
        <f>survey_responses[[#This Row],[Trình độ học vấn cao nhất:]]</f>
        <v>Sau Đại học</v>
      </c>
      <c r="K143" t="str">
        <f>step3_validation[[#This Row],[Employment]]</f>
        <v>Chính thức</v>
      </c>
      <c r="L143" t="str">
        <f>survey_responses[[#This Row],[Tình trạng việc làm chính:]]</f>
        <v>Khu vực chính thức (Có Hợp đồng lao động, đóng BHXH)</v>
      </c>
      <c r="M143">
        <f>step3_validation[[#This Row],[Income_Mil]]</f>
        <v>12</v>
      </c>
      <c r="N143" t="str">
        <f>survey_responses[[#This Row],[Thu nhập bình quân tháng theo Hợp đồng lao động của bạn là bao nhiêu? (Vui lòng điền tổng thu nhập trước khi khấu trừ các loại Bảo hiểm (BHXH, BHYT, BHTN) và Thuế TNCN)]]</f>
        <v>Dưới 12 triệu VNĐ</v>
      </c>
      <c r="O143">
        <f>step3_validation[[#This Row],[Dependents]]</f>
        <v>1</v>
      </c>
      <c r="P143" t="str">
        <f>survey_responses[[#This Row],[Số người phụ thuộc (con nhỏ, cha mẹ già...) đủ điều kiện giảm trừ gia cảnh:]]</f>
        <v>1 người</v>
      </c>
      <c r="Q143">
        <f>step3_validation[[#This Row],[AI_ENF1]]</f>
        <v>6</v>
      </c>
      <c r="R143">
        <f t="shared" si="54"/>
        <v>0.55555555555555558</v>
      </c>
      <c r="S143">
        <f>survey_responses[[#This Row],[Tôi tin rằng với các quy định quản lý thuế hiện nay, hành vi gian lận hoặc trốn thuế sẽ dễ dàng bị phát hiện và xử lý nghiêm. - HUMAN-ENF1]]</f>
        <v>5</v>
      </c>
      <c r="T143">
        <f t="shared" si="55"/>
        <v>0.44444444444444442</v>
      </c>
      <c r="U143">
        <f>step3_validation[[#This Row],[AI_ENF2]]</f>
        <v>7</v>
      </c>
      <c r="V143">
        <f t="shared" si="56"/>
        <v>0.66666666666666663</v>
      </c>
      <c r="W143">
        <f>survey_responses[[#This Row],[Tôi tin rằng Nhà nước, cơ quan thuế có đủ khả năng và công nghệ để phát hiện, xử lý nghiêm các hành vi trốn thuế. - HUMAN-ENF2]]</f>
        <v>6</v>
      </c>
      <c r="X143">
        <f t="shared" si="57"/>
        <v>0.55555555555555558</v>
      </c>
      <c r="Y143" s="32">
        <f t="shared" si="58"/>
        <v>0.61111111111111116</v>
      </c>
      <c r="Z143" s="32">
        <f t="shared" si="59"/>
        <v>0.5</v>
      </c>
      <c r="AA143">
        <f>step3_validation[[#This Row],[AI_FAC1]]</f>
        <v>9</v>
      </c>
      <c r="AB143">
        <f t="shared" si="60"/>
        <v>0.88888888888888884</v>
      </c>
      <c r="AC143">
        <f>survey_responses[[#This Row],[Các thủ tục khai báo thuế VÀ/HOẶC quy trình làm việc với cơ quan thuế đơn giản, tiện lợi, nhanh chóng hơn so với trước đây. - HUMAN-FAC1]]</f>
        <v>5</v>
      </c>
      <c r="AD143">
        <f t="shared" si="61"/>
        <v>0.44444444444444442</v>
      </c>
      <c r="AE143">
        <f>step3_validation[[#This Row],[AI_FAC2]]</f>
        <v>8</v>
      </c>
      <c r="AF143">
        <f t="shared" si="62"/>
        <v>0.77777777777777779</v>
      </c>
      <c r="AG143">
        <f>survey_responses[[#This Row],[So với trước đây, tôi thấy cách tính thuế và các bậc thuế trong phương án mới đơn giản, dễ hiểu và dễ thực hiện hơn. - HUMAN-FAC2]]</f>
        <v>7</v>
      </c>
      <c r="AH143">
        <f t="shared" si="63"/>
        <v>0.66666666666666663</v>
      </c>
      <c r="AI143" s="32">
        <f t="shared" si="64"/>
        <v>0.83333333333333326</v>
      </c>
      <c r="AJ143" s="32">
        <f t="shared" si="65"/>
        <v>0.55555555555555558</v>
      </c>
      <c r="AK143">
        <f>step3_validation[[#This Row],[AI_TRU1]]</f>
        <v>9</v>
      </c>
      <c r="AL143">
        <f t="shared" si="66"/>
        <v>0.88888888888888884</v>
      </c>
      <c r="AM143">
        <f>survey_responses[[#This Row],[Tôi tin rằng Nhà nước, cơ quan thuế sẽ thực thi chính sách mới một cách khách quan, công tâm và đối xử bình đẳng với mọi người nộp thuế.  - HUMAN-TRU1]]</f>
        <v>6</v>
      </c>
      <c r="AN143">
        <f t="shared" si="67"/>
        <v>0.55555555555555558</v>
      </c>
      <c r="AO143">
        <f>step3_validation[[#This Row],[AI_TRU2]]</f>
        <v>8</v>
      </c>
      <c r="AP143">
        <f t="shared" si="68"/>
        <v>0.77777777777777779</v>
      </c>
      <c r="AQ143">
        <f>survey_responses[[#This Row],[Tôi thấy mức thuế tôi phải đóng theo phương án mới là công bằng (người thu nhập như tôi đóng mức này là hợp lý). - HUMAN-TRU2]]</f>
        <v>6</v>
      </c>
      <c r="AR143">
        <f t="shared" si="69"/>
        <v>0.55555555555555558</v>
      </c>
      <c r="AS143">
        <f>step3_validation[[#This Row],[AI_TRU3]]</f>
        <v>9</v>
      </c>
      <c r="AT143">
        <f t="shared" si="70"/>
        <v>0.88888888888888884</v>
      </c>
      <c r="AU143">
        <f>survey_responses[[#This Row],[Tôi tin tưởng số tiền thuế tôi đóng sẽ được Nhà nước sử dụng hiệu quả để cải thiện dịch vụ công (y tế, đường xá...). - HUMAN-TRU3]]</f>
        <v>6</v>
      </c>
      <c r="AV143">
        <f t="shared" si="71"/>
        <v>0.55555555555555558</v>
      </c>
      <c r="AW143">
        <f>step3_validation[[#This Row],[AI_TRU4]]</f>
        <v>7</v>
      </c>
      <c r="AX143">
        <f t="shared" si="72"/>
        <v>0.66666666666666663</v>
      </c>
      <c r="AY143">
        <f>survey_responses[[#This Row],[Tôi thấy Nhà nước đã giải thích rõ ràng, minh bạch về lý do và mục tiêu của việc sửa đổi thuế lần này. - HUMAN-TRU4]]</f>
        <v>7</v>
      </c>
      <c r="AZ143">
        <f t="shared" si="73"/>
        <v>0.66666666666666663</v>
      </c>
      <c r="BA143" s="32">
        <f t="shared" si="74"/>
        <v>0.80555555555555547</v>
      </c>
      <c r="BB143" s="32">
        <f t="shared" si="75"/>
        <v>0.58333333333333337</v>
      </c>
      <c r="BC143" s="7">
        <f t="shared" si="76"/>
        <v>0.75</v>
      </c>
      <c r="BD143" s="7">
        <f t="shared" si="77"/>
        <v>0.54629629629629628</v>
      </c>
      <c r="BE143">
        <f>step3_validation[[#This Row],[AI_OUT1]]</f>
        <v>8</v>
      </c>
      <c r="BF143">
        <f t="shared" si="78"/>
        <v>0.77777777777777779</v>
      </c>
      <c r="BG143">
        <f>survey_responses[[#This Row],[Sau khi xem xét các quyền lợi và nghĩa vụ, bạn có ủng hộ và tuân thủ chính sách mới hiện nay? - HUMAN-OUT1]]</f>
        <v>7</v>
      </c>
      <c r="BH143">
        <f t="shared" si="79"/>
        <v>0.66666666666666663</v>
      </c>
      <c r="BI143" s="32">
        <f t="shared" si="80"/>
        <v>1</v>
      </c>
    </row>
    <row r="144" spans="1:61" x14ac:dyDescent="0.45">
      <c r="A144" s="30">
        <f>step3_validation[[#This Row],[Persona_ID]]</f>
        <v>143</v>
      </c>
      <c r="B144" s="31">
        <f>step3_validation[[#This Row],[Used_Seed]]</f>
        <v>12487</v>
      </c>
      <c r="C144" t="str">
        <f>step3_validation[[#This Row],[Gender]]</f>
        <v>Nam</v>
      </c>
      <c r="D144" t="str">
        <f>survey_responses[[#This Row],[Giới tính của bạn:]]</f>
        <v>Nam</v>
      </c>
      <c r="E144" t="str">
        <f>step3_validation[[#This Row],[Age_Group]]</f>
        <v>30 - 39</v>
      </c>
      <c r="F144" t="str">
        <f>survey_responses[[#This Row],[Độ tuổi của bạn:]]</f>
        <v>30 - 39</v>
      </c>
      <c r="G144" t="str">
        <f>step3_validation[[#This Row],[Region]]</f>
        <v>Thành thị</v>
      </c>
      <c r="H144" t="str">
        <f>survey_responses[[#This Row],[Khu vực bạn đang sinh sống:]]</f>
        <v>Thành thị</v>
      </c>
      <c r="I144" t="str">
        <f>step3_validation[[#This Row],[Education]]</f>
        <v>Sau Đại học</v>
      </c>
      <c r="J144" t="str">
        <f>survey_responses[[#This Row],[Trình độ học vấn cao nhất:]]</f>
        <v>Sau Đại học</v>
      </c>
      <c r="K144" t="str">
        <f>step3_validation[[#This Row],[Employment]]</f>
        <v>Chính thức</v>
      </c>
      <c r="L144" t="str">
        <f>survey_responses[[#This Row],[Tình trạng việc làm chính:]]</f>
        <v>Khu vực chính thức (Có Hợp đồng lao động, đóng BHXH)</v>
      </c>
      <c r="M144">
        <f>step3_validation[[#This Row],[Income_Mil]]</f>
        <v>134.0319560403963</v>
      </c>
      <c r="N144" t="str">
        <f>survey_responses[[#This Row],[Thu nhập bình quân tháng theo Hợp đồng lao động của bạn là bao nhiêu? (Vui lòng điền tổng thu nhập trước khi khấu trừ các loại Bảo hiểm (BHXH, BHYT, BHTN) và Thuế TNCN)]]</f>
        <v>Trên 102 triệu VNĐ</v>
      </c>
      <c r="O144">
        <f>step3_validation[[#This Row],[Dependents]]</f>
        <v>0</v>
      </c>
      <c r="P144" t="str">
        <f>survey_responses[[#This Row],[Số người phụ thuộc (con nhỏ, cha mẹ già...) đủ điều kiện giảm trừ gia cảnh:]]</f>
        <v>0 người</v>
      </c>
      <c r="Q144">
        <f>step3_validation[[#This Row],[AI_ENF1]]</f>
        <v>8</v>
      </c>
      <c r="R144">
        <f t="shared" si="54"/>
        <v>0.77777777777777779</v>
      </c>
      <c r="S144">
        <f>survey_responses[[#This Row],[Tôi tin rằng với các quy định quản lý thuế hiện nay, hành vi gian lận hoặc trốn thuế sẽ dễ dàng bị phát hiện và xử lý nghiêm. - HUMAN-ENF1]]</f>
        <v>1</v>
      </c>
      <c r="T144">
        <f t="shared" si="55"/>
        <v>0</v>
      </c>
      <c r="U144">
        <f>step3_validation[[#This Row],[AI_ENF2]]</f>
        <v>9</v>
      </c>
      <c r="V144">
        <f t="shared" si="56"/>
        <v>0.88888888888888884</v>
      </c>
      <c r="W144">
        <f>survey_responses[[#This Row],[Tôi tin rằng Nhà nước, cơ quan thuế có đủ khả năng và công nghệ để phát hiện, xử lý nghiêm các hành vi trốn thuế. - HUMAN-ENF2]]</f>
        <v>1</v>
      </c>
      <c r="X144">
        <f t="shared" si="57"/>
        <v>0</v>
      </c>
      <c r="Y144" s="32">
        <f t="shared" si="58"/>
        <v>0.83333333333333326</v>
      </c>
      <c r="Z144" s="32">
        <f t="shared" si="59"/>
        <v>0</v>
      </c>
      <c r="AA144">
        <f>step3_validation[[#This Row],[AI_FAC1]]</f>
        <v>8</v>
      </c>
      <c r="AB144">
        <f t="shared" si="60"/>
        <v>0.77777777777777779</v>
      </c>
      <c r="AC144">
        <f>survey_responses[[#This Row],[Các thủ tục khai báo thuế VÀ/HOẶC quy trình làm việc với cơ quan thuế đơn giản, tiện lợi, nhanh chóng hơn so với trước đây. - HUMAN-FAC1]]</f>
        <v>8</v>
      </c>
      <c r="AD144">
        <f t="shared" si="61"/>
        <v>0.77777777777777779</v>
      </c>
      <c r="AE144">
        <f>step3_validation[[#This Row],[AI_FAC2]]</f>
        <v>9</v>
      </c>
      <c r="AF144">
        <f t="shared" si="62"/>
        <v>0.88888888888888884</v>
      </c>
      <c r="AG144">
        <f>survey_responses[[#This Row],[So với trước đây, tôi thấy cách tính thuế và các bậc thuế trong phương án mới đơn giản, dễ hiểu và dễ thực hiện hơn. - HUMAN-FAC2]]</f>
        <v>8</v>
      </c>
      <c r="AH144">
        <f t="shared" si="63"/>
        <v>0.77777777777777779</v>
      </c>
      <c r="AI144" s="32">
        <f t="shared" si="64"/>
        <v>0.83333333333333326</v>
      </c>
      <c r="AJ144" s="32">
        <f t="shared" si="65"/>
        <v>0.77777777777777779</v>
      </c>
      <c r="AK144">
        <f>step3_validation[[#This Row],[AI_TRU1]]</f>
        <v>8</v>
      </c>
      <c r="AL144">
        <f t="shared" si="66"/>
        <v>0.77777777777777779</v>
      </c>
      <c r="AM144">
        <f>survey_responses[[#This Row],[Tôi tin rằng Nhà nước, cơ quan thuế sẽ thực thi chính sách mới một cách khách quan, công tâm và đối xử bình đẳng với mọi người nộp thuế.  - HUMAN-TRU1]]</f>
        <v>8</v>
      </c>
      <c r="AN144">
        <f t="shared" si="67"/>
        <v>0.77777777777777779</v>
      </c>
      <c r="AO144">
        <f>step3_validation[[#This Row],[AI_TRU2]]</f>
        <v>9</v>
      </c>
      <c r="AP144">
        <f t="shared" si="68"/>
        <v>0.88888888888888884</v>
      </c>
      <c r="AQ144">
        <f>survey_responses[[#This Row],[Tôi thấy mức thuế tôi phải đóng theo phương án mới là công bằng (người thu nhập như tôi đóng mức này là hợp lý). - HUMAN-TRU2]]</f>
        <v>8</v>
      </c>
      <c r="AR144">
        <f t="shared" si="69"/>
        <v>0.77777777777777779</v>
      </c>
      <c r="AS144">
        <f>step3_validation[[#This Row],[AI_TRU3]]</f>
        <v>8</v>
      </c>
      <c r="AT144">
        <f t="shared" si="70"/>
        <v>0.77777777777777779</v>
      </c>
      <c r="AU144">
        <f>survey_responses[[#This Row],[Tôi tin tưởng số tiền thuế tôi đóng sẽ được Nhà nước sử dụng hiệu quả để cải thiện dịch vụ công (y tế, đường xá...). - HUMAN-TRU3]]</f>
        <v>8</v>
      </c>
      <c r="AV144">
        <f t="shared" si="71"/>
        <v>0.77777777777777779</v>
      </c>
      <c r="AW144">
        <f>step3_validation[[#This Row],[AI_TRU4]]</f>
        <v>7</v>
      </c>
      <c r="AX144">
        <f t="shared" si="72"/>
        <v>0.66666666666666663</v>
      </c>
      <c r="AY144">
        <f>survey_responses[[#This Row],[Tôi thấy Nhà nước đã giải thích rõ ràng, minh bạch về lý do và mục tiêu của việc sửa đổi thuế lần này. - HUMAN-TRU4]]</f>
        <v>8</v>
      </c>
      <c r="AZ144">
        <f t="shared" si="73"/>
        <v>0.77777777777777779</v>
      </c>
      <c r="BA144" s="32">
        <f t="shared" si="74"/>
        <v>0.77777777777777768</v>
      </c>
      <c r="BB144" s="32">
        <f t="shared" si="75"/>
        <v>0.77777777777777779</v>
      </c>
      <c r="BC144" s="7">
        <f t="shared" si="76"/>
        <v>0.81481481481481477</v>
      </c>
      <c r="BD144" s="7">
        <f t="shared" si="77"/>
        <v>0.51851851851851849</v>
      </c>
      <c r="BE144">
        <f>step3_validation[[#This Row],[AI_OUT1]]</f>
        <v>9</v>
      </c>
      <c r="BF144">
        <f t="shared" si="78"/>
        <v>0.88888888888888884</v>
      </c>
      <c r="BG144">
        <f>survey_responses[[#This Row],[Sau khi xem xét các quyền lợi và nghĩa vụ, bạn có ủng hộ và tuân thủ chính sách mới hiện nay? - HUMAN-OUT1]]</f>
        <v>8</v>
      </c>
      <c r="BH144">
        <f t="shared" si="79"/>
        <v>0.77777777777777779</v>
      </c>
      <c r="BI144" s="32">
        <f t="shared" si="80"/>
        <v>1</v>
      </c>
    </row>
    <row r="145" spans="1:61" x14ac:dyDescent="0.45">
      <c r="A145" s="30">
        <f>step3_validation[[#This Row],[Persona_ID]]</f>
        <v>144</v>
      </c>
      <c r="B145" s="31">
        <f>step3_validation[[#This Row],[Used_Seed]]</f>
        <v>12488</v>
      </c>
      <c r="C145" t="str">
        <f>step3_validation[[#This Row],[Gender]]</f>
        <v>Nữ</v>
      </c>
      <c r="D145" t="str">
        <f>survey_responses[[#This Row],[Giới tính của bạn:]]</f>
        <v>Nữ</v>
      </c>
      <c r="E145" t="str">
        <f>step3_validation[[#This Row],[Age_Group]]</f>
        <v>50 - 54</v>
      </c>
      <c r="F145" t="str">
        <f>survey_responses[[#This Row],[Độ tuổi của bạn:]]</f>
        <v>50 - 54</v>
      </c>
      <c r="G145" t="str">
        <f>step3_validation[[#This Row],[Region]]</f>
        <v>Thành thị</v>
      </c>
      <c r="H145" t="str">
        <f>survey_responses[[#This Row],[Khu vực bạn đang sinh sống:]]</f>
        <v>Thành thị</v>
      </c>
      <c r="I145" t="str">
        <f>step3_validation[[#This Row],[Education]]</f>
        <v>Đại học</v>
      </c>
      <c r="J145" t="str">
        <f>survey_responses[[#This Row],[Trình độ học vấn cao nhất:]]</f>
        <v>Đại học</v>
      </c>
      <c r="K145" t="str">
        <f>step3_validation[[#This Row],[Employment]]</f>
        <v>Chính thức</v>
      </c>
      <c r="L145" t="str">
        <f>survey_responses[[#This Row],[Tình trạng việc làm chính:]]</f>
        <v>Khu vực chính thức (Có Hợp đồng lao động, đóng BHXH)</v>
      </c>
      <c r="M145">
        <f>step3_validation[[#This Row],[Income_Mil]]</f>
        <v>56.781792561316756</v>
      </c>
      <c r="N145" t="str">
        <f>survey_responses[[#This Row],[Thu nhập bình quân tháng theo Hợp đồng lao động của bạn là bao nhiêu? (Vui lòng điền tổng thu nhập trước khi khấu trừ các loại Bảo hiểm (BHXH, BHYT, BHTN) và Thuế TNCN)]]</f>
        <v>Từ 48 - 70 triệu VNĐ</v>
      </c>
      <c r="O145">
        <f>step3_validation[[#This Row],[Dependents]]</f>
        <v>2</v>
      </c>
      <c r="P145" t="str">
        <f>survey_responses[[#This Row],[Số người phụ thuộc (con nhỏ, cha mẹ già...) đủ điều kiện giảm trừ gia cảnh:]]</f>
        <v>2 người</v>
      </c>
      <c r="Q145">
        <f>step3_validation[[#This Row],[AI_ENF1]]</f>
        <v>7</v>
      </c>
      <c r="R145">
        <f t="shared" si="54"/>
        <v>0.66666666666666663</v>
      </c>
      <c r="S145">
        <f>survey_responses[[#This Row],[Tôi tin rằng với các quy định quản lý thuế hiện nay, hành vi gian lận hoặc trốn thuế sẽ dễ dàng bị phát hiện và xử lý nghiêm. - HUMAN-ENF1]]</f>
        <v>9</v>
      </c>
      <c r="T145">
        <f t="shared" si="55"/>
        <v>0.88888888888888884</v>
      </c>
      <c r="U145">
        <f>step3_validation[[#This Row],[AI_ENF2]]</f>
        <v>8</v>
      </c>
      <c r="V145">
        <f t="shared" si="56"/>
        <v>0.77777777777777779</v>
      </c>
      <c r="W145">
        <f>survey_responses[[#This Row],[Tôi tin rằng Nhà nước, cơ quan thuế có đủ khả năng và công nghệ để phát hiện, xử lý nghiêm các hành vi trốn thuế. - HUMAN-ENF2]]</f>
        <v>9</v>
      </c>
      <c r="X145">
        <f t="shared" si="57"/>
        <v>0.88888888888888884</v>
      </c>
      <c r="Y145" s="32">
        <f t="shared" si="58"/>
        <v>0.72222222222222221</v>
      </c>
      <c r="Z145" s="32">
        <f t="shared" si="59"/>
        <v>0.88888888888888884</v>
      </c>
      <c r="AA145">
        <f>step3_validation[[#This Row],[AI_FAC1]]</f>
        <v>9</v>
      </c>
      <c r="AB145">
        <f t="shared" si="60"/>
        <v>0.88888888888888884</v>
      </c>
      <c r="AC145">
        <f>survey_responses[[#This Row],[Các thủ tục khai báo thuế VÀ/HOẶC quy trình làm việc với cơ quan thuế đơn giản, tiện lợi, nhanh chóng hơn so với trước đây. - HUMAN-FAC1]]</f>
        <v>9</v>
      </c>
      <c r="AD145">
        <f t="shared" si="61"/>
        <v>0.88888888888888884</v>
      </c>
      <c r="AE145">
        <f>step3_validation[[#This Row],[AI_FAC2]]</f>
        <v>9</v>
      </c>
      <c r="AF145">
        <f t="shared" si="62"/>
        <v>0.88888888888888884</v>
      </c>
      <c r="AG145">
        <f>survey_responses[[#This Row],[So với trước đây, tôi thấy cách tính thuế và các bậc thuế trong phương án mới đơn giản, dễ hiểu và dễ thực hiện hơn. - HUMAN-FAC2]]</f>
        <v>9</v>
      </c>
      <c r="AH145">
        <f t="shared" si="63"/>
        <v>0.88888888888888884</v>
      </c>
      <c r="AI145" s="32">
        <f t="shared" si="64"/>
        <v>0.88888888888888884</v>
      </c>
      <c r="AJ145" s="32">
        <f t="shared" si="65"/>
        <v>0.88888888888888884</v>
      </c>
      <c r="AK145">
        <f>step3_validation[[#This Row],[AI_TRU1]]</f>
        <v>8</v>
      </c>
      <c r="AL145">
        <f t="shared" si="66"/>
        <v>0.77777777777777779</v>
      </c>
      <c r="AM145">
        <f>survey_responses[[#This Row],[Tôi tin rằng Nhà nước, cơ quan thuế sẽ thực thi chính sách mới một cách khách quan, công tâm và đối xử bình đẳng với mọi người nộp thuế.  - HUMAN-TRU1]]</f>
        <v>10</v>
      </c>
      <c r="AN145">
        <f t="shared" si="67"/>
        <v>1</v>
      </c>
      <c r="AO145">
        <f>step3_validation[[#This Row],[AI_TRU2]]</f>
        <v>9</v>
      </c>
      <c r="AP145">
        <f t="shared" si="68"/>
        <v>0.88888888888888884</v>
      </c>
      <c r="AQ145">
        <f>survey_responses[[#This Row],[Tôi thấy mức thuế tôi phải đóng theo phương án mới là công bằng (người thu nhập như tôi đóng mức này là hợp lý). - HUMAN-TRU2]]</f>
        <v>5</v>
      </c>
      <c r="AR145">
        <f t="shared" si="69"/>
        <v>0.44444444444444442</v>
      </c>
      <c r="AS145">
        <f>step3_validation[[#This Row],[AI_TRU3]]</f>
        <v>8</v>
      </c>
      <c r="AT145">
        <f t="shared" si="70"/>
        <v>0.77777777777777779</v>
      </c>
      <c r="AU145">
        <f>survey_responses[[#This Row],[Tôi tin tưởng số tiền thuế tôi đóng sẽ được Nhà nước sử dụng hiệu quả để cải thiện dịch vụ công (y tế, đường xá...). - HUMAN-TRU3]]</f>
        <v>9</v>
      </c>
      <c r="AV145">
        <f t="shared" si="71"/>
        <v>0.88888888888888884</v>
      </c>
      <c r="AW145">
        <f>step3_validation[[#This Row],[AI_TRU4]]</f>
        <v>8</v>
      </c>
      <c r="AX145">
        <f t="shared" si="72"/>
        <v>0.77777777777777779</v>
      </c>
      <c r="AY145">
        <f>survey_responses[[#This Row],[Tôi thấy Nhà nước đã giải thích rõ ràng, minh bạch về lý do và mục tiêu của việc sửa đổi thuế lần này. - HUMAN-TRU4]]</f>
        <v>9</v>
      </c>
      <c r="AZ145">
        <f t="shared" si="73"/>
        <v>0.88888888888888884</v>
      </c>
      <c r="BA145" s="32">
        <f t="shared" si="74"/>
        <v>0.80555555555555547</v>
      </c>
      <c r="BB145" s="32">
        <f t="shared" si="75"/>
        <v>0.80555555555555547</v>
      </c>
      <c r="BC145" s="7">
        <f t="shared" si="76"/>
        <v>0.80555555555555547</v>
      </c>
      <c r="BD145" s="7">
        <f t="shared" si="77"/>
        <v>0.86111111111111105</v>
      </c>
      <c r="BE145">
        <f>step3_validation[[#This Row],[AI_OUT1]]</f>
        <v>9</v>
      </c>
      <c r="BF145">
        <f t="shared" si="78"/>
        <v>0.88888888888888884</v>
      </c>
      <c r="BG145">
        <f>survey_responses[[#This Row],[Sau khi xem xét các quyền lợi và nghĩa vụ, bạn có ủng hộ và tuân thủ chính sách mới hiện nay? - HUMAN-OUT1]]</f>
        <v>10</v>
      </c>
      <c r="BH145">
        <f t="shared" si="79"/>
        <v>1</v>
      </c>
      <c r="BI145" s="32">
        <f t="shared" si="80"/>
        <v>1</v>
      </c>
    </row>
    <row r="146" spans="1:61" x14ac:dyDescent="0.45">
      <c r="A146" s="30">
        <f>step3_validation[[#This Row],[Persona_ID]]</f>
        <v>145</v>
      </c>
      <c r="B146" s="31">
        <f>step3_validation[[#This Row],[Used_Seed]]</f>
        <v>12489</v>
      </c>
      <c r="C146" t="str">
        <f>step3_validation[[#This Row],[Gender]]</f>
        <v>Nữ</v>
      </c>
      <c r="D146" t="str">
        <f>survey_responses[[#This Row],[Giới tính của bạn:]]</f>
        <v>Nữ</v>
      </c>
      <c r="E146" t="str">
        <f>step3_validation[[#This Row],[Age_Group]]</f>
        <v>40 - 49</v>
      </c>
      <c r="F146" t="str">
        <f>survey_responses[[#This Row],[Độ tuổi của bạn:]]</f>
        <v>40 - 49</v>
      </c>
      <c r="G146" t="str">
        <f>step3_validation[[#This Row],[Region]]</f>
        <v>Thành thị</v>
      </c>
      <c r="H146" t="str">
        <f>survey_responses[[#This Row],[Khu vực bạn đang sinh sống:]]</f>
        <v>Thành thị</v>
      </c>
      <c r="I146" t="str">
        <f>step3_validation[[#This Row],[Education]]</f>
        <v>Đại học</v>
      </c>
      <c r="J146" t="str">
        <f>survey_responses[[#This Row],[Trình độ học vấn cao nhất:]]</f>
        <v>Đại học</v>
      </c>
      <c r="K146" t="str">
        <f>step3_validation[[#This Row],[Employment]]</f>
        <v>Chính thức</v>
      </c>
      <c r="L146" t="str">
        <f>survey_responses[[#This Row],[Tình trạng việc làm chính:]]</f>
        <v>Khu vực chính thức (Có Hợp đồng lao động, đóng BHXH)</v>
      </c>
      <c r="M146">
        <f>step3_validation[[#This Row],[Income_Mil]]</f>
        <v>61.32628134005131</v>
      </c>
      <c r="N146" t="str">
        <f>survey_responses[[#This Row],[Thu nhập bình quân tháng theo Hợp đồng lao động của bạn là bao nhiêu? (Vui lòng điền tổng thu nhập trước khi khấu trừ các loại Bảo hiểm (BHXH, BHYT, BHTN) và Thuế TNCN)]]</f>
        <v>Từ 48 - 70 triệu VNĐ</v>
      </c>
      <c r="O146">
        <f>step3_validation[[#This Row],[Dependents]]</f>
        <v>2</v>
      </c>
      <c r="P146" t="str">
        <f>survey_responses[[#This Row],[Số người phụ thuộc (con nhỏ, cha mẹ già...) đủ điều kiện giảm trừ gia cảnh:]]</f>
        <v>2 người</v>
      </c>
      <c r="Q146">
        <f>step3_validation[[#This Row],[AI_ENF1]]</f>
        <v>8</v>
      </c>
      <c r="R146">
        <f t="shared" si="54"/>
        <v>0.77777777777777779</v>
      </c>
      <c r="S146">
        <f>survey_responses[[#This Row],[Tôi tin rằng với các quy định quản lý thuế hiện nay, hành vi gian lận hoặc trốn thuế sẽ dễ dàng bị phát hiện và xử lý nghiêm. - HUMAN-ENF1]]</f>
        <v>10</v>
      </c>
      <c r="T146">
        <f t="shared" si="55"/>
        <v>1</v>
      </c>
      <c r="U146">
        <f>step3_validation[[#This Row],[AI_ENF2]]</f>
        <v>7</v>
      </c>
      <c r="V146">
        <f t="shared" si="56"/>
        <v>0.66666666666666663</v>
      </c>
      <c r="W146">
        <f>survey_responses[[#This Row],[Tôi tin rằng Nhà nước, cơ quan thuế có đủ khả năng và công nghệ để phát hiện, xử lý nghiêm các hành vi trốn thuế. - HUMAN-ENF2]]</f>
        <v>10</v>
      </c>
      <c r="X146">
        <f t="shared" si="57"/>
        <v>1</v>
      </c>
      <c r="Y146" s="32">
        <f t="shared" si="58"/>
        <v>0.72222222222222221</v>
      </c>
      <c r="Z146" s="32">
        <f t="shared" si="59"/>
        <v>1</v>
      </c>
      <c r="AA146">
        <f>step3_validation[[#This Row],[AI_FAC1]]</f>
        <v>9</v>
      </c>
      <c r="AB146">
        <f t="shared" si="60"/>
        <v>0.88888888888888884</v>
      </c>
      <c r="AC146">
        <f>survey_responses[[#This Row],[Các thủ tục khai báo thuế VÀ/HOẶC quy trình làm việc với cơ quan thuế đơn giản, tiện lợi, nhanh chóng hơn so với trước đây. - HUMAN-FAC1]]</f>
        <v>9</v>
      </c>
      <c r="AD146">
        <f t="shared" si="61"/>
        <v>0.88888888888888884</v>
      </c>
      <c r="AE146">
        <f>step3_validation[[#This Row],[AI_FAC2]]</f>
        <v>10</v>
      </c>
      <c r="AF146">
        <f t="shared" si="62"/>
        <v>1</v>
      </c>
      <c r="AG146">
        <f>survey_responses[[#This Row],[So với trước đây, tôi thấy cách tính thuế và các bậc thuế trong phương án mới đơn giản, dễ hiểu và dễ thực hiện hơn. - HUMAN-FAC2]]</f>
        <v>6</v>
      </c>
      <c r="AH146">
        <f t="shared" si="63"/>
        <v>0.55555555555555558</v>
      </c>
      <c r="AI146" s="32">
        <f t="shared" si="64"/>
        <v>0.94444444444444442</v>
      </c>
      <c r="AJ146" s="32">
        <f t="shared" si="65"/>
        <v>0.72222222222222221</v>
      </c>
      <c r="AK146">
        <f>step3_validation[[#This Row],[AI_TRU1]]</f>
        <v>6</v>
      </c>
      <c r="AL146">
        <f t="shared" si="66"/>
        <v>0.55555555555555558</v>
      </c>
      <c r="AM146">
        <f>survey_responses[[#This Row],[Tôi tin rằng Nhà nước, cơ quan thuế sẽ thực thi chính sách mới một cách khách quan, công tâm và đối xử bình đẳng với mọi người nộp thuế.  - HUMAN-TRU1]]</f>
        <v>6</v>
      </c>
      <c r="AN146">
        <f t="shared" si="67"/>
        <v>0.55555555555555558</v>
      </c>
      <c r="AO146">
        <f>step3_validation[[#This Row],[AI_TRU2]]</f>
        <v>7</v>
      </c>
      <c r="AP146">
        <f t="shared" si="68"/>
        <v>0.66666666666666663</v>
      </c>
      <c r="AQ146">
        <f>survey_responses[[#This Row],[Tôi thấy mức thuế tôi phải đóng theo phương án mới là công bằng (người thu nhập như tôi đóng mức này là hợp lý). - HUMAN-TRU2]]</f>
        <v>3</v>
      </c>
      <c r="AR146">
        <f t="shared" si="69"/>
        <v>0.22222222222222221</v>
      </c>
      <c r="AS146">
        <f>step3_validation[[#This Row],[AI_TRU3]]</f>
        <v>6</v>
      </c>
      <c r="AT146">
        <f t="shared" si="70"/>
        <v>0.55555555555555558</v>
      </c>
      <c r="AU146">
        <f>survey_responses[[#This Row],[Tôi tin tưởng số tiền thuế tôi đóng sẽ được Nhà nước sử dụng hiệu quả để cải thiện dịch vụ công (y tế, đường xá...). - HUMAN-TRU3]]</f>
        <v>5</v>
      </c>
      <c r="AV146">
        <f t="shared" si="71"/>
        <v>0.44444444444444442</v>
      </c>
      <c r="AW146">
        <f>step3_validation[[#This Row],[AI_TRU4]]</f>
        <v>7</v>
      </c>
      <c r="AX146">
        <f t="shared" si="72"/>
        <v>0.66666666666666663</v>
      </c>
      <c r="AY146">
        <f>survey_responses[[#This Row],[Tôi thấy Nhà nước đã giải thích rõ ràng, minh bạch về lý do và mục tiêu của việc sửa đổi thuế lần này. - HUMAN-TRU4]]</f>
        <v>5</v>
      </c>
      <c r="AZ146">
        <f t="shared" si="73"/>
        <v>0.44444444444444442</v>
      </c>
      <c r="BA146" s="32">
        <f t="shared" si="74"/>
        <v>0.61111111111111116</v>
      </c>
      <c r="BB146" s="32">
        <f t="shared" si="75"/>
        <v>0.41666666666666669</v>
      </c>
      <c r="BC146" s="7">
        <f t="shared" si="76"/>
        <v>0.75925925925925919</v>
      </c>
      <c r="BD146" s="7">
        <f t="shared" si="77"/>
        <v>0.71296296296296291</v>
      </c>
      <c r="BE146">
        <f>step3_validation[[#This Row],[AI_OUT1]]</f>
        <v>8</v>
      </c>
      <c r="BF146">
        <f t="shared" si="78"/>
        <v>0.77777777777777779</v>
      </c>
      <c r="BG146">
        <f>survey_responses[[#This Row],[Sau khi xem xét các quyền lợi và nghĩa vụ, bạn có ủng hộ và tuân thủ chính sách mới hiện nay? - HUMAN-OUT1]]</f>
        <v>1</v>
      </c>
      <c r="BH146">
        <f t="shared" si="79"/>
        <v>0</v>
      </c>
      <c r="BI146" s="32">
        <f t="shared" si="80"/>
        <v>7</v>
      </c>
    </row>
    <row r="147" spans="1:61" x14ac:dyDescent="0.45">
      <c r="A147" s="30">
        <f>step3_validation[[#This Row],[Persona_ID]]</f>
        <v>146</v>
      </c>
      <c r="B147" s="31">
        <f>step3_validation[[#This Row],[Used_Seed]]</f>
        <v>12490</v>
      </c>
      <c r="C147" t="str">
        <f>step3_validation[[#This Row],[Gender]]</f>
        <v>Nữ</v>
      </c>
      <c r="D147" t="str">
        <f>survey_responses[[#This Row],[Giới tính của bạn:]]</f>
        <v>Nữ</v>
      </c>
      <c r="E147" t="str">
        <f>step3_validation[[#This Row],[Age_Group]]</f>
        <v>40 - 49</v>
      </c>
      <c r="F147" t="str">
        <f>survey_responses[[#This Row],[Độ tuổi của bạn:]]</f>
        <v>40 - 49</v>
      </c>
      <c r="G147" t="str">
        <f>step3_validation[[#This Row],[Region]]</f>
        <v>Thành thị</v>
      </c>
      <c r="H147" t="str">
        <f>survey_responses[[#This Row],[Khu vực bạn đang sinh sống:]]</f>
        <v>Thành thị</v>
      </c>
      <c r="I147" t="str">
        <f>step3_validation[[#This Row],[Education]]</f>
        <v>Đại học</v>
      </c>
      <c r="J147" t="str">
        <f>survey_responses[[#This Row],[Trình độ học vấn cao nhất:]]</f>
        <v>Đại học</v>
      </c>
      <c r="K147" t="str">
        <f>step3_validation[[#This Row],[Employment]]</f>
        <v>Chính thức</v>
      </c>
      <c r="L147" t="str">
        <f>survey_responses[[#This Row],[Tình trạng việc làm chính:]]</f>
        <v>Khu vực chính thức (Có Hợp đồng lao động, đóng BHXH)</v>
      </c>
      <c r="M147">
        <f>step3_validation[[#This Row],[Income_Mil]]</f>
        <v>99.835798257129966</v>
      </c>
      <c r="N147" t="str">
        <f>survey_responses[[#This Row],[Thu nhập bình quân tháng theo Hợp đồng lao động của bạn là bao nhiêu? (Vui lòng điền tổng thu nhập trước khi khấu trừ các loại Bảo hiểm (BHXH, BHYT, BHTN) và Thuế TNCN)]]</f>
        <v>Từ 70 - 102 triệu VNĐ</v>
      </c>
      <c r="O147">
        <f>step3_validation[[#This Row],[Dependents]]</f>
        <v>3</v>
      </c>
      <c r="P147" t="str">
        <f>survey_responses[[#This Row],[Số người phụ thuộc (con nhỏ, cha mẹ già...) đủ điều kiện giảm trừ gia cảnh:]]</f>
        <v>3 người</v>
      </c>
      <c r="Q147">
        <f>step3_validation[[#This Row],[AI_ENF1]]</f>
        <v>7</v>
      </c>
      <c r="R147">
        <f t="shared" si="54"/>
        <v>0.66666666666666663</v>
      </c>
      <c r="S147">
        <f>survey_responses[[#This Row],[Tôi tin rằng với các quy định quản lý thuế hiện nay, hành vi gian lận hoặc trốn thuế sẽ dễ dàng bị phát hiện và xử lý nghiêm. - HUMAN-ENF1]]</f>
        <v>8</v>
      </c>
      <c r="T147">
        <f t="shared" si="55"/>
        <v>0.77777777777777779</v>
      </c>
      <c r="U147">
        <f>step3_validation[[#This Row],[AI_ENF2]]</f>
        <v>8</v>
      </c>
      <c r="V147">
        <f t="shared" si="56"/>
        <v>0.77777777777777779</v>
      </c>
      <c r="W147">
        <f>survey_responses[[#This Row],[Tôi tin rằng Nhà nước, cơ quan thuế có đủ khả năng và công nghệ để phát hiện, xử lý nghiêm các hành vi trốn thuế. - HUMAN-ENF2]]</f>
        <v>8</v>
      </c>
      <c r="X147">
        <f t="shared" si="57"/>
        <v>0.77777777777777779</v>
      </c>
      <c r="Y147" s="32">
        <f t="shared" si="58"/>
        <v>0.72222222222222221</v>
      </c>
      <c r="Z147" s="32">
        <f t="shared" si="59"/>
        <v>0.77777777777777779</v>
      </c>
      <c r="AA147">
        <f>step3_validation[[#This Row],[AI_FAC1]]</f>
        <v>9</v>
      </c>
      <c r="AB147">
        <f t="shared" si="60"/>
        <v>0.88888888888888884</v>
      </c>
      <c r="AC147">
        <f>survey_responses[[#This Row],[Các thủ tục khai báo thuế VÀ/HOẶC quy trình làm việc với cơ quan thuế đơn giản, tiện lợi, nhanh chóng hơn so với trước đây. - HUMAN-FAC1]]</f>
        <v>5</v>
      </c>
      <c r="AD147">
        <f t="shared" si="61"/>
        <v>0.44444444444444442</v>
      </c>
      <c r="AE147">
        <f>step3_validation[[#This Row],[AI_FAC2]]</f>
        <v>9</v>
      </c>
      <c r="AF147">
        <f t="shared" si="62"/>
        <v>0.88888888888888884</v>
      </c>
      <c r="AG147">
        <f>survey_responses[[#This Row],[So với trước đây, tôi thấy cách tính thuế và các bậc thuế trong phương án mới đơn giản, dễ hiểu và dễ thực hiện hơn. - HUMAN-FAC2]]</f>
        <v>5</v>
      </c>
      <c r="AH147">
        <f t="shared" si="63"/>
        <v>0.44444444444444442</v>
      </c>
      <c r="AI147" s="32">
        <f t="shared" si="64"/>
        <v>0.88888888888888884</v>
      </c>
      <c r="AJ147" s="32">
        <f t="shared" si="65"/>
        <v>0.44444444444444442</v>
      </c>
      <c r="AK147">
        <f>step3_validation[[#This Row],[AI_TRU1]]</f>
        <v>6</v>
      </c>
      <c r="AL147">
        <f t="shared" si="66"/>
        <v>0.55555555555555558</v>
      </c>
      <c r="AM147">
        <f>survey_responses[[#This Row],[Tôi tin rằng Nhà nước, cơ quan thuế sẽ thực thi chính sách mới một cách khách quan, công tâm và đối xử bình đẳng với mọi người nộp thuế.  - HUMAN-TRU1]]</f>
        <v>5</v>
      </c>
      <c r="AN147">
        <f t="shared" si="67"/>
        <v>0.44444444444444442</v>
      </c>
      <c r="AO147">
        <f>step3_validation[[#This Row],[AI_TRU2]]</f>
        <v>8</v>
      </c>
      <c r="AP147">
        <f t="shared" si="68"/>
        <v>0.77777777777777779</v>
      </c>
      <c r="AQ147">
        <f>survey_responses[[#This Row],[Tôi thấy mức thuế tôi phải đóng theo phương án mới là công bằng (người thu nhập như tôi đóng mức này là hợp lý). - HUMAN-TRU2]]</f>
        <v>3</v>
      </c>
      <c r="AR147">
        <f t="shared" si="69"/>
        <v>0.22222222222222221</v>
      </c>
      <c r="AS147">
        <f>step3_validation[[#This Row],[AI_TRU3]]</f>
        <v>7</v>
      </c>
      <c r="AT147">
        <f t="shared" si="70"/>
        <v>0.66666666666666663</v>
      </c>
      <c r="AU147">
        <f>survey_responses[[#This Row],[Tôi tin tưởng số tiền thuế tôi đóng sẽ được Nhà nước sử dụng hiệu quả để cải thiện dịch vụ công (y tế, đường xá...). - HUMAN-TRU3]]</f>
        <v>5</v>
      </c>
      <c r="AV147">
        <f t="shared" si="71"/>
        <v>0.44444444444444442</v>
      </c>
      <c r="AW147">
        <f>step3_validation[[#This Row],[AI_TRU4]]</f>
        <v>9</v>
      </c>
      <c r="AX147">
        <f t="shared" si="72"/>
        <v>0.88888888888888884</v>
      </c>
      <c r="AY147">
        <f>survey_responses[[#This Row],[Tôi thấy Nhà nước đã giải thích rõ ràng, minh bạch về lý do và mục tiêu của việc sửa đổi thuế lần này. - HUMAN-TRU4]]</f>
        <v>5</v>
      </c>
      <c r="AZ147">
        <f t="shared" si="73"/>
        <v>0.44444444444444442</v>
      </c>
      <c r="BA147" s="32">
        <f t="shared" si="74"/>
        <v>0.72222222222222221</v>
      </c>
      <c r="BB147" s="32">
        <f t="shared" si="75"/>
        <v>0.3888888888888889</v>
      </c>
      <c r="BC147" s="7">
        <f t="shared" si="76"/>
        <v>0.77777777777777779</v>
      </c>
      <c r="BD147" s="7">
        <f t="shared" si="77"/>
        <v>0.53703703703703709</v>
      </c>
      <c r="BE147">
        <f>step3_validation[[#This Row],[AI_OUT1]]</f>
        <v>8</v>
      </c>
      <c r="BF147">
        <f t="shared" si="78"/>
        <v>0.77777777777777779</v>
      </c>
      <c r="BG147">
        <f>survey_responses[[#This Row],[Sau khi xem xét các quyền lợi và nghĩa vụ, bạn có ủng hộ và tuân thủ chính sách mới hiện nay? - HUMAN-OUT1]]</f>
        <v>5</v>
      </c>
      <c r="BH147">
        <f t="shared" si="79"/>
        <v>0.44444444444444442</v>
      </c>
      <c r="BI147" s="32">
        <f t="shared" si="80"/>
        <v>3</v>
      </c>
    </row>
    <row r="148" spans="1:61" x14ac:dyDescent="0.45">
      <c r="A148" s="30">
        <f>step3_validation[[#This Row],[Persona_ID]]</f>
        <v>147</v>
      </c>
      <c r="B148" s="31">
        <f>step3_validation[[#This Row],[Used_Seed]]</f>
        <v>12491</v>
      </c>
      <c r="C148" t="str">
        <f>step3_validation[[#This Row],[Gender]]</f>
        <v>Nữ</v>
      </c>
      <c r="D148" t="str">
        <f>survey_responses[[#This Row],[Giới tính của bạn:]]</f>
        <v>Nữ</v>
      </c>
      <c r="E148" t="str">
        <f>step3_validation[[#This Row],[Age_Group]]</f>
        <v>55 - 64</v>
      </c>
      <c r="F148" t="str">
        <f>survey_responses[[#This Row],[Độ tuổi của bạn:]]</f>
        <v>55 - 64</v>
      </c>
      <c r="G148" t="str">
        <f>step3_validation[[#This Row],[Region]]</f>
        <v>Thành thị</v>
      </c>
      <c r="H148" t="str">
        <f>survey_responses[[#This Row],[Khu vực bạn đang sinh sống:]]</f>
        <v>Thành thị</v>
      </c>
      <c r="I148" t="str">
        <f>step3_validation[[#This Row],[Education]]</f>
        <v>Sau Đại học</v>
      </c>
      <c r="J148" t="str">
        <f>survey_responses[[#This Row],[Trình độ học vấn cao nhất:]]</f>
        <v>Sau Đại học</v>
      </c>
      <c r="K148" t="str">
        <f>step3_validation[[#This Row],[Employment]]</f>
        <v>Chính thức</v>
      </c>
      <c r="L148" t="str">
        <f>survey_responses[[#This Row],[Tình trạng việc làm chính:]]</f>
        <v>Khu vực chính thức (Có Hợp đồng lao động, đóng BHXH)</v>
      </c>
      <c r="M148">
        <f>step3_validation[[#This Row],[Income_Mil]]</f>
        <v>226.77125660149903</v>
      </c>
      <c r="N148" t="str">
        <f>survey_responses[[#This Row],[Thu nhập bình quân tháng theo Hợp đồng lao động của bạn là bao nhiêu? (Vui lòng điền tổng thu nhập trước khi khấu trừ các loại Bảo hiểm (BHXH, BHYT, BHTN) và Thuế TNCN)]]</f>
        <v>Trên 102 triệu VNĐ</v>
      </c>
      <c r="O148">
        <f>step3_validation[[#This Row],[Dependents]]</f>
        <v>0</v>
      </c>
      <c r="P148" t="str">
        <f>survey_responses[[#This Row],[Số người phụ thuộc (con nhỏ, cha mẹ già...) đủ điều kiện giảm trừ gia cảnh:]]</f>
        <v>0 người</v>
      </c>
      <c r="Q148">
        <f>step3_validation[[#This Row],[AI_ENF1]]</f>
        <v>7</v>
      </c>
      <c r="R148">
        <f t="shared" si="54"/>
        <v>0.66666666666666663</v>
      </c>
      <c r="S148">
        <f>survey_responses[[#This Row],[Tôi tin rằng với các quy định quản lý thuế hiện nay, hành vi gian lận hoặc trốn thuế sẽ dễ dàng bị phát hiện và xử lý nghiêm. - HUMAN-ENF1]]</f>
        <v>7</v>
      </c>
      <c r="T148">
        <f t="shared" si="55"/>
        <v>0.66666666666666663</v>
      </c>
      <c r="U148">
        <f>step3_validation[[#This Row],[AI_ENF2]]</f>
        <v>8</v>
      </c>
      <c r="V148">
        <f t="shared" si="56"/>
        <v>0.77777777777777779</v>
      </c>
      <c r="W148">
        <f>survey_responses[[#This Row],[Tôi tin rằng Nhà nước, cơ quan thuế có đủ khả năng và công nghệ để phát hiện, xử lý nghiêm các hành vi trốn thuế. - HUMAN-ENF2]]</f>
        <v>7</v>
      </c>
      <c r="X148">
        <f t="shared" si="57"/>
        <v>0.66666666666666663</v>
      </c>
      <c r="Y148" s="32">
        <f t="shared" si="58"/>
        <v>0.72222222222222221</v>
      </c>
      <c r="Z148" s="32">
        <f t="shared" si="59"/>
        <v>0.66666666666666663</v>
      </c>
      <c r="AA148">
        <f>step3_validation[[#This Row],[AI_FAC1]]</f>
        <v>9</v>
      </c>
      <c r="AB148">
        <f t="shared" si="60"/>
        <v>0.88888888888888884</v>
      </c>
      <c r="AC148">
        <f>survey_responses[[#This Row],[Các thủ tục khai báo thuế VÀ/HOẶC quy trình làm việc với cơ quan thuế đơn giản, tiện lợi, nhanh chóng hơn so với trước đây. - HUMAN-FAC1]]</f>
        <v>1</v>
      </c>
      <c r="AD148">
        <f t="shared" si="61"/>
        <v>0</v>
      </c>
      <c r="AE148">
        <f>step3_validation[[#This Row],[AI_FAC2]]</f>
        <v>10</v>
      </c>
      <c r="AF148">
        <f t="shared" si="62"/>
        <v>1</v>
      </c>
      <c r="AG148">
        <f>survey_responses[[#This Row],[So với trước đây, tôi thấy cách tính thuế và các bậc thuế trong phương án mới đơn giản, dễ hiểu và dễ thực hiện hơn. - HUMAN-FAC2]]</f>
        <v>6</v>
      </c>
      <c r="AH148">
        <f t="shared" si="63"/>
        <v>0.55555555555555558</v>
      </c>
      <c r="AI148" s="32">
        <f t="shared" si="64"/>
        <v>0.94444444444444442</v>
      </c>
      <c r="AJ148" s="32">
        <f t="shared" si="65"/>
        <v>0.27777777777777779</v>
      </c>
      <c r="AK148">
        <f>step3_validation[[#This Row],[AI_TRU1]]</f>
        <v>8</v>
      </c>
      <c r="AL148">
        <f t="shared" si="66"/>
        <v>0.77777777777777779</v>
      </c>
      <c r="AM148">
        <f>survey_responses[[#This Row],[Tôi tin rằng Nhà nước, cơ quan thuế sẽ thực thi chính sách mới một cách khách quan, công tâm và đối xử bình đẳng với mọi người nộp thuế.  - HUMAN-TRU1]]</f>
        <v>3</v>
      </c>
      <c r="AN148">
        <f t="shared" si="67"/>
        <v>0.22222222222222221</v>
      </c>
      <c r="AO148">
        <f>step3_validation[[#This Row],[AI_TRU2]]</f>
        <v>9</v>
      </c>
      <c r="AP148">
        <f t="shared" si="68"/>
        <v>0.88888888888888884</v>
      </c>
      <c r="AQ148">
        <f>survey_responses[[#This Row],[Tôi thấy mức thuế tôi phải đóng theo phương án mới là công bằng (người thu nhập như tôi đóng mức này là hợp lý). - HUMAN-TRU2]]</f>
        <v>5</v>
      </c>
      <c r="AR148">
        <f t="shared" si="69"/>
        <v>0.44444444444444442</v>
      </c>
      <c r="AS148">
        <f>step3_validation[[#This Row],[AI_TRU3]]</f>
        <v>10</v>
      </c>
      <c r="AT148">
        <f t="shared" si="70"/>
        <v>1</v>
      </c>
      <c r="AU148">
        <f>survey_responses[[#This Row],[Tôi tin tưởng số tiền thuế tôi đóng sẽ được Nhà nước sử dụng hiệu quả để cải thiện dịch vụ công (y tế, đường xá...). - HUMAN-TRU3]]</f>
        <v>1</v>
      </c>
      <c r="AV148">
        <f t="shared" si="71"/>
        <v>0</v>
      </c>
      <c r="AW148">
        <f>step3_validation[[#This Row],[AI_TRU4]]</f>
        <v>7</v>
      </c>
      <c r="AX148">
        <f t="shared" si="72"/>
        <v>0.66666666666666663</v>
      </c>
      <c r="AY148">
        <f>survey_responses[[#This Row],[Tôi thấy Nhà nước đã giải thích rõ ràng, minh bạch về lý do và mục tiêu của việc sửa đổi thuế lần này. - HUMAN-TRU4]]</f>
        <v>4</v>
      </c>
      <c r="AZ148">
        <f t="shared" si="73"/>
        <v>0.33333333333333331</v>
      </c>
      <c r="BA148" s="32">
        <f t="shared" si="74"/>
        <v>0.83333333333333326</v>
      </c>
      <c r="BB148" s="32">
        <f t="shared" si="75"/>
        <v>0.25</v>
      </c>
      <c r="BC148" s="7">
        <f t="shared" si="76"/>
        <v>0.83333333333333337</v>
      </c>
      <c r="BD148" s="7">
        <f t="shared" si="77"/>
        <v>0.39814814814814814</v>
      </c>
      <c r="BE148">
        <f>step3_validation[[#This Row],[AI_OUT1]]</f>
        <v>9</v>
      </c>
      <c r="BF148">
        <f t="shared" si="78"/>
        <v>0.88888888888888884</v>
      </c>
      <c r="BG148">
        <f>survey_responses[[#This Row],[Sau khi xem xét các quyền lợi và nghĩa vụ, bạn có ủng hộ và tuân thủ chính sách mới hiện nay? - HUMAN-OUT1]]</f>
        <v>5</v>
      </c>
      <c r="BH148">
        <f t="shared" si="79"/>
        <v>0.44444444444444442</v>
      </c>
      <c r="BI148" s="32">
        <f t="shared" si="80"/>
        <v>4</v>
      </c>
    </row>
    <row r="149" spans="1:61" x14ac:dyDescent="0.45">
      <c r="A149" s="30">
        <f>step3_validation[[#This Row],[Persona_ID]]</f>
        <v>148</v>
      </c>
      <c r="B149" s="31">
        <f>step3_validation[[#This Row],[Used_Seed]]</f>
        <v>12492</v>
      </c>
      <c r="C149" t="str">
        <f>step3_validation[[#This Row],[Gender]]</f>
        <v>Nam</v>
      </c>
      <c r="D149" t="str">
        <f>survey_responses[[#This Row],[Giới tính của bạn:]]</f>
        <v>Nam</v>
      </c>
      <c r="E149" t="str">
        <f>step3_validation[[#This Row],[Age_Group]]</f>
        <v>25 - 29</v>
      </c>
      <c r="F149" t="str">
        <f>survey_responses[[#This Row],[Độ tuổi của bạn:]]</f>
        <v>25 - 29</v>
      </c>
      <c r="G149" t="str">
        <f>step3_validation[[#This Row],[Region]]</f>
        <v>Thành thị</v>
      </c>
      <c r="H149" t="str">
        <f>survey_responses[[#This Row],[Khu vực bạn đang sinh sống:]]</f>
        <v>Thành thị</v>
      </c>
      <c r="I149" t="str">
        <f>step3_validation[[#This Row],[Education]]</f>
        <v>Đại học</v>
      </c>
      <c r="J149" t="str">
        <f>survey_responses[[#This Row],[Trình độ học vấn cao nhất:]]</f>
        <v>Đại học</v>
      </c>
      <c r="K149" t="str">
        <f>step3_validation[[#This Row],[Employment]]</f>
        <v>Chính thức</v>
      </c>
      <c r="L149" t="str">
        <f>survey_responses[[#This Row],[Tình trạng việc làm chính:]]</f>
        <v>Khu vực chính thức (Có Hợp đồng lao động, đóng BHXH)</v>
      </c>
      <c r="M149">
        <f>step3_validation[[#This Row],[Income_Mil]]</f>
        <v>20.524355056803518</v>
      </c>
      <c r="N149" t="str">
        <f>survey_responses[[#This Row],[Thu nhập bình quân tháng theo Hợp đồng lao động của bạn là bao nhiêu? (Vui lòng điền tổng thu nhập trước khi khấu trừ các loại Bảo hiểm (BHXH, BHYT, BHTN) và Thuế TNCN)]]</f>
        <v>Từ 18 - 23 triệu VNĐ</v>
      </c>
      <c r="O149">
        <f>step3_validation[[#This Row],[Dependents]]</f>
        <v>0</v>
      </c>
      <c r="P149" t="str">
        <f>survey_responses[[#This Row],[Số người phụ thuộc (con nhỏ, cha mẹ già...) đủ điều kiện giảm trừ gia cảnh:]]</f>
        <v>0 người</v>
      </c>
      <c r="Q149">
        <f>step3_validation[[#This Row],[AI_ENF1]]</f>
        <v>3</v>
      </c>
      <c r="R149">
        <f t="shared" si="54"/>
        <v>0.22222222222222221</v>
      </c>
      <c r="S149">
        <f>survey_responses[[#This Row],[Tôi tin rằng với các quy định quản lý thuế hiện nay, hành vi gian lận hoặc trốn thuế sẽ dễ dàng bị phát hiện và xử lý nghiêm. - HUMAN-ENF1]]</f>
        <v>6</v>
      </c>
      <c r="T149">
        <f t="shared" si="55"/>
        <v>0.55555555555555558</v>
      </c>
      <c r="U149">
        <f>step3_validation[[#This Row],[AI_ENF2]]</f>
        <v>4</v>
      </c>
      <c r="V149">
        <f t="shared" si="56"/>
        <v>0.33333333333333331</v>
      </c>
      <c r="W149">
        <f>survey_responses[[#This Row],[Tôi tin rằng Nhà nước, cơ quan thuế có đủ khả năng và công nghệ để phát hiện, xử lý nghiêm các hành vi trốn thuế. - HUMAN-ENF2]]</f>
        <v>6</v>
      </c>
      <c r="X149">
        <f t="shared" si="57"/>
        <v>0.55555555555555558</v>
      </c>
      <c r="Y149" s="32">
        <f t="shared" si="58"/>
        <v>0.27777777777777779</v>
      </c>
      <c r="Z149" s="32">
        <f t="shared" si="59"/>
        <v>0.55555555555555558</v>
      </c>
      <c r="AA149">
        <f>step3_validation[[#This Row],[AI_FAC1]]</f>
        <v>9</v>
      </c>
      <c r="AB149">
        <f t="shared" si="60"/>
        <v>0.88888888888888884</v>
      </c>
      <c r="AC149">
        <f>survey_responses[[#This Row],[Các thủ tục khai báo thuế VÀ/HOẶC quy trình làm việc với cơ quan thuế đơn giản, tiện lợi, nhanh chóng hơn so với trước đây. - HUMAN-FAC1]]</f>
        <v>5</v>
      </c>
      <c r="AD149">
        <f t="shared" si="61"/>
        <v>0.44444444444444442</v>
      </c>
      <c r="AE149">
        <f>step3_validation[[#This Row],[AI_FAC2]]</f>
        <v>7</v>
      </c>
      <c r="AF149">
        <f t="shared" si="62"/>
        <v>0.66666666666666663</v>
      </c>
      <c r="AG149">
        <f>survey_responses[[#This Row],[So với trước đây, tôi thấy cách tính thuế và các bậc thuế trong phương án mới đơn giản, dễ hiểu và dễ thực hiện hơn. - HUMAN-FAC2]]</f>
        <v>7</v>
      </c>
      <c r="AH149">
        <f t="shared" si="63"/>
        <v>0.66666666666666663</v>
      </c>
      <c r="AI149" s="32">
        <f t="shared" si="64"/>
        <v>0.77777777777777768</v>
      </c>
      <c r="AJ149" s="32">
        <f t="shared" si="65"/>
        <v>0.55555555555555558</v>
      </c>
      <c r="AK149">
        <f>step3_validation[[#This Row],[AI_TRU1]]</f>
        <v>6</v>
      </c>
      <c r="AL149">
        <f t="shared" si="66"/>
        <v>0.55555555555555558</v>
      </c>
      <c r="AM149">
        <f>survey_responses[[#This Row],[Tôi tin rằng Nhà nước, cơ quan thuế sẽ thực thi chính sách mới một cách khách quan, công tâm và đối xử bình đẳng với mọi người nộp thuế.  - HUMAN-TRU1]]</f>
        <v>5</v>
      </c>
      <c r="AN149">
        <f t="shared" si="67"/>
        <v>0.44444444444444442</v>
      </c>
      <c r="AO149">
        <f>step3_validation[[#This Row],[AI_TRU2]]</f>
        <v>8</v>
      </c>
      <c r="AP149">
        <f t="shared" si="68"/>
        <v>0.77777777777777779</v>
      </c>
      <c r="AQ149">
        <f>survey_responses[[#This Row],[Tôi thấy mức thuế tôi phải đóng theo phương án mới là công bằng (người thu nhập như tôi đóng mức này là hợp lý). - HUMAN-TRU2]]</f>
        <v>7</v>
      </c>
      <c r="AR149">
        <f t="shared" si="69"/>
        <v>0.66666666666666663</v>
      </c>
      <c r="AS149">
        <f>step3_validation[[#This Row],[AI_TRU3]]</f>
        <v>5</v>
      </c>
      <c r="AT149">
        <f t="shared" si="70"/>
        <v>0.44444444444444442</v>
      </c>
      <c r="AU149">
        <f>survey_responses[[#This Row],[Tôi tin tưởng số tiền thuế tôi đóng sẽ được Nhà nước sử dụng hiệu quả để cải thiện dịch vụ công (y tế, đường xá...). - HUMAN-TRU3]]</f>
        <v>5</v>
      </c>
      <c r="AV149">
        <f t="shared" si="71"/>
        <v>0.44444444444444442</v>
      </c>
      <c r="AW149">
        <f>step3_validation[[#This Row],[AI_TRU4]]</f>
        <v>7</v>
      </c>
      <c r="AX149">
        <f t="shared" si="72"/>
        <v>0.66666666666666663</v>
      </c>
      <c r="AY149">
        <f>survey_responses[[#This Row],[Tôi thấy Nhà nước đã giải thích rõ ràng, minh bạch về lý do và mục tiêu của việc sửa đổi thuế lần này. - HUMAN-TRU4]]</f>
        <v>6</v>
      </c>
      <c r="AZ149">
        <f t="shared" si="73"/>
        <v>0.55555555555555558</v>
      </c>
      <c r="BA149" s="32">
        <f t="shared" si="74"/>
        <v>0.61111111111111116</v>
      </c>
      <c r="BB149" s="32">
        <f t="shared" si="75"/>
        <v>0.52777777777777779</v>
      </c>
      <c r="BC149" s="7">
        <f t="shared" si="76"/>
        <v>0.55555555555555547</v>
      </c>
      <c r="BD149" s="7">
        <f t="shared" si="77"/>
        <v>0.54629629629629628</v>
      </c>
      <c r="BE149">
        <f>step3_validation[[#This Row],[AI_OUT1]]</f>
        <v>9</v>
      </c>
      <c r="BF149">
        <f t="shared" si="78"/>
        <v>0.88888888888888884</v>
      </c>
      <c r="BG149">
        <f>survey_responses[[#This Row],[Sau khi xem xét các quyền lợi và nghĩa vụ, bạn có ủng hộ và tuân thủ chính sách mới hiện nay? - HUMAN-OUT1]]</f>
        <v>7</v>
      </c>
      <c r="BH149">
        <f t="shared" si="79"/>
        <v>0.66666666666666663</v>
      </c>
      <c r="BI149" s="32">
        <f t="shared" si="80"/>
        <v>2</v>
      </c>
    </row>
    <row r="150" spans="1:61" x14ac:dyDescent="0.45">
      <c r="A150" s="30">
        <f>step3_validation[[#This Row],[Persona_ID]]</f>
        <v>149</v>
      </c>
      <c r="B150" s="31">
        <f>step3_validation[[#This Row],[Used_Seed]]</f>
        <v>12493</v>
      </c>
      <c r="C150" t="str">
        <f>step3_validation[[#This Row],[Gender]]</f>
        <v>Nữ</v>
      </c>
      <c r="D150" t="str">
        <f>survey_responses[[#This Row],[Giới tính của bạn:]]</f>
        <v>Nữ</v>
      </c>
      <c r="E150" t="str">
        <f>step3_validation[[#This Row],[Age_Group]]</f>
        <v>40 - 49</v>
      </c>
      <c r="F150" t="str">
        <f>survey_responses[[#This Row],[Độ tuổi của bạn:]]</f>
        <v>40 - 49</v>
      </c>
      <c r="G150" t="str">
        <f>step3_validation[[#This Row],[Region]]</f>
        <v>Thành thị</v>
      </c>
      <c r="H150" t="str">
        <f>survey_responses[[#This Row],[Khu vực bạn đang sinh sống:]]</f>
        <v>Thành thị</v>
      </c>
      <c r="I150" t="str">
        <f>step3_validation[[#This Row],[Education]]</f>
        <v>Đại học</v>
      </c>
      <c r="J150" t="str">
        <f>survey_responses[[#This Row],[Trình độ học vấn cao nhất:]]</f>
        <v>Đại học</v>
      </c>
      <c r="K150" t="str">
        <f>step3_validation[[#This Row],[Employment]]</f>
        <v>Chính thức</v>
      </c>
      <c r="L150" t="str">
        <f>survey_responses[[#This Row],[Tình trạng việc làm chính:]]</f>
        <v>Khu vực chính thức (Có Hợp đồng lao động, đóng BHXH)</v>
      </c>
      <c r="M150">
        <f>step3_validation[[#This Row],[Income_Mil]]</f>
        <v>102.0682683494535</v>
      </c>
      <c r="N150" t="str">
        <f>survey_responses[[#This Row],[Thu nhập bình quân tháng theo Hợp đồng lao động của bạn là bao nhiêu? (Vui lòng điền tổng thu nhập trước khi khấu trừ các loại Bảo hiểm (BHXH, BHYT, BHTN) và Thuế TNCN)]]</f>
        <v>Trên 102 triệu VNĐ</v>
      </c>
      <c r="O150">
        <f>step3_validation[[#This Row],[Dependents]]</f>
        <v>3</v>
      </c>
      <c r="P150" t="str">
        <f>survey_responses[[#This Row],[Số người phụ thuộc (con nhỏ, cha mẹ già...) đủ điều kiện giảm trừ gia cảnh:]]</f>
        <v>3 người</v>
      </c>
      <c r="Q150">
        <f>step3_validation[[#This Row],[AI_ENF1]]</f>
        <v>6</v>
      </c>
      <c r="R150">
        <f t="shared" si="54"/>
        <v>0.55555555555555558</v>
      </c>
      <c r="S150">
        <f>survey_responses[[#This Row],[Tôi tin rằng với các quy định quản lý thuế hiện nay, hành vi gian lận hoặc trốn thuế sẽ dễ dàng bị phát hiện và xử lý nghiêm. - HUMAN-ENF1]]</f>
        <v>10</v>
      </c>
      <c r="T150">
        <f t="shared" si="55"/>
        <v>1</v>
      </c>
      <c r="U150">
        <f>step3_validation[[#This Row],[AI_ENF2]]</f>
        <v>5</v>
      </c>
      <c r="V150">
        <f t="shared" si="56"/>
        <v>0.44444444444444442</v>
      </c>
      <c r="W150">
        <f>survey_responses[[#This Row],[Tôi tin rằng Nhà nước, cơ quan thuế có đủ khả năng và công nghệ để phát hiện, xử lý nghiêm các hành vi trốn thuế. - HUMAN-ENF2]]</f>
        <v>10</v>
      </c>
      <c r="X150">
        <f t="shared" si="57"/>
        <v>1</v>
      </c>
      <c r="Y150" s="32">
        <f t="shared" si="58"/>
        <v>0.5</v>
      </c>
      <c r="Z150" s="32">
        <f t="shared" si="59"/>
        <v>1</v>
      </c>
      <c r="AA150">
        <f>step3_validation[[#This Row],[AI_FAC1]]</f>
        <v>9</v>
      </c>
      <c r="AB150">
        <f t="shared" si="60"/>
        <v>0.88888888888888884</v>
      </c>
      <c r="AC150">
        <f>survey_responses[[#This Row],[Các thủ tục khai báo thuế VÀ/HOẶC quy trình làm việc với cơ quan thuế đơn giản, tiện lợi, nhanh chóng hơn so với trước đây. - HUMAN-FAC1]]</f>
        <v>7</v>
      </c>
      <c r="AD150">
        <f t="shared" si="61"/>
        <v>0.66666666666666663</v>
      </c>
      <c r="AE150">
        <f>step3_validation[[#This Row],[AI_FAC2]]</f>
        <v>8</v>
      </c>
      <c r="AF150">
        <f t="shared" si="62"/>
        <v>0.77777777777777779</v>
      </c>
      <c r="AG150">
        <f>survey_responses[[#This Row],[So với trước đây, tôi thấy cách tính thuế và các bậc thuế trong phương án mới đơn giản, dễ hiểu và dễ thực hiện hơn. - HUMAN-FAC2]]</f>
        <v>8</v>
      </c>
      <c r="AH150">
        <f t="shared" si="63"/>
        <v>0.77777777777777779</v>
      </c>
      <c r="AI150" s="32">
        <f t="shared" si="64"/>
        <v>0.83333333333333326</v>
      </c>
      <c r="AJ150" s="32">
        <f t="shared" si="65"/>
        <v>0.72222222222222221</v>
      </c>
      <c r="AK150">
        <f>step3_validation[[#This Row],[AI_TRU1]]</f>
        <v>7</v>
      </c>
      <c r="AL150">
        <f t="shared" si="66"/>
        <v>0.66666666666666663</v>
      </c>
      <c r="AM150">
        <f>survey_responses[[#This Row],[Tôi tin rằng Nhà nước, cơ quan thuế sẽ thực thi chính sách mới một cách khách quan, công tâm và đối xử bình đẳng với mọi người nộp thuế.  - HUMAN-TRU1]]</f>
        <v>8</v>
      </c>
      <c r="AN150">
        <f t="shared" si="67"/>
        <v>0.77777777777777779</v>
      </c>
      <c r="AO150">
        <f>step3_validation[[#This Row],[AI_TRU2]]</f>
        <v>9</v>
      </c>
      <c r="AP150">
        <f t="shared" si="68"/>
        <v>0.88888888888888884</v>
      </c>
      <c r="AQ150">
        <f>survey_responses[[#This Row],[Tôi thấy mức thuế tôi phải đóng theo phương án mới là công bằng (người thu nhập như tôi đóng mức này là hợp lý). - HUMAN-TRU2]]</f>
        <v>4</v>
      </c>
      <c r="AR150">
        <f t="shared" si="69"/>
        <v>0.33333333333333331</v>
      </c>
      <c r="AS150">
        <f>step3_validation[[#This Row],[AI_TRU3]]</f>
        <v>7</v>
      </c>
      <c r="AT150">
        <f t="shared" si="70"/>
        <v>0.66666666666666663</v>
      </c>
      <c r="AU150">
        <f>survey_responses[[#This Row],[Tôi tin tưởng số tiền thuế tôi đóng sẽ được Nhà nước sử dụng hiệu quả để cải thiện dịch vụ công (y tế, đường xá...). - HUMAN-TRU3]]</f>
        <v>1</v>
      </c>
      <c r="AV150">
        <f t="shared" si="71"/>
        <v>0</v>
      </c>
      <c r="AW150">
        <f>step3_validation[[#This Row],[AI_TRU4]]</f>
        <v>6</v>
      </c>
      <c r="AX150">
        <f t="shared" si="72"/>
        <v>0.55555555555555558</v>
      </c>
      <c r="AY150">
        <f>survey_responses[[#This Row],[Tôi thấy Nhà nước đã giải thích rõ ràng, minh bạch về lý do và mục tiêu của việc sửa đổi thuế lần này. - HUMAN-TRU4]]</f>
        <v>3</v>
      </c>
      <c r="AZ150">
        <f t="shared" si="73"/>
        <v>0.22222222222222221</v>
      </c>
      <c r="BA150" s="32">
        <f t="shared" si="74"/>
        <v>0.69444444444444442</v>
      </c>
      <c r="BB150" s="32">
        <f t="shared" si="75"/>
        <v>0.33333333333333337</v>
      </c>
      <c r="BC150" s="7">
        <f t="shared" si="76"/>
        <v>0.67592592592592593</v>
      </c>
      <c r="BD150" s="7">
        <f t="shared" si="77"/>
        <v>0.68518518518518523</v>
      </c>
      <c r="BE150">
        <f>step3_validation[[#This Row],[AI_OUT1]]</f>
        <v>8</v>
      </c>
      <c r="BF150">
        <f t="shared" si="78"/>
        <v>0.77777777777777779</v>
      </c>
      <c r="BG150">
        <f>survey_responses[[#This Row],[Sau khi xem xét các quyền lợi và nghĩa vụ, bạn có ủng hộ và tuân thủ chính sách mới hiện nay? - HUMAN-OUT1]]</f>
        <v>6</v>
      </c>
      <c r="BH150">
        <f t="shared" si="79"/>
        <v>0.55555555555555558</v>
      </c>
      <c r="BI150" s="32">
        <f t="shared" si="80"/>
        <v>2</v>
      </c>
    </row>
    <row r="151" spans="1:61" x14ac:dyDescent="0.45">
      <c r="A151" s="30">
        <f>step3_validation[[#This Row],[Persona_ID]]</f>
        <v>150</v>
      </c>
      <c r="B151" s="31">
        <f>step3_validation[[#This Row],[Used_Seed]]</f>
        <v>12494</v>
      </c>
      <c r="C151" t="str">
        <f>step3_validation[[#This Row],[Gender]]</f>
        <v>Nữ</v>
      </c>
      <c r="D151" t="str">
        <f>survey_responses[[#This Row],[Giới tính của bạn:]]</f>
        <v>Nữ</v>
      </c>
      <c r="E151" t="str">
        <f>step3_validation[[#This Row],[Age_Group]]</f>
        <v>40 - 49</v>
      </c>
      <c r="F151" t="str">
        <f>survey_responses[[#This Row],[Độ tuổi của bạn:]]</f>
        <v>40 - 49</v>
      </c>
      <c r="G151" t="str">
        <f>step3_validation[[#This Row],[Region]]</f>
        <v>Thành thị</v>
      </c>
      <c r="H151" t="str">
        <f>survey_responses[[#This Row],[Khu vực bạn đang sinh sống:]]</f>
        <v>Thành thị</v>
      </c>
      <c r="I151" t="str">
        <f>step3_validation[[#This Row],[Education]]</f>
        <v>Đại học</v>
      </c>
      <c r="J151" t="str">
        <f>survey_responses[[#This Row],[Trình độ học vấn cao nhất:]]</f>
        <v>Đại học</v>
      </c>
      <c r="K151" t="str">
        <f>step3_validation[[#This Row],[Employment]]</f>
        <v>Chính thức</v>
      </c>
      <c r="L151" t="str">
        <f>survey_responses[[#This Row],[Tình trạng việc làm chính:]]</f>
        <v>Khu vực chính thức (Có Hợp đồng lao động, đóng BHXH)</v>
      </c>
      <c r="M151">
        <f>step3_validation[[#This Row],[Income_Mil]]</f>
        <v>50.068690773472348</v>
      </c>
      <c r="N151" t="str">
        <f>survey_responses[[#This Row],[Thu nhập bình quân tháng theo Hợp đồng lao động của bạn là bao nhiêu? (Vui lòng điền tổng thu nhập trước khi khấu trừ các loại Bảo hiểm (BHXH, BHYT, BHTN) và Thuế TNCN)]]</f>
        <v>Từ 48 - 70 triệu VNĐ</v>
      </c>
      <c r="O151">
        <f>step3_validation[[#This Row],[Dependents]]</f>
        <v>2</v>
      </c>
      <c r="P151" t="str">
        <f>survey_responses[[#This Row],[Số người phụ thuộc (con nhỏ, cha mẹ già...) đủ điều kiện giảm trừ gia cảnh:]]</f>
        <v>2 người</v>
      </c>
      <c r="Q151">
        <f>step3_validation[[#This Row],[AI_ENF1]]</f>
        <v>8</v>
      </c>
      <c r="R151">
        <f t="shared" si="54"/>
        <v>0.77777777777777779</v>
      </c>
      <c r="S151">
        <f>survey_responses[[#This Row],[Tôi tin rằng với các quy định quản lý thuế hiện nay, hành vi gian lận hoặc trốn thuế sẽ dễ dàng bị phát hiện và xử lý nghiêm. - HUMAN-ENF1]]</f>
        <v>7</v>
      </c>
      <c r="T151">
        <f t="shared" si="55"/>
        <v>0.66666666666666663</v>
      </c>
      <c r="U151">
        <f>step3_validation[[#This Row],[AI_ENF2]]</f>
        <v>9</v>
      </c>
      <c r="V151">
        <f t="shared" si="56"/>
        <v>0.88888888888888884</v>
      </c>
      <c r="W151">
        <f>survey_responses[[#This Row],[Tôi tin rằng Nhà nước, cơ quan thuế có đủ khả năng và công nghệ để phát hiện, xử lý nghiêm các hành vi trốn thuế. - HUMAN-ENF2]]</f>
        <v>10</v>
      </c>
      <c r="X151">
        <f t="shared" si="57"/>
        <v>1</v>
      </c>
      <c r="Y151" s="32">
        <f t="shared" si="58"/>
        <v>0.83333333333333326</v>
      </c>
      <c r="Z151" s="32">
        <f t="shared" si="59"/>
        <v>0.83333333333333326</v>
      </c>
      <c r="AA151">
        <f>step3_validation[[#This Row],[AI_FAC1]]</f>
        <v>8</v>
      </c>
      <c r="AB151">
        <f t="shared" si="60"/>
        <v>0.77777777777777779</v>
      </c>
      <c r="AC151">
        <f>survey_responses[[#This Row],[Các thủ tục khai báo thuế VÀ/HOẶC quy trình làm việc với cơ quan thuế đơn giản, tiện lợi, nhanh chóng hơn so với trước đây. - HUMAN-FAC1]]</f>
        <v>5</v>
      </c>
      <c r="AD151">
        <f t="shared" si="61"/>
        <v>0.44444444444444442</v>
      </c>
      <c r="AE151">
        <f>step3_validation[[#This Row],[AI_FAC2]]</f>
        <v>9</v>
      </c>
      <c r="AF151">
        <f t="shared" si="62"/>
        <v>0.88888888888888884</v>
      </c>
      <c r="AG151">
        <f>survey_responses[[#This Row],[So với trước đây, tôi thấy cách tính thuế và các bậc thuế trong phương án mới đơn giản, dễ hiểu và dễ thực hiện hơn. - HUMAN-FAC2]]</f>
        <v>7</v>
      </c>
      <c r="AH151">
        <f t="shared" si="63"/>
        <v>0.66666666666666663</v>
      </c>
      <c r="AI151" s="32">
        <f t="shared" si="64"/>
        <v>0.83333333333333326</v>
      </c>
      <c r="AJ151" s="32">
        <f t="shared" si="65"/>
        <v>0.55555555555555558</v>
      </c>
      <c r="AK151">
        <f>step3_validation[[#This Row],[AI_TRU1]]</f>
        <v>8</v>
      </c>
      <c r="AL151">
        <f t="shared" si="66"/>
        <v>0.77777777777777779</v>
      </c>
      <c r="AM151">
        <f>survey_responses[[#This Row],[Tôi tin rằng Nhà nước, cơ quan thuế sẽ thực thi chính sách mới một cách khách quan, công tâm và đối xử bình đẳng với mọi người nộp thuế.  - HUMAN-TRU1]]</f>
        <v>7</v>
      </c>
      <c r="AN151">
        <f t="shared" si="67"/>
        <v>0.66666666666666663</v>
      </c>
      <c r="AO151">
        <f>step3_validation[[#This Row],[AI_TRU2]]</f>
        <v>9</v>
      </c>
      <c r="AP151">
        <f t="shared" si="68"/>
        <v>0.88888888888888884</v>
      </c>
      <c r="AQ151">
        <f>survey_responses[[#This Row],[Tôi thấy mức thuế tôi phải đóng theo phương án mới là công bằng (người thu nhập như tôi đóng mức này là hợp lý). - HUMAN-TRU2]]</f>
        <v>7</v>
      </c>
      <c r="AR151">
        <f t="shared" si="69"/>
        <v>0.66666666666666663</v>
      </c>
      <c r="AS151">
        <f>step3_validation[[#This Row],[AI_TRU3]]</f>
        <v>8</v>
      </c>
      <c r="AT151">
        <f t="shared" si="70"/>
        <v>0.77777777777777779</v>
      </c>
      <c r="AU151">
        <f>survey_responses[[#This Row],[Tôi tin tưởng số tiền thuế tôi đóng sẽ được Nhà nước sử dụng hiệu quả để cải thiện dịch vụ công (y tế, đường xá...). - HUMAN-TRU3]]</f>
        <v>7</v>
      </c>
      <c r="AV151">
        <f t="shared" si="71"/>
        <v>0.66666666666666663</v>
      </c>
      <c r="AW151">
        <f>step3_validation[[#This Row],[AI_TRU4]]</f>
        <v>9</v>
      </c>
      <c r="AX151">
        <f t="shared" si="72"/>
        <v>0.88888888888888884</v>
      </c>
      <c r="AY151">
        <f>survey_responses[[#This Row],[Tôi thấy Nhà nước đã giải thích rõ ràng, minh bạch về lý do và mục tiêu của việc sửa đổi thuế lần này. - HUMAN-TRU4]]</f>
        <v>7</v>
      </c>
      <c r="AZ151">
        <f t="shared" si="73"/>
        <v>0.66666666666666663</v>
      </c>
      <c r="BA151" s="32">
        <f t="shared" si="74"/>
        <v>0.83333333333333326</v>
      </c>
      <c r="BB151" s="32">
        <f t="shared" si="75"/>
        <v>0.66666666666666663</v>
      </c>
      <c r="BC151" s="7">
        <f t="shared" si="76"/>
        <v>0.83333333333333337</v>
      </c>
      <c r="BD151" s="7">
        <f t="shared" si="77"/>
        <v>0.68518518518518512</v>
      </c>
      <c r="BE151">
        <f>step3_validation[[#This Row],[AI_OUT1]]</f>
        <v>10</v>
      </c>
      <c r="BF151">
        <f t="shared" si="78"/>
        <v>1</v>
      </c>
      <c r="BG151">
        <f>survey_responses[[#This Row],[Sau khi xem xét các quyền lợi và nghĩa vụ, bạn có ủng hộ và tuân thủ chính sách mới hiện nay? - HUMAN-OUT1]]</f>
        <v>10</v>
      </c>
      <c r="BH151">
        <f t="shared" si="79"/>
        <v>1</v>
      </c>
      <c r="BI151" s="32">
        <f t="shared" si="80"/>
        <v>0</v>
      </c>
    </row>
    <row r="152" spans="1:61" x14ac:dyDescent="0.45">
      <c r="A152" s="30">
        <f>step3_validation[[#This Row],[Persona_ID]]</f>
        <v>151</v>
      </c>
      <c r="B152" s="31">
        <f>step3_validation[[#This Row],[Used_Seed]]</f>
        <v>12495</v>
      </c>
      <c r="C152" t="str">
        <f>step3_validation[[#This Row],[Gender]]</f>
        <v>Nữ</v>
      </c>
      <c r="D152" t="str">
        <f>survey_responses[[#This Row],[Giới tính của bạn:]]</f>
        <v>Nữ</v>
      </c>
      <c r="E152" t="str">
        <f>step3_validation[[#This Row],[Age_Group]]</f>
        <v>30 - 39</v>
      </c>
      <c r="F152" t="str">
        <f>survey_responses[[#This Row],[Độ tuổi của bạn:]]</f>
        <v>30 - 39</v>
      </c>
      <c r="G152" t="str">
        <f>step3_validation[[#This Row],[Region]]</f>
        <v>Thành thị</v>
      </c>
      <c r="H152" t="str">
        <f>survey_responses[[#This Row],[Khu vực bạn đang sinh sống:]]</f>
        <v>Thành thị</v>
      </c>
      <c r="I152" t="str">
        <f>step3_validation[[#This Row],[Education]]</f>
        <v>Đại học</v>
      </c>
      <c r="J152" t="str">
        <f>survey_responses[[#This Row],[Trình độ học vấn cao nhất:]]</f>
        <v>Đại học</v>
      </c>
      <c r="K152" t="str">
        <f>step3_validation[[#This Row],[Employment]]</f>
        <v>Chính thức</v>
      </c>
      <c r="L152" t="str">
        <f>survey_responses[[#This Row],[Tình trạng việc làm chính:]]</f>
        <v>Khu vực chính thức (Có Hợp đồng lao động, đóng BHXH)</v>
      </c>
      <c r="M152">
        <f>step3_validation[[#This Row],[Income_Mil]]</f>
        <v>88.487498038856671</v>
      </c>
      <c r="N152" t="str">
        <f>survey_responses[[#This Row],[Thu nhập bình quân tháng theo Hợp đồng lao động của bạn là bao nhiêu? (Vui lòng điền tổng thu nhập trước khi khấu trừ các loại Bảo hiểm (BHXH, BHYT, BHTN) và Thuế TNCN)]]</f>
        <v>Từ 70 - 102 triệu VNĐ</v>
      </c>
      <c r="O152">
        <f>step3_validation[[#This Row],[Dependents]]</f>
        <v>2</v>
      </c>
      <c r="P152" t="str">
        <f>survey_responses[[#This Row],[Số người phụ thuộc (con nhỏ, cha mẹ già...) đủ điều kiện giảm trừ gia cảnh:]]</f>
        <v>2 người</v>
      </c>
      <c r="Q152">
        <f>step3_validation[[#This Row],[AI_ENF1]]</f>
        <v>7</v>
      </c>
      <c r="R152">
        <f t="shared" si="54"/>
        <v>0.66666666666666663</v>
      </c>
      <c r="S152">
        <f>survey_responses[[#This Row],[Tôi tin rằng với các quy định quản lý thuế hiện nay, hành vi gian lận hoặc trốn thuế sẽ dễ dàng bị phát hiện và xử lý nghiêm. - HUMAN-ENF1]]</f>
        <v>8</v>
      </c>
      <c r="T152">
        <f t="shared" si="55"/>
        <v>0.77777777777777779</v>
      </c>
      <c r="U152">
        <f>step3_validation[[#This Row],[AI_ENF2]]</f>
        <v>6</v>
      </c>
      <c r="V152">
        <f t="shared" si="56"/>
        <v>0.55555555555555558</v>
      </c>
      <c r="W152">
        <f>survey_responses[[#This Row],[Tôi tin rằng Nhà nước, cơ quan thuế có đủ khả năng và công nghệ để phát hiện, xử lý nghiêm các hành vi trốn thuế. - HUMAN-ENF2]]</f>
        <v>8</v>
      </c>
      <c r="X152">
        <f t="shared" si="57"/>
        <v>0.77777777777777779</v>
      </c>
      <c r="Y152" s="32">
        <f t="shared" si="58"/>
        <v>0.61111111111111116</v>
      </c>
      <c r="Z152" s="32">
        <f t="shared" si="59"/>
        <v>0.77777777777777779</v>
      </c>
      <c r="AA152">
        <f>step3_validation[[#This Row],[AI_FAC1]]</f>
        <v>9</v>
      </c>
      <c r="AB152">
        <f t="shared" si="60"/>
        <v>0.88888888888888884</v>
      </c>
      <c r="AC152">
        <f>survey_responses[[#This Row],[Các thủ tục khai báo thuế VÀ/HOẶC quy trình làm việc với cơ quan thuế đơn giản, tiện lợi, nhanh chóng hơn so với trước đây. - HUMAN-FAC1]]</f>
        <v>8</v>
      </c>
      <c r="AD152">
        <f t="shared" si="61"/>
        <v>0.77777777777777779</v>
      </c>
      <c r="AE152">
        <f>step3_validation[[#This Row],[AI_FAC2]]</f>
        <v>8</v>
      </c>
      <c r="AF152">
        <f t="shared" si="62"/>
        <v>0.77777777777777779</v>
      </c>
      <c r="AG152">
        <f>survey_responses[[#This Row],[So với trước đây, tôi thấy cách tính thuế và các bậc thuế trong phương án mới đơn giản, dễ hiểu và dễ thực hiện hơn. - HUMAN-FAC2]]</f>
        <v>8</v>
      </c>
      <c r="AH152">
        <f t="shared" si="63"/>
        <v>0.77777777777777779</v>
      </c>
      <c r="AI152" s="32">
        <f t="shared" si="64"/>
        <v>0.83333333333333326</v>
      </c>
      <c r="AJ152" s="32">
        <f t="shared" si="65"/>
        <v>0.77777777777777779</v>
      </c>
      <c r="AK152">
        <f>step3_validation[[#This Row],[AI_TRU1]]</f>
        <v>9</v>
      </c>
      <c r="AL152">
        <f t="shared" si="66"/>
        <v>0.88888888888888884</v>
      </c>
      <c r="AM152">
        <f>survey_responses[[#This Row],[Tôi tin rằng Nhà nước, cơ quan thuế sẽ thực thi chính sách mới một cách khách quan, công tâm và đối xử bình đẳng với mọi người nộp thuế.  - HUMAN-TRU1]]</f>
        <v>8</v>
      </c>
      <c r="AN152">
        <f t="shared" si="67"/>
        <v>0.77777777777777779</v>
      </c>
      <c r="AO152">
        <f>step3_validation[[#This Row],[AI_TRU2]]</f>
        <v>8</v>
      </c>
      <c r="AP152">
        <f t="shared" si="68"/>
        <v>0.77777777777777779</v>
      </c>
      <c r="AQ152">
        <f>survey_responses[[#This Row],[Tôi thấy mức thuế tôi phải đóng theo phương án mới là công bằng (người thu nhập như tôi đóng mức này là hợp lý). - HUMAN-TRU2]]</f>
        <v>8</v>
      </c>
      <c r="AR152">
        <f t="shared" si="69"/>
        <v>0.77777777777777779</v>
      </c>
      <c r="AS152">
        <f>step3_validation[[#This Row],[AI_TRU3]]</f>
        <v>9</v>
      </c>
      <c r="AT152">
        <f t="shared" si="70"/>
        <v>0.88888888888888884</v>
      </c>
      <c r="AU152">
        <f>survey_responses[[#This Row],[Tôi tin tưởng số tiền thuế tôi đóng sẽ được Nhà nước sử dụng hiệu quả để cải thiện dịch vụ công (y tế, đường xá...). - HUMAN-TRU3]]</f>
        <v>8</v>
      </c>
      <c r="AV152">
        <f t="shared" si="71"/>
        <v>0.77777777777777779</v>
      </c>
      <c r="AW152">
        <f>step3_validation[[#This Row],[AI_TRU4]]</f>
        <v>7</v>
      </c>
      <c r="AX152">
        <f t="shared" si="72"/>
        <v>0.66666666666666663</v>
      </c>
      <c r="AY152">
        <f>survey_responses[[#This Row],[Tôi thấy Nhà nước đã giải thích rõ ràng, minh bạch về lý do và mục tiêu của việc sửa đổi thuế lần này. - HUMAN-TRU4]]</f>
        <v>8</v>
      </c>
      <c r="AZ152">
        <f t="shared" si="73"/>
        <v>0.77777777777777779</v>
      </c>
      <c r="BA152" s="32">
        <f t="shared" si="74"/>
        <v>0.80555555555555547</v>
      </c>
      <c r="BB152" s="32">
        <f t="shared" si="75"/>
        <v>0.77777777777777779</v>
      </c>
      <c r="BC152" s="7">
        <f t="shared" si="76"/>
        <v>0.75</v>
      </c>
      <c r="BD152" s="7">
        <f t="shared" si="77"/>
        <v>0.77777777777777779</v>
      </c>
      <c r="BE152">
        <f>step3_validation[[#This Row],[AI_OUT1]]</f>
        <v>9</v>
      </c>
      <c r="BF152">
        <f t="shared" si="78"/>
        <v>0.88888888888888884</v>
      </c>
      <c r="BG152">
        <f>survey_responses[[#This Row],[Sau khi xem xét các quyền lợi và nghĩa vụ, bạn có ủng hộ và tuân thủ chính sách mới hiện nay? - HUMAN-OUT1]]</f>
        <v>8</v>
      </c>
      <c r="BH152">
        <f t="shared" si="79"/>
        <v>0.77777777777777779</v>
      </c>
      <c r="BI152" s="32">
        <f t="shared" si="80"/>
        <v>1</v>
      </c>
    </row>
    <row r="153" spans="1:61" x14ac:dyDescent="0.45">
      <c r="A153" s="30">
        <f>step3_validation[[#This Row],[Persona_ID]]</f>
        <v>152</v>
      </c>
      <c r="B153" s="31">
        <f>step3_validation[[#This Row],[Used_Seed]]</f>
        <v>12496</v>
      </c>
      <c r="C153" t="str">
        <f>step3_validation[[#This Row],[Gender]]</f>
        <v>Nữ</v>
      </c>
      <c r="D153" t="str">
        <f>survey_responses[[#This Row],[Giới tính của bạn:]]</f>
        <v>Nữ</v>
      </c>
      <c r="E153" t="str">
        <f>step3_validation[[#This Row],[Age_Group]]</f>
        <v>40 - 49</v>
      </c>
      <c r="F153" t="str">
        <f>survey_responses[[#This Row],[Độ tuổi của bạn:]]</f>
        <v>40 - 49</v>
      </c>
      <c r="G153" t="str">
        <f>step3_validation[[#This Row],[Region]]</f>
        <v>Thành thị</v>
      </c>
      <c r="H153" t="str">
        <f>survey_responses[[#This Row],[Khu vực bạn đang sinh sống:]]</f>
        <v>Thành thị</v>
      </c>
      <c r="I153" t="str">
        <f>step3_validation[[#This Row],[Education]]</f>
        <v>Sau Đại học</v>
      </c>
      <c r="J153" t="str">
        <f>survey_responses[[#This Row],[Trình độ học vấn cao nhất:]]</f>
        <v>Sau Đại học</v>
      </c>
      <c r="K153" t="str">
        <f>step3_validation[[#This Row],[Employment]]</f>
        <v>Chính thức</v>
      </c>
      <c r="L153" t="str">
        <f>survey_responses[[#This Row],[Tình trạng việc làm chính:]]</f>
        <v>Khu vực chính thức (Có Hợp đồng lao động, đóng BHXH)</v>
      </c>
      <c r="M153">
        <f>step3_validation[[#This Row],[Income_Mil]]</f>
        <v>74.109147590656349</v>
      </c>
      <c r="N153" t="str">
        <f>survey_responses[[#This Row],[Thu nhập bình quân tháng theo Hợp đồng lao động của bạn là bao nhiêu? (Vui lòng điền tổng thu nhập trước khi khấu trừ các loại Bảo hiểm (BHXH, BHYT, BHTN) và Thuế TNCN)]]</f>
        <v>Từ 70 - 102 triệu VNĐ</v>
      </c>
      <c r="O153">
        <f>step3_validation[[#This Row],[Dependents]]</f>
        <v>2</v>
      </c>
      <c r="P153" t="str">
        <f>survey_responses[[#This Row],[Số người phụ thuộc (con nhỏ, cha mẹ già...) đủ điều kiện giảm trừ gia cảnh:]]</f>
        <v>2 người</v>
      </c>
      <c r="Q153">
        <f>step3_validation[[#This Row],[AI_ENF1]]</f>
        <v>8</v>
      </c>
      <c r="R153">
        <f t="shared" si="54"/>
        <v>0.77777777777777779</v>
      </c>
      <c r="S153">
        <f>survey_responses[[#This Row],[Tôi tin rằng với các quy định quản lý thuế hiện nay, hành vi gian lận hoặc trốn thuế sẽ dễ dàng bị phát hiện và xử lý nghiêm. - HUMAN-ENF1]]</f>
        <v>10</v>
      </c>
      <c r="T153">
        <f t="shared" si="55"/>
        <v>1</v>
      </c>
      <c r="U153">
        <f>step3_validation[[#This Row],[AI_ENF2]]</f>
        <v>9</v>
      </c>
      <c r="V153">
        <f t="shared" si="56"/>
        <v>0.88888888888888884</v>
      </c>
      <c r="W153">
        <f>survey_responses[[#This Row],[Tôi tin rằng Nhà nước, cơ quan thuế có đủ khả năng và công nghệ để phát hiện, xử lý nghiêm các hành vi trốn thuế. - HUMAN-ENF2]]</f>
        <v>10</v>
      </c>
      <c r="X153">
        <f t="shared" si="57"/>
        <v>1</v>
      </c>
      <c r="Y153" s="32">
        <f t="shared" si="58"/>
        <v>0.83333333333333326</v>
      </c>
      <c r="Z153" s="32">
        <f t="shared" si="59"/>
        <v>1</v>
      </c>
      <c r="AA153">
        <f>step3_validation[[#This Row],[AI_FAC1]]</f>
        <v>8</v>
      </c>
      <c r="AB153">
        <f t="shared" si="60"/>
        <v>0.77777777777777779</v>
      </c>
      <c r="AC153">
        <f>survey_responses[[#This Row],[Các thủ tục khai báo thuế VÀ/HOẶC quy trình làm việc với cơ quan thuế đơn giản, tiện lợi, nhanh chóng hơn so với trước đây. - HUMAN-FAC1]]</f>
        <v>10</v>
      </c>
      <c r="AD153">
        <f t="shared" si="61"/>
        <v>1</v>
      </c>
      <c r="AE153">
        <f>step3_validation[[#This Row],[AI_FAC2]]</f>
        <v>9</v>
      </c>
      <c r="AF153">
        <f t="shared" si="62"/>
        <v>0.88888888888888884</v>
      </c>
      <c r="AG153">
        <f>survey_responses[[#This Row],[So với trước đây, tôi thấy cách tính thuế và các bậc thuế trong phương án mới đơn giản, dễ hiểu và dễ thực hiện hơn. - HUMAN-FAC2]]</f>
        <v>10</v>
      </c>
      <c r="AH153">
        <f t="shared" si="63"/>
        <v>1</v>
      </c>
      <c r="AI153" s="32">
        <f t="shared" si="64"/>
        <v>0.83333333333333326</v>
      </c>
      <c r="AJ153" s="32">
        <f t="shared" si="65"/>
        <v>1</v>
      </c>
      <c r="AK153">
        <f>step3_validation[[#This Row],[AI_TRU1]]</f>
        <v>8</v>
      </c>
      <c r="AL153">
        <f t="shared" si="66"/>
        <v>0.77777777777777779</v>
      </c>
      <c r="AM153">
        <f>survey_responses[[#This Row],[Tôi tin rằng Nhà nước, cơ quan thuế sẽ thực thi chính sách mới một cách khách quan, công tâm và đối xử bình đẳng với mọi người nộp thuế.  - HUMAN-TRU1]]</f>
        <v>10</v>
      </c>
      <c r="AN153">
        <f t="shared" si="67"/>
        <v>1</v>
      </c>
      <c r="AO153">
        <f>step3_validation[[#This Row],[AI_TRU2]]</f>
        <v>9</v>
      </c>
      <c r="AP153">
        <f t="shared" si="68"/>
        <v>0.88888888888888884</v>
      </c>
      <c r="AQ153">
        <f>survey_responses[[#This Row],[Tôi thấy mức thuế tôi phải đóng theo phương án mới là công bằng (người thu nhập như tôi đóng mức này là hợp lý). - HUMAN-TRU2]]</f>
        <v>10</v>
      </c>
      <c r="AR153">
        <f t="shared" si="69"/>
        <v>1</v>
      </c>
      <c r="AS153">
        <f>step3_validation[[#This Row],[AI_TRU3]]</f>
        <v>8</v>
      </c>
      <c r="AT153">
        <f t="shared" si="70"/>
        <v>0.77777777777777779</v>
      </c>
      <c r="AU153">
        <f>survey_responses[[#This Row],[Tôi tin tưởng số tiền thuế tôi đóng sẽ được Nhà nước sử dụng hiệu quả để cải thiện dịch vụ công (y tế, đường xá...). - HUMAN-TRU3]]</f>
        <v>10</v>
      </c>
      <c r="AV153">
        <f t="shared" si="71"/>
        <v>1</v>
      </c>
      <c r="AW153">
        <f>step3_validation[[#This Row],[AI_TRU4]]</f>
        <v>9</v>
      </c>
      <c r="AX153">
        <f t="shared" si="72"/>
        <v>0.88888888888888884</v>
      </c>
      <c r="AY153">
        <f>survey_responses[[#This Row],[Tôi thấy Nhà nước đã giải thích rõ ràng, minh bạch về lý do và mục tiêu của việc sửa đổi thuế lần này. - HUMAN-TRU4]]</f>
        <v>10</v>
      </c>
      <c r="AZ153">
        <f t="shared" si="73"/>
        <v>1</v>
      </c>
      <c r="BA153" s="32">
        <f t="shared" si="74"/>
        <v>0.83333333333333326</v>
      </c>
      <c r="BB153" s="32">
        <f t="shared" si="75"/>
        <v>1</v>
      </c>
      <c r="BC153" s="7">
        <f t="shared" si="76"/>
        <v>0.83333333333333337</v>
      </c>
      <c r="BD153" s="7">
        <f t="shared" si="77"/>
        <v>1</v>
      </c>
      <c r="BE153">
        <f>step3_validation[[#This Row],[AI_OUT1]]</f>
        <v>9</v>
      </c>
      <c r="BF153">
        <f t="shared" si="78"/>
        <v>0.88888888888888884</v>
      </c>
      <c r="BG153">
        <f>survey_responses[[#This Row],[Sau khi xem xét các quyền lợi và nghĩa vụ, bạn có ủng hộ và tuân thủ chính sách mới hiện nay? - HUMAN-OUT1]]</f>
        <v>10</v>
      </c>
      <c r="BH153">
        <f t="shared" si="79"/>
        <v>1</v>
      </c>
      <c r="BI153" s="32">
        <f t="shared" si="80"/>
        <v>1</v>
      </c>
    </row>
    <row r="154" spans="1:61" x14ac:dyDescent="0.45">
      <c r="A154" s="30">
        <f>step3_validation[[#This Row],[Persona_ID]]</f>
        <v>153</v>
      </c>
      <c r="B154" s="31">
        <f>step3_validation[[#This Row],[Used_Seed]]</f>
        <v>12497</v>
      </c>
      <c r="C154" t="str">
        <f>step3_validation[[#This Row],[Gender]]</f>
        <v>Nam</v>
      </c>
      <c r="D154" t="str">
        <f>survey_responses[[#This Row],[Giới tính của bạn:]]</f>
        <v>Nam</v>
      </c>
      <c r="E154" t="str">
        <f>step3_validation[[#This Row],[Age_Group]]</f>
        <v>30 - 39</v>
      </c>
      <c r="F154" t="str">
        <f>survey_responses[[#This Row],[Độ tuổi của bạn:]]</f>
        <v>30 - 39</v>
      </c>
      <c r="G154" t="str">
        <f>step3_validation[[#This Row],[Region]]</f>
        <v>Thành thị</v>
      </c>
      <c r="H154" t="str">
        <f>survey_responses[[#This Row],[Khu vực bạn đang sinh sống:]]</f>
        <v>Thành thị</v>
      </c>
      <c r="I154" t="str">
        <f>step3_validation[[#This Row],[Education]]</f>
        <v>Đại học</v>
      </c>
      <c r="J154" t="str">
        <f>survey_responses[[#This Row],[Trình độ học vấn cao nhất:]]</f>
        <v>Đại học</v>
      </c>
      <c r="K154" t="str">
        <f>step3_validation[[#This Row],[Employment]]</f>
        <v>Chính thức</v>
      </c>
      <c r="L154" t="str">
        <f>survey_responses[[#This Row],[Tình trạng việc làm chính:]]</f>
        <v>Khu vực chính thức (Có Hợp đồng lao động, đóng BHXH)</v>
      </c>
      <c r="M154">
        <f>step3_validation[[#This Row],[Income_Mil]]</f>
        <v>12</v>
      </c>
      <c r="N154" t="str">
        <f>survey_responses[[#This Row],[Thu nhập bình quân tháng theo Hợp đồng lao động của bạn là bao nhiêu? (Vui lòng điền tổng thu nhập trước khi khấu trừ các loại Bảo hiểm (BHXH, BHYT, BHTN) và Thuế TNCN)]]</f>
        <v>Dưới 12 triệu VNĐ</v>
      </c>
      <c r="O154">
        <f>step3_validation[[#This Row],[Dependents]]</f>
        <v>1</v>
      </c>
      <c r="P154" t="str">
        <f>survey_responses[[#This Row],[Số người phụ thuộc (con nhỏ, cha mẹ già...) đủ điều kiện giảm trừ gia cảnh:]]</f>
        <v>1 người</v>
      </c>
      <c r="Q154">
        <f>step3_validation[[#This Row],[AI_ENF1]]</f>
        <v>7</v>
      </c>
      <c r="R154">
        <f t="shared" si="54"/>
        <v>0.66666666666666663</v>
      </c>
      <c r="S154">
        <f>survey_responses[[#This Row],[Tôi tin rằng với các quy định quản lý thuế hiện nay, hành vi gian lận hoặc trốn thuế sẽ dễ dàng bị phát hiện và xử lý nghiêm. - HUMAN-ENF1]]</f>
        <v>7</v>
      </c>
      <c r="T154">
        <f t="shared" si="55"/>
        <v>0.66666666666666663</v>
      </c>
      <c r="U154">
        <f>step3_validation[[#This Row],[AI_ENF2]]</f>
        <v>8</v>
      </c>
      <c r="V154">
        <f t="shared" si="56"/>
        <v>0.77777777777777779</v>
      </c>
      <c r="W154">
        <f>survey_responses[[#This Row],[Tôi tin rằng Nhà nước, cơ quan thuế có đủ khả năng và công nghệ để phát hiện, xử lý nghiêm các hành vi trốn thuế. - HUMAN-ENF2]]</f>
        <v>7</v>
      </c>
      <c r="X154">
        <f t="shared" si="57"/>
        <v>0.66666666666666663</v>
      </c>
      <c r="Y154" s="32">
        <f t="shared" si="58"/>
        <v>0.72222222222222221</v>
      </c>
      <c r="Z154" s="32">
        <f t="shared" si="59"/>
        <v>0.66666666666666663</v>
      </c>
      <c r="AA154">
        <f>step3_validation[[#This Row],[AI_FAC1]]</f>
        <v>9</v>
      </c>
      <c r="AB154">
        <f t="shared" si="60"/>
        <v>0.88888888888888884</v>
      </c>
      <c r="AC154">
        <f>survey_responses[[#This Row],[Các thủ tục khai báo thuế VÀ/HOẶC quy trình làm việc với cơ quan thuế đơn giản, tiện lợi, nhanh chóng hơn so với trước đây. - HUMAN-FAC1]]</f>
        <v>5</v>
      </c>
      <c r="AD154">
        <f t="shared" si="61"/>
        <v>0.44444444444444442</v>
      </c>
      <c r="AE154">
        <f>step3_validation[[#This Row],[AI_FAC2]]</f>
        <v>8</v>
      </c>
      <c r="AF154">
        <f t="shared" si="62"/>
        <v>0.77777777777777779</v>
      </c>
      <c r="AG154">
        <f>survey_responses[[#This Row],[So với trước đây, tôi thấy cách tính thuế và các bậc thuế trong phương án mới đơn giản, dễ hiểu và dễ thực hiện hơn. - HUMAN-FAC2]]</f>
        <v>7</v>
      </c>
      <c r="AH154">
        <f t="shared" si="63"/>
        <v>0.66666666666666663</v>
      </c>
      <c r="AI154" s="32">
        <f t="shared" si="64"/>
        <v>0.83333333333333326</v>
      </c>
      <c r="AJ154" s="32">
        <f t="shared" si="65"/>
        <v>0.55555555555555558</v>
      </c>
      <c r="AK154">
        <f>step3_validation[[#This Row],[AI_TRU1]]</f>
        <v>7</v>
      </c>
      <c r="AL154">
        <f t="shared" si="66"/>
        <v>0.66666666666666663</v>
      </c>
      <c r="AM154">
        <f>survey_responses[[#This Row],[Tôi tin rằng Nhà nước, cơ quan thuế sẽ thực thi chính sách mới một cách khách quan, công tâm và đối xử bình đẳng với mọi người nộp thuế.  - HUMAN-TRU1]]</f>
        <v>7</v>
      </c>
      <c r="AN154">
        <f t="shared" si="67"/>
        <v>0.66666666666666663</v>
      </c>
      <c r="AO154">
        <f>step3_validation[[#This Row],[AI_TRU2]]</f>
        <v>9</v>
      </c>
      <c r="AP154">
        <f t="shared" si="68"/>
        <v>0.88888888888888884</v>
      </c>
      <c r="AQ154">
        <f>survey_responses[[#This Row],[Tôi thấy mức thuế tôi phải đóng theo phương án mới là công bằng (người thu nhập như tôi đóng mức này là hợp lý). - HUMAN-TRU2]]</f>
        <v>7</v>
      </c>
      <c r="AR154">
        <f t="shared" si="69"/>
        <v>0.66666666666666663</v>
      </c>
      <c r="AS154">
        <f>step3_validation[[#This Row],[AI_TRU3]]</f>
        <v>7</v>
      </c>
      <c r="AT154">
        <f t="shared" si="70"/>
        <v>0.66666666666666663</v>
      </c>
      <c r="AU154">
        <f>survey_responses[[#This Row],[Tôi tin tưởng số tiền thuế tôi đóng sẽ được Nhà nước sử dụng hiệu quả để cải thiện dịch vụ công (y tế, đường xá...). - HUMAN-TRU3]]</f>
        <v>7</v>
      </c>
      <c r="AV154">
        <f t="shared" si="71"/>
        <v>0.66666666666666663</v>
      </c>
      <c r="AW154">
        <f>step3_validation[[#This Row],[AI_TRU4]]</f>
        <v>8</v>
      </c>
      <c r="AX154">
        <f t="shared" si="72"/>
        <v>0.77777777777777779</v>
      </c>
      <c r="AY154">
        <f>survey_responses[[#This Row],[Tôi thấy Nhà nước đã giải thích rõ ràng, minh bạch về lý do và mục tiêu của việc sửa đổi thuế lần này. - HUMAN-TRU4]]</f>
        <v>7</v>
      </c>
      <c r="AZ154">
        <f t="shared" si="73"/>
        <v>0.66666666666666663</v>
      </c>
      <c r="BA154" s="32">
        <f t="shared" si="74"/>
        <v>0.74999999999999989</v>
      </c>
      <c r="BB154" s="32">
        <f t="shared" si="75"/>
        <v>0.66666666666666663</v>
      </c>
      <c r="BC154" s="7">
        <f t="shared" si="76"/>
        <v>0.76851851851851849</v>
      </c>
      <c r="BD154" s="7">
        <f t="shared" si="77"/>
        <v>0.62962962962962965</v>
      </c>
      <c r="BE154">
        <f>step3_validation[[#This Row],[AI_OUT1]]</f>
        <v>9</v>
      </c>
      <c r="BF154">
        <f t="shared" si="78"/>
        <v>0.88888888888888884</v>
      </c>
      <c r="BG154">
        <f>survey_responses[[#This Row],[Sau khi xem xét các quyền lợi và nghĩa vụ, bạn có ủng hộ và tuân thủ chính sách mới hiện nay? - HUMAN-OUT1]]</f>
        <v>7</v>
      </c>
      <c r="BH154">
        <f t="shared" si="79"/>
        <v>0.66666666666666663</v>
      </c>
      <c r="BI154" s="32">
        <f t="shared" si="80"/>
        <v>2</v>
      </c>
    </row>
    <row r="155" spans="1:61" x14ac:dyDescent="0.45">
      <c r="A155" s="30">
        <f>step3_validation[[#This Row],[Persona_ID]]</f>
        <v>154</v>
      </c>
      <c r="B155" s="31">
        <f>step3_validation[[#This Row],[Used_Seed]]</f>
        <v>12498</v>
      </c>
      <c r="C155" t="str">
        <f>step3_validation[[#This Row],[Gender]]</f>
        <v>Nữ</v>
      </c>
      <c r="D155" t="str">
        <f>survey_responses[[#This Row],[Giới tính của bạn:]]</f>
        <v>Nữ</v>
      </c>
      <c r="E155" t="str">
        <f>step3_validation[[#This Row],[Age_Group]]</f>
        <v>25 - 29</v>
      </c>
      <c r="F155" t="str">
        <f>survey_responses[[#This Row],[Độ tuổi của bạn:]]</f>
        <v>25 - 29</v>
      </c>
      <c r="G155" t="str">
        <f>step3_validation[[#This Row],[Region]]</f>
        <v>Thành thị</v>
      </c>
      <c r="H155" t="str">
        <f>survey_responses[[#This Row],[Khu vực bạn đang sinh sống:]]</f>
        <v>Thành thị</v>
      </c>
      <c r="I155" t="str">
        <f>step3_validation[[#This Row],[Education]]</f>
        <v>Đại học</v>
      </c>
      <c r="J155" t="str">
        <f>survey_responses[[#This Row],[Trình độ học vấn cao nhất:]]</f>
        <v>Đại học</v>
      </c>
      <c r="K155" t="str">
        <f>step3_validation[[#This Row],[Employment]]</f>
        <v>Chính thức</v>
      </c>
      <c r="L155" t="str">
        <f>survey_responses[[#This Row],[Tình trạng việc làm chính:]]</f>
        <v>Khu vực chính thức (Có Hợp đồng lao động, đóng BHXH)</v>
      </c>
      <c r="M155">
        <f>step3_validation[[#This Row],[Income_Mil]]</f>
        <v>12</v>
      </c>
      <c r="N155" t="str">
        <f>survey_responses[[#This Row],[Thu nhập bình quân tháng theo Hợp đồng lao động của bạn là bao nhiêu? (Vui lòng điền tổng thu nhập trước khi khấu trừ các loại Bảo hiểm (BHXH, BHYT, BHTN) và Thuế TNCN)]]</f>
        <v>Dưới 12 triệu VNĐ</v>
      </c>
      <c r="O155">
        <f>step3_validation[[#This Row],[Dependents]]</f>
        <v>2</v>
      </c>
      <c r="P155" t="str">
        <f>survey_responses[[#This Row],[Số người phụ thuộc (con nhỏ, cha mẹ già...) đủ điều kiện giảm trừ gia cảnh:]]</f>
        <v>2 người</v>
      </c>
      <c r="Q155">
        <f>step3_validation[[#This Row],[AI_ENF1]]</f>
        <v>7</v>
      </c>
      <c r="R155">
        <f t="shared" si="54"/>
        <v>0.66666666666666663</v>
      </c>
      <c r="S155">
        <f>survey_responses[[#This Row],[Tôi tin rằng với các quy định quản lý thuế hiện nay, hành vi gian lận hoặc trốn thuế sẽ dễ dàng bị phát hiện và xử lý nghiêm. - HUMAN-ENF1]]</f>
        <v>7</v>
      </c>
      <c r="T155">
        <f t="shared" si="55"/>
        <v>0.66666666666666663</v>
      </c>
      <c r="U155">
        <f>step3_validation[[#This Row],[AI_ENF2]]</f>
        <v>8</v>
      </c>
      <c r="V155">
        <f t="shared" si="56"/>
        <v>0.77777777777777779</v>
      </c>
      <c r="W155">
        <f>survey_responses[[#This Row],[Tôi tin rằng Nhà nước, cơ quan thuế có đủ khả năng và công nghệ để phát hiện, xử lý nghiêm các hành vi trốn thuế. - HUMAN-ENF2]]</f>
        <v>8</v>
      </c>
      <c r="X155">
        <f t="shared" si="57"/>
        <v>0.77777777777777779</v>
      </c>
      <c r="Y155" s="32">
        <f t="shared" si="58"/>
        <v>0.72222222222222221</v>
      </c>
      <c r="Z155" s="32">
        <f t="shared" si="59"/>
        <v>0.72222222222222221</v>
      </c>
      <c r="AA155">
        <f>step3_validation[[#This Row],[AI_FAC1]]</f>
        <v>9</v>
      </c>
      <c r="AB155">
        <f t="shared" si="60"/>
        <v>0.88888888888888884</v>
      </c>
      <c r="AC155">
        <f>survey_responses[[#This Row],[Các thủ tục khai báo thuế VÀ/HOẶC quy trình làm việc với cơ quan thuế đơn giản, tiện lợi, nhanh chóng hơn so với trước đây. - HUMAN-FAC1]]</f>
        <v>8</v>
      </c>
      <c r="AD155">
        <f t="shared" si="61"/>
        <v>0.77777777777777779</v>
      </c>
      <c r="AE155">
        <f>step3_validation[[#This Row],[AI_FAC2]]</f>
        <v>8</v>
      </c>
      <c r="AF155">
        <f t="shared" si="62"/>
        <v>0.77777777777777779</v>
      </c>
      <c r="AG155">
        <f>survey_responses[[#This Row],[So với trước đây, tôi thấy cách tính thuế và các bậc thuế trong phương án mới đơn giản, dễ hiểu và dễ thực hiện hơn. - HUMAN-FAC2]]</f>
        <v>8</v>
      </c>
      <c r="AH155">
        <f t="shared" si="63"/>
        <v>0.77777777777777779</v>
      </c>
      <c r="AI155" s="32">
        <f t="shared" si="64"/>
        <v>0.83333333333333326</v>
      </c>
      <c r="AJ155" s="32">
        <f t="shared" si="65"/>
        <v>0.77777777777777779</v>
      </c>
      <c r="AK155">
        <f>step3_validation[[#This Row],[AI_TRU1]]</f>
        <v>7</v>
      </c>
      <c r="AL155">
        <f t="shared" si="66"/>
        <v>0.66666666666666663</v>
      </c>
      <c r="AM155">
        <f>survey_responses[[#This Row],[Tôi tin rằng Nhà nước, cơ quan thuế sẽ thực thi chính sách mới một cách khách quan, công tâm và đối xử bình đẳng với mọi người nộp thuế.  - HUMAN-TRU1]]</f>
        <v>6</v>
      </c>
      <c r="AN155">
        <f t="shared" si="67"/>
        <v>0.55555555555555558</v>
      </c>
      <c r="AO155">
        <f>step3_validation[[#This Row],[AI_TRU2]]</f>
        <v>9</v>
      </c>
      <c r="AP155">
        <f t="shared" si="68"/>
        <v>0.88888888888888884</v>
      </c>
      <c r="AQ155">
        <f>survey_responses[[#This Row],[Tôi thấy mức thuế tôi phải đóng theo phương án mới là công bằng (người thu nhập như tôi đóng mức này là hợp lý). - HUMAN-TRU2]]</f>
        <v>8</v>
      </c>
      <c r="AR155">
        <f t="shared" si="69"/>
        <v>0.77777777777777779</v>
      </c>
      <c r="AS155">
        <f>step3_validation[[#This Row],[AI_TRU3]]</f>
        <v>8</v>
      </c>
      <c r="AT155">
        <f t="shared" si="70"/>
        <v>0.77777777777777779</v>
      </c>
      <c r="AU155">
        <f>survey_responses[[#This Row],[Tôi tin tưởng số tiền thuế tôi đóng sẽ được Nhà nước sử dụng hiệu quả để cải thiện dịch vụ công (y tế, đường xá...). - HUMAN-TRU3]]</f>
        <v>5</v>
      </c>
      <c r="AV155">
        <f t="shared" si="71"/>
        <v>0.44444444444444442</v>
      </c>
      <c r="AW155">
        <f>step3_validation[[#This Row],[AI_TRU4]]</f>
        <v>9</v>
      </c>
      <c r="AX155">
        <f t="shared" si="72"/>
        <v>0.88888888888888884</v>
      </c>
      <c r="AY155">
        <f>survey_responses[[#This Row],[Tôi thấy Nhà nước đã giải thích rõ ràng, minh bạch về lý do và mục tiêu của việc sửa đổi thuế lần này. - HUMAN-TRU4]]</f>
        <v>8</v>
      </c>
      <c r="AZ155">
        <f t="shared" si="73"/>
        <v>0.77777777777777779</v>
      </c>
      <c r="BA155" s="32">
        <f t="shared" si="74"/>
        <v>0.80555555555555547</v>
      </c>
      <c r="BB155" s="32">
        <f t="shared" si="75"/>
        <v>0.63888888888888895</v>
      </c>
      <c r="BC155" s="7">
        <f t="shared" si="76"/>
        <v>0.78703703703703687</v>
      </c>
      <c r="BD155" s="7">
        <f t="shared" si="77"/>
        <v>0.71296296296296291</v>
      </c>
      <c r="BE155">
        <f>step3_validation[[#This Row],[AI_OUT1]]</f>
        <v>8</v>
      </c>
      <c r="BF155">
        <f t="shared" si="78"/>
        <v>0.77777777777777779</v>
      </c>
      <c r="BG155">
        <f>survey_responses[[#This Row],[Sau khi xem xét các quyền lợi và nghĩa vụ, bạn có ủng hộ và tuân thủ chính sách mới hiện nay? - HUMAN-OUT1]]</f>
        <v>8</v>
      </c>
      <c r="BH155">
        <f t="shared" si="79"/>
        <v>0.77777777777777779</v>
      </c>
      <c r="BI155" s="32">
        <f t="shared" si="80"/>
        <v>0</v>
      </c>
    </row>
    <row r="156" spans="1:61" x14ac:dyDescent="0.45">
      <c r="A156" s="30">
        <f>step3_validation[[#This Row],[Persona_ID]]</f>
        <v>155</v>
      </c>
      <c r="B156" s="31">
        <f>step3_validation[[#This Row],[Used_Seed]]</f>
        <v>12499</v>
      </c>
      <c r="C156" t="str">
        <f>step3_validation[[#This Row],[Gender]]</f>
        <v>Nữ</v>
      </c>
      <c r="D156" t="str">
        <f>survey_responses[[#This Row],[Giới tính của bạn:]]</f>
        <v>Nữ</v>
      </c>
      <c r="E156" t="str">
        <f>step3_validation[[#This Row],[Age_Group]]</f>
        <v>30 - 39</v>
      </c>
      <c r="F156" t="str">
        <f>survey_responses[[#This Row],[Độ tuổi của bạn:]]</f>
        <v>30 - 39</v>
      </c>
      <c r="G156" t="str">
        <f>step3_validation[[#This Row],[Region]]</f>
        <v>Thành thị</v>
      </c>
      <c r="H156" t="str">
        <f>survey_responses[[#This Row],[Khu vực bạn đang sinh sống:]]</f>
        <v>Thành thị</v>
      </c>
      <c r="I156" t="str">
        <f>step3_validation[[#This Row],[Education]]</f>
        <v>Sau Đại học</v>
      </c>
      <c r="J156" t="str">
        <f>survey_responses[[#This Row],[Trình độ học vấn cao nhất:]]</f>
        <v>Sau Đại học</v>
      </c>
      <c r="K156" t="str">
        <f>step3_validation[[#This Row],[Employment]]</f>
        <v>Chính thức</v>
      </c>
      <c r="L156" t="str">
        <f>survey_responses[[#This Row],[Tình trạng việc làm chính:]]</f>
        <v>Khu vực chính thức (Có Hợp đồng lao động, đóng BHXH)</v>
      </c>
      <c r="M156">
        <f>step3_validation[[#This Row],[Income_Mil]]</f>
        <v>65.672371692143244</v>
      </c>
      <c r="N156" t="str">
        <f>survey_responses[[#This Row],[Thu nhập bình quân tháng theo Hợp đồng lao động của bạn là bao nhiêu? (Vui lòng điền tổng thu nhập trước khi khấu trừ các loại Bảo hiểm (BHXH, BHYT, BHTN) và Thuế TNCN)]]</f>
        <v>Từ 48 - 70 triệu VNĐ</v>
      </c>
      <c r="O156">
        <f>step3_validation[[#This Row],[Dependents]]</f>
        <v>1</v>
      </c>
      <c r="P156" t="str">
        <f>survey_responses[[#This Row],[Số người phụ thuộc (con nhỏ, cha mẹ già...) đủ điều kiện giảm trừ gia cảnh:]]</f>
        <v>1 người</v>
      </c>
      <c r="Q156">
        <f>step3_validation[[#This Row],[AI_ENF1]]</f>
        <v>8</v>
      </c>
      <c r="R156">
        <f t="shared" si="54"/>
        <v>0.77777777777777779</v>
      </c>
      <c r="S156">
        <f>survey_responses[[#This Row],[Tôi tin rằng với các quy định quản lý thuế hiện nay, hành vi gian lận hoặc trốn thuế sẽ dễ dàng bị phát hiện và xử lý nghiêm. - HUMAN-ENF1]]</f>
        <v>10</v>
      </c>
      <c r="T156">
        <f t="shared" si="55"/>
        <v>1</v>
      </c>
      <c r="U156">
        <f>step3_validation[[#This Row],[AI_ENF2]]</f>
        <v>9</v>
      </c>
      <c r="V156">
        <f t="shared" si="56"/>
        <v>0.88888888888888884</v>
      </c>
      <c r="W156">
        <f>survey_responses[[#This Row],[Tôi tin rằng Nhà nước, cơ quan thuế có đủ khả năng và công nghệ để phát hiện, xử lý nghiêm các hành vi trốn thuế. - HUMAN-ENF2]]</f>
        <v>10</v>
      </c>
      <c r="X156">
        <f t="shared" si="57"/>
        <v>1</v>
      </c>
      <c r="Y156" s="32">
        <f t="shared" si="58"/>
        <v>0.83333333333333326</v>
      </c>
      <c r="Z156" s="32">
        <f t="shared" si="59"/>
        <v>1</v>
      </c>
      <c r="AA156">
        <f>step3_validation[[#This Row],[AI_FAC1]]</f>
        <v>8</v>
      </c>
      <c r="AB156">
        <f t="shared" si="60"/>
        <v>0.77777777777777779</v>
      </c>
      <c r="AC156">
        <f>survey_responses[[#This Row],[Các thủ tục khai báo thuế VÀ/HOẶC quy trình làm việc với cơ quan thuế đơn giản, tiện lợi, nhanh chóng hơn so với trước đây. - HUMAN-FAC1]]</f>
        <v>10</v>
      </c>
      <c r="AD156">
        <f t="shared" si="61"/>
        <v>1</v>
      </c>
      <c r="AE156">
        <f>step3_validation[[#This Row],[AI_FAC2]]</f>
        <v>9</v>
      </c>
      <c r="AF156">
        <f t="shared" si="62"/>
        <v>0.88888888888888884</v>
      </c>
      <c r="AG156">
        <f>survey_responses[[#This Row],[So với trước đây, tôi thấy cách tính thuế và các bậc thuế trong phương án mới đơn giản, dễ hiểu và dễ thực hiện hơn. - HUMAN-FAC2]]</f>
        <v>10</v>
      </c>
      <c r="AH156">
        <f t="shared" si="63"/>
        <v>1</v>
      </c>
      <c r="AI156" s="32">
        <f t="shared" si="64"/>
        <v>0.83333333333333326</v>
      </c>
      <c r="AJ156" s="32">
        <f t="shared" si="65"/>
        <v>1</v>
      </c>
      <c r="AK156">
        <f>step3_validation[[#This Row],[AI_TRU1]]</f>
        <v>7</v>
      </c>
      <c r="AL156">
        <f t="shared" si="66"/>
        <v>0.66666666666666663</v>
      </c>
      <c r="AM156">
        <f>survey_responses[[#This Row],[Tôi tin rằng Nhà nước, cơ quan thuế sẽ thực thi chính sách mới một cách khách quan, công tâm và đối xử bình đẳng với mọi người nộp thuế.  - HUMAN-TRU1]]</f>
        <v>10</v>
      </c>
      <c r="AN156">
        <f t="shared" si="67"/>
        <v>1</v>
      </c>
      <c r="AO156">
        <f>step3_validation[[#This Row],[AI_TRU2]]</f>
        <v>8</v>
      </c>
      <c r="AP156">
        <f t="shared" si="68"/>
        <v>0.77777777777777779</v>
      </c>
      <c r="AQ156">
        <f>survey_responses[[#This Row],[Tôi thấy mức thuế tôi phải đóng theo phương án mới là công bằng (người thu nhập như tôi đóng mức này là hợp lý). - HUMAN-TRU2]]</f>
        <v>10</v>
      </c>
      <c r="AR156">
        <f t="shared" si="69"/>
        <v>1</v>
      </c>
      <c r="AS156">
        <f>step3_validation[[#This Row],[AI_TRU3]]</f>
        <v>7</v>
      </c>
      <c r="AT156">
        <f t="shared" si="70"/>
        <v>0.66666666666666663</v>
      </c>
      <c r="AU156">
        <f>survey_responses[[#This Row],[Tôi tin tưởng số tiền thuế tôi đóng sẽ được Nhà nước sử dụng hiệu quả để cải thiện dịch vụ công (y tế, đường xá...). - HUMAN-TRU3]]</f>
        <v>10</v>
      </c>
      <c r="AV156">
        <f t="shared" si="71"/>
        <v>1</v>
      </c>
      <c r="AW156">
        <f>step3_validation[[#This Row],[AI_TRU4]]</f>
        <v>8</v>
      </c>
      <c r="AX156">
        <f t="shared" si="72"/>
        <v>0.77777777777777779</v>
      </c>
      <c r="AY156">
        <f>survey_responses[[#This Row],[Tôi thấy Nhà nước đã giải thích rõ ràng, minh bạch về lý do và mục tiêu của việc sửa đổi thuế lần này. - HUMAN-TRU4]]</f>
        <v>10</v>
      </c>
      <c r="AZ156">
        <f t="shared" si="73"/>
        <v>1</v>
      </c>
      <c r="BA156" s="32">
        <f t="shared" si="74"/>
        <v>0.72222222222222221</v>
      </c>
      <c r="BB156" s="32">
        <f t="shared" si="75"/>
        <v>1</v>
      </c>
      <c r="BC156" s="7">
        <f t="shared" si="76"/>
        <v>0.79629629629629628</v>
      </c>
      <c r="BD156" s="7">
        <f t="shared" si="77"/>
        <v>1</v>
      </c>
      <c r="BE156">
        <f>step3_validation[[#This Row],[AI_OUT1]]</f>
        <v>9</v>
      </c>
      <c r="BF156">
        <f t="shared" si="78"/>
        <v>0.88888888888888884</v>
      </c>
      <c r="BG156">
        <f>survey_responses[[#This Row],[Sau khi xem xét các quyền lợi và nghĩa vụ, bạn có ủng hộ và tuân thủ chính sách mới hiện nay? - HUMAN-OUT1]]</f>
        <v>10</v>
      </c>
      <c r="BH156">
        <f t="shared" si="79"/>
        <v>1</v>
      </c>
      <c r="BI156" s="32">
        <f t="shared" si="80"/>
        <v>1</v>
      </c>
    </row>
    <row r="157" spans="1:61" x14ac:dyDescent="0.45">
      <c r="A157" s="30">
        <f>step3_validation[[#This Row],[Persona_ID]]</f>
        <v>156</v>
      </c>
      <c r="B157" s="31">
        <f>step3_validation[[#This Row],[Used_Seed]]</f>
        <v>12500</v>
      </c>
      <c r="C157" t="str">
        <f>step3_validation[[#This Row],[Gender]]</f>
        <v>Nữ</v>
      </c>
      <c r="D157" t="str">
        <f>survey_responses[[#This Row],[Giới tính của bạn:]]</f>
        <v>Nữ</v>
      </c>
      <c r="E157" t="str">
        <f>step3_validation[[#This Row],[Age_Group]]</f>
        <v>30 - 39</v>
      </c>
      <c r="F157" t="str">
        <f>survey_responses[[#This Row],[Độ tuổi của bạn:]]</f>
        <v>30 - 39</v>
      </c>
      <c r="G157" t="str">
        <f>step3_validation[[#This Row],[Region]]</f>
        <v>Thành thị</v>
      </c>
      <c r="H157" t="str">
        <f>survey_responses[[#This Row],[Khu vực bạn đang sinh sống:]]</f>
        <v>Thành thị</v>
      </c>
      <c r="I157" t="str">
        <f>step3_validation[[#This Row],[Education]]</f>
        <v>Sau Đại học</v>
      </c>
      <c r="J157" t="str">
        <f>survey_responses[[#This Row],[Trình độ học vấn cao nhất:]]</f>
        <v>Sau Đại học</v>
      </c>
      <c r="K157" t="str">
        <f>step3_validation[[#This Row],[Employment]]</f>
        <v>Chính thức</v>
      </c>
      <c r="L157" t="str">
        <f>survey_responses[[#This Row],[Tình trạng việc làm chính:]]</f>
        <v>Khu vực chính thức (Có Hợp đồng lao động, đóng BHXH)</v>
      </c>
      <c r="M157">
        <f>step3_validation[[#This Row],[Income_Mil]]</f>
        <v>27.278329198460064</v>
      </c>
      <c r="N157" t="str">
        <f>survey_responses[[#This Row],[Thu nhập bình quân tháng theo Hợp đồng lao động của bạn là bao nhiêu? (Vui lòng điền tổng thu nhập trước khi khấu trừ các loại Bảo hiểm (BHXH, BHYT, BHTN) và Thuế TNCN)]]</f>
        <v>Từ 23 - 32 triệu VNĐ</v>
      </c>
      <c r="O157">
        <f>step3_validation[[#This Row],[Dependents]]</f>
        <v>1</v>
      </c>
      <c r="P157" t="str">
        <f>survey_responses[[#This Row],[Số người phụ thuộc (con nhỏ, cha mẹ già...) đủ điều kiện giảm trừ gia cảnh:]]</f>
        <v>1 người</v>
      </c>
      <c r="Q157">
        <f>step3_validation[[#This Row],[AI_ENF1]]</f>
        <v>7</v>
      </c>
      <c r="R157">
        <f t="shared" si="54"/>
        <v>0.66666666666666663</v>
      </c>
      <c r="S157">
        <f>survey_responses[[#This Row],[Tôi tin rằng với các quy định quản lý thuế hiện nay, hành vi gian lận hoặc trốn thuế sẽ dễ dàng bị phát hiện và xử lý nghiêm. - HUMAN-ENF1]]</f>
        <v>10</v>
      </c>
      <c r="T157">
        <f t="shared" si="55"/>
        <v>1</v>
      </c>
      <c r="U157">
        <f>step3_validation[[#This Row],[AI_ENF2]]</f>
        <v>6</v>
      </c>
      <c r="V157">
        <f t="shared" si="56"/>
        <v>0.55555555555555558</v>
      </c>
      <c r="W157">
        <f>survey_responses[[#This Row],[Tôi tin rằng Nhà nước, cơ quan thuế có đủ khả năng và công nghệ để phát hiện, xử lý nghiêm các hành vi trốn thuế. - HUMAN-ENF2]]</f>
        <v>10</v>
      </c>
      <c r="X157">
        <f t="shared" si="57"/>
        <v>1</v>
      </c>
      <c r="Y157" s="32">
        <f t="shared" si="58"/>
        <v>0.61111111111111116</v>
      </c>
      <c r="Z157" s="32">
        <f t="shared" si="59"/>
        <v>1</v>
      </c>
      <c r="AA157">
        <f>step3_validation[[#This Row],[AI_FAC1]]</f>
        <v>9</v>
      </c>
      <c r="AB157">
        <f t="shared" si="60"/>
        <v>0.88888888888888884</v>
      </c>
      <c r="AC157">
        <f>survey_responses[[#This Row],[Các thủ tục khai báo thuế VÀ/HOẶC quy trình làm việc với cơ quan thuế đơn giản, tiện lợi, nhanh chóng hơn so với trước đây. - HUMAN-FAC1]]</f>
        <v>10</v>
      </c>
      <c r="AD157">
        <f t="shared" si="61"/>
        <v>1</v>
      </c>
      <c r="AE157">
        <f>step3_validation[[#This Row],[AI_FAC2]]</f>
        <v>8</v>
      </c>
      <c r="AF157">
        <f t="shared" si="62"/>
        <v>0.77777777777777779</v>
      </c>
      <c r="AG157">
        <f>survey_responses[[#This Row],[So với trước đây, tôi thấy cách tính thuế và các bậc thuế trong phương án mới đơn giản, dễ hiểu và dễ thực hiện hơn. - HUMAN-FAC2]]</f>
        <v>10</v>
      </c>
      <c r="AH157">
        <f t="shared" si="63"/>
        <v>1</v>
      </c>
      <c r="AI157" s="32">
        <f t="shared" si="64"/>
        <v>0.83333333333333326</v>
      </c>
      <c r="AJ157" s="32">
        <f t="shared" si="65"/>
        <v>1</v>
      </c>
      <c r="AK157">
        <f>step3_validation[[#This Row],[AI_TRU1]]</f>
        <v>9</v>
      </c>
      <c r="AL157">
        <f t="shared" si="66"/>
        <v>0.88888888888888884</v>
      </c>
      <c r="AM157">
        <f>survey_responses[[#This Row],[Tôi tin rằng Nhà nước, cơ quan thuế sẽ thực thi chính sách mới một cách khách quan, công tâm và đối xử bình đẳng với mọi người nộp thuế.  - HUMAN-TRU1]]</f>
        <v>10</v>
      </c>
      <c r="AN157">
        <f t="shared" si="67"/>
        <v>1</v>
      </c>
      <c r="AO157">
        <f>step3_validation[[#This Row],[AI_TRU2]]</f>
        <v>8</v>
      </c>
      <c r="AP157">
        <f t="shared" si="68"/>
        <v>0.77777777777777779</v>
      </c>
      <c r="AQ157">
        <f>survey_responses[[#This Row],[Tôi thấy mức thuế tôi phải đóng theo phương án mới là công bằng (người thu nhập như tôi đóng mức này là hợp lý). - HUMAN-TRU2]]</f>
        <v>10</v>
      </c>
      <c r="AR157">
        <f t="shared" si="69"/>
        <v>1</v>
      </c>
      <c r="AS157">
        <f>step3_validation[[#This Row],[AI_TRU3]]</f>
        <v>9</v>
      </c>
      <c r="AT157">
        <f t="shared" si="70"/>
        <v>0.88888888888888884</v>
      </c>
      <c r="AU157">
        <f>survey_responses[[#This Row],[Tôi tin tưởng số tiền thuế tôi đóng sẽ được Nhà nước sử dụng hiệu quả để cải thiện dịch vụ công (y tế, đường xá...). - HUMAN-TRU3]]</f>
        <v>10</v>
      </c>
      <c r="AV157">
        <f t="shared" si="71"/>
        <v>1</v>
      </c>
      <c r="AW157">
        <f>step3_validation[[#This Row],[AI_TRU4]]</f>
        <v>8</v>
      </c>
      <c r="AX157">
        <f t="shared" si="72"/>
        <v>0.77777777777777779</v>
      </c>
      <c r="AY157">
        <f>survey_responses[[#This Row],[Tôi thấy Nhà nước đã giải thích rõ ràng, minh bạch về lý do và mục tiêu của việc sửa đổi thuế lần này. - HUMAN-TRU4]]</f>
        <v>10</v>
      </c>
      <c r="AZ157">
        <f t="shared" si="73"/>
        <v>1</v>
      </c>
      <c r="BA157" s="32">
        <f t="shared" si="74"/>
        <v>0.83333333333333326</v>
      </c>
      <c r="BB157" s="32">
        <f t="shared" si="75"/>
        <v>1</v>
      </c>
      <c r="BC157" s="7">
        <f t="shared" si="76"/>
        <v>0.75925925925925919</v>
      </c>
      <c r="BD157" s="7">
        <f t="shared" si="77"/>
        <v>1</v>
      </c>
      <c r="BE157">
        <f>step3_validation[[#This Row],[AI_OUT1]]</f>
        <v>9</v>
      </c>
      <c r="BF157">
        <f t="shared" si="78"/>
        <v>0.88888888888888884</v>
      </c>
      <c r="BG157">
        <f>survey_responses[[#This Row],[Sau khi xem xét các quyền lợi và nghĩa vụ, bạn có ủng hộ và tuân thủ chính sách mới hiện nay? - HUMAN-OUT1]]</f>
        <v>10</v>
      </c>
      <c r="BH157">
        <f t="shared" si="79"/>
        <v>1</v>
      </c>
      <c r="BI157" s="32">
        <f t="shared" si="80"/>
        <v>1</v>
      </c>
    </row>
    <row r="158" spans="1:61" x14ac:dyDescent="0.45">
      <c r="A158" s="30">
        <f>step3_validation[[#This Row],[Persona_ID]]</f>
        <v>157</v>
      </c>
      <c r="B158" s="31">
        <f>step3_validation[[#This Row],[Used_Seed]]</f>
        <v>12501</v>
      </c>
      <c r="C158" t="str">
        <f>step3_validation[[#This Row],[Gender]]</f>
        <v>Nam</v>
      </c>
      <c r="D158" t="str">
        <f>survey_responses[[#This Row],[Giới tính của bạn:]]</f>
        <v>Nam</v>
      </c>
      <c r="E158" t="str">
        <f>step3_validation[[#This Row],[Age_Group]]</f>
        <v>30 - 39</v>
      </c>
      <c r="F158" t="str">
        <f>survey_responses[[#This Row],[Độ tuổi của bạn:]]</f>
        <v>30 - 39</v>
      </c>
      <c r="G158" t="str">
        <f>step3_validation[[#This Row],[Region]]</f>
        <v>Thành thị</v>
      </c>
      <c r="H158" t="str">
        <f>survey_responses[[#This Row],[Khu vực bạn đang sinh sống:]]</f>
        <v>Thành thị</v>
      </c>
      <c r="I158" t="str">
        <f>step3_validation[[#This Row],[Education]]</f>
        <v>Đại học</v>
      </c>
      <c r="J158" t="str">
        <f>survey_responses[[#This Row],[Trình độ học vấn cao nhất:]]</f>
        <v>Đại học</v>
      </c>
      <c r="K158" t="str">
        <f>step3_validation[[#This Row],[Employment]]</f>
        <v>Chính thức</v>
      </c>
      <c r="L158" t="str">
        <f>survey_responses[[#This Row],[Tình trạng việc làm chính:]]</f>
        <v>Khu vực chính thức (Có Hợp đồng lao động, đóng BHXH)</v>
      </c>
      <c r="M158">
        <f>step3_validation[[#This Row],[Income_Mil]]</f>
        <v>89.873030369199199</v>
      </c>
      <c r="N158" t="str">
        <f>survey_responses[[#This Row],[Thu nhập bình quân tháng theo Hợp đồng lao động của bạn là bao nhiêu? (Vui lòng điền tổng thu nhập trước khi khấu trừ các loại Bảo hiểm (BHXH, BHYT, BHTN) và Thuế TNCN)]]</f>
        <v>Từ 70 - 102 triệu VNĐ</v>
      </c>
      <c r="O158">
        <f>step3_validation[[#This Row],[Dependents]]</f>
        <v>4</v>
      </c>
      <c r="P158" t="str">
        <f>survey_responses[[#This Row],[Số người phụ thuộc (con nhỏ, cha mẹ già...) đủ điều kiện giảm trừ gia cảnh:]]</f>
        <v>4 người trở lên</v>
      </c>
      <c r="Q158">
        <f>step3_validation[[#This Row],[AI_ENF1]]</f>
        <v>7</v>
      </c>
      <c r="R158">
        <f t="shared" si="54"/>
        <v>0.66666666666666663</v>
      </c>
      <c r="S158">
        <f>survey_responses[[#This Row],[Tôi tin rằng với các quy định quản lý thuế hiện nay, hành vi gian lận hoặc trốn thuế sẽ dễ dàng bị phát hiện và xử lý nghiêm. - HUMAN-ENF1]]</f>
        <v>10</v>
      </c>
      <c r="T158">
        <f t="shared" si="55"/>
        <v>1</v>
      </c>
      <c r="U158">
        <f>step3_validation[[#This Row],[AI_ENF2]]</f>
        <v>6</v>
      </c>
      <c r="V158">
        <f t="shared" si="56"/>
        <v>0.55555555555555558</v>
      </c>
      <c r="W158">
        <f>survey_responses[[#This Row],[Tôi tin rằng Nhà nước, cơ quan thuế có đủ khả năng và công nghệ để phát hiện, xử lý nghiêm các hành vi trốn thuế. - HUMAN-ENF2]]</f>
        <v>10</v>
      </c>
      <c r="X158">
        <f t="shared" si="57"/>
        <v>1</v>
      </c>
      <c r="Y158" s="32">
        <f t="shared" si="58"/>
        <v>0.61111111111111116</v>
      </c>
      <c r="Z158" s="32">
        <f t="shared" si="59"/>
        <v>1</v>
      </c>
      <c r="AA158">
        <f>step3_validation[[#This Row],[AI_FAC1]]</f>
        <v>9</v>
      </c>
      <c r="AB158">
        <f t="shared" si="60"/>
        <v>0.88888888888888884</v>
      </c>
      <c r="AC158">
        <f>survey_responses[[#This Row],[Các thủ tục khai báo thuế VÀ/HOẶC quy trình làm việc với cơ quan thuế đơn giản, tiện lợi, nhanh chóng hơn so với trước đây. - HUMAN-FAC1]]</f>
        <v>1</v>
      </c>
      <c r="AD158">
        <f t="shared" si="61"/>
        <v>0</v>
      </c>
      <c r="AE158">
        <f>step3_validation[[#This Row],[AI_FAC2]]</f>
        <v>8</v>
      </c>
      <c r="AF158">
        <f t="shared" si="62"/>
        <v>0.77777777777777779</v>
      </c>
      <c r="AG158">
        <f>survey_responses[[#This Row],[So với trước đây, tôi thấy cách tính thuế và các bậc thuế trong phương án mới đơn giản, dễ hiểu và dễ thực hiện hơn. - HUMAN-FAC2]]</f>
        <v>10</v>
      </c>
      <c r="AH158">
        <f t="shared" si="63"/>
        <v>1</v>
      </c>
      <c r="AI158" s="32">
        <f t="shared" si="64"/>
        <v>0.83333333333333326</v>
      </c>
      <c r="AJ158" s="32">
        <f t="shared" si="65"/>
        <v>0.5</v>
      </c>
      <c r="AK158">
        <f>step3_validation[[#This Row],[AI_TRU1]]</f>
        <v>7</v>
      </c>
      <c r="AL158">
        <f t="shared" si="66"/>
        <v>0.66666666666666663</v>
      </c>
      <c r="AM158">
        <f>survey_responses[[#This Row],[Tôi tin rằng Nhà nước, cơ quan thuế sẽ thực thi chính sách mới một cách khách quan, công tâm và đối xử bình đẳng với mọi người nộp thuế.  - HUMAN-TRU1]]</f>
        <v>1</v>
      </c>
      <c r="AN158">
        <f t="shared" si="67"/>
        <v>0</v>
      </c>
      <c r="AO158">
        <f>step3_validation[[#This Row],[AI_TRU2]]</f>
        <v>8</v>
      </c>
      <c r="AP158">
        <f t="shared" si="68"/>
        <v>0.77777777777777779</v>
      </c>
      <c r="AQ158">
        <f>survey_responses[[#This Row],[Tôi thấy mức thuế tôi phải đóng theo phương án mới là công bằng (người thu nhập như tôi đóng mức này là hợp lý). - HUMAN-TRU2]]</f>
        <v>1</v>
      </c>
      <c r="AR158">
        <f t="shared" si="69"/>
        <v>0</v>
      </c>
      <c r="AS158">
        <f>step3_validation[[#This Row],[AI_TRU3]]</f>
        <v>6</v>
      </c>
      <c r="AT158">
        <f t="shared" si="70"/>
        <v>0.55555555555555558</v>
      </c>
      <c r="AU158">
        <f>survey_responses[[#This Row],[Tôi tin tưởng số tiền thuế tôi đóng sẽ được Nhà nước sử dụng hiệu quả để cải thiện dịch vụ công (y tế, đường xá...). - HUMAN-TRU3]]</f>
        <v>1</v>
      </c>
      <c r="AV158">
        <f t="shared" si="71"/>
        <v>0</v>
      </c>
      <c r="AW158">
        <f>step3_validation[[#This Row],[AI_TRU4]]</f>
        <v>7</v>
      </c>
      <c r="AX158">
        <f t="shared" si="72"/>
        <v>0.66666666666666663</v>
      </c>
      <c r="AY158">
        <f>survey_responses[[#This Row],[Tôi thấy Nhà nước đã giải thích rõ ràng, minh bạch về lý do và mục tiêu của việc sửa đổi thuế lần này. - HUMAN-TRU4]]</f>
        <v>1</v>
      </c>
      <c r="AZ158">
        <f t="shared" si="73"/>
        <v>0</v>
      </c>
      <c r="BA158" s="32">
        <f t="shared" si="74"/>
        <v>0.66666666666666663</v>
      </c>
      <c r="BB158" s="32">
        <f t="shared" si="75"/>
        <v>0</v>
      </c>
      <c r="BC158" s="7">
        <f t="shared" si="76"/>
        <v>0.70370370370370372</v>
      </c>
      <c r="BD158" s="7">
        <f t="shared" si="77"/>
        <v>0.5</v>
      </c>
      <c r="BE158">
        <f>step3_validation[[#This Row],[AI_OUT1]]</f>
        <v>8</v>
      </c>
      <c r="BF158">
        <f t="shared" si="78"/>
        <v>0.77777777777777779</v>
      </c>
      <c r="BG158">
        <f>survey_responses[[#This Row],[Sau khi xem xét các quyền lợi và nghĩa vụ, bạn có ủng hộ và tuân thủ chính sách mới hiện nay? - HUMAN-OUT1]]</f>
        <v>6</v>
      </c>
      <c r="BH158">
        <f t="shared" si="79"/>
        <v>0.55555555555555558</v>
      </c>
      <c r="BI158" s="32">
        <f t="shared" si="80"/>
        <v>2</v>
      </c>
    </row>
    <row r="159" spans="1:61" x14ac:dyDescent="0.45">
      <c r="A159" s="30">
        <f>step3_validation[[#This Row],[Persona_ID]]</f>
        <v>158</v>
      </c>
      <c r="B159" s="31">
        <f>step3_validation[[#This Row],[Used_Seed]]</f>
        <v>12502</v>
      </c>
      <c r="C159" t="str">
        <f>step3_validation[[#This Row],[Gender]]</f>
        <v>Nữ</v>
      </c>
      <c r="D159" t="str">
        <f>survey_responses[[#This Row],[Giới tính của bạn:]]</f>
        <v>Nữ</v>
      </c>
      <c r="E159" t="str">
        <f>step3_validation[[#This Row],[Age_Group]]</f>
        <v>30 - 39</v>
      </c>
      <c r="F159" t="str">
        <f>survey_responses[[#This Row],[Độ tuổi của bạn:]]</f>
        <v>30 - 39</v>
      </c>
      <c r="G159" t="str">
        <f>step3_validation[[#This Row],[Region]]</f>
        <v>Thành thị</v>
      </c>
      <c r="H159" t="str">
        <f>survey_responses[[#This Row],[Khu vực bạn đang sinh sống:]]</f>
        <v>Thành thị</v>
      </c>
      <c r="I159" t="str">
        <f>step3_validation[[#This Row],[Education]]</f>
        <v>Đại học</v>
      </c>
      <c r="J159" t="str">
        <f>survey_responses[[#This Row],[Trình độ học vấn cao nhất:]]</f>
        <v>Đại học</v>
      </c>
      <c r="K159" t="str">
        <f>step3_validation[[#This Row],[Employment]]</f>
        <v>Chính thức</v>
      </c>
      <c r="L159" t="str">
        <f>survey_responses[[#This Row],[Tình trạng việc làm chính:]]</f>
        <v>Khu vực chính thức (Có Hợp đồng lao động, đóng BHXH)</v>
      </c>
      <c r="M159">
        <f>step3_validation[[#This Row],[Income_Mil]]</f>
        <v>92.191062669768414</v>
      </c>
      <c r="N159" t="str">
        <f>survey_responses[[#This Row],[Thu nhập bình quân tháng theo Hợp đồng lao động của bạn là bao nhiêu? (Vui lòng điền tổng thu nhập trước khi khấu trừ các loại Bảo hiểm (BHXH, BHYT, BHTN) và Thuế TNCN)]]</f>
        <v>Từ 70 - 102 triệu VNĐ</v>
      </c>
      <c r="O159">
        <f>step3_validation[[#This Row],[Dependents]]</f>
        <v>2</v>
      </c>
      <c r="P159" t="str">
        <f>survey_responses[[#This Row],[Số người phụ thuộc (con nhỏ, cha mẹ già...) đủ điều kiện giảm trừ gia cảnh:]]</f>
        <v>2 người</v>
      </c>
      <c r="Q159">
        <f>step3_validation[[#This Row],[AI_ENF1]]</f>
        <v>8</v>
      </c>
      <c r="R159">
        <f t="shared" si="54"/>
        <v>0.77777777777777779</v>
      </c>
      <c r="S159">
        <f>survey_responses[[#This Row],[Tôi tin rằng với các quy định quản lý thuế hiện nay, hành vi gian lận hoặc trốn thuế sẽ dễ dàng bị phát hiện và xử lý nghiêm. - HUMAN-ENF1]]</f>
        <v>7</v>
      </c>
      <c r="T159">
        <f t="shared" si="55"/>
        <v>0.66666666666666663</v>
      </c>
      <c r="U159">
        <f>step3_validation[[#This Row],[AI_ENF2]]</f>
        <v>8</v>
      </c>
      <c r="V159">
        <f t="shared" si="56"/>
        <v>0.77777777777777779</v>
      </c>
      <c r="W159">
        <f>survey_responses[[#This Row],[Tôi tin rằng Nhà nước, cơ quan thuế có đủ khả năng và công nghệ để phát hiện, xử lý nghiêm các hành vi trốn thuế. - HUMAN-ENF2]]</f>
        <v>8</v>
      </c>
      <c r="X159">
        <f t="shared" si="57"/>
        <v>0.77777777777777779</v>
      </c>
      <c r="Y159" s="32">
        <f t="shared" si="58"/>
        <v>0.77777777777777779</v>
      </c>
      <c r="Z159" s="32">
        <f t="shared" si="59"/>
        <v>0.72222222222222221</v>
      </c>
      <c r="AA159">
        <f>step3_validation[[#This Row],[AI_FAC1]]</f>
        <v>9</v>
      </c>
      <c r="AB159">
        <f t="shared" si="60"/>
        <v>0.88888888888888884</v>
      </c>
      <c r="AC159">
        <f>survey_responses[[#This Row],[Các thủ tục khai báo thuế VÀ/HOẶC quy trình làm việc với cơ quan thuế đơn giản, tiện lợi, nhanh chóng hơn so với trước đây. - HUMAN-FAC1]]</f>
        <v>6</v>
      </c>
      <c r="AD159">
        <f t="shared" si="61"/>
        <v>0.55555555555555558</v>
      </c>
      <c r="AE159">
        <f>step3_validation[[#This Row],[AI_FAC2]]</f>
        <v>9</v>
      </c>
      <c r="AF159">
        <f t="shared" si="62"/>
        <v>0.88888888888888884</v>
      </c>
      <c r="AG159">
        <f>survey_responses[[#This Row],[So với trước đây, tôi thấy cách tính thuế và các bậc thuế trong phương án mới đơn giản, dễ hiểu và dễ thực hiện hơn. - HUMAN-FAC2]]</f>
        <v>6</v>
      </c>
      <c r="AH159">
        <f t="shared" si="63"/>
        <v>0.55555555555555558</v>
      </c>
      <c r="AI159" s="32">
        <f t="shared" si="64"/>
        <v>0.88888888888888884</v>
      </c>
      <c r="AJ159" s="32">
        <f t="shared" si="65"/>
        <v>0.55555555555555558</v>
      </c>
      <c r="AK159">
        <f>step3_validation[[#This Row],[AI_TRU1]]</f>
        <v>8</v>
      </c>
      <c r="AL159">
        <f t="shared" si="66"/>
        <v>0.77777777777777779</v>
      </c>
      <c r="AM159">
        <f>survey_responses[[#This Row],[Tôi tin rằng Nhà nước, cơ quan thuế sẽ thực thi chính sách mới một cách khách quan, công tâm và đối xử bình đẳng với mọi người nộp thuế.  - HUMAN-TRU1]]</f>
        <v>7</v>
      </c>
      <c r="AN159">
        <f t="shared" si="67"/>
        <v>0.66666666666666663</v>
      </c>
      <c r="AO159">
        <f>step3_validation[[#This Row],[AI_TRU2]]</f>
        <v>9</v>
      </c>
      <c r="AP159">
        <f t="shared" si="68"/>
        <v>0.88888888888888884</v>
      </c>
      <c r="AQ159">
        <f>survey_responses[[#This Row],[Tôi thấy mức thuế tôi phải đóng theo phương án mới là công bằng (người thu nhập như tôi đóng mức này là hợp lý). - HUMAN-TRU2]]</f>
        <v>5</v>
      </c>
      <c r="AR159">
        <f t="shared" si="69"/>
        <v>0.44444444444444442</v>
      </c>
      <c r="AS159">
        <f>step3_validation[[#This Row],[AI_TRU3]]</f>
        <v>8</v>
      </c>
      <c r="AT159">
        <f t="shared" si="70"/>
        <v>0.77777777777777779</v>
      </c>
      <c r="AU159">
        <f>survey_responses[[#This Row],[Tôi tin tưởng số tiền thuế tôi đóng sẽ được Nhà nước sử dụng hiệu quả để cải thiện dịch vụ công (y tế, đường xá...). - HUMAN-TRU3]]</f>
        <v>6</v>
      </c>
      <c r="AV159">
        <f t="shared" si="71"/>
        <v>0.55555555555555558</v>
      </c>
      <c r="AW159">
        <f>step3_validation[[#This Row],[AI_TRU4]]</f>
        <v>9</v>
      </c>
      <c r="AX159">
        <f t="shared" si="72"/>
        <v>0.88888888888888884</v>
      </c>
      <c r="AY159">
        <f>survey_responses[[#This Row],[Tôi thấy Nhà nước đã giải thích rõ ràng, minh bạch về lý do và mục tiêu của việc sửa đổi thuế lần này. - HUMAN-TRU4]]</f>
        <v>7</v>
      </c>
      <c r="AZ159">
        <f t="shared" si="73"/>
        <v>0.66666666666666663</v>
      </c>
      <c r="BA159" s="32">
        <f t="shared" si="74"/>
        <v>0.83333333333333326</v>
      </c>
      <c r="BB159" s="32">
        <f t="shared" si="75"/>
        <v>0.58333333333333337</v>
      </c>
      <c r="BC159" s="7">
        <f t="shared" si="76"/>
        <v>0.83333333333333337</v>
      </c>
      <c r="BD159" s="7">
        <f t="shared" si="77"/>
        <v>0.62037037037037035</v>
      </c>
      <c r="BE159">
        <f>step3_validation[[#This Row],[AI_OUT1]]</f>
        <v>9</v>
      </c>
      <c r="BF159">
        <f t="shared" si="78"/>
        <v>0.88888888888888884</v>
      </c>
      <c r="BG159">
        <f>survey_responses[[#This Row],[Sau khi xem xét các quyền lợi và nghĩa vụ, bạn có ủng hộ và tuân thủ chính sách mới hiện nay? - HUMAN-OUT1]]</f>
        <v>7</v>
      </c>
      <c r="BH159">
        <f t="shared" si="79"/>
        <v>0.66666666666666663</v>
      </c>
      <c r="BI159" s="32">
        <f t="shared" si="80"/>
        <v>2</v>
      </c>
    </row>
    <row r="160" spans="1:61" x14ac:dyDescent="0.45">
      <c r="A160" s="30">
        <f>step3_validation[[#This Row],[Persona_ID]]</f>
        <v>159</v>
      </c>
      <c r="B160" s="31">
        <f>step3_validation[[#This Row],[Used_Seed]]</f>
        <v>12503</v>
      </c>
      <c r="C160" t="str">
        <f>step3_validation[[#This Row],[Gender]]</f>
        <v>Nam</v>
      </c>
      <c r="D160" t="str">
        <f>survey_responses[[#This Row],[Giới tính của bạn:]]</f>
        <v>Nam</v>
      </c>
      <c r="E160" t="str">
        <f>step3_validation[[#This Row],[Age_Group]]</f>
        <v>40 - 49</v>
      </c>
      <c r="F160" t="str">
        <f>survey_responses[[#This Row],[Độ tuổi của bạn:]]</f>
        <v>40 - 49</v>
      </c>
      <c r="G160" t="str">
        <f>step3_validation[[#This Row],[Region]]</f>
        <v>Thành thị</v>
      </c>
      <c r="H160" t="str">
        <f>survey_responses[[#This Row],[Khu vực bạn đang sinh sống:]]</f>
        <v>Thành thị</v>
      </c>
      <c r="I160" t="str">
        <f>step3_validation[[#This Row],[Education]]</f>
        <v>Đại học</v>
      </c>
      <c r="J160" t="str">
        <f>survey_responses[[#This Row],[Trình độ học vấn cao nhất:]]</f>
        <v>Đại học</v>
      </c>
      <c r="K160" t="str">
        <f>step3_validation[[#This Row],[Employment]]</f>
        <v>Chính thức</v>
      </c>
      <c r="L160" t="str">
        <f>survey_responses[[#This Row],[Tình trạng việc làm chính:]]</f>
        <v>Khu vực chính thức (Có Hợp đồng lao động, đóng BHXH)</v>
      </c>
      <c r="M160">
        <f>step3_validation[[#This Row],[Income_Mil]]</f>
        <v>34.087865766761901</v>
      </c>
      <c r="N160" t="str">
        <f>survey_responses[[#This Row],[Thu nhập bình quân tháng theo Hợp đồng lao động của bạn là bao nhiêu? (Vui lòng điền tổng thu nhập trước khi khấu trừ các loại Bảo hiểm (BHXH, BHYT, BHTN) và Thuế TNCN)]]</f>
        <v>Từ 32 - 48 triệu VNĐ</v>
      </c>
      <c r="O160">
        <f>step3_validation[[#This Row],[Dependents]]</f>
        <v>0</v>
      </c>
      <c r="P160" t="str">
        <f>survey_responses[[#This Row],[Số người phụ thuộc (con nhỏ, cha mẹ già...) đủ điều kiện giảm trừ gia cảnh:]]</f>
        <v>0 người</v>
      </c>
      <c r="Q160">
        <f>step3_validation[[#This Row],[AI_ENF1]]</f>
        <v>9</v>
      </c>
      <c r="R160">
        <f t="shared" si="54"/>
        <v>0.88888888888888884</v>
      </c>
      <c r="S160">
        <f>survey_responses[[#This Row],[Tôi tin rằng với các quy định quản lý thuế hiện nay, hành vi gian lận hoặc trốn thuế sẽ dễ dàng bị phát hiện và xử lý nghiêm. - HUMAN-ENF1]]</f>
        <v>2</v>
      </c>
      <c r="T160">
        <f t="shared" si="55"/>
        <v>0.1111111111111111</v>
      </c>
      <c r="U160">
        <f>step3_validation[[#This Row],[AI_ENF2]]</f>
        <v>8</v>
      </c>
      <c r="V160">
        <f t="shared" si="56"/>
        <v>0.77777777777777779</v>
      </c>
      <c r="W160">
        <f>survey_responses[[#This Row],[Tôi tin rằng Nhà nước, cơ quan thuế có đủ khả năng và công nghệ để phát hiện, xử lý nghiêm các hành vi trốn thuế. - HUMAN-ENF2]]</f>
        <v>7</v>
      </c>
      <c r="X160">
        <f t="shared" si="57"/>
        <v>0.66666666666666663</v>
      </c>
      <c r="Y160" s="32">
        <f t="shared" si="58"/>
        <v>0.83333333333333326</v>
      </c>
      <c r="Z160" s="32">
        <f t="shared" si="59"/>
        <v>0.38888888888888884</v>
      </c>
      <c r="AA160">
        <f>step3_validation[[#This Row],[AI_FAC1]]</f>
        <v>7</v>
      </c>
      <c r="AB160">
        <f t="shared" si="60"/>
        <v>0.66666666666666663</v>
      </c>
      <c r="AC160">
        <f>survey_responses[[#This Row],[Các thủ tục khai báo thuế VÀ/HOẶC quy trình làm việc với cơ quan thuế đơn giản, tiện lợi, nhanh chóng hơn so với trước đây. - HUMAN-FAC1]]</f>
        <v>10</v>
      </c>
      <c r="AD160">
        <f t="shared" si="61"/>
        <v>1</v>
      </c>
      <c r="AE160">
        <f>step3_validation[[#This Row],[AI_FAC2]]</f>
        <v>8</v>
      </c>
      <c r="AF160">
        <f t="shared" si="62"/>
        <v>0.77777777777777779</v>
      </c>
      <c r="AG160">
        <f>survey_responses[[#This Row],[So với trước đây, tôi thấy cách tính thuế và các bậc thuế trong phương án mới đơn giản, dễ hiểu và dễ thực hiện hơn. - HUMAN-FAC2]]</f>
        <v>2</v>
      </c>
      <c r="AH160">
        <f t="shared" si="63"/>
        <v>0.1111111111111111</v>
      </c>
      <c r="AI160" s="32">
        <f t="shared" si="64"/>
        <v>0.72222222222222221</v>
      </c>
      <c r="AJ160" s="32">
        <f t="shared" si="65"/>
        <v>0.55555555555555558</v>
      </c>
      <c r="AK160">
        <f>step3_validation[[#This Row],[AI_TRU1]]</f>
        <v>9</v>
      </c>
      <c r="AL160">
        <f t="shared" si="66"/>
        <v>0.88888888888888884</v>
      </c>
      <c r="AM160">
        <f>survey_responses[[#This Row],[Tôi tin rằng Nhà nước, cơ quan thuế sẽ thực thi chính sách mới một cách khách quan, công tâm và đối xử bình đẳng với mọi người nộp thuế.  - HUMAN-TRU1]]</f>
        <v>10</v>
      </c>
      <c r="AN160">
        <f t="shared" si="67"/>
        <v>1</v>
      </c>
      <c r="AO160">
        <f>step3_validation[[#This Row],[AI_TRU2]]</f>
        <v>9</v>
      </c>
      <c r="AP160">
        <f t="shared" si="68"/>
        <v>0.88888888888888884</v>
      </c>
      <c r="AQ160">
        <f>survey_responses[[#This Row],[Tôi thấy mức thuế tôi phải đóng theo phương án mới là công bằng (người thu nhập như tôi đóng mức này là hợp lý). - HUMAN-TRU2]]</f>
        <v>5</v>
      </c>
      <c r="AR160">
        <f t="shared" si="69"/>
        <v>0.44444444444444442</v>
      </c>
      <c r="AS160">
        <f>step3_validation[[#This Row],[AI_TRU3]]</f>
        <v>8</v>
      </c>
      <c r="AT160">
        <f t="shared" si="70"/>
        <v>0.77777777777777779</v>
      </c>
      <c r="AU160">
        <f>survey_responses[[#This Row],[Tôi tin tưởng số tiền thuế tôi đóng sẽ được Nhà nước sử dụng hiệu quả để cải thiện dịch vụ công (y tế, đường xá...). - HUMAN-TRU3]]</f>
        <v>10</v>
      </c>
      <c r="AV160">
        <f t="shared" si="71"/>
        <v>1</v>
      </c>
      <c r="AW160">
        <f>step3_validation[[#This Row],[AI_TRU4]]</f>
        <v>7</v>
      </c>
      <c r="AX160">
        <f t="shared" si="72"/>
        <v>0.66666666666666663</v>
      </c>
      <c r="AY160">
        <f>survey_responses[[#This Row],[Tôi thấy Nhà nước đã giải thích rõ ràng, minh bạch về lý do và mục tiêu của việc sửa đổi thuế lần này. - HUMAN-TRU4]]</f>
        <v>3</v>
      </c>
      <c r="AZ160">
        <f t="shared" si="73"/>
        <v>0.22222222222222221</v>
      </c>
      <c r="BA160" s="32">
        <f t="shared" si="74"/>
        <v>0.80555555555555547</v>
      </c>
      <c r="BB160" s="32">
        <f t="shared" si="75"/>
        <v>0.66666666666666674</v>
      </c>
      <c r="BC160" s="7">
        <f t="shared" si="76"/>
        <v>0.78703703703703687</v>
      </c>
      <c r="BD160" s="7">
        <f t="shared" si="77"/>
        <v>0.53703703703703709</v>
      </c>
      <c r="BE160">
        <f>step3_validation[[#This Row],[AI_OUT1]]</f>
        <v>9</v>
      </c>
      <c r="BF160">
        <f t="shared" si="78"/>
        <v>0.88888888888888884</v>
      </c>
      <c r="BG160">
        <f>survey_responses[[#This Row],[Sau khi xem xét các quyền lợi và nghĩa vụ, bạn có ủng hộ và tuân thủ chính sách mới hiện nay? - HUMAN-OUT1]]</f>
        <v>3</v>
      </c>
      <c r="BH160">
        <f t="shared" si="79"/>
        <v>0.22222222222222221</v>
      </c>
      <c r="BI160" s="32">
        <f t="shared" si="80"/>
        <v>6</v>
      </c>
    </row>
    <row r="161" spans="1:61" x14ac:dyDescent="0.45">
      <c r="A161" s="30">
        <f>step3_validation[[#This Row],[Persona_ID]]</f>
        <v>160</v>
      </c>
      <c r="B161" s="31">
        <f>step3_validation[[#This Row],[Used_Seed]]</f>
        <v>12504</v>
      </c>
      <c r="C161" t="str">
        <f>step3_validation[[#This Row],[Gender]]</f>
        <v>Nữ</v>
      </c>
      <c r="D161" t="str">
        <f>survey_responses[[#This Row],[Giới tính của bạn:]]</f>
        <v>Nữ</v>
      </c>
      <c r="E161" t="str">
        <f>step3_validation[[#This Row],[Age_Group]]</f>
        <v>30 - 39</v>
      </c>
      <c r="F161" t="str">
        <f>survey_responses[[#This Row],[Độ tuổi của bạn:]]</f>
        <v>30 - 39</v>
      </c>
      <c r="G161" t="str">
        <f>step3_validation[[#This Row],[Region]]</f>
        <v>Thành thị</v>
      </c>
      <c r="H161" t="str">
        <f>survey_responses[[#This Row],[Khu vực bạn đang sinh sống:]]</f>
        <v>Thành thị</v>
      </c>
      <c r="I161" t="str">
        <f>step3_validation[[#This Row],[Education]]</f>
        <v>Sau Đại học</v>
      </c>
      <c r="J161" t="str">
        <f>survey_responses[[#This Row],[Trình độ học vấn cao nhất:]]</f>
        <v>Sau Đại học</v>
      </c>
      <c r="K161" t="str">
        <f>step3_validation[[#This Row],[Employment]]</f>
        <v>Chính thức</v>
      </c>
      <c r="L161" t="str">
        <f>survey_responses[[#This Row],[Tình trạng việc làm chính:]]</f>
        <v>Khu vực chính thức (Có Hợp đồng lao động, đóng BHXH)</v>
      </c>
      <c r="M161">
        <f>step3_validation[[#This Row],[Income_Mil]]</f>
        <v>37.707999113122803</v>
      </c>
      <c r="N161" t="str">
        <f>survey_responses[[#This Row],[Thu nhập bình quân tháng theo Hợp đồng lao động của bạn là bao nhiêu? (Vui lòng điền tổng thu nhập trước khi khấu trừ các loại Bảo hiểm (BHXH, BHYT, BHTN) và Thuế TNCN)]]</f>
        <v>Từ 32 - 48 triệu VNĐ</v>
      </c>
      <c r="O161">
        <f>step3_validation[[#This Row],[Dependents]]</f>
        <v>0</v>
      </c>
      <c r="P161" t="str">
        <f>survey_responses[[#This Row],[Số người phụ thuộc (con nhỏ, cha mẹ già...) đủ điều kiện giảm trừ gia cảnh:]]</f>
        <v>0 người</v>
      </c>
      <c r="Q161">
        <f>step3_validation[[#This Row],[AI_ENF1]]</f>
        <v>7</v>
      </c>
      <c r="R161">
        <f t="shared" si="54"/>
        <v>0.66666666666666663</v>
      </c>
      <c r="S161">
        <f>survey_responses[[#This Row],[Tôi tin rằng với các quy định quản lý thuế hiện nay, hành vi gian lận hoặc trốn thuế sẽ dễ dàng bị phát hiện và xử lý nghiêm. - HUMAN-ENF1]]</f>
        <v>9</v>
      </c>
      <c r="T161">
        <f t="shared" si="55"/>
        <v>0.88888888888888884</v>
      </c>
      <c r="U161">
        <f>step3_validation[[#This Row],[AI_ENF2]]</f>
        <v>8</v>
      </c>
      <c r="V161">
        <f t="shared" si="56"/>
        <v>0.77777777777777779</v>
      </c>
      <c r="W161">
        <f>survey_responses[[#This Row],[Tôi tin rằng Nhà nước, cơ quan thuế có đủ khả năng và công nghệ để phát hiện, xử lý nghiêm các hành vi trốn thuế. - HUMAN-ENF2]]</f>
        <v>9</v>
      </c>
      <c r="X161">
        <f t="shared" si="57"/>
        <v>0.88888888888888884</v>
      </c>
      <c r="Y161" s="32">
        <f t="shared" si="58"/>
        <v>0.72222222222222221</v>
      </c>
      <c r="Z161" s="32">
        <f t="shared" si="59"/>
        <v>0.88888888888888884</v>
      </c>
      <c r="AA161">
        <f>step3_validation[[#This Row],[AI_FAC1]]</f>
        <v>9</v>
      </c>
      <c r="AB161">
        <f t="shared" si="60"/>
        <v>0.88888888888888884</v>
      </c>
      <c r="AC161">
        <f>survey_responses[[#This Row],[Các thủ tục khai báo thuế VÀ/HOẶC quy trình làm việc với cơ quan thuế đơn giản, tiện lợi, nhanh chóng hơn so với trước đây. - HUMAN-FAC1]]</f>
        <v>10</v>
      </c>
      <c r="AD161">
        <f t="shared" si="61"/>
        <v>1</v>
      </c>
      <c r="AE161">
        <f>step3_validation[[#This Row],[AI_FAC2]]</f>
        <v>9</v>
      </c>
      <c r="AF161">
        <f t="shared" si="62"/>
        <v>0.88888888888888884</v>
      </c>
      <c r="AG161">
        <f>survey_responses[[#This Row],[So với trước đây, tôi thấy cách tính thuế và các bậc thuế trong phương án mới đơn giản, dễ hiểu và dễ thực hiện hơn. - HUMAN-FAC2]]</f>
        <v>2</v>
      </c>
      <c r="AH161">
        <f t="shared" si="63"/>
        <v>0.1111111111111111</v>
      </c>
      <c r="AI161" s="32">
        <f t="shared" si="64"/>
        <v>0.88888888888888884</v>
      </c>
      <c r="AJ161" s="32">
        <f t="shared" si="65"/>
        <v>0.55555555555555558</v>
      </c>
      <c r="AK161">
        <f>step3_validation[[#This Row],[AI_TRU1]]</f>
        <v>7</v>
      </c>
      <c r="AL161">
        <f t="shared" si="66"/>
        <v>0.66666666666666663</v>
      </c>
      <c r="AM161">
        <f>survey_responses[[#This Row],[Tôi tin rằng Nhà nước, cơ quan thuế sẽ thực thi chính sách mới một cách khách quan, công tâm và đối xử bình đẳng với mọi người nộp thuế.  - HUMAN-TRU1]]</f>
        <v>9</v>
      </c>
      <c r="AN161">
        <f t="shared" si="67"/>
        <v>0.88888888888888884</v>
      </c>
      <c r="AO161">
        <f>step3_validation[[#This Row],[AI_TRU2]]</f>
        <v>8</v>
      </c>
      <c r="AP161">
        <f t="shared" si="68"/>
        <v>0.77777777777777779</v>
      </c>
      <c r="AQ161">
        <f>survey_responses[[#This Row],[Tôi thấy mức thuế tôi phải đóng theo phương án mới là công bằng (người thu nhập như tôi đóng mức này là hợp lý). - HUMAN-TRU2]]</f>
        <v>9</v>
      </c>
      <c r="AR161">
        <f t="shared" si="69"/>
        <v>0.88888888888888884</v>
      </c>
      <c r="AS161">
        <f>step3_validation[[#This Row],[AI_TRU3]]</f>
        <v>7</v>
      </c>
      <c r="AT161">
        <f t="shared" si="70"/>
        <v>0.66666666666666663</v>
      </c>
      <c r="AU161">
        <f>survey_responses[[#This Row],[Tôi tin tưởng số tiền thuế tôi đóng sẽ được Nhà nước sử dụng hiệu quả để cải thiện dịch vụ công (y tế, đường xá...). - HUMAN-TRU3]]</f>
        <v>6</v>
      </c>
      <c r="AV161">
        <f t="shared" si="71"/>
        <v>0.55555555555555558</v>
      </c>
      <c r="AW161">
        <f>step3_validation[[#This Row],[AI_TRU4]]</f>
        <v>8</v>
      </c>
      <c r="AX161">
        <f t="shared" si="72"/>
        <v>0.77777777777777779</v>
      </c>
      <c r="AY161">
        <f>survey_responses[[#This Row],[Tôi thấy Nhà nước đã giải thích rõ ràng, minh bạch về lý do và mục tiêu của việc sửa đổi thuế lần này. - HUMAN-TRU4]]</f>
        <v>8</v>
      </c>
      <c r="AZ161">
        <f t="shared" si="73"/>
        <v>0.77777777777777779</v>
      </c>
      <c r="BA161" s="32">
        <f t="shared" si="74"/>
        <v>0.72222222222222221</v>
      </c>
      <c r="BB161" s="32">
        <f t="shared" si="75"/>
        <v>0.77777777777777768</v>
      </c>
      <c r="BC161" s="7">
        <f t="shared" si="76"/>
        <v>0.77777777777777779</v>
      </c>
      <c r="BD161" s="7">
        <f t="shared" si="77"/>
        <v>0.74074074074074081</v>
      </c>
      <c r="BE161">
        <f>step3_validation[[#This Row],[AI_OUT1]]</f>
        <v>9</v>
      </c>
      <c r="BF161">
        <f t="shared" si="78"/>
        <v>0.88888888888888884</v>
      </c>
      <c r="BG161">
        <f>survey_responses[[#This Row],[Sau khi xem xét các quyền lợi và nghĩa vụ, bạn có ủng hộ và tuân thủ chính sách mới hiện nay? - HUMAN-OUT1]]</f>
        <v>10</v>
      </c>
      <c r="BH161">
        <f t="shared" si="79"/>
        <v>1</v>
      </c>
      <c r="BI161" s="32">
        <f t="shared" si="80"/>
        <v>1</v>
      </c>
    </row>
    <row r="162" spans="1:61" x14ac:dyDescent="0.45">
      <c r="A162" s="30">
        <f>step3_validation[[#This Row],[Persona_ID]]</f>
        <v>161</v>
      </c>
      <c r="B162" s="31">
        <f>step3_validation[[#This Row],[Used_Seed]]</f>
        <v>12505</v>
      </c>
      <c r="C162" t="str">
        <f>step3_validation[[#This Row],[Gender]]</f>
        <v>Nữ</v>
      </c>
      <c r="D162" t="str">
        <f>survey_responses[[#This Row],[Giới tính của bạn:]]</f>
        <v>Nữ</v>
      </c>
      <c r="E162" t="str">
        <f>step3_validation[[#This Row],[Age_Group]]</f>
        <v>30 - 39</v>
      </c>
      <c r="F162" t="str">
        <f>survey_responses[[#This Row],[Độ tuổi của bạn:]]</f>
        <v>30 - 39</v>
      </c>
      <c r="G162" t="str">
        <f>step3_validation[[#This Row],[Region]]</f>
        <v>Thành thị</v>
      </c>
      <c r="H162" t="str">
        <f>survey_responses[[#This Row],[Khu vực bạn đang sinh sống:]]</f>
        <v>Thành thị</v>
      </c>
      <c r="I162" t="str">
        <f>step3_validation[[#This Row],[Education]]</f>
        <v>Đại học</v>
      </c>
      <c r="J162" t="str">
        <f>survey_responses[[#This Row],[Trình độ học vấn cao nhất:]]</f>
        <v>Đại học</v>
      </c>
      <c r="K162" t="str">
        <f>step3_validation[[#This Row],[Employment]]</f>
        <v>Chính thức</v>
      </c>
      <c r="L162" t="str">
        <f>survey_responses[[#This Row],[Tình trạng việc làm chính:]]</f>
        <v>Khu vực chính thức (Có Hợp đồng lao động, đóng BHXH)</v>
      </c>
      <c r="M162">
        <f>step3_validation[[#This Row],[Income_Mil]]</f>
        <v>13.963854423907176</v>
      </c>
      <c r="N162" t="str">
        <f>survey_responses[[#This Row],[Thu nhập bình quân tháng theo Hợp đồng lao động của bạn là bao nhiêu? (Vui lòng điền tổng thu nhập trước khi khấu trừ các loại Bảo hiểm (BHXH, BHYT, BHTN) và Thuế TNCN)]]</f>
        <v>Từ 12 - 18 triệu VNĐ</v>
      </c>
      <c r="O162">
        <f>step3_validation[[#This Row],[Dependents]]</f>
        <v>0</v>
      </c>
      <c r="P162" t="str">
        <f>survey_responses[[#This Row],[Số người phụ thuộc (con nhỏ, cha mẹ già...) đủ điều kiện giảm trừ gia cảnh:]]</f>
        <v>0 người</v>
      </c>
      <c r="Q162">
        <f>step3_validation[[#This Row],[AI_ENF1]]</f>
        <v>6</v>
      </c>
      <c r="R162">
        <f t="shared" si="54"/>
        <v>0.55555555555555558</v>
      </c>
      <c r="S162">
        <f>survey_responses[[#This Row],[Tôi tin rằng với các quy định quản lý thuế hiện nay, hành vi gian lận hoặc trốn thuế sẽ dễ dàng bị phát hiện và xử lý nghiêm. - HUMAN-ENF1]]</f>
        <v>7</v>
      </c>
      <c r="T162">
        <f t="shared" si="55"/>
        <v>0.66666666666666663</v>
      </c>
      <c r="U162">
        <f>step3_validation[[#This Row],[AI_ENF2]]</f>
        <v>6</v>
      </c>
      <c r="V162">
        <f t="shared" si="56"/>
        <v>0.55555555555555558</v>
      </c>
      <c r="W162">
        <f>survey_responses[[#This Row],[Tôi tin rằng Nhà nước, cơ quan thuế có đủ khả năng và công nghệ để phát hiện, xử lý nghiêm các hành vi trốn thuế. - HUMAN-ENF2]]</f>
        <v>5</v>
      </c>
      <c r="X162">
        <f t="shared" si="57"/>
        <v>0.44444444444444442</v>
      </c>
      <c r="Y162" s="32">
        <f t="shared" si="58"/>
        <v>0.55555555555555558</v>
      </c>
      <c r="Z162" s="32">
        <f t="shared" si="59"/>
        <v>0.55555555555555558</v>
      </c>
      <c r="AA162">
        <f>step3_validation[[#This Row],[AI_FAC1]]</f>
        <v>7</v>
      </c>
      <c r="AB162">
        <f t="shared" si="60"/>
        <v>0.66666666666666663</v>
      </c>
      <c r="AC162">
        <f>survey_responses[[#This Row],[Các thủ tục khai báo thuế VÀ/HOẶC quy trình làm việc với cơ quan thuế đơn giản, tiện lợi, nhanh chóng hơn so với trước đây. - HUMAN-FAC1]]</f>
        <v>7</v>
      </c>
      <c r="AD162">
        <f t="shared" si="61"/>
        <v>0.66666666666666663</v>
      </c>
      <c r="AE162">
        <f>step3_validation[[#This Row],[AI_FAC2]]</f>
        <v>9</v>
      </c>
      <c r="AF162">
        <f t="shared" si="62"/>
        <v>0.88888888888888884</v>
      </c>
      <c r="AG162">
        <f>survey_responses[[#This Row],[So với trước đây, tôi thấy cách tính thuế và các bậc thuế trong phương án mới đơn giản, dễ hiểu và dễ thực hiện hơn. - HUMAN-FAC2]]</f>
        <v>5</v>
      </c>
      <c r="AH162">
        <f t="shared" si="63"/>
        <v>0.44444444444444442</v>
      </c>
      <c r="AI162" s="32">
        <f t="shared" si="64"/>
        <v>0.77777777777777768</v>
      </c>
      <c r="AJ162" s="32">
        <f t="shared" si="65"/>
        <v>0.55555555555555558</v>
      </c>
      <c r="AK162">
        <f>step3_validation[[#This Row],[AI_TRU1]]</f>
        <v>8</v>
      </c>
      <c r="AL162">
        <f t="shared" si="66"/>
        <v>0.77777777777777779</v>
      </c>
      <c r="AM162">
        <f>survey_responses[[#This Row],[Tôi tin rằng Nhà nước, cơ quan thuế sẽ thực thi chính sách mới một cách khách quan, công tâm và đối xử bình đẳng với mọi người nộp thuế.  - HUMAN-TRU1]]</f>
        <v>3</v>
      </c>
      <c r="AN162">
        <f t="shared" si="67"/>
        <v>0.22222222222222221</v>
      </c>
      <c r="AO162">
        <f>step3_validation[[#This Row],[AI_TRU2]]</f>
        <v>9</v>
      </c>
      <c r="AP162">
        <f t="shared" si="68"/>
        <v>0.88888888888888884</v>
      </c>
      <c r="AQ162">
        <f>survey_responses[[#This Row],[Tôi thấy mức thuế tôi phải đóng theo phương án mới là công bằng (người thu nhập như tôi đóng mức này là hợp lý). - HUMAN-TRU2]]</f>
        <v>4</v>
      </c>
      <c r="AR162">
        <f t="shared" si="69"/>
        <v>0.33333333333333331</v>
      </c>
      <c r="AS162">
        <f>step3_validation[[#This Row],[AI_TRU3]]</f>
        <v>7</v>
      </c>
      <c r="AT162">
        <f t="shared" si="70"/>
        <v>0.66666666666666663</v>
      </c>
      <c r="AU162">
        <f>survey_responses[[#This Row],[Tôi tin tưởng số tiền thuế tôi đóng sẽ được Nhà nước sử dụng hiệu quả để cải thiện dịch vụ công (y tế, đường xá...). - HUMAN-TRU3]]</f>
        <v>1</v>
      </c>
      <c r="AV162">
        <f t="shared" si="71"/>
        <v>0</v>
      </c>
      <c r="AW162">
        <f>step3_validation[[#This Row],[AI_TRU4]]</f>
        <v>8</v>
      </c>
      <c r="AX162">
        <f t="shared" si="72"/>
        <v>0.77777777777777779</v>
      </c>
      <c r="AY162">
        <f>survey_responses[[#This Row],[Tôi thấy Nhà nước đã giải thích rõ ràng, minh bạch về lý do và mục tiêu của việc sửa đổi thuế lần này. - HUMAN-TRU4]]</f>
        <v>5</v>
      </c>
      <c r="AZ162">
        <f t="shared" si="73"/>
        <v>0.44444444444444442</v>
      </c>
      <c r="BA162" s="32">
        <f t="shared" si="74"/>
        <v>0.77777777777777768</v>
      </c>
      <c r="BB162" s="32">
        <f t="shared" si="75"/>
        <v>0.25</v>
      </c>
      <c r="BC162" s="7">
        <f t="shared" si="76"/>
        <v>0.70370370370370361</v>
      </c>
      <c r="BD162" s="7">
        <f t="shared" si="77"/>
        <v>0.45370370370370372</v>
      </c>
      <c r="BE162">
        <f>step3_validation[[#This Row],[AI_OUT1]]</f>
        <v>9</v>
      </c>
      <c r="BF162">
        <f t="shared" si="78"/>
        <v>0.88888888888888884</v>
      </c>
      <c r="BG162">
        <f>survey_responses[[#This Row],[Sau khi xem xét các quyền lợi và nghĩa vụ, bạn có ủng hộ và tuân thủ chính sách mới hiện nay? - HUMAN-OUT1]]</f>
        <v>5</v>
      </c>
      <c r="BH162">
        <f t="shared" si="79"/>
        <v>0.44444444444444442</v>
      </c>
      <c r="BI162" s="32">
        <f t="shared" si="80"/>
        <v>4</v>
      </c>
    </row>
    <row r="163" spans="1:61" x14ac:dyDescent="0.45">
      <c r="A163" s="30">
        <f>step3_validation[[#This Row],[Persona_ID]]</f>
        <v>162</v>
      </c>
      <c r="B163" s="31">
        <f>step3_validation[[#This Row],[Used_Seed]]</f>
        <v>12506</v>
      </c>
      <c r="C163" t="str">
        <f>step3_validation[[#This Row],[Gender]]</f>
        <v>Nữ</v>
      </c>
      <c r="D163" t="str">
        <f>survey_responses[[#This Row],[Giới tính của bạn:]]</f>
        <v>Nữ</v>
      </c>
      <c r="E163" t="str">
        <f>step3_validation[[#This Row],[Age_Group]]</f>
        <v>25 - 29</v>
      </c>
      <c r="F163" t="str">
        <f>survey_responses[[#This Row],[Độ tuổi của bạn:]]</f>
        <v>25 - 29</v>
      </c>
      <c r="G163" t="str">
        <f>step3_validation[[#This Row],[Region]]</f>
        <v>Thành thị</v>
      </c>
      <c r="H163" t="str">
        <f>survey_responses[[#This Row],[Khu vực bạn đang sinh sống:]]</f>
        <v>Thành thị</v>
      </c>
      <c r="I163" t="str">
        <f>step3_validation[[#This Row],[Education]]</f>
        <v>Đại học</v>
      </c>
      <c r="J163" t="str">
        <f>survey_responses[[#This Row],[Trình độ học vấn cao nhất:]]</f>
        <v>Đại học</v>
      </c>
      <c r="K163" t="str">
        <f>step3_validation[[#This Row],[Employment]]</f>
        <v>Chính thức</v>
      </c>
      <c r="L163" t="str">
        <f>survey_responses[[#This Row],[Tình trạng việc làm chính:]]</f>
        <v>Khu vực chính thức (Có Hợp đồng lao động, đóng BHXH)</v>
      </c>
      <c r="M163">
        <f>step3_validation[[#This Row],[Income_Mil]]</f>
        <v>12</v>
      </c>
      <c r="N163" t="str">
        <f>survey_responses[[#This Row],[Thu nhập bình quân tháng theo Hợp đồng lao động của bạn là bao nhiêu? (Vui lòng điền tổng thu nhập trước khi khấu trừ các loại Bảo hiểm (BHXH, BHYT, BHTN) và Thuế TNCN)]]</f>
        <v>Dưới 12 triệu VNĐ</v>
      </c>
      <c r="O163">
        <f>step3_validation[[#This Row],[Dependents]]</f>
        <v>0</v>
      </c>
      <c r="P163" t="str">
        <f>survey_responses[[#This Row],[Số người phụ thuộc (con nhỏ, cha mẹ già...) đủ điều kiện giảm trừ gia cảnh:]]</f>
        <v>0 người</v>
      </c>
      <c r="Q163">
        <f>step3_validation[[#This Row],[AI_ENF1]]</f>
        <v>6</v>
      </c>
      <c r="R163">
        <f t="shared" si="54"/>
        <v>0.55555555555555558</v>
      </c>
      <c r="S163">
        <f>survey_responses[[#This Row],[Tôi tin rằng với các quy định quản lý thuế hiện nay, hành vi gian lận hoặc trốn thuế sẽ dễ dàng bị phát hiện và xử lý nghiêm. - HUMAN-ENF1]]</f>
        <v>3</v>
      </c>
      <c r="T163">
        <f t="shared" si="55"/>
        <v>0.22222222222222221</v>
      </c>
      <c r="U163">
        <f>step3_validation[[#This Row],[AI_ENF2]]</f>
        <v>8</v>
      </c>
      <c r="V163">
        <f t="shared" si="56"/>
        <v>0.77777777777777779</v>
      </c>
      <c r="W163">
        <f>survey_responses[[#This Row],[Tôi tin rằng Nhà nước, cơ quan thuế có đủ khả năng và công nghệ để phát hiện, xử lý nghiêm các hành vi trốn thuế. - HUMAN-ENF2]]</f>
        <v>8</v>
      </c>
      <c r="X163">
        <f t="shared" si="57"/>
        <v>0.77777777777777779</v>
      </c>
      <c r="Y163" s="32">
        <f t="shared" si="58"/>
        <v>0.66666666666666674</v>
      </c>
      <c r="Z163" s="32">
        <f t="shared" si="59"/>
        <v>0.5</v>
      </c>
      <c r="AA163">
        <f>step3_validation[[#This Row],[AI_FAC1]]</f>
        <v>7</v>
      </c>
      <c r="AB163">
        <f t="shared" si="60"/>
        <v>0.66666666666666663</v>
      </c>
      <c r="AC163">
        <f>survey_responses[[#This Row],[Các thủ tục khai báo thuế VÀ/HOẶC quy trình làm việc với cơ quan thuế đơn giản, tiện lợi, nhanh chóng hơn so với trước đây. - HUMAN-FAC1]]</f>
        <v>4</v>
      </c>
      <c r="AD163">
        <f t="shared" si="61"/>
        <v>0.33333333333333331</v>
      </c>
      <c r="AE163">
        <f>step3_validation[[#This Row],[AI_FAC2]]</f>
        <v>9</v>
      </c>
      <c r="AF163">
        <f t="shared" si="62"/>
        <v>0.88888888888888884</v>
      </c>
      <c r="AG163">
        <f>survey_responses[[#This Row],[So với trước đây, tôi thấy cách tính thuế và các bậc thuế trong phương án mới đơn giản, dễ hiểu và dễ thực hiện hơn. - HUMAN-FAC2]]</f>
        <v>5</v>
      </c>
      <c r="AH163">
        <f t="shared" si="63"/>
        <v>0.44444444444444442</v>
      </c>
      <c r="AI163" s="32">
        <f t="shared" si="64"/>
        <v>0.77777777777777768</v>
      </c>
      <c r="AJ163" s="32">
        <f t="shared" si="65"/>
        <v>0.38888888888888884</v>
      </c>
      <c r="AK163">
        <f>step3_validation[[#This Row],[AI_TRU1]]</f>
        <v>7</v>
      </c>
      <c r="AL163">
        <f t="shared" si="66"/>
        <v>0.66666666666666663</v>
      </c>
      <c r="AM163">
        <f>survey_responses[[#This Row],[Tôi tin rằng Nhà nước, cơ quan thuế sẽ thực thi chính sách mới một cách khách quan, công tâm và đối xử bình đẳng với mọi người nộp thuế.  - HUMAN-TRU1]]</f>
        <v>5</v>
      </c>
      <c r="AN163">
        <f t="shared" si="67"/>
        <v>0.44444444444444442</v>
      </c>
      <c r="AO163">
        <f>step3_validation[[#This Row],[AI_TRU2]]</f>
        <v>9</v>
      </c>
      <c r="AP163">
        <f t="shared" si="68"/>
        <v>0.88888888888888884</v>
      </c>
      <c r="AQ163">
        <f>survey_responses[[#This Row],[Tôi thấy mức thuế tôi phải đóng theo phương án mới là công bằng (người thu nhập như tôi đóng mức này là hợp lý). - HUMAN-TRU2]]</f>
        <v>5</v>
      </c>
      <c r="AR163">
        <f t="shared" si="69"/>
        <v>0.44444444444444442</v>
      </c>
      <c r="AS163">
        <f>step3_validation[[#This Row],[AI_TRU3]]</f>
        <v>8</v>
      </c>
      <c r="AT163">
        <f t="shared" si="70"/>
        <v>0.77777777777777779</v>
      </c>
      <c r="AU163">
        <f>survey_responses[[#This Row],[Tôi tin tưởng số tiền thuế tôi đóng sẽ được Nhà nước sử dụng hiệu quả để cải thiện dịch vụ công (y tế, đường xá...). - HUMAN-TRU3]]</f>
        <v>5</v>
      </c>
      <c r="AV163">
        <f t="shared" si="71"/>
        <v>0.44444444444444442</v>
      </c>
      <c r="AW163">
        <f>step3_validation[[#This Row],[AI_TRU4]]</f>
        <v>7</v>
      </c>
      <c r="AX163">
        <f t="shared" si="72"/>
        <v>0.66666666666666663</v>
      </c>
      <c r="AY163">
        <f>survey_responses[[#This Row],[Tôi thấy Nhà nước đã giải thích rõ ràng, minh bạch về lý do và mục tiêu của việc sửa đổi thuế lần này. - HUMAN-TRU4]]</f>
        <v>5</v>
      </c>
      <c r="AZ163">
        <f t="shared" si="73"/>
        <v>0.44444444444444442</v>
      </c>
      <c r="BA163" s="32">
        <f t="shared" si="74"/>
        <v>0.74999999999999989</v>
      </c>
      <c r="BB163" s="32">
        <f t="shared" si="75"/>
        <v>0.44444444444444442</v>
      </c>
      <c r="BC163" s="7">
        <f t="shared" si="76"/>
        <v>0.7314814814814814</v>
      </c>
      <c r="BD163" s="7">
        <f t="shared" si="77"/>
        <v>0.44444444444444442</v>
      </c>
      <c r="BE163">
        <f>step3_validation[[#This Row],[AI_OUT1]]</f>
        <v>9</v>
      </c>
      <c r="BF163">
        <f t="shared" si="78"/>
        <v>0.88888888888888884</v>
      </c>
      <c r="BG163">
        <f>survey_responses[[#This Row],[Sau khi xem xét các quyền lợi và nghĩa vụ, bạn có ủng hộ và tuân thủ chính sách mới hiện nay? - HUMAN-OUT1]]</f>
        <v>5</v>
      </c>
      <c r="BH163">
        <f t="shared" si="79"/>
        <v>0.44444444444444442</v>
      </c>
      <c r="BI163" s="32">
        <f t="shared" si="80"/>
        <v>4</v>
      </c>
    </row>
    <row r="164" spans="1:61" x14ac:dyDescent="0.45">
      <c r="A164" s="30">
        <f>step3_validation[[#This Row],[Persona_ID]]</f>
        <v>163</v>
      </c>
      <c r="B164" s="31">
        <f>step3_validation[[#This Row],[Used_Seed]]</f>
        <v>12507</v>
      </c>
      <c r="C164" t="str">
        <f>step3_validation[[#This Row],[Gender]]</f>
        <v>Nữ</v>
      </c>
      <c r="D164" t="str">
        <f>survey_responses[[#This Row],[Giới tính của bạn:]]</f>
        <v>Nữ</v>
      </c>
      <c r="E164" t="str">
        <f>step3_validation[[#This Row],[Age_Group]]</f>
        <v>25 - 29</v>
      </c>
      <c r="F164" t="str">
        <f>survey_responses[[#This Row],[Độ tuổi của bạn:]]</f>
        <v>25 - 29</v>
      </c>
      <c r="G164" t="str">
        <f>step3_validation[[#This Row],[Region]]</f>
        <v>Thành thị</v>
      </c>
      <c r="H164" t="str">
        <f>survey_responses[[#This Row],[Khu vực bạn đang sinh sống:]]</f>
        <v>Thành thị</v>
      </c>
      <c r="I164" t="str">
        <f>step3_validation[[#This Row],[Education]]</f>
        <v>Đại học</v>
      </c>
      <c r="J164" t="str">
        <f>survey_responses[[#This Row],[Trình độ học vấn cao nhất:]]</f>
        <v>Đại học</v>
      </c>
      <c r="K164" t="str">
        <f>step3_validation[[#This Row],[Employment]]</f>
        <v>Chính thức</v>
      </c>
      <c r="L164" t="str">
        <f>survey_responses[[#This Row],[Tình trạng việc làm chính:]]</f>
        <v>Khu vực chính thức (Có Hợp đồng lao động, đóng BHXH)</v>
      </c>
      <c r="M164">
        <f>step3_validation[[#This Row],[Income_Mil]]</f>
        <v>14.910616980124107</v>
      </c>
      <c r="N164" t="str">
        <f>survey_responses[[#This Row],[Thu nhập bình quân tháng theo Hợp đồng lao động của bạn là bao nhiêu? (Vui lòng điền tổng thu nhập trước khi khấu trừ các loại Bảo hiểm (BHXH, BHYT, BHTN) và Thuế TNCN)]]</f>
        <v>Từ 12 - 18 triệu VNĐ</v>
      </c>
      <c r="O164">
        <f>step3_validation[[#This Row],[Dependents]]</f>
        <v>0</v>
      </c>
      <c r="P164" t="str">
        <f>survey_responses[[#This Row],[Số người phụ thuộc (con nhỏ, cha mẹ già...) đủ điều kiện giảm trừ gia cảnh:]]</f>
        <v>0 người</v>
      </c>
      <c r="Q164">
        <f>step3_validation[[#This Row],[AI_ENF1]]</f>
        <v>7</v>
      </c>
      <c r="R164">
        <f t="shared" si="54"/>
        <v>0.66666666666666663</v>
      </c>
      <c r="S164">
        <f>survey_responses[[#This Row],[Tôi tin rằng với các quy định quản lý thuế hiện nay, hành vi gian lận hoặc trốn thuế sẽ dễ dàng bị phát hiện và xử lý nghiêm. - HUMAN-ENF1]]</f>
        <v>10</v>
      </c>
      <c r="T164">
        <f t="shared" si="55"/>
        <v>1</v>
      </c>
      <c r="U164">
        <f>step3_validation[[#This Row],[AI_ENF2]]</f>
        <v>6</v>
      </c>
      <c r="V164">
        <f t="shared" si="56"/>
        <v>0.55555555555555558</v>
      </c>
      <c r="W164">
        <f>survey_responses[[#This Row],[Tôi tin rằng Nhà nước, cơ quan thuế có đủ khả năng và công nghệ để phát hiện, xử lý nghiêm các hành vi trốn thuế. - HUMAN-ENF2]]</f>
        <v>10</v>
      </c>
      <c r="X164">
        <f t="shared" si="57"/>
        <v>1</v>
      </c>
      <c r="Y164" s="32">
        <f t="shared" si="58"/>
        <v>0.61111111111111116</v>
      </c>
      <c r="Z164" s="32">
        <f t="shared" si="59"/>
        <v>1</v>
      </c>
      <c r="AA164">
        <f>step3_validation[[#This Row],[AI_FAC1]]</f>
        <v>8</v>
      </c>
      <c r="AB164">
        <f t="shared" si="60"/>
        <v>0.77777777777777779</v>
      </c>
      <c r="AC164">
        <f>survey_responses[[#This Row],[Các thủ tục khai báo thuế VÀ/HOẶC quy trình làm việc với cơ quan thuế đơn giản, tiện lợi, nhanh chóng hơn so với trước đây. - HUMAN-FAC1]]</f>
        <v>10</v>
      </c>
      <c r="AD164">
        <f t="shared" si="61"/>
        <v>1</v>
      </c>
      <c r="AE164">
        <f>step3_validation[[#This Row],[AI_FAC2]]</f>
        <v>9</v>
      </c>
      <c r="AF164">
        <f t="shared" si="62"/>
        <v>0.88888888888888884</v>
      </c>
      <c r="AG164">
        <f>survey_responses[[#This Row],[So với trước đây, tôi thấy cách tính thuế và các bậc thuế trong phương án mới đơn giản, dễ hiểu và dễ thực hiện hơn. - HUMAN-FAC2]]</f>
        <v>10</v>
      </c>
      <c r="AH164">
        <f t="shared" si="63"/>
        <v>1</v>
      </c>
      <c r="AI164" s="32">
        <f t="shared" si="64"/>
        <v>0.83333333333333326</v>
      </c>
      <c r="AJ164" s="32">
        <f t="shared" si="65"/>
        <v>1</v>
      </c>
      <c r="AK164">
        <f>step3_validation[[#This Row],[AI_TRU1]]</f>
        <v>8</v>
      </c>
      <c r="AL164">
        <f t="shared" si="66"/>
        <v>0.77777777777777779</v>
      </c>
      <c r="AM164">
        <f>survey_responses[[#This Row],[Tôi tin rằng Nhà nước, cơ quan thuế sẽ thực thi chính sách mới một cách khách quan, công tâm và đối xử bình đẳng với mọi người nộp thuế.  - HUMAN-TRU1]]</f>
        <v>10</v>
      </c>
      <c r="AN164">
        <f t="shared" si="67"/>
        <v>1</v>
      </c>
      <c r="AO164">
        <f>step3_validation[[#This Row],[AI_TRU2]]</f>
        <v>7</v>
      </c>
      <c r="AP164">
        <f t="shared" si="68"/>
        <v>0.66666666666666663</v>
      </c>
      <c r="AQ164">
        <f>survey_responses[[#This Row],[Tôi thấy mức thuế tôi phải đóng theo phương án mới là công bằng (người thu nhập như tôi đóng mức này là hợp lý). - HUMAN-TRU2]]</f>
        <v>10</v>
      </c>
      <c r="AR164">
        <f t="shared" si="69"/>
        <v>1</v>
      </c>
      <c r="AS164">
        <f>step3_validation[[#This Row],[AI_TRU3]]</f>
        <v>8</v>
      </c>
      <c r="AT164">
        <f t="shared" si="70"/>
        <v>0.77777777777777779</v>
      </c>
      <c r="AU164">
        <f>survey_responses[[#This Row],[Tôi tin tưởng số tiền thuế tôi đóng sẽ được Nhà nước sử dụng hiệu quả để cải thiện dịch vụ công (y tế, đường xá...). - HUMAN-TRU3]]</f>
        <v>10</v>
      </c>
      <c r="AV164">
        <f t="shared" si="71"/>
        <v>1</v>
      </c>
      <c r="AW164">
        <f>step3_validation[[#This Row],[AI_TRU4]]</f>
        <v>7</v>
      </c>
      <c r="AX164">
        <f t="shared" si="72"/>
        <v>0.66666666666666663</v>
      </c>
      <c r="AY164">
        <f>survey_responses[[#This Row],[Tôi thấy Nhà nước đã giải thích rõ ràng, minh bạch về lý do và mục tiêu của việc sửa đổi thuế lần này. - HUMAN-TRU4]]</f>
        <v>10</v>
      </c>
      <c r="AZ164">
        <f t="shared" si="73"/>
        <v>1</v>
      </c>
      <c r="BA164" s="32">
        <f t="shared" si="74"/>
        <v>0.72222222222222221</v>
      </c>
      <c r="BB164" s="32">
        <f t="shared" si="75"/>
        <v>1</v>
      </c>
      <c r="BC164" s="7">
        <f t="shared" si="76"/>
        <v>0.72222222222222221</v>
      </c>
      <c r="BD164" s="7">
        <f t="shared" si="77"/>
        <v>1</v>
      </c>
      <c r="BE164">
        <f>step3_validation[[#This Row],[AI_OUT1]]</f>
        <v>8</v>
      </c>
      <c r="BF164">
        <f t="shared" si="78"/>
        <v>0.77777777777777779</v>
      </c>
      <c r="BG164">
        <f>survey_responses[[#This Row],[Sau khi xem xét các quyền lợi và nghĩa vụ, bạn có ủng hộ và tuân thủ chính sách mới hiện nay? - HUMAN-OUT1]]</f>
        <v>10</v>
      </c>
      <c r="BH164">
        <f t="shared" si="79"/>
        <v>1</v>
      </c>
      <c r="BI164" s="32">
        <f t="shared" si="80"/>
        <v>2</v>
      </c>
    </row>
    <row r="165" spans="1:61" x14ac:dyDescent="0.45">
      <c r="A165" s="30">
        <f>step3_validation[[#This Row],[Persona_ID]]</f>
        <v>164</v>
      </c>
      <c r="B165" s="31">
        <f>step3_validation[[#This Row],[Used_Seed]]</f>
        <v>12508</v>
      </c>
      <c r="C165" t="str">
        <f>step3_validation[[#This Row],[Gender]]</f>
        <v>Nữ</v>
      </c>
      <c r="D165" t="str">
        <f>survey_responses[[#This Row],[Giới tính của bạn:]]</f>
        <v>Nữ</v>
      </c>
      <c r="E165" t="str">
        <f>step3_validation[[#This Row],[Age_Group]]</f>
        <v>40 - 49</v>
      </c>
      <c r="F165" t="str">
        <f>survey_responses[[#This Row],[Độ tuổi của bạn:]]</f>
        <v>40 - 49</v>
      </c>
      <c r="G165" t="str">
        <f>step3_validation[[#This Row],[Region]]</f>
        <v>Thành thị</v>
      </c>
      <c r="H165" t="str">
        <f>survey_responses[[#This Row],[Khu vực bạn đang sinh sống:]]</f>
        <v>Thành thị</v>
      </c>
      <c r="I165" t="str">
        <f>step3_validation[[#This Row],[Education]]</f>
        <v>Đại học</v>
      </c>
      <c r="J165" t="str">
        <f>survey_responses[[#This Row],[Trình độ học vấn cao nhất:]]</f>
        <v>Đại học</v>
      </c>
      <c r="K165" t="str">
        <f>step3_validation[[#This Row],[Employment]]</f>
        <v>Chính thức</v>
      </c>
      <c r="L165" t="str">
        <f>survey_responses[[#This Row],[Tình trạng việc làm chính:]]</f>
        <v>Khu vực chính thức (Có Hợp đồng lao động, đóng BHXH)</v>
      </c>
      <c r="M165">
        <f>step3_validation[[#This Row],[Income_Mil]]</f>
        <v>40.584474757600745</v>
      </c>
      <c r="N165" t="str">
        <f>survey_responses[[#This Row],[Thu nhập bình quân tháng theo Hợp đồng lao động của bạn là bao nhiêu? (Vui lòng điền tổng thu nhập trước khi khấu trừ các loại Bảo hiểm (BHXH, BHYT, BHTN) và Thuế TNCN)]]</f>
        <v>Từ 32 - 48 triệu VNĐ</v>
      </c>
      <c r="O165">
        <f>step3_validation[[#This Row],[Dependents]]</f>
        <v>2</v>
      </c>
      <c r="P165" t="str">
        <f>survey_responses[[#This Row],[Số người phụ thuộc (con nhỏ, cha mẹ già...) đủ điều kiện giảm trừ gia cảnh:]]</f>
        <v>2 người</v>
      </c>
      <c r="Q165">
        <f>step3_validation[[#This Row],[AI_ENF1]]</f>
        <v>7</v>
      </c>
      <c r="R165">
        <f t="shared" si="54"/>
        <v>0.66666666666666663</v>
      </c>
      <c r="S165">
        <f>survey_responses[[#This Row],[Tôi tin rằng với các quy định quản lý thuế hiện nay, hành vi gian lận hoặc trốn thuế sẽ dễ dàng bị phát hiện và xử lý nghiêm. - HUMAN-ENF1]]</f>
        <v>8</v>
      </c>
      <c r="T165">
        <f t="shared" si="55"/>
        <v>0.77777777777777779</v>
      </c>
      <c r="U165">
        <f>step3_validation[[#This Row],[AI_ENF2]]</f>
        <v>6</v>
      </c>
      <c r="V165">
        <f t="shared" si="56"/>
        <v>0.55555555555555558</v>
      </c>
      <c r="W165">
        <f>survey_responses[[#This Row],[Tôi tin rằng Nhà nước, cơ quan thuế có đủ khả năng và công nghệ để phát hiện, xử lý nghiêm các hành vi trốn thuế. - HUMAN-ENF2]]</f>
        <v>9</v>
      </c>
      <c r="X165">
        <f t="shared" si="57"/>
        <v>0.88888888888888884</v>
      </c>
      <c r="Y165" s="32">
        <f t="shared" si="58"/>
        <v>0.61111111111111116</v>
      </c>
      <c r="Z165" s="32">
        <f t="shared" si="59"/>
        <v>0.83333333333333326</v>
      </c>
      <c r="AA165">
        <f>step3_validation[[#This Row],[AI_FAC1]]</f>
        <v>9</v>
      </c>
      <c r="AB165">
        <f t="shared" si="60"/>
        <v>0.88888888888888884</v>
      </c>
      <c r="AC165">
        <f>survey_responses[[#This Row],[Các thủ tục khai báo thuế VÀ/HOẶC quy trình làm việc với cơ quan thuế đơn giản, tiện lợi, nhanh chóng hơn so với trước đây. - HUMAN-FAC1]]</f>
        <v>9</v>
      </c>
      <c r="AD165">
        <f t="shared" si="61"/>
        <v>0.88888888888888884</v>
      </c>
      <c r="AE165">
        <f>step3_validation[[#This Row],[AI_FAC2]]</f>
        <v>8</v>
      </c>
      <c r="AF165">
        <f t="shared" si="62"/>
        <v>0.77777777777777779</v>
      </c>
      <c r="AG165">
        <f>survey_responses[[#This Row],[So với trước đây, tôi thấy cách tính thuế và các bậc thuế trong phương án mới đơn giản, dễ hiểu và dễ thực hiện hơn. - HUMAN-FAC2]]</f>
        <v>9</v>
      </c>
      <c r="AH165">
        <f t="shared" si="63"/>
        <v>0.88888888888888884</v>
      </c>
      <c r="AI165" s="32">
        <f t="shared" si="64"/>
        <v>0.83333333333333326</v>
      </c>
      <c r="AJ165" s="32">
        <f t="shared" si="65"/>
        <v>0.88888888888888884</v>
      </c>
      <c r="AK165">
        <f>step3_validation[[#This Row],[AI_TRU1]]</f>
        <v>7</v>
      </c>
      <c r="AL165">
        <f t="shared" si="66"/>
        <v>0.66666666666666663</v>
      </c>
      <c r="AM165">
        <f>survey_responses[[#This Row],[Tôi tin rằng Nhà nước, cơ quan thuế sẽ thực thi chính sách mới một cách khách quan, công tâm và đối xử bình đẳng với mọi người nộp thuế.  - HUMAN-TRU1]]</f>
        <v>5</v>
      </c>
      <c r="AN165">
        <f t="shared" si="67"/>
        <v>0.44444444444444442</v>
      </c>
      <c r="AO165">
        <f>step3_validation[[#This Row],[AI_TRU2]]</f>
        <v>9</v>
      </c>
      <c r="AP165">
        <f t="shared" si="68"/>
        <v>0.88888888888888884</v>
      </c>
      <c r="AQ165">
        <f>survey_responses[[#This Row],[Tôi thấy mức thuế tôi phải đóng theo phương án mới là công bằng (người thu nhập như tôi đóng mức này là hợp lý). - HUMAN-TRU2]]</f>
        <v>7</v>
      </c>
      <c r="AR165">
        <f t="shared" si="69"/>
        <v>0.66666666666666663</v>
      </c>
      <c r="AS165">
        <f>step3_validation[[#This Row],[AI_TRU3]]</f>
        <v>8</v>
      </c>
      <c r="AT165">
        <f t="shared" si="70"/>
        <v>0.77777777777777779</v>
      </c>
      <c r="AU165">
        <f>survey_responses[[#This Row],[Tôi tin tưởng số tiền thuế tôi đóng sẽ được Nhà nước sử dụng hiệu quả để cải thiện dịch vụ công (y tế, đường xá...). - HUMAN-TRU3]]</f>
        <v>5</v>
      </c>
      <c r="AV165">
        <f t="shared" si="71"/>
        <v>0.44444444444444442</v>
      </c>
      <c r="AW165">
        <f>step3_validation[[#This Row],[AI_TRU4]]</f>
        <v>6</v>
      </c>
      <c r="AX165">
        <f t="shared" si="72"/>
        <v>0.55555555555555558</v>
      </c>
      <c r="AY165">
        <f>survey_responses[[#This Row],[Tôi thấy Nhà nước đã giải thích rõ ràng, minh bạch về lý do và mục tiêu của việc sửa đổi thuế lần này. - HUMAN-TRU4]]</f>
        <v>7</v>
      </c>
      <c r="AZ165">
        <f t="shared" si="73"/>
        <v>0.66666666666666663</v>
      </c>
      <c r="BA165" s="32">
        <f t="shared" si="74"/>
        <v>0.7222222222222221</v>
      </c>
      <c r="BB165" s="32">
        <f t="shared" si="75"/>
        <v>0.55555555555555558</v>
      </c>
      <c r="BC165" s="7">
        <f t="shared" si="76"/>
        <v>0.72222222222222221</v>
      </c>
      <c r="BD165" s="7">
        <f t="shared" si="77"/>
        <v>0.75925925925925919</v>
      </c>
      <c r="BE165">
        <f>step3_validation[[#This Row],[AI_OUT1]]</f>
        <v>9</v>
      </c>
      <c r="BF165">
        <f t="shared" si="78"/>
        <v>0.88888888888888884</v>
      </c>
      <c r="BG165">
        <f>survey_responses[[#This Row],[Sau khi xem xét các quyền lợi và nghĩa vụ, bạn có ủng hộ và tuân thủ chính sách mới hiện nay? - HUMAN-OUT1]]</f>
        <v>7</v>
      </c>
      <c r="BH165">
        <f t="shared" si="79"/>
        <v>0.66666666666666663</v>
      </c>
      <c r="BI165" s="32">
        <f t="shared" si="80"/>
        <v>2</v>
      </c>
    </row>
    <row r="166" spans="1:61" x14ac:dyDescent="0.45">
      <c r="A166" s="30">
        <f>step3_validation[[#This Row],[Persona_ID]]</f>
        <v>165</v>
      </c>
      <c r="B166" s="31">
        <f>step3_validation[[#This Row],[Used_Seed]]</f>
        <v>12509</v>
      </c>
      <c r="C166" t="str">
        <f>step3_validation[[#This Row],[Gender]]</f>
        <v>Nữ</v>
      </c>
      <c r="D166" t="str">
        <f>survey_responses[[#This Row],[Giới tính của bạn:]]</f>
        <v>Nữ</v>
      </c>
      <c r="E166" t="str">
        <f>step3_validation[[#This Row],[Age_Group]]</f>
        <v>30 - 39</v>
      </c>
      <c r="F166" t="str">
        <f>survey_responses[[#This Row],[Độ tuổi của bạn:]]</f>
        <v>30 - 39</v>
      </c>
      <c r="G166" t="str">
        <f>step3_validation[[#This Row],[Region]]</f>
        <v>Thành thị</v>
      </c>
      <c r="H166" t="str">
        <f>survey_responses[[#This Row],[Khu vực bạn đang sinh sống:]]</f>
        <v>Thành thị</v>
      </c>
      <c r="I166" t="str">
        <f>step3_validation[[#This Row],[Education]]</f>
        <v>Sau Đại học</v>
      </c>
      <c r="J166" t="str">
        <f>survey_responses[[#This Row],[Trình độ học vấn cao nhất:]]</f>
        <v>Sau Đại học</v>
      </c>
      <c r="K166" t="str">
        <f>step3_validation[[#This Row],[Employment]]</f>
        <v>Chính thức</v>
      </c>
      <c r="L166" t="str">
        <f>survey_responses[[#This Row],[Tình trạng việc làm chính:]]</f>
        <v>Khu vực chính thức (Có Hợp đồng lao động, đóng BHXH)</v>
      </c>
      <c r="M166">
        <f>step3_validation[[#This Row],[Income_Mil]]</f>
        <v>34.97978712203917</v>
      </c>
      <c r="N166" t="str">
        <f>survey_responses[[#This Row],[Thu nhập bình quân tháng theo Hợp đồng lao động của bạn là bao nhiêu? (Vui lòng điền tổng thu nhập trước khi khấu trừ các loại Bảo hiểm (BHXH, BHYT, BHTN) và Thuế TNCN)]]</f>
        <v>Từ 32 - 48 triệu VNĐ</v>
      </c>
      <c r="O166">
        <f>step3_validation[[#This Row],[Dependents]]</f>
        <v>0</v>
      </c>
      <c r="P166" t="str">
        <f>survey_responses[[#This Row],[Số người phụ thuộc (con nhỏ, cha mẹ già...) đủ điều kiện giảm trừ gia cảnh:]]</f>
        <v>0 người</v>
      </c>
      <c r="Q166">
        <f>step3_validation[[#This Row],[AI_ENF1]]</f>
        <v>9</v>
      </c>
      <c r="R166">
        <f t="shared" si="54"/>
        <v>0.88888888888888884</v>
      </c>
      <c r="S166">
        <f>survey_responses[[#This Row],[Tôi tin rằng với các quy định quản lý thuế hiện nay, hành vi gian lận hoặc trốn thuế sẽ dễ dàng bị phát hiện và xử lý nghiêm. - HUMAN-ENF1]]</f>
        <v>5</v>
      </c>
      <c r="T166">
        <f t="shared" si="55"/>
        <v>0.44444444444444442</v>
      </c>
      <c r="U166">
        <f>step3_validation[[#This Row],[AI_ENF2]]</f>
        <v>8</v>
      </c>
      <c r="V166">
        <f t="shared" si="56"/>
        <v>0.77777777777777779</v>
      </c>
      <c r="W166">
        <f>survey_responses[[#This Row],[Tôi tin rằng Nhà nước, cơ quan thuế có đủ khả năng và công nghệ để phát hiện, xử lý nghiêm các hành vi trốn thuế. - HUMAN-ENF2]]</f>
        <v>5</v>
      </c>
      <c r="X166">
        <f t="shared" si="57"/>
        <v>0.44444444444444442</v>
      </c>
      <c r="Y166" s="32">
        <f t="shared" si="58"/>
        <v>0.83333333333333326</v>
      </c>
      <c r="Z166" s="32">
        <f t="shared" si="59"/>
        <v>0.44444444444444442</v>
      </c>
      <c r="AA166">
        <f>step3_validation[[#This Row],[AI_FAC1]]</f>
        <v>9</v>
      </c>
      <c r="AB166">
        <f t="shared" si="60"/>
        <v>0.88888888888888884</v>
      </c>
      <c r="AC166">
        <f>survey_responses[[#This Row],[Các thủ tục khai báo thuế VÀ/HOẶC quy trình làm việc với cơ quan thuế đơn giản, tiện lợi, nhanh chóng hơn so với trước đây. - HUMAN-FAC1]]</f>
        <v>6</v>
      </c>
      <c r="AD166">
        <f t="shared" si="61"/>
        <v>0.55555555555555558</v>
      </c>
      <c r="AE166">
        <f>step3_validation[[#This Row],[AI_FAC2]]</f>
        <v>8</v>
      </c>
      <c r="AF166">
        <f t="shared" si="62"/>
        <v>0.77777777777777779</v>
      </c>
      <c r="AG166">
        <f>survey_responses[[#This Row],[So với trước đây, tôi thấy cách tính thuế và các bậc thuế trong phương án mới đơn giản, dễ hiểu và dễ thực hiện hơn. - HUMAN-FAC2]]</f>
        <v>6</v>
      </c>
      <c r="AH166">
        <f t="shared" si="63"/>
        <v>0.55555555555555558</v>
      </c>
      <c r="AI166" s="32">
        <f t="shared" si="64"/>
        <v>0.83333333333333326</v>
      </c>
      <c r="AJ166" s="32">
        <f t="shared" si="65"/>
        <v>0.55555555555555558</v>
      </c>
      <c r="AK166">
        <f>step3_validation[[#This Row],[AI_TRU1]]</f>
        <v>9</v>
      </c>
      <c r="AL166">
        <f t="shared" si="66"/>
        <v>0.88888888888888884</v>
      </c>
      <c r="AM166">
        <f>survey_responses[[#This Row],[Tôi tin rằng Nhà nước, cơ quan thuế sẽ thực thi chính sách mới một cách khách quan, công tâm và đối xử bình đẳng với mọi người nộp thuế.  - HUMAN-TRU1]]</f>
        <v>6</v>
      </c>
      <c r="AN166">
        <f t="shared" si="67"/>
        <v>0.55555555555555558</v>
      </c>
      <c r="AO166">
        <f>step3_validation[[#This Row],[AI_TRU2]]</f>
        <v>8</v>
      </c>
      <c r="AP166">
        <f t="shared" si="68"/>
        <v>0.77777777777777779</v>
      </c>
      <c r="AQ166">
        <f>survey_responses[[#This Row],[Tôi thấy mức thuế tôi phải đóng theo phương án mới là công bằng (người thu nhập như tôi đóng mức này là hợp lý). - HUMAN-TRU2]]</f>
        <v>6</v>
      </c>
      <c r="AR166">
        <f t="shared" si="69"/>
        <v>0.55555555555555558</v>
      </c>
      <c r="AS166">
        <f>step3_validation[[#This Row],[AI_TRU3]]</f>
        <v>9</v>
      </c>
      <c r="AT166">
        <f t="shared" si="70"/>
        <v>0.88888888888888884</v>
      </c>
      <c r="AU166">
        <f>survey_responses[[#This Row],[Tôi tin tưởng số tiền thuế tôi đóng sẽ được Nhà nước sử dụng hiệu quả để cải thiện dịch vụ công (y tế, đường xá...). - HUMAN-TRU3]]</f>
        <v>5</v>
      </c>
      <c r="AV166">
        <f t="shared" si="71"/>
        <v>0.44444444444444442</v>
      </c>
      <c r="AW166">
        <f>step3_validation[[#This Row],[AI_TRU4]]</f>
        <v>8</v>
      </c>
      <c r="AX166">
        <f t="shared" si="72"/>
        <v>0.77777777777777779</v>
      </c>
      <c r="AY166">
        <f>survey_responses[[#This Row],[Tôi thấy Nhà nước đã giải thích rõ ràng, minh bạch về lý do và mục tiêu của việc sửa đổi thuế lần này. - HUMAN-TRU4]]</f>
        <v>7</v>
      </c>
      <c r="AZ166">
        <f t="shared" si="73"/>
        <v>0.66666666666666663</v>
      </c>
      <c r="BA166" s="32">
        <f t="shared" si="74"/>
        <v>0.83333333333333326</v>
      </c>
      <c r="BB166" s="32">
        <f t="shared" si="75"/>
        <v>0.55555555555555558</v>
      </c>
      <c r="BC166" s="7">
        <f t="shared" si="76"/>
        <v>0.83333333333333337</v>
      </c>
      <c r="BD166" s="7">
        <f t="shared" si="77"/>
        <v>0.51851851851851849</v>
      </c>
      <c r="BE166">
        <f>step3_validation[[#This Row],[AI_OUT1]]</f>
        <v>9</v>
      </c>
      <c r="BF166">
        <f t="shared" si="78"/>
        <v>0.88888888888888884</v>
      </c>
      <c r="BG166">
        <f>survey_responses[[#This Row],[Sau khi xem xét các quyền lợi và nghĩa vụ, bạn có ủng hộ và tuân thủ chính sách mới hiện nay? - HUMAN-OUT1]]</f>
        <v>8</v>
      </c>
      <c r="BH166">
        <f t="shared" si="79"/>
        <v>0.77777777777777779</v>
      </c>
      <c r="BI166" s="32">
        <f t="shared" si="80"/>
        <v>1</v>
      </c>
    </row>
    <row r="167" spans="1:61" x14ac:dyDescent="0.45">
      <c r="A167" s="30">
        <f>step3_validation[[#This Row],[Persona_ID]]</f>
        <v>166</v>
      </c>
      <c r="B167" s="31">
        <f>step3_validation[[#This Row],[Used_Seed]]</f>
        <v>12510</v>
      </c>
      <c r="C167" t="str">
        <f>step3_validation[[#This Row],[Gender]]</f>
        <v>Nữ</v>
      </c>
      <c r="D167" t="str">
        <f>survey_responses[[#This Row],[Giới tính của bạn:]]</f>
        <v>Nữ</v>
      </c>
      <c r="E167" t="str">
        <f>step3_validation[[#This Row],[Age_Group]]</f>
        <v>30 - 39</v>
      </c>
      <c r="F167" t="str">
        <f>survey_responses[[#This Row],[Độ tuổi của bạn:]]</f>
        <v>30 - 39</v>
      </c>
      <c r="G167" t="str">
        <f>step3_validation[[#This Row],[Region]]</f>
        <v>Thành thị</v>
      </c>
      <c r="H167" t="str">
        <f>survey_responses[[#This Row],[Khu vực bạn đang sinh sống:]]</f>
        <v>Thành thị</v>
      </c>
      <c r="I167" t="str">
        <f>step3_validation[[#This Row],[Education]]</f>
        <v>Sau Đại học</v>
      </c>
      <c r="J167" t="str">
        <f>survey_responses[[#This Row],[Trình độ học vấn cao nhất:]]</f>
        <v>Sau Đại học</v>
      </c>
      <c r="K167" t="str">
        <f>step3_validation[[#This Row],[Employment]]</f>
        <v>Chính thức</v>
      </c>
      <c r="L167" t="str">
        <f>survey_responses[[#This Row],[Tình trạng việc làm chính:]]</f>
        <v>Khu vực chính thức (Có Hợp đồng lao động, đóng BHXH)</v>
      </c>
      <c r="M167">
        <f>step3_validation[[#This Row],[Income_Mil]]</f>
        <v>38.465252929521412</v>
      </c>
      <c r="N167" t="str">
        <f>survey_responses[[#This Row],[Thu nhập bình quân tháng theo Hợp đồng lao động của bạn là bao nhiêu? (Vui lòng điền tổng thu nhập trước khi khấu trừ các loại Bảo hiểm (BHXH, BHYT, BHTN) và Thuế TNCN)]]</f>
        <v>Từ 32 - 48 triệu VNĐ</v>
      </c>
      <c r="O167">
        <f>step3_validation[[#This Row],[Dependents]]</f>
        <v>1</v>
      </c>
      <c r="P167" t="str">
        <f>survey_responses[[#This Row],[Số người phụ thuộc (con nhỏ, cha mẹ già...) đủ điều kiện giảm trừ gia cảnh:]]</f>
        <v>1 người</v>
      </c>
      <c r="Q167">
        <f>step3_validation[[#This Row],[AI_ENF1]]</f>
        <v>6</v>
      </c>
      <c r="R167">
        <f t="shared" si="54"/>
        <v>0.55555555555555558</v>
      </c>
      <c r="S167">
        <f>survey_responses[[#This Row],[Tôi tin rằng với các quy định quản lý thuế hiện nay, hành vi gian lận hoặc trốn thuế sẽ dễ dàng bị phát hiện và xử lý nghiêm. - HUMAN-ENF1]]</f>
        <v>10</v>
      </c>
      <c r="T167">
        <f t="shared" si="55"/>
        <v>1</v>
      </c>
      <c r="U167">
        <f>step3_validation[[#This Row],[AI_ENF2]]</f>
        <v>7</v>
      </c>
      <c r="V167">
        <f t="shared" si="56"/>
        <v>0.66666666666666663</v>
      </c>
      <c r="W167">
        <f>survey_responses[[#This Row],[Tôi tin rằng Nhà nước, cơ quan thuế có đủ khả năng và công nghệ để phát hiện, xử lý nghiêm các hành vi trốn thuế. - HUMAN-ENF2]]</f>
        <v>8</v>
      </c>
      <c r="X167">
        <f t="shared" si="57"/>
        <v>0.77777777777777779</v>
      </c>
      <c r="Y167" s="32">
        <f t="shared" si="58"/>
        <v>0.61111111111111116</v>
      </c>
      <c r="Z167" s="32">
        <f t="shared" si="59"/>
        <v>0.88888888888888884</v>
      </c>
      <c r="AA167">
        <f>step3_validation[[#This Row],[AI_FAC1]]</f>
        <v>5</v>
      </c>
      <c r="AB167">
        <f t="shared" si="60"/>
        <v>0.44444444444444442</v>
      </c>
      <c r="AC167">
        <f>survey_responses[[#This Row],[Các thủ tục khai báo thuế VÀ/HOẶC quy trình làm việc với cơ quan thuế đơn giản, tiện lợi, nhanh chóng hơn so với trước đây. - HUMAN-FAC1]]</f>
        <v>10</v>
      </c>
      <c r="AD167">
        <f t="shared" si="61"/>
        <v>1</v>
      </c>
      <c r="AE167">
        <f>step3_validation[[#This Row],[AI_FAC2]]</f>
        <v>7</v>
      </c>
      <c r="AF167">
        <f t="shared" si="62"/>
        <v>0.66666666666666663</v>
      </c>
      <c r="AG167">
        <f>survey_responses[[#This Row],[So với trước đây, tôi thấy cách tính thuế và các bậc thuế trong phương án mới đơn giản, dễ hiểu và dễ thực hiện hơn. - HUMAN-FAC2]]</f>
        <v>10</v>
      </c>
      <c r="AH167">
        <f t="shared" si="63"/>
        <v>1</v>
      </c>
      <c r="AI167" s="32">
        <f t="shared" si="64"/>
        <v>0.55555555555555558</v>
      </c>
      <c r="AJ167" s="32">
        <f t="shared" si="65"/>
        <v>1</v>
      </c>
      <c r="AK167">
        <f>step3_validation[[#This Row],[AI_TRU1]]</f>
        <v>8</v>
      </c>
      <c r="AL167">
        <f t="shared" si="66"/>
        <v>0.77777777777777779</v>
      </c>
      <c r="AM167">
        <f>survey_responses[[#This Row],[Tôi tin rằng Nhà nước, cơ quan thuế sẽ thực thi chính sách mới một cách khách quan, công tâm và đối xử bình đẳng với mọi người nộp thuế.  - HUMAN-TRU1]]</f>
        <v>10</v>
      </c>
      <c r="AN167">
        <f t="shared" si="67"/>
        <v>1</v>
      </c>
      <c r="AO167">
        <f>step3_validation[[#This Row],[AI_TRU2]]</f>
        <v>8</v>
      </c>
      <c r="AP167">
        <f t="shared" si="68"/>
        <v>0.77777777777777779</v>
      </c>
      <c r="AQ167">
        <f>survey_responses[[#This Row],[Tôi thấy mức thuế tôi phải đóng theo phương án mới là công bằng (người thu nhập như tôi đóng mức này là hợp lý). - HUMAN-TRU2]]</f>
        <v>10</v>
      </c>
      <c r="AR167">
        <f t="shared" si="69"/>
        <v>1</v>
      </c>
      <c r="AS167">
        <f>step3_validation[[#This Row],[AI_TRU3]]</f>
        <v>7</v>
      </c>
      <c r="AT167">
        <f t="shared" si="70"/>
        <v>0.66666666666666663</v>
      </c>
      <c r="AU167">
        <f>survey_responses[[#This Row],[Tôi tin tưởng số tiền thuế tôi đóng sẽ được Nhà nước sử dụng hiệu quả để cải thiện dịch vụ công (y tế, đường xá...). - HUMAN-TRU3]]</f>
        <v>10</v>
      </c>
      <c r="AV167">
        <f t="shared" si="71"/>
        <v>1</v>
      </c>
      <c r="AW167">
        <f>step3_validation[[#This Row],[AI_TRU4]]</f>
        <v>8</v>
      </c>
      <c r="AX167">
        <f t="shared" si="72"/>
        <v>0.77777777777777779</v>
      </c>
      <c r="AY167">
        <f>survey_responses[[#This Row],[Tôi thấy Nhà nước đã giải thích rõ ràng, minh bạch về lý do và mục tiêu của việc sửa đổi thuế lần này. - HUMAN-TRU4]]</f>
        <v>10</v>
      </c>
      <c r="AZ167">
        <f t="shared" si="73"/>
        <v>1</v>
      </c>
      <c r="BA167" s="32">
        <f t="shared" si="74"/>
        <v>0.75</v>
      </c>
      <c r="BB167" s="32">
        <f t="shared" si="75"/>
        <v>1</v>
      </c>
      <c r="BC167" s="7">
        <f t="shared" si="76"/>
        <v>0.63888888888888895</v>
      </c>
      <c r="BD167" s="7">
        <f t="shared" si="77"/>
        <v>0.96296296296296291</v>
      </c>
      <c r="BE167">
        <f>step3_validation[[#This Row],[AI_OUT1]]</f>
        <v>9</v>
      </c>
      <c r="BF167">
        <f t="shared" si="78"/>
        <v>0.88888888888888884</v>
      </c>
      <c r="BG167">
        <f>survey_responses[[#This Row],[Sau khi xem xét các quyền lợi và nghĩa vụ, bạn có ủng hộ và tuân thủ chính sách mới hiện nay? - HUMAN-OUT1]]</f>
        <v>8</v>
      </c>
      <c r="BH167">
        <f t="shared" si="79"/>
        <v>0.77777777777777779</v>
      </c>
      <c r="BI167" s="32">
        <f t="shared" si="80"/>
        <v>1</v>
      </c>
    </row>
    <row r="168" spans="1:61" x14ac:dyDescent="0.45">
      <c r="A168" s="30">
        <f>step3_validation[[#This Row],[Persona_ID]]</f>
        <v>167</v>
      </c>
      <c r="B168" s="31">
        <f>step3_validation[[#This Row],[Used_Seed]]</f>
        <v>12511</v>
      </c>
      <c r="C168" t="str">
        <f>step3_validation[[#This Row],[Gender]]</f>
        <v>Nam</v>
      </c>
      <c r="D168" t="str">
        <f>survey_responses[[#This Row],[Giới tính của bạn:]]</f>
        <v>Nam</v>
      </c>
      <c r="E168" t="str">
        <f>step3_validation[[#This Row],[Age_Group]]</f>
        <v>30 - 39</v>
      </c>
      <c r="F168" t="str">
        <f>survey_responses[[#This Row],[Độ tuổi của bạn:]]</f>
        <v>30 - 39</v>
      </c>
      <c r="G168" t="str">
        <f>step3_validation[[#This Row],[Region]]</f>
        <v>Thành thị</v>
      </c>
      <c r="H168" t="str">
        <f>survey_responses[[#This Row],[Khu vực bạn đang sinh sống:]]</f>
        <v>Thành thị</v>
      </c>
      <c r="I168" t="str">
        <f>step3_validation[[#This Row],[Education]]</f>
        <v>Sau Đại học</v>
      </c>
      <c r="J168" t="str">
        <f>survey_responses[[#This Row],[Trình độ học vấn cao nhất:]]</f>
        <v>Sau Đại học</v>
      </c>
      <c r="K168" t="str">
        <f>step3_validation[[#This Row],[Employment]]</f>
        <v>Chính thức</v>
      </c>
      <c r="L168" t="str">
        <f>survey_responses[[#This Row],[Tình trạng việc làm chính:]]</f>
        <v>Khu vực chính thức (Có Hợp đồng lao động, đóng BHXH)</v>
      </c>
      <c r="M168">
        <f>step3_validation[[#This Row],[Income_Mil]]</f>
        <v>72.442077362604877</v>
      </c>
      <c r="N168" t="str">
        <f>survey_responses[[#This Row],[Thu nhập bình quân tháng theo Hợp đồng lao động của bạn là bao nhiêu? (Vui lòng điền tổng thu nhập trước khi khấu trừ các loại Bảo hiểm (BHXH, BHYT, BHTN) và Thuế TNCN)]]</f>
        <v>Từ 70 - 102 triệu VNĐ</v>
      </c>
      <c r="O168">
        <f>step3_validation[[#This Row],[Dependents]]</f>
        <v>0</v>
      </c>
      <c r="P168" t="str">
        <f>survey_responses[[#This Row],[Số người phụ thuộc (con nhỏ, cha mẹ già...) đủ điều kiện giảm trừ gia cảnh:]]</f>
        <v>0 người</v>
      </c>
      <c r="Q168">
        <f>step3_validation[[#This Row],[AI_ENF1]]</f>
        <v>7</v>
      </c>
      <c r="R168">
        <f t="shared" si="54"/>
        <v>0.66666666666666663</v>
      </c>
      <c r="S168">
        <f>survey_responses[[#This Row],[Tôi tin rằng với các quy định quản lý thuế hiện nay, hành vi gian lận hoặc trốn thuế sẽ dễ dàng bị phát hiện và xử lý nghiêm. - HUMAN-ENF1]]</f>
        <v>5</v>
      </c>
      <c r="T168">
        <f t="shared" si="55"/>
        <v>0.44444444444444442</v>
      </c>
      <c r="U168">
        <f>step3_validation[[#This Row],[AI_ENF2]]</f>
        <v>8</v>
      </c>
      <c r="V168">
        <f t="shared" si="56"/>
        <v>0.77777777777777779</v>
      </c>
      <c r="W168">
        <f>survey_responses[[#This Row],[Tôi tin rằng Nhà nước, cơ quan thuế có đủ khả năng và công nghệ để phát hiện, xử lý nghiêm các hành vi trốn thuế. - HUMAN-ENF2]]</f>
        <v>8</v>
      </c>
      <c r="X168">
        <f t="shared" si="57"/>
        <v>0.77777777777777779</v>
      </c>
      <c r="Y168" s="32">
        <f t="shared" si="58"/>
        <v>0.72222222222222221</v>
      </c>
      <c r="Z168" s="32">
        <f t="shared" si="59"/>
        <v>0.61111111111111116</v>
      </c>
      <c r="AA168">
        <f>step3_validation[[#This Row],[AI_FAC1]]</f>
        <v>7</v>
      </c>
      <c r="AB168">
        <f t="shared" si="60"/>
        <v>0.66666666666666663</v>
      </c>
      <c r="AC168">
        <f>survey_responses[[#This Row],[Các thủ tục khai báo thuế VÀ/HOẶC quy trình làm việc với cơ quan thuế đơn giản, tiện lợi, nhanh chóng hơn so với trước đây. - HUMAN-FAC1]]</f>
        <v>5</v>
      </c>
      <c r="AD168">
        <f t="shared" si="61"/>
        <v>0.44444444444444442</v>
      </c>
      <c r="AE168">
        <f>step3_validation[[#This Row],[AI_FAC2]]</f>
        <v>8</v>
      </c>
      <c r="AF168">
        <f t="shared" si="62"/>
        <v>0.77777777777777779</v>
      </c>
      <c r="AG168">
        <f>survey_responses[[#This Row],[So với trước đây, tôi thấy cách tính thuế và các bậc thuế trong phương án mới đơn giản, dễ hiểu và dễ thực hiện hơn. - HUMAN-FAC2]]</f>
        <v>8</v>
      </c>
      <c r="AH168">
        <f t="shared" si="63"/>
        <v>0.77777777777777779</v>
      </c>
      <c r="AI168" s="32">
        <f t="shared" si="64"/>
        <v>0.72222222222222221</v>
      </c>
      <c r="AJ168" s="32">
        <f t="shared" si="65"/>
        <v>0.61111111111111116</v>
      </c>
      <c r="AK168">
        <f>step3_validation[[#This Row],[AI_TRU1]]</f>
        <v>9</v>
      </c>
      <c r="AL168">
        <f t="shared" si="66"/>
        <v>0.88888888888888884</v>
      </c>
      <c r="AM168">
        <f>survey_responses[[#This Row],[Tôi tin rằng Nhà nước, cơ quan thuế sẽ thực thi chính sách mới một cách khách quan, công tâm và đối xử bình đẳng với mọi người nộp thuế.  - HUMAN-TRU1]]</f>
        <v>4</v>
      </c>
      <c r="AN168">
        <f t="shared" si="67"/>
        <v>0.33333333333333331</v>
      </c>
      <c r="AO168">
        <f>step3_validation[[#This Row],[AI_TRU2]]</f>
        <v>9</v>
      </c>
      <c r="AP168">
        <f t="shared" si="68"/>
        <v>0.88888888888888884</v>
      </c>
      <c r="AQ168">
        <f>survey_responses[[#This Row],[Tôi thấy mức thuế tôi phải đóng theo phương án mới là công bằng (người thu nhập như tôi đóng mức này là hợp lý). - HUMAN-TRU2]]</f>
        <v>5</v>
      </c>
      <c r="AR168">
        <f t="shared" si="69"/>
        <v>0.44444444444444442</v>
      </c>
      <c r="AS168">
        <f>step3_validation[[#This Row],[AI_TRU3]]</f>
        <v>8</v>
      </c>
      <c r="AT168">
        <f t="shared" si="70"/>
        <v>0.77777777777777779</v>
      </c>
      <c r="AU168">
        <f>survey_responses[[#This Row],[Tôi tin tưởng số tiền thuế tôi đóng sẽ được Nhà nước sử dụng hiệu quả để cải thiện dịch vụ công (y tế, đường xá...). - HUMAN-TRU3]]</f>
        <v>1</v>
      </c>
      <c r="AV168">
        <f t="shared" si="71"/>
        <v>0</v>
      </c>
      <c r="AW168">
        <f>step3_validation[[#This Row],[AI_TRU4]]</f>
        <v>7</v>
      </c>
      <c r="AX168">
        <f t="shared" si="72"/>
        <v>0.66666666666666663</v>
      </c>
      <c r="AY168">
        <f>survey_responses[[#This Row],[Tôi thấy Nhà nước đã giải thích rõ ràng, minh bạch về lý do và mục tiêu của việc sửa đổi thuế lần này. - HUMAN-TRU4]]</f>
        <v>5</v>
      </c>
      <c r="AZ168">
        <f t="shared" si="73"/>
        <v>0.44444444444444442</v>
      </c>
      <c r="BA168" s="32">
        <f t="shared" si="74"/>
        <v>0.80555555555555547</v>
      </c>
      <c r="BB168" s="32">
        <f t="shared" si="75"/>
        <v>0.30555555555555552</v>
      </c>
      <c r="BC168" s="7">
        <f t="shared" si="76"/>
        <v>0.75</v>
      </c>
      <c r="BD168" s="7">
        <f t="shared" si="77"/>
        <v>0.5092592592592593</v>
      </c>
      <c r="BE168">
        <f>step3_validation[[#This Row],[AI_OUT1]]</f>
        <v>9</v>
      </c>
      <c r="BF168">
        <f t="shared" si="78"/>
        <v>0.88888888888888884</v>
      </c>
      <c r="BG168">
        <f>survey_responses[[#This Row],[Sau khi xem xét các quyền lợi và nghĩa vụ, bạn có ủng hộ và tuân thủ chính sách mới hiện nay? - HUMAN-OUT1]]</f>
        <v>5</v>
      </c>
      <c r="BH168">
        <f t="shared" si="79"/>
        <v>0.44444444444444442</v>
      </c>
      <c r="BI168" s="32">
        <f t="shared" si="80"/>
        <v>4</v>
      </c>
    </row>
    <row r="169" spans="1:61" x14ac:dyDescent="0.45">
      <c r="A169" s="30">
        <f>step3_validation[[#This Row],[Persona_ID]]</f>
        <v>168</v>
      </c>
      <c r="B169" s="31">
        <f>step3_validation[[#This Row],[Used_Seed]]</f>
        <v>12512</v>
      </c>
      <c r="C169" t="str">
        <f>step3_validation[[#This Row],[Gender]]</f>
        <v>Nữ</v>
      </c>
      <c r="D169" t="str">
        <f>survey_responses[[#This Row],[Giới tính của bạn:]]</f>
        <v>Nữ</v>
      </c>
      <c r="E169" t="str">
        <f>step3_validation[[#This Row],[Age_Group]]</f>
        <v>25 - 29</v>
      </c>
      <c r="F169" t="str">
        <f>survey_responses[[#This Row],[Độ tuổi của bạn:]]</f>
        <v>25 - 29</v>
      </c>
      <c r="G169" t="str">
        <f>step3_validation[[#This Row],[Region]]</f>
        <v>Thành thị</v>
      </c>
      <c r="H169" t="str">
        <f>survey_responses[[#This Row],[Khu vực bạn đang sinh sống:]]</f>
        <v>Thành thị</v>
      </c>
      <c r="I169" t="str">
        <f>step3_validation[[#This Row],[Education]]</f>
        <v>Đại học</v>
      </c>
      <c r="J169" t="str">
        <f>survey_responses[[#This Row],[Trình độ học vấn cao nhất:]]</f>
        <v>Đại học</v>
      </c>
      <c r="K169" t="str">
        <f>step3_validation[[#This Row],[Employment]]</f>
        <v>Chính thức</v>
      </c>
      <c r="L169" t="str">
        <f>survey_responses[[#This Row],[Tình trạng việc làm chính:]]</f>
        <v>Khu vực chính thức (Có Hợp đồng lao động, đóng BHXH)</v>
      </c>
      <c r="M169">
        <f>step3_validation[[#This Row],[Income_Mil]]</f>
        <v>18.635888982473595</v>
      </c>
      <c r="N169" t="str">
        <f>survey_responses[[#This Row],[Thu nhập bình quân tháng theo Hợp đồng lao động của bạn là bao nhiêu? (Vui lòng điền tổng thu nhập trước khi khấu trừ các loại Bảo hiểm (BHXH, BHYT, BHTN) và Thuế TNCN)]]</f>
        <v>Từ 18 - 23 triệu VNĐ</v>
      </c>
      <c r="O169">
        <f>step3_validation[[#This Row],[Dependents]]</f>
        <v>0</v>
      </c>
      <c r="P169" t="str">
        <f>survey_responses[[#This Row],[Số người phụ thuộc (con nhỏ, cha mẹ già...) đủ điều kiện giảm trừ gia cảnh:]]</f>
        <v>0 người</v>
      </c>
      <c r="Q169">
        <f>step3_validation[[#This Row],[AI_ENF1]]</f>
        <v>7</v>
      </c>
      <c r="R169">
        <f t="shared" si="54"/>
        <v>0.66666666666666663</v>
      </c>
      <c r="S169">
        <f>survey_responses[[#This Row],[Tôi tin rằng với các quy định quản lý thuế hiện nay, hành vi gian lận hoặc trốn thuế sẽ dễ dàng bị phát hiện và xử lý nghiêm. - HUMAN-ENF1]]</f>
        <v>7</v>
      </c>
      <c r="T169">
        <f t="shared" si="55"/>
        <v>0.66666666666666663</v>
      </c>
      <c r="U169">
        <f>step3_validation[[#This Row],[AI_ENF2]]</f>
        <v>7</v>
      </c>
      <c r="V169">
        <f t="shared" si="56"/>
        <v>0.66666666666666663</v>
      </c>
      <c r="W169">
        <f>survey_responses[[#This Row],[Tôi tin rằng Nhà nước, cơ quan thuế có đủ khả năng và công nghệ để phát hiện, xử lý nghiêm các hành vi trốn thuế. - HUMAN-ENF2]]</f>
        <v>7</v>
      </c>
      <c r="X169">
        <f t="shared" si="57"/>
        <v>0.66666666666666663</v>
      </c>
      <c r="Y169" s="32">
        <f t="shared" si="58"/>
        <v>0.66666666666666663</v>
      </c>
      <c r="Z169" s="32">
        <f t="shared" si="59"/>
        <v>0.66666666666666663</v>
      </c>
      <c r="AA169">
        <f>step3_validation[[#This Row],[AI_FAC1]]</f>
        <v>9</v>
      </c>
      <c r="AB169">
        <f t="shared" si="60"/>
        <v>0.88888888888888884</v>
      </c>
      <c r="AC169">
        <f>survey_responses[[#This Row],[Các thủ tục khai báo thuế VÀ/HOẶC quy trình làm việc với cơ quan thuế đơn giản, tiện lợi, nhanh chóng hơn so với trước đây. - HUMAN-FAC1]]</f>
        <v>8</v>
      </c>
      <c r="AD169">
        <f t="shared" si="61"/>
        <v>0.77777777777777779</v>
      </c>
      <c r="AE169">
        <f>step3_validation[[#This Row],[AI_FAC2]]</f>
        <v>9</v>
      </c>
      <c r="AF169">
        <f t="shared" si="62"/>
        <v>0.88888888888888884</v>
      </c>
      <c r="AG169">
        <f>survey_responses[[#This Row],[So với trước đây, tôi thấy cách tính thuế và các bậc thuế trong phương án mới đơn giản, dễ hiểu và dễ thực hiện hơn. - HUMAN-FAC2]]</f>
        <v>8</v>
      </c>
      <c r="AH169">
        <f t="shared" si="63"/>
        <v>0.77777777777777779</v>
      </c>
      <c r="AI169" s="32">
        <f t="shared" si="64"/>
        <v>0.88888888888888884</v>
      </c>
      <c r="AJ169" s="32">
        <f t="shared" si="65"/>
        <v>0.77777777777777779</v>
      </c>
      <c r="AK169">
        <f>step3_validation[[#This Row],[AI_TRU1]]</f>
        <v>8</v>
      </c>
      <c r="AL169">
        <f t="shared" si="66"/>
        <v>0.77777777777777779</v>
      </c>
      <c r="AM169">
        <f>survey_responses[[#This Row],[Tôi tin rằng Nhà nước, cơ quan thuế sẽ thực thi chính sách mới một cách khách quan, công tâm và đối xử bình đẳng với mọi người nộp thuế.  - HUMAN-TRU1]]</f>
        <v>7</v>
      </c>
      <c r="AN169">
        <f t="shared" si="67"/>
        <v>0.66666666666666663</v>
      </c>
      <c r="AO169">
        <f>step3_validation[[#This Row],[AI_TRU2]]</f>
        <v>8</v>
      </c>
      <c r="AP169">
        <f t="shared" si="68"/>
        <v>0.77777777777777779</v>
      </c>
      <c r="AQ169">
        <f>survey_responses[[#This Row],[Tôi thấy mức thuế tôi phải đóng theo phương án mới là công bằng (người thu nhập như tôi đóng mức này là hợp lý). - HUMAN-TRU2]]</f>
        <v>8</v>
      </c>
      <c r="AR169">
        <f t="shared" si="69"/>
        <v>0.77777777777777779</v>
      </c>
      <c r="AS169">
        <f>step3_validation[[#This Row],[AI_TRU3]]</f>
        <v>7</v>
      </c>
      <c r="AT169">
        <f t="shared" si="70"/>
        <v>0.66666666666666663</v>
      </c>
      <c r="AU169">
        <f>survey_responses[[#This Row],[Tôi tin tưởng số tiền thuế tôi đóng sẽ được Nhà nước sử dụng hiệu quả để cải thiện dịch vụ công (y tế, đường xá...). - HUMAN-TRU3]]</f>
        <v>8</v>
      </c>
      <c r="AV169">
        <f t="shared" si="71"/>
        <v>0.77777777777777779</v>
      </c>
      <c r="AW169">
        <f>step3_validation[[#This Row],[AI_TRU4]]</f>
        <v>7</v>
      </c>
      <c r="AX169">
        <f t="shared" si="72"/>
        <v>0.66666666666666663</v>
      </c>
      <c r="AY169">
        <f>survey_responses[[#This Row],[Tôi thấy Nhà nước đã giải thích rõ ràng, minh bạch về lý do và mục tiêu của việc sửa đổi thuế lần này. - HUMAN-TRU4]]</f>
        <v>8</v>
      </c>
      <c r="AZ169">
        <f t="shared" si="73"/>
        <v>0.77777777777777779</v>
      </c>
      <c r="BA169" s="32">
        <f t="shared" si="74"/>
        <v>0.72222222222222221</v>
      </c>
      <c r="BB169" s="32">
        <f t="shared" si="75"/>
        <v>0.75</v>
      </c>
      <c r="BC169" s="7">
        <f t="shared" si="76"/>
        <v>0.75925925925925919</v>
      </c>
      <c r="BD169" s="7">
        <f t="shared" si="77"/>
        <v>0.73148148148148151</v>
      </c>
      <c r="BE169">
        <f>step3_validation[[#This Row],[AI_OUT1]]</f>
        <v>9</v>
      </c>
      <c r="BF169">
        <f t="shared" si="78"/>
        <v>0.88888888888888884</v>
      </c>
      <c r="BG169">
        <f>survey_responses[[#This Row],[Sau khi xem xét các quyền lợi và nghĩa vụ, bạn có ủng hộ và tuân thủ chính sách mới hiện nay? - HUMAN-OUT1]]</f>
        <v>9</v>
      </c>
      <c r="BH169">
        <f t="shared" si="79"/>
        <v>0.88888888888888884</v>
      </c>
      <c r="BI169" s="32">
        <f t="shared" si="80"/>
        <v>0</v>
      </c>
    </row>
    <row r="170" spans="1:61" x14ac:dyDescent="0.45">
      <c r="A170" s="30">
        <f>step3_validation[[#This Row],[Persona_ID]]</f>
        <v>169</v>
      </c>
      <c r="B170" s="31">
        <f>step3_validation[[#This Row],[Used_Seed]]</f>
        <v>12513</v>
      </c>
      <c r="C170" t="str">
        <f>step3_validation[[#This Row],[Gender]]</f>
        <v>Nam</v>
      </c>
      <c r="D170" t="str">
        <f>survey_responses[[#This Row],[Giới tính của bạn:]]</f>
        <v>Nam</v>
      </c>
      <c r="E170" t="str">
        <f>step3_validation[[#This Row],[Age_Group]]</f>
        <v>40 - 49</v>
      </c>
      <c r="F170" t="str">
        <f>survey_responses[[#This Row],[Độ tuổi của bạn:]]</f>
        <v>40 - 49</v>
      </c>
      <c r="G170" t="str">
        <f>step3_validation[[#This Row],[Region]]</f>
        <v>Thành thị</v>
      </c>
      <c r="H170" t="str">
        <f>survey_responses[[#This Row],[Khu vực bạn đang sinh sống:]]</f>
        <v>Thành thị</v>
      </c>
      <c r="I170" t="str">
        <f>step3_validation[[#This Row],[Education]]</f>
        <v>Đại học</v>
      </c>
      <c r="J170" t="str">
        <f>survey_responses[[#This Row],[Trình độ học vấn cao nhất:]]</f>
        <v>Đại học</v>
      </c>
      <c r="K170" t="str">
        <f>step3_validation[[#This Row],[Employment]]</f>
        <v>Chính thức</v>
      </c>
      <c r="L170" t="str">
        <f>survey_responses[[#This Row],[Tình trạng việc làm chính:]]</f>
        <v>Khu vực chính thức (Có Hợp đồng lao động, đóng BHXH)</v>
      </c>
      <c r="M170">
        <f>step3_validation[[#This Row],[Income_Mil]]</f>
        <v>33.164972888402048</v>
      </c>
      <c r="N170" t="str">
        <f>survey_responses[[#This Row],[Thu nhập bình quân tháng theo Hợp đồng lao động của bạn là bao nhiêu? (Vui lòng điền tổng thu nhập trước khi khấu trừ các loại Bảo hiểm (BHXH, BHYT, BHTN) và Thuế TNCN)]]</f>
        <v>Từ 32 - 48 triệu VNĐ</v>
      </c>
      <c r="O170">
        <f>step3_validation[[#This Row],[Dependents]]</f>
        <v>0</v>
      </c>
      <c r="P170" t="str">
        <f>survey_responses[[#This Row],[Số người phụ thuộc (con nhỏ, cha mẹ già...) đủ điều kiện giảm trừ gia cảnh:]]</f>
        <v>0 người</v>
      </c>
      <c r="Q170">
        <f>step3_validation[[#This Row],[AI_ENF1]]</f>
        <v>8</v>
      </c>
      <c r="R170">
        <f t="shared" si="54"/>
        <v>0.77777777777777779</v>
      </c>
      <c r="S170">
        <f>survey_responses[[#This Row],[Tôi tin rằng với các quy định quản lý thuế hiện nay, hành vi gian lận hoặc trốn thuế sẽ dễ dàng bị phát hiện và xử lý nghiêm. - HUMAN-ENF1]]</f>
        <v>8</v>
      </c>
      <c r="T170">
        <f t="shared" si="55"/>
        <v>0.77777777777777779</v>
      </c>
      <c r="U170">
        <f>step3_validation[[#This Row],[AI_ENF2]]</f>
        <v>9</v>
      </c>
      <c r="V170">
        <f t="shared" si="56"/>
        <v>0.88888888888888884</v>
      </c>
      <c r="W170">
        <f>survey_responses[[#This Row],[Tôi tin rằng Nhà nước, cơ quan thuế có đủ khả năng và công nghệ để phát hiện, xử lý nghiêm các hành vi trốn thuế. - HUMAN-ENF2]]</f>
        <v>8</v>
      </c>
      <c r="X170">
        <f t="shared" si="57"/>
        <v>0.77777777777777779</v>
      </c>
      <c r="Y170" s="32">
        <f t="shared" si="58"/>
        <v>0.83333333333333326</v>
      </c>
      <c r="Z170" s="32">
        <f t="shared" si="59"/>
        <v>0.77777777777777779</v>
      </c>
      <c r="AA170">
        <f>step3_validation[[#This Row],[AI_FAC1]]</f>
        <v>8</v>
      </c>
      <c r="AB170">
        <f t="shared" si="60"/>
        <v>0.77777777777777779</v>
      </c>
      <c r="AC170">
        <f>survey_responses[[#This Row],[Các thủ tục khai báo thuế VÀ/HOẶC quy trình làm việc với cơ quan thuế đơn giản, tiện lợi, nhanh chóng hơn so với trước đây. - HUMAN-FAC1]]</f>
        <v>7</v>
      </c>
      <c r="AD170">
        <f t="shared" si="61"/>
        <v>0.66666666666666663</v>
      </c>
      <c r="AE170">
        <f>step3_validation[[#This Row],[AI_FAC2]]</f>
        <v>9</v>
      </c>
      <c r="AF170">
        <f t="shared" si="62"/>
        <v>0.88888888888888884</v>
      </c>
      <c r="AG170">
        <f>survey_responses[[#This Row],[So với trước đây, tôi thấy cách tính thuế và các bậc thuế trong phương án mới đơn giản, dễ hiểu và dễ thực hiện hơn. - HUMAN-FAC2]]</f>
        <v>8</v>
      </c>
      <c r="AH170">
        <f t="shared" si="63"/>
        <v>0.77777777777777779</v>
      </c>
      <c r="AI170" s="32">
        <f t="shared" si="64"/>
        <v>0.83333333333333326</v>
      </c>
      <c r="AJ170" s="32">
        <f t="shared" si="65"/>
        <v>0.72222222222222221</v>
      </c>
      <c r="AK170">
        <f>step3_validation[[#This Row],[AI_TRU1]]</f>
        <v>8</v>
      </c>
      <c r="AL170">
        <f t="shared" si="66"/>
        <v>0.77777777777777779</v>
      </c>
      <c r="AM170">
        <f>survey_responses[[#This Row],[Tôi tin rằng Nhà nước, cơ quan thuế sẽ thực thi chính sách mới một cách khách quan, công tâm và đối xử bình đẳng với mọi người nộp thuế.  - HUMAN-TRU1]]</f>
        <v>7</v>
      </c>
      <c r="AN170">
        <f t="shared" si="67"/>
        <v>0.66666666666666663</v>
      </c>
      <c r="AO170">
        <f>step3_validation[[#This Row],[AI_TRU2]]</f>
        <v>9</v>
      </c>
      <c r="AP170">
        <f t="shared" si="68"/>
        <v>0.88888888888888884</v>
      </c>
      <c r="AQ170">
        <f>survey_responses[[#This Row],[Tôi thấy mức thuế tôi phải đóng theo phương án mới là công bằng (người thu nhập như tôi đóng mức này là hợp lý). - HUMAN-TRU2]]</f>
        <v>7</v>
      </c>
      <c r="AR170">
        <f t="shared" si="69"/>
        <v>0.66666666666666663</v>
      </c>
      <c r="AS170">
        <f>step3_validation[[#This Row],[AI_TRU3]]</f>
        <v>8</v>
      </c>
      <c r="AT170">
        <f t="shared" si="70"/>
        <v>0.77777777777777779</v>
      </c>
      <c r="AU170">
        <f>survey_responses[[#This Row],[Tôi tin tưởng số tiền thuế tôi đóng sẽ được Nhà nước sử dụng hiệu quả để cải thiện dịch vụ công (y tế, đường xá...). - HUMAN-TRU3]]</f>
        <v>7</v>
      </c>
      <c r="AV170">
        <f t="shared" si="71"/>
        <v>0.66666666666666663</v>
      </c>
      <c r="AW170">
        <f>step3_validation[[#This Row],[AI_TRU4]]</f>
        <v>9</v>
      </c>
      <c r="AX170">
        <f t="shared" si="72"/>
        <v>0.88888888888888884</v>
      </c>
      <c r="AY170">
        <f>survey_responses[[#This Row],[Tôi thấy Nhà nước đã giải thích rõ ràng, minh bạch về lý do và mục tiêu của việc sửa đổi thuế lần này. - HUMAN-TRU4]]</f>
        <v>8</v>
      </c>
      <c r="AZ170">
        <f t="shared" si="73"/>
        <v>0.77777777777777779</v>
      </c>
      <c r="BA170" s="32">
        <f t="shared" si="74"/>
        <v>0.83333333333333326</v>
      </c>
      <c r="BB170" s="32">
        <f t="shared" si="75"/>
        <v>0.69444444444444442</v>
      </c>
      <c r="BC170" s="7">
        <f t="shared" si="76"/>
        <v>0.83333333333333337</v>
      </c>
      <c r="BD170" s="7">
        <f t="shared" si="77"/>
        <v>0.73148148148148151</v>
      </c>
      <c r="BE170">
        <f>step3_validation[[#This Row],[AI_OUT1]]</f>
        <v>9</v>
      </c>
      <c r="BF170">
        <f t="shared" si="78"/>
        <v>0.88888888888888884</v>
      </c>
      <c r="BG170">
        <f>survey_responses[[#This Row],[Sau khi xem xét các quyền lợi và nghĩa vụ, bạn có ủng hộ và tuân thủ chính sách mới hiện nay? - HUMAN-OUT1]]</f>
        <v>8</v>
      </c>
      <c r="BH170">
        <f t="shared" si="79"/>
        <v>0.77777777777777779</v>
      </c>
      <c r="BI170" s="32">
        <f t="shared" si="80"/>
        <v>1</v>
      </c>
    </row>
    <row r="171" spans="1:61" x14ac:dyDescent="0.45">
      <c r="A171" s="30">
        <f>step3_validation[[#This Row],[Persona_ID]]</f>
        <v>170</v>
      </c>
      <c r="B171" s="31">
        <f>step3_validation[[#This Row],[Used_Seed]]</f>
        <v>12514</v>
      </c>
      <c r="C171" t="str">
        <f>step3_validation[[#This Row],[Gender]]</f>
        <v>Nam</v>
      </c>
      <c r="D171" t="str">
        <f>survey_responses[[#This Row],[Giới tính của bạn:]]</f>
        <v>Nam</v>
      </c>
      <c r="E171" t="str">
        <f>step3_validation[[#This Row],[Age_Group]]</f>
        <v>25 - 29</v>
      </c>
      <c r="F171" t="str">
        <f>survey_responses[[#This Row],[Độ tuổi của bạn:]]</f>
        <v>25 - 29</v>
      </c>
      <c r="G171" t="str">
        <f>step3_validation[[#This Row],[Region]]</f>
        <v>Thành thị</v>
      </c>
      <c r="H171" t="str">
        <f>survey_responses[[#This Row],[Khu vực bạn đang sinh sống:]]</f>
        <v>Thành thị</v>
      </c>
      <c r="I171" t="str">
        <f>step3_validation[[#This Row],[Education]]</f>
        <v>Đại học</v>
      </c>
      <c r="J171" t="str">
        <f>survey_responses[[#This Row],[Trình độ học vấn cao nhất:]]</f>
        <v>Đại học</v>
      </c>
      <c r="K171" t="str">
        <f>step3_validation[[#This Row],[Employment]]</f>
        <v>Phi chính thức</v>
      </c>
      <c r="L171" t="str">
        <f>survey_responses[[#This Row],[Tình trạng việc làm chính:]]</f>
        <v>Khu vực phi chính thức (Lao động tự do, không có HĐLĐ)</v>
      </c>
      <c r="M171">
        <f>step3_validation[[#This Row],[Income_Mil]]</f>
        <v>14.043096204887631</v>
      </c>
      <c r="N171" t="str">
        <f>survey_responses[[#This Row],[Thu nhập bình quân tháng theo Hợp đồng lao động của bạn là bao nhiêu? (Vui lòng điền tổng thu nhập trước khi khấu trừ các loại Bảo hiểm (BHXH, BHYT, BHTN) và Thuế TNCN)]]</f>
        <v>Từ 12 - 18 triệu VNĐ</v>
      </c>
      <c r="O171">
        <f>step3_validation[[#This Row],[Dependents]]</f>
        <v>0</v>
      </c>
      <c r="P171" t="str">
        <f>survey_responses[[#This Row],[Số người phụ thuộc (con nhỏ, cha mẹ già...) đủ điều kiện giảm trừ gia cảnh:]]</f>
        <v>0 người</v>
      </c>
      <c r="Q171">
        <f>step3_validation[[#This Row],[AI_ENF1]]</f>
        <v>6</v>
      </c>
      <c r="R171">
        <f t="shared" si="54"/>
        <v>0.55555555555555558</v>
      </c>
      <c r="S171">
        <f>survey_responses[[#This Row],[Tôi tin rằng với các quy định quản lý thuế hiện nay, hành vi gian lận hoặc trốn thuế sẽ dễ dàng bị phát hiện và xử lý nghiêm. - HUMAN-ENF1]]</f>
        <v>5</v>
      </c>
      <c r="T171">
        <f t="shared" si="55"/>
        <v>0.44444444444444442</v>
      </c>
      <c r="U171">
        <f>step3_validation[[#This Row],[AI_ENF2]]</f>
        <v>7</v>
      </c>
      <c r="V171">
        <f t="shared" si="56"/>
        <v>0.66666666666666663</v>
      </c>
      <c r="W171">
        <f>survey_responses[[#This Row],[Tôi tin rằng Nhà nước, cơ quan thuế có đủ khả năng và công nghệ để phát hiện, xử lý nghiêm các hành vi trốn thuế. - HUMAN-ENF2]]</f>
        <v>8</v>
      </c>
      <c r="X171">
        <f t="shared" si="57"/>
        <v>0.77777777777777779</v>
      </c>
      <c r="Y171" s="32">
        <f t="shared" si="58"/>
        <v>0.61111111111111116</v>
      </c>
      <c r="Z171" s="32">
        <f t="shared" si="59"/>
        <v>0.61111111111111116</v>
      </c>
      <c r="AA171">
        <f>step3_validation[[#This Row],[AI_FAC1]]</f>
        <v>9</v>
      </c>
      <c r="AB171">
        <f t="shared" si="60"/>
        <v>0.88888888888888884</v>
      </c>
      <c r="AC171">
        <f>survey_responses[[#This Row],[Các thủ tục khai báo thuế VÀ/HOẶC quy trình làm việc với cơ quan thuế đơn giản, tiện lợi, nhanh chóng hơn so với trước đây. - HUMAN-FAC1]]</f>
        <v>7</v>
      </c>
      <c r="AD171">
        <f t="shared" si="61"/>
        <v>0.66666666666666663</v>
      </c>
      <c r="AE171">
        <f>step3_validation[[#This Row],[AI_FAC2]]</f>
        <v>9</v>
      </c>
      <c r="AF171">
        <f t="shared" si="62"/>
        <v>0.88888888888888884</v>
      </c>
      <c r="AG171">
        <f>survey_responses[[#This Row],[So với trước đây, tôi thấy cách tính thuế và các bậc thuế trong phương án mới đơn giản, dễ hiểu và dễ thực hiện hơn. - HUMAN-FAC2]]</f>
        <v>8</v>
      </c>
      <c r="AH171">
        <f t="shared" si="63"/>
        <v>0.77777777777777779</v>
      </c>
      <c r="AI171" s="32">
        <f t="shared" si="64"/>
        <v>0.88888888888888884</v>
      </c>
      <c r="AJ171" s="32">
        <f t="shared" si="65"/>
        <v>0.72222222222222221</v>
      </c>
      <c r="AK171">
        <f>step3_validation[[#This Row],[AI_TRU1]]</f>
        <v>8</v>
      </c>
      <c r="AL171">
        <f t="shared" si="66"/>
        <v>0.77777777777777779</v>
      </c>
      <c r="AM171">
        <f>survey_responses[[#This Row],[Tôi tin rằng Nhà nước, cơ quan thuế sẽ thực thi chính sách mới một cách khách quan, công tâm và đối xử bình đẳng với mọi người nộp thuế.  - HUMAN-TRU1]]</f>
        <v>1</v>
      </c>
      <c r="AN171">
        <f t="shared" si="67"/>
        <v>0</v>
      </c>
      <c r="AO171">
        <f>step3_validation[[#This Row],[AI_TRU2]]</f>
        <v>9</v>
      </c>
      <c r="AP171">
        <f t="shared" si="68"/>
        <v>0.88888888888888884</v>
      </c>
      <c r="AQ171">
        <f>survey_responses[[#This Row],[Tôi thấy mức thuế tôi phải đóng theo phương án mới là công bằng (người thu nhập như tôi đóng mức này là hợp lý). - HUMAN-TRU2]]</f>
        <v>2</v>
      </c>
      <c r="AR171">
        <f t="shared" si="69"/>
        <v>0.1111111111111111</v>
      </c>
      <c r="AS171">
        <f>step3_validation[[#This Row],[AI_TRU3]]</f>
        <v>8</v>
      </c>
      <c r="AT171">
        <f t="shared" si="70"/>
        <v>0.77777777777777779</v>
      </c>
      <c r="AU171">
        <f>survey_responses[[#This Row],[Tôi tin tưởng số tiền thuế tôi đóng sẽ được Nhà nước sử dụng hiệu quả để cải thiện dịch vụ công (y tế, đường xá...). - HUMAN-TRU3]]</f>
        <v>3</v>
      </c>
      <c r="AV171">
        <f t="shared" si="71"/>
        <v>0.22222222222222221</v>
      </c>
      <c r="AW171">
        <f>step3_validation[[#This Row],[AI_TRU4]]</f>
        <v>6</v>
      </c>
      <c r="AX171">
        <f t="shared" si="72"/>
        <v>0.55555555555555558</v>
      </c>
      <c r="AY171">
        <f>survey_responses[[#This Row],[Tôi thấy Nhà nước đã giải thích rõ ràng, minh bạch về lý do và mục tiêu của việc sửa đổi thuế lần này. - HUMAN-TRU4]]</f>
        <v>3</v>
      </c>
      <c r="AZ171">
        <f t="shared" si="73"/>
        <v>0.22222222222222221</v>
      </c>
      <c r="BA171" s="32">
        <f t="shared" si="74"/>
        <v>0.75</v>
      </c>
      <c r="BB171" s="32">
        <f t="shared" si="75"/>
        <v>0.1388888888888889</v>
      </c>
      <c r="BC171" s="7">
        <f t="shared" si="76"/>
        <v>0.75</v>
      </c>
      <c r="BD171" s="7">
        <f t="shared" si="77"/>
        <v>0.49074074074074076</v>
      </c>
      <c r="BE171">
        <f>step3_validation[[#This Row],[AI_OUT1]]</f>
        <v>9</v>
      </c>
      <c r="BF171">
        <f t="shared" si="78"/>
        <v>0.88888888888888884</v>
      </c>
      <c r="BG171">
        <f>survey_responses[[#This Row],[Sau khi xem xét các quyền lợi và nghĩa vụ, bạn có ủng hộ và tuân thủ chính sách mới hiện nay? - HUMAN-OUT1]]</f>
        <v>7</v>
      </c>
      <c r="BH171">
        <f t="shared" si="79"/>
        <v>0.66666666666666663</v>
      </c>
      <c r="BI171" s="32">
        <f t="shared" si="80"/>
        <v>2</v>
      </c>
    </row>
    <row r="172" spans="1:61" x14ac:dyDescent="0.45">
      <c r="A172" s="30">
        <f>step3_validation[[#This Row],[Persona_ID]]</f>
        <v>171</v>
      </c>
      <c r="B172" s="31">
        <f>step3_validation[[#This Row],[Used_Seed]]</f>
        <v>12515</v>
      </c>
      <c r="C172" t="str">
        <f>step3_validation[[#This Row],[Gender]]</f>
        <v>Nam</v>
      </c>
      <c r="D172" t="str">
        <f>survey_responses[[#This Row],[Giới tính của bạn:]]</f>
        <v>Nam</v>
      </c>
      <c r="E172" t="str">
        <f>step3_validation[[#This Row],[Age_Group]]</f>
        <v>18 - 24</v>
      </c>
      <c r="F172" t="str">
        <f>survey_responses[[#This Row],[Độ tuổi của bạn:]]</f>
        <v>18 - 24</v>
      </c>
      <c r="G172" t="str">
        <f>step3_validation[[#This Row],[Region]]</f>
        <v>Thành thị</v>
      </c>
      <c r="H172" t="str">
        <f>survey_responses[[#This Row],[Khu vực bạn đang sinh sống:]]</f>
        <v>Thành thị</v>
      </c>
      <c r="I172" t="str">
        <f>step3_validation[[#This Row],[Education]]</f>
        <v>Đại học</v>
      </c>
      <c r="J172" t="str">
        <f>survey_responses[[#This Row],[Trình độ học vấn cao nhất:]]</f>
        <v>Đại học</v>
      </c>
      <c r="K172" t="str">
        <f>step3_validation[[#This Row],[Employment]]</f>
        <v>Chính thức</v>
      </c>
      <c r="L172" t="str">
        <f>survey_responses[[#This Row],[Tình trạng việc làm chính:]]</f>
        <v>Khu vực chính thức (Có Hợp đồng lao động, đóng BHXH)</v>
      </c>
      <c r="M172">
        <f>step3_validation[[#This Row],[Income_Mil]]</f>
        <v>12</v>
      </c>
      <c r="N172" t="str">
        <f>survey_responses[[#This Row],[Thu nhập bình quân tháng theo Hợp đồng lao động của bạn là bao nhiêu? (Vui lòng điền tổng thu nhập trước khi khấu trừ các loại Bảo hiểm (BHXH, BHYT, BHTN) và Thuế TNCN)]]</f>
        <v>Dưới 12 triệu VNĐ</v>
      </c>
      <c r="O172">
        <f>step3_validation[[#This Row],[Dependents]]</f>
        <v>0</v>
      </c>
      <c r="P172" t="str">
        <f>survey_responses[[#This Row],[Số người phụ thuộc (con nhỏ, cha mẹ già...) đủ điều kiện giảm trừ gia cảnh:]]</f>
        <v>0 người</v>
      </c>
      <c r="Q172">
        <f>step3_validation[[#This Row],[AI_ENF1]]</f>
        <v>7</v>
      </c>
      <c r="R172">
        <f t="shared" si="54"/>
        <v>0.66666666666666663</v>
      </c>
      <c r="S172">
        <f>survey_responses[[#This Row],[Tôi tin rằng với các quy định quản lý thuế hiện nay, hành vi gian lận hoặc trốn thuế sẽ dễ dàng bị phát hiện và xử lý nghiêm. - HUMAN-ENF1]]</f>
        <v>6</v>
      </c>
      <c r="T172">
        <f t="shared" si="55"/>
        <v>0.55555555555555558</v>
      </c>
      <c r="U172">
        <f>step3_validation[[#This Row],[AI_ENF2]]</f>
        <v>6</v>
      </c>
      <c r="V172">
        <f t="shared" si="56"/>
        <v>0.55555555555555558</v>
      </c>
      <c r="W172">
        <f>survey_responses[[#This Row],[Tôi tin rằng Nhà nước, cơ quan thuế có đủ khả năng và công nghệ để phát hiện, xử lý nghiêm các hành vi trốn thuế. - HUMAN-ENF2]]</f>
        <v>7</v>
      </c>
      <c r="X172">
        <f t="shared" si="57"/>
        <v>0.66666666666666663</v>
      </c>
      <c r="Y172" s="32">
        <f t="shared" si="58"/>
        <v>0.61111111111111116</v>
      </c>
      <c r="Z172" s="32">
        <f t="shared" si="59"/>
        <v>0.61111111111111116</v>
      </c>
      <c r="AA172">
        <f>step3_validation[[#This Row],[AI_FAC1]]</f>
        <v>9</v>
      </c>
      <c r="AB172">
        <f t="shared" si="60"/>
        <v>0.88888888888888884</v>
      </c>
      <c r="AC172">
        <f>survey_responses[[#This Row],[Các thủ tục khai báo thuế VÀ/HOẶC quy trình làm việc với cơ quan thuế đơn giản, tiện lợi, nhanh chóng hơn so với trước đây. - HUMAN-FAC1]]</f>
        <v>5</v>
      </c>
      <c r="AD172">
        <f t="shared" si="61"/>
        <v>0.44444444444444442</v>
      </c>
      <c r="AE172">
        <f>step3_validation[[#This Row],[AI_FAC2]]</f>
        <v>8</v>
      </c>
      <c r="AF172">
        <f t="shared" si="62"/>
        <v>0.77777777777777779</v>
      </c>
      <c r="AG172">
        <f>survey_responses[[#This Row],[So với trước đây, tôi thấy cách tính thuế và các bậc thuế trong phương án mới đơn giản, dễ hiểu và dễ thực hiện hơn. - HUMAN-FAC2]]</f>
        <v>7</v>
      </c>
      <c r="AH172">
        <f t="shared" si="63"/>
        <v>0.66666666666666663</v>
      </c>
      <c r="AI172" s="32">
        <f t="shared" si="64"/>
        <v>0.83333333333333326</v>
      </c>
      <c r="AJ172" s="32">
        <f t="shared" si="65"/>
        <v>0.55555555555555558</v>
      </c>
      <c r="AK172">
        <f>step3_validation[[#This Row],[AI_TRU1]]</f>
        <v>7</v>
      </c>
      <c r="AL172">
        <f t="shared" si="66"/>
        <v>0.66666666666666663</v>
      </c>
      <c r="AM172">
        <f>survey_responses[[#This Row],[Tôi tin rằng Nhà nước, cơ quan thuế sẽ thực thi chính sách mới một cách khách quan, công tâm và đối xử bình đẳng với mọi người nộp thuế.  - HUMAN-TRU1]]</f>
        <v>7</v>
      </c>
      <c r="AN172">
        <f t="shared" si="67"/>
        <v>0.66666666666666663</v>
      </c>
      <c r="AO172">
        <f>step3_validation[[#This Row],[AI_TRU2]]</f>
        <v>8</v>
      </c>
      <c r="AP172">
        <f t="shared" si="68"/>
        <v>0.77777777777777779</v>
      </c>
      <c r="AQ172">
        <f>survey_responses[[#This Row],[Tôi thấy mức thuế tôi phải đóng theo phương án mới là công bằng (người thu nhập như tôi đóng mức này là hợp lý). - HUMAN-TRU2]]</f>
        <v>7</v>
      </c>
      <c r="AR172">
        <f t="shared" si="69"/>
        <v>0.66666666666666663</v>
      </c>
      <c r="AS172">
        <f>step3_validation[[#This Row],[AI_TRU3]]</f>
        <v>7</v>
      </c>
      <c r="AT172">
        <f t="shared" si="70"/>
        <v>0.66666666666666663</v>
      </c>
      <c r="AU172">
        <f>survey_responses[[#This Row],[Tôi tin tưởng số tiền thuế tôi đóng sẽ được Nhà nước sử dụng hiệu quả để cải thiện dịch vụ công (y tế, đường xá...). - HUMAN-TRU3]]</f>
        <v>5</v>
      </c>
      <c r="AV172">
        <f t="shared" si="71"/>
        <v>0.44444444444444442</v>
      </c>
      <c r="AW172">
        <f>step3_validation[[#This Row],[AI_TRU4]]</f>
        <v>6</v>
      </c>
      <c r="AX172">
        <f t="shared" si="72"/>
        <v>0.55555555555555558</v>
      </c>
      <c r="AY172">
        <f>survey_responses[[#This Row],[Tôi thấy Nhà nước đã giải thích rõ ràng, minh bạch về lý do và mục tiêu của việc sửa đổi thuế lần này. - HUMAN-TRU4]]</f>
        <v>7</v>
      </c>
      <c r="AZ172">
        <f t="shared" si="73"/>
        <v>0.66666666666666663</v>
      </c>
      <c r="BA172" s="32">
        <f t="shared" si="74"/>
        <v>0.66666666666666674</v>
      </c>
      <c r="BB172" s="32">
        <f t="shared" si="75"/>
        <v>0.61111111111111105</v>
      </c>
      <c r="BC172" s="7">
        <f t="shared" si="76"/>
        <v>0.70370370370370372</v>
      </c>
      <c r="BD172" s="7">
        <f t="shared" si="77"/>
        <v>0.59259259259259256</v>
      </c>
      <c r="BE172">
        <f>step3_validation[[#This Row],[AI_OUT1]]</f>
        <v>9</v>
      </c>
      <c r="BF172">
        <f t="shared" si="78"/>
        <v>0.88888888888888884</v>
      </c>
      <c r="BG172">
        <f>survey_responses[[#This Row],[Sau khi xem xét các quyền lợi và nghĩa vụ, bạn có ủng hộ và tuân thủ chính sách mới hiện nay? - HUMAN-OUT1]]</f>
        <v>7</v>
      </c>
      <c r="BH172">
        <f t="shared" si="79"/>
        <v>0.66666666666666663</v>
      </c>
      <c r="BI172" s="32">
        <f t="shared" si="80"/>
        <v>2</v>
      </c>
    </row>
    <row r="173" spans="1:61" x14ac:dyDescent="0.45">
      <c r="A173" s="30">
        <f>step3_validation[[#This Row],[Persona_ID]]</f>
        <v>172</v>
      </c>
      <c r="B173" s="31">
        <f>step3_validation[[#This Row],[Used_Seed]]</f>
        <v>12516</v>
      </c>
      <c r="C173" t="str">
        <f>step3_validation[[#This Row],[Gender]]</f>
        <v>Nam</v>
      </c>
      <c r="D173" t="str">
        <f>survey_responses[[#This Row],[Giới tính của bạn:]]</f>
        <v>Nam</v>
      </c>
      <c r="E173" t="str">
        <f>step3_validation[[#This Row],[Age_Group]]</f>
        <v>50 - 54</v>
      </c>
      <c r="F173" t="str">
        <f>survey_responses[[#This Row],[Độ tuổi của bạn:]]</f>
        <v>50 - 54</v>
      </c>
      <c r="G173" t="str">
        <f>step3_validation[[#This Row],[Region]]</f>
        <v>Thành thị</v>
      </c>
      <c r="H173" t="str">
        <f>survey_responses[[#This Row],[Khu vực bạn đang sinh sống:]]</f>
        <v>Thành thị</v>
      </c>
      <c r="I173" t="str">
        <f>step3_validation[[#This Row],[Education]]</f>
        <v>Sau Đại học</v>
      </c>
      <c r="J173" t="str">
        <f>survey_responses[[#This Row],[Trình độ học vấn cao nhất:]]</f>
        <v>Sau Đại học</v>
      </c>
      <c r="K173" t="str">
        <f>step3_validation[[#This Row],[Employment]]</f>
        <v>Chính thức</v>
      </c>
      <c r="L173" t="str">
        <f>survey_responses[[#This Row],[Tình trạng việc làm chính:]]</f>
        <v>Khu vực chính thức (Có Hợp đồng lao động, đóng BHXH)</v>
      </c>
      <c r="M173">
        <f>step3_validation[[#This Row],[Income_Mil]]</f>
        <v>118.85331323830997</v>
      </c>
      <c r="N173" t="str">
        <f>survey_responses[[#This Row],[Thu nhập bình quân tháng theo Hợp đồng lao động của bạn là bao nhiêu? (Vui lòng điền tổng thu nhập trước khi khấu trừ các loại Bảo hiểm (BHXH, BHYT, BHTN) và Thuế TNCN)]]</f>
        <v>Trên 102 triệu VNĐ</v>
      </c>
      <c r="O173">
        <f>step3_validation[[#This Row],[Dependents]]</f>
        <v>4</v>
      </c>
      <c r="P173" t="str">
        <f>survey_responses[[#This Row],[Số người phụ thuộc (con nhỏ, cha mẹ già...) đủ điều kiện giảm trừ gia cảnh:]]</f>
        <v>4 người trở lên</v>
      </c>
      <c r="Q173">
        <f>step3_validation[[#This Row],[AI_ENF1]]</f>
        <v>8</v>
      </c>
      <c r="R173">
        <f t="shared" si="54"/>
        <v>0.77777777777777779</v>
      </c>
      <c r="S173">
        <f>survey_responses[[#This Row],[Tôi tin rằng với các quy định quản lý thuế hiện nay, hành vi gian lận hoặc trốn thuế sẽ dễ dàng bị phát hiện và xử lý nghiêm. - HUMAN-ENF1]]</f>
        <v>8</v>
      </c>
      <c r="T173">
        <f t="shared" si="55"/>
        <v>0.77777777777777779</v>
      </c>
      <c r="U173">
        <f>step3_validation[[#This Row],[AI_ENF2]]</f>
        <v>9</v>
      </c>
      <c r="V173">
        <f t="shared" si="56"/>
        <v>0.88888888888888884</v>
      </c>
      <c r="W173">
        <f>survey_responses[[#This Row],[Tôi tin rằng Nhà nước, cơ quan thuế có đủ khả năng và công nghệ để phát hiện, xử lý nghiêm các hành vi trốn thuế. - HUMAN-ENF2]]</f>
        <v>8</v>
      </c>
      <c r="X173">
        <f t="shared" si="57"/>
        <v>0.77777777777777779</v>
      </c>
      <c r="Y173" s="32">
        <f t="shared" si="58"/>
        <v>0.83333333333333326</v>
      </c>
      <c r="Z173" s="32">
        <f t="shared" si="59"/>
        <v>0.77777777777777779</v>
      </c>
      <c r="AA173">
        <f>step3_validation[[#This Row],[AI_FAC1]]</f>
        <v>8</v>
      </c>
      <c r="AB173">
        <f t="shared" si="60"/>
        <v>0.77777777777777779</v>
      </c>
      <c r="AC173">
        <f>survey_responses[[#This Row],[Các thủ tục khai báo thuế VÀ/HOẶC quy trình làm việc với cơ quan thuế đơn giản, tiện lợi, nhanh chóng hơn so với trước đây. - HUMAN-FAC1]]</f>
        <v>8</v>
      </c>
      <c r="AD173">
        <f t="shared" si="61"/>
        <v>0.77777777777777779</v>
      </c>
      <c r="AE173">
        <f>step3_validation[[#This Row],[AI_FAC2]]</f>
        <v>9</v>
      </c>
      <c r="AF173">
        <f t="shared" si="62"/>
        <v>0.88888888888888884</v>
      </c>
      <c r="AG173">
        <f>survey_responses[[#This Row],[So với trước đây, tôi thấy cách tính thuế và các bậc thuế trong phương án mới đơn giản, dễ hiểu và dễ thực hiện hơn. - HUMAN-FAC2]]</f>
        <v>9</v>
      </c>
      <c r="AH173">
        <f t="shared" si="63"/>
        <v>0.88888888888888884</v>
      </c>
      <c r="AI173" s="32">
        <f t="shared" si="64"/>
        <v>0.83333333333333326</v>
      </c>
      <c r="AJ173" s="32">
        <f t="shared" si="65"/>
        <v>0.83333333333333326</v>
      </c>
      <c r="AK173">
        <f>step3_validation[[#This Row],[AI_TRU1]]</f>
        <v>8</v>
      </c>
      <c r="AL173">
        <f t="shared" si="66"/>
        <v>0.77777777777777779</v>
      </c>
      <c r="AM173">
        <f>survey_responses[[#This Row],[Tôi tin rằng Nhà nước, cơ quan thuế sẽ thực thi chính sách mới một cách khách quan, công tâm và đối xử bình đẳng với mọi người nộp thuế.  - HUMAN-TRU1]]</f>
        <v>9</v>
      </c>
      <c r="AN173">
        <f t="shared" si="67"/>
        <v>0.88888888888888884</v>
      </c>
      <c r="AO173">
        <f>step3_validation[[#This Row],[AI_TRU2]]</f>
        <v>9</v>
      </c>
      <c r="AP173">
        <f t="shared" si="68"/>
        <v>0.88888888888888884</v>
      </c>
      <c r="AQ173">
        <f>survey_responses[[#This Row],[Tôi thấy mức thuế tôi phải đóng theo phương án mới là công bằng (người thu nhập như tôi đóng mức này là hợp lý). - HUMAN-TRU2]]</f>
        <v>5</v>
      </c>
      <c r="AR173">
        <f t="shared" si="69"/>
        <v>0.44444444444444442</v>
      </c>
      <c r="AS173">
        <f>step3_validation[[#This Row],[AI_TRU3]]</f>
        <v>8</v>
      </c>
      <c r="AT173">
        <f t="shared" si="70"/>
        <v>0.77777777777777779</v>
      </c>
      <c r="AU173">
        <f>survey_responses[[#This Row],[Tôi tin tưởng số tiền thuế tôi đóng sẽ được Nhà nước sử dụng hiệu quả để cải thiện dịch vụ công (y tế, đường xá...). - HUMAN-TRU3]]</f>
        <v>5</v>
      </c>
      <c r="AV173">
        <f t="shared" si="71"/>
        <v>0.44444444444444442</v>
      </c>
      <c r="AW173">
        <f>step3_validation[[#This Row],[AI_TRU4]]</f>
        <v>9</v>
      </c>
      <c r="AX173">
        <f t="shared" si="72"/>
        <v>0.88888888888888884</v>
      </c>
      <c r="AY173">
        <f>survey_responses[[#This Row],[Tôi thấy Nhà nước đã giải thích rõ ràng, minh bạch về lý do và mục tiêu của việc sửa đổi thuế lần này. - HUMAN-TRU4]]</f>
        <v>8</v>
      </c>
      <c r="AZ173">
        <f t="shared" si="73"/>
        <v>0.77777777777777779</v>
      </c>
      <c r="BA173" s="32">
        <f t="shared" si="74"/>
        <v>0.83333333333333326</v>
      </c>
      <c r="BB173" s="32">
        <f t="shared" si="75"/>
        <v>0.63888888888888884</v>
      </c>
      <c r="BC173" s="7">
        <f t="shared" si="76"/>
        <v>0.83333333333333337</v>
      </c>
      <c r="BD173" s="7">
        <f t="shared" si="77"/>
        <v>0.75</v>
      </c>
      <c r="BE173">
        <f>step3_validation[[#This Row],[AI_OUT1]]</f>
        <v>8</v>
      </c>
      <c r="BF173">
        <f t="shared" si="78"/>
        <v>0.77777777777777779</v>
      </c>
      <c r="BG173">
        <f>survey_responses[[#This Row],[Sau khi xem xét các quyền lợi và nghĩa vụ, bạn có ủng hộ và tuân thủ chính sách mới hiện nay? - HUMAN-OUT1]]</f>
        <v>6</v>
      </c>
      <c r="BH173">
        <f t="shared" si="79"/>
        <v>0.55555555555555558</v>
      </c>
      <c r="BI173" s="32">
        <f t="shared" si="80"/>
        <v>2</v>
      </c>
    </row>
    <row r="174" spans="1:61" x14ac:dyDescent="0.45">
      <c r="A174" s="30">
        <f>step3_validation[[#This Row],[Persona_ID]]</f>
        <v>173</v>
      </c>
      <c r="B174" s="31">
        <f>step3_validation[[#This Row],[Used_Seed]]</f>
        <v>12517</v>
      </c>
      <c r="C174" t="str">
        <f>step3_validation[[#This Row],[Gender]]</f>
        <v>Nữ</v>
      </c>
      <c r="D174" t="str">
        <f>survey_responses[[#This Row],[Giới tính của bạn:]]</f>
        <v>Nữ</v>
      </c>
      <c r="E174" t="str">
        <f>step3_validation[[#This Row],[Age_Group]]</f>
        <v>40 - 49</v>
      </c>
      <c r="F174" t="str">
        <f>survey_responses[[#This Row],[Độ tuổi của bạn:]]</f>
        <v>40 - 49</v>
      </c>
      <c r="G174" t="str">
        <f>step3_validation[[#This Row],[Region]]</f>
        <v>Thành thị</v>
      </c>
      <c r="H174" t="str">
        <f>survey_responses[[#This Row],[Khu vực bạn đang sinh sống:]]</f>
        <v>Thành thị</v>
      </c>
      <c r="I174" t="str">
        <f>step3_validation[[#This Row],[Education]]</f>
        <v>Đại học</v>
      </c>
      <c r="J174" t="str">
        <f>survey_responses[[#This Row],[Trình độ học vấn cao nhất:]]</f>
        <v>Đại học</v>
      </c>
      <c r="K174" t="str">
        <f>step3_validation[[#This Row],[Employment]]</f>
        <v>Chính thức</v>
      </c>
      <c r="L174" t="str">
        <f>survey_responses[[#This Row],[Tình trạng việc làm chính:]]</f>
        <v>Khu vực chính thức (Có Hợp đồng lao động, đóng BHXH)</v>
      </c>
      <c r="M174">
        <f>step3_validation[[#This Row],[Income_Mil]]</f>
        <v>95.852765175263272</v>
      </c>
      <c r="N174" t="str">
        <f>survey_responses[[#This Row],[Thu nhập bình quân tháng theo Hợp đồng lao động của bạn là bao nhiêu? (Vui lòng điền tổng thu nhập trước khi khấu trừ các loại Bảo hiểm (BHXH, BHYT, BHTN) và Thuế TNCN)]]</f>
        <v>Từ 70 - 102 triệu VNĐ</v>
      </c>
      <c r="O174">
        <f>step3_validation[[#This Row],[Dependents]]</f>
        <v>3</v>
      </c>
      <c r="P174" t="str">
        <f>survey_responses[[#This Row],[Số người phụ thuộc (con nhỏ, cha mẹ già...) đủ điều kiện giảm trừ gia cảnh:]]</f>
        <v>3 người</v>
      </c>
      <c r="Q174">
        <f>step3_validation[[#This Row],[AI_ENF1]]</f>
        <v>7</v>
      </c>
      <c r="R174">
        <f t="shared" si="54"/>
        <v>0.66666666666666663</v>
      </c>
      <c r="S174">
        <f>survey_responses[[#This Row],[Tôi tin rằng với các quy định quản lý thuế hiện nay, hành vi gian lận hoặc trốn thuế sẽ dễ dàng bị phát hiện và xử lý nghiêm. - HUMAN-ENF1]]</f>
        <v>5</v>
      </c>
      <c r="T174">
        <f t="shared" si="55"/>
        <v>0.44444444444444442</v>
      </c>
      <c r="U174">
        <f>step3_validation[[#This Row],[AI_ENF2]]</f>
        <v>7</v>
      </c>
      <c r="V174">
        <f t="shared" si="56"/>
        <v>0.66666666666666663</v>
      </c>
      <c r="W174">
        <f>survey_responses[[#This Row],[Tôi tin rằng Nhà nước, cơ quan thuế có đủ khả năng và công nghệ để phát hiện, xử lý nghiêm các hành vi trốn thuế. - HUMAN-ENF2]]</f>
        <v>5</v>
      </c>
      <c r="X174">
        <f t="shared" si="57"/>
        <v>0.44444444444444442</v>
      </c>
      <c r="Y174" s="32">
        <f t="shared" si="58"/>
        <v>0.66666666666666663</v>
      </c>
      <c r="Z174" s="32">
        <f t="shared" si="59"/>
        <v>0.44444444444444442</v>
      </c>
      <c r="AA174">
        <f>step3_validation[[#This Row],[AI_FAC1]]</f>
        <v>9</v>
      </c>
      <c r="AB174">
        <f t="shared" si="60"/>
        <v>0.88888888888888884</v>
      </c>
      <c r="AC174">
        <f>survey_responses[[#This Row],[Các thủ tục khai báo thuế VÀ/HOẶC quy trình làm việc với cơ quan thuế đơn giản, tiện lợi, nhanh chóng hơn so với trước đây. - HUMAN-FAC1]]</f>
        <v>4</v>
      </c>
      <c r="AD174">
        <f t="shared" si="61"/>
        <v>0.33333333333333331</v>
      </c>
      <c r="AE174">
        <f>step3_validation[[#This Row],[AI_FAC2]]</f>
        <v>9</v>
      </c>
      <c r="AF174">
        <f t="shared" si="62"/>
        <v>0.88888888888888884</v>
      </c>
      <c r="AG174">
        <f>survey_responses[[#This Row],[So với trước đây, tôi thấy cách tính thuế và các bậc thuế trong phương án mới đơn giản, dễ hiểu và dễ thực hiện hơn. - HUMAN-FAC2]]</f>
        <v>6</v>
      </c>
      <c r="AH174">
        <f t="shared" si="63"/>
        <v>0.55555555555555558</v>
      </c>
      <c r="AI174" s="32">
        <f t="shared" si="64"/>
        <v>0.88888888888888884</v>
      </c>
      <c r="AJ174" s="32">
        <f t="shared" si="65"/>
        <v>0.44444444444444442</v>
      </c>
      <c r="AK174">
        <f>step3_validation[[#This Row],[AI_TRU1]]</f>
        <v>7</v>
      </c>
      <c r="AL174">
        <f t="shared" si="66"/>
        <v>0.66666666666666663</v>
      </c>
      <c r="AM174">
        <f>survey_responses[[#This Row],[Tôi tin rằng Nhà nước, cơ quan thuế sẽ thực thi chính sách mới một cách khách quan, công tâm và đối xử bình đẳng với mọi người nộp thuế.  - HUMAN-TRU1]]</f>
        <v>5</v>
      </c>
      <c r="AN174">
        <f t="shared" si="67"/>
        <v>0.44444444444444442</v>
      </c>
      <c r="AO174">
        <f>step3_validation[[#This Row],[AI_TRU2]]</f>
        <v>9</v>
      </c>
      <c r="AP174">
        <f t="shared" si="68"/>
        <v>0.88888888888888884</v>
      </c>
      <c r="AQ174">
        <f>survey_responses[[#This Row],[Tôi thấy mức thuế tôi phải đóng theo phương án mới là công bằng (người thu nhập như tôi đóng mức này là hợp lý). - HUMAN-TRU2]]</f>
        <v>4</v>
      </c>
      <c r="AR174">
        <f t="shared" si="69"/>
        <v>0.33333333333333331</v>
      </c>
      <c r="AS174">
        <f>step3_validation[[#This Row],[AI_TRU3]]</f>
        <v>7</v>
      </c>
      <c r="AT174">
        <f t="shared" si="70"/>
        <v>0.66666666666666663</v>
      </c>
      <c r="AU174">
        <f>survey_responses[[#This Row],[Tôi tin tưởng số tiền thuế tôi đóng sẽ được Nhà nước sử dụng hiệu quả để cải thiện dịch vụ công (y tế, đường xá...). - HUMAN-TRU3]]</f>
        <v>4</v>
      </c>
      <c r="AV174">
        <f t="shared" si="71"/>
        <v>0.33333333333333331</v>
      </c>
      <c r="AW174">
        <f>step3_validation[[#This Row],[AI_TRU4]]</f>
        <v>8</v>
      </c>
      <c r="AX174">
        <f t="shared" si="72"/>
        <v>0.77777777777777779</v>
      </c>
      <c r="AY174">
        <f>survey_responses[[#This Row],[Tôi thấy Nhà nước đã giải thích rõ ràng, minh bạch về lý do và mục tiêu của việc sửa đổi thuế lần này. - HUMAN-TRU4]]</f>
        <v>5</v>
      </c>
      <c r="AZ174">
        <f t="shared" si="73"/>
        <v>0.44444444444444442</v>
      </c>
      <c r="BA174" s="32">
        <f t="shared" si="74"/>
        <v>0.74999999999999989</v>
      </c>
      <c r="BB174" s="32">
        <f t="shared" si="75"/>
        <v>0.38888888888888884</v>
      </c>
      <c r="BC174" s="7">
        <f t="shared" si="76"/>
        <v>0.76851851851851849</v>
      </c>
      <c r="BD174" s="7">
        <f t="shared" si="77"/>
        <v>0.42592592592592587</v>
      </c>
      <c r="BE174">
        <f>step3_validation[[#This Row],[AI_OUT1]]</f>
        <v>9</v>
      </c>
      <c r="BF174">
        <f t="shared" si="78"/>
        <v>0.88888888888888884</v>
      </c>
      <c r="BG174">
        <f>survey_responses[[#This Row],[Sau khi xem xét các quyền lợi và nghĩa vụ, bạn có ủng hộ và tuân thủ chính sách mới hiện nay? - HUMAN-OUT1]]</f>
        <v>5</v>
      </c>
      <c r="BH174">
        <f t="shared" si="79"/>
        <v>0.44444444444444442</v>
      </c>
      <c r="BI174" s="32">
        <f t="shared" si="80"/>
        <v>4</v>
      </c>
    </row>
    <row r="175" spans="1:61" x14ac:dyDescent="0.45">
      <c r="A175" s="30">
        <f>step3_validation[[#This Row],[Persona_ID]]</f>
        <v>174</v>
      </c>
      <c r="B175" s="31">
        <f>step3_validation[[#This Row],[Used_Seed]]</f>
        <v>12518</v>
      </c>
      <c r="C175" t="str">
        <f>step3_validation[[#This Row],[Gender]]</f>
        <v>Nữ</v>
      </c>
      <c r="D175" t="str">
        <f>survey_responses[[#This Row],[Giới tính của bạn:]]</f>
        <v>Nữ</v>
      </c>
      <c r="E175" t="str">
        <f>step3_validation[[#This Row],[Age_Group]]</f>
        <v>25 - 29</v>
      </c>
      <c r="F175" t="str">
        <f>survey_responses[[#This Row],[Độ tuổi của bạn:]]</f>
        <v>25 - 29</v>
      </c>
      <c r="G175" t="str">
        <f>step3_validation[[#This Row],[Region]]</f>
        <v>Thành thị</v>
      </c>
      <c r="H175" t="str">
        <f>survey_responses[[#This Row],[Khu vực bạn đang sinh sống:]]</f>
        <v>Thành thị</v>
      </c>
      <c r="I175" t="str">
        <f>step3_validation[[#This Row],[Education]]</f>
        <v>Đại học</v>
      </c>
      <c r="J175" t="str">
        <f>survey_responses[[#This Row],[Trình độ học vấn cao nhất:]]</f>
        <v>Đại học</v>
      </c>
      <c r="K175" t="str">
        <f>step3_validation[[#This Row],[Employment]]</f>
        <v>Chính thức</v>
      </c>
      <c r="L175" t="str">
        <f>survey_responses[[#This Row],[Tình trạng việc làm chính:]]</f>
        <v>Khu vực chính thức (Có Hợp đồng lao động, đóng BHXH)</v>
      </c>
      <c r="M175">
        <f>step3_validation[[#This Row],[Income_Mil]]</f>
        <v>37.992602690620231</v>
      </c>
      <c r="N175" t="str">
        <f>survey_responses[[#This Row],[Thu nhập bình quân tháng theo Hợp đồng lao động của bạn là bao nhiêu? (Vui lòng điền tổng thu nhập trước khi khấu trừ các loại Bảo hiểm (BHXH, BHYT, BHTN) và Thuế TNCN)]]</f>
        <v>Từ 32 - 48 triệu VNĐ</v>
      </c>
      <c r="O175">
        <f>step3_validation[[#This Row],[Dependents]]</f>
        <v>1</v>
      </c>
      <c r="P175" t="str">
        <f>survey_responses[[#This Row],[Số người phụ thuộc (con nhỏ, cha mẹ già...) đủ điều kiện giảm trừ gia cảnh:]]</f>
        <v>1 người</v>
      </c>
      <c r="Q175">
        <f>step3_validation[[#This Row],[AI_ENF1]]</f>
        <v>7</v>
      </c>
      <c r="R175">
        <f t="shared" si="54"/>
        <v>0.66666666666666663</v>
      </c>
      <c r="S175">
        <f>survey_responses[[#This Row],[Tôi tin rằng với các quy định quản lý thuế hiện nay, hành vi gian lận hoặc trốn thuế sẽ dễ dàng bị phát hiện và xử lý nghiêm. - HUMAN-ENF1]]</f>
        <v>6</v>
      </c>
      <c r="T175">
        <f t="shared" si="55"/>
        <v>0.55555555555555558</v>
      </c>
      <c r="U175">
        <f>step3_validation[[#This Row],[AI_ENF2]]</f>
        <v>8</v>
      </c>
      <c r="V175">
        <f t="shared" si="56"/>
        <v>0.77777777777777779</v>
      </c>
      <c r="W175">
        <f>survey_responses[[#This Row],[Tôi tin rằng Nhà nước, cơ quan thuế có đủ khả năng và công nghệ để phát hiện, xử lý nghiêm các hành vi trốn thuế. - HUMAN-ENF2]]</f>
        <v>6</v>
      </c>
      <c r="X175">
        <f t="shared" si="57"/>
        <v>0.55555555555555558</v>
      </c>
      <c r="Y175" s="32">
        <f t="shared" si="58"/>
        <v>0.72222222222222221</v>
      </c>
      <c r="Z175" s="32">
        <f t="shared" si="59"/>
        <v>0.55555555555555558</v>
      </c>
      <c r="AA175">
        <f>step3_validation[[#This Row],[AI_FAC1]]</f>
        <v>9</v>
      </c>
      <c r="AB175">
        <f t="shared" si="60"/>
        <v>0.88888888888888884</v>
      </c>
      <c r="AC175">
        <f>survey_responses[[#This Row],[Các thủ tục khai báo thuế VÀ/HOẶC quy trình làm việc với cơ quan thuế đơn giản, tiện lợi, nhanh chóng hơn so với trước đây. - HUMAN-FAC1]]</f>
        <v>6</v>
      </c>
      <c r="AD175">
        <f t="shared" si="61"/>
        <v>0.55555555555555558</v>
      </c>
      <c r="AE175">
        <f>step3_validation[[#This Row],[AI_FAC2]]</f>
        <v>9</v>
      </c>
      <c r="AF175">
        <f t="shared" si="62"/>
        <v>0.88888888888888884</v>
      </c>
      <c r="AG175">
        <f>survey_responses[[#This Row],[So với trước đây, tôi thấy cách tính thuế và các bậc thuế trong phương án mới đơn giản, dễ hiểu và dễ thực hiện hơn. - HUMAN-FAC2]]</f>
        <v>6</v>
      </c>
      <c r="AH175">
        <f t="shared" si="63"/>
        <v>0.55555555555555558</v>
      </c>
      <c r="AI175" s="32">
        <f t="shared" si="64"/>
        <v>0.88888888888888884</v>
      </c>
      <c r="AJ175" s="32">
        <f t="shared" si="65"/>
        <v>0.55555555555555558</v>
      </c>
      <c r="AK175">
        <f>step3_validation[[#This Row],[AI_TRU1]]</f>
        <v>7</v>
      </c>
      <c r="AL175">
        <f t="shared" si="66"/>
        <v>0.66666666666666663</v>
      </c>
      <c r="AM175">
        <f>survey_responses[[#This Row],[Tôi tin rằng Nhà nước, cơ quan thuế sẽ thực thi chính sách mới một cách khách quan, công tâm và đối xử bình đẳng với mọi người nộp thuế.  - HUMAN-TRU1]]</f>
        <v>7</v>
      </c>
      <c r="AN175">
        <f t="shared" si="67"/>
        <v>0.66666666666666663</v>
      </c>
      <c r="AO175">
        <f>step3_validation[[#This Row],[AI_TRU2]]</f>
        <v>8</v>
      </c>
      <c r="AP175">
        <f t="shared" si="68"/>
        <v>0.77777777777777779</v>
      </c>
      <c r="AQ175">
        <f>survey_responses[[#This Row],[Tôi thấy mức thuế tôi phải đóng theo phương án mới là công bằng (người thu nhập như tôi đóng mức này là hợp lý). - HUMAN-TRU2]]</f>
        <v>7</v>
      </c>
      <c r="AR175">
        <f t="shared" si="69"/>
        <v>0.66666666666666663</v>
      </c>
      <c r="AS175">
        <f>step3_validation[[#This Row],[AI_TRU3]]</f>
        <v>7</v>
      </c>
      <c r="AT175">
        <f t="shared" si="70"/>
        <v>0.66666666666666663</v>
      </c>
      <c r="AU175">
        <f>survey_responses[[#This Row],[Tôi tin tưởng số tiền thuế tôi đóng sẽ được Nhà nước sử dụng hiệu quả để cải thiện dịch vụ công (y tế, đường xá...). - HUMAN-TRU3]]</f>
        <v>5</v>
      </c>
      <c r="AV175">
        <f t="shared" si="71"/>
        <v>0.44444444444444442</v>
      </c>
      <c r="AW175">
        <f>step3_validation[[#This Row],[AI_TRU4]]</f>
        <v>8</v>
      </c>
      <c r="AX175">
        <f t="shared" si="72"/>
        <v>0.77777777777777779</v>
      </c>
      <c r="AY175">
        <f>survey_responses[[#This Row],[Tôi thấy Nhà nước đã giải thích rõ ràng, minh bạch về lý do và mục tiêu của việc sửa đổi thuế lần này. - HUMAN-TRU4]]</f>
        <v>7</v>
      </c>
      <c r="AZ175">
        <f t="shared" si="73"/>
        <v>0.66666666666666663</v>
      </c>
      <c r="BA175" s="32">
        <f t="shared" si="74"/>
        <v>0.72222222222222221</v>
      </c>
      <c r="BB175" s="32">
        <f t="shared" si="75"/>
        <v>0.61111111111111105</v>
      </c>
      <c r="BC175" s="7">
        <f t="shared" si="76"/>
        <v>0.77777777777777779</v>
      </c>
      <c r="BD175" s="7">
        <f t="shared" si="77"/>
        <v>0.57407407407407407</v>
      </c>
      <c r="BE175">
        <f>step3_validation[[#This Row],[AI_OUT1]]</f>
        <v>9</v>
      </c>
      <c r="BF175">
        <f t="shared" si="78"/>
        <v>0.88888888888888884</v>
      </c>
      <c r="BG175">
        <f>survey_responses[[#This Row],[Sau khi xem xét các quyền lợi và nghĩa vụ, bạn có ủng hộ và tuân thủ chính sách mới hiện nay? - HUMAN-OUT1]]</f>
        <v>6</v>
      </c>
      <c r="BH175">
        <f t="shared" si="79"/>
        <v>0.55555555555555558</v>
      </c>
      <c r="BI175" s="32">
        <f t="shared" si="80"/>
        <v>3</v>
      </c>
    </row>
    <row r="176" spans="1:61" x14ac:dyDescent="0.45">
      <c r="A176" s="30">
        <f>step3_validation[[#This Row],[Persona_ID]]</f>
        <v>175</v>
      </c>
      <c r="B176" s="31">
        <f>step3_validation[[#This Row],[Used_Seed]]</f>
        <v>12519</v>
      </c>
      <c r="C176" t="str">
        <f>step3_validation[[#This Row],[Gender]]</f>
        <v>Nữ</v>
      </c>
      <c r="D176" t="str">
        <f>survey_responses[[#This Row],[Giới tính của bạn:]]</f>
        <v>Nữ</v>
      </c>
      <c r="E176" t="str">
        <f>step3_validation[[#This Row],[Age_Group]]</f>
        <v>50 - 54</v>
      </c>
      <c r="F176" t="str">
        <f>survey_responses[[#This Row],[Độ tuổi của bạn:]]</f>
        <v>50 - 54</v>
      </c>
      <c r="G176" t="str">
        <f>step3_validation[[#This Row],[Region]]</f>
        <v>Thành thị</v>
      </c>
      <c r="H176" t="str">
        <f>survey_responses[[#This Row],[Khu vực bạn đang sinh sống:]]</f>
        <v>Thành thị</v>
      </c>
      <c r="I176" t="str">
        <f>step3_validation[[#This Row],[Education]]</f>
        <v>Sau Đại học</v>
      </c>
      <c r="J176" t="str">
        <f>survey_responses[[#This Row],[Trình độ học vấn cao nhất:]]</f>
        <v>Sau Đại học</v>
      </c>
      <c r="K176" t="str">
        <f>step3_validation[[#This Row],[Employment]]</f>
        <v>Chính thức</v>
      </c>
      <c r="L176" t="str">
        <f>survey_responses[[#This Row],[Tình trạng việc làm chính:]]</f>
        <v>Khu vực chính thức (Có Hợp đồng lao động, đóng BHXH)</v>
      </c>
      <c r="M176">
        <f>step3_validation[[#This Row],[Income_Mil]]</f>
        <v>154.06212676449971</v>
      </c>
      <c r="N176" t="str">
        <f>survey_responses[[#This Row],[Thu nhập bình quân tháng theo Hợp đồng lao động của bạn là bao nhiêu? (Vui lòng điền tổng thu nhập trước khi khấu trừ các loại Bảo hiểm (BHXH, BHYT, BHTN) và Thuế TNCN)]]</f>
        <v>Trên 102 triệu VNĐ</v>
      </c>
      <c r="O176">
        <f>step3_validation[[#This Row],[Dependents]]</f>
        <v>3</v>
      </c>
      <c r="P176" t="str">
        <f>survey_responses[[#This Row],[Số người phụ thuộc (con nhỏ, cha mẹ già...) đủ điều kiện giảm trừ gia cảnh:]]</f>
        <v>3 người</v>
      </c>
      <c r="Q176">
        <f>step3_validation[[#This Row],[AI_ENF1]]</f>
        <v>6</v>
      </c>
      <c r="R176">
        <f t="shared" si="54"/>
        <v>0.55555555555555558</v>
      </c>
      <c r="S176">
        <f>survey_responses[[#This Row],[Tôi tin rằng với các quy định quản lý thuế hiện nay, hành vi gian lận hoặc trốn thuế sẽ dễ dàng bị phát hiện và xử lý nghiêm. - HUMAN-ENF1]]</f>
        <v>4</v>
      </c>
      <c r="T176">
        <f t="shared" si="55"/>
        <v>0.33333333333333331</v>
      </c>
      <c r="U176">
        <f>step3_validation[[#This Row],[AI_ENF2]]</f>
        <v>8</v>
      </c>
      <c r="V176">
        <f t="shared" si="56"/>
        <v>0.77777777777777779</v>
      </c>
      <c r="W176">
        <f>survey_responses[[#This Row],[Tôi tin rằng Nhà nước, cơ quan thuế có đủ khả năng và công nghệ để phát hiện, xử lý nghiêm các hành vi trốn thuế. - HUMAN-ENF2]]</f>
        <v>5</v>
      </c>
      <c r="X176">
        <f t="shared" si="57"/>
        <v>0.44444444444444442</v>
      </c>
      <c r="Y176" s="32">
        <f t="shared" si="58"/>
        <v>0.66666666666666674</v>
      </c>
      <c r="Z176" s="32">
        <f t="shared" si="59"/>
        <v>0.38888888888888884</v>
      </c>
      <c r="AA176">
        <f>step3_validation[[#This Row],[AI_FAC1]]</f>
        <v>9</v>
      </c>
      <c r="AB176">
        <f t="shared" si="60"/>
        <v>0.88888888888888884</v>
      </c>
      <c r="AC176">
        <f>survey_responses[[#This Row],[Các thủ tục khai báo thuế VÀ/HOẶC quy trình làm việc với cơ quan thuế đơn giản, tiện lợi, nhanh chóng hơn so với trước đây. - HUMAN-FAC1]]</f>
        <v>4</v>
      </c>
      <c r="AD176">
        <f t="shared" si="61"/>
        <v>0.33333333333333331</v>
      </c>
      <c r="AE176">
        <f>step3_validation[[#This Row],[AI_FAC2]]</f>
        <v>10</v>
      </c>
      <c r="AF176">
        <f t="shared" si="62"/>
        <v>1</v>
      </c>
      <c r="AG176">
        <f>survey_responses[[#This Row],[So với trước đây, tôi thấy cách tính thuế và các bậc thuế trong phương án mới đơn giản, dễ hiểu và dễ thực hiện hơn. - HUMAN-FAC2]]</f>
        <v>6</v>
      </c>
      <c r="AH176">
        <f t="shared" si="63"/>
        <v>0.55555555555555558</v>
      </c>
      <c r="AI176" s="32">
        <f t="shared" si="64"/>
        <v>0.94444444444444442</v>
      </c>
      <c r="AJ176" s="32">
        <f t="shared" si="65"/>
        <v>0.44444444444444442</v>
      </c>
      <c r="AK176">
        <f>step3_validation[[#This Row],[AI_TRU1]]</f>
        <v>7</v>
      </c>
      <c r="AL176">
        <f t="shared" si="66"/>
        <v>0.66666666666666663</v>
      </c>
      <c r="AM176">
        <f>survey_responses[[#This Row],[Tôi tin rằng Nhà nước, cơ quan thuế sẽ thực thi chính sách mới một cách khách quan, công tâm và đối xử bình đẳng với mọi người nộp thuế.  - HUMAN-TRU1]]</f>
        <v>4</v>
      </c>
      <c r="AN176">
        <f t="shared" si="67"/>
        <v>0.33333333333333331</v>
      </c>
      <c r="AO176">
        <f>step3_validation[[#This Row],[AI_TRU2]]</f>
        <v>9</v>
      </c>
      <c r="AP176">
        <f t="shared" si="68"/>
        <v>0.88888888888888884</v>
      </c>
      <c r="AQ176">
        <f>survey_responses[[#This Row],[Tôi thấy mức thuế tôi phải đóng theo phương án mới là công bằng (người thu nhập như tôi đóng mức này là hợp lý). - HUMAN-TRU2]]</f>
        <v>4</v>
      </c>
      <c r="AR176">
        <f t="shared" si="69"/>
        <v>0.33333333333333331</v>
      </c>
      <c r="AS176">
        <f>step3_validation[[#This Row],[AI_TRU3]]</f>
        <v>7</v>
      </c>
      <c r="AT176">
        <f t="shared" si="70"/>
        <v>0.66666666666666663</v>
      </c>
      <c r="AU176">
        <f>survey_responses[[#This Row],[Tôi tin tưởng số tiền thuế tôi đóng sẽ được Nhà nước sử dụng hiệu quả để cải thiện dịch vụ công (y tế, đường xá...). - HUMAN-TRU3]]</f>
        <v>4</v>
      </c>
      <c r="AV176">
        <f t="shared" si="71"/>
        <v>0.33333333333333331</v>
      </c>
      <c r="AW176">
        <f>step3_validation[[#This Row],[AI_TRU4]]</f>
        <v>8</v>
      </c>
      <c r="AX176">
        <f t="shared" si="72"/>
        <v>0.77777777777777779</v>
      </c>
      <c r="AY176">
        <f>survey_responses[[#This Row],[Tôi thấy Nhà nước đã giải thích rõ ràng, minh bạch về lý do và mục tiêu của việc sửa đổi thuế lần này. - HUMAN-TRU4]]</f>
        <v>5</v>
      </c>
      <c r="AZ176">
        <f t="shared" si="73"/>
        <v>0.44444444444444442</v>
      </c>
      <c r="BA176" s="32">
        <f t="shared" si="74"/>
        <v>0.74999999999999989</v>
      </c>
      <c r="BB176" s="32">
        <f t="shared" si="75"/>
        <v>0.3611111111111111</v>
      </c>
      <c r="BC176" s="7">
        <f t="shared" si="76"/>
        <v>0.78703703703703709</v>
      </c>
      <c r="BD176" s="7">
        <f t="shared" si="77"/>
        <v>0.39814814814814814</v>
      </c>
      <c r="BE176">
        <f>step3_validation[[#This Row],[AI_OUT1]]</f>
        <v>9</v>
      </c>
      <c r="BF176">
        <f t="shared" si="78"/>
        <v>0.88888888888888884</v>
      </c>
      <c r="BG176">
        <f>survey_responses[[#This Row],[Sau khi xem xét các quyền lợi và nghĩa vụ, bạn có ủng hộ và tuân thủ chính sách mới hiện nay? - HUMAN-OUT1]]</f>
        <v>4</v>
      </c>
      <c r="BH176">
        <f t="shared" si="79"/>
        <v>0.33333333333333331</v>
      </c>
      <c r="BI176" s="32">
        <f t="shared" si="80"/>
        <v>5</v>
      </c>
    </row>
    <row r="177" spans="1:61" x14ac:dyDescent="0.45">
      <c r="A177" s="30">
        <f>step3_validation[[#This Row],[Persona_ID]]</f>
        <v>176</v>
      </c>
      <c r="B177" s="31">
        <f>step3_validation[[#This Row],[Used_Seed]]</f>
        <v>12520</v>
      </c>
      <c r="C177" t="str">
        <f>step3_validation[[#This Row],[Gender]]</f>
        <v>Nữ</v>
      </c>
      <c r="D177" t="str">
        <f>survey_responses[[#This Row],[Giới tính của bạn:]]</f>
        <v>Nữ</v>
      </c>
      <c r="E177" t="str">
        <f>step3_validation[[#This Row],[Age_Group]]</f>
        <v>55 - 64</v>
      </c>
      <c r="F177" t="str">
        <f>survey_responses[[#This Row],[Độ tuổi của bạn:]]</f>
        <v>55 - 64</v>
      </c>
      <c r="G177" t="str">
        <f>step3_validation[[#This Row],[Region]]</f>
        <v>Nông thôn</v>
      </c>
      <c r="H177" t="str">
        <f>survey_responses[[#This Row],[Khu vực bạn đang sinh sống:]]</f>
        <v>Nông thôn</v>
      </c>
      <c r="I177" t="str">
        <f>step3_validation[[#This Row],[Education]]</f>
        <v>Sau Đại học</v>
      </c>
      <c r="J177" t="str">
        <f>survey_responses[[#This Row],[Trình độ học vấn cao nhất:]]</f>
        <v>Sau Đại học</v>
      </c>
      <c r="K177" t="str">
        <f>step3_validation[[#This Row],[Employment]]</f>
        <v>Chính thức</v>
      </c>
      <c r="L177" t="str">
        <f>survey_responses[[#This Row],[Tình trạng việc làm chính:]]</f>
        <v>Khu vực chính thức (Có Hợp đồng lao động, đóng BHXH)</v>
      </c>
      <c r="M177">
        <f>step3_validation[[#This Row],[Income_Mil]]</f>
        <v>242.78528291659143</v>
      </c>
      <c r="N177" t="str">
        <f>survey_responses[[#This Row],[Thu nhập bình quân tháng theo Hợp đồng lao động của bạn là bao nhiêu? (Vui lòng điền tổng thu nhập trước khi khấu trừ các loại Bảo hiểm (BHXH, BHYT, BHTN) và Thuế TNCN)]]</f>
        <v>Trên 102 triệu VNĐ</v>
      </c>
      <c r="O177">
        <f>step3_validation[[#This Row],[Dependents]]</f>
        <v>0</v>
      </c>
      <c r="P177" t="str">
        <f>survey_responses[[#This Row],[Số người phụ thuộc (con nhỏ, cha mẹ già...) đủ điều kiện giảm trừ gia cảnh:]]</f>
        <v>0 người</v>
      </c>
      <c r="Q177">
        <f>step3_validation[[#This Row],[AI_ENF1]]</f>
        <v>7</v>
      </c>
      <c r="R177">
        <f t="shared" si="54"/>
        <v>0.66666666666666663</v>
      </c>
      <c r="S177">
        <f>survey_responses[[#This Row],[Tôi tin rằng với các quy định quản lý thuế hiện nay, hành vi gian lận hoặc trốn thuế sẽ dễ dàng bị phát hiện và xử lý nghiêm. - HUMAN-ENF1]]</f>
        <v>2</v>
      </c>
      <c r="T177">
        <f t="shared" si="55"/>
        <v>0.1111111111111111</v>
      </c>
      <c r="U177">
        <f>step3_validation[[#This Row],[AI_ENF2]]</f>
        <v>7</v>
      </c>
      <c r="V177">
        <f t="shared" si="56"/>
        <v>0.66666666666666663</v>
      </c>
      <c r="W177">
        <f>survey_responses[[#This Row],[Tôi tin rằng Nhà nước, cơ quan thuế có đủ khả năng và công nghệ để phát hiện, xử lý nghiêm các hành vi trốn thuế. - HUMAN-ENF2]]</f>
        <v>4</v>
      </c>
      <c r="X177">
        <f t="shared" si="57"/>
        <v>0.33333333333333331</v>
      </c>
      <c r="Y177" s="32">
        <f t="shared" si="58"/>
        <v>0.66666666666666663</v>
      </c>
      <c r="Z177" s="32">
        <f t="shared" si="59"/>
        <v>0.22222222222222221</v>
      </c>
      <c r="AA177">
        <f>step3_validation[[#This Row],[AI_FAC1]]</f>
        <v>9</v>
      </c>
      <c r="AB177">
        <f t="shared" si="60"/>
        <v>0.88888888888888884</v>
      </c>
      <c r="AC177">
        <f>survey_responses[[#This Row],[Các thủ tục khai báo thuế VÀ/HOẶC quy trình làm việc với cơ quan thuế đơn giản, tiện lợi, nhanh chóng hơn so với trước đây. - HUMAN-FAC1]]</f>
        <v>3</v>
      </c>
      <c r="AD177">
        <f t="shared" si="61"/>
        <v>0.22222222222222221</v>
      </c>
      <c r="AE177">
        <f>step3_validation[[#This Row],[AI_FAC2]]</f>
        <v>9</v>
      </c>
      <c r="AF177">
        <f t="shared" si="62"/>
        <v>0.88888888888888884</v>
      </c>
      <c r="AG177">
        <f>survey_responses[[#This Row],[So với trước đây, tôi thấy cách tính thuế và các bậc thuế trong phương án mới đơn giản, dễ hiểu và dễ thực hiện hơn. - HUMAN-FAC2]]</f>
        <v>5</v>
      </c>
      <c r="AH177">
        <f t="shared" si="63"/>
        <v>0.44444444444444442</v>
      </c>
      <c r="AI177" s="32">
        <f t="shared" si="64"/>
        <v>0.88888888888888884</v>
      </c>
      <c r="AJ177" s="32">
        <f t="shared" si="65"/>
        <v>0.33333333333333331</v>
      </c>
      <c r="AK177">
        <f>step3_validation[[#This Row],[AI_TRU1]]</f>
        <v>8</v>
      </c>
      <c r="AL177">
        <f t="shared" si="66"/>
        <v>0.77777777777777779</v>
      </c>
      <c r="AM177">
        <f>survey_responses[[#This Row],[Tôi tin rằng Nhà nước, cơ quan thuế sẽ thực thi chính sách mới một cách khách quan, công tâm và đối xử bình đẳng với mọi người nộp thuế.  - HUMAN-TRU1]]</f>
        <v>4</v>
      </c>
      <c r="AN177">
        <f t="shared" si="67"/>
        <v>0.33333333333333331</v>
      </c>
      <c r="AO177">
        <f>step3_validation[[#This Row],[AI_TRU2]]</f>
        <v>9</v>
      </c>
      <c r="AP177">
        <f t="shared" si="68"/>
        <v>0.88888888888888884</v>
      </c>
      <c r="AQ177">
        <f>survey_responses[[#This Row],[Tôi thấy mức thuế tôi phải đóng theo phương án mới là công bằng (người thu nhập như tôi đóng mức này là hợp lý). - HUMAN-TRU2]]</f>
        <v>1</v>
      </c>
      <c r="AR177">
        <f t="shared" si="69"/>
        <v>0</v>
      </c>
      <c r="AS177">
        <f>step3_validation[[#This Row],[AI_TRU3]]</f>
        <v>8</v>
      </c>
      <c r="AT177">
        <f t="shared" si="70"/>
        <v>0.77777777777777779</v>
      </c>
      <c r="AU177">
        <f>survey_responses[[#This Row],[Tôi tin tưởng số tiền thuế tôi đóng sẽ được Nhà nước sử dụng hiệu quả để cải thiện dịch vụ công (y tế, đường xá...). - HUMAN-TRU3]]</f>
        <v>1</v>
      </c>
      <c r="AV177">
        <f t="shared" si="71"/>
        <v>0</v>
      </c>
      <c r="AW177">
        <f>step3_validation[[#This Row],[AI_TRU4]]</f>
        <v>7</v>
      </c>
      <c r="AX177">
        <f t="shared" si="72"/>
        <v>0.66666666666666663</v>
      </c>
      <c r="AY177">
        <f>survey_responses[[#This Row],[Tôi thấy Nhà nước đã giải thích rõ ràng, minh bạch về lý do và mục tiêu của việc sửa đổi thuế lần này. - HUMAN-TRU4]]</f>
        <v>4</v>
      </c>
      <c r="AZ177">
        <f t="shared" si="73"/>
        <v>0.33333333333333331</v>
      </c>
      <c r="BA177" s="32">
        <f t="shared" si="74"/>
        <v>0.77777777777777768</v>
      </c>
      <c r="BB177" s="32">
        <f t="shared" si="75"/>
        <v>0.16666666666666666</v>
      </c>
      <c r="BC177" s="7">
        <f t="shared" si="76"/>
        <v>0.77777777777777768</v>
      </c>
      <c r="BD177" s="7">
        <f t="shared" si="77"/>
        <v>0.24074074074074073</v>
      </c>
      <c r="BE177">
        <f>step3_validation[[#This Row],[AI_OUT1]]</f>
        <v>9</v>
      </c>
      <c r="BF177">
        <f t="shared" si="78"/>
        <v>0.88888888888888884</v>
      </c>
      <c r="BG177">
        <f>survey_responses[[#This Row],[Sau khi xem xét các quyền lợi và nghĩa vụ, bạn có ủng hộ và tuân thủ chính sách mới hiện nay? - HUMAN-OUT1]]</f>
        <v>4</v>
      </c>
      <c r="BH177">
        <f t="shared" si="79"/>
        <v>0.33333333333333331</v>
      </c>
      <c r="BI177" s="32">
        <f t="shared" si="80"/>
        <v>5</v>
      </c>
    </row>
    <row r="178" spans="1:61" x14ac:dyDescent="0.45">
      <c r="A178" s="30">
        <f>step3_validation[[#This Row],[Persona_ID]]</f>
        <v>177</v>
      </c>
      <c r="B178" s="31">
        <f>step3_validation[[#This Row],[Used_Seed]]</f>
        <v>12521</v>
      </c>
      <c r="C178" t="str">
        <f>step3_validation[[#This Row],[Gender]]</f>
        <v>Nữ</v>
      </c>
      <c r="D178" t="str">
        <f>survey_responses[[#This Row],[Giới tính của bạn:]]</f>
        <v>Nữ</v>
      </c>
      <c r="E178" t="str">
        <f>step3_validation[[#This Row],[Age_Group]]</f>
        <v>50 - 54</v>
      </c>
      <c r="F178" t="str">
        <f>survey_responses[[#This Row],[Độ tuổi của bạn:]]</f>
        <v>50 - 54</v>
      </c>
      <c r="G178" t="str">
        <f>step3_validation[[#This Row],[Region]]</f>
        <v>Thành thị</v>
      </c>
      <c r="H178" t="str">
        <f>survey_responses[[#This Row],[Khu vực bạn đang sinh sống:]]</f>
        <v>Thành thị</v>
      </c>
      <c r="I178" t="str">
        <f>step3_validation[[#This Row],[Education]]</f>
        <v>Sau Đại học</v>
      </c>
      <c r="J178" t="str">
        <f>survey_responses[[#This Row],[Trình độ học vấn cao nhất:]]</f>
        <v>Sau Đại học</v>
      </c>
      <c r="K178" t="str">
        <f>step3_validation[[#This Row],[Employment]]</f>
        <v>Chính thức</v>
      </c>
      <c r="L178" t="str">
        <f>survey_responses[[#This Row],[Tình trạng việc làm chính:]]</f>
        <v>Khu vực chính thức (Có Hợp đồng lao động, đóng BHXH)</v>
      </c>
      <c r="M178">
        <f>step3_validation[[#This Row],[Income_Mil]]</f>
        <v>99.641554489013288</v>
      </c>
      <c r="N178" t="str">
        <f>survey_responses[[#This Row],[Thu nhập bình quân tháng theo Hợp đồng lao động của bạn là bao nhiêu? (Vui lòng điền tổng thu nhập trước khi khấu trừ các loại Bảo hiểm (BHXH, BHYT, BHTN) và Thuế TNCN)]]</f>
        <v>Từ 70 - 102 triệu VNĐ</v>
      </c>
      <c r="O178">
        <f>step3_validation[[#This Row],[Dependents]]</f>
        <v>2</v>
      </c>
      <c r="P178" t="str">
        <f>survey_responses[[#This Row],[Số người phụ thuộc (con nhỏ, cha mẹ già...) đủ điều kiện giảm trừ gia cảnh:]]</f>
        <v>2 người</v>
      </c>
      <c r="Q178">
        <f>step3_validation[[#This Row],[AI_ENF1]]</f>
        <v>7</v>
      </c>
      <c r="R178">
        <f t="shared" si="54"/>
        <v>0.66666666666666663</v>
      </c>
      <c r="S178">
        <f>survey_responses[[#This Row],[Tôi tin rằng với các quy định quản lý thuế hiện nay, hành vi gian lận hoặc trốn thuế sẽ dễ dàng bị phát hiện và xử lý nghiêm. - HUMAN-ENF1]]</f>
        <v>4</v>
      </c>
      <c r="T178">
        <f t="shared" si="55"/>
        <v>0.33333333333333331</v>
      </c>
      <c r="U178">
        <f>step3_validation[[#This Row],[AI_ENF2]]</f>
        <v>8</v>
      </c>
      <c r="V178">
        <f t="shared" si="56"/>
        <v>0.77777777777777779</v>
      </c>
      <c r="W178">
        <f>survey_responses[[#This Row],[Tôi tin rằng Nhà nước, cơ quan thuế có đủ khả năng và công nghệ để phát hiện, xử lý nghiêm các hành vi trốn thuế. - HUMAN-ENF2]]</f>
        <v>4</v>
      </c>
      <c r="X178">
        <f t="shared" si="57"/>
        <v>0.33333333333333331</v>
      </c>
      <c r="Y178" s="32">
        <f t="shared" si="58"/>
        <v>0.72222222222222221</v>
      </c>
      <c r="Z178" s="32">
        <f t="shared" si="59"/>
        <v>0.33333333333333331</v>
      </c>
      <c r="AA178">
        <f>step3_validation[[#This Row],[AI_FAC1]]</f>
        <v>9</v>
      </c>
      <c r="AB178">
        <f t="shared" si="60"/>
        <v>0.88888888888888884</v>
      </c>
      <c r="AC178">
        <f>survey_responses[[#This Row],[Các thủ tục khai báo thuế VÀ/HOẶC quy trình làm việc với cơ quan thuế đơn giản, tiện lợi, nhanh chóng hơn so với trước đây. - HUMAN-FAC1]]</f>
        <v>3</v>
      </c>
      <c r="AD178">
        <f t="shared" si="61"/>
        <v>0.22222222222222221</v>
      </c>
      <c r="AE178">
        <f>step3_validation[[#This Row],[AI_FAC2]]</f>
        <v>10</v>
      </c>
      <c r="AF178">
        <f t="shared" si="62"/>
        <v>1</v>
      </c>
      <c r="AG178">
        <f>survey_responses[[#This Row],[So với trước đây, tôi thấy cách tính thuế và các bậc thuế trong phương án mới đơn giản, dễ hiểu và dễ thực hiện hơn. - HUMAN-FAC2]]</f>
        <v>5</v>
      </c>
      <c r="AH178">
        <f t="shared" si="63"/>
        <v>0.44444444444444442</v>
      </c>
      <c r="AI178" s="32">
        <f t="shared" si="64"/>
        <v>0.94444444444444442</v>
      </c>
      <c r="AJ178" s="32">
        <f t="shared" si="65"/>
        <v>0.33333333333333331</v>
      </c>
      <c r="AK178">
        <f>step3_validation[[#This Row],[AI_TRU1]]</f>
        <v>8</v>
      </c>
      <c r="AL178">
        <f t="shared" si="66"/>
        <v>0.77777777777777779</v>
      </c>
      <c r="AM178">
        <f>survey_responses[[#This Row],[Tôi tin rằng Nhà nước, cơ quan thuế sẽ thực thi chính sách mới một cách khách quan, công tâm và đối xử bình đẳng với mọi người nộp thuế.  - HUMAN-TRU1]]</f>
        <v>3</v>
      </c>
      <c r="AN178">
        <f t="shared" si="67"/>
        <v>0.22222222222222221</v>
      </c>
      <c r="AO178">
        <f>step3_validation[[#This Row],[AI_TRU2]]</f>
        <v>9</v>
      </c>
      <c r="AP178">
        <f t="shared" si="68"/>
        <v>0.88888888888888884</v>
      </c>
      <c r="AQ178">
        <f>survey_responses[[#This Row],[Tôi thấy mức thuế tôi phải đóng theo phương án mới là công bằng (người thu nhập như tôi đóng mức này là hợp lý). - HUMAN-TRU2]]</f>
        <v>2</v>
      </c>
      <c r="AR178">
        <f t="shared" si="69"/>
        <v>0.1111111111111111</v>
      </c>
      <c r="AS178">
        <f>step3_validation[[#This Row],[AI_TRU3]]</f>
        <v>7</v>
      </c>
      <c r="AT178">
        <f t="shared" si="70"/>
        <v>0.66666666666666663</v>
      </c>
      <c r="AU178">
        <f>survey_responses[[#This Row],[Tôi tin tưởng số tiền thuế tôi đóng sẽ được Nhà nước sử dụng hiệu quả để cải thiện dịch vụ công (y tế, đường xá...). - HUMAN-TRU3]]</f>
        <v>1</v>
      </c>
      <c r="AV178">
        <f t="shared" si="71"/>
        <v>0</v>
      </c>
      <c r="AW178">
        <f>step3_validation[[#This Row],[AI_TRU4]]</f>
        <v>9</v>
      </c>
      <c r="AX178">
        <f t="shared" si="72"/>
        <v>0.88888888888888884</v>
      </c>
      <c r="AY178">
        <f>survey_responses[[#This Row],[Tôi thấy Nhà nước đã giải thích rõ ràng, minh bạch về lý do và mục tiêu của việc sửa đổi thuế lần này. - HUMAN-TRU4]]</f>
        <v>1</v>
      </c>
      <c r="AZ178">
        <f t="shared" si="73"/>
        <v>0</v>
      </c>
      <c r="BA178" s="32">
        <f t="shared" si="74"/>
        <v>0.80555555555555547</v>
      </c>
      <c r="BB178" s="32">
        <f t="shared" si="75"/>
        <v>8.3333333333333329E-2</v>
      </c>
      <c r="BC178" s="7">
        <f t="shared" si="76"/>
        <v>0.82407407407407396</v>
      </c>
      <c r="BD178" s="7">
        <f t="shared" si="77"/>
        <v>0.25</v>
      </c>
      <c r="BE178">
        <f>step3_validation[[#This Row],[AI_OUT1]]</f>
        <v>10</v>
      </c>
      <c r="BF178">
        <f t="shared" si="78"/>
        <v>1</v>
      </c>
      <c r="BG178">
        <f>survey_responses[[#This Row],[Sau khi xem xét các quyền lợi và nghĩa vụ, bạn có ủng hộ và tuân thủ chính sách mới hiện nay? - HUMAN-OUT1]]</f>
        <v>1</v>
      </c>
      <c r="BH178">
        <f t="shared" si="79"/>
        <v>0</v>
      </c>
      <c r="BI178" s="32">
        <f t="shared" si="80"/>
        <v>9</v>
      </c>
    </row>
    <row r="179" spans="1:61" x14ac:dyDescent="0.45">
      <c r="A179" s="30">
        <f>step3_validation[[#This Row],[Persona_ID]]</f>
        <v>178</v>
      </c>
      <c r="B179" s="31">
        <f>step3_validation[[#This Row],[Used_Seed]]</f>
        <v>12522</v>
      </c>
      <c r="C179" t="str">
        <f>step3_validation[[#This Row],[Gender]]</f>
        <v>Nữ</v>
      </c>
      <c r="D179" t="str">
        <f>survey_responses[[#This Row],[Giới tính của bạn:]]</f>
        <v>Nữ</v>
      </c>
      <c r="E179" t="str">
        <f>step3_validation[[#This Row],[Age_Group]]</f>
        <v>55 - 64</v>
      </c>
      <c r="F179" t="str">
        <f>survey_responses[[#This Row],[Độ tuổi của bạn:]]</f>
        <v>55 - 64</v>
      </c>
      <c r="G179" t="str">
        <f>step3_validation[[#This Row],[Region]]</f>
        <v>Thành thị</v>
      </c>
      <c r="H179" t="str">
        <f>survey_responses[[#This Row],[Khu vực bạn đang sinh sống:]]</f>
        <v>Thành thị</v>
      </c>
      <c r="I179" t="str">
        <f>step3_validation[[#This Row],[Education]]</f>
        <v>Đại học</v>
      </c>
      <c r="J179" t="str">
        <f>survey_responses[[#This Row],[Trình độ học vấn cao nhất:]]</f>
        <v>Đại học</v>
      </c>
      <c r="K179" t="str">
        <f>step3_validation[[#This Row],[Employment]]</f>
        <v>Chính thức</v>
      </c>
      <c r="L179" t="str">
        <f>survey_responses[[#This Row],[Tình trạng việc làm chính:]]</f>
        <v>Khu vực chính thức (Có Hợp đồng lao động, đóng BHXH)</v>
      </c>
      <c r="M179">
        <f>step3_validation[[#This Row],[Income_Mil]]</f>
        <v>41.975058694830153</v>
      </c>
      <c r="N179" t="str">
        <f>survey_responses[[#This Row],[Thu nhập bình quân tháng theo Hợp đồng lao động của bạn là bao nhiêu? (Vui lòng điền tổng thu nhập trước khi khấu trừ các loại Bảo hiểm (BHXH, BHYT, BHTN) và Thuế TNCN)]]</f>
        <v>Từ 32 - 48 triệu VNĐ</v>
      </c>
      <c r="O179">
        <f>step3_validation[[#This Row],[Dependents]]</f>
        <v>4</v>
      </c>
      <c r="P179" t="str">
        <f>survey_responses[[#This Row],[Số người phụ thuộc (con nhỏ, cha mẹ già...) đủ điều kiện giảm trừ gia cảnh:]]</f>
        <v>4 người trở lên</v>
      </c>
      <c r="Q179">
        <f>step3_validation[[#This Row],[AI_ENF1]]</f>
        <v>7</v>
      </c>
      <c r="R179">
        <f t="shared" si="54"/>
        <v>0.66666666666666663</v>
      </c>
      <c r="S179">
        <f>survey_responses[[#This Row],[Tôi tin rằng với các quy định quản lý thuế hiện nay, hành vi gian lận hoặc trốn thuế sẽ dễ dàng bị phát hiện và xử lý nghiêm. - HUMAN-ENF1]]</f>
        <v>6</v>
      </c>
      <c r="T179">
        <f t="shared" si="55"/>
        <v>0.55555555555555558</v>
      </c>
      <c r="U179">
        <f>step3_validation[[#This Row],[AI_ENF2]]</f>
        <v>8</v>
      </c>
      <c r="V179">
        <f t="shared" si="56"/>
        <v>0.77777777777777779</v>
      </c>
      <c r="W179">
        <f>survey_responses[[#This Row],[Tôi tin rằng Nhà nước, cơ quan thuế có đủ khả năng và công nghệ để phát hiện, xử lý nghiêm các hành vi trốn thuế. - HUMAN-ENF2]]</f>
        <v>7</v>
      </c>
      <c r="X179">
        <f t="shared" si="57"/>
        <v>0.66666666666666663</v>
      </c>
      <c r="Y179" s="32">
        <f t="shared" si="58"/>
        <v>0.72222222222222221</v>
      </c>
      <c r="Z179" s="32">
        <f t="shared" si="59"/>
        <v>0.61111111111111116</v>
      </c>
      <c r="AA179">
        <f>step3_validation[[#This Row],[AI_FAC1]]</f>
        <v>9</v>
      </c>
      <c r="AB179">
        <f t="shared" si="60"/>
        <v>0.88888888888888884</v>
      </c>
      <c r="AC179">
        <f>survey_responses[[#This Row],[Các thủ tục khai báo thuế VÀ/HOẶC quy trình làm việc với cơ quan thuế đơn giản, tiện lợi, nhanh chóng hơn so với trước đây. - HUMAN-FAC1]]</f>
        <v>6</v>
      </c>
      <c r="AD179">
        <f t="shared" si="61"/>
        <v>0.55555555555555558</v>
      </c>
      <c r="AE179">
        <f>step3_validation[[#This Row],[AI_FAC2]]</f>
        <v>9</v>
      </c>
      <c r="AF179">
        <f t="shared" si="62"/>
        <v>0.88888888888888884</v>
      </c>
      <c r="AG179">
        <f>survey_responses[[#This Row],[So với trước đây, tôi thấy cách tính thuế và các bậc thuế trong phương án mới đơn giản, dễ hiểu và dễ thực hiện hơn. - HUMAN-FAC2]]</f>
        <v>6</v>
      </c>
      <c r="AH179">
        <f t="shared" si="63"/>
        <v>0.55555555555555558</v>
      </c>
      <c r="AI179" s="32">
        <f t="shared" si="64"/>
        <v>0.88888888888888884</v>
      </c>
      <c r="AJ179" s="32">
        <f t="shared" si="65"/>
        <v>0.55555555555555558</v>
      </c>
      <c r="AK179">
        <f>step3_validation[[#This Row],[AI_TRU1]]</f>
        <v>8</v>
      </c>
      <c r="AL179">
        <f t="shared" si="66"/>
        <v>0.77777777777777779</v>
      </c>
      <c r="AM179">
        <f>survey_responses[[#This Row],[Tôi tin rằng Nhà nước, cơ quan thuế sẽ thực thi chính sách mới một cách khách quan, công tâm và đối xử bình đẳng với mọi người nộp thuế.  - HUMAN-TRU1]]</f>
        <v>6</v>
      </c>
      <c r="AN179">
        <f t="shared" si="67"/>
        <v>0.55555555555555558</v>
      </c>
      <c r="AO179">
        <f>step3_validation[[#This Row],[AI_TRU2]]</f>
        <v>7</v>
      </c>
      <c r="AP179">
        <f t="shared" si="68"/>
        <v>0.66666666666666663</v>
      </c>
      <c r="AQ179">
        <f>survey_responses[[#This Row],[Tôi thấy mức thuế tôi phải đóng theo phương án mới là công bằng (người thu nhập như tôi đóng mức này là hợp lý). - HUMAN-TRU2]]</f>
        <v>7</v>
      </c>
      <c r="AR179">
        <f t="shared" si="69"/>
        <v>0.66666666666666663</v>
      </c>
      <c r="AS179">
        <f>step3_validation[[#This Row],[AI_TRU3]]</f>
        <v>8</v>
      </c>
      <c r="AT179">
        <f t="shared" si="70"/>
        <v>0.77777777777777779</v>
      </c>
      <c r="AU179">
        <f>survey_responses[[#This Row],[Tôi tin tưởng số tiền thuế tôi đóng sẽ được Nhà nước sử dụng hiệu quả để cải thiện dịch vụ công (y tế, đường xá...). - HUMAN-TRU3]]</f>
        <v>5</v>
      </c>
      <c r="AV179">
        <f t="shared" si="71"/>
        <v>0.44444444444444442</v>
      </c>
      <c r="AW179">
        <f>step3_validation[[#This Row],[AI_TRU4]]</f>
        <v>6</v>
      </c>
      <c r="AX179">
        <f t="shared" si="72"/>
        <v>0.55555555555555558</v>
      </c>
      <c r="AY179">
        <f>survey_responses[[#This Row],[Tôi thấy Nhà nước đã giải thích rõ ràng, minh bạch về lý do và mục tiêu của việc sửa đổi thuế lần này. - HUMAN-TRU4]]</f>
        <v>6</v>
      </c>
      <c r="AZ179">
        <f t="shared" si="73"/>
        <v>0.55555555555555558</v>
      </c>
      <c r="BA179" s="32">
        <f t="shared" si="74"/>
        <v>0.69444444444444442</v>
      </c>
      <c r="BB179" s="32">
        <f t="shared" si="75"/>
        <v>0.55555555555555558</v>
      </c>
      <c r="BC179" s="7">
        <f t="shared" si="76"/>
        <v>0.76851851851851849</v>
      </c>
      <c r="BD179" s="7">
        <f t="shared" si="77"/>
        <v>0.57407407407407407</v>
      </c>
      <c r="BE179">
        <f>step3_validation[[#This Row],[AI_OUT1]]</f>
        <v>8</v>
      </c>
      <c r="BF179">
        <f t="shared" si="78"/>
        <v>0.77777777777777779</v>
      </c>
      <c r="BG179">
        <f>survey_responses[[#This Row],[Sau khi xem xét các quyền lợi và nghĩa vụ, bạn có ủng hộ và tuân thủ chính sách mới hiện nay? - HUMAN-OUT1]]</f>
        <v>7</v>
      </c>
      <c r="BH179">
        <f t="shared" si="79"/>
        <v>0.66666666666666663</v>
      </c>
      <c r="BI179" s="32">
        <f t="shared" si="80"/>
        <v>1</v>
      </c>
    </row>
    <row r="180" spans="1:61" x14ac:dyDescent="0.45">
      <c r="A180" s="30">
        <f>step3_validation[[#This Row],[Persona_ID]]</f>
        <v>179</v>
      </c>
      <c r="B180" s="31">
        <f>step3_validation[[#This Row],[Used_Seed]]</f>
        <v>12523</v>
      </c>
      <c r="C180" t="str">
        <f>step3_validation[[#This Row],[Gender]]</f>
        <v>Nữ</v>
      </c>
      <c r="D180" t="str">
        <f>survey_responses[[#This Row],[Giới tính của bạn:]]</f>
        <v>Nữ</v>
      </c>
      <c r="E180" t="str">
        <f>step3_validation[[#This Row],[Age_Group]]</f>
        <v>30 - 39</v>
      </c>
      <c r="F180" t="str">
        <f>survey_responses[[#This Row],[Độ tuổi của bạn:]]</f>
        <v>30 - 39</v>
      </c>
      <c r="G180" t="str">
        <f>step3_validation[[#This Row],[Region]]</f>
        <v>Thành thị</v>
      </c>
      <c r="H180" t="str">
        <f>survey_responses[[#This Row],[Khu vực bạn đang sinh sống:]]</f>
        <v>Thành thị</v>
      </c>
      <c r="I180" t="str">
        <f>step3_validation[[#This Row],[Education]]</f>
        <v>Sau Đại học</v>
      </c>
      <c r="J180" t="str">
        <f>survey_responses[[#This Row],[Trình độ học vấn cao nhất:]]</f>
        <v>Sau Đại học</v>
      </c>
      <c r="K180" t="str">
        <f>step3_validation[[#This Row],[Employment]]</f>
        <v>Chính thức</v>
      </c>
      <c r="L180" t="str">
        <f>survey_responses[[#This Row],[Tình trạng việc làm chính:]]</f>
        <v>Khu vực chính thức (Có Hợp đồng lao động, đóng BHXH)</v>
      </c>
      <c r="M180">
        <f>step3_validation[[#This Row],[Income_Mil]]</f>
        <v>29.19172331684997</v>
      </c>
      <c r="N180" t="str">
        <f>survey_responses[[#This Row],[Thu nhập bình quân tháng theo Hợp đồng lao động của bạn là bao nhiêu? (Vui lòng điền tổng thu nhập trước khi khấu trừ các loại Bảo hiểm (BHXH, BHYT, BHTN) và Thuế TNCN)]]</f>
        <v>Từ 23 - 32 triệu VNĐ</v>
      </c>
      <c r="O180">
        <f>step3_validation[[#This Row],[Dependents]]</f>
        <v>1</v>
      </c>
      <c r="P180" t="str">
        <f>survey_responses[[#This Row],[Số người phụ thuộc (con nhỏ, cha mẹ già...) đủ điều kiện giảm trừ gia cảnh:]]</f>
        <v>1 người</v>
      </c>
      <c r="Q180">
        <f>step3_validation[[#This Row],[AI_ENF1]]</f>
        <v>7</v>
      </c>
      <c r="R180">
        <f t="shared" si="54"/>
        <v>0.66666666666666663</v>
      </c>
      <c r="S180">
        <f>survey_responses[[#This Row],[Tôi tin rằng với các quy định quản lý thuế hiện nay, hành vi gian lận hoặc trốn thuế sẽ dễ dàng bị phát hiện và xử lý nghiêm. - HUMAN-ENF1]]</f>
        <v>7</v>
      </c>
      <c r="T180">
        <f t="shared" si="55"/>
        <v>0.66666666666666663</v>
      </c>
      <c r="U180">
        <f>step3_validation[[#This Row],[AI_ENF2]]</f>
        <v>6</v>
      </c>
      <c r="V180">
        <f t="shared" si="56"/>
        <v>0.55555555555555558</v>
      </c>
      <c r="W180">
        <f>survey_responses[[#This Row],[Tôi tin rằng Nhà nước, cơ quan thuế có đủ khả năng và công nghệ để phát hiện, xử lý nghiêm các hành vi trốn thuế. - HUMAN-ENF2]]</f>
        <v>7</v>
      </c>
      <c r="X180">
        <f t="shared" si="57"/>
        <v>0.66666666666666663</v>
      </c>
      <c r="Y180" s="32">
        <f t="shared" si="58"/>
        <v>0.61111111111111116</v>
      </c>
      <c r="Z180" s="32">
        <f t="shared" si="59"/>
        <v>0.66666666666666663</v>
      </c>
      <c r="AA180">
        <f>step3_validation[[#This Row],[AI_FAC1]]</f>
        <v>9</v>
      </c>
      <c r="AB180">
        <f t="shared" si="60"/>
        <v>0.88888888888888884</v>
      </c>
      <c r="AC180">
        <f>survey_responses[[#This Row],[Các thủ tục khai báo thuế VÀ/HOẶC quy trình làm việc với cơ quan thuế đơn giản, tiện lợi, nhanh chóng hơn so với trước đây. - HUMAN-FAC1]]</f>
        <v>7</v>
      </c>
      <c r="AD180">
        <f t="shared" si="61"/>
        <v>0.66666666666666663</v>
      </c>
      <c r="AE180">
        <f>step3_validation[[#This Row],[AI_FAC2]]</f>
        <v>8</v>
      </c>
      <c r="AF180">
        <f t="shared" si="62"/>
        <v>0.77777777777777779</v>
      </c>
      <c r="AG180">
        <f>survey_responses[[#This Row],[So với trước đây, tôi thấy cách tính thuế và các bậc thuế trong phương án mới đơn giản, dễ hiểu và dễ thực hiện hơn. - HUMAN-FAC2]]</f>
        <v>8</v>
      </c>
      <c r="AH180">
        <f t="shared" si="63"/>
        <v>0.77777777777777779</v>
      </c>
      <c r="AI180" s="32">
        <f t="shared" si="64"/>
        <v>0.83333333333333326</v>
      </c>
      <c r="AJ180" s="32">
        <f t="shared" si="65"/>
        <v>0.72222222222222221</v>
      </c>
      <c r="AK180">
        <f>step3_validation[[#This Row],[AI_TRU1]]</f>
        <v>7</v>
      </c>
      <c r="AL180">
        <f t="shared" si="66"/>
        <v>0.66666666666666663</v>
      </c>
      <c r="AM180">
        <f>survey_responses[[#This Row],[Tôi tin rằng Nhà nước, cơ quan thuế sẽ thực thi chính sách mới một cách khách quan, công tâm và đối xử bình đẳng với mọi người nộp thuế.  - HUMAN-TRU1]]</f>
        <v>7</v>
      </c>
      <c r="AN180">
        <f t="shared" si="67"/>
        <v>0.66666666666666663</v>
      </c>
      <c r="AO180">
        <f>step3_validation[[#This Row],[AI_TRU2]]</f>
        <v>9</v>
      </c>
      <c r="AP180">
        <f t="shared" si="68"/>
        <v>0.88888888888888884</v>
      </c>
      <c r="AQ180">
        <f>survey_responses[[#This Row],[Tôi thấy mức thuế tôi phải đóng theo phương án mới là công bằng (người thu nhập như tôi đóng mức này là hợp lý). - HUMAN-TRU2]]</f>
        <v>8</v>
      </c>
      <c r="AR180">
        <f t="shared" si="69"/>
        <v>0.77777777777777779</v>
      </c>
      <c r="AS180">
        <f>step3_validation[[#This Row],[AI_TRU3]]</f>
        <v>8</v>
      </c>
      <c r="AT180">
        <f t="shared" si="70"/>
        <v>0.77777777777777779</v>
      </c>
      <c r="AU180">
        <f>survey_responses[[#This Row],[Tôi tin tưởng số tiền thuế tôi đóng sẽ được Nhà nước sử dụng hiệu quả để cải thiện dịch vụ công (y tế, đường xá...). - HUMAN-TRU3]]</f>
        <v>7</v>
      </c>
      <c r="AV180">
        <f t="shared" si="71"/>
        <v>0.66666666666666663</v>
      </c>
      <c r="AW180">
        <f>step3_validation[[#This Row],[AI_TRU4]]</f>
        <v>7</v>
      </c>
      <c r="AX180">
        <f t="shared" si="72"/>
        <v>0.66666666666666663</v>
      </c>
      <c r="AY180">
        <f>survey_responses[[#This Row],[Tôi thấy Nhà nước đã giải thích rõ ràng, minh bạch về lý do và mục tiêu của việc sửa đổi thuế lần này. - HUMAN-TRU4]]</f>
        <v>7</v>
      </c>
      <c r="AZ180">
        <f t="shared" si="73"/>
        <v>0.66666666666666663</v>
      </c>
      <c r="BA180" s="32">
        <f t="shared" si="74"/>
        <v>0.74999999999999989</v>
      </c>
      <c r="BB180" s="32">
        <f t="shared" si="75"/>
        <v>0.69444444444444442</v>
      </c>
      <c r="BC180" s="7">
        <f t="shared" si="76"/>
        <v>0.7314814814814814</v>
      </c>
      <c r="BD180" s="7">
        <f t="shared" si="77"/>
        <v>0.69444444444444431</v>
      </c>
      <c r="BE180">
        <f>step3_validation[[#This Row],[AI_OUT1]]</f>
        <v>9</v>
      </c>
      <c r="BF180">
        <f t="shared" si="78"/>
        <v>0.88888888888888884</v>
      </c>
      <c r="BG180">
        <f>survey_responses[[#This Row],[Sau khi xem xét các quyền lợi và nghĩa vụ, bạn có ủng hộ và tuân thủ chính sách mới hiện nay? - HUMAN-OUT1]]</f>
        <v>8</v>
      </c>
      <c r="BH180">
        <f t="shared" si="79"/>
        <v>0.77777777777777779</v>
      </c>
      <c r="BI180" s="32">
        <f t="shared" si="80"/>
        <v>1</v>
      </c>
    </row>
    <row r="181" spans="1:61" x14ac:dyDescent="0.45">
      <c r="A181" s="30">
        <f>step3_validation[[#This Row],[Persona_ID]]</f>
        <v>180</v>
      </c>
      <c r="B181" s="31">
        <f>step3_validation[[#This Row],[Used_Seed]]</f>
        <v>12524</v>
      </c>
      <c r="C181" t="str">
        <f>step3_validation[[#This Row],[Gender]]</f>
        <v>Nữ</v>
      </c>
      <c r="D181" t="str">
        <f>survey_responses[[#This Row],[Giới tính của bạn:]]</f>
        <v>Nữ</v>
      </c>
      <c r="E181" t="str">
        <f>step3_validation[[#This Row],[Age_Group]]</f>
        <v>40 - 49</v>
      </c>
      <c r="F181" t="str">
        <f>survey_responses[[#This Row],[Độ tuổi của bạn:]]</f>
        <v>40 - 49</v>
      </c>
      <c r="G181" t="str">
        <f>step3_validation[[#This Row],[Region]]</f>
        <v>Thành thị</v>
      </c>
      <c r="H181" t="str">
        <f>survey_responses[[#This Row],[Khu vực bạn đang sinh sống:]]</f>
        <v>Thành thị</v>
      </c>
      <c r="I181" t="str">
        <f>step3_validation[[#This Row],[Education]]</f>
        <v>Đại học</v>
      </c>
      <c r="J181" t="str">
        <f>survey_responses[[#This Row],[Trình độ học vấn cao nhất:]]</f>
        <v>Đại học</v>
      </c>
      <c r="K181" t="str">
        <f>step3_validation[[#This Row],[Employment]]</f>
        <v>Chính thức</v>
      </c>
      <c r="L181" t="str">
        <f>survey_responses[[#This Row],[Tình trạng việc làm chính:]]</f>
        <v>Khu vực chính thức (Có Hợp đồng lao động, đóng BHXH)</v>
      </c>
      <c r="M181">
        <f>step3_validation[[#This Row],[Income_Mil]]</f>
        <v>67.224779049723395</v>
      </c>
      <c r="N181" t="str">
        <f>survey_responses[[#This Row],[Thu nhập bình quân tháng theo Hợp đồng lao động của bạn là bao nhiêu? (Vui lòng điền tổng thu nhập trước khi khấu trừ các loại Bảo hiểm (BHXH, BHYT, BHTN) và Thuế TNCN)]]</f>
        <v>Từ 48 - 70 triệu VNĐ</v>
      </c>
      <c r="O181">
        <f>step3_validation[[#This Row],[Dependents]]</f>
        <v>1</v>
      </c>
      <c r="P181" t="str">
        <f>survey_responses[[#This Row],[Số người phụ thuộc (con nhỏ, cha mẹ già...) đủ điều kiện giảm trừ gia cảnh:]]</f>
        <v>1 người</v>
      </c>
      <c r="Q181">
        <f>step3_validation[[#This Row],[AI_ENF1]]</f>
        <v>8</v>
      </c>
      <c r="R181">
        <f t="shared" si="54"/>
        <v>0.77777777777777779</v>
      </c>
      <c r="S181">
        <f>survey_responses[[#This Row],[Tôi tin rằng với các quy định quản lý thuế hiện nay, hành vi gian lận hoặc trốn thuế sẽ dễ dàng bị phát hiện và xử lý nghiêm. - HUMAN-ENF1]]</f>
        <v>5</v>
      </c>
      <c r="T181">
        <f t="shared" si="55"/>
        <v>0.44444444444444442</v>
      </c>
      <c r="U181">
        <f>step3_validation[[#This Row],[AI_ENF2]]</f>
        <v>7</v>
      </c>
      <c r="V181">
        <f t="shared" si="56"/>
        <v>0.66666666666666663</v>
      </c>
      <c r="W181">
        <f>survey_responses[[#This Row],[Tôi tin rằng Nhà nước, cơ quan thuế có đủ khả năng và công nghệ để phát hiện, xử lý nghiêm các hành vi trốn thuế. - HUMAN-ENF2]]</f>
        <v>5</v>
      </c>
      <c r="X181">
        <f t="shared" si="57"/>
        <v>0.44444444444444442</v>
      </c>
      <c r="Y181" s="32">
        <f t="shared" si="58"/>
        <v>0.72222222222222221</v>
      </c>
      <c r="Z181" s="32">
        <f t="shared" si="59"/>
        <v>0.44444444444444442</v>
      </c>
      <c r="AA181">
        <f>step3_validation[[#This Row],[AI_FAC1]]</f>
        <v>9</v>
      </c>
      <c r="AB181">
        <f t="shared" si="60"/>
        <v>0.88888888888888884</v>
      </c>
      <c r="AC181">
        <f>survey_responses[[#This Row],[Các thủ tục khai báo thuế VÀ/HOẶC quy trình làm việc với cơ quan thuế đơn giản, tiện lợi, nhanh chóng hơn so với trước đây. - HUMAN-FAC1]]</f>
        <v>5</v>
      </c>
      <c r="AD181">
        <f t="shared" si="61"/>
        <v>0.44444444444444442</v>
      </c>
      <c r="AE181">
        <f>step3_validation[[#This Row],[AI_FAC2]]</f>
        <v>8</v>
      </c>
      <c r="AF181">
        <f t="shared" si="62"/>
        <v>0.77777777777777779</v>
      </c>
      <c r="AG181">
        <f>survey_responses[[#This Row],[So với trước đây, tôi thấy cách tính thuế và các bậc thuế trong phương án mới đơn giản, dễ hiểu và dễ thực hiện hơn. - HUMAN-FAC2]]</f>
        <v>7</v>
      </c>
      <c r="AH181">
        <f t="shared" si="63"/>
        <v>0.66666666666666663</v>
      </c>
      <c r="AI181" s="32">
        <f t="shared" si="64"/>
        <v>0.83333333333333326</v>
      </c>
      <c r="AJ181" s="32">
        <f t="shared" si="65"/>
        <v>0.55555555555555558</v>
      </c>
      <c r="AK181">
        <f>step3_validation[[#This Row],[AI_TRU1]]</f>
        <v>9</v>
      </c>
      <c r="AL181">
        <f t="shared" si="66"/>
        <v>0.88888888888888884</v>
      </c>
      <c r="AM181">
        <f>survey_responses[[#This Row],[Tôi tin rằng Nhà nước, cơ quan thuế sẽ thực thi chính sách mới một cách khách quan, công tâm và đối xử bình đẳng với mọi người nộp thuế.  - HUMAN-TRU1]]</f>
        <v>5</v>
      </c>
      <c r="AN181">
        <f t="shared" si="67"/>
        <v>0.44444444444444442</v>
      </c>
      <c r="AO181">
        <f>step3_validation[[#This Row],[AI_TRU2]]</f>
        <v>8</v>
      </c>
      <c r="AP181">
        <f t="shared" si="68"/>
        <v>0.77777777777777779</v>
      </c>
      <c r="AQ181">
        <f>survey_responses[[#This Row],[Tôi thấy mức thuế tôi phải đóng theo phương án mới là công bằng (người thu nhập như tôi đóng mức này là hợp lý). - HUMAN-TRU2]]</f>
        <v>6</v>
      </c>
      <c r="AR181">
        <f t="shared" si="69"/>
        <v>0.55555555555555558</v>
      </c>
      <c r="AS181">
        <f>step3_validation[[#This Row],[AI_TRU3]]</f>
        <v>9</v>
      </c>
      <c r="AT181">
        <f t="shared" si="70"/>
        <v>0.88888888888888884</v>
      </c>
      <c r="AU181">
        <f>survey_responses[[#This Row],[Tôi tin tưởng số tiền thuế tôi đóng sẽ được Nhà nước sử dụng hiệu quả để cải thiện dịch vụ công (y tế, đường xá...). - HUMAN-TRU3]]</f>
        <v>5</v>
      </c>
      <c r="AV181">
        <f t="shared" si="71"/>
        <v>0.44444444444444442</v>
      </c>
      <c r="AW181">
        <f>step3_validation[[#This Row],[AI_TRU4]]</f>
        <v>8</v>
      </c>
      <c r="AX181">
        <f t="shared" si="72"/>
        <v>0.77777777777777779</v>
      </c>
      <c r="AY181">
        <f>survey_responses[[#This Row],[Tôi thấy Nhà nước đã giải thích rõ ràng, minh bạch về lý do và mục tiêu của việc sửa đổi thuế lần này. - HUMAN-TRU4]]</f>
        <v>7</v>
      </c>
      <c r="AZ181">
        <f t="shared" si="73"/>
        <v>0.66666666666666663</v>
      </c>
      <c r="BA181" s="32">
        <f t="shared" si="74"/>
        <v>0.83333333333333326</v>
      </c>
      <c r="BB181" s="32">
        <f t="shared" si="75"/>
        <v>0.52777777777777779</v>
      </c>
      <c r="BC181" s="7">
        <f t="shared" si="76"/>
        <v>0.79629629629629617</v>
      </c>
      <c r="BD181" s="7">
        <f t="shared" si="77"/>
        <v>0.50925925925925919</v>
      </c>
      <c r="BE181">
        <f>step3_validation[[#This Row],[AI_OUT1]]</f>
        <v>9</v>
      </c>
      <c r="BF181">
        <f t="shared" si="78"/>
        <v>0.88888888888888884</v>
      </c>
      <c r="BG181">
        <f>survey_responses[[#This Row],[Sau khi xem xét các quyền lợi và nghĩa vụ, bạn có ủng hộ và tuân thủ chính sách mới hiện nay? - HUMAN-OUT1]]</f>
        <v>7</v>
      </c>
      <c r="BH181">
        <f t="shared" si="79"/>
        <v>0.66666666666666663</v>
      </c>
      <c r="BI181" s="32">
        <f t="shared" si="80"/>
        <v>2</v>
      </c>
    </row>
    <row r="182" spans="1:61" x14ac:dyDescent="0.45">
      <c r="A182" s="30">
        <f>step3_validation[[#This Row],[Persona_ID]]</f>
        <v>181</v>
      </c>
      <c r="B182" s="31">
        <f>step3_validation[[#This Row],[Used_Seed]]</f>
        <v>12525</v>
      </c>
      <c r="C182" t="str">
        <f>step3_validation[[#This Row],[Gender]]</f>
        <v>Nữ</v>
      </c>
      <c r="D182" t="str">
        <f>survey_responses[[#This Row],[Giới tính của bạn:]]</f>
        <v>Nữ</v>
      </c>
      <c r="E182" t="str">
        <f>step3_validation[[#This Row],[Age_Group]]</f>
        <v>30 - 39</v>
      </c>
      <c r="F182" t="str">
        <f>survey_responses[[#This Row],[Độ tuổi của bạn:]]</f>
        <v>30 - 39</v>
      </c>
      <c r="G182" t="str">
        <f>step3_validation[[#This Row],[Region]]</f>
        <v>Thành thị</v>
      </c>
      <c r="H182" t="str">
        <f>survey_responses[[#This Row],[Khu vực bạn đang sinh sống:]]</f>
        <v>Thành thị</v>
      </c>
      <c r="I182" t="str">
        <f>step3_validation[[#This Row],[Education]]</f>
        <v>Sau Đại học</v>
      </c>
      <c r="J182" t="str">
        <f>survey_responses[[#This Row],[Trình độ học vấn cao nhất:]]</f>
        <v>Sau Đại học</v>
      </c>
      <c r="K182" t="str">
        <f>step3_validation[[#This Row],[Employment]]</f>
        <v>Chính thức</v>
      </c>
      <c r="L182" t="str">
        <f>survey_responses[[#This Row],[Tình trạng việc làm chính:]]</f>
        <v>Khu vực chính thức (Có Hợp đồng lao động, đóng BHXH)</v>
      </c>
      <c r="M182">
        <f>step3_validation[[#This Row],[Income_Mil]]</f>
        <v>55.869776463680211</v>
      </c>
      <c r="N182" t="str">
        <f>survey_responses[[#This Row],[Thu nhập bình quân tháng theo Hợp đồng lao động của bạn là bao nhiêu? (Vui lòng điền tổng thu nhập trước khi khấu trừ các loại Bảo hiểm (BHXH, BHYT, BHTN) và Thuế TNCN)]]</f>
        <v>Từ 48 - 70 triệu VNĐ</v>
      </c>
      <c r="O182">
        <f>step3_validation[[#This Row],[Dependents]]</f>
        <v>2</v>
      </c>
      <c r="P182" t="str">
        <f>survey_responses[[#This Row],[Số người phụ thuộc (con nhỏ, cha mẹ già...) đủ điều kiện giảm trừ gia cảnh:]]</f>
        <v>2 người</v>
      </c>
      <c r="Q182">
        <f>step3_validation[[#This Row],[AI_ENF1]]</f>
        <v>7</v>
      </c>
      <c r="R182">
        <f t="shared" si="54"/>
        <v>0.66666666666666663</v>
      </c>
      <c r="S182">
        <f>survey_responses[[#This Row],[Tôi tin rằng với các quy định quản lý thuế hiện nay, hành vi gian lận hoặc trốn thuế sẽ dễ dàng bị phát hiện và xử lý nghiêm. - HUMAN-ENF1]]</f>
        <v>6</v>
      </c>
      <c r="T182">
        <f t="shared" si="55"/>
        <v>0.55555555555555558</v>
      </c>
      <c r="U182">
        <f>step3_validation[[#This Row],[AI_ENF2]]</f>
        <v>9</v>
      </c>
      <c r="V182">
        <f t="shared" si="56"/>
        <v>0.88888888888888884</v>
      </c>
      <c r="W182">
        <f>survey_responses[[#This Row],[Tôi tin rằng Nhà nước, cơ quan thuế có đủ khả năng và công nghệ để phát hiện, xử lý nghiêm các hành vi trốn thuế. - HUMAN-ENF2]]</f>
        <v>7</v>
      </c>
      <c r="X182">
        <f t="shared" si="57"/>
        <v>0.66666666666666663</v>
      </c>
      <c r="Y182" s="32">
        <f t="shared" si="58"/>
        <v>0.77777777777777768</v>
      </c>
      <c r="Z182" s="32">
        <f t="shared" si="59"/>
        <v>0.61111111111111116</v>
      </c>
      <c r="AA182">
        <f>step3_validation[[#This Row],[AI_FAC1]]</f>
        <v>8</v>
      </c>
      <c r="AB182">
        <f t="shared" si="60"/>
        <v>0.77777777777777779</v>
      </c>
      <c r="AC182">
        <f>survey_responses[[#This Row],[Các thủ tục khai báo thuế VÀ/HOẶC quy trình làm việc với cơ quan thuế đơn giản, tiện lợi, nhanh chóng hơn so với trước đây. - HUMAN-FAC1]]</f>
        <v>7</v>
      </c>
      <c r="AD182">
        <f t="shared" si="61"/>
        <v>0.66666666666666663</v>
      </c>
      <c r="AE182">
        <f>step3_validation[[#This Row],[AI_FAC2]]</f>
        <v>9</v>
      </c>
      <c r="AF182">
        <f t="shared" si="62"/>
        <v>0.88888888888888884</v>
      </c>
      <c r="AG182">
        <f>survey_responses[[#This Row],[So với trước đây, tôi thấy cách tính thuế và các bậc thuế trong phương án mới đơn giản, dễ hiểu và dễ thực hiện hơn. - HUMAN-FAC2]]</f>
        <v>8</v>
      </c>
      <c r="AH182">
        <f t="shared" si="63"/>
        <v>0.77777777777777779</v>
      </c>
      <c r="AI182" s="32">
        <f t="shared" si="64"/>
        <v>0.83333333333333326</v>
      </c>
      <c r="AJ182" s="32">
        <f t="shared" si="65"/>
        <v>0.72222222222222221</v>
      </c>
      <c r="AK182">
        <f>step3_validation[[#This Row],[AI_TRU1]]</f>
        <v>8</v>
      </c>
      <c r="AL182">
        <f t="shared" si="66"/>
        <v>0.77777777777777779</v>
      </c>
      <c r="AM182">
        <f>survey_responses[[#This Row],[Tôi tin rằng Nhà nước, cơ quan thuế sẽ thực thi chính sách mới một cách khách quan, công tâm và đối xử bình đẳng với mọi người nộp thuế.  - HUMAN-TRU1]]</f>
        <v>8</v>
      </c>
      <c r="AN182">
        <f t="shared" si="67"/>
        <v>0.77777777777777779</v>
      </c>
      <c r="AO182">
        <f>step3_validation[[#This Row],[AI_TRU2]]</f>
        <v>9</v>
      </c>
      <c r="AP182">
        <f t="shared" si="68"/>
        <v>0.88888888888888884</v>
      </c>
      <c r="AQ182">
        <f>survey_responses[[#This Row],[Tôi thấy mức thuế tôi phải đóng theo phương án mới là công bằng (người thu nhập như tôi đóng mức này là hợp lý). - HUMAN-TRU2]]</f>
        <v>7</v>
      </c>
      <c r="AR182">
        <f t="shared" si="69"/>
        <v>0.66666666666666663</v>
      </c>
      <c r="AS182">
        <f>step3_validation[[#This Row],[AI_TRU3]]</f>
        <v>8</v>
      </c>
      <c r="AT182">
        <f t="shared" si="70"/>
        <v>0.77777777777777779</v>
      </c>
      <c r="AU182">
        <f>survey_responses[[#This Row],[Tôi tin tưởng số tiền thuế tôi đóng sẽ được Nhà nước sử dụng hiệu quả để cải thiện dịch vụ công (y tế, đường xá...). - HUMAN-TRU3]]</f>
        <v>5</v>
      </c>
      <c r="AV182">
        <f t="shared" si="71"/>
        <v>0.44444444444444442</v>
      </c>
      <c r="AW182">
        <f>step3_validation[[#This Row],[AI_TRU4]]</f>
        <v>9</v>
      </c>
      <c r="AX182">
        <f t="shared" si="72"/>
        <v>0.88888888888888884</v>
      </c>
      <c r="AY182">
        <f>survey_responses[[#This Row],[Tôi thấy Nhà nước đã giải thích rõ ràng, minh bạch về lý do và mục tiêu của việc sửa đổi thuế lần này. - HUMAN-TRU4]]</f>
        <v>7</v>
      </c>
      <c r="AZ182">
        <f t="shared" si="73"/>
        <v>0.66666666666666663</v>
      </c>
      <c r="BA182" s="32">
        <f t="shared" si="74"/>
        <v>0.83333333333333326</v>
      </c>
      <c r="BB182" s="32">
        <f t="shared" si="75"/>
        <v>0.63888888888888884</v>
      </c>
      <c r="BC182" s="7">
        <f t="shared" si="76"/>
        <v>0.81481481481481477</v>
      </c>
      <c r="BD182" s="7">
        <f t="shared" si="77"/>
        <v>0.65740740740740744</v>
      </c>
      <c r="BE182">
        <f>step3_validation[[#This Row],[AI_OUT1]]</f>
        <v>8</v>
      </c>
      <c r="BF182">
        <f t="shared" si="78"/>
        <v>0.77777777777777779</v>
      </c>
      <c r="BG182">
        <f>survey_responses[[#This Row],[Sau khi xem xét các quyền lợi và nghĩa vụ, bạn có ủng hộ và tuân thủ chính sách mới hiện nay? - HUMAN-OUT1]]</f>
        <v>7</v>
      </c>
      <c r="BH182">
        <f t="shared" si="79"/>
        <v>0.66666666666666663</v>
      </c>
      <c r="BI182" s="32">
        <f t="shared" si="80"/>
        <v>1</v>
      </c>
    </row>
    <row r="183" spans="1:61" x14ac:dyDescent="0.45">
      <c r="A183" s="30">
        <f>step3_validation[[#This Row],[Persona_ID]]</f>
        <v>182</v>
      </c>
      <c r="B183" s="31">
        <f>step3_validation[[#This Row],[Used_Seed]]</f>
        <v>12526</v>
      </c>
      <c r="C183" t="str">
        <f>step3_validation[[#This Row],[Gender]]</f>
        <v>Nữ</v>
      </c>
      <c r="D183" t="str">
        <f>survey_responses[[#This Row],[Giới tính của bạn:]]</f>
        <v>Nữ</v>
      </c>
      <c r="E183" t="str">
        <f>step3_validation[[#This Row],[Age_Group]]</f>
        <v>25 - 29</v>
      </c>
      <c r="F183" t="str">
        <f>survey_responses[[#This Row],[Độ tuổi của bạn:]]</f>
        <v>25 - 29</v>
      </c>
      <c r="G183" t="str">
        <f>step3_validation[[#This Row],[Region]]</f>
        <v>Thành thị</v>
      </c>
      <c r="H183" t="str">
        <f>survey_responses[[#This Row],[Khu vực bạn đang sinh sống:]]</f>
        <v>Thành thị</v>
      </c>
      <c r="I183" t="str">
        <f>step3_validation[[#This Row],[Education]]</f>
        <v>Đại học</v>
      </c>
      <c r="J183" t="str">
        <f>survey_responses[[#This Row],[Trình độ học vấn cao nhất:]]</f>
        <v>Đại học</v>
      </c>
      <c r="K183" t="str">
        <f>step3_validation[[#This Row],[Employment]]</f>
        <v>Chính thức</v>
      </c>
      <c r="L183" t="str">
        <f>survey_responses[[#This Row],[Tình trạng việc làm chính:]]</f>
        <v>Khu vực chính thức (Có Hợp đồng lao động, đóng BHXH)</v>
      </c>
      <c r="M183">
        <f>step3_validation[[#This Row],[Income_Mil]]</f>
        <v>26.36529032007855</v>
      </c>
      <c r="N183" t="str">
        <f>survey_responses[[#This Row],[Thu nhập bình quân tháng theo Hợp đồng lao động của bạn là bao nhiêu? (Vui lòng điền tổng thu nhập trước khi khấu trừ các loại Bảo hiểm (BHXH, BHYT, BHTN) và Thuế TNCN)]]</f>
        <v>Từ 23 - 32 triệu VNĐ</v>
      </c>
      <c r="O183">
        <f>step3_validation[[#This Row],[Dependents]]</f>
        <v>0</v>
      </c>
      <c r="P183" t="str">
        <f>survey_responses[[#This Row],[Số người phụ thuộc (con nhỏ, cha mẹ già...) đủ điều kiện giảm trừ gia cảnh:]]</f>
        <v>0 người</v>
      </c>
      <c r="Q183">
        <f>step3_validation[[#This Row],[AI_ENF1]]</f>
        <v>7</v>
      </c>
      <c r="R183">
        <f t="shared" si="54"/>
        <v>0.66666666666666663</v>
      </c>
      <c r="S183">
        <f>survey_responses[[#This Row],[Tôi tin rằng với các quy định quản lý thuế hiện nay, hành vi gian lận hoặc trốn thuế sẽ dễ dàng bị phát hiện và xử lý nghiêm. - HUMAN-ENF1]]</f>
        <v>8</v>
      </c>
      <c r="T183">
        <f t="shared" si="55"/>
        <v>0.77777777777777779</v>
      </c>
      <c r="U183">
        <f>step3_validation[[#This Row],[AI_ENF2]]</f>
        <v>6</v>
      </c>
      <c r="V183">
        <f t="shared" si="56"/>
        <v>0.55555555555555558</v>
      </c>
      <c r="W183">
        <f>survey_responses[[#This Row],[Tôi tin rằng Nhà nước, cơ quan thuế có đủ khả năng và công nghệ để phát hiện, xử lý nghiêm các hành vi trốn thuế. - HUMAN-ENF2]]</f>
        <v>8</v>
      </c>
      <c r="X183">
        <f t="shared" si="57"/>
        <v>0.77777777777777779</v>
      </c>
      <c r="Y183" s="32">
        <f t="shared" si="58"/>
        <v>0.61111111111111116</v>
      </c>
      <c r="Z183" s="32">
        <f t="shared" si="59"/>
        <v>0.77777777777777779</v>
      </c>
      <c r="AA183">
        <f>step3_validation[[#This Row],[AI_FAC1]]</f>
        <v>8</v>
      </c>
      <c r="AB183">
        <f t="shared" si="60"/>
        <v>0.77777777777777779</v>
      </c>
      <c r="AC183">
        <f>survey_responses[[#This Row],[Các thủ tục khai báo thuế VÀ/HOẶC quy trình làm việc với cơ quan thuế đơn giản, tiện lợi, nhanh chóng hơn so với trước đây. - HUMAN-FAC1]]</f>
        <v>5</v>
      </c>
      <c r="AD183">
        <f t="shared" si="61"/>
        <v>0.44444444444444442</v>
      </c>
      <c r="AE183">
        <f>step3_validation[[#This Row],[AI_FAC2]]</f>
        <v>9</v>
      </c>
      <c r="AF183">
        <f t="shared" si="62"/>
        <v>0.88888888888888884</v>
      </c>
      <c r="AG183">
        <f>survey_responses[[#This Row],[So với trước đây, tôi thấy cách tính thuế và các bậc thuế trong phương án mới đơn giản, dễ hiểu và dễ thực hiện hơn. - HUMAN-FAC2]]</f>
        <v>8</v>
      </c>
      <c r="AH183">
        <f t="shared" si="63"/>
        <v>0.77777777777777779</v>
      </c>
      <c r="AI183" s="32">
        <f t="shared" si="64"/>
        <v>0.83333333333333326</v>
      </c>
      <c r="AJ183" s="32">
        <f t="shared" si="65"/>
        <v>0.61111111111111116</v>
      </c>
      <c r="AK183">
        <f>step3_validation[[#This Row],[AI_TRU1]]</f>
        <v>7</v>
      </c>
      <c r="AL183">
        <f t="shared" si="66"/>
        <v>0.66666666666666663</v>
      </c>
      <c r="AM183">
        <f>survey_responses[[#This Row],[Tôi tin rằng Nhà nước, cơ quan thuế sẽ thực thi chính sách mới một cách khách quan, công tâm và đối xử bình đẳng với mọi người nộp thuế.  - HUMAN-TRU1]]</f>
        <v>6</v>
      </c>
      <c r="AN183">
        <f t="shared" si="67"/>
        <v>0.55555555555555558</v>
      </c>
      <c r="AO183">
        <f>step3_validation[[#This Row],[AI_TRU2]]</f>
        <v>9</v>
      </c>
      <c r="AP183">
        <f t="shared" si="68"/>
        <v>0.88888888888888884</v>
      </c>
      <c r="AQ183">
        <f>survey_responses[[#This Row],[Tôi thấy mức thuế tôi phải đóng theo phương án mới là công bằng (người thu nhập như tôi đóng mức này là hợp lý). - HUMAN-TRU2]]</f>
        <v>8</v>
      </c>
      <c r="AR183">
        <f t="shared" si="69"/>
        <v>0.77777777777777779</v>
      </c>
      <c r="AS183">
        <f>step3_validation[[#This Row],[AI_TRU3]]</f>
        <v>6</v>
      </c>
      <c r="AT183">
        <f t="shared" si="70"/>
        <v>0.55555555555555558</v>
      </c>
      <c r="AU183">
        <f>survey_responses[[#This Row],[Tôi tin tưởng số tiền thuế tôi đóng sẽ được Nhà nước sử dụng hiệu quả để cải thiện dịch vụ công (y tế, đường xá...). - HUMAN-TRU3]]</f>
        <v>6</v>
      </c>
      <c r="AV183">
        <f t="shared" si="71"/>
        <v>0.55555555555555558</v>
      </c>
      <c r="AW183">
        <f>step3_validation[[#This Row],[AI_TRU4]]</f>
        <v>7</v>
      </c>
      <c r="AX183">
        <f t="shared" si="72"/>
        <v>0.66666666666666663</v>
      </c>
      <c r="AY183">
        <f>survey_responses[[#This Row],[Tôi thấy Nhà nước đã giải thích rõ ràng, minh bạch về lý do và mục tiêu của việc sửa đổi thuế lần này. - HUMAN-TRU4]]</f>
        <v>7</v>
      </c>
      <c r="AZ183">
        <f t="shared" si="73"/>
        <v>0.66666666666666663</v>
      </c>
      <c r="BA183" s="32">
        <f t="shared" si="74"/>
        <v>0.69444444444444431</v>
      </c>
      <c r="BB183" s="32">
        <f t="shared" si="75"/>
        <v>0.63888888888888895</v>
      </c>
      <c r="BC183" s="7">
        <f t="shared" si="76"/>
        <v>0.71296296296296291</v>
      </c>
      <c r="BD183" s="7">
        <f t="shared" si="77"/>
        <v>0.67592592592592593</v>
      </c>
      <c r="BE183">
        <f>step3_validation[[#This Row],[AI_OUT1]]</f>
        <v>8</v>
      </c>
      <c r="BF183">
        <f t="shared" si="78"/>
        <v>0.77777777777777779</v>
      </c>
      <c r="BG183">
        <f>survey_responses[[#This Row],[Sau khi xem xét các quyền lợi và nghĩa vụ, bạn có ủng hộ và tuân thủ chính sách mới hiện nay? - HUMAN-OUT1]]</f>
        <v>7</v>
      </c>
      <c r="BH183">
        <f t="shared" si="79"/>
        <v>0.66666666666666663</v>
      </c>
      <c r="BI183" s="32">
        <f t="shared" si="80"/>
        <v>1</v>
      </c>
    </row>
    <row r="184" spans="1:61" x14ac:dyDescent="0.45">
      <c r="A184" s="30">
        <f>step3_validation[[#This Row],[Persona_ID]]</f>
        <v>183</v>
      </c>
      <c r="B184" s="31">
        <f>step3_validation[[#This Row],[Used_Seed]]</f>
        <v>12527</v>
      </c>
      <c r="C184" t="str">
        <f>step3_validation[[#This Row],[Gender]]</f>
        <v>Nam</v>
      </c>
      <c r="D184" t="str">
        <f>survey_responses[[#This Row],[Giới tính của bạn:]]</f>
        <v>Nam</v>
      </c>
      <c r="E184" t="str">
        <f>step3_validation[[#This Row],[Age_Group]]</f>
        <v>55 - 64</v>
      </c>
      <c r="F184" t="str">
        <f>survey_responses[[#This Row],[Độ tuổi của bạn:]]</f>
        <v>55 - 64</v>
      </c>
      <c r="G184" t="str">
        <f>step3_validation[[#This Row],[Region]]</f>
        <v>Thành thị</v>
      </c>
      <c r="H184" t="str">
        <f>survey_responses[[#This Row],[Khu vực bạn đang sinh sống:]]</f>
        <v>Thành thị</v>
      </c>
      <c r="I184" t="str">
        <f>step3_validation[[#This Row],[Education]]</f>
        <v>Sau Đại học</v>
      </c>
      <c r="J184" t="str">
        <f>survey_responses[[#This Row],[Trình độ học vấn cao nhất:]]</f>
        <v>Sau Đại học</v>
      </c>
      <c r="K184" t="str">
        <f>step3_validation[[#This Row],[Employment]]</f>
        <v>Chính thức</v>
      </c>
      <c r="L184" t="str">
        <f>survey_responses[[#This Row],[Tình trạng việc làm chính:]]</f>
        <v>Khu vực chính thức (Có Hợp đồng lao động, đóng BHXH)</v>
      </c>
      <c r="M184">
        <f>step3_validation[[#This Row],[Income_Mil]]</f>
        <v>242.87940079209727</v>
      </c>
      <c r="N184" t="str">
        <f>survey_responses[[#This Row],[Thu nhập bình quân tháng theo Hợp đồng lao động của bạn là bao nhiêu? (Vui lòng điền tổng thu nhập trước khi khấu trừ các loại Bảo hiểm (BHXH, BHYT, BHTN) và Thuế TNCN)]]</f>
        <v>Trên 102 triệu VNĐ</v>
      </c>
      <c r="O184">
        <f>step3_validation[[#This Row],[Dependents]]</f>
        <v>3</v>
      </c>
      <c r="P184" t="str">
        <f>survey_responses[[#This Row],[Số người phụ thuộc (con nhỏ, cha mẹ già...) đủ điều kiện giảm trừ gia cảnh:]]</f>
        <v>3 người</v>
      </c>
      <c r="Q184">
        <f>step3_validation[[#This Row],[AI_ENF1]]</f>
        <v>9</v>
      </c>
      <c r="R184">
        <f t="shared" si="54"/>
        <v>0.88888888888888884</v>
      </c>
      <c r="S184">
        <f>survey_responses[[#This Row],[Tôi tin rằng với các quy định quản lý thuế hiện nay, hành vi gian lận hoặc trốn thuế sẽ dễ dàng bị phát hiện và xử lý nghiêm. - HUMAN-ENF1]]</f>
        <v>2</v>
      </c>
      <c r="T184">
        <f t="shared" si="55"/>
        <v>0.1111111111111111</v>
      </c>
      <c r="U184">
        <f>step3_validation[[#This Row],[AI_ENF2]]</f>
        <v>8</v>
      </c>
      <c r="V184">
        <f t="shared" si="56"/>
        <v>0.77777777777777779</v>
      </c>
      <c r="W184">
        <f>survey_responses[[#This Row],[Tôi tin rằng Nhà nước, cơ quan thuế có đủ khả năng và công nghệ để phát hiện, xử lý nghiêm các hành vi trốn thuế. - HUMAN-ENF2]]</f>
        <v>5</v>
      </c>
      <c r="X184">
        <f t="shared" si="57"/>
        <v>0.44444444444444442</v>
      </c>
      <c r="Y184" s="32">
        <f t="shared" si="58"/>
        <v>0.83333333333333326</v>
      </c>
      <c r="Z184" s="32">
        <f t="shared" si="59"/>
        <v>0.27777777777777779</v>
      </c>
      <c r="AA184">
        <f>step3_validation[[#This Row],[AI_FAC1]]</f>
        <v>9</v>
      </c>
      <c r="AB184">
        <f t="shared" si="60"/>
        <v>0.88888888888888884</v>
      </c>
      <c r="AC184">
        <f>survey_responses[[#This Row],[Các thủ tục khai báo thuế VÀ/HOẶC quy trình làm việc với cơ quan thuế đơn giản, tiện lợi, nhanh chóng hơn so với trước đây. - HUMAN-FAC1]]</f>
        <v>3</v>
      </c>
      <c r="AD184">
        <f t="shared" si="61"/>
        <v>0.22222222222222221</v>
      </c>
      <c r="AE184">
        <f>step3_validation[[#This Row],[AI_FAC2]]</f>
        <v>8</v>
      </c>
      <c r="AF184">
        <f t="shared" si="62"/>
        <v>0.77777777777777779</v>
      </c>
      <c r="AG184">
        <f>survey_responses[[#This Row],[So với trước đây, tôi thấy cách tính thuế và các bậc thuế trong phương án mới đơn giản, dễ hiểu và dễ thực hiện hơn. - HUMAN-FAC2]]</f>
        <v>5</v>
      </c>
      <c r="AH184">
        <f t="shared" si="63"/>
        <v>0.44444444444444442</v>
      </c>
      <c r="AI184" s="32">
        <f t="shared" si="64"/>
        <v>0.83333333333333326</v>
      </c>
      <c r="AJ184" s="32">
        <f t="shared" si="65"/>
        <v>0.33333333333333331</v>
      </c>
      <c r="AK184">
        <f>step3_validation[[#This Row],[AI_TRU1]]</f>
        <v>9</v>
      </c>
      <c r="AL184">
        <f t="shared" si="66"/>
        <v>0.88888888888888884</v>
      </c>
      <c r="AM184">
        <f>survey_responses[[#This Row],[Tôi tin rằng Nhà nước, cơ quan thuế sẽ thực thi chính sách mới một cách khách quan, công tâm và đối xử bình đẳng với mọi người nộp thuế.  - HUMAN-TRU1]]</f>
        <v>3</v>
      </c>
      <c r="AN184">
        <f t="shared" si="67"/>
        <v>0.22222222222222221</v>
      </c>
      <c r="AO184">
        <f>step3_validation[[#This Row],[AI_TRU2]]</f>
        <v>8</v>
      </c>
      <c r="AP184">
        <f t="shared" si="68"/>
        <v>0.77777777777777779</v>
      </c>
      <c r="AQ184">
        <f>survey_responses[[#This Row],[Tôi thấy mức thuế tôi phải đóng theo phương án mới là công bằng (người thu nhập như tôi đóng mức này là hợp lý). - HUMAN-TRU2]]</f>
        <v>2</v>
      </c>
      <c r="AR184">
        <f t="shared" si="69"/>
        <v>0.1111111111111111</v>
      </c>
      <c r="AS184">
        <f>step3_validation[[#This Row],[AI_TRU3]]</f>
        <v>9</v>
      </c>
      <c r="AT184">
        <f t="shared" si="70"/>
        <v>0.88888888888888884</v>
      </c>
      <c r="AU184">
        <f>survey_responses[[#This Row],[Tôi tin tưởng số tiền thuế tôi đóng sẽ được Nhà nước sử dụng hiệu quả để cải thiện dịch vụ công (y tế, đường xá...). - HUMAN-TRU3]]</f>
        <v>1</v>
      </c>
      <c r="AV184">
        <f t="shared" si="71"/>
        <v>0</v>
      </c>
      <c r="AW184">
        <f>step3_validation[[#This Row],[AI_TRU4]]</f>
        <v>8</v>
      </c>
      <c r="AX184">
        <f t="shared" si="72"/>
        <v>0.77777777777777779</v>
      </c>
      <c r="AY184">
        <f>survey_responses[[#This Row],[Tôi thấy Nhà nước đã giải thích rõ ràng, minh bạch về lý do và mục tiêu của việc sửa đổi thuế lần này. - HUMAN-TRU4]]</f>
        <v>5</v>
      </c>
      <c r="AZ184">
        <f t="shared" si="73"/>
        <v>0.44444444444444442</v>
      </c>
      <c r="BA184" s="32">
        <f t="shared" si="74"/>
        <v>0.83333333333333326</v>
      </c>
      <c r="BB184" s="32">
        <f t="shared" si="75"/>
        <v>0.19444444444444442</v>
      </c>
      <c r="BC184" s="7">
        <f t="shared" si="76"/>
        <v>0.83333333333333337</v>
      </c>
      <c r="BD184" s="7">
        <f t="shared" si="77"/>
        <v>0.26851851851851855</v>
      </c>
      <c r="BE184">
        <f>step3_validation[[#This Row],[AI_OUT1]]</f>
        <v>9</v>
      </c>
      <c r="BF184">
        <f t="shared" si="78"/>
        <v>0.88888888888888884</v>
      </c>
      <c r="BG184">
        <f>survey_responses[[#This Row],[Sau khi xem xét các quyền lợi và nghĩa vụ, bạn có ủng hộ và tuân thủ chính sách mới hiện nay? - HUMAN-OUT1]]</f>
        <v>5</v>
      </c>
      <c r="BH184">
        <f t="shared" si="79"/>
        <v>0.44444444444444442</v>
      </c>
      <c r="BI184" s="32">
        <f t="shared" si="80"/>
        <v>4</v>
      </c>
    </row>
    <row r="185" spans="1:61" x14ac:dyDescent="0.45">
      <c r="A185" s="30">
        <f>step3_validation[[#This Row],[Persona_ID]]</f>
        <v>184</v>
      </c>
      <c r="B185" s="31">
        <f>step3_validation[[#This Row],[Used_Seed]]</f>
        <v>12528</v>
      </c>
      <c r="C185" t="str">
        <f>step3_validation[[#This Row],[Gender]]</f>
        <v>Nam</v>
      </c>
      <c r="D185" t="str">
        <f>survey_responses[[#This Row],[Giới tính của bạn:]]</f>
        <v>Nam</v>
      </c>
      <c r="E185" t="str">
        <f>step3_validation[[#This Row],[Age_Group]]</f>
        <v>18 - 24</v>
      </c>
      <c r="F185" t="str">
        <f>survey_responses[[#This Row],[Độ tuổi của bạn:]]</f>
        <v>18 - 24</v>
      </c>
      <c r="G185" t="str">
        <f>step3_validation[[#This Row],[Region]]</f>
        <v>Thành thị</v>
      </c>
      <c r="H185" t="str">
        <f>survey_responses[[#This Row],[Khu vực bạn đang sinh sống:]]</f>
        <v>Thành thị</v>
      </c>
      <c r="I185" t="str">
        <f>step3_validation[[#This Row],[Education]]</f>
        <v>Đại học</v>
      </c>
      <c r="J185" t="str">
        <f>survey_responses[[#This Row],[Trình độ học vấn cao nhất:]]</f>
        <v>Đại học</v>
      </c>
      <c r="K185" t="str">
        <f>step3_validation[[#This Row],[Employment]]</f>
        <v>Chính thức</v>
      </c>
      <c r="L185" t="str">
        <f>survey_responses[[#This Row],[Tình trạng việc làm chính:]]</f>
        <v>Khu vực chính thức (Có Hợp đồng lao động, đóng BHXH)</v>
      </c>
      <c r="M185">
        <f>step3_validation[[#This Row],[Income_Mil]]</f>
        <v>13.994494786815956</v>
      </c>
      <c r="N185" t="str">
        <f>survey_responses[[#This Row],[Thu nhập bình quân tháng theo Hợp đồng lao động của bạn là bao nhiêu? (Vui lòng điền tổng thu nhập trước khi khấu trừ các loại Bảo hiểm (BHXH, BHYT, BHTN) và Thuế TNCN)]]</f>
        <v>Từ 12 - 18 triệu VNĐ</v>
      </c>
      <c r="O185">
        <f>step3_validation[[#This Row],[Dependents]]</f>
        <v>0</v>
      </c>
      <c r="P185" t="str">
        <f>survey_responses[[#This Row],[Số người phụ thuộc (con nhỏ, cha mẹ già...) đủ điều kiện giảm trừ gia cảnh:]]</f>
        <v>0 người</v>
      </c>
      <c r="Q185">
        <f>step3_validation[[#This Row],[AI_ENF1]]</f>
        <v>8</v>
      </c>
      <c r="R185">
        <f t="shared" si="54"/>
        <v>0.77777777777777779</v>
      </c>
      <c r="S185">
        <f>survey_responses[[#This Row],[Tôi tin rằng với các quy định quản lý thuế hiện nay, hành vi gian lận hoặc trốn thuế sẽ dễ dàng bị phát hiện và xử lý nghiêm. - HUMAN-ENF1]]</f>
        <v>6</v>
      </c>
      <c r="T185">
        <f t="shared" si="55"/>
        <v>0.55555555555555558</v>
      </c>
      <c r="U185">
        <f>step3_validation[[#This Row],[AI_ENF2]]</f>
        <v>9</v>
      </c>
      <c r="V185">
        <f t="shared" si="56"/>
        <v>0.88888888888888884</v>
      </c>
      <c r="W185">
        <f>survey_responses[[#This Row],[Tôi tin rằng Nhà nước, cơ quan thuế có đủ khả năng và công nghệ để phát hiện, xử lý nghiêm các hành vi trốn thuế. - HUMAN-ENF2]]</f>
        <v>6</v>
      </c>
      <c r="X185">
        <f t="shared" si="57"/>
        <v>0.55555555555555558</v>
      </c>
      <c r="Y185" s="32">
        <f t="shared" si="58"/>
        <v>0.83333333333333326</v>
      </c>
      <c r="Z185" s="32">
        <f t="shared" si="59"/>
        <v>0.55555555555555558</v>
      </c>
      <c r="AA185">
        <f>step3_validation[[#This Row],[AI_FAC1]]</f>
        <v>8</v>
      </c>
      <c r="AB185">
        <f t="shared" si="60"/>
        <v>0.77777777777777779</v>
      </c>
      <c r="AC185">
        <f>survey_responses[[#This Row],[Các thủ tục khai báo thuế VÀ/HOẶC quy trình làm việc với cơ quan thuế đơn giản, tiện lợi, nhanh chóng hơn so với trước đây. - HUMAN-FAC1]]</f>
        <v>5</v>
      </c>
      <c r="AD185">
        <f t="shared" si="61"/>
        <v>0.44444444444444442</v>
      </c>
      <c r="AE185">
        <f>step3_validation[[#This Row],[AI_FAC2]]</f>
        <v>9</v>
      </c>
      <c r="AF185">
        <f t="shared" si="62"/>
        <v>0.88888888888888884</v>
      </c>
      <c r="AG185">
        <f>survey_responses[[#This Row],[So với trước đây, tôi thấy cách tính thuế và các bậc thuế trong phương án mới đơn giản, dễ hiểu và dễ thực hiện hơn. - HUMAN-FAC2]]</f>
        <v>9</v>
      </c>
      <c r="AH185">
        <f t="shared" si="63"/>
        <v>0.88888888888888884</v>
      </c>
      <c r="AI185" s="32">
        <f t="shared" si="64"/>
        <v>0.83333333333333326</v>
      </c>
      <c r="AJ185" s="32">
        <f t="shared" si="65"/>
        <v>0.66666666666666663</v>
      </c>
      <c r="AK185">
        <f>step3_validation[[#This Row],[AI_TRU1]]</f>
        <v>8</v>
      </c>
      <c r="AL185">
        <f t="shared" si="66"/>
        <v>0.77777777777777779</v>
      </c>
      <c r="AM185">
        <f>survey_responses[[#This Row],[Tôi tin rằng Nhà nước, cơ quan thuế sẽ thực thi chính sách mới một cách khách quan, công tâm và đối xử bình đẳng với mọi người nộp thuế.  - HUMAN-TRU1]]</f>
        <v>7</v>
      </c>
      <c r="AN185">
        <f t="shared" si="67"/>
        <v>0.66666666666666663</v>
      </c>
      <c r="AO185">
        <f>step3_validation[[#This Row],[AI_TRU2]]</f>
        <v>9</v>
      </c>
      <c r="AP185">
        <f t="shared" si="68"/>
        <v>0.88888888888888884</v>
      </c>
      <c r="AQ185">
        <f>survey_responses[[#This Row],[Tôi thấy mức thuế tôi phải đóng theo phương án mới là công bằng (người thu nhập như tôi đóng mức này là hợp lý). - HUMAN-TRU2]]</f>
        <v>8</v>
      </c>
      <c r="AR185">
        <f t="shared" si="69"/>
        <v>0.77777777777777779</v>
      </c>
      <c r="AS185">
        <f>step3_validation[[#This Row],[AI_TRU3]]</f>
        <v>8</v>
      </c>
      <c r="AT185">
        <f t="shared" si="70"/>
        <v>0.77777777777777779</v>
      </c>
      <c r="AU185">
        <f>survey_responses[[#This Row],[Tôi tin tưởng số tiền thuế tôi đóng sẽ được Nhà nước sử dụng hiệu quả để cải thiện dịch vụ công (y tế, đường xá...). - HUMAN-TRU3]]</f>
        <v>5</v>
      </c>
      <c r="AV185">
        <f t="shared" si="71"/>
        <v>0.44444444444444442</v>
      </c>
      <c r="AW185">
        <f>step3_validation[[#This Row],[AI_TRU4]]</f>
        <v>9</v>
      </c>
      <c r="AX185">
        <f t="shared" si="72"/>
        <v>0.88888888888888884</v>
      </c>
      <c r="AY185">
        <f>survey_responses[[#This Row],[Tôi thấy Nhà nước đã giải thích rõ ràng, minh bạch về lý do và mục tiêu của việc sửa đổi thuế lần này. - HUMAN-TRU4]]</f>
        <v>7</v>
      </c>
      <c r="AZ185">
        <f t="shared" si="73"/>
        <v>0.66666666666666663</v>
      </c>
      <c r="BA185" s="32">
        <f t="shared" si="74"/>
        <v>0.83333333333333326</v>
      </c>
      <c r="BB185" s="32">
        <f t="shared" si="75"/>
        <v>0.63888888888888884</v>
      </c>
      <c r="BC185" s="7">
        <f t="shared" si="76"/>
        <v>0.83333333333333337</v>
      </c>
      <c r="BD185" s="7">
        <f t="shared" si="77"/>
        <v>0.62037037037037035</v>
      </c>
      <c r="BE185">
        <f>step3_validation[[#This Row],[AI_OUT1]]</f>
        <v>9</v>
      </c>
      <c r="BF185">
        <f t="shared" si="78"/>
        <v>0.88888888888888884</v>
      </c>
      <c r="BG185">
        <f>survey_responses[[#This Row],[Sau khi xem xét các quyền lợi và nghĩa vụ, bạn có ủng hộ và tuân thủ chính sách mới hiện nay? - HUMAN-OUT1]]</f>
        <v>7</v>
      </c>
      <c r="BH185">
        <f t="shared" si="79"/>
        <v>0.66666666666666663</v>
      </c>
      <c r="BI185" s="32">
        <f t="shared" si="80"/>
        <v>2</v>
      </c>
    </row>
    <row r="186" spans="1:61" x14ac:dyDescent="0.45">
      <c r="A186" s="30">
        <f>step3_validation[[#This Row],[Persona_ID]]</f>
        <v>185</v>
      </c>
      <c r="B186" s="31">
        <f>step3_validation[[#This Row],[Used_Seed]]</f>
        <v>12529</v>
      </c>
      <c r="C186" t="str">
        <f>step3_validation[[#This Row],[Gender]]</f>
        <v>Nữ</v>
      </c>
      <c r="D186" t="str">
        <f>survey_responses[[#This Row],[Giới tính của bạn:]]</f>
        <v>Nữ</v>
      </c>
      <c r="E186" t="str">
        <f>step3_validation[[#This Row],[Age_Group]]</f>
        <v>40 - 49</v>
      </c>
      <c r="F186" t="str">
        <f>survey_responses[[#This Row],[Độ tuổi của bạn:]]</f>
        <v>40 - 49</v>
      </c>
      <c r="G186" t="str">
        <f>step3_validation[[#This Row],[Region]]</f>
        <v>Nông thôn</v>
      </c>
      <c r="H186" t="str">
        <f>survey_responses[[#This Row],[Khu vực bạn đang sinh sống:]]</f>
        <v>Nông thôn</v>
      </c>
      <c r="I186" t="str">
        <f>step3_validation[[#This Row],[Education]]</f>
        <v>Đại học</v>
      </c>
      <c r="J186" t="str">
        <f>survey_responses[[#This Row],[Trình độ học vấn cao nhất:]]</f>
        <v>Đại học</v>
      </c>
      <c r="K186" t="str">
        <f>step3_validation[[#This Row],[Employment]]</f>
        <v>Phi chính thức</v>
      </c>
      <c r="L186" t="str">
        <f>survey_responses[[#This Row],[Tình trạng việc làm chính:]]</f>
        <v>Khu vực phi chính thức (Lao động tự do, không có HĐLĐ)</v>
      </c>
      <c r="M186">
        <f>step3_validation[[#This Row],[Income_Mil]]</f>
        <v>43.39396714593326</v>
      </c>
      <c r="N186" t="str">
        <f>survey_responses[[#This Row],[Thu nhập bình quân tháng theo Hợp đồng lao động của bạn là bao nhiêu? (Vui lòng điền tổng thu nhập trước khi khấu trừ các loại Bảo hiểm (BHXH, BHYT, BHTN) và Thuế TNCN)]]</f>
        <v>Từ 32 - 48 triệu VNĐ</v>
      </c>
      <c r="O186">
        <f>step3_validation[[#This Row],[Dependents]]</f>
        <v>3</v>
      </c>
      <c r="P186" t="str">
        <f>survey_responses[[#This Row],[Số người phụ thuộc (con nhỏ, cha mẹ già...) đủ điều kiện giảm trừ gia cảnh:]]</f>
        <v>3 người</v>
      </c>
      <c r="Q186">
        <f>step3_validation[[#This Row],[AI_ENF1]]</f>
        <v>5</v>
      </c>
      <c r="R186">
        <f t="shared" si="54"/>
        <v>0.44444444444444442</v>
      </c>
      <c r="S186">
        <f>survey_responses[[#This Row],[Tôi tin rằng với các quy định quản lý thuế hiện nay, hành vi gian lận hoặc trốn thuế sẽ dễ dàng bị phát hiện và xử lý nghiêm. - HUMAN-ENF1]]</f>
        <v>7</v>
      </c>
      <c r="T186">
        <f t="shared" si="55"/>
        <v>0.66666666666666663</v>
      </c>
      <c r="U186">
        <f>step3_validation[[#This Row],[AI_ENF2]]</f>
        <v>6</v>
      </c>
      <c r="V186">
        <f t="shared" si="56"/>
        <v>0.55555555555555558</v>
      </c>
      <c r="W186">
        <f>survey_responses[[#This Row],[Tôi tin rằng Nhà nước, cơ quan thuế có đủ khả năng và công nghệ để phát hiện, xử lý nghiêm các hành vi trốn thuế. - HUMAN-ENF2]]</f>
        <v>7</v>
      </c>
      <c r="X186">
        <f t="shared" si="57"/>
        <v>0.66666666666666663</v>
      </c>
      <c r="Y186" s="32">
        <f t="shared" si="58"/>
        <v>0.5</v>
      </c>
      <c r="Z186" s="32">
        <f t="shared" si="59"/>
        <v>0.66666666666666663</v>
      </c>
      <c r="AA186">
        <f>step3_validation[[#This Row],[AI_FAC1]]</f>
        <v>9</v>
      </c>
      <c r="AB186">
        <f t="shared" si="60"/>
        <v>0.88888888888888884</v>
      </c>
      <c r="AC186">
        <f>survey_responses[[#This Row],[Các thủ tục khai báo thuế VÀ/HOẶC quy trình làm việc với cơ quan thuế đơn giản, tiện lợi, nhanh chóng hơn so với trước đây. - HUMAN-FAC1]]</f>
        <v>6</v>
      </c>
      <c r="AD186">
        <f t="shared" si="61"/>
        <v>0.55555555555555558</v>
      </c>
      <c r="AE186">
        <f>step3_validation[[#This Row],[AI_FAC2]]</f>
        <v>9</v>
      </c>
      <c r="AF186">
        <f t="shared" si="62"/>
        <v>0.88888888888888884</v>
      </c>
      <c r="AG186">
        <f>survey_responses[[#This Row],[So với trước đây, tôi thấy cách tính thuế và các bậc thuế trong phương án mới đơn giản, dễ hiểu và dễ thực hiện hơn. - HUMAN-FAC2]]</f>
        <v>8</v>
      </c>
      <c r="AH186">
        <f t="shared" si="63"/>
        <v>0.77777777777777779</v>
      </c>
      <c r="AI186" s="32">
        <f t="shared" si="64"/>
        <v>0.88888888888888884</v>
      </c>
      <c r="AJ186" s="32">
        <f t="shared" si="65"/>
        <v>0.66666666666666674</v>
      </c>
      <c r="AK186">
        <f>step3_validation[[#This Row],[AI_TRU1]]</f>
        <v>7</v>
      </c>
      <c r="AL186">
        <f t="shared" si="66"/>
        <v>0.66666666666666663</v>
      </c>
      <c r="AM186">
        <f>survey_responses[[#This Row],[Tôi tin rằng Nhà nước, cơ quan thuế sẽ thực thi chính sách mới một cách khách quan, công tâm và đối xử bình đẳng với mọi người nộp thuế.  - HUMAN-TRU1]]</f>
        <v>5</v>
      </c>
      <c r="AN186">
        <f t="shared" si="67"/>
        <v>0.44444444444444442</v>
      </c>
      <c r="AO186">
        <f>step3_validation[[#This Row],[AI_TRU2]]</f>
        <v>8</v>
      </c>
      <c r="AP186">
        <f t="shared" si="68"/>
        <v>0.77777777777777779</v>
      </c>
      <c r="AQ186">
        <f>survey_responses[[#This Row],[Tôi thấy mức thuế tôi phải đóng theo phương án mới là công bằng (người thu nhập như tôi đóng mức này là hợp lý). - HUMAN-TRU2]]</f>
        <v>5</v>
      </c>
      <c r="AR186">
        <f t="shared" si="69"/>
        <v>0.44444444444444442</v>
      </c>
      <c r="AS186">
        <f>step3_validation[[#This Row],[AI_TRU3]]</f>
        <v>7</v>
      </c>
      <c r="AT186">
        <f t="shared" si="70"/>
        <v>0.66666666666666663</v>
      </c>
      <c r="AU186">
        <f>survey_responses[[#This Row],[Tôi tin tưởng số tiền thuế tôi đóng sẽ được Nhà nước sử dụng hiệu quả để cải thiện dịch vụ công (y tế, đường xá...). - HUMAN-TRU3]]</f>
        <v>5</v>
      </c>
      <c r="AV186">
        <f t="shared" si="71"/>
        <v>0.44444444444444442</v>
      </c>
      <c r="AW186">
        <f>step3_validation[[#This Row],[AI_TRU4]]</f>
        <v>8</v>
      </c>
      <c r="AX186">
        <f t="shared" si="72"/>
        <v>0.77777777777777779</v>
      </c>
      <c r="AY186">
        <f>survey_responses[[#This Row],[Tôi thấy Nhà nước đã giải thích rõ ràng, minh bạch về lý do và mục tiêu của việc sửa đổi thuế lần này. - HUMAN-TRU4]]</f>
        <v>6</v>
      </c>
      <c r="AZ186">
        <f t="shared" si="73"/>
        <v>0.55555555555555558</v>
      </c>
      <c r="BA186" s="32">
        <f t="shared" si="74"/>
        <v>0.72222222222222221</v>
      </c>
      <c r="BB186" s="32">
        <f t="shared" si="75"/>
        <v>0.47222222222222221</v>
      </c>
      <c r="BC186" s="7">
        <f t="shared" si="76"/>
        <v>0.70370370370370372</v>
      </c>
      <c r="BD186" s="7">
        <f t="shared" si="77"/>
        <v>0.60185185185185197</v>
      </c>
      <c r="BE186">
        <f>step3_validation[[#This Row],[AI_OUT1]]</f>
        <v>7</v>
      </c>
      <c r="BF186">
        <f t="shared" si="78"/>
        <v>0.66666666666666663</v>
      </c>
      <c r="BG186">
        <f>survey_responses[[#This Row],[Sau khi xem xét các quyền lợi và nghĩa vụ, bạn có ủng hộ và tuân thủ chính sách mới hiện nay? - HUMAN-OUT1]]</f>
        <v>5</v>
      </c>
      <c r="BH186">
        <f t="shared" si="79"/>
        <v>0.44444444444444442</v>
      </c>
      <c r="BI186" s="32">
        <f t="shared" si="80"/>
        <v>2</v>
      </c>
    </row>
    <row r="187" spans="1:61" x14ac:dyDescent="0.45">
      <c r="A187" s="30">
        <f>step3_validation[[#This Row],[Persona_ID]]</f>
        <v>186</v>
      </c>
      <c r="B187" s="31">
        <f>step3_validation[[#This Row],[Used_Seed]]</f>
        <v>12530</v>
      </c>
      <c r="C187" t="str">
        <f>step3_validation[[#This Row],[Gender]]</f>
        <v>Nữ</v>
      </c>
      <c r="D187" t="str">
        <f>survey_responses[[#This Row],[Giới tính của bạn:]]</f>
        <v>Nữ</v>
      </c>
      <c r="E187" t="str">
        <f>step3_validation[[#This Row],[Age_Group]]</f>
        <v>55 - 64</v>
      </c>
      <c r="F187" t="str">
        <f>survey_responses[[#This Row],[Độ tuổi của bạn:]]</f>
        <v>55 - 64</v>
      </c>
      <c r="G187" t="str">
        <f>step3_validation[[#This Row],[Region]]</f>
        <v>Thành thị</v>
      </c>
      <c r="H187" t="str">
        <f>survey_responses[[#This Row],[Khu vực bạn đang sinh sống:]]</f>
        <v>Thành thị</v>
      </c>
      <c r="I187" t="str">
        <f>step3_validation[[#This Row],[Education]]</f>
        <v>Đại học</v>
      </c>
      <c r="J187" t="str">
        <f>survey_responses[[#This Row],[Trình độ học vấn cao nhất:]]</f>
        <v>Đại học</v>
      </c>
      <c r="K187" t="str">
        <f>step3_validation[[#This Row],[Employment]]</f>
        <v>Phi chính thức</v>
      </c>
      <c r="L187" t="str">
        <f>survey_responses[[#This Row],[Tình trạng việc làm chính:]]</f>
        <v>Khác (Về hưu, nội trợ, sinh viên)</v>
      </c>
      <c r="M187">
        <f>step3_validation[[#This Row],[Income_Mil]]</f>
        <v>16.82927701635651</v>
      </c>
      <c r="N187" t="str">
        <f>survey_responses[[#This Row],[Thu nhập bình quân tháng theo Hợp đồng lao động của bạn là bao nhiêu? (Vui lòng điền tổng thu nhập trước khi khấu trừ các loại Bảo hiểm (BHXH, BHYT, BHTN) và Thuế TNCN)]]</f>
        <v>Từ 12 - 18 triệu VNĐ</v>
      </c>
      <c r="O187">
        <f>step3_validation[[#This Row],[Dependents]]</f>
        <v>0</v>
      </c>
      <c r="P187" t="str">
        <f>survey_responses[[#This Row],[Số người phụ thuộc (con nhỏ, cha mẹ già...) đủ điều kiện giảm trừ gia cảnh:]]</f>
        <v>0 người</v>
      </c>
      <c r="Q187">
        <f>step3_validation[[#This Row],[AI_ENF1]]</f>
        <v>7</v>
      </c>
      <c r="R187">
        <f t="shared" si="54"/>
        <v>0.66666666666666663</v>
      </c>
      <c r="S187">
        <f>survey_responses[[#This Row],[Tôi tin rằng với các quy định quản lý thuế hiện nay, hành vi gian lận hoặc trốn thuế sẽ dễ dàng bị phát hiện và xử lý nghiêm. - HUMAN-ENF1]]</f>
        <v>7</v>
      </c>
      <c r="T187">
        <f t="shared" si="55"/>
        <v>0.66666666666666663</v>
      </c>
      <c r="U187">
        <f>step3_validation[[#This Row],[AI_ENF2]]</f>
        <v>8</v>
      </c>
      <c r="V187">
        <f t="shared" si="56"/>
        <v>0.77777777777777779</v>
      </c>
      <c r="W187">
        <f>survey_responses[[#This Row],[Tôi tin rằng Nhà nước, cơ quan thuế có đủ khả năng và công nghệ để phát hiện, xử lý nghiêm các hành vi trốn thuế. - HUMAN-ENF2]]</f>
        <v>7</v>
      </c>
      <c r="X187">
        <f t="shared" si="57"/>
        <v>0.66666666666666663</v>
      </c>
      <c r="Y187" s="32">
        <f t="shared" si="58"/>
        <v>0.72222222222222221</v>
      </c>
      <c r="Z187" s="32">
        <f t="shared" si="59"/>
        <v>0.66666666666666663</v>
      </c>
      <c r="AA187">
        <f>step3_validation[[#This Row],[AI_FAC1]]</f>
        <v>9</v>
      </c>
      <c r="AB187">
        <f t="shared" si="60"/>
        <v>0.88888888888888884</v>
      </c>
      <c r="AC187">
        <f>survey_responses[[#This Row],[Các thủ tục khai báo thuế VÀ/HOẶC quy trình làm việc với cơ quan thuế đơn giản, tiện lợi, nhanh chóng hơn so với trước đây. - HUMAN-FAC1]]</f>
        <v>5</v>
      </c>
      <c r="AD187">
        <f t="shared" si="61"/>
        <v>0.44444444444444442</v>
      </c>
      <c r="AE187">
        <f>step3_validation[[#This Row],[AI_FAC2]]</f>
        <v>9</v>
      </c>
      <c r="AF187">
        <f t="shared" si="62"/>
        <v>0.88888888888888884</v>
      </c>
      <c r="AG187">
        <f>survey_responses[[#This Row],[So với trước đây, tôi thấy cách tính thuế và các bậc thuế trong phương án mới đơn giản, dễ hiểu và dễ thực hiện hơn. - HUMAN-FAC2]]</f>
        <v>7</v>
      </c>
      <c r="AH187">
        <f t="shared" si="63"/>
        <v>0.66666666666666663</v>
      </c>
      <c r="AI187" s="32">
        <f t="shared" si="64"/>
        <v>0.88888888888888884</v>
      </c>
      <c r="AJ187" s="32">
        <f t="shared" si="65"/>
        <v>0.55555555555555558</v>
      </c>
      <c r="AK187">
        <f>step3_validation[[#This Row],[AI_TRU1]]</f>
        <v>8</v>
      </c>
      <c r="AL187">
        <f t="shared" si="66"/>
        <v>0.77777777777777779</v>
      </c>
      <c r="AM187">
        <f>survey_responses[[#This Row],[Tôi tin rằng Nhà nước, cơ quan thuế sẽ thực thi chính sách mới một cách khách quan, công tâm và đối xử bình đẳng với mọi người nộp thuế.  - HUMAN-TRU1]]</f>
        <v>5</v>
      </c>
      <c r="AN187">
        <f t="shared" si="67"/>
        <v>0.44444444444444442</v>
      </c>
      <c r="AO187">
        <f>step3_validation[[#This Row],[AI_TRU2]]</f>
        <v>9</v>
      </c>
      <c r="AP187">
        <f t="shared" si="68"/>
        <v>0.88888888888888884</v>
      </c>
      <c r="AQ187">
        <f>survey_responses[[#This Row],[Tôi thấy mức thuế tôi phải đóng theo phương án mới là công bằng (người thu nhập như tôi đóng mức này là hợp lý). - HUMAN-TRU2]]</f>
        <v>5</v>
      </c>
      <c r="AR187">
        <f t="shared" si="69"/>
        <v>0.44444444444444442</v>
      </c>
      <c r="AS187">
        <f>step3_validation[[#This Row],[AI_TRU3]]</f>
        <v>8</v>
      </c>
      <c r="AT187">
        <f t="shared" si="70"/>
        <v>0.77777777777777779</v>
      </c>
      <c r="AU187">
        <f>survey_responses[[#This Row],[Tôi tin tưởng số tiền thuế tôi đóng sẽ được Nhà nước sử dụng hiệu quả để cải thiện dịch vụ công (y tế, đường xá...). - HUMAN-TRU3]]</f>
        <v>5</v>
      </c>
      <c r="AV187">
        <f t="shared" si="71"/>
        <v>0.44444444444444442</v>
      </c>
      <c r="AW187">
        <f>step3_validation[[#This Row],[AI_TRU4]]</f>
        <v>9</v>
      </c>
      <c r="AX187">
        <f t="shared" si="72"/>
        <v>0.88888888888888884</v>
      </c>
      <c r="AY187">
        <f>survey_responses[[#This Row],[Tôi thấy Nhà nước đã giải thích rõ ràng, minh bạch về lý do và mục tiêu của việc sửa đổi thuế lần này. - HUMAN-TRU4]]</f>
        <v>5</v>
      </c>
      <c r="AZ187">
        <f t="shared" si="73"/>
        <v>0.44444444444444442</v>
      </c>
      <c r="BA187" s="32">
        <f t="shared" si="74"/>
        <v>0.83333333333333326</v>
      </c>
      <c r="BB187" s="32">
        <f t="shared" si="75"/>
        <v>0.44444444444444442</v>
      </c>
      <c r="BC187" s="7">
        <f t="shared" si="76"/>
        <v>0.81481481481481488</v>
      </c>
      <c r="BD187" s="7">
        <f t="shared" si="77"/>
        <v>0.55555555555555558</v>
      </c>
      <c r="BE187">
        <f>step3_validation[[#This Row],[AI_OUT1]]</f>
        <v>10</v>
      </c>
      <c r="BF187">
        <f t="shared" si="78"/>
        <v>1</v>
      </c>
      <c r="BG187">
        <f>survey_responses[[#This Row],[Sau khi xem xét các quyền lợi và nghĩa vụ, bạn có ủng hộ và tuân thủ chính sách mới hiện nay? - HUMAN-OUT1]]</f>
        <v>6</v>
      </c>
      <c r="BH187">
        <f t="shared" si="79"/>
        <v>0.55555555555555558</v>
      </c>
      <c r="BI187" s="32">
        <f t="shared" si="80"/>
        <v>4</v>
      </c>
    </row>
    <row r="188" spans="1:61" x14ac:dyDescent="0.45">
      <c r="A188" s="30">
        <f>step3_validation[[#This Row],[Persona_ID]]</f>
        <v>187</v>
      </c>
      <c r="B188" s="31">
        <f>step3_validation[[#This Row],[Used_Seed]]</f>
        <v>12531</v>
      </c>
      <c r="C188" t="str">
        <f>step3_validation[[#This Row],[Gender]]</f>
        <v>Nam</v>
      </c>
      <c r="D188" t="str">
        <f>survey_responses[[#This Row],[Giới tính của bạn:]]</f>
        <v>Nam</v>
      </c>
      <c r="E188" t="str">
        <f>step3_validation[[#This Row],[Age_Group]]</f>
        <v>40 - 49</v>
      </c>
      <c r="F188" t="str">
        <f>survey_responses[[#This Row],[Độ tuổi của bạn:]]</f>
        <v>40 - 49</v>
      </c>
      <c r="G188" t="str">
        <f>step3_validation[[#This Row],[Region]]</f>
        <v>Thành thị</v>
      </c>
      <c r="H188" t="str">
        <f>survey_responses[[#This Row],[Khu vực bạn đang sinh sống:]]</f>
        <v>Thành thị</v>
      </c>
      <c r="I188" t="str">
        <f>step3_validation[[#This Row],[Education]]</f>
        <v>Sau Đại học</v>
      </c>
      <c r="J188" t="str">
        <f>survey_responses[[#This Row],[Trình độ học vấn cao nhất:]]</f>
        <v>Sau Đại học</v>
      </c>
      <c r="K188" t="str">
        <f>step3_validation[[#This Row],[Employment]]</f>
        <v>Chính thức</v>
      </c>
      <c r="L188" t="str">
        <f>survey_responses[[#This Row],[Tình trạng việc làm chính:]]</f>
        <v>Khu vực chính thức (Có Hợp đồng lao động, đóng BHXH)</v>
      </c>
      <c r="M188">
        <f>step3_validation[[#This Row],[Income_Mil]]</f>
        <v>39.764813302683351</v>
      </c>
      <c r="N188" t="str">
        <f>survey_responses[[#This Row],[Thu nhập bình quân tháng theo Hợp đồng lao động của bạn là bao nhiêu? (Vui lòng điền tổng thu nhập trước khi khấu trừ các loại Bảo hiểm (BHXH, BHYT, BHTN) và Thuế TNCN)]]</f>
        <v>Từ 32 - 48 triệu VNĐ</v>
      </c>
      <c r="O188">
        <f>step3_validation[[#This Row],[Dependents]]</f>
        <v>2</v>
      </c>
      <c r="P188" t="str">
        <f>survey_responses[[#This Row],[Số người phụ thuộc (con nhỏ, cha mẹ già...) đủ điều kiện giảm trừ gia cảnh:]]</f>
        <v>2 người</v>
      </c>
      <c r="Q188">
        <f>step3_validation[[#This Row],[AI_ENF1]]</f>
        <v>7</v>
      </c>
      <c r="R188">
        <f t="shared" si="54"/>
        <v>0.66666666666666663</v>
      </c>
      <c r="S188">
        <f>survey_responses[[#This Row],[Tôi tin rằng với các quy định quản lý thuế hiện nay, hành vi gian lận hoặc trốn thuế sẽ dễ dàng bị phát hiện và xử lý nghiêm. - HUMAN-ENF1]]</f>
        <v>6</v>
      </c>
      <c r="T188">
        <f t="shared" si="55"/>
        <v>0.55555555555555558</v>
      </c>
      <c r="U188">
        <f>step3_validation[[#This Row],[AI_ENF2]]</f>
        <v>6</v>
      </c>
      <c r="V188">
        <f t="shared" si="56"/>
        <v>0.55555555555555558</v>
      </c>
      <c r="W188">
        <f>survey_responses[[#This Row],[Tôi tin rằng Nhà nước, cơ quan thuế có đủ khả năng và công nghệ để phát hiện, xử lý nghiêm các hành vi trốn thuế. - HUMAN-ENF2]]</f>
        <v>7</v>
      </c>
      <c r="X188">
        <f t="shared" si="57"/>
        <v>0.66666666666666663</v>
      </c>
      <c r="Y188" s="32">
        <f t="shared" si="58"/>
        <v>0.61111111111111116</v>
      </c>
      <c r="Z188" s="32">
        <f t="shared" si="59"/>
        <v>0.61111111111111116</v>
      </c>
      <c r="AA188">
        <f>step3_validation[[#This Row],[AI_FAC1]]</f>
        <v>9</v>
      </c>
      <c r="AB188">
        <f t="shared" si="60"/>
        <v>0.88888888888888884</v>
      </c>
      <c r="AC188">
        <f>survey_responses[[#This Row],[Các thủ tục khai báo thuế VÀ/HOẶC quy trình làm việc với cơ quan thuế đơn giản, tiện lợi, nhanh chóng hơn so với trước đây. - HUMAN-FAC1]]</f>
        <v>6</v>
      </c>
      <c r="AD188">
        <f t="shared" si="61"/>
        <v>0.55555555555555558</v>
      </c>
      <c r="AE188">
        <f>step3_validation[[#This Row],[AI_FAC2]]</f>
        <v>8</v>
      </c>
      <c r="AF188">
        <f t="shared" si="62"/>
        <v>0.77777777777777779</v>
      </c>
      <c r="AG188">
        <f>survey_responses[[#This Row],[So với trước đây, tôi thấy cách tính thuế và các bậc thuế trong phương án mới đơn giản, dễ hiểu và dễ thực hiện hơn. - HUMAN-FAC2]]</f>
        <v>7</v>
      </c>
      <c r="AH188">
        <f t="shared" si="63"/>
        <v>0.66666666666666663</v>
      </c>
      <c r="AI188" s="32">
        <f t="shared" si="64"/>
        <v>0.83333333333333326</v>
      </c>
      <c r="AJ188" s="32">
        <f t="shared" si="65"/>
        <v>0.61111111111111116</v>
      </c>
      <c r="AK188">
        <f>step3_validation[[#This Row],[AI_TRU1]]</f>
        <v>9</v>
      </c>
      <c r="AL188">
        <f t="shared" si="66"/>
        <v>0.88888888888888884</v>
      </c>
      <c r="AM188">
        <f>survey_responses[[#This Row],[Tôi tin rằng Nhà nước, cơ quan thuế sẽ thực thi chính sách mới một cách khách quan, công tâm và đối xử bình đẳng với mọi người nộp thuế.  - HUMAN-TRU1]]</f>
        <v>6</v>
      </c>
      <c r="AN188">
        <f t="shared" si="67"/>
        <v>0.55555555555555558</v>
      </c>
      <c r="AO188">
        <f>step3_validation[[#This Row],[AI_TRU2]]</f>
        <v>8</v>
      </c>
      <c r="AP188">
        <f t="shared" si="68"/>
        <v>0.77777777777777779</v>
      </c>
      <c r="AQ188">
        <f>survey_responses[[#This Row],[Tôi thấy mức thuế tôi phải đóng theo phương án mới là công bằng (người thu nhập như tôi đóng mức này là hợp lý). - HUMAN-TRU2]]</f>
        <v>6</v>
      </c>
      <c r="AR188">
        <f t="shared" si="69"/>
        <v>0.55555555555555558</v>
      </c>
      <c r="AS188">
        <f>step3_validation[[#This Row],[AI_TRU3]]</f>
        <v>9</v>
      </c>
      <c r="AT188">
        <f t="shared" si="70"/>
        <v>0.88888888888888884</v>
      </c>
      <c r="AU188">
        <f>survey_responses[[#This Row],[Tôi tin tưởng số tiền thuế tôi đóng sẽ được Nhà nước sử dụng hiệu quả để cải thiện dịch vụ công (y tế, đường xá...). - HUMAN-TRU3]]</f>
        <v>5</v>
      </c>
      <c r="AV188">
        <f t="shared" si="71"/>
        <v>0.44444444444444442</v>
      </c>
      <c r="AW188">
        <f>step3_validation[[#This Row],[AI_TRU4]]</f>
        <v>7</v>
      </c>
      <c r="AX188">
        <f t="shared" si="72"/>
        <v>0.66666666666666663</v>
      </c>
      <c r="AY188">
        <f>survey_responses[[#This Row],[Tôi thấy Nhà nước đã giải thích rõ ràng, minh bạch về lý do và mục tiêu của việc sửa đổi thuế lần này. - HUMAN-TRU4]]</f>
        <v>5</v>
      </c>
      <c r="AZ188">
        <f t="shared" si="73"/>
        <v>0.44444444444444442</v>
      </c>
      <c r="BA188" s="32">
        <f t="shared" si="74"/>
        <v>0.80555555555555547</v>
      </c>
      <c r="BB188" s="32">
        <f t="shared" si="75"/>
        <v>0.5</v>
      </c>
      <c r="BC188" s="7">
        <f t="shared" si="76"/>
        <v>0.75</v>
      </c>
      <c r="BD188" s="7">
        <f t="shared" si="77"/>
        <v>0.57407407407407407</v>
      </c>
      <c r="BE188">
        <f>step3_validation[[#This Row],[AI_OUT1]]</f>
        <v>9</v>
      </c>
      <c r="BF188">
        <f t="shared" si="78"/>
        <v>0.88888888888888884</v>
      </c>
      <c r="BG188">
        <f>survey_responses[[#This Row],[Sau khi xem xét các quyền lợi và nghĩa vụ, bạn có ủng hộ và tuân thủ chính sách mới hiện nay? - HUMAN-OUT1]]</f>
        <v>6</v>
      </c>
      <c r="BH188">
        <f t="shared" si="79"/>
        <v>0.55555555555555558</v>
      </c>
      <c r="BI188" s="32">
        <f t="shared" si="80"/>
        <v>3</v>
      </c>
    </row>
    <row r="189" spans="1:61" x14ac:dyDescent="0.45">
      <c r="A189" s="30">
        <f>step3_validation[[#This Row],[Persona_ID]]</f>
        <v>188</v>
      </c>
      <c r="B189" s="31">
        <f>step3_validation[[#This Row],[Used_Seed]]</f>
        <v>12532</v>
      </c>
      <c r="C189" t="str">
        <f>step3_validation[[#This Row],[Gender]]</f>
        <v>Nam</v>
      </c>
      <c r="D189" t="str">
        <f>survey_responses[[#This Row],[Giới tính của bạn:]]</f>
        <v>Nam</v>
      </c>
      <c r="E189" t="str">
        <f>step3_validation[[#This Row],[Age_Group]]</f>
        <v>25 - 29</v>
      </c>
      <c r="F189" t="str">
        <f>survey_responses[[#This Row],[Độ tuổi của bạn:]]</f>
        <v>25 - 29</v>
      </c>
      <c r="G189" t="str">
        <f>step3_validation[[#This Row],[Region]]</f>
        <v>Thành thị</v>
      </c>
      <c r="H189" t="str">
        <f>survey_responses[[#This Row],[Khu vực bạn đang sinh sống:]]</f>
        <v>Thành thị</v>
      </c>
      <c r="I189" t="str">
        <f>step3_validation[[#This Row],[Education]]</f>
        <v>Đại học</v>
      </c>
      <c r="J189" t="str">
        <f>survey_responses[[#This Row],[Trình độ học vấn cao nhất:]]</f>
        <v>Đại học</v>
      </c>
      <c r="K189" t="str">
        <f>step3_validation[[#This Row],[Employment]]</f>
        <v>Chính thức</v>
      </c>
      <c r="L189" t="str">
        <f>survey_responses[[#This Row],[Tình trạng việc làm chính:]]</f>
        <v>Khu vực chính thức (Có Hợp đồng lao động, đóng BHXH)</v>
      </c>
      <c r="M189">
        <f>step3_validation[[#This Row],[Income_Mil]]</f>
        <v>23.899020392281038</v>
      </c>
      <c r="N189" t="str">
        <f>survey_responses[[#This Row],[Thu nhập bình quân tháng theo Hợp đồng lao động của bạn là bao nhiêu? (Vui lòng điền tổng thu nhập trước khi khấu trừ các loại Bảo hiểm (BHXH, BHYT, BHTN) và Thuế TNCN)]]</f>
        <v>Từ 23 - 32 triệu VNĐ</v>
      </c>
      <c r="O189">
        <f>step3_validation[[#This Row],[Dependents]]</f>
        <v>1</v>
      </c>
      <c r="P189" t="str">
        <f>survey_responses[[#This Row],[Số người phụ thuộc (con nhỏ, cha mẹ già...) đủ điều kiện giảm trừ gia cảnh:]]</f>
        <v>1 người</v>
      </c>
      <c r="Q189">
        <f>step3_validation[[#This Row],[AI_ENF1]]</f>
        <v>7</v>
      </c>
      <c r="R189">
        <f t="shared" si="54"/>
        <v>0.66666666666666663</v>
      </c>
      <c r="S189">
        <f>survey_responses[[#This Row],[Tôi tin rằng với các quy định quản lý thuế hiện nay, hành vi gian lận hoặc trốn thuế sẽ dễ dàng bị phát hiện và xử lý nghiêm. - HUMAN-ENF1]]</f>
        <v>5</v>
      </c>
      <c r="T189">
        <f t="shared" si="55"/>
        <v>0.44444444444444442</v>
      </c>
      <c r="U189">
        <f>step3_validation[[#This Row],[AI_ENF2]]</f>
        <v>8</v>
      </c>
      <c r="V189">
        <f t="shared" si="56"/>
        <v>0.77777777777777779</v>
      </c>
      <c r="W189">
        <f>survey_responses[[#This Row],[Tôi tin rằng Nhà nước, cơ quan thuế có đủ khả năng và công nghệ để phát hiện, xử lý nghiêm các hành vi trốn thuế. - HUMAN-ENF2]]</f>
        <v>5</v>
      </c>
      <c r="X189">
        <f t="shared" si="57"/>
        <v>0.44444444444444442</v>
      </c>
      <c r="Y189" s="32">
        <f t="shared" si="58"/>
        <v>0.72222222222222221</v>
      </c>
      <c r="Z189" s="32">
        <f t="shared" si="59"/>
        <v>0.44444444444444442</v>
      </c>
      <c r="AA189">
        <f>step3_validation[[#This Row],[AI_FAC1]]</f>
        <v>7</v>
      </c>
      <c r="AB189">
        <f t="shared" si="60"/>
        <v>0.66666666666666663</v>
      </c>
      <c r="AC189">
        <f>survey_responses[[#This Row],[Các thủ tục khai báo thuế VÀ/HOẶC quy trình làm việc với cơ quan thuế đơn giản, tiện lợi, nhanh chóng hơn so với trước đây. - HUMAN-FAC1]]</f>
        <v>4</v>
      </c>
      <c r="AD189">
        <f t="shared" si="61"/>
        <v>0.33333333333333331</v>
      </c>
      <c r="AE189">
        <f>step3_validation[[#This Row],[AI_FAC2]]</f>
        <v>9</v>
      </c>
      <c r="AF189">
        <f t="shared" si="62"/>
        <v>0.88888888888888884</v>
      </c>
      <c r="AG189">
        <f>survey_responses[[#This Row],[So với trước đây, tôi thấy cách tính thuế và các bậc thuế trong phương án mới đơn giản, dễ hiểu và dễ thực hiện hơn. - HUMAN-FAC2]]</f>
        <v>6</v>
      </c>
      <c r="AH189">
        <f t="shared" si="63"/>
        <v>0.55555555555555558</v>
      </c>
      <c r="AI189" s="32">
        <f t="shared" si="64"/>
        <v>0.77777777777777768</v>
      </c>
      <c r="AJ189" s="32">
        <f t="shared" si="65"/>
        <v>0.44444444444444442</v>
      </c>
      <c r="AK189">
        <f>step3_validation[[#This Row],[AI_TRU1]]</f>
        <v>7</v>
      </c>
      <c r="AL189">
        <f t="shared" si="66"/>
        <v>0.66666666666666663</v>
      </c>
      <c r="AM189">
        <f>survey_responses[[#This Row],[Tôi tin rằng Nhà nước, cơ quan thuế sẽ thực thi chính sách mới một cách khách quan, công tâm và đối xử bình đẳng với mọi người nộp thuế.  - HUMAN-TRU1]]</f>
        <v>5</v>
      </c>
      <c r="AN189">
        <f t="shared" si="67"/>
        <v>0.44444444444444442</v>
      </c>
      <c r="AO189">
        <f>step3_validation[[#This Row],[AI_TRU2]]</f>
        <v>9</v>
      </c>
      <c r="AP189">
        <f t="shared" si="68"/>
        <v>0.88888888888888884</v>
      </c>
      <c r="AQ189">
        <f>survey_responses[[#This Row],[Tôi thấy mức thuế tôi phải đóng theo phương án mới là công bằng (người thu nhập như tôi đóng mức này là hợp lý). - HUMAN-TRU2]]</f>
        <v>5</v>
      </c>
      <c r="AR189">
        <f t="shared" si="69"/>
        <v>0.44444444444444442</v>
      </c>
      <c r="AS189">
        <f>step3_validation[[#This Row],[AI_TRU3]]</f>
        <v>7</v>
      </c>
      <c r="AT189">
        <f t="shared" si="70"/>
        <v>0.66666666666666663</v>
      </c>
      <c r="AU189">
        <f>survey_responses[[#This Row],[Tôi tin tưởng số tiền thuế tôi đóng sẽ được Nhà nước sử dụng hiệu quả để cải thiện dịch vụ công (y tế, đường xá...). - HUMAN-TRU3]]</f>
        <v>5</v>
      </c>
      <c r="AV189">
        <f t="shared" si="71"/>
        <v>0.44444444444444442</v>
      </c>
      <c r="AW189">
        <f>step3_validation[[#This Row],[AI_TRU4]]</f>
        <v>8</v>
      </c>
      <c r="AX189">
        <f t="shared" si="72"/>
        <v>0.77777777777777779</v>
      </c>
      <c r="AY189">
        <f>survey_responses[[#This Row],[Tôi thấy Nhà nước đã giải thích rõ ràng, minh bạch về lý do và mục tiêu của việc sửa đổi thuế lần này. - HUMAN-TRU4]]</f>
        <v>5</v>
      </c>
      <c r="AZ189">
        <f t="shared" si="73"/>
        <v>0.44444444444444442</v>
      </c>
      <c r="BA189" s="32">
        <f t="shared" si="74"/>
        <v>0.74999999999999989</v>
      </c>
      <c r="BB189" s="32">
        <f t="shared" si="75"/>
        <v>0.44444444444444442</v>
      </c>
      <c r="BC189" s="7">
        <f t="shared" si="76"/>
        <v>0.75</v>
      </c>
      <c r="BD189" s="7">
        <f t="shared" si="77"/>
        <v>0.44444444444444442</v>
      </c>
      <c r="BE189">
        <f>step3_validation[[#This Row],[AI_OUT1]]</f>
        <v>9</v>
      </c>
      <c r="BF189">
        <f t="shared" si="78"/>
        <v>0.88888888888888884</v>
      </c>
      <c r="BG189">
        <f>survey_responses[[#This Row],[Sau khi xem xét các quyền lợi và nghĩa vụ, bạn có ủng hộ và tuân thủ chính sách mới hiện nay? - HUMAN-OUT1]]</f>
        <v>5</v>
      </c>
      <c r="BH189">
        <f t="shared" si="79"/>
        <v>0.44444444444444442</v>
      </c>
      <c r="BI189" s="32">
        <f t="shared" si="80"/>
        <v>4</v>
      </c>
    </row>
    <row r="190" spans="1:61" x14ac:dyDescent="0.45">
      <c r="A190" s="30">
        <f>step3_validation[[#This Row],[Persona_ID]]</f>
        <v>189</v>
      </c>
      <c r="B190" s="31">
        <f>step3_validation[[#This Row],[Used_Seed]]</f>
        <v>12533</v>
      </c>
      <c r="C190" t="str">
        <f>step3_validation[[#This Row],[Gender]]</f>
        <v>Nam</v>
      </c>
      <c r="D190" t="str">
        <f>survey_responses[[#This Row],[Giới tính của bạn:]]</f>
        <v>Nam</v>
      </c>
      <c r="E190" t="str">
        <f>step3_validation[[#This Row],[Age_Group]]</f>
        <v>40 - 49</v>
      </c>
      <c r="F190" t="str">
        <f>survey_responses[[#This Row],[Độ tuổi của bạn:]]</f>
        <v>40 - 49</v>
      </c>
      <c r="G190" t="str">
        <f>step3_validation[[#This Row],[Region]]</f>
        <v>Thành thị</v>
      </c>
      <c r="H190" t="str">
        <f>survey_responses[[#This Row],[Khu vực bạn đang sinh sống:]]</f>
        <v>Thành thị</v>
      </c>
      <c r="I190" t="str">
        <f>step3_validation[[#This Row],[Education]]</f>
        <v>Đại học</v>
      </c>
      <c r="J190" t="str">
        <f>survey_responses[[#This Row],[Trình độ học vấn cao nhất:]]</f>
        <v>Đại học</v>
      </c>
      <c r="K190" t="str">
        <f>step3_validation[[#This Row],[Employment]]</f>
        <v>Chính thức</v>
      </c>
      <c r="L190" t="str">
        <f>survey_responses[[#This Row],[Tình trạng việc làm chính:]]</f>
        <v>Khu vực chính thức (Có Hợp đồng lao động, đóng BHXH)</v>
      </c>
      <c r="M190">
        <f>step3_validation[[#This Row],[Income_Mil]]</f>
        <v>63.016318068555478</v>
      </c>
      <c r="N190" t="str">
        <f>survey_responses[[#This Row],[Thu nhập bình quân tháng theo Hợp đồng lao động của bạn là bao nhiêu? (Vui lòng điền tổng thu nhập trước khi khấu trừ các loại Bảo hiểm (BHXH, BHYT, BHTN) và Thuế TNCN)]]</f>
        <v>Từ 48 - 70 triệu VNĐ</v>
      </c>
      <c r="O190">
        <f>step3_validation[[#This Row],[Dependents]]</f>
        <v>2</v>
      </c>
      <c r="P190" t="str">
        <f>survey_responses[[#This Row],[Số người phụ thuộc (con nhỏ, cha mẹ già...) đủ điều kiện giảm trừ gia cảnh:]]</f>
        <v>2 người</v>
      </c>
      <c r="Q190">
        <f>step3_validation[[#This Row],[AI_ENF1]]</f>
        <v>7</v>
      </c>
      <c r="R190">
        <f t="shared" si="54"/>
        <v>0.66666666666666663</v>
      </c>
      <c r="S190">
        <f>survey_responses[[#This Row],[Tôi tin rằng với các quy định quản lý thuế hiện nay, hành vi gian lận hoặc trốn thuế sẽ dễ dàng bị phát hiện và xử lý nghiêm. - HUMAN-ENF1]]</f>
        <v>8</v>
      </c>
      <c r="T190">
        <f t="shared" si="55"/>
        <v>0.77777777777777779</v>
      </c>
      <c r="U190">
        <f>step3_validation[[#This Row],[AI_ENF2]]</f>
        <v>6</v>
      </c>
      <c r="V190">
        <f t="shared" si="56"/>
        <v>0.55555555555555558</v>
      </c>
      <c r="W190">
        <f>survey_responses[[#This Row],[Tôi tin rằng Nhà nước, cơ quan thuế có đủ khả năng và công nghệ để phát hiện, xử lý nghiêm các hành vi trốn thuế. - HUMAN-ENF2]]</f>
        <v>8</v>
      </c>
      <c r="X190">
        <f t="shared" si="57"/>
        <v>0.77777777777777779</v>
      </c>
      <c r="Y190" s="32">
        <f t="shared" si="58"/>
        <v>0.61111111111111116</v>
      </c>
      <c r="Z190" s="32">
        <f t="shared" si="59"/>
        <v>0.77777777777777779</v>
      </c>
      <c r="AA190">
        <f>step3_validation[[#This Row],[AI_FAC1]]</f>
        <v>8</v>
      </c>
      <c r="AB190">
        <f t="shared" si="60"/>
        <v>0.77777777777777779</v>
      </c>
      <c r="AC190">
        <f>survey_responses[[#This Row],[Các thủ tục khai báo thuế VÀ/HOẶC quy trình làm việc với cơ quan thuế đơn giản, tiện lợi, nhanh chóng hơn so với trước đây. - HUMAN-FAC1]]</f>
        <v>5</v>
      </c>
      <c r="AD190">
        <f t="shared" si="61"/>
        <v>0.44444444444444442</v>
      </c>
      <c r="AE190">
        <f>step3_validation[[#This Row],[AI_FAC2]]</f>
        <v>9</v>
      </c>
      <c r="AF190">
        <f t="shared" si="62"/>
        <v>0.88888888888888884</v>
      </c>
      <c r="AG190">
        <f>survey_responses[[#This Row],[So với trước đây, tôi thấy cách tính thuế và các bậc thuế trong phương án mới đơn giản, dễ hiểu và dễ thực hiện hơn. - HUMAN-FAC2]]</f>
        <v>7</v>
      </c>
      <c r="AH190">
        <f t="shared" si="63"/>
        <v>0.66666666666666663</v>
      </c>
      <c r="AI190" s="32">
        <f t="shared" si="64"/>
        <v>0.83333333333333326</v>
      </c>
      <c r="AJ190" s="32">
        <f t="shared" si="65"/>
        <v>0.55555555555555558</v>
      </c>
      <c r="AK190">
        <f>step3_validation[[#This Row],[AI_TRU1]]</f>
        <v>8</v>
      </c>
      <c r="AL190">
        <f t="shared" si="66"/>
        <v>0.77777777777777779</v>
      </c>
      <c r="AM190">
        <f>survey_responses[[#This Row],[Tôi tin rằng Nhà nước, cơ quan thuế sẽ thực thi chính sách mới một cách khách quan, công tâm và đối xử bình đẳng với mọi người nộp thuế.  - HUMAN-TRU1]]</f>
        <v>6</v>
      </c>
      <c r="AN190">
        <f t="shared" si="67"/>
        <v>0.55555555555555558</v>
      </c>
      <c r="AO190">
        <f>step3_validation[[#This Row],[AI_TRU2]]</f>
        <v>8</v>
      </c>
      <c r="AP190">
        <f t="shared" si="68"/>
        <v>0.77777777777777779</v>
      </c>
      <c r="AQ190">
        <f>survey_responses[[#This Row],[Tôi thấy mức thuế tôi phải đóng theo phương án mới là công bằng (người thu nhập như tôi đóng mức này là hợp lý). - HUMAN-TRU2]]</f>
        <v>8</v>
      </c>
      <c r="AR190">
        <f t="shared" si="69"/>
        <v>0.77777777777777779</v>
      </c>
      <c r="AS190">
        <f>step3_validation[[#This Row],[AI_TRU3]]</f>
        <v>8</v>
      </c>
      <c r="AT190">
        <f t="shared" si="70"/>
        <v>0.77777777777777779</v>
      </c>
      <c r="AU190">
        <f>survey_responses[[#This Row],[Tôi tin tưởng số tiền thuế tôi đóng sẽ được Nhà nước sử dụng hiệu quả để cải thiện dịch vụ công (y tế, đường xá...). - HUMAN-TRU3]]</f>
        <v>5</v>
      </c>
      <c r="AV190">
        <f t="shared" si="71"/>
        <v>0.44444444444444442</v>
      </c>
      <c r="AW190">
        <f>step3_validation[[#This Row],[AI_TRU4]]</f>
        <v>7</v>
      </c>
      <c r="AX190">
        <f t="shared" si="72"/>
        <v>0.66666666666666663</v>
      </c>
      <c r="AY190">
        <f>survey_responses[[#This Row],[Tôi thấy Nhà nước đã giải thích rõ ràng, minh bạch về lý do và mục tiêu của việc sửa đổi thuế lần này. - HUMAN-TRU4]]</f>
        <v>7</v>
      </c>
      <c r="AZ190">
        <f t="shared" si="73"/>
        <v>0.66666666666666663</v>
      </c>
      <c r="BA190" s="32">
        <f t="shared" si="74"/>
        <v>0.75</v>
      </c>
      <c r="BB190" s="32">
        <f t="shared" si="75"/>
        <v>0.61111111111111116</v>
      </c>
      <c r="BC190" s="7">
        <f t="shared" si="76"/>
        <v>0.73148148148148151</v>
      </c>
      <c r="BD190" s="7">
        <f t="shared" si="77"/>
        <v>0.64814814814814825</v>
      </c>
      <c r="BE190">
        <f>step3_validation[[#This Row],[AI_OUT1]]</f>
        <v>9</v>
      </c>
      <c r="BF190">
        <f t="shared" si="78"/>
        <v>0.88888888888888884</v>
      </c>
      <c r="BG190">
        <f>survey_responses[[#This Row],[Sau khi xem xét các quyền lợi và nghĩa vụ, bạn có ủng hộ và tuân thủ chính sách mới hiện nay? - HUMAN-OUT1]]</f>
        <v>8</v>
      </c>
      <c r="BH190">
        <f t="shared" si="79"/>
        <v>0.77777777777777779</v>
      </c>
      <c r="BI190" s="32">
        <f t="shared" si="80"/>
        <v>1</v>
      </c>
    </row>
    <row r="191" spans="1:61" x14ac:dyDescent="0.45">
      <c r="A191" s="30">
        <f>step3_validation[[#This Row],[Persona_ID]]</f>
        <v>190</v>
      </c>
      <c r="B191" s="31">
        <f>step3_validation[[#This Row],[Used_Seed]]</f>
        <v>12534</v>
      </c>
      <c r="C191" t="str">
        <f>step3_validation[[#This Row],[Gender]]</f>
        <v>Nam</v>
      </c>
      <c r="D191" t="str">
        <f>survey_responses[[#This Row],[Giới tính của bạn:]]</f>
        <v>Nam</v>
      </c>
      <c r="E191" t="str">
        <f>step3_validation[[#This Row],[Age_Group]]</f>
        <v>25 - 29</v>
      </c>
      <c r="F191" t="str">
        <f>survey_responses[[#This Row],[Độ tuổi của bạn:]]</f>
        <v>25 - 29</v>
      </c>
      <c r="G191" t="str">
        <f>step3_validation[[#This Row],[Region]]</f>
        <v>Thành thị</v>
      </c>
      <c r="H191" t="str">
        <f>survey_responses[[#This Row],[Khu vực bạn đang sinh sống:]]</f>
        <v>Thành thị</v>
      </c>
      <c r="I191" t="str">
        <f>step3_validation[[#This Row],[Education]]</f>
        <v>Sau Đại học</v>
      </c>
      <c r="J191" t="str">
        <f>survey_responses[[#This Row],[Trình độ học vấn cao nhất:]]</f>
        <v>Sau Đại học</v>
      </c>
      <c r="K191" t="str">
        <f>step3_validation[[#This Row],[Employment]]</f>
        <v>Chính thức</v>
      </c>
      <c r="L191" t="str">
        <f>survey_responses[[#This Row],[Tình trạng việc làm chính:]]</f>
        <v>Khu vực chính thức (Có Hợp đồng lao động, đóng BHXH)</v>
      </c>
      <c r="M191">
        <f>step3_validation[[#This Row],[Income_Mil]]</f>
        <v>30.021595312853684</v>
      </c>
      <c r="N191" t="str">
        <f>survey_responses[[#This Row],[Thu nhập bình quân tháng theo Hợp đồng lao động của bạn là bao nhiêu? (Vui lòng điền tổng thu nhập trước khi khấu trừ các loại Bảo hiểm (BHXH, BHYT, BHTN) và Thuế TNCN)]]</f>
        <v>Từ 23 - 32 triệu VNĐ</v>
      </c>
      <c r="O191">
        <f>step3_validation[[#This Row],[Dependents]]</f>
        <v>0</v>
      </c>
      <c r="P191" t="str">
        <f>survey_responses[[#This Row],[Số người phụ thuộc (con nhỏ, cha mẹ già...) đủ điều kiện giảm trừ gia cảnh:]]</f>
        <v>0 người</v>
      </c>
      <c r="Q191">
        <f>step3_validation[[#This Row],[AI_ENF1]]</f>
        <v>6</v>
      </c>
      <c r="R191">
        <f t="shared" si="54"/>
        <v>0.55555555555555558</v>
      </c>
      <c r="S191">
        <f>survey_responses[[#This Row],[Tôi tin rằng với các quy định quản lý thuế hiện nay, hành vi gian lận hoặc trốn thuế sẽ dễ dàng bị phát hiện và xử lý nghiêm. - HUMAN-ENF1]]</f>
        <v>7</v>
      </c>
      <c r="T191">
        <f t="shared" si="55"/>
        <v>0.66666666666666663</v>
      </c>
      <c r="U191">
        <f>step3_validation[[#This Row],[AI_ENF2]]</f>
        <v>7</v>
      </c>
      <c r="V191">
        <f t="shared" si="56"/>
        <v>0.66666666666666663</v>
      </c>
      <c r="W191">
        <f>survey_responses[[#This Row],[Tôi tin rằng Nhà nước, cơ quan thuế có đủ khả năng và công nghệ để phát hiện, xử lý nghiêm các hành vi trốn thuế. - HUMAN-ENF2]]</f>
        <v>7</v>
      </c>
      <c r="X191">
        <f t="shared" si="57"/>
        <v>0.66666666666666663</v>
      </c>
      <c r="Y191" s="32">
        <f t="shared" si="58"/>
        <v>0.61111111111111116</v>
      </c>
      <c r="Z191" s="32">
        <f t="shared" si="59"/>
        <v>0.66666666666666663</v>
      </c>
      <c r="AA191">
        <f>step3_validation[[#This Row],[AI_FAC1]]</f>
        <v>8</v>
      </c>
      <c r="AB191">
        <f t="shared" si="60"/>
        <v>0.77777777777777779</v>
      </c>
      <c r="AC191">
        <f>survey_responses[[#This Row],[Các thủ tục khai báo thuế VÀ/HOẶC quy trình làm việc với cơ quan thuế đơn giản, tiện lợi, nhanh chóng hơn so với trước đây. - HUMAN-FAC1]]</f>
        <v>7</v>
      </c>
      <c r="AD191">
        <f t="shared" si="61"/>
        <v>0.66666666666666663</v>
      </c>
      <c r="AE191">
        <f>step3_validation[[#This Row],[AI_FAC2]]</f>
        <v>9</v>
      </c>
      <c r="AF191">
        <f t="shared" si="62"/>
        <v>0.88888888888888884</v>
      </c>
      <c r="AG191">
        <f>survey_responses[[#This Row],[So với trước đây, tôi thấy cách tính thuế và các bậc thuế trong phương án mới đơn giản, dễ hiểu và dễ thực hiện hơn. - HUMAN-FAC2]]</f>
        <v>8</v>
      </c>
      <c r="AH191">
        <f t="shared" si="63"/>
        <v>0.77777777777777779</v>
      </c>
      <c r="AI191" s="32">
        <f t="shared" si="64"/>
        <v>0.83333333333333326</v>
      </c>
      <c r="AJ191" s="32">
        <f t="shared" si="65"/>
        <v>0.72222222222222221</v>
      </c>
      <c r="AK191">
        <f>step3_validation[[#This Row],[AI_TRU1]]</f>
        <v>6</v>
      </c>
      <c r="AL191">
        <f t="shared" si="66"/>
        <v>0.55555555555555558</v>
      </c>
      <c r="AM191">
        <f>survey_responses[[#This Row],[Tôi tin rằng Nhà nước, cơ quan thuế sẽ thực thi chính sách mới một cách khách quan, công tâm và đối xử bình đẳng với mọi người nộp thuế.  - HUMAN-TRU1]]</f>
        <v>3</v>
      </c>
      <c r="AN191">
        <f t="shared" si="67"/>
        <v>0.22222222222222221</v>
      </c>
      <c r="AO191">
        <f>step3_validation[[#This Row],[AI_TRU2]]</f>
        <v>7</v>
      </c>
      <c r="AP191">
        <f t="shared" si="68"/>
        <v>0.66666666666666663</v>
      </c>
      <c r="AQ191">
        <f>survey_responses[[#This Row],[Tôi thấy mức thuế tôi phải đóng theo phương án mới là công bằng (người thu nhập như tôi đóng mức này là hợp lý). - HUMAN-TRU2]]</f>
        <v>3</v>
      </c>
      <c r="AR191">
        <f t="shared" si="69"/>
        <v>0.22222222222222221</v>
      </c>
      <c r="AS191">
        <f>step3_validation[[#This Row],[AI_TRU3]]</f>
        <v>6</v>
      </c>
      <c r="AT191">
        <f t="shared" si="70"/>
        <v>0.55555555555555558</v>
      </c>
      <c r="AU191">
        <f>survey_responses[[#This Row],[Tôi tin tưởng số tiền thuế tôi đóng sẽ được Nhà nước sử dụng hiệu quả để cải thiện dịch vụ công (y tế, đường xá...). - HUMAN-TRU3]]</f>
        <v>2</v>
      </c>
      <c r="AV191">
        <f t="shared" si="71"/>
        <v>0.1111111111111111</v>
      </c>
      <c r="AW191">
        <f>step3_validation[[#This Row],[AI_TRU4]]</f>
        <v>7</v>
      </c>
      <c r="AX191">
        <f t="shared" si="72"/>
        <v>0.66666666666666663</v>
      </c>
      <c r="AY191">
        <f>survey_responses[[#This Row],[Tôi thấy Nhà nước đã giải thích rõ ràng, minh bạch về lý do và mục tiêu của việc sửa đổi thuế lần này. - HUMAN-TRU4]]</f>
        <v>3</v>
      </c>
      <c r="AZ191">
        <f t="shared" si="73"/>
        <v>0.22222222222222221</v>
      </c>
      <c r="BA191" s="32">
        <f t="shared" si="74"/>
        <v>0.61111111111111116</v>
      </c>
      <c r="BB191" s="32">
        <f t="shared" si="75"/>
        <v>0.19444444444444445</v>
      </c>
      <c r="BC191" s="7">
        <f t="shared" si="76"/>
        <v>0.68518518518518512</v>
      </c>
      <c r="BD191" s="7">
        <f t="shared" si="77"/>
        <v>0.52777777777777779</v>
      </c>
      <c r="BE191">
        <f>step3_validation[[#This Row],[AI_OUT1]]</f>
        <v>8</v>
      </c>
      <c r="BF191">
        <f t="shared" si="78"/>
        <v>0.77777777777777779</v>
      </c>
      <c r="BG191">
        <f>survey_responses[[#This Row],[Sau khi xem xét các quyền lợi và nghĩa vụ, bạn có ủng hộ và tuân thủ chính sách mới hiện nay? - HUMAN-OUT1]]</f>
        <v>8</v>
      </c>
      <c r="BH191">
        <f t="shared" si="79"/>
        <v>0.77777777777777779</v>
      </c>
      <c r="BI191" s="32">
        <f t="shared" si="80"/>
        <v>0</v>
      </c>
    </row>
    <row r="192" spans="1:61" x14ac:dyDescent="0.45">
      <c r="A192" s="30">
        <f>step3_validation[[#This Row],[Persona_ID]]</f>
        <v>191</v>
      </c>
      <c r="B192" s="31">
        <f>step3_validation[[#This Row],[Used_Seed]]</f>
        <v>12535</v>
      </c>
      <c r="C192" t="str">
        <f>step3_validation[[#This Row],[Gender]]</f>
        <v>Nam</v>
      </c>
      <c r="D192" t="str">
        <f>survey_responses[[#This Row],[Giới tính của bạn:]]</f>
        <v>Nam</v>
      </c>
      <c r="E192" t="str">
        <f>step3_validation[[#This Row],[Age_Group]]</f>
        <v>30 - 39</v>
      </c>
      <c r="F192" t="str">
        <f>survey_responses[[#This Row],[Độ tuổi của bạn:]]</f>
        <v>30 - 39</v>
      </c>
      <c r="G192" t="str">
        <f>step3_validation[[#This Row],[Region]]</f>
        <v>Thành thị</v>
      </c>
      <c r="H192" t="str">
        <f>survey_responses[[#This Row],[Khu vực bạn đang sinh sống:]]</f>
        <v>Thành thị</v>
      </c>
      <c r="I192" t="str">
        <f>step3_validation[[#This Row],[Education]]</f>
        <v>Sau Đại học</v>
      </c>
      <c r="J192" t="str">
        <f>survey_responses[[#This Row],[Trình độ học vấn cao nhất:]]</f>
        <v>Sau Đại học</v>
      </c>
      <c r="K192" t="str">
        <f>step3_validation[[#This Row],[Employment]]</f>
        <v>Chính thức</v>
      </c>
      <c r="L192" t="str">
        <f>survey_responses[[#This Row],[Tình trạng việc làm chính:]]</f>
        <v>Khu vực chính thức (Có Hợp đồng lao động, đóng BHXH)</v>
      </c>
      <c r="M192">
        <f>step3_validation[[#This Row],[Income_Mil]]</f>
        <v>66.799216260172798</v>
      </c>
      <c r="N192" t="str">
        <f>survey_responses[[#This Row],[Thu nhập bình quân tháng theo Hợp đồng lao động của bạn là bao nhiêu? (Vui lòng điền tổng thu nhập trước khi khấu trừ các loại Bảo hiểm (BHXH, BHYT, BHTN) và Thuế TNCN)]]</f>
        <v>Từ 48 - 70 triệu VNĐ</v>
      </c>
      <c r="O192">
        <f>step3_validation[[#This Row],[Dependents]]</f>
        <v>3</v>
      </c>
      <c r="P192" t="str">
        <f>survey_responses[[#This Row],[Số người phụ thuộc (con nhỏ, cha mẹ già...) đủ điều kiện giảm trừ gia cảnh:]]</f>
        <v>3 người</v>
      </c>
      <c r="Q192">
        <f>step3_validation[[#This Row],[AI_ENF1]]</f>
        <v>7</v>
      </c>
      <c r="R192">
        <f t="shared" si="54"/>
        <v>0.66666666666666663</v>
      </c>
      <c r="S192">
        <f>survey_responses[[#This Row],[Tôi tin rằng với các quy định quản lý thuế hiện nay, hành vi gian lận hoặc trốn thuế sẽ dễ dàng bị phát hiện và xử lý nghiêm. - HUMAN-ENF1]]</f>
        <v>7</v>
      </c>
      <c r="T192">
        <f t="shared" si="55"/>
        <v>0.66666666666666663</v>
      </c>
      <c r="U192">
        <f>step3_validation[[#This Row],[AI_ENF2]]</f>
        <v>8</v>
      </c>
      <c r="V192">
        <f t="shared" si="56"/>
        <v>0.77777777777777779</v>
      </c>
      <c r="W192">
        <f>survey_responses[[#This Row],[Tôi tin rằng Nhà nước, cơ quan thuế có đủ khả năng và công nghệ để phát hiện, xử lý nghiêm các hành vi trốn thuế. - HUMAN-ENF2]]</f>
        <v>7</v>
      </c>
      <c r="X192">
        <f t="shared" si="57"/>
        <v>0.66666666666666663</v>
      </c>
      <c r="Y192" s="32">
        <f t="shared" si="58"/>
        <v>0.72222222222222221</v>
      </c>
      <c r="Z192" s="32">
        <f t="shared" si="59"/>
        <v>0.66666666666666663</v>
      </c>
      <c r="AA192">
        <f>step3_validation[[#This Row],[AI_FAC1]]</f>
        <v>9</v>
      </c>
      <c r="AB192">
        <f t="shared" si="60"/>
        <v>0.88888888888888884</v>
      </c>
      <c r="AC192">
        <f>survey_responses[[#This Row],[Các thủ tục khai báo thuế VÀ/HOẶC quy trình làm việc với cơ quan thuế đơn giản, tiện lợi, nhanh chóng hơn so với trước đây. - HUMAN-FAC1]]</f>
        <v>6</v>
      </c>
      <c r="AD192">
        <f t="shared" si="61"/>
        <v>0.55555555555555558</v>
      </c>
      <c r="AE192">
        <f>step3_validation[[#This Row],[AI_FAC2]]</f>
        <v>8</v>
      </c>
      <c r="AF192">
        <f t="shared" si="62"/>
        <v>0.77777777777777779</v>
      </c>
      <c r="AG192">
        <f>survey_responses[[#This Row],[So với trước đây, tôi thấy cách tính thuế và các bậc thuế trong phương án mới đơn giản, dễ hiểu và dễ thực hiện hơn. - HUMAN-FAC2]]</f>
        <v>8</v>
      </c>
      <c r="AH192">
        <f t="shared" si="63"/>
        <v>0.77777777777777779</v>
      </c>
      <c r="AI192" s="32">
        <f t="shared" si="64"/>
        <v>0.83333333333333326</v>
      </c>
      <c r="AJ192" s="32">
        <f t="shared" si="65"/>
        <v>0.66666666666666674</v>
      </c>
      <c r="AK192">
        <f>step3_validation[[#This Row],[AI_TRU1]]</f>
        <v>9</v>
      </c>
      <c r="AL192">
        <f t="shared" si="66"/>
        <v>0.88888888888888884</v>
      </c>
      <c r="AM192">
        <f>survey_responses[[#This Row],[Tôi tin rằng Nhà nước, cơ quan thuế sẽ thực thi chính sách mới một cách khách quan, công tâm và đối xử bình đẳng với mọi người nộp thuế.  - HUMAN-TRU1]]</f>
        <v>7</v>
      </c>
      <c r="AN192">
        <f t="shared" si="67"/>
        <v>0.66666666666666663</v>
      </c>
      <c r="AO192">
        <f>step3_validation[[#This Row],[AI_TRU2]]</f>
        <v>8</v>
      </c>
      <c r="AP192">
        <f t="shared" si="68"/>
        <v>0.77777777777777779</v>
      </c>
      <c r="AQ192">
        <f>survey_responses[[#This Row],[Tôi thấy mức thuế tôi phải đóng theo phương án mới là công bằng (người thu nhập như tôi đóng mức này là hợp lý). - HUMAN-TRU2]]</f>
        <v>8</v>
      </c>
      <c r="AR192">
        <f t="shared" si="69"/>
        <v>0.77777777777777779</v>
      </c>
      <c r="AS192">
        <f>step3_validation[[#This Row],[AI_TRU3]]</f>
        <v>9</v>
      </c>
      <c r="AT192">
        <f t="shared" si="70"/>
        <v>0.88888888888888884</v>
      </c>
      <c r="AU192">
        <f>survey_responses[[#This Row],[Tôi tin tưởng số tiền thuế tôi đóng sẽ được Nhà nước sử dụng hiệu quả để cải thiện dịch vụ công (y tế, đường xá...). - HUMAN-TRU3]]</f>
        <v>7</v>
      </c>
      <c r="AV192">
        <f t="shared" si="71"/>
        <v>0.66666666666666663</v>
      </c>
      <c r="AW192">
        <f>step3_validation[[#This Row],[AI_TRU4]]</f>
        <v>8</v>
      </c>
      <c r="AX192">
        <f t="shared" si="72"/>
        <v>0.77777777777777779</v>
      </c>
      <c r="AY192">
        <f>survey_responses[[#This Row],[Tôi thấy Nhà nước đã giải thích rõ ràng, minh bạch về lý do và mục tiêu của việc sửa đổi thuế lần này. - HUMAN-TRU4]]</f>
        <v>7</v>
      </c>
      <c r="AZ192">
        <f t="shared" si="73"/>
        <v>0.66666666666666663</v>
      </c>
      <c r="BA192" s="32">
        <f t="shared" si="74"/>
        <v>0.83333333333333326</v>
      </c>
      <c r="BB192" s="32">
        <f t="shared" si="75"/>
        <v>0.69444444444444442</v>
      </c>
      <c r="BC192" s="7">
        <f t="shared" si="76"/>
        <v>0.79629629629629617</v>
      </c>
      <c r="BD192" s="7">
        <f t="shared" si="77"/>
        <v>0.67592592592592593</v>
      </c>
      <c r="BE192">
        <f>step3_validation[[#This Row],[AI_OUT1]]</f>
        <v>9</v>
      </c>
      <c r="BF192">
        <f t="shared" si="78"/>
        <v>0.88888888888888884</v>
      </c>
      <c r="BG192">
        <f>survey_responses[[#This Row],[Sau khi xem xét các quyền lợi và nghĩa vụ, bạn có ủng hộ và tuân thủ chính sách mới hiện nay? - HUMAN-OUT1]]</f>
        <v>7</v>
      </c>
      <c r="BH192">
        <f t="shared" si="79"/>
        <v>0.66666666666666663</v>
      </c>
      <c r="BI192" s="32">
        <f t="shared" si="80"/>
        <v>2</v>
      </c>
    </row>
    <row r="193" spans="1:61" x14ac:dyDescent="0.45">
      <c r="A193" s="30">
        <f>step3_validation[[#This Row],[Persona_ID]]</f>
        <v>192</v>
      </c>
      <c r="B193" s="31">
        <f>step3_validation[[#This Row],[Used_Seed]]</f>
        <v>12536</v>
      </c>
      <c r="C193" t="str">
        <f>step3_validation[[#This Row],[Gender]]</f>
        <v>Nữ</v>
      </c>
      <c r="D193" t="str">
        <f>survey_responses[[#This Row],[Giới tính của bạn:]]</f>
        <v>Nữ</v>
      </c>
      <c r="E193" t="str">
        <f>step3_validation[[#This Row],[Age_Group]]</f>
        <v>18 - 24</v>
      </c>
      <c r="F193" t="str">
        <f>survey_responses[[#This Row],[Độ tuổi của bạn:]]</f>
        <v>18 - 24</v>
      </c>
      <c r="G193" t="str">
        <f>step3_validation[[#This Row],[Region]]</f>
        <v>Thành thị</v>
      </c>
      <c r="H193" t="str">
        <f>survey_responses[[#This Row],[Khu vực bạn đang sinh sống:]]</f>
        <v>Thành thị</v>
      </c>
      <c r="I193" t="str">
        <f>step3_validation[[#This Row],[Education]]</f>
        <v>Đại học</v>
      </c>
      <c r="J193" t="str">
        <f>survey_responses[[#This Row],[Trình độ học vấn cao nhất:]]</f>
        <v>Đại học</v>
      </c>
      <c r="K193" t="str">
        <f>step3_validation[[#This Row],[Employment]]</f>
        <v>Chính thức</v>
      </c>
      <c r="L193" t="str">
        <f>survey_responses[[#This Row],[Tình trạng việc làm chính:]]</f>
        <v>Khu vực chính thức (Có Hợp đồng lao động, đóng BHXH)</v>
      </c>
      <c r="M193">
        <f>step3_validation[[#This Row],[Income_Mil]]</f>
        <v>21.289438298288918</v>
      </c>
      <c r="N193" t="str">
        <f>survey_responses[[#This Row],[Thu nhập bình quân tháng theo Hợp đồng lao động của bạn là bao nhiêu? (Vui lòng điền tổng thu nhập trước khi khấu trừ các loại Bảo hiểm (BHXH, BHYT, BHTN) và Thuế TNCN)]]</f>
        <v>Từ 18 - 23 triệu VNĐ</v>
      </c>
      <c r="O193">
        <f>step3_validation[[#This Row],[Dependents]]</f>
        <v>0</v>
      </c>
      <c r="P193" t="str">
        <f>survey_responses[[#This Row],[Số người phụ thuộc (con nhỏ, cha mẹ già...) đủ điều kiện giảm trừ gia cảnh:]]</f>
        <v>0 người</v>
      </c>
      <c r="Q193">
        <f>step3_validation[[#This Row],[AI_ENF1]]</f>
        <v>6</v>
      </c>
      <c r="R193">
        <f t="shared" si="54"/>
        <v>0.55555555555555558</v>
      </c>
      <c r="S193">
        <f>survey_responses[[#This Row],[Tôi tin rằng với các quy định quản lý thuế hiện nay, hành vi gian lận hoặc trốn thuế sẽ dễ dàng bị phát hiện và xử lý nghiêm. - HUMAN-ENF1]]</f>
        <v>8</v>
      </c>
      <c r="T193">
        <f t="shared" si="55"/>
        <v>0.77777777777777779</v>
      </c>
      <c r="U193">
        <f>step3_validation[[#This Row],[AI_ENF2]]</f>
        <v>7</v>
      </c>
      <c r="V193">
        <f t="shared" si="56"/>
        <v>0.66666666666666663</v>
      </c>
      <c r="W193">
        <f>survey_responses[[#This Row],[Tôi tin rằng Nhà nước, cơ quan thuế có đủ khả năng và công nghệ để phát hiện, xử lý nghiêm các hành vi trốn thuế. - HUMAN-ENF2]]</f>
        <v>8</v>
      </c>
      <c r="X193">
        <f t="shared" si="57"/>
        <v>0.77777777777777779</v>
      </c>
      <c r="Y193" s="32">
        <f t="shared" si="58"/>
        <v>0.61111111111111116</v>
      </c>
      <c r="Z193" s="32">
        <f t="shared" si="59"/>
        <v>0.77777777777777779</v>
      </c>
      <c r="AA193">
        <f>step3_validation[[#This Row],[AI_FAC1]]</f>
        <v>9</v>
      </c>
      <c r="AB193">
        <f t="shared" si="60"/>
        <v>0.88888888888888884</v>
      </c>
      <c r="AC193">
        <f>survey_responses[[#This Row],[Các thủ tục khai báo thuế VÀ/HOẶC quy trình làm việc với cơ quan thuế đơn giản, tiện lợi, nhanh chóng hơn so với trước đây. - HUMAN-FAC1]]</f>
        <v>9</v>
      </c>
      <c r="AD193">
        <f t="shared" si="61"/>
        <v>0.88888888888888884</v>
      </c>
      <c r="AE193">
        <f>step3_validation[[#This Row],[AI_FAC2]]</f>
        <v>9</v>
      </c>
      <c r="AF193">
        <f t="shared" si="62"/>
        <v>0.88888888888888884</v>
      </c>
      <c r="AG193">
        <f>survey_responses[[#This Row],[So với trước đây, tôi thấy cách tính thuế và các bậc thuế trong phương án mới đơn giản, dễ hiểu và dễ thực hiện hơn. - HUMAN-FAC2]]</f>
        <v>9</v>
      </c>
      <c r="AH193">
        <f t="shared" si="63"/>
        <v>0.88888888888888884</v>
      </c>
      <c r="AI193" s="32">
        <f t="shared" si="64"/>
        <v>0.88888888888888884</v>
      </c>
      <c r="AJ193" s="32">
        <f t="shared" si="65"/>
        <v>0.88888888888888884</v>
      </c>
      <c r="AK193">
        <f>step3_validation[[#This Row],[AI_TRU1]]</f>
        <v>0</v>
      </c>
      <c r="AL193">
        <f t="shared" si="66"/>
        <v>-0.1111111111111111</v>
      </c>
      <c r="AM193">
        <f>survey_responses[[#This Row],[Tôi tin rằng Nhà nước, cơ quan thuế sẽ thực thi chính sách mới một cách khách quan, công tâm và đối xử bình đẳng với mọi người nộp thuế.  - HUMAN-TRU1]]</f>
        <v>9</v>
      </c>
      <c r="AN193">
        <f t="shared" si="67"/>
        <v>0.88888888888888884</v>
      </c>
      <c r="AO193">
        <f>step3_validation[[#This Row],[AI_TRU2]]</f>
        <v>0</v>
      </c>
      <c r="AP193">
        <f t="shared" si="68"/>
        <v>-0.1111111111111111</v>
      </c>
      <c r="AQ193">
        <f>survey_responses[[#This Row],[Tôi thấy mức thuế tôi phải đóng theo phương án mới là công bằng (người thu nhập như tôi đóng mức này là hợp lý). - HUMAN-TRU2]]</f>
        <v>9</v>
      </c>
      <c r="AR193">
        <f t="shared" si="69"/>
        <v>0.88888888888888884</v>
      </c>
      <c r="AS193">
        <f>step3_validation[[#This Row],[AI_TRU3]]</f>
        <v>0</v>
      </c>
      <c r="AT193">
        <f t="shared" si="70"/>
        <v>-0.1111111111111111</v>
      </c>
      <c r="AU193">
        <f>survey_responses[[#This Row],[Tôi tin tưởng số tiền thuế tôi đóng sẽ được Nhà nước sử dụng hiệu quả để cải thiện dịch vụ công (y tế, đường xá...). - HUMAN-TRU3]]</f>
        <v>8</v>
      </c>
      <c r="AV193">
        <f t="shared" si="71"/>
        <v>0.77777777777777779</v>
      </c>
      <c r="AW193">
        <f>step3_validation[[#This Row],[AI_TRU4]]</f>
        <v>0</v>
      </c>
      <c r="AX193">
        <f t="shared" si="72"/>
        <v>-0.1111111111111111</v>
      </c>
      <c r="AY193">
        <f>survey_responses[[#This Row],[Tôi thấy Nhà nước đã giải thích rõ ràng, minh bạch về lý do và mục tiêu của việc sửa đổi thuế lần này. - HUMAN-TRU4]]</f>
        <v>8</v>
      </c>
      <c r="AZ193">
        <f t="shared" si="73"/>
        <v>0.77777777777777779</v>
      </c>
      <c r="BA193" s="32">
        <f t="shared" si="74"/>
        <v>-0.1111111111111111</v>
      </c>
      <c r="BB193" s="32">
        <f t="shared" si="75"/>
        <v>0.83333333333333326</v>
      </c>
      <c r="BC193" s="7">
        <f t="shared" si="76"/>
        <v>0.46296296296296297</v>
      </c>
      <c r="BD193" s="7">
        <f t="shared" si="77"/>
        <v>0.83333333333333337</v>
      </c>
      <c r="BE193">
        <f>step3_validation[[#This Row],[AI_OUT1]]</f>
        <v>0</v>
      </c>
      <c r="BF193">
        <f t="shared" si="78"/>
        <v>-0.1111111111111111</v>
      </c>
      <c r="BG193">
        <f>survey_responses[[#This Row],[Sau khi xem xét các quyền lợi và nghĩa vụ, bạn có ủng hộ và tuân thủ chính sách mới hiện nay? - HUMAN-OUT1]]</f>
        <v>9</v>
      </c>
      <c r="BH193">
        <f t="shared" si="79"/>
        <v>0.88888888888888884</v>
      </c>
      <c r="BI193" s="32">
        <f t="shared" si="80"/>
        <v>9</v>
      </c>
    </row>
    <row r="194" spans="1:61" x14ac:dyDescent="0.45">
      <c r="A194" s="30">
        <f>step3_validation[[#This Row],[Persona_ID]]</f>
        <v>193</v>
      </c>
      <c r="B194" s="31">
        <f>step3_validation[[#This Row],[Used_Seed]]</f>
        <v>12537</v>
      </c>
      <c r="C194" t="str">
        <f>step3_validation[[#This Row],[Gender]]</f>
        <v>Nữ</v>
      </c>
      <c r="D194" t="str">
        <f>survey_responses[[#This Row],[Giới tính của bạn:]]</f>
        <v>Nữ</v>
      </c>
      <c r="E194" t="str">
        <f>step3_validation[[#This Row],[Age_Group]]</f>
        <v>40 - 49</v>
      </c>
      <c r="F194" t="str">
        <f>survey_responses[[#This Row],[Độ tuổi của bạn:]]</f>
        <v>40 - 49</v>
      </c>
      <c r="G194" t="str">
        <f>step3_validation[[#This Row],[Region]]</f>
        <v>Thành thị</v>
      </c>
      <c r="H194" t="str">
        <f>survey_responses[[#This Row],[Khu vực bạn đang sinh sống:]]</f>
        <v>Thành thị</v>
      </c>
      <c r="I194" t="str">
        <f>step3_validation[[#This Row],[Education]]</f>
        <v>Đại học</v>
      </c>
      <c r="J194" t="str">
        <f>survey_responses[[#This Row],[Trình độ học vấn cao nhất:]]</f>
        <v>Đại học</v>
      </c>
      <c r="K194" t="str">
        <f>step3_validation[[#This Row],[Employment]]</f>
        <v>Chính thức</v>
      </c>
      <c r="L194" t="str">
        <f>survey_responses[[#This Row],[Tình trạng việc làm chính:]]</f>
        <v>Khu vực chính thức (Có Hợp đồng lao động, đóng BHXH)</v>
      </c>
      <c r="M194">
        <f>step3_validation[[#This Row],[Income_Mil]]</f>
        <v>27.398381780266153</v>
      </c>
      <c r="N194" t="str">
        <f>survey_responses[[#This Row],[Thu nhập bình quân tháng theo Hợp đồng lao động của bạn là bao nhiêu? (Vui lòng điền tổng thu nhập trước khi khấu trừ các loại Bảo hiểm (BHXH, BHYT, BHTN) và Thuế TNCN)]]</f>
        <v>Từ 23 - 32 triệu VNĐ</v>
      </c>
      <c r="O194">
        <f>step3_validation[[#This Row],[Dependents]]</f>
        <v>2</v>
      </c>
      <c r="P194" t="str">
        <f>survey_responses[[#This Row],[Số người phụ thuộc (con nhỏ, cha mẹ già...) đủ điều kiện giảm trừ gia cảnh:]]</f>
        <v>2 người</v>
      </c>
      <c r="Q194">
        <f>step3_validation[[#This Row],[AI_ENF1]]</f>
        <v>6</v>
      </c>
      <c r="R194">
        <f t="shared" si="54"/>
        <v>0.55555555555555558</v>
      </c>
      <c r="S194">
        <f>survey_responses[[#This Row],[Tôi tin rằng với các quy định quản lý thuế hiện nay, hành vi gian lận hoặc trốn thuế sẽ dễ dàng bị phát hiện và xử lý nghiêm. - HUMAN-ENF1]]</f>
        <v>1</v>
      </c>
      <c r="T194">
        <f t="shared" si="55"/>
        <v>0</v>
      </c>
      <c r="U194">
        <f>step3_validation[[#This Row],[AI_ENF2]]</f>
        <v>7</v>
      </c>
      <c r="V194">
        <f t="shared" si="56"/>
        <v>0.66666666666666663</v>
      </c>
      <c r="W194">
        <f>survey_responses[[#This Row],[Tôi tin rằng Nhà nước, cơ quan thuế có đủ khả năng và công nghệ để phát hiện, xử lý nghiêm các hành vi trốn thuế. - HUMAN-ENF2]]</f>
        <v>1</v>
      </c>
      <c r="X194">
        <f t="shared" si="57"/>
        <v>0</v>
      </c>
      <c r="Y194" s="32">
        <f t="shared" si="58"/>
        <v>0.61111111111111116</v>
      </c>
      <c r="Z194" s="32">
        <f t="shared" si="59"/>
        <v>0</v>
      </c>
      <c r="AA194">
        <f>step3_validation[[#This Row],[AI_FAC1]]</f>
        <v>8</v>
      </c>
      <c r="AB194">
        <f t="shared" si="60"/>
        <v>0.77777777777777779</v>
      </c>
      <c r="AC194">
        <f>survey_responses[[#This Row],[Các thủ tục khai báo thuế VÀ/HOẶC quy trình làm việc với cơ quan thuế đơn giản, tiện lợi, nhanh chóng hơn so với trước đây. - HUMAN-FAC1]]</f>
        <v>7</v>
      </c>
      <c r="AD194">
        <f t="shared" si="61"/>
        <v>0.66666666666666663</v>
      </c>
      <c r="AE194">
        <f>step3_validation[[#This Row],[AI_FAC2]]</f>
        <v>9</v>
      </c>
      <c r="AF194">
        <f t="shared" si="62"/>
        <v>0.88888888888888884</v>
      </c>
      <c r="AG194">
        <f>survey_responses[[#This Row],[So với trước đây, tôi thấy cách tính thuế và các bậc thuế trong phương án mới đơn giản, dễ hiểu và dễ thực hiện hơn. - HUMAN-FAC2]]</f>
        <v>5</v>
      </c>
      <c r="AH194">
        <f t="shared" si="63"/>
        <v>0.44444444444444442</v>
      </c>
      <c r="AI194" s="32">
        <f t="shared" si="64"/>
        <v>0.83333333333333326</v>
      </c>
      <c r="AJ194" s="32">
        <f t="shared" si="65"/>
        <v>0.55555555555555558</v>
      </c>
      <c r="AK194">
        <f>step3_validation[[#This Row],[AI_TRU1]]</f>
        <v>8</v>
      </c>
      <c r="AL194">
        <f t="shared" si="66"/>
        <v>0.77777777777777779</v>
      </c>
      <c r="AM194">
        <f>survey_responses[[#This Row],[Tôi tin rằng Nhà nước, cơ quan thuế sẽ thực thi chính sách mới một cách khách quan, công tâm và đối xử bình đẳng với mọi người nộp thuế.  - HUMAN-TRU1]]</f>
        <v>5</v>
      </c>
      <c r="AN194">
        <f t="shared" si="67"/>
        <v>0.44444444444444442</v>
      </c>
      <c r="AO194">
        <f>step3_validation[[#This Row],[AI_TRU2]]</f>
        <v>9</v>
      </c>
      <c r="AP194">
        <f t="shared" si="68"/>
        <v>0.88888888888888884</v>
      </c>
      <c r="AQ194">
        <f>survey_responses[[#This Row],[Tôi thấy mức thuế tôi phải đóng theo phương án mới là công bằng (người thu nhập như tôi đóng mức này là hợp lý). - HUMAN-TRU2]]</f>
        <v>7</v>
      </c>
      <c r="AR194">
        <f t="shared" si="69"/>
        <v>0.66666666666666663</v>
      </c>
      <c r="AS194">
        <f>step3_validation[[#This Row],[AI_TRU3]]</f>
        <v>7</v>
      </c>
      <c r="AT194">
        <f t="shared" si="70"/>
        <v>0.66666666666666663</v>
      </c>
      <c r="AU194">
        <f>survey_responses[[#This Row],[Tôi tin tưởng số tiền thuế tôi đóng sẽ được Nhà nước sử dụng hiệu quả để cải thiện dịch vụ công (y tế, đường xá...). - HUMAN-TRU3]]</f>
        <v>2</v>
      </c>
      <c r="AV194">
        <f t="shared" si="71"/>
        <v>0.1111111111111111</v>
      </c>
      <c r="AW194">
        <f>step3_validation[[#This Row],[AI_TRU4]]</f>
        <v>7</v>
      </c>
      <c r="AX194">
        <f t="shared" si="72"/>
        <v>0.66666666666666663</v>
      </c>
      <c r="AY194">
        <f>survey_responses[[#This Row],[Tôi thấy Nhà nước đã giải thích rõ ràng, minh bạch về lý do và mục tiêu của việc sửa đổi thuế lần này. - HUMAN-TRU4]]</f>
        <v>5</v>
      </c>
      <c r="AZ194">
        <f t="shared" si="73"/>
        <v>0.44444444444444442</v>
      </c>
      <c r="BA194" s="32">
        <f t="shared" si="74"/>
        <v>0.74999999999999989</v>
      </c>
      <c r="BB194" s="32">
        <f t="shared" si="75"/>
        <v>0.41666666666666669</v>
      </c>
      <c r="BC194" s="7">
        <f t="shared" si="76"/>
        <v>0.7314814814814814</v>
      </c>
      <c r="BD194" s="7">
        <f t="shared" si="77"/>
        <v>0.32407407407407413</v>
      </c>
      <c r="BE194">
        <f>step3_validation[[#This Row],[AI_OUT1]]</f>
        <v>9</v>
      </c>
      <c r="BF194">
        <f t="shared" si="78"/>
        <v>0.88888888888888884</v>
      </c>
      <c r="BG194">
        <f>survey_responses[[#This Row],[Sau khi xem xét các quyền lợi và nghĩa vụ, bạn có ủng hộ và tuân thủ chính sách mới hiện nay? - HUMAN-OUT1]]</f>
        <v>5</v>
      </c>
      <c r="BH194">
        <f t="shared" si="79"/>
        <v>0.44444444444444442</v>
      </c>
      <c r="BI194" s="32">
        <f t="shared" si="80"/>
        <v>4</v>
      </c>
    </row>
    <row r="195" spans="1:61" x14ac:dyDescent="0.45">
      <c r="A195" s="30">
        <f>step3_validation[[#This Row],[Persona_ID]]</f>
        <v>194</v>
      </c>
      <c r="B195" s="31">
        <f>step3_validation[[#This Row],[Used_Seed]]</f>
        <v>12538</v>
      </c>
      <c r="C195" t="str">
        <f>step3_validation[[#This Row],[Gender]]</f>
        <v>Nữ</v>
      </c>
      <c r="D195" t="str">
        <f>survey_responses[[#This Row],[Giới tính của bạn:]]</f>
        <v>Nữ</v>
      </c>
      <c r="E195" t="str">
        <f>step3_validation[[#This Row],[Age_Group]]</f>
        <v>30 - 39</v>
      </c>
      <c r="F195" t="str">
        <f>survey_responses[[#This Row],[Độ tuổi của bạn:]]</f>
        <v>30 - 39</v>
      </c>
      <c r="G195" t="str">
        <f>step3_validation[[#This Row],[Region]]</f>
        <v>Thành thị</v>
      </c>
      <c r="H195" t="str">
        <f>survey_responses[[#This Row],[Khu vực bạn đang sinh sống:]]</f>
        <v>Thành thị</v>
      </c>
      <c r="I195" t="str">
        <f>step3_validation[[#This Row],[Education]]</f>
        <v>Đại học</v>
      </c>
      <c r="J195" t="str">
        <f>survey_responses[[#This Row],[Trình độ học vấn cao nhất:]]</f>
        <v>Đại học</v>
      </c>
      <c r="K195" t="str">
        <f>step3_validation[[#This Row],[Employment]]</f>
        <v>Chính thức</v>
      </c>
      <c r="L195" t="str">
        <f>survey_responses[[#This Row],[Tình trạng việc làm chính:]]</f>
        <v>Khu vực chính thức (Có Hợp đồng lao động, đóng BHXH)</v>
      </c>
      <c r="M195">
        <f>step3_validation[[#This Row],[Income_Mil]]</f>
        <v>18.332168616202658</v>
      </c>
      <c r="N195" t="str">
        <f>survey_responses[[#This Row],[Thu nhập bình quân tháng theo Hợp đồng lao động của bạn là bao nhiêu? (Vui lòng điền tổng thu nhập trước khi khấu trừ các loại Bảo hiểm (BHXH, BHYT, BHTN) và Thuế TNCN)]]</f>
        <v>Từ 18 - 23 triệu VNĐ</v>
      </c>
      <c r="O195">
        <f>step3_validation[[#This Row],[Dependents]]</f>
        <v>1</v>
      </c>
      <c r="P195" t="str">
        <f>survey_responses[[#This Row],[Số người phụ thuộc (con nhỏ, cha mẹ già...) đủ điều kiện giảm trừ gia cảnh:]]</f>
        <v>1 người</v>
      </c>
      <c r="Q195">
        <f>step3_validation[[#This Row],[AI_ENF1]]</f>
        <v>7</v>
      </c>
      <c r="R195">
        <f t="shared" ref="R195:R258" si="81">(Q195-1)/9</f>
        <v>0.66666666666666663</v>
      </c>
      <c r="S195">
        <f>survey_responses[[#This Row],[Tôi tin rằng với các quy định quản lý thuế hiện nay, hành vi gian lận hoặc trốn thuế sẽ dễ dàng bị phát hiện và xử lý nghiêm. - HUMAN-ENF1]]</f>
        <v>10</v>
      </c>
      <c r="T195">
        <f t="shared" ref="T195:T258" si="82">(S195-1)/9</f>
        <v>1</v>
      </c>
      <c r="U195">
        <f>step3_validation[[#This Row],[AI_ENF2]]</f>
        <v>6</v>
      </c>
      <c r="V195">
        <f t="shared" ref="V195:V258" si="83">(U195-1)/9</f>
        <v>0.55555555555555558</v>
      </c>
      <c r="W195">
        <f>survey_responses[[#This Row],[Tôi tin rằng Nhà nước, cơ quan thuế có đủ khả năng và công nghệ để phát hiện, xử lý nghiêm các hành vi trốn thuế. - HUMAN-ENF2]]</f>
        <v>10</v>
      </c>
      <c r="X195">
        <f t="shared" ref="X195:X258" si="84">(W195-1)/9</f>
        <v>1</v>
      </c>
      <c r="Y195" s="32">
        <f t="shared" ref="Y195:Y258" si="85">AVERAGE(R195,V195)</f>
        <v>0.61111111111111116</v>
      </c>
      <c r="Z195" s="32">
        <f t="shared" ref="Z195:Z258" si="86">AVERAGE(T195,X195)</f>
        <v>1</v>
      </c>
      <c r="AA195">
        <f>step3_validation[[#This Row],[AI_FAC1]]</f>
        <v>9</v>
      </c>
      <c r="AB195">
        <f t="shared" ref="AB195:AB258" si="87">(AA195-1)/9</f>
        <v>0.88888888888888884</v>
      </c>
      <c r="AC195">
        <f>survey_responses[[#This Row],[Các thủ tục khai báo thuế VÀ/HOẶC quy trình làm việc với cơ quan thuế đơn giản, tiện lợi, nhanh chóng hơn so với trước đây. - HUMAN-FAC1]]</f>
        <v>6</v>
      </c>
      <c r="AD195">
        <f t="shared" ref="AD195:AD258" si="88">(AC195-1)/9</f>
        <v>0.55555555555555558</v>
      </c>
      <c r="AE195">
        <f>step3_validation[[#This Row],[AI_FAC2]]</f>
        <v>8</v>
      </c>
      <c r="AF195">
        <f t="shared" ref="AF195:AF258" si="89">(AE195-1)/9</f>
        <v>0.77777777777777779</v>
      </c>
      <c r="AG195">
        <f>survey_responses[[#This Row],[So với trước đây, tôi thấy cách tính thuế và các bậc thuế trong phương án mới đơn giản, dễ hiểu và dễ thực hiện hơn. - HUMAN-FAC2]]</f>
        <v>4</v>
      </c>
      <c r="AH195">
        <f t="shared" ref="AH195:AH258" si="90">(AG195-1)/9</f>
        <v>0.33333333333333331</v>
      </c>
      <c r="AI195" s="32">
        <f t="shared" ref="AI195:AI258" si="91">AVERAGE(AB195,AF195)</f>
        <v>0.83333333333333326</v>
      </c>
      <c r="AJ195" s="32">
        <f t="shared" ref="AJ195:AJ258" si="92">AVERAGE(AD195,AH195)</f>
        <v>0.44444444444444442</v>
      </c>
      <c r="AK195">
        <f>step3_validation[[#This Row],[AI_TRU1]]</f>
        <v>7</v>
      </c>
      <c r="AL195">
        <f t="shared" ref="AL195:AL258" si="93">(AK195-1)/9</f>
        <v>0.66666666666666663</v>
      </c>
      <c r="AM195">
        <f>survey_responses[[#This Row],[Tôi tin rằng Nhà nước, cơ quan thuế sẽ thực thi chính sách mới một cách khách quan, công tâm và đối xử bình đẳng với mọi người nộp thuế.  - HUMAN-TRU1]]</f>
        <v>8</v>
      </c>
      <c r="AN195">
        <f t="shared" ref="AN195:AN258" si="94">(AM195-1)/9</f>
        <v>0.77777777777777779</v>
      </c>
      <c r="AO195">
        <f>step3_validation[[#This Row],[AI_TRU2]]</f>
        <v>8</v>
      </c>
      <c r="AP195">
        <f t="shared" ref="AP195:AP258" si="95">(AO195-1)/9</f>
        <v>0.77777777777777779</v>
      </c>
      <c r="AQ195">
        <f>survey_responses[[#This Row],[Tôi thấy mức thuế tôi phải đóng theo phương án mới là công bằng (người thu nhập như tôi đóng mức này là hợp lý). - HUMAN-TRU2]]</f>
        <v>3</v>
      </c>
      <c r="AR195">
        <f t="shared" ref="AR195:AR258" si="96">(AQ195-1)/9</f>
        <v>0.22222222222222221</v>
      </c>
      <c r="AS195">
        <f>step3_validation[[#This Row],[AI_TRU3]]</f>
        <v>7</v>
      </c>
      <c r="AT195">
        <f t="shared" ref="AT195:AT258" si="97">(AS195-1)/9</f>
        <v>0.66666666666666663</v>
      </c>
      <c r="AU195">
        <f>survey_responses[[#This Row],[Tôi tin tưởng số tiền thuế tôi đóng sẽ được Nhà nước sử dụng hiệu quả để cải thiện dịch vụ công (y tế, đường xá...). - HUMAN-TRU3]]</f>
        <v>10</v>
      </c>
      <c r="AV195">
        <f t="shared" ref="AV195:AV258" si="98">(AU195-1)/9</f>
        <v>1</v>
      </c>
      <c r="AW195">
        <f>step3_validation[[#This Row],[AI_TRU4]]</f>
        <v>8</v>
      </c>
      <c r="AX195">
        <f t="shared" ref="AX195:AX258" si="99">(AW195-1)/9</f>
        <v>0.77777777777777779</v>
      </c>
      <c r="AY195">
        <f>survey_responses[[#This Row],[Tôi thấy Nhà nước đã giải thích rõ ràng, minh bạch về lý do và mục tiêu của việc sửa đổi thuế lần này. - HUMAN-TRU4]]</f>
        <v>10</v>
      </c>
      <c r="AZ195">
        <f t="shared" ref="AZ195:AZ258" si="100">(AY195-1)/9</f>
        <v>1</v>
      </c>
      <c r="BA195" s="32">
        <f t="shared" ref="BA195:BA258" si="101">AVERAGE(AL195,AP195,AT195,AX195)</f>
        <v>0.72222222222222221</v>
      </c>
      <c r="BB195" s="32">
        <f t="shared" ref="BB195:BB258" si="102">AVERAGE(AN195,AR195,AV195,AZ195)</f>
        <v>0.75</v>
      </c>
      <c r="BC195" s="7">
        <f t="shared" ref="BC195:BC258" si="103">(Y195+AI195+BA195)/3</f>
        <v>0.72222222222222221</v>
      </c>
      <c r="BD195" s="7">
        <f t="shared" ref="BD195:BD258" si="104">(Z195+AJ195+BB195)/3</f>
        <v>0.73148148148148151</v>
      </c>
      <c r="BE195">
        <f>step3_validation[[#This Row],[AI_OUT1]]</f>
        <v>7</v>
      </c>
      <c r="BF195">
        <f t="shared" ref="BF195:BF258" si="105">(BE195-1)/9</f>
        <v>0.66666666666666663</v>
      </c>
      <c r="BG195">
        <f>survey_responses[[#This Row],[Sau khi xem xét các quyền lợi và nghĩa vụ, bạn có ủng hộ và tuân thủ chính sách mới hiện nay? - HUMAN-OUT1]]</f>
        <v>10</v>
      </c>
      <c r="BH195">
        <f t="shared" ref="BH195:BH258" si="106">(BG195-1)/9</f>
        <v>1</v>
      </c>
      <c r="BI195" s="32">
        <f t="shared" ref="BI195:BI258" si="107">ABS(BG195-BE195)</f>
        <v>3</v>
      </c>
    </row>
    <row r="196" spans="1:61" x14ac:dyDescent="0.45">
      <c r="A196" s="30">
        <f>step3_validation[[#This Row],[Persona_ID]]</f>
        <v>195</v>
      </c>
      <c r="B196" s="31">
        <f>step3_validation[[#This Row],[Used_Seed]]</f>
        <v>12539</v>
      </c>
      <c r="C196" t="str">
        <f>step3_validation[[#This Row],[Gender]]</f>
        <v>Nữ</v>
      </c>
      <c r="D196" t="str">
        <f>survey_responses[[#This Row],[Giới tính của bạn:]]</f>
        <v>Nữ</v>
      </c>
      <c r="E196" t="str">
        <f>step3_validation[[#This Row],[Age_Group]]</f>
        <v>25 - 29</v>
      </c>
      <c r="F196" t="str">
        <f>survey_responses[[#This Row],[Độ tuổi của bạn:]]</f>
        <v>25 - 29</v>
      </c>
      <c r="G196" t="str">
        <f>step3_validation[[#This Row],[Region]]</f>
        <v>Thành thị</v>
      </c>
      <c r="H196" t="str">
        <f>survey_responses[[#This Row],[Khu vực bạn đang sinh sống:]]</f>
        <v>Thành thị</v>
      </c>
      <c r="I196" t="str">
        <f>step3_validation[[#This Row],[Education]]</f>
        <v>Đại học</v>
      </c>
      <c r="J196" t="str">
        <f>survey_responses[[#This Row],[Trình độ học vấn cao nhất:]]</f>
        <v>Đại học</v>
      </c>
      <c r="K196" t="str">
        <f>step3_validation[[#This Row],[Employment]]</f>
        <v>Chính thức</v>
      </c>
      <c r="L196" t="str">
        <f>survey_responses[[#This Row],[Tình trạng việc làm chính:]]</f>
        <v>Khu vực chính thức (Có Hợp đồng lao động, đóng BHXH)</v>
      </c>
      <c r="M196">
        <f>step3_validation[[#This Row],[Income_Mil]]</f>
        <v>15.358378889667776</v>
      </c>
      <c r="N196" t="str">
        <f>survey_responses[[#This Row],[Thu nhập bình quân tháng theo Hợp đồng lao động của bạn là bao nhiêu? (Vui lòng điền tổng thu nhập trước khi khấu trừ các loại Bảo hiểm (BHXH, BHYT, BHTN) và Thuế TNCN)]]</f>
        <v>Từ 12 - 18 triệu VNĐ</v>
      </c>
      <c r="O196">
        <f>step3_validation[[#This Row],[Dependents]]</f>
        <v>1</v>
      </c>
      <c r="P196" t="str">
        <f>survey_responses[[#This Row],[Số người phụ thuộc (con nhỏ, cha mẹ già...) đủ điều kiện giảm trừ gia cảnh:]]</f>
        <v>1 người</v>
      </c>
      <c r="Q196">
        <f>step3_validation[[#This Row],[AI_ENF1]]</f>
        <v>8</v>
      </c>
      <c r="R196">
        <f t="shared" si="81"/>
        <v>0.77777777777777779</v>
      </c>
      <c r="S196">
        <f>survey_responses[[#This Row],[Tôi tin rằng với các quy định quản lý thuế hiện nay, hành vi gian lận hoặc trốn thuế sẽ dễ dàng bị phát hiện và xử lý nghiêm. - HUMAN-ENF1]]</f>
        <v>9</v>
      </c>
      <c r="T196">
        <f t="shared" si="82"/>
        <v>0.88888888888888884</v>
      </c>
      <c r="U196">
        <f>step3_validation[[#This Row],[AI_ENF2]]</f>
        <v>9</v>
      </c>
      <c r="V196">
        <f t="shared" si="83"/>
        <v>0.88888888888888884</v>
      </c>
      <c r="W196">
        <f>survey_responses[[#This Row],[Tôi tin rằng Nhà nước, cơ quan thuế có đủ khả năng và công nghệ để phát hiện, xử lý nghiêm các hành vi trốn thuế. - HUMAN-ENF2]]</f>
        <v>9</v>
      </c>
      <c r="X196">
        <f t="shared" si="84"/>
        <v>0.88888888888888884</v>
      </c>
      <c r="Y196" s="32">
        <f t="shared" si="85"/>
        <v>0.83333333333333326</v>
      </c>
      <c r="Z196" s="32">
        <f t="shared" si="86"/>
        <v>0.88888888888888884</v>
      </c>
      <c r="AA196">
        <f>step3_validation[[#This Row],[AI_FAC1]]</f>
        <v>8</v>
      </c>
      <c r="AB196">
        <f t="shared" si="87"/>
        <v>0.77777777777777779</v>
      </c>
      <c r="AC196">
        <f>survey_responses[[#This Row],[Các thủ tục khai báo thuế VÀ/HOẶC quy trình làm việc với cơ quan thuế đơn giản, tiện lợi, nhanh chóng hơn so với trước đây. - HUMAN-FAC1]]</f>
        <v>5</v>
      </c>
      <c r="AD196">
        <f t="shared" si="88"/>
        <v>0.44444444444444442</v>
      </c>
      <c r="AE196">
        <f>step3_validation[[#This Row],[AI_FAC2]]</f>
        <v>9</v>
      </c>
      <c r="AF196">
        <f t="shared" si="89"/>
        <v>0.88888888888888884</v>
      </c>
      <c r="AG196">
        <f>survey_responses[[#This Row],[So với trước đây, tôi thấy cách tính thuế và các bậc thuế trong phương án mới đơn giản, dễ hiểu và dễ thực hiện hơn. - HUMAN-FAC2]]</f>
        <v>5</v>
      </c>
      <c r="AH196">
        <f t="shared" si="90"/>
        <v>0.44444444444444442</v>
      </c>
      <c r="AI196" s="32">
        <f t="shared" si="91"/>
        <v>0.83333333333333326</v>
      </c>
      <c r="AJ196" s="32">
        <f t="shared" si="92"/>
        <v>0.44444444444444442</v>
      </c>
      <c r="AK196">
        <f>step3_validation[[#This Row],[AI_TRU1]]</f>
        <v>8</v>
      </c>
      <c r="AL196">
        <f t="shared" si="93"/>
        <v>0.77777777777777779</v>
      </c>
      <c r="AM196">
        <f>survey_responses[[#This Row],[Tôi tin rằng Nhà nước, cơ quan thuế sẽ thực thi chính sách mới một cách khách quan, công tâm và đối xử bình đẳng với mọi người nộp thuế.  - HUMAN-TRU1]]</f>
        <v>7</v>
      </c>
      <c r="AN196">
        <f t="shared" si="94"/>
        <v>0.66666666666666663</v>
      </c>
      <c r="AO196">
        <f>step3_validation[[#This Row],[AI_TRU2]]</f>
        <v>9</v>
      </c>
      <c r="AP196">
        <f t="shared" si="95"/>
        <v>0.88888888888888884</v>
      </c>
      <c r="AQ196">
        <f>survey_responses[[#This Row],[Tôi thấy mức thuế tôi phải đóng theo phương án mới là công bằng (người thu nhập như tôi đóng mức này là hợp lý). - HUMAN-TRU2]]</f>
        <v>7</v>
      </c>
      <c r="AR196">
        <f t="shared" si="96"/>
        <v>0.66666666666666663</v>
      </c>
      <c r="AS196">
        <f>step3_validation[[#This Row],[AI_TRU3]]</f>
        <v>8</v>
      </c>
      <c r="AT196">
        <f t="shared" si="97"/>
        <v>0.77777777777777779</v>
      </c>
      <c r="AU196">
        <f>survey_responses[[#This Row],[Tôi tin tưởng số tiền thuế tôi đóng sẽ được Nhà nước sử dụng hiệu quả để cải thiện dịch vụ công (y tế, đường xá...). - HUMAN-TRU3]]</f>
        <v>8</v>
      </c>
      <c r="AV196">
        <f t="shared" si="98"/>
        <v>0.77777777777777779</v>
      </c>
      <c r="AW196">
        <f>step3_validation[[#This Row],[AI_TRU4]]</f>
        <v>9</v>
      </c>
      <c r="AX196">
        <f t="shared" si="99"/>
        <v>0.88888888888888884</v>
      </c>
      <c r="AY196">
        <f>survey_responses[[#This Row],[Tôi thấy Nhà nước đã giải thích rõ ràng, minh bạch về lý do và mục tiêu của việc sửa đổi thuế lần này. - HUMAN-TRU4]]</f>
        <v>8</v>
      </c>
      <c r="AZ196">
        <f t="shared" si="100"/>
        <v>0.77777777777777779</v>
      </c>
      <c r="BA196" s="32">
        <f t="shared" si="101"/>
        <v>0.83333333333333326</v>
      </c>
      <c r="BB196" s="32">
        <f t="shared" si="102"/>
        <v>0.72222222222222221</v>
      </c>
      <c r="BC196" s="7">
        <f t="shared" si="103"/>
        <v>0.83333333333333337</v>
      </c>
      <c r="BD196" s="7">
        <f t="shared" si="104"/>
        <v>0.68518518518518512</v>
      </c>
      <c r="BE196">
        <f>step3_validation[[#This Row],[AI_OUT1]]</f>
        <v>8</v>
      </c>
      <c r="BF196">
        <f t="shared" si="105"/>
        <v>0.77777777777777779</v>
      </c>
      <c r="BG196">
        <f>survey_responses[[#This Row],[Sau khi xem xét các quyền lợi và nghĩa vụ, bạn có ủng hộ và tuân thủ chính sách mới hiện nay? - HUMAN-OUT1]]</f>
        <v>8</v>
      </c>
      <c r="BH196">
        <f t="shared" si="106"/>
        <v>0.77777777777777779</v>
      </c>
      <c r="BI196" s="32">
        <f t="shared" si="107"/>
        <v>0</v>
      </c>
    </row>
    <row r="197" spans="1:61" x14ac:dyDescent="0.45">
      <c r="A197" s="30">
        <f>step3_validation[[#This Row],[Persona_ID]]</f>
        <v>196</v>
      </c>
      <c r="B197" s="31">
        <f>step3_validation[[#This Row],[Used_Seed]]</f>
        <v>12540</v>
      </c>
      <c r="C197" t="str">
        <f>step3_validation[[#This Row],[Gender]]</f>
        <v>Nam</v>
      </c>
      <c r="D197" t="str">
        <f>survey_responses[[#This Row],[Giới tính của bạn:]]</f>
        <v>Nam</v>
      </c>
      <c r="E197" t="str">
        <f>step3_validation[[#This Row],[Age_Group]]</f>
        <v>40 - 49</v>
      </c>
      <c r="F197" t="str">
        <f>survey_responses[[#This Row],[Độ tuổi của bạn:]]</f>
        <v>40 - 49</v>
      </c>
      <c r="G197" t="str">
        <f>step3_validation[[#This Row],[Region]]</f>
        <v>Thành thị</v>
      </c>
      <c r="H197" t="str">
        <f>survey_responses[[#This Row],[Khu vực bạn đang sinh sống:]]</f>
        <v>Thành thị</v>
      </c>
      <c r="I197" t="str">
        <f>step3_validation[[#This Row],[Education]]</f>
        <v>Đại học</v>
      </c>
      <c r="J197" t="str">
        <f>survey_responses[[#This Row],[Trình độ học vấn cao nhất:]]</f>
        <v>Đại học</v>
      </c>
      <c r="K197" t="str">
        <f>step3_validation[[#This Row],[Employment]]</f>
        <v>Chính thức</v>
      </c>
      <c r="L197" t="str">
        <f>survey_responses[[#This Row],[Tình trạng việc làm chính:]]</f>
        <v>Khu vực chính thức (Có Hợp đồng lao động, đóng BHXH)</v>
      </c>
      <c r="M197">
        <f>step3_validation[[#This Row],[Income_Mil]]</f>
        <v>13.580925821871581</v>
      </c>
      <c r="N197" t="str">
        <f>survey_responses[[#This Row],[Thu nhập bình quân tháng theo Hợp đồng lao động của bạn là bao nhiêu? (Vui lòng điền tổng thu nhập trước khi khấu trừ các loại Bảo hiểm (BHXH, BHYT, BHTN) và Thuế TNCN)]]</f>
        <v>Từ 12 - 18 triệu VNĐ</v>
      </c>
      <c r="O197">
        <f>step3_validation[[#This Row],[Dependents]]</f>
        <v>2</v>
      </c>
      <c r="P197" t="str">
        <f>survey_responses[[#This Row],[Số người phụ thuộc (con nhỏ, cha mẹ già...) đủ điều kiện giảm trừ gia cảnh:]]</f>
        <v>2 người</v>
      </c>
      <c r="Q197">
        <f>step3_validation[[#This Row],[AI_ENF1]]</f>
        <v>7</v>
      </c>
      <c r="R197">
        <f t="shared" si="81"/>
        <v>0.66666666666666663</v>
      </c>
      <c r="S197">
        <f>survey_responses[[#This Row],[Tôi tin rằng với các quy định quản lý thuế hiện nay, hành vi gian lận hoặc trốn thuế sẽ dễ dàng bị phát hiện và xử lý nghiêm. - HUMAN-ENF1]]</f>
        <v>9</v>
      </c>
      <c r="T197">
        <f t="shared" si="82"/>
        <v>0.88888888888888884</v>
      </c>
      <c r="U197">
        <f>step3_validation[[#This Row],[AI_ENF2]]</f>
        <v>6</v>
      </c>
      <c r="V197">
        <f t="shared" si="83"/>
        <v>0.55555555555555558</v>
      </c>
      <c r="W197">
        <f>survey_responses[[#This Row],[Tôi tin rằng Nhà nước, cơ quan thuế có đủ khả năng và công nghệ để phát hiện, xử lý nghiêm các hành vi trốn thuế. - HUMAN-ENF2]]</f>
        <v>9</v>
      </c>
      <c r="X197">
        <f t="shared" si="84"/>
        <v>0.88888888888888884</v>
      </c>
      <c r="Y197" s="32">
        <f t="shared" si="85"/>
        <v>0.61111111111111116</v>
      </c>
      <c r="Z197" s="32">
        <f t="shared" si="86"/>
        <v>0.88888888888888884</v>
      </c>
      <c r="AA197">
        <f>step3_validation[[#This Row],[AI_FAC1]]</f>
        <v>9</v>
      </c>
      <c r="AB197">
        <f t="shared" si="87"/>
        <v>0.88888888888888884</v>
      </c>
      <c r="AC197">
        <f>survey_responses[[#This Row],[Các thủ tục khai báo thuế VÀ/HOẶC quy trình làm việc với cơ quan thuế đơn giản, tiện lợi, nhanh chóng hơn so với trước đây. - HUMAN-FAC1]]</f>
        <v>9</v>
      </c>
      <c r="AD197">
        <f t="shared" si="88"/>
        <v>0.88888888888888884</v>
      </c>
      <c r="AE197">
        <f>step3_validation[[#This Row],[AI_FAC2]]</f>
        <v>8</v>
      </c>
      <c r="AF197">
        <f t="shared" si="89"/>
        <v>0.77777777777777779</v>
      </c>
      <c r="AG197">
        <f>survey_responses[[#This Row],[So với trước đây, tôi thấy cách tính thuế và các bậc thuế trong phương án mới đơn giản, dễ hiểu và dễ thực hiện hơn. - HUMAN-FAC2]]</f>
        <v>9</v>
      </c>
      <c r="AH197">
        <f t="shared" si="90"/>
        <v>0.88888888888888884</v>
      </c>
      <c r="AI197" s="32">
        <f t="shared" si="91"/>
        <v>0.83333333333333326</v>
      </c>
      <c r="AJ197" s="32">
        <f t="shared" si="92"/>
        <v>0.88888888888888884</v>
      </c>
      <c r="AK197">
        <f>step3_validation[[#This Row],[AI_TRU1]]</f>
        <v>7</v>
      </c>
      <c r="AL197">
        <f t="shared" si="93"/>
        <v>0.66666666666666663</v>
      </c>
      <c r="AM197">
        <f>survey_responses[[#This Row],[Tôi tin rằng Nhà nước, cơ quan thuế sẽ thực thi chính sách mới một cách khách quan, công tâm và đối xử bình đẳng với mọi người nộp thuế.  - HUMAN-TRU1]]</f>
        <v>9</v>
      </c>
      <c r="AN197">
        <f t="shared" si="94"/>
        <v>0.88888888888888884</v>
      </c>
      <c r="AO197">
        <f>step3_validation[[#This Row],[AI_TRU2]]</f>
        <v>9</v>
      </c>
      <c r="AP197">
        <f t="shared" si="95"/>
        <v>0.88888888888888884</v>
      </c>
      <c r="AQ197">
        <f>survey_responses[[#This Row],[Tôi thấy mức thuế tôi phải đóng theo phương án mới là công bằng (người thu nhập như tôi đóng mức này là hợp lý). - HUMAN-TRU2]]</f>
        <v>9</v>
      </c>
      <c r="AR197">
        <f t="shared" si="96"/>
        <v>0.88888888888888884</v>
      </c>
      <c r="AS197">
        <f>step3_validation[[#This Row],[AI_TRU3]]</f>
        <v>6</v>
      </c>
      <c r="AT197">
        <f t="shared" si="97"/>
        <v>0.55555555555555558</v>
      </c>
      <c r="AU197">
        <f>survey_responses[[#This Row],[Tôi tin tưởng số tiền thuế tôi đóng sẽ được Nhà nước sử dụng hiệu quả để cải thiện dịch vụ công (y tế, đường xá...). - HUMAN-TRU3]]</f>
        <v>9</v>
      </c>
      <c r="AV197">
        <f t="shared" si="98"/>
        <v>0.88888888888888884</v>
      </c>
      <c r="AW197">
        <f>step3_validation[[#This Row],[AI_TRU4]]</f>
        <v>8</v>
      </c>
      <c r="AX197">
        <f t="shared" si="99"/>
        <v>0.77777777777777779</v>
      </c>
      <c r="AY197">
        <f>survey_responses[[#This Row],[Tôi thấy Nhà nước đã giải thích rõ ràng, minh bạch về lý do và mục tiêu của việc sửa đổi thuế lần này. - HUMAN-TRU4]]</f>
        <v>9</v>
      </c>
      <c r="AZ197">
        <f t="shared" si="100"/>
        <v>0.88888888888888884</v>
      </c>
      <c r="BA197" s="32">
        <f t="shared" si="101"/>
        <v>0.7222222222222221</v>
      </c>
      <c r="BB197" s="32">
        <f t="shared" si="102"/>
        <v>0.88888888888888884</v>
      </c>
      <c r="BC197" s="7">
        <f t="shared" si="103"/>
        <v>0.72222222222222221</v>
      </c>
      <c r="BD197" s="7">
        <f t="shared" si="104"/>
        <v>0.88888888888888884</v>
      </c>
      <c r="BE197">
        <f>step3_validation[[#This Row],[AI_OUT1]]</f>
        <v>7</v>
      </c>
      <c r="BF197">
        <f t="shared" si="105"/>
        <v>0.66666666666666663</v>
      </c>
      <c r="BG197">
        <f>survey_responses[[#This Row],[Sau khi xem xét các quyền lợi và nghĩa vụ, bạn có ủng hộ và tuân thủ chính sách mới hiện nay? - HUMAN-OUT1]]</f>
        <v>9</v>
      </c>
      <c r="BH197">
        <f t="shared" si="106"/>
        <v>0.88888888888888884</v>
      </c>
      <c r="BI197" s="32">
        <f t="shared" si="107"/>
        <v>2</v>
      </c>
    </row>
    <row r="198" spans="1:61" x14ac:dyDescent="0.45">
      <c r="A198" s="30">
        <f>step3_validation[[#This Row],[Persona_ID]]</f>
        <v>197</v>
      </c>
      <c r="B198" s="31">
        <f>step3_validation[[#This Row],[Used_Seed]]</f>
        <v>12541</v>
      </c>
      <c r="C198" t="str">
        <f>step3_validation[[#This Row],[Gender]]</f>
        <v>Nữ</v>
      </c>
      <c r="D198" t="str">
        <f>survey_responses[[#This Row],[Giới tính của bạn:]]</f>
        <v>Nữ</v>
      </c>
      <c r="E198" t="str">
        <f>step3_validation[[#This Row],[Age_Group]]</f>
        <v>40 - 49</v>
      </c>
      <c r="F198" t="str">
        <f>survey_responses[[#This Row],[Độ tuổi của bạn:]]</f>
        <v>40 - 49</v>
      </c>
      <c r="G198" t="str">
        <f>step3_validation[[#This Row],[Region]]</f>
        <v>Thành thị</v>
      </c>
      <c r="H198" t="str">
        <f>survey_responses[[#This Row],[Khu vực bạn đang sinh sống:]]</f>
        <v>Thành thị</v>
      </c>
      <c r="I198" t="str">
        <f>step3_validation[[#This Row],[Education]]</f>
        <v>Sau Đại học</v>
      </c>
      <c r="J198" t="str">
        <f>survey_responses[[#This Row],[Trình độ học vấn cao nhất:]]</f>
        <v>Sau Đại học</v>
      </c>
      <c r="K198" t="str">
        <f>step3_validation[[#This Row],[Employment]]</f>
        <v>Chính thức</v>
      </c>
      <c r="L198" t="str">
        <f>survey_responses[[#This Row],[Tình trạng việc làm chính:]]</f>
        <v>Khu vực chính thức (Có Hợp đồng lao động, đóng BHXH)</v>
      </c>
      <c r="M198">
        <f>step3_validation[[#This Row],[Income_Mil]]</f>
        <v>15.159162714908897</v>
      </c>
      <c r="N198" t="str">
        <f>survey_responses[[#This Row],[Thu nhập bình quân tháng theo Hợp đồng lao động của bạn là bao nhiêu? (Vui lòng điền tổng thu nhập trước khi khấu trừ các loại Bảo hiểm (BHXH, BHYT, BHTN) và Thuế TNCN)]]</f>
        <v>Từ 12 - 18 triệu VNĐ</v>
      </c>
      <c r="O198">
        <f>step3_validation[[#This Row],[Dependents]]</f>
        <v>3</v>
      </c>
      <c r="P198" t="str">
        <f>survey_responses[[#This Row],[Số người phụ thuộc (con nhỏ, cha mẹ già...) đủ điều kiện giảm trừ gia cảnh:]]</f>
        <v>3 người</v>
      </c>
      <c r="Q198">
        <f>step3_validation[[#This Row],[AI_ENF1]]</f>
        <v>6</v>
      </c>
      <c r="R198">
        <f t="shared" si="81"/>
        <v>0.55555555555555558</v>
      </c>
      <c r="S198">
        <f>survey_responses[[#This Row],[Tôi tin rằng với các quy định quản lý thuế hiện nay, hành vi gian lận hoặc trốn thuế sẽ dễ dàng bị phát hiện và xử lý nghiêm. - HUMAN-ENF1]]</f>
        <v>9</v>
      </c>
      <c r="T198">
        <f t="shared" si="82"/>
        <v>0.88888888888888884</v>
      </c>
      <c r="U198">
        <f>step3_validation[[#This Row],[AI_ENF2]]</f>
        <v>7</v>
      </c>
      <c r="V198">
        <f t="shared" si="83"/>
        <v>0.66666666666666663</v>
      </c>
      <c r="W198">
        <f>survey_responses[[#This Row],[Tôi tin rằng Nhà nước, cơ quan thuế có đủ khả năng và công nghệ để phát hiện, xử lý nghiêm các hành vi trốn thuế. - HUMAN-ENF2]]</f>
        <v>10</v>
      </c>
      <c r="X198">
        <f t="shared" si="84"/>
        <v>1</v>
      </c>
      <c r="Y198" s="32">
        <f t="shared" si="85"/>
        <v>0.61111111111111116</v>
      </c>
      <c r="Z198" s="32">
        <f t="shared" si="86"/>
        <v>0.94444444444444442</v>
      </c>
      <c r="AA198">
        <f>step3_validation[[#This Row],[AI_FAC1]]</f>
        <v>8</v>
      </c>
      <c r="AB198">
        <f t="shared" si="87"/>
        <v>0.77777777777777779</v>
      </c>
      <c r="AC198">
        <f>survey_responses[[#This Row],[Các thủ tục khai báo thuế VÀ/HOẶC quy trình làm việc với cơ quan thuế đơn giản, tiện lợi, nhanh chóng hơn so với trước đây. - HUMAN-FAC1]]</f>
        <v>10</v>
      </c>
      <c r="AD198">
        <f t="shared" si="88"/>
        <v>1</v>
      </c>
      <c r="AE198">
        <f>step3_validation[[#This Row],[AI_FAC2]]</f>
        <v>9</v>
      </c>
      <c r="AF198">
        <f t="shared" si="89"/>
        <v>0.88888888888888884</v>
      </c>
      <c r="AG198">
        <f>survey_responses[[#This Row],[So với trước đây, tôi thấy cách tính thuế và các bậc thuế trong phương án mới đơn giản, dễ hiểu và dễ thực hiện hơn. - HUMAN-FAC2]]</f>
        <v>9</v>
      </c>
      <c r="AH198">
        <f t="shared" si="90"/>
        <v>0.88888888888888884</v>
      </c>
      <c r="AI198" s="32">
        <f t="shared" si="91"/>
        <v>0.83333333333333326</v>
      </c>
      <c r="AJ198" s="32">
        <f t="shared" si="92"/>
        <v>0.94444444444444442</v>
      </c>
      <c r="AK198">
        <f>step3_validation[[#This Row],[AI_TRU1]]</f>
        <v>8</v>
      </c>
      <c r="AL198">
        <f t="shared" si="93"/>
        <v>0.77777777777777779</v>
      </c>
      <c r="AM198">
        <f>survey_responses[[#This Row],[Tôi tin rằng Nhà nước, cơ quan thuế sẽ thực thi chính sách mới một cách khách quan, công tâm và đối xử bình đẳng với mọi người nộp thuế.  - HUMAN-TRU1]]</f>
        <v>10</v>
      </c>
      <c r="AN198">
        <f t="shared" si="94"/>
        <v>1</v>
      </c>
      <c r="AO198">
        <f>step3_validation[[#This Row],[AI_TRU2]]</f>
        <v>9</v>
      </c>
      <c r="AP198">
        <f t="shared" si="95"/>
        <v>0.88888888888888884</v>
      </c>
      <c r="AQ198">
        <f>survey_responses[[#This Row],[Tôi thấy mức thuế tôi phải đóng theo phương án mới là công bằng (người thu nhập như tôi đóng mức này là hợp lý). - HUMAN-TRU2]]</f>
        <v>10</v>
      </c>
      <c r="AR198">
        <f t="shared" si="96"/>
        <v>1</v>
      </c>
      <c r="AS198">
        <f>step3_validation[[#This Row],[AI_TRU3]]</f>
        <v>8</v>
      </c>
      <c r="AT198">
        <f t="shared" si="97"/>
        <v>0.77777777777777779</v>
      </c>
      <c r="AU198">
        <f>survey_responses[[#This Row],[Tôi tin tưởng số tiền thuế tôi đóng sẽ được Nhà nước sử dụng hiệu quả để cải thiện dịch vụ công (y tế, đường xá...). - HUMAN-TRU3]]</f>
        <v>10</v>
      </c>
      <c r="AV198">
        <f t="shared" si="98"/>
        <v>1</v>
      </c>
      <c r="AW198">
        <f>step3_validation[[#This Row],[AI_TRU4]]</f>
        <v>9</v>
      </c>
      <c r="AX198">
        <f t="shared" si="99"/>
        <v>0.88888888888888884</v>
      </c>
      <c r="AY198">
        <f>survey_responses[[#This Row],[Tôi thấy Nhà nước đã giải thích rõ ràng, minh bạch về lý do và mục tiêu của việc sửa đổi thuế lần này. - HUMAN-TRU4]]</f>
        <v>9</v>
      </c>
      <c r="AZ198">
        <f t="shared" si="100"/>
        <v>0.88888888888888884</v>
      </c>
      <c r="BA198" s="32">
        <f t="shared" si="101"/>
        <v>0.83333333333333326</v>
      </c>
      <c r="BB198" s="32">
        <f t="shared" si="102"/>
        <v>0.97222222222222221</v>
      </c>
      <c r="BC198" s="7">
        <f t="shared" si="103"/>
        <v>0.75925925925925919</v>
      </c>
      <c r="BD198" s="7">
        <f t="shared" si="104"/>
        <v>0.95370370370370372</v>
      </c>
      <c r="BE198">
        <f>step3_validation[[#This Row],[AI_OUT1]]</f>
        <v>9</v>
      </c>
      <c r="BF198">
        <f t="shared" si="105"/>
        <v>0.88888888888888884</v>
      </c>
      <c r="BG198">
        <f>survey_responses[[#This Row],[Sau khi xem xét các quyền lợi và nghĩa vụ, bạn có ủng hộ và tuân thủ chính sách mới hiện nay? - HUMAN-OUT1]]</f>
        <v>10</v>
      </c>
      <c r="BH198">
        <f t="shared" si="106"/>
        <v>1</v>
      </c>
      <c r="BI198" s="32">
        <f t="shared" si="107"/>
        <v>1</v>
      </c>
    </row>
    <row r="199" spans="1:61" x14ac:dyDescent="0.45">
      <c r="A199" s="30">
        <f>step3_validation[[#This Row],[Persona_ID]]</f>
        <v>198</v>
      </c>
      <c r="B199" s="31">
        <f>step3_validation[[#This Row],[Used_Seed]]</f>
        <v>12542</v>
      </c>
      <c r="C199" t="str">
        <f>step3_validation[[#This Row],[Gender]]</f>
        <v>Nữ</v>
      </c>
      <c r="D199" t="str">
        <f>survey_responses[[#This Row],[Giới tính của bạn:]]</f>
        <v>Nữ</v>
      </c>
      <c r="E199" t="str">
        <f>step3_validation[[#This Row],[Age_Group]]</f>
        <v>40 - 49</v>
      </c>
      <c r="F199" t="str">
        <f>survey_responses[[#This Row],[Độ tuổi của bạn:]]</f>
        <v>40 - 49</v>
      </c>
      <c r="G199" t="str">
        <f>step3_validation[[#This Row],[Region]]</f>
        <v>Thành thị</v>
      </c>
      <c r="H199" t="str">
        <f>survey_responses[[#This Row],[Khu vực bạn đang sinh sống:]]</f>
        <v>Thành thị</v>
      </c>
      <c r="I199" t="str">
        <f>step3_validation[[#This Row],[Education]]</f>
        <v>Sau Đại học</v>
      </c>
      <c r="J199" t="str">
        <f>survey_responses[[#This Row],[Trình độ học vấn cao nhất:]]</f>
        <v>Sau Đại học</v>
      </c>
      <c r="K199" t="str">
        <f>step3_validation[[#This Row],[Employment]]</f>
        <v>Chính thức</v>
      </c>
      <c r="L199" t="str">
        <f>survey_responses[[#This Row],[Tình trạng việc làm chính:]]</f>
        <v>Khu vực chính thức (Có Hợp đồng lao động, đóng BHXH)</v>
      </c>
      <c r="M199">
        <f>step3_validation[[#This Row],[Income_Mil]]</f>
        <v>16.203072264021031</v>
      </c>
      <c r="N199" t="str">
        <f>survey_responses[[#This Row],[Thu nhập bình quân tháng theo Hợp đồng lao động của bạn là bao nhiêu? (Vui lòng điền tổng thu nhập trước khi khấu trừ các loại Bảo hiểm (BHXH, BHYT, BHTN) và Thuế TNCN)]]</f>
        <v>Từ 12 - 18 triệu VNĐ</v>
      </c>
      <c r="O199">
        <f>step3_validation[[#This Row],[Dependents]]</f>
        <v>2</v>
      </c>
      <c r="P199" t="str">
        <f>survey_responses[[#This Row],[Số người phụ thuộc (con nhỏ, cha mẹ già...) đủ điều kiện giảm trừ gia cảnh:]]</f>
        <v>2 người</v>
      </c>
      <c r="Q199">
        <f>step3_validation[[#This Row],[AI_ENF1]]</f>
        <v>6</v>
      </c>
      <c r="R199">
        <f t="shared" si="81"/>
        <v>0.55555555555555558</v>
      </c>
      <c r="S199">
        <f>survey_responses[[#This Row],[Tôi tin rằng với các quy định quản lý thuế hiện nay, hành vi gian lận hoặc trốn thuế sẽ dễ dàng bị phát hiện và xử lý nghiêm. - HUMAN-ENF1]]</f>
        <v>5</v>
      </c>
      <c r="T199">
        <f t="shared" si="82"/>
        <v>0.44444444444444442</v>
      </c>
      <c r="U199">
        <f>step3_validation[[#This Row],[AI_ENF2]]</f>
        <v>5</v>
      </c>
      <c r="V199">
        <f t="shared" si="83"/>
        <v>0.44444444444444442</v>
      </c>
      <c r="W199">
        <f>survey_responses[[#This Row],[Tôi tin rằng Nhà nước, cơ quan thuế có đủ khả năng và công nghệ để phát hiện, xử lý nghiêm các hành vi trốn thuế. - HUMAN-ENF2]]</f>
        <v>5</v>
      </c>
      <c r="X199">
        <f t="shared" si="84"/>
        <v>0.44444444444444442</v>
      </c>
      <c r="Y199" s="32">
        <f t="shared" si="85"/>
        <v>0.5</v>
      </c>
      <c r="Z199" s="32">
        <f t="shared" si="86"/>
        <v>0.44444444444444442</v>
      </c>
      <c r="AA199">
        <f>step3_validation[[#This Row],[AI_FAC1]]</f>
        <v>7</v>
      </c>
      <c r="AB199">
        <f t="shared" si="87"/>
        <v>0.66666666666666663</v>
      </c>
      <c r="AC199">
        <f>survey_responses[[#This Row],[Các thủ tục khai báo thuế VÀ/HOẶC quy trình làm việc với cơ quan thuế đơn giản, tiện lợi, nhanh chóng hơn so với trước đây. - HUMAN-FAC1]]</f>
        <v>5</v>
      </c>
      <c r="AD199">
        <f t="shared" si="88"/>
        <v>0.44444444444444442</v>
      </c>
      <c r="AE199">
        <f>step3_validation[[#This Row],[AI_FAC2]]</f>
        <v>8</v>
      </c>
      <c r="AF199">
        <f t="shared" si="89"/>
        <v>0.77777777777777779</v>
      </c>
      <c r="AG199">
        <f>survey_responses[[#This Row],[So với trước đây, tôi thấy cách tính thuế và các bậc thuế trong phương án mới đơn giản, dễ hiểu và dễ thực hiện hơn. - HUMAN-FAC2]]</f>
        <v>5</v>
      </c>
      <c r="AH199">
        <f t="shared" si="90"/>
        <v>0.44444444444444442</v>
      </c>
      <c r="AI199" s="32">
        <f t="shared" si="91"/>
        <v>0.72222222222222221</v>
      </c>
      <c r="AJ199" s="32">
        <f t="shared" si="92"/>
        <v>0.44444444444444442</v>
      </c>
      <c r="AK199">
        <f>step3_validation[[#This Row],[AI_TRU1]]</f>
        <v>7</v>
      </c>
      <c r="AL199">
        <f t="shared" si="93"/>
        <v>0.66666666666666663</v>
      </c>
      <c r="AM199">
        <f>survey_responses[[#This Row],[Tôi tin rằng Nhà nước, cơ quan thuế sẽ thực thi chính sách mới một cách khách quan, công tâm và đối xử bình đẳng với mọi người nộp thuế.  - HUMAN-TRU1]]</f>
        <v>5</v>
      </c>
      <c r="AN199">
        <f t="shared" si="94"/>
        <v>0.44444444444444442</v>
      </c>
      <c r="AO199">
        <f>step3_validation[[#This Row],[AI_TRU2]]</f>
        <v>9</v>
      </c>
      <c r="AP199">
        <f t="shared" si="95"/>
        <v>0.88888888888888884</v>
      </c>
      <c r="AQ199">
        <f>survey_responses[[#This Row],[Tôi thấy mức thuế tôi phải đóng theo phương án mới là công bằng (người thu nhập như tôi đóng mức này là hợp lý). - HUMAN-TRU2]]</f>
        <v>5</v>
      </c>
      <c r="AR199">
        <f t="shared" si="96"/>
        <v>0.44444444444444442</v>
      </c>
      <c r="AS199">
        <f>step3_validation[[#This Row],[AI_TRU3]]</f>
        <v>7</v>
      </c>
      <c r="AT199">
        <f t="shared" si="97"/>
        <v>0.66666666666666663</v>
      </c>
      <c r="AU199">
        <f>survey_responses[[#This Row],[Tôi tin tưởng số tiền thuế tôi đóng sẽ được Nhà nước sử dụng hiệu quả để cải thiện dịch vụ công (y tế, đường xá...). - HUMAN-TRU3]]</f>
        <v>5</v>
      </c>
      <c r="AV199">
        <f t="shared" si="98"/>
        <v>0.44444444444444442</v>
      </c>
      <c r="AW199">
        <f>step3_validation[[#This Row],[AI_TRU4]]</f>
        <v>6</v>
      </c>
      <c r="AX199">
        <f t="shared" si="99"/>
        <v>0.55555555555555558</v>
      </c>
      <c r="AY199">
        <f>survey_responses[[#This Row],[Tôi thấy Nhà nước đã giải thích rõ ràng, minh bạch về lý do và mục tiêu của việc sửa đổi thuế lần này. - HUMAN-TRU4]]</f>
        <v>4</v>
      </c>
      <c r="AZ199">
        <f t="shared" si="100"/>
        <v>0.33333333333333331</v>
      </c>
      <c r="BA199" s="32">
        <f t="shared" si="101"/>
        <v>0.69444444444444442</v>
      </c>
      <c r="BB199" s="32">
        <f t="shared" si="102"/>
        <v>0.41666666666666663</v>
      </c>
      <c r="BC199" s="7">
        <f t="shared" si="103"/>
        <v>0.63888888888888895</v>
      </c>
      <c r="BD199" s="7">
        <f t="shared" si="104"/>
        <v>0.43518518518518512</v>
      </c>
      <c r="BE199">
        <f>step3_validation[[#This Row],[AI_OUT1]]</f>
        <v>9</v>
      </c>
      <c r="BF199">
        <f t="shared" si="105"/>
        <v>0.88888888888888884</v>
      </c>
      <c r="BG199">
        <f>survey_responses[[#This Row],[Sau khi xem xét các quyền lợi và nghĩa vụ, bạn có ủng hộ và tuân thủ chính sách mới hiện nay? - HUMAN-OUT1]]</f>
        <v>5</v>
      </c>
      <c r="BH199">
        <f t="shared" si="106"/>
        <v>0.44444444444444442</v>
      </c>
      <c r="BI199" s="32">
        <f t="shared" si="107"/>
        <v>4</v>
      </c>
    </row>
    <row r="200" spans="1:61" x14ac:dyDescent="0.45">
      <c r="A200" s="30">
        <f>step3_validation[[#This Row],[Persona_ID]]</f>
        <v>199</v>
      </c>
      <c r="B200" s="31">
        <f>step3_validation[[#This Row],[Used_Seed]]</f>
        <v>12543</v>
      </c>
      <c r="C200" t="str">
        <f>step3_validation[[#This Row],[Gender]]</f>
        <v>Nữ</v>
      </c>
      <c r="D200" t="str">
        <f>survey_responses[[#This Row],[Giới tính của bạn:]]</f>
        <v>Nữ</v>
      </c>
      <c r="E200" t="str">
        <f>step3_validation[[#This Row],[Age_Group]]</f>
        <v>55 - 64</v>
      </c>
      <c r="F200" t="str">
        <f>survey_responses[[#This Row],[Độ tuổi của bạn:]]</f>
        <v>55 - 64</v>
      </c>
      <c r="G200" t="str">
        <f>step3_validation[[#This Row],[Region]]</f>
        <v>Thành thị</v>
      </c>
      <c r="H200" t="str">
        <f>survey_responses[[#This Row],[Khu vực bạn đang sinh sống:]]</f>
        <v>Thành thị</v>
      </c>
      <c r="I200" t="str">
        <f>step3_validation[[#This Row],[Education]]</f>
        <v>Sau Đại học</v>
      </c>
      <c r="J200" t="str">
        <f>survey_responses[[#This Row],[Trình độ học vấn cao nhất:]]</f>
        <v>Sau Đại học</v>
      </c>
      <c r="K200" t="str">
        <f>step3_validation[[#This Row],[Employment]]</f>
        <v>Phi chính thức</v>
      </c>
      <c r="L200" t="str">
        <f>survey_responses[[#This Row],[Tình trạng việc làm chính:]]</f>
        <v>Khác (Về hưu, nội trợ, sinh viên)</v>
      </c>
      <c r="M200">
        <f>step3_validation[[#This Row],[Income_Mil]]</f>
        <v>12</v>
      </c>
      <c r="N200" t="str">
        <f>survey_responses[[#This Row],[Thu nhập bình quân tháng theo Hợp đồng lao động của bạn là bao nhiêu? (Vui lòng điền tổng thu nhập trước khi khấu trừ các loại Bảo hiểm (BHXH, BHYT, BHTN) và Thuế TNCN)]]</f>
        <v>Dưới 12 triệu VNĐ</v>
      </c>
      <c r="O200">
        <f>step3_validation[[#This Row],[Dependents]]</f>
        <v>1</v>
      </c>
      <c r="P200" t="str">
        <f>survey_responses[[#This Row],[Số người phụ thuộc (con nhỏ, cha mẹ già...) đủ điều kiện giảm trừ gia cảnh:]]</f>
        <v>1 người</v>
      </c>
      <c r="Q200">
        <f>step3_validation[[#This Row],[AI_ENF1]]</f>
        <v>7</v>
      </c>
      <c r="R200">
        <f t="shared" si="81"/>
        <v>0.66666666666666663</v>
      </c>
      <c r="S200">
        <f>survey_responses[[#This Row],[Tôi tin rằng với các quy định quản lý thuế hiện nay, hành vi gian lận hoặc trốn thuế sẽ dễ dàng bị phát hiện và xử lý nghiêm. - HUMAN-ENF1]]</f>
        <v>9</v>
      </c>
      <c r="T200">
        <f t="shared" si="82"/>
        <v>0.88888888888888884</v>
      </c>
      <c r="U200">
        <f>step3_validation[[#This Row],[AI_ENF2]]</f>
        <v>6</v>
      </c>
      <c r="V200">
        <f t="shared" si="83"/>
        <v>0.55555555555555558</v>
      </c>
      <c r="W200">
        <f>survey_responses[[#This Row],[Tôi tin rằng Nhà nước, cơ quan thuế có đủ khả năng và công nghệ để phát hiện, xử lý nghiêm các hành vi trốn thuế. - HUMAN-ENF2]]</f>
        <v>8</v>
      </c>
      <c r="X200">
        <f t="shared" si="84"/>
        <v>0.77777777777777779</v>
      </c>
      <c r="Y200" s="32">
        <f t="shared" si="85"/>
        <v>0.61111111111111116</v>
      </c>
      <c r="Z200" s="32">
        <f t="shared" si="86"/>
        <v>0.83333333333333326</v>
      </c>
      <c r="AA200">
        <f>step3_validation[[#This Row],[AI_FAC1]]</f>
        <v>8</v>
      </c>
      <c r="AB200">
        <f t="shared" si="87"/>
        <v>0.77777777777777779</v>
      </c>
      <c r="AC200">
        <f>survey_responses[[#This Row],[Các thủ tục khai báo thuế VÀ/HOẶC quy trình làm việc với cơ quan thuế đơn giản, tiện lợi, nhanh chóng hơn so với trước đây. - HUMAN-FAC1]]</f>
        <v>9</v>
      </c>
      <c r="AD200">
        <f t="shared" si="88"/>
        <v>0.88888888888888884</v>
      </c>
      <c r="AE200">
        <f>step3_validation[[#This Row],[AI_FAC2]]</f>
        <v>9</v>
      </c>
      <c r="AF200">
        <f t="shared" si="89"/>
        <v>0.88888888888888884</v>
      </c>
      <c r="AG200">
        <f>survey_responses[[#This Row],[So với trước đây, tôi thấy cách tính thuế và các bậc thuế trong phương án mới đơn giản, dễ hiểu và dễ thực hiện hơn. - HUMAN-FAC2]]</f>
        <v>9</v>
      </c>
      <c r="AH200">
        <f t="shared" si="90"/>
        <v>0.88888888888888884</v>
      </c>
      <c r="AI200" s="32">
        <f t="shared" si="91"/>
        <v>0.83333333333333326</v>
      </c>
      <c r="AJ200" s="32">
        <f t="shared" si="92"/>
        <v>0.88888888888888884</v>
      </c>
      <c r="AK200">
        <f>step3_validation[[#This Row],[AI_TRU1]]</f>
        <v>7</v>
      </c>
      <c r="AL200">
        <f t="shared" si="93"/>
        <v>0.66666666666666663</v>
      </c>
      <c r="AM200">
        <f>survey_responses[[#This Row],[Tôi tin rằng Nhà nước, cơ quan thuế sẽ thực thi chính sách mới một cách khách quan, công tâm và đối xử bình đẳng với mọi người nộp thuế.  - HUMAN-TRU1]]</f>
        <v>8</v>
      </c>
      <c r="AN200">
        <f t="shared" si="94"/>
        <v>0.77777777777777779</v>
      </c>
      <c r="AO200">
        <f>step3_validation[[#This Row],[AI_TRU2]]</f>
        <v>8</v>
      </c>
      <c r="AP200">
        <f t="shared" si="95"/>
        <v>0.77777777777777779</v>
      </c>
      <c r="AQ200">
        <f>survey_responses[[#This Row],[Tôi thấy mức thuế tôi phải đóng theo phương án mới là công bằng (người thu nhập như tôi đóng mức này là hợp lý). - HUMAN-TRU2]]</f>
        <v>9</v>
      </c>
      <c r="AR200">
        <f t="shared" si="96"/>
        <v>0.88888888888888884</v>
      </c>
      <c r="AS200">
        <f>step3_validation[[#This Row],[AI_TRU3]]</f>
        <v>7</v>
      </c>
      <c r="AT200">
        <f t="shared" si="97"/>
        <v>0.66666666666666663</v>
      </c>
      <c r="AU200">
        <f>survey_responses[[#This Row],[Tôi tin tưởng số tiền thuế tôi đóng sẽ được Nhà nước sử dụng hiệu quả để cải thiện dịch vụ công (y tế, đường xá...). - HUMAN-TRU3]]</f>
        <v>10</v>
      </c>
      <c r="AV200">
        <f t="shared" si="98"/>
        <v>1</v>
      </c>
      <c r="AW200">
        <f>step3_validation[[#This Row],[AI_TRU4]]</f>
        <v>8</v>
      </c>
      <c r="AX200">
        <f t="shared" si="99"/>
        <v>0.77777777777777779</v>
      </c>
      <c r="AY200">
        <f>survey_responses[[#This Row],[Tôi thấy Nhà nước đã giải thích rõ ràng, minh bạch về lý do và mục tiêu của việc sửa đổi thuế lần này. - HUMAN-TRU4]]</f>
        <v>9</v>
      </c>
      <c r="AZ200">
        <f t="shared" si="100"/>
        <v>0.88888888888888884</v>
      </c>
      <c r="BA200" s="32">
        <f t="shared" si="101"/>
        <v>0.72222222222222221</v>
      </c>
      <c r="BB200" s="32">
        <f t="shared" si="102"/>
        <v>0.88888888888888884</v>
      </c>
      <c r="BC200" s="7">
        <f t="shared" si="103"/>
        <v>0.72222222222222221</v>
      </c>
      <c r="BD200" s="7">
        <f t="shared" si="104"/>
        <v>0.87037037037037024</v>
      </c>
      <c r="BE200">
        <f>step3_validation[[#This Row],[AI_OUT1]]</f>
        <v>7</v>
      </c>
      <c r="BF200">
        <f t="shared" si="105"/>
        <v>0.66666666666666663</v>
      </c>
      <c r="BG200">
        <f>survey_responses[[#This Row],[Sau khi xem xét các quyền lợi và nghĩa vụ, bạn có ủng hộ và tuân thủ chính sách mới hiện nay? - HUMAN-OUT1]]</f>
        <v>10</v>
      </c>
      <c r="BH200">
        <f t="shared" si="106"/>
        <v>1</v>
      </c>
      <c r="BI200" s="32">
        <f t="shared" si="107"/>
        <v>3</v>
      </c>
    </row>
    <row r="201" spans="1:61" x14ac:dyDescent="0.45">
      <c r="A201" s="30">
        <f>step3_validation[[#This Row],[Persona_ID]]</f>
        <v>200</v>
      </c>
      <c r="B201" s="31">
        <f>step3_validation[[#This Row],[Used_Seed]]</f>
        <v>12544</v>
      </c>
      <c r="C201" t="str">
        <f>step3_validation[[#This Row],[Gender]]</f>
        <v>Nam</v>
      </c>
      <c r="D201" t="str">
        <f>survey_responses[[#This Row],[Giới tính của bạn:]]</f>
        <v>Nam</v>
      </c>
      <c r="E201" t="str">
        <f>step3_validation[[#This Row],[Age_Group]]</f>
        <v>50 - 54</v>
      </c>
      <c r="F201" t="str">
        <f>survey_responses[[#This Row],[Độ tuổi của bạn:]]</f>
        <v>50 - 54</v>
      </c>
      <c r="G201" t="str">
        <f>step3_validation[[#This Row],[Region]]</f>
        <v>Thành thị</v>
      </c>
      <c r="H201" t="str">
        <f>survey_responses[[#This Row],[Khu vực bạn đang sinh sống:]]</f>
        <v>Thành thị</v>
      </c>
      <c r="I201" t="str">
        <f>step3_validation[[#This Row],[Education]]</f>
        <v>Đại học</v>
      </c>
      <c r="J201" t="str">
        <f>survey_responses[[#This Row],[Trình độ học vấn cao nhất:]]</f>
        <v>Đại học</v>
      </c>
      <c r="K201" t="str">
        <f>step3_validation[[#This Row],[Employment]]</f>
        <v>Chính thức</v>
      </c>
      <c r="L201" t="str">
        <f>survey_responses[[#This Row],[Tình trạng việc làm chính:]]</f>
        <v>Khu vực chính thức (Có Hợp đồng lao động, đóng BHXH)</v>
      </c>
      <c r="M201">
        <f>step3_validation[[#This Row],[Income_Mil]]</f>
        <v>85.694533171150226</v>
      </c>
      <c r="N201" t="str">
        <f>survey_responses[[#This Row],[Thu nhập bình quân tháng theo Hợp đồng lao động của bạn là bao nhiêu? (Vui lòng điền tổng thu nhập trước khi khấu trừ các loại Bảo hiểm (BHXH, BHYT, BHTN) và Thuế TNCN)]]</f>
        <v>Từ 70 - 102 triệu VNĐ</v>
      </c>
      <c r="O201">
        <f>step3_validation[[#This Row],[Dependents]]</f>
        <v>3</v>
      </c>
      <c r="P201" t="str">
        <f>survey_responses[[#This Row],[Số người phụ thuộc (con nhỏ, cha mẹ già...) đủ điều kiện giảm trừ gia cảnh:]]</f>
        <v>3 người</v>
      </c>
      <c r="Q201">
        <f>step3_validation[[#This Row],[AI_ENF1]]</f>
        <v>6</v>
      </c>
      <c r="R201">
        <f t="shared" si="81"/>
        <v>0.55555555555555558</v>
      </c>
      <c r="S201">
        <f>survey_responses[[#This Row],[Tôi tin rằng với các quy định quản lý thuế hiện nay, hành vi gian lận hoặc trốn thuế sẽ dễ dàng bị phát hiện và xử lý nghiêm. - HUMAN-ENF1]]</f>
        <v>4</v>
      </c>
      <c r="T201">
        <f t="shared" si="82"/>
        <v>0.33333333333333331</v>
      </c>
      <c r="U201">
        <f>step3_validation[[#This Row],[AI_ENF2]]</f>
        <v>7</v>
      </c>
      <c r="V201">
        <f t="shared" si="83"/>
        <v>0.66666666666666663</v>
      </c>
      <c r="W201">
        <f>survey_responses[[#This Row],[Tôi tin rằng Nhà nước, cơ quan thuế có đủ khả năng và công nghệ để phát hiện, xử lý nghiêm các hành vi trốn thuế. - HUMAN-ENF2]]</f>
        <v>4</v>
      </c>
      <c r="X201">
        <f t="shared" si="84"/>
        <v>0.33333333333333331</v>
      </c>
      <c r="Y201" s="32">
        <f t="shared" si="85"/>
        <v>0.61111111111111116</v>
      </c>
      <c r="Z201" s="32">
        <f t="shared" si="86"/>
        <v>0.33333333333333331</v>
      </c>
      <c r="AA201">
        <f>step3_validation[[#This Row],[AI_FAC1]]</f>
        <v>9</v>
      </c>
      <c r="AB201">
        <f t="shared" si="87"/>
        <v>0.88888888888888884</v>
      </c>
      <c r="AC201">
        <f>survey_responses[[#This Row],[Các thủ tục khai báo thuế VÀ/HOẶC quy trình làm việc với cơ quan thuế đơn giản, tiện lợi, nhanh chóng hơn so với trước đây. - HUMAN-FAC1]]</f>
        <v>3</v>
      </c>
      <c r="AD201">
        <f t="shared" si="88"/>
        <v>0.22222222222222221</v>
      </c>
      <c r="AE201">
        <f>step3_validation[[#This Row],[AI_FAC2]]</f>
        <v>8</v>
      </c>
      <c r="AF201">
        <f t="shared" si="89"/>
        <v>0.77777777777777779</v>
      </c>
      <c r="AG201">
        <f>survey_responses[[#This Row],[So với trước đây, tôi thấy cách tính thuế và các bậc thuế trong phương án mới đơn giản, dễ hiểu và dễ thực hiện hơn. - HUMAN-FAC2]]</f>
        <v>5</v>
      </c>
      <c r="AH201">
        <f t="shared" si="90"/>
        <v>0.44444444444444442</v>
      </c>
      <c r="AI201" s="32">
        <f t="shared" si="91"/>
        <v>0.83333333333333326</v>
      </c>
      <c r="AJ201" s="32">
        <f t="shared" si="92"/>
        <v>0.33333333333333331</v>
      </c>
      <c r="AK201">
        <f>step3_validation[[#This Row],[AI_TRU1]]</f>
        <v>7</v>
      </c>
      <c r="AL201">
        <f t="shared" si="93"/>
        <v>0.66666666666666663</v>
      </c>
      <c r="AM201">
        <f>survey_responses[[#This Row],[Tôi tin rằng Nhà nước, cơ quan thuế sẽ thực thi chính sách mới một cách khách quan, công tâm và đối xử bình đẳng với mọi người nộp thuế.  - HUMAN-TRU1]]</f>
        <v>4</v>
      </c>
      <c r="AN201">
        <f t="shared" si="94"/>
        <v>0.33333333333333331</v>
      </c>
      <c r="AO201">
        <f>step3_validation[[#This Row],[AI_TRU2]]</f>
        <v>8</v>
      </c>
      <c r="AP201">
        <f t="shared" si="95"/>
        <v>0.77777777777777779</v>
      </c>
      <c r="AQ201">
        <f>survey_responses[[#This Row],[Tôi thấy mức thuế tôi phải đóng theo phương án mới là công bằng (người thu nhập như tôi đóng mức này là hợp lý). - HUMAN-TRU2]]</f>
        <v>5</v>
      </c>
      <c r="AR201">
        <f t="shared" si="96"/>
        <v>0.44444444444444442</v>
      </c>
      <c r="AS201">
        <f>step3_validation[[#This Row],[AI_TRU3]]</f>
        <v>7</v>
      </c>
      <c r="AT201">
        <f t="shared" si="97"/>
        <v>0.66666666666666663</v>
      </c>
      <c r="AU201">
        <f>survey_responses[[#This Row],[Tôi tin tưởng số tiền thuế tôi đóng sẽ được Nhà nước sử dụng hiệu quả để cải thiện dịch vụ công (y tế, đường xá...). - HUMAN-TRU3]]</f>
        <v>1</v>
      </c>
      <c r="AV201">
        <f t="shared" si="98"/>
        <v>0</v>
      </c>
      <c r="AW201">
        <f>step3_validation[[#This Row],[AI_TRU4]]</f>
        <v>8</v>
      </c>
      <c r="AX201">
        <f t="shared" si="99"/>
        <v>0.77777777777777779</v>
      </c>
      <c r="AY201">
        <f>survey_responses[[#This Row],[Tôi thấy Nhà nước đã giải thích rõ ràng, minh bạch về lý do và mục tiêu của việc sửa đổi thuế lần này. - HUMAN-TRU4]]</f>
        <v>5</v>
      </c>
      <c r="AZ201">
        <f t="shared" si="100"/>
        <v>0.44444444444444442</v>
      </c>
      <c r="BA201" s="32">
        <f t="shared" si="101"/>
        <v>0.72222222222222221</v>
      </c>
      <c r="BB201" s="32">
        <f t="shared" si="102"/>
        <v>0.30555555555555552</v>
      </c>
      <c r="BC201" s="7">
        <f t="shared" si="103"/>
        <v>0.72222222222222221</v>
      </c>
      <c r="BD201" s="7">
        <f t="shared" si="104"/>
        <v>0.32407407407407401</v>
      </c>
      <c r="BE201">
        <f>step3_validation[[#This Row],[AI_OUT1]]</f>
        <v>9</v>
      </c>
      <c r="BF201">
        <f t="shared" si="105"/>
        <v>0.88888888888888884</v>
      </c>
      <c r="BG201">
        <f>survey_responses[[#This Row],[Sau khi xem xét các quyền lợi và nghĩa vụ, bạn có ủng hộ và tuân thủ chính sách mới hiện nay? - HUMAN-OUT1]]</f>
        <v>5</v>
      </c>
      <c r="BH201">
        <f t="shared" si="106"/>
        <v>0.44444444444444442</v>
      </c>
      <c r="BI201" s="32">
        <f t="shared" si="107"/>
        <v>4</v>
      </c>
    </row>
    <row r="202" spans="1:61" x14ac:dyDescent="0.45">
      <c r="A202" s="30">
        <f>step3_validation[[#This Row],[Persona_ID]]</f>
        <v>201</v>
      </c>
      <c r="B202" s="31">
        <f>step3_validation[[#This Row],[Used_Seed]]</f>
        <v>12545</v>
      </c>
      <c r="C202" t="str">
        <f>step3_validation[[#This Row],[Gender]]</f>
        <v>Nữ</v>
      </c>
      <c r="D202" t="str">
        <f>survey_responses[[#This Row],[Giới tính của bạn:]]</f>
        <v>Nữ</v>
      </c>
      <c r="E202" t="str">
        <f>step3_validation[[#This Row],[Age_Group]]</f>
        <v>55 - 64</v>
      </c>
      <c r="F202" t="str">
        <f>survey_responses[[#This Row],[Độ tuổi của bạn:]]</f>
        <v>55 - 64</v>
      </c>
      <c r="G202" t="str">
        <f>step3_validation[[#This Row],[Region]]</f>
        <v>Thành thị</v>
      </c>
      <c r="H202" t="str">
        <f>survey_responses[[#This Row],[Khu vực bạn đang sinh sống:]]</f>
        <v>Thành thị</v>
      </c>
      <c r="I202" t="str">
        <f>step3_validation[[#This Row],[Education]]</f>
        <v>Sau Đại học</v>
      </c>
      <c r="J202" t="str">
        <f>survey_responses[[#This Row],[Trình độ học vấn cao nhất:]]</f>
        <v>Sau Đại học</v>
      </c>
      <c r="K202" t="str">
        <f>step3_validation[[#This Row],[Employment]]</f>
        <v>Chính thức</v>
      </c>
      <c r="L202" t="str">
        <f>survey_responses[[#This Row],[Tình trạng việc làm chính:]]</f>
        <v>Khu vực chính thức (Có Hợp đồng lao động, đóng BHXH)</v>
      </c>
      <c r="M202">
        <f>step3_validation[[#This Row],[Income_Mil]]</f>
        <v>62.389991005686873</v>
      </c>
      <c r="N202" t="str">
        <f>survey_responses[[#This Row],[Thu nhập bình quân tháng theo Hợp đồng lao động của bạn là bao nhiêu? (Vui lòng điền tổng thu nhập trước khi khấu trừ các loại Bảo hiểm (BHXH, BHYT, BHTN) và Thuế TNCN)]]</f>
        <v>Từ 48 - 70 triệu VNĐ</v>
      </c>
      <c r="O202">
        <f>step3_validation[[#This Row],[Dependents]]</f>
        <v>1</v>
      </c>
      <c r="P202" t="str">
        <f>survey_responses[[#This Row],[Số người phụ thuộc (con nhỏ, cha mẹ già...) đủ điều kiện giảm trừ gia cảnh:]]</f>
        <v>1 người</v>
      </c>
      <c r="Q202">
        <f>step3_validation[[#This Row],[AI_ENF1]]</f>
        <v>7</v>
      </c>
      <c r="R202">
        <f t="shared" si="81"/>
        <v>0.66666666666666663</v>
      </c>
      <c r="S202">
        <f>survey_responses[[#This Row],[Tôi tin rằng với các quy định quản lý thuế hiện nay, hành vi gian lận hoặc trốn thuế sẽ dễ dàng bị phát hiện và xử lý nghiêm. - HUMAN-ENF1]]</f>
        <v>5</v>
      </c>
      <c r="T202">
        <f t="shared" si="82"/>
        <v>0.44444444444444442</v>
      </c>
      <c r="U202">
        <f>step3_validation[[#This Row],[AI_ENF2]]</f>
        <v>6</v>
      </c>
      <c r="V202">
        <f t="shared" si="83"/>
        <v>0.55555555555555558</v>
      </c>
      <c r="W202">
        <f>survey_responses[[#This Row],[Tôi tin rằng Nhà nước, cơ quan thuế có đủ khả năng và công nghệ để phát hiện, xử lý nghiêm các hành vi trốn thuế. - HUMAN-ENF2]]</f>
        <v>5</v>
      </c>
      <c r="X202">
        <f t="shared" si="84"/>
        <v>0.44444444444444442</v>
      </c>
      <c r="Y202" s="32">
        <f t="shared" si="85"/>
        <v>0.61111111111111116</v>
      </c>
      <c r="Z202" s="32">
        <f t="shared" si="86"/>
        <v>0.44444444444444442</v>
      </c>
      <c r="AA202">
        <f>step3_validation[[#This Row],[AI_FAC1]]</f>
        <v>8</v>
      </c>
      <c r="AB202">
        <f t="shared" si="87"/>
        <v>0.77777777777777779</v>
      </c>
      <c r="AC202">
        <f>survey_responses[[#This Row],[Các thủ tục khai báo thuế VÀ/HOẶC quy trình làm việc với cơ quan thuế đơn giản, tiện lợi, nhanh chóng hơn so với trước đây. - HUMAN-FAC1]]</f>
        <v>1</v>
      </c>
      <c r="AD202">
        <f t="shared" si="88"/>
        <v>0</v>
      </c>
      <c r="AE202">
        <f>step3_validation[[#This Row],[AI_FAC2]]</f>
        <v>7</v>
      </c>
      <c r="AF202">
        <f t="shared" si="89"/>
        <v>0.66666666666666663</v>
      </c>
      <c r="AG202">
        <f>survey_responses[[#This Row],[So với trước đây, tôi thấy cách tính thuế và các bậc thuế trong phương án mới đơn giản, dễ hiểu và dễ thực hiện hơn. - HUMAN-FAC2]]</f>
        <v>5</v>
      </c>
      <c r="AH202">
        <f t="shared" si="90"/>
        <v>0.44444444444444442</v>
      </c>
      <c r="AI202" s="32">
        <f t="shared" si="91"/>
        <v>0.72222222222222221</v>
      </c>
      <c r="AJ202" s="32">
        <f t="shared" si="92"/>
        <v>0.22222222222222221</v>
      </c>
      <c r="AK202">
        <f>step3_validation[[#This Row],[AI_TRU1]]</f>
        <v>8</v>
      </c>
      <c r="AL202">
        <f t="shared" si="93"/>
        <v>0.77777777777777779</v>
      </c>
      <c r="AM202">
        <f>survey_responses[[#This Row],[Tôi tin rằng Nhà nước, cơ quan thuế sẽ thực thi chính sách mới một cách khách quan, công tâm và đối xử bình đẳng với mọi người nộp thuế.  - HUMAN-TRU1]]</f>
        <v>4</v>
      </c>
      <c r="AN202">
        <f t="shared" si="94"/>
        <v>0.33333333333333331</v>
      </c>
      <c r="AO202">
        <f>step3_validation[[#This Row],[AI_TRU2]]</f>
        <v>9</v>
      </c>
      <c r="AP202">
        <f t="shared" si="95"/>
        <v>0.88888888888888884</v>
      </c>
      <c r="AQ202">
        <f>survey_responses[[#This Row],[Tôi thấy mức thuế tôi phải đóng theo phương án mới là công bằng (người thu nhập như tôi đóng mức này là hợp lý). - HUMAN-TRU2]]</f>
        <v>2</v>
      </c>
      <c r="AR202">
        <f t="shared" si="96"/>
        <v>0.1111111111111111</v>
      </c>
      <c r="AS202">
        <f>step3_validation[[#This Row],[AI_TRU3]]</f>
        <v>8</v>
      </c>
      <c r="AT202">
        <f t="shared" si="97"/>
        <v>0.77777777777777779</v>
      </c>
      <c r="AU202">
        <f>survey_responses[[#This Row],[Tôi tin tưởng số tiền thuế tôi đóng sẽ được Nhà nước sử dụng hiệu quả để cải thiện dịch vụ công (y tế, đường xá...). - HUMAN-TRU3]]</f>
        <v>2</v>
      </c>
      <c r="AV202">
        <f t="shared" si="98"/>
        <v>0.1111111111111111</v>
      </c>
      <c r="AW202">
        <f>step3_validation[[#This Row],[AI_TRU4]]</f>
        <v>7</v>
      </c>
      <c r="AX202">
        <f t="shared" si="99"/>
        <v>0.66666666666666663</v>
      </c>
      <c r="AY202">
        <f>survey_responses[[#This Row],[Tôi thấy Nhà nước đã giải thích rõ ràng, minh bạch về lý do và mục tiêu của việc sửa đổi thuế lần này. - HUMAN-TRU4]]</f>
        <v>5</v>
      </c>
      <c r="AZ202">
        <f t="shared" si="100"/>
        <v>0.44444444444444442</v>
      </c>
      <c r="BA202" s="32">
        <f t="shared" si="101"/>
        <v>0.77777777777777768</v>
      </c>
      <c r="BB202" s="32">
        <f t="shared" si="102"/>
        <v>0.25</v>
      </c>
      <c r="BC202" s="7">
        <f t="shared" si="103"/>
        <v>0.70370370370370372</v>
      </c>
      <c r="BD202" s="7">
        <f t="shared" si="104"/>
        <v>0.30555555555555552</v>
      </c>
      <c r="BE202">
        <f>step3_validation[[#This Row],[AI_OUT1]]</f>
        <v>8</v>
      </c>
      <c r="BF202">
        <f t="shared" si="105"/>
        <v>0.77777777777777779</v>
      </c>
      <c r="BG202">
        <f>survey_responses[[#This Row],[Sau khi xem xét các quyền lợi và nghĩa vụ, bạn có ủng hộ và tuân thủ chính sách mới hiện nay? - HUMAN-OUT1]]</f>
        <v>4</v>
      </c>
      <c r="BH202">
        <f t="shared" si="106"/>
        <v>0.33333333333333331</v>
      </c>
      <c r="BI202" s="32">
        <f t="shared" si="107"/>
        <v>4</v>
      </c>
    </row>
    <row r="203" spans="1:61" x14ac:dyDescent="0.45">
      <c r="A203" s="30">
        <f>step3_validation[[#This Row],[Persona_ID]]</f>
        <v>202</v>
      </c>
      <c r="B203" s="31">
        <f>step3_validation[[#This Row],[Used_Seed]]</f>
        <v>12546</v>
      </c>
      <c r="C203" t="str">
        <f>step3_validation[[#This Row],[Gender]]</f>
        <v>Nữ</v>
      </c>
      <c r="D203" t="str">
        <f>survey_responses[[#This Row],[Giới tính của bạn:]]</f>
        <v>Nữ</v>
      </c>
      <c r="E203" t="str">
        <f>step3_validation[[#This Row],[Age_Group]]</f>
        <v>40 - 49</v>
      </c>
      <c r="F203" t="str">
        <f>survey_responses[[#This Row],[Độ tuổi của bạn:]]</f>
        <v>40 - 49</v>
      </c>
      <c r="G203" t="str">
        <f>step3_validation[[#This Row],[Region]]</f>
        <v>Thành thị</v>
      </c>
      <c r="H203" t="str">
        <f>survey_responses[[#This Row],[Khu vực bạn đang sinh sống:]]</f>
        <v>Thành thị</v>
      </c>
      <c r="I203" t="str">
        <f>step3_validation[[#This Row],[Education]]</f>
        <v>Đại học</v>
      </c>
      <c r="J203" t="str">
        <f>survey_responses[[#This Row],[Trình độ học vấn cao nhất:]]</f>
        <v>Đại học</v>
      </c>
      <c r="K203" t="str">
        <f>step3_validation[[#This Row],[Employment]]</f>
        <v>Chính thức</v>
      </c>
      <c r="L203" t="str">
        <f>survey_responses[[#This Row],[Tình trạng việc làm chính:]]</f>
        <v>Khu vực chính thức (Có Hợp đồng lao động, đóng BHXH)</v>
      </c>
      <c r="M203">
        <f>step3_validation[[#This Row],[Income_Mil]]</f>
        <v>90.482808975195582</v>
      </c>
      <c r="N203" t="str">
        <f>survey_responses[[#This Row],[Thu nhập bình quân tháng theo Hợp đồng lao động của bạn là bao nhiêu? (Vui lòng điền tổng thu nhập trước khi khấu trừ các loại Bảo hiểm (BHXH, BHYT, BHTN) và Thuế TNCN)]]</f>
        <v>Từ 70 - 102 triệu VNĐ</v>
      </c>
      <c r="O203">
        <f>step3_validation[[#This Row],[Dependents]]</f>
        <v>4</v>
      </c>
      <c r="P203" t="str">
        <f>survey_responses[[#This Row],[Số người phụ thuộc (con nhỏ, cha mẹ già...) đủ điều kiện giảm trừ gia cảnh:]]</f>
        <v>4 người trở lên</v>
      </c>
      <c r="Q203">
        <f>step3_validation[[#This Row],[AI_ENF1]]</f>
        <v>8</v>
      </c>
      <c r="R203">
        <f t="shared" si="81"/>
        <v>0.77777777777777779</v>
      </c>
      <c r="S203">
        <f>survey_responses[[#This Row],[Tôi tin rằng với các quy định quản lý thuế hiện nay, hành vi gian lận hoặc trốn thuế sẽ dễ dàng bị phát hiện và xử lý nghiêm. - HUMAN-ENF1]]</f>
        <v>6</v>
      </c>
      <c r="T203">
        <f t="shared" si="82"/>
        <v>0.55555555555555558</v>
      </c>
      <c r="U203">
        <f>step3_validation[[#This Row],[AI_ENF2]]</f>
        <v>9</v>
      </c>
      <c r="V203">
        <f t="shared" si="83"/>
        <v>0.88888888888888884</v>
      </c>
      <c r="W203">
        <f>survey_responses[[#This Row],[Tôi tin rằng Nhà nước, cơ quan thuế có đủ khả năng và công nghệ để phát hiện, xử lý nghiêm các hành vi trốn thuế. - HUMAN-ENF2]]</f>
        <v>8</v>
      </c>
      <c r="X203">
        <f t="shared" si="84"/>
        <v>0.77777777777777779</v>
      </c>
      <c r="Y203" s="32">
        <f t="shared" si="85"/>
        <v>0.83333333333333326</v>
      </c>
      <c r="Z203" s="32">
        <f t="shared" si="86"/>
        <v>0.66666666666666674</v>
      </c>
      <c r="AA203">
        <f>step3_validation[[#This Row],[AI_FAC1]]</f>
        <v>8</v>
      </c>
      <c r="AB203">
        <f t="shared" si="87"/>
        <v>0.77777777777777779</v>
      </c>
      <c r="AC203">
        <f>survey_responses[[#This Row],[Các thủ tục khai báo thuế VÀ/HOẶC quy trình làm việc với cơ quan thuế đơn giản, tiện lợi, nhanh chóng hơn so với trước đây. - HUMAN-FAC1]]</f>
        <v>8</v>
      </c>
      <c r="AD203">
        <f t="shared" si="88"/>
        <v>0.77777777777777779</v>
      </c>
      <c r="AE203">
        <f>step3_validation[[#This Row],[AI_FAC2]]</f>
        <v>9</v>
      </c>
      <c r="AF203">
        <f t="shared" si="89"/>
        <v>0.88888888888888884</v>
      </c>
      <c r="AG203">
        <f>survey_responses[[#This Row],[So với trước đây, tôi thấy cách tính thuế và các bậc thuế trong phương án mới đơn giản, dễ hiểu và dễ thực hiện hơn. - HUMAN-FAC2]]</f>
        <v>9</v>
      </c>
      <c r="AH203">
        <f t="shared" si="90"/>
        <v>0.88888888888888884</v>
      </c>
      <c r="AI203" s="32">
        <f t="shared" si="91"/>
        <v>0.83333333333333326</v>
      </c>
      <c r="AJ203" s="32">
        <f t="shared" si="92"/>
        <v>0.83333333333333326</v>
      </c>
      <c r="AK203">
        <f>step3_validation[[#This Row],[AI_TRU1]]</f>
        <v>8</v>
      </c>
      <c r="AL203">
        <f t="shared" si="93"/>
        <v>0.77777777777777779</v>
      </c>
      <c r="AM203">
        <f>survey_responses[[#This Row],[Tôi tin rằng Nhà nước, cơ quan thuế sẽ thực thi chính sách mới một cách khách quan, công tâm và đối xử bình đẳng với mọi người nộp thuế.  - HUMAN-TRU1]]</f>
        <v>7</v>
      </c>
      <c r="AN203">
        <f t="shared" si="94"/>
        <v>0.66666666666666663</v>
      </c>
      <c r="AO203">
        <f>step3_validation[[#This Row],[AI_TRU2]]</f>
        <v>9</v>
      </c>
      <c r="AP203">
        <f t="shared" si="95"/>
        <v>0.88888888888888884</v>
      </c>
      <c r="AQ203">
        <f>survey_responses[[#This Row],[Tôi thấy mức thuế tôi phải đóng theo phương án mới là công bằng (người thu nhập như tôi đóng mức này là hợp lý). - HUMAN-TRU2]]</f>
        <v>7</v>
      </c>
      <c r="AR203">
        <f t="shared" si="96"/>
        <v>0.66666666666666663</v>
      </c>
      <c r="AS203">
        <f>step3_validation[[#This Row],[AI_TRU3]]</f>
        <v>8</v>
      </c>
      <c r="AT203">
        <f t="shared" si="97"/>
        <v>0.77777777777777779</v>
      </c>
      <c r="AU203">
        <f>survey_responses[[#This Row],[Tôi tin tưởng số tiền thuế tôi đóng sẽ được Nhà nước sử dụng hiệu quả để cải thiện dịch vụ công (y tế, đường xá...). - HUMAN-TRU3]]</f>
        <v>7</v>
      </c>
      <c r="AV203">
        <f t="shared" si="98"/>
        <v>0.66666666666666663</v>
      </c>
      <c r="AW203">
        <f>step3_validation[[#This Row],[AI_TRU4]]</f>
        <v>9</v>
      </c>
      <c r="AX203">
        <f t="shared" si="99"/>
        <v>0.88888888888888884</v>
      </c>
      <c r="AY203">
        <f>survey_responses[[#This Row],[Tôi thấy Nhà nước đã giải thích rõ ràng, minh bạch về lý do và mục tiêu của việc sửa đổi thuế lần này. - HUMAN-TRU4]]</f>
        <v>8</v>
      </c>
      <c r="AZ203">
        <f t="shared" si="100"/>
        <v>0.77777777777777779</v>
      </c>
      <c r="BA203" s="32">
        <f t="shared" si="101"/>
        <v>0.83333333333333326</v>
      </c>
      <c r="BB203" s="32">
        <f t="shared" si="102"/>
        <v>0.69444444444444442</v>
      </c>
      <c r="BC203" s="7">
        <f t="shared" si="103"/>
        <v>0.83333333333333337</v>
      </c>
      <c r="BD203" s="7">
        <f t="shared" si="104"/>
        <v>0.73148148148148151</v>
      </c>
      <c r="BE203">
        <f>step3_validation[[#This Row],[AI_OUT1]]</f>
        <v>10</v>
      </c>
      <c r="BF203">
        <f t="shared" si="105"/>
        <v>1</v>
      </c>
      <c r="BG203">
        <f>survey_responses[[#This Row],[Sau khi xem xét các quyền lợi và nghĩa vụ, bạn có ủng hộ và tuân thủ chính sách mới hiện nay? - HUMAN-OUT1]]</f>
        <v>8</v>
      </c>
      <c r="BH203">
        <f t="shared" si="106"/>
        <v>0.77777777777777779</v>
      </c>
      <c r="BI203" s="32">
        <f t="shared" si="107"/>
        <v>2</v>
      </c>
    </row>
    <row r="204" spans="1:61" x14ac:dyDescent="0.45">
      <c r="A204" s="30">
        <f>step3_validation[[#This Row],[Persona_ID]]</f>
        <v>203</v>
      </c>
      <c r="B204" s="31">
        <f>step3_validation[[#This Row],[Used_Seed]]</f>
        <v>12547</v>
      </c>
      <c r="C204" t="str">
        <f>step3_validation[[#This Row],[Gender]]</f>
        <v>Nữ</v>
      </c>
      <c r="D204" t="str">
        <f>survey_responses[[#This Row],[Giới tính của bạn:]]</f>
        <v>Nữ</v>
      </c>
      <c r="E204" t="str">
        <f>step3_validation[[#This Row],[Age_Group]]</f>
        <v>50 - 54</v>
      </c>
      <c r="F204" t="str">
        <f>survey_responses[[#This Row],[Độ tuổi của bạn:]]</f>
        <v>50 - 54</v>
      </c>
      <c r="G204" t="str">
        <f>step3_validation[[#This Row],[Region]]</f>
        <v>Thành thị</v>
      </c>
      <c r="H204" t="str">
        <f>survey_responses[[#This Row],[Khu vực bạn đang sinh sống:]]</f>
        <v>Thành thị</v>
      </c>
      <c r="I204" t="str">
        <f>step3_validation[[#This Row],[Education]]</f>
        <v>Sau Đại học</v>
      </c>
      <c r="J204" t="str">
        <f>survey_responses[[#This Row],[Trình độ học vấn cao nhất:]]</f>
        <v>Sau Đại học</v>
      </c>
      <c r="K204" t="str">
        <f>step3_validation[[#This Row],[Employment]]</f>
        <v>Chính thức</v>
      </c>
      <c r="L204" t="str">
        <f>survey_responses[[#This Row],[Tình trạng việc làm chính:]]</f>
        <v>Khu vực chính thức (Có Hợp đồng lao động, đóng BHXH)</v>
      </c>
      <c r="M204">
        <f>step3_validation[[#This Row],[Income_Mil]]</f>
        <v>133.67020035481261</v>
      </c>
      <c r="N204" t="str">
        <f>survey_responses[[#This Row],[Thu nhập bình quân tháng theo Hợp đồng lao động của bạn là bao nhiêu? (Vui lòng điền tổng thu nhập trước khi khấu trừ các loại Bảo hiểm (BHXH, BHYT, BHTN) và Thuế TNCN)]]</f>
        <v>Trên 102 triệu VNĐ</v>
      </c>
      <c r="O204">
        <f>step3_validation[[#This Row],[Dependents]]</f>
        <v>3</v>
      </c>
      <c r="P204" t="str">
        <f>survey_responses[[#This Row],[Số người phụ thuộc (con nhỏ, cha mẹ già...) đủ điều kiện giảm trừ gia cảnh:]]</f>
        <v>3 người</v>
      </c>
      <c r="Q204">
        <f>step3_validation[[#This Row],[AI_ENF1]]</f>
        <v>7</v>
      </c>
      <c r="R204">
        <f t="shared" si="81"/>
        <v>0.66666666666666663</v>
      </c>
      <c r="S204">
        <f>survey_responses[[#This Row],[Tôi tin rằng với các quy định quản lý thuế hiện nay, hành vi gian lận hoặc trốn thuế sẽ dễ dàng bị phát hiện và xử lý nghiêm. - HUMAN-ENF1]]</f>
        <v>5</v>
      </c>
      <c r="T204">
        <f t="shared" si="82"/>
        <v>0.44444444444444442</v>
      </c>
      <c r="U204">
        <f>step3_validation[[#This Row],[AI_ENF2]]</f>
        <v>8</v>
      </c>
      <c r="V204">
        <f t="shared" si="83"/>
        <v>0.77777777777777779</v>
      </c>
      <c r="W204">
        <f>survey_responses[[#This Row],[Tôi tin rằng Nhà nước, cơ quan thuế có đủ khả năng và công nghệ để phát hiện, xử lý nghiêm các hành vi trốn thuế. - HUMAN-ENF2]]</f>
        <v>5</v>
      </c>
      <c r="X204">
        <f t="shared" si="84"/>
        <v>0.44444444444444442</v>
      </c>
      <c r="Y204" s="32">
        <f t="shared" si="85"/>
        <v>0.72222222222222221</v>
      </c>
      <c r="Z204" s="32">
        <f t="shared" si="86"/>
        <v>0.44444444444444442</v>
      </c>
      <c r="AA204">
        <f>step3_validation[[#This Row],[AI_FAC1]]</f>
        <v>9</v>
      </c>
      <c r="AB204">
        <f t="shared" si="87"/>
        <v>0.88888888888888884</v>
      </c>
      <c r="AC204">
        <f>survey_responses[[#This Row],[Các thủ tục khai báo thuế VÀ/HOẶC quy trình làm việc với cơ quan thuế đơn giản, tiện lợi, nhanh chóng hơn so với trước đây. - HUMAN-FAC1]]</f>
        <v>5</v>
      </c>
      <c r="AD204">
        <f t="shared" si="88"/>
        <v>0.44444444444444442</v>
      </c>
      <c r="AE204">
        <f>step3_validation[[#This Row],[AI_FAC2]]</f>
        <v>8</v>
      </c>
      <c r="AF204">
        <f t="shared" si="89"/>
        <v>0.77777777777777779</v>
      </c>
      <c r="AG204">
        <f>survey_responses[[#This Row],[So với trước đây, tôi thấy cách tính thuế và các bậc thuế trong phương án mới đơn giản, dễ hiểu và dễ thực hiện hơn. - HUMAN-FAC2]]</f>
        <v>5</v>
      </c>
      <c r="AH204">
        <f t="shared" si="90"/>
        <v>0.44444444444444442</v>
      </c>
      <c r="AI204" s="32">
        <f t="shared" si="91"/>
        <v>0.83333333333333326</v>
      </c>
      <c r="AJ204" s="32">
        <f t="shared" si="92"/>
        <v>0.44444444444444442</v>
      </c>
      <c r="AK204">
        <f>step3_validation[[#This Row],[AI_TRU1]]</f>
        <v>7</v>
      </c>
      <c r="AL204">
        <f t="shared" si="93"/>
        <v>0.66666666666666663</v>
      </c>
      <c r="AM204">
        <f>survey_responses[[#This Row],[Tôi tin rằng Nhà nước, cơ quan thuế sẽ thực thi chính sách mới một cách khách quan, công tâm và đối xử bình đẳng với mọi người nộp thuế.  - HUMAN-TRU1]]</f>
        <v>5</v>
      </c>
      <c r="AN204">
        <f t="shared" si="94"/>
        <v>0.44444444444444442</v>
      </c>
      <c r="AO204">
        <f>step3_validation[[#This Row],[AI_TRU2]]</f>
        <v>9</v>
      </c>
      <c r="AP204">
        <f t="shared" si="95"/>
        <v>0.88888888888888884</v>
      </c>
      <c r="AQ204">
        <f>survey_responses[[#This Row],[Tôi thấy mức thuế tôi phải đóng theo phương án mới là công bằng (người thu nhập như tôi đóng mức này là hợp lý). - HUMAN-TRU2]]</f>
        <v>5</v>
      </c>
      <c r="AR204">
        <f t="shared" si="96"/>
        <v>0.44444444444444442</v>
      </c>
      <c r="AS204">
        <f>step3_validation[[#This Row],[AI_TRU3]]</f>
        <v>7</v>
      </c>
      <c r="AT204">
        <f t="shared" si="97"/>
        <v>0.66666666666666663</v>
      </c>
      <c r="AU204">
        <f>survey_responses[[#This Row],[Tôi tin tưởng số tiền thuế tôi đóng sẽ được Nhà nước sử dụng hiệu quả để cải thiện dịch vụ công (y tế, đường xá...). - HUMAN-TRU3]]</f>
        <v>5</v>
      </c>
      <c r="AV204">
        <f t="shared" si="98"/>
        <v>0.44444444444444442</v>
      </c>
      <c r="AW204">
        <f>step3_validation[[#This Row],[AI_TRU4]]</f>
        <v>8</v>
      </c>
      <c r="AX204">
        <f t="shared" si="99"/>
        <v>0.77777777777777779</v>
      </c>
      <c r="AY204">
        <f>survey_responses[[#This Row],[Tôi thấy Nhà nước đã giải thích rõ ràng, minh bạch về lý do và mục tiêu của việc sửa đổi thuế lần này. - HUMAN-TRU4]]</f>
        <v>5</v>
      </c>
      <c r="AZ204">
        <f t="shared" si="100"/>
        <v>0.44444444444444442</v>
      </c>
      <c r="BA204" s="32">
        <f t="shared" si="101"/>
        <v>0.74999999999999989</v>
      </c>
      <c r="BB204" s="32">
        <f t="shared" si="102"/>
        <v>0.44444444444444442</v>
      </c>
      <c r="BC204" s="7">
        <f t="shared" si="103"/>
        <v>0.76851851851851849</v>
      </c>
      <c r="BD204" s="7">
        <f t="shared" si="104"/>
        <v>0.44444444444444442</v>
      </c>
      <c r="BE204">
        <f>step3_validation[[#This Row],[AI_OUT1]]</f>
        <v>9</v>
      </c>
      <c r="BF204">
        <f t="shared" si="105"/>
        <v>0.88888888888888884</v>
      </c>
      <c r="BG204">
        <f>survey_responses[[#This Row],[Sau khi xem xét các quyền lợi và nghĩa vụ, bạn có ủng hộ và tuân thủ chính sách mới hiện nay? - HUMAN-OUT1]]</f>
        <v>5</v>
      </c>
      <c r="BH204">
        <f t="shared" si="106"/>
        <v>0.44444444444444442</v>
      </c>
      <c r="BI204" s="32">
        <f t="shared" si="107"/>
        <v>4</v>
      </c>
    </row>
    <row r="205" spans="1:61" x14ac:dyDescent="0.45">
      <c r="A205" s="30">
        <f>step3_validation[[#This Row],[Persona_ID]]</f>
        <v>204</v>
      </c>
      <c r="B205" s="31">
        <f>step3_validation[[#This Row],[Used_Seed]]</f>
        <v>12548</v>
      </c>
      <c r="C205" t="str">
        <f>step3_validation[[#This Row],[Gender]]</f>
        <v>Nữ</v>
      </c>
      <c r="D205" t="str">
        <f>survey_responses[[#This Row],[Giới tính của bạn:]]</f>
        <v>Nữ</v>
      </c>
      <c r="E205" t="str">
        <f>step3_validation[[#This Row],[Age_Group]]</f>
        <v>30 - 39</v>
      </c>
      <c r="F205" t="str">
        <f>survey_responses[[#This Row],[Độ tuổi của bạn:]]</f>
        <v>30 - 39</v>
      </c>
      <c r="G205" t="str">
        <f>step3_validation[[#This Row],[Region]]</f>
        <v>Thành thị</v>
      </c>
      <c r="H205" t="str">
        <f>survey_responses[[#This Row],[Khu vực bạn đang sinh sống:]]</f>
        <v>Thành thị</v>
      </c>
      <c r="I205" t="str">
        <f>step3_validation[[#This Row],[Education]]</f>
        <v>Đại học</v>
      </c>
      <c r="J205" t="str">
        <f>survey_responses[[#This Row],[Trình độ học vấn cao nhất:]]</f>
        <v>Đại học</v>
      </c>
      <c r="K205" t="str">
        <f>step3_validation[[#This Row],[Employment]]</f>
        <v>Chính thức</v>
      </c>
      <c r="L205" t="str">
        <f>survey_responses[[#This Row],[Tình trạng việc làm chính:]]</f>
        <v>Khu vực chính thức (Có Hợp đồng lao động, đóng BHXH)</v>
      </c>
      <c r="M205">
        <f>step3_validation[[#This Row],[Income_Mil]]</f>
        <v>34.967298569714799</v>
      </c>
      <c r="N205" t="str">
        <f>survey_responses[[#This Row],[Thu nhập bình quân tháng theo Hợp đồng lao động của bạn là bao nhiêu? (Vui lòng điền tổng thu nhập trước khi khấu trừ các loại Bảo hiểm (BHXH, BHYT, BHTN) và Thuế TNCN)]]</f>
        <v>Từ 32 - 48 triệu VNĐ</v>
      </c>
      <c r="O205">
        <f>step3_validation[[#This Row],[Dependents]]</f>
        <v>1</v>
      </c>
      <c r="P205" t="str">
        <f>survey_responses[[#This Row],[Số người phụ thuộc (con nhỏ, cha mẹ già...) đủ điều kiện giảm trừ gia cảnh:]]</f>
        <v>1 người</v>
      </c>
      <c r="Q205">
        <f>step3_validation[[#This Row],[AI_ENF1]]</f>
        <v>7</v>
      </c>
      <c r="R205">
        <f t="shared" si="81"/>
        <v>0.66666666666666663</v>
      </c>
      <c r="S205">
        <f>survey_responses[[#This Row],[Tôi tin rằng với các quy định quản lý thuế hiện nay, hành vi gian lận hoặc trốn thuế sẽ dễ dàng bị phát hiện và xử lý nghiêm. - HUMAN-ENF1]]</f>
        <v>7</v>
      </c>
      <c r="T205">
        <f t="shared" si="82"/>
        <v>0.66666666666666663</v>
      </c>
      <c r="U205">
        <f>step3_validation[[#This Row],[AI_ENF2]]</f>
        <v>7</v>
      </c>
      <c r="V205">
        <f t="shared" si="83"/>
        <v>0.66666666666666663</v>
      </c>
      <c r="W205">
        <f>survey_responses[[#This Row],[Tôi tin rằng Nhà nước, cơ quan thuế có đủ khả năng và công nghệ để phát hiện, xử lý nghiêm các hành vi trốn thuế. - HUMAN-ENF2]]</f>
        <v>7</v>
      </c>
      <c r="X205">
        <f t="shared" si="84"/>
        <v>0.66666666666666663</v>
      </c>
      <c r="Y205" s="32">
        <f t="shared" si="85"/>
        <v>0.66666666666666663</v>
      </c>
      <c r="Z205" s="32">
        <f t="shared" si="86"/>
        <v>0.66666666666666663</v>
      </c>
      <c r="AA205">
        <f>step3_validation[[#This Row],[AI_FAC1]]</f>
        <v>6</v>
      </c>
      <c r="AB205">
        <f t="shared" si="87"/>
        <v>0.55555555555555558</v>
      </c>
      <c r="AC205">
        <f>survey_responses[[#This Row],[Các thủ tục khai báo thuế VÀ/HOẶC quy trình làm việc với cơ quan thuế đơn giản, tiện lợi, nhanh chóng hơn so với trước đây. - HUMAN-FAC1]]</f>
        <v>7</v>
      </c>
      <c r="AD205">
        <f t="shared" si="88"/>
        <v>0.66666666666666663</v>
      </c>
      <c r="AE205">
        <f>step3_validation[[#This Row],[AI_FAC2]]</f>
        <v>9</v>
      </c>
      <c r="AF205">
        <f t="shared" si="89"/>
        <v>0.88888888888888884</v>
      </c>
      <c r="AG205">
        <f>survey_responses[[#This Row],[So với trước đây, tôi thấy cách tính thuế và các bậc thuế trong phương án mới đơn giản, dễ hiểu và dễ thực hiện hơn. - HUMAN-FAC2]]</f>
        <v>8</v>
      </c>
      <c r="AH205">
        <f t="shared" si="90"/>
        <v>0.77777777777777779</v>
      </c>
      <c r="AI205" s="32">
        <f t="shared" si="91"/>
        <v>0.72222222222222221</v>
      </c>
      <c r="AJ205" s="32">
        <f t="shared" si="92"/>
        <v>0.72222222222222221</v>
      </c>
      <c r="AK205">
        <f>step3_validation[[#This Row],[AI_TRU1]]</f>
        <v>8</v>
      </c>
      <c r="AL205">
        <f t="shared" si="93"/>
        <v>0.77777777777777779</v>
      </c>
      <c r="AM205">
        <f>survey_responses[[#This Row],[Tôi tin rằng Nhà nước, cơ quan thuế sẽ thực thi chính sách mới một cách khách quan, công tâm và đối xử bình đẳng với mọi người nộp thuế.  - HUMAN-TRU1]]</f>
        <v>7</v>
      </c>
      <c r="AN205">
        <f t="shared" si="94"/>
        <v>0.66666666666666663</v>
      </c>
      <c r="AO205">
        <f>step3_validation[[#This Row],[AI_TRU2]]</f>
        <v>9</v>
      </c>
      <c r="AP205">
        <f t="shared" si="95"/>
        <v>0.88888888888888884</v>
      </c>
      <c r="AQ205">
        <f>survey_responses[[#This Row],[Tôi thấy mức thuế tôi phải đóng theo phương án mới là công bằng (người thu nhập như tôi đóng mức này là hợp lý). - HUMAN-TRU2]]</f>
        <v>7</v>
      </c>
      <c r="AR205">
        <f t="shared" si="96"/>
        <v>0.66666666666666663</v>
      </c>
      <c r="AS205">
        <f>step3_validation[[#This Row],[AI_TRU3]]</f>
        <v>7</v>
      </c>
      <c r="AT205">
        <f t="shared" si="97"/>
        <v>0.66666666666666663</v>
      </c>
      <c r="AU205">
        <f>survey_responses[[#This Row],[Tôi tin tưởng số tiền thuế tôi đóng sẽ được Nhà nước sử dụng hiệu quả để cải thiện dịch vụ công (y tế, đường xá...). - HUMAN-TRU3]]</f>
        <v>7</v>
      </c>
      <c r="AV205">
        <f t="shared" si="98"/>
        <v>0.66666666666666663</v>
      </c>
      <c r="AW205">
        <f>step3_validation[[#This Row],[AI_TRU4]]</f>
        <v>6</v>
      </c>
      <c r="AX205">
        <f t="shared" si="99"/>
        <v>0.55555555555555558</v>
      </c>
      <c r="AY205">
        <f>survey_responses[[#This Row],[Tôi thấy Nhà nước đã giải thích rõ ràng, minh bạch về lý do và mục tiêu của việc sửa đổi thuế lần này. - HUMAN-TRU4]]</f>
        <v>7</v>
      </c>
      <c r="AZ205">
        <f t="shared" si="100"/>
        <v>0.66666666666666663</v>
      </c>
      <c r="BA205" s="32">
        <f t="shared" si="101"/>
        <v>0.7222222222222221</v>
      </c>
      <c r="BB205" s="32">
        <f t="shared" si="102"/>
        <v>0.66666666666666663</v>
      </c>
      <c r="BC205" s="7">
        <f t="shared" si="103"/>
        <v>0.70370370370370361</v>
      </c>
      <c r="BD205" s="7">
        <f t="shared" si="104"/>
        <v>0.68518518518518512</v>
      </c>
      <c r="BE205">
        <f>step3_validation[[#This Row],[AI_OUT1]]</f>
        <v>9</v>
      </c>
      <c r="BF205">
        <f t="shared" si="105"/>
        <v>0.88888888888888884</v>
      </c>
      <c r="BG205">
        <f>survey_responses[[#This Row],[Sau khi xem xét các quyền lợi và nghĩa vụ, bạn có ủng hộ và tuân thủ chính sách mới hiện nay? - HUMAN-OUT1]]</f>
        <v>7</v>
      </c>
      <c r="BH205">
        <f t="shared" si="106"/>
        <v>0.66666666666666663</v>
      </c>
      <c r="BI205" s="32">
        <f t="shared" si="107"/>
        <v>2</v>
      </c>
    </row>
    <row r="206" spans="1:61" x14ac:dyDescent="0.45">
      <c r="A206" s="30">
        <f>step3_validation[[#This Row],[Persona_ID]]</f>
        <v>205</v>
      </c>
      <c r="B206" s="31">
        <f>step3_validation[[#This Row],[Used_Seed]]</f>
        <v>12549</v>
      </c>
      <c r="C206" t="str">
        <f>step3_validation[[#This Row],[Gender]]</f>
        <v>Nữ</v>
      </c>
      <c r="D206" t="str">
        <f>survey_responses[[#This Row],[Giới tính của bạn:]]</f>
        <v>Nữ</v>
      </c>
      <c r="E206" t="str">
        <f>step3_validation[[#This Row],[Age_Group]]</f>
        <v>30 - 39</v>
      </c>
      <c r="F206" t="str">
        <f>survey_responses[[#This Row],[Độ tuổi của bạn:]]</f>
        <v>30 - 39</v>
      </c>
      <c r="G206" t="str">
        <f>step3_validation[[#This Row],[Region]]</f>
        <v>Thành thị</v>
      </c>
      <c r="H206" t="str">
        <f>survey_responses[[#This Row],[Khu vực bạn đang sinh sống:]]</f>
        <v>Thành thị</v>
      </c>
      <c r="I206" t="str">
        <f>step3_validation[[#This Row],[Education]]</f>
        <v>Sau Đại học</v>
      </c>
      <c r="J206" t="str">
        <f>survey_responses[[#This Row],[Trình độ học vấn cao nhất:]]</f>
        <v>Sau Đại học</v>
      </c>
      <c r="K206" t="str">
        <f>step3_validation[[#This Row],[Employment]]</f>
        <v>Chính thức</v>
      </c>
      <c r="L206" t="str">
        <f>survey_responses[[#This Row],[Tình trạng việc làm chính:]]</f>
        <v>Khu vực chính thức (Có Hợp đồng lao động, đóng BHXH)</v>
      </c>
      <c r="M206">
        <f>step3_validation[[#This Row],[Income_Mil]]</f>
        <v>26.018393885838524</v>
      </c>
      <c r="N206" t="str">
        <f>survey_responses[[#This Row],[Thu nhập bình quân tháng theo Hợp đồng lao động của bạn là bao nhiêu? (Vui lòng điền tổng thu nhập trước khi khấu trừ các loại Bảo hiểm (BHXH, BHYT, BHTN) và Thuế TNCN)]]</f>
        <v>Từ 23 - 32 triệu VNĐ</v>
      </c>
      <c r="O206">
        <f>step3_validation[[#This Row],[Dependents]]</f>
        <v>0</v>
      </c>
      <c r="P206" t="str">
        <f>survey_responses[[#This Row],[Số người phụ thuộc (con nhỏ, cha mẹ già...) đủ điều kiện giảm trừ gia cảnh:]]</f>
        <v>0 người</v>
      </c>
      <c r="Q206">
        <f>step3_validation[[#This Row],[AI_ENF1]]</f>
        <v>9</v>
      </c>
      <c r="R206">
        <f t="shared" si="81"/>
        <v>0.88888888888888884</v>
      </c>
      <c r="S206">
        <f>survey_responses[[#This Row],[Tôi tin rằng với các quy định quản lý thuế hiện nay, hành vi gian lận hoặc trốn thuế sẽ dễ dàng bị phát hiện và xử lý nghiêm. - HUMAN-ENF1]]</f>
        <v>3</v>
      </c>
      <c r="T206">
        <f t="shared" si="82"/>
        <v>0.22222222222222221</v>
      </c>
      <c r="U206">
        <f>step3_validation[[#This Row],[AI_ENF2]]</f>
        <v>8</v>
      </c>
      <c r="V206">
        <f t="shared" si="83"/>
        <v>0.77777777777777779</v>
      </c>
      <c r="W206">
        <f>survey_responses[[#This Row],[Tôi tin rằng Nhà nước, cơ quan thuế có đủ khả năng và công nghệ để phát hiện, xử lý nghiêm các hành vi trốn thuế. - HUMAN-ENF2]]</f>
        <v>1</v>
      </c>
      <c r="X206">
        <f t="shared" si="84"/>
        <v>0</v>
      </c>
      <c r="Y206" s="32">
        <f t="shared" si="85"/>
        <v>0.83333333333333326</v>
      </c>
      <c r="Z206" s="32">
        <f t="shared" si="86"/>
        <v>0.1111111111111111</v>
      </c>
      <c r="AA206">
        <f>step3_validation[[#This Row],[AI_FAC1]]</f>
        <v>9</v>
      </c>
      <c r="AB206">
        <f t="shared" si="87"/>
        <v>0.88888888888888884</v>
      </c>
      <c r="AC206">
        <f>survey_responses[[#This Row],[Các thủ tục khai báo thuế VÀ/HOẶC quy trình làm việc với cơ quan thuế đơn giản, tiện lợi, nhanh chóng hơn so với trước đây. - HUMAN-FAC1]]</f>
        <v>1</v>
      </c>
      <c r="AD206">
        <f t="shared" si="88"/>
        <v>0</v>
      </c>
      <c r="AE206">
        <f>step3_validation[[#This Row],[AI_FAC2]]</f>
        <v>8</v>
      </c>
      <c r="AF206">
        <f t="shared" si="89"/>
        <v>0.77777777777777779</v>
      </c>
      <c r="AG206">
        <f>survey_responses[[#This Row],[So với trước đây, tôi thấy cách tính thuế và các bậc thuế trong phương án mới đơn giản, dễ hiểu và dễ thực hiện hơn. - HUMAN-FAC2]]</f>
        <v>5</v>
      </c>
      <c r="AH206">
        <f t="shared" si="90"/>
        <v>0.44444444444444442</v>
      </c>
      <c r="AI206" s="32">
        <f t="shared" si="91"/>
        <v>0.83333333333333326</v>
      </c>
      <c r="AJ206" s="32">
        <f t="shared" si="92"/>
        <v>0.22222222222222221</v>
      </c>
      <c r="AK206">
        <f>step3_validation[[#This Row],[AI_TRU1]]</f>
        <v>9</v>
      </c>
      <c r="AL206">
        <f t="shared" si="93"/>
        <v>0.88888888888888884</v>
      </c>
      <c r="AM206">
        <f>survey_responses[[#This Row],[Tôi tin rằng Nhà nước, cơ quan thuế sẽ thực thi chính sách mới một cách khách quan, công tâm và đối xử bình đẳng với mọi người nộp thuế.  - HUMAN-TRU1]]</f>
        <v>1</v>
      </c>
      <c r="AN206">
        <f t="shared" si="94"/>
        <v>0</v>
      </c>
      <c r="AO206">
        <f>step3_validation[[#This Row],[AI_TRU2]]</f>
        <v>8</v>
      </c>
      <c r="AP206">
        <f t="shared" si="95"/>
        <v>0.77777777777777779</v>
      </c>
      <c r="AQ206">
        <f>survey_responses[[#This Row],[Tôi thấy mức thuế tôi phải đóng theo phương án mới là công bằng (người thu nhập như tôi đóng mức này là hợp lý). - HUMAN-TRU2]]</f>
        <v>1</v>
      </c>
      <c r="AR206">
        <f t="shared" si="96"/>
        <v>0</v>
      </c>
      <c r="AS206">
        <f>step3_validation[[#This Row],[AI_TRU3]]</f>
        <v>9</v>
      </c>
      <c r="AT206">
        <f t="shared" si="97"/>
        <v>0.88888888888888884</v>
      </c>
      <c r="AU206">
        <f>survey_responses[[#This Row],[Tôi tin tưởng số tiền thuế tôi đóng sẽ được Nhà nước sử dụng hiệu quả để cải thiện dịch vụ công (y tế, đường xá...). - HUMAN-TRU3]]</f>
        <v>1</v>
      </c>
      <c r="AV206">
        <f t="shared" si="98"/>
        <v>0</v>
      </c>
      <c r="AW206">
        <f>step3_validation[[#This Row],[AI_TRU4]]</f>
        <v>8</v>
      </c>
      <c r="AX206">
        <f t="shared" si="99"/>
        <v>0.77777777777777779</v>
      </c>
      <c r="AY206">
        <f>survey_responses[[#This Row],[Tôi thấy Nhà nước đã giải thích rõ ràng, minh bạch về lý do và mục tiêu của việc sửa đổi thuế lần này. - HUMAN-TRU4]]</f>
        <v>4</v>
      </c>
      <c r="AZ206">
        <f t="shared" si="100"/>
        <v>0.33333333333333331</v>
      </c>
      <c r="BA206" s="32">
        <f t="shared" si="101"/>
        <v>0.83333333333333326</v>
      </c>
      <c r="BB206" s="32">
        <f t="shared" si="102"/>
        <v>8.3333333333333329E-2</v>
      </c>
      <c r="BC206" s="7">
        <f t="shared" si="103"/>
        <v>0.83333333333333337</v>
      </c>
      <c r="BD206" s="7">
        <f t="shared" si="104"/>
        <v>0.13888888888888887</v>
      </c>
      <c r="BE206">
        <f>step3_validation[[#This Row],[AI_OUT1]]</f>
        <v>9</v>
      </c>
      <c r="BF206">
        <f t="shared" si="105"/>
        <v>0.88888888888888884</v>
      </c>
      <c r="BG206">
        <f>survey_responses[[#This Row],[Sau khi xem xét các quyền lợi và nghĩa vụ, bạn có ủng hộ và tuân thủ chính sách mới hiện nay? - HUMAN-OUT1]]</f>
        <v>5</v>
      </c>
      <c r="BH206">
        <f t="shared" si="106"/>
        <v>0.44444444444444442</v>
      </c>
      <c r="BI206" s="32">
        <f t="shared" si="107"/>
        <v>4</v>
      </c>
    </row>
    <row r="207" spans="1:61" x14ac:dyDescent="0.45">
      <c r="A207" s="30">
        <f>step3_validation[[#This Row],[Persona_ID]]</f>
        <v>206</v>
      </c>
      <c r="B207" s="31">
        <f>step3_validation[[#This Row],[Used_Seed]]</f>
        <v>12550</v>
      </c>
      <c r="C207" t="str">
        <f>step3_validation[[#This Row],[Gender]]</f>
        <v>Nữ</v>
      </c>
      <c r="D207" t="str">
        <f>survey_responses[[#This Row],[Giới tính của bạn:]]</f>
        <v>Nữ</v>
      </c>
      <c r="E207" t="str">
        <f>step3_validation[[#This Row],[Age_Group]]</f>
        <v>40 - 49</v>
      </c>
      <c r="F207" t="str">
        <f>survey_responses[[#This Row],[Độ tuổi của bạn:]]</f>
        <v>40 - 49</v>
      </c>
      <c r="G207" t="str">
        <f>step3_validation[[#This Row],[Region]]</f>
        <v>Thành thị</v>
      </c>
      <c r="H207" t="str">
        <f>survey_responses[[#This Row],[Khu vực bạn đang sinh sống:]]</f>
        <v>Thành thị</v>
      </c>
      <c r="I207" t="str">
        <f>step3_validation[[#This Row],[Education]]</f>
        <v>Đại học</v>
      </c>
      <c r="J207" t="str">
        <f>survey_responses[[#This Row],[Trình độ học vấn cao nhất:]]</f>
        <v>Đại học</v>
      </c>
      <c r="K207" t="str">
        <f>step3_validation[[#This Row],[Employment]]</f>
        <v>Chính thức</v>
      </c>
      <c r="L207" t="str">
        <f>survey_responses[[#This Row],[Tình trạng việc làm chính:]]</f>
        <v>Khu vực chính thức (Có Hợp đồng lao động, đóng BHXH)</v>
      </c>
      <c r="M207">
        <f>step3_validation[[#This Row],[Income_Mil]]</f>
        <v>64.169426221995863</v>
      </c>
      <c r="N207" t="str">
        <f>survey_responses[[#This Row],[Thu nhập bình quân tháng theo Hợp đồng lao động của bạn là bao nhiêu? (Vui lòng điền tổng thu nhập trước khi khấu trừ các loại Bảo hiểm (BHXH, BHYT, BHTN) và Thuế TNCN)]]</f>
        <v>Từ 48 - 70 triệu VNĐ</v>
      </c>
      <c r="O207">
        <f>step3_validation[[#This Row],[Dependents]]</f>
        <v>1</v>
      </c>
      <c r="P207" t="str">
        <f>survey_responses[[#This Row],[Số người phụ thuộc (con nhỏ, cha mẹ già...) đủ điều kiện giảm trừ gia cảnh:]]</f>
        <v>1 người</v>
      </c>
      <c r="Q207">
        <f>step3_validation[[#This Row],[AI_ENF1]]</f>
        <v>8</v>
      </c>
      <c r="R207">
        <f t="shared" si="81"/>
        <v>0.77777777777777779</v>
      </c>
      <c r="S207">
        <f>survey_responses[[#This Row],[Tôi tin rằng với các quy định quản lý thuế hiện nay, hành vi gian lận hoặc trốn thuế sẽ dễ dàng bị phát hiện và xử lý nghiêm. - HUMAN-ENF1]]</f>
        <v>8</v>
      </c>
      <c r="T207">
        <f t="shared" si="82"/>
        <v>0.77777777777777779</v>
      </c>
      <c r="U207">
        <f>step3_validation[[#This Row],[AI_ENF2]]</f>
        <v>7</v>
      </c>
      <c r="V207">
        <f t="shared" si="83"/>
        <v>0.66666666666666663</v>
      </c>
      <c r="W207">
        <f>survey_responses[[#This Row],[Tôi tin rằng Nhà nước, cơ quan thuế có đủ khả năng và công nghệ để phát hiện, xử lý nghiêm các hành vi trốn thuế. - HUMAN-ENF2]]</f>
        <v>8</v>
      </c>
      <c r="X207">
        <f t="shared" si="84"/>
        <v>0.77777777777777779</v>
      </c>
      <c r="Y207" s="32">
        <f t="shared" si="85"/>
        <v>0.72222222222222221</v>
      </c>
      <c r="Z207" s="32">
        <f t="shared" si="86"/>
        <v>0.77777777777777779</v>
      </c>
      <c r="AA207">
        <f>step3_validation[[#This Row],[AI_FAC1]]</f>
        <v>9</v>
      </c>
      <c r="AB207">
        <f t="shared" si="87"/>
        <v>0.88888888888888884</v>
      </c>
      <c r="AC207">
        <f>survey_responses[[#This Row],[Các thủ tục khai báo thuế VÀ/HOẶC quy trình làm việc với cơ quan thuế đơn giản, tiện lợi, nhanh chóng hơn so với trước đây. - HUMAN-FAC1]]</f>
        <v>5</v>
      </c>
      <c r="AD207">
        <f t="shared" si="88"/>
        <v>0.44444444444444442</v>
      </c>
      <c r="AE207">
        <f>step3_validation[[#This Row],[AI_FAC2]]</f>
        <v>8</v>
      </c>
      <c r="AF207">
        <f t="shared" si="89"/>
        <v>0.77777777777777779</v>
      </c>
      <c r="AG207">
        <f>survey_responses[[#This Row],[So với trước đây, tôi thấy cách tính thuế và các bậc thuế trong phương án mới đơn giản, dễ hiểu và dễ thực hiện hơn. - HUMAN-FAC2]]</f>
        <v>7</v>
      </c>
      <c r="AH207">
        <f t="shared" si="90"/>
        <v>0.66666666666666663</v>
      </c>
      <c r="AI207" s="32">
        <f t="shared" si="91"/>
        <v>0.83333333333333326</v>
      </c>
      <c r="AJ207" s="32">
        <f t="shared" si="92"/>
        <v>0.55555555555555558</v>
      </c>
      <c r="AK207">
        <f>step3_validation[[#This Row],[AI_TRU1]]</f>
        <v>7</v>
      </c>
      <c r="AL207">
        <f t="shared" si="93"/>
        <v>0.66666666666666663</v>
      </c>
      <c r="AM207">
        <f>survey_responses[[#This Row],[Tôi tin rằng Nhà nước, cơ quan thuế sẽ thực thi chính sách mới một cách khách quan, công tâm và đối xử bình đẳng với mọi người nộp thuế.  - HUMAN-TRU1]]</f>
        <v>7</v>
      </c>
      <c r="AN207">
        <f t="shared" si="94"/>
        <v>0.66666666666666663</v>
      </c>
      <c r="AO207">
        <f>step3_validation[[#This Row],[AI_TRU2]]</f>
        <v>9</v>
      </c>
      <c r="AP207">
        <f t="shared" si="95"/>
        <v>0.88888888888888884</v>
      </c>
      <c r="AQ207">
        <f>survey_responses[[#This Row],[Tôi thấy mức thuế tôi phải đóng theo phương án mới là công bằng (người thu nhập như tôi đóng mức này là hợp lý). - HUMAN-TRU2]]</f>
        <v>6</v>
      </c>
      <c r="AR207">
        <f t="shared" si="96"/>
        <v>0.55555555555555558</v>
      </c>
      <c r="AS207">
        <f>step3_validation[[#This Row],[AI_TRU3]]</f>
        <v>8</v>
      </c>
      <c r="AT207">
        <f t="shared" si="97"/>
        <v>0.77777777777777779</v>
      </c>
      <c r="AU207">
        <f>survey_responses[[#This Row],[Tôi tin tưởng số tiền thuế tôi đóng sẽ được Nhà nước sử dụng hiệu quả để cải thiện dịch vụ công (y tế, đường xá...). - HUMAN-TRU3]]</f>
        <v>6</v>
      </c>
      <c r="AV207">
        <f t="shared" si="98"/>
        <v>0.55555555555555558</v>
      </c>
      <c r="AW207">
        <f>step3_validation[[#This Row],[AI_TRU4]]</f>
        <v>7</v>
      </c>
      <c r="AX207">
        <f t="shared" si="99"/>
        <v>0.66666666666666663</v>
      </c>
      <c r="AY207">
        <f>survey_responses[[#This Row],[Tôi thấy Nhà nước đã giải thích rõ ràng, minh bạch về lý do và mục tiêu của việc sửa đổi thuế lần này. - HUMAN-TRU4]]</f>
        <v>7</v>
      </c>
      <c r="AZ207">
        <f t="shared" si="100"/>
        <v>0.66666666666666663</v>
      </c>
      <c r="BA207" s="32">
        <f t="shared" si="101"/>
        <v>0.74999999999999989</v>
      </c>
      <c r="BB207" s="32">
        <f t="shared" si="102"/>
        <v>0.61111111111111116</v>
      </c>
      <c r="BC207" s="7">
        <f t="shared" si="103"/>
        <v>0.76851851851851849</v>
      </c>
      <c r="BD207" s="7">
        <f t="shared" si="104"/>
        <v>0.64814814814814825</v>
      </c>
      <c r="BE207">
        <f>step3_validation[[#This Row],[AI_OUT1]]</f>
        <v>9</v>
      </c>
      <c r="BF207">
        <f t="shared" si="105"/>
        <v>0.88888888888888884</v>
      </c>
      <c r="BG207">
        <f>survey_responses[[#This Row],[Sau khi xem xét các quyền lợi và nghĩa vụ, bạn có ủng hộ và tuân thủ chính sách mới hiện nay? - HUMAN-OUT1]]</f>
        <v>7</v>
      </c>
      <c r="BH207">
        <f t="shared" si="106"/>
        <v>0.66666666666666663</v>
      </c>
      <c r="BI207" s="32">
        <f t="shared" si="107"/>
        <v>2</v>
      </c>
    </row>
    <row r="208" spans="1:61" x14ac:dyDescent="0.45">
      <c r="A208" s="30">
        <f>step3_validation[[#This Row],[Persona_ID]]</f>
        <v>207</v>
      </c>
      <c r="B208" s="31">
        <f>step3_validation[[#This Row],[Used_Seed]]</f>
        <v>12551</v>
      </c>
      <c r="C208" t="str">
        <f>step3_validation[[#This Row],[Gender]]</f>
        <v>Nam</v>
      </c>
      <c r="D208" t="str">
        <f>survey_responses[[#This Row],[Giới tính của bạn:]]</f>
        <v>Nam</v>
      </c>
      <c r="E208" t="str">
        <f>step3_validation[[#This Row],[Age_Group]]</f>
        <v>30 - 39</v>
      </c>
      <c r="F208" t="str">
        <f>survey_responses[[#This Row],[Độ tuổi của bạn:]]</f>
        <v>30 - 39</v>
      </c>
      <c r="G208" t="str">
        <f>step3_validation[[#This Row],[Region]]</f>
        <v>Thành thị</v>
      </c>
      <c r="H208" t="str">
        <f>survey_responses[[#This Row],[Khu vực bạn đang sinh sống:]]</f>
        <v>Thành thị</v>
      </c>
      <c r="I208" t="str">
        <f>step3_validation[[#This Row],[Education]]</f>
        <v>Đại học</v>
      </c>
      <c r="J208" t="str">
        <f>survey_responses[[#This Row],[Trình độ học vấn cao nhất:]]</f>
        <v>Đại học</v>
      </c>
      <c r="K208" t="str">
        <f>step3_validation[[#This Row],[Employment]]</f>
        <v>Chính thức</v>
      </c>
      <c r="L208" t="str">
        <f>survey_responses[[#This Row],[Tình trạng việc làm chính:]]</f>
        <v>Khu vực chính thức (Có Hợp đồng lao động, đóng BHXH)</v>
      </c>
      <c r="M208">
        <f>step3_validation[[#This Row],[Income_Mil]]</f>
        <v>54.454177062529524</v>
      </c>
      <c r="N208" t="str">
        <f>survey_responses[[#This Row],[Thu nhập bình quân tháng theo Hợp đồng lao động của bạn là bao nhiêu? (Vui lòng điền tổng thu nhập trước khi khấu trừ các loại Bảo hiểm (BHXH, BHYT, BHTN) và Thuế TNCN)]]</f>
        <v>Từ 48 - 70 triệu VNĐ</v>
      </c>
      <c r="O208">
        <f>step3_validation[[#This Row],[Dependents]]</f>
        <v>2</v>
      </c>
      <c r="P208" t="str">
        <f>survey_responses[[#This Row],[Số người phụ thuộc (con nhỏ, cha mẹ già...) đủ điều kiện giảm trừ gia cảnh:]]</f>
        <v>2 người</v>
      </c>
      <c r="Q208">
        <f>step3_validation[[#This Row],[AI_ENF1]]</f>
        <v>7</v>
      </c>
      <c r="R208">
        <f t="shared" si="81"/>
        <v>0.66666666666666663</v>
      </c>
      <c r="S208">
        <f>survey_responses[[#This Row],[Tôi tin rằng với các quy định quản lý thuế hiện nay, hành vi gian lận hoặc trốn thuế sẽ dễ dàng bị phát hiện và xử lý nghiêm. - HUMAN-ENF1]]</f>
        <v>4</v>
      </c>
      <c r="T208">
        <f t="shared" si="82"/>
        <v>0.33333333333333331</v>
      </c>
      <c r="U208">
        <f>step3_validation[[#This Row],[AI_ENF2]]</f>
        <v>7</v>
      </c>
      <c r="V208">
        <f t="shared" si="83"/>
        <v>0.66666666666666663</v>
      </c>
      <c r="W208">
        <f>survey_responses[[#This Row],[Tôi tin rằng Nhà nước, cơ quan thuế có đủ khả năng và công nghệ để phát hiện, xử lý nghiêm các hành vi trốn thuế. - HUMAN-ENF2]]</f>
        <v>3</v>
      </c>
      <c r="X208">
        <f t="shared" si="84"/>
        <v>0.22222222222222221</v>
      </c>
      <c r="Y208" s="32">
        <f t="shared" si="85"/>
        <v>0.66666666666666663</v>
      </c>
      <c r="Z208" s="32">
        <f t="shared" si="86"/>
        <v>0.27777777777777779</v>
      </c>
      <c r="AA208">
        <f>step3_validation[[#This Row],[AI_FAC1]]</f>
        <v>8</v>
      </c>
      <c r="AB208">
        <f t="shared" si="87"/>
        <v>0.77777777777777779</v>
      </c>
      <c r="AC208">
        <f>survey_responses[[#This Row],[Các thủ tục khai báo thuế VÀ/HOẶC quy trình làm việc với cơ quan thuế đơn giản, tiện lợi, nhanh chóng hơn so với trước đây. - HUMAN-FAC1]]</f>
        <v>1</v>
      </c>
      <c r="AD208">
        <f t="shared" si="88"/>
        <v>0</v>
      </c>
      <c r="AE208">
        <f>step3_validation[[#This Row],[AI_FAC2]]</f>
        <v>9</v>
      </c>
      <c r="AF208">
        <f t="shared" si="89"/>
        <v>0.88888888888888884</v>
      </c>
      <c r="AG208">
        <f>survey_responses[[#This Row],[So với trước đây, tôi thấy cách tính thuế và các bậc thuế trong phương án mới đơn giản, dễ hiểu và dễ thực hiện hơn. - HUMAN-FAC2]]</f>
        <v>2</v>
      </c>
      <c r="AH208">
        <f t="shared" si="90"/>
        <v>0.1111111111111111</v>
      </c>
      <c r="AI208" s="32">
        <f t="shared" si="91"/>
        <v>0.83333333333333326</v>
      </c>
      <c r="AJ208" s="32">
        <f t="shared" si="92"/>
        <v>5.5555555555555552E-2</v>
      </c>
      <c r="AK208">
        <f>step3_validation[[#This Row],[AI_TRU1]]</f>
        <v>8</v>
      </c>
      <c r="AL208">
        <f t="shared" si="93"/>
        <v>0.77777777777777779</v>
      </c>
      <c r="AM208">
        <f>survey_responses[[#This Row],[Tôi tin rằng Nhà nước, cơ quan thuế sẽ thực thi chính sách mới một cách khách quan, công tâm và đối xử bình đẳng với mọi người nộp thuế.  - HUMAN-TRU1]]</f>
        <v>1</v>
      </c>
      <c r="AN208">
        <f t="shared" si="94"/>
        <v>0</v>
      </c>
      <c r="AO208">
        <f>step3_validation[[#This Row],[AI_TRU2]]</f>
        <v>9</v>
      </c>
      <c r="AP208">
        <f t="shared" si="95"/>
        <v>0.88888888888888884</v>
      </c>
      <c r="AQ208">
        <f>survey_responses[[#This Row],[Tôi thấy mức thuế tôi phải đóng theo phương án mới là công bằng (người thu nhập như tôi đóng mức này là hợp lý). - HUMAN-TRU2]]</f>
        <v>1</v>
      </c>
      <c r="AR208">
        <f t="shared" si="96"/>
        <v>0</v>
      </c>
      <c r="AS208">
        <f>step3_validation[[#This Row],[AI_TRU3]]</f>
        <v>7</v>
      </c>
      <c r="AT208">
        <f t="shared" si="97"/>
        <v>0.66666666666666663</v>
      </c>
      <c r="AU208">
        <f>survey_responses[[#This Row],[Tôi tin tưởng số tiền thuế tôi đóng sẽ được Nhà nước sử dụng hiệu quả để cải thiện dịch vụ công (y tế, đường xá...). - HUMAN-TRU3]]</f>
        <v>1</v>
      </c>
      <c r="AV208">
        <f t="shared" si="98"/>
        <v>0</v>
      </c>
      <c r="AW208">
        <f>step3_validation[[#This Row],[AI_TRU4]]</f>
        <v>8</v>
      </c>
      <c r="AX208">
        <f t="shared" si="99"/>
        <v>0.77777777777777779</v>
      </c>
      <c r="AY208">
        <f>survey_responses[[#This Row],[Tôi thấy Nhà nước đã giải thích rõ ràng, minh bạch về lý do và mục tiêu của việc sửa đổi thuế lần này. - HUMAN-TRU4]]</f>
        <v>4</v>
      </c>
      <c r="AZ208">
        <f t="shared" si="100"/>
        <v>0.33333333333333331</v>
      </c>
      <c r="BA208" s="32">
        <f t="shared" si="101"/>
        <v>0.77777777777777768</v>
      </c>
      <c r="BB208" s="32">
        <f t="shared" si="102"/>
        <v>8.3333333333333329E-2</v>
      </c>
      <c r="BC208" s="7">
        <f t="shared" si="103"/>
        <v>0.75925925925925919</v>
      </c>
      <c r="BD208" s="7">
        <f t="shared" si="104"/>
        <v>0.1388888888888889</v>
      </c>
      <c r="BE208">
        <f>step3_validation[[#This Row],[AI_OUT1]]</f>
        <v>9</v>
      </c>
      <c r="BF208">
        <f t="shared" si="105"/>
        <v>0.88888888888888884</v>
      </c>
      <c r="BG208">
        <f>survey_responses[[#This Row],[Sau khi xem xét các quyền lợi và nghĩa vụ, bạn có ủng hộ và tuân thủ chính sách mới hiện nay? - HUMAN-OUT1]]</f>
        <v>2</v>
      </c>
      <c r="BH208">
        <f t="shared" si="106"/>
        <v>0.1111111111111111</v>
      </c>
      <c r="BI208" s="32">
        <f t="shared" si="107"/>
        <v>7</v>
      </c>
    </row>
    <row r="209" spans="1:61" x14ac:dyDescent="0.45">
      <c r="A209" s="30">
        <f>step3_validation[[#This Row],[Persona_ID]]</f>
        <v>208</v>
      </c>
      <c r="B209" s="31">
        <f>step3_validation[[#This Row],[Used_Seed]]</f>
        <v>12552</v>
      </c>
      <c r="C209" t="str">
        <f>step3_validation[[#This Row],[Gender]]</f>
        <v>Nữ</v>
      </c>
      <c r="D209" t="str">
        <f>survey_responses[[#This Row],[Giới tính của bạn:]]</f>
        <v>Nữ</v>
      </c>
      <c r="E209" t="str">
        <f>step3_validation[[#This Row],[Age_Group]]</f>
        <v>30 - 39</v>
      </c>
      <c r="F209" t="str">
        <f>survey_responses[[#This Row],[Độ tuổi của bạn:]]</f>
        <v>30 - 39</v>
      </c>
      <c r="G209" t="str">
        <f>step3_validation[[#This Row],[Region]]</f>
        <v>Thành thị</v>
      </c>
      <c r="H209" t="str">
        <f>survey_responses[[#This Row],[Khu vực bạn đang sinh sống:]]</f>
        <v>Thành thị</v>
      </c>
      <c r="I209" t="str">
        <f>step3_validation[[#This Row],[Education]]</f>
        <v>Sau Đại học</v>
      </c>
      <c r="J209" t="str">
        <f>survey_responses[[#This Row],[Trình độ học vấn cao nhất:]]</f>
        <v>Sau Đại học</v>
      </c>
      <c r="K209" t="str">
        <f>step3_validation[[#This Row],[Employment]]</f>
        <v>Chính thức</v>
      </c>
      <c r="L209" t="str">
        <f>survey_responses[[#This Row],[Tình trạng việc làm chính:]]</f>
        <v>Khu vực chính thức (Có Hợp đồng lao động, đóng BHXH)</v>
      </c>
      <c r="M209">
        <f>step3_validation[[#This Row],[Income_Mil]]</f>
        <v>44.713339834198216</v>
      </c>
      <c r="N209" t="str">
        <f>survey_responses[[#This Row],[Thu nhập bình quân tháng theo Hợp đồng lao động của bạn là bao nhiêu? (Vui lòng điền tổng thu nhập trước khi khấu trừ các loại Bảo hiểm (BHXH, BHYT, BHTN) và Thuế TNCN)]]</f>
        <v>Từ 32 - 48 triệu VNĐ</v>
      </c>
      <c r="O209">
        <f>step3_validation[[#This Row],[Dependents]]</f>
        <v>1</v>
      </c>
      <c r="P209" t="str">
        <f>survey_responses[[#This Row],[Số người phụ thuộc (con nhỏ, cha mẹ già...) đủ điều kiện giảm trừ gia cảnh:]]</f>
        <v>1 người</v>
      </c>
      <c r="Q209">
        <f>step3_validation[[#This Row],[AI_ENF1]]</f>
        <v>5</v>
      </c>
      <c r="R209">
        <f t="shared" si="81"/>
        <v>0.44444444444444442</v>
      </c>
      <c r="S209">
        <f>survey_responses[[#This Row],[Tôi tin rằng với các quy định quản lý thuế hiện nay, hành vi gian lận hoặc trốn thuế sẽ dễ dàng bị phát hiện và xử lý nghiêm. - HUMAN-ENF1]]</f>
        <v>7</v>
      </c>
      <c r="T209">
        <f t="shared" si="82"/>
        <v>0.66666666666666663</v>
      </c>
      <c r="U209">
        <f>step3_validation[[#This Row],[AI_ENF2]]</f>
        <v>7</v>
      </c>
      <c r="V209">
        <f t="shared" si="83"/>
        <v>0.66666666666666663</v>
      </c>
      <c r="W209">
        <f>survey_responses[[#This Row],[Tôi tin rằng Nhà nước, cơ quan thuế có đủ khả năng và công nghệ để phát hiện, xử lý nghiêm các hành vi trốn thuế. - HUMAN-ENF2]]</f>
        <v>8</v>
      </c>
      <c r="X209">
        <f t="shared" si="84"/>
        <v>0.77777777777777779</v>
      </c>
      <c r="Y209" s="32">
        <f t="shared" si="85"/>
        <v>0.55555555555555558</v>
      </c>
      <c r="Z209" s="32">
        <f t="shared" si="86"/>
        <v>0.72222222222222221</v>
      </c>
      <c r="AA209">
        <f>step3_validation[[#This Row],[AI_FAC1]]</f>
        <v>8</v>
      </c>
      <c r="AB209">
        <f t="shared" si="87"/>
        <v>0.77777777777777779</v>
      </c>
      <c r="AC209">
        <f>survey_responses[[#This Row],[Các thủ tục khai báo thuế VÀ/HOẶC quy trình làm việc với cơ quan thuế đơn giản, tiện lợi, nhanh chóng hơn so với trước đây. - HUMAN-FAC1]]</f>
        <v>6</v>
      </c>
      <c r="AD209">
        <f t="shared" si="88"/>
        <v>0.55555555555555558</v>
      </c>
      <c r="AE209">
        <f>step3_validation[[#This Row],[AI_FAC2]]</f>
        <v>9</v>
      </c>
      <c r="AF209">
        <f t="shared" si="89"/>
        <v>0.88888888888888884</v>
      </c>
      <c r="AG209">
        <f>survey_responses[[#This Row],[So với trước đây, tôi thấy cách tính thuế và các bậc thuế trong phương án mới đơn giản, dễ hiểu và dễ thực hiện hơn. - HUMAN-FAC2]]</f>
        <v>7</v>
      </c>
      <c r="AH209">
        <f t="shared" si="90"/>
        <v>0.66666666666666663</v>
      </c>
      <c r="AI209" s="32">
        <f t="shared" si="91"/>
        <v>0.83333333333333326</v>
      </c>
      <c r="AJ209" s="32">
        <f t="shared" si="92"/>
        <v>0.61111111111111116</v>
      </c>
      <c r="AK209">
        <f>step3_validation[[#This Row],[AI_TRU1]]</f>
        <v>6</v>
      </c>
      <c r="AL209">
        <f t="shared" si="93"/>
        <v>0.55555555555555558</v>
      </c>
      <c r="AM209">
        <f>survey_responses[[#This Row],[Tôi tin rằng Nhà nước, cơ quan thuế sẽ thực thi chính sách mới một cách khách quan, công tâm và đối xử bình đẳng với mọi người nộp thuế.  - HUMAN-TRU1]]</f>
        <v>6</v>
      </c>
      <c r="AN209">
        <f t="shared" si="94"/>
        <v>0.55555555555555558</v>
      </c>
      <c r="AO209">
        <f>step3_validation[[#This Row],[AI_TRU2]]</f>
        <v>9</v>
      </c>
      <c r="AP209">
        <f t="shared" si="95"/>
        <v>0.88888888888888884</v>
      </c>
      <c r="AQ209">
        <f>survey_responses[[#This Row],[Tôi thấy mức thuế tôi phải đóng theo phương án mới là công bằng (người thu nhập như tôi đóng mức này là hợp lý). - HUMAN-TRU2]]</f>
        <v>7</v>
      </c>
      <c r="AR209">
        <f t="shared" si="96"/>
        <v>0.66666666666666663</v>
      </c>
      <c r="AS209">
        <f>step3_validation[[#This Row],[AI_TRU3]]</f>
        <v>6</v>
      </c>
      <c r="AT209">
        <f t="shared" si="97"/>
        <v>0.55555555555555558</v>
      </c>
      <c r="AU209">
        <f>survey_responses[[#This Row],[Tôi tin tưởng số tiền thuế tôi đóng sẽ được Nhà nước sử dụng hiệu quả để cải thiện dịch vụ công (y tế, đường xá...). - HUMAN-TRU3]]</f>
        <v>6</v>
      </c>
      <c r="AV209">
        <f t="shared" si="98"/>
        <v>0.55555555555555558</v>
      </c>
      <c r="AW209">
        <f>step3_validation[[#This Row],[AI_TRU4]]</f>
        <v>8</v>
      </c>
      <c r="AX209">
        <f t="shared" si="99"/>
        <v>0.77777777777777779</v>
      </c>
      <c r="AY209">
        <f>survey_responses[[#This Row],[Tôi thấy Nhà nước đã giải thích rõ ràng, minh bạch về lý do và mục tiêu của việc sửa đổi thuế lần này. - HUMAN-TRU4]]</f>
        <v>6</v>
      </c>
      <c r="AZ209">
        <f t="shared" si="100"/>
        <v>0.55555555555555558</v>
      </c>
      <c r="BA209" s="32">
        <f t="shared" si="101"/>
        <v>0.69444444444444442</v>
      </c>
      <c r="BB209" s="32">
        <f t="shared" si="102"/>
        <v>0.58333333333333337</v>
      </c>
      <c r="BC209" s="7">
        <f t="shared" si="103"/>
        <v>0.69444444444444431</v>
      </c>
      <c r="BD209" s="7">
        <f t="shared" si="104"/>
        <v>0.63888888888888895</v>
      </c>
      <c r="BE209">
        <f>step3_validation[[#This Row],[AI_OUT1]]</f>
        <v>9</v>
      </c>
      <c r="BF209">
        <f t="shared" si="105"/>
        <v>0.88888888888888884</v>
      </c>
      <c r="BG209">
        <f>survey_responses[[#This Row],[Sau khi xem xét các quyền lợi và nghĩa vụ, bạn có ủng hộ và tuân thủ chính sách mới hiện nay? - HUMAN-OUT1]]</f>
        <v>6</v>
      </c>
      <c r="BH209">
        <f t="shared" si="106"/>
        <v>0.55555555555555558</v>
      </c>
      <c r="BI209" s="32">
        <f t="shared" si="107"/>
        <v>3</v>
      </c>
    </row>
    <row r="210" spans="1:61" x14ac:dyDescent="0.45">
      <c r="A210" s="30">
        <f>step3_validation[[#This Row],[Persona_ID]]</f>
        <v>209</v>
      </c>
      <c r="B210" s="31">
        <f>step3_validation[[#This Row],[Used_Seed]]</f>
        <v>12553</v>
      </c>
      <c r="C210" t="str">
        <f>step3_validation[[#This Row],[Gender]]</f>
        <v>Nữ</v>
      </c>
      <c r="D210" t="str">
        <f>survey_responses[[#This Row],[Giới tính của bạn:]]</f>
        <v>Nữ</v>
      </c>
      <c r="E210" t="str">
        <f>step3_validation[[#This Row],[Age_Group]]</f>
        <v>30 - 39</v>
      </c>
      <c r="F210" t="str">
        <f>survey_responses[[#This Row],[Độ tuổi của bạn:]]</f>
        <v>30 - 39</v>
      </c>
      <c r="G210" t="str">
        <f>step3_validation[[#This Row],[Region]]</f>
        <v>Thành thị</v>
      </c>
      <c r="H210" t="str">
        <f>survey_responses[[#This Row],[Khu vực bạn đang sinh sống:]]</f>
        <v>Thành thị</v>
      </c>
      <c r="I210" t="str">
        <f>step3_validation[[#This Row],[Education]]</f>
        <v>Đại học</v>
      </c>
      <c r="J210" t="str">
        <f>survey_responses[[#This Row],[Trình độ học vấn cao nhất:]]</f>
        <v>Đại học</v>
      </c>
      <c r="K210" t="str">
        <f>step3_validation[[#This Row],[Employment]]</f>
        <v>Chính thức</v>
      </c>
      <c r="L210" t="str">
        <f>survey_responses[[#This Row],[Tình trạng việc làm chính:]]</f>
        <v>Khu vực chính thức (Có Hợp đồng lao động, đóng BHXH)</v>
      </c>
      <c r="M210">
        <f>step3_validation[[#This Row],[Income_Mil]]</f>
        <v>32.500400397407304</v>
      </c>
      <c r="N210" t="str">
        <f>survey_responses[[#This Row],[Thu nhập bình quân tháng theo Hợp đồng lao động của bạn là bao nhiêu? (Vui lòng điền tổng thu nhập trước khi khấu trừ các loại Bảo hiểm (BHXH, BHYT, BHTN) và Thuế TNCN)]]</f>
        <v>Từ 32 - 48 triệu VNĐ</v>
      </c>
      <c r="O210">
        <f>step3_validation[[#This Row],[Dependents]]</f>
        <v>0</v>
      </c>
      <c r="P210" t="str">
        <f>survey_responses[[#This Row],[Số người phụ thuộc (con nhỏ, cha mẹ già...) đủ điều kiện giảm trừ gia cảnh:]]</f>
        <v>0 người</v>
      </c>
      <c r="Q210">
        <f>step3_validation[[#This Row],[AI_ENF1]]</f>
        <v>9</v>
      </c>
      <c r="R210">
        <f t="shared" si="81"/>
        <v>0.88888888888888884</v>
      </c>
      <c r="S210">
        <f>survey_responses[[#This Row],[Tôi tin rằng với các quy định quản lý thuế hiện nay, hành vi gian lận hoặc trốn thuế sẽ dễ dàng bị phát hiện và xử lý nghiêm. - HUMAN-ENF1]]</f>
        <v>6</v>
      </c>
      <c r="T210">
        <f t="shared" si="82"/>
        <v>0.55555555555555558</v>
      </c>
      <c r="U210">
        <f>step3_validation[[#This Row],[AI_ENF2]]</f>
        <v>9</v>
      </c>
      <c r="V210">
        <f t="shared" si="83"/>
        <v>0.88888888888888884</v>
      </c>
      <c r="W210">
        <f>survey_responses[[#This Row],[Tôi tin rằng Nhà nước, cơ quan thuế có đủ khả năng và công nghệ để phát hiện, xử lý nghiêm các hành vi trốn thuế. - HUMAN-ENF2]]</f>
        <v>6</v>
      </c>
      <c r="X210">
        <f t="shared" si="84"/>
        <v>0.55555555555555558</v>
      </c>
      <c r="Y210" s="32">
        <f t="shared" si="85"/>
        <v>0.88888888888888884</v>
      </c>
      <c r="Z210" s="32">
        <f t="shared" si="86"/>
        <v>0.55555555555555558</v>
      </c>
      <c r="AA210">
        <f>step3_validation[[#This Row],[AI_FAC1]]</f>
        <v>8</v>
      </c>
      <c r="AB210">
        <f t="shared" si="87"/>
        <v>0.77777777777777779</v>
      </c>
      <c r="AC210">
        <f>survey_responses[[#This Row],[Các thủ tục khai báo thuế VÀ/HOẶC quy trình làm việc với cơ quan thuế đơn giản, tiện lợi, nhanh chóng hơn so với trước đây. - HUMAN-FAC1]]</f>
        <v>6</v>
      </c>
      <c r="AD210">
        <f t="shared" si="88"/>
        <v>0.55555555555555558</v>
      </c>
      <c r="AE210">
        <f>step3_validation[[#This Row],[AI_FAC2]]</f>
        <v>9</v>
      </c>
      <c r="AF210">
        <f t="shared" si="89"/>
        <v>0.88888888888888884</v>
      </c>
      <c r="AG210">
        <f>survey_responses[[#This Row],[So với trước đây, tôi thấy cách tính thuế và các bậc thuế trong phương án mới đơn giản, dễ hiểu và dễ thực hiện hơn. - HUMAN-FAC2]]</f>
        <v>6</v>
      </c>
      <c r="AH210">
        <f t="shared" si="90"/>
        <v>0.55555555555555558</v>
      </c>
      <c r="AI210" s="32">
        <f t="shared" si="91"/>
        <v>0.83333333333333326</v>
      </c>
      <c r="AJ210" s="32">
        <f t="shared" si="92"/>
        <v>0.55555555555555558</v>
      </c>
      <c r="AK210">
        <f>step3_validation[[#This Row],[AI_TRU1]]</f>
        <v>8</v>
      </c>
      <c r="AL210">
        <f t="shared" si="93"/>
        <v>0.77777777777777779</v>
      </c>
      <c r="AM210">
        <f>survey_responses[[#This Row],[Tôi tin rằng Nhà nước, cơ quan thuế sẽ thực thi chính sách mới một cách khách quan, công tâm và đối xử bình đẳng với mọi người nộp thuế.  - HUMAN-TRU1]]</f>
        <v>6</v>
      </c>
      <c r="AN210">
        <f t="shared" si="94"/>
        <v>0.55555555555555558</v>
      </c>
      <c r="AO210">
        <f>step3_validation[[#This Row],[AI_TRU2]]</f>
        <v>9</v>
      </c>
      <c r="AP210">
        <f t="shared" si="95"/>
        <v>0.88888888888888884</v>
      </c>
      <c r="AQ210">
        <f>survey_responses[[#This Row],[Tôi thấy mức thuế tôi phải đóng theo phương án mới là công bằng (người thu nhập như tôi đóng mức này là hợp lý). - HUMAN-TRU2]]</f>
        <v>5</v>
      </c>
      <c r="AR210">
        <f t="shared" si="96"/>
        <v>0.44444444444444442</v>
      </c>
      <c r="AS210">
        <f>step3_validation[[#This Row],[AI_TRU3]]</f>
        <v>8</v>
      </c>
      <c r="AT210">
        <f t="shared" si="97"/>
        <v>0.77777777777777779</v>
      </c>
      <c r="AU210">
        <f>survey_responses[[#This Row],[Tôi tin tưởng số tiền thuế tôi đóng sẽ được Nhà nước sử dụng hiệu quả để cải thiện dịch vụ công (y tế, đường xá...). - HUMAN-TRU3]]</f>
        <v>6</v>
      </c>
      <c r="AV210">
        <f t="shared" si="98"/>
        <v>0.55555555555555558</v>
      </c>
      <c r="AW210">
        <f>step3_validation[[#This Row],[AI_TRU4]]</f>
        <v>9</v>
      </c>
      <c r="AX210">
        <f t="shared" si="99"/>
        <v>0.88888888888888884</v>
      </c>
      <c r="AY210">
        <f>survey_responses[[#This Row],[Tôi thấy Nhà nước đã giải thích rõ ràng, minh bạch về lý do và mục tiêu của việc sửa đổi thuế lần này. - HUMAN-TRU4]]</f>
        <v>6</v>
      </c>
      <c r="AZ210">
        <f t="shared" si="100"/>
        <v>0.55555555555555558</v>
      </c>
      <c r="BA210" s="32">
        <f t="shared" si="101"/>
        <v>0.83333333333333326</v>
      </c>
      <c r="BB210" s="32">
        <f t="shared" si="102"/>
        <v>0.52777777777777779</v>
      </c>
      <c r="BC210" s="7">
        <f t="shared" si="103"/>
        <v>0.85185185185185175</v>
      </c>
      <c r="BD210" s="7">
        <f t="shared" si="104"/>
        <v>0.54629629629629628</v>
      </c>
      <c r="BE210">
        <f>step3_validation[[#This Row],[AI_OUT1]]</f>
        <v>8</v>
      </c>
      <c r="BF210">
        <f t="shared" si="105"/>
        <v>0.77777777777777779</v>
      </c>
      <c r="BG210">
        <f>survey_responses[[#This Row],[Sau khi xem xét các quyền lợi và nghĩa vụ, bạn có ủng hộ và tuân thủ chính sách mới hiện nay? - HUMAN-OUT1]]</f>
        <v>6</v>
      </c>
      <c r="BH210">
        <f t="shared" si="106"/>
        <v>0.55555555555555558</v>
      </c>
      <c r="BI210" s="32">
        <f t="shared" si="107"/>
        <v>2</v>
      </c>
    </row>
    <row r="211" spans="1:61" x14ac:dyDescent="0.45">
      <c r="A211" s="30">
        <f>step3_validation[[#This Row],[Persona_ID]]</f>
        <v>210</v>
      </c>
      <c r="B211" s="31">
        <f>step3_validation[[#This Row],[Used_Seed]]</f>
        <v>12554</v>
      </c>
      <c r="C211" t="str">
        <f>step3_validation[[#This Row],[Gender]]</f>
        <v>Nam</v>
      </c>
      <c r="D211" t="str">
        <f>survey_responses[[#This Row],[Giới tính của bạn:]]</f>
        <v>Nam</v>
      </c>
      <c r="E211" t="str">
        <f>step3_validation[[#This Row],[Age_Group]]</f>
        <v>30 - 39</v>
      </c>
      <c r="F211" t="str">
        <f>survey_responses[[#This Row],[Độ tuổi của bạn:]]</f>
        <v>30 - 39</v>
      </c>
      <c r="G211" t="str">
        <f>step3_validation[[#This Row],[Region]]</f>
        <v>Thành thị</v>
      </c>
      <c r="H211" t="str">
        <f>survey_responses[[#This Row],[Khu vực bạn đang sinh sống:]]</f>
        <v>Thành thị</v>
      </c>
      <c r="I211" t="str">
        <f>step3_validation[[#This Row],[Education]]</f>
        <v>Đại học</v>
      </c>
      <c r="J211" t="str">
        <f>survey_responses[[#This Row],[Trình độ học vấn cao nhất:]]</f>
        <v>Đại học</v>
      </c>
      <c r="K211" t="str">
        <f>step3_validation[[#This Row],[Employment]]</f>
        <v>Chính thức</v>
      </c>
      <c r="L211" t="str">
        <f>survey_responses[[#This Row],[Tình trạng việc làm chính:]]</f>
        <v>Khu vực chính thức (Có Hợp đồng lao động, đóng BHXH)</v>
      </c>
      <c r="M211">
        <f>step3_validation[[#This Row],[Income_Mil]]</f>
        <v>29.375311934331215</v>
      </c>
      <c r="N211" t="str">
        <f>survey_responses[[#This Row],[Thu nhập bình quân tháng theo Hợp đồng lao động của bạn là bao nhiêu? (Vui lòng điền tổng thu nhập trước khi khấu trừ các loại Bảo hiểm (BHXH, BHYT, BHTN) và Thuế TNCN)]]</f>
        <v>Từ 23 - 32 triệu VNĐ</v>
      </c>
      <c r="O211">
        <f>step3_validation[[#This Row],[Dependents]]</f>
        <v>0</v>
      </c>
      <c r="P211" t="str">
        <f>survey_responses[[#This Row],[Số người phụ thuộc (con nhỏ, cha mẹ già...) đủ điều kiện giảm trừ gia cảnh:]]</f>
        <v>0 người</v>
      </c>
      <c r="Q211">
        <f>step3_validation[[#This Row],[AI_ENF1]]</f>
        <v>7</v>
      </c>
      <c r="R211">
        <f t="shared" si="81"/>
        <v>0.66666666666666663</v>
      </c>
      <c r="S211">
        <f>survey_responses[[#This Row],[Tôi tin rằng với các quy định quản lý thuế hiện nay, hành vi gian lận hoặc trốn thuế sẽ dễ dàng bị phát hiện và xử lý nghiêm. - HUMAN-ENF1]]</f>
        <v>7</v>
      </c>
      <c r="T211">
        <f t="shared" si="82"/>
        <v>0.66666666666666663</v>
      </c>
      <c r="U211">
        <f>step3_validation[[#This Row],[AI_ENF2]]</f>
        <v>7</v>
      </c>
      <c r="V211">
        <f t="shared" si="83"/>
        <v>0.66666666666666663</v>
      </c>
      <c r="W211">
        <f>survey_responses[[#This Row],[Tôi tin rằng Nhà nước, cơ quan thuế có đủ khả năng và công nghệ để phát hiện, xử lý nghiêm các hành vi trốn thuế. - HUMAN-ENF2]]</f>
        <v>7</v>
      </c>
      <c r="X211">
        <f t="shared" si="84"/>
        <v>0.66666666666666663</v>
      </c>
      <c r="Y211" s="32">
        <f t="shared" si="85"/>
        <v>0.66666666666666663</v>
      </c>
      <c r="Z211" s="32">
        <f t="shared" si="86"/>
        <v>0.66666666666666663</v>
      </c>
      <c r="AA211">
        <f>step3_validation[[#This Row],[AI_FAC1]]</f>
        <v>8</v>
      </c>
      <c r="AB211">
        <f t="shared" si="87"/>
        <v>0.77777777777777779</v>
      </c>
      <c r="AC211">
        <f>survey_responses[[#This Row],[Các thủ tục khai báo thuế VÀ/HOẶC quy trình làm việc với cơ quan thuế đơn giản, tiện lợi, nhanh chóng hơn so với trước đây. - HUMAN-FAC1]]</f>
        <v>8</v>
      </c>
      <c r="AD211">
        <f t="shared" si="88"/>
        <v>0.77777777777777779</v>
      </c>
      <c r="AE211">
        <f>step3_validation[[#This Row],[AI_FAC2]]</f>
        <v>9</v>
      </c>
      <c r="AF211">
        <f t="shared" si="89"/>
        <v>0.88888888888888884</v>
      </c>
      <c r="AG211">
        <f>survey_responses[[#This Row],[So với trước đây, tôi thấy cách tính thuế và các bậc thuế trong phương án mới đơn giản, dễ hiểu và dễ thực hiện hơn. - HUMAN-FAC2]]</f>
        <v>8</v>
      </c>
      <c r="AH211">
        <f t="shared" si="90"/>
        <v>0.77777777777777779</v>
      </c>
      <c r="AI211" s="32">
        <f t="shared" si="91"/>
        <v>0.83333333333333326</v>
      </c>
      <c r="AJ211" s="32">
        <f t="shared" si="92"/>
        <v>0.77777777777777779</v>
      </c>
      <c r="AK211">
        <f>step3_validation[[#This Row],[AI_TRU1]]</f>
        <v>8</v>
      </c>
      <c r="AL211">
        <f t="shared" si="93"/>
        <v>0.77777777777777779</v>
      </c>
      <c r="AM211">
        <f>survey_responses[[#This Row],[Tôi tin rằng Nhà nước, cơ quan thuế sẽ thực thi chính sách mới một cách khách quan, công tâm và đối xử bình đẳng với mọi người nộp thuế.  - HUMAN-TRU1]]</f>
        <v>8</v>
      </c>
      <c r="AN211">
        <f t="shared" si="94"/>
        <v>0.77777777777777779</v>
      </c>
      <c r="AO211">
        <f>step3_validation[[#This Row],[AI_TRU2]]</f>
        <v>9</v>
      </c>
      <c r="AP211">
        <f t="shared" si="95"/>
        <v>0.88888888888888884</v>
      </c>
      <c r="AQ211">
        <f>survey_responses[[#This Row],[Tôi thấy mức thuế tôi phải đóng theo phương án mới là công bằng (người thu nhập như tôi đóng mức này là hợp lý). - HUMAN-TRU2]]</f>
        <v>9</v>
      </c>
      <c r="AR211">
        <f t="shared" si="96"/>
        <v>0.88888888888888884</v>
      </c>
      <c r="AS211">
        <f>step3_validation[[#This Row],[AI_TRU3]]</f>
        <v>8</v>
      </c>
      <c r="AT211">
        <f t="shared" si="97"/>
        <v>0.77777777777777779</v>
      </c>
      <c r="AU211">
        <f>survey_responses[[#This Row],[Tôi tin tưởng số tiền thuế tôi đóng sẽ được Nhà nước sử dụng hiệu quả để cải thiện dịch vụ công (y tế, đường xá...). - HUMAN-TRU3]]</f>
        <v>8</v>
      </c>
      <c r="AV211">
        <f t="shared" si="98"/>
        <v>0.77777777777777779</v>
      </c>
      <c r="AW211">
        <f>step3_validation[[#This Row],[AI_TRU4]]</f>
        <v>7</v>
      </c>
      <c r="AX211">
        <f t="shared" si="99"/>
        <v>0.66666666666666663</v>
      </c>
      <c r="AY211">
        <f>survey_responses[[#This Row],[Tôi thấy Nhà nước đã giải thích rõ ràng, minh bạch về lý do và mục tiêu của việc sửa đổi thuế lần này. - HUMAN-TRU4]]</f>
        <v>8</v>
      </c>
      <c r="AZ211">
        <f t="shared" si="100"/>
        <v>0.77777777777777779</v>
      </c>
      <c r="BA211" s="32">
        <f t="shared" si="101"/>
        <v>0.77777777777777768</v>
      </c>
      <c r="BB211" s="32">
        <f t="shared" si="102"/>
        <v>0.80555555555555547</v>
      </c>
      <c r="BC211" s="7">
        <f t="shared" si="103"/>
        <v>0.75925925925925919</v>
      </c>
      <c r="BD211" s="7">
        <f t="shared" si="104"/>
        <v>0.75</v>
      </c>
      <c r="BE211">
        <f>step3_validation[[#This Row],[AI_OUT1]]</f>
        <v>9</v>
      </c>
      <c r="BF211">
        <f t="shared" si="105"/>
        <v>0.88888888888888884</v>
      </c>
      <c r="BG211">
        <f>survey_responses[[#This Row],[Sau khi xem xét các quyền lợi và nghĩa vụ, bạn có ủng hộ và tuân thủ chính sách mới hiện nay? - HUMAN-OUT1]]</f>
        <v>8</v>
      </c>
      <c r="BH211">
        <f t="shared" si="106"/>
        <v>0.77777777777777779</v>
      </c>
      <c r="BI211" s="32">
        <f t="shared" si="107"/>
        <v>1</v>
      </c>
    </row>
    <row r="212" spans="1:61" x14ac:dyDescent="0.45">
      <c r="A212" s="30">
        <f>step3_validation[[#This Row],[Persona_ID]]</f>
        <v>211</v>
      </c>
      <c r="B212" s="31">
        <f>step3_validation[[#This Row],[Used_Seed]]</f>
        <v>12555</v>
      </c>
      <c r="C212" t="str">
        <f>step3_validation[[#This Row],[Gender]]</f>
        <v>Nữ</v>
      </c>
      <c r="D212" t="str">
        <f>survey_responses[[#This Row],[Giới tính của bạn:]]</f>
        <v>Nữ</v>
      </c>
      <c r="E212" t="str">
        <f>step3_validation[[#This Row],[Age_Group]]</f>
        <v>30 - 39</v>
      </c>
      <c r="F212" t="str">
        <f>survey_responses[[#This Row],[Độ tuổi của bạn:]]</f>
        <v>30 - 39</v>
      </c>
      <c r="G212" t="str">
        <f>step3_validation[[#This Row],[Region]]</f>
        <v>Thành thị</v>
      </c>
      <c r="H212" t="str">
        <f>survey_responses[[#This Row],[Khu vực bạn đang sinh sống:]]</f>
        <v>Thành thị</v>
      </c>
      <c r="I212" t="str">
        <f>step3_validation[[#This Row],[Education]]</f>
        <v>Đại học</v>
      </c>
      <c r="J212" t="str">
        <f>survey_responses[[#This Row],[Trình độ học vấn cao nhất:]]</f>
        <v>Đại học</v>
      </c>
      <c r="K212" t="str">
        <f>step3_validation[[#This Row],[Employment]]</f>
        <v>Chính thức</v>
      </c>
      <c r="L212" t="str">
        <f>survey_responses[[#This Row],[Tình trạng việc làm chính:]]</f>
        <v>Khu vực chính thức (Có Hợp đồng lao động, đóng BHXH)</v>
      </c>
      <c r="M212">
        <f>step3_validation[[#This Row],[Income_Mil]]</f>
        <v>59.855632286147269</v>
      </c>
      <c r="N212" t="str">
        <f>survey_responses[[#This Row],[Thu nhập bình quân tháng theo Hợp đồng lao động của bạn là bao nhiêu? (Vui lòng điền tổng thu nhập trước khi khấu trừ các loại Bảo hiểm (BHXH, BHYT, BHTN) và Thuế TNCN)]]</f>
        <v>Từ 48 - 70 triệu VNĐ</v>
      </c>
      <c r="O212">
        <f>step3_validation[[#This Row],[Dependents]]</f>
        <v>1</v>
      </c>
      <c r="P212" t="str">
        <f>survey_responses[[#This Row],[Số người phụ thuộc (con nhỏ, cha mẹ già...) đủ điều kiện giảm trừ gia cảnh:]]</f>
        <v>1 người</v>
      </c>
      <c r="Q212">
        <f>step3_validation[[#This Row],[AI_ENF1]]</f>
        <v>6</v>
      </c>
      <c r="R212">
        <f t="shared" si="81"/>
        <v>0.55555555555555558</v>
      </c>
      <c r="S212">
        <f>survey_responses[[#This Row],[Tôi tin rằng với các quy định quản lý thuế hiện nay, hành vi gian lận hoặc trốn thuế sẽ dễ dàng bị phát hiện và xử lý nghiêm. - HUMAN-ENF1]]</f>
        <v>7</v>
      </c>
      <c r="T212">
        <f t="shared" si="82"/>
        <v>0.66666666666666663</v>
      </c>
      <c r="U212">
        <f>step3_validation[[#This Row],[AI_ENF2]]</f>
        <v>7</v>
      </c>
      <c r="V212">
        <f t="shared" si="83"/>
        <v>0.66666666666666663</v>
      </c>
      <c r="W212">
        <f>survey_responses[[#This Row],[Tôi tin rằng Nhà nước, cơ quan thuế có đủ khả năng và công nghệ để phát hiện, xử lý nghiêm các hành vi trốn thuế. - HUMAN-ENF2]]</f>
        <v>7</v>
      </c>
      <c r="X212">
        <f t="shared" si="84"/>
        <v>0.66666666666666663</v>
      </c>
      <c r="Y212" s="32">
        <f t="shared" si="85"/>
        <v>0.61111111111111116</v>
      </c>
      <c r="Z212" s="32">
        <f t="shared" si="86"/>
        <v>0.66666666666666663</v>
      </c>
      <c r="AA212">
        <f>step3_validation[[#This Row],[AI_FAC1]]</f>
        <v>8</v>
      </c>
      <c r="AB212">
        <f t="shared" si="87"/>
        <v>0.77777777777777779</v>
      </c>
      <c r="AC212">
        <f>survey_responses[[#This Row],[Các thủ tục khai báo thuế VÀ/HOẶC quy trình làm việc với cơ quan thuế đơn giản, tiện lợi, nhanh chóng hơn so với trước đây. - HUMAN-FAC1]]</f>
        <v>7</v>
      </c>
      <c r="AD212">
        <f t="shared" si="88"/>
        <v>0.66666666666666663</v>
      </c>
      <c r="AE212">
        <f>step3_validation[[#This Row],[AI_FAC2]]</f>
        <v>9</v>
      </c>
      <c r="AF212">
        <f t="shared" si="89"/>
        <v>0.88888888888888884</v>
      </c>
      <c r="AG212">
        <f>survey_responses[[#This Row],[So với trước đây, tôi thấy cách tính thuế và các bậc thuế trong phương án mới đơn giản, dễ hiểu và dễ thực hiện hơn. - HUMAN-FAC2]]</f>
        <v>7</v>
      </c>
      <c r="AH212">
        <f t="shared" si="90"/>
        <v>0.66666666666666663</v>
      </c>
      <c r="AI212" s="32">
        <f t="shared" si="91"/>
        <v>0.83333333333333326</v>
      </c>
      <c r="AJ212" s="32">
        <f t="shared" si="92"/>
        <v>0.66666666666666663</v>
      </c>
      <c r="AK212">
        <f>step3_validation[[#This Row],[AI_TRU1]]</f>
        <v>7</v>
      </c>
      <c r="AL212">
        <f t="shared" si="93"/>
        <v>0.66666666666666663</v>
      </c>
      <c r="AM212">
        <f>survey_responses[[#This Row],[Tôi tin rằng Nhà nước, cơ quan thuế sẽ thực thi chính sách mới một cách khách quan, công tâm và đối xử bình đẳng với mọi người nộp thuế.  - HUMAN-TRU1]]</f>
        <v>7</v>
      </c>
      <c r="AN212">
        <f t="shared" si="94"/>
        <v>0.66666666666666663</v>
      </c>
      <c r="AO212">
        <f>step3_validation[[#This Row],[AI_TRU2]]</f>
        <v>8</v>
      </c>
      <c r="AP212">
        <f t="shared" si="95"/>
        <v>0.77777777777777779</v>
      </c>
      <c r="AQ212">
        <f>survey_responses[[#This Row],[Tôi thấy mức thuế tôi phải đóng theo phương án mới là công bằng (người thu nhập như tôi đóng mức này là hợp lý). - HUMAN-TRU2]]</f>
        <v>7</v>
      </c>
      <c r="AR212">
        <f t="shared" si="96"/>
        <v>0.66666666666666663</v>
      </c>
      <c r="AS212">
        <f>step3_validation[[#This Row],[AI_TRU3]]</f>
        <v>7</v>
      </c>
      <c r="AT212">
        <f t="shared" si="97"/>
        <v>0.66666666666666663</v>
      </c>
      <c r="AU212">
        <f>survey_responses[[#This Row],[Tôi tin tưởng số tiền thuế tôi đóng sẽ được Nhà nước sử dụng hiệu quả để cải thiện dịch vụ công (y tế, đường xá...). - HUMAN-TRU3]]</f>
        <v>7</v>
      </c>
      <c r="AV212">
        <f t="shared" si="98"/>
        <v>0.66666666666666663</v>
      </c>
      <c r="AW212">
        <f>step3_validation[[#This Row],[AI_TRU4]]</f>
        <v>8</v>
      </c>
      <c r="AX212">
        <f t="shared" si="99"/>
        <v>0.77777777777777779</v>
      </c>
      <c r="AY212">
        <f>survey_responses[[#This Row],[Tôi thấy Nhà nước đã giải thích rõ ràng, minh bạch về lý do và mục tiêu của việc sửa đổi thuế lần này. - HUMAN-TRU4]]</f>
        <v>7</v>
      </c>
      <c r="AZ212">
        <f t="shared" si="100"/>
        <v>0.66666666666666663</v>
      </c>
      <c r="BA212" s="32">
        <f t="shared" si="101"/>
        <v>0.72222222222222221</v>
      </c>
      <c r="BB212" s="32">
        <f t="shared" si="102"/>
        <v>0.66666666666666663</v>
      </c>
      <c r="BC212" s="7">
        <f t="shared" si="103"/>
        <v>0.72222222222222221</v>
      </c>
      <c r="BD212" s="7">
        <f t="shared" si="104"/>
        <v>0.66666666666666663</v>
      </c>
      <c r="BE212">
        <f>step3_validation[[#This Row],[AI_OUT1]]</f>
        <v>9</v>
      </c>
      <c r="BF212">
        <f t="shared" si="105"/>
        <v>0.88888888888888884</v>
      </c>
      <c r="BG212">
        <f>survey_responses[[#This Row],[Sau khi xem xét các quyền lợi và nghĩa vụ, bạn có ủng hộ và tuân thủ chính sách mới hiện nay? - HUMAN-OUT1]]</f>
        <v>7</v>
      </c>
      <c r="BH212">
        <f t="shared" si="106"/>
        <v>0.66666666666666663</v>
      </c>
      <c r="BI212" s="32">
        <f t="shared" si="107"/>
        <v>2</v>
      </c>
    </row>
    <row r="213" spans="1:61" x14ac:dyDescent="0.45">
      <c r="A213" s="30">
        <f>step3_validation[[#This Row],[Persona_ID]]</f>
        <v>212</v>
      </c>
      <c r="B213" s="31">
        <f>step3_validation[[#This Row],[Used_Seed]]</f>
        <v>12556</v>
      </c>
      <c r="C213" t="str">
        <f>step3_validation[[#This Row],[Gender]]</f>
        <v>Nữ</v>
      </c>
      <c r="D213" t="str">
        <f>survey_responses[[#This Row],[Giới tính của bạn:]]</f>
        <v>Nữ</v>
      </c>
      <c r="E213" t="str">
        <f>step3_validation[[#This Row],[Age_Group]]</f>
        <v>30 - 39</v>
      </c>
      <c r="F213" t="str">
        <f>survey_responses[[#This Row],[Độ tuổi của bạn:]]</f>
        <v>30 - 39</v>
      </c>
      <c r="G213" t="str">
        <f>step3_validation[[#This Row],[Region]]</f>
        <v>Thành thị</v>
      </c>
      <c r="H213" t="str">
        <f>survey_responses[[#This Row],[Khu vực bạn đang sinh sống:]]</f>
        <v>Thành thị</v>
      </c>
      <c r="I213" t="str">
        <f>step3_validation[[#This Row],[Education]]</f>
        <v>Đại học</v>
      </c>
      <c r="J213" t="str">
        <f>survey_responses[[#This Row],[Trình độ học vấn cao nhất:]]</f>
        <v>Đại học</v>
      </c>
      <c r="K213" t="str">
        <f>step3_validation[[#This Row],[Employment]]</f>
        <v>Chính thức</v>
      </c>
      <c r="L213" t="str">
        <f>survey_responses[[#This Row],[Tình trạng việc làm chính:]]</f>
        <v>Khu vực chính thức (Có Hợp đồng lao động, đóng BHXH)</v>
      </c>
      <c r="M213">
        <f>step3_validation[[#This Row],[Income_Mil]]</f>
        <v>48.885243987694409</v>
      </c>
      <c r="N213" t="str">
        <f>survey_responses[[#This Row],[Thu nhập bình quân tháng theo Hợp đồng lao động của bạn là bao nhiêu? (Vui lòng điền tổng thu nhập trước khi khấu trừ các loại Bảo hiểm (BHXH, BHYT, BHTN) và Thuế TNCN)]]</f>
        <v>Từ 48 - 70 triệu VNĐ</v>
      </c>
      <c r="O213">
        <f>step3_validation[[#This Row],[Dependents]]</f>
        <v>0</v>
      </c>
      <c r="P213" t="str">
        <f>survey_responses[[#This Row],[Số người phụ thuộc (con nhỏ, cha mẹ già...) đủ điều kiện giảm trừ gia cảnh:]]</f>
        <v>0 người</v>
      </c>
      <c r="Q213">
        <f>step3_validation[[#This Row],[AI_ENF1]]</f>
        <v>8</v>
      </c>
      <c r="R213">
        <f t="shared" si="81"/>
        <v>0.77777777777777779</v>
      </c>
      <c r="S213">
        <f>survey_responses[[#This Row],[Tôi tin rằng với các quy định quản lý thuế hiện nay, hành vi gian lận hoặc trốn thuế sẽ dễ dàng bị phát hiện và xử lý nghiêm. - HUMAN-ENF1]]</f>
        <v>5</v>
      </c>
      <c r="T213">
        <f t="shared" si="82"/>
        <v>0.44444444444444442</v>
      </c>
      <c r="U213">
        <f>step3_validation[[#This Row],[AI_ENF2]]</f>
        <v>9</v>
      </c>
      <c r="V213">
        <f t="shared" si="83"/>
        <v>0.88888888888888884</v>
      </c>
      <c r="W213">
        <f>survey_responses[[#This Row],[Tôi tin rằng Nhà nước, cơ quan thuế có đủ khả năng và công nghệ để phát hiện, xử lý nghiêm các hành vi trốn thuế. - HUMAN-ENF2]]</f>
        <v>5</v>
      </c>
      <c r="X213">
        <f t="shared" si="84"/>
        <v>0.44444444444444442</v>
      </c>
      <c r="Y213" s="32">
        <f t="shared" si="85"/>
        <v>0.83333333333333326</v>
      </c>
      <c r="Z213" s="32">
        <f t="shared" si="86"/>
        <v>0.44444444444444442</v>
      </c>
      <c r="AA213">
        <f>step3_validation[[#This Row],[AI_FAC1]]</f>
        <v>9</v>
      </c>
      <c r="AB213">
        <f t="shared" si="87"/>
        <v>0.88888888888888884</v>
      </c>
      <c r="AC213">
        <f>survey_responses[[#This Row],[Các thủ tục khai báo thuế VÀ/HOẶC quy trình làm việc với cơ quan thuế đơn giản, tiện lợi, nhanh chóng hơn so với trước đây. - HUMAN-FAC1]]</f>
        <v>1</v>
      </c>
      <c r="AD213">
        <f t="shared" si="88"/>
        <v>0</v>
      </c>
      <c r="AE213">
        <f>step3_validation[[#This Row],[AI_FAC2]]</f>
        <v>8</v>
      </c>
      <c r="AF213">
        <f t="shared" si="89"/>
        <v>0.77777777777777779</v>
      </c>
      <c r="AG213">
        <f>survey_responses[[#This Row],[So với trước đây, tôi thấy cách tính thuế và các bậc thuế trong phương án mới đơn giản, dễ hiểu và dễ thực hiện hơn. - HUMAN-FAC2]]</f>
        <v>5</v>
      </c>
      <c r="AH213">
        <f t="shared" si="90"/>
        <v>0.44444444444444442</v>
      </c>
      <c r="AI213" s="32">
        <f t="shared" si="91"/>
        <v>0.83333333333333326</v>
      </c>
      <c r="AJ213" s="32">
        <f t="shared" si="92"/>
        <v>0.22222222222222221</v>
      </c>
      <c r="AK213">
        <f>step3_validation[[#This Row],[AI_TRU1]]</f>
        <v>7</v>
      </c>
      <c r="AL213">
        <f t="shared" si="93"/>
        <v>0.66666666666666663</v>
      </c>
      <c r="AM213">
        <f>survey_responses[[#This Row],[Tôi tin rằng Nhà nước, cơ quan thuế sẽ thực thi chính sách mới một cách khách quan, công tâm và đối xử bình đẳng với mọi người nộp thuế.  - HUMAN-TRU1]]</f>
        <v>5</v>
      </c>
      <c r="AN213">
        <f t="shared" si="94"/>
        <v>0.44444444444444442</v>
      </c>
      <c r="AO213">
        <f>step3_validation[[#This Row],[AI_TRU2]]</f>
        <v>9</v>
      </c>
      <c r="AP213">
        <f t="shared" si="95"/>
        <v>0.88888888888888884</v>
      </c>
      <c r="AQ213">
        <f>survey_responses[[#This Row],[Tôi thấy mức thuế tôi phải đóng theo phương án mới là công bằng (người thu nhập như tôi đóng mức này là hợp lý). - HUMAN-TRU2]]</f>
        <v>5</v>
      </c>
      <c r="AR213">
        <f t="shared" si="96"/>
        <v>0.44444444444444442</v>
      </c>
      <c r="AS213">
        <f>step3_validation[[#This Row],[AI_TRU3]]</f>
        <v>8</v>
      </c>
      <c r="AT213">
        <f t="shared" si="97"/>
        <v>0.77777777777777779</v>
      </c>
      <c r="AU213">
        <f>survey_responses[[#This Row],[Tôi tin tưởng số tiền thuế tôi đóng sẽ được Nhà nước sử dụng hiệu quả để cải thiện dịch vụ công (y tế, đường xá...). - HUMAN-TRU3]]</f>
        <v>4</v>
      </c>
      <c r="AV213">
        <f t="shared" si="98"/>
        <v>0.33333333333333331</v>
      </c>
      <c r="AW213">
        <f>step3_validation[[#This Row],[AI_TRU4]]</f>
        <v>7</v>
      </c>
      <c r="AX213">
        <f t="shared" si="99"/>
        <v>0.66666666666666663</v>
      </c>
      <c r="AY213">
        <f>survey_responses[[#This Row],[Tôi thấy Nhà nước đã giải thích rõ ràng, minh bạch về lý do và mục tiêu của việc sửa đổi thuế lần này. - HUMAN-TRU4]]</f>
        <v>5</v>
      </c>
      <c r="AZ213">
        <f t="shared" si="100"/>
        <v>0.44444444444444442</v>
      </c>
      <c r="BA213" s="32">
        <f t="shared" si="101"/>
        <v>0.74999999999999989</v>
      </c>
      <c r="BB213" s="32">
        <f t="shared" si="102"/>
        <v>0.41666666666666663</v>
      </c>
      <c r="BC213" s="7">
        <f t="shared" si="103"/>
        <v>0.80555555555555547</v>
      </c>
      <c r="BD213" s="7">
        <f t="shared" si="104"/>
        <v>0.3611111111111111</v>
      </c>
      <c r="BE213">
        <f>step3_validation[[#This Row],[AI_OUT1]]</f>
        <v>9</v>
      </c>
      <c r="BF213">
        <f t="shared" si="105"/>
        <v>0.88888888888888884</v>
      </c>
      <c r="BG213">
        <f>survey_responses[[#This Row],[Sau khi xem xét các quyền lợi và nghĩa vụ, bạn có ủng hộ và tuân thủ chính sách mới hiện nay? - HUMAN-OUT1]]</f>
        <v>5</v>
      </c>
      <c r="BH213">
        <f t="shared" si="106"/>
        <v>0.44444444444444442</v>
      </c>
      <c r="BI213" s="32">
        <f t="shared" si="107"/>
        <v>4</v>
      </c>
    </row>
    <row r="214" spans="1:61" x14ac:dyDescent="0.45">
      <c r="A214" s="30">
        <f>step3_validation[[#This Row],[Persona_ID]]</f>
        <v>213</v>
      </c>
      <c r="B214" s="31">
        <f>step3_validation[[#This Row],[Used_Seed]]</f>
        <v>12557</v>
      </c>
      <c r="C214" t="str">
        <f>step3_validation[[#This Row],[Gender]]</f>
        <v>Nữ</v>
      </c>
      <c r="D214" t="str">
        <f>survey_responses[[#This Row],[Giới tính của bạn:]]</f>
        <v>Nữ</v>
      </c>
      <c r="E214" t="str">
        <f>step3_validation[[#This Row],[Age_Group]]</f>
        <v>30 - 39</v>
      </c>
      <c r="F214" t="str">
        <f>survey_responses[[#This Row],[Độ tuổi của bạn:]]</f>
        <v>30 - 39</v>
      </c>
      <c r="G214" t="str">
        <f>step3_validation[[#This Row],[Region]]</f>
        <v>Thành thị</v>
      </c>
      <c r="H214" t="str">
        <f>survey_responses[[#This Row],[Khu vực bạn đang sinh sống:]]</f>
        <v>Thành thị</v>
      </c>
      <c r="I214" t="str">
        <f>step3_validation[[#This Row],[Education]]</f>
        <v>Đại học</v>
      </c>
      <c r="J214" t="str">
        <f>survey_responses[[#This Row],[Trình độ học vấn cao nhất:]]</f>
        <v>Đại học</v>
      </c>
      <c r="K214" t="str">
        <f>step3_validation[[#This Row],[Employment]]</f>
        <v>Chính thức</v>
      </c>
      <c r="L214" t="str">
        <f>survey_responses[[#This Row],[Tình trạng việc làm chính:]]</f>
        <v>Khu vực chính thức (Có Hợp đồng lao động, đóng BHXH)</v>
      </c>
      <c r="M214">
        <f>step3_validation[[#This Row],[Income_Mil]]</f>
        <v>54.302286309062254</v>
      </c>
      <c r="N214" t="str">
        <f>survey_responses[[#This Row],[Thu nhập bình quân tháng theo Hợp đồng lao động của bạn là bao nhiêu? (Vui lòng điền tổng thu nhập trước khi khấu trừ các loại Bảo hiểm (BHXH, BHYT, BHTN) và Thuế TNCN)]]</f>
        <v>Từ 48 - 70 triệu VNĐ</v>
      </c>
      <c r="O214">
        <f>step3_validation[[#This Row],[Dependents]]</f>
        <v>4</v>
      </c>
      <c r="P214" t="str">
        <f>survey_responses[[#This Row],[Số người phụ thuộc (con nhỏ, cha mẹ già...) đủ điều kiện giảm trừ gia cảnh:]]</f>
        <v>4 người trở lên</v>
      </c>
      <c r="Q214">
        <f>step3_validation[[#This Row],[AI_ENF1]]</f>
        <v>9</v>
      </c>
      <c r="R214">
        <f t="shared" si="81"/>
        <v>0.88888888888888884</v>
      </c>
      <c r="S214">
        <f>survey_responses[[#This Row],[Tôi tin rằng với các quy định quản lý thuế hiện nay, hành vi gian lận hoặc trốn thuế sẽ dễ dàng bị phát hiện và xử lý nghiêm. - HUMAN-ENF1]]</f>
        <v>7</v>
      </c>
      <c r="T214">
        <f t="shared" si="82"/>
        <v>0.66666666666666663</v>
      </c>
      <c r="U214">
        <f>step3_validation[[#This Row],[AI_ENF2]]</f>
        <v>8</v>
      </c>
      <c r="V214">
        <f t="shared" si="83"/>
        <v>0.77777777777777779</v>
      </c>
      <c r="W214">
        <f>survey_responses[[#This Row],[Tôi tin rằng Nhà nước, cơ quan thuế có đủ khả năng và công nghệ để phát hiện, xử lý nghiêm các hành vi trốn thuế. - HUMAN-ENF2]]</f>
        <v>8</v>
      </c>
      <c r="X214">
        <f t="shared" si="84"/>
        <v>0.77777777777777779</v>
      </c>
      <c r="Y214" s="32">
        <f t="shared" si="85"/>
        <v>0.83333333333333326</v>
      </c>
      <c r="Z214" s="32">
        <f t="shared" si="86"/>
        <v>0.72222222222222221</v>
      </c>
      <c r="AA214">
        <f>step3_validation[[#This Row],[AI_FAC1]]</f>
        <v>9</v>
      </c>
      <c r="AB214">
        <f t="shared" si="87"/>
        <v>0.88888888888888884</v>
      </c>
      <c r="AC214">
        <f>survey_responses[[#This Row],[Các thủ tục khai báo thuế VÀ/HOẶC quy trình làm việc với cơ quan thuế đơn giản, tiện lợi, nhanh chóng hơn so với trước đây. - HUMAN-FAC1]]</f>
        <v>8</v>
      </c>
      <c r="AD214">
        <f t="shared" si="88"/>
        <v>0.77777777777777779</v>
      </c>
      <c r="AE214">
        <f>step3_validation[[#This Row],[AI_FAC2]]</f>
        <v>8</v>
      </c>
      <c r="AF214">
        <f t="shared" si="89"/>
        <v>0.77777777777777779</v>
      </c>
      <c r="AG214">
        <f>survey_responses[[#This Row],[So với trước đây, tôi thấy cách tính thuế và các bậc thuế trong phương án mới đơn giản, dễ hiểu và dễ thực hiện hơn. - HUMAN-FAC2]]</f>
        <v>8</v>
      </c>
      <c r="AH214">
        <f t="shared" si="90"/>
        <v>0.77777777777777779</v>
      </c>
      <c r="AI214" s="32">
        <f t="shared" si="91"/>
        <v>0.83333333333333326</v>
      </c>
      <c r="AJ214" s="32">
        <f t="shared" si="92"/>
        <v>0.77777777777777779</v>
      </c>
      <c r="AK214">
        <f>step3_validation[[#This Row],[AI_TRU1]]</f>
        <v>9</v>
      </c>
      <c r="AL214">
        <f t="shared" si="93"/>
        <v>0.88888888888888884</v>
      </c>
      <c r="AM214">
        <f>survey_responses[[#This Row],[Tôi tin rằng Nhà nước, cơ quan thuế sẽ thực thi chính sách mới một cách khách quan, công tâm và đối xử bình đẳng với mọi người nộp thuế.  - HUMAN-TRU1]]</f>
        <v>8</v>
      </c>
      <c r="AN214">
        <f t="shared" si="94"/>
        <v>0.77777777777777779</v>
      </c>
      <c r="AO214">
        <f>step3_validation[[#This Row],[AI_TRU2]]</f>
        <v>8</v>
      </c>
      <c r="AP214">
        <f t="shared" si="95"/>
        <v>0.77777777777777779</v>
      </c>
      <c r="AQ214">
        <f>survey_responses[[#This Row],[Tôi thấy mức thuế tôi phải đóng theo phương án mới là công bằng (người thu nhập như tôi đóng mức này là hợp lý). - HUMAN-TRU2]]</f>
        <v>8</v>
      </c>
      <c r="AR214">
        <f t="shared" si="96"/>
        <v>0.77777777777777779</v>
      </c>
      <c r="AS214">
        <f>step3_validation[[#This Row],[AI_TRU3]]</f>
        <v>9</v>
      </c>
      <c r="AT214">
        <f t="shared" si="97"/>
        <v>0.88888888888888884</v>
      </c>
      <c r="AU214">
        <f>survey_responses[[#This Row],[Tôi tin tưởng số tiền thuế tôi đóng sẽ được Nhà nước sử dụng hiệu quả để cải thiện dịch vụ công (y tế, đường xá...). - HUMAN-TRU3]]</f>
        <v>8</v>
      </c>
      <c r="AV214">
        <f t="shared" si="98"/>
        <v>0.77777777777777779</v>
      </c>
      <c r="AW214">
        <f>step3_validation[[#This Row],[AI_TRU4]]</f>
        <v>8</v>
      </c>
      <c r="AX214">
        <f t="shared" si="99"/>
        <v>0.77777777777777779</v>
      </c>
      <c r="AY214">
        <f>survey_responses[[#This Row],[Tôi thấy Nhà nước đã giải thích rõ ràng, minh bạch về lý do và mục tiêu của việc sửa đổi thuế lần này. - HUMAN-TRU4]]</f>
        <v>8</v>
      </c>
      <c r="AZ214">
        <f t="shared" si="100"/>
        <v>0.77777777777777779</v>
      </c>
      <c r="BA214" s="32">
        <f t="shared" si="101"/>
        <v>0.83333333333333326</v>
      </c>
      <c r="BB214" s="32">
        <f t="shared" si="102"/>
        <v>0.77777777777777779</v>
      </c>
      <c r="BC214" s="7">
        <f t="shared" si="103"/>
        <v>0.83333333333333337</v>
      </c>
      <c r="BD214" s="7">
        <f t="shared" si="104"/>
        <v>0.75925925925925919</v>
      </c>
      <c r="BE214">
        <f>step3_validation[[#This Row],[AI_OUT1]]</f>
        <v>9</v>
      </c>
      <c r="BF214">
        <f t="shared" si="105"/>
        <v>0.88888888888888884</v>
      </c>
      <c r="BG214">
        <f>survey_responses[[#This Row],[Sau khi xem xét các quyền lợi và nghĩa vụ, bạn có ủng hộ và tuân thủ chính sách mới hiện nay? - HUMAN-OUT1]]</f>
        <v>8</v>
      </c>
      <c r="BH214">
        <f t="shared" si="106"/>
        <v>0.77777777777777779</v>
      </c>
      <c r="BI214" s="32">
        <f t="shared" si="107"/>
        <v>1</v>
      </c>
    </row>
    <row r="215" spans="1:61" x14ac:dyDescent="0.45">
      <c r="A215" s="30">
        <f>step3_validation[[#This Row],[Persona_ID]]</f>
        <v>214</v>
      </c>
      <c r="B215" s="31">
        <f>step3_validation[[#This Row],[Used_Seed]]</f>
        <v>12558</v>
      </c>
      <c r="C215" t="str">
        <f>step3_validation[[#This Row],[Gender]]</f>
        <v>Nữ</v>
      </c>
      <c r="D215" t="str">
        <f>survey_responses[[#This Row],[Giới tính của bạn:]]</f>
        <v>Nữ</v>
      </c>
      <c r="E215" t="str">
        <f>step3_validation[[#This Row],[Age_Group]]</f>
        <v>30 - 39</v>
      </c>
      <c r="F215" t="str">
        <f>survey_responses[[#This Row],[Độ tuổi của bạn:]]</f>
        <v>30 - 39</v>
      </c>
      <c r="G215" t="str">
        <f>step3_validation[[#This Row],[Region]]</f>
        <v>Thành thị</v>
      </c>
      <c r="H215" t="str">
        <f>survey_responses[[#This Row],[Khu vực bạn đang sinh sống:]]</f>
        <v>Thành thị</v>
      </c>
      <c r="I215" t="str">
        <f>step3_validation[[#This Row],[Education]]</f>
        <v>Sau Đại học</v>
      </c>
      <c r="J215" t="str">
        <f>survey_responses[[#This Row],[Trình độ học vấn cao nhất:]]</f>
        <v>Sau Đại học</v>
      </c>
      <c r="K215" t="str">
        <f>step3_validation[[#This Row],[Employment]]</f>
        <v>Chính thức</v>
      </c>
      <c r="L215" t="str">
        <f>survey_responses[[#This Row],[Tình trạng việc làm chính:]]</f>
        <v>Khu vực chính thức (Có Hợp đồng lao động, đóng BHXH)</v>
      </c>
      <c r="M215">
        <f>step3_validation[[#This Row],[Income_Mil]]</f>
        <v>67.070046295409341</v>
      </c>
      <c r="N215" t="str">
        <f>survey_responses[[#This Row],[Thu nhập bình quân tháng theo Hợp đồng lao động của bạn là bao nhiêu? (Vui lòng điền tổng thu nhập trước khi khấu trừ các loại Bảo hiểm (BHXH, BHYT, BHTN) và Thuế TNCN)]]</f>
        <v>Từ 48 - 70 triệu VNĐ</v>
      </c>
      <c r="O215">
        <f>step3_validation[[#This Row],[Dependents]]</f>
        <v>4</v>
      </c>
      <c r="P215" t="str">
        <f>survey_responses[[#This Row],[Số người phụ thuộc (con nhỏ, cha mẹ già...) đủ điều kiện giảm trừ gia cảnh:]]</f>
        <v>4 người trở lên</v>
      </c>
      <c r="Q215">
        <f>step3_validation[[#This Row],[AI_ENF1]]</f>
        <v>7</v>
      </c>
      <c r="R215">
        <f t="shared" si="81"/>
        <v>0.66666666666666663</v>
      </c>
      <c r="S215">
        <f>survey_responses[[#This Row],[Tôi tin rằng với các quy định quản lý thuế hiện nay, hành vi gian lận hoặc trốn thuế sẽ dễ dàng bị phát hiện và xử lý nghiêm. - HUMAN-ENF1]]</f>
        <v>9</v>
      </c>
      <c r="T215">
        <f t="shared" si="82"/>
        <v>0.88888888888888884</v>
      </c>
      <c r="U215">
        <f>step3_validation[[#This Row],[AI_ENF2]]</f>
        <v>8</v>
      </c>
      <c r="V215">
        <f t="shared" si="83"/>
        <v>0.77777777777777779</v>
      </c>
      <c r="W215">
        <f>survey_responses[[#This Row],[Tôi tin rằng Nhà nước, cơ quan thuế có đủ khả năng và công nghệ để phát hiện, xử lý nghiêm các hành vi trốn thuế. - HUMAN-ENF2]]</f>
        <v>9</v>
      </c>
      <c r="X215">
        <f t="shared" si="84"/>
        <v>0.88888888888888884</v>
      </c>
      <c r="Y215" s="32">
        <f t="shared" si="85"/>
        <v>0.72222222222222221</v>
      </c>
      <c r="Z215" s="32">
        <f t="shared" si="86"/>
        <v>0.88888888888888884</v>
      </c>
      <c r="AA215">
        <f>step3_validation[[#This Row],[AI_FAC1]]</f>
        <v>9</v>
      </c>
      <c r="AB215">
        <f t="shared" si="87"/>
        <v>0.88888888888888884</v>
      </c>
      <c r="AC215">
        <f>survey_responses[[#This Row],[Các thủ tục khai báo thuế VÀ/HOẶC quy trình làm việc với cơ quan thuế đơn giản, tiện lợi, nhanh chóng hơn so với trước đây. - HUMAN-FAC1]]</f>
        <v>9</v>
      </c>
      <c r="AD215">
        <f t="shared" si="88"/>
        <v>0.88888888888888884</v>
      </c>
      <c r="AE215">
        <f>step3_validation[[#This Row],[AI_FAC2]]</f>
        <v>8</v>
      </c>
      <c r="AF215">
        <f t="shared" si="89"/>
        <v>0.77777777777777779</v>
      </c>
      <c r="AG215">
        <f>survey_responses[[#This Row],[So với trước đây, tôi thấy cách tính thuế và các bậc thuế trong phương án mới đơn giản, dễ hiểu và dễ thực hiện hơn. - HUMAN-FAC2]]</f>
        <v>9</v>
      </c>
      <c r="AH215">
        <f t="shared" si="90"/>
        <v>0.88888888888888884</v>
      </c>
      <c r="AI215" s="32">
        <f t="shared" si="91"/>
        <v>0.83333333333333326</v>
      </c>
      <c r="AJ215" s="32">
        <f t="shared" si="92"/>
        <v>0.88888888888888884</v>
      </c>
      <c r="AK215">
        <f>step3_validation[[#This Row],[AI_TRU1]]</f>
        <v>9</v>
      </c>
      <c r="AL215">
        <f t="shared" si="93"/>
        <v>0.88888888888888884</v>
      </c>
      <c r="AM215">
        <f>survey_responses[[#This Row],[Tôi tin rằng Nhà nước, cơ quan thuế sẽ thực thi chính sách mới một cách khách quan, công tâm và đối xử bình đẳng với mọi người nộp thuế.  - HUMAN-TRU1]]</f>
        <v>9</v>
      </c>
      <c r="AN215">
        <f t="shared" si="94"/>
        <v>0.88888888888888884</v>
      </c>
      <c r="AO215">
        <f>step3_validation[[#This Row],[AI_TRU2]]</f>
        <v>8</v>
      </c>
      <c r="AP215">
        <f t="shared" si="95"/>
        <v>0.77777777777777779</v>
      </c>
      <c r="AQ215">
        <f>survey_responses[[#This Row],[Tôi thấy mức thuế tôi phải đóng theo phương án mới là công bằng (người thu nhập như tôi đóng mức này là hợp lý). - HUMAN-TRU2]]</f>
        <v>9</v>
      </c>
      <c r="AR215">
        <f t="shared" si="96"/>
        <v>0.88888888888888884</v>
      </c>
      <c r="AS215">
        <f>step3_validation[[#This Row],[AI_TRU3]]</f>
        <v>9</v>
      </c>
      <c r="AT215">
        <f t="shared" si="97"/>
        <v>0.88888888888888884</v>
      </c>
      <c r="AU215">
        <f>survey_responses[[#This Row],[Tôi tin tưởng số tiền thuế tôi đóng sẽ được Nhà nước sử dụng hiệu quả để cải thiện dịch vụ công (y tế, đường xá...). - HUMAN-TRU3]]</f>
        <v>9</v>
      </c>
      <c r="AV215">
        <f t="shared" si="98"/>
        <v>0.88888888888888884</v>
      </c>
      <c r="AW215">
        <f>step3_validation[[#This Row],[AI_TRU4]]</f>
        <v>7</v>
      </c>
      <c r="AX215">
        <f t="shared" si="99"/>
        <v>0.66666666666666663</v>
      </c>
      <c r="AY215">
        <f>survey_responses[[#This Row],[Tôi thấy Nhà nước đã giải thích rõ ràng, minh bạch về lý do và mục tiêu của việc sửa đổi thuế lần này. - HUMAN-TRU4]]</f>
        <v>9</v>
      </c>
      <c r="AZ215">
        <f t="shared" si="100"/>
        <v>0.88888888888888884</v>
      </c>
      <c r="BA215" s="32">
        <f t="shared" si="101"/>
        <v>0.80555555555555547</v>
      </c>
      <c r="BB215" s="32">
        <f t="shared" si="102"/>
        <v>0.88888888888888884</v>
      </c>
      <c r="BC215" s="7">
        <f t="shared" si="103"/>
        <v>0.78703703703703687</v>
      </c>
      <c r="BD215" s="7">
        <f t="shared" si="104"/>
        <v>0.88888888888888884</v>
      </c>
      <c r="BE215">
        <f>step3_validation[[#This Row],[AI_OUT1]]</f>
        <v>9</v>
      </c>
      <c r="BF215">
        <f t="shared" si="105"/>
        <v>0.88888888888888884</v>
      </c>
      <c r="BG215">
        <f>survey_responses[[#This Row],[Sau khi xem xét các quyền lợi và nghĩa vụ, bạn có ủng hộ và tuân thủ chính sách mới hiện nay? - HUMAN-OUT1]]</f>
        <v>9</v>
      </c>
      <c r="BH215">
        <f t="shared" si="106"/>
        <v>0.88888888888888884</v>
      </c>
      <c r="BI215" s="32">
        <f t="shared" si="107"/>
        <v>0</v>
      </c>
    </row>
    <row r="216" spans="1:61" x14ac:dyDescent="0.45">
      <c r="A216" s="30">
        <f>step3_validation[[#This Row],[Persona_ID]]</f>
        <v>215</v>
      </c>
      <c r="B216" s="31">
        <f>step3_validation[[#This Row],[Used_Seed]]</f>
        <v>12559</v>
      </c>
      <c r="C216" t="str">
        <f>step3_validation[[#This Row],[Gender]]</f>
        <v>Nữ</v>
      </c>
      <c r="D216" t="str">
        <f>survey_responses[[#This Row],[Giới tính của bạn:]]</f>
        <v>Nữ</v>
      </c>
      <c r="E216" t="str">
        <f>step3_validation[[#This Row],[Age_Group]]</f>
        <v>30 - 39</v>
      </c>
      <c r="F216" t="str">
        <f>survey_responses[[#This Row],[Độ tuổi của bạn:]]</f>
        <v>30 - 39</v>
      </c>
      <c r="G216" t="str">
        <f>step3_validation[[#This Row],[Region]]</f>
        <v>Thành thị</v>
      </c>
      <c r="H216" t="str">
        <f>survey_responses[[#This Row],[Khu vực bạn đang sinh sống:]]</f>
        <v>Thành thị</v>
      </c>
      <c r="I216" t="str">
        <f>step3_validation[[#This Row],[Education]]</f>
        <v>Sau Đại học</v>
      </c>
      <c r="J216" t="str">
        <f>survey_responses[[#This Row],[Trình độ học vấn cao nhất:]]</f>
        <v>Sau Đại học</v>
      </c>
      <c r="K216" t="str">
        <f>step3_validation[[#This Row],[Employment]]</f>
        <v>Chính thức</v>
      </c>
      <c r="L216" t="str">
        <f>survey_responses[[#This Row],[Tình trạng việc làm chính:]]</f>
        <v>Khu vực chính thức (Có Hợp đồng lao động, đóng BHXH)</v>
      </c>
      <c r="M216">
        <f>step3_validation[[#This Row],[Income_Mil]]</f>
        <v>20.086910169212295</v>
      </c>
      <c r="N216" t="str">
        <f>survey_responses[[#This Row],[Thu nhập bình quân tháng theo Hợp đồng lao động của bạn là bao nhiêu? (Vui lòng điền tổng thu nhập trước khi khấu trừ các loại Bảo hiểm (BHXH, BHYT, BHTN) và Thuế TNCN)]]</f>
        <v>Từ 18 - 23 triệu VNĐ</v>
      </c>
      <c r="O216">
        <f>step3_validation[[#This Row],[Dependents]]</f>
        <v>2</v>
      </c>
      <c r="P216" t="str">
        <f>survey_responses[[#This Row],[Số người phụ thuộc (con nhỏ, cha mẹ già...) đủ điều kiện giảm trừ gia cảnh:]]</f>
        <v>2 người</v>
      </c>
      <c r="Q216">
        <f>step3_validation[[#This Row],[AI_ENF1]]</f>
        <v>8</v>
      </c>
      <c r="R216">
        <f t="shared" si="81"/>
        <v>0.77777777777777779</v>
      </c>
      <c r="S216">
        <f>survey_responses[[#This Row],[Tôi tin rằng với các quy định quản lý thuế hiện nay, hành vi gian lận hoặc trốn thuế sẽ dễ dàng bị phát hiện và xử lý nghiêm. - HUMAN-ENF1]]</f>
        <v>5</v>
      </c>
      <c r="T216">
        <f t="shared" si="82"/>
        <v>0.44444444444444442</v>
      </c>
      <c r="U216">
        <f>step3_validation[[#This Row],[AI_ENF2]]</f>
        <v>9</v>
      </c>
      <c r="V216">
        <f t="shared" si="83"/>
        <v>0.88888888888888884</v>
      </c>
      <c r="W216">
        <f>survey_responses[[#This Row],[Tôi tin rằng Nhà nước, cơ quan thuế có đủ khả năng và công nghệ để phát hiện, xử lý nghiêm các hành vi trốn thuế. - HUMAN-ENF2]]</f>
        <v>5</v>
      </c>
      <c r="X216">
        <f t="shared" si="84"/>
        <v>0.44444444444444442</v>
      </c>
      <c r="Y216" s="32">
        <f t="shared" si="85"/>
        <v>0.83333333333333326</v>
      </c>
      <c r="Z216" s="32">
        <f t="shared" si="86"/>
        <v>0.44444444444444442</v>
      </c>
      <c r="AA216">
        <f>step3_validation[[#This Row],[AI_FAC1]]</f>
        <v>8</v>
      </c>
      <c r="AB216">
        <f t="shared" si="87"/>
        <v>0.77777777777777779</v>
      </c>
      <c r="AC216">
        <f>survey_responses[[#This Row],[Các thủ tục khai báo thuế VÀ/HOẶC quy trình làm việc với cơ quan thuế đơn giản, tiện lợi, nhanh chóng hơn so với trước đây. - HUMAN-FAC1]]</f>
        <v>5</v>
      </c>
      <c r="AD216">
        <f t="shared" si="88"/>
        <v>0.44444444444444442</v>
      </c>
      <c r="AE216">
        <f>step3_validation[[#This Row],[AI_FAC2]]</f>
        <v>9</v>
      </c>
      <c r="AF216">
        <f t="shared" si="89"/>
        <v>0.88888888888888884</v>
      </c>
      <c r="AG216">
        <f>survey_responses[[#This Row],[So với trước đây, tôi thấy cách tính thuế và các bậc thuế trong phương án mới đơn giản, dễ hiểu và dễ thực hiện hơn. - HUMAN-FAC2]]</f>
        <v>5</v>
      </c>
      <c r="AH216">
        <f t="shared" si="90"/>
        <v>0.44444444444444442</v>
      </c>
      <c r="AI216" s="32">
        <f t="shared" si="91"/>
        <v>0.83333333333333326</v>
      </c>
      <c r="AJ216" s="32">
        <f t="shared" si="92"/>
        <v>0.44444444444444442</v>
      </c>
      <c r="AK216">
        <f>step3_validation[[#This Row],[AI_TRU1]]</f>
        <v>7</v>
      </c>
      <c r="AL216">
        <f t="shared" si="93"/>
        <v>0.66666666666666663</v>
      </c>
      <c r="AM216">
        <f>survey_responses[[#This Row],[Tôi tin rằng Nhà nước, cơ quan thuế sẽ thực thi chính sách mới một cách khách quan, công tâm và đối xử bình đẳng với mọi người nộp thuế.  - HUMAN-TRU1]]</f>
        <v>5</v>
      </c>
      <c r="AN216">
        <f t="shared" si="94"/>
        <v>0.44444444444444442</v>
      </c>
      <c r="AO216">
        <f>step3_validation[[#This Row],[AI_TRU2]]</f>
        <v>8</v>
      </c>
      <c r="AP216">
        <f t="shared" si="95"/>
        <v>0.77777777777777779</v>
      </c>
      <c r="AQ216">
        <f>survey_responses[[#This Row],[Tôi thấy mức thuế tôi phải đóng theo phương án mới là công bằng (người thu nhập như tôi đóng mức này là hợp lý). - HUMAN-TRU2]]</f>
        <v>5</v>
      </c>
      <c r="AR216">
        <f t="shared" si="96"/>
        <v>0.44444444444444442</v>
      </c>
      <c r="AS216">
        <f>step3_validation[[#This Row],[AI_TRU3]]</f>
        <v>7</v>
      </c>
      <c r="AT216">
        <f t="shared" si="97"/>
        <v>0.66666666666666663</v>
      </c>
      <c r="AU216">
        <f>survey_responses[[#This Row],[Tôi tin tưởng số tiền thuế tôi đóng sẽ được Nhà nước sử dụng hiệu quả để cải thiện dịch vụ công (y tế, đường xá...). - HUMAN-TRU3]]</f>
        <v>5</v>
      </c>
      <c r="AV216">
        <f t="shared" si="98"/>
        <v>0.44444444444444442</v>
      </c>
      <c r="AW216">
        <f>step3_validation[[#This Row],[AI_TRU4]]</f>
        <v>7</v>
      </c>
      <c r="AX216">
        <f t="shared" si="99"/>
        <v>0.66666666666666663</v>
      </c>
      <c r="AY216">
        <f>survey_responses[[#This Row],[Tôi thấy Nhà nước đã giải thích rõ ràng, minh bạch về lý do và mục tiêu của việc sửa đổi thuế lần này. - HUMAN-TRU4]]</f>
        <v>5</v>
      </c>
      <c r="AZ216">
        <f t="shared" si="100"/>
        <v>0.44444444444444442</v>
      </c>
      <c r="BA216" s="32">
        <f t="shared" si="101"/>
        <v>0.69444444444444442</v>
      </c>
      <c r="BB216" s="32">
        <f t="shared" si="102"/>
        <v>0.44444444444444442</v>
      </c>
      <c r="BC216" s="7">
        <f t="shared" si="103"/>
        <v>0.78703703703703687</v>
      </c>
      <c r="BD216" s="7">
        <f t="shared" si="104"/>
        <v>0.44444444444444442</v>
      </c>
      <c r="BE216">
        <f>step3_validation[[#This Row],[AI_OUT1]]</f>
        <v>9</v>
      </c>
      <c r="BF216">
        <f t="shared" si="105"/>
        <v>0.88888888888888884</v>
      </c>
      <c r="BG216">
        <f>survey_responses[[#This Row],[Sau khi xem xét các quyền lợi và nghĩa vụ, bạn có ủng hộ và tuân thủ chính sách mới hiện nay? - HUMAN-OUT1]]</f>
        <v>5</v>
      </c>
      <c r="BH216">
        <f t="shared" si="106"/>
        <v>0.44444444444444442</v>
      </c>
      <c r="BI216" s="32">
        <f t="shared" si="107"/>
        <v>4</v>
      </c>
    </row>
    <row r="217" spans="1:61" x14ac:dyDescent="0.45">
      <c r="A217" s="30">
        <f>step3_validation[[#This Row],[Persona_ID]]</f>
        <v>216</v>
      </c>
      <c r="B217" s="31">
        <f>step3_validation[[#This Row],[Used_Seed]]</f>
        <v>12560</v>
      </c>
      <c r="C217" t="str">
        <f>step3_validation[[#This Row],[Gender]]</f>
        <v>Nữ</v>
      </c>
      <c r="D217" t="str">
        <f>survey_responses[[#This Row],[Giới tính của bạn:]]</f>
        <v>Nữ</v>
      </c>
      <c r="E217" t="str">
        <f>step3_validation[[#This Row],[Age_Group]]</f>
        <v>30 - 39</v>
      </c>
      <c r="F217" t="str">
        <f>survey_responses[[#This Row],[Độ tuổi của bạn:]]</f>
        <v>30 - 39</v>
      </c>
      <c r="G217" t="str">
        <f>step3_validation[[#This Row],[Region]]</f>
        <v>Thành thị</v>
      </c>
      <c r="H217" t="str">
        <f>survey_responses[[#This Row],[Khu vực bạn đang sinh sống:]]</f>
        <v>Thành thị</v>
      </c>
      <c r="I217" t="str">
        <f>step3_validation[[#This Row],[Education]]</f>
        <v>Sau Đại học</v>
      </c>
      <c r="J217" t="str">
        <f>survey_responses[[#This Row],[Trình độ học vấn cao nhất:]]</f>
        <v>Sau Đại học</v>
      </c>
      <c r="K217" t="str">
        <f>step3_validation[[#This Row],[Employment]]</f>
        <v>Chính thức</v>
      </c>
      <c r="L217" t="str">
        <f>survey_responses[[#This Row],[Tình trạng việc làm chính:]]</f>
        <v>Khu vực chính thức (Có Hợp đồng lao động, đóng BHXH)</v>
      </c>
      <c r="M217">
        <f>step3_validation[[#This Row],[Income_Mil]]</f>
        <v>36.907694442722772</v>
      </c>
      <c r="N217" t="str">
        <f>survey_responses[[#This Row],[Thu nhập bình quân tháng theo Hợp đồng lao động của bạn là bao nhiêu? (Vui lòng điền tổng thu nhập trước khi khấu trừ các loại Bảo hiểm (BHXH, BHYT, BHTN) và Thuế TNCN)]]</f>
        <v>Từ 32 - 48 triệu VNĐ</v>
      </c>
      <c r="O217">
        <f>step3_validation[[#This Row],[Dependents]]</f>
        <v>1</v>
      </c>
      <c r="P217" t="str">
        <f>survey_responses[[#This Row],[Số người phụ thuộc (con nhỏ, cha mẹ già...) đủ điều kiện giảm trừ gia cảnh:]]</f>
        <v>1 người</v>
      </c>
      <c r="Q217">
        <f>step3_validation[[#This Row],[AI_ENF1]]</f>
        <v>8</v>
      </c>
      <c r="R217">
        <f t="shared" si="81"/>
        <v>0.77777777777777779</v>
      </c>
      <c r="S217">
        <f>survey_responses[[#This Row],[Tôi tin rằng với các quy định quản lý thuế hiện nay, hành vi gian lận hoặc trốn thuế sẽ dễ dàng bị phát hiện và xử lý nghiêm. - HUMAN-ENF1]]</f>
        <v>6</v>
      </c>
      <c r="T217">
        <f t="shared" si="82"/>
        <v>0.55555555555555558</v>
      </c>
      <c r="U217">
        <f>step3_validation[[#This Row],[AI_ENF2]]</f>
        <v>9</v>
      </c>
      <c r="V217">
        <f t="shared" si="83"/>
        <v>0.88888888888888884</v>
      </c>
      <c r="W217">
        <f>survey_responses[[#This Row],[Tôi tin rằng Nhà nước, cơ quan thuế có đủ khả năng và công nghệ để phát hiện, xử lý nghiêm các hành vi trốn thuế. - HUMAN-ENF2]]</f>
        <v>7</v>
      </c>
      <c r="X217">
        <f t="shared" si="84"/>
        <v>0.66666666666666663</v>
      </c>
      <c r="Y217" s="32">
        <f t="shared" si="85"/>
        <v>0.83333333333333326</v>
      </c>
      <c r="Z217" s="32">
        <f t="shared" si="86"/>
        <v>0.61111111111111116</v>
      </c>
      <c r="AA217">
        <f>step3_validation[[#This Row],[AI_FAC1]]</f>
        <v>8</v>
      </c>
      <c r="AB217">
        <f t="shared" si="87"/>
        <v>0.77777777777777779</v>
      </c>
      <c r="AC217">
        <f>survey_responses[[#This Row],[Các thủ tục khai báo thuế VÀ/HOẶC quy trình làm việc với cơ quan thuế đơn giản, tiện lợi, nhanh chóng hơn so với trước đây. - HUMAN-FAC1]]</f>
        <v>7</v>
      </c>
      <c r="AD217">
        <f t="shared" si="88"/>
        <v>0.66666666666666663</v>
      </c>
      <c r="AE217">
        <f>step3_validation[[#This Row],[AI_FAC2]]</f>
        <v>9</v>
      </c>
      <c r="AF217">
        <f t="shared" si="89"/>
        <v>0.88888888888888884</v>
      </c>
      <c r="AG217">
        <f>survey_responses[[#This Row],[So với trước đây, tôi thấy cách tính thuế và các bậc thuế trong phương án mới đơn giản, dễ hiểu và dễ thực hiện hơn. - HUMAN-FAC2]]</f>
        <v>7</v>
      </c>
      <c r="AH217">
        <f t="shared" si="90"/>
        <v>0.66666666666666663</v>
      </c>
      <c r="AI217" s="32">
        <f t="shared" si="91"/>
        <v>0.83333333333333326</v>
      </c>
      <c r="AJ217" s="32">
        <f t="shared" si="92"/>
        <v>0.66666666666666663</v>
      </c>
      <c r="AK217">
        <f>step3_validation[[#This Row],[AI_TRU1]]</f>
        <v>7</v>
      </c>
      <c r="AL217">
        <f t="shared" si="93"/>
        <v>0.66666666666666663</v>
      </c>
      <c r="AM217">
        <f>survey_responses[[#This Row],[Tôi tin rằng Nhà nước, cơ quan thuế sẽ thực thi chính sách mới một cách khách quan, công tâm và đối xử bình đẳng với mọi người nộp thuế.  - HUMAN-TRU1]]</f>
        <v>6</v>
      </c>
      <c r="AN217">
        <f t="shared" si="94"/>
        <v>0.55555555555555558</v>
      </c>
      <c r="AO217">
        <f>step3_validation[[#This Row],[AI_TRU2]]</f>
        <v>8</v>
      </c>
      <c r="AP217">
        <f t="shared" si="95"/>
        <v>0.77777777777777779</v>
      </c>
      <c r="AQ217">
        <f>survey_responses[[#This Row],[Tôi thấy mức thuế tôi phải đóng theo phương án mới là công bằng (người thu nhập như tôi đóng mức này là hợp lý). - HUMAN-TRU2]]</f>
        <v>7</v>
      </c>
      <c r="AR217">
        <f t="shared" si="96"/>
        <v>0.66666666666666663</v>
      </c>
      <c r="AS217">
        <f>step3_validation[[#This Row],[AI_TRU3]]</f>
        <v>6</v>
      </c>
      <c r="AT217">
        <f t="shared" si="97"/>
        <v>0.55555555555555558</v>
      </c>
      <c r="AU217">
        <f>survey_responses[[#This Row],[Tôi tin tưởng số tiền thuế tôi đóng sẽ được Nhà nước sử dụng hiệu quả để cải thiện dịch vụ công (y tế, đường xá...). - HUMAN-TRU3]]</f>
        <v>7</v>
      </c>
      <c r="AV217">
        <f t="shared" si="98"/>
        <v>0.66666666666666663</v>
      </c>
      <c r="AW217">
        <f>step3_validation[[#This Row],[AI_TRU4]]</f>
        <v>8</v>
      </c>
      <c r="AX217">
        <f t="shared" si="99"/>
        <v>0.77777777777777779</v>
      </c>
      <c r="AY217">
        <f>survey_responses[[#This Row],[Tôi thấy Nhà nước đã giải thích rõ ràng, minh bạch về lý do và mục tiêu của việc sửa đổi thuế lần này. - HUMAN-TRU4]]</f>
        <v>7</v>
      </c>
      <c r="AZ217">
        <f t="shared" si="100"/>
        <v>0.66666666666666663</v>
      </c>
      <c r="BA217" s="32">
        <f t="shared" si="101"/>
        <v>0.69444444444444442</v>
      </c>
      <c r="BB217" s="32">
        <f t="shared" si="102"/>
        <v>0.63888888888888884</v>
      </c>
      <c r="BC217" s="7">
        <f t="shared" si="103"/>
        <v>0.78703703703703687</v>
      </c>
      <c r="BD217" s="7">
        <f t="shared" si="104"/>
        <v>0.63888888888888884</v>
      </c>
      <c r="BE217">
        <f>step3_validation[[#This Row],[AI_OUT1]]</f>
        <v>9</v>
      </c>
      <c r="BF217">
        <f t="shared" si="105"/>
        <v>0.88888888888888884</v>
      </c>
      <c r="BG217">
        <f>survey_responses[[#This Row],[Sau khi xem xét các quyền lợi và nghĩa vụ, bạn có ủng hộ và tuân thủ chính sách mới hiện nay? - HUMAN-OUT1]]</f>
        <v>7</v>
      </c>
      <c r="BH217">
        <f t="shared" si="106"/>
        <v>0.66666666666666663</v>
      </c>
      <c r="BI217" s="32">
        <f t="shared" si="107"/>
        <v>2</v>
      </c>
    </row>
    <row r="218" spans="1:61" x14ac:dyDescent="0.45">
      <c r="A218" s="30">
        <f>step3_validation[[#This Row],[Persona_ID]]</f>
        <v>217</v>
      </c>
      <c r="B218" s="31">
        <f>step3_validation[[#This Row],[Used_Seed]]</f>
        <v>12561</v>
      </c>
      <c r="C218" t="str">
        <f>step3_validation[[#This Row],[Gender]]</f>
        <v>Nam</v>
      </c>
      <c r="D218" t="str">
        <f>survey_responses[[#This Row],[Giới tính của bạn:]]</f>
        <v>Nam</v>
      </c>
      <c r="E218" t="str">
        <f>step3_validation[[#This Row],[Age_Group]]</f>
        <v>30 - 39</v>
      </c>
      <c r="F218" t="str">
        <f>survey_responses[[#This Row],[Độ tuổi của bạn:]]</f>
        <v>30 - 39</v>
      </c>
      <c r="G218" t="str">
        <f>step3_validation[[#This Row],[Region]]</f>
        <v>Thành thị</v>
      </c>
      <c r="H218" t="str">
        <f>survey_responses[[#This Row],[Khu vực bạn đang sinh sống:]]</f>
        <v>Thành thị</v>
      </c>
      <c r="I218" t="str">
        <f>step3_validation[[#This Row],[Education]]</f>
        <v>Đại học</v>
      </c>
      <c r="J218" t="str">
        <f>survey_responses[[#This Row],[Trình độ học vấn cao nhất:]]</f>
        <v>Đại học</v>
      </c>
      <c r="K218" t="str">
        <f>step3_validation[[#This Row],[Employment]]</f>
        <v>Chính thức</v>
      </c>
      <c r="L218" t="str">
        <f>survey_responses[[#This Row],[Tình trạng việc làm chính:]]</f>
        <v>Khu vực chính thức (Có Hợp đồng lao động, đóng BHXH)</v>
      </c>
      <c r="M218">
        <f>step3_validation[[#This Row],[Income_Mil]]</f>
        <v>45.985553781420869</v>
      </c>
      <c r="N218" t="str">
        <f>survey_responses[[#This Row],[Thu nhập bình quân tháng theo Hợp đồng lao động của bạn là bao nhiêu? (Vui lòng điền tổng thu nhập trước khi khấu trừ các loại Bảo hiểm (BHXH, BHYT, BHTN) và Thuế TNCN)]]</f>
        <v>Từ 32 - 48 triệu VNĐ</v>
      </c>
      <c r="O218">
        <f>step3_validation[[#This Row],[Dependents]]</f>
        <v>0</v>
      </c>
      <c r="P218" t="str">
        <f>survey_responses[[#This Row],[Số người phụ thuộc (con nhỏ, cha mẹ già...) đủ điều kiện giảm trừ gia cảnh:]]</f>
        <v>0 người</v>
      </c>
      <c r="Q218">
        <f>step3_validation[[#This Row],[AI_ENF1]]</f>
        <v>7</v>
      </c>
      <c r="R218">
        <f t="shared" si="81"/>
        <v>0.66666666666666663</v>
      </c>
      <c r="S218">
        <f>survey_responses[[#This Row],[Tôi tin rằng với các quy định quản lý thuế hiện nay, hành vi gian lận hoặc trốn thuế sẽ dễ dàng bị phát hiện và xử lý nghiêm. - HUMAN-ENF1]]</f>
        <v>5</v>
      </c>
      <c r="T218">
        <f t="shared" si="82"/>
        <v>0.44444444444444442</v>
      </c>
      <c r="U218">
        <f>step3_validation[[#This Row],[AI_ENF2]]</f>
        <v>8</v>
      </c>
      <c r="V218">
        <f t="shared" si="83"/>
        <v>0.77777777777777779</v>
      </c>
      <c r="W218">
        <f>survey_responses[[#This Row],[Tôi tin rằng Nhà nước, cơ quan thuế có đủ khả năng và công nghệ để phát hiện, xử lý nghiêm các hành vi trốn thuế. - HUMAN-ENF2]]</f>
        <v>5</v>
      </c>
      <c r="X218">
        <f t="shared" si="84"/>
        <v>0.44444444444444442</v>
      </c>
      <c r="Y218" s="32">
        <f t="shared" si="85"/>
        <v>0.72222222222222221</v>
      </c>
      <c r="Z218" s="32">
        <f t="shared" si="86"/>
        <v>0.44444444444444442</v>
      </c>
      <c r="AA218">
        <f>step3_validation[[#This Row],[AI_FAC1]]</f>
        <v>6</v>
      </c>
      <c r="AB218">
        <f t="shared" si="87"/>
        <v>0.55555555555555558</v>
      </c>
      <c r="AC218">
        <f>survey_responses[[#This Row],[Các thủ tục khai báo thuế VÀ/HOẶC quy trình làm việc với cơ quan thuế đơn giản, tiện lợi, nhanh chóng hơn so với trước đây. - HUMAN-FAC1]]</f>
        <v>5</v>
      </c>
      <c r="AD218">
        <f t="shared" si="88"/>
        <v>0.44444444444444442</v>
      </c>
      <c r="AE218">
        <f>step3_validation[[#This Row],[AI_FAC2]]</f>
        <v>9</v>
      </c>
      <c r="AF218">
        <f t="shared" si="89"/>
        <v>0.88888888888888884</v>
      </c>
      <c r="AG218">
        <f>survey_responses[[#This Row],[So với trước đây, tôi thấy cách tính thuế và các bậc thuế trong phương án mới đơn giản, dễ hiểu và dễ thực hiện hơn. - HUMAN-FAC2]]</f>
        <v>6</v>
      </c>
      <c r="AH218">
        <f t="shared" si="90"/>
        <v>0.55555555555555558</v>
      </c>
      <c r="AI218" s="32">
        <f t="shared" si="91"/>
        <v>0.72222222222222221</v>
      </c>
      <c r="AJ218" s="32">
        <f t="shared" si="92"/>
        <v>0.5</v>
      </c>
      <c r="AK218">
        <f>step3_validation[[#This Row],[AI_TRU1]]</f>
        <v>7</v>
      </c>
      <c r="AL218">
        <f t="shared" si="93"/>
        <v>0.66666666666666663</v>
      </c>
      <c r="AM218">
        <f>survey_responses[[#This Row],[Tôi tin rằng Nhà nước, cơ quan thuế sẽ thực thi chính sách mới một cách khách quan, công tâm và đối xử bình đẳng với mọi người nộp thuế.  - HUMAN-TRU1]]</f>
        <v>5</v>
      </c>
      <c r="AN218">
        <f t="shared" si="94"/>
        <v>0.44444444444444442</v>
      </c>
      <c r="AO218">
        <f>step3_validation[[#This Row],[AI_TRU2]]</f>
        <v>9</v>
      </c>
      <c r="AP218">
        <f t="shared" si="95"/>
        <v>0.88888888888888884</v>
      </c>
      <c r="AQ218">
        <f>survey_responses[[#This Row],[Tôi thấy mức thuế tôi phải đóng theo phương án mới là công bằng (người thu nhập như tôi đóng mức này là hợp lý). - HUMAN-TRU2]]</f>
        <v>5</v>
      </c>
      <c r="AR218">
        <f t="shared" si="96"/>
        <v>0.44444444444444442</v>
      </c>
      <c r="AS218">
        <f>step3_validation[[#This Row],[AI_TRU3]]</f>
        <v>7</v>
      </c>
      <c r="AT218">
        <f t="shared" si="97"/>
        <v>0.66666666666666663</v>
      </c>
      <c r="AU218">
        <f>survey_responses[[#This Row],[Tôi tin tưởng số tiền thuế tôi đóng sẽ được Nhà nước sử dụng hiệu quả để cải thiện dịch vụ công (y tế, đường xá...). - HUMAN-TRU3]]</f>
        <v>5</v>
      </c>
      <c r="AV218">
        <f t="shared" si="98"/>
        <v>0.44444444444444442</v>
      </c>
      <c r="AW218">
        <f>step3_validation[[#This Row],[AI_TRU4]]</f>
        <v>8</v>
      </c>
      <c r="AX218">
        <f t="shared" si="99"/>
        <v>0.77777777777777779</v>
      </c>
      <c r="AY218">
        <f>survey_responses[[#This Row],[Tôi thấy Nhà nước đã giải thích rõ ràng, minh bạch về lý do và mục tiêu của việc sửa đổi thuế lần này. - HUMAN-TRU4]]</f>
        <v>5</v>
      </c>
      <c r="AZ218">
        <f t="shared" si="100"/>
        <v>0.44444444444444442</v>
      </c>
      <c r="BA218" s="32">
        <f t="shared" si="101"/>
        <v>0.74999999999999989</v>
      </c>
      <c r="BB218" s="32">
        <f t="shared" si="102"/>
        <v>0.44444444444444442</v>
      </c>
      <c r="BC218" s="7">
        <f t="shared" si="103"/>
        <v>0.7314814814814814</v>
      </c>
      <c r="BD218" s="7">
        <f t="shared" si="104"/>
        <v>0.46296296296296297</v>
      </c>
      <c r="BE218">
        <f>step3_validation[[#This Row],[AI_OUT1]]</f>
        <v>9</v>
      </c>
      <c r="BF218">
        <f t="shared" si="105"/>
        <v>0.88888888888888884</v>
      </c>
      <c r="BG218">
        <f>survey_responses[[#This Row],[Sau khi xem xét các quyền lợi và nghĩa vụ, bạn có ủng hộ và tuân thủ chính sách mới hiện nay? - HUMAN-OUT1]]</f>
        <v>5</v>
      </c>
      <c r="BH218">
        <f t="shared" si="106"/>
        <v>0.44444444444444442</v>
      </c>
      <c r="BI218" s="32">
        <f t="shared" si="107"/>
        <v>4</v>
      </c>
    </row>
    <row r="219" spans="1:61" x14ac:dyDescent="0.45">
      <c r="A219" s="30">
        <f>step3_validation[[#This Row],[Persona_ID]]</f>
        <v>218</v>
      </c>
      <c r="B219" s="31">
        <f>step3_validation[[#This Row],[Used_Seed]]</f>
        <v>12562</v>
      </c>
      <c r="C219" t="str">
        <f>step3_validation[[#This Row],[Gender]]</f>
        <v>Nữ</v>
      </c>
      <c r="D219" t="str">
        <f>survey_responses[[#This Row],[Giới tính của bạn:]]</f>
        <v>Nữ</v>
      </c>
      <c r="E219" t="str">
        <f>step3_validation[[#This Row],[Age_Group]]</f>
        <v>30 - 39</v>
      </c>
      <c r="F219" t="str">
        <f>survey_responses[[#This Row],[Độ tuổi của bạn:]]</f>
        <v>30 - 39</v>
      </c>
      <c r="G219" t="str">
        <f>step3_validation[[#This Row],[Region]]</f>
        <v>Thành thị</v>
      </c>
      <c r="H219" t="str">
        <f>survey_responses[[#This Row],[Khu vực bạn đang sinh sống:]]</f>
        <v>Thành thị</v>
      </c>
      <c r="I219" t="str">
        <f>step3_validation[[#This Row],[Education]]</f>
        <v>Đại học</v>
      </c>
      <c r="J219" t="str">
        <f>survey_responses[[#This Row],[Trình độ học vấn cao nhất:]]</f>
        <v>Đại học</v>
      </c>
      <c r="K219" t="str">
        <f>step3_validation[[#This Row],[Employment]]</f>
        <v>Chính thức</v>
      </c>
      <c r="L219" t="str">
        <f>survey_responses[[#This Row],[Tình trạng việc làm chính:]]</f>
        <v>Khu vực chính thức (Có Hợp đồng lao động, đóng BHXH)</v>
      </c>
      <c r="M219">
        <f>step3_validation[[#This Row],[Income_Mil]]</f>
        <v>51.913595024365129</v>
      </c>
      <c r="N219" t="str">
        <f>survey_responses[[#This Row],[Thu nhập bình quân tháng theo Hợp đồng lao động của bạn là bao nhiêu? (Vui lòng điền tổng thu nhập trước khi khấu trừ các loại Bảo hiểm (BHXH, BHYT, BHTN) và Thuế TNCN)]]</f>
        <v>Từ 48 - 70 triệu VNĐ</v>
      </c>
      <c r="O219">
        <f>step3_validation[[#This Row],[Dependents]]</f>
        <v>3</v>
      </c>
      <c r="P219" t="str">
        <f>survey_responses[[#This Row],[Số người phụ thuộc (con nhỏ, cha mẹ già...) đủ điều kiện giảm trừ gia cảnh:]]</f>
        <v>3 người</v>
      </c>
      <c r="Q219">
        <f>step3_validation[[#This Row],[AI_ENF1]]</f>
        <v>6</v>
      </c>
      <c r="R219">
        <f t="shared" si="81"/>
        <v>0.55555555555555558</v>
      </c>
      <c r="S219">
        <f>survey_responses[[#This Row],[Tôi tin rằng với các quy định quản lý thuế hiện nay, hành vi gian lận hoặc trốn thuế sẽ dễ dàng bị phát hiện và xử lý nghiêm. - HUMAN-ENF1]]</f>
        <v>6</v>
      </c>
      <c r="T219">
        <f t="shared" si="82"/>
        <v>0.55555555555555558</v>
      </c>
      <c r="U219">
        <f>step3_validation[[#This Row],[AI_ENF2]]</f>
        <v>8</v>
      </c>
      <c r="V219">
        <f t="shared" si="83"/>
        <v>0.77777777777777779</v>
      </c>
      <c r="W219">
        <f>survey_responses[[#This Row],[Tôi tin rằng Nhà nước, cơ quan thuế có đủ khả năng và công nghệ để phát hiện, xử lý nghiêm các hành vi trốn thuế. - HUMAN-ENF2]]</f>
        <v>7</v>
      </c>
      <c r="X219">
        <f t="shared" si="84"/>
        <v>0.66666666666666663</v>
      </c>
      <c r="Y219" s="32">
        <f t="shared" si="85"/>
        <v>0.66666666666666674</v>
      </c>
      <c r="Z219" s="32">
        <f t="shared" si="86"/>
        <v>0.61111111111111116</v>
      </c>
      <c r="AA219">
        <f>step3_validation[[#This Row],[AI_FAC1]]</f>
        <v>7</v>
      </c>
      <c r="AB219">
        <f t="shared" si="87"/>
        <v>0.66666666666666663</v>
      </c>
      <c r="AC219">
        <f>survey_responses[[#This Row],[Các thủ tục khai báo thuế VÀ/HOẶC quy trình làm việc với cơ quan thuế đơn giản, tiện lợi, nhanh chóng hơn so với trước đây. - HUMAN-FAC1]]</f>
        <v>7</v>
      </c>
      <c r="AD219">
        <f t="shared" si="88"/>
        <v>0.66666666666666663</v>
      </c>
      <c r="AE219">
        <f>step3_validation[[#This Row],[AI_FAC2]]</f>
        <v>9</v>
      </c>
      <c r="AF219">
        <f t="shared" si="89"/>
        <v>0.88888888888888884</v>
      </c>
      <c r="AG219">
        <f>survey_responses[[#This Row],[So với trước đây, tôi thấy cách tính thuế và các bậc thuế trong phương án mới đơn giản, dễ hiểu và dễ thực hiện hơn. - HUMAN-FAC2]]</f>
        <v>7</v>
      </c>
      <c r="AH219">
        <f t="shared" si="90"/>
        <v>0.66666666666666663</v>
      </c>
      <c r="AI219" s="32">
        <f t="shared" si="91"/>
        <v>0.77777777777777768</v>
      </c>
      <c r="AJ219" s="32">
        <f t="shared" si="92"/>
        <v>0.66666666666666663</v>
      </c>
      <c r="AK219">
        <f>step3_validation[[#This Row],[AI_TRU1]]</f>
        <v>7</v>
      </c>
      <c r="AL219">
        <f t="shared" si="93"/>
        <v>0.66666666666666663</v>
      </c>
      <c r="AM219">
        <f>survey_responses[[#This Row],[Tôi tin rằng Nhà nước, cơ quan thuế sẽ thực thi chính sách mới một cách khách quan, công tâm và đối xử bình đẳng với mọi người nộp thuế.  - HUMAN-TRU1]]</f>
        <v>7</v>
      </c>
      <c r="AN219">
        <f t="shared" si="94"/>
        <v>0.66666666666666663</v>
      </c>
      <c r="AO219">
        <f>step3_validation[[#This Row],[AI_TRU2]]</f>
        <v>8</v>
      </c>
      <c r="AP219">
        <f t="shared" si="95"/>
        <v>0.77777777777777779</v>
      </c>
      <c r="AQ219">
        <f>survey_responses[[#This Row],[Tôi thấy mức thuế tôi phải đóng theo phương án mới là công bằng (người thu nhập như tôi đóng mức này là hợp lý). - HUMAN-TRU2]]</f>
        <v>7</v>
      </c>
      <c r="AR219">
        <f t="shared" si="96"/>
        <v>0.66666666666666663</v>
      </c>
      <c r="AS219">
        <f>step3_validation[[#This Row],[AI_TRU3]]</f>
        <v>7</v>
      </c>
      <c r="AT219">
        <f t="shared" si="97"/>
        <v>0.66666666666666663</v>
      </c>
      <c r="AU219">
        <f>survey_responses[[#This Row],[Tôi tin tưởng số tiền thuế tôi đóng sẽ được Nhà nước sử dụng hiệu quả để cải thiện dịch vụ công (y tế, đường xá...). - HUMAN-TRU3]]</f>
        <v>7</v>
      </c>
      <c r="AV219">
        <f t="shared" si="98"/>
        <v>0.66666666666666663</v>
      </c>
      <c r="AW219">
        <f>step3_validation[[#This Row],[AI_TRU4]]</f>
        <v>8</v>
      </c>
      <c r="AX219">
        <f t="shared" si="99"/>
        <v>0.77777777777777779</v>
      </c>
      <c r="AY219">
        <f>survey_responses[[#This Row],[Tôi thấy Nhà nước đã giải thích rõ ràng, minh bạch về lý do và mục tiêu của việc sửa đổi thuế lần này. - HUMAN-TRU4]]</f>
        <v>7</v>
      </c>
      <c r="AZ219">
        <f t="shared" si="100"/>
        <v>0.66666666666666663</v>
      </c>
      <c r="BA219" s="32">
        <f t="shared" si="101"/>
        <v>0.72222222222222221</v>
      </c>
      <c r="BB219" s="32">
        <f t="shared" si="102"/>
        <v>0.66666666666666663</v>
      </c>
      <c r="BC219" s="7">
        <f t="shared" si="103"/>
        <v>0.72222222222222221</v>
      </c>
      <c r="BD219" s="7">
        <f t="shared" si="104"/>
        <v>0.64814814814814803</v>
      </c>
      <c r="BE219">
        <f>step3_validation[[#This Row],[AI_OUT1]]</f>
        <v>8</v>
      </c>
      <c r="BF219">
        <f t="shared" si="105"/>
        <v>0.77777777777777779</v>
      </c>
      <c r="BG219">
        <f>survey_responses[[#This Row],[Sau khi xem xét các quyền lợi và nghĩa vụ, bạn có ủng hộ và tuân thủ chính sách mới hiện nay? - HUMAN-OUT1]]</f>
        <v>7</v>
      </c>
      <c r="BH219">
        <f t="shared" si="106"/>
        <v>0.66666666666666663</v>
      </c>
      <c r="BI219" s="32">
        <f t="shared" si="107"/>
        <v>1</v>
      </c>
    </row>
    <row r="220" spans="1:61" x14ac:dyDescent="0.45">
      <c r="A220" s="30">
        <f>step3_validation[[#This Row],[Persona_ID]]</f>
        <v>219</v>
      </c>
      <c r="B220" s="31">
        <f>step3_validation[[#This Row],[Used_Seed]]</f>
        <v>12563</v>
      </c>
      <c r="C220" t="str">
        <f>step3_validation[[#This Row],[Gender]]</f>
        <v>Nam</v>
      </c>
      <c r="D220" t="str">
        <f>survey_responses[[#This Row],[Giới tính của bạn:]]</f>
        <v>Nam</v>
      </c>
      <c r="E220" t="str">
        <f>step3_validation[[#This Row],[Age_Group]]</f>
        <v>55 - 64</v>
      </c>
      <c r="F220" t="str">
        <f>survey_responses[[#This Row],[Độ tuổi của bạn:]]</f>
        <v>55 - 64</v>
      </c>
      <c r="G220" t="str">
        <f>step3_validation[[#This Row],[Region]]</f>
        <v>Thành thị</v>
      </c>
      <c r="H220" t="str">
        <f>survey_responses[[#This Row],[Khu vực bạn đang sinh sống:]]</f>
        <v>Thành thị</v>
      </c>
      <c r="I220" t="str">
        <f>step3_validation[[#This Row],[Education]]</f>
        <v>Sau Đại học</v>
      </c>
      <c r="J220" t="str">
        <f>survey_responses[[#This Row],[Trình độ học vấn cao nhất:]]</f>
        <v>Sau Đại học</v>
      </c>
      <c r="K220" t="str">
        <f>step3_validation[[#This Row],[Employment]]</f>
        <v>Chính thức</v>
      </c>
      <c r="L220" t="str">
        <f>survey_responses[[#This Row],[Tình trạng việc làm chính:]]</f>
        <v>Khu vực chính thức (Có Hợp đồng lao động, đóng BHXH)</v>
      </c>
      <c r="M220">
        <f>step3_validation[[#This Row],[Income_Mil]]</f>
        <v>209.50095099966052</v>
      </c>
      <c r="N220" t="str">
        <f>survey_responses[[#This Row],[Thu nhập bình quân tháng theo Hợp đồng lao động của bạn là bao nhiêu? (Vui lòng điền tổng thu nhập trước khi khấu trừ các loại Bảo hiểm (BHXH, BHYT, BHTN) và Thuế TNCN)]]</f>
        <v>Trên 102 triệu VNĐ</v>
      </c>
      <c r="O220">
        <f>step3_validation[[#This Row],[Dependents]]</f>
        <v>2</v>
      </c>
      <c r="P220" t="str">
        <f>survey_responses[[#This Row],[Số người phụ thuộc (con nhỏ, cha mẹ già...) đủ điều kiện giảm trừ gia cảnh:]]</f>
        <v>2 người</v>
      </c>
      <c r="Q220">
        <f>step3_validation[[#This Row],[AI_ENF1]]</f>
        <v>7</v>
      </c>
      <c r="R220">
        <f t="shared" si="81"/>
        <v>0.66666666666666663</v>
      </c>
      <c r="S220">
        <f>survey_responses[[#This Row],[Tôi tin rằng với các quy định quản lý thuế hiện nay, hành vi gian lận hoặc trốn thuế sẽ dễ dàng bị phát hiện và xử lý nghiêm. - HUMAN-ENF1]]</f>
        <v>7</v>
      </c>
      <c r="T220">
        <f t="shared" si="82"/>
        <v>0.66666666666666663</v>
      </c>
      <c r="U220">
        <f>step3_validation[[#This Row],[AI_ENF2]]</f>
        <v>8</v>
      </c>
      <c r="V220">
        <f t="shared" si="83"/>
        <v>0.77777777777777779</v>
      </c>
      <c r="W220">
        <f>survey_responses[[#This Row],[Tôi tin rằng Nhà nước, cơ quan thuế có đủ khả năng và công nghệ để phát hiện, xử lý nghiêm các hành vi trốn thuế. - HUMAN-ENF2]]</f>
        <v>8</v>
      </c>
      <c r="X220">
        <f t="shared" si="84"/>
        <v>0.77777777777777779</v>
      </c>
      <c r="Y220" s="32">
        <f t="shared" si="85"/>
        <v>0.72222222222222221</v>
      </c>
      <c r="Z220" s="32">
        <f t="shared" si="86"/>
        <v>0.72222222222222221</v>
      </c>
      <c r="AA220">
        <f>step3_validation[[#This Row],[AI_FAC1]]</f>
        <v>9</v>
      </c>
      <c r="AB220">
        <f t="shared" si="87"/>
        <v>0.88888888888888884</v>
      </c>
      <c r="AC220">
        <f>survey_responses[[#This Row],[Các thủ tục khai báo thuế VÀ/HOẶC quy trình làm việc với cơ quan thuế đơn giản, tiện lợi, nhanh chóng hơn so với trước đây. - HUMAN-FAC1]]</f>
        <v>8</v>
      </c>
      <c r="AD220">
        <f t="shared" si="88"/>
        <v>0.77777777777777779</v>
      </c>
      <c r="AE220">
        <f>step3_validation[[#This Row],[AI_FAC2]]</f>
        <v>9</v>
      </c>
      <c r="AF220">
        <f t="shared" si="89"/>
        <v>0.88888888888888884</v>
      </c>
      <c r="AG220">
        <f>survey_responses[[#This Row],[So với trước đây, tôi thấy cách tính thuế và các bậc thuế trong phương án mới đơn giản, dễ hiểu và dễ thực hiện hơn. - HUMAN-FAC2]]</f>
        <v>8</v>
      </c>
      <c r="AH220">
        <f t="shared" si="90"/>
        <v>0.77777777777777779</v>
      </c>
      <c r="AI220" s="32">
        <f t="shared" si="91"/>
        <v>0.88888888888888884</v>
      </c>
      <c r="AJ220" s="32">
        <f t="shared" si="92"/>
        <v>0.77777777777777779</v>
      </c>
      <c r="AK220">
        <f>step3_validation[[#This Row],[AI_TRU1]]</f>
        <v>7</v>
      </c>
      <c r="AL220">
        <f t="shared" si="93"/>
        <v>0.66666666666666663</v>
      </c>
      <c r="AM220">
        <f>survey_responses[[#This Row],[Tôi tin rằng Nhà nước, cơ quan thuế sẽ thực thi chính sách mới một cách khách quan, công tâm và đối xử bình đẳng với mọi người nộp thuế.  - HUMAN-TRU1]]</f>
        <v>8</v>
      </c>
      <c r="AN220">
        <f t="shared" si="94"/>
        <v>0.77777777777777779</v>
      </c>
      <c r="AO220">
        <f>step3_validation[[#This Row],[AI_TRU2]]</f>
        <v>8</v>
      </c>
      <c r="AP220">
        <f t="shared" si="95"/>
        <v>0.77777777777777779</v>
      </c>
      <c r="AQ220">
        <f>survey_responses[[#This Row],[Tôi thấy mức thuế tôi phải đóng theo phương án mới là công bằng (người thu nhập như tôi đóng mức này là hợp lý). - HUMAN-TRU2]]</f>
        <v>5</v>
      </c>
      <c r="AR220">
        <f t="shared" si="96"/>
        <v>0.44444444444444442</v>
      </c>
      <c r="AS220">
        <f>step3_validation[[#This Row],[AI_TRU3]]</f>
        <v>7</v>
      </c>
      <c r="AT220">
        <f t="shared" si="97"/>
        <v>0.66666666666666663</v>
      </c>
      <c r="AU220">
        <f>survey_responses[[#This Row],[Tôi tin tưởng số tiền thuế tôi đóng sẽ được Nhà nước sử dụng hiệu quả để cải thiện dịch vụ công (y tế, đường xá...). - HUMAN-TRU3]]</f>
        <v>5</v>
      </c>
      <c r="AV220">
        <f t="shared" si="98"/>
        <v>0.44444444444444442</v>
      </c>
      <c r="AW220">
        <f>step3_validation[[#This Row],[AI_TRU4]]</f>
        <v>8</v>
      </c>
      <c r="AX220">
        <f t="shared" si="99"/>
        <v>0.77777777777777779</v>
      </c>
      <c r="AY220">
        <f>survey_responses[[#This Row],[Tôi thấy Nhà nước đã giải thích rõ ràng, minh bạch về lý do và mục tiêu của việc sửa đổi thuế lần này. - HUMAN-TRU4]]</f>
        <v>7</v>
      </c>
      <c r="AZ220">
        <f t="shared" si="100"/>
        <v>0.66666666666666663</v>
      </c>
      <c r="BA220" s="32">
        <f t="shared" si="101"/>
        <v>0.72222222222222221</v>
      </c>
      <c r="BB220" s="32">
        <f t="shared" si="102"/>
        <v>0.58333333333333337</v>
      </c>
      <c r="BC220" s="7">
        <f t="shared" si="103"/>
        <v>0.77777777777777779</v>
      </c>
      <c r="BD220" s="7">
        <f t="shared" si="104"/>
        <v>0.69444444444444453</v>
      </c>
      <c r="BE220">
        <f>step3_validation[[#This Row],[AI_OUT1]]</f>
        <v>9</v>
      </c>
      <c r="BF220">
        <f t="shared" si="105"/>
        <v>0.88888888888888884</v>
      </c>
      <c r="BG220">
        <f>survey_responses[[#This Row],[Sau khi xem xét các quyền lợi và nghĩa vụ, bạn có ủng hộ và tuân thủ chính sách mới hiện nay? - HUMAN-OUT1]]</f>
        <v>6</v>
      </c>
      <c r="BH220">
        <f t="shared" si="106"/>
        <v>0.55555555555555558</v>
      </c>
      <c r="BI220" s="32">
        <f t="shared" si="107"/>
        <v>3</v>
      </c>
    </row>
    <row r="221" spans="1:61" x14ac:dyDescent="0.45">
      <c r="A221" s="30">
        <f>step3_validation[[#This Row],[Persona_ID]]</f>
        <v>220</v>
      </c>
      <c r="B221" s="31">
        <f>step3_validation[[#This Row],[Used_Seed]]</f>
        <v>12564</v>
      </c>
      <c r="C221" t="str">
        <f>step3_validation[[#This Row],[Gender]]</f>
        <v>Nữ</v>
      </c>
      <c r="D221" t="str">
        <f>survey_responses[[#This Row],[Giới tính của bạn:]]</f>
        <v>Nữ</v>
      </c>
      <c r="E221" t="str">
        <f>step3_validation[[#This Row],[Age_Group]]</f>
        <v>50 - 54</v>
      </c>
      <c r="F221" t="str">
        <f>survey_responses[[#This Row],[Độ tuổi của bạn:]]</f>
        <v>50 - 54</v>
      </c>
      <c r="G221" t="str">
        <f>step3_validation[[#This Row],[Region]]</f>
        <v>Thành thị</v>
      </c>
      <c r="H221" t="str">
        <f>survey_responses[[#This Row],[Khu vực bạn đang sinh sống:]]</f>
        <v>Thành thị</v>
      </c>
      <c r="I221" t="str">
        <f>step3_validation[[#This Row],[Education]]</f>
        <v>Sau Đại học</v>
      </c>
      <c r="J221" t="str">
        <f>survey_responses[[#This Row],[Trình độ học vấn cao nhất:]]</f>
        <v>Sau Đại học</v>
      </c>
      <c r="K221" t="str">
        <f>step3_validation[[#This Row],[Employment]]</f>
        <v>Chính thức</v>
      </c>
      <c r="L221" t="str">
        <f>survey_responses[[#This Row],[Tình trạng việc làm chính:]]</f>
        <v>Khu vực chính thức (Có Hợp đồng lao động, đóng BHXH)</v>
      </c>
      <c r="M221">
        <f>step3_validation[[#This Row],[Income_Mil]]</f>
        <v>211.25547386529038</v>
      </c>
      <c r="N221" t="str">
        <f>survey_responses[[#This Row],[Thu nhập bình quân tháng theo Hợp đồng lao động của bạn là bao nhiêu? (Vui lòng điền tổng thu nhập trước khi khấu trừ các loại Bảo hiểm (BHXH, BHYT, BHTN) và Thuế TNCN)]]</f>
        <v>Trên 102 triệu VNĐ</v>
      </c>
      <c r="O221">
        <f>step3_validation[[#This Row],[Dependents]]</f>
        <v>1</v>
      </c>
      <c r="P221" t="str">
        <f>survey_responses[[#This Row],[Số người phụ thuộc (con nhỏ, cha mẹ già...) đủ điều kiện giảm trừ gia cảnh:]]</f>
        <v>1 người</v>
      </c>
      <c r="Q221">
        <f>step3_validation[[#This Row],[AI_ENF1]]</f>
        <v>6</v>
      </c>
      <c r="R221">
        <f t="shared" si="81"/>
        <v>0.55555555555555558</v>
      </c>
      <c r="S221">
        <f>survey_responses[[#This Row],[Tôi tin rằng với các quy định quản lý thuế hiện nay, hành vi gian lận hoặc trốn thuế sẽ dễ dàng bị phát hiện và xử lý nghiêm. - HUMAN-ENF1]]</f>
        <v>10</v>
      </c>
      <c r="T221">
        <f t="shared" si="82"/>
        <v>1</v>
      </c>
      <c r="U221">
        <f>step3_validation[[#This Row],[AI_ENF2]]</f>
        <v>7</v>
      </c>
      <c r="V221">
        <f t="shared" si="83"/>
        <v>0.66666666666666663</v>
      </c>
      <c r="W221">
        <f>survey_responses[[#This Row],[Tôi tin rằng Nhà nước, cơ quan thuế có đủ khả năng và công nghệ để phát hiện, xử lý nghiêm các hành vi trốn thuế. - HUMAN-ENF2]]</f>
        <v>10</v>
      </c>
      <c r="X221">
        <f t="shared" si="84"/>
        <v>1</v>
      </c>
      <c r="Y221" s="32">
        <f t="shared" si="85"/>
        <v>0.61111111111111116</v>
      </c>
      <c r="Z221" s="32">
        <f t="shared" si="86"/>
        <v>1</v>
      </c>
      <c r="AA221">
        <f>step3_validation[[#This Row],[AI_FAC1]]</f>
        <v>9</v>
      </c>
      <c r="AB221">
        <f t="shared" si="87"/>
        <v>0.88888888888888884</v>
      </c>
      <c r="AC221">
        <f>survey_responses[[#This Row],[Các thủ tục khai báo thuế VÀ/HOẶC quy trình làm việc với cơ quan thuế đơn giản, tiện lợi, nhanh chóng hơn so với trước đây. - HUMAN-FAC1]]</f>
        <v>6</v>
      </c>
      <c r="AD221">
        <f t="shared" si="88"/>
        <v>0.55555555555555558</v>
      </c>
      <c r="AE221">
        <f>step3_validation[[#This Row],[AI_FAC2]]</f>
        <v>8</v>
      </c>
      <c r="AF221">
        <f t="shared" si="89"/>
        <v>0.77777777777777779</v>
      </c>
      <c r="AG221">
        <f>survey_responses[[#This Row],[So với trước đây, tôi thấy cách tính thuế và các bậc thuế trong phương án mới đơn giản, dễ hiểu và dễ thực hiện hơn. - HUMAN-FAC2]]</f>
        <v>9</v>
      </c>
      <c r="AH221">
        <f t="shared" si="90"/>
        <v>0.88888888888888884</v>
      </c>
      <c r="AI221" s="32">
        <f t="shared" si="91"/>
        <v>0.83333333333333326</v>
      </c>
      <c r="AJ221" s="32">
        <f t="shared" si="92"/>
        <v>0.72222222222222221</v>
      </c>
      <c r="AK221">
        <f>step3_validation[[#This Row],[AI_TRU1]]</f>
        <v>7</v>
      </c>
      <c r="AL221">
        <f t="shared" si="93"/>
        <v>0.66666666666666663</v>
      </c>
      <c r="AM221">
        <f>survey_responses[[#This Row],[Tôi tin rằng Nhà nước, cơ quan thuế sẽ thực thi chính sách mới một cách khách quan, công tâm và đối xử bình đẳng với mọi người nộp thuế.  - HUMAN-TRU1]]</f>
        <v>9</v>
      </c>
      <c r="AN221">
        <f t="shared" si="94"/>
        <v>0.88888888888888884</v>
      </c>
      <c r="AO221">
        <f>step3_validation[[#This Row],[AI_TRU2]]</f>
        <v>9</v>
      </c>
      <c r="AP221">
        <f t="shared" si="95"/>
        <v>0.88888888888888884</v>
      </c>
      <c r="AQ221">
        <f>survey_responses[[#This Row],[Tôi thấy mức thuế tôi phải đóng theo phương án mới là công bằng (người thu nhập như tôi đóng mức này là hợp lý). - HUMAN-TRU2]]</f>
        <v>9</v>
      </c>
      <c r="AR221">
        <f t="shared" si="96"/>
        <v>0.88888888888888884</v>
      </c>
      <c r="AS221">
        <f>step3_validation[[#This Row],[AI_TRU3]]</f>
        <v>7</v>
      </c>
      <c r="AT221">
        <f t="shared" si="97"/>
        <v>0.66666666666666663</v>
      </c>
      <c r="AU221">
        <f>survey_responses[[#This Row],[Tôi tin tưởng số tiền thuế tôi đóng sẽ được Nhà nước sử dụng hiệu quả để cải thiện dịch vụ công (y tế, đường xá...). - HUMAN-TRU3]]</f>
        <v>9</v>
      </c>
      <c r="AV221">
        <f t="shared" si="98"/>
        <v>0.88888888888888884</v>
      </c>
      <c r="AW221">
        <f>step3_validation[[#This Row],[AI_TRU4]]</f>
        <v>8</v>
      </c>
      <c r="AX221">
        <f t="shared" si="99"/>
        <v>0.77777777777777779</v>
      </c>
      <c r="AY221">
        <f>survey_responses[[#This Row],[Tôi thấy Nhà nước đã giải thích rõ ràng, minh bạch về lý do và mục tiêu của việc sửa đổi thuế lần này. - HUMAN-TRU4]]</f>
        <v>8</v>
      </c>
      <c r="AZ221">
        <f t="shared" si="100"/>
        <v>0.77777777777777779</v>
      </c>
      <c r="BA221" s="32">
        <f t="shared" si="101"/>
        <v>0.74999999999999989</v>
      </c>
      <c r="BB221" s="32">
        <f t="shared" si="102"/>
        <v>0.86111111111111105</v>
      </c>
      <c r="BC221" s="7">
        <f t="shared" si="103"/>
        <v>0.7314814814814814</v>
      </c>
      <c r="BD221" s="7">
        <f t="shared" si="104"/>
        <v>0.86111111111111116</v>
      </c>
      <c r="BE221">
        <f>step3_validation[[#This Row],[AI_OUT1]]</f>
        <v>9</v>
      </c>
      <c r="BF221">
        <f t="shared" si="105"/>
        <v>0.88888888888888884</v>
      </c>
      <c r="BG221">
        <f>survey_responses[[#This Row],[Sau khi xem xét các quyền lợi và nghĩa vụ, bạn có ủng hộ và tuân thủ chính sách mới hiện nay? - HUMAN-OUT1]]</f>
        <v>8</v>
      </c>
      <c r="BH221">
        <f t="shared" si="106"/>
        <v>0.77777777777777779</v>
      </c>
      <c r="BI221" s="32">
        <f t="shared" si="107"/>
        <v>1</v>
      </c>
    </row>
    <row r="222" spans="1:61" x14ac:dyDescent="0.45">
      <c r="A222" s="30">
        <f>step3_validation[[#This Row],[Persona_ID]]</f>
        <v>221</v>
      </c>
      <c r="B222" s="31">
        <f>step3_validation[[#This Row],[Used_Seed]]</f>
        <v>12565</v>
      </c>
      <c r="C222" t="str">
        <f>step3_validation[[#This Row],[Gender]]</f>
        <v>Nữ</v>
      </c>
      <c r="D222" t="str">
        <f>survey_responses[[#This Row],[Giới tính của bạn:]]</f>
        <v>Nữ</v>
      </c>
      <c r="E222" t="str">
        <f>step3_validation[[#This Row],[Age_Group]]</f>
        <v>40 - 49</v>
      </c>
      <c r="F222" t="str">
        <f>survey_responses[[#This Row],[Độ tuổi của bạn:]]</f>
        <v>40 - 49</v>
      </c>
      <c r="G222" t="str">
        <f>step3_validation[[#This Row],[Region]]</f>
        <v>Thành thị</v>
      </c>
      <c r="H222" t="str">
        <f>survey_responses[[#This Row],[Khu vực bạn đang sinh sống:]]</f>
        <v>Thành thị</v>
      </c>
      <c r="I222" t="str">
        <f>step3_validation[[#This Row],[Education]]</f>
        <v>Đại học</v>
      </c>
      <c r="J222" t="str">
        <f>survey_responses[[#This Row],[Trình độ học vấn cao nhất:]]</f>
        <v>Đại học</v>
      </c>
      <c r="K222" t="str">
        <f>step3_validation[[#This Row],[Employment]]</f>
        <v>Chính thức</v>
      </c>
      <c r="L222" t="str">
        <f>survey_responses[[#This Row],[Tình trạng việc làm chính:]]</f>
        <v>Khu vực chính thức (Có Hợp đồng lao động, đóng BHXH)</v>
      </c>
      <c r="M222">
        <f>step3_validation[[#This Row],[Income_Mil]]</f>
        <v>56.947044831130214</v>
      </c>
      <c r="N222" t="str">
        <f>survey_responses[[#This Row],[Thu nhập bình quân tháng theo Hợp đồng lao động của bạn là bao nhiêu? (Vui lòng điền tổng thu nhập trước khi khấu trừ các loại Bảo hiểm (BHXH, BHYT, BHTN) và Thuế TNCN)]]</f>
        <v>Từ 48 - 70 triệu VNĐ</v>
      </c>
      <c r="O222">
        <f>step3_validation[[#This Row],[Dependents]]</f>
        <v>1</v>
      </c>
      <c r="P222" t="str">
        <f>survey_responses[[#This Row],[Số người phụ thuộc (con nhỏ, cha mẹ già...) đủ điều kiện giảm trừ gia cảnh:]]</f>
        <v>1 người</v>
      </c>
      <c r="Q222">
        <f>step3_validation[[#This Row],[AI_ENF1]]</f>
        <v>8</v>
      </c>
      <c r="R222">
        <f t="shared" si="81"/>
        <v>0.77777777777777779</v>
      </c>
      <c r="S222">
        <f>survey_responses[[#This Row],[Tôi tin rằng với các quy định quản lý thuế hiện nay, hành vi gian lận hoặc trốn thuế sẽ dễ dàng bị phát hiện và xử lý nghiêm. - HUMAN-ENF1]]</f>
        <v>4</v>
      </c>
      <c r="T222">
        <f t="shared" si="82"/>
        <v>0.33333333333333331</v>
      </c>
      <c r="U222">
        <f>step3_validation[[#This Row],[AI_ENF2]]</f>
        <v>9</v>
      </c>
      <c r="V222">
        <f t="shared" si="83"/>
        <v>0.88888888888888884</v>
      </c>
      <c r="W222">
        <f>survey_responses[[#This Row],[Tôi tin rằng Nhà nước, cơ quan thuế có đủ khả năng và công nghệ để phát hiện, xử lý nghiêm các hành vi trốn thuế. - HUMAN-ENF2]]</f>
        <v>4</v>
      </c>
      <c r="X222">
        <f t="shared" si="84"/>
        <v>0.33333333333333331</v>
      </c>
      <c r="Y222" s="32">
        <f t="shared" si="85"/>
        <v>0.83333333333333326</v>
      </c>
      <c r="Z222" s="32">
        <f t="shared" si="86"/>
        <v>0.33333333333333331</v>
      </c>
      <c r="AA222">
        <f>step3_validation[[#This Row],[AI_FAC1]]</f>
        <v>6</v>
      </c>
      <c r="AB222">
        <f t="shared" si="87"/>
        <v>0.55555555555555558</v>
      </c>
      <c r="AC222">
        <f>survey_responses[[#This Row],[Các thủ tục khai báo thuế VÀ/HOẶC quy trình làm việc với cơ quan thuế đơn giản, tiện lợi, nhanh chóng hơn so với trước đây. - HUMAN-FAC1]]</f>
        <v>4</v>
      </c>
      <c r="AD222">
        <f t="shared" si="88"/>
        <v>0.33333333333333331</v>
      </c>
      <c r="AE222">
        <f>step3_validation[[#This Row],[AI_FAC2]]</f>
        <v>8</v>
      </c>
      <c r="AF222">
        <f t="shared" si="89"/>
        <v>0.77777777777777779</v>
      </c>
      <c r="AG222">
        <f>survey_responses[[#This Row],[So với trước đây, tôi thấy cách tính thuế và các bậc thuế trong phương án mới đơn giản, dễ hiểu và dễ thực hiện hơn. - HUMAN-FAC2]]</f>
        <v>6</v>
      </c>
      <c r="AH222">
        <f t="shared" si="90"/>
        <v>0.55555555555555558</v>
      </c>
      <c r="AI222" s="32">
        <f t="shared" si="91"/>
        <v>0.66666666666666674</v>
      </c>
      <c r="AJ222" s="32">
        <f t="shared" si="92"/>
        <v>0.44444444444444442</v>
      </c>
      <c r="AK222">
        <f>step3_validation[[#This Row],[AI_TRU1]]</f>
        <v>7</v>
      </c>
      <c r="AL222">
        <f t="shared" si="93"/>
        <v>0.66666666666666663</v>
      </c>
      <c r="AM222">
        <f>survey_responses[[#This Row],[Tôi tin rằng Nhà nước, cơ quan thuế sẽ thực thi chính sách mới một cách khách quan, công tâm và đối xử bình đẳng với mọi người nộp thuế.  - HUMAN-TRU1]]</f>
        <v>5</v>
      </c>
      <c r="AN222">
        <f t="shared" si="94"/>
        <v>0.44444444444444442</v>
      </c>
      <c r="AO222">
        <f>step3_validation[[#This Row],[AI_TRU2]]</f>
        <v>9</v>
      </c>
      <c r="AP222">
        <f t="shared" si="95"/>
        <v>0.88888888888888884</v>
      </c>
      <c r="AQ222">
        <f>survey_responses[[#This Row],[Tôi thấy mức thuế tôi phải đóng theo phương án mới là công bằng (người thu nhập như tôi đóng mức này là hợp lý). - HUMAN-TRU2]]</f>
        <v>6</v>
      </c>
      <c r="AR222">
        <f t="shared" si="96"/>
        <v>0.55555555555555558</v>
      </c>
      <c r="AS222">
        <f>step3_validation[[#This Row],[AI_TRU3]]</f>
        <v>7</v>
      </c>
      <c r="AT222">
        <f t="shared" si="97"/>
        <v>0.66666666666666663</v>
      </c>
      <c r="AU222">
        <f>survey_responses[[#This Row],[Tôi tin tưởng số tiền thuế tôi đóng sẽ được Nhà nước sử dụng hiệu quả để cải thiện dịch vụ công (y tế, đường xá...). - HUMAN-TRU3]]</f>
        <v>5</v>
      </c>
      <c r="AV222">
        <f t="shared" si="98"/>
        <v>0.44444444444444442</v>
      </c>
      <c r="AW222">
        <f>step3_validation[[#This Row],[AI_TRU4]]</f>
        <v>8</v>
      </c>
      <c r="AX222">
        <f t="shared" si="99"/>
        <v>0.77777777777777779</v>
      </c>
      <c r="AY222">
        <f>survey_responses[[#This Row],[Tôi thấy Nhà nước đã giải thích rõ ràng, minh bạch về lý do và mục tiêu của việc sửa đổi thuế lần này. - HUMAN-TRU4]]</f>
        <v>6</v>
      </c>
      <c r="AZ222">
        <f t="shared" si="100"/>
        <v>0.55555555555555558</v>
      </c>
      <c r="BA222" s="32">
        <f t="shared" si="101"/>
        <v>0.74999999999999989</v>
      </c>
      <c r="BB222" s="32">
        <f t="shared" si="102"/>
        <v>0.5</v>
      </c>
      <c r="BC222" s="7">
        <f t="shared" si="103"/>
        <v>0.75</v>
      </c>
      <c r="BD222" s="7">
        <f t="shared" si="104"/>
        <v>0.42592592592592587</v>
      </c>
      <c r="BE222">
        <f>step3_validation[[#This Row],[AI_OUT1]]</f>
        <v>7</v>
      </c>
      <c r="BF222">
        <f t="shared" si="105"/>
        <v>0.66666666666666663</v>
      </c>
      <c r="BG222">
        <f>survey_responses[[#This Row],[Sau khi xem xét các quyền lợi và nghĩa vụ, bạn có ủng hộ và tuân thủ chính sách mới hiện nay? - HUMAN-OUT1]]</f>
        <v>5</v>
      </c>
      <c r="BH222">
        <f t="shared" si="106"/>
        <v>0.44444444444444442</v>
      </c>
      <c r="BI222" s="32">
        <f t="shared" si="107"/>
        <v>2</v>
      </c>
    </row>
    <row r="223" spans="1:61" x14ac:dyDescent="0.45">
      <c r="A223" s="30">
        <f>step3_validation[[#This Row],[Persona_ID]]</f>
        <v>222</v>
      </c>
      <c r="B223" s="31">
        <f>step3_validation[[#This Row],[Used_Seed]]</f>
        <v>12566</v>
      </c>
      <c r="C223" t="str">
        <f>step3_validation[[#This Row],[Gender]]</f>
        <v>Nữ</v>
      </c>
      <c r="D223" t="str">
        <f>survey_responses[[#This Row],[Giới tính của bạn:]]</f>
        <v>Nữ</v>
      </c>
      <c r="E223" t="str">
        <f>step3_validation[[#This Row],[Age_Group]]</f>
        <v>50 - 54</v>
      </c>
      <c r="F223" t="str">
        <f>survey_responses[[#This Row],[Độ tuổi của bạn:]]</f>
        <v>50 - 54</v>
      </c>
      <c r="G223" t="str">
        <f>step3_validation[[#This Row],[Region]]</f>
        <v>Thành thị</v>
      </c>
      <c r="H223" t="str">
        <f>survey_responses[[#This Row],[Khu vực bạn đang sinh sống:]]</f>
        <v>Thành thị</v>
      </c>
      <c r="I223" t="str">
        <f>step3_validation[[#This Row],[Education]]</f>
        <v>Đại học</v>
      </c>
      <c r="J223" t="str">
        <f>survey_responses[[#This Row],[Trình độ học vấn cao nhất:]]</f>
        <v>Đại học</v>
      </c>
      <c r="K223" t="str">
        <f>step3_validation[[#This Row],[Employment]]</f>
        <v>Chính thức</v>
      </c>
      <c r="L223" t="str">
        <f>survey_responses[[#This Row],[Tình trạng việc làm chính:]]</f>
        <v>Khu vực chính thức (Có Hợp đồng lao động, đóng BHXH)</v>
      </c>
      <c r="M223">
        <f>step3_validation[[#This Row],[Income_Mil]]</f>
        <v>54.916541649315903</v>
      </c>
      <c r="N223" t="str">
        <f>survey_responses[[#This Row],[Thu nhập bình quân tháng theo Hợp đồng lao động của bạn là bao nhiêu? (Vui lòng điền tổng thu nhập trước khi khấu trừ các loại Bảo hiểm (BHXH, BHYT, BHTN) và Thuế TNCN)]]</f>
        <v>Từ 48 - 70 triệu VNĐ</v>
      </c>
      <c r="O223">
        <f>step3_validation[[#This Row],[Dependents]]</f>
        <v>2</v>
      </c>
      <c r="P223" t="str">
        <f>survey_responses[[#This Row],[Số người phụ thuộc (con nhỏ, cha mẹ già...) đủ điều kiện giảm trừ gia cảnh:]]</f>
        <v>2 người</v>
      </c>
      <c r="Q223">
        <f>step3_validation[[#This Row],[AI_ENF1]]</f>
        <v>7</v>
      </c>
      <c r="R223">
        <f t="shared" si="81"/>
        <v>0.66666666666666663</v>
      </c>
      <c r="S223">
        <f>survey_responses[[#This Row],[Tôi tin rằng với các quy định quản lý thuế hiện nay, hành vi gian lận hoặc trốn thuế sẽ dễ dàng bị phát hiện và xử lý nghiêm. - HUMAN-ENF1]]</f>
        <v>4</v>
      </c>
      <c r="T223">
        <f t="shared" si="82"/>
        <v>0.33333333333333331</v>
      </c>
      <c r="U223">
        <f>step3_validation[[#This Row],[AI_ENF2]]</f>
        <v>6</v>
      </c>
      <c r="V223">
        <f t="shared" si="83"/>
        <v>0.55555555555555558</v>
      </c>
      <c r="W223">
        <f>survey_responses[[#This Row],[Tôi tin rằng Nhà nước, cơ quan thuế có đủ khả năng và công nghệ để phát hiện, xử lý nghiêm các hành vi trốn thuế. - HUMAN-ENF2]]</f>
        <v>5</v>
      </c>
      <c r="X223">
        <f t="shared" si="84"/>
        <v>0.44444444444444442</v>
      </c>
      <c r="Y223" s="32">
        <f t="shared" si="85"/>
        <v>0.61111111111111116</v>
      </c>
      <c r="Z223" s="32">
        <f t="shared" si="86"/>
        <v>0.38888888888888884</v>
      </c>
      <c r="AA223">
        <f>step3_validation[[#This Row],[AI_FAC1]]</f>
        <v>8</v>
      </c>
      <c r="AB223">
        <f t="shared" si="87"/>
        <v>0.77777777777777779</v>
      </c>
      <c r="AC223">
        <f>survey_responses[[#This Row],[Các thủ tục khai báo thuế VÀ/HOẶC quy trình làm việc với cơ quan thuế đơn giản, tiện lợi, nhanh chóng hơn so với trước đây. - HUMAN-FAC1]]</f>
        <v>4</v>
      </c>
      <c r="AD223">
        <f t="shared" si="88"/>
        <v>0.33333333333333331</v>
      </c>
      <c r="AE223">
        <f>step3_validation[[#This Row],[AI_FAC2]]</f>
        <v>9</v>
      </c>
      <c r="AF223">
        <f t="shared" si="89"/>
        <v>0.88888888888888884</v>
      </c>
      <c r="AG223">
        <f>survey_responses[[#This Row],[So với trước đây, tôi thấy cách tính thuế và các bậc thuế trong phương án mới đơn giản, dễ hiểu và dễ thực hiện hơn. - HUMAN-FAC2]]</f>
        <v>5</v>
      </c>
      <c r="AH223">
        <f t="shared" si="90"/>
        <v>0.44444444444444442</v>
      </c>
      <c r="AI223" s="32">
        <f t="shared" si="91"/>
        <v>0.83333333333333326</v>
      </c>
      <c r="AJ223" s="32">
        <f t="shared" si="92"/>
        <v>0.38888888888888884</v>
      </c>
      <c r="AK223">
        <f>step3_validation[[#This Row],[AI_TRU1]]</f>
        <v>8</v>
      </c>
      <c r="AL223">
        <f t="shared" si="93"/>
        <v>0.77777777777777779</v>
      </c>
      <c r="AM223">
        <f>survey_responses[[#This Row],[Tôi tin rằng Nhà nước, cơ quan thuế sẽ thực thi chính sách mới một cách khách quan, công tâm và đối xử bình đẳng với mọi người nộp thuế.  - HUMAN-TRU1]]</f>
        <v>5</v>
      </c>
      <c r="AN223">
        <f t="shared" si="94"/>
        <v>0.44444444444444442</v>
      </c>
      <c r="AO223">
        <f>step3_validation[[#This Row],[AI_TRU2]]</f>
        <v>9</v>
      </c>
      <c r="AP223">
        <f t="shared" si="95"/>
        <v>0.88888888888888884</v>
      </c>
      <c r="AQ223">
        <f>survey_responses[[#This Row],[Tôi thấy mức thuế tôi phải đóng theo phương án mới là công bằng (người thu nhập như tôi đóng mức này là hợp lý). - HUMAN-TRU2]]</f>
        <v>5</v>
      </c>
      <c r="AR223">
        <f t="shared" si="96"/>
        <v>0.44444444444444442</v>
      </c>
      <c r="AS223">
        <f>step3_validation[[#This Row],[AI_TRU3]]</f>
        <v>8</v>
      </c>
      <c r="AT223">
        <f t="shared" si="97"/>
        <v>0.77777777777777779</v>
      </c>
      <c r="AU223">
        <f>survey_responses[[#This Row],[Tôi tin tưởng số tiền thuế tôi đóng sẽ được Nhà nước sử dụng hiệu quả để cải thiện dịch vụ công (y tế, đường xá...). - HUMAN-TRU3]]</f>
        <v>5</v>
      </c>
      <c r="AV223">
        <f t="shared" si="98"/>
        <v>0.44444444444444442</v>
      </c>
      <c r="AW223">
        <f>step3_validation[[#This Row],[AI_TRU4]]</f>
        <v>7</v>
      </c>
      <c r="AX223">
        <f t="shared" si="99"/>
        <v>0.66666666666666663</v>
      </c>
      <c r="AY223">
        <f>survey_responses[[#This Row],[Tôi thấy Nhà nước đã giải thích rõ ràng, minh bạch về lý do và mục tiêu của việc sửa đổi thuế lần này. - HUMAN-TRU4]]</f>
        <v>5</v>
      </c>
      <c r="AZ223">
        <f t="shared" si="100"/>
        <v>0.44444444444444442</v>
      </c>
      <c r="BA223" s="32">
        <f t="shared" si="101"/>
        <v>0.77777777777777768</v>
      </c>
      <c r="BB223" s="32">
        <f t="shared" si="102"/>
        <v>0.44444444444444442</v>
      </c>
      <c r="BC223" s="7">
        <f t="shared" si="103"/>
        <v>0.74074074074074081</v>
      </c>
      <c r="BD223" s="7">
        <f t="shared" si="104"/>
        <v>0.40740740740740738</v>
      </c>
      <c r="BE223">
        <f>step3_validation[[#This Row],[AI_OUT1]]</f>
        <v>9</v>
      </c>
      <c r="BF223">
        <f t="shared" si="105"/>
        <v>0.88888888888888884</v>
      </c>
      <c r="BG223">
        <f>survey_responses[[#This Row],[Sau khi xem xét các quyền lợi và nghĩa vụ, bạn có ủng hộ và tuân thủ chính sách mới hiện nay? - HUMAN-OUT1]]</f>
        <v>5</v>
      </c>
      <c r="BH223">
        <f t="shared" si="106"/>
        <v>0.44444444444444442</v>
      </c>
      <c r="BI223" s="32">
        <f t="shared" si="107"/>
        <v>4</v>
      </c>
    </row>
    <row r="224" spans="1:61" x14ac:dyDescent="0.45">
      <c r="A224" s="30">
        <f>step3_validation[[#This Row],[Persona_ID]]</f>
        <v>223</v>
      </c>
      <c r="B224" s="31">
        <f>step3_validation[[#This Row],[Used_Seed]]</f>
        <v>12567</v>
      </c>
      <c r="C224" t="str">
        <f>step3_validation[[#This Row],[Gender]]</f>
        <v>Nam</v>
      </c>
      <c r="D224" t="str">
        <f>survey_responses[[#This Row],[Giới tính của bạn:]]</f>
        <v>Nam</v>
      </c>
      <c r="E224" t="str">
        <f>step3_validation[[#This Row],[Age_Group]]</f>
        <v>30 - 39</v>
      </c>
      <c r="F224" t="str">
        <f>survey_responses[[#This Row],[Độ tuổi của bạn:]]</f>
        <v>30 - 39</v>
      </c>
      <c r="G224" t="str">
        <f>step3_validation[[#This Row],[Region]]</f>
        <v>Thành thị</v>
      </c>
      <c r="H224" t="str">
        <f>survey_responses[[#This Row],[Khu vực bạn đang sinh sống:]]</f>
        <v>Thành thị</v>
      </c>
      <c r="I224" t="str">
        <f>step3_validation[[#This Row],[Education]]</f>
        <v>Đại học</v>
      </c>
      <c r="J224" t="str">
        <f>survey_responses[[#This Row],[Trình độ học vấn cao nhất:]]</f>
        <v>Đại học</v>
      </c>
      <c r="K224" t="str">
        <f>step3_validation[[#This Row],[Employment]]</f>
        <v>Chính thức</v>
      </c>
      <c r="L224" t="str">
        <f>survey_responses[[#This Row],[Tình trạng việc làm chính:]]</f>
        <v>Khu vực chính thức (Có Hợp đồng lao động, đóng BHXH)</v>
      </c>
      <c r="M224">
        <f>step3_validation[[#This Row],[Income_Mil]]</f>
        <v>52.359479696293327</v>
      </c>
      <c r="N224" t="str">
        <f>survey_responses[[#This Row],[Thu nhập bình quân tháng theo Hợp đồng lao động của bạn là bao nhiêu? (Vui lòng điền tổng thu nhập trước khi khấu trừ các loại Bảo hiểm (BHXH, BHYT, BHTN) và Thuế TNCN)]]</f>
        <v>Từ 48 - 70 triệu VNĐ</v>
      </c>
      <c r="O224">
        <f>step3_validation[[#This Row],[Dependents]]</f>
        <v>2</v>
      </c>
      <c r="P224" t="str">
        <f>survey_responses[[#This Row],[Số người phụ thuộc (con nhỏ, cha mẹ già...) đủ điều kiện giảm trừ gia cảnh:]]</f>
        <v>2 người</v>
      </c>
      <c r="Q224">
        <f>step3_validation[[#This Row],[AI_ENF1]]</f>
        <v>7</v>
      </c>
      <c r="R224">
        <f t="shared" si="81"/>
        <v>0.66666666666666663</v>
      </c>
      <c r="S224">
        <f>survey_responses[[#This Row],[Tôi tin rằng với các quy định quản lý thuế hiện nay, hành vi gian lận hoặc trốn thuế sẽ dễ dàng bị phát hiện và xử lý nghiêm. - HUMAN-ENF1]]</f>
        <v>6</v>
      </c>
      <c r="T224">
        <f t="shared" si="82"/>
        <v>0.55555555555555558</v>
      </c>
      <c r="U224">
        <f>step3_validation[[#This Row],[AI_ENF2]]</f>
        <v>8</v>
      </c>
      <c r="V224">
        <f t="shared" si="83"/>
        <v>0.77777777777777779</v>
      </c>
      <c r="W224">
        <f>survey_responses[[#This Row],[Tôi tin rằng Nhà nước, cơ quan thuế có đủ khả năng và công nghệ để phát hiện, xử lý nghiêm các hành vi trốn thuế. - HUMAN-ENF2]]</f>
        <v>6</v>
      </c>
      <c r="X224">
        <f t="shared" si="84"/>
        <v>0.55555555555555558</v>
      </c>
      <c r="Y224" s="32">
        <f t="shared" si="85"/>
        <v>0.72222222222222221</v>
      </c>
      <c r="Z224" s="32">
        <f t="shared" si="86"/>
        <v>0.55555555555555558</v>
      </c>
      <c r="AA224">
        <f>step3_validation[[#This Row],[AI_FAC1]]</f>
        <v>9</v>
      </c>
      <c r="AB224">
        <f t="shared" si="87"/>
        <v>0.88888888888888884</v>
      </c>
      <c r="AC224">
        <f>survey_responses[[#This Row],[Các thủ tục khai báo thuế VÀ/HOẶC quy trình làm việc với cơ quan thuế đơn giản, tiện lợi, nhanh chóng hơn so với trước đây. - HUMAN-FAC1]]</f>
        <v>7</v>
      </c>
      <c r="AD224">
        <f t="shared" si="88"/>
        <v>0.66666666666666663</v>
      </c>
      <c r="AE224">
        <f>step3_validation[[#This Row],[AI_FAC2]]</f>
        <v>8</v>
      </c>
      <c r="AF224">
        <f t="shared" si="89"/>
        <v>0.77777777777777779</v>
      </c>
      <c r="AG224">
        <f>survey_responses[[#This Row],[So với trước đây, tôi thấy cách tính thuế và các bậc thuế trong phương án mới đơn giản, dễ hiểu và dễ thực hiện hơn. - HUMAN-FAC2]]</f>
        <v>7</v>
      </c>
      <c r="AH224">
        <f t="shared" si="90"/>
        <v>0.66666666666666663</v>
      </c>
      <c r="AI224" s="32">
        <f t="shared" si="91"/>
        <v>0.83333333333333326</v>
      </c>
      <c r="AJ224" s="32">
        <f t="shared" si="92"/>
        <v>0.66666666666666663</v>
      </c>
      <c r="AK224">
        <f>step3_validation[[#This Row],[AI_TRU1]]</f>
        <v>7</v>
      </c>
      <c r="AL224">
        <f t="shared" si="93"/>
        <v>0.66666666666666663</v>
      </c>
      <c r="AM224">
        <f>survey_responses[[#This Row],[Tôi tin rằng Nhà nước, cơ quan thuế sẽ thực thi chính sách mới một cách khách quan, công tâm và đối xử bình đẳng với mọi người nộp thuế.  - HUMAN-TRU1]]</f>
        <v>6</v>
      </c>
      <c r="AN224">
        <f t="shared" si="94"/>
        <v>0.55555555555555558</v>
      </c>
      <c r="AO224">
        <f>step3_validation[[#This Row],[AI_TRU2]]</f>
        <v>8</v>
      </c>
      <c r="AP224">
        <f t="shared" si="95"/>
        <v>0.77777777777777779</v>
      </c>
      <c r="AQ224">
        <f>survey_responses[[#This Row],[Tôi thấy mức thuế tôi phải đóng theo phương án mới là công bằng (người thu nhập như tôi đóng mức này là hợp lý). - HUMAN-TRU2]]</f>
        <v>6</v>
      </c>
      <c r="AR224">
        <f t="shared" si="96"/>
        <v>0.55555555555555558</v>
      </c>
      <c r="AS224">
        <f>step3_validation[[#This Row],[AI_TRU3]]</f>
        <v>6</v>
      </c>
      <c r="AT224">
        <f t="shared" si="97"/>
        <v>0.55555555555555558</v>
      </c>
      <c r="AU224">
        <f>survey_responses[[#This Row],[Tôi tin tưởng số tiền thuế tôi đóng sẽ được Nhà nước sử dụng hiệu quả để cải thiện dịch vụ công (y tế, đường xá...). - HUMAN-TRU3]]</f>
        <v>8</v>
      </c>
      <c r="AV224">
        <f t="shared" si="98"/>
        <v>0.77777777777777779</v>
      </c>
      <c r="AW224">
        <f>step3_validation[[#This Row],[AI_TRU4]]</f>
        <v>7</v>
      </c>
      <c r="AX224">
        <f t="shared" si="99"/>
        <v>0.66666666666666663</v>
      </c>
      <c r="AY224">
        <f>survey_responses[[#This Row],[Tôi thấy Nhà nước đã giải thích rõ ràng, minh bạch về lý do và mục tiêu của việc sửa đổi thuế lần này. - HUMAN-TRU4]]</f>
        <v>8</v>
      </c>
      <c r="AZ224">
        <f t="shared" si="100"/>
        <v>0.77777777777777779</v>
      </c>
      <c r="BA224" s="32">
        <f t="shared" si="101"/>
        <v>0.66666666666666663</v>
      </c>
      <c r="BB224" s="32">
        <f t="shared" si="102"/>
        <v>0.66666666666666663</v>
      </c>
      <c r="BC224" s="7">
        <f t="shared" si="103"/>
        <v>0.74074074074074059</v>
      </c>
      <c r="BD224" s="7">
        <f t="shared" si="104"/>
        <v>0.62962962962962965</v>
      </c>
      <c r="BE224">
        <f>step3_validation[[#This Row],[AI_OUT1]]</f>
        <v>9</v>
      </c>
      <c r="BF224">
        <f t="shared" si="105"/>
        <v>0.88888888888888884</v>
      </c>
      <c r="BG224">
        <f>survey_responses[[#This Row],[Sau khi xem xét các quyền lợi và nghĩa vụ, bạn có ủng hộ và tuân thủ chính sách mới hiện nay? - HUMAN-OUT1]]</f>
        <v>7</v>
      </c>
      <c r="BH224">
        <f t="shared" si="106"/>
        <v>0.66666666666666663</v>
      </c>
      <c r="BI224" s="32">
        <f t="shared" si="107"/>
        <v>2</v>
      </c>
    </row>
    <row r="225" spans="1:61" x14ac:dyDescent="0.45">
      <c r="A225" s="30">
        <f>step3_validation[[#This Row],[Persona_ID]]</f>
        <v>224</v>
      </c>
      <c r="B225" s="31">
        <f>step3_validation[[#This Row],[Used_Seed]]</f>
        <v>12568</v>
      </c>
      <c r="C225" t="str">
        <f>step3_validation[[#This Row],[Gender]]</f>
        <v>Nữ</v>
      </c>
      <c r="D225" t="str">
        <f>survey_responses[[#This Row],[Giới tính của bạn:]]</f>
        <v>Nữ</v>
      </c>
      <c r="E225" t="str">
        <f>step3_validation[[#This Row],[Age_Group]]</f>
        <v>30 - 39</v>
      </c>
      <c r="F225" t="str">
        <f>survey_responses[[#This Row],[Độ tuổi của bạn:]]</f>
        <v>30 - 39</v>
      </c>
      <c r="G225" t="str">
        <f>step3_validation[[#This Row],[Region]]</f>
        <v>Thành thị</v>
      </c>
      <c r="H225" t="str">
        <f>survey_responses[[#This Row],[Khu vực bạn đang sinh sống:]]</f>
        <v>Thành thị</v>
      </c>
      <c r="I225" t="str">
        <f>step3_validation[[#This Row],[Education]]</f>
        <v>Sau Đại học</v>
      </c>
      <c r="J225" t="str">
        <f>survey_responses[[#This Row],[Trình độ học vấn cao nhất:]]</f>
        <v>Sau Đại học</v>
      </c>
      <c r="K225" t="str">
        <f>step3_validation[[#This Row],[Employment]]</f>
        <v>Chính thức</v>
      </c>
      <c r="L225" t="str">
        <f>survey_responses[[#This Row],[Tình trạng việc làm chính:]]</f>
        <v>Khu vực chính thức (Có Hợp đồng lao động, đóng BHXH)</v>
      </c>
      <c r="M225">
        <f>step3_validation[[#This Row],[Income_Mil]]</f>
        <v>63.820423034934947</v>
      </c>
      <c r="N225" t="str">
        <f>survey_responses[[#This Row],[Thu nhập bình quân tháng theo Hợp đồng lao động của bạn là bao nhiêu? (Vui lòng điền tổng thu nhập trước khi khấu trừ các loại Bảo hiểm (BHXH, BHYT, BHTN) và Thuế TNCN)]]</f>
        <v>Từ 48 - 70 triệu VNĐ</v>
      </c>
      <c r="O225">
        <f>step3_validation[[#This Row],[Dependents]]</f>
        <v>0</v>
      </c>
      <c r="P225" t="str">
        <f>survey_responses[[#This Row],[Số người phụ thuộc (con nhỏ, cha mẹ già...) đủ điều kiện giảm trừ gia cảnh:]]</f>
        <v>0 người</v>
      </c>
      <c r="Q225">
        <f>step3_validation[[#This Row],[AI_ENF1]]</f>
        <v>6</v>
      </c>
      <c r="R225">
        <f t="shared" si="81"/>
        <v>0.55555555555555558</v>
      </c>
      <c r="S225">
        <f>survey_responses[[#This Row],[Tôi tin rằng với các quy định quản lý thuế hiện nay, hành vi gian lận hoặc trốn thuế sẽ dễ dàng bị phát hiện và xử lý nghiêm. - HUMAN-ENF1]]</f>
        <v>7</v>
      </c>
      <c r="T225">
        <f t="shared" si="82"/>
        <v>0.66666666666666663</v>
      </c>
      <c r="U225">
        <f>step3_validation[[#This Row],[AI_ENF2]]</f>
        <v>6</v>
      </c>
      <c r="V225">
        <f t="shared" si="83"/>
        <v>0.55555555555555558</v>
      </c>
      <c r="W225">
        <f>survey_responses[[#This Row],[Tôi tin rằng Nhà nước, cơ quan thuế có đủ khả năng và công nghệ để phát hiện, xử lý nghiêm các hành vi trốn thuế. - HUMAN-ENF2]]</f>
        <v>7</v>
      </c>
      <c r="X225">
        <f t="shared" si="84"/>
        <v>0.66666666666666663</v>
      </c>
      <c r="Y225" s="32">
        <f t="shared" si="85"/>
        <v>0.55555555555555558</v>
      </c>
      <c r="Z225" s="32">
        <f t="shared" si="86"/>
        <v>0.66666666666666663</v>
      </c>
      <c r="AA225">
        <f>step3_validation[[#This Row],[AI_FAC1]]</f>
        <v>7</v>
      </c>
      <c r="AB225">
        <f t="shared" si="87"/>
        <v>0.66666666666666663</v>
      </c>
      <c r="AC225">
        <f>survey_responses[[#This Row],[Các thủ tục khai báo thuế VÀ/HOẶC quy trình làm việc với cơ quan thuế đơn giản, tiện lợi, nhanh chóng hơn so với trước đây. - HUMAN-FAC1]]</f>
        <v>7</v>
      </c>
      <c r="AD225">
        <f t="shared" si="88"/>
        <v>0.66666666666666663</v>
      </c>
      <c r="AE225">
        <f>step3_validation[[#This Row],[AI_FAC2]]</f>
        <v>9</v>
      </c>
      <c r="AF225">
        <f t="shared" si="89"/>
        <v>0.88888888888888884</v>
      </c>
      <c r="AG225">
        <f>survey_responses[[#This Row],[So với trước đây, tôi thấy cách tính thuế và các bậc thuế trong phương án mới đơn giản, dễ hiểu và dễ thực hiện hơn. - HUMAN-FAC2]]</f>
        <v>7</v>
      </c>
      <c r="AH225">
        <f t="shared" si="90"/>
        <v>0.66666666666666663</v>
      </c>
      <c r="AI225" s="32">
        <f t="shared" si="91"/>
        <v>0.77777777777777768</v>
      </c>
      <c r="AJ225" s="32">
        <f t="shared" si="92"/>
        <v>0.66666666666666663</v>
      </c>
      <c r="AK225">
        <f>step3_validation[[#This Row],[AI_TRU1]]</f>
        <v>7</v>
      </c>
      <c r="AL225">
        <f t="shared" si="93"/>
        <v>0.66666666666666663</v>
      </c>
      <c r="AM225">
        <f>survey_responses[[#This Row],[Tôi tin rằng Nhà nước, cơ quan thuế sẽ thực thi chính sách mới một cách khách quan, công tâm và đối xử bình đẳng với mọi người nộp thuế.  - HUMAN-TRU1]]</f>
        <v>7</v>
      </c>
      <c r="AN225">
        <f t="shared" si="94"/>
        <v>0.66666666666666663</v>
      </c>
      <c r="AO225">
        <f>step3_validation[[#This Row],[AI_TRU2]]</f>
        <v>8</v>
      </c>
      <c r="AP225">
        <f t="shared" si="95"/>
        <v>0.77777777777777779</v>
      </c>
      <c r="AQ225">
        <f>survey_responses[[#This Row],[Tôi thấy mức thuế tôi phải đóng theo phương án mới là công bằng (người thu nhập như tôi đóng mức này là hợp lý). - HUMAN-TRU2]]</f>
        <v>7</v>
      </c>
      <c r="AR225">
        <f t="shared" si="96"/>
        <v>0.66666666666666663</v>
      </c>
      <c r="AS225">
        <f>step3_validation[[#This Row],[AI_TRU3]]</f>
        <v>7</v>
      </c>
      <c r="AT225">
        <f t="shared" si="97"/>
        <v>0.66666666666666663</v>
      </c>
      <c r="AU225">
        <f>survey_responses[[#This Row],[Tôi tin tưởng số tiền thuế tôi đóng sẽ được Nhà nước sử dụng hiệu quả để cải thiện dịch vụ công (y tế, đường xá...). - HUMAN-TRU3]]</f>
        <v>7</v>
      </c>
      <c r="AV225">
        <f t="shared" si="98"/>
        <v>0.66666666666666663</v>
      </c>
      <c r="AW225">
        <f>step3_validation[[#This Row],[AI_TRU4]]</f>
        <v>8</v>
      </c>
      <c r="AX225">
        <f t="shared" si="99"/>
        <v>0.77777777777777779</v>
      </c>
      <c r="AY225">
        <f>survey_responses[[#This Row],[Tôi thấy Nhà nước đã giải thích rõ ràng, minh bạch về lý do và mục tiêu của việc sửa đổi thuế lần này. - HUMAN-TRU4]]</f>
        <v>7</v>
      </c>
      <c r="AZ225">
        <f t="shared" si="100"/>
        <v>0.66666666666666663</v>
      </c>
      <c r="BA225" s="32">
        <f t="shared" si="101"/>
        <v>0.72222222222222221</v>
      </c>
      <c r="BB225" s="32">
        <f t="shared" si="102"/>
        <v>0.66666666666666663</v>
      </c>
      <c r="BC225" s="7">
        <f t="shared" si="103"/>
        <v>0.68518518518518512</v>
      </c>
      <c r="BD225" s="7">
        <f t="shared" si="104"/>
        <v>0.66666666666666663</v>
      </c>
      <c r="BE225">
        <f>step3_validation[[#This Row],[AI_OUT1]]</f>
        <v>9</v>
      </c>
      <c r="BF225">
        <f t="shared" si="105"/>
        <v>0.88888888888888884</v>
      </c>
      <c r="BG225">
        <f>survey_responses[[#This Row],[Sau khi xem xét các quyền lợi và nghĩa vụ, bạn có ủng hộ và tuân thủ chính sách mới hiện nay? - HUMAN-OUT1]]</f>
        <v>7</v>
      </c>
      <c r="BH225">
        <f t="shared" si="106"/>
        <v>0.66666666666666663</v>
      </c>
      <c r="BI225" s="32">
        <f t="shared" si="107"/>
        <v>2</v>
      </c>
    </row>
    <row r="226" spans="1:61" x14ac:dyDescent="0.45">
      <c r="A226" s="30">
        <f>step3_validation[[#This Row],[Persona_ID]]</f>
        <v>225</v>
      </c>
      <c r="B226" s="31">
        <f>step3_validation[[#This Row],[Used_Seed]]</f>
        <v>12569</v>
      </c>
      <c r="C226" t="str">
        <f>step3_validation[[#This Row],[Gender]]</f>
        <v>Nữ</v>
      </c>
      <c r="D226" t="str">
        <f>survey_responses[[#This Row],[Giới tính của bạn:]]</f>
        <v>Nữ</v>
      </c>
      <c r="E226" t="str">
        <f>step3_validation[[#This Row],[Age_Group]]</f>
        <v>30 - 39</v>
      </c>
      <c r="F226" t="str">
        <f>survey_responses[[#This Row],[Độ tuổi của bạn:]]</f>
        <v>30 - 39</v>
      </c>
      <c r="G226" t="str">
        <f>step3_validation[[#This Row],[Region]]</f>
        <v>Thành thị</v>
      </c>
      <c r="H226" t="str">
        <f>survey_responses[[#This Row],[Khu vực bạn đang sinh sống:]]</f>
        <v>Thành thị</v>
      </c>
      <c r="I226" t="str">
        <f>step3_validation[[#This Row],[Education]]</f>
        <v>Đại học</v>
      </c>
      <c r="J226" t="str">
        <f>survey_responses[[#This Row],[Trình độ học vấn cao nhất:]]</f>
        <v>Đại học</v>
      </c>
      <c r="K226" t="str">
        <f>step3_validation[[#This Row],[Employment]]</f>
        <v>Chính thức</v>
      </c>
      <c r="L226" t="str">
        <f>survey_responses[[#This Row],[Tình trạng việc làm chính:]]</f>
        <v>Khu vực chính thức (Có Hợp đồng lao động, đóng BHXH)</v>
      </c>
      <c r="M226">
        <f>step3_validation[[#This Row],[Income_Mil]]</f>
        <v>39.406274192627457</v>
      </c>
      <c r="N226" t="str">
        <f>survey_responses[[#This Row],[Thu nhập bình quân tháng theo Hợp đồng lao động của bạn là bao nhiêu? (Vui lòng điền tổng thu nhập trước khi khấu trừ các loại Bảo hiểm (BHXH, BHYT, BHTN) và Thuế TNCN)]]</f>
        <v>Từ 32 - 48 triệu VNĐ</v>
      </c>
      <c r="O226">
        <f>step3_validation[[#This Row],[Dependents]]</f>
        <v>1</v>
      </c>
      <c r="P226" t="str">
        <f>survey_responses[[#This Row],[Số người phụ thuộc (con nhỏ, cha mẹ già...) đủ điều kiện giảm trừ gia cảnh:]]</f>
        <v>1 người</v>
      </c>
      <c r="Q226">
        <f>step3_validation[[#This Row],[AI_ENF1]]</f>
        <v>6</v>
      </c>
      <c r="R226">
        <f t="shared" si="81"/>
        <v>0.55555555555555558</v>
      </c>
      <c r="S226">
        <f>survey_responses[[#This Row],[Tôi tin rằng với các quy định quản lý thuế hiện nay, hành vi gian lận hoặc trốn thuế sẽ dễ dàng bị phát hiện và xử lý nghiêm. - HUMAN-ENF1]]</f>
        <v>6</v>
      </c>
      <c r="T226">
        <f t="shared" si="82"/>
        <v>0.55555555555555558</v>
      </c>
      <c r="U226">
        <f>step3_validation[[#This Row],[AI_ENF2]]</f>
        <v>5</v>
      </c>
      <c r="V226">
        <f t="shared" si="83"/>
        <v>0.44444444444444442</v>
      </c>
      <c r="W226">
        <f>survey_responses[[#This Row],[Tôi tin rằng Nhà nước, cơ quan thuế có đủ khả năng và công nghệ để phát hiện, xử lý nghiêm các hành vi trốn thuế. - HUMAN-ENF2]]</f>
        <v>6</v>
      </c>
      <c r="X226">
        <f t="shared" si="84"/>
        <v>0.55555555555555558</v>
      </c>
      <c r="Y226" s="32">
        <f t="shared" si="85"/>
        <v>0.5</v>
      </c>
      <c r="Z226" s="32">
        <f t="shared" si="86"/>
        <v>0.55555555555555558</v>
      </c>
      <c r="AA226">
        <f>step3_validation[[#This Row],[AI_FAC1]]</f>
        <v>8</v>
      </c>
      <c r="AB226">
        <f t="shared" si="87"/>
        <v>0.77777777777777779</v>
      </c>
      <c r="AC226">
        <f>survey_responses[[#This Row],[Các thủ tục khai báo thuế VÀ/HOẶC quy trình làm việc với cơ quan thuế đơn giản, tiện lợi, nhanh chóng hơn so với trước đây. - HUMAN-FAC1]]</f>
        <v>7</v>
      </c>
      <c r="AD226">
        <f t="shared" si="88"/>
        <v>0.66666666666666663</v>
      </c>
      <c r="AE226">
        <f>step3_validation[[#This Row],[AI_FAC2]]</f>
        <v>7</v>
      </c>
      <c r="AF226">
        <f t="shared" si="89"/>
        <v>0.66666666666666663</v>
      </c>
      <c r="AG226">
        <f>survey_responses[[#This Row],[So với trước đây, tôi thấy cách tính thuế và các bậc thuế trong phương án mới đơn giản, dễ hiểu và dễ thực hiện hơn. - HUMAN-FAC2]]</f>
        <v>7</v>
      </c>
      <c r="AH226">
        <f t="shared" si="90"/>
        <v>0.66666666666666663</v>
      </c>
      <c r="AI226" s="32">
        <f t="shared" si="91"/>
        <v>0.72222222222222221</v>
      </c>
      <c r="AJ226" s="32">
        <f t="shared" si="92"/>
        <v>0.66666666666666663</v>
      </c>
      <c r="AK226">
        <f>step3_validation[[#This Row],[AI_TRU1]]</f>
        <v>4</v>
      </c>
      <c r="AL226">
        <f t="shared" si="93"/>
        <v>0.33333333333333331</v>
      </c>
      <c r="AM226">
        <f>survey_responses[[#This Row],[Tôi tin rằng Nhà nước, cơ quan thuế sẽ thực thi chính sách mới một cách khách quan, công tâm và đối xử bình đẳng với mọi người nộp thuế.  - HUMAN-TRU1]]</f>
        <v>5</v>
      </c>
      <c r="AN226">
        <f t="shared" si="94"/>
        <v>0.44444444444444442</v>
      </c>
      <c r="AO226">
        <f>step3_validation[[#This Row],[AI_TRU2]]</f>
        <v>9</v>
      </c>
      <c r="AP226">
        <f t="shared" si="95"/>
        <v>0.88888888888888884</v>
      </c>
      <c r="AQ226">
        <f>survey_responses[[#This Row],[Tôi thấy mức thuế tôi phải đóng theo phương án mới là công bằng (người thu nhập như tôi đóng mức này là hợp lý). - HUMAN-TRU2]]</f>
        <v>6</v>
      </c>
      <c r="AR226">
        <f t="shared" si="96"/>
        <v>0.55555555555555558</v>
      </c>
      <c r="AS226">
        <f>step3_validation[[#This Row],[AI_TRU3]]</f>
        <v>5</v>
      </c>
      <c r="AT226">
        <f t="shared" si="97"/>
        <v>0.44444444444444442</v>
      </c>
      <c r="AU226">
        <f>survey_responses[[#This Row],[Tôi tin tưởng số tiền thuế tôi đóng sẽ được Nhà nước sử dụng hiệu quả để cải thiện dịch vụ công (y tế, đường xá...). - HUMAN-TRU3]]</f>
        <v>6</v>
      </c>
      <c r="AV226">
        <f t="shared" si="98"/>
        <v>0.55555555555555558</v>
      </c>
      <c r="AW226">
        <f>step3_validation[[#This Row],[AI_TRU4]]</f>
        <v>6</v>
      </c>
      <c r="AX226">
        <f t="shared" si="99"/>
        <v>0.55555555555555558</v>
      </c>
      <c r="AY226">
        <f>survey_responses[[#This Row],[Tôi thấy Nhà nước đã giải thích rõ ràng, minh bạch về lý do và mục tiêu của việc sửa đổi thuế lần này. - HUMAN-TRU4]]</f>
        <v>6</v>
      </c>
      <c r="AZ226">
        <f t="shared" si="100"/>
        <v>0.55555555555555558</v>
      </c>
      <c r="BA226" s="32">
        <f t="shared" si="101"/>
        <v>0.55555555555555558</v>
      </c>
      <c r="BB226" s="32">
        <f t="shared" si="102"/>
        <v>0.52777777777777779</v>
      </c>
      <c r="BC226" s="7">
        <f t="shared" si="103"/>
        <v>0.59259259259259267</v>
      </c>
      <c r="BD226" s="7">
        <f t="shared" si="104"/>
        <v>0.58333333333333337</v>
      </c>
      <c r="BE226">
        <f>step3_validation[[#This Row],[AI_OUT1]]</f>
        <v>7</v>
      </c>
      <c r="BF226">
        <f t="shared" si="105"/>
        <v>0.66666666666666663</v>
      </c>
      <c r="BG226">
        <f>survey_responses[[#This Row],[Sau khi xem xét các quyền lợi và nghĩa vụ, bạn có ủng hộ và tuân thủ chính sách mới hiện nay? - HUMAN-OUT1]]</f>
        <v>7</v>
      </c>
      <c r="BH226">
        <f t="shared" si="106"/>
        <v>0.66666666666666663</v>
      </c>
      <c r="BI226" s="32">
        <f t="shared" si="107"/>
        <v>0</v>
      </c>
    </row>
    <row r="227" spans="1:61" x14ac:dyDescent="0.45">
      <c r="A227" s="30">
        <f>step3_validation[[#This Row],[Persona_ID]]</f>
        <v>226</v>
      </c>
      <c r="B227" s="31">
        <f>step3_validation[[#This Row],[Used_Seed]]</f>
        <v>12570</v>
      </c>
      <c r="C227" t="str">
        <f>step3_validation[[#This Row],[Gender]]</f>
        <v>Nữ</v>
      </c>
      <c r="D227" t="str">
        <f>survey_responses[[#This Row],[Giới tính của bạn:]]</f>
        <v>Nữ</v>
      </c>
      <c r="E227" t="str">
        <f>step3_validation[[#This Row],[Age_Group]]</f>
        <v>55 - 64</v>
      </c>
      <c r="F227" t="str">
        <f>survey_responses[[#This Row],[Độ tuổi của bạn:]]</f>
        <v>55 - 64</v>
      </c>
      <c r="G227" t="str">
        <f>step3_validation[[#This Row],[Region]]</f>
        <v>Thành thị</v>
      </c>
      <c r="H227" t="str">
        <f>survey_responses[[#This Row],[Khu vực bạn đang sinh sống:]]</f>
        <v>Thành thị</v>
      </c>
      <c r="I227" t="str">
        <f>step3_validation[[#This Row],[Education]]</f>
        <v>Sau Đại học</v>
      </c>
      <c r="J227" t="str">
        <f>survey_responses[[#This Row],[Trình độ học vấn cao nhất:]]</f>
        <v>Sau Đại học</v>
      </c>
      <c r="K227" t="str">
        <f>step3_validation[[#This Row],[Employment]]</f>
        <v>Chính thức</v>
      </c>
      <c r="L227" t="str">
        <f>survey_responses[[#This Row],[Tình trạng việc làm chính:]]</f>
        <v>Khu vực chính thức (Có Hợp đồng lao động, đóng BHXH)</v>
      </c>
      <c r="M227">
        <f>step3_validation[[#This Row],[Income_Mil]]</f>
        <v>85.117268390452779</v>
      </c>
      <c r="N227" t="str">
        <f>survey_responses[[#This Row],[Thu nhập bình quân tháng theo Hợp đồng lao động của bạn là bao nhiêu? (Vui lòng điền tổng thu nhập trước khi khấu trừ các loại Bảo hiểm (BHXH, BHYT, BHTN) và Thuế TNCN)]]</f>
        <v>Từ 70 - 102 triệu VNĐ</v>
      </c>
      <c r="O227">
        <f>step3_validation[[#This Row],[Dependents]]</f>
        <v>2</v>
      </c>
      <c r="P227" t="str">
        <f>survey_responses[[#This Row],[Số người phụ thuộc (con nhỏ, cha mẹ già...) đủ điều kiện giảm trừ gia cảnh:]]</f>
        <v>2 người</v>
      </c>
      <c r="Q227">
        <f>step3_validation[[#This Row],[AI_ENF1]]</f>
        <v>6</v>
      </c>
      <c r="R227">
        <f t="shared" si="81"/>
        <v>0.55555555555555558</v>
      </c>
      <c r="S227">
        <f>survey_responses[[#This Row],[Tôi tin rằng với các quy định quản lý thuế hiện nay, hành vi gian lận hoặc trốn thuế sẽ dễ dàng bị phát hiện và xử lý nghiêm. - HUMAN-ENF1]]</f>
        <v>7</v>
      </c>
      <c r="T227">
        <f t="shared" si="82"/>
        <v>0.66666666666666663</v>
      </c>
      <c r="U227">
        <f>step3_validation[[#This Row],[AI_ENF2]]</f>
        <v>7</v>
      </c>
      <c r="V227">
        <f t="shared" si="83"/>
        <v>0.66666666666666663</v>
      </c>
      <c r="W227">
        <f>survey_responses[[#This Row],[Tôi tin rằng Nhà nước, cơ quan thuế có đủ khả năng và công nghệ để phát hiện, xử lý nghiêm các hành vi trốn thuế. - HUMAN-ENF2]]</f>
        <v>7</v>
      </c>
      <c r="X227">
        <f t="shared" si="84"/>
        <v>0.66666666666666663</v>
      </c>
      <c r="Y227" s="32">
        <f t="shared" si="85"/>
        <v>0.61111111111111116</v>
      </c>
      <c r="Z227" s="32">
        <f t="shared" si="86"/>
        <v>0.66666666666666663</v>
      </c>
      <c r="AA227">
        <f>step3_validation[[#This Row],[AI_FAC1]]</f>
        <v>6</v>
      </c>
      <c r="AB227">
        <f t="shared" si="87"/>
        <v>0.55555555555555558</v>
      </c>
      <c r="AC227">
        <f>survey_responses[[#This Row],[Các thủ tục khai báo thuế VÀ/HOẶC quy trình làm việc với cơ quan thuế đơn giản, tiện lợi, nhanh chóng hơn so với trước đây. - HUMAN-FAC1]]</f>
        <v>6</v>
      </c>
      <c r="AD227">
        <f t="shared" si="88"/>
        <v>0.55555555555555558</v>
      </c>
      <c r="AE227">
        <f>step3_validation[[#This Row],[AI_FAC2]]</f>
        <v>8</v>
      </c>
      <c r="AF227">
        <f t="shared" si="89"/>
        <v>0.77777777777777779</v>
      </c>
      <c r="AG227">
        <f>survey_responses[[#This Row],[So với trước đây, tôi thấy cách tính thuế và các bậc thuế trong phương án mới đơn giản, dễ hiểu và dễ thực hiện hơn. - HUMAN-FAC2]]</f>
        <v>7</v>
      </c>
      <c r="AH227">
        <f t="shared" si="90"/>
        <v>0.66666666666666663</v>
      </c>
      <c r="AI227" s="32">
        <f t="shared" si="91"/>
        <v>0.66666666666666674</v>
      </c>
      <c r="AJ227" s="32">
        <f t="shared" si="92"/>
        <v>0.61111111111111116</v>
      </c>
      <c r="AK227">
        <f>step3_validation[[#This Row],[AI_TRU1]]</f>
        <v>7</v>
      </c>
      <c r="AL227">
        <f t="shared" si="93"/>
        <v>0.66666666666666663</v>
      </c>
      <c r="AM227">
        <f>survey_responses[[#This Row],[Tôi tin rằng Nhà nước, cơ quan thuế sẽ thực thi chính sách mới một cách khách quan, công tâm và đối xử bình đẳng với mọi người nộp thuế.  - HUMAN-TRU1]]</f>
        <v>7</v>
      </c>
      <c r="AN227">
        <f t="shared" si="94"/>
        <v>0.66666666666666663</v>
      </c>
      <c r="AO227">
        <f>step3_validation[[#This Row],[AI_TRU2]]</f>
        <v>9</v>
      </c>
      <c r="AP227">
        <f t="shared" si="95"/>
        <v>0.88888888888888884</v>
      </c>
      <c r="AQ227">
        <f>survey_responses[[#This Row],[Tôi thấy mức thuế tôi phải đóng theo phương án mới là công bằng (người thu nhập như tôi đóng mức này là hợp lý). - HUMAN-TRU2]]</f>
        <v>7</v>
      </c>
      <c r="AR227">
        <f t="shared" si="96"/>
        <v>0.66666666666666663</v>
      </c>
      <c r="AS227">
        <f>step3_validation[[#This Row],[AI_TRU3]]</f>
        <v>7</v>
      </c>
      <c r="AT227">
        <f t="shared" si="97"/>
        <v>0.66666666666666663</v>
      </c>
      <c r="AU227">
        <f>survey_responses[[#This Row],[Tôi tin tưởng số tiền thuế tôi đóng sẽ được Nhà nước sử dụng hiệu quả để cải thiện dịch vụ công (y tế, đường xá...). - HUMAN-TRU3]]</f>
        <v>7</v>
      </c>
      <c r="AV227">
        <f t="shared" si="98"/>
        <v>0.66666666666666663</v>
      </c>
      <c r="AW227">
        <f>step3_validation[[#This Row],[AI_TRU4]]</f>
        <v>8</v>
      </c>
      <c r="AX227">
        <f t="shared" si="99"/>
        <v>0.77777777777777779</v>
      </c>
      <c r="AY227">
        <f>survey_responses[[#This Row],[Tôi thấy Nhà nước đã giải thích rõ ràng, minh bạch về lý do và mục tiêu của việc sửa đổi thuế lần này. - HUMAN-TRU4]]</f>
        <v>7</v>
      </c>
      <c r="AZ227">
        <f t="shared" si="100"/>
        <v>0.66666666666666663</v>
      </c>
      <c r="BA227" s="32">
        <f t="shared" si="101"/>
        <v>0.74999999999999989</v>
      </c>
      <c r="BB227" s="32">
        <f t="shared" si="102"/>
        <v>0.66666666666666663</v>
      </c>
      <c r="BC227" s="7">
        <f t="shared" si="103"/>
        <v>0.67592592592592593</v>
      </c>
      <c r="BD227" s="7">
        <f t="shared" si="104"/>
        <v>0.64814814814814803</v>
      </c>
      <c r="BE227">
        <f>step3_validation[[#This Row],[AI_OUT1]]</f>
        <v>7</v>
      </c>
      <c r="BF227">
        <f t="shared" si="105"/>
        <v>0.66666666666666663</v>
      </c>
      <c r="BG227">
        <f>survey_responses[[#This Row],[Sau khi xem xét các quyền lợi và nghĩa vụ, bạn có ủng hộ và tuân thủ chính sách mới hiện nay? - HUMAN-OUT1]]</f>
        <v>7</v>
      </c>
      <c r="BH227">
        <f t="shared" si="106"/>
        <v>0.66666666666666663</v>
      </c>
      <c r="BI227" s="32">
        <f t="shared" si="107"/>
        <v>0</v>
      </c>
    </row>
    <row r="228" spans="1:61" x14ac:dyDescent="0.45">
      <c r="A228" s="30">
        <f>step3_validation[[#This Row],[Persona_ID]]</f>
        <v>227</v>
      </c>
      <c r="B228" s="31">
        <f>step3_validation[[#This Row],[Used_Seed]]</f>
        <v>12571</v>
      </c>
      <c r="C228" t="str">
        <f>step3_validation[[#This Row],[Gender]]</f>
        <v>Nữ</v>
      </c>
      <c r="D228" t="str">
        <f>survey_responses[[#This Row],[Giới tính của bạn:]]</f>
        <v>Nữ</v>
      </c>
      <c r="E228" t="str">
        <f>step3_validation[[#This Row],[Age_Group]]</f>
        <v>25 - 29</v>
      </c>
      <c r="F228" t="str">
        <f>survey_responses[[#This Row],[Độ tuổi của bạn:]]</f>
        <v>25 - 29</v>
      </c>
      <c r="G228" t="str">
        <f>step3_validation[[#This Row],[Region]]</f>
        <v>Thành thị</v>
      </c>
      <c r="H228" t="str">
        <f>survey_responses[[#This Row],[Khu vực bạn đang sinh sống:]]</f>
        <v>Thành thị</v>
      </c>
      <c r="I228" t="str">
        <f>step3_validation[[#This Row],[Education]]</f>
        <v>Đại học</v>
      </c>
      <c r="J228" t="str">
        <f>survey_responses[[#This Row],[Trình độ học vấn cao nhất:]]</f>
        <v>Đại học</v>
      </c>
      <c r="K228" t="str">
        <f>step3_validation[[#This Row],[Employment]]</f>
        <v>Chính thức</v>
      </c>
      <c r="L228" t="str">
        <f>survey_responses[[#This Row],[Tình trạng việc làm chính:]]</f>
        <v>Khu vực chính thức (Có Hợp đồng lao động, đóng BHXH)</v>
      </c>
      <c r="M228">
        <f>step3_validation[[#This Row],[Income_Mil]]</f>
        <v>25.555307120083427</v>
      </c>
      <c r="N228" t="str">
        <f>survey_responses[[#This Row],[Thu nhập bình quân tháng theo Hợp đồng lao động của bạn là bao nhiêu? (Vui lòng điền tổng thu nhập trước khi khấu trừ các loại Bảo hiểm (BHXH, BHYT, BHTN) và Thuế TNCN)]]</f>
        <v>Từ 23 - 32 triệu VNĐ</v>
      </c>
      <c r="O228">
        <f>step3_validation[[#This Row],[Dependents]]</f>
        <v>0</v>
      </c>
      <c r="P228" t="str">
        <f>survey_responses[[#This Row],[Số người phụ thuộc (con nhỏ, cha mẹ già...) đủ điều kiện giảm trừ gia cảnh:]]</f>
        <v>0 người</v>
      </c>
      <c r="Q228">
        <f>step3_validation[[#This Row],[AI_ENF1]]</f>
        <v>7</v>
      </c>
      <c r="R228">
        <f t="shared" si="81"/>
        <v>0.66666666666666663</v>
      </c>
      <c r="S228">
        <f>survey_responses[[#This Row],[Tôi tin rằng với các quy định quản lý thuế hiện nay, hành vi gian lận hoặc trốn thuế sẽ dễ dàng bị phát hiện và xử lý nghiêm. - HUMAN-ENF1]]</f>
        <v>6</v>
      </c>
      <c r="T228">
        <f t="shared" si="82"/>
        <v>0.55555555555555558</v>
      </c>
      <c r="U228">
        <f>step3_validation[[#This Row],[AI_ENF2]]</f>
        <v>8</v>
      </c>
      <c r="V228">
        <f t="shared" si="83"/>
        <v>0.77777777777777779</v>
      </c>
      <c r="W228">
        <f>survey_responses[[#This Row],[Tôi tin rằng Nhà nước, cơ quan thuế có đủ khả năng và công nghệ để phát hiện, xử lý nghiêm các hành vi trốn thuế. - HUMAN-ENF2]]</f>
        <v>6</v>
      </c>
      <c r="X228">
        <f t="shared" si="84"/>
        <v>0.55555555555555558</v>
      </c>
      <c r="Y228" s="32">
        <f t="shared" si="85"/>
        <v>0.72222222222222221</v>
      </c>
      <c r="Z228" s="32">
        <f t="shared" si="86"/>
        <v>0.55555555555555558</v>
      </c>
      <c r="AA228">
        <f>step3_validation[[#This Row],[AI_FAC1]]</f>
        <v>9</v>
      </c>
      <c r="AB228">
        <f t="shared" si="87"/>
        <v>0.88888888888888884</v>
      </c>
      <c r="AC228">
        <f>survey_responses[[#This Row],[Các thủ tục khai báo thuế VÀ/HOẶC quy trình làm việc với cơ quan thuế đơn giản, tiện lợi, nhanh chóng hơn so với trước đây. - HUMAN-FAC1]]</f>
        <v>6</v>
      </c>
      <c r="AD228">
        <f t="shared" si="88"/>
        <v>0.55555555555555558</v>
      </c>
      <c r="AE228">
        <f>step3_validation[[#This Row],[AI_FAC2]]</f>
        <v>10</v>
      </c>
      <c r="AF228">
        <f t="shared" si="89"/>
        <v>1</v>
      </c>
      <c r="AG228">
        <f>survey_responses[[#This Row],[So với trước đây, tôi thấy cách tính thuế và các bậc thuế trong phương án mới đơn giản, dễ hiểu và dễ thực hiện hơn. - HUMAN-FAC2]]</f>
        <v>6</v>
      </c>
      <c r="AH228">
        <f t="shared" si="90"/>
        <v>0.55555555555555558</v>
      </c>
      <c r="AI228" s="32">
        <f t="shared" si="91"/>
        <v>0.94444444444444442</v>
      </c>
      <c r="AJ228" s="32">
        <f t="shared" si="92"/>
        <v>0.55555555555555558</v>
      </c>
      <c r="AK228">
        <f>step3_validation[[#This Row],[AI_TRU1]]</f>
        <v>7</v>
      </c>
      <c r="AL228">
        <f t="shared" si="93"/>
        <v>0.66666666666666663</v>
      </c>
      <c r="AM228">
        <f>survey_responses[[#This Row],[Tôi tin rằng Nhà nước, cơ quan thuế sẽ thực thi chính sách mới một cách khách quan, công tâm và đối xử bình đẳng với mọi người nộp thuế.  - HUMAN-TRU1]]</f>
        <v>6</v>
      </c>
      <c r="AN228">
        <f t="shared" si="94"/>
        <v>0.55555555555555558</v>
      </c>
      <c r="AO228">
        <f>step3_validation[[#This Row],[AI_TRU2]]</f>
        <v>9</v>
      </c>
      <c r="AP228">
        <f t="shared" si="95"/>
        <v>0.88888888888888884</v>
      </c>
      <c r="AQ228">
        <f>survey_responses[[#This Row],[Tôi thấy mức thuế tôi phải đóng theo phương án mới là công bằng (người thu nhập như tôi đóng mức này là hợp lý). - HUMAN-TRU2]]</f>
        <v>6</v>
      </c>
      <c r="AR228">
        <f t="shared" si="96"/>
        <v>0.55555555555555558</v>
      </c>
      <c r="AS228">
        <f>step3_validation[[#This Row],[AI_TRU3]]</f>
        <v>7</v>
      </c>
      <c r="AT228">
        <f t="shared" si="97"/>
        <v>0.66666666666666663</v>
      </c>
      <c r="AU228">
        <f>survey_responses[[#This Row],[Tôi tin tưởng số tiền thuế tôi đóng sẽ được Nhà nước sử dụng hiệu quả để cải thiện dịch vụ công (y tế, đường xá...). - HUMAN-TRU3]]</f>
        <v>6</v>
      </c>
      <c r="AV228">
        <f t="shared" si="98"/>
        <v>0.55555555555555558</v>
      </c>
      <c r="AW228">
        <f>step3_validation[[#This Row],[AI_TRU4]]</f>
        <v>8</v>
      </c>
      <c r="AX228">
        <f t="shared" si="99"/>
        <v>0.77777777777777779</v>
      </c>
      <c r="AY228">
        <f>survey_responses[[#This Row],[Tôi thấy Nhà nước đã giải thích rõ ràng, minh bạch về lý do và mục tiêu của việc sửa đổi thuế lần này. - HUMAN-TRU4]]</f>
        <v>6</v>
      </c>
      <c r="AZ228">
        <f t="shared" si="100"/>
        <v>0.55555555555555558</v>
      </c>
      <c r="BA228" s="32">
        <f t="shared" si="101"/>
        <v>0.74999999999999989</v>
      </c>
      <c r="BB228" s="32">
        <f t="shared" si="102"/>
        <v>0.55555555555555558</v>
      </c>
      <c r="BC228" s="7">
        <f t="shared" si="103"/>
        <v>0.80555555555555547</v>
      </c>
      <c r="BD228" s="7">
        <f t="shared" si="104"/>
        <v>0.55555555555555558</v>
      </c>
      <c r="BE228">
        <f>step3_validation[[#This Row],[AI_OUT1]]</f>
        <v>9</v>
      </c>
      <c r="BF228">
        <f t="shared" si="105"/>
        <v>0.88888888888888884</v>
      </c>
      <c r="BG228">
        <f>survey_responses[[#This Row],[Sau khi xem xét các quyền lợi và nghĩa vụ, bạn có ủng hộ và tuân thủ chính sách mới hiện nay? - HUMAN-OUT1]]</f>
        <v>6</v>
      </c>
      <c r="BH228">
        <f t="shared" si="106"/>
        <v>0.55555555555555558</v>
      </c>
      <c r="BI228" s="32">
        <f t="shared" si="107"/>
        <v>3</v>
      </c>
    </row>
    <row r="229" spans="1:61" x14ac:dyDescent="0.45">
      <c r="A229" s="30">
        <f>step3_validation[[#This Row],[Persona_ID]]</f>
        <v>228</v>
      </c>
      <c r="B229" s="31">
        <f>step3_validation[[#This Row],[Used_Seed]]</f>
        <v>12572</v>
      </c>
      <c r="C229" t="str">
        <f>step3_validation[[#This Row],[Gender]]</f>
        <v>Nữ</v>
      </c>
      <c r="D229" t="str">
        <f>survey_responses[[#This Row],[Giới tính của bạn:]]</f>
        <v>Nữ</v>
      </c>
      <c r="E229" t="str">
        <f>step3_validation[[#This Row],[Age_Group]]</f>
        <v>25 - 29</v>
      </c>
      <c r="F229" t="str">
        <f>survey_responses[[#This Row],[Độ tuổi của bạn:]]</f>
        <v>25 - 29</v>
      </c>
      <c r="G229" t="str">
        <f>step3_validation[[#This Row],[Region]]</f>
        <v>Thành thị</v>
      </c>
      <c r="H229" t="str">
        <f>survey_responses[[#This Row],[Khu vực bạn đang sinh sống:]]</f>
        <v>Thành thị</v>
      </c>
      <c r="I229" t="str">
        <f>step3_validation[[#This Row],[Education]]</f>
        <v>Đại học</v>
      </c>
      <c r="J229" t="str">
        <f>survey_responses[[#This Row],[Trình độ học vấn cao nhất:]]</f>
        <v>Đại học</v>
      </c>
      <c r="K229" t="str">
        <f>step3_validation[[#This Row],[Employment]]</f>
        <v>Chính thức</v>
      </c>
      <c r="L229" t="str">
        <f>survey_responses[[#This Row],[Tình trạng việc làm chính:]]</f>
        <v>Khu vực chính thức (Có Hợp đồng lao động, đóng BHXH)</v>
      </c>
      <c r="M229">
        <f>step3_validation[[#This Row],[Income_Mil]]</f>
        <v>20.474704126778885</v>
      </c>
      <c r="N229" t="str">
        <f>survey_responses[[#This Row],[Thu nhập bình quân tháng theo Hợp đồng lao động của bạn là bao nhiêu? (Vui lòng điền tổng thu nhập trước khi khấu trừ các loại Bảo hiểm (BHXH, BHYT, BHTN) và Thuế TNCN)]]</f>
        <v>Từ 18 - 23 triệu VNĐ</v>
      </c>
      <c r="O229">
        <f>step3_validation[[#This Row],[Dependents]]</f>
        <v>2</v>
      </c>
      <c r="P229" t="str">
        <f>survey_responses[[#This Row],[Số người phụ thuộc (con nhỏ, cha mẹ già...) đủ điều kiện giảm trừ gia cảnh:]]</f>
        <v>2 người</v>
      </c>
      <c r="Q229">
        <f>step3_validation[[#This Row],[AI_ENF1]]</f>
        <v>7</v>
      </c>
      <c r="R229">
        <f t="shared" si="81"/>
        <v>0.66666666666666663</v>
      </c>
      <c r="S229">
        <f>survey_responses[[#This Row],[Tôi tin rằng với các quy định quản lý thuế hiện nay, hành vi gian lận hoặc trốn thuế sẽ dễ dàng bị phát hiện và xử lý nghiêm. - HUMAN-ENF1]]</f>
        <v>8</v>
      </c>
      <c r="T229">
        <f t="shared" si="82"/>
        <v>0.77777777777777779</v>
      </c>
      <c r="U229">
        <f>step3_validation[[#This Row],[AI_ENF2]]</f>
        <v>6</v>
      </c>
      <c r="V229">
        <f t="shared" si="83"/>
        <v>0.55555555555555558</v>
      </c>
      <c r="W229">
        <f>survey_responses[[#This Row],[Tôi tin rằng Nhà nước, cơ quan thuế có đủ khả năng và công nghệ để phát hiện, xử lý nghiêm các hành vi trốn thuế. - HUMAN-ENF2]]</f>
        <v>9</v>
      </c>
      <c r="X229">
        <f t="shared" si="84"/>
        <v>0.88888888888888884</v>
      </c>
      <c r="Y229" s="32">
        <f t="shared" si="85"/>
        <v>0.61111111111111116</v>
      </c>
      <c r="Z229" s="32">
        <f t="shared" si="86"/>
        <v>0.83333333333333326</v>
      </c>
      <c r="AA229">
        <f>step3_validation[[#This Row],[AI_FAC1]]</f>
        <v>5</v>
      </c>
      <c r="AB229">
        <f t="shared" si="87"/>
        <v>0.44444444444444442</v>
      </c>
      <c r="AC229">
        <f>survey_responses[[#This Row],[Các thủ tục khai báo thuế VÀ/HOẶC quy trình làm việc với cơ quan thuế đơn giản, tiện lợi, nhanh chóng hơn so với trước đây. - HUMAN-FAC1]]</f>
        <v>7</v>
      </c>
      <c r="AD229">
        <f t="shared" si="88"/>
        <v>0.66666666666666663</v>
      </c>
      <c r="AE229">
        <f>step3_validation[[#This Row],[AI_FAC2]]</f>
        <v>8</v>
      </c>
      <c r="AF229">
        <f t="shared" si="89"/>
        <v>0.77777777777777779</v>
      </c>
      <c r="AG229">
        <f>survey_responses[[#This Row],[So với trước đây, tôi thấy cách tính thuế và các bậc thuế trong phương án mới đơn giản, dễ hiểu và dễ thực hiện hơn. - HUMAN-FAC2]]</f>
        <v>8</v>
      </c>
      <c r="AH229">
        <f t="shared" si="90"/>
        <v>0.77777777777777779</v>
      </c>
      <c r="AI229" s="32">
        <f t="shared" si="91"/>
        <v>0.61111111111111116</v>
      </c>
      <c r="AJ229" s="32">
        <f t="shared" si="92"/>
        <v>0.72222222222222221</v>
      </c>
      <c r="AK229">
        <f>step3_validation[[#This Row],[AI_TRU1]]</f>
        <v>7</v>
      </c>
      <c r="AL229">
        <f t="shared" si="93"/>
        <v>0.66666666666666663</v>
      </c>
      <c r="AM229">
        <f>survey_responses[[#This Row],[Tôi tin rằng Nhà nước, cơ quan thuế sẽ thực thi chính sách mới một cách khách quan, công tâm và đối xử bình đẳng với mọi người nộp thuế.  - HUMAN-TRU1]]</f>
        <v>9</v>
      </c>
      <c r="AN229">
        <f t="shared" si="94"/>
        <v>0.88888888888888884</v>
      </c>
      <c r="AO229">
        <f>step3_validation[[#This Row],[AI_TRU2]]</f>
        <v>9</v>
      </c>
      <c r="AP229">
        <f t="shared" si="95"/>
        <v>0.88888888888888884</v>
      </c>
      <c r="AQ229">
        <f>survey_responses[[#This Row],[Tôi thấy mức thuế tôi phải đóng theo phương án mới là công bằng (người thu nhập như tôi đóng mức này là hợp lý). - HUMAN-TRU2]]</f>
        <v>8</v>
      </c>
      <c r="AR229">
        <f t="shared" si="96"/>
        <v>0.77777777777777779</v>
      </c>
      <c r="AS229">
        <f>step3_validation[[#This Row],[AI_TRU3]]</f>
        <v>7</v>
      </c>
      <c r="AT229">
        <f t="shared" si="97"/>
        <v>0.66666666666666663</v>
      </c>
      <c r="AU229">
        <f>survey_responses[[#This Row],[Tôi tin tưởng số tiền thuế tôi đóng sẽ được Nhà nước sử dụng hiệu quả để cải thiện dịch vụ công (y tế, đường xá...). - HUMAN-TRU3]]</f>
        <v>8</v>
      </c>
      <c r="AV229">
        <f t="shared" si="98"/>
        <v>0.77777777777777779</v>
      </c>
      <c r="AW229">
        <f>step3_validation[[#This Row],[AI_TRU4]]</f>
        <v>6</v>
      </c>
      <c r="AX229">
        <f t="shared" si="99"/>
        <v>0.55555555555555558</v>
      </c>
      <c r="AY229">
        <f>survey_responses[[#This Row],[Tôi thấy Nhà nước đã giải thích rõ ràng, minh bạch về lý do và mục tiêu của việc sửa đổi thuế lần này. - HUMAN-TRU4]]</f>
        <v>8</v>
      </c>
      <c r="AZ229">
        <f t="shared" si="100"/>
        <v>0.77777777777777779</v>
      </c>
      <c r="BA229" s="32">
        <f t="shared" si="101"/>
        <v>0.69444444444444442</v>
      </c>
      <c r="BB229" s="32">
        <f t="shared" si="102"/>
        <v>0.80555555555555547</v>
      </c>
      <c r="BC229" s="7">
        <f t="shared" si="103"/>
        <v>0.63888888888888895</v>
      </c>
      <c r="BD229" s="7">
        <f t="shared" si="104"/>
        <v>0.78703703703703687</v>
      </c>
      <c r="BE229">
        <f>step3_validation[[#This Row],[AI_OUT1]]</f>
        <v>9</v>
      </c>
      <c r="BF229">
        <f t="shared" si="105"/>
        <v>0.88888888888888884</v>
      </c>
      <c r="BG229">
        <f>survey_responses[[#This Row],[Sau khi xem xét các quyền lợi và nghĩa vụ, bạn có ủng hộ và tuân thủ chính sách mới hiện nay? - HUMAN-OUT1]]</f>
        <v>8</v>
      </c>
      <c r="BH229">
        <f t="shared" si="106"/>
        <v>0.77777777777777779</v>
      </c>
      <c r="BI229" s="32">
        <f t="shared" si="107"/>
        <v>1</v>
      </c>
    </row>
    <row r="230" spans="1:61" x14ac:dyDescent="0.45">
      <c r="A230" s="30">
        <f>step3_validation[[#This Row],[Persona_ID]]</f>
        <v>229</v>
      </c>
      <c r="B230" s="31">
        <f>step3_validation[[#This Row],[Used_Seed]]</f>
        <v>12573</v>
      </c>
      <c r="C230" t="str">
        <f>step3_validation[[#This Row],[Gender]]</f>
        <v>Nữ</v>
      </c>
      <c r="D230" t="str">
        <f>survey_responses[[#This Row],[Giới tính của bạn:]]</f>
        <v>Nữ</v>
      </c>
      <c r="E230" t="str">
        <f>step3_validation[[#This Row],[Age_Group]]</f>
        <v>30 - 39</v>
      </c>
      <c r="F230" t="str">
        <f>survey_responses[[#This Row],[Độ tuổi của bạn:]]</f>
        <v>30 - 39</v>
      </c>
      <c r="G230" t="str">
        <f>step3_validation[[#This Row],[Region]]</f>
        <v>Thành thị</v>
      </c>
      <c r="H230" t="str">
        <f>survey_responses[[#This Row],[Khu vực bạn đang sinh sống:]]</f>
        <v>Thành thị</v>
      </c>
      <c r="I230" t="str">
        <f>step3_validation[[#This Row],[Education]]</f>
        <v>Đại học</v>
      </c>
      <c r="J230" t="str">
        <f>survey_responses[[#This Row],[Trình độ học vấn cao nhất:]]</f>
        <v>Đại học</v>
      </c>
      <c r="K230" t="str">
        <f>step3_validation[[#This Row],[Employment]]</f>
        <v>Chính thức</v>
      </c>
      <c r="L230" t="str">
        <f>survey_responses[[#This Row],[Tình trạng việc làm chính:]]</f>
        <v>Khu vực chính thức (Có Hợp đồng lao động, đóng BHXH)</v>
      </c>
      <c r="M230">
        <f>step3_validation[[#This Row],[Income_Mil]]</f>
        <v>63.152124654242797</v>
      </c>
      <c r="N230" t="str">
        <f>survey_responses[[#This Row],[Thu nhập bình quân tháng theo Hợp đồng lao động của bạn là bao nhiêu? (Vui lòng điền tổng thu nhập trước khi khấu trừ các loại Bảo hiểm (BHXH, BHYT, BHTN) và Thuế TNCN)]]</f>
        <v>Từ 48 - 70 triệu VNĐ</v>
      </c>
      <c r="O230">
        <f>step3_validation[[#This Row],[Dependents]]</f>
        <v>2</v>
      </c>
      <c r="P230" t="str">
        <f>survey_responses[[#This Row],[Số người phụ thuộc (con nhỏ, cha mẹ già...) đủ điều kiện giảm trừ gia cảnh:]]</f>
        <v>2 người</v>
      </c>
      <c r="Q230">
        <f>step3_validation[[#This Row],[AI_ENF1]]</f>
        <v>7</v>
      </c>
      <c r="R230">
        <f t="shared" si="81"/>
        <v>0.66666666666666663</v>
      </c>
      <c r="S230">
        <f>survey_responses[[#This Row],[Tôi tin rằng với các quy định quản lý thuế hiện nay, hành vi gian lận hoặc trốn thuế sẽ dễ dàng bị phát hiện và xử lý nghiêm. - HUMAN-ENF1]]</f>
        <v>6</v>
      </c>
      <c r="T230">
        <f t="shared" si="82"/>
        <v>0.55555555555555558</v>
      </c>
      <c r="U230">
        <f>step3_validation[[#This Row],[AI_ENF2]]</f>
        <v>6</v>
      </c>
      <c r="V230">
        <f t="shared" si="83"/>
        <v>0.55555555555555558</v>
      </c>
      <c r="W230">
        <f>survey_responses[[#This Row],[Tôi tin rằng Nhà nước, cơ quan thuế có đủ khả năng và công nghệ để phát hiện, xử lý nghiêm các hành vi trốn thuế. - HUMAN-ENF2]]</f>
        <v>6</v>
      </c>
      <c r="X230">
        <f t="shared" si="84"/>
        <v>0.55555555555555558</v>
      </c>
      <c r="Y230" s="32">
        <f t="shared" si="85"/>
        <v>0.61111111111111116</v>
      </c>
      <c r="Z230" s="32">
        <f t="shared" si="86"/>
        <v>0.55555555555555558</v>
      </c>
      <c r="AA230">
        <f>step3_validation[[#This Row],[AI_FAC1]]</f>
        <v>7</v>
      </c>
      <c r="AB230">
        <f t="shared" si="87"/>
        <v>0.66666666666666663</v>
      </c>
      <c r="AC230">
        <f>survey_responses[[#This Row],[Các thủ tục khai báo thuế VÀ/HOẶC quy trình làm việc với cơ quan thuế đơn giản, tiện lợi, nhanh chóng hơn so với trước đây. - HUMAN-FAC1]]</f>
        <v>6</v>
      </c>
      <c r="AD230">
        <f t="shared" si="88"/>
        <v>0.55555555555555558</v>
      </c>
      <c r="AE230">
        <f>step3_validation[[#This Row],[AI_FAC2]]</f>
        <v>9</v>
      </c>
      <c r="AF230">
        <f t="shared" si="89"/>
        <v>0.88888888888888884</v>
      </c>
      <c r="AG230">
        <f>survey_responses[[#This Row],[So với trước đây, tôi thấy cách tính thuế và các bậc thuế trong phương án mới đơn giản, dễ hiểu và dễ thực hiện hơn. - HUMAN-FAC2]]</f>
        <v>6</v>
      </c>
      <c r="AH230">
        <f t="shared" si="90"/>
        <v>0.55555555555555558</v>
      </c>
      <c r="AI230" s="32">
        <f t="shared" si="91"/>
        <v>0.77777777777777768</v>
      </c>
      <c r="AJ230" s="32">
        <f t="shared" si="92"/>
        <v>0.55555555555555558</v>
      </c>
      <c r="AK230">
        <f>step3_validation[[#This Row],[AI_TRU1]]</f>
        <v>6</v>
      </c>
      <c r="AL230">
        <f t="shared" si="93"/>
        <v>0.55555555555555558</v>
      </c>
      <c r="AM230">
        <f>survey_responses[[#This Row],[Tôi tin rằng Nhà nước, cơ quan thuế sẽ thực thi chính sách mới một cách khách quan, công tâm và đối xử bình đẳng với mọi người nộp thuế.  - HUMAN-TRU1]]</f>
        <v>6</v>
      </c>
      <c r="AN230">
        <f t="shared" si="94"/>
        <v>0.55555555555555558</v>
      </c>
      <c r="AO230">
        <f>step3_validation[[#This Row],[AI_TRU2]]</f>
        <v>9</v>
      </c>
      <c r="AP230">
        <f t="shared" si="95"/>
        <v>0.88888888888888884</v>
      </c>
      <c r="AQ230">
        <f>survey_responses[[#This Row],[Tôi thấy mức thuế tôi phải đóng theo phương án mới là công bằng (người thu nhập như tôi đóng mức này là hợp lý). - HUMAN-TRU2]]</f>
        <v>7</v>
      </c>
      <c r="AR230">
        <f t="shared" si="96"/>
        <v>0.66666666666666663</v>
      </c>
      <c r="AS230">
        <f>step3_validation[[#This Row],[AI_TRU3]]</f>
        <v>8</v>
      </c>
      <c r="AT230">
        <f t="shared" si="97"/>
        <v>0.77777777777777779</v>
      </c>
      <c r="AU230">
        <f>survey_responses[[#This Row],[Tôi tin tưởng số tiền thuế tôi đóng sẽ được Nhà nước sử dụng hiệu quả để cải thiện dịch vụ công (y tế, đường xá...). - HUMAN-TRU3]]</f>
        <v>6</v>
      </c>
      <c r="AV230">
        <f t="shared" si="98"/>
        <v>0.55555555555555558</v>
      </c>
      <c r="AW230">
        <f>step3_validation[[#This Row],[AI_TRU4]]</f>
        <v>7</v>
      </c>
      <c r="AX230">
        <f t="shared" si="99"/>
        <v>0.66666666666666663</v>
      </c>
      <c r="AY230">
        <f>survey_responses[[#This Row],[Tôi thấy Nhà nước đã giải thích rõ ràng, minh bạch về lý do và mục tiêu của việc sửa đổi thuế lần này. - HUMAN-TRU4]]</f>
        <v>6</v>
      </c>
      <c r="AZ230">
        <f t="shared" si="100"/>
        <v>0.55555555555555558</v>
      </c>
      <c r="BA230" s="32">
        <f t="shared" si="101"/>
        <v>0.72222222222222221</v>
      </c>
      <c r="BB230" s="32">
        <f t="shared" si="102"/>
        <v>0.58333333333333337</v>
      </c>
      <c r="BC230" s="7">
        <f t="shared" si="103"/>
        <v>0.70370370370370372</v>
      </c>
      <c r="BD230" s="7">
        <f t="shared" si="104"/>
        <v>0.56481481481481488</v>
      </c>
      <c r="BE230">
        <f>step3_validation[[#This Row],[AI_OUT1]]</f>
        <v>9</v>
      </c>
      <c r="BF230">
        <f t="shared" si="105"/>
        <v>0.88888888888888884</v>
      </c>
      <c r="BG230">
        <f>survey_responses[[#This Row],[Sau khi xem xét các quyền lợi và nghĩa vụ, bạn có ủng hộ và tuân thủ chính sách mới hiện nay? - HUMAN-OUT1]]</f>
        <v>7</v>
      </c>
      <c r="BH230">
        <f t="shared" si="106"/>
        <v>0.66666666666666663</v>
      </c>
      <c r="BI230" s="32">
        <f t="shared" si="107"/>
        <v>2</v>
      </c>
    </row>
    <row r="231" spans="1:61" x14ac:dyDescent="0.45">
      <c r="A231" s="30">
        <f>step3_validation[[#This Row],[Persona_ID]]</f>
        <v>230</v>
      </c>
      <c r="B231" s="31">
        <f>step3_validation[[#This Row],[Used_Seed]]</f>
        <v>12574</v>
      </c>
      <c r="C231" t="str">
        <f>step3_validation[[#This Row],[Gender]]</f>
        <v>Nữ</v>
      </c>
      <c r="D231" t="str">
        <f>survey_responses[[#This Row],[Giới tính của bạn:]]</f>
        <v>Nữ</v>
      </c>
      <c r="E231" t="str">
        <f>step3_validation[[#This Row],[Age_Group]]</f>
        <v>40 - 49</v>
      </c>
      <c r="F231" t="str">
        <f>survey_responses[[#This Row],[Độ tuổi của bạn:]]</f>
        <v>40 - 49</v>
      </c>
      <c r="G231" t="str">
        <f>step3_validation[[#This Row],[Region]]</f>
        <v>Thành thị</v>
      </c>
      <c r="H231" t="str">
        <f>survey_responses[[#This Row],[Khu vực bạn đang sinh sống:]]</f>
        <v>Thành thị</v>
      </c>
      <c r="I231" t="str">
        <f>step3_validation[[#This Row],[Education]]</f>
        <v>Sau Đại học</v>
      </c>
      <c r="J231" t="str">
        <f>survey_responses[[#This Row],[Trình độ học vấn cao nhất:]]</f>
        <v>Sau Đại học</v>
      </c>
      <c r="K231" t="str">
        <f>step3_validation[[#This Row],[Employment]]</f>
        <v>Chính thức</v>
      </c>
      <c r="L231" t="str">
        <f>survey_responses[[#This Row],[Tình trạng việc làm chính:]]</f>
        <v>Khu vực chính thức (Có Hợp đồng lao động, đóng BHXH)</v>
      </c>
      <c r="M231">
        <f>step3_validation[[#This Row],[Income_Mil]]</f>
        <v>88.941297532583818</v>
      </c>
      <c r="N231" t="str">
        <f>survey_responses[[#This Row],[Thu nhập bình quân tháng theo Hợp đồng lao động của bạn là bao nhiêu? (Vui lòng điền tổng thu nhập trước khi khấu trừ các loại Bảo hiểm (BHXH, BHYT, BHTN) và Thuế TNCN)]]</f>
        <v>Từ 70 - 102 triệu VNĐ</v>
      </c>
      <c r="O231">
        <f>step3_validation[[#This Row],[Dependents]]</f>
        <v>4</v>
      </c>
      <c r="P231" t="str">
        <f>survey_responses[[#This Row],[Số người phụ thuộc (con nhỏ, cha mẹ già...) đủ điều kiện giảm trừ gia cảnh:]]</f>
        <v>4 người trở lên</v>
      </c>
      <c r="Q231">
        <f>step3_validation[[#This Row],[AI_ENF1]]</f>
        <v>8</v>
      </c>
      <c r="R231">
        <f t="shared" si="81"/>
        <v>0.77777777777777779</v>
      </c>
      <c r="S231">
        <f>survey_responses[[#This Row],[Tôi tin rằng với các quy định quản lý thuế hiện nay, hành vi gian lận hoặc trốn thuế sẽ dễ dàng bị phát hiện và xử lý nghiêm. - HUMAN-ENF1]]</f>
        <v>4</v>
      </c>
      <c r="T231">
        <f t="shared" si="82"/>
        <v>0.33333333333333331</v>
      </c>
      <c r="U231">
        <f>step3_validation[[#This Row],[AI_ENF2]]</f>
        <v>9</v>
      </c>
      <c r="V231">
        <f t="shared" si="83"/>
        <v>0.88888888888888884</v>
      </c>
      <c r="W231">
        <f>survey_responses[[#This Row],[Tôi tin rằng Nhà nước, cơ quan thuế có đủ khả năng và công nghệ để phát hiện, xử lý nghiêm các hành vi trốn thuế. - HUMAN-ENF2]]</f>
        <v>5</v>
      </c>
      <c r="X231">
        <f t="shared" si="84"/>
        <v>0.44444444444444442</v>
      </c>
      <c r="Y231" s="32">
        <f t="shared" si="85"/>
        <v>0.83333333333333326</v>
      </c>
      <c r="Z231" s="32">
        <f t="shared" si="86"/>
        <v>0.38888888888888884</v>
      </c>
      <c r="AA231">
        <f>step3_validation[[#This Row],[AI_FAC1]]</f>
        <v>8</v>
      </c>
      <c r="AB231">
        <f t="shared" si="87"/>
        <v>0.77777777777777779</v>
      </c>
      <c r="AC231">
        <f>survey_responses[[#This Row],[Các thủ tục khai báo thuế VÀ/HOẶC quy trình làm việc với cơ quan thuế đơn giản, tiện lợi, nhanh chóng hơn so với trước đây. - HUMAN-FAC1]]</f>
        <v>1</v>
      </c>
      <c r="AD231">
        <f t="shared" si="88"/>
        <v>0</v>
      </c>
      <c r="AE231">
        <f>step3_validation[[#This Row],[AI_FAC2]]</f>
        <v>9</v>
      </c>
      <c r="AF231">
        <f t="shared" si="89"/>
        <v>0.88888888888888884</v>
      </c>
      <c r="AG231">
        <f>survey_responses[[#This Row],[So với trước đây, tôi thấy cách tính thuế và các bậc thuế trong phương án mới đơn giản, dễ hiểu và dễ thực hiện hơn. - HUMAN-FAC2]]</f>
        <v>6</v>
      </c>
      <c r="AH231">
        <f t="shared" si="90"/>
        <v>0.55555555555555558</v>
      </c>
      <c r="AI231" s="32">
        <f t="shared" si="91"/>
        <v>0.83333333333333326</v>
      </c>
      <c r="AJ231" s="32">
        <f t="shared" si="92"/>
        <v>0.27777777777777779</v>
      </c>
      <c r="AK231">
        <f>step3_validation[[#This Row],[AI_TRU1]]</f>
        <v>8</v>
      </c>
      <c r="AL231">
        <f t="shared" si="93"/>
        <v>0.77777777777777779</v>
      </c>
      <c r="AM231">
        <f>survey_responses[[#This Row],[Tôi tin rằng Nhà nước, cơ quan thuế sẽ thực thi chính sách mới một cách khách quan, công tâm và đối xử bình đẳng với mọi người nộp thuế.  - HUMAN-TRU1]]</f>
        <v>4</v>
      </c>
      <c r="AN231">
        <f t="shared" si="94"/>
        <v>0.33333333333333331</v>
      </c>
      <c r="AO231">
        <f>step3_validation[[#This Row],[AI_TRU2]]</f>
        <v>9</v>
      </c>
      <c r="AP231">
        <f t="shared" si="95"/>
        <v>0.88888888888888884</v>
      </c>
      <c r="AQ231">
        <f>survey_responses[[#This Row],[Tôi thấy mức thuế tôi phải đóng theo phương án mới là công bằng (người thu nhập như tôi đóng mức này là hợp lý). - HUMAN-TRU2]]</f>
        <v>4</v>
      </c>
      <c r="AR231">
        <f t="shared" si="96"/>
        <v>0.33333333333333331</v>
      </c>
      <c r="AS231">
        <f>step3_validation[[#This Row],[AI_TRU3]]</f>
        <v>8</v>
      </c>
      <c r="AT231">
        <f t="shared" si="97"/>
        <v>0.77777777777777779</v>
      </c>
      <c r="AU231">
        <f>survey_responses[[#This Row],[Tôi tin tưởng số tiền thuế tôi đóng sẽ được Nhà nước sử dụng hiệu quả để cải thiện dịch vụ công (y tế, đường xá...). - HUMAN-TRU3]]</f>
        <v>5</v>
      </c>
      <c r="AV231">
        <f t="shared" si="98"/>
        <v>0.44444444444444442</v>
      </c>
      <c r="AW231">
        <f>step3_validation[[#This Row],[AI_TRU4]]</f>
        <v>7</v>
      </c>
      <c r="AX231">
        <f t="shared" si="99"/>
        <v>0.66666666666666663</v>
      </c>
      <c r="AY231">
        <f>survey_responses[[#This Row],[Tôi thấy Nhà nước đã giải thích rõ ràng, minh bạch về lý do và mục tiêu của việc sửa đổi thuế lần này. - HUMAN-TRU4]]</f>
        <v>5</v>
      </c>
      <c r="AZ231">
        <f t="shared" si="100"/>
        <v>0.44444444444444442</v>
      </c>
      <c r="BA231" s="32">
        <f t="shared" si="101"/>
        <v>0.77777777777777768</v>
      </c>
      <c r="BB231" s="32">
        <f t="shared" si="102"/>
        <v>0.3888888888888889</v>
      </c>
      <c r="BC231" s="7">
        <f t="shared" si="103"/>
        <v>0.81481481481481477</v>
      </c>
      <c r="BD231" s="7">
        <f t="shared" si="104"/>
        <v>0.35185185185185186</v>
      </c>
      <c r="BE231">
        <f>step3_validation[[#This Row],[AI_OUT1]]</f>
        <v>9</v>
      </c>
      <c r="BF231">
        <f t="shared" si="105"/>
        <v>0.88888888888888884</v>
      </c>
      <c r="BG231">
        <f>survey_responses[[#This Row],[Sau khi xem xét các quyền lợi và nghĩa vụ, bạn có ủng hộ và tuân thủ chính sách mới hiện nay? - HUMAN-OUT1]]</f>
        <v>5</v>
      </c>
      <c r="BH231">
        <f t="shared" si="106"/>
        <v>0.44444444444444442</v>
      </c>
      <c r="BI231" s="32">
        <f t="shared" si="107"/>
        <v>4</v>
      </c>
    </row>
    <row r="232" spans="1:61" x14ac:dyDescent="0.45">
      <c r="A232" s="30">
        <f>step3_validation[[#This Row],[Persona_ID]]</f>
        <v>231</v>
      </c>
      <c r="B232" s="31">
        <f>step3_validation[[#This Row],[Used_Seed]]</f>
        <v>12575</v>
      </c>
      <c r="C232" t="str">
        <f>step3_validation[[#This Row],[Gender]]</f>
        <v>Nam</v>
      </c>
      <c r="D232" t="str">
        <f>survey_responses[[#This Row],[Giới tính của bạn:]]</f>
        <v>Nam</v>
      </c>
      <c r="E232" t="str">
        <f>step3_validation[[#This Row],[Age_Group]]</f>
        <v>55 - 64</v>
      </c>
      <c r="F232" t="str">
        <f>survey_responses[[#This Row],[Độ tuổi của bạn:]]</f>
        <v>55 - 64</v>
      </c>
      <c r="G232" t="str">
        <f>step3_validation[[#This Row],[Region]]</f>
        <v>Thành thị</v>
      </c>
      <c r="H232" t="str">
        <f>survey_responses[[#This Row],[Khu vực bạn đang sinh sống:]]</f>
        <v>Thành thị</v>
      </c>
      <c r="I232" t="str">
        <f>step3_validation[[#This Row],[Education]]</f>
        <v>Sau Đại học</v>
      </c>
      <c r="J232" t="str">
        <f>survey_responses[[#This Row],[Trình độ học vấn cao nhất:]]</f>
        <v>Sau Đại học</v>
      </c>
      <c r="K232" t="str">
        <f>step3_validation[[#This Row],[Employment]]</f>
        <v>Chính thức</v>
      </c>
      <c r="L232" t="str">
        <f>survey_responses[[#This Row],[Tình trạng việc làm chính:]]</f>
        <v>Khu vực chính thức (Có Hợp đồng lao động, đóng BHXH)</v>
      </c>
      <c r="M232">
        <f>step3_validation[[#This Row],[Income_Mil]]</f>
        <v>128.03554286536991</v>
      </c>
      <c r="N232" t="str">
        <f>survey_responses[[#This Row],[Thu nhập bình quân tháng theo Hợp đồng lao động của bạn là bao nhiêu? (Vui lòng điền tổng thu nhập trước khi khấu trừ các loại Bảo hiểm (BHXH, BHYT, BHTN) và Thuế TNCN)]]</f>
        <v>Trên 102 triệu VNĐ</v>
      </c>
      <c r="O232">
        <f>step3_validation[[#This Row],[Dependents]]</f>
        <v>4</v>
      </c>
      <c r="P232" t="str">
        <f>survey_responses[[#This Row],[Số người phụ thuộc (con nhỏ, cha mẹ già...) đủ điều kiện giảm trừ gia cảnh:]]</f>
        <v>4 người trở lên</v>
      </c>
      <c r="Q232">
        <f>step3_validation[[#This Row],[AI_ENF1]]</f>
        <v>9</v>
      </c>
      <c r="R232">
        <f t="shared" si="81"/>
        <v>0.88888888888888884</v>
      </c>
      <c r="S232">
        <f>survey_responses[[#This Row],[Tôi tin rằng với các quy định quản lý thuế hiện nay, hành vi gian lận hoặc trốn thuế sẽ dễ dàng bị phát hiện và xử lý nghiêm. - HUMAN-ENF1]]</f>
        <v>8</v>
      </c>
      <c r="T232">
        <f t="shared" si="82"/>
        <v>0.77777777777777779</v>
      </c>
      <c r="U232">
        <f>step3_validation[[#This Row],[AI_ENF2]]</f>
        <v>8</v>
      </c>
      <c r="V232">
        <f t="shared" si="83"/>
        <v>0.77777777777777779</v>
      </c>
      <c r="W232">
        <f>survey_responses[[#This Row],[Tôi tin rằng Nhà nước, cơ quan thuế có đủ khả năng và công nghệ để phát hiện, xử lý nghiêm các hành vi trốn thuế. - HUMAN-ENF2]]</f>
        <v>8</v>
      </c>
      <c r="X232">
        <f t="shared" si="84"/>
        <v>0.77777777777777779</v>
      </c>
      <c r="Y232" s="32">
        <f t="shared" si="85"/>
        <v>0.83333333333333326</v>
      </c>
      <c r="Z232" s="32">
        <f t="shared" si="86"/>
        <v>0.77777777777777779</v>
      </c>
      <c r="AA232">
        <f>step3_validation[[#This Row],[AI_FAC1]]</f>
        <v>9</v>
      </c>
      <c r="AB232">
        <f t="shared" si="87"/>
        <v>0.88888888888888884</v>
      </c>
      <c r="AC232">
        <f>survey_responses[[#This Row],[Các thủ tục khai báo thuế VÀ/HOẶC quy trình làm việc với cơ quan thuế đơn giản, tiện lợi, nhanh chóng hơn so với trước đây. - HUMAN-FAC1]]</f>
        <v>8</v>
      </c>
      <c r="AD232">
        <f t="shared" si="88"/>
        <v>0.77777777777777779</v>
      </c>
      <c r="AE232">
        <f>step3_validation[[#This Row],[AI_FAC2]]</f>
        <v>8</v>
      </c>
      <c r="AF232">
        <f t="shared" si="89"/>
        <v>0.77777777777777779</v>
      </c>
      <c r="AG232">
        <f>survey_responses[[#This Row],[So với trước đây, tôi thấy cách tính thuế và các bậc thuế trong phương án mới đơn giản, dễ hiểu và dễ thực hiện hơn. - HUMAN-FAC2]]</f>
        <v>8</v>
      </c>
      <c r="AH232">
        <f t="shared" si="90"/>
        <v>0.77777777777777779</v>
      </c>
      <c r="AI232" s="32">
        <f t="shared" si="91"/>
        <v>0.83333333333333326</v>
      </c>
      <c r="AJ232" s="32">
        <f t="shared" si="92"/>
        <v>0.77777777777777779</v>
      </c>
      <c r="AK232">
        <f>step3_validation[[#This Row],[AI_TRU1]]</f>
        <v>9</v>
      </c>
      <c r="AL232">
        <f t="shared" si="93"/>
        <v>0.88888888888888884</v>
      </c>
      <c r="AM232">
        <f>survey_responses[[#This Row],[Tôi tin rằng Nhà nước, cơ quan thuế sẽ thực thi chính sách mới một cách khách quan, công tâm và đối xử bình đẳng với mọi người nộp thuế.  - HUMAN-TRU1]]</f>
        <v>7</v>
      </c>
      <c r="AN232">
        <f t="shared" si="94"/>
        <v>0.66666666666666663</v>
      </c>
      <c r="AO232">
        <f>step3_validation[[#This Row],[AI_TRU2]]</f>
        <v>9</v>
      </c>
      <c r="AP232">
        <f t="shared" si="95"/>
        <v>0.88888888888888884</v>
      </c>
      <c r="AQ232">
        <f>survey_responses[[#This Row],[Tôi thấy mức thuế tôi phải đóng theo phương án mới là công bằng (người thu nhập như tôi đóng mức này là hợp lý). - HUMAN-TRU2]]</f>
        <v>7</v>
      </c>
      <c r="AR232">
        <f t="shared" si="96"/>
        <v>0.66666666666666663</v>
      </c>
      <c r="AS232">
        <f>step3_validation[[#This Row],[AI_TRU3]]</f>
        <v>8</v>
      </c>
      <c r="AT232">
        <f t="shared" si="97"/>
        <v>0.77777777777777779</v>
      </c>
      <c r="AU232">
        <f>survey_responses[[#This Row],[Tôi tin tưởng số tiền thuế tôi đóng sẽ được Nhà nước sử dụng hiệu quả để cải thiện dịch vụ công (y tế, đường xá...). - HUMAN-TRU3]]</f>
        <v>8</v>
      </c>
      <c r="AV232">
        <f t="shared" si="98"/>
        <v>0.77777777777777779</v>
      </c>
      <c r="AW232">
        <f>step3_validation[[#This Row],[AI_TRU4]]</f>
        <v>9</v>
      </c>
      <c r="AX232">
        <f t="shared" si="99"/>
        <v>0.88888888888888884</v>
      </c>
      <c r="AY232">
        <f>survey_responses[[#This Row],[Tôi thấy Nhà nước đã giải thích rõ ràng, minh bạch về lý do và mục tiêu của việc sửa đổi thuế lần này. - HUMAN-TRU4]]</f>
        <v>7</v>
      </c>
      <c r="AZ232">
        <f t="shared" si="100"/>
        <v>0.66666666666666663</v>
      </c>
      <c r="BA232" s="32">
        <f t="shared" si="101"/>
        <v>0.86111111111111105</v>
      </c>
      <c r="BB232" s="32">
        <f t="shared" si="102"/>
        <v>0.69444444444444442</v>
      </c>
      <c r="BC232" s="7">
        <f t="shared" si="103"/>
        <v>0.84259259259259256</v>
      </c>
      <c r="BD232" s="7">
        <f t="shared" si="104"/>
        <v>0.75</v>
      </c>
      <c r="BE232">
        <f>step3_validation[[#This Row],[AI_OUT1]]</f>
        <v>9</v>
      </c>
      <c r="BF232">
        <f t="shared" si="105"/>
        <v>0.88888888888888884</v>
      </c>
      <c r="BG232">
        <f>survey_responses[[#This Row],[Sau khi xem xét các quyền lợi và nghĩa vụ, bạn có ủng hộ và tuân thủ chính sách mới hiện nay? - HUMAN-OUT1]]</f>
        <v>8</v>
      </c>
      <c r="BH232">
        <f t="shared" si="106"/>
        <v>0.77777777777777779</v>
      </c>
      <c r="BI232" s="32">
        <f t="shared" si="107"/>
        <v>1</v>
      </c>
    </row>
    <row r="233" spans="1:61" x14ac:dyDescent="0.45">
      <c r="A233" s="30">
        <f>step3_validation[[#This Row],[Persona_ID]]</f>
        <v>232</v>
      </c>
      <c r="B233" s="31">
        <f>step3_validation[[#This Row],[Used_Seed]]</f>
        <v>12576</v>
      </c>
      <c r="C233" t="str">
        <f>step3_validation[[#This Row],[Gender]]</f>
        <v>Nam</v>
      </c>
      <c r="D233" t="str">
        <f>survey_responses[[#This Row],[Giới tính của bạn:]]</f>
        <v>Nam</v>
      </c>
      <c r="E233" t="str">
        <f>step3_validation[[#This Row],[Age_Group]]</f>
        <v>30 - 39</v>
      </c>
      <c r="F233" t="str">
        <f>survey_responses[[#This Row],[Độ tuổi của bạn:]]</f>
        <v>30 - 39</v>
      </c>
      <c r="G233" t="str">
        <f>step3_validation[[#This Row],[Region]]</f>
        <v>Thành thị</v>
      </c>
      <c r="H233" t="str">
        <f>survey_responses[[#This Row],[Khu vực bạn đang sinh sống:]]</f>
        <v>Thành thị</v>
      </c>
      <c r="I233" t="str">
        <f>step3_validation[[#This Row],[Education]]</f>
        <v>Đại học</v>
      </c>
      <c r="J233" t="str">
        <f>survey_responses[[#This Row],[Trình độ học vấn cao nhất:]]</f>
        <v>Đại học</v>
      </c>
      <c r="K233" t="str">
        <f>step3_validation[[#This Row],[Employment]]</f>
        <v>Chính thức</v>
      </c>
      <c r="L233" t="str">
        <f>survey_responses[[#This Row],[Tình trạng việc làm chính:]]</f>
        <v>Khu vực chính thức (Có Hợp đồng lao động, đóng BHXH)</v>
      </c>
      <c r="M233">
        <f>step3_validation[[#This Row],[Income_Mil]]</f>
        <v>50.871414207238672</v>
      </c>
      <c r="N233" t="str">
        <f>survey_responses[[#This Row],[Thu nhập bình quân tháng theo Hợp đồng lao động của bạn là bao nhiêu? (Vui lòng điền tổng thu nhập trước khi khấu trừ các loại Bảo hiểm (BHXH, BHYT, BHTN) và Thuế TNCN)]]</f>
        <v>Từ 48 - 70 triệu VNĐ</v>
      </c>
      <c r="O233">
        <f>step3_validation[[#This Row],[Dependents]]</f>
        <v>2</v>
      </c>
      <c r="P233" t="str">
        <f>survey_responses[[#This Row],[Số người phụ thuộc (con nhỏ, cha mẹ già...) đủ điều kiện giảm trừ gia cảnh:]]</f>
        <v>2 người</v>
      </c>
      <c r="Q233">
        <f>step3_validation[[#This Row],[AI_ENF1]]</f>
        <v>6</v>
      </c>
      <c r="R233">
        <f t="shared" si="81"/>
        <v>0.55555555555555558</v>
      </c>
      <c r="S233">
        <f>survey_responses[[#This Row],[Tôi tin rằng với các quy định quản lý thuế hiện nay, hành vi gian lận hoặc trốn thuế sẽ dễ dàng bị phát hiện và xử lý nghiêm. - HUMAN-ENF1]]</f>
        <v>6</v>
      </c>
      <c r="T233">
        <f t="shared" si="82"/>
        <v>0.55555555555555558</v>
      </c>
      <c r="U233">
        <f>step3_validation[[#This Row],[AI_ENF2]]</f>
        <v>7</v>
      </c>
      <c r="V233">
        <f t="shared" si="83"/>
        <v>0.66666666666666663</v>
      </c>
      <c r="W233">
        <f>survey_responses[[#This Row],[Tôi tin rằng Nhà nước, cơ quan thuế có đủ khả năng và công nghệ để phát hiện, xử lý nghiêm các hành vi trốn thuế. - HUMAN-ENF2]]</f>
        <v>6</v>
      </c>
      <c r="X233">
        <f t="shared" si="84"/>
        <v>0.55555555555555558</v>
      </c>
      <c r="Y233" s="32">
        <f t="shared" si="85"/>
        <v>0.61111111111111116</v>
      </c>
      <c r="Z233" s="32">
        <f t="shared" si="86"/>
        <v>0.55555555555555558</v>
      </c>
      <c r="AA233">
        <f>step3_validation[[#This Row],[AI_FAC1]]</f>
        <v>9</v>
      </c>
      <c r="AB233">
        <f t="shared" si="87"/>
        <v>0.88888888888888884</v>
      </c>
      <c r="AC233">
        <f>survey_responses[[#This Row],[Các thủ tục khai báo thuế VÀ/HOẶC quy trình làm việc với cơ quan thuế đơn giản, tiện lợi, nhanh chóng hơn so với trước đây. - HUMAN-FAC1]]</f>
        <v>6</v>
      </c>
      <c r="AD233">
        <f t="shared" si="88"/>
        <v>0.55555555555555558</v>
      </c>
      <c r="AE233">
        <f>step3_validation[[#This Row],[AI_FAC2]]</f>
        <v>10</v>
      </c>
      <c r="AF233">
        <f t="shared" si="89"/>
        <v>1</v>
      </c>
      <c r="AG233">
        <f>survey_responses[[#This Row],[So với trước đây, tôi thấy cách tính thuế và các bậc thuế trong phương án mới đơn giản, dễ hiểu và dễ thực hiện hơn. - HUMAN-FAC2]]</f>
        <v>6</v>
      </c>
      <c r="AH233">
        <f t="shared" si="90"/>
        <v>0.55555555555555558</v>
      </c>
      <c r="AI233" s="32">
        <f t="shared" si="91"/>
        <v>0.94444444444444442</v>
      </c>
      <c r="AJ233" s="32">
        <f t="shared" si="92"/>
        <v>0.55555555555555558</v>
      </c>
      <c r="AK233">
        <f>step3_validation[[#This Row],[AI_TRU1]]</f>
        <v>7</v>
      </c>
      <c r="AL233">
        <f t="shared" si="93"/>
        <v>0.66666666666666663</v>
      </c>
      <c r="AM233">
        <f>survey_responses[[#This Row],[Tôi tin rằng Nhà nước, cơ quan thuế sẽ thực thi chính sách mới một cách khách quan, công tâm và đối xử bình đẳng với mọi người nộp thuế.  - HUMAN-TRU1]]</f>
        <v>6</v>
      </c>
      <c r="AN233">
        <f t="shared" si="94"/>
        <v>0.55555555555555558</v>
      </c>
      <c r="AO233">
        <f>step3_validation[[#This Row],[AI_TRU2]]</f>
        <v>9</v>
      </c>
      <c r="AP233">
        <f t="shared" si="95"/>
        <v>0.88888888888888884</v>
      </c>
      <c r="AQ233">
        <f>survey_responses[[#This Row],[Tôi thấy mức thuế tôi phải đóng theo phương án mới là công bằng (người thu nhập như tôi đóng mức này là hợp lý). - HUMAN-TRU2]]</f>
        <v>6</v>
      </c>
      <c r="AR233">
        <f t="shared" si="96"/>
        <v>0.55555555555555558</v>
      </c>
      <c r="AS233">
        <f>step3_validation[[#This Row],[AI_TRU3]]</f>
        <v>8</v>
      </c>
      <c r="AT233">
        <f t="shared" si="97"/>
        <v>0.77777777777777779</v>
      </c>
      <c r="AU233">
        <f>survey_responses[[#This Row],[Tôi tin tưởng số tiền thuế tôi đóng sẽ được Nhà nước sử dụng hiệu quả để cải thiện dịch vụ công (y tế, đường xá...). - HUMAN-TRU3]]</f>
        <v>6</v>
      </c>
      <c r="AV233">
        <f t="shared" si="98"/>
        <v>0.55555555555555558</v>
      </c>
      <c r="AW233">
        <f>step3_validation[[#This Row],[AI_TRU4]]</f>
        <v>9</v>
      </c>
      <c r="AX233">
        <f t="shared" si="99"/>
        <v>0.88888888888888884</v>
      </c>
      <c r="AY233">
        <f>survey_responses[[#This Row],[Tôi thấy Nhà nước đã giải thích rõ ràng, minh bạch về lý do và mục tiêu của việc sửa đổi thuế lần này. - HUMAN-TRU4]]</f>
        <v>6</v>
      </c>
      <c r="AZ233">
        <f t="shared" si="100"/>
        <v>0.55555555555555558</v>
      </c>
      <c r="BA233" s="32">
        <f t="shared" si="101"/>
        <v>0.80555555555555547</v>
      </c>
      <c r="BB233" s="32">
        <f t="shared" si="102"/>
        <v>0.55555555555555558</v>
      </c>
      <c r="BC233" s="7">
        <f t="shared" si="103"/>
        <v>0.78703703703703709</v>
      </c>
      <c r="BD233" s="7">
        <f t="shared" si="104"/>
        <v>0.55555555555555558</v>
      </c>
      <c r="BE233">
        <f>step3_validation[[#This Row],[AI_OUT1]]</f>
        <v>8</v>
      </c>
      <c r="BF233">
        <f t="shared" si="105"/>
        <v>0.77777777777777779</v>
      </c>
      <c r="BG233">
        <f>survey_responses[[#This Row],[Sau khi xem xét các quyền lợi và nghĩa vụ, bạn có ủng hộ và tuân thủ chính sách mới hiện nay? - HUMAN-OUT1]]</f>
        <v>6</v>
      </c>
      <c r="BH233">
        <f t="shared" si="106"/>
        <v>0.55555555555555558</v>
      </c>
      <c r="BI233" s="32">
        <f t="shared" si="107"/>
        <v>2</v>
      </c>
    </row>
    <row r="234" spans="1:61" x14ac:dyDescent="0.45">
      <c r="A234" s="30">
        <f>step3_validation[[#This Row],[Persona_ID]]</f>
        <v>233</v>
      </c>
      <c r="B234" s="31">
        <f>step3_validation[[#This Row],[Used_Seed]]</f>
        <v>12577</v>
      </c>
      <c r="C234" t="str">
        <f>step3_validation[[#This Row],[Gender]]</f>
        <v>Nữ</v>
      </c>
      <c r="D234" t="str">
        <f>survey_responses[[#This Row],[Giới tính của bạn:]]</f>
        <v>Nữ</v>
      </c>
      <c r="E234" t="str">
        <f>step3_validation[[#This Row],[Age_Group]]</f>
        <v>40 - 49</v>
      </c>
      <c r="F234" t="str">
        <f>survey_responses[[#This Row],[Độ tuổi của bạn:]]</f>
        <v>40 - 49</v>
      </c>
      <c r="G234" t="str">
        <f>step3_validation[[#This Row],[Region]]</f>
        <v>Thành thị</v>
      </c>
      <c r="H234" t="str">
        <f>survey_responses[[#This Row],[Khu vực bạn đang sinh sống:]]</f>
        <v>Thành thị</v>
      </c>
      <c r="I234" t="str">
        <f>step3_validation[[#This Row],[Education]]</f>
        <v>Đại học</v>
      </c>
      <c r="J234" t="str">
        <f>survey_responses[[#This Row],[Trình độ học vấn cao nhất:]]</f>
        <v>Đại học</v>
      </c>
      <c r="K234" t="str">
        <f>step3_validation[[#This Row],[Employment]]</f>
        <v>Chính thức</v>
      </c>
      <c r="L234" t="str">
        <f>survey_responses[[#This Row],[Tình trạng việc làm chính:]]</f>
        <v>Khu vực chính thức (Có Hợp đồng lao động, đóng BHXH)</v>
      </c>
      <c r="M234">
        <f>step3_validation[[#This Row],[Income_Mil]]</f>
        <v>14.644126104004014</v>
      </c>
      <c r="N234" t="str">
        <f>survey_responses[[#This Row],[Thu nhập bình quân tháng theo Hợp đồng lao động của bạn là bao nhiêu? (Vui lòng điền tổng thu nhập trước khi khấu trừ các loại Bảo hiểm (BHXH, BHYT, BHTN) và Thuế TNCN)]]</f>
        <v>Từ 12 - 18 triệu VNĐ</v>
      </c>
      <c r="O234">
        <f>step3_validation[[#This Row],[Dependents]]</f>
        <v>1</v>
      </c>
      <c r="P234" t="str">
        <f>survey_responses[[#This Row],[Số người phụ thuộc (con nhỏ, cha mẹ già...) đủ điều kiện giảm trừ gia cảnh:]]</f>
        <v>1 người</v>
      </c>
      <c r="Q234">
        <f>step3_validation[[#This Row],[AI_ENF1]]</f>
        <v>8</v>
      </c>
      <c r="R234">
        <f t="shared" si="81"/>
        <v>0.77777777777777779</v>
      </c>
      <c r="S234">
        <f>survey_responses[[#This Row],[Tôi tin rằng với các quy định quản lý thuế hiện nay, hành vi gian lận hoặc trốn thuế sẽ dễ dàng bị phát hiện và xử lý nghiêm. - HUMAN-ENF1]]</f>
        <v>8</v>
      </c>
      <c r="T234">
        <f t="shared" si="82"/>
        <v>0.77777777777777779</v>
      </c>
      <c r="U234">
        <f>step3_validation[[#This Row],[AI_ENF2]]</f>
        <v>9</v>
      </c>
      <c r="V234">
        <f t="shared" si="83"/>
        <v>0.88888888888888884</v>
      </c>
      <c r="W234">
        <f>survey_responses[[#This Row],[Tôi tin rằng Nhà nước, cơ quan thuế có đủ khả năng và công nghệ để phát hiện, xử lý nghiêm các hành vi trốn thuế. - HUMAN-ENF2]]</f>
        <v>8</v>
      </c>
      <c r="X234">
        <f t="shared" si="84"/>
        <v>0.77777777777777779</v>
      </c>
      <c r="Y234" s="32">
        <f t="shared" si="85"/>
        <v>0.83333333333333326</v>
      </c>
      <c r="Z234" s="32">
        <f t="shared" si="86"/>
        <v>0.77777777777777779</v>
      </c>
      <c r="AA234">
        <f>step3_validation[[#This Row],[AI_FAC1]]</f>
        <v>9</v>
      </c>
      <c r="AB234">
        <f t="shared" si="87"/>
        <v>0.88888888888888884</v>
      </c>
      <c r="AC234">
        <f>survey_responses[[#This Row],[Các thủ tục khai báo thuế VÀ/HOẶC quy trình làm việc với cơ quan thuế đơn giản, tiện lợi, nhanh chóng hơn so với trước đây. - HUMAN-FAC1]]</f>
        <v>8</v>
      </c>
      <c r="AD234">
        <f t="shared" si="88"/>
        <v>0.77777777777777779</v>
      </c>
      <c r="AE234">
        <f>step3_validation[[#This Row],[AI_FAC2]]</f>
        <v>10</v>
      </c>
      <c r="AF234">
        <f t="shared" si="89"/>
        <v>1</v>
      </c>
      <c r="AG234">
        <f>survey_responses[[#This Row],[So với trước đây, tôi thấy cách tính thuế và các bậc thuế trong phương án mới đơn giản, dễ hiểu và dễ thực hiện hơn. - HUMAN-FAC2]]</f>
        <v>8</v>
      </c>
      <c r="AH234">
        <f t="shared" si="90"/>
        <v>0.77777777777777779</v>
      </c>
      <c r="AI234" s="32">
        <f t="shared" si="91"/>
        <v>0.94444444444444442</v>
      </c>
      <c r="AJ234" s="32">
        <f t="shared" si="92"/>
        <v>0.77777777777777779</v>
      </c>
      <c r="AK234">
        <f>step3_validation[[#This Row],[AI_TRU1]]</f>
        <v>9</v>
      </c>
      <c r="AL234">
        <f t="shared" si="93"/>
        <v>0.88888888888888884</v>
      </c>
      <c r="AM234">
        <f>survey_responses[[#This Row],[Tôi tin rằng Nhà nước, cơ quan thuế sẽ thực thi chính sách mới một cách khách quan, công tâm và đối xử bình đẳng với mọi người nộp thuế.  - HUMAN-TRU1]]</f>
        <v>9</v>
      </c>
      <c r="AN234">
        <f t="shared" si="94"/>
        <v>0.88888888888888884</v>
      </c>
      <c r="AO234">
        <f>step3_validation[[#This Row],[AI_TRU2]]</f>
        <v>8</v>
      </c>
      <c r="AP234">
        <f t="shared" si="95"/>
        <v>0.77777777777777779</v>
      </c>
      <c r="AQ234">
        <f>survey_responses[[#This Row],[Tôi thấy mức thuế tôi phải đóng theo phương án mới là công bằng (người thu nhập như tôi đóng mức này là hợp lý). - HUMAN-TRU2]]</f>
        <v>8</v>
      </c>
      <c r="AR234">
        <f t="shared" si="96"/>
        <v>0.77777777777777779</v>
      </c>
      <c r="AS234">
        <f>step3_validation[[#This Row],[AI_TRU3]]</f>
        <v>9</v>
      </c>
      <c r="AT234">
        <f t="shared" si="97"/>
        <v>0.88888888888888884</v>
      </c>
      <c r="AU234">
        <f>survey_responses[[#This Row],[Tôi tin tưởng số tiền thuế tôi đóng sẽ được Nhà nước sử dụng hiệu quả để cải thiện dịch vụ công (y tế, đường xá...). - HUMAN-TRU3]]</f>
        <v>8</v>
      </c>
      <c r="AV234">
        <f t="shared" si="98"/>
        <v>0.77777777777777779</v>
      </c>
      <c r="AW234">
        <f>step3_validation[[#This Row],[AI_TRU4]]</f>
        <v>8</v>
      </c>
      <c r="AX234">
        <f t="shared" si="99"/>
        <v>0.77777777777777779</v>
      </c>
      <c r="AY234">
        <f>survey_responses[[#This Row],[Tôi thấy Nhà nước đã giải thích rõ ràng, minh bạch về lý do và mục tiêu của việc sửa đổi thuế lần này. - HUMAN-TRU4]]</f>
        <v>8</v>
      </c>
      <c r="AZ234">
        <f t="shared" si="100"/>
        <v>0.77777777777777779</v>
      </c>
      <c r="BA234" s="32">
        <f t="shared" si="101"/>
        <v>0.83333333333333326</v>
      </c>
      <c r="BB234" s="32">
        <f t="shared" si="102"/>
        <v>0.80555555555555547</v>
      </c>
      <c r="BC234" s="7">
        <f t="shared" si="103"/>
        <v>0.87037037037037024</v>
      </c>
      <c r="BD234" s="7">
        <f t="shared" si="104"/>
        <v>0.78703703703703709</v>
      </c>
      <c r="BE234">
        <f>step3_validation[[#This Row],[AI_OUT1]]</f>
        <v>9</v>
      </c>
      <c r="BF234">
        <f t="shared" si="105"/>
        <v>0.88888888888888884</v>
      </c>
      <c r="BG234">
        <f>survey_responses[[#This Row],[Sau khi xem xét các quyền lợi và nghĩa vụ, bạn có ủng hộ và tuân thủ chính sách mới hiện nay? - HUMAN-OUT1]]</f>
        <v>10</v>
      </c>
      <c r="BH234">
        <f t="shared" si="106"/>
        <v>1</v>
      </c>
      <c r="BI234" s="32">
        <f t="shared" si="107"/>
        <v>1</v>
      </c>
    </row>
    <row r="235" spans="1:61" x14ac:dyDescent="0.45">
      <c r="A235" s="30">
        <f>step3_validation[[#This Row],[Persona_ID]]</f>
        <v>234</v>
      </c>
      <c r="B235" s="31">
        <f>step3_validation[[#This Row],[Used_Seed]]</f>
        <v>12578</v>
      </c>
      <c r="C235" t="str">
        <f>step3_validation[[#This Row],[Gender]]</f>
        <v>Nữ</v>
      </c>
      <c r="D235" t="str">
        <f>survey_responses[[#This Row],[Giới tính của bạn:]]</f>
        <v>Nữ</v>
      </c>
      <c r="E235" t="str">
        <f>step3_validation[[#This Row],[Age_Group]]</f>
        <v>50 - 54</v>
      </c>
      <c r="F235" t="str">
        <f>survey_responses[[#This Row],[Độ tuổi của bạn:]]</f>
        <v>50 - 54</v>
      </c>
      <c r="G235" t="str">
        <f>step3_validation[[#This Row],[Region]]</f>
        <v>Thành thị</v>
      </c>
      <c r="H235" t="str">
        <f>survey_responses[[#This Row],[Khu vực bạn đang sinh sống:]]</f>
        <v>Thành thị</v>
      </c>
      <c r="I235" t="str">
        <f>step3_validation[[#This Row],[Education]]</f>
        <v>Sau Đại học</v>
      </c>
      <c r="J235" t="str">
        <f>survey_responses[[#This Row],[Trình độ học vấn cao nhất:]]</f>
        <v>Sau Đại học</v>
      </c>
      <c r="K235" t="str">
        <f>step3_validation[[#This Row],[Employment]]</f>
        <v>Chính thức</v>
      </c>
      <c r="L235" t="str">
        <f>survey_responses[[#This Row],[Tình trạng việc làm chính:]]</f>
        <v>Khu vực chính thức (Có Hợp đồng lao động, đóng BHXH)</v>
      </c>
      <c r="M235">
        <f>step3_validation[[#This Row],[Income_Mil]]</f>
        <v>74.992711943235221</v>
      </c>
      <c r="N235" t="str">
        <f>survey_responses[[#This Row],[Thu nhập bình quân tháng theo Hợp đồng lao động của bạn là bao nhiêu? (Vui lòng điền tổng thu nhập trước khi khấu trừ các loại Bảo hiểm (BHXH, BHYT, BHTN) và Thuế TNCN)]]</f>
        <v>Từ 70 - 102 triệu VNĐ</v>
      </c>
      <c r="O235">
        <f>step3_validation[[#This Row],[Dependents]]</f>
        <v>3</v>
      </c>
      <c r="P235" t="str">
        <f>survey_responses[[#This Row],[Số người phụ thuộc (con nhỏ, cha mẹ già...) đủ điều kiện giảm trừ gia cảnh:]]</f>
        <v>3 người</v>
      </c>
      <c r="Q235">
        <f>step3_validation[[#This Row],[AI_ENF1]]</f>
        <v>8</v>
      </c>
      <c r="R235">
        <f t="shared" si="81"/>
        <v>0.77777777777777779</v>
      </c>
      <c r="S235">
        <f>survey_responses[[#This Row],[Tôi tin rằng với các quy định quản lý thuế hiện nay, hành vi gian lận hoặc trốn thuế sẽ dễ dàng bị phát hiện và xử lý nghiêm. - HUMAN-ENF1]]</f>
        <v>4</v>
      </c>
      <c r="T235">
        <f t="shared" si="82"/>
        <v>0.33333333333333331</v>
      </c>
      <c r="U235">
        <f>step3_validation[[#This Row],[AI_ENF2]]</f>
        <v>9</v>
      </c>
      <c r="V235">
        <f t="shared" si="83"/>
        <v>0.88888888888888884</v>
      </c>
      <c r="W235">
        <f>survey_responses[[#This Row],[Tôi tin rằng Nhà nước, cơ quan thuế có đủ khả năng và công nghệ để phát hiện, xử lý nghiêm các hành vi trốn thuế. - HUMAN-ENF2]]</f>
        <v>4</v>
      </c>
      <c r="X235">
        <f t="shared" si="84"/>
        <v>0.33333333333333331</v>
      </c>
      <c r="Y235" s="32">
        <f t="shared" si="85"/>
        <v>0.83333333333333326</v>
      </c>
      <c r="Z235" s="32">
        <f t="shared" si="86"/>
        <v>0.33333333333333331</v>
      </c>
      <c r="AA235">
        <f>step3_validation[[#This Row],[AI_FAC1]]</f>
        <v>8</v>
      </c>
      <c r="AB235">
        <f t="shared" si="87"/>
        <v>0.77777777777777779</v>
      </c>
      <c r="AC235">
        <f>survey_responses[[#This Row],[Các thủ tục khai báo thuế VÀ/HOẶC quy trình làm việc với cơ quan thuế đơn giản, tiện lợi, nhanh chóng hơn so với trước đây. - HUMAN-FAC1]]</f>
        <v>4</v>
      </c>
      <c r="AD235">
        <f t="shared" si="88"/>
        <v>0.33333333333333331</v>
      </c>
      <c r="AE235">
        <f>step3_validation[[#This Row],[AI_FAC2]]</f>
        <v>9</v>
      </c>
      <c r="AF235">
        <f t="shared" si="89"/>
        <v>0.88888888888888884</v>
      </c>
      <c r="AG235">
        <f>survey_responses[[#This Row],[So với trước đây, tôi thấy cách tính thuế và các bậc thuế trong phương án mới đơn giản, dễ hiểu và dễ thực hiện hơn. - HUMAN-FAC2]]</f>
        <v>4</v>
      </c>
      <c r="AH235">
        <f t="shared" si="90"/>
        <v>0.33333333333333331</v>
      </c>
      <c r="AI235" s="32">
        <f t="shared" si="91"/>
        <v>0.83333333333333326</v>
      </c>
      <c r="AJ235" s="32">
        <f t="shared" si="92"/>
        <v>0.33333333333333331</v>
      </c>
      <c r="AK235">
        <f>step3_validation[[#This Row],[AI_TRU1]]</f>
        <v>8</v>
      </c>
      <c r="AL235">
        <f t="shared" si="93"/>
        <v>0.77777777777777779</v>
      </c>
      <c r="AM235">
        <f>survey_responses[[#This Row],[Tôi tin rằng Nhà nước, cơ quan thuế sẽ thực thi chính sách mới một cách khách quan, công tâm và đối xử bình đẳng với mọi người nộp thuế.  - HUMAN-TRU1]]</f>
        <v>1</v>
      </c>
      <c r="AN235">
        <f t="shared" si="94"/>
        <v>0</v>
      </c>
      <c r="AO235">
        <f>step3_validation[[#This Row],[AI_TRU2]]</f>
        <v>9</v>
      </c>
      <c r="AP235">
        <f t="shared" si="95"/>
        <v>0.88888888888888884</v>
      </c>
      <c r="AQ235">
        <f>survey_responses[[#This Row],[Tôi thấy mức thuế tôi phải đóng theo phương án mới là công bằng (người thu nhập như tôi đóng mức này là hợp lý). - HUMAN-TRU2]]</f>
        <v>3</v>
      </c>
      <c r="AR235">
        <f t="shared" si="96"/>
        <v>0.22222222222222221</v>
      </c>
      <c r="AS235">
        <f>step3_validation[[#This Row],[AI_TRU3]]</f>
        <v>8</v>
      </c>
      <c r="AT235">
        <f t="shared" si="97"/>
        <v>0.77777777777777779</v>
      </c>
      <c r="AU235">
        <f>survey_responses[[#This Row],[Tôi tin tưởng số tiền thuế tôi đóng sẽ được Nhà nước sử dụng hiệu quả để cải thiện dịch vụ công (y tế, đường xá...). - HUMAN-TRU3]]</f>
        <v>1</v>
      </c>
      <c r="AV235">
        <f t="shared" si="98"/>
        <v>0</v>
      </c>
      <c r="AW235">
        <f>step3_validation[[#This Row],[AI_TRU4]]</f>
        <v>9</v>
      </c>
      <c r="AX235">
        <f t="shared" si="99"/>
        <v>0.88888888888888884</v>
      </c>
      <c r="AY235">
        <f>survey_responses[[#This Row],[Tôi thấy Nhà nước đã giải thích rõ ràng, minh bạch về lý do và mục tiêu của việc sửa đổi thuế lần này. - HUMAN-TRU4]]</f>
        <v>1</v>
      </c>
      <c r="AZ235">
        <f t="shared" si="100"/>
        <v>0</v>
      </c>
      <c r="BA235" s="32">
        <f t="shared" si="101"/>
        <v>0.83333333333333326</v>
      </c>
      <c r="BB235" s="32">
        <f t="shared" si="102"/>
        <v>5.5555555555555552E-2</v>
      </c>
      <c r="BC235" s="7">
        <f t="shared" si="103"/>
        <v>0.83333333333333337</v>
      </c>
      <c r="BD235" s="7">
        <f t="shared" si="104"/>
        <v>0.24074074074074073</v>
      </c>
      <c r="BE235">
        <f>step3_validation[[#This Row],[AI_OUT1]]</f>
        <v>8</v>
      </c>
      <c r="BF235">
        <f t="shared" si="105"/>
        <v>0.77777777777777779</v>
      </c>
      <c r="BG235">
        <f>survey_responses[[#This Row],[Sau khi xem xét các quyền lợi và nghĩa vụ, bạn có ủng hộ và tuân thủ chính sách mới hiện nay? - HUMAN-OUT1]]</f>
        <v>1</v>
      </c>
      <c r="BH235">
        <f t="shared" si="106"/>
        <v>0</v>
      </c>
      <c r="BI235" s="32">
        <f t="shared" si="107"/>
        <v>7</v>
      </c>
    </row>
    <row r="236" spans="1:61" x14ac:dyDescent="0.45">
      <c r="A236" s="30">
        <f>step3_validation[[#This Row],[Persona_ID]]</f>
        <v>235</v>
      </c>
      <c r="B236" s="31">
        <f>step3_validation[[#This Row],[Used_Seed]]</f>
        <v>12579</v>
      </c>
      <c r="C236" t="str">
        <f>step3_validation[[#This Row],[Gender]]</f>
        <v>Nữ</v>
      </c>
      <c r="D236" t="str">
        <f>survey_responses[[#This Row],[Giới tính của bạn:]]</f>
        <v>Nữ</v>
      </c>
      <c r="E236" t="str">
        <f>step3_validation[[#This Row],[Age_Group]]</f>
        <v>30 - 39</v>
      </c>
      <c r="F236" t="str">
        <f>survey_responses[[#This Row],[Độ tuổi của bạn:]]</f>
        <v>30 - 39</v>
      </c>
      <c r="G236" t="str">
        <f>step3_validation[[#This Row],[Region]]</f>
        <v>Thành thị</v>
      </c>
      <c r="H236" t="str">
        <f>survey_responses[[#This Row],[Khu vực bạn đang sinh sống:]]</f>
        <v>Thành thị</v>
      </c>
      <c r="I236" t="str">
        <f>step3_validation[[#This Row],[Education]]</f>
        <v>Đại học</v>
      </c>
      <c r="J236" t="str">
        <f>survey_responses[[#This Row],[Trình độ học vấn cao nhất:]]</f>
        <v>Đại học</v>
      </c>
      <c r="K236" t="str">
        <f>step3_validation[[#This Row],[Employment]]</f>
        <v>Chính thức</v>
      </c>
      <c r="L236" t="str">
        <f>survey_responses[[#This Row],[Tình trạng việc làm chính:]]</f>
        <v>Khu vực chính thức (Có Hợp đồng lao động, đóng BHXH)</v>
      </c>
      <c r="M236">
        <f>step3_validation[[#This Row],[Income_Mil]]</f>
        <v>33.489906884490352</v>
      </c>
      <c r="N236" t="str">
        <f>survey_responses[[#This Row],[Thu nhập bình quân tháng theo Hợp đồng lao động của bạn là bao nhiêu? (Vui lòng điền tổng thu nhập trước khi khấu trừ các loại Bảo hiểm (BHXH, BHYT, BHTN) và Thuế TNCN)]]</f>
        <v>Từ 32 - 48 triệu VNĐ</v>
      </c>
      <c r="O236">
        <f>step3_validation[[#This Row],[Dependents]]</f>
        <v>0</v>
      </c>
      <c r="P236" t="str">
        <f>survey_responses[[#This Row],[Số người phụ thuộc (con nhỏ, cha mẹ già...) đủ điều kiện giảm trừ gia cảnh:]]</f>
        <v>0 người</v>
      </c>
      <c r="Q236">
        <f>step3_validation[[#This Row],[AI_ENF1]]</f>
        <v>8</v>
      </c>
      <c r="R236">
        <f t="shared" si="81"/>
        <v>0.77777777777777779</v>
      </c>
      <c r="S236">
        <f>survey_responses[[#This Row],[Tôi tin rằng với các quy định quản lý thuế hiện nay, hành vi gian lận hoặc trốn thuế sẽ dễ dàng bị phát hiện và xử lý nghiêm. - HUMAN-ENF1]]</f>
        <v>6</v>
      </c>
      <c r="T236">
        <f t="shared" si="82"/>
        <v>0.55555555555555558</v>
      </c>
      <c r="U236">
        <f>step3_validation[[#This Row],[AI_ENF2]]</f>
        <v>9</v>
      </c>
      <c r="V236">
        <f t="shared" si="83"/>
        <v>0.88888888888888884</v>
      </c>
      <c r="W236">
        <f>survey_responses[[#This Row],[Tôi tin rằng Nhà nước, cơ quan thuế có đủ khả năng và công nghệ để phát hiện, xử lý nghiêm các hành vi trốn thuế. - HUMAN-ENF2]]</f>
        <v>6</v>
      </c>
      <c r="X236">
        <f t="shared" si="84"/>
        <v>0.55555555555555558</v>
      </c>
      <c r="Y236" s="32">
        <f t="shared" si="85"/>
        <v>0.83333333333333326</v>
      </c>
      <c r="Z236" s="32">
        <f t="shared" si="86"/>
        <v>0.55555555555555558</v>
      </c>
      <c r="AA236">
        <f>step3_validation[[#This Row],[AI_FAC1]]</f>
        <v>7</v>
      </c>
      <c r="AB236">
        <f t="shared" si="87"/>
        <v>0.66666666666666663</v>
      </c>
      <c r="AC236">
        <f>survey_responses[[#This Row],[Các thủ tục khai báo thuế VÀ/HOẶC quy trình làm việc với cơ quan thuế đơn giản, tiện lợi, nhanh chóng hơn so với trước đây. - HUMAN-FAC1]]</f>
        <v>1</v>
      </c>
      <c r="AD236">
        <f t="shared" si="88"/>
        <v>0</v>
      </c>
      <c r="AE236">
        <f>step3_validation[[#This Row],[AI_FAC2]]</f>
        <v>8</v>
      </c>
      <c r="AF236">
        <f t="shared" si="89"/>
        <v>0.77777777777777779</v>
      </c>
      <c r="AG236">
        <f>survey_responses[[#This Row],[So với trước đây, tôi thấy cách tính thuế và các bậc thuế trong phương án mới đơn giản, dễ hiểu và dễ thực hiện hơn. - HUMAN-FAC2]]</f>
        <v>6</v>
      </c>
      <c r="AH236">
        <f t="shared" si="90"/>
        <v>0.55555555555555558</v>
      </c>
      <c r="AI236" s="32">
        <f t="shared" si="91"/>
        <v>0.72222222222222221</v>
      </c>
      <c r="AJ236" s="32">
        <f t="shared" si="92"/>
        <v>0.27777777777777779</v>
      </c>
      <c r="AK236">
        <f>step3_validation[[#This Row],[AI_TRU1]]</f>
        <v>9</v>
      </c>
      <c r="AL236">
        <f t="shared" si="93"/>
        <v>0.88888888888888884</v>
      </c>
      <c r="AM236">
        <f>survey_responses[[#This Row],[Tôi tin rằng Nhà nước, cơ quan thuế sẽ thực thi chính sách mới một cách khách quan, công tâm và đối xử bình đẳng với mọi người nộp thuế.  - HUMAN-TRU1]]</f>
        <v>5</v>
      </c>
      <c r="AN236">
        <f t="shared" si="94"/>
        <v>0.44444444444444442</v>
      </c>
      <c r="AO236">
        <f>step3_validation[[#This Row],[AI_TRU2]]</f>
        <v>8</v>
      </c>
      <c r="AP236">
        <f t="shared" si="95"/>
        <v>0.77777777777777779</v>
      </c>
      <c r="AQ236">
        <f>survey_responses[[#This Row],[Tôi thấy mức thuế tôi phải đóng theo phương án mới là công bằng (người thu nhập như tôi đóng mức này là hợp lý). - HUMAN-TRU2]]</f>
        <v>6</v>
      </c>
      <c r="AR236">
        <f t="shared" si="96"/>
        <v>0.55555555555555558</v>
      </c>
      <c r="AS236">
        <f>step3_validation[[#This Row],[AI_TRU3]]</f>
        <v>9</v>
      </c>
      <c r="AT236">
        <f t="shared" si="97"/>
        <v>0.88888888888888884</v>
      </c>
      <c r="AU236">
        <f>survey_responses[[#This Row],[Tôi tin tưởng số tiền thuế tôi đóng sẽ được Nhà nước sử dụng hiệu quả để cải thiện dịch vụ công (y tế, đường xá...). - HUMAN-TRU3]]</f>
        <v>5</v>
      </c>
      <c r="AV236">
        <f t="shared" si="98"/>
        <v>0.44444444444444442</v>
      </c>
      <c r="AW236">
        <f>step3_validation[[#This Row],[AI_TRU4]]</f>
        <v>8</v>
      </c>
      <c r="AX236">
        <f t="shared" si="99"/>
        <v>0.77777777777777779</v>
      </c>
      <c r="AY236">
        <f>survey_responses[[#This Row],[Tôi thấy Nhà nước đã giải thích rõ ràng, minh bạch về lý do và mục tiêu của việc sửa đổi thuế lần này. - HUMAN-TRU4]]</f>
        <v>6</v>
      </c>
      <c r="AZ236">
        <f t="shared" si="100"/>
        <v>0.55555555555555558</v>
      </c>
      <c r="BA236" s="32">
        <f t="shared" si="101"/>
        <v>0.83333333333333326</v>
      </c>
      <c r="BB236" s="32">
        <f t="shared" si="102"/>
        <v>0.5</v>
      </c>
      <c r="BC236" s="7">
        <f t="shared" si="103"/>
        <v>0.79629629629629617</v>
      </c>
      <c r="BD236" s="7">
        <f t="shared" si="104"/>
        <v>0.44444444444444448</v>
      </c>
      <c r="BE236">
        <f>step3_validation[[#This Row],[AI_OUT1]]</f>
        <v>9</v>
      </c>
      <c r="BF236">
        <f t="shared" si="105"/>
        <v>0.88888888888888884</v>
      </c>
      <c r="BG236">
        <f>survey_responses[[#This Row],[Sau khi xem xét các quyền lợi và nghĩa vụ, bạn có ủng hộ và tuân thủ chính sách mới hiện nay? - HUMAN-OUT1]]</f>
        <v>6</v>
      </c>
      <c r="BH236">
        <f t="shared" si="106"/>
        <v>0.55555555555555558</v>
      </c>
      <c r="BI236" s="32">
        <f t="shared" si="107"/>
        <v>3</v>
      </c>
    </row>
    <row r="237" spans="1:61" x14ac:dyDescent="0.45">
      <c r="A237" s="30">
        <f>step3_validation[[#This Row],[Persona_ID]]</f>
        <v>236</v>
      </c>
      <c r="B237" s="31">
        <f>step3_validation[[#This Row],[Used_Seed]]</f>
        <v>12580</v>
      </c>
      <c r="C237" t="str">
        <f>step3_validation[[#This Row],[Gender]]</f>
        <v>Nữ</v>
      </c>
      <c r="D237" t="str">
        <f>survey_responses[[#This Row],[Giới tính của bạn:]]</f>
        <v>Nữ</v>
      </c>
      <c r="E237" t="str">
        <f>step3_validation[[#This Row],[Age_Group]]</f>
        <v>30 - 39</v>
      </c>
      <c r="F237" t="str">
        <f>survey_responses[[#This Row],[Độ tuổi của bạn:]]</f>
        <v>30 - 39</v>
      </c>
      <c r="G237" t="str">
        <f>step3_validation[[#This Row],[Region]]</f>
        <v>Thành thị</v>
      </c>
      <c r="H237" t="str">
        <f>survey_responses[[#This Row],[Khu vực bạn đang sinh sống:]]</f>
        <v>Thành thị</v>
      </c>
      <c r="I237" t="str">
        <f>step3_validation[[#This Row],[Education]]</f>
        <v>Sau Đại học</v>
      </c>
      <c r="J237" t="str">
        <f>survey_responses[[#This Row],[Trình độ học vấn cao nhất:]]</f>
        <v>Sau Đại học</v>
      </c>
      <c r="K237" t="str">
        <f>step3_validation[[#This Row],[Employment]]</f>
        <v>Chính thức</v>
      </c>
      <c r="L237" t="str">
        <f>survey_responses[[#This Row],[Tình trạng việc làm chính:]]</f>
        <v>Khu vực chính thức (Có Hợp đồng lao động, đóng BHXH)</v>
      </c>
      <c r="M237">
        <f>step3_validation[[#This Row],[Income_Mil]]</f>
        <v>68.634207633579592</v>
      </c>
      <c r="N237" t="str">
        <f>survey_responses[[#This Row],[Thu nhập bình quân tháng theo Hợp đồng lao động của bạn là bao nhiêu? (Vui lòng điền tổng thu nhập trước khi khấu trừ các loại Bảo hiểm (BHXH, BHYT, BHTN) và Thuế TNCN)]]</f>
        <v>Từ 48 - 70 triệu VNĐ</v>
      </c>
      <c r="O237">
        <f>step3_validation[[#This Row],[Dependents]]</f>
        <v>3</v>
      </c>
      <c r="P237" t="str">
        <f>survey_responses[[#This Row],[Số người phụ thuộc (con nhỏ, cha mẹ già...) đủ điều kiện giảm trừ gia cảnh:]]</f>
        <v>3 người</v>
      </c>
      <c r="Q237">
        <f>step3_validation[[#This Row],[AI_ENF1]]</f>
        <v>8</v>
      </c>
      <c r="R237">
        <f t="shared" si="81"/>
        <v>0.77777777777777779</v>
      </c>
      <c r="S237">
        <f>survey_responses[[#This Row],[Tôi tin rằng với các quy định quản lý thuế hiện nay, hành vi gian lận hoặc trốn thuế sẽ dễ dàng bị phát hiện và xử lý nghiêm. - HUMAN-ENF1]]</f>
        <v>7</v>
      </c>
      <c r="T237">
        <f t="shared" si="82"/>
        <v>0.66666666666666663</v>
      </c>
      <c r="U237">
        <f>step3_validation[[#This Row],[AI_ENF2]]</f>
        <v>9</v>
      </c>
      <c r="V237">
        <f t="shared" si="83"/>
        <v>0.88888888888888884</v>
      </c>
      <c r="W237">
        <f>survey_responses[[#This Row],[Tôi tin rằng Nhà nước, cơ quan thuế có đủ khả năng và công nghệ để phát hiện, xử lý nghiêm các hành vi trốn thuế. - HUMAN-ENF2]]</f>
        <v>7</v>
      </c>
      <c r="X237">
        <f t="shared" si="84"/>
        <v>0.66666666666666663</v>
      </c>
      <c r="Y237" s="32">
        <f t="shared" si="85"/>
        <v>0.83333333333333326</v>
      </c>
      <c r="Z237" s="32">
        <f t="shared" si="86"/>
        <v>0.66666666666666663</v>
      </c>
      <c r="AA237">
        <f>step3_validation[[#This Row],[AI_FAC1]]</f>
        <v>8</v>
      </c>
      <c r="AB237">
        <f t="shared" si="87"/>
        <v>0.77777777777777779</v>
      </c>
      <c r="AC237">
        <f>survey_responses[[#This Row],[Các thủ tục khai báo thuế VÀ/HOẶC quy trình làm việc với cơ quan thuế đơn giản, tiện lợi, nhanh chóng hơn so với trước đây. - HUMAN-FAC1]]</f>
        <v>7</v>
      </c>
      <c r="AD237">
        <f t="shared" si="88"/>
        <v>0.66666666666666663</v>
      </c>
      <c r="AE237">
        <f>step3_validation[[#This Row],[AI_FAC2]]</f>
        <v>9</v>
      </c>
      <c r="AF237">
        <f t="shared" si="89"/>
        <v>0.88888888888888884</v>
      </c>
      <c r="AG237">
        <f>survey_responses[[#This Row],[So với trước đây, tôi thấy cách tính thuế và các bậc thuế trong phương án mới đơn giản, dễ hiểu và dễ thực hiện hơn. - HUMAN-FAC2]]</f>
        <v>7</v>
      </c>
      <c r="AH237">
        <f t="shared" si="90"/>
        <v>0.66666666666666663</v>
      </c>
      <c r="AI237" s="32">
        <f t="shared" si="91"/>
        <v>0.83333333333333326</v>
      </c>
      <c r="AJ237" s="32">
        <f t="shared" si="92"/>
        <v>0.66666666666666663</v>
      </c>
      <c r="AK237">
        <f>step3_validation[[#This Row],[AI_TRU1]]</f>
        <v>7</v>
      </c>
      <c r="AL237">
        <f t="shared" si="93"/>
        <v>0.66666666666666663</v>
      </c>
      <c r="AM237">
        <f>survey_responses[[#This Row],[Tôi tin rằng Nhà nước, cơ quan thuế sẽ thực thi chính sách mới một cách khách quan, công tâm và đối xử bình đẳng với mọi người nộp thuế.  - HUMAN-TRU1]]</f>
        <v>7</v>
      </c>
      <c r="AN237">
        <f t="shared" si="94"/>
        <v>0.66666666666666663</v>
      </c>
      <c r="AO237">
        <f>step3_validation[[#This Row],[AI_TRU2]]</f>
        <v>8</v>
      </c>
      <c r="AP237">
        <f t="shared" si="95"/>
        <v>0.77777777777777779</v>
      </c>
      <c r="AQ237">
        <f>survey_responses[[#This Row],[Tôi thấy mức thuế tôi phải đóng theo phương án mới là công bằng (người thu nhập như tôi đóng mức này là hợp lý). - HUMAN-TRU2]]</f>
        <v>7</v>
      </c>
      <c r="AR237">
        <f t="shared" si="96"/>
        <v>0.66666666666666663</v>
      </c>
      <c r="AS237">
        <f>step3_validation[[#This Row],[AI_TRU3]]</f>
        <v>7</v>
      </c>
      <c r="AT237">
        <f t="shared" si="97"/>
        <v>0.66666666666666663</v>
      </c>
      <c r="AU237">
        <f>survey_responses[[#This Row],[Tôi tin tưởng số tiền thuế tôi đóng sẽ được Nhà nước sử dụng hiệu quả để cải thiện dịch vụ công (y tế, đường xá...). - HUMAN-TRU3]]</f>
        <v>7</v>
      </c>
      <c r="AV237">
        <f t="shared" si="98"/>
        <v>0.66666666666666663</v>
      </c>
      <c r="AW237">
        <f>step3_validation[[#This Row],[AI_TRU4]]</f>
        <v>6</v>
      </c>
      <c r="AX237">
        <f t="shared" si="99"/>
        <v>0.55555555555555558</v>
      </c>
      <c r="AY237">
        <f>survey_responses[[#This Row],[Tôi thấy Nhà nước đã giải thích rõ ràng, minh bạch về lý do và mục tiêu của việc sửa đổi thuế lần này. - HUMAN-TRU4]]</f>
        <v>7</v>
      </c>
      <c r="AZ237">
        <f t="shared" si="100"/>
        <v>0.66666666666666663</v>
      </c>
      <c r="BA237" s="32">
        <f t="shared" si="101"/>
        <v>0.66666666666666674</v>
      </c>
      <c r="BB237" s="32">
        <f t="shared" si="102"/>
        <v>0.66666666666666663</v>
      </c>
      <c r="BC237" s="7">
        <f t="shared" si="103"/>
        <v>0.77777777777777768</v>
      </c>
      <c r="BD237" s="7">
        <f t="shared" si="104"/>
        <v>0.66666666666666663</v>
      </c>
      <c r="BE237">
        <f>step3_validation[[#This Row],[AI_OUT1]]</f>
        <v>7</v>
      </c>
      <c r="BF237">
        <f t="shared" si="105"/>
        <v>0.66666666666666663</v>
      </c>
      <c r="BG237">
        <f>survey_responses[[#This Row],[Sau khi xem xét các quyền lợi và nghĩa vụ, bạn có ủng hộ và tuân thủ chính sách mới hiện nay? - HUMAN-OUT1]]</f>
        <v>7</v>
      </c>
      <c r="BH237">
        <f t="shared" si="106"/>
        <v>0.66666666666666663</v>
      </c>
      <c r="BI237" s="32">
        <f t="shared" si="107"/>
        <v>0</v>
      </c>
    </row>
    <row r="238" spans="1:61" x14ac:dyDescent="0.45">
      <c r="A238" s="30">
        <f>step3_validation[[#This Row],[Persona_ID]]</f>
        <v>237</v>
      </c>
      <c r="B238" s="31">
        <f>step3_validation[[#This Row],[Used_Seed]]</f>
        <v>12581</v>
      </c>
      <c r="C238" t="str">
        <f>step3_validation[[#This Row],[Gender]]</f>
        <v>Nam</v>
      </c>
      <c r="D238" t="str">
        <f>survey_responses[[#This Row],[Giới tính của bạn:]]</f>
        <v>Nam</v>
      </c>
      <c r="E238" t="str">
        <f>step3_validation[[#This Row],[Age_Group]]</f>
        <v>30 - 39</v>
      </c>
      <c r="F238" t="str">
        <f>survey_responses[[#This Row],[Độ tuổi của bạn:]]</f>
        <v>30 - 39</v>
      </c>
      <c r="G238" t="str">
        <f>step3_validation[[#This Row],[Region]]</f>
        <v>Thành thị</v>
      </c>
      <c r="H238" t="str">
        <f>survey_responses[[#This Row],[Khu vực bạn đang sinh sống:]]</f>
        <v>Thành thị</v>
      </c>
      <c r="I238" t="str">
        <f>step3_validation[[#This Row],[Education]]</f>
        <v>Sau Đại học</v>
      </c>
      <c r="J238" t="str">
        <f>survey_responses[[#This Row],[Trình độ học vấn cao nhất:]]</f>
        <v>Sau Đại học</v>
      </c>
      <c r="K238" t="str">
        <f>step3_validation[[#This Row],[Employment]]</f>
        <v>Phi chính thức</v>
      </c>
      <c r="L238" t="str">
        <f>survey_responses[[#This Row],[Tình trạng việc làm chính:]]</f>
        <v>Khu vực phi chính thức (Lao động tự do, không có HĐLĐ)</v>
      </c>
      <c r="M238">
        <f>step3_validation[[#This Row],[Income_Mil]]</f>
        <v>12.399043697752848</v>
      </c>
      <c r="N238" t="str">
        <f>survey_responses[[#This Row],[Thu nhập bình quân tháng theo Hợp đồng lao động của bạn là bao nhiêu? (Vui lòng điền tổng thu nhập trước khi khấu trừ các loại Bảo hiểm (BHXH, BHYT, BHTN) và Thuế TNCN)]]</f>
        <v>Từ 12 - 18 triệu VNĐ</v>
      </c>
      <c r="O238">
        <f>step3_validation[[#This Row],[Dependents]]</f>
        <v>3</v>
      </c>
      <c r="P238" t="str">
        <f>survey_responses[[#This Row],[Số người phụ thuộc (con nhỏ, cha mẹ già...) đủ điều kiện giảm trừ gia cảnh:]]</f>
        <v>3 người</v>
      </c>
      <c r="Q238">
        <f>step3_validation[[#This Row],[AI_ENF1]]</f>
        <v>8</v>
      </c>
      <c r="R238">
        <f t="shared" si="81"/>
        <v>0.77777777777777779</v>
      </c>
      <c r="S238">
        <f>survey_responses[[#This Row],[Tôi tin rằng với các quy định quản lý thuế hiện nay, hành vi gian lận hoặc trốn thuế sẽ dễ dàng bị phát hiện và xử lý nghiêm. - HUMAN-ENF1]]</f>
        <v>10</v>
      </c>
      <c r="T238">
        <f t="shared" si="82"/>
        <v>1</v>
      </c>
      <c r="U238">
        <f>step3_validation[[#This Row],[AI_ENF2]]</f>
        <v>9</v>
      </c>
      <c r="V238">
        <f t="shared" si="83"/>
        <v>0.88888888888888884</v>
      </c>
      <c r="W238">
        <f>survey_responses[[#This Row],[Tôi tin rằng Nhà nước, cơ quan thuế có đủ khả năng và công nghệ để phát hiện, xử lý nghiêm các hành vi trốn thuế. - HUMAN-ENF2]]</f>
        <v>10</v>
      </c>
      <c r="X238">
        <f t="shared" si="84"/>
        <v>1</v>
      </c>
      <c r="Y238" s="32">
        <f t="shared" si="85"/>
        <v>0.83333333333333326</v>
      </c>
      <c r="Z238" s="32">
        <f t="shared" si="86"/>
        <v>1</v>
      </c>
      <c r="AA238">
        <f>step3_validation[[#This Row],[AI_FAC1]]</f>
        <v>8</v>
      </c>
      <c r="AB238">
        <f t="shared" si="87"/>
        <v>0.77777777777777779</v>
      </c>
      <c r="AC238">
        <f>survey_responses[[#This Row],[Các thủ tục khai báo thuế VÀ/HOẶC quy trình làm việc với cơ quan thuế đơn giản, tiện lợi, nhanh chóng hơn so với trước đây. - HUMAN-FAC1]]</f>
        <v>4</v>
      </c>
      <c r="AD238">
        <f t="shared" si="88"/>
        <v>0.33333333333333331</v>
      </c>
      <c r="AE238">
        <f>step3_validation[[#This Row],[AI_FAC2]]</f>
        <v>9</v>
      </c>
      <c r="AF238">
        <f t="shared" si="89"/>
        <v>0.88888888888888884</v>
      </c>
      <c r="AG238">
        <f>survey_responses[[#This Row],[So với trước đây, tôi thấy cách tính thuế và các bậc thuế trong phương án mới đơn giản, dễ hiểu và dễ thực hiện hơn. - HUMAN-FAC2]]</f>
        <v>6</v>
      </c>
      <c r="AH238">
        <f t="shared" si="90"/>
        <v>0.55555555555555558</v>
      </c>
      <c r="AI238" s="32">
        <f t="shared" si="91"/>
        <v>0.83333333333333326</v>
      </c>
      <c r="AJ238" s="32">
        <f t="shared" si="92"/>
        <v>0.44444444444444442</v>
      </c>
      <c r="AK238">
        <f>step3_validation[[#This Row],[AI_TRU1]]</f>
        <v>9</v>
      </c>
      <c r="AL238">
        <f t="shared" si="93"/>
        <v>0.88888888888888884</v>
      </c>
      <c r="AM238">
        <f>survey_responses[[#This Row],[Tôi tin rằng Nhà nước, cơ quan thuế sẽ thực thi chính sách mới một cách khách quan, công tâm và đối xử bình đẳng với mọi người nộp thuế.  - HUMAN-TRU1]]</f>
        <v>3</v>
      </c>
      <c r="AN238">
        <f t="shared" si="94"/>
        <v>0.22222222222222221</v>
      </c>
      <c r="AO238">
        <f>step3_validation[[#This Row],[AI_TRU2]]</f>
        <v>8</v>
      </c>
      <c r="AP238">
        <f t="shared" si="95"/>
        <v>0.77777777777777779</v>
      </c>
      <c r="AQ238">
        <f>survey_responses[[#This Row],[Tôi thấy mức thuế tôi phải đóng theo phương án mới là công bằng (người thu nhập như tôi đóng mức này là hợp lý). - HUMAN-TRU2]]</f>
        <v>1</v>
      </c>
      <c r="AR238">
        <f t="shared" si="96"/>
        <v>0</v>
      </c>
      <c r="AS238">
        <f>step3_validation[[#This Row],[AI_TRU3]]</f>
        <v>9</v>
      </c>
      <c r="AT238">
        <f t="shared" si="97"/>
        <v>0.88888888888888884</v>
      </c>
      <c r="AU238">
        <f>survey_responses[[#This Row],[Tôi tin tưởng số tiền thuế tôi đóng sẽ được Nhà nước sử dụng hiệu quả để cải thiện dịch vụ công (y tế, đường xá...). - HUMAN-TRU3]]</f>
        <v>1</v>
      </c>
      <c r="AV238">
        <f t="shared" si="98"/>
        <v>0</v>
      </c>
      <c r="AW238">
        <f>step3_validation[[#This Row],[AI_TRU4]]</f>
        <v>8</v>
      </c>
      <c r="AX238">
        <f t="shared" si="99"/>
        <v>0.77777777777777779</v>
      </c>
      <c r="AY238">
        <f>survey_responses[[#This Row],[Tôi thấy Nhà nước đã giải thích rõ ràng, minh bạch về lý do và mục tiêu của việc sửa đổi thuế lần này. - HUMAN-TRU4]]</f>
        <v>3</v>
      </c>
      <c r="AZ238">
        <f t="shared" si="100"/>
        <v>0.22222222222222221</v>
      </c>
      <c r="BA238" s="32">
        <f t="shared" si="101"/>
        <v>0.83333333333333326</v>
      </c>
      <c r="BB238" s="32">
        <f t="shared" si="102"/>
        <v>0.1111111111111111</v>
      </c>
      <c r="BC238" s="7">
        <f t="shared" si="103"/>
        <v>0.83333333333333337</v>
      </c>
      <c r="BD238" s="7">
        <f t="shared" si="104"/>
        <v>0.51851851851851849</v>
      </c>
      <c r="BE238">
        <f>step3_validation[[#This Row],[AI_OUT1]]</f>
        <v>9</v>
      </c>
      <c r="BF238">
        <f t="shared" si="105"/>
        <v>0.88888888888888884</v>
      </c>
      <c r="BG238">
        <f>survey_responses[[#This Row],[Sau khi xem xét các quyền lợi và nghĩa vụ, bạn có ủng hộ và tuân thủ chính sách mới hiện nay? - HUMAN-OUT1]]</f>
        <v>1</v>
      </c>
      <c r="BH238">
        <f t="shared" si="106"/>
        <v>0</v>
      </c>
      <c r="BI238" s="32">
        <f t="shared" si="107"/>
        <v>8</v>
      </c>
    </row>
    <row r="239" spans="1:61" x14ac:dyDescent="0.45">
      <c r="A239" s="30">
        <f>step3_validation[[#This Row],[Persona_ID]]</f>
        <v>238</v>
      </c>
      <c r="B239" s="31">
        <f>step3_validation[[#This Row],[Used_Seed]]</f>
        <v>12582</v>
      </c>
      <c r="C239" t="str">
        <f>step3_validation[[#This Row],[Gender]]</f>
        <v>Nữ</v>
      </c>
      <c r="D239" t="str">
        <f>survey_responses[[#This Row],[Giới tính của bạn:]]</f>
        <v>Nữ</v>
      </c>
      <c r="E239" t="str">
        <f>step3_validation[[#This Row],[Age_Group]]</f>
        <v>30 - 39</v>
      </c>
      <c r="F239" t="str">
        <f>survey_responses[[#This Row],[Độ tuổi của bạn:]]</f>
        <v>30 - 39</v>
      </c>
      <c r="G239" t="str">
        <f>step3_validation[[#This Row],[Region]]</f>
        <v>Thành thị</v>
      </c>
      <c r="H239" t="str">
        <f>survey_responses[[#This Row],[Khu vực bạn đang sinh sống:]]</f>
        <v>Thành thị</v>
      </c>
      <c r="I239" t="str">
        <f>step3_validation[[#This Row],[Education]]</f>
        <v>Sau Đại học</v>
      </c>
      <c r="J239" t="str">
        <f>survey_responses[[#This Row],[Trình độ học vấn cao nhất:]]</f>
        <v>Sau Đại học</v>
      </c>
      <c r="K239" t="str">
        <f>step3_validation[[#This Row],[Employment]]</f>
        <v>Chính thức</v>
      </c>
      <c r="L239" t="str">
        <f>survey_responses[[#This Row],[Tình trạng việc làm chính:]]</f>
        <v>Khu vực chính thức (Có Hợp đồng lao động, đóng BHXH)</v>
      </c>
      <c r="M239">
        <f>step3_validation[[#This Row],[Income_Mil]]</f>
        <v>23.801704615176334</v>
      </c>
      <c r="N239" t="str">
        <f>survey_responses[[#This Row],[Thu nhập bình quân tháng theo Hợp đồng lao động của bạn là bao nhiêu? (Vui lòng điền tổng thu nhập trước khi khấu trừ các loại Bảo hiểm (BHXH, BHYT, BHTN) và Thuế TNCN)]]</f>
        <v>Từ 23 - 32 triệu VNĐ</v>
      </c>
      <c r="O239">
        <f>step3_validation[[#This Row],[Dependents]]</f>
        <v>1</v>
      </c>
      <c r="P239" t="str">
        <f>survey_responses[[#This Row],[Số người phụ thuộc (con nhỏ, cha mẹ già...) đủ điều kiện giảm trừ gia cảnh:]]</f>
        <v>1 người</v>
      </c>
      <c r="Q239">
        <f>step3_validation[[#This Row],[AI_ENF1]]</f>
        <v>7</v>
      </c>
      <c r="R239">
        <f t="shared" si="81"/>
        <v>0.66666666666666663</v>
      </c>
      <c r="S239">
        <f>survey_responses[[#This Row],[Tôi tin rằng với các quy định quản lý thuế hiện nay, hành vi gian lận hoặc trốn thuế sẽ dễ dàng bị phát hiện và xử lý nghiêm. - HUMAN-ENF1]]</f>
        <v>8</v>
      </c>
      <c r="T239">
        <f t="shared" si="82"/>
        <v>0.77777777777777779</v>
      </c>
      <c r="U239">
        <f>step3_validation[[#This Row],[AI_ENF2]]</f>
        <v>8</v>
      </c>
      <c r="V239">
        <f t="shared" si="83"/>
        <v>0.77777777777777779</v>
      </c>
      <c r="W239">
        <f>survey_responses[[#This Row],[Tôi tin rằng Nhà nước, cơ quan thuế có đủ khả năng và công nghệ để phát hiện, xử lý nghiêm các hành vi trốn thuế. - HUMAN-ENF2]]</f>
        <v>10</v>
      </c>
      <c r="X239">
        <f t="shared" si="84"/>
        <v>1</v>
      </c>
      <c r="Y239" s="32">
        <f t="shared" si="85"/>
        <v>0.72222222222222221</v>
      </c>
      <c r="Z239" s="32">
        <f t="shared" si="86"/>
        <v>0.88888888888888884</v>
      </c>
      <c r="AA239">
        <f>step3_validation[[#This Row],[AI_FAC1]]</f>
        <v>9</v>
      </c>
      <c r="AB239">
        <f t="shared" si="87"/>
        <v>0.88888888888888884</v>
      </c>
      <c r="AC239">
        <f>survey_responses[[#This Row],[Các thủ tục khai báo thuế VÀ/HOẶC quy trình làm việc với cơ quan thuế đơn giản, tiện lợi, nhanh chóng hơn so với trước đây. - HUMAN-FAC1]]</f>
        <v>8</v>
      </c>
      <c r="AD239">
        <f t="shared" si="88"/>
        <v>0.77777777777777779</v>
      </c>
      <c r="AE239">
        <f>step3_validation[[#This Row],[AI_FAC2]]</f>
        <v>8</v>
      </c>
      <c r="AF239">
        <f t="shared" si="89"/>
        <v>0.77777777777777779</v>
      </c>
      <c r="AG239">
        <f>survey_responses[[#This Row],[So với trước đây, tôi thấy cách tính thuế và các bậc thuế trong phương án mới đơn giản, dễ hiểu và dễ thực hiện hơn. - HUMAN-FAC2]]</f>
        <v>10</v>
      </c>
      <c r="AH239">
        <f t="shared" si="90"/>
        <v>1</v>
      </c>
      <c r="AI239" s="32">
        <f t="shared" si="91"/>
        <v>0.83333333333333326</v>
      </c>
      <c r="AJ239" s="32">
        <f t="shared" si="92"/>
        <v>0.88888888888888884</v>
      </c>
      <c r="AK239">
        <f>step3_validation[[#This Row],[AI_TRU1]]</f>
        <v>9</v>
      </c>
      <c r="AL239">
        <f t="shared" si="93"/>
        <v>0.88888888888888884</v>
      </c>
      <c r="AM239">
        <f>survey_responses[[#This Row],[Tôi tin rằng Nhà nước, cơ quan thuế sẽ thực thi chính sách mới một cách khách quan, công tâm và đối xử bình đẳng với mọi người nộp thuế.  - HUMAN-TRU1]]</f>
        <v>9</v>
      </c>
      <c r="AN239">
        <f t="shared" si="94"/>
        <v>0.88888888888888884</v>
      </c>
      <c r="AO239">
        <f>step3_validation[[#This Row],[AI_TRU2]]</f>
        <v>8</v>
      </c>
      <c r="AP239">
        <f t="shared" si="95"/>
        <v>0.77777777777777779</v>
      </c>
      <c r="AQ239">
        <f>survey_responses[[#This Row],[Tôi thấy mức thuế tôi phải đóng theo phương án mới là công bằng (người thu nhập như tôi đóng mức này là hợp lý). - HUMAN-TRU2]]</f>
        <v>8</v>
      </c>
      <c r="AR239">
        <f t="shared" si="96"/>
        <v>0.77777777777777779</v>
      </c>
      <c r="AS239">
        <f>step3_validation[[#This Row],[AI_TRU3]]</f>
        <v>7</v>
      </c>
      <c r="AT239">
        <f t="shared" si="97"/>
        <v>0.66666666666666663</v>
      </c>
      <c r="AU239">
        <f>survey_responses[[#This Row],[Tôi tin tưởng số tiền thuế tôi đóng sẽ được Nhà nước sử dụng hiệu quả để cải thiện dịch vụ công (y tế, đường xá...). - HUMAN-TRU3]]</f>
        <v>7</v>
      </c>
      <c r="AV239">
        <f t="shared" si="98"/>
        <v>0.66666666666666663</v>
      </c>
      <c r="AW239">
        <f>step3_validation[[#This Row],[AI_TRU4]]</f>
        <v>8</v>
      </c>
      <c r="AX239">
        <f t="shared" si="99"/>
        <v>0.77777777777777779</v>
      </c>
      <c r="AY239">
        <f>survey_responses[[#This Row],[Tôi thấy Nhà nước đã giải thích rõ ràng, minh bạch về lý do và mục tiêu của việc sửa đổi thuế lần này. - HUMAN-TRU4]]</f>
        <v>9</v>
      </c>
      <c r="AZ239">
        <f t="shared" si="100"/>
        <v>0.88888888888888884</v>
      </c>
      <c r="BA239" s="32">
        <f t="shared" si="101"/>
        <v>0.77777777777777768</v>
      </c>
      <c r="BB239" s="32">
        <f t="shared" si="102"/>
        <v>0.80555555555555547</v>
      </c>
      <c r="BC239" s="7">
        <f t="shared" si="103"/>
        <v>0.77777777777777768</v>
      </c>
      <c r="BD239" s="7">
        <f t="shared" si="104"/>
        <v>0.86111111111111105</v>
      </c>
      <c r="BE239">
        <f>step3_validation[[#This Row],[AI_OUT1]]</f>
        <v>9</v>
      </c>
      <c r="BF239">
        <f t="shared" si="105"/>
        <v>0.88888888888888884</v>
      </c>
      <c r="BG239">
        <f>survey_responses[[#This Row],[Sau khi xem xét các quyền lợi và nghĩa vụ, bạn có ủng hộ và tuân thủ chính sách mới hiện nay? - HUMAN-OUT1]]</f>
        <v>9</v>
      </c>
      <c r="BH239">
        <f t="shared" si="106"/>
        <v>0.88888888888888884</v>
      </c>
      <c r="BI239" s="32">
        <f t="shared" si="107"/>
        <v>0</v>
      </c>
    </row>
    <row r="240" spans="1:61" x14ac:dyDescent="0.45">
      <c r="A240" s="30">
        <f>step3_validation[[#This Row],[Persona_ID]]</f>
        <v>239</v>
      </c>
      <c r="B240" s="31">
        <f>step3_validation[[#This Row],[Used_Seed]]</f>
        <v>12583</v>
      </c>
      <c r="C240" t="str">
        <f>step3_validation[[#This Row],[Gender]]</f>
        <v>Nam</v>
      </c>
      <c r="D240" t="str">
        <f>survey_responses[[#This Row],[Giới tính của bạn:]]</f>
        <v>Nam</v>
      </c>
      <c r="E240" t="str">
        <f>step3_validation[[#This Row],[Age_Group]]</f>
        <v>55 - 64</v>
      </c>
      <c r="F240" t="str">
        <f>survey_responses[[#This Row],[Độ tuổi của bạn:]]</f>
        <v>55 - 64</v>
      </c>
      <c r="G240" t="str">
        <f>step3_validation[[#This Row],[Region]]</f>
        <v>Thành thị</v>
      </c>
      <c r="H240" t="str">
        <f>survey_responses[[#This Row],[Khu vực bạn đang sinh sống:]]</f>
        <v>Thành thị</v>
      </c>
      <c r="I240" t="str">
        <f>step3_validation[[#This Row],[Education]]</f>
        <v>Sau Đại học</v>
      </c>
      <c r="J240" t="str">
        <f>survey_responses[[#This Row],[Trình độ học vấn cao nhất:]]</f>
        <v>Sau Đại học</v>
      </c>
      <c r="K240" t="str">
        <f>step3_validation[[#This Row],[Employment]]</f>
        <v>Chính thức</v>
      </c>
      <c r="L240" t="str">
        <f>survey_responses[[#This Row],[Tình trạng việc làm chính:]]</f>
        <v>Khu vực chính thức (Có Hợp đồng lao động, đóng BHXH)</v>
      </c>
      <c r="M240">
        <f>step3_validation[[#This Row],[Income_Mil]]</f>
        <v>96.861978178096948</v>
      </c>
      <c r="N240" t="str">
        <f>survey_responses[[#This Row],[Thu nhập bình quân tháng theo Hợp đồng lao động của bạn là bao nhiêu? (Vui lòng điền tổng thu nhập trước khi khấu trừ các loại Bảo hiểm (BHXH, BHYT, BHTN) và Thuế TNCN)]]</f>
        <v>Từ 70 - 102 triệu VNĐ</v>
      </c>
      <c r="O240">
        <f>step3_validation[[#This Row],[Dependents]]</f>
        <v>4</v>
      </c>
      <c r="P240" t="str">
        <f>survey_responses[[#This Row],[Số người phụ thuộc (con nhỏ, cha mẹ già...) đủ điều kiện giảm trừ gia cảnh:]]</f>
        <v>4 người trở lên</v>
      </c>
      <c r="Q240">
        <f>step3_validation[[#This Row],[AI_ENF1]]</f>
        <v>8</v>
      </c>
      <c r="R240">
        <f t="shared" si="81"/>
        <v>0.77777777777777779</v>
      </c>
      <c r="S240">
        <f>survey_responses[[#This Row],[Tôi tin rằng với các quy định quản lý thuế hiện nay, hành vi gian lận hoặc trốn thuế sẽ dễ dàng bị phát hiện và xử lý nghiêm. - HUMAN-ENF1]]</f>
        <v>6</v>
      </c>
      <c r="T240">
        <f t="shared" si="82"/>
        <v>0.55555555555555558</v>
      </c>
      <c r="U240">
        <f>step3_validation[[#This Row],[AI_ENF2]]</f>
        <v>7</v>
      </c>
      <c r="V240">
        <f t="shared" si="83"/>
        <v>0.66666666666666663</v>
      </c>
      <c r="W240">
        <f>survey_responses[[#This Row],[Tôi tin rằng Nhà nước, cơ quan thuế có đủ khả năng và công nghệ để phát hiện, xử lý nghiêm các hành vi trốn thuế. - HUMAN-ENF2]]</f>
        <v>6</v>
      </c>
      <c r="X240">
        <f t="shared" si="84"/>
        <v>0.55555555555555558</v>
      </c>
      <c r="Y240" s="32">
        <f t="shared" si="85"/>
        <v>0.72222222222222221</v>
      </c>
      <c r="Z240" s="32">
        <f t="shared" si="86"/>
        <v>0.55555555555555558</v>
      </c>
      <c r="AA240">
        <f>step3_validation[[#This Row],[AI_FAC1]]</f>
        <v>9</v>
      </c>
      <c r="AB240">
        <f t="shared" si="87"/>
        <v>0.88888888888888884</v>
      </c>
      <c r="AC240">
        <f>survey_responses[[#This Row],[Các thủ tục khai báo thuế VÀ/HOẶC quy trình làm việc với cơ quan thuế đơn giản, tiện lợi, nhanh chóng hơn so với trước đây. - HUMAN-FAC1]]</f>
        <v>6</v>
      </c>
      <c r="AD240">
        <f t="shared" si="88"/>
        <v>0.55555555555555558</v>
      </c>
      <c r="AE240">
        <f>step3_validation[[#This Row],[AI_FAC2]]</f>
        <v>8</v>
      </c>
      <c r="AF240">
        <f t="shared" si="89"/>
        <v>0.77777777777777779</v>
      </c>
      <c r="AG240">
        <f>survey_responses[[#This Row],[So với trước đây, tôi thấy cách tính thuế và các bậc thuế trong phương án mới đơn giản, dễ hiểu và dễ thực hiện hơn. - HUMAN-FAC2]]</f>
        <v>6</v>
      </c>
      <c r="AH240">
        <f t="shared" si="90"/>
        <v>0.55555555555555558</v>
      </c>
      <c r="AI240" s="32">
        <f t="shared" si="91"/>
        <v>0.83333333333333326</v>
      </c>
      <c r="AJ240" s="32">
        <f t="shared" si="92"/>
        <v>0.55555555555555558</v>
      </c>
      <c r="AK240">
        <f>step3_validation[[#This Row],[AI_TRU1]]</f>
        <v>7</v>
      </c>
      <c r="AL240">
        <f t="shared" si="93"/>
        <v>0.66666666666666663</v>
      </c>
      <c r="AM240">
        <f>survey_responses[[#This Row],[Tôi tin rằng Nhà nước, cơ quan thuế sẽ thực thi chính sách mới một cách khách quan, công tâm và đối xử bình đẳng với mọi người nộp thuế.  - HUMAN-TRU1]]</f>
        <v>6</v>
      </c>
      <c r="AN240">
        <f t="shared" si="94"/>
        <v>0.55555555555555558</v>
      </c>
      <c r="AO240">
        <f>step3_validation[[#This Row],[AI_TRU2]]</f>
        <v>9</v>
      </c>
      <c r="AP240">
        <f t="shared" si="95"/>
        <v>0.88888888888888884</v>
      </c>
      <c r="AQ240">
        <f>survey_responses[[#This Row],[Tôi thấy mức thuế tôi phải đóng theo phương án mới là công bằng (người thu nhập như tôi đóng mức này là hợp lý). - HUMAN-TRU2]]</f>
        <v>6</v>
      </c>
      <c r="AR240">
        <f t="shared" si="96"/>
        <v>0.55555555555555558</v>
      </c>
      <c r="AS240">
        <f>step3_validation[[#This Row],[AI_TRU3]]</f>
        <v>8</v>
      </c>
      <c r="AT240">
        <f t="shared" si="97"/>
        <v>0.77777777777777779</v>
      </c>
      <c r="AU240">
        <f>survey_responses[[#This Row],[Tôi tin tưởng số tiền thuế tôi đóng sẽ được Nhà nước sử dụng hiệu quả để cải thiện dịch vụ công (y tế, đường xá...). - HUMAN-TRU3]]</f>
        <v>6</v>
      </c>
      <c r="AV240">
        <f t="shared" si="98"/>
        <v>0.55555555555555558</v>
      </c>
      <c r="AW240">
        <f>step3_validation[[#This Row],[AI_TRU4]]</f>
        <v>7</v>
      </c>
      <c r="AX240">
        <f t="shared" si="99"/>
        <v>0.66666666666666663</v>
      </c>
      <c r="AY240">
        <f>survey_responses[[#This Row],[Tôi thấy Nhà nước đã giải thích rõ ràng, minh bạch về lý do và mục tiêu của việc sửa đổi thuế lần này. - HUMAN-TRU4]]</f>
        <v>7</v>
      </c>
      <c r="AZ240">
        <f t="shared" si="100"/>
        <v>0.66666666666666663</v>
      </c>
      <c r="BA240" s="32">
        <f t="shared" si="101"/>
        <v>0.74999999999999989</v>
      </c>
      <c r="BB240" s="32">
        <f t="shared" si="102"/>
        <v>0.58333333333333337</v>
      </c>
      <c r="BC240" s="7">
        <f t="shared" si="103"/>
        <v>0.76851851851851849</v>
      </c>
      <c r="BD240" s="7">
        <f t="shared" si="104"/>
        <v>0.56481481481481488</v>
      </c>
      <c r="BE240">
        <f>step3_validation[[#This Row],[AI_OUT1]]</f>
        <v>9</v>
      </c>
      <c r="BF240">
        <f t="shared" si="105"/>
        <v>0.88888888888888884</v>
      </c>
      <c r="BG240">
        <f>survey_responses[[#This Row],[Sau khi xem xét các quyền lợi và nghĩa vụ, bạn có ủng hộ và tuân thủ chính sách mới hiện nay? - HUMAN-OUT1]]</f>
        <v>6</v>
      </c>
      <c r="BH240">
        <f t="shared" si="106"/>
        <v>0.55555555555555558</v>
      </c>
      <c r="BI240" s="32">
        <f t="shared" si="107"/>
        <v>3</v>
      </c>
    </row>
    <row r="241" spans="1:61" x14ac:dyDescent="0.45">
      <c r="A241" s="30">
        <f>step3_validation[[#This Row],[Persona_ID]]</f>
        <v>240</v>
      </c>
      <c r="B241" s="31">
        <f>step3_validation[[#This Row],[Used_Seed]]</f>
        <v>12584</v>
      </c>
      <c r="C241" t="str">
        <f>step3_validation[[#This Row],[Gender]]</f>
        <v>Nữ</v>
      </c>
      <c r="D241" t="str">
        <f>survey_responses[[#This Row],[Giới tính của bạn:]]</f>
        <v>Nữ</v>
      </c>
      <c r="E241" t="str">
        <f>step3_validation[[#This Row],[Age_Group]]</f>
        <v>30 - 39</v>
      </c>
      <c r="F241" t="str">
        <f>survey_responses[[#This Row],[Độ tuổi của bạn:]]</f>
        <v>30 - 39</v>
      </c>
      <c r="G241" t="str">
        <f>step3_validation[[#This Row],[Region]]</f>
        <v>Thành thị</v>
      </c>
      <c r="H241" t="str">
        <f>survey_responses[[#This Row],[Khu vực bạn đang sinh sống:]]</f>
        <v>Thành thị</v>
      </c>
      <c r="I241" t="str">
        <f>step3_validation[[#This Row],[Education]]</f>
        <v>Đại học</v>
      </c>
      <c r="J241" t="str">
        <f>survey_responses[[#This Row],[Trình độ học vấn cao nhất:]]</f>
        <v>Đại học</v>
      </c>
      <c r="K241" t="str">
        <f>step3_validation[[#This Row],[Employment]]</f>
        <v>Chính thức</v>
      </c>
      <c r="L241" t="str">
        <f>survey_responses[[#This Row],[Tình trạng việc làm chính:]]</f>
        <v>Khu vực chính thức (Có Hợp đồng lao động, đóng BHXH)</v>
      </c>
      <c r="M241">
        <f>step3_validation[[#This Row],[Income_Mil]]</f>
        <v>61.961746975968374</v>
      </c>
      <c r="N241" t="str">
        <f>survey_responses[[#This Row],[Thu nhập bình quân tháng theo Hợp đồng lao động của bạn là bao nhiêu? (Vui lòng điền tổng thu nhập trước khi khấu trừ các loại Bảo hiểm (BHXH, BHYT, BHTN) và Thuế TNCN)]]</f>
        <v>Từ 48 - 70 triệu VNĐ</v>
      </c>
      <c r="O241">
        <f>step3_validation[[#This Row],[Dependents]]</f>
        <v>3</v>
      </c>
      <c r="P241" t="str">
        <f>survey_responses[[#This Row],[Số người phụ thuộc (con nhỏ, cha mẹ già...) đủ điều kiện giảm trừ gia cảnh:]]</f>
        <v>3 người</v>
      </c>
      <c r="Q241">
        <f>step3_validation[[#This Row],[AI_ENF1]]</f>
        <v>8</v>
      </c>
      <c r="R241">
        <f t="shared" si="81"/>
        <v>0.77777777777777779</v>
      </c>
      <c r="S241">
        <f>survey_responses[[#This Row],[Tôi tin rằng với các quy định quản lý thuế hiện nay, hành vi gian lận hoặc trốn thuế sẽ dễ dàng bị phát hiện và xử lý nghiêm. - HUMAN-ENF1]]</f>
        <v>8</v>
      </c>
      <c r="T241">
        <f t="shared" si="82"/>
        <v>0.77777777777777779</v>
      </c>
      <c r="U241">
        <f>step3_validation[[#This Row],[AI_ENF2]]</f>
        <v>9</v>
      </c>
      <c r="V241">
        <f t="shared" si="83"/>
        <v>0.88888888888888884</v>
      </c>
      <c r="W241">
        <f>survey_responses[[#This Row],[Tôi tin rằng Nhà nước, cơ quan thuế có đủ khả năng và công nghệ để phát hiện, xử lý nghiêm các hành vi trốn thuế. - HUMAN-ENF2]]</f>
        <v>8</v>
      </c>
      <c r="X241">
        <f t="shared" si="84"/>
        <v>0.77777777777777779</v>
      </c>
      <c r="Y241" s="32">
        <f t="shared" si="85"/>
        <v>0.83333333333333326</v>
      </c>
      <c r="Z241" s="32">
        <f t="shared" si="86"/>
        <v>0.77777777777777779</v>
      </c>
      <c r="AA241">
        <f>step3_validation[[#This Row],[AI_FAC1]]</f>
        <v>8</v>
      </c>
      <c r="AB241">
        <f t="shared" si="87"/>
        <v>0.77777777777777779</v>
      </c>
      <c r="AC241">
        <f>survey_responses[[#This Row],[Các thủ tục khai báo thuế VÀ/HOẶC quy trình làm việc với cơ quan thuế đơn giản, tiện lợi, nhanh chóng hơn so với trước đây. - HUMAN-FAC1]]</f>
        <v>8</v>
      </c>
      <c r="AD241">
        <f t="shared" si="88"/>
        <v>0.77777777777777779</v>
      </c>
      <c r="AE241">
        <f>step3_validation[[#This Row],[AI_FAC2]]</f>
        <v>9</v>
      </c>
      <c r="AF241">
        <f t="shared" si="89"/>
        <v>0.88888888888888884</v>
      </c>
      <c r="AG241">
        <f>survey_responses[[#This Row],[So với trước đây, tôi thấy cách tính thuế và các bậc thuế trong phương án mới đơn giản, dễ hiểu và dễ thực hiện hơn. - HUMAN-FAC2]]</f>
        <v>8</v>
      </c>
      <c r="AH241">
        <f t="shared" si="90"/>
        <v>0.77777777777777779</v>
      </c>
      <c r="AI241" s="32">
        <f t="shared" si="91"/>
        <v>0.83333333333333326</v>
      </c>
      <c r="AJ241" s="32">
        <f t="shared" si="92"/>
        <v>0.77777777777777779</v>
      </c>
      <c r="AK241">
        <f>step3_validation[[#This Row],[AI_TRU1]]</f>
        <v>8</v>
      </c>
      <c r="AL241">
        <f t="shared" si="93"/>
        <v>0.77777777777777779</v>
      </c>
      <c r="AM241">
        <f>survey_responses[[#This Row],[Tôi tin rằng Nhà nước, cơ quan thuế sẽ thực thi chính sách mới một cách khách quan, công tâm và đối xử bình đẳng với mọi người nộp thuế.  - HUMAN-TRU1]]</f>
        <v>8</v>
      </c>
      <c r="AN241">
        <f t="shared" si="94"/>
        <v>0.77777777777777779</v>
      </c>
      <c r="AO241">
        <f>step3_validation[[#This Row],[AI_TRU2]]</f>
        <v>9</v>
      </c>
      <c r="AP241">
        <f t="shared" si="95"/>
        <v>0.88888888888888884</v>
      </c>
      <c r="AQ241">
        <f>survey_responses[[#This Row],[Tôi thấy mức thuế tôi phải đóng theo phương án mới là công bằng (người thu nhập như tôi đóng mức này là hợp lý). - HUMAN-TRU2]]</f>
        <v>8</v>
      </c>
      <c r="AR241">
        <f t="shared" si="96"/>
        <v>0.77777777777777779</v>
      </c>
      <c r="AS241">
        <f>step3_validation[[#This Row],[AI_TRU3]]</f>
        <v>8</v>
      </c>
      <c r="AT241">
        <f t="shared" si="97"/>
        <v>0.77777777777777779</v>
      </c>
      <c r="AU241">
        <f>survey_responses[[#This Row],[Tôi tin tưởng số tiền thuế tôi đóng sẽ được Nhà nước sử dụng hiệu quả để cải thiện dịch vụ công (y tế, đường xá...). - HUMAN-TRU3]]</f>
        <v>8</v>
      </c>
      <c r="AV241">
        <f t="shared" si="98"/>
        <v>0.77777777777777779</v>
      </c>
      <c r="AW241">
        <f>step3_validation[[#This Row],[AI_TRU4]]</f>
        <v>9</v>
      </c>
      <c r="AX241">
        <f t="shared" si="99"/>
        <v>0.88888888888888884</v>
      </c>
      <c r="AY241">
        <f>survey_responses[[#This Row],[Tôi thấy Nhà nước đã giải thích rõ ràng, minh bạch về lý do và mục tiêu của việc sửa đổi thuế lần này. - HUMAN-TRU4]]</f>
        <v>8</v>
      </c>
      <c r="AZ241">
        <f t="shared" si="100"/>
        <v>0.77777777777777779</v>
      </c>
      <c r="BA241" s="32">
        <f t="shared" si="101"/>
        <v>0.83333333333333326</v>
      </c>
      <c r="BB241" s="32">
        <f t="shared" si="102"/>
        <v>0.77777777777777779</v>
      </c>
      <c r="BC241" s="7">
        <f t="shared" si="103"/>
        <v>0.83333333333333337</v>
      </c>
      <c r="BD241" s="7">
        <f t="shared" si="104"/>
        <v>0.77777777777777779</v>
      </c>
      <c r="BE241">
        <f>step3_validation[[#This Row],[AI_OUT1]]</f>
        <v>9</v>
      </c>
      <c r="BF241">
        <f t="shared" si="105"/>
        <v>0.88888888888888884</v>
      </c>
      <c r="BG241">
        <f>survey_responses[[#This Row],[Sau khi xem xét các quyền lợi và nghĩa vụ, bạn có ủng hộ và tuân thủ chính sách mới hiện nay? - HUMAN-OUT1]]</f>
        <v>8</v>
      </c>
      <c r="BH241">
        <f t="shared" si="106"/>
        <v>0.77777777777777779</v>
      </c>
      <c r="BI241" s="32">
        <f t="shared" si="107"/>
        <v>1</v>
      </c>
    </row>
    <row r="242" spans="1:61" x14ac:dyDescent="0.45">
      <c r="A242" s="30">
        <f>step3_validation[[#This Row],[Persona_ID]]</f>
        <v>241</v>
      </c>
      <c r="B242" s="31">
        <f>step3_validation[[#This Row],[Used_Seed]]</f>
        <v>12585</v>
      </c>
      <c r="C242" t="str">
        <f>step3_validation[[#This Row],[Gender]]</f>
        <v>Nữ</v>
      </c>
      <c r="D242" t="str">
        <f>survey_responses[[#This Row],[Giới tính của bạn:]]</f>
        <v>Nữ</v>
      </c>
      <c r="E242" t="str">
        <f>step3_validation[[#This Row],[Age_Group]]</f>
        <v>30 - 39</v>
      </c>
      <c r="F242" t="str">
        <f>survey_responses[[#This Row],[Độ tuổi của bạn:]]</f>
        <v>30 - 39</v>
      </c>
      <c r="G242" t="str">
        <f>step3_validation[[#This Row],[Region]]</f>
        <v>Thành thị</v>
      </c>
      <c r="H242" t="str">
        <f>survey_responses[[#This Row],[Khu vực bạn đang sinh sống:]]</f>
        <v>Thành thị</v>
      </c>
      <c r="I242" t="str">
        <f>step3_validation[[#This Row],[Education]]</f>
        <v>Sau Đại học</v>
      </c>
      <c r="J242" t="str">
        <f>survey_responses[[#This Row],[Trình độ học vấn cao nhất:]]</f>
        <v>Sau Đại học</v>
      </c>
      <c r="K242" t="str">
        <f>step3_validation[[#This Row],[Employment]]</f>
        <v>Chính thức</v>
      </c>
      <c r="L242" t="str">
        <f>survey_responses[[#This Row],[Tình trạng việc làm chính:]]</f>
        <v>Khu vực chính thức (Có Hợp đồng lao động, đóng BHXH)</v>
      </c>
      <c r="M242">
        <f>step3_validation[[#This Row],[Income_Mil]]</f>
        <v>55.244096512194275</v>
      </c>
      <c r="N242" t="str">
        <f>survey_responses[[#This Row],[Thu nhập bình quân tháng theo Hợp đồng lao động của bạn là bao nhiêu? (Vui lòng điền tổng thu nhập trước khi khấu trừ các loại Bảo hiểm (BHXH, BHYT, BHTN) và Thuế TNCN)]]</f>
        <v>Từ 48 - 70 triệu VNĐ</v>
      </c>
      <c r="O242">
        <f>step3_validation[[#This Row],[Dependents]]</f>
        <v>1</v>
      </c>
      <c r="P242" t="str">
        <f>survey_responses[[#This Row],[Số người phụ thuộc (con nhỏ, cha mẹ già...) đủ điều kiện giảm trừ gia cảnh:]]</f>
        <v>1 người</v>
      </c>
      <c r="Q242">
        <f>step3_validation[[#This Row],[AI_ENF1]]</f>
        <v>6</v>
      </c>
      <c r="R242">
        <f t="shared" si="81"/>
        <v>0.55555555555555558</v>
      </c>
      <c r="S242">
        <f>survey_responses[[#This Row],[Tôi tin rằng với các quy định quản lý thuế hiện nay, hành vi gian lận hoặc trốn thuế sẽ dễ dàng bị phát hiện và xử lý nghiêm. - HUMAN-ENF1]]</f>
        <v>7</v>
      </c>
      <c r="T242">
        <f t="shared" si="82"/>
        <v>0.66666666666666663</v>
      </c>
      <c r="U242">
        <f>step3_validation[[#This Row],[AI_ENF2]]</f>
        <v>5</v>
      </c>
      <c r="V242">
        <f t="shared" si="83"/>
        <v>0.44444444444444442</v>
      </c>
      <c r="W242">
        <f>survey_responses[[#This Row],[Tôi tin rằng Nhà nước, cơ quan thuế có đủ khả năng và công nghệ để phát hiện, xử lý nghiêm các hành vi trốn thuế. - HUMAN-ENF2]]</f>
        <v>6</v>
      </c>
      <c r="X242">
        <f t="shared" si="84"/>
        <v>0.55555555555555558</v>
      </c>
      <c r="Y242" s="32">
        <f t="shared" si="85"/>
        <v>0.5</v>
      </c>
      <c r="Z242" s="32">
        <f t="shared" si="86"/>
        <v>0.61111111111111116</v>
      </c>
      <c r="AA242">
        <f>step3_validation[[#This Row],[AI_FAC1]]</f>
        <v>9</v>
      </c>
      <c r="AB242">
        <f t="shared" si="87"/>
        <v>0.88888888888888884</v>
      </c>
      <c r="AC242">
        <f>survey_responses[[#This Row],[Các thủ tục khai báo thuế VÀ/HOẶC quy trình làm việc với cơ quan thuế đơn giản, tiện lợi, nhanh chóng hơn so với trước đây. - HUMAN-FAC1]]</f>
        <v>7</v>
      </c>
      <c r="AD242">
        <f t="shared" si="88"/>
        <v>0.66666666666666663</v>
      </c>
      <c r="AE242">
        <f>step3_validation[[#This Row],[AI_FAC2]]</f>
        <v>7</v>
      </c>
      <c r="AF242">
        <f t="shared" si="89"/>
        <v>0.66666666666666663</v>
      </c>
      <c r="AG242">
        <f>survey_responses[[#This Row],[So với trước đây, tôi thấy cách tính thuế và các bậc thuế trong phương án mới đơn giản, dễ hiểu và dễ thực hiện hơn. - HUMAN-FAC2]]</f>
        <v>7</v>
      </c>
      <c r="AH242">
        <f t="shared" si="90"/>
        <v>0.66666666666666663</v>
      </c>
      <c r="AI242" s="32">
        <f t="shared" si="91"/>
        <v>0.77777777777777768</v>
      </c>
      <c r="AJ242" s="32">
        <f t="shared" si="92"/>
        <v>0.66666666666666663</v>
      </c>
      <c r="AK242">
        <f>step3_validation[[#This Row],[AI_TRU1]]</f>
        <v>8</v>
      </c>
      <c r="AL242">
        <f t="shared" si="93"/>
        <v>0.77777777777777779</v>
      </c>
      <c r="AM242">
        <f>survey_responses[[#This Row],[Tôi tin rằng Nhà nước, cơ quan thuế sẽ thực thi chính sách mới một cách khách quan, công tâm và đối xử bình đẳng với mọi người nộp thuế.  - HUMAN-TRU1]]</f>
        <v>8</v>
      </c>
      <c r="AN242">
        <f t="shared" si="94"/>
        <v>0.77777777777777779</v>
      </c>
      <c r="AO242">
        <f>step3_validation[[#This Row],[AI_TRU2]]</f>
        <v>7</v>
      </c>
      <c r="AP242">
        <f t="shared" si="95"/>
        <v>0.66666666666666663</v>
      </c>
      <c r="AQ242">
        <f>survey_responses[[#This Row],[Tôi thấy mức thuế tôi phải đóng theo phương án mới là công bằng (người thu nhập như tôi đóng mức này là hợp lý). - HUMAN-TRU2]]</f>
        <v>8</v>
      </c>
      <c r="AR242">
        <f t="shared" si="96"/>
        <v>0.77777777777777779</v>
      </c>
      <c r="AS242">
        <f>step3_validation[[#This Row],[AI_TRU3]]</f>
        <v>8</v>
      </c>
      <c r="AT242">
        <f t="shared" si="97"/>
        <v>0.77777777777777779</v>
      </c>
      <c r="AU242">
        <f>survey_responses[[#This Row],[Tôi tin tưởng số tiền thuế tôi đóng sẽ được Nhà nước sử dụng hiệu quả để cải thiện dịch vụ công (y tế, đường xá...). - HUMAN-TRU3]]</f>
        <v>8</v>
      </c>
      <c r="AV242">
        <f t="shared" si="98"/>
        <v>0.77777777777777779</v>
      </c>
      <c r="AW242">
        <f>step3_validation[[#This Row],[AI_TRU4]]</f>
        <v>9</v>
      </c>
      <c r="AX242">
        <f t="shared" si="99"/>
        <v>0.88888888888888884</v>
      </c>
      <c r="AY242">
        <f>survey_responses[[#This Row],[Tôi thấy Nhà nước đã giải thích rõ ràng, minh bạch về lý do và mục tiêu của việc sửa đổi thuế lần này. - HUMAN-TRU4]]</f>
        <v>8</v>
      </c>
      <c r="AZ242">
        <f t="shared" si="100"/>
        <v>0.77777777777777779</v>
      </c>
      <c r="BA242" s="32">
        <f t="shared" si="101"/>
        <v>0.77777777777777779</v>
      </c>
      <c r="BB242" s="32">
        <f t="shared" si="102"/>
        <v>0.77777777777777779</v>
      </c>
      <c r="BC242" s="7">
        <f t="shared" si="103"/>
        <v>0.68518518518518512</v>
      </c>
      <c r="BD242" s="7">
        <f t="shared" si="104"/>
        <v>0.68518518518518512</v>
      </c>
      <c r="BE242">
        <f>step3_validation[[#This Row],[AI_OUT1]]</f>
        <v>8</v>
      </c>
      <c r="BF242">
        <f t="shared" si="105"/>
        <v>0.77777777777777779</v>
      </c>
      <c r="BG242">
        <f>survey_responses[[#This Row],[Sau khi xem xét các quyền lợi và nghĩa vụ, bạn có ủng hộ và tuân thủ chính sách mới hiện nay? - HUMAN-OUT1]]</f>
        <v>8</v>
      </c>
      <c r="BH242">
        <f t="shared" si="106"/>
        <v>0.77777777777777779</v>
      </c>
      <c r="BI242" s="32">
        <f t="shared" si="107"/>
        <v>0</v>
      </c>
    </row>
    <row r="243" spans="1:61" x14ac:dyDescent="0.45">
      <c r="A243" s="30">
        <f>step3_validation[[#This Row],[Persona_ID]]</f>
        <v>242</v>
      </c>
      <c r="B243" s="31">
        <f>step3_validation[[#This Row],[Used_Seed]]</f>
        <v>12586</v>
      </c>
      <c r="C243" t="str">
        <f>step3_validation[[#This Row],[Gender]]</f>
        <v>Nam</v>
      </c>
      <c r="D243" t="str">
        <f>survey_responses[[#This Row],[Giới tính của bạn:]]</f>
        <v>Nam</v>
      </c>
      <c r="E243" t="str">
        <f>step3_validation[[#This Row],[Age_Group]]</f>
        <v>30 - 39</v>
      </c>
      <c r="F243" t="str">
        <f>survey_responses[[#This Row],[Độ tuổi của bạn:]]</f>
        <v>30 - 39</v>
      </c>
      <c r="G243" t="str">
        <f>step3_validation[[#This Row],[Region]]</f>
        <v>Thành thị</v>
      </c>
      <c r="H243" t="str">
        <f>survey_responses[[#This Row],[Khu vực bạn đang sinh sống:]]</f>
        <v>Thành thị</v>
      </c>
      <c r="I243" t="str">
        <f>step3_validation[[#This Row],[Education]]</f>
        <v>Đại học</v>
      </c>
      <c r="J243" t="str">
        <f>survey_responses[[#This Row],[Trình độ học vấn cao nhất:]]</f>
        <v>Đại học</v>
      </c>
      <c r="K243" t="str">
        <f>step3_validation[[#This Row],[Employment]]</f>
        <v>Chính thức</v>
      </c>
      <c r="L243" t="str">
        <f>survey_responses[[#This Row],[Tình trạng việc làm chính:]]</f>
        <v>Khu vực chính thức (Có Hợp đồng lao động, đóng BHXH)</v>
      </c>
      <c r="M243">
        <f>step3_validation[[#This Row],[Income_Mil]]</f>
        <v>49.477002046177468</v>
      </c>
      <c r="N243" t="str">
        <f>survey_responses[[#This Row],[Thu nhập bình quân tháng theo Hợp đồng lao động của bạn là bao nhiêu? (Vui lòng điền tổng thu nhập trước khi khấu trừ các loại Bảo hiểm (BHXH, BHYT, BHTN) và Thuế TNCN)]]</f>
        <v>Từ 48 - 70 triệu VNĐ</v>
      </c>
      <c r="O243">
        <f>step3_validation[[#This Row],[Dependents]]</f>
        <v>2</v>
      </c>
      <c r="P243" t="str">
        <f>survey_responses[[#This Row],[Số người phụ thuộc (con nhỏ, cha mẹ già...) đủ điều kiện giảm trừ gia cảnh:]]</f>
        <v>2 người</v>
      </c>
      <c r="Q243">
        <f>step3_validation[[#This Row],[AI_ENF1]]</f>
        <v>7</v>
      </c>
      <c r="R243">
        <f t="shared" si="81"/>
        <v>0.66666666666666663</v>
      </c>
      <c r="S243">
        <f>survey_responses[[#This Row],[Tôi tin rằng với các quy định quản lý thuế hiện nay, hành vi gian lận hoặc trốn thuế sẽ dễ dàng bị phát hiện và xử lý nghiêm. - HUMAN-ENF1]]</f>
        <v>6</v>
      </c>
      <c r="T243">
        <f t="shared" si="82"/>
        <v>0.55555555555555558</v>
      </c>
      <c r="U243">
        <f>step3_validation[[#This Row],[AI_ENF2]]</f>
        <v>6</v>
      </c>
      <c r="V243">
        <f t="shared" si="83"/>
        <v>0.55555555555555558</v>
      </c>
      <c r="W243">
        <f>survey_responses[[#This Row],[Tôi tin rằng Nhà nước, cơ quan thuế có đủ khả năng và công nghệ để phát hiện, xử lý nghiêm các hành vi trốn thuế. - HUMAN-ENF2]]</f>
        <v>5</v>
      </c>
      <c r="X243">
        <f t="shared" si="84"/>
        <v>0.44444444444444442</v>
      </c>
      <c r="Y243" s="32">
        <f t="shared" si="85"/>
        <v>0.61111111111111116</v>
      </c>
      <c r="Z243" s="32">
        <f t="shared" si="86"/>
        <v>0.5</v>
      </c>
      <c r="AA243">
        <f>step3_validation[[#This Row],[AI_FAC1]]</f>
        <v>8</v>
      </c>
      <c r="AB243">
        <f t="shared" si="87"/>
        <v>0.77777777777777779</v>
      </c>
      <c r="AC243">
        <f>survey_responses[[#This Row],[Các thủ tục khai báo thuế VÀ/HOẶC quy trình làm việc với cơ quan thuế đơn giản, tiện lợi, nhanh chóng hơn so với trước đây. - HUMAN-FAC1]]</f>
        <v>5</v>
      </c>
      <c r="AD243">
        <f t="shared" si="88"/>
        <v>0.44444444444444442</v>
      </c>
      <c r="AE243">
        <f>step3_validation[[#This Row],[AI_FAC2]]</f>
        <v>9</v>
      </c>
      <c r="AF243">
        <f t="shared" si="89"/>
        <v>0.88888888888888884</v>
      </c>
      <c r="AG243">
        <f>survey_responses[[#This Row],[So với trước đây, tôi thấy cách tính thuế và các bậc thuế trong phương án mới đơn giản, dễ hiểu và dễ thực hiện hơn. - HUMAN-FAC2]]</f>
        <v>7</v>
      </c>
      <c r="AH243">
        <f t="shared" si="90"/>
        <v>0.66666666666666663</v>
      </c>
      <c r="AI243" s="32">
        <f t="shared" si="91"/>
        <v>0.83333333333333326</v>
      </c>
      <c r="AJ243" s="32">
        <f t="shared" si="92"/>
        <v>0.55555555555555558</v>
      </c>
      <c r="AK243">
        <f>step3_validation[[#This Row],[AI_TRU1]]</f>
        <v>7</v>
      </c>
      <c r="AL243">
        <f t="shared" si="93"/>
        <v>0.66666666666666663</v>
      </c>
      <c r="AM243">
        <f>survey_responses[[#This Row],[Tôi tin rằng Nhà nước, cơ quan thuế sẽ thực thi chính sách mới một cách khách quan, công tâm và đối xử bình đẳng với mọi người nộp thuế.  - HUMAN-TRU1]]</f>
        <v>7</v>
      </c>
      <c r="AN243">
        <f t="shared" si="94"/>
        <v>0.66666666666666663</v>
      </c>
      <c r="AO243">
        <f>step3_validation[[#This Row],[AI_TRU2]]</f>
        <v>8</v>
      </c>
      <c r="AP243">
        <f t="shared" si="95"/>
        <v>0.77777777777777779</v>
      </c>
      <c r="AQ243">
        <f>survey_responses[[#This Row],[Tôi thấy mức thuế tôi phải đóng theo phương án mới là công bằng (người thu nhập như tôi đóng mức này là hợp lý). - HUMAN-TRU2]]</f>
        <v>7</v>
      </c>
      <c r="AR243">
        <f t="shared" si="96"/>
        <v>0.66666666666666663</v>
      </c>
      <c r="AS243">
        <f>step3_validation[[#This Row],[AI_TRU3]]</f>
        <v>7</v>
      </c>
      <c r="AT243">
        <f t="shared" si="97"/>
        <v>0.66666666666666663</v>
      </c>
      <c r="AU243">
        <f>survey_responses[[#This Row],[Tôi tin tưởng số tiền thuế tôi đóng sẽ được Nhà nước sử dụng hiệu quả để cải thiện dịch vụ công (y tế, đường xá...). - HUMAN-TRU3]]</f>
        <v>7</v>
      </c>
      <c r="AV243">
        <f t="shared" si="98"/>
        <v>0.66666666666666663</v>
      </c>
      <c r="AW243">
        <f>step3_validation[[#This Row],[AI_TRU4]]</f>
        <v>6</v>
      </c>
      <c r="AX243">
        <f t="shared" si="99"/>
        <v>0.55555555555555558</v>
      </c>
      <c r="AY243">
        <f>survey_responses[[#This Row],[Tôi thấy Nhà nước đã giải thích rõ ràng, minh bạch về lý do và mục tiêu của việc sửa đổi thuế lần này. - HUMAN-TRU4]]</f>
        <v>8</v>
      </c>
      <c r="AZ243">
        <f t="shared" si="100"/>
        <v>0.77777777777777779</v>
      </c>
      <c r="BA243" s="32">
        <f t="shared" si="101"/>
        <v>0.66666666666666674</v>
      </c>
      <c r="BB243" s="32">
        <f t="shared" si="102"/>
        <v>0.69444444444444442</v>
      </c>
      <c r="BC243" s="7">
        <f t="shared" si="103"/>
        <v>0.70370370370370372</v>
      </c>
      <c r="BD243" s="7">
        <f t="shared" si="104"/>
        <v>0.58333333333333337</v>
      </c>
      <c r="BE243">
        <f>step3_validation[[#This Row],[AI_OUT1]]</f>
        <v>8</v>
      </c>
      <c r="BF243">
        <f t="shared" si="105"/>
        <v>0.77777777777777779</v>
      </c>
      <c r="BG243">
        <f>survey_responses[[#This Row],[Sau khi xem xét các quyền lợi và nghĩa vụ, bạn có ủng hộ và tuân thủ chính sách mới hiện nay? - HUMAN-OUT1]]</f>
        <v>8</v>
      </c>
      <c r="BH243">
        <f t="shared" si="106"/>
        <v>0.77777777777777779</v>
      </c>
      <c r="BI243" s="32">
        <f t="shared" si="107"/>
        <v>0</v>
      </c>
    </row>
    <row r="244" spans="1:61" x14ac:dyDescent="0.45">
      <c r="A244" s="30">
        <f>step3_validation[[#This Row],[Persona_ID]]</f>
        <v>243</v>
      </c>
      <c r="B244" s="31">
        <f>step3_validation[[#This Row],[Used_Seed]]</f>
        <v>12587</v>
      </c>
      <c r="C244" t="str">
        <f>step3_validation[[#This Row],[Gender]]</f>
        <v>Nam</v>
      </c>
      <c r="D244" t="str">
        <f>survey_responses[[#This Row],[Giới tính của bạn:]]</f>
        <v>Nam</v>
      </c>
      <c r="E244" t="str">
        <f>step3_validation[[#This Row],[Age_Group]]</f>
        <v>50 - 54</v>
      </c>
      <c r="F244" t="str">
        <f>survey_responses[[#This Row],[Độ tuổi của bạn:]]</f>
        <v>50 - 54</v>
      </c>
      <c r="G244" t="str">
        <f>step3_validation[[#This Row],[Region]]</f>
        <v>Thành thị</v>
      </c>
      <c r="H244" t="str">
        <f>survey_responses[[#This Row],[Khu vực bạn đang sinh sống:]]</f>
        <v>Thành thị</v>
      </c>
      <c r="I244" t="str">
        <f>step3_validation[[#This Row],[Education]]</f>
        <v>Đại học</v>
      </c>
      <c r="J244" t="str">
        <f>survey_responses[[#This Row],[Trình độ học vấn cao nhất:]]</f>
        <v>Đại học</v>
      </c>
      <c r="K244" t="str">
        <f>step3_validation[[#This Row],[Employment]]</f>
        <v>Chính thức</v>
      </c>
      <c r="L244" t="str">
        <f>survey_responses[[#This Row],[Tình trạng việc làm chính:]]</f>
        <v>Khu vực chính thức (Có Hợp đồng lao động, đóng BHXH)</v>
      </c>
      <c r="M244">
        <f>step3_validation[[#This Row],[Income_Mil]]</f>
        <v>73.91270643903151</v>
      </c>
      <c r="N244" t="str">
        <f>survey_responses[[#This Row],[Thu nhập bình quân tháng theo Hợp đồng lao động của bạn là bao nhiêu? (Vui lòng điền tổng thu nhập trước khi khấu trừ các loại Bảo hiểm (BHXH, BHYT, BHTN) và Thuế TNCN)]]</f>
        <v>Từ 70 - 102 triệu VNĐ</v>
      </c>
      <c r="O244">
        <f>step3_validation[[#This Row],[Dependents]]</f>
        <v>2</v>
      </c>
      <c r="P244" t="str">
        <f>survey_responses[[#This Row],[Số người phụ thuộc (con nhỏ, cha mẹ già...) đủ điều kiện giảm trừ gia cảnh:]]</f>
        <v>2 người</v>
      </c>
      <c r="Q244">
        <f>step3_validation[[#This Row],[AI_ENF1]]</f>
        <v>6</v>
      </c>
      <c r="R244">
        <f t="shared" si="81"/>
        <v>0.55555555555555558</v>
      </c>
      <c r="S244">
        <f>survey_responses[[#This Row],[Tôi tin rằng với các quy định quản lý thuế hiện nay, hành vi gian lận hoặc trốn thuế sẽ dễ dàng bị phát hiện và xử lý nghiêm. - HUMAN-ENF1]]</f>
        <v>6</v>
      </c>
      <c r="T244">
        <f t="shared" si="82"/>
        <v>0.55555555555555558</v>
      </c>
      <c r="U244">
        <f>step3_validation[[#This Row],[AI_ENF2]]</f>
        <v>6</v>
      </c>
      <c r="V244">
        <f t="shared" si="83"/>
        <v>0.55555555555555558</v>
      </c>
      <c r="W244">
        <f>survey_responses[[#This Row],[Tôi tin rằng Nhà nước, cơ quan thuế có đủ khả năng và công nghệ để phát hiện, xử lý nghiêm các hành vi trốn thuế. - HUMAN-ENF2]]</f>
        <v>6</v>
      </c>
      <c r="X244">
        <f t="shared" si="84"/>
        <v>0.55555555555555558</v>
      </c>
      <c r="Y244" s="32">
        <f t="shared" si="85"/>
        <v>0.55555555555555558</v>
      </c>
      <c r="Z244" s="32">
        <f t="shared" si="86"/>
        <v>0.55555555555555558</v>
      </c>
      <c r="AA244">
        <f>step3_validation[[#This Row],[AI_FAC1]]</f>
        <v>7</v>
      </c>
      <c r="AB244">
        <f t="shared" si="87"/>
        <v>0.66666666666666663</v>
      </c>
      <c r="AC244">
        <f>survey_responses[[#This Row],[Các thủ tục khai báo thuế VÀ/HOẶC quy trình làm việc với cơ quan thuế đơn giản, tiện lợi, nhanh chóng hơn so với trước đây. - HUMAN-FAC1]]</f>
        <v>6</v>
      </c>
      <c r="AD244">
        <f t="shared" si="88"/>
        <v>0.55555555555555558</v>
      </c>
      <c r="AE244">
        <f>step3_validation[[#This Row],[AI_FAC2]]</f>
        <v>8</v>
      </c>
      <c r="AF244">
        <f t="shared" si="89"/>
        <v>0.77777777777777779</v>
      </c>
      <c r="AG244">
        <f>survey_responses[[#This Row],[So với trước đây, tôi thấy cách tính thuế và các bậc thuế trong phương án mới đơn giản, dễ hiểu và dễ thực hiện hơn. - HUMAN-FAC2]]</f>
        <v>6</v>
      </c>
      <c r="AH244">
        <f t="shared" si="90"/>
        <v>0.55555555555555558</v>
      </c>
      <c r="AI244" s="32">
        <f t="shared" si="91"/>
        <v>0.72222222222222221</v>
      </c>
      <c r="AJ244" s="32">
        <f t="shared" si="92"/>
        <v>0.55555555555555558</v>
      </c>
      <c r="AK244">
        <f>step3_validation[[#This Row],[AI_TRU1]]</f>
        <v>7</v>
      </c>
      <c r="AL244">
        <f t="shared" si="93"/>
        <v>0.66666666666666663</v>
      </c>
      <c r="AM244">
        <f>survey_responses[[#This Row],[Tôi tin rằng Nhà nước, cơ quan thuế sẽ thực thi chính sách mới một cách khách quan, công tâm và đối xử bình đẳng với mọi người nộp thuế.  - HUMAN-TRU1]]</f>
        <v>6</v>
      </c>
      <c r="AN244">
        <f t="shared" si="94"/>
        <v>0.55555555555555558</v>
      </c>
      <c r="AO244">
        <f>step3_validation[[#This Row],[AI_TRU2]]</f>
        <v>9</v>
      </c>
      <c r="AP244">
        <f t="shared" si="95"/>
        <v>0.88888888888888884</v>
      </c>
      <c r="AQ244">
        <f>survey_responses[[#This Row],[Tôi thấy mức thuế tôi phải đóng theo phương án mới là công bằng (người thu nhập như tôi đóng mức này là hợp lý). - HUMAN-TRU2]]</f>
        <v>6</v>
      </c>
      <c r="AR244">
        <f t="shared" si="96"/>
        <v>0.55555555555555558</v>
      </c>
      <c r="AS244">
        <f>step3_validation[[#This Row],[AI_TRU3]]</f>
        <v>8</v>
      </c>
      <c r="AT244">
        <f t="shared" si="97"/>
        <v>0.77777777777777779</v>
      </c>
      <c r="AU244">
        <f>survey_responses[[#This Row],[Tôi tin tưởng số tiền thuế tôi đóng sẽ được Nhà nước sử dụng hiệu quả để cải thiện dịch vụ công (y tế, đường xá...). - HUMAN-TRU3]]</f>
        <v>6</v>
      </c>
      <c r="AV244">
        <f t="shared" si="98"/>
        <v>0.55555555555555558</v>
      </c>
      <c r="AW244">
        <f>step3_validation[[#This Row],[AI_TRU4]]</f>
        <v>9</v>
      </c>
      <c r="AX244">
        <f t="shared" si="99"/>
        <v>0.88888888888888884</v>
      </c>
      <c r="AY244">
        <f>survey_responses[[#This Row],[Tôi thấy Nhà nước đã giải thích rõ ràng, minh bạch về lý do và mục tiêu của việc sửa đổi thuế lần này. - HUMAN-TRU4]]</f>
        <v>6</v>
      </c>
      <c r="AZ244">
        <f t="shared" si="100"/>
        <v>0.55555555555555558</v>
      </c>
      <c r="BA244" s="32">
        <f t="shared" si="101"/>
        <v>0.80555555555555547</v>
      </c>
      <c r="BB244" s="32">
        <f t="shared" si="102"/>
        <v>0.55555555555555558</v>
      </c>
      <c r="BC244" s="7">
        <f t="shared" si="103"/>
        <v>0.69444444444444431</v>
      </c>
      <c r="BD244" s="7">
        <f t="shared" si="104"/>
        <v>0.55555555555555558</v>
      </c>
      <c r="BE244">
        <f>step3_validation[[#This Row],[AI_OUT1]]</f>
        <v>8</v>
      </c>
      <c r="BF244">
        <f t="shared" si="105"/>
        <v>0.77777777777777779</v>
      </c>
      <c r="BG244">
        <f>survey_responses[[#This Row],[Sau khi xem xét các quyền lợi và nghĩa vụ, bạn có ủng hộ và tuân thủ chính sách mới hiện nay? - HUMAN-OUT1]]</f>
        <v>6</v>
      </c>
      <c r="BH244">
        <f t="shared" si="106"/>
        <v>0.55555555555555558</v>
      </c>
      <c r="BI244" s="32">
        <f t="shared" si="107"/>
        <v>2</v>
      </c>
    </row>
    <row r="245" spans="1:61" x14ac:dyDescent="0.45">
      <c r="A245" s="30">
        <f>step3_validation[[#This Row],[Persona_ID]]</f>
        <v>244</v>
      </c>
      <c r="B245" s="31">
        <f>step3_validation[[#This Row],[Used_Seed]]</f>
        <v>12588</v>
      </c>
      <c r="C245" t="str">
        <f>step3_validation[[#This Row],[Gender]]</f>
        <v>Nữ</v>
      </c>
      <c r="D245" t="str">
        <f>survey_responses[[#This Row],[Giới tính của bạn:]]</f>
        <v>Nữ</v>
      </c>
      <c r="E245" t="str">
        <f>step3_validation[[#This Row],[Age_Group]]</f>
        <v>40 - 49</v>
      </c>
      <c r="F245" t="str">
        <f>survey_responses[[#This Row],[Độ tuổi của bạn:]]</f>
        <v>40 - 49</v>
      </c>
      <c r="G245" t="str">
        <f>step3_validation[[#This Row],[Region]]</f>
        <v>Thành thị</v>
      </c>
      <c r="H245" t="str">
        <f>survey_responses[[#This Row],[Khu vực bạn đang sinh sống:]]</f>
        <v>Thành thị</v>
      </c>
      <c r="I245" t="str">
        <f>step3_validation[[#This Row],[Education]]</f>
        <v>Sau Đại học</v>
      </c>
      <c r="J245" t="str">
        <f>survey_responses[[#This Row],[Trình độ học vấn cao nhất:]]</f>
        <v>Sau Đại học</v>
      </c>
      <c r="K245" t="str">
        <f>step3_validation[[#This Row],[Employment]]</f>
        <v>Chính thức</v>
      </c>
      <c r="L245" t="str">
        <f>survey_responses[[#This Row],[Tình trạng việc làm chính:]]</f>
        <v>Khu vực chính thức (Có Hợp đồng lao động, đóng BHXH)</v>
      </c>
      <c r="M245">
        <f>step3_validation[[#This Row],[Income_Mil]]</f>
        <v>62.774756718616466</v>
      </c>
      <c r="N245" t="str">
        <f>survey_responses[[#This Row],[Thu nhập bình quân tháng theo Hợp đồng lao động của bạn là bao nhiêu? (Vui lòng điền tổng thu nhập trước khi khấu trừ các loại Bảo hiểm (BHXH, BHYT, BHTN) và Thuế TNCN)]]</f>
        <v>Từ 48 - 70 triệu VNĐ</v>
      </c>
      <c r="O245">
        <f>step3_validation[[#This Row],[Dependents]]</f>
        <v>3</v>
      </c>
      <c r="P245" t="str">
        <f>survey_responses[[#This Row],[Số người phụ thuộc (con nhỏ, cha mẹ già...) đủ điều kiện giảm trừ gia cảnh:]]</f>
        <v>3 người</v>
      </c>
      <c r="Q245">
        <f>step3_validation[[#This Row],[AI_ENF1]]</f>
        <v>8</v>
      </c>
      <c r="R245">
        <f t="shared" si="81"/>
        <v>0.77777777777777779</v>
      </c>
      <c r="S245">
        <f>survey_responses[[#This Row],[Tôi tin rằng với các quy định quản lý thuế hiện nay, hành vi gian lận hoặc trốn thuế sẽ dễ dàng bị phát hiện và xử lý nghiêm. - HUMAN-ENF1]]</f>
        <v>7</v>
      </c>
      <c r="T245">
        <f t="shared" si="82"/>
        <v>0.66666666666666663</v>
      </c>
      <c r="U245">
        <f>step3_validation[[#This Row],[AI_ENF2]]</f>
        <v>7</v>
      </c>
      <c r="V245">
        <f t="shared" si="83"/>
        <v>0.66666666666666663</v>
      </c>
      <c r="W245">
        <f>survey_responses[[#This Row],[Tôi tin rằng Nhà nước, cơ quan thuế có đủ khả năng và công nghệ để phát hiện, xử lý nghiêm các hành vi trốn thuế. - HUMAN-ENF2]]</f>
        <v>6</v>
      </c>
      <c r="X245">
        <f t="shared" si="84"/>
        <v>0.55555555555555558</v>
      </c>
      <c r="Y245" s="32">
        <f t="shared" si="85"/>
        <v>0.72222222222222221</v>
      </c>
      <c r="Z245" s="32">
        <f t="shared" si="86"/>
        <v>0.61111111111111116</v>
      </c>
      <c r="AA245">
        <f>step3_validation[[#This Row],[AI_FAC1]]</f>
        <v>9</v>
      </c>
      <c r="AB245">
        <f t="shared" si="87"/>
        <v>0.88888888888888884</v>
      </c>
      <c r="AC245">
        <f>survey_responses[[#This Row],[Các thủ tục khai báo thuế VÀ/HOẶC quy trình làm việc với cơ quan thuế đơn giản, tiện lợi, nhanh chóng hơn so với trước đây. - HUMAN-FAC1]]</f>
        <v>6</v>
      </c>
      <c r="AD245">
        <f t="shared" si="88"/>
        <v>0.55555555555555558</v>
      </c>
      <c r="AE245">
        <f>step3_validation[[#This Row],[AI_FAC2]]</f>
        <v>9</v>
      </c>
      <c r="AF245">
        <f t="shared" si="89"/>
        <v>0.88888888888888884</v>
      </c>
      <c r="AG245">
        <f>survey_responses[[#This Row],[So với trước đây, tôi thấy cách tính thuế và các bậc thuế trong phương án mới đơn giản, dễ hiểu và dễ thực hiện hơn. - HUMAN-FAC2]]</f>
        <v>8</v>
      </c>
      <c r="AH245">
        <f t="shared" si="90"/>
        <v>0.77777777777777779</v>
      </c>
      <c r="AI245" s="32">
        <f t="shared" si="91"/>
        <v>0.88888888888888884</v>
      </c>
      <c r="AJ245" s="32">
        <f t="shared" si="92"/>
        <v>0.66666666666666674</v>
      </c>
      <c r="AK245">
        <f>step3_validation[[#This Row],[AI_TRU1]]</f>
        <v>8</v>
      </c>
      <c r="AL245">
        <f t="shared" si="93"/>
        <v>0.77777777777777779</v>
      </c>
      <c r="AM245">
        <f>survey_responses[[#This Row],[Tôi tin rằng Nhà nước, cơ quan thuế sẽ thực thi chính sách mới một cách khách quan, công tâm và đối xử bình đẳng với mọi người nộp thuế.  - HUMAN-TRU1]]</f>
        <v>6</v>
      </c>
      <c r="AN245">
        <f t="shared" si="94"/>
        <v>0.55555555555555558</v>
      </c>
      <c r="AO245">
        <f>step3_validation[[#This Row],[AI_TRU2]]</f>
        <v>9</v>
      </c>
      <c r="AP245">
        <f t="shared" si="95"/>
        <v>0.88888888888888884</v>
      </c>
      <c r="AQ245">
        <f>survey_responses[[#This Row],[Tôi thấy mức thuế tôi phải đóng theo phương án mới là công bằng (người thu nhập như tôi đóng mức này là hợp lý). - HUMAN-TRU2]]</f>
        <v>6</v>
      </c>
      <c r="AR245">
        <f t="shared" si="96"/>
        <v>0.55555555555555558</v>
      </c>
      <c r="AS245">
        <f>step3_validation[[#This Row],[AI_TRU3]]</f>
        <v>8</v>
      </c>
      <c r="AT245">
        <f t="shared" si="97"/>
        <v>0.77777777777777779</v>
      </c>
      <c r="AU245">
        <f>survey_responses[[#This Row],[Tôi tin tưởng số tiền thuế tôi đóng sẽ được Nhà nước sử dụng hiệu quả để cải thiện dịch vụ công (y tế, đường xá...). - HUMAN-TRU3]]</f>
        <v>6</v>
      </c>
      <c r="AV245">
        <f t="shared" si="98"/>
        <v>0.55555555555555558</v>
      </c>
      <c r="AW245">
        <f>step3_validation[[#This Row],[AI_TRU4]]</f>
        <v>9</v>
      </c>
      <c r="AX245">
        <f t="shared" si="99"/>
        <v>0.88888888888888884</v>
      </c>
      <c r="AY245">
        <f>survey_responses[[#This Row],[Tôi thấy Nhà nước đã giải thích rõ ràng, minh bạch về lý do và mục tiêu của việc sửa đổi thuế lần này. - HUMAN-TRU4]]</f>
        <v>6</v>
      </c>
      <c r="AZ245">
        <f t="shared" si="100"/>
        <v>0.55555555555555558</v>
      </c>
      <c r="BA245" s="32">
        <f t="shared" si="101"/>
        <v>0.83333333333333326</v>
      </c>
      <c r="BB245" s="32">
        <f t="shared" si="102"/>
        <v>0.55555555555555558</v>
      </c>
      <c r="BC245" s="7">
        <f t="shared" si="103"/>
        <v>0.81481481481481488</v>
      </c>
      <c r="BD245" s="7">
        <f t="shared" si="104"/>
        <v>0.61111111111111116</v>
      </c>
      <c r="BE245">
        <f>step3_validation[[#This Row],[AI_OUT1]]</f>
        <v>10</v>
      </c>
      <c r="BF245">
        <f t="shared" si="105"/>
        <v>1</v>
      </c>
      <c r="BG245">
        <f>survey_responses[[#This Row],[Sau khi xem xét các quyền lợi và nghĩa vụ, bạn có ủng hộ và tuân thủ chính sách mới hiện nay? - HUMAN-OUT1]]</f>
        <v>6</v>
      </c>
      <c r="BH245">
        <f t="shared" si="106"/>
        <v>0.55555555555555558</v>
      </c>
      <c r="BI245" s="32">
        <f t="shared" si="107"/>
        <v>4</v>
      </c>
    </row>
    <row r="246" spans="1:61" x14ac:dyDescent="0.45">
      <c r="A246" s="30">
        <f>step3_validation[[#This Row],[Persona_ID]]</f>
        <v>245</v>
      </c>
      <c r="B246" s="31">
        <f>step3_validation[[#This Row],[Used_Seed]]</f>
        <v>12589</v>
      </c>
      <c r="C246" t="str">
        <f>step3_validation[[#This Row],[Gender]]</f>
        <v>Nam</v>
      </c>
      <c r="D246" t="str">
        <f>survey_responses[[#This Row],[Giới tính của bạn:]]</f>
        <v>Nam</v>
      </c>
      <c r="E246" t="str">
        <f>step3_validation[[#This Row],[Age_Group]]</f>
        <v>40 - 49</v>
      </c>
      <c r="F246" t="str">
        <f>survey_responses[[#This Row],[Độ tuổi của bạn:]]</f>
        <v>40 - 49</v>
      </c>
      <c r="G246" t="str">
        <f>step3_validation[[#This Row],[Region]]</f>
        <v>Thành thị</v>
      </c>
      <c r="H246" t="str">
        <f>survey_responses[[#This Row],[Khu vực bạn đang sinh sống:]]</f>
        <v>Thành thị</v>
      </c>
      <c r="I246" t="str">
        <f>step3_validation[[#This Row],[Education]]</f>
        <v>Sau Đại học</v>
      </c>
      <c r="J246" t="str">
        <f>survey_responses[[#This Row],[Trình độ học vấn cao nhất:]]</f>
        <v>Sau Đại học</v>
      </c>
      <c r="K246" t="str">
        <f>step3_validation[[#This Row],[Employment]]</f>
        <v>Chính thức</v>
      </c>
      <c r="L246" t="str">
        <f>survey_responses[[#This Row],[Tình trạng việc làm chính:]]</f>
        <v>Khu vực chính thức (Có Hợp đồng lao động, đóng BHXH)</v>
      </c>
      <c r="M246">
        <f>step3_validation[[#This Row],[Income_Mil]]</f>
        <v>160.27799351115863</v>
      </c>
      <c r="N246" t="str">
        <f>survey_responses[[#This Row],[Thu nhập bình quân tháng theo Hợp đồng lao động của bạn là bao nhiêu? (Vui lòng điền tổng thu nhập trước khi khấu trừ các loại Bảo hiểm (BHXH, BHYT, BHTN) và Thuế TNCN)]]</f>
        <v>Trên 102 triệu VNĐ</v>
      </c>
      <c r="O246">
        <f>step3_validation[[#This Row],[Dependents]]</f>
        <v>0</v>
      </c>
      <c r="P246" t="str">
        <f>survey_responses[[#This Row],[Số người phụ thuộc (con nhỏ, cha mẹ già...) đủ điều kiện giảm trừ gia cảnh:]]</f>
        <v>0 người</v>
      </c>
      <c r="Q246">
        <f>step3_validation[[#This Row],[AI_ENF1]]</f>
        <v>8</v>
      </c>
      <c r="R246">
        <f t="shared" si="81"/>
        <v>0.77777777777777779</v>
      </c>
      <c r="S246">
        <f>survey_responses[[#This Row],[Tôi tin rằng với các quy định quản lý thuế hiện nay, hành vi gian lận hoặc trốn thuế sẽ dễ dàng bị phát hiện và xử lý nghiêm. - HUMAN-ENF1]]</f>
        <v>4</v>
      </c>
      <c r="T246">
        <f t="shared" si="82"/>
        <v>0.33333333333333331</v>
      </c>
      <c r="U246">
        <f>step3_validation[[#This Row],[AI_ENF2]]</f>
        <v>7</v>
      </c>
      <c r="V246">
        <f t="shared" si="83"/>
        <v>0.66666666666666663</v>
      </c>
      <c r="W246">
        <f>survey_responses[[#This Row],[Tôi tin rằng Nhà nước, cơ quan thuế có đủ khả năng và công nghệ để phát hiện, xử lý nghiêm các hành vi trốn thuế. - HUMAN-ENF2]]</f>
        <v>4</v>
      </c>
      <c r="X246">
        <f t="shared" si="84"/>
        <v>0.33333333333333331</v>
      </c>
      <c r="Y246" s="32">
        <f t="shared" si="85"/>
        <v>0.72222222222222221</v>
      </c>
      <c r="Z246" s="32">
        <f t="shared" si="86"/>
        <v>0.33333333333333331</v>
      </c>
      <c r="AA246">
        <f>step3_validation[[#This Row],[AI_FAC1]]</f>
        <v>6</v>
      </c>
      <c r="AB246">
        <f t="shared" si="87"/>
        <v>0.55555555555555558</v>
      </c>
      <c r="AC246">
        <f>survey_responses[[#This Row],[Các thủ tục khai báo thuế VÀ/HOẶC quy trình làm việc với cơ quan thuế đơn giản, tiện lợi, nhanh chóng hơn so với trước đây. - HUMAN-FAC1]]</f>
        <v>1</v>
      </c>
      <c r="AD246">
        <f t="shared" si="88"/>
        <v>0</v>
      </c>
      <c r="AE246">
        <f>step3_validation[[#This Row],[AI_FAC2]]</f>
        <v>9</v>
      </c>
      <c r="AF246">
        <f t="shared" si="89"/>
        <v>0.88888888888888884</v>
      </c>
      <c r="AG246">
        <f>survey_responses[[#This Row],[So với trước đây, tôi thấy cách tính thuế và các bậc thuế trong phương án mới đơn giản, dễ hiểu và dễ thực hiện hơn. - HUMAN-FAC2]]</f>
        <v>4</v>
      </c>
      <c r="AH246">
        <f t="shared" si="90"/>
        <v>0.33333333333333331</v>
      </c>
      <c r="AI246" s="32">
        <f t="shared" si="91"/>
        <v>0.72222222222222221</v>
      </c>
      <c r="AJ246" s="32">
        <f t="shared" si="92"/>
        <v>0.16666666666666666</v>
      </c>
      <c r="AK246">
        <f>step3_validation[[#This Row],[AI_TRU1]]</f>
        <v>7</v>
      </c>
      <c r="AL246">
        <f t="shared" si="93"/>
        <v>0.66666666666666663</v>
      </c>
      <c r="AM246">
        <f>survey_responses[[#This Row],[Tôi tin rằng Nhà nước, cơ quan thuế sẽ thực thi chính sách mới một cách khách quan, công tâm và đối xử bình đẳng với mọi người nộp thuế.  - HUMAN-TRU1]]</f>
        <v>4</v>
      </c>
      <c r="AN246">
        <f t="shared" si="94"/>
        <v>0.33333333333333331</v>
      </c>
      <c r="AO246">
        <f>step3_validation[[#This Row],[AI_TRU2]]</f>
        <v>8</v>
      </c>
      <c r="AP246">
        <f t="shared" si="95"/>
        <v>0.77777777777777779</v>
      </c>
      <c r="AQ246">
        <f>survey_responses[[#This Row],[Tôi thấy mức thuế tôi phải đóng theo phương án mới là công bằng (người thu nhập như tôi đóng mức này là hợp lý). - HUMAN-TRU2]]</f>
        <v>4</v>
      </c>
      <c r="AR246">
        <f t="shared" si="96"/>
        <v>0.33333333333333331</v>
      </c>
      <c r="AS246">
        <f>step3_validation[[#This Row],[AI_TRU3]]</f>
        <v>7</v>
      </c>
      <c r="AT246">
        <f t="shared" si="97"/>
        <v>0.66666666666666663</v>
      </c>
      <c r="AU246">
        <f>survey_responses[[#This Row],[Tôi tin tưởng số tiền thuế tôi đóng sẽ được Nhà nước sử dụng hiệu quả để cải thiện dịch vụ công (y tế, đường xá...). - HUMAN-TRU3]]</f>
        <v>5</v>
      </c>
      <c r="AV246">
        <f t="shared" si="98"/>
        <v>0.44444444444444442</v>
      </c>
      <c r="AW246">
        <f>step3_validation[[#This Row],[AI_TRU4]]</f>
        <v>6</v>
      </c>
      <c r="AX246">
        <f t="shared" si="99"/>
        <v>0.55555555555555558</v>
      </c>
      <c r="AY246">
        <f>survey_responses[[#This Row],[Tôi thấy Nhà nước đã giải thích rõ ràng, minh bạch về lý do và mục tiêu của việc sửa đổi thuế lần này. - HUMAN-TRU4]]</f>
        <v>5</v>
      </c>
      <c r="AZ246">
        <f t="shared" si="100"/>
        <v>0.44444444444444442</v>
      </c>
      <c r="BA246" s="32">
        <f t="shared" si="101"/>
        <v>0.66666666666666674</v>
      </c>
      <c r="BB246" s="32">
        <f t="shared" si="102"/>
        <v>0.3888888888888889</v>
      </c>
      <c r="BC246" s="7">
        <f t="shared" si="103"/>
        <v>0.70370370370370372</v>
      </c>
      <c r="BD246" s="7">
        <f t="shared" si="104"/>
        <v>0.29629629629629628</v>
      </c>
      <c r="BE246">
        <f>step3_validation[[#This Row],[AI_OUT1]]</f>
        <v>8</v>
      </c>
      <c r="BF246">
        <f t="shared" si="105"/>
        <v>0.77777777777777779</v>
      </c>
      <c r="BG246">
        <f>survey_responses[[#This Row],[Sau khi xem xét các quyền lợi và nghĩa vụ, bạn có ủng hộ và tuân thủ chính sách mới hiện nay? - HUMAN-OUT1]]</f>
        <v>5</v>
      </c>
      <c r="BH246">
        <f t="shared" si="106"/>
        <v>0.44444444444444442</v>
      </c>
      <c r="BI246" s="32">
        <f t="shared" si="107"/>
        <v>3</v>
      </c>
    </row>
    <row r="247" spans="1:61" x14ac:dyDescent="0.45">
      <c r="A247" s="30">
        <f>step3_validation[[#This Row],[Persona_ID]]</f>
        <v>246</v>
      </c>
      <c r="B247" s="31">
        <f>step3_validation[[#This Row],[Used_Seed]]</f>
        <v>12590</v>
      </c>
      <c r="C247" t="str">
        <f>step3_validation[[#This Row],[Gender]]</f>
        <v>Nam</v>
      </c>
      <c r="D247" t="str">
        <f>survey_responses[[#This Row],[Giới tính của bạn:]]</f>
        <v>Nam</v>
      </c>
      <c r="E247" t="str">
        <f>step3_validation[[#This Row],[Age_Group]]</f>
        <v>30 - 39</v>
      </c>
      <c r="F247" t="str">
        <f>survey_responses[[#This Row],[Độ tuổi của bạn:]]</f>
        <v>30 - 39</v>
      </c>
      <c r="G247" t="str">
        <f>step3_validation[[#This Row],[Region]]</f>
        <v>Thành thị</v>
      </c>
      <c r="H247" t="str">
        <f>survey_responses[[#This Row],[Khu vực bạn đang sinh sống:]]</f>
        <v>Thành thị</v>
      </c>
      <c r="I247" t="str">
        <f>step3_validation[[#This Row],[Education]]</f>
        <v>Đại học</v>
      </c>
      <c r="J247" t="str">
        <f>survey_responses[[#This Row],[Trình độ học vấn cao nhất:]]</f>
        <v>Đại học</v>
      </c>
      <c r="K247" t="str">
        <f>step3_validation[[#This Row],[Employment]]</f>
        <v>Chính thức</v>
      </c>
      <c r="L247" t="str">
        <f>survey_responses[[#This Row],[Tình trạng việc làm chính:]]</f>
        <v>Khu vực chính thức (Có Hợp đồng lao động, đóng BHXH)</v>
      </c>
      <c r="M247">
        <f>step3_validation[[#This Row],[Income_Mil]]</f>
        <v>24.830761581250968</v>
      </c>
      <c r="N247" t="str">
        <f>survey_responses[[#This Row],[Thu nhập bình quân tháng theo Hợp đồng lao động của bạn là bao nhiêu? (Vui lòng điền tổng thu nhập trước khi khấu trừ các loại Bảo hiểm (BHXH, BHYT, BHTN) và Thuế TNCN)]]</f>
        <v>Từ 23 - 32 triệu VNĐ</v>
      </c>
      <c r="O247">
        <f>step3_validation[[#This Row],[Dependents]]</f>
        <v>0</v>
      </c>
      <c r="P247" t="str">
        <f>survey_responses[[#This Row],[Số người phụ thuộc (con nhỏ, cha mẹ già...) đủ điều kiện giảm trừ gia cảnh:]]</f>
        <v>0 người</v>
      </c>
      <c r="Q247">
        <f>step3_validation[[#This Row],[AI_ENF1]]</f>
        <v>5</v>
      </c>
      <c r="R247">
        <f t="shared" si="81"/>
        <v>0.44444444444444442</v>
      </c>
      <c r="S247">
        <f>survey_responses[[#This Row],[Tôi tin rằng với các quy định quản lý thuế hiện nay, hành vi gian lận hoặc trốn thuế sẽ dễ dàng bị phát hiện và xử lý nghiêm. - HUMAN-ENF1]]</f>
        <v>6</v>
      </c>
      <c r="T247">
        <f t="shared" si="82"/>
        <v>0.55555555555555558</v>
      </c>
      <c r="U247">
        <f>step3_validation[[#This Row],[AI_ENF2]]</f>
        <v>6</v>
      </c>
      <c r="V247">
        <f t="shared" si="83"/>
        <v>0.55555555555555558</v>
      </c>
      <c r="W247">
        <f>survey_responses[[#This Row],[Tôi tin rằng Nhà nước, cơ quan thuế có đủ khả năng và công nghệ để phát hiện, xử lý nghiêm các hành vi trốn thuế. - HUMAN-ENF2]]</f>
        <v>7</v>
      </c>
      <c r="X247">
        <f t="shared" si="84"/>
        <v>0.66666666666666663</v>
      </c>
      <c r="Y247" s="32">
        <f t="shared" si="85"/>
        <v>0.5</v>
      </c>
      <c r="Z247" s="32">
        <f t="shared" si="86"/>
        <v>0.61111111111111116</v>
      </c>
      <c r="AA247">
        <f>step3_validation[[#This Row],[AI_FAC1]]</f>
        <v>7</v>
      </c>
      <c r="AB247">
        <f t="shared" si="87"/>
        <v>0.66666666666666663</v>
      </c>
      <c r="AC247">
        <f>survey_responses[[#This Row],[Các thủ tục khai báo thuế VÀ/HOẶC quy trình làm việc với cơ quan thuế đơn giản, tiện lợi, nhanh chóng hơn so với trước đây. - HUMAN-FAC1]]</f>
        <v>7</v>
      </c>
      <c r="AD247">
        <f t="shared" si="88"/>
        <v>0.66666666666666663</v>
      </c>
      <c r="AE247">
        <f>step3_validation[[#This Row],[AI_FAC2]]</f>
        <v>9</v>
      </c>
      <c r="AF247">
        <f t="shared" si="89"/>
        <v>0.88888888888888884</v>
      </c>
      <c r="AG247">
        <f>survey_responses[[#This Row],[So với trước đây, tôi thấy cách tính thuế và các bậc thuế trong phương án mới đơn giản, dễ hiểu và dễ thực hiện hơn. - HUMAN-FAC2]]</f>
        <v>7</v>
      </c>
      <c r="AH247">
        <f t="shared" si="90"/>
        <v>0.66666666666666663</v>
      </c>
      <c r="AI247" s="32">
        <f t="shared" si="91"/>
        <v>0.77777777777777768</v>
      </c>
      <c r="AJ247" s="32">
        <f t="shared" si="92"/>
        <v>0.66666666666666663</v>
      </c>
      <c r="AK247">
        <f>step3_validation[[#This Row],[AI_TRU1]]</f>
        <v>8</v>
      </c>
      <c r="AL247">
        <f t="shared" si="93"/>
        <v>0.77777777777777779</v>
      </c>
      <c r="AM247">
        <f>survey_responses[[#This Row],[Tôi tin rằng Nhà nước, cơ quan thuế sẽ thực thi chính sách mới một cách khách quan, công tâm và đối xử bình đẳng với mọi người nộp thuế.  - HUMAN-TRU1]]</f>
        <v>7</v>
      </c>
      <c r="AN247">
        <f t="shared" si="94"/>
        <v>0.66666666666666663</v>
      </c>
      <c r="AO247">
        <f>step3_validation[[#This Row],[AI_TRU2]]</f>
        <v>9</v>
      </c>
      <c r="AP247">
        <f t="shared" si="95"/>
        <v>0.88888888888888884</v>
      </c>
      <c r="AQ247">
        <f>survey_responses[[#This Row],[Tôi thấy mức thuế tôi phải đóng theo phương án mới là công bằng (người thu nhập như tôi đóng mức này là hợp lý). - HUMAN-TRU2]]</f>
        <v>7</v>
      </c>
      <c r="AR247">
        <f t="shared" si="96"/>
        <v>0.66666666666666663</v>
      </c>
      <c r="AS247">
        <f>step3_validation[[#This Row],[AI_TRU3]]</f>
        <v>7</v>
      </c>
      <c r="AT247">
        <f t="shared" si="97"/>
        <v>0.66666666666666663</v>
      </c>
      <c r="AU247">
        <f>survey_responses[[#This Row],[Tôi tin tưởng số tiền thuế tôi đóng sẽ được Nhà nước sử dụng hiệu quả để cải thiện dịch vụ công (y tế, đường xá...). - HUMAN-TRU3]]</f>
        <v>7</v>
      </c>
      <c r="AV247">
        <f t="shared" si="98"/>
        <v>0.66666666666666663</v>
      </c>
      <c r="AW247">
        <f>step3_validation[[#This Row],[AI_TRU4]]</f>
        <v>6</v>
      </c>
      <c r="AX247">
        <f t="shared" si="99"/>
        <v>0.55555555555555558</v>
      </c>
      <c r="AY247">
        <f>survey_responses[[#This Row],[Tôi thấy Nhà nước đã giải thích rõ ràng, minh bạch về lý do và mục tiêu của việc sửa đổi thuế lần này. - HUMAN-TRU4]]</f>
        <v>7</v>
      </c>
      <c r="AZ247">
        <f t="shared" si="100"/>
        <v>0.66666666666666663</v>
      </c>
      <c r="BA247" s="32">
        <f t="shared" si="101"/>
        <v>0.7222222222222221</v>
      </c>
      <c r="BB247" s="32">
        <f t="shared" si="102"/>
        <v>0.66666666666666663</v>
      </c>
      <c r="BC247" s="7">
        <f t="shared" si="103"/>
        <v>0.66666666666666663</v>
      </c>
      <c r="BD247" s="7">
        <f t="shared" si="104"/>
        <v>0.64814814814814803</v>
      </c>
      <c r="BE247">
        <f>step3_validation[[#This Row],[AI_OUT1]]</f>
        <v>9</v>
      </c>
      <c r="BF247">
        <f t="shared" si="105"/>
        <v>0.88888888888888884</v>
      </c>
      <c r="BG247">
        <f>survey_responses[[#This Row],[Sau khi xem xét các quyền lợi và nghĩa vụ, bạn có ủng hộ và tuân thủ chính sách mới hiện nay? - HUMAN-OUT1]]</f>
        <v>7</v>
      </c>
      <c r="BH247">
        <f t="shared" si="106"/>
        <v>0.66666666666666663</v>
      </c>
      <c r="BI247" s="32">
        <f t="shared" si="107"/>
        <v>2</v>
      </c>
    </row>
    <row r="248" spans="1:61" x14ac:dyDescent="0.45">
      <c r="A248" s="30">
        <f>step3_validation[[#This Row],[Persona_ID]]</f>
        <v>247</v>
      </c>
      <c r="B248" s="31">
        <f>step3_validation[[#This Row],[Used_Seed]]</f>
        <v>12591</v>
      </c>
      <c r="C248" t="str">
        <f>step3_validation[[#This Row],[Gender]]</f>
        <v>Nữ</v>
      </c>
      <c r="D248" t="str">
        <f>survey_responses[[#This Row],[Giới tính của bạn:]]</f>
        <v>Nữ</v>
      </c>
      <c r="E248" t="str">
        <f>step3_validation[[#This Row],[Age_Group]]</f>
        <v>50 - 54</v>
      </c>
      <c r="F248" t="str">
        <f>survey_responses[[#This Row],[Độ tuổi của bạn:]]</f>
        <v>50 - 54</v>
      </c>
      <c r="G248" t="str">
        <f>step3_validation[[#This Row],[Region]]</f>
        <v>Thành thị</v>
      </c>
      <c r="H248" t="str">
        <f>survey_responses[[#This Row],[Khu vực bạn đang sinh sống:]]</f>
        <v>Thành thị</v>
      </c>
      <c r="I248" t="str">
        <f>step3_validation[[#This Row],[Education]]</f>
        <v>Sau Đại học</v>
      </c>
      <c r="J248" t="str">
        <f>survey_responses[[#This Row],[Trình độ học vấn cao nhất:]]</f>
        <v>Sau Đại học</v>
      </c>
      <c r="K248" t="str">
        <f>step3_validation[[#This Row],[Employment]]</f>
        <v>Chính thức</v>
      </c>
      <c r="L248" t="str">
        <f>survey_responses[[#This Row],[Tình trạng việc làm chính:]]</f>
        <v>Khu vực chính thức (Có Hợp đồng lao động, đóng BHXH)</v>
      </c>
      <c r="M248">
        <f>step3_validation[[#This Row],[Income_Mil]]</f>
        <v>51.908259134031475</v>
      </c>
      <c r="N248" t="str">
        <f>survey_responses[[#This Row],[Thu nhập bình quân tháng theo Hợp đồng lao động của bạn là bao nhiêu? (Vui lòng điền tổng thu nhập trước khi khấu trừ các loại Bảo hiểm (BHXH, BHYT, BHTN) và Thuế TNCN)]]</f>
        <v>Từ 48 - 70 triệu VNĐ</v>
      </c>
      <c r="O248">
        <f>step3_validation[[#This Row],[Dependents]]</f>
        <v>4</v>
      </c>
      <c r="P248" t="str">
        <f>survey_responses[[#This Row],[Số người phụ thuộc (con nhỏ, cha mẹ già...) đủ điều kiện giảm trừ gia cảnh:]]</f>
        <v>4 người trở lên</v>
      </c>
      <c r="Q248">
        <f>step3_validation[[#This Row],[AI_ENF1]]</f>
        <v>8</v>
      </c>
      <c r="R248">
        <f t="shared" si="81"/>
        <v>0.77777777777777779</v>
      </c>
      <c r="S248">
        <f>survey_responses[[#This Row],[Tôi tin rằng với các quy định quản lý thuế hiện nay, hành vi gian lận hoặc trốn thuế sẽ dễ dàng bị phát hiện và xử lý nghiêm. - HUMAN-ENF1]]</f>
        <v>8</v>
      </c>
      <c r="T248">
        <f t="shared" si="82"/>
        <v>0.77777777777777779</v>
      </c>
      <c r="U248">
        <f>step3_validation[[#This Row],[AI_ENF2]]</f>
        <v>8</v>
      </c>
      <c r="V248">
        <f t="shared" si="83"/>
        <v>0.77777777777777779</v>
      </c>
      <c r="W248">
        <f>survey_responses[[#This Row],[Tôi tin rằng Nhà nước, cơ quan thuế có đủ khả năng và công nghệ để phát hiện, xử lý nghiêm các hành vi trốn thuế. - HUMAN-ENF2]]</f>
        <v>8</v>
      </c>
      <c r="X248">
        <f t="shared" si="84"/>
        <v>0.77777777777777779</v>
      </c>
      <c r="Y248" s="32">
        <f t="shared" si="85"/>
        <v>0.77777777777777779</v>
      </c>
      <c r="Z248" s="32">
        <f t="shared" si="86"/>
        <v>0.77777777777777779</v>
      </c>
      <c r="AA248">
        <f>step3_validation[[#This Row],[AI_FAC1]]</f>
        <v>9</v>
      </c>
      <c r="AB248">
        <f t="shared" si="87"/>
        <v>0.88888888888888884</v>
      </c>
      <c r="AC248">
        <f>survey_responses[[#This Row],[Các thủ tục khai báo thuế VÀ/HOẶC quy trình làm việc với cơ quan thuế đơn giản, tiện lợi, nhanh chóng hơn so với trước đây. - HUMAN-FAC1]]</f>
        <v>8</v>
      </c>
      <c r="AD248">
        <f t="shared" si="88"/>
        <v>0.77777777777777779</v>
      </c>
      <c r="AE248">
        <f>step3_validation[[#This Row],[AI_FAC2]]</f>
        <v>10</v>
      </c>
      <c r="AF248">
        <f t="shared" si="89"/>
        <v>1</v>
      </c>
      <c r="AG248">
        <f>survey_responses[[#This Row],[So với trước đây, tôi thấy cách tính thuế và các bậc thuế trong phương án mới đơn giản, dễ hiểu và dễ thực hiện hơn. - HUMAN-FAC2]]</f>
        <v>8</v>
      </c>
      <c r="AH248">
        <f t="shared" si="90"/>
        <v>0.77777777777777779</v>
      </c>
      <c r="AI248" s="32">
        <f t="shared" si="91"/>
        <v>0.94444444444444442</v>
      </c>
      <c r="AJ248" s="32">
        <f t="shared" si="92"/>
        <v>0.77777777777777779</v>
      </c>
      <c r="AK248">
        <f>step3_validation[[#This Row],[AI_TRU1]]</f>
        <v>9</v>
      </c>
      <c r="AL248">
        <f t="shared" si="93"/>
        <v>0.88888888888888884</v>
      </c>
      <c r="AM248">
        <f>survey_responses[[#This Row],[Tôi tin rằng Nhà nước, cơ quan thuế sẽ thực thi chính sách mới một cách khách quan, công tâm và đối xử bình đẳng với mọi người nộp thuế.  - HUMAN-TRU1]]</f>
        <v>8</v>
      </c>
      <c r="AN248">
        <f t="shared" si="94"/>
        <v>0.77777777777777779</v>
      </c>
      <c r="AO248">
        <f>step3_validation[[#This Row],[AI_TRU2]]</f>
        <v>8</v>
      </c>
      <c r="AP248">
        <f t="shared" si="95"/>
        <v>0.77777777777777779</v>
      </c>
      <c r="AQ248">
        <f>survey_responses[[#This Row],[Tôi thấy mức thuế tôi phải đóng theo phương án mới là công bằng (người thu nhập như tôi đóng mức này là hợp lý). - HUMAN-TRU2]]</f>
        <v>8</v>
      </c>
      <c r="AR248">
        <f t="shared" si="96"/>
        <v>0.77777777777777779</v>
      </c>
      <c r="AS248">
        <f>step3_validation[[#This Row],[AI_TRU3]]</f>
        <v>9</v>
      </c>
      <c r="AT248">
        <f t="shared" si="97"/>
        <v>0.88888888888888884</v>
      </c>
      <c r="AU248">
        <f>survey_responses[[#This Row],[Tôi tin tưởng số tiền thuế tôi đóng sẽ được Nhà nước sử dụng hiệu quả để cải thiện dịch vụ công (y tế, đường xá...). - HUMAN-TRU3]]</f>
        <v>8</v>
      </c>
      <c r="AV248">
        <f t="shared" si="98"/>
        <v>0.77777777777777779</v>
      </c>
      <c r="AW248">
        <f>step3_validation[[#This Row],[AI_TRU4]]</f>
        <v>8</v>
      </c>
      <c r="AX248">
        <f t="shared" si="99"/>
        <v>0.77777777777777779</v>
      </c>
      <c r="AY248">
        <f>survey_responses[[#This Row],[Tôi thấy Nhà nước đã giải thích rõ ràng, minh bạch về lý do và mục tiêu của việc sửa đổi thuế lần này. - HUMAN-TRU4]]</f>
        <v>8</v>
      </c>
      <c r="AZ248">
        <f t="shared" si="100"/>
        <v>0.77777777777777779</v>
      </c>
      <c r="BA248" s="32">
        <f t="shared" si="101"/>
        <v>0.83333333333333326</v>
      </c>
      <c r="BB248" s="32">
        <f t="shared" si="102"/>
        <v>0.77777777777777779</v>
      </c>
      <c r="BC248" s="7">
        <f t="shared" si="103"/>
        <v>0.85185185185185175</v>
      </c>
      <c r="BD248" s="7">
        <f t="shared" si="104"/>
        <v>0.77777777777777779</v>
      </c>
      <c r="BE248">
        <f>step3_validation[[#This Row],[AI_OUT1]]</f>
        <v>9</v>
      </c>
      <c r="BF248">
        <f t="shared" si="105"/>
        <v>0.88888888888888884</v>
      </c>
      <c r="BG248">
        <f>survey_responses[[#This Row],[Sau khi xem xét các quyền lợi và nghĩa vụ, bạn có ủng hộ và tuân thủ chính sách mới hiện nay? - HUMAN-OUT1]]</f>
        <v>8</v>
      </c>
      <c r="BH248">
        <f t="shared" si="106"/>
        <v>0.77777777777777779</v>
      </c>
      <c r="BI248" s="32">
        <f t="shared" si="107"/>
        <v>1</v>
      </c>
    </row>
    <row r="249" spans="1:61" x14ac:dyDescent="0.45">
      <c r="A249" s="30">
        <f>step3_validation[[#This Row],[Persona_ID]]</f>
        <v>248</v>
      </c>
      <c r="B249" s="31">
        <f>step3_validation[[#This Row],[Used_Seed]]</f>
        <v>12592</v>
      </c>
      <c r="C249" t="str">
        <f>step3_validation[[#This Row],[Gender]]</f>
        <v>Nữ</v>
      </c>
      <c r="D249" t="str">
        <f>survey_responses[[#This Row],[Giới tính của bạn:]]</f>
        <v>Nữ</v>
      </c>
      <c r="E249" t="str">
        <f>step3_validation[[#This Row],[Age_Group]]</f>
        <v>40 - 49</v>
      </c>
      <c r="F249" t="str">
        <f>survey_responses[[#This Row],[Độ tuổi của bạn:]]</f>
        <v>40 - 49</v>
      </c>
      <c r="G249" t="str">
        <f>step3_validation[[#This Row],[Region]]</f>
        <v>Thành thị</v>
      </c>
      <c r="H249" t="str">
        <f>survey_responses[[#This Row],[Khu vực bạn đang sinh sống:]]</f>
        <v>Thành thị</v>
      </c>
      <c r="I249" t="str">
        <f>step3_validation[[#This Row],[Education]]</f>
        <v>Đại học</v>
      </c>
      <c r="J249" t="str">
        <f>survey_responses[[#This Row],[Trình độ học vấn cao nhất:]]</f>
        <v>Đại học</v>
      </c>
      <c r="K249" t="str">
        <f>step3_validation[[#This Row],[Employment]]</f>
        <v>Chính thức</v>
      </c>
      <c r="L249" t="str">
        <f>survey_responses[[#This Row],[Tình trạng việc làm chính:]]</f>
        <v>Khu vực chính thức (Có Hợp đồng lao động, đóng BHXH)</v>
      </c>
      <c r="M249">
        <f>step3_validation[[#This Row],[Income_Mil]]</f>
        <v>38.324639309206603</v>
      </c>
      <c r="N249" t="str">
        <f>survey_responses[[#This Row],[Thu nhập bình quân tháng theo Hợp đồng lao động của bạn là bao nhiêu? (Vui lòng điền tổng thu nhập trước khi khấu trừ các loại Bảo hiểm (BHXH, BHYT, BHTN) và Thuế TNCN)]]</f>
        <v>Từ 32 - 48 triệu VNĐ</v>
      </c>
      <c r="O249">
        <f>step3_validation[[#This Row],[Dependents]]</f>
        <v>1</v>
      </c>
      <c r="P249" t="str">
        <f>survey_responses[[#This Row],[Số người phụ thuộc (con nhỏ, cha mẹ già...) đủ điều kiện giảm trừ gia cảnh:]]</f>
        <v>1 người</v>
      </c>
      <c r="Q249">
        <f>step3_validation[[#This Row],[AI_ENF1]]</f>
        <v>7</v>
      </c>
      <c r="R249">
        <f t="shared" si="81"/>
        <v>0.66666666666666663</v>
      </c>
      <c r="S249">
        <f>survey_responses[[#This Row],[Tôi tin rằng với các quy định quản lý thuế hiện nay, hành vi gian lận hoặc trốn thuế sẽ dễ dàng bị phát hiện và xử lý nghiêm. - HUMAN-ENF1]]</f>
        <v>7</v>
      </c>
      <c r="T249">
        <f t="shared" si="82"/>
        <v>0.66666666666666663</v>
      </c>
      <c r="U249">
        <f>step3_validation[[#This Row],[AI_ENF2]]</f>
        <v>7</v>
      </c>
      <c r="V249">
        <f t="shared" si="83"/>
        <v>0.66666666666666663</v>
      </c>
      <c r="W249">
        <f>survey_responses[[#This Row],[Tôi tin rằng Nhà nước, cơ quan thuế có đủ khả năng và công nghệ để phát hiện, xử lý nghiêm các hành vi trốn thuế. - HUMAN-ENF2]]</f>
        <v>7</v>
      </c>
      <c r="X249">
        <f t="shared" si="84"/>
        <v>0.66666666666666663</v>
      </c>
      <c r="Y249" s="32">
        <f t="shared" si="85"/>
        <v>0.66666666666666663</v>
      </c>
      <c r="Z249" s="32">
        <f t="shared" si="86"/>
        <v>0.66666666666666663</v>
      </c>
      <c r="AA249">
        <f>step3_validation[[#This Row],[AI_FAC1]]</f>
        <v>9</v>
      </c>
      <c r="AB249">
        <f t="shared" si="87"/>
        <v>0.88888888888888884</v>
      </c>
      <c r="AC249">
        <f>survey_responses[[#This Row],[Các thủ tục khai báo thuế VÀ/HOẶC quy trình làm việc với cơ quan thuế đơn giản, tiện lợi, nhanh chóng hơn so với trước đây. - HUMAN-FAC1]]</f>
        <v>7</v>
      </c>
      <c r="AD249">
        <f t="shared" si="88"/>
        <v>0.66666666666666663</v>
      </c>
      <c r="AE249">
        <f>step3_validation[[#This Row],[AI_FAC2]]</f>
        <v>8</v>
      </c>
      <c r="AF249">
        <f t="shared" si="89"/>
        <v>0.77777777777777779</v>
      </c>
      <c r="AG249">
        <f>survey_responses[[#This Row],[So với trước đây, tôi thấy cách tính thuế và các bậc thuế trong phương án mới đơn giản, dễ hiểu và dễ thực hiện hơn. - HUMAN-FAC2]]</f>
        <v>7</v>
      </c>
      <c r="AH249">
        <f t="shared" si="90"/>
        <v>0.66666666666666663</v>
      </c>
      <c r="AI249" s="32">
        <f t="shared" si="91"/>
        <v>0.83333333333333326</v>
      </c>
      <c r="AJ249" s="32">
        <f t="shared" si="92"/>
        <v>0.66666666666666663</v>
      </c>
      <c r="AK249">
        <f>step3_validation[[#This Row],[AI_TRU1]]</f>
        <v>9</v>
      </c>
      <c r="AL249">
        <f t="shared" si="93"/>
        <v>0.88888888888888884</v>
      </c>
      <c r="AM249">
        <f>survey_responses[[#This Row],[Tôi tin rằng Nhà nước, cơ quan thuế sẽ thực thi chính sách mới một cách khách quan, công tâm và đối xử bình đẳng với mọi người nộp thuế.  - HUMAN-TRU1]]</f>
        <v>7</v>
      </c>
      <c r="AN249">
        <f t="shared" si="94"/>
        <v>0.66666666666666663</v>
      </c>
      <c r="AO249">
        <f>step3_validation[[#This Row],[AI_TRU2]]</f>
        <v>8</v>
      </c>
      <c r="AP249">
        <f t="shared" si="95"/>
        <v>0.77777777777777779</v>
      </c>
      <c r="AQ249">
        <f>survey_responses[[#This Row],[Tôi thấy mức thuế tôi phải đóng theo phương án mới là công bằng (người thu nhập như tôi đóng mức này là hợp lý). - HUMAN-TRU2]]</f>
        <v>7</v>
      </c>
      <c r="AR249">
        <f t="shared" si="96"/>
        <v>0.66666666666666663</v>
      </c>
      <c r="AS249">
        <f>step3_validation[[#This Row],[AI_TRU3]]</f>
        <v>9</v>
      </c>
      <c r="AT249">
        <f t="shared" si="97"/>
        <v>0.88888888888888884</v>
      </c>
      <c r="AU249">
        <f>survey_responses[[#This Row],[Tôi tin tưởng số tiền thuế tôi đóng sẽ được Nhà nước sử dụng hiệu quả để cải thiện dịch vụ công (y tế, đường xá...). - HUMAN-TRU3]]</f>
        <v>7</v>
      </c>
      <c r="AV249">
        <f t="shared" si="98"/>
        <v>0.66666666666666663</v>
      </c>
      <c r="AW249">
        <f>step3_validation[[#This Row],[AI_TRU4]]</f>
        <v>8</v>
      </c>
      <c r="AX249">
        <f t="shared" si="99"/>
        <v>0.77777777777777779</v>
      </c>
      <c r="AY249">
        <f>survey_responses[[#This Row],[Tôi thấy Nhà nước đã giải thích rõ ràng, minh bạch về lý do và mục tiêu của việc sửa đổi thuế lần này. - HUMAN-TRU4]]</f>
        <v>7</v>
      </c>
      <c r="AZ249">
        <f t="shared" si="100"/>
        <v>0.66666666666666663</v>
      </c>
      <c r="BA249" s="32">
        <f t="shared" si="101"/>
        <v>0.83333333333333326</v>
      </c>
      <c r="BB249" s="32">
        <f t="shared" si="102"/>
        <v>0.66666666666666663</v>
      </c>
      <c r="BC249" s="7">
        <f t="shared" si="103"/>
        <v>0.77777777777777768</v>
      </c>
      <c r="BD249" s="7">
        <f t="shared" si="104"/>
        <v>0.66666666666666663</v>
      </c>
      <c r="BE249">
        <f>step3_validation[[#This Row],[AI_OUT1]]</f>
        <v>9</v>
      </c>
      <c r="BF249">
        <f t="shared" si="105"/>
        <v>0.88888888888888884</v>
      </c>
      <c r="BG249">
        <f>survey_responses[[#This Row],[Sau khi xem xét các quyền lợi và nghĩa vụ, bạn có ủng hộ và tuân thủ chính sách mới hiện nay? - HUMAN-OUT1]]</f>
        <v>7</v>
      </c>
      <c r="BH249">
        <f t="shared" si="106"/>
        <v>0.66666666666666663</v>
      </c>
      <c r="BI249" s="32">
        <f t="shared" si="107"/>
        <v>2</v>
      </c>
    </row>
    <row r="250" spans="1:61" x14ac:dyDescent="0.45">
      <c r="A250" s="30">
        <f>step3_validation[[#This Row],[Persona_ID]]</f>
        <v>249</v>
      </c>
      <c r="B250" s="31">
        <f>step3_validation[[#This Row],[Used_Seed]]</f>
        <v>12593</v>
      </c>
      <c r="C250" t="str">
        <f>step3_validation[[#This Row],[Gender]]</f>
        <v>Nam</v>
      </c>
      <c r="D250" t="str">
        <f>survey_responses[[#This Row],[Giới tính của bạn:]]</f>
        <v>Nam</v>
      </c>
      <c r="E250" t="str">
        <f>step3_validation[[#This Row],[Age_Group]]</f>
        <v>55 - 64</v>
      </c>
      <c r="F250" t="str">
        <f>survey_responses[[#This Row],[Độ tuổi của bạn:]]</f>
        <v>55 - 64</v>
      </c>
      <c r="G250" t="str">
        <f>step3_validation[[#This Row],[Region]]</f>
        <v>Thành thị</v>
      </c>
      <c r="H250" t="str">
        <f>survey_responses[[#This Row],[Khu vực bạn đang sinh sống:]]</f>
        <v>Thành thị</v>
      </c>
      <c r="I250" t="str">
        <f>step3_validation[[#This Row],[Education]]</f>
        <v>Sau Đại học</v>
      </c>
      <c r="J250" t="str">
        <f>survey_responses[[#This Row],[Trình độ học vấn cao nhất:]]</f>
        <v>Sau Đại học</v>
      </c>
      <c r="K250" t="str">
        <f>step3_validation[[#This Row],[Employment]]</f>
        <v>Chính thức</v>
      </c>
      <c r="L250" t="str">
        <f>survey_responses[[#This Row],[Tình trạng việc làm chính:]]</f>
        <v>Khu vực chính thức (Có Hợp đồng lao động, đóng BHXH)</v>
      </c>
      <c r="M250">
        <f>step3_validation[[#This Row],[Income_Mil]]</f>
        <v>95.970651707955142</v>
      </c>
      <c r="N250" t="str">
        <f>survey_responses[[#This Row],[Thu nhập bình quân tháng theo Hợp đồng lao động của bạn là bao nhiêu? (Vui lòng điền tổng thu nhập trước khi khấu trừ các loại Bảo hiểm (BHXH, BHYT, BHTN) và Thuế TNCN)]]</f>
        <v>Từ 70 - 102 triệu VNĐ</v>
      </c>
      <c r="O250">
        <f>step3_validation[[#This Row],[Dependents]]</f>
        <v>3</v>
      </c>
      <c r="P250" t="str">
        <f>survey_responses[[#This Row],[Số người phụ thuộc (con nhỏ, cha mẹ già...) đủ điều kiện giảm trừ gia cảnh:]]</f>
        <v>3 người</v>
      </c>
      <c r="Q250">
        <f>step3_validation[[#This Row],[AI_ENF1]]</f>
        <v>7</v>
      </c>
      <c r="R250">
        <f t="shared" si="81"/>
        <v>0.66666666666666663</v>
      </c>
      <c r="S250">
        <f>survey_responses[[#This Row],[Tôi tin rằng với các quy định quản lý thuế hiện nay, hành vi gian lận hoặc trốn thuế sẽ dễ dàng bị phát hiện và xử lý nghiêm. - HUMAN-ENF1]]</f>
        <v>9</v>
      </c>
      <c r="T250">
        <f t="shared" si="82"/>
        <v>0.88888888888888884</v>
      </c>
      <c r="U250">
        <f>step3_validation[[#This Row],[AI_ENF2]]</f>
        <v>8</v>
      </c>
      <c r="V250">
        <f t="shared" si="83"/>
        <v>0.77777777777777779</v>
      </c>
      <c r="W250">
        <f>survey_responses[[#This Row],[Tôi tin rằng Nhà nước, cơ quan thuế có đủ khả năng và công nghệ để phát hiện, xử lý nghiêm các hành vi trốn thuế. - HUMAN-ENF2]]</f>
        <v>9</v>
      </c>
      <c r="X250">
        <f t="shared" si="84"/>
        <v>0.88888888888888884</v>
      </c>
      <c r="Y250" s="32">
        <f t="shared" si="85"/>
        <v>0.72222222222222221</v>
      </c>
      <c r="Z250" s="32">
        <f t="shared" si="86"/>
        <v>0.88888888888888884</v>
      </c>
      <c r="AA250">
        <f>step3_validation[[#This Row],[AI_FAC1]]</f>
        <v>9</v>
      </c>
      <c r="AB250">
        <f t="shared" si="87"/>
        <v>0.88888888888888884</v>
      </c>
      <c r="AC250">
        <f>survey_responses[[#This Row],[Các thủ tục khai báo thuế VÀ/HOẶC quy trình làm việc với cơ quan thuế đơn giản, tiện lợi, nhanh chóng hơn so với trước đây. - HUMAN-FAC1]]</f>
        <v>9</v>
      </c>
      <c r="AD250">
        <f t="shared" si="88"/>
        <v>0.88888888888888884</v>
      </c>
      <c r="AE250">
        <f>step3_validation[[#This Row],[AI_FAC2]]</f>
        <v>9</v>
      </c>
      <c r="AF250">
        <f t="shared" si="89"/>
        <v>0.88888888888888884</v>
      </c>
      <c r="AG250">
        <f>survey_responses[[#This Row],[So với trước đây, tôi thấy cách tính thuế và các bậc thuế trong phương án mới đơn giản, dễ hiểu và dễ thực hiện hơn. - HUMAN-FAC2]]</f>
        <v>9</v>
      </c>
      <c r="AH250">
        <f t="shared" si="90"/>
        <v>0.88888888888888884</v>
      </c>
      <c r="AI250" s="32">
        <f t="shared" si="91"/>
        <v>0.88888888888888884</v>
      </c>
      <c r="AJ250" s="32">
        <f t="shared" si="92"/>
        <v>0.88888888888888884</v>
      </c>
      <c r="AK250">
        <f>step3_validation[[#This Row],[AI_TRU1]]</f>
        <v>8</v>
      </c>
      <c r="AL250">
        <f t="shared" si="93"/>
        <v>0.77777777777777779</v>
      </c>
      <c r="AM250">
        <f>survey_responses[[#This Row],[Tôi tin rằng Nhà nước, cơ quan thuế sẽ thực thi chính sách mới một cách khách quan, công tâm và đối xử bình đẳng với mọi người nộp thuế.  - HUMAN-TRU1]]</f>
        <v>9</v>
      </c>
      <c r="AN250">
        <f t="shared" si="94"/>
        <v>0.88888888888888884</v>
      </c>
      <c r="AO250">
        <f>step3_validation[[#This Row],[AI_TRU2]]</f>
        <v>9</v>
      </c>
      <c r="AP250">
        <f t="shared" si="95"/>
        <v>0.88888888888888884</v>
      </c>
      <c r="AQ250">
        <f>survey_responses[[#This Row],[Tôi thấy mức thuế tôi phải đóng theo phương án mới là công bằng (người thu nhập như tôi đóng mức này là hợp lý). - HUMAN-TRU2]]</f>
        <v>9</v>
      </c>
      <c r="AR250">
        <f t="shared" si="96"/>
        <v>0.88888888888888884</v>
      </c>
      <c r="AS250">
        <f>step3_validation[[#This Row],[AI_TRU3]]</f>
        <v>8</v>
      </c>
      <c r="AT250">
        <f t="shared" si="97"/>
        <v>0.77777777777777779</v>
      </c>
      <c r="AU250">
        <f>survey_responses[[#This Row],[Tôi tin tưởng số tiền thuế tôi đóng sẽ được Nhà nước sử dụng hiệu quả để cải thiện dịch vụ công (y tế, đường xá...). - HUMAN-TRU3]]</f>
        <v>9</v>
      </c>
      <c r="AV250">
        <f t="shared" si="98"/>
        <v>0.88888888888888884</v>
      </c>
      <c r="AW250">
        <f>step3_validation[[#This Row],[AI_TRU4]]</f>
        <v>7</v>
      </c>
      <c r="AX250">
        <f t="shared" si="99"/>
        <v>0.66666666666666663</v>
      </c>
      <c r="AY250">
        <f>survey_responses[[#This Row],[Tôi thấy Nhà nước đã giải thích rõ ràng, minh bạch về lý do và mục tiêu của việc sửa đổi thuế lần này. - HUMAN-TRU4]]</f>
        <v>9</v>
      </c>
      <c r="AZ250">
        <f t="shared" si="100"/>
        <v>0.88888888888888884</v>
      </c>
      <c r="BA250" s="32">
        <f t="shared" si="101"/>
        <v>0.77777777777777768</v>
      </c>
      <c r="BB250" s="32">
        <f t="shared" si="102"/>
        <v>0.88888888888888884</v>
      </c>
      <c r="BC250" s="7">
        <f t="shared" si="103"/>
        <v>0.79629629629629628</v>
      </c>
      <c r="BD250" s="7">
        <f t="shared" si="104"/>
        <v>0.88888888888888884</v>
      </c>
      <c r="BE250">
        <f>step3_validation[[#This Row],[AI_OUT1]]</f>
        <v>9</v>
      </c>
      <c r="BF250">
        <f t="shared" si="105"/>
        <v>0.88888888888888884</v>
      </c>
      <c r="BG250">
        <f>survey_responses[[#This Row],[Sau khi xem xét các quyền lợi và nghĩa vụ, bạn có ủng hộ và tuân thủ chính sách mới hiện nay? - HUMAN-OUT1]]</f>
        <v>9</v>
      </c>
      <c r="BH250">
        <f t="shared" si="106"/>
        <v>0.88888888888888884</v>
      </c>
      <c r="BI250" s="32">
        <f t="shared" si="107"/>
        <v>0</v>
      </c>
    </row>
    <row r="251" spans="1:61" x14ac:dyDescent="0.45">
      <c r="A251" s="30">
        <f>step3_validation[[#This Row],[Persona_ID]]</f>
        <v>250</v>
      </c>
      <c r="B251" s="31">
        <f>step3_validation[[#This Row],[Used_Seed]]</f>
        <v>12594</v>
      </c>
      <c r="C251" t="str">
        <f>step3_validation[[#This Row],[Gender]]</f>
        <v>Nữ</v>
      </c>
      <c r="D251" t="str">
        <f>survey_responses[[#This Row],[Giới tính của bạn:]]</f>
        <v>Nữ</v>
      </c>
      <c r="E251" t="str">
        <f>step3_validation[[#This Row],[Age_Group]]</f>
        <v>30 - 39</v>
      </c>
      <c r="F251" t="str">
        <f>survey_responses[[#This Row],[Độ tuổi của bạn:]]</f>
        <v>30 - 39</v>
      </c>
      <c r="G251" t="str">
        <f>step3_validation[[#This Row],[Region]]</f>
        <v>Thành thị</v>
      </c>
      <c r="H251" t="str">
        <f>survey_responses[[#This Row],[Khu vực bạn đang sinh sống:]]</f>
        <v>Thành thị</v>
      </c>
      <c r="I251" t="str">
        <f>step3_validation[[#This Row],[Education]]</f>
        <v>Đại học</v>
      </c>
      <c r="J251" t="str">
        <f>survey_responses[[#This Row],[Trình độ học vấn cao nhất:]]</f>
        <v>Đại học</v>
      </c>
      <c r="K251" t="str">
        <f>step3_validation[[#This Row],[Employment]]</f>
        <v>Chính thức</v>
      </c>
      <c r="L251" t="str">
        <f>survey_responses[[#This Row],[Tình trạng việc làm chính:]]</f>
        <v>Khu vực chính thức (Có Hợp đồng lao động, đóng BHXH)</v>
      </c>
      <c r="M251">
        <f>step3_validation[[#This Row],[Income_Mil]]</f>
        <v>55.813882137423207</v>
      </c>
      <c r="N251" t="str">
        <f>survey_responses[[#This Row],[Thu nhập bình quân tháng theo Hợp đồng lao động của bạn là bao nhiêu? (Vui lòng điền tổng thu nhập trước khi khấu trừ các loại Bảo hiểm (BHXH, BHYT, BHTN) và Thuế TNCN)]]</f>
        <v>Từ 48 - 70 triệu VNĐ</v>
      </c>
      <c r="O251">
        <f>step3_validation[[#This Row],[Dependents]]</f>
        <v>3</v>
      </c>
      <c r="P251" t="str">
        <f>survey_responses[[#This Row],[Số người phụ thuộc (con nhỏ, cha mẹ già...) đủ điều kiện giảm trừ gia cảnh:]]</f>
        <v>3 người</v>
      </c>
      <c r="Q251">
        <f>step3_validation[[#This Row],[AI_ENF1]]</f>
        <v>8</v>
      </c>
      <c r="R251">
        <f t="shared" si="81"/>
        <v>0.77777777777777779</v>
      </c>
      <c r="S251">
        <f>survey_responses[[#This Row],[Tôi tin rằng với các quy định quản lý thuế hiện nay, hành vi gian lận hoặc trốn thuế sẽ dễ dàng bị phát hiện và xử lý nghiêm. - HUMAN-ENF1]]</f>
        <v>7</v>
      </c>
      <c r="T251">
        <f t="shared" si="82"/>
        <v>0.66666666666666663</v>
      </c>
      <c r="U251">
        <f>step3_validation[[#This Row],[AI_ENF2]]</f>
        <v>7</v>
      </c>
      <c r="V251">
        <f t="shared" si="83"/>
        <v>0.66666666666666663</v>
      </c>
      <c r="W251">
        <f>survey_responses[[#This Row],[Tôi tin rằng Nhà nước, cơ quan thuế có đủ khả năng và công nghệ để phát hiện, xử lý nghiêm các hành vi trốn thuế. - HUMAN-ENF2]]</f>
        <v>6</v>
      </c>
      <c r="X251">
        <f t="shared" si="84"/>
        <v>0.55555555555555558</v>
      </c>
      <c r="Y251" s="32">
        <f t="shared" si="85"/>
        <v>0.72222222222222221</v>
      </c>
      <c r="Z251" s="32">
        <f t="shared" si="86"/>
        <v>0.61111111111111116</v>
      </c>
      <c r="AA251">
        <f>step3_validation[[#This Row],[AI_FAC1]]</f>
        <v>9</v>
      </c>
      <c r="AB251">
        <f t="shared" si="87"/>
        <v>0.88888888888888884</v>
      </c>
      <c r="AC251">
        <f>survey_responses[[#This Row],[Các thủ tục khai báo thuế VÀ/HOẶC quy trình làm việc với cơ quan thuế đơn giản, tiện lợi, nhanh chóng hơn so với trước đây. - HUMAN-FAC1]]</f>
        <v>5</v>
      </c>
      <c r="AD251">
        <f t="shared" si="88"/>
        <v>0.44444444444444442</v>
      </c>
      <c r="AE251">
        <f>step3_validation[[#This Row],[AI_FAC2]]</f>
        <v>9</v>
      </c>
      <c r="AF251">
        <f t="shared" si="89"/>
        <v>0.88888888888888884</v>
      </c>
      <c r="AG251">
        <f>survey_responses[[#This Row],[So với trước đây, tôi thấy cách tính thuế và các bậc thuế trong phương án mới đơn giản, dễ hiểu và dễ thực hiện hơn. - HUMAN-FAC2]]</f>
        <v>6</v>
      </c>
      <c r="AH251">
        <f t="shared" si="90"/>
        <v>0.55555555555555558</v>
      </c>
      <c r="AI251" s="32">
        <f t="shared" si="91"/>
        <v>0.88888888888888884</v>
      </c>
      <c r="AJ251" s="32">
        <f t="shared" si="92"/>
        <v>0.5</v>
      </c>
      <c r="AK251">
        <f>step3_validation[[#This Row],[AI_TRU1]]</f>
        <v>8</v>
      </c>
      <c r="AL251">
        <f t="shared" si="93"/>
        <v>0.77777777777777779</v>
      </c>
      <c r="AM251">
        <f>survey_responses[[#This Row],[Tôi tin rằng Nhà nước, cơ quan thuế sẽ thực thi chính sách mới một cách khách quan, công tâm và đối xử bình đẳng với mọi người nộp thuế.  - HUMAN-TRU1]]</f>
        <v>6</v>
      </c>
      <c r="AN251">
        <f t="shared" si="94"/>
        <v>0.55555555555555558</v>
      </c>
      <c r="AO251">
        <f>step3_validation[[#This Row],[AI_TRU2]]</f>
        <v>9</v>
      </c>
      <c r="AP251">
        <f t="shared" si="95"/>
        <v>0.88888888888888884</v>
      </c>
      <c r="AQ251">
        <f>survey_responses[[#This Row],[Tôi thấy mức thuế tôi phải đóng theo phương án mới là công bằng (người thu nhập như tôi đóng mức này là hợp lý). - HUMAN-TRU2]]</f>
        <v>6</v>
      </c>
      <c r="AR251">
        <f t="shared" si="96"/>
        <v>0.55555555555555558</v>
      </c>
      <c r="AS251">
        <f>step3_validation[[#This Row],[AI_TRU3]]</f>
        <v>8</v>
      </c>
      <c r="AT251">
        <f t="shared" si="97"/>
        <v>0.77777777777777779</v>
      </c>
      <c r="AU251">
        <f>survey_responses[[#This Row],[Tôi tin tưởng số tiền thuế tôi đóng sẽ được Nhà nước sử dụng hiệu quả để cải thiện dịch vụ công (y tế, đường xá...). - HUMAN-TRU3]]</f>
        <v>6</v>
      </c>
      <c r="AV251">
        <f t="shared" si="98"/>
        <v>0.55555555555555558</v>
      </c>
      <c r="AW251">
        <f>step3_validation[[#This Row],[AI_TRU4]]</f>
        <v>7</v>
      </c>
      <c r="AX251">
        <f t="shared" si="99"/>
        <v>0.66666666666666663</v>
      </c>
      <c r="AY251">
        <f>survey_responses[[#This Row],[Tôi thấy Nhà nước đã giải thích rõ ràng, minh bạch về lý do và mục tiêu của việc sửa đổi thuế lần này. - HUMAN-TRU4]]</f>
        <v>6</v>
      </c>
      <c r="AZ251">
        <f t="shared" si="100"/>
        <v>0.55555555555555558</v>
      </c>
      <c r="BA251" s="32">
        <f t="shared" si="101"/>
        <v>0.77777777777777768</v>
      </c>
      <c r="BB251" s="32">
        <f t="shared" si="102"/>
        <v>0.55555555555555558</v>
      </c>
      <c r="BC251" s="7">
        <f t="shared" si="103"/>
        <v>0.79629629629629628</v>
      </c>
      <c r="BD251" s="7">
        <f t="shared" si="104"/>
        <v>0.55555555555555558</v>
      </c>
      <c r="BE251">
        <f>step3_validation[[#This Row],[AI_OUT1]]</f>
        <v>9</v>
      </c>
      <c r="BF251">
        <f t="shared" si="105"/>
        <v>0.88888888888888884</v>
      </c>
      <c r="BG251">
        <f>survey_responses[[#This Row],[Sau khi xem xét các quyền lợi và nghĩa vụ, bạn có ủng hộ và tuân thủ chính sách mới hiện nay? - HUMAN-OUT1]]</f>
        <v>7</v>
      </c>
      <c r="BH251">
        <f t="shared" si="106"/>
        <v>0.66666666666666663</v>
      </c>
      <c r="BI251" s="32">
        <f t="shared" si="107"/>
        <v>2</v>
      </c>
    </row>
    <row r="252" spans="1:61" x14ac:dyDescent="0.45">
      <c r="A252" s="30">
        <f>step3_validation[[#This Row],[Persona_ID]]</f>
        <v>251</v>
      </c>
      <c r="B252" s="31">
        <f>step3_validation[[#This Row],[Used_Seed]]</f>
        <v>12595</v>
      </c>
      <c r="C252" t="str">
        <f>step3_validation[[#This Row],[Gender]]</f>
        <v>Nữ</v>
      </c>
      <c r="D252" t="str">
        <f>survey_responses[[#This Row],[Giới tính của bạn:]]</f>
        <v>Nữ</v>
      </c>
      <c r="E252" t="str">
        <f>step3_validation[[#This Row],[Age_Group]]</f>
        <v>30 - 39</v>
      </c>
      <c r="F252" t="str">
        <f>survey_responses[[#This Row],[Độ tuổi của bạn:]]</f>
        <v>30 - 39</v>
      </c>
      <c r="G252" t="str">
        <f>step3_validation[[#This Row],[Region]]</f>
        <v>Thành thị</v>
      </c>
      <c r="H252" t="str">
        <f>survey_responses[[#This Row],[Khu vực bạn đang sinh sống:]]</f>
        <v>Thành thị</v>
      </c>
      <c r="I252" t="str">
        <f>step3_validation[[#This Row],[Education]]</f>
        <v>Đại học</v>
      </c>
      <c r="J252" t="str">
        <f>survey_responses[[#This Row],[Trình độ học vấn cao nhất:]]</f>
        <v>Đại học</v>
      </c>
      <c r="K252" t="str">
        <f>step3_validation[[#This Row],[Employment]]</f>
        <v>Chính thức</v>
      </c>
      <c r="L252" t="str">
        <f>survey_responses[[#This Row],[Tình trạng việc làm chính:]]</f>
        <v>Khu vực chính thức (Có Hợp đồng lao động, đóng BHXH)</v>
      </c>
      <c r="M252">
        <f>step3_validation[[#This Row],[Income_Mil]]</f>
        <v>43.750989364816725</v>
      </c>
      <c r="N252" t="str">
        <f>survey_responses[[#This Row],[Thu nhập bình quân tháng theo Hợp đồng lao động của bạn là bao nhiêu? (Vui lòng điền tổng thu nhập trước khi khấu trừ các loại Bảo hiểm (BHXH, BHYT, BHTN) và Thuế TNCN)]]</f>
        <v>Từ 32 - 48 triệu VNĐ</v>
      </c>
      <c r="O252">
        <f>step3_validation[[#This Row],[Dependents]]</f>
        <v>4</v>
      </c>
      <c r="P252" t="str">
        <f>survey_responses[[#This Row],[Số người phụ thuộc (con nhỏ, cha mẹ già...) đủ điều kiện giảm trừ gia cảnh:]]</f>
        <v>4 người trở lên</v>
      </c>
      <c r="Q252">
        <f>step3_validation[[#This Row],[AI_ENF1]]</f>
        <v>9</v>
      </c>
      <c r="R252">
        <f t="shared" si="81"/>
        <v>0.88888888888888884</v>
      </c>
      <c r="S252">
        <f>survey_responses[[#This Row],[Tôi tin rằng với các quy định quản lý thuế hiện nay, hành vi gian lận hoặc trốn thuế sẽ dễ dàng bị phát hiện và xử lý nghiêm. - HUMAN-ENF1]]</f>
        <v>8</v>
      </c>
      <c r="T252">
        <f t="shared" si="82"/>
        <v>0.77777777777777779</v>
      </c>
      <c r="U252">
        <f>step3_validation[[#This Row],[AI_ENF2]]</f>
        <v>9</v>
      </c>
      <c r="V252">
        <f t="shared" si="83"/>
        <v>0.88888888888888884</v>
      </c>
      <c r="W252">
        <f>survey_responses[[#This Row],[Tôi tin rằng Nhà nước, cơ quan thuế có đủ khả năng và công nghệ để phát hiện, xử lý nghiêm các hành vi trốn thuế. - HUMAN-ENF2]]</f>
        <v>8</v>
      </c>
      <c r="X252">
        <f t="shared" si="84"/>
        <v>0.77777777777777779</v>
      </c>
      <c r="Y252" s="32">
        <f t="shared" si="85"/>
        <v>0.88888888888888884</v>
      </c>
      <c r="Z252" s="32">
        <f t="shared" si="86"/>
        <v>0.77777777777777779</v>
      </c>
      <c r="AA252">
        <f>step3_validation[[#This Row],[AI_FAC1]]</f>
        <v>8</v>
      </c>
      <c r="AB252">
        <f t="shared" si="87"/>
        <v>0.77777777777777779</v>
      </c>
      <c r="AC252">
        <f>survey_responses[[#This Row],[Các thủ tục khai báo thuế VÀ/HOẶC quy trình làm việc với cơ quan thuế đơn giản, tiện lợi, nhanh chóng hơn so với trước đây. - HUMAN-FAC1]]</f>
        <v>8</v>
      </c>
      <c r="AD252">
        <f t="shared" si="88"/>
        <v>0.77777777777777779</v>
      </c>
      <c r="AE252">
        <f>step3_validation[[#This Row],[AI_FAC2]]</f>
        <v>9</v>
      </c>
      <c r="AF252">
        <f t="shared" si="89"/>
        <v>0.88888888888888884</v>
      </c>
      <c r="AG252">
        <f>survey_responses[[#This Row],[So với trước đây, tôi thấy cách tính thuế và các bậc thuế trong phương án mới đơn giản, dễ hiểu và dễ thực hiện hơn. - HUMAN-FAC2]]</f>
        <v>9</v>
      </c>
      <c r="AH252">
        <f t="shared" si="90"/>
        <v>0.88888888888888884</v>
      </c>
      <c r="AI252" s="32">
        <f t="shared" si="91"/>
        <v>0.83333333333333326</v>
      </c>
      <c r="AJ252" s="32">
        <f t="shared" si="92"/>
        <v>0.83333333333333326</v>
      </c>
      <c r="AK252">
        <f>step3_validation[[#This Row],[AI_TRU1]]</f>
        <v>8</v>
      </c>
      <c r="AL252">
        <f t="shared" si="93"/>
        <v>0.77777777777777779</v>
      </c>
      <c r="AM252">
        <f>survey_responses[[#This Row],[Tôi tin rằng Nhà nước, cơ quan thuế sẽ thực thi chính sách mới một cách khách quan, công tâm và đối xử bình đẳng với mọi người nộp thuế.  - HUMAN-TRU1]]</f>
        <v>8</v>
      </c>
      <c r="AN252">
        <f t="shared" si="94"/>
        <v>0.77777777777777779</v>
      </c>
      <c r="AO252">
        <f>step3_validation[[#This Row],[AI_TRU2]]</f>
        <v>9</v>
      </c>
      <c r="AP252">
        <f t="shared" si="95"/>
        <v>0.88888888888888884</v>
      </c>
      <c r="AQ252">
        <f>survey_responses[[#This Row],[Tôi thấy mức thuế tôi phải đóng theo phương án mới là công bằng (người thu nhập như tôi đóng mức này là hợp lý). - HUMAN-TRU2]]</f>
        <v>10</v>
      </c>
      <c r="AR252">
        <f t="shared" si="96"/>
        <v>1</v>
      </c>
      <c r="AS252">
        <f>step3_validation[[#This Row],[AI_TRU3]]</f>
        <v>8</v>
      </c>
      <c r="AT252">
        <f t="shared" si="97"/>
        <v>0.77777777777777779</v>
      </c>
      <c r="AU252">
        <f>survey_responses[[#This Row],[Tôi tin tưởng số tiền thuế tôi đóng sẽ được Nhà nước sử dụng hiệu quả để cải thiện dịch vụ công (y tế, đường xá...). - HUMAN-TRU3]]</f>
        <v>7</v>
      </c>
      <c r="AV252">
        <f t="shared" si="98"/>
        <v>0.66666666666666663</v>
      </c>
      <c r="AW252">
        <f>step3_validation[[#This Row],[AI_TRU4]]</f>
        <v>9</v>
      </c>
      <c r="AX252">
        <f t="shared" si="99"/>
        <v>0.88888888888888884</v>
      </c>
      <c r="AY252">
        <f>survey_responses[[#This Row],[Tôi thấy Nhà nước đã giải thích rõ ràng, minh bạch về lý do và mục tiêu của việc sửa đổi thuế lần này. - HUMAN-TRU4]]</f>
        <v>7</v>
      </c>
      <c r="AZ252">
        <f t="shared" si="100"/>
        <v>0.66666666666666663</v>
      </c>
      <c r="BA252" s="32">
        <f t="shared" si="101"/>
        <v>0.83333333333333326</v>
      </c>
      <c r="BB252" s="32">
        <f t="shared" si="102"/>
        <v>0.77777777777777768</v>
      </c>
      <c r="BC252" s="7">
        <f t="shared" si="103"/>
        <v>0.85185185185185175</v>
      </c>
      <c r="BD252" s="7">
        <f t="shared" si="104"/>
        <v>0.79629629629629628</v>
      </c>
      <c r="BE252">
        <f>step3_validation[[#This Row],[AI_OUT1]]</f>
        <v>9</v>
      </c>
      <c r="BF252">
        <f t="shared" si="105"/>
        <v>0.88888888888888884</v>
      </c>
      <c r="BG252">
        <f>survey_responses[[#This Row],[Sau khi xem xét các quyền lợi và nghĩa vụ, bạn có ủng hộ và tuân thủ chính sách mới hiện nay? - HUMAN-OUT1]]</f>
        <v>10</v>
      </c>
      <c r="BH252">
        <f t="shared" si="106"/>
        <v>1</v>
      </c>
      <c r="BI252" s="32">
        <f t="shared" si="107"/>
        <v>1</v>
      </c>
    </row>
    <row r="253" spans="1:61" x14ac:dyDescent="0.45">
      <c r="A253" s="30">
        <f>step3_validation[[#This Row],[Persona_ID]]</f>
        <v>252</v>
      </c>
      <c r="B253" s="31">
        <f>step3_validation[[#This Row],[Used_Seed]]</f>
        <v>12596</v>
      </c>
      <c r="C253" t="str">
        <f>step3_validation[[#This Row],[Gender]]</f>
        <v>Nữ</v>
      </c>
      <c r="D253" t="str">
        <f>survey_responses[[#This Row],[Giới tính của bạn:]]</f>
        <v>Nữ</v>
      </c>
      <c r="E253" t="str">
        <f>step3_validation[[#This Row],[Age_Group]]</f>
        <v>50 - 54</v>
      </c>
      <c r="F253" t="str">
        <f>survey_responses[[#This Row],[Độ tuổi của bạn:]]</f>
        <v>50 - 54</v>
      </c>
      <c r="G253" t="str">
        <f>step3_validation[[#This Row],[Region]]</f>
        <v>Thành thị</v>
      </c>
      <c r="H253" t="str">
        <f>survey_responses[[#This Row],[Khu vực bạn đang sinh sống:]]</f>
        <v>Thành thị</v>
      </c>
      <c r="I253" t="str">
        <f>step3_validation[[#This Row],[Education]]</f>
        <v>Đại học</v>
      </c>
      <c r="J253" t="str">
        <f>survey_responses[[#This Row],[Trình độ học vấn cao nhất:]]</f>
        <v>Đại học</v>
      </c>
      <c r="K253" t="str">
        <f>step3_validation[[#This Row],[Employment]]</f>
        <v>Chính thức</v>
      </c>
      <c r="L253" t="str">
        <f>survey_responses[[#This Row],[Tình trạng việc làm chính:]]</f>
        <v>Khu vực chính thức (Có Hợp đồng lao động, đóng BHXH)</v>
      </c>
      <c r="M253">
        <f>step3_validation[[#This Row],[Income_Mil]]</f>
        <v>63.366930785870409</v>
      </c>
      <c r="N253" t="str">
        <f>survey_responses[[#This Row],[Thu nhập bình quân tháng theo Hợp đồng lao động của bạn là bao nhiêu? (Vui lòng điền tổng thu nhập trước khi khấu trừ các loại Bảo hiểm (BHXH, BHYT, BHTN) và Thuế TNCN)]]</f>
        <v>Từ 48 - 70 triệu VNĐ</v>
      </c>
      <c r="O253">
        <f>step3_validation[[#This Row],[Dependents]]</f>
        <v>3</v>
      </c>
      <c r="P253" t="str">
        <f>survey_responses[[#This Row],[Số người phụ thuộc (con nhỏ, cha mẹ già...) đủ điều kiện giảm trừ gia cảnh:]]</f>
        <v>3 người</v>
      </c>
      <c r="Q253">
        <f>step3_validation[[#This Row],[AI_ENF1]]</f>
        <v>9</v>
      </c>
      <c r="R253">
        <f t="shared" si="81"/>
        <v>0.88888888888888884</v>
      </c>
      <c r="S253">
        <f>survey_responses[[#This Row],[Tôi tin rằng với các quy định quản lý thuế hiện nay, hành vi gian lận hoặc trốn thuế sẽ dễ dàng bị phát hiện và xử lý nghiêm. - HUMAN-ENF1]]</f>
        <v>6</v>
      </c>
      <c r="T253">
        <f t="shared" si="82"/>
        <v>0.55555555555555558</v>
      </c>
      <c r="U253">
        <f>step3_validation[[#This Row],[AI_ENF2]]</f>
        <v>8</v>
      </c>
      <c r="V253">
        <f t="shared" si="83"/>
        <v>0.77777777777777779</v>
      </c>
      <c r="W253">
        <f>survey_responses[[#This Row],[Tôi tin rằng Nhà nước, cơ quan thuế có đủ khả năng và công nghệ để phát hiện, xử lý nghiêm các hành vi trốn thuế. - HUMAN-ENF2]]</f>
        <v>6</v>
      </c>
      <c r="X253">
        <f t="shared" si="84"/>
        <v>0.55555555555555558</v>
      </c>
      <c r="Y253" s="32">
        <f t="shared" si="85"/>
        <v>0.83333333333333326</v>
      </c>
      <c r="Z253" s="32">
        <f t="shared" si="86"/>
        <v>0.55555555555555558</v>
      </c>
      <c r="AA253">
        <f>step3_validation[[#This Row],[AI_FAC1]]</f>
        <v>7</v>
      </c>
      <c r="AB253">
        <f t="shared" si="87"/>
        <v>0.66666666666666663</v>
      </c>
      <c r="AC253">
        <f>survey_responses[[#This Row],[Các thủ tục khai báo thuế VÀ/HOẶC quy trình làm việc với cơ quan thuế đơn giản, tiện lợi, nhanh chóng hơn so với trước đây. - HUMAN-FAC1]]</f>
        <v>1</v>
      </c>
      <c r="AD253">
        <f t="shared" si="88"/>
        <v>0</v>
      </c>
      <c r="AE253">
        <f>step3_validation[[#This Row],[AI_FAC2]]</f>
        <v>8</v>
      </c>
      <c r="AF253">
        <f t="shared" si="89"/>
        <v>0.77777777777777779</v>
      </c>
      <c r="AG253">
        <f>survey_responses[[#This Row],[So với trước đây, tôi thấy cách tính thuế và các bậc thuế trong phương án mới đơn giản, dễ hiểu và dễ thực hiện hơn. - HUMAN-FAC2]]</f>
        <v>6</v>
      </c>
      <c r="AH253">
        <f t="shared" si="90"/>
        <v>0.55555555555555558</v>
      </c>
      <c r="AI253" s="32">
        <f t="shared" si="91"/>
        <v>0.72222222222222221</v>
      </c>
      <c r="AJ253" s="32">
        <f t="shared" si="92"/>
        <v>0.27777777777777779</v>
      </c>
      <c r="AK253">
        <f>step3_validation[[#This Row],[AI_TRU1]]</f>
        <v>9</v>
      </c>
      <c r="AL253">
        <f t="shared" si="93"/>
        <v>0.88888888888888884</v>
      </c>
      <c r="AM253">
        <f>survey_responses[[#This Row],[Tôi tin rằng Nhà nước, cơ quan thuế sẽ thực thi chính sách mới một cách khách quan, công tâm và đối xử bình đẳng với mọi người nộp thuế.  - HUMAN-TRU1]]</f>
        <v>5</v>
      </c>
      <c r="AN253">
        <f t="shared" si="94"/>
        <v>0.44444444444444442</v>
      </c>
      <c r="AO253">
        <f>step3_validation[[#This Row],[AI_TRU2]]</f>
        <v>9</v>
      </c>
      <c r="AP253">
        <f t="shared" si="95"/>
        <v>0.88888888888888884</v>
      </c>
      <c r="AQ253">
        <f>survey_responses[[#This Row],[Tôi thấy mức thuế tôi phải đóng theo phương án mới là công bằng (người thu nhập như tôi đóng mức này là hợp lý). - HUMAN-TRU2]]</f>
        <v>6</v>
      </c>
      <c r="AR253">
        <f t="shared" si="96"/>
        <v>0.55555555555555558</v>
      </c>
      <c r="AS253">
        <f>step3_validation[[#This Row],[AI_TRU3]]</f>
        <v>9</v>
      </c>
      <c r="AT253">
        <f t="shared" si="97"/>
        <v>0.88888888888888884</v>
      </c>
      <c r="AU253">
        <f>survey_responses[[#This Row],[Tôi tin tưởng số tiền thuế tôi đóng sẽ được Nhà nước sử dụng hiệu quả để cải thiện dịch vụ công (y tế, đường xá...). - HUMAN-TRU3]]</f>
        <v>6</v>
      </c>
      <c r="AV253">
        <f t="shared" si="98"/>
        <v>0.55555555555555558</v>
      </c>
      <c r="AW253">
        <f>step3_validation[[#This Row],[AI_TRU4]]</f>
        <v>8</v>
      </c>
      <c r="AX253">
        <f t="shared" si="99"/>
        <v>0.77777777777777779</v>
      </c>
      <c r="AY253">
        <f>survey_responses[[#This Row],[Tôi thấy Nhà nước đã giải thích rõ ràng, minh bạch về lý do và mục tiêu của việc sửa đổi thuế lần này. - HUMAN-TRU4]]</f>
        <v>6</v>
      </c>
      <c r="AZ253">
        <f t="shared" si="100"/>
        <v>0.55555555555555558</v>
      </c>
      <c r="BA253" s="32">
        <f t="shared" si="101"/>
        <v>0.86111111111111105</v>
      </c>
      <c r="BB253" s="32">
        <f t="shared" si="102"/>
        <v>0.52777777777777779</v>
      </c>
      <c r="BC253" s="7">
        <f t="shared" si="103"/>
        <v>0.80555555555555547</v>
      </c>
      <c r="BD253" s="7">
        <f t="shared" si="104"/>
        <v>0.45370370370370372</v>
      </c>
      <c r="BE253">
        <f>step3_validation[[#This Row],[AI_OUT1]]</f>
        <v>9</v>
      </c>
      <c r="BF253">
        <f t="shared" si="105"/>
        <v>0.88888888888888884</v>
      </c>
      <c r="BG253">
        <f>survey_responses[[#This Row],[Sau khi xem xét các quyền lợi và nghĩa vụ, bạn có ủng hộ và tuân thủ chính sách mới hiện nay? - HUMAN-OUT1]]</f>
        <v>6</v>
      </c>
      <c r="BH253">
        <f t="shared" si="106"/>
        <v>0.55555555555555558</v>
      </c>
      <c r="BI253" s="32">
        <f t="shared" si="107"/>
        <v>3</v>
      </c>
    </row>
    <row r="254" spans="1:61" x14ac:dyDescent="0.45">
      <c r="A254" s="30">
        <f>step3_validation[[#This Row],[Persona_ID]]</f>
        <v>253</v>
      </c>
      <c r="B254" s="31">
        <f>step3_validation[[#This Row],[Used_Seed]]</f>
        <v>12597</v>
      </c>
      <c r="C254" t="str">
        <f>step3_validation[[#This Row],[Gender]]</f>
        <v>Nam</v>
      </c>
      <c r="D254" t="str">
        <f>survey_responses[[#This Row],[Giới tính của bạn:]]</f>
        <v>Nam</v>
      </c>
      <c r="E254" t="str">
        <f>step3_validation[[#This Row],[Age_Group]]</f>
        <v>40 - 49</v>
      </c>
      <c r="F254" t="str">
        <f>survey_responses[[#This Row],[Độ tuổi của bạn:]]</f>
        <v>40 - 49</v>
      </c>
      <c r="G254" t="str">
        <f>step3_validation[[#This Row],[Region]]</f>
        <v>Thành thị</v>
      </c>
      <c r="H254" t="str">
        <f>survey_responses[[#This Row],[Khu vực bạn đang sinh sống:]]</f>
        <v>Thành thị</v>
      </c>
      <c r="I254" t="str">
        <f>step3_validation[[#This Row],[Education]]</f>
        <v>Sau Đại học</v>
      </c>
      <c r="J254" t="str">
        <f>survey_responses[[#This Row],[Trình độ học vấn cao nhất:]]</f>
        <v>Sau Đại học</v>
      </c>
      <c r="K254" t="str">
        <f>step3_validation[[#This Row],[Employment]]</f>
        <v>Chính thức</v>
      </c>
      <c r="L254" t="str">
        <f>survey_responses[[#This Row],[Tình trạng việc làm chính:]]</f>
        <v>Khu vực chính thức (Có Hợp đồng lao động, đóng BHXH)</v>
      </c>
      <c r="M254">
        <f>step3_validation[[#This Row],[Income_Mil]]</f>
        <v>84.493388172869544</v>
      </c>
      <c r="N254" t="str">
        <f>survey_responses[[#This Row],[Thu nhập bình quân tháng theo Hợp đồng lao động của bạn là bao nhiêu? (Vui lòng điền tổng thu nhập trước khi khấu trừ các loại Bảo hiểm (BHXH, BHYT, BHTN) và Thuế TNCN)]]</f>
        <v>Từ 70 - 102 triệu VNĐ</v>
      </c>
      <c r="O254">
        <f>step3_validation[[#This Row],[Dependents]]</f>
        <v>4</v>
      </c>
      <c r="P254" t="str">
        <f>survey_responses[[#This Row],[Số người phụ thuộc (con nhỏ, cha mẹ già...) đủ điều kiện giảm trừ gia cảnh:]]</f>
        <v>4 người trở lên</v>
      </c>
      <c r="Q254">
        <f>step3_validation[[#This Row],[AI_ENF1]]</f>
        <v>7</v>
      </c>
      <c r="R254">
        <f t="shared" si="81"/>
        <v>0.66666666666666663</v>
      </c>
      <c r="S254">
        <f>survey_responses[[#This Row],[Tôi tin rằng với các quy định quản lý thuế hiện nay, hành vi gian lận hoặc trốn thuế sẽ dễ dàng bị phát hiện và xử lý nghiêm. - HUMAN-ENF1]]</f>
        <v>8</v>
      </c>
      <c r="T254">
        <f t="shared" si="82"/>
        <v>0.77777777777777779</v>
      </c>
      <c r="U254">
        <f>step3_validation[[#This Row],[AI_ENF2]]</f>
        <v>7</v>
      </c>
      <c r="V254">
        <f t="shared" si="83"/>
        <v>0.66666666666666663</v>
      </c>
      <c r="W254">
        <f>survey_responses[[#This Row],[Tôi tin rằng Nhà nước, cơ quan thuế có đủ khả năng và công nghệ để phát hiện, xử lý nghiêm các hành vi trốn thuế. - HUMAN-ENF2]]</f>
        <v>8</v>
      </c>
      <c r="X254">
        <f t="shared" si="84"/>
        <v>0.77777777777777779</v>
      </c>
      <c r="Y254" s="32">
        <f t="shared" si="85"/>
        <v>0.66666666666666663</v>
      </c>
      <c r="Z254" s="32">
        <f t="shared" si="86"/>
        <v>0.77777777777777779</v>
      </c>
      <c r="AA254">
        <f>step3_validation[[#This Row],[AI_FAC1]]</f>
        <v>9</v>
      </c>
      <c r="AB254">
        <f t="shared" si="87"/>
        <v>0.88888888888888884</v>
      </c>
      <c r="AC254">
        <f>survey_responses[[#This Row],[Các thủ tục khai báo thuế VÀ/HOẶC quy trình làm việc với cơ quan thuế đơn giản, tiện lợi, nhanh chóng hơn so với trước đây. - HUMAN-FAC1]]</f>
        <v>3</v>
      </c>
      <c r="AD254">
        <f t="shared" si="88"/>
        <v>0.22222222222222221</v>
      </c>
      <c r="AE254">
        <f>step3_validation[[#This Row],[AI_FAC2]]</f>
        <v>8</v>
      </c>
      <c r="AF254">
        <f t="shared" si="89"/>
        <v>0.77777777777777779</v>
      </c>
      <c r="AG254">
        <f>survey_responses[[#This Row],[So với trước đây, tôi thấy cách tính thuế và các bậc thuế trong phương án mới đơn giản, dễ hiểu và dễ thực hiện hơn. - HUMAN-FAC2]]</f>
        <v>9</v>
      </c>
      <c r="AH254">
        <f t="shared" si="90"/>
        <v>0.88888888888888884</v>
      </c>
      <c r="AI254" s="32">
        <f t="shared" si="91"/>
        <v>0.83333333333333326</v>
      </c>
      <c r="AJ254" s="32">
        <f t="shared" si="92"/>
        <v>0.55555555555555558</v>
      </c>
      <c r="AK254">
        <f>step3_validation[[#This Row],[AI_TRU1]]</f>
        <v>7</v>
      </c>
      <c r="AL254">
        <f t="shared" si="93"/>
        <v>0.66666666666666663</v>
      </c>
      <c r="AM254">
        <f>survey_responses[[#This Row],[Tôi tin rằng Nhà nước, cơ quan thuế sẽ thực thi chính sách mới một cách khách quan, công tâm và đối xử bình đẳng với mọi người nộp thuế.  - HUMAN-TRU1]]</f>
        <v>8</v>
      </c>
      <c r="AN254">
        <f t="shared" si="94"/>
        <v>0.77777777777777779</v>
      </c>
      <c r="AO254">
        <f>step3_validation[[#This Row],[AI_TRU2]]</f>
        <v>9</v>
      </c>
      <c r="AP254">
        <f t="shared" si="95"/>
        <v>0.88888888888888884</v>
      </c>
      <c r="AQ254">
        <f>survey_responses[[#This Row],[Tôi thấy mức thuế tôi phải đóng theo phương án mới là công bằng (người thu nhập như tôi đóng mức này là hợp lý). - HUMAN-TRU2]]</f>
        <v>8</v>
      </c>
      <c r="AR254">
        <f t="shared" si="96"/>
        <v>0.77777777777777779</v>
      </c>
      <c r="AS254">
        <f>step3_validation[[#This Row],[AI_TRU3]]</f>
        <v>8</v>
      </c>
      <c r="AT254">
        <f t="shared" si="97"/>
        <v>0.77777777777777779</v>
      </c>
      <c r="AU254">
        <f>survey_responses[[#This Row],[Tôi tin tưởng số tiền thuế tôi đóng sẽ được Nhà nước sử dụng hiệu quả để cải thiện dịch vụ công (y tế, đường xá...). - HUMAN-TRU3]]</f>
        <v>8</v>
      </c>
      <c r="AV254">
        <f t="shared" si="98"/>
        <v>0.77777777777777779</v>
      </c>
      <c r="AW254">
        <f>step3_validation[[#This Row],[AI_TRU4]]</f>
        <v>7</v>
      </c>
      <c r="AX254">
        <f t="shared" si="99"/>
        <v>0.66666666666666663</v>
      </c>
      <c r="AY254">
        <f>survey_responses[[#This Row],[Tôi thấy Nhà nước đã giải thích rõ ràng, minh bạch về lý do và mục tiêu của việc sửa đổi thuế lần này. - HUMAN-TRU4]]</f>
        <v>8</v>
      </c>
      <c r="AZ254">
        <f t="shared" si="100"/>
        <v>0.77777777777777779</v>
      </c>
      <c r="BA254" s="32">
        <f t="shared" si="101"/>
        <v>0.74999999999999989</v>
      </c>
      <c r="BB254" s="32">
        <f t="shared" si="102"/>
        <v>0.77777777777777779</v>
      </c>
      <c r="BC254" s="7">
        <f t="shared" si="103"/>
        <v>0.75</v>
      </c>
      <c r="BD254" s="7">
        <f t="shared" si="104"/>
        <v>0.70370370370370372</v>
      </c>
      <c r="BE254">
        <f>step3_validation[[#This Row],[AI_OUT1]]</f>
        <v>9</v>
      </c>
      <c r="BF254">
        <f t="shared" si="105"/>
        <v>0.88888888888888884</v>
      </c>
      <c r="BG254">
        <f>survey_responses[[#This Row],[Sau khi xem xét các quyền lợi và nghĩa vụ, bạn có ủng hộ và tuân thủ chính sách mới hiện nay? - HUMAN-OUT1]]</f>
        <v>8</v>
      </c>
      <c r="BH254">
        <f t="shared" si="106"/>
        <v>0.77777777777777779</v>
      </c>
      <c r="BI254" s="32">
        <f t="shared" si="107"/>
        <v>1</v>
      </c>
    </row>
    <row r="255" spans="1:61" x14ac:dyDescent="0.45">
      <c r="A255" s="30">
        <f>step3_validation[[#This Row],[Persona_ID]]</f>
        <v>254</v>
      </c>
      <c r="B255" s="31">
        <f>step3_validation[[#This Row],[Used_Seed]]</f>
        <v>12598</v>
      </c>
      <c r="C255" t="str">
        <f>step3_validation[[#This Row],[Gender]]</f>
        <v>Nam</v>
      </c>
      <c r="D255" t="str">
        <f>survey_responses[[#This Row],[Giới tính của bạn:]]</f>
        <v>Nam</v>
      </c>
      <c r="E255" t="str">
        <f>step3_validation[[#This Row],[Age_Group]]</f>
        <v>40 - 49</v>
      </c>
      <c r="F255" t="str">
        <f>survey_responses[[#This Row],[Độ tuổi của bạn:]]</f>
        <v>40 - 49</v>
      </c>
      <c r="G255" t="str">
        <f>step3_validation[[#This Row],[Region]]</f>
        <v>Thành thị</v>
      </c>
      <c r="H255" t="str">
        <f>survey_responses[[#This Row],[Khu vực bạn đang sinh sống:]]</f>
        <v>Thành thị</v>
      </c>
      <c r="I255" t="str">
        <f>step3_validation[[#This Row],[Education]]</f>
        <v>Sau Đại học</v>
      </c>
      <c r="J255" t="str">
        <f>survey_responses[[#This Row],[Trình độ học vấn cao nhất:]]</f>
        <v>Sau Đại học</v>
      </c>
      <c r="K255" t="str">
        <f>step3_validation[[#This Row],[Employment]]</f>
        <v>Chính thức</v>
      </c>
      <c r="L255" t="str">
        <f>survey_responses[[#This Row],[Tình trạng việc làm chính:]]</f>
        <v>Khu vực chính thức (Có Hợp đồng lao động, đóng BHXH)</v>
      </c>
      <c r="M255">
        <f>step3_validation[[#This Row],[Income_Mil]]</f>
        <v>89.219665372633969</v>
      </c>
      <c r="N255" t="str">
        <f>survey_responses[[#This Row],[Thu nhập bình quân tháng theo Hợp đồng lao động của bạn là bao nhiêu? (Vui lòng điền tổng thu nhập trước khi khấu trừ các loại Bảo hiểm (BHXH, BHYT, BHTN) và Thuế TNCN)]]</f>
        <v>Từ 70 - 102 triệu VNĐ</v>
      </c>
      <c r="O255">
        <f>step3_validation[[#This Row],[Dependents]]</f>
        <v>1</v>
      </c>
      <c r="P255" t="str">
        <f>survey_responses[[#This Row],[Số người phụ thuộc (con nhỏ, cha mẹ già...) đủ điều kiện giảm trừ gia cảnh:]]</f>
        <v>1 người</v>
      </c>
      <c r="Q255">
        <f>step3_validation[[#This Row],[AI_ENF1]]</f>
        <v>7</v>
      </c>
      <c r="R255">
        <f t="shared" si="81"/>
        <v>0.66666666666666663</v>
      </c>
      <c r="S255">
        <f>survey_responses[[#This Row],[Tôi tin rằng với các quy định quản lý thuế hiện nay, hành vi gian lận hoặc trốn thuế sẽ dễ dàng bị phát hiện và xử lý nghiêm. - HUMAN-ENF1]]</f>
        <v>4</v>
      </c>
      <c r="T255">
        <f t="shared" si="82"/>
        <v>0.33333333333333331</v>
      </c>
      <c r="U255">
        <f>step3_validation[[#This Row],[AI_ENF2]]</f>
        <v>7</v>
      </c>
      <c r="V255">
        <f t="shared" si="83"/>
        <v>0.66666666666666663</v>
      </c>
      <c r="W255">
        <f>survey_responses[[#This Row],[Tôi tin rằng Nhà nước, cơ quan thuế có đủ khả năng và công nghệ để phát hiện, xử lý nghiêm các hành vi trốn thuế. - HUMAN-ENF2]]</f>
        <v>3</v>
      </c>
      <c r="X255">
        <f t="shared" si="84"/>
        <v>0.22222222222222221</v>
      </c>
      <c r="Y255" s="32">
        <f t="shared" si="85"/>
        <v>0.66666666666666663</v>
      </c>
      <c r="Z255" s="32">
        <f t="shared" si="86"/>
        <v>0.27777777777777779</v>
      </c>
      <c r="AA255">
        <f>step3_validation[[#This Row],[AI_FAC1]]</f>
        <v>9</v>
      </c>
      <c r="AB255">
        <f t="shared" si="87"/>
        <v>0.88888888888888884</v>
      </c>
      <c r="AC255">
        <f>survey_responses[[#This Row],[Các thủ tục khai báo thuế VÀ/HOẶC quy trình làm việc với cơ quan thuế đơn giản, tiện lợi, nhanh chóng hơn so với trước đây. - HUMAN-FAC1]]</f>
        <v>1</v>
      </c>
      <c r="AD255">
        <f t="shared" si="88"/>
        <v>0</v>
      </c>
      <c r="AE255">
        <f>step3_validation[[#This Row],[AI_FAC2]]</f>
        <v>9</v>
      </c>
      <c r="AF255">
        <f t="shared" si="89"/>
        <v>0.88888888888888884</v>
      </c>
      <c r="AG255">
        <f>survey_responses[[#This Row],[So với trước đây, tôi thấy cách tính thuế và các bậc thuế trong phương án mới đơn giản, dễ hiểu và dễ thực hiện hơn. - HUMAN-FAC2]]</f>
        <v>7</v>
      </c>
      <c r="AH255">
        <f t="shared" si="90"/>
        <v>0.66666666666666663</v>
      </c>
      <c r="AI255" s="32">
        <f t="shared" si="91"/>
        <v>0.88888888888888884</v>
      </c>
      <c r="AJ255" s="32">
        <f t="shared" si="92"/>
        <v>0.33333333333333331</v>
      </c>
      <c r="AK255">
        <f>step3_validation[[#This Row],[AI_TRU1]]</f>
        <v>6</v>
      </c>
      <c r="AL255">
        <f t="shared" si="93"/>
        <v>0.55555555555555558</v>
      </c>
      <c r="AM255">
        <f>survey_responses[[#This Row],[Tôi tin rằng Nhà nước, cơ quan thuế sẽ thực thi chính sách mới một cách khách quan, công tâm và đối xử bình đẳng với mọi người nộp thuế.  - HUMAN-TRU1]]</f>
        <v>3</v>
      </c>
      <c r="AN255">
        <f t="shared" si="94"/>
        <v>0.22222222222222221</v>
      </c>
      <c r="AO255">
        <f>step3_validation[[#This Row],[AI_TRU2]]</f>
        <v>7</v>
      </c>
      <c r="AP255">
        <f t="shared" si="95"/>
        <v>0.66666666666666663</v>
      </c>
      <c r="AQ255">
        <f>survey_responses[[#This Row],[Tôi thấy mức thuế tôi phải đóng theo phương án mới là công bằng (người thu nhập như tôi đóng mức này là hợp lý). - HUMAN-TRU2]]</f>
        <v>6</v>
      </c>
      <c r="AR255">
        <f t="shared" si="96"/>
        <v>0.55555555555555558</v>
      </c>
      <c r="AS255">
        <f>step3_validation[[#This Row],[AI_TRU3]]</f>
        <v>8</v>
      </c>
      <c r="AT255">
        <f t="shared" si="97"/>
        <v>0.77777777777777779</v>
      </c>
      <c r="AU255">
        <f>survey_responses[[#This Row],[Tôi tin tưởng số tiền thuế tôi đóng sẽ được Nhà nước sử dụng hiệu quả để cải thiện dịch vụ công (y tế, đường xá...). - HUMAN-TRU3]]</f>
        <v>5</v>
      </c>
      <c r="AV255">
        <f t="shared" si="98"/>
        <v>0.44444444444444442</v>
      </c>
      <c r="AW255">
        <f>step3_validation[[#This Row],[AI_TRU4]]</f>
        <v>6</v>
      </c>
      <c r="AX255">
        <f t="shared" si="99"/>
        <v>0.55555555555555558</v>
      </c>
      <c r="AY255">
        <f>survey_responses[[#This Row],[Tôi thấy Nhà nước đã giải thích rõ ràng, minh bạch về lý do và mục tiêu của việc sửa đổi thuế lần này. - HUMAN-TRU4]]</f>
        <v>6</v>
      </c>
      <c r="AZ255">
        <f t="shared" si="100"/>
        <v>0.55555555555555558</v>
      </c>
      <c r="BA255" s="32">
        <f t="shared" si="101"/>
        <v>0.63888888888888884</v>
      </c>
      <c r="BB255" s="32">
        <f t="shared" si="102"/>
        <v>0.44444444444444448</v>
      </c>
      <c r="BC255" s="7">
        <f t="shared" si="103"/>
        <v>0.7314814814814814</v>
      </c>
      <c r="BD255" s="7">
        <f t="shared" si="104"/>
        <v>0.35185185185185186</v>
      </c>
      <c r="BE255">
        <f>step3_validation[[#This Row],[AI_OUT1]]</f>
        <v>8</v>
      </c>
      <c r="BF255">
        <f t="shared" si="105"/>
        <v>0.77777777777777779</v>
      </c>
      <c r="BG255">
        <f>survey_responses[[#This Row],[Sau khi xem xét các quyền lợi và nghĩa vụ, bạn có ủng hộ và tuân thủ chính sách mới hiện nay? - HUMAN-OUT1]]</f>
        <v>6</v>
      </c>
      <c r="BH255">
        <f t="shared" si="106"/>
        <v>0.55555555555555558</v>
      </c>
      <c r="BI255" s="32">
        <f t="shared" si="107"/>
        <v>2</v>
      </c>
    </row>
    <row r="256" spans="1:61" x14ac:dyDescent="0.45">
      <c r="A256" s="30">
        <f>step3_validation[[#This Row],[Persona_ID]]</f>
        <v>255</v>
      </c>
      <c r="B256" s="31">
        <f>step3_validation[[#This Row],[Used_Seed]]</f>
        <v>12599</v>
      </c>
      <c r="C256" t="str">
        <f>step3_validation[[#This Row],[Gender]]</f>
        <v>Nữ</v>
      </c>
      <c r="D256" t="str">
        <f>survey_responses[[#This Row],[Giới tính của bạn:]]</f>
        <v>Nữ</v>
      </c>
      <c r="E256" t="str">
        <f>step3_validation[[#This Row],[Age_Group]]</f>
        <v>30 - 39</v>
      </c>
      <c r="F256" t="str">
        <f>survey_responses[[#This Row],[Độ tuổi của bạn:]]</f>
        <v>30 - 39</v>
      </c>
      <c r="G256" t="str">
        <f>step3_validation[[#This Row],[Region]]</f>
        <v>Thành thị</v>
      </c>
      <c r="H256" t="str">
        <f>survey_responses[[#This Row],[Khu vực bạn đang sinh sống:]]</f>
        <v>Thành thị</v>
      </c>
      <c r="I256" t="str">
        <f>step3_validation[[#This Row],[Education]]</f>
        <v>Sau Đại học</v>
      </c>
      <c r="J256" t="str">
        <f>survey_responses[[#This Row],[Trình độ học vấn cao nhất:]]</f>
        <v>Sau Đại học</v>
      </c>
      <c r="K256" t="str">
        <f>step3_validation[[#This Row],[Employment]]</f>
        <v>Chính thức</v>
      </c>
      <c r="L256" t="str">
        <f>survey_responses[[#This Row],[Tình trạng việc làm chính:]]</f>
        <v>Khu vực chính thức (Có Hợp đồng lao động, đóng BHXH)</v>
      </c>
      <c r="M256">
        <f>step3_validation[[#This Row],[Income_Mil]]</f>
        <v>63.722273621221056</v>
      </c>
      <c r="N256" t="str">
        <f>survey_responses[[#This Row],[Thu nhập bình quân tháng theo Hợp đồng lao động của bạn là bao nhiêu? (Vui lòng điền tổng thu nhập trước khi khấu trừ các loại Bảo hiểm (BHXH, BHYT, BHTN) và Thuế TNCN)]]</f>
        <v>Từ 48 - 70 triệu VNĐ</v>
      </c>
      <c r="O256">
        <f>step3_validation[[#This Row],[Dependents]]</f>
        <v>1</v>
      </c>
      <c r="P256" t="str">
        <f>survey_responses[[#This Row],[Số người phụ thuộc (con nhỏ, cha mẹ già...) đủ điều kiện giảm trừ gia cảnh:]]</f>
        <v>1 người</v>
      </c>
      <c r="Q256">
        <f>step3_validation[[#This Row],[AI_ENF1]]</f>
        <v>6</v>
      </c>
      <c r="R256">
        <f t="shared" si="81"/>
        <v>0.55555555555555558</v>
      </c>
      <c r="S256">
        <f>survey_responses[[#This Row],[Tôi tin rằng với các quy định quản lý thuế hiện nay, hành vi gian lận hoặc trốn thuế sẽ dễ dàng bị phát hiện và xử lý nghiêm. - HUMAN-ENF1]]</f>
        <v>6</v>
      </c>
      <c r="T256">
        <f t="shared" si="82"/>
        <v>0.55555555555555558</v>
      </c>
      <c r="U256">
        <f>step3_validation[[#This Row],[AI_ENF2]]</f>
        <v>5</v>
      </c>
      <c r="V256">
        <f t="shared" si="83"/>
        <v>0.44444444444444442</v>
      </c>
      <c r="W256">
        <f>survey_responses[[#This Row],[Tôi tin rằng Nhà nước, cơ quan thuế có đủ khả năng và công nghệ để phát hiện, xử lý nghiêm các hành vi trốn thuế. - HUMAN-ENF2]]</f>
        <v>6</v>
      </c>
      <c r="X256">
        <f t="shared" si="84"/>
        <v>0.55555555555555558</v>
      </c>
      <c r="Y256" s="32">
        <f t="shared" si="85"/>
        <v>0.5</v>
      </c>
      <c r="Z256" s="32">
        <f t="shared" si="86"/>
        <v>0.55555555555555558</v>
      </c>
      <c r="AA256">
        <f>step3_validation[[#This Row],[AI_FAC1]]</f>
        <v>8</v>
      </c>
      <c r="AB256">
        <f t="shared" si="87"/>
        <v>0.77777777777777779</v>
      </c>
      <c r="AC256">
        <f>survey_responses[[#This Row],[Các thủ tục khai báo thuế VÀ/HOẶC quy trình làm việc với cơ quan thuế đơn giản, tiện lợi, nhanh chóng hơn so với trước đây. - HUMAN-FAC1]]</f>
        <v>1</v>
      </c>
      <c r="AD256">
        <f t="shared" si="88"/>
        <v>0</v>
      </c>
      <c r="AE256">
        <f>step3_validation[[#This Row],[AI_FAC2]]</f>
        <v>9</v>
      </c>
      <c r="AF256">
        <f t="shared" si="89"/>
        <v>0.88888888888888884</v>
      </c>
      <c r="AG256">
        <f>survey_responses[[#This Row],[So với trước đây, tôi thấy cách tính thuế và các bậc thuế trong phương án mới đơn giản, dễ hiểu và dễ thực hiện hơn. - HUMAN-FAC2]]</f>
        <v>7</v>
      </c>
      <c r="AH256">
        <f t="shared" si="90"/>
        <v>0.66666666666666663</v>
      </c>
      <c r="AI256" s="32">
        <f t="shared" si="91"/>
        <v>0.83333333333333326</v>
      </c>
      <c r="AJ256" s="32">
        <f t="shared" si="92"/>
        <v>0.33333333333333331</v>
      </c>
      <c r="AK256">
        <f>step3_validation[[#This Row],[AI_TRU1]]</f>
        <v>7</v>
      </c>
      <c r="AL256">
        <f t="shared" si="93"/>
        <v>0.66666666666666663</v>
      </c>
      <c r="AM256">
        <f>survey_responses[[#This Row],[Tôi tin rằng Nhà nước, cơ quan thuế sẽ thực thi chính sách mới một cách khách quan, công tâm và đối xử bình đẳng với mọi người nộp thuế.  - HUMAN-TRU1]]</f>
        <v>5</v>
      </c>
      <c r="AN256">
        <f t="shared" si="94"/>
        <v>0.44444444444444442</v>
      </c>
      <c r="AO256">
        <f>step3_validation[[#This Row],[AI_TRU2]]</f>
        <v>9</v>
      </c>
      <c r="AP256">
        <f t="shared" si="95"/>
        <v>0.88888888888888884</v>
      </c>
      <c r="AQ256">
        <f>survey_responses[[#This Row],[Tôi thấy mức thuế tôi phải đóng theo phương án mới là công bằng (người thu nhập như tôi đóng mức này là hợp lý). - HUMAN-TRU2]]</f>
        <v>6</v>
      </c>
      <c r="AR256">
        <f t="shared" si="96"/>
        <v>0.55555555555555558</v>
      </c>
      <c r="AS256">
        <f>step3_validation[[#This Row],[AI_TRU3]]</f>
        <v>8</v>
      </c>
      <c r="AT256">
        <f t="shared" si="97"/>
        <v>0.77777777777777779</v>
      </c>
      <c r="AU256">
        <f>survey_responses[[#This Row],[Tôi tin tưởng số tiền thuế tôi đóng sẽ được Nhà nước sử dụng hiệu quả để cải thiện dịch vụ công (y tế, đường xá...). - HUMAN-TRU3]]</f>
        <v>6</v>
      </c>
      <c r="AV256">
        <f t="shared" si="98"/>
        <v>0.55555555555555558</v>
      </c>
      <c r="AW256">
        <f>step3_validation[[#This Row],[AI_TRU4]]</f>
        <v>7</v>
      </c>
      <c r="AX256">
        <f t="shared" si="99"/>
        <v>0.66666666666666663</v>
      </c>
      <c r="AY256">
        <f>survey_responses[[#This Row],[Tôi thấy Nhà nước đã giải thích rõ ràng, minh bạch về lý do và mục tiêu của việc sửa đổi thuế lần này. - HUMAN-TRU4]]</f>
        <v>6</v>
      </c>
      <c r="AZ256">
        <f t="shared" si="100"/>
        <v>0.55555555555555558</v>
      </c>
      <c r="BA256" s="32">
        <f t="shared" si="101"/>
        <v>0.74999999999999989</v>
      </c>
      <c r="BB256" s="32">
        <f t="shared" si="102"/>
        <v>0.52777777777777779</v>
      </c>
      <c r="BC256" s="7">
        <f t="shared" si="103"/>
        <v>0.69444444444444431</v>
      </c>
      <c r="BD256" s="7">
        <f t="shared" si="104"/>
        <v>0.47222222222222215</v>
      </c>
      <c r="BE256">
        <f>step3_validation[[#This Row],[AI_OUT1]]</f>
        <v>9</v>
      </c>
      <c r="BF256">
        <f t="shared" si="105"/>
        <v>0.88888888888888884</v>
      </c>
      <c r="BG256">
        <f>survey_responses[[#This Row],[Sau khi xem xét các quyền lợi và nghĩa vụ, bạn có ủng hộ và tuân thủ chính sách mới hiện nay? - HUMAN-OUT1]]</f>
        <v>6</v>
      </c>
      <c r="BH256">
        <f t="shared" si="106"/>
        <v>0.55555555555555558</v>
      </c>
      <c r="BI256" s="32">
        <f t="shared" si="107"/>
        <v>3</v>
      </c>
    </row>
    <row r="257" spans="1:61" x14ac:dyDescent="0.45">
      <c r="A257" s="30">
        <f>step3_validation[[#This Row],[Persona_ID]]</f>
        <v>256</v>
      </c>
      <c r="B257" s="31">
        <f>step3_validation[[#This Row],[Used_Seed]]</f>
        <v>12600</v>
      </c>
      <c r="C257" t="str">
        <f>step3_validation[[#This Row],[Gender]]</f>
        <v>Nữ</v>
      </c>
      <c r="D257" t="str">
        <f>survey_responses[[#This Row],[Giới tính của bạn:]]</f>
        <v>Nữ</v>
      </c>
      <c r="E257" t="str">
        <f>step3_validation[[#This Row],[Age_Group]]</f>
        <v>50 - 54</v>
      </c>
      <c r="F257" t="str">
        <f>survey_responses[[#This Row],[Độ tuổi của bạn:]]</f>
        <v>50 - 54</v>
      </c>
      <c r="G257" t="str">
        <f>step3_validation[[#This Row],[Region]]</f>
        <v>Thành thị</v>
      </c>
      <c r="H257" t="str">
        <f>survey_responses[[#This Row],[Khu vực bạn đang sinh sống:]]</f>
        <v>Thành thị</v>
      </c>
      <c r="I257" t="str">
        <f>step3_validation[[#This Row],[Education]]</f>
        <v>Đại học</v>
      </c>
      <c r="J257" t="str">
        <f>survey_responses[[#This Row],[Trình độ học vấn cao nhất:]]</f>
        <v>Đại học</v>
      </c>
      <c r="K257" t="str">
        <f>step3_validation[[#This Row],[Employment]]</f>
        <v>Chính thức</v>
      </c>
      <c r="L257" t="str">
        <f>survey_responses[[#This Row],[Tình trạng việc làm chính:]]</f>
        <v>Khu vực chính thức (Có Hợp đồng lao động, đóng BHXH)</v>
      </c>
      <c r="M257">
        <f>step3_validation[[#This Row],[Income_Mil]]</f>
        <v>167.09669027968141</v>
      </c>
      <c r="N257" t="str">
        <f>survey_responses[[#This Row],[Thu nhập bình quân tháng theo Hợp đồng lao động của bạn là bao nhiêu? (Vui lòng điền tổng thu nhập trước khi khấu trừ các loại Bảo hiểm (BHXH, BHYT, BHTN) và Thuế TNCN)]]</f>
        <v>Trên 102 triệu VNĐ</v>
      </c>
      <c r="O257">
        <f>step3_validation[[#This Row],[Dependents]]</f>
        <v>4</v>
      </c>
      <c r="P257" t="str">
        <f>survey_responses[[#This Row],[Số người phụ thuộc (con nhỏ, cha mẹ già...) đủ điều kiện giảm trừ gia cảnh:]]</f>
        <v>4 người trở lên</v>
      </c>
      <c r="Q257">
        <f>step3_validation[[#This Row],[AI_ENF1]]</f>
        <v>6</v>
      </c>
      <c r="R257">
        <f t="shared" si="81"/>
        <v>0.55555555555555558</v>
      </c>
      <c r="S257">
        <f>survey_responses[[#This Row],[Tôi tin rằng với các quy định quản lý thuế hiện nay, hành vi gian lận hoặc trốn thuế sẽ dễ dàng bị phát hiện và xử lý nghiêm. - HUMAN-ENF1]]</f>
        <v>8</v>
      </c>
      <c r="T257">
        <f t="shared" si="82"/>
        <v>0.77777777777777779</v>
      </c>
      <c r="U257">
        <f>step3_validation[[#This Row],[AI_ENF2]]</f>
        <v>7</v>
      </c>
      <c r="V257">
        <f t="shared" si="83"/>
        <v>0.66666666666666663</v>
      </c>
      <c r="W257">
        <f>survey_responses[[#This Row],[Tôi tin rằng Nhà nước, cơ quan thuế có đủ khả năng và công nghệ để phát hiện, xử lý nghiêm các hành vi trốn thuế. - HUMAN-ENF2]]</f>
        <v>8</v>
      </c>
      <c r="X257">
        <f t="shared" si="84"/>
        <v>0.77777777777777779</v>
      </c>
      <c r="Y257" s="32">
        <f t="shared" si="85"/>
        <v>0.61111111111111116</v>
      </c>
      <c r="Z257" s="32">
        <f t="shared" si="86"/>
        <v>0.77777777777777779</v>
      </c>
      <c r="AA257">
        <f>step3_validation[[#This Row],[AI_FAC1]]</f>
        <v>9</v>
      </c>
      <c r="AB257">
        <f t="shared" si="87"/>
        <v>0.88888888888888884</v>
      </c>
      <c r="AC257">
        <f>survey_responses[[#This Row],[Các thủ tục khai báo thuế VÀ/HOẶC quy trình làm việc với cơ quan thuế đơn giản, tiện lợi, nhanh chóng hơn so với trước đây. - HUMAN-FAC1]]</f>
        <v>5</v>
      </c>
      <c r="AD257">
        <f t="shared" si="88"/>
        <v>0.44444444444444442</v>
      </c>
      <c r="AE257">
        <f>step3_validation[[#This Row],[AI_FAC2]]</f>
        <v>8</v>
      </c>
      <c r="AF257">
        <f t="shared" si="89"/>
        <v>0.77777777777777779</v>
      </c>
      <c r="AG257">
        <f>survey_responses[[#This Row],[So với trước đây, tôi thấy cách tính thuế và các bậc thuế trong phương án mới đơn giản, dễ hiểu và dễ thực hiện hơn. - HUMAN-FAC2]]</f>
        <v>8</v>
      </c>
      <c r="AH257">
        <f t="shared" si="90"/>
        <v>0.77777777777777779</v>
      </c>
      <c r="AI257" s="32">
        <f t="shared" si="91"/>
        <v>0.83333333333333326</v>
      </c>
      <c r="AJ257" s="32">
        <f t="shared" si="92"/>
        <v>0.61111111111111116</v>
      </c>
      <c r="AK257">
        <f>step3_validation[[#This Row],[AI_TRU1]]</f>
        <v>7</v>
      </c>
      <c r="AL257">
        <f t="shared" si="93"/>
        <v>0.66666666666666663</v>
      </c>
      <c r="AM257">
        <f>survey_responses[[#This Row],[Tôi tin rằng Nhà nước, cơ quan thuế sẽ thực thi chính sách mới một cách khách quan, công tâm và đối xử bình đẳng với mọi người nộp thuế.  - HUMAN-TRU1]]</f>
        <v>8</v>
      </c>
      <c r="AN257">
        <f t="shared" si="94"/>
        <v>0.77777777777777779</v>
      </c>
      <c r="AO257">
        <f>step3_validation[[#This Row],[AI_TRU2]]</f>
        <v>9</v>
      </c>
      <c r="AP257">
        <f t="shared" si="95"/>
        <v>0.88888888888888884</v>
      </c>
      <c r="AQ257">
        <f>survey_responses[[#This Row],[Tôi thấy mức thuế tôi phải đóng theo phương án mới là công bằng (người thu nhập như tôi đóng mức này là hợp lý). - HUMAN-TRU2]]</f>
        <v>7</v>
      </c>
      <c r="AR257">
        <f t="shared" si="96"/>
        <v>0.66666666666666663</v>
      </c>
      <c r="AS257">
        <f>step3_validation[[#This Row],[AI_TRU3]]</f>
        <v>8</v>
      </c>
      <c r="AT257">
        <f t="shared" si="97"/>
        <v>0.77777777777777779</v>
      </c>
      <c r="AU257">
        <f>survey_responses[[#This Row],[Tôi tin tưởng số tiền thuế tôi đóng sẽ được Nhà nước sử dụng hiệu quả để cải thiện dịch vụ công (y tế, đường xá...). - HUMAN-TRU3]]</f>
        <v>7</v>
      </c>
      <c r="AV257">
        <f t="shared" si="98"/>
        <v>0.66666666666666663</v>
      </c>
      <c r="AW257">
        <f>step3_validation[[#This Row],[AI_TRU4]]</f>
        <v>6</v>
      </c>
      <c r="AX257">
        <f t="shared" si="99"/>
        <v>0.55555555555555558</v>
      </c>
      <c r="AY257">
        <f>survey_responses[[#This Row],[Tôi thấy Nhà nước đã giải thích rõ ràng, minh bạch về lý do và mục tiêu của việc sửa đổi thuế lần này. - HUMAN-TRU4]]</f>
        <v>7</v>
      </c>
      <c r="AZ257">
        <f t="shared" si="100"/>
        <v>0.66666666666666663</v>
      </c>
      <c r="BA257" s="32">
        <f t="shared" si="101"/>
        <v>0.7222222222222221</v>
      </c>
      <c r="BB257" s="32">
        <f t="shared" si="102"/>
        <v>0.69444444444444442</v>
      </c>
      <c r="BC257" s="7">
        <f t="shared" si="103"/>
        <v>0.72222222222222221</v>
      </c>
      <c r="BD257" s="7">
        <f t="shared" si="104"/>
        <v>0.69444444444444431</v>
      </c>
      <c r="BE257">
        <f>step3_validation[[#This Row],[AI_OUT1]]</f>
        <v>8</v>
      </c>
      <c r="BF257">
        <f t="shared" si="105"/>
        <v>0.77777777777777779</v>
      </c>
      <c r="BG257">
        <f>survey_responses[[#This Row],[Sau khi xem xét các quyền lợi và nghĩa vụ, bạn có ủng hộ và tuân thủ chính sách mới hiện nay? - HUMAN-OUT1]]</f>
        <v>7</v>
      </c>
      <c r="BH257">
        <f t="shared" si="106"/>
        <v>0.66666666666666663</v>
      </c>
      <c r="BI257" s="32">
        <f t="shared" si="107"/>
        <v>1</v>
      </c>
    </row>
    <row r="258" spans="1:61" x14ac:dyDescent="0.45">
      <c r="A258" s="30">
        <f>step3_validation[[#This Row],[Persona_ID]]</f>
        <v>257</v>
      </c>
      <c r="B258" s="31">
        <f>step3_validation[[#This Row],[Used_Seed]]</f>
        <v>12601</v>
      </c>
      <c r="C258" t="str">
        <f>step3_validation[[#This Row],[Gender]]</f>
        <v>Nữ</v>
      </c>
      <c r="D258" t="str">
        <f>survey_responses[[#This Row],[Giới tính của bạn:]]</f>
        <v>Nữ</v>
      </c>
      <c r="E258" t="str">
        <f>step3_validation[[#This Row],[Age_Group]]</f>
        <v>25 - 29</v>
      </c>
      <c r="F258" t="str">
        <f>survey_responses[[#This Row],[Độ tuổi của bạn:]]</f>
        <v>25 - 29</v>
      </c>
      <c r="G258" t="str">
        <f>step3_validation[[#This Row],[Region]]</f>
        <v>Thành thị</v>
      </c>
      <c r="H258" t="str">
        <f>survey_responses[[#This Row],[Khu vực bạn đang sinh sống:]]</f>
        <v>Thành thị</v>
      </c>
      <c r="I258" t="str">
        <f>step3_validation[[#This Row],[Education]]</f>
        <v>Đại học</v>
      </c>
      <c r="J258" t="str">
        <f>survey_responses[[#This Row],[Trình độ học vấn cao nhất:]]</f>
        <v>Đại học</v>
      </c>
      <c r="K258" t="str">
        <f>step3_validation[[#This Row],[Employment]]</f>
        <v>Chính thức</v>
      </c>
      <c r="L258" t="str">
        <f>survey_responses[[#This Row],[Tình trạng việc làm chính:]]</f>
        <v>Khu vực chính thức (Có Hợp đồng lao động, đóng BHXH)</v>
      </c>
      <c r="M258">
        <f>step3_validation[[#This Row],[Income_Mil]]</f>
        <v>36.263610707498728</v>
      </c>
      <c r="N258" t="str">
        <f>survey_responses[[#This Row],[Thu nhập bình quân tháng theo Hợp đồng lao động của bạn là bao nhiêu? (Vui lòng điền tổng thu nhập trước khi khấu trừ các loại Bảo hiểm (BHXH, BHYT, BHTN) và Thuế TNCN)]]</f>
        <v>Từ 32 - 48 triệu VNĐ</v>
      </c>
      <c r="O258">
        <f>step3_validation[[#This Row],[Dependents]]</f>
        <v>1</v>
      </c>
      <c r="P258" t="str">
        <f>survey_responses[[#This Row],[Số người phụ thuộc (con nhỏ, cha mẹ già...) đủ điều kiện giảm trừ gia cảnh:]]</f>
        <v>1 người</v>
      </c>
      <c r="Q258">
        <f>step3_validation[[#This Row],[AI_ENF1]]</f>
        <v>6</v>
      </c>
      <c r="R258">
        <f t="shared" si="81"/>
        <v>0.55555555555555558</v>
      </c>
      <c r="S258">
        <f>survey_responses[[#This Row],[Tôi tin rằng với các quy định quản lý thuế hiện nay, hành vi gian lận hoặc trốn thuế sẽ dễ dàng bị phát hiện và xử lý nghiêm. - HUMAN-ENF1]]</f>
        <v>7</v>
      </c>
      <c r="T258">
        <f t="shared" si="82"/>
        <v>0.66666666666666663</v>
      </c>
      <c r="U258">
        <f>step3_validation[[#This Row],[AI_ENF2]]</f>
        <v>6</v>
      </c>
      <c r="V258">
        <f t="shared" si="83"/>
        <v>0.55555555555555558</v>
      </c>
      <c r="W258">
        <f>survey_responses[[#This Row],[Tôi tin rằng Nhà nước, cơ quan thuế có đủ khả năng và công nghệ để phát hiện, xử lý nghiêm các hành vi trốn thuế. - HUMAN-ENF2]]</f>
        <v>8</v>
      </c>
      <c r="X258">
        <f t="shared" si="84"/>
        <v>0.77777777777777779</v>
      </c>
      <c r="Y258" s="32">
        <f t="shared" si="85"/>
        <v>0.55555555555555558</v>
      </c>
      <c r="Z258" s="32">
        <f t="shared" si="86"/>
        <v>0.72222222222222221</v>
      </c>
      <c r="AA258">
        <f>step3_validation[[#This Row],[AI_FAC1]]</f>
        <v>8</v>
      </c>
      <c r="AB258">
        <f t="shared" si="87"/>
        <v>0.77777777777777779</v>
      </c>
      <c r="AC258">
        <f>survey_responses[[#This Row],[Các thủ tục khai báo thuế VÀ/HOẶC quy trình làm việc với cơ quan thuế đơn giản, tiện lợi, nhanh chóng hơn so với trước đây. - HUMAN-FAC1]]</f>
        <v>4</v>
      </c>
      <c r="AD258">
        <f t="shared" si="88"/>
        <v>0.33333333333333331</v>
      </c>
      <c r="AE258">
        <f>step3_validation[[#This Row],[AI_FAC2]]</f>
        <v>9</v>
      </c>
      <c r="AF258">
        <f t="shared" si="89"/>
        <v>0.88888888888888884</v>
      </c>
      <c r="AG258">
        <f>survey_responses[[#This Row],[So với trước đây, tôi thấy cách tính thuế và các bậc thuế trong phương án mới đơn giản, dễ hiểu và dễ thực hiện hơn. - HUMAN-FAC2]]</f>
        <v>8</v>
      </c>
      <c r="AH258">
        <f t="shared" si="90"/>
        <v>0.77777777777777779</v>
      </c>
      <c r="AI258" s="32">
        <f t="shared" si="91"/>
        <v>0.83333333333333326</v>
      </c>
      <c r="AJ258" s="32">
        <f t="shared" si="92"/>
        <v>0.55555555555555558</v>
      </c>
      <c r="AK258">
        <f>step3_validation[[#This Row],[AI_TRU1]]</f>
        <v>7</v>
      </c>
      <c r="AL258">
        <f t="shared" si="93"/>
        <v>0.66666666666666663</v>
      </c>
      <c r="AM258">
        <f>survey_responses[[#This Row],[Tôi tin rằng Nhà nước, cơ quan thuế sẽ thực thi chính sách mới một cách khách quan, công tâm và đối xử bình đẳng với mọi người nộp thuế.  - HUMAN-TRU1]]</f>
        <v>5</v>
      </c>
      <c r="AN258">
        <f t="shared" si="94"/>
        <v>0.44444444444444442</v>
      </c>
      <c r="AO258">
        <f>step3_validation[[#This Row],[AI_TRU2]]</f>
        <v>9</v>
      </c>
      <c r="AP258">
        <f t="shared" si="95"/>
        <v>0.88888888888888884</v>
      </c>
      <c r="AQ258">
        <f>survey_responses[[#This Row],[Tôi thấy mức thuế tôi phải đóng theo phương án mới là công bằng (người thu nhập như tôi đóng mức này là hợp lý). - HUMAN-TRU2]]</f>
        <v>7</v>
      </c>
      <c r="AR258">
        <f t="shared" si="96"/>
        <v>0.66666666666666663</v>
      </c>
      <c r="AS258">
        <f>step3_validation[[#This Row],[AI_TRU3]]</f>
        <v>6</v>
      </c>
      <c r="AT258">
        <f t="shared" si="97"/>
        <v>0.55555555555555558</v>
      </c>
      <c r="AU258">
        <f>survey_responses[[#This Row],[Tôi tin tưởng số tiền thuế tôi đóng sẽ được Nhà nước sử dụng hiệu quả để cải thiện dịch vụ công (y tế, đường xá...). - HUMAN-TRU3]]</f>
        <v>5</v>
      </c>
      <c r="AV258">
        <f t="shared" si="98"/>
        <v>0.44444444444444442</v>
      </c>
      <c r="AW258">
        <f>step3_validation[[#This Row],[AI_TRU4]]</f>
        <v>7</v>
      </c>
      <c r="AX258">
        <f t="shared" si="99"/>
        <v>0.66666666666666663</v>
      </c>
      <c r="AY258">
        <f>survey_responses[[#This Row],[Tôi thấy Nhà nước đã giải thích rõ ràng, minh bạch về lý do và mục tiêu của việc sửa đổi thuế lần này. - HUMAN-TRU4]]</f>
        <v>6</v>
      </c>
      <c r="AZ258">
        <f t="shared" si="100"/>
        <v>0.55555555555555558</v>
      </c>
      <c r="BA258" s="32">
        <f t="shared" si="101"/>
        <v>0.69444444444444431</v>
      </c>
      <c r="BB258" s="32">
        <f t="shared" si="102"/>
        <v>0.52777777777777779</v>
      </c>
      <c r="BC258" s="7">
        <f t="shared" si="103"/>
        <v>0.69444444444444431</v>
      </c>
      <c r="BD258" s="7">
        <f t="shared" si="104"/>
        <v>0.60185185185185175</v>
      </c>
      <c r="BE258">
        <f>step3_validation[[#This Row],[AI_OUT1]]</f>
        <v>8</v>
      </c>
      <c r="BF258">
        <f t="shared" si="105"/>
        <v>0.77777777777777779</v>
      </c>
      <c r="BG258">
        <f>survey_responses[[#This Row],[Sau khi xem xét các quyền lợi và nghĩa vụ, bạn có ủng hộ và tuân thủ chính sách mới hiện nay? - HUMAN-OUT1]]</f>
        <v>6</v>
      </c>
      <c r="BH258">
        <f t="shared" si="106"/>
        <v>0.55555555555555558</v>
      </c>
      <c r="BI258" s="32">
        <f t="shared" si="107"/>
        <v>2</v>
      </c>
    </row>
    <row r="259" spans="1:61" x14ac:dyDescent="0.45">
      <c r="A259" s="30">
        <f>step3_validation[[#This Row],[Persona_ID]]</f>
        <v>258</v>
      </c>
      <c r="B259" s="31">
        <f>step3_validation[[#This Row],[Used_Seed]]</f>
        <v>12602</v>
      </c>
      <c r="C259" t="str">
        <f>step3_validation[[#This Row],[Gender]]</f>
        <v>Nam</v>
      </c>
      <c r="D259" t="str">
        <f>survey_responses[[#This Row],[Giới tính của bạn:]]</f>
        <v>Nam</v>
      </c>
      <c r="E259" t="str">
        <f>step3_validation[[#This Row],[Age_Group]]</f>
        <v>40 - 49</v>
      </c>
      <c r="F259" t="str">
        <f>survey_responses[[#This Row],[Độ tuổi của bạn:]]</f>
        <v>40 - 49</v>
      </c>
      <c r="G259" t="str">
        <f>step3_validation[[#This Row],[Region]]</f>
        <v>Thành thị</v>
      </c>
      <c r="H259" t="str">
        <f>survey_responses[[#This Row],[Khu vực bạn đang sinh sống:]]</f>
        <v>Thành thị</v>
      </c>
      <c r="I259" t="str">
        <f>step3_validation[[#This Row],[Education]]</f>
        <v>Đại học</v>
      </c>
      <c r="J259" t="str">
        <f>survey_responses[[#This Row],[Trình độ học vấn cao nhất:]]</f>
        <v>Đại học</v>
      </c>
      <c r="K259" t="str">
        <f>step3_validation[[#This Row],[Employment]]</f>
        <v>Chính thức</v>
      </c>
      <c r="L259" t="str">
        <f>survey_responses[[#This Row],[Tình trạng việc làm chính:]]</f>
        <v>Khu vực chính thức (Có Hợp đồng lao động, đóng BHXH)</v>
      </c>
      <c r="M259">
        <f>step3_validation[[#This Row],[Income_Mil]]</f>
        <v>60.016750374929345</v>
      </c>
      <c r="N259" t="str">
        <f>survey_responses[[#This Row],[Thu nhập bình quân tháng theo Hợp đồng lao động của bạn là bao nhiêu? (Vui lòng điền tổng thu nhập trước khi khấu trừ các loại Bảo hiểm (BHXH, BHYT, BHTN) và Thuế TNCN)]]</f>
        <v>Từ 48 - 70 triệu VNĐ</v>
      </c>
      <c r="O259">
        <f>step3_validation[[#This Row],[Dependents]]</f>
        <v>2</v>
      </c>
      <c r="P259" t="str">
        <f>survey_responses[[#This Row],[Số người phụ thuộc (con nhỏ, cha mẹ già...) đủ điều kiện giảm trừ gia cảnh:]]</f>
        <v>2 người</v>
      </c>
      <c r="Q259">
        <f>step3_validation[[#This Row],[AI_ENF1]]</f>
        <v>6</v>
      </c>
      <c r="R259">
        <f t="shared" ref="R259:R322" si="108">(Q259-1)/9</f>
        <v>0.55555555555555558</v>
      </c>
      <c r="S259">
        <f>survey_responses[[#This Row],[Tôi tin rằng với các quy định quản lý thuế hiện nay, hành vi gian lận hoặc trốn thuế sẽ dễ dàng bị phát hiện và xử lý nghiêm. - HUMAN-ENF1]]</f>
        <v>6</v>
      </c>
      <c r="T259">
        <f t="shared" ref="T259:T322" si="109">(S259-1)/9</f>
        <v>0.55555555555555558</v>
      </c>
      <c r="U259">
        <f>step3_validation[[#This Row],[AI_ENF2]]</f>
        <v>7</v>
      </c>
      <c r="V259">
        <f t="shared" ref="V259:V322" si="110">(U259-1)/9</f>
        <v>0.66666666666666663</v>
      </c>
      <c r="W259">
        <f>survey_responses[[#This Row],[Tôi tin rằng Nhà nước, cơ quan thuế có đủ khả năng và công nghệ để phát hiện, xử lý nghiêm các hành vi trốn thuế. - HUMAN-ENF2]]</f>
        <v>7</v>
      </c>
      <c r="X259">
        <f t="shared" ref="X259:X322" si="111">(W259-1)/9</f>
        <v>0.66666666666666663</v>
      </c>
      <c r="Y259" s="32">
        <f t="shared" ref="Y259:Y322" si="112">AVERAGE(R259,V259)</f>
        <v>0.61111111111111116</v>
      </c>
      <c r="Z259" s="32">
        <f t="shared" ref="Z259:Z322" si="113">AVERAGE(T259,X259)</f>
        <v>0.61111111111111116</v>
      </c>
      <c r="AA259">
        <f>step3_validation[[#This Row],[AI_FAC1]]</f>
        <v>9</v>
      </c>
      <c r="AB259">
        <f t="shared" ref="AB259:AB322" si="114">(AA259-1)/9</f>
        <v>0.88888888888888884</v>
      </c>
      <c r="AC259">
        <f>survey_responses[[#This Row],[Các thủ tục khai báo thuế VÀ/HOẶC quy trình làm việc với cơ quan thuế đơn giản, tiện lợi, nhanh chóng hơn so với trước đây. - HUMAN-FAC1]]</f>
        <v>2</v>
      </c>
      <c r="AD259">
        <f t="shared" ref="AD259:AD322" si="115">(AC259-1)/9</f>
        <v>0.1111111111111111</v>
      </c>
      <c r="AE259">
        <f>step3_validation[[#This Row],[AI_FAC2]]</f>
        <v>8</v>
      </c>
      <c r="AF259">
        <f t="shared" ref="AF259:AF322" si="116">(AE259-1)/9</f>
        <v>0.77777777777777779</v>
      </c>
      <c r="AG259">
        <f>survey_responses[[#This Row],[So với trước đây, tôi thấy cách tính thuế và các bậc thuế trong phương án mới đơn giản, dễ hiểu và dễ thực hiện hơn. - HUMAN-FAC2]]</f>
        <v>7</v>
      </c>
      <c r="AH259">
        <f t="shared" ref="AH259:AH322" si="117">(AG259-1)/9</f>
        <v>0.66666666666666663</v>
      </c>
      <c r="AI259" s="32">
        <f t="shared" ref="AI259:AI322" si="118">AVERAGE(AB259,AF259)</f>
        <v>0.83333333333333326</v>
      </c>
      <c r="AJ259" s="32">
        <f t="shared" ref="AJ259:AJ322" si="119">AVERAGE(AD259,AH259)</f>
        <v>0.38888888888888884</v>
      </c>
      <c r="AK259">
        <f>step3_validation[[#This Row],[AI_TRU1]]</f>
        <v>7</v>
      </c>
      <c r="AL259">
        <f t="shared" ref="AL259:AL322" si="120">(AK259-1)/9</f>
        <v>0.66666666666666663</v>
      </c>
      <c r="AM259">
        <f>survey_responses[[#This Row],[Tôi tin rằng Nhà nước, cơ quan thuế sẽ thực thi chính sách mới một cách khách quan, công tâm và đối xử bình đẳng với mọi người nộp thuế.  - HUMAN-TRU1]]</f>
        <v>5</v>
      </c>
      <c r="AN259">
        <f t="shared" ref="AN259:AN322" si="121">(AM259-1)/9</f>
        <v>0.44444444444444442</v>
      </c>
      <c r="AO259">
        <f>step3_validation[[#This Row],[AI_TRU2]]</f>
        <v>9</v>
      </c>
      <c r="AP259">
        <f t="shared" ref="AP259:AP322" si="122">(AO259-1)/9</f>
        <v>0.88888888888888884</v>
      </c>
      <c r="AQ259">
        <f>survey_responses[[#This Row],[Tôi thấy mức thuế tôi phải đóng theo phương án mới là công bằng (người thu nhập như tôi đóng mức này là hợp lý). - HUMAN-TRU2]]</f>
        <v>5</v>
      </c>
      <c r="AR259">
        <f t="shared" ref="AR259:AR322" si="123">(AQ259-1)/9</f>
        <v>0.44444444444444442</v>
      </c>
      <c r="AS259">
        <f>step3_validation[[#This Row],[AI_TRU3]]</f>
        <v>8</v>
      </c>
      <c r="AT259">
        <f t="shared" ref="AT259:AT322" si="124">(AS259-1)/9</f>
        <v>0.77777777777777779</v>
      </c>
      <c r="AU259">
        <f>survey_responses[[#This Row],[Tôi tin tưởng số tiền thuế tôi đóng sẽ được Nhà nước sử dụng hiệu quả để cải thiện dịch vụ công (y tế, đường xá...). - HUMAN-TRU3]]</f>
        <v>5</v>
      </c>
      <c r="AV259">
        <f t="shared" ref="AV259:AV322" si="125">(AU259-1)/9</f>
        <v>0.44444444444444442</v>
      </c>
      <c r="AW259">
        <f>step3_validation[[#This Row],[AI_TRU4]]</f>
        <v>6</v>
      </c>
      <c r="AX259">
        <f t="shared" ref="AX259:AX322" si="126">(AW259-1)/9</f>
        <v>0.55555555555555558</v>
      </c>
      <c r="AY259">
        <f>survey_responses[[#This Row],[Tôi thấy Nhà nước đã giải thích rõ ràng, minh bạch về lý do và mục tiêu của việc sửa đổi thuế lần này. - HUMAN-TRU4]]</f>
        <v>6</v>
      </c>
      <c r="AZ259">
        <f t="shared" ref="AZ259:AZ322" si="127">(AY259-1)/9</f>
        <v>0.55555555555555558</v>
      </c>
      <c r="BA259" s="32">
        <f t="shared" ref="BA259:BA322" si="128">AVERAGE(AL259,AP259,AT259,AX259)</f>
        <v>0.7222222222222221</v>
      </c>
      <c r="BB259" s="32">
        <f t="shared" ref="BB259:BB322" si="129">AVERAGE(AN259,AR259,AV259,AZ259)</f>
        <v>0.47222222222222221</v>
      </c>
      <c r="BC259" s="7">
        <f t="shared" ref="BC259:BC322" si="130">(Y259+AI259+BA259)/3</f>
        <v>0.72222222222222221</v>
      </c>
      <c r="BD259" s="7">
        <f t="shared" ref="BD259:BD322" si="131">(Z259+AJ259+BB259)/3</f>
        <v>0.49074074074074076</v>
      </c>
      <c r="BE259">
        <f>step3_validation[[#This Row],[AI_OUT1]]</f>
        <v>8</v>
      </c>
      <c r="BF259">
        <f t="shared" ref="BF259:BF322" si="132">(BE259-1)/9</f>
        <v>0.77777777777777779</v>
      </c>
      <c r="BG259">
        <f>survey_responses[[#This Row],[Sau khi xem xét các quyền lợi và nghĩa vụ, bạn có ủng hộ và tuân thủ chính sách mới hiện nay? - HUMAN-OUT1]]</f>
        <v>5</v>
      </c>
      <c r="BH259">
        <f t="shared" ref="BH259:BH322" si="133">(BG259-1)/9</f>
        <v>0.44444444444444442</v>
      </c>
      <c r="BI259" s="32">
        <f t="shared" ref="BI259:BI322" si="134">ABS(BG259-BE259)</f>
        <v>3</v>
      </c>
    </row>
    <row r="260" spans="1:61" x14ac:dyDescent="0.45">
      <c r="A260" s="30">
        <f>step3_validation[[#This Row],[Persona_ID]]</f>
        <v>259</v>
      </c>
      <c r="B260" s="31">
        <f>step3_validation[[#This Row],[Used_Seed]]</f>
        <v>12603</v>
      </c>
      <c r="C260" t="str">
        <f>step3_validation[[#This Row],[Gender]]</f>
        <v>Nam</v>
      </c>
      <c r="D260" t="str">
        <f>survey_responses[[#This Row],[Giới tính của bạn:]]</f>
        <v>Nam</v>
      </c>
      <c r="E260" t="str">
        <f>step3_validation[[#This Row],[Age_Group]]</f>
        <v>50 - 54</v>
      </c>
      <c r="F260" t="str">
        <f>survey_responses[[#This Row],[Độ tuổi của bạn:]]</f>
        <v>50 - 54</v>
      </c>
      <c r="G260" t="str">
        <f>step3_validation[[#This Row],[Region]]</f>
        <v>Thành thị</v>
      </c>
      <c r="H260" t="str">
        <f>survey_responses[[#This Row],[Khu vực bạn đang sinh sống:]]</f>
        <v>Thành thị</v>
      </c>
      <c r="I260" t="str">
        <f>step3_validation[[#This Row],[Education]]</f>
        <v>Sau Đại học</v>
      </c>
      <c r="J260" t="str">
        <f>survey_responses[[#This Row],[Trình độ học vấn cao nhất:]]</f>
        <v>Sau Đại học</v>
      </c>
      <c r="K260" t="str">
        <f>step3_validation[[#This Row],[Employment]]</f>
        <v>Chính thức</v>
      </c>
      <c r="L260" t="str">
        <f>survey_responses[[#This Row],[Tình trạng việc làm chính:]]</f>
        <v>Khu vực chính thức (Có Hợp đồng lao động, đóng BHXH)</v>
      </c>
      <c r="M260">
        <f>step3_validation[[#This Row],[Income_Mil]]</f>
        <v>132.41059809018466</v>
      </c>
      <c r="N260" t="str">
        <f>survey_responses[[#This Row],[Thu nhập bình quân tháng theo Hợp đồng lao động của bạn là bao nhiêu? (Vui lòng điền tổng thu nhập trước khi khấu trừ các loại Bảo hiểm (BHXH, BHYT, BHTN) và Thuế TNCN)]]</f>
        <v>Trên 102 triệu VNĐ</v>
      </c>
      <c r="O260">
        <f>step3_validation[[#This Row],[Dependents]]</f>
        <v>4</v>
      </c>
      <c r="P260" t="str">
        <f>survey_responses[[#This Row],[Số người phụ thuộc (con nhỏ, cha mẹ già...) đủ điều kiện giảm trừ gia cảnh:]]</f>
        <v>4 người trở lên</v>
      </c>
      <c r="Q260">
        <f>step3_validation[[#This Row],[AI_ENF1]]</f>
        <v>7</v>
      </c>
      <c r="R260">
        <f t="shared" si="108"/>
        <v>0.66666666666666663</v>
      </c>
      <c r="S260">
        <f>survey_responses[[#This Row],[Tôi tin rằng với các quy định quản lý thuế hiện nay, hành vi gian lận hoặc trốn thuế sẽ dễ dàng bị phát hiện và xử lý nghiêm. - HUMAN-ENF1]]</f>
        <v>2</v>
      </c>
      <c r="T260">
        <f t="shared" si="109"/>
        <v>0.1111111111111111</v>
      </c>
      <c r="U260">
        <f>step3_validation[[#This Row],[AI_ENF2]]</f>
        <v>8</v>
      </c>
      <c r="V260">
        <f t="shared" si="110"/>
        <v>0.77777777777777779</v>
      </c>
      <c r="W260">
        <f>survey_responses[[#This Row],[Tôi tin rằng Nhà nước, cơ quan thuế có đủ khả năng và công nghệ để phát hiện, xử lý nghiêm các hành vi trốn thuế. - HUMAN-ENF2]]</f>
        <v>1</v>
      </c>
      <c r="X260">
        <f t="shared" si="111"/>
        <v>0</v>
      </c>
      <c r="Y260" s="32">
        <f t="shared" si="112"/>
        <v>0.72222222222222221</v>
      </c>
      <c r="Z260" s="32">
        <f t="shared" si="113"/>
        <v>5.5555555555555552E-2</v>
      </c>
      <c r="AA260">
        <f>step3_validation[[#This Row],[AI_FAC1]]</f>
        <v>6</v>
      </c>
      <c r="AB260">
        <f t="shared" si="114"/>
        <v>0.55555555555555558</v>
      </c>
      <c r="AC260">
        <f>survey_responses[[#This Row],[Các thủ tục khai báo thuế VÀ/HOẶC quy trình làm việc với cơ quan thuế đơn giản, tiện lợi, nhanh chóng hơn so với trước đây. - HUMAN-FAC1]]</f>
        <v>1</v>
      </c>
      <c r="AD260">
        <f t="shared" si="115"/>
        <v>0</v>
      </c>
      <c r="AE260">
        <f>step3_validation[[#This Row],[AI_FAC2]]</f>
        <v>8</v>
      </c>
      <c r="AF260">
        <f t="shared" si="116"/>
        <v>0.77777777777777779</v>
      </c>
      <c r="AG260">
        <f>survey_responses[[#This Row],[So với trước đây, tôi thấy cách tính thuế và các bậc thuế trong phương án mới đơn giản, dễ hiểu và dễ thực hiện hơn. - HUMAN-FAC2]]</f>
        <v>6</v>
      </c>
      <c r="AH260">
        <f t="shared" si="117"/>
        <v>0.55555555555555558</v>
      </c>
      <c r="AI260" s="32">
        <f t="shared" si="118"/>
        <v>0.66666666666666674</v>
      </c>
      <c r="AJ260" s="32">
        <f t="shared" si="119"/>
        <v>0.27777777777777779</v>
      </c>
      <c r="AK260">
        <f>step3_validation[[#This Row],[AI_TRU1]]</f>
        <v>7</v>
      </c>
      <c r="AL260">
        <f t="shared" si="120"/>
        <v>0.66666666666666663</v>
      </c>
      <c r="AM260">
        <f>survey_responses[[#This Row],[Tôi tin rằng Nhà nước, cơ quan thuế sẽ thực thi chính sách mới một cách khách quan, công tâm và đối xử bình đẳng với mọi người nộp thuế.  - HUMAN-TRU1]]</f>
        <v>2</v>
      </c>
      <c r="AN260">
        <f t="shared" si="121"/>
        <v>0.1111111111111111</v>
      </c>
      <c r="AO260">
        <f>step3_validation[[#This Row],[AI_TRU2]]</f>
        <v>9</v>
      </c>
      <c r="AP260">
        <f t="shared" si="122"/>
        <v>0.88888888888888884</v>
      </c>
      <c r="AQ260">
        <f>survey_responses[[#This Row],[Tôi thấy mức thuế tôi phải đóng theo phương án mới là công bằng (người thu nhập như tôi đóng mức này là hợp lý). - HUMAN-TRU2]]</f>
        <v>3</v>
      </c>
      <c r="AR260">
        <f t="shared" si="123"/>
        <v>0.22222222222222221</v>
      </c>
      <c r="AS260">
        <f>step3_validation[[#This Row],[AI_TRU3]]</f>
        <v>7</v>
      </c>
      <c r="AT260">
        <f t="shared" si="124"/>
        <v>0.66666666666666663</v>
      </c>
      <c r="AU260">
        <f>survey_responses[[#This Row],[Tôi tin tưởng số tiền thuế tôi đóng sẽ được Nhà nước sử dụng hiệu quả để cải thiện dịch vụ công (y tế, đường xá...). - HUMAN-TRU3]]</f>
        <v>1</v>
      </c>
      <c r="AV260">
        <f t="shared" si="125"/>
        <v>0</v>
      </c>
      <c r="AW260">
        <f>step3_validation[[#This Row],[AI_TRU4]]</f>
        <v>7</v>
      </c>
      <c r="AX260">
        <f t="shared" si="126"/>
        <v>0.66666666666666663</v>
      </c>
      <c r="AY260">
        <f>survey_responses[[#This Row],[Tôi thấy Nhà nước đã giải thích rõ ràng, minh bạch về lý do và mục tiêu của việc sửa đổi thuế lần này. - HUMAN-TRU4]]</f>
        <v>5</v>
      </c>
      <c r="AZ260">
        <f t="shared" si="127"/>
        <v>0.44444444444444442</v>
      </c>
      <c r="BA260" s="32">
        <f t="shared" si="128"/>
        <v>0.7222222222222221</v>
      </c>
      <c r="BB260" s="32">
        <f t="shared" si="129"/>
        <v>0.19444444444444442</v>
      </c>
      <c r="BC260" s="7">
        <f t="shared" si="130"/>
        <v>0.70370370370370361</v>
      </c>
      <c r="BD260" s="7">
        <f t="shared" si="131"/>
        <v>0.17592592592592593</v>
      </c>
      <c r="BE260">
        <f>step3_validation[[#This Row],[AI_OUT1]]</f>
        <v>9</v>
      </c>
      <c r="BF260">
        <f t="shared" si="132"/>
        <v>0.88888888888888884</v>
      </c>
      <c r="BG260">
        <f>survey_responses[[#This Row],[Sau khi xem xét các quyền lợi và nghĩa vụ, bạn có ủng hộ và tuân thủ chính sách mới hiện nay? - HUMAN-OUT1]]</f>
        <v>4</v>
      </c>
      <c r="BH260">
        <f t="shared" si="133"/>
        <v>0.33333333333333331</v>
      </c>
      <c r="BI260" s="32">
        <f t="shared" si="134"/>
        <v>5</v>
      </c>
    </row>
    <row r="261" spans="1:61" x14ac:dyDescent="0.45">
      <c r="A261" s="30">
        <f>step3_validation[[#This Row],[Persona_ID]]</f>
        <v>260</v>
      </c>
      <c r="B261" s="31">
        <f>step3_validation[[#This Row],[Used_Seed]]</f>
        <v>12604</v>
      </c>
      <c r="C261" t="str">
        <f>step3_validation[[#This Row],[Gender]]</f>
        <v>Nữ</v>
      </c>
      <c r="D261" t="str">
        <f>survey_responses[[#This Row],[Giới tính của bạn:]]</f>
        <v>Nữ</v>
      </c>
      <c r="E261" t="str">
        <f>step3_validation[[#This Row],[Age_Group]]</f>
        <v>30 - 39</v>
      </c>
      <c r="F261" t="str">
        <f>survey_responses[[#This Row],[Độ tuổi của bạn:]]</f>
        <v>30 - 39</v>
      </c>
      <c r="G261" t="str">
        <f>step3_validation[[#This Row],[Region]]</f>
        <v>Nông thôn</v>
      </c>
      <c r="H261" t="str">
        <f>survey_responses[[#This Row],[Khu vực bạn đang sinh sống:]]</f>
        <v>Nông thôn</v>
      </c>
      <c r="I261" t="str">
        <f>step3_validation[[#This Row],[Education]]</f>
        <v>Đại học</v>
      </c>
      <c r="J261" t="str">
        <f>survey_responses[[#This Row],[Trình độ học vấn cao nhất:]]</f>
        <v>Đại học</v>
      </c>
      <c r="K261" t="str">
        <f>step3_validation[[#This Row],[Employment]]</f>
        <v>Chính thức</v>
      </c>
      <c r="L261" t="str">
        <f>survey_responses[[#This Row],[Tình trạng việc làm chính:]]</f>
        <v>Khu vực chính thức (Có Hợp đồng lao động, đóng BHXH)</v>
      </c>
      <c r="M261">
        <f>step3_validation[[#This Row],[Income_Mil]]</f>
        <v>32.087303665472916</v>
      </c>
      <c r="N261" t="str">
        <f>survey_responses[[#This Row],[Thu nhập bình quân tháng theo Hợp đồng lao động của bạn là bao nhiêu? (Vui lòng điền tổng thu nhập trước khi khấu trừ các loại Bảo hiểm (BHXH, BHYT, BHTN) và Thuế TNCN)]]</f>
        <v>Từ 32 - 48 triệu VNĐ</v>
      </c>
      <c r="O261">
        <f>step3_validation[[#This Row],[Dependents]]</f>
        <v>2</v>
      </c>
      <c r="P261" t="str">
        <f>survey_responses[[#This Row],[Số người phụ thuộc (con nhỏ, cha mẹ già...) đủ điều kiện giảm trừ gia cảnh:]]</f>
        <v>2 người</v>
      </c>
      <c r="Q261">
        <f>step3_validation[[#This Row],[AI_ENF1]]</f>
        <v>6</v>
      </c>
      <c r="R261">
        <f t="shared" si="108"/>
        <v>0.55555555555555558</v>
      </c>
      <c r="S261">
        <f>survey_responses[[#This Row],[Tôi tin rằng với các quy định quản lý thuế hiện nay, hành vi gian lận hoặc trốn thuế sẽ dễ dàng bị phát hiện và xử lý nghiêm. - HUMAN-ENF1]]</f>
        <v>6</v>
      </c>
      <c r="T261">
        <f t="shared" si="109"/>
        <v>0.55555555555555558</v>
      </c>
      <c r="U261">
        <f>step3_validation[[#This Row],[AI_ENF2]]</f>
        <v>5</v>
      </c>
      <c r="V261">
        <f t="shared" si="110"/>
        <v>0.44444444444444442</v>
      </c>
      <c r="W261">
        <f>survey_responses[[#This Row],[Tôi tin rằng Nhà nước, cơ quan thuế có đủ khả năng và công nghệ để phát hiện, xử lý nghiêm các hành vi trốn thuế. - HUMAN-ENF2]]</f>
        <v>6</v>
      </c>
      <c r="X261">
        <f t="shared" si="111"/>
        <v>0.55555555555555558</v>
      </c>
      <c r="Y261" s="32">
        <f t="shared" si="112"/>
        <v>0.5</v>
      </c>
      <c r="Z261" s="32">
        <f t="shared" si="113"/>
        <v>0.55555555555555558</v>
      </c>
      <c r="AA261">
        <f>step3_validation[[#This Row],[AI_FAC1]]</f>
        <v>7</v>
      </c>
      <c r="AB261">
        <f t="shared" si="114"/>
        <v>0.66666666666666663</v>
      </c>
      <c r="AC261">
        <f>survey_responses[[#This Row],[Các thủ tục khai báo thuế VÀ/HOẶC quy trình làm việc với cơ quan thuế đơn giản, tiện lợi, nhanh chóng hơn so với trước đây. - HUMAN-FAC1]]</f>
        <v>7</v>
      </c>
      <c r="AD261">
        <f t="shared" si="115"/>
        <v>0.66666666666666663</v>
      </c>
      <c r="AE261">
        <f>step3_validation[[#This Row],[AI_FAC2]]</f>
        <v>8</v>
      </c>
      <c r="AF261">
        <f t="shared" si="116"/>
        <v>0.77777777777777779</v>
      </c>
      <c r="AG261">
        <f>survey_responses[[#This Row],[So với trước đây, tôi thấy cách tính thuế và các bậc thuế trong phương án mới đơn giản, dễ hiểu và dễ thực hiện hơn. - HUMAN-FAC2]]</f>
        <v>6</v>
      </c>
      <c r="AH261">
        <f t="shared" si="117"/>
        <v>0.55555555555555558</v>
      </c>
      <c r="AI261" s="32">
        <f t="shared" si="118"/>
        <v>0.72222222222222221</v>
      </c>
      <c r="AJ261" s="32">
        <f t="shared" si="119"/>
        <v>0.61111111111111116</v>
      </c>
      <c r="AK261">
        <f>step3_validation[[#This Row],[AI_TRU1]]</f>
        <v>7</v>
      </c>
      <c r="AL261">
        <f t="shared" si="120"/>
        <v>0.66666666666666663</v>
      </c>
      <c r="AM261">
        <f>survey_responses[[#This Row],[Tôi tin rằng Nhà nước, cơ quan thuế sẽ thực thi chính sách mới một cách khách quan, công tâm và đối xử bình đẳng với mọi người nộp thuế.  - HUMAN-TRU1]]</f>
        <v>5</v>
      </c>
      <c r="AN261">
        <f t="shared" si="121"/>
        <v>0.44444444444444442</v>
      </c>
      <c r="AO261">
        <f>step3_validation[[#This Row],[AI_TRU2]]</f>
        <v>9</v>
      </c>
      <c r="AP261">
        <f t="shared" si="122"/>
        <v>0.88888888888888884</v>
      </c>
      <c r="AQ261">
        <f>survey_responses[[#This Row],[Tôi thấy mức thuế tôi phải đóng theo phương án mới là công bằng (người thu nhập như tôi đóng mức này là hợp lý). - HUMAN-TRU2]]</f>
        <v>6</v>
      </c>
      <c r="AR261">
        <f t="shared" si="123"/>
        <v>0.55555555555555558</v>
      </c>
      <c r="AS261">
        <f>step3_validation[[#This Row],[AI_TRU3]]</f>
        <v>6</v>
      </c>
      <c r="AT261">
        <f t="shared" si="124"/>
        <v>0.55555555555555558</v>
      </c>
      <c r="AU261">
        <f>survey_responses[[#This Row],[Tôi tin tưởng số tiền thuế tôi đóng sẽ được Nhà nước sử dụng hiệu quả để cải thiện dịch vụ công (y tế, đường xá...). - HUMAN-TRU3]]</f>
        <v>5</v>
      </c>
      <c r="AV261">
        <f t="shared" si="125"/>
        <v>0.44444444444444442</v>
      </c>
      <c r="AW261">
        <f>step3_validation[[#This Row],[AI_TRU4]]</f>
        <v>7</v>
      </c>
      <c r="AX261">
        <f t="shared" si="126"/>
        <v>0.66666666666666663</v>
      </c>
      <c r="AY261">
        <f>survey_responses[[#This Row],[Tôi thấy Nhà nước đã giải thích rõ ràng, minh bạch về lý do và mục tiêu của việc sửa đổi thuế lần này. - HUMAN-TRU4]]</f>
        <v>6</v>
      </c>
      <c r="AZ261">
        <f t="shared" si="127"/>
        <v>0.55555555555555558</v>
      </c>
      <c r="BA261" s="32">
        <f t="shared" si="128"/>
        <v>0.69444444444444431</v>
      </c>
      <c r="BB261" s="32">
        <f t="shared" si="129"/>
        <v>0.5</v>
      </c>
      <c r="BC261" s="7">
        <f t="shared" si="130"/>
        <v>0.63888888888888884</v>
      </c>
      <c r="BD261" s="7">
        <f t="shared" si="131"/>
        <v>0.55555555555555558</v>
      </c>
      <c r="BE261">
        <f>step3_validation[[#This Row],[AI_OUT1]]</f>
        <v>9</v>
      </c>
      <c r="BF261">
        <f t="shared" si="132"/>
        <v>0.88888888888888884</v>
      </c>
      <c r="BG261">
        <f>survey_responses[[#This Row],[Sau khi xem xét các quyền lợi và nghĩa vụ, bạn có ủng hộ và tuân thủ chính sách mới hiện nay? - HUMAN-OUT1]]</f>
        <v>6</v>
      </c>
      <c r="BH261">
        <f t="shared" si="133"/>
        <v>0.55555555555555558</v>
      </c>
      <c r="BI261" s="32">
        <f t="shared" si="134"/>
        <v>3</v>
      </c>
    </row>
    <row r="262" spans="1:61" x14ac:dyDescent="0.45">
      <c r="A262" s="30">
        <f>step3_validation[[#This Row],[Persona_ID]]</f>
        <v>261</v>
      </c>
      <c r="B262" s="31">
        <f>step3_validation[[#This Row],[Used_Seed]]</f>
        <v>12605</v>
      </c>
      <c r="C262" t="str">
        <f>step3_validation[[#This Row],[Gender]]</f>
        <v>Nam</v>
      </c>
      <c r="D262" t="str">
        <f>survey_responses[[#This Row],[Giới tính của bạn:]]</f>
        <v>Nam</v>
      </c>
      <c r="E262" t="str">
        <f>step3_validation[[#This Row],[Age_Group]]</f>
        <v>30 - 39</v>
      </c>
      <c r="F262" t="str">
        <f>survey_responses[[#This Row],[Độ tuổi của bạn:]]</f>
        <v>30 - 39</v>
      </c>
      <c r="G262" t="str">
        <f>step3_validation[[#This Row],[Region]]</f>
        <v>Thành thị</v>
      </c>
      <c r="H262" t="str">
        <f>survey_responses[[#This Row],[Khu vực bạn đang sinh sống:]]</f>
        <v>Thành thị</v>
      </c>
      <c r="I262" t="str">
        <f>step3_validation[[#This Row],[Education]]</f>
        <v>Đại học</v>
      </c>
      <c r="J262" t="str">
        <f>survey_responses[[#This Row],[Trình độ học vấn cao nhất:]]</f>
        <v>Đại học</v>
      </c>
      <c r="K262" t="str">
        <f>step3_validation[[#This Row],[Employment]]</f>
        <v>Chính thức</v>
      </c>
      <c r="L262" t="str">
        <f>survey_responses[[#This Row],[Tình trạng việc làm chính:]]</f>
        <v>Khu vực chính thức (Có Hợp đồng lao động, đóng BHXH)</v>
      </c>
      <c r="M262">
        <f>step3_validation[[#This Row],[Income_Mil]]</f>
        <v>39.062928247312357</v>
      </c>
      <c r="N262" t="str">
        <f>survey_responses[[#This Row],[Thu nhập bình quân tháng theo Hợp đồng lao động của bạn là bao nhiêu? (Vui lòng điền tổng thu nhập trước khi khấu trừ các loại Bảo hiểm (BHXH, BHYT, BHTN) và Thuế TNCN)]]</f>
        <v>Từ 32 - 48 triệu VNĐ</v>
      </c>
      <c r="O262">
        <f>step3_validation[[#This Row],[Dependents]]</f>
        <v>1</v>
      </c>
      <c r="P262" t="str">
        <f>survey_responses[[#This Row],[Số người phụ thuộc (con nhỏ, cha mẹ già...) đủ điều kiện giảm trừ gia cảnh:]]</f>
        <v>1 người</v>
      </c>
      <c r="Q262">
        <f>step3_validation[[#This Row],[AI_ENF1]]</f>
        <v>7</v>
      </c>
      <c r="R262">
        <f t="shared" si="108"/>
        <v>0.66666666666666663</v>
      </c>
      <c r="S262">
        <f>survey_responses[[#This Row],[Tôi tin rằng với các quy định quản lý thuế hiện nay, hành vi gian lận hoặc trốn thuế sẽ dễ dàng bị phát hiện và xử lý nghiêm. - HUMAN-ENF1]]</f>
        <v>6</v>
      </c>
      <c r="T262">
        <f t="shared" si="109"/>
        <v>0.55555555555555558</v>
      </c>
      <c r="U262">
        <f>step3_validation[[#This Row],[AI_ENF2]]</f>
        <v>8</v>
      </c>
      <c r="V262">
        <f t="shared" si="110"/>
        <v>0.77777777777777779</v>
      </c>
      <c r="W262">
        <f>survey_responses[[#This Row],[Tôi tin rằng Nhà nước, cơ quan thuế có đủ khả năng và công nghệ để phát hiện, xử lý nghiêm các hành vi trốn thuế. - HUMAN-ENF2]]</f>
        <v>7</v>
      </c>
      <c r="X262">
        <f t="shared" si="111"/>
        <v>0.66666666666666663</v>
      </c>
      <c r="Y262" s="32">
        <f t="shared" si="112"/>
        <v>0.72222222222222221</v>
      </c>
      <c r="Z262" s="32">
        <f t="shared" si="113"/>
        <v>0.61111111111111116</v>
      </c>
      <c r="AA262">
        <f>step3_validation[[#This Row],[AI_FAC1]]</f>
        <v>9</v>
      </c>
      <c r="AB262">
        <f t="shared" si="114"/>
        <v>0.88888888888888884</v>
      </c>
      <c r="AC262">
        <f>survey_responses[[#This Row],[Các thủ tục khai báo thuế VÀ/HOẶC quy trình làm việc với cơ quan thuế đơn giản, tiện lợi, nhanh chóng hơn so với trước đây. - HUMAN-FAC1]]</f>
        <v>1</v>
      </c>
      <c r="AD262">
        <f t="shared" si="115"/>
        <v>0</v>
      </c>
      <c r="AE262">
        <f>step3_validation[[#This Row],[AI_FAC2]]</f>
        <v>9</v>
      </c>
      <c r="AF262">
        <f t="shared" si="116"/>
        <v>0.88888888888888884</v>
      </c>
      <c r="AG262">
        <f>survey_responses[[#This Row],[So với trước đây, tôi thấy cách tính thuế và các bậc thuế trong phương án mới đơn giản, dễ hiểu và dễ thực hiện hơn. - HUMAN-FAC2]]</f>
        <v>9</v>
      </c>
      <c r="AH262">
        <f t="shared" si="117"/>
        <v>0.88888888888888884</v>
      </c>
      <c r="AI262" s="32">
        <f t="shared" si="118"/>
        <v>0.88888888888888884</v>
      </c>
      <c r="AJ262" s="32">
        <f t="shared" si="119"/>
        <v>0.44444444444444442</v>
      </c>
      <c r="AK262">
        <f>step3_validation[[#This Row],[AI_TRU1]]</f>
        <v>8</v>
      </c>
      <c r="AL262">
        <f t="shared" si="120"/>
        <v>0.77777777777777779</v>
      </c>
      <c r="AM262">
        <f>survey_responses[[#This Row],[Tôi tin rằng Nhà nước, cơ quan thuế sẽ thực thi chính sách mới một cách khách quan, công tâm và đối xử bình đẳng với mọi người nộp thuế.  - HUMAN-TRU1]]</f>
        <v>5</v>
      </c>
      <c r="AN262">
        <f t="shared" si="121"/>
        <v>0.44444444444444442</v>
      </c>
      <c r="AO262">
        <f>step3_validation[[#This Row],[AI_TRU2]]</f>
        <v>9</v>
      </c>
      <c r="AP262">
        <f t="shared" si="122"/>
        <v>0.88888888888888884</v>
      </c>
      <c r="AQ262">
        <f>survey_responses[[#This Row],[Tôi thấy mức thuế tôi phải đóng theo phương án mới là công bằng (người thu nhập như tôi đóng mức này là hợp lý). - HUMAN-TRU2]]</f>
        <v>4</v>
      </c>
      <c r="AR262">
        <f t="shared" si="123"/>
        <v>0.33333333333333331</v>
      </c>
      <c r="AS262">
        <f>step3_validation[[#This Row],[AI_TRU3]]</f>
        <v>8</v>
      </c>
      <c r="AT262">
        <f t="shared" si="124"/>
        <v>0.77777777777777779</v>
      </c>
      <c r="AU262">
        <f>survey_responses[[#This Row],[Tôi tin tưởng số tiền thuế tôi đóng sẽ được Nhà nước sử dụng hiệu quả để cải thiện dịch vụ công (y tế, đường xá...). - HUMAN-TRU3]]</f>
        <v>4</v>
      </c>
      <c r="AV262">
        <f t="shared" si="125"/>
        <v>0.33333333333333331</v>
      </c>
      <c r="AW262">
        <f>step3_validation[[#This Row],[AI_TRU4]]</f>
        <v>9</v>
      </c>
      <c r="AX262">
        <f t="shared" si="126"/>
        <v>0.88888888888888884</v>
      </c>
      <c r="AY262">
        <f>survey_responses[[#This Row],[Tôi thấy Nhà nước đã giải thích rõ ràng, minh bạch về lý do và mục tiêu của việc sửa đổi thuế lần này. - HUMAN-TRU4]]</f>
        <v>5</v>
      </c>
      <c r="AZ262">
        <f t="shared" si="127"/>
        <v>0.44444444444444442</v>
      </c>
      <c r="BA262" s="32">
        <f t="shared" si="128"/>
        <v>0.83333333333333326</v>
      </c>
      <c r="BB262" s="32">
        <f t="shared" si="129"/>
        <v>0.38888888888888884</v>
      </c>
      <c r="BC262" s="7">
        <f t="shared" si="130"/>
        <v>0.81481481481481488</v>
      </c>
      <c r="BD262" s="7">
        <f t="shared" si="131"/>
        <v>0.48148148148148145</v>
      </c>
      <c r="BE262">
        <f>step3_validation[[#This Row],[AI_OUT1]]</f>
        <v>8</v>
      </c>
      <c r="BF262">
        <f t="shared" si="132"/>
        <v>0.77777777777777779</v>
      </c>
      <c r="BG262">
        <f>survey_responses[[#This Row],[Sau khi xem xét các quyền lợi và nghĩa vụ, bạn có ủng hộ và tuân thủ chính sách mới hiện nay? - HUMAN-OUT1]]</f>
        <v>5</v>
      </c>
      <c r="BH262">
        <f t="shared" si="133"/>
        <v>0.44444444444444442</v>
      </c>
      <c r="BI262" s="32">
        <f t="shared" si="134"/>
        <v>3</v>
      </c>
    </row>
    <row r="263" spans="1:61" x14ac:dyDescent="0.45">
      <c r="A263" s="30">
        <f>step3_validation[[#This Row],[Persona_ID]]</f>
        <v>262</v>
      </c>
      <c r="B263" s="31">
        <f>step3_validation[[#This Row],[Used_Seed]]</f>
        <v>12606</v>
      </c>
      <c r="C263" t="str">
        <f>step3_validation[[#This Row],[Gender]]</f>
        <v>Nam</v>
      </c>
      <c r="D263" t="str">
        <f>survey_responses[[#This Row],[Giới tính của bạn:]]</f>
        <v>Nam</v>
      </c>
      <c r="E263" t="str">
        <f>step3_validation[[#This Row],[Age_Group]]</f>
        <v>30 - 39</v>
      </c>
      <c r="F263" t="str">
        <f>survey_responses[[#This Row],[Độ tuổi của bạn:]]</f>
        <v>30 - 39</v>
      </c>
      <c r="G263" t="str">
        <f>step3_validation[[#This Row],[Region]]</f>
        <v>Thành thị</v>
      </c>
      <c r="H263" t="str">
        <f>survey_responses[[#This Row],[Khu vực bạn đang sinh sống:]]</f>
        <v>Thành thị</v>
      </c>
      <c r="I263" t="str">
        <f>step3_validation[[#This Row],[Education]]</f>
        <v>Đại học</v>
      </c>
      <c r="J263" t="str">
        <f>survey_responses[[#This Row],[Trình độ học vấn cao nhất:]]</f>
        <v>Đại học</v>
      </c>
      <c r="K263" t="str">
        <f>step3_validation[[#This Row],[Employment]]</f>
        <v>Chính thức</v>
      </c>
      <c r="L263" t="str">
        <f>survey_responses[[#This Row],[Tình trạng việc làm chính:]]</f>
        <v>Khu vực chính thức (Có Hợp đồng lao động, đóng BHXH)</v>
      </c>
      <c r="M263">
        <f>step3_validation[[#This Row],[Income_Mil]]</f>
        <v>48.343753354470955</v>
      </c>
      <c r="N263" t="str">
        <f>survey_responses[[#This Row],[Thu nhập bình quân tháng theo Hợp đồng lao động của bạn là bao nhiêu? (Vui lòng điền tổng thu nhập trước khi khấu trừ các loại Bảo hiểm (BHXH, BHYT, BHTN) và Thuế TNCN)]]</f>
        <v>Từ 48 - 70 triệu VNĐ</v>
      </c>
      <c r="O263">
        <f>step3_validation[[#This Row],[Dependents]]</f>
        <v>4</v>
      </c>
      <c r="P263" t="str">
        <f>survey_responses[[#This Row],[Số người phụ thuộc (con nhỏ, cha mẹ già...) đủ điều kiện giảm trừ gia cảnh:]]</f>
        <v>4 người trở lên</v>
      </c>
      <c r="Q263">
        <f>step3_validation[[#This Row],[AI_ENF1]]</f>
        <v>7</v>
      </c>
      <c r="R263">
        <f t="shared" si="108"/>
        <v>0.66666666666666663</v>
      </c>
      <c r="S263">
        <f>survey_responses[[#This Row],[Tôi tin rằng với các quy định quản lý thuế hiện nay, hành vi gian lận hoặc trốn thuế sẽ dễ dàng bị phát hiện và xử lý nghiêm. - HUMAN-ENF1]]</f>
        <v>9</v>
      </c>
      <c r="T263">
        <f t="shared" si="109"/>
        <v>0.88888888888888884</v>
      </c>
      <c r="U263">
        <f>step3_validation[[#This Row],[AI_ENF2]]</f>
        <v>8</v>
      </c>
      <c r="V263">
        <f t="shared" si="110"/>
        <v>0.77777777777777779</v>
      </c>
      <c r="W263">
        <f>survey_responses[[#This Row],[Tôi tin rằng Nhà nước, cơ quan thuế có đủ khả năng và công nghệ để phát hiện, xử lý nghiêm các hành vi trốn thuế. - HUMAN-ENF2]]</f>
        <v>9</v>
      </c>
      <c r="X263">
        <f t="shared" si="111"/>
        <v>0.88888888888888884</v>
      </c>
      <c r="Y263" s="32">
        <f t="shared" si="112"/>
        <v>0.72222222222222221</v>
      </c>
      <c r="Z263" s="32">
        <f t="shared" si="113"/>
        <v>0.88888888888888884</v>
      </c>
      <c r="AA263">
        <f>step3_validation[[#This Row],[AI_FAC1]]</f>
        <v>9</v>
      </c>
      <c r="AB263">
        <f t="shared" si="114"/>
        <v>0.88888888888888884</v>
      </c>
      <c r="AC263">
        <f>survey_responses[[#This Row],[Các thủ tục khai báo thuế VÀ/HOẶC quy trình làm việc với cơ quan thuế đơn giản, tiện lợi, nhanh chóng hơn so với trước đây. - HUMAN-FAC1]]</f>
        <v>8</v>
      </c>
      <c r="AD263">
        <f t="shared" si="115"/>
        <v>0.77777777777777779</v>
      </c>
      <c r="AE263">
        <f>step3_validation[[#This Row],[AI_FAC2]]</f>
        <v>9</v>
      </c>
      <c r="AF263">
        <f t="shared" si="116"/>
        <v>0.88888888888888884</v>
      </c>
      <c r="AG263">
        <f>survey_responses[[#This Row],[So với trước đây, tôi thấy cách tính thuế và các bậc thuế trong phương án mới đơn giản, dễ hiểu và dễ thực hiện hơn. - HUMAN-FAC2]]</f>
        <v>9</v>
      </c>
      <c r="AH263">
        <f t="shared" si="117"/>
        <v>0.88888888888888884</v>
      </c>
      <c r="AI263" s="32">
        <f t="shared" si="118"/>
        <v>0.88888888888888884</v>
      </c>
      <c r="AJ263" s="32">
        <f t="shared" si="119"/>
        <v>0.83333333333333326</v>
      </c>
      <c r="AK263">
        <f>step3_validation[[#This Row],[AI_TRU1]]</f>
        <v>8</v>
      </c>
      <c r="AL263">
        <f t="shared" si="120"/>
        <v>0.77777777777777779</v>
      </c>
      <c r="AM263">
        <f>survey_responses[[#This Row],[Tôi tin rằng Nhà nước, cơ quan thuế sẽ thực thi chính sách mới một cách khách quan, công tâm và đối xử bình đẳng với mọi người nộp thuế.  - HUMAN-TRU1]]</f>
        <v>8</v>
      </c>
      <c r="AN263">
        <f t="shared" si="121"/>
        <v>0.77777777777777779</v>
      </c>
      <c r="AO263">
        <f>step3_validation[[#This Row],[AI_TRU2]]</f>
        <v>9</v>
      </c>
      <c r="AP263">
        <f t="shared" si="122"/>
        <v>0.88888888888888884</v>
      </c>
      <c r="AQ263">
        <f>survey_responses[[#This Row],[Tôi thấy mức thuế tôi phải đóng theo phương án mới là công bằng (người thu nhập như tôi đóng mức này là hợp lý). - HUMAN-TRU2]]</f>
        <v>9</v>
      </c>
      <c r="AR263">
        <f t="shared" si="123"/>
        <v>0.88888888888888884</v>
      </c>
      <c r="AS263">
        <f>step3_validation[[#This Row],[AI_TRU3]]</f>
        <v>8</v>
      </c>
      <c r="AT263">
        <f t="shared" si="124"/>
        <v>0.77777777777777779</v>
      </c>
      <c r="AU263">
        <f>survey_responses[[#This Row],[Tôi tin tưởng số tiền thuế tôi đóng sẽ được Nhà nước sử dụng hiệu quả để cải thiện dịch vụ công (y tế, đường xá...). - HUMAN-TRU3]]</f>
        <v>9</v>
      </c>
      <c r="AV263">
        <f t="shared" si="125"/>
        <v>0.88888888888888884</v>
      </c>
      <c r="AW263">
        <f>step3_validation[[#This Row],[AI_TRU4]]</f>
        <v>9</v>
      </c>
      <c r="AX263">
        <f t="shared" si="126"/>
        <v>0.88888888888888884</v>
      </c>
      <c r="AY263">
        <f>survey_responses[[#This Row],[Tôi thấy Nhà nước đã giải thích rõ ràng, minh bạch về lý do và mục tiêu của việc sửa đổi thuế lần này. - HUMAN-TRU4]]</f>
        <v>8</v>
      </c>
      <c r="AZ263">
        <f t="shared" si="127"/>
        <v>0.77777777777777779</v>
      </c>
      <c r="BA263" s="32">
        <f t="shared" si="128"/>
        <v>0.83333333333333326</v>
      </c>
      <c r="BB263" s="32">
        <f t="shared" si="129"/>
        <v>0.83333333333333326</v>
      </c>
      <c r="BC263" s="7">
        <f t="shared" si="130"/>
        <v>0.81481481481481488</v>
      </c>
      <c r="BD263" s="7">
        <f t="shared" si="131"/>
        <v>0.85185185185185175</v>
      </c>
      <c r="BE263">
        <f>step3_validation[[#This Row],[AI_OUT1]]</f>
        <v>10</v>
      </c>
      <c r="BF263">
        <f t="shared" si="132"/>
        <v>1</v>
      </c>
      <c r="BG263">
        <f>survey_responses[[#This Row],[Sau khi xem xét các quyền lợi và nghĩa vụ, bạn có ủng hộ và tuân thủ chính sách mới hiện nay? - HUMAN-OUT1]]</f>
        <v>8</v>
      </c>
      <c r="BH263">
        <f t="shared" si="133"/>
        <v>0.77777777777777779</v>
      </c>
      <c r="BI263" s="32">
        <f t="shared" si="134"/>
        <v>2</v>
      </c>
    </row>
    <row r="264" spans="1:61" x14ac:dyDescent="0.45">
      <c r="A264" s="30">
        <f>step3_validation[[#This Row],[Persona_ID]]</f>
        <v>263</v>
      </c>
      <c r="B264" s="31">
        <f>step3_validation[[#This Row],[Used_Seed]]</f>
        <v>12607</v>
      </c>
      <c r="C264" t="str">
        <f>step3_validation[[#This Row],[Gender]]</f>
        <v>Nam</v>
      </c>
      <c r="D264" t="str">
        <f>survey_responses[[#This Row],[Giới tính của bạn:]]</f>
        <v>Nam</v>
      </c>
      <c r="E264" t="str">
        <f>step3_validation[[#This Row],[Age_Group]]</f>
        <v>30 - 39</v>
      </c>
      <c r="F264" t="str">
        <f>survey_responses[[#This Row],[Độ tuổi của bạn:]]</f>
        <v>30 - 39</v>
      </c>
      <c r="G264" t="str">
        <f>step3_validation[[#This Row],[Region]]</f>
        <v>Thành thị</v>
      </c>
      <c r="H264" t="str">
        <f>survey_responses[[#This Row],[Khu vực bạn đang sinh sống:]]</f>
        <v>Thành thị</v>
      </c>
      <c r="I264" t="str">
        <f>step3_validation[[#This Row],[Education]]</f>
        <v>Sau Đại học</v>
      </c>
      <c r="J264" t="str">
        <f>survey_responses[[#This Row],[Trình độ học vấn cao nhất:]]</f>
        <v>Sau Đại học</v>
      </c>
      <c r="K264" t="str">
        <f>step3_validation[[#This Row],[Employment]]</f>
        <v>Chính thức</v>
      </c>
      <c r="L264" t="str">
        <f>survey_responses[[#This Row],[Tình trạng việc làm chính:]]</f>
        <v>Khu vực chính thức (Có Hợp đồng lao động, đóng BHXH)</v>
      </c>
      <c r="M264">
        <f>step3_validation[[#This Row],[Income_Mil]]</f>
        <v>96.582099489997503</v>
      </c>
      <c r="N264" t="str">
        <f>survey_responses[[#This Row],[Thu nhập bình quân tháng theo Hợp đồng lao động của bạn là bao nhiêu? (Vui lòng điền tổng thu nhập trước khi khấu trừ các loại Bảo hiểm (BHXH, BHYT, BHTN) và Thuế TNCN)]]</f>
        <v>Từ 70 - 102 triệu VNĐ</v>
      </c>
      <c r="O264">
        <f>step3_validation[[#This Row],[Dependents]]</f>
        <v>3</v>
      </c>
      <c r="P264" t="str">
        <f>survey_responses[[#This Row],[Số người phụ thuộc (con nhỏ, cha mẹ già...) đủ điều kiện giảm trừ gia cảnh:]]</f>
        <v>3 người</v>
      </c>
      <c r="Q264">
        <f>step3_validation[[#This Row],[AI_ENF1]]</f>
        <v>8</v>
      </c>
      <c r="R264">
        <f t="shared" si="108"/>
        <v>0.77777777777777779</v>
      </c>
      <c r="S264">
        <f>survey_responses[[#This Row],[Tôi tin rằng với các quy định quản lý thuế hiện nay, hành vi gian lận hoặc trốn thuế sẽ dễ dàng bị phát hiện và xử lý nghiêm. - HUMAN-ENF1]]</f>
        <v>8</v>
      </c>
      <c r="T264">
        <f t="shared" si="109"/>
        <v>0.77777777777777779</v>
      </c>
      <c r="U264">
        <f>step3_validation[[#This Row],[AI_ENF2]]</f>
        <v>9</v>
      </c>
      <c r="V264">
        <f t="shared" si="110"/>
        <v>0.88888888888888884</v>
      </c>
      <c r="W264">
        <f>survey_responses[[#This Row],[Tôi tin rằng Nhà nước, cơ quan thuế có đủ khả năng và công nghệ để phát hiện, xử lý nghiêm các hành vi trốn thuế. - HUMAN-ENF2]]</f>
        <v>8</v>
      </c>
      <c r="X264">
        <f t="shared" si="111"/>
        <v>0.77777777777777779</v>
      </c>
      <c r="Y264" s="32">
        <f t="shared" si="112"/>
        <v>0.83333333333333326</v>
      </c>
      <c r="Z264" s="32">
        <f t="shared" si="113"/>
        <v>0.77777777777777779</v>
      </c>
      <c r="AA264">
        <f>step3_validation[[#This Row],[AI_FAC1]]</f>
        <v>8</v>
      </c>
      <c r="AB264">
        <f t="shared" si="114"/>
        <v>0.77777777777777779</v>
      </c>
      <c r="AC264">
        <f>survey_responses[[#This Row],[Các thủ tục khai báo thuế VÀ/HOẶC quy trình làm việc với cơ quan thuế đơn giản, tiện lợi, nhanh chóng hơn so với trước đây. - HUMAN-FAC1]]</f>
        <v>5</v>
      </c>
      <c r="AD264">
        <f t="shared" si="115"/>
        <v>0.44444444444444442</v>
      </c>
      <c r="AE264">
        <f>step3_validation[[#This Row],[AI_FAC2]]</f>
        <v>9</v>
      </c>
      <c r="AF264">
        <f t="shared" si="116"/>
        <v>0.88888888888888884</v>
      </c>
      <c r="AG264">
        <f>survey_responses[[#This Row],[So với trước đây, tôi thấy cách tính thuế và các bậc thuế trong phương án mới đơn giản, dễ hiểu và dễ thực hiện hơn. - HUMAN-FAC2]]</f>
        <v>7</v>
      </c>
      <c r="AH264">
        <f t="shared" si="117"/>
        <v>0.66666666666666663</v>
      </c>
      <c r="AI264" s="32">
        <f t="shared" si="118"/>
        <v>0.83333333333333326</v>
      </c>
      <c r="AJ264" s="32">
        <f t="shared" si="119"/>
        <v>0.55555555555555558</v>
      </c>
      <c r="AK264">
        <f>step3_validation[[#This Row],[AI_TRU1]]</f>
        <v>8</v>
      </c>
      <c r="AL264">
        <f t="shared" si="120"/>
        <v>0.77777777777777779</v>
      </c>
      <c r="AM264">
        <f>survey_responses[[#This Row],[Tôi tin rằng Nhà nước, cơ quan thuế sẽ thực thi chính sách mới một cách khách quan, công tâm và đối xử bình đẳng với mọi người nộp thuế.  - HUMAN-TRU1]]</f>
        <v>7</v>
      </c>
      <c r="AN264">
        <f t="shared" si="121"/>
        <v>0.66666666666666663</v>
      </c>
      <c r="AO264">
        <f>step3_validation[[#This Row],[AI_TRU2]]</f>
        <v>9</v>
      </c>
      <c r="AP264">
        <f t="shared" si="122"/>
        <v>0.88888888888888884</v>
      </c>
      <c r="AQ264">
        <f>survey_responses[[#This Row],[Tôi thấy mức thuế tôi phải đóng theo phương án mới là công bằng (người thu nhập như tôi đóng mức này là hợp lý). - HUMAN-TRU2]]</f>
        <v>5</v>
      </c>
      <c r="AR264">
        <f t="shared" si="123"/>
        <v>0.44444444444444442</v>
      </c>
      <c r="AS264">
        <f>step3_validation[[#This Row],[AI_TRU3]]</f>
        <v>8</v>
      </c>
      <c r="AT264">
        <f t="shared" si="124"/>
        <v>0.77777777777777779</v>
      </c>
      <c r="AU264">
        <f>survey_responses[[#This Row],[Tôi tin tưởng số tiền thuế tôi đóng sẽ được Nhà nước sử dụng hiệu quả để cải thiện dịch vụ công (y tế, đường xá...). - HUMAN-TRU3]]</f>
        <v>5</v>
      </c>
      <c r="AV264">
        <f t="shared" si="125"/>
        <v>0.44444444444444442</v>
      </c>
      <c r="AW264">
        <f>step3_validation[[#This Row],[AI_TRU4]]</f>
        <v>9</v>
      </c>
      <c r="AX264">
        <f t="shared" si="126"/>
        <v>0.88888888888888884</v>
      </c>
      <c r="AY264">
        <f>survey_responses[[#This Row],[Tôi thấy Nhà nước đã giải thích rõ ràng, minh bạch về lý do và mục tiêu của việc sửa đổi thuế lần này. - HUMAN-TRU4]]</f>
        <v>6</v>
      </c>
      <c r="AZ264">
        <f t="shared" si="127"/>
        <v>0.55555555555555558</v>
      </c>
      <c r="BA264" s="32">
        <f t="shared" si="128"/>
        <v>0.83333333333333326</v>
      </c>
      <c r="BB264" s="32">
        <f t="shared" si="129"/>
        <v>0.52777777777777779</v>
      </c>
      <c r="BC264" s="7">
        <f t="shared" si="130"/>
        <v>0.83333333333333337</v>
      </c>
      <c r="BD264" s="7">
        <f t="shared" si="131"/>
        <v>0.62037037037037035</v>
      </c>
      <c r="BE264">
        <f>step3_validation[[#This Row],[AI_OUT1]]</f>
        <v>8</v>
      </c>
      <c r="BF264">
        <f t="shared" si="132"/>
        <v>0.77777777777777779</v>
      </c>
      <c r="BG264">
        <f>survey_responses[[#This Row],[Sau khi xem xét các quyền lợi và nghĩa vụ, bạn có ủng hộ và tuân thủ chính sách mới hiện nay? - HUMAN-OUT1]]</f>
        <v>6</v>
      </c>
      <c r="BH264">
        <f t="shared" si="133"/>
        <v>0.55555555555555558</v>
      </c>
      <c r="BI264" s="32">
        <f t="shared" si="134"/>
        <v>2</v>
      </c>
    </row>
    <row r="265" spans="1:61" x14ac:dyDescent="0.45">
      <c r="A265" s="30">
        <f>step3_validation[[#This Row],[Persona_ID]]</f>
        <v>264</v>
      </c>
      <c r="B265" s="31">
        <f>step3_validation[[#This Row],[Used_Seed]]</f>
        <v>12608</v>
      </c>
      <c r="C265" t="str">
        <f>step3_validation[[#This Row],[Gender]]</f>
        <v>Nam</v>
      </c>
      <c r="D265" t="str">
        <f>survey_responses[[#This Row],[Giới tính của bạn:]]</f>
        <v>Nam</v>
      </c>
      <c r="E265" t="str">
        <f>step3_validation[[#This Row],[Age_Group]]</f>
        <v>40 - 49</v>
      </c>
      <c r="F265" t="str">
        <f>survey_responses[[#This Row],[Độ tuổi của bạn:]]</f>
        <v>40 - 49</v>
      </c>
      <c r="G265" t="str">
        <f>step3_validation[[#This Row],[Region]]</f>
        <v>Thành thị</v>
      </c>
      <c r="H265" t="str">
        <f>survey_responses[[#This Row],[Khu vực bạn đang sinh sống:]]</f>
        <v>Thành thị</v>
      </c>
      <c r="I265" t="str">
        <f>step3_validation[[#This Row],[Education]]</f>
        <v>Sau Đại học</v>
      </c>
      <c r="J265" t="str">
        <f>survey_responses[[#This Row],[Trình độ học vấn cao nhất:]]</f>
        <v>Sau Đại học</v>
      </c>
      <c r="K265" t="str">
        <f>step3_validation[[#This Row],[Employment]]</f>
        <v>Chính thức</v>
      </c>
      <c r="L265" t="str">
        <f>survey_responses[[#This Row],[Tình trạng việc làm chính:]]</f>
        <v>Khu vực chính thức (Có Hợp đồng lao động, đóng BHXH)</v>
      </c>
      <c r="M265">
        <f>step3_validation[[#This Row],[Income_Mil]]</f>
        <v>192.82303663729419</v>
      </c>
      <c r="N265" t="str">
        <f>survey_responses[[#This Row],[Thu nhập bình quân tháng theo Hợp đồng lao động của bạn là bao nhiêu? (Vui lòng điền tổng thu nhập trước khi khấu trừ các loại Bảo hiểm (BHXH, BHYT, BHTN) và Thuế TNCN)]]</f>
        <v>Trên 102 triệu VNĐ</v>
      </c>
      <c r="O265">
        <f>step3_validation[[#This Row],[Dependents]]</f>
        <v>3</v>
      </c>
      <c r="P265" t="str">
        <f>survey_responses[[#This Row],[Số người phụ thuộc (con nhỏ, cha mẹ già...) đủ điều kiện giảm trừ gia cảnh:]]</f>
        <v>3 người</v>
      </c>
      <c r="Q265">
        <f>step3_validation[[#This Row],[AI_ENF1]]</f>
        <v>6</v>
      </c>
      <c r="R265">
        <f t="shared" si="108"/>
        <v>0.55555555555555558</v>
      </c>
      <c r="S265">
        <f>survey_responses[[#This Row],[Tôi tin rằng với các quy định quản lý thuế hiện nay, hành vi gian lận hoặc trốn thuế sẽ dễ dàng bị phát hiện và xử lý nghiêm. - HUMAN-ENF1]]</f>
        <v>7</v>
      </c>
      <c r="T265">
        <f t="shared" si="109"/>
        <v>0.66666666666666663</v>
      </c>
      <c r="U265">
        <f>step3_validation[[#This Row],[AI_ENF2]]</f>
        <v>7</v>
      </c>
      <c r="V265">
        <f t="shared" si="110"/>
        <v>0.66666666666666663</v>
      </c>
      <c r="W265">
        <f>survey_responses[[#This Row],[Tôi tin rằng Nhà nước, cơ quan thuế có đủ khả năng và công nghệ để phát hiện, xử lý nghiêm các hành vi trốn thuế. - HUMAN-ENF2]]</f>
        <v>7</v>
      </c>
      <c r="X265">
        <f t="shared" si="111"/>
        <v>0.66666666666666663</v>
      </c>
      <c r="Y265" s="32">
        <f t="shared" si="112"/>
        <v>0.61111111111111116</v>
      </c>
      <c r="Z265" s="32">
        <f t="shared" si="113"/>
        <v>0.66666666666666663</v>
      </c>
      <c r="AA265">
        <f>step3_validation[[#This Row],[AI_FAC1]]</f>
        <v>9</v>
      </c>
      <c r="AB265">
        <f t="shared" si="114"/>
        <v>0.88888888888888884</v>
      </c>
      <c r="AC265">
        <f>survey_responses[[#This Row],[Các thủ tục khai báo thuế VÀ/HOẶC quy trình làm việc với cơ quan thuế đơn giản, tiện lợi, nhanh chóng hơn so với trước đây. - HUMAN-FAC1]]</f>
        <v>7</v>
      </c>
      <c r="AD265">
        <f t="shared" si="115"/>
        <v>0.66666666666666663</v>
      </c>
      <c r="AE265">
        <f>step3_validation[[#This Row],[AI_FAC2]]</f>
        <v>8</v>
      </c>
      <c r="AF265">
        <f t="shared" si="116"/>
        <v>0.77777777777777779</v>
      </c>
      <c r="AG265">
        <f>survey_responses[[#This Row],[So với trước đây, tôi thấy cách tính thuế và các bậc thuế trong phương án mới đơn giản, dễ hiểu và dễ thực hiện hơn. - HUMAN-FAC2]]</f>
        <v>8</v>
      </c>
      <c r="AH265">
        <f t="shared" si="117"/>
        <v>0.77777777777777779</v>
      </c>
      <c r="AI265" s="32">
        <f t="shared" si="118"/>
        <v>0.83333333333333326</v>
      </c>
      <c r="AJ265" s="32">
        <f t="shared" si="119"/>
        <v>0.72222222222222221</v>
      </c>
      <c r="AK265">
        <f>step3_validation[[#This Row],[AI_TRU1]]</f>
        <v>7</v>
      </c>
      <c r="AL265">
        <f t="shared" si="120"/>
        <v>0.66666666666666663</v>
      </c>
      <c r="AM265">
        <f>survey_responses[[#This Row],[Tôi tin rằng Nhà nước, cơ quan thuế sẽ thực thi chính sách mới một cách khách quan, công tâm và đối xử bình đẳng với mọi người nộp thuế.  - HUMAN-TRU1]]</f>
        <v>7</v>
      </c>
      <c r="AN265">
        <f t="shared" si="121"/>
        <v>0.66666666666666663</v>
      </c>
      <c r="AO265">
        <f>step3_validation[[#This Row],[AI_TRU2]]</f>
        <v>9</v>
      </c>
      <c r="AP265">
        <f t="shared" si="122"/>
        <v>0.88888888888888884</v>
      </c>
      <c r="AQ265">
        <f>survey_responses[[#This Row],[Tôi thấy mức thuế tôi phải đóng theo phương án mới là công bằng (người thu nhập như tôi đóng mức này là hợp lý). - HUMAN-TRU2]]</f>
        <v>7</v>
      </c>
      <c r="AR265">
        <f t="shared" si="123"/>
        <v>0.66666666666666663</v>
      </c>
      <c r="AS265">
        <f>step3_validation[[#This Row],[AI_TRU3]]</f>
        <v>8</v>
      </c>
      <c r="AT265">
        <f t="shared" si="124"/>
        <v>0.77777777777777779</v>
      </c>
      <c r="AU265">
        <f>survey_responses[[#This Row],[Tôi tin tưởng số tiền thuế tôi đóng sẽ được Nhà nước sử dụng hiệu quả để cải thiện dịch vụ công (y tế, đường xá...). - HUMAN-TRU3]]</f>
        <v>7</v>
      </c>
      <c r="AV265">
        <f t="shared" si="125"/>
        <v>0.66666666666666663</v>
      </c>
      <c r="AW265">
        <f>step3_validation[[#This Row],[AI_TRU4]]</f>
        <v>7</v>
      </c>
      <c r="AX265">
        <f t="shared" si="126"/>
        <v>0.66666666666666663</v>
      </c>
      <c r="AY265">
        <f>survey_responses[[#This Row],[Tôi thấy Nhà nước đã giải thích rõ ràng, minh bạch về lý do và mục tiêu của việc sửa đổi thuế lần này. - HUMAN-TRU4]]</f>
        <v>7</v>
      </c>
      <c r="AZ265">
        <f t="shared" si="127"/>
        <v>0.66666666666666663</v>
      </c>
      <c r="BA265" s="32">
        <f t="shared" si="128"/>
        <v>0.74999999999999989</v>
      </c>
      <c r="BB265" s="32">
        <f t="shared" si="129"/>
        <v>0.66666666666666663</v>
      </c>
      <c r="BC265" s="7">
        <f t="shared" si="130"/>
        <v>0.7314814814814814</v>
      </c>
      <c r="BD265" s="7">
        <f t="shared" si="131"/>
        <v>0.68518518518518512</v>
      </c>
      <c r="BE265">
        <f>step3_validation[[#This Row],[AI_OUT1]]</f>
        <v>9</v>
      </c>
      <c r="BF265">
        <f t="shared" si="132"/>
        <v>0.88888888888888884</v>
      </c>
      <c r="BG265">
        <f>survey_responses[[#This Row],[Sau khi xem xét các quyền lợi và nghĩa vụ, bạn có ủng hộ và tuân thủ chính sách mới hiện nay? - HUMAN-OUT1]]</f>
        <v>7</v>
      </c>
      <c r="BH265">
        <f t="shared" si="133"/>
        <v>0.66666666666666663</v>
      </c>
      <c r="BI265" s="32">
        <f t="shared" si="134"/>
        <v>2</v>
      </c>
    </row>
    <row r="266" spans="1:61" x14ac:dyDescent="0.45">
      <c r="A266" s="30">
        <f>step3_validation[[#This Row],[Persona_ID]]</f>
        <v>265</v>
      </c>
      <c r="B266" s="31">
        <f>step3_validation[[#This Row],[Used_Seed]]</f>
        <v>12609</v>
      </c>
      <c r="C266" t="str">
        <f>step3_validation[[#This Row],[Gender]]</f>
        <v>Nữ</v>
      </c>
      <c r="D266" t="str">
        <f>survey_responses[[#This Row],[Giới tính của bạn:]]</f>
        <v>Nữ</v>
      </c>
      <c r="E266" t="str">
        <f>step3_validation[[#This Row],[Age_Group]]</f>
        <v>30 - 39</v>
      </c>
      <c r="F266" t="str">
        <f>survey_responses[[#This Row],[Độ tuổi của bạn:]]</f>
        <v>30 - 39</v>
      </c>
      <c r="G266" t="str">
        <f>step3_validation[[#This Row],[Region]]</f>
        <v>Thành thị</v>
      </c>
      <c r="H266" t="str">
        <f>survey_responses[[#This Row],[Khu vực bạn đang sinh sống:]]</f>
        <v>Thành thị</v>
      </c>
      <c r="I266" t="str">
        <f>step3_validation[[#This Row],[Education]]</f>
        <v>Đại học</v>
      </c>
      <c r="J266" t="str">
        <f>survey_responses[[#This Row],[Trình độ học vấn cao nhất:]]</f>
        <v>Đại học</v>
      </c>
      <c r="K266" t="str">
        <f>step3_validation[[#This Row],[Employment]]</f>
        <v>Chính thức</v>
      </c>
      <c r="L266" t="str">
        <f>survey_responses[[#This Row],[Tình trạng việc làm chính:]]</f>
        <v>Khu vực chính thức (Có Hợp đồng lao động, đóng BHXH)</v>
      </c>
      <c r="M266">
        <f>step3_validation[[#This Row],[Income_Mil]]</f>
        <v>27.961883857566292</v>
      </c>
      <c r="N266" t="str">
        <f>survey_responses[[#This Row],[Thu nhập bình quân tháng theo Hợp đồng lao động của bạn là bao nhiêu? (Vui lòng điền tổng thu nhập trước khi khấu trừ các loại Bảo hiểm (BHXH, BHYT, BHTN) và Thuế TNCN)]]</f>
        <v>Từ 23 - 32 triệu VNĐ</v>
      </c>
      <c r="O266">
        <f>step3_validation[[#This Row],[Dependents]]</f>
        <v>0</v>
      </c>
      <c r="P266" t="str">
        <f>survey_responses[[#This Row],[Số người phụ thuộc (con nhỏ, cha mẹ già...) đủ điều kiện giảm trừ gia cảnh:]]</f>
        <v>0 người</v>
      </c>
      <c r="Q266">
        <f>step3_validation[[#This Row],[AI_ENF1]]</f>
        <v>9</v>
      </c>
      <c r="R266">
        <f t="shared" si="108"/>
        <v>0.88888888888888884</v>
      </c>
      <c r="S266">
        <f>survey_responses[[#This Row],[Tôi tin rằng với các quy định quản lý thuế hiện nay, hành vi gian lận hoặc trốn thuế sẽ dễ dàng bị phát hiện và xử lý nghiêm. - HUMAN-ENF1]]</f>
        <v>6</v>
      </c>
      <c r="T266">
        <f t="shared" si="109"/>
        <v>0.55555555555555558</v>
      </c>
      <c r="U266">
        <f>step3_validation[[#This Row],[AI_ENF2]]</f>
        <v>8</v>
      </c>
      <c r="V266">
        <f t="shared" si="110"/>
        <v>0.77777777777777779</v>
      </c>
      <c r="W266">
        <f>survey_responses[[#This Row],[Tôi tin rằng Nhà nước, cơ quan thuế có đủ khả năng và công nghệ để phát hiện, xử lý nghiêm các hành vi trốn thuế. - HUMAN-ENF2]]</f>
        <v>5</v>
      </c>
      <c r="X266">
        <f t="shared" si="111"/>
        <v>0.44444444444444442</v>
      </c>
      <c r="Y266" s="32">
        <f t="shared" si="112"/>
        <v>0.83333333333333326</v>
      </c>
      <c r="Z266" s="32">
        <f t="shared" si="113"/>
        <v>0.5</v>
      </c>
      <c r="AA266">
        <f>step3_validation[[#This Row],[AI_FAC1]]</f>
        <v>9</v>
      </c>
      <c r="AB266">
        <f t="shared" si="114"/>
        <v>0.88888888888888884</v>
      </c>
      <c r="AC266">
        <f>survey_responses[[#This Row],[Các thủ tục khai báo thuế VÀ/HOẶC quy trình làm việc với cơ quan thuế đơn giản, tiện lợi, nhanh chóng hơn so với trước đây. - HUMAN-FAC1]]</f>
        <v>5</v>
      </c>
      <c r="AD266">
        <f t="shared" si="115"/>
        <v>0.44444444444444442</v>
      </c>
      <c r="AE266">
        <f>step3_validation[[#This Row],[AI_FAC2]]</f>
        <v>10</v>
      </c>
      <c r="AF266">
        <f t="shared" si="116"/>
        <v>1</v>
      </c>
      <c r="AG266">
        <f>survey_responses[[#This Row],[So với trước đây, tôi thấy cách tính thuế và các bậc thuế trong phương án mới đơn giản, dễ hiểu và dễ thực hiện hơn. - HUMAN-FAC2]]</f>
        <v>7</v>
      </c>
      <c r="AH266">
        <f t="shared" si="117"/>
        <v>0.66666666666666663</v>
      </c>
      <c r="AI266" s="32">
        <f t="shared" si="118"/>
        <v>0.94444444444444442</v>
      </c>
      <c r="AJ266" s="32">
        <f t="shared" si="119"/>
        <v>0.55555555555555558</v>
      </c>
      <c r="AK266">
        <f>step3_validation[[#This Row],[AI_TRU1]]</f>
        <v>9</v>
      </c>
      <c r="AL266">
        <f t="shared" si="120"/>
        <v>0.88888888888888884</v>
      </c>
      <c r="AM266">
        <f>survey_responses[[#This Row],[Tôi tin rằng Nhà nước, cơ quan thuế sẽ thực thi chính sách mới một cách khách quan, công tâm và đối xử bình đẳng với mọi người nộp thuế.  - HUMAN-TRU1]]</f>
        <v>6</v>
      </c>
      <c r="AN266">
        <f t="shared" si="121"/>
        <v>0.55555555555555558</v>
      </c>
      <c r="AO266">
        <f>step3_validation[[#This Row],[AI_TRU2]]</f>
        <v>9</v>
      </c>
      <c r="AP266">
        <f t="shared" si="122"/>
        <v>0.88888888888888884</v>
      </c>
      <c r="AQ266">
        <f>survey_responses[[#This Row],[Tôi thấy mức thuế tôi phải đóng theo phương án mới là công bằng (người thu nhập như tôi đóng mức này là hợp lý). - HUMAN-TRU2]]</f>
        <v>7</v>
      </c>
      <c r="AR266">
        <f t="shared" si="123"/>
        <v>0.66666666666666663</v>
      </c>
      <c r="AS266">
        <f>step3_validation[[#This Row],[AI_TRU3]]</f>
        <v>9</v>
      </c>
      <c r="AT266">
        <f t="shared" si="124"/>
        <v>0.88888888888888884</v>
      </c>
      <c r="AU266">
        <f>survey_responses[[#This Row],[Tôi tin tưởng số tiền thuế tôi đóng sẽ được Nhà nước sử dụng hiệu quả để cải thiện dịch vụ công (y tế, đường xá...). - HUMAN-TRU3]]</f>
        <v>5</v>
      </c>
      <c r="AV266">
        <f t="shared" si="125"/>
        <v>0.44444444444444442</v>
      </c>
      <c r="AW266">
        <f>step3_validation[[#This Row],[AI_TRU4]]</f>
        <v>7</v>
      </c>
      <c r="AX266">
        <f t="shared" si="126"/>
        <v>0.66666666666666663</v>
      </c>
      <c r="AY266">
        <f>survey_responses[[#This Row],[Tôi thấy Nhà nước đã giải thích rõ ràng, minh bạch về lý do và mục tiêu của việc sửa đổi thuế lần này. - HUMAN-TRU4]]</f>
        <v>6</v>
      </c>
      <c r="AZ266">
        <f t="shared" si="127"/>
        <v>0.55555555555555558</v>
      </c>
      <c r="BA266" s="32">
        <f t="shared" si="128"/>
        <v>0.83333333333333326</v>
      </c>
      <c r="BB266" s="32">
        <f t="shared" si="129"/>
        <v>0.55555555555555558</v>
      </c>
      <c r="BC266" s="7">
        <f t="shared" si="130"/>
        <v>0.87037037037037024</v>
      </c>
      <c r="BD266" s="7">
        <f t="shared" si="131"/>
        <v>0.53703703703703709</v>
      </c>
      <c r="BE266">
        <f>step3_validation[[#This Row],[AI_OUT1]]</f>
        <v>8</v>
      </c>
      <c r="BF266">
        <f t="shared" si="132"/>
        <v>0.77777777777777779</v>
      </c>
      <c r="BG266">
        <f>survey_responses[[#This Row],[Sau khi xem xét các quyền lợi và nghĩa vụ, bạn có ủng hộ và tuân thủ chính sách mới hiện nay? - HUMAN-OUT1]]</f>
        <v>6</v>
      </c>
      <c r="BH266">
        <f t="shared" si="133"/>
        <v>0.55555555555555558</v>
      </c>
      <c r="BI266" s="32">
        <f t="shared" si="134"/>
        <v>2</v>
      </c>
    </row>
    <row r="267" spans="1:61" x14ac:dyDescent="0.45">
      <c r="A267" s="30">
        <f>step3_validation[[#This Row],[Persona_ID]]</f>
        <v>266</v>
      </c>
      <c r="B267" s="31">
        <f>step3_validation[[#This Row],[Used_Seed]]</f>
        <v>12610</v>
      </c>
      <c r="C267" t="str">
        <f>step3_validation[[#This Row],[Gender]]</f>
        <v>Nữ</v>
      </c>
      <c r="D267" t="str">
        <f>survey_responses[[#This Row],[Giới tính của bạn:]]</f>
        <v>Nữ</v>
      </c>
      <c r="E267" t="str">
        <f>step3_validation[[#This Row],[Age_Group]]</f>
        <v>50 - 54</v>
      </c>
      <c r="F267" t="str">
        <f>survey_responses[[#This Row],[Độ tuổi của bạn:]]</f>
        <v>50 - 54</v>
      </c>
      <c r="G267" t="str">
        <f>step3_validation[[#This Row],[Region]]</f>
        <v>Thành thị</v>
      </c>
      <c r="H267" t="str">
        <f>survey_responses[[#This Row],[Khu vực bạn đang sinh sống:]]</f>
        <v>Thành thị</v>
      </c>
      <c r="I267" t="str">
        <f>step3_validation[[#This Row],[Education]]</f>
        <v>Đại học</v>
      </c>
      <c r="J267" t="str">
        <f>survey_responses[[#This Row],[Trình độ học vấn cao nhất:]]</f>
        <v>Đại học</v>
      </c>
      <c r="K267" t="str">
        <f>step3_validation[[#This Row],[Employment]]</f>
        <v>Chính thức</v>
      </c>
      <c r="L267" t="str">
        <f>survey_responses[[#This Row],[Tình trạng việc làm chính:]]</f>
        <v>Khu vực chính thức (Có Hợp đồng lao động, đóng BHXH)</v>
      </c>
      <c r="M267">
        <f>step3_validation[[#This Row],[Income_Mil]]</f>
        <v>48.07318258724181</v>
      </c>
      <c r="N267" t="str">
        <f>survey_responses[[#This Row],[Thu nhập bình quân tháng theo Hợp đồng lao động của bạn là bao nhiêu? (Vui lòng điền tổng thu nhập trước khi khấu trừ các loại Bảo hiểm (BHXH, BHYT, BHTN) và Thuế TNCN)]]</f>
        <v>Từ 48 - 70 triệu VNĐ</v>
      </c>
      <c r="O267">
        <f>step3_validation[[#This Row],[Dependents]]</f>
        <v>3</v>
      </c>
      <c r="P267" t="str">
        <f>survey_responses[[#This Row],[Số người phụ thuộc (con nhỏ, cha mẹ già...) đủ điều kiện giảm trừ gia cảnh:]]</f>
        <v>3 người</v>
      </c>
      <c r="Q267">
        <f>step3_validation[[#This Row],[AI_ENF1]]</f>
        <v>7</v>
      </c>
      <c r="R267">
        <f t="shared" si="108"/>
        <v>0.66666666666666663</v>
      </c>
      <c r="S267">
        <f>survey_responses[[#This Row],[Tôi tin rằng với các quy định quản lý thuế hiện nay, hành vi gian lận hoặc trốn thuế sẽ dễ dàng bị phát hiện và xử lý nghiêm. - HUMAN-ENF1]]</f>
        <v>7</v>
      </c>
      <c r="T267">
        <f t="shared" si="109"/>
        <v>0.66666666666666663</v>
      </c>
      <c r="U267">
        <f>step3_validation[[#This Row],[AI_ENF2]]</f>
        <v>8</v>
      </c>
      <c r="V267">
        <f t="shared" si="110"/>
        <v>0.77777777777777779</v>
      </c>
      <c r="W267">
        <f>survey_responses[[#This Row],[Tôi tin rằng Nhà nước, cơ quan thuế có đủ khả năng và công nghệ để phát hiện, xử lý nghiêm các hành vi trốn thuế. - HUMAN-ENF2]]</f>
        <v>6</v>
      </c>
      <c r="X267">
        <f t="shared" si="111"/>
        <v>0.55555555555555558</v>
      </c>
      <c r="Y267" s="32">
        <f t="shared" si="112"/>
        <v>0.72222222222222221</v>
      </c>
      <c r="Z267" s="32">
        <f t="shared" si="113"/>
        <v>0.61111111111111116</v>
      </c>
      <c r="AA267">
        <f>step3_validation[[#This Row],[AI_FAC1]]</f>
        <v>9</v>
      </c>
      <c r="AB267">
        <f t="shared" si="114"/>
        <v>0.88888888888888884</v>
      </c>
      <c r="AC267">
        <f>survey_responses[[#This Row],[Các thủ tục khai báo thuế VÀ/HOẶC quy trình làm việc với cơ quan thuế đơn giản, tiện lợi, nhanh chóng hơn so với trước đây. - HUMAN-FAC1]]</f>
        <v>6</v>
      </c>
      <c r="AD267">
        <f t="shared" si="115"/>
        <v>0.55555555555555558</v>
      </c>
      <c r="AE267">
        <f>step3_validation[[#This Row],[AI_FAC2]]</f>
        <v>10</v>
      </c>
      <c r="AF267">
        <f t="shared" si="116"/>
        <v>1</v>
      </c>
      <c r="AG267">
        <f>survey_responses[[#This Row],[So với trước đây, tôi thấy cách tính thuế và các bậc thuế trong phương án mới đơn giản, dễ hiểu và dễ thực hiện hơn. - HUMAN-FAC2]]</f>
        <v>6</v>
      </c>
      <c r="AH267">
        <f t="shared" si="117"/>
        <v>0.55555555555555558</v>
      </c>
      <c r="AI267" s="32">
        <f t="shared" si="118"/>
        <v>0.94444444444444442</v>
      </c>
      <c r="AJ267" s="32">
        <f t="shared" si="119"/>
        <v>0.55555555555555558</v>
      </c>
      <c r="AK267">
        <f>step3_validation[[#This Row],[AI_TRU1]]</f>
        <v>9</v>
      </c>
      <c r="AL267">
        <f t="shared" si="120"/>
        <v>0.88888888888888884</v>
      </c>
      <c r="AM267">
        <f>survey_responses[[#This Row],[Tôi tin rằng Nhà nước, cơ quan thuế sẽ thực thi chính sách mới một cách khách quan, công tâm và đối xử bình đẳng với mọi người nộp thuế.  - HUMAN-TRU1]]</f>
        <v>7</v>
      </c>
      <c r="AN267">
        <f t="shared" si="121"/>
        <v>0.66666666666666663</v>
      </c>
      <c r="AO267">
        <f>step3_validation[[#This Row],[AI_TRU2]]</f>
        <v>8</v>
      </c>
      <c r="AP267">
        <f t="shared" si="122"/>
        <v>0.77777777777777779</v>
      </c>
      <c r="AQ267">
        <f>survey_responses[[#This Row],[Tôi thấy mức thuế tôi phải đóng theo phương án mới là công bằng (người thu nhập như tôi đóng mức này là hợp lý). - HUMAN-TRU2]]</f>
        <v>7</v>
      </c>
      <c r="AR267">
        <f t="shared" si="123"/>
        <v>0.66666666666666663</v>
      </c>
      <c r="AS267">
        <f>step3_validation[[#This Row],[AI_TRU3]]</f>
        <v>9</v>
      </c>
      <c r="AT267">
        <f t="shared" si="124"/>
        <v>0.88888888888888884</v>
      </c>
      <c r="AU267">
        <f>survey_responses[[#This Row],[Tôi tin tưởng số tiền thuế tôi đóng sẽ được Nhà nước sử dụng hiệu quả để cải thiện dịch vụ công (y tế, đường xá...). - HUMAN-TRU3]]</f>
        <v>7</v>
      </c>
      <c r="AV267">
        <f t="shared" si="125"/>
        <v>0.66666666666666663</v>
      </c>
      <c r="AW267">
        <f>step3_validation[[#This Row],[AI_TRU4]]</f>
        <v>8</v>
      </c>
      <c r="AX267">
        <f t="shared" si="126"/>
        <v>0.77777777777777779</v>
      </c>
      <c r="AY267">
        <f>survey_responses[[#This Row],[Tôi thấy Nhà nước đã giải thích rõ ràng, minh bạch về lý do và mục tiêu của việc sửa đổi thuế lần này. - HUMAN-TRU4]]</f>
        <v>7</v>
      </c>
      <c r="AZ267">
        <f t="shared" si="127"/>
        <v>0.66666666666666663</v>
      </c>
      <c r="BA267" s="32">
        <f t="shared" si="128"/>
        <v>0.83333333333333326</v>
      </c>
      <c r="BB267" s="32">
        <f t="shared" si="129"/>
        <v>0.66666666666666663</v>
      </c>
      <c r="BC267" s="7">
        <f t="shared" si="130"/>
        <v>0.83333333333333337</v>
      </c>
      <c r="BD267" s="7">
        <f t="shared" si="131"/>
        <v>0.61111111111111116</v>
      </c>
      <c r="BE267">
        <f>step3_validation[[#This Row],[AI_OUT1]]</f>
        <v>9</v>
      </c>
      <c r="BF267">
        <f t="shared" si="132"/>
        <v>0.88888888888888884</v>
      </c>
      <c r="BG267">
        <f>survey_responses[[#This Row],[Sau khi xem xét các quyền lợi và nghĩa vụ, bạn có ủng hộ và tuân thủ chính sách mới hiện nay? - HUMAN-OUT1]]</f>
        <v>7</v>
      </c>
      <c r="BH267">
        <f t="shared" si="133"/>
        <v>0.66666666666666663</v>
      </c>
      <c r="BI267" s="32">
        <f t="shared" si="134"/>
        <v>2</v>
      </c>
    </row>
    <row r="268" spans="1:61" x14ac:dyDescent="0.45">
      <c r="A268" s="30">
        <f>step3_validation[[#This Row],[Persona_ID]]</f>
        <v>267</v>
      </c>
      <c r="B268" s="31">
        <f>step3_validation[[#This Row],[Used_Seed]]</f>
        <v>12611</v>
      </c>
      <c r="C268" t="str">
        <f>step3_validation[[#This Row],[Gender]]</f>
        <v>Nam</v>
      </c>
      <c r="D268" t="str">
        <f>survey_responses[[#This Row],[Giới tính của bạn:]]</f>
        <v>Nam</v>
      </c>
      <c r="E268" t="str">
        <f>step3_validation[[#This Row],[Age_Group]]</f>
        <v>40 - 49</v>
      </c>
      <c r="F268" t="str">
        <f>survey_responses[[#This Row],[Độ tuổi của bạn:]]</f>
        <v>40 - 49</v>
      </c>
      <c r="G268" t="str">
        <f>step3_validation[[#This Row],[Region]]</f>
        <v>Thành thị</v>
      </c>
      <c r="H268" t="str">
        <f>survey_responses[[#This Row],[Khu vực bạn đang sinh sống:]]</f>
        <v>Thành thị</v>
      </c>
      <c r="I268" t="str">
        <f>step3_validation[[#This Row],[Education]]</f>
        <v>Sau Đại học</v>
      </c>
      <c r="J268" t="str">
        <f>survey_responses[[#This Row],[Trình độ học vấn cao nhất:]]</f>
        <v>Sau Đại học</v>
      </c>
      <c r="K268" t="str">
        <f>step3_validation[[#This Row],[Employment]]</f>
        <v>Chính thức</v>
      </c>
      <c r="L268" t="str">
        <f>survey_responses[[#This Row],[Tình trạng việc làm chính:]]</f>
        <v>Khu vực chính thức (Có Hợp đồng lao động, đóng BHXH)</v>
      </c>
      <c r="M268">
        <f>step3_validation[[#This Row],[Income_Mil]]</f>
        <v>52.976593671361009</v>
      </c>
      <c r="N268" t="str">
        <f>survey_responses[[#This Row],[Thu nhập bình quân tháng theo Hợp đồng lao động của bạn là bao nhiêu? (Vui lòng điền tổng thu nhập trước khi khấu trừ các loại Bảo hiểm (BHXH, BHYT, BHTN) và Thuế TNCN)]]</f>
        <v>Từ 48 - 70 triệu VNĐ</v>
      </c>
      <c r="O268">
        <f>step3_validation[[#This Row],[Dependents]]</f>
        <v>2</v>
      </c>
      <c r="P268" t="str">
        <f>survey_responses[[#This Row],[Số người phụ thuộc (con nhỏ, cha mẹ già...) đủ điều kiện giảm trừ gia cảnh:]]</f>
        <v>2 người</v>
      </c>
      <c r="Q268">
        <f>step3_validation[[#This Row],[AI_ENF1]]</f>
        <v>6</v>
      </c>
      <c r="R268">
        <f t="shared" si="108"/>
        <v>0.55555555555555558</v>
      </c>
      <c r="S268">
        <f>survey_responses[[#This Row],[Tôi tin rằng với các quy định quản lý thuế hiện nay, hành vi gian lận hoặc trốn thuế sẽ dễ dàng bị phát hiện và xử lý nghiêm. - HUMAN-ENF1]]</f>
        <v>6</v>
      </c>
      <c r="T268">
        <f t="shared" si="109"/>
        <v>0.55555555555555558</v>
      </c>
      <c r="U268">
        <f>step3_validation[[#This Row],[AI_ENF2]]</f>
        <v>8</v>
      </c>
      <c r="V268">
        <f t="shared" si="110"/>
        <v>0.77777777777777779</v>
      </c>
      <c r="W268">
        <f>survey_responses[[#This Row],[Tôi tin rằng Nhà nước, cơ quan thuế có đủ khả năng và công nghệ để phát hiện, xử lý nghiêm các hành vi trốn thuế. - HUMAN-ENF2]]</f>
        <v>7</v>
      </c>
      <c r="X268">
        <f t="shared" si="111"/>
        <v>0.66666666666666663</v>
      </c>
      <c r="Y268" s="32">
        <f t="shared" si="112"/>
        <v>0.66666666666666674</v>
      </c>
      <c r="Z268" s="32">
        <f t="shared" si="113"/>
        <v>0.61111111111111116</v>
      </c>
      <c r="AA268">
        <f>step3_validation[[#This Row],[AI_FAC1]]</f>
        <v>7</v>
      </c>
      <c r="AB268">
        <f t="shared" si="114"/>
        <v>0.66666666666666663</v>
      </c>
      <c r="AC268">
        <f>survey_responses[[#This Row],[Các thủ tục khai báo thuế VÀ/HOẶC quy trình làm việc với cơ quan thuế đơn giản, tiện lợi, nhanh chóng hơn so với trước đây. - HUMAN-FAC1]]</f>
        <v>7</v>
      </c>
      <c r="AD268">
        <f t="shared" si="115"/>
        <v>0.66666666666666663</v>
      </c>
      <c r="AE268">
        <f>step3_validation[[#This Row],[AI_FAC2]]</f>
        <v>9</v>
      </c>
      <c r="AF268">
        <f t="shared" si="116"/>
        <v>0.88888888888888884</v>
      </c>
      <c r="AG268">
        <f>survey_responses[[#This Row],[So với trước đây, tôi thấy cách tính thuế và các bậc thuế trong phương án mới đơn giản, dễ hiểu và dễ thực hiện hơn. - HUMAN-FAC2]]</f>
        <v>6</v>
      </c>
      <c r="AH268">
        <f t="shared" si="117"/>
        <v>0.55555555555555558</v>
      </c>
      <c r="AI268" s="32">
        <f t="shared" si="118"/>
        <v>0.77777777777777768</v>
      </c>
      <c r="AJ268" s="32">
        <f t="shared" si="119"/>
        <v>0.61111111111111116</v>
      </c>
      <c r="AK268">
        <f>step3_validation[[#This Row],[AI_TRU1]]</f>
        <v>8</v>
      </c>
      <c r="AL268">
        <f t="shared" si="120"/>
        <v>0.77777777777777779</v>
      </c>
      <c r="AM268">
        <f>survey_responses[[#This Row],[Tôi tin rằng Nhà nước, cơ quan thuế sẽ thực thi chính sách mới một cách khách quan, công tâm và đối xử bình đẳng với mọi người nộp thuế.  - HUMAN-TRU1]]</f>
        <v>6</v>
      </c>
      <c r="AN268">
        <f t="shared" si="121"/>
        <v>0.55555555555555558</v>
      </c>
      <c r="AO268">
        <f>step3_validation[[#This Row],[AI_TRU2]]</f>
        <v>9</v>
      </c>
      <c r="AP268">
        <f t="shared" si="122"/>
        <v>0.88888888888888884</v>
      </c>
      <c r="AQ268">
        <f>survey_responses[[#This Row],[Tôi thấy mức thuế tôi phải đóng theo phương án mới là công bằng (người thu nhập như tôi đóng mức này là hợp lý). - HUMAN-TRU2]]</f>
        <v>6</v>
      </c>
      <c r="AR268">
        <f t="shared" si="123"/>
        <v>0.55555555555555558</v>
      </c>
      <c r="AS268">
        <f>step3_validation[[#This Row],[AI_TRU3]]</f>
        <v>8</v>
      </c>
      <c r="AT268">
        <f t="shared" si="124"/>
        <v>0.77777777777777779</v>
      </c>
      <c r="AU268">
        <f>survey_responses[[#This Row],[Tôi tin tưởng số tiền thuế tôi đóng sẽ được Nhà nước sử dụng hiệu quả để cải thiện dịch vụ công (y tế, đường xá...). - HUMAN-TRU3]]</f>
        <v>6</v>
      </c>
      <c r="AV268">
        <f t="shared" si="125"/>
        <v>0.55555555555555558</v>
      </c>
      <c r="AW268">
        <f>step3_validation[[#This Row],[AI_TRU4]]</f>
        <v>9</v>
      </c>
      <c r="AX268">
        <f t="shared" si="126"/>
        <v>0.88888888888888884</v>
      </c>
      <c r="AY268">
        <f>survey_responses[[#This Row],[Tôi thấy Nhà nước đã giải thích rõ ràng, minh bạch về lý do và mục tiêu của việc sửa đổi thuế lần này. - HUMAN-TRU4]]</f>
        <v>7</v>
      </c>
      <c r="AZ268">
        <f t="shared" si="127"/>
        <v>0.66666666666666663</v>
      </c>
      <c r="BA268" s="32">
        <f t="shared" si="128"/>
        <v>0.83333333333333326</v>
      </c>
      <c r="BB268" s="32">
        <f t="shared" si="129"/>
        <v>0.58333333333333337</v>
      </c>
      <c r="BC268" s="7">
        <f t="shared" si="130"/>
        <v>0.75925925925925919</v>
      </c>
      <c r="BD268" s="7">
        <f t="shared" si="131"/>
        <v>0.60185185185185197</v>
      </c>
      <c r="BE268">
        <f>step3_validation[[#This Row],[AI_OUT1]]</f>
        <v>9</v>
      </c>
      <c r="BF268">
        <f t="shared" si="132"/>
        <v>0.88888888888888884</v>
      </c>
      <c r="BG268">
        <f>survey_responses[[#This Row],[Sau khi xem xét các quyền lợi và nghĩa vụ, bạn có ủng hộ và tuân thủ chính sách mới hiện nay? - HUMAN-OUT1]]</f>
        <v>7</v>
      </c>
      <c r="BH268">
        <f t="shared" si="133"/>
        <v>0.66666666666666663</v>
      </c>
      <c r="BI268" s="32">
        <f t="shared" si="134"/>
        <v>2</v>
      </c>
    </row>
    <row r="269" spans="1:61" x14ac:dyDescent="0.45">
      <c r="A269" s="30">
        <f>step3_validation[[#This Row],[Persona_ID]]</f>
        <v>268</v>
      </c>
      <c r="B269" s="31">
        <f>step3_validation[[#This Row],[Used_Seed]]</f>
        <v>12612</v>
      </c>
      <c r="C269" t="str">
        <f>step3_validation[[#This Row],[Gender]]</f>
        <v>Nữ</v>
      </c>
      <c r="D269" t="str">
        <f>survey_responses[[#This Row],[Giới tính của bạn:]]</f>
        <v>Nữ</v>
      </c>
      <c r="E269" t="str">
        <f>step3_validation[[#This Row],[Age_Group]]</f>
        <v>25 - 29</v>
      </c>
      <c r="F269" t="str">
        <f>survey_responses[[#This Row],[Độ tuổi của bạn:]]</f>
        <v>25 - 29</v>
      </c>
      <c r="G269" t="str">
        <f>step3_validation[[#This Row],[Region]]</f>
        <v>Thành thị</v>
      </c>
      <c r="H269" t="str">
        <f>survey_responses[[#This Row],[Khu vực bạn đang sinh sống:]]</f>
        <v>Thành thị</v>
      </c>
      <c r="I269" t="str">
        <f>step3_validation[[#This Row],[Education]]</f>
        <v>Đại học</v>
      </c>
      <c r="J269" t="str">
        <f>survey_responses[[#This Row],[Trình độ học vấn cao nhất:]]</f>
        <v>Đại học</v>
      </c>
      <c r="K269" t="str">
        <f>step3_validation[[#This Row],[Employment]]</f>
        <v>Chính thức</v>
      </c>
      <c r="L269" t="str">
        <f>survey_responses[[#This Row],[Tình trạng việc làm chính:]]</f>
        <v>Khu vực chính thức (Có Hợp đồng lao động, đóng BHXH)</v>
      </c>
      <c r="M269">
        <f>step3_validation[[#This Row],[Income_Mil]]</f>
        <v>23.51261243360954</v>
      </c>
      <c r="N269" t="str">
        <f>survey_responses[[#This Row],[Thu nhập bình quân tháng theo Hợp đồng lao động của bạn là bao nhiêu? (Vui lòng điền tổng thu nhập trước khi khấu trừ các loại Bảo hiểm (BHXH, BHYT, BHTN) và Thuế TNCN)]]</f>
        <v>Từ 23 - 32 triệu VNĐ</v>
      </c>
      <c r="O269">
        <f>step3_validation[[#This Row],[Dependents]]</f>
        <v>2</v>
      </c>
      <c r="P269" t="str">
        <f>survey_responses[[#This Row],[Số người phụ thuộc (con nhỏ, cha mẹ già...) đủ điều kiện giảm trừ gia cảnh:]]</f>
        <v>2 người</v>
      </c>
      <c r="Q269">
        <f>step3_validation[[#This Row],[AI_ENF1]]</f>
        <v>7</v>
      </c>
      <c r="R269">
        <f t="shared" si="108"/>
        <v>0.66666666666666663</v>
      </c>
      <c r="S269">
        <f>survey_responses[[#This Row],[Tôi tin rằng với các quy định quản lý thuế hiện nay, hành vi gian lận hoặc trốn thuế sẽ dễ dàng bị phát hiện và xử lý nghiêm. - HUMAN-ENF1]]</f>
        <v>7</v>
      </c>
      <c r="T269">
        <f t="shared" si="109"/>
        <v>0.66666666666666663</v>
      </c>
      <c r="U269">
        <f>step3_validation[[#This Row],[AI_ENF2]]</f>
        <v>6</v>
      </c>
      <c r="V269">
        <f t="shared" si="110"/>
        <v>0.55555555555555558</v>
      </c>
      <c r="W269">
        <f>survey_responses[[#This Row],[Tôi tin rằng Nhà nước, cơ quan thuế có đủ khả năng và công nghệ để phát hiện, xử lý nghiêm các hành vi trốn thuế. - HUMAN-ENF2]]</f>
        <v>7</v>
      </c>
      <c r="X269">
        <f t="shared" si="111"/>
        <v>0.66666666666666663</v>
      </c>
      <c r="Y269" s="32">
        <f t="shared" si="112"/>
        <v>0.61111111111111116</v>
      </c>
      <c r="Z269" s="32">
        <f t="shared" si="113"/>
        <v>0.66666666666666663</v>
      </c>
      <c r="AA269">
        <f>step3_validation[[#This Row],[AI_FAC1]]</f>
        <v>9</v>
      </c>
      <c r="AB269">
        <f t="shared" si="114"/>
        <v>0.88888888888888884</v>
      </c>
      <c r="AC269">
        <f>survey_responses[[#This Row],[Các thủ tục khai báo thuế VÀ/HOẶC quy trình làm việc với cơ quan thuế đơn giản, tiện lợi, nhanh chóng hơn so với trước đây. - HUMAN-FAC1]]</f>
        <v>2</v>
      </c>
      <c r="AD269">
        <f t="shared" si="115"/>
        <v>0.1111111111111111</v>
      </c>
      <c r="AE269">
        <f>step3_validation[[#This Row],[AI_FAC2]]</f>
        <v>8</v>
      </c>
      <c r="AF269">
        <f t="shared" si="116"/>
        <v>0.77777777777777779</v>
      </c>
      <c r="AG269">
        <f>survey_responses[[#This Row],[So với trước đây, tôi thấy cách tính thuế và các bậc thuế trong phương án mới đơn giản, dễ hiểu và dễ thực hiện hơn. - HUMAN-FAC2]]</f>
        <v>7</v>
      </c>
      <c r="AH269">
        <f t="shared" si="117"/>
        <v>0.66666666666666663</v>
      </c>
      <c r="AI269" s="32">
        <f t="shared" si="118"/>
        <v>0.83333333333333326</v>
      </c>
      <c r="AJ269" s="32">
        <f t="shared" si="119"/>
        <v>0.38888888888888884</v>
      </c>
      <c r="AK269">
        <f>step3_validation[[#This Row],[AI_TRU1]]</f>
        <v>9</v>
      </c>
      <c r="AL269">
        <f t="shared" si="120"/>
        <v>0.88888888888888884</v>
      </c>
      <c r="AM269">
        <f>survey_responses[[#This Row],[Tôi tin rằng Nhà nước, cơ quan thuế sẽ thực thi chính sách mới một cách khách quan, công tâm và đối xử bình đẳng với mọi người nộp thuế.  - HUMAN-TRU1]]</f>
        <v>7</v>
      </c>
      <c r="AN269">
        <f t="shared" si="121"/>
        <v>0.66666666666666663</v>
      </c>
      <c r="AO269">
        <f>step3_validation[[#This Row],[AI_TRU2]]</f>
        <v>8</v>
      </c>
      <c r="AP269">
        <f t="shared" si="122"/>
        <v>0.77777777777777779</v>
      </c>
      <c r="AQ269">
        <f>survey_responses[[#This Row],[Tôi thấy mức thuế tôi phải đóng theo phương án mới là công bằng (người thu nhập như tôi đóng mức này là hợp lý). - HUMAN-TRU2]]</f>
        <v>7</v>
      </c>
      <c r="AR269">
        <f t="shared" si="123"/>
        <v>0.66666666666666663</v>
      </c>
      <c r="AS269">
        <f>step3_validation[[#This Row],[AI_TRU3]]</f>
        <v>9</v>
      </c>
      <c r="AT269">
        <f t="shared" si="124"/>
        <v>0.88888888888888884</v>
      </c>
      <c r="AU269">
        <f>survey_responses[[#This Row],[Tôi tin tưởng số tiền thuế tôi đóng sẽ được Nhà nước sử dụng hiệu quả để cải thiện dịch vụ công (y tế, đường xá...). - HUMAN-TRU3]]</f>
        <v>7</v>
      </c>
      <c r="AV269">
        <f t="shared" si="125"/>
        <v>0.66666666666666663</v>
      </c>
      <c r="AW269">
        <f>step3_validation[[#This Row],[AI_TRU4]]</f>
        <v>8</v>
      </c>
      <c r="AX269">
        <f t="shared" si="126"/>
        <v>0.77777777777777779</v>
      </c>
      <c r="AY269">
        <f>survey_responses[[#This Row],[Tôi thấy Nhà nước đã giải thích rõ ràng, minh bạch về lý do và mục tiêu của việc sửa đổi thuế lần này. - HUMAN-TRU4]]</f>
        <v>7</v>
      </c>
      <c r="AZ269">
        <f t="shared" si="127"/>
        <v>0.66666666666666663</v>
      </c>
      <c r="BA269" s="32">
        <f t="shared" si="128"/>
        <v>0.83333333333333326</v>
      </c>
      <c r="BB269" s="32">
        <f t="shared" si="129"/>
        <v>0.66666666666666663</v>
      </c>
      <c r="BC269" s="7">
        <f t="shared" si="130"/>
        <v>0.75925925925925919</v>
      </c>
      <c r="BD269" s="7">
        <f t="shared" si="131"/>
        <v>0.57407407407407396</v>
      </c>
      <c r="BE269">
        <f>step3_validation[[#This Row],[AI_OUT1]]</f>
        <v>9</v>
      </c>
      <c r="BF269">
        <f t="shared" si="132"/>
        <v>0.88888888888888884</v>
      </c>
      <c r="BG269">
        <f>survey_responses[[#This Row],[Sau khi xem xét các quyền lợi và nghĩa vụ, bạn có ủng hộ và tuân thủ chính sách mới hiện nay? - HUMAN-OUT1]]</f>
        <v>7</v>
      </c>
      <c r="BH269">
        <f t="shared" si="133"/>
        <v>0.66666666666666663</v>
      </c>
      <c r="BI269" s="32">
        <f t="shared" si="134"/>
        <v>2</v>
      </c>
    </row>
    <row r="270" spans="1:61" x14ac:dyDescent="0.45">
      <c r="A270" s="30">
        <f>step3_validation[[#This Row],[Persona_ID]]</f>
        <v>269</v>
      </c>
      <c r="B270" s="31">
        <f>step3_validation[[#This Row],[Used_Seed]]</f>
        <v>12613</v>
      </c>
      <c r="C270" t="str">
        <f>step3_validation[[#This Row],[Gender]]</f>
        <v>Nam</v>
      </c>
      <c r="D270" t="str">
        <f>survey_responses[[#This Row],[Giới tính của bạn:]]</f>
        <v>Nam</v>
      </c>
      <c r="E270" t="str">
        <f>step3_validation[[#This Row],[Age_Group]]</f>
        <v>40 - 49</v>
      </c>
      <c r="F270" t="str">
        <f>survey_responses[[#This Row],[Độ tuổi của bạn:]]</f>
        <v>40 - 49</v>
      </c>
      <c r="G270" t="str">
        <f>step3_validation[[#This Row],[Region]]</f>
        <v>Thành thị</v>
      </c>
      <c r="H270" t="str">
        <f>survey_responses[[#This Row],[Khu vực bạn đang sinh sống:]]</f>
        <v>Thành thị</v>
      </c>
      <c r="I270" t="str">
        <f>step3_validation[[#This Row],[Education]]</f>
        <v>Sau Đại học</v>
      </c>
      <c r="J270" t="str">
        <f>survey_responses[[#This Row],[Trình độ học vấn cao nhất:]]</f>
        <v>Sau Đại học</v>
      </c>
      <c r="K270" t="str">
        <f>step3_validation[[#This Row],[Employment]]</f>
        <v>Chính thức</v>
      </c>
      <c r="L270" t="str">
        <f>survey_responses[[#This Row],[Tình trạng việc làm chính:]]</f>
        <v>Khu vực chính thức (Có Hợp đồng lao động, đóng BHXH)</v>
      </c>
      <c r="M270">
        <f>step3_validation[[#This Row],[Income_Mil]]</f>
        <v>91.108376806043836</v>
      </c>
      <c r="N270" t="str">
        <f>survey_responses[[#This Row],[Thu nhập bình quân tháng theo Hợp đồng lao động của bạn là bao nhiêu? (Vui lòng điền tổng thu nhập trước khi khấu trừ các loại Bảo hiểm (BHXH, BHYT, BHTN) và Thuế TNCN)]]</f>
        <v>Từ 70 - 102 triệu VNĐ</v>
      </c>
      <c r="O270">
        <f>step3_validation[[#This Row],[Dependents]]</f>
        <v>4</v>
      </c>
      <c r="P270" t="str">
        <f>survey_responses[[#This Row],[Số người phụ thuộc (con nhỏ, cha mẹ già...) đủ điều kiện giảm trừ gia cảnh:]]</f>
        <v>4 người trở lên</v>
      </c>
      <c r="Q270">
        <f>step3_validation[[#This Row],[AI_ENF1]]</f>
        <v>8</v>
      </c>
      <c r="R270">
        <f t="shared" si="108"/>
        <v>0.77777777777777779</v>
      </c>
      <c r="S270">
        <f>survey_responses[[#This Row],[Tôi tin rằng với các quy định quản lý thuế hiện nay, hành vi gian lận hoặc trốn thuế sẽ dễ dàng bị phát hiện và xử lý nghiêm. - HUMAN-ENF1]]</f>
        <v>4</v>
      </c>
      <c r="T270">
        <f t="shared" si="109"/>
        <v>0.33333333333333331</v>
      </c>
      <c r="U270">
        <f>step3_validation[[#This Row],[AI_ENF2]]</f>
        <v>9</v>
      </c>
      <c r="V270">
        <f t="shared" si="110"/>
        <v>0.88888888888888884</v>
      </c>
      <c r="W270">
        <f>survey_responses[[#This Row],[Tôi tin rằng Nhà nước, cơ quan thuế có đủ khả năng và công nghệ để phát hiện, xử lý nghiêm các hành vi trốn thuế. - HUMAN-ENF2]]</f>
        <v>5</v>
      </c>
      <c r="X270">
        <f t="shared" si="111"/>
        <v>0.44444444444444442</v>
      </c>
      <c r="Y270" s="32">
        <f t="shared" si="112"/>
        <v>0.83333333333333326</v>
      </c>
      <c r="Z270" s="32">
        <f t="shared" si="113"/>
        <v>0.38888888888888884</v>
      </c>
      <c r="AA270">
        <f>step3_validation[[#This Row],[AI_FAC1]]</f>
        <v>7</v>
      </c>
      <c r="AB270">
        <f t="shared" si="114"/>
        <v>0.66666666666666663</v>
      </c>
      <c r="AC270">
        <f>survey_responses[[#This Row],[Các thủ tục khai báo thuế VÀ/HOẶC quy trình làm việc với cơ quan thuế đơn giản, tiện lợi, nhanh chóng hơn so với trước đây. - HUMAN-FAC1]]</f>
        <v>2</v>
      </c>
      <c r="AD270">
        <f t="shared" si="115"/>
        <v>0.1111111111111111</v>
      </c>
      <c r="AE270">
        <f>step3_validation[[#This Row],[AI_FAC2]]</f>
        <v>9</v>
      </c>
      <c r="AF270">
        <f t="shared" si="116"/>
        <v>0.88888888888888884</v>
      </c>
      <c r="AG270">
        <f>survey_responses[[#This Row],[So với trước đây, tôi thấy cách tính thuế và các bậc thuế trong phương án mới đơn giản, dễ hiểu và dễ thực hiện hơn. - HUMAN-FAC2]]</f>
        <v>6</v>
      </c>
      <c r="AH270">
        <f t="shared" si="117"/>
        <v>0.55555555555555558</v>
      </c>
      <c r="AI270" s="32">
        <f t="shared" si="118"/>
        <v>0.77777777777777768</v>
      </c>
      <c r="AJ270" s="32">
        <f t="shared" si="119"/>
        <v>0.33333333333333337</v>
      </c>
      <c r="AK270">
        <f>step3_validation[[#This Row],[AI_TRU1]]</f>
        <v>8</v>
      </c>
      <c r="AL270">
        <f t="shared" si="120"/>
        <v>0.77777777777777779</v>
      </c>
      <c r="AM270">
        <f>survey_responses[[#This Row],[Tôi tin rằng Nhà nước, cơ quan thuế sẽ thực thi chính sách mới một cách khách quan, công tâm và đối xử bình đẳng với mọi người nộp thuế.  - HUMAN-TRU1]]</f>
        <v>3</v>
      </c>
      <c r="AN270">
        <f t="shared" si="121"/>
        <v>0.22222222222222221</v>
      </c>
      <c r="AO270">
        <f>step3_validation[[#This Row],[AI_TRU2]]</f>
        <v>7</v>
      </c>
      <c r="AP270">
        <f t="shared" si="122"/>
        <v>0.66666666666666663</v>
      </c>
      <c r="AQ270">
        <f>survey_responses[[#This Row],[Tôi thấy mức thuế tôi phải đóng theo phương án mới là công bằng (người thu nhập như tôi đóng mức này là hợp lý). - HUMAN-TRU2]]</f>
        <v>3</v>
      </c>
      <c r="AR270">
        <f t="shared" si="123"/>
        <v>0.22222222222222221</v>
      </c>
      <c r="AS270">
        <f>step3_validation[[#This Row],[AI_TRU3]]</f>
        <v>8</v>
      </c>
      <c r="AT270">
        <f t="shared" si="124"/>
        <v>0.77777777777777779</v>
      </c>
      <c r="AU270">
        <f>survey_responses[[#This Row],[Tôi tin tưởng số tiền thuế tôi đóng sẽ được Nhà nước sử dụng hiệu quả để cải thiện dịch vụ công (y tế, đường xá...). - HUMAN-TRU3]]</f>
        <v>1</v>
      </c>
      <c r="AV270">
        <f t="shared" si="125"/>
        <v>0</v>
      </c>
      <c r="AW270">
        <f>step3_validation[[#This Row],[AI_TRU4]]</f>
        <v>7</v>
      </c>
      <c r="AX270">
        <f t="shared" si="126"/>
        <v>0.66666666666666663</v>
      </c>
      <c r="AY270">
        <f>survey_responses[[#This Row],[Tôi thấy Nhà nước đã giải thích rõ ràng, minh bạch về lý do và mục tiêu của việc sửa đổi thuế lần này. - HUMAN-TRU4]]</f>
        <v>3</v>
      </c>
      <c r="AZ270">
        <f t="shared" si="127"/>
        <v>0.22222222222222221</v>
      </c>
      <c r="BA270" s="32">
        <f t="shared" si="128"/>
        <v>0.72222222222222221</v>
      </c>
      <c r="BB270" s="32">
        <f t="shared" si="129"/>
        <v>0.16666666666666666</v>
      </c>
      <c r="BC270" s="7">
        <f t="shared" si="130"/>
        <v>0.77777777777777768</v>
      </c>
      <c r="BD270" s="7">
        <f t="shared" si="131"/>
        <v>0.29629629629629628</v>
      </c>
      <c r="BE270">
        <f>step3_validation[[#This Row],[AI_OUT1]]</f>
        <v>9</v>
      </c>
      <c r="BF270">
        <f t="shared" si="132"/>
        <v>0.88888888888888884</v>
      </c>
      <c r="BG270">
        <f>survey_responses[[#This Row],[Sau khi xem xét các quyền lợi và nghĩa vụ, bạn có ủng hộ và tuân thủ chính sách mới hiện nay? - HUMAN-OUT1]]</f>
        <v>1</v>
      </c>
      <c r="BH270">
        <f t="shared" si="133"/>
        <v>0</v>
      </c>
      <c r="BI270" s="32">
        <f t="shared" si="134"/>
        <v>8</v>
      </c>
    </row>
    <row r="271" spans="1:61" x14ac:dyDescent="0.45">
      <c r="A271" s="30">
        <f>step3_validation[[#This Row],[Persona_ID]]</f>
        <v>270</v>
      </c>
      <c r="B271" s="31">
        <f>step3_validation[[#This Row],[Used_Seed]]</f>
        <v>12614</v>
      </c>
      <c r="C271" t="str">
        <f>step3_validation[[#This Row],[Gender]]</f>
        <v>Nữ</v>
      </c>
      <c r="D271" t="str">
        <f>survey_responses[[#This Row],[Giới tính của bạn:]]</f>
        <v>Nữ</v>
      </c>
      <c r="E271" t="str">
        <f>step3_validation[[#This Row],[Age_Group]]</f>
        <v>30 - 39</v>
      </c>
      <c r="F271" t="str">
        <f>survey_responses[[#This Row],[Độ tuổi của bạn:]]</f>
        <v>30 - 39</v>
      </c>
      <c r="G271" t="str">
        <f>step3_validation[[#This Row],[Region]]</f>
        <v>Thành thị</v>
      </c>
      <c r="H271" t="str">
        <f>survey_responses[[#This Row],[Khu vực bạn đang sinh sống:]]</f>
        <v>Thành thị</v>
      </c>
      <c r="I271" t="str">
        <f>step3_validation[[#This Row],[Education]]</f>
        <v>Sau Đại học</v>
      </c>
      <c r="J271" t="str">
        <f>survey_responses[[#This Row],[Trình độ học vấn cao nhất:]]</f>
        <v>Sau Đại học</v>
      </c>
      <c r="K271" t="str">
        <f>step3_validation[[#This Row],[Employment]]</f>
        <v>Phi chính thức</v>
      </c>
      <c r="L271" t="str">
        <f>survey_responses[[#This Row],[Tình trạng việc làm chính:]]</f>
        <v>Khu vực phi chính thức (Lao động tự do, không có HĐLĐ)</v>
      </c>
      <c r="M271">
        <f>step3_validation[[#This Row],[Income_Mil]]</f>
        <v>63.755473832752344</v>
      </c>
      <c r="N271" t="str">
        <f>survey_responses[[#This Row],[Thu nhập bình quân tháng theo Hợp đồng lao động của bạn là bao nhiêu? (Vui lòng điền tổng thu nhập trước khi khấu trừ các loại Bảo hiểm (BHXH, BHYT, BHTN) và Thuế TNCN)]]</f>
        <v>Từ 48 - 70 triệu VNĐ</v>
      </c>
      <c r="O271">
        <f>step3_validation[[#This Row],[Dependents]]</f>
        <v>0</v>
      </c>
      <c r="P271" t="str">
        <f>survey_responses[[#This Row],[Số người phụ thuộc (con nhỏ, cha mẹ già...) đủ điều kiện giảm trừ gia cảnh:]]</f>
        <v>0 người</v>
      </c>
      <c r="Q271">
        <f>step3_validation[[#This Row],[AI_ENF1]]</f>
        <v>7</v>
      </c>
      <c r="R271">
        <f t="shared" si="108"/>
        <v>0.66666666666666663</v>
      </c>
      <c r="S271">
        <f>survey_responses[[#This Row],[Tôi tin rằng với các quy định quản lý thuế hiện nay, hành vi gian lận hoặc trốn thuế sẽ dễ dàng bị phát hiện và xử lý nghiêm. - HUMAN-ENF1]]</f>
        <v>8</v>
      </c>
      <c r="T271">
        <f t="shared" si="109"/>
        <v>0.77777777777777779</v>
      </c>
      <c r="U271">
        <f>step3_validation[[#This Row],[AI_ENF2]]</f>
        <v>7</v>
      </c>
      <c r="V271">
        <f t="shared" si="110"/>
        <v>0.66666666666666663</v>
      </c>
      <c r="W271">
        <f>survey_responses[[#This Row],[Tôi tin rằng Nhà nước, cơ quan thuế có đủ khả năng và công nghệ để phát hiện, xử lý nghiêm các hành vi trốn thuế. - HUMAN-ENF2]]</f>
        <v>8</v>
      </c>
      <c r="X271">
        <f t="shared" si="111"/>
        <v>0.77777777777777779</v>
      </c>
      <c r="Y271" s="32">
        <f t="shared" si="112"/>
        <v>0.66666666666666663</v>
      </c>
      <c r="Z271" s="32">
        <f t="shared" si="113"/>
        <v>0.77777777777777779</v>
      </c>
      <c r="AA271">
        <f>step3_validation[[#This Row],[AI_FAC1]]</f>
        <v>8</v>
      </c>
      <c r="AB271">
        <f t="shared" si="114"/>
        <v>0.77777777777777779</v>
      </c>
      <c r="AC271">
        <f>survey_responses[[#This Row],[Các thủ tục khai báo thuế VÀ/HOẶC quy trình làm việc với cơ quan thuế đơn giản, tiện lợi, nhanh chóng hơn so với trước đây. - HUMAN-FAC1]]</f>
        <v>3</v>
      </c>
      <c r="AD271">
        <f t="shared" si="115"/>
        <v>0.22222222222222221</v>
      </c>
      <c r="AE271">
        <f>step3_validation[[#This Row],[AI_FAC2]]</f>
        <v>9</v>
      </c>
      <c r="AF271">
        <f t="shared" si="116"/>
        <v>0.88888888888888884</v>
      </c>
      <c r="AG271">
        <f>survey_responses[[#This Row],[So với trước đây, tôi thấy cách tính thuế và các bậc thuế trong phương án mới đơn giản, dễ hiểu và dễ thực hiện hơn. - HUMAN-FAC2]]</f>
        <v>8</v>
      </c>
      <c r="AH271">
        <f t="shared" si="117"/>
        <v>0.77777777777777779</v>
      </c>
      <c r="AI271" s="32">
        <f t="shared" si="118"/>
        <v>0.83333333333333326</v>
      </c>
      <c r="AJ271" s="32">
        <f t="shared" si="119"/>
        <v>0.5</v>
      </c>
      <c r="AK271">
        <f>step3_validation[[#This Row],[AI_TRU1]]</f>
        <v>7</v>
      </c>
      <c r="AL271">
        <f t="shared" si="120"/>
        <v>0.66666666666666663</v>
      </c>
      <c r="AM271">
        <f>survey_responses[[#This Row],[Tôi tin rằng Nhà nước, cơ quan thuế sẽ thực thi chính sách mới một cách khách quan, công tâm và đối xử bình đẳng với mọi người nộp thuế.  - HUMAN-TRU1]]</f>
        <v>3</v>
      </c>
      <c r="AN271">
        <f t="shared" si="121"/>
        <v>0.22222222222222221</v>
      </c>
      <c r="AO271">
        <f>step3_validation[[#This Row],[AI_TRU2]]</f>
        <v>9</v>
      </c>
      <c r="AP271">
        <f t="shared" si="122"/>
        <v>0.88888888888888884</v>
      </c>
      <c r="AQ271">
        <f>survey_responses[[#This Row],[Tôi thấy mức thuế tôi phải đóng theo phương án mới là công bằng (người thu nhập như tôi đóng mức này là hợp lý). - HUMAN-TRU2]]</f>
        <v>1</v>
      </c>
      <c r="AR271">
        <f t="shared" si="123"/>
        <v>0</v>
      </c>
      <c r="AS271">
        <f>step3_validation[[#This Row],[AI_TRU3]]</f>
        <v>8</v>
      </c>
      <c r="AT271">
        <f t="shared" si="124"/>
        <v>0.77777777777777779</v>
      </c>
      <c r="AU271">
        <f>survey_responses[[#This Row],[Tôi tin tưởng số tiền thuế tôi đóng sẽ được Nhà nước sử dụng hiệu quả để cải thiện dịch vụ công (y tế, đường xá...). - HUMAN-TRU3]]</f>
        <v>8</v>
      </c>
      <c r="AV271">
        <f t="shared" si="125"/>
        <v>0.77777777777777779</v>
      </c>
      <c r="AW271">
        <f>step3_validation[[#This Row],[AI_TRU4]]</f>
        <v>7</v>
      </c>
      <c r="AX271">
        <f t="shared" si="126"/>
        <v>0.66666666666666663</v>
      </c>
      <c r="AY271">
        <f>survey_responses[[#This Row],[Tôi thấy Nhà nước đã giải thích rõ ràng, minh bạch về lý do và mục tiêu của việc sửa đổi thuế lần này. - HUMAN-TRU4]]</f>
        <v>6</v>
      </c>
      <c r="AZ271">
        <f t="shared" si="127"/>
        <v>0.55555555555555558</v>
      </c>
      <c r="BA271" s="32">
        <f t="shared" si="128"/>
        <v>0.74999999999999989</v>
      </c>
      <c r="BB271" s="32">
        <f t="shared" si="129"/>
        <v>0.3888888888888889</v>
      </c>
      <c r="BC271" s="7">
        <f t="shared" si="130"/>
        <v>0.75</v>
      </c>
      <c r="BD271" s="7">
        <f t="shared" si="131"/>
        <v>0.55555555555555547</v>
      </c>
      <c r="BE271">
        <f>step3_validation[[#This Row],[AI_OUT1]]</f>
        <v>9</v>
      </c>
      <c r="BF271">
        <f t="shared" si="132"/>
        <v>0.88888888888888884</v>
      </c>
      <c r="BG271">
        <f>survey_responses[[#This Row],[Sau khi xem xét các quyền lợi và nghĩa vụ, bạn có ủng hộ và tuân thủ chính sách mới hiện nay? - HUMAN-OUT1]]</f>
        <v>7</v>
      </c>
      <c r="BH271">
        <f t="shared" si="133"/>
        <v>0.66666666666666663</v>
      </c>
      <c r="BI271" s="32">
        <f t="shared" si="134"/>
        <v>2</v>
      </c>
    </row>
    <row r="272" spans="1:61" x14ac:dyDescent="0.45">
      <c r="A272" s="30">
        <f>step3_validation[[#This Row],[Persona_ID]]</f>
        <v>271</v>
      </c>
      <c r="B272" s="31">
        <f>step3_validation[[#This Row],[Used_Seed]]</f>
        <v>12615</v>
      </c>
      <c r="C272" t="str">
        <f>step3_validation[[#This Row],[Gender]]</f>
        <v>Nữ</v>
      </c>
      <c r="D272" t="str">
        <f>survey_responses[[#This Row],[Giới tính của bạn:]]</f>
        <v>Nữ</v>
      </c>
      <c r="E272" t="str">
        <f>step3_validation[[#This Row],[Age_Group]]</f>
        <v>30 - 39</v>
      </c>
      <c r="F272" t="str">
        <f>survey_responses[[#This Row],[Độ tuổi của bạn:]]</f>
        <v>30 - 39</v>
      </c>
      <c r="G272" t="str">
        <f>step3_validation[[#This Row],[Region]]</f>
        <v>Thành thị</v>
      </c>
      <c r="H272" t="str">
        <f>survey_responses[[#This Row],[Khu vực bạn đang sinh sống:]]</f>
        <v>Thành thị</v>
      </c>
      <c r="I272" t="str">
        <f>step3_validation[[#This Row],[Education]]</f>
        <v>Sau Đại học</v>
      </c>
      <c r="J272" t="str">
        <f>survey_responses[[#This Row],[Trình độ học vấn cao nhất:]]</f>
        <v>Sau Đại học</v>
      </c>
      <c r="K272" t="str">
        <f>step3_validation[[#This Row],[Employment]]</f>
        <v>Chính thức</v>
      </c>
      <c r="L272" t="str">
        <f>survey_responses[[#This Row],[Tình trạng việc làm chính:]]</f>
        <v>Khu vực chính thức (Có Hợp đồng lao động, đóng BHXH)</v>
      </c>
      <c r="M272">
        <f>step3_validation[[#This Row],[Income_Mil]]</f>
        <v>66.966987427494431</v>
      </c>
      <c r="N272" t="str">
        <f>survey_responses[[#This Row],[Thu nhập bình quân tháng theo Hợp đồng lao động của bạn là bao nhiêu? (Vui lòng điền tổng thu nhập trước khi khấu trừ các loại Bảo hiểm (BHXH, BHYT, BHTN) và Thuế TNCN)]]</f>
        <v>Từ 48 - 70 triệu VNĐ</v>
      </c>
      <c r="O272">
        <f>step3_validation[[#This Row],[Dependents]]</f>
        <v>2</v>
      </c>
      <c r="P272" t="str">
        <f>survey_responses[[#This Row],[Số người phụ thuộc (con nhỏ, cha mẹ già...) đủ điều kiện giảm trừ gia cảnh:]]</f>
        <v>2 người</v>
      </c>
      <c r="Q272">
        <f>step3_validation[[#This Row],[AI_ENF1]]</f>
        <v>7</v>
      </c>
      <c r="R272">
        <f t="shared" si="108"/>
        <v>0.66666666666666663</v>
      </c>
      <c r="S272">
        <f>survey_responses[[#This Row],[Tôi tin rằng với các quy định quản lý thuế hiện nay, hành vi gian lận hoặc trốn thuế sẽ dễ dàng bị phát hiện và xử lý nghiêm. - HUMAN-ENF1]]</f>
        <v>7</v>
      </c>
      <c r="T272">
        <f t="shared" si="109"/>
        <v>0.66666666666666663</v>
      </c>
      <c r="U272">
        <f>step3_validation[[#This Row],[AI_ENF2]]</f>
        <v>8</v>
      </c>
      <c r="V272">
        <f t="shared" si="110"/>
        <v>0.77777777777777779</v>
      </c>
      <c r="W272">
        <f>survey_responses[[#This Row],[Tôi tin rằng Nhà nước, cơ quan thuế có đủ khả năng và công nghệ để phát hiện, xử lý nghiêm các hành vi trốn thuế. - HUMAN-ENF2]]</f>
        <v>7</v>
      </c>
      <c r="X272">
        <f t="shared" si="111"/>
        <v>0.66666666666666663</v>
      </c>
      <c r="Y272" s="32">
        <f t="shared" si="112"/>
        <v>0.72222222222222221</v>
      </c>
      <c r="Z272" s="32">
        <f t="shared" si="113"/>
        <v>0.66666666666666663</v>
      </c>
      <c r="AA272">
        <f>step3_validation[[#This Row],[AI_FAC1]]</f>
        <v>9</v>
      </c>
      <c r="AB272">
        <f t="shared" si="114"/>
        <v>0.88888888888888884</v>
      </c>
      <c r="AC272">
        <f>survey_responses[[#This Row],[Các thủ tục khai báo thuế VÀ/HOẶC quy trình làm việc với cơ quan thuế đơn giản, tiện lợi, nhanh chóng hơn so với trước đây. - HUMAN-FAC1]]</f>
        <v>4</v>
      </c>
      <c r="AD272">
        <f t="shared" si="115"/>
        <v>0.33333333333333331</v>
      </c>
      <c r="AE272">
        <f>step3_validation[[#This Row],[AI_FAC2]]</f>
        <v>10</v>
      </c>
      <c r="AF272">
        <f t="shared" si="116"/>
        <v>1</v>
      </c>
      <c r="AG272">
        <f>survey_responses[[#This Row],[So với trước đây, tôi thấy cách tính thuế và các bậc thuế trong phương án mới đơn giản, dễ hiểu và dễ thực hiện hơn. - HUMAN-FAC2]]</f>
        <v>7</v>
      </c>
      <c r="AH272">
        <f t="shared" si="117"/>
        <v>0.66666666666666663</v>
      </c>
      <c r="AI272" s="32">
        <f t="shared" si="118"/>
        <v>0.94444444444444442</v>
      </c>
      <c r="AJ272" s="32">
        <f t="shared" si="119"/>
        <v>0.5</v>
      </c>
      <c r="AK272">
        <f>step3_validation[[#This Row],[AI_TRU1]]</f>
        <v>9</v>
      </c>
      <c r="AL272">
        <f t="shared" si="120"/>
        <v>0.88888888888888884</v>
      </c>
      <c r="AM272">
        <f>survey_responses[[#This Row],[Tôi tin rằng Nhà nước, cơ quan thuế sẽ thực thi chính sách mới một cách khách quan, công tâm và đối xử bình đẳng với mọi người nộp thuế.  - HUMAN-TRU1]]</f>
        <v>7</v>
      </c>
      <c r="AN272">
        <f t="shared" si="121"/>
        <v>0.66666666666666663</v>
      </c>
      <c r="AO272">
        <f>step3_validation[[#This Row],[AI_TRU2]]</f>
        <v>8</v>
      </c>
      <c r="AP272">
        <f t="shared" si="122"/>
        <v>0.77777777777777779</v>
      </c>
      <c r="AQ272">
        <f>survey_responses[[#This Row],[Tôi thấy mức thuế tôi phải đóng theo phương án mới là công bằng (người thu nhập như tôi đóng mức này là hợp lý). - HUMAN-TRU2]]</f>
        <v>6</v>
      </c>
      <c r="AR272">
        <f t="shared" si="123"/>
        <v>0.55555555555555558</v>
      </c>
      <c r="AS272">
        <f>step3_validation[[#This Row],[AI_TRU3]]</f>
        <v>9</v>
      </c>
      <c r="AT272">
        <f t="shared" si="124"/>
        <v>0.88888888888888884</v>
      </c>
      <c r="AU272">
        <f>survey_responses[[#This Row],[Tôi tin tưởng số tiền thuế tôi đóng sẽ được Nhà nước sử dụng hiệu quả để cải thiện dịch vụ công (y tế, đường xá...). - HUMAN-TRU3]]</f>
        <v>5</v>
      </c>
      <c r="AV272">
        <f t="shared" si="125"/>
        <v>0.44444444444444442</v>
      </c>
      <c r="AW272">
        <f>step3_validation[[#This Row],[AI_TRU4]]</f>
        <v>8</v>
      </c>
      <c r="AX272">
        <f t="shared" si="126"/>
        <v>0.77777777777777779</v>
      </c>
      <c r="AY272">
        <f>survey_responses[[#This Row],[Tôi thấy Nhà nước đã giải thích rõ ràng, minh bạch về lý do và mục tiêu của việc sửa đổi thuế lần này. - HUMAN-TRU4]]</f>
        <v>7</v>
      </c>
      <c r="AZ272">
        <f t="shared" si="127"/>
        <v>0.66666666666666663</v>
      </c>
      <c r="BA272" s="32">
        <f t="shared" si="128"/>
        <v>0.83333333333333326</v>
      </c>
      <c r="BB272" s="32">
        <f t="shared" si="129"/>
        <v>0.58333333333333337</v>
      </c>
      <c r="BC272" s="7">
        <f t="shared" si="130"/>
        <v>0.83333333333333337</v>
      </c>
      <c r="BD272" s="7">
        <f t="shared" si="131"/>
        <v>0.58333333333333337</v>
      </c>
      <c r="BE272">
        <f>step3_validation[[#This Row],[AI_OUT1]]</f>
        <v>9</v>
      </c>
      <c r="BF272">
        <f t="shared" si="132"/>
        <v>0.88888888888888884</v>
      </c>
      <c r="BG272">
        <f>survey_responses[[#This Row],[Sau khi xem xét các quyền lợi và nghĩa vụ, bạn có ủng hộ và tuân thủ chính sách mới hiện nay? - HUMAN-OUT1]]</f>
        <v>6</v>
      </c>
      <c r="BH272">
        <f t="shared" si="133"/>
        <v>0.55555555555555558</v>
      </c>
      <c r="BI272" s="32">
        <f t="shared" si="134"/>
        <v>3</v>
      </c>
    </row>
    <row r="273" spans="1:61" x14ac:dyDescent="0.45">
      <c r="A273" s="30">
        <f>step3_validation[[#This Row],[Persona_ID]]</f>
        <v>272</v>
      </c>
      <c r="B273" s="31">
        <f>step3_validation[[#This Row],[Used_Seed]]</f>
        <v>12616</v>
      </c>
      <c r="C273" t="str">
        <f>step3_validation[[#This Row],[Gender]]</f>
        <v>Nam</v>
      </c>
      <c r="D273" t="str">
        <f>survey_responses[[#This Row],[Giới tính của bạn:]]</f>
        <v>Nam</v>
      </c>
      <c r="E273" t="str">
        <f>step3_validation[[#This Row],[Age_Group]]</f>
        <v>30 - 39</v>
      </c>
      <c r="F273" t="str">
        <f>survey_responses[[#This Row],[Độ tuổi của bạn:]]</f>
        <v>30 - 39</v>
      </c>
      <c r="G273" t="str">
        <f>step3_validation[[#This Row],[Region]]</f>
        <v>Thành thị</v>
      </c>
      <c r="H273" t="str">
        <f>survey_responses[[#This Row],[Khu vực bạn đang sinh sống:]]</f>
        <v>Thành thị</v>
      </c>
      <c r="I273" t="str">
        <f>step3_validation[[#This Row],[Education]]</f>
        <v>Đại học</v>
      </c>
      <c r="J273" t="str">
        <f>survey_responses[[#This Row],[Trình độ học vấn cao nhất:]]</f>
        <v>Đại học</v>
      </c>
      <c r="K273" t="str">
        <f>step3_validation[[#This Row],[Employment]]</f>
        <v>Chính thức</v>
      </c>
      <c r="L273" t="str">
        <f>survey_responses[[#This Row],[Tình trạng việc làm chính:]]</f>
        <v>Khu vực chính thức (Có Hợp đồng lao động, đóng BHXH)</v>
      </c>
      <c r="M273">
        <f>step3_validation[[#This Row],[Income_Mil]]</f>
        <v>45.135285224602534</v>
      </c>
      <c r="N273" t="str">
        <f>survey_responses[[#This Row],[Thu nhập bình quân tháng theo Hợp đồng lao động của bạn là bao nhiêu? (Vui lòng điền tổng thu nhập trước khi khấu trừ các loại Bảo hiểm (BHXH, BHYT, BHTN) và Thuế TNCN)]]</f>
        <v>Từ 32 - 48 triệu VNĐ</v>
      </c>
      <c r="O273">
        <f>step3_validation[[#This Row],[Dependents]]</f>
        <v>1</v>
      </c>
      <c r="P273" t="str">
        <f>survey_responses[[#This Row],[Số người phụ thuộc (con nhỏ, cha mẹ già...) đủ điều kiện giảm trừ gia cảnh:]]</f>
        <v>1 người</v>
      </c>
      <c r="Q273">
        <f>step3_validation[[#This Row],[AI_ENF1]]</f>
        <v>7</v>
      </c>
      <c r="R273">
        <f t="shared" si="108"/>
        <v>0.66666666666666663</v>
      </c>
      <c r="S273">
        <f>survey_responses[[#This Row],[Tôi tin rằng với các quy định quản lý thuế hiện nay, hành vi gian lận hoặc trốn thuế sẽ dễ dàng bị phát hiện và xử lý nghiêm. - HUMAN-ENF1]]</f>
        <v>7</v>
      </c>
      <c r="T273">
        <f t="shared" si="109"/>
        <v>0.66666666666666663</v>
      </c>
      <c r="U273">
        <f>step3_validation[[#This Row],[AI_ENF2]]</f>
        <v>6</v>
      </c>
      <c r="V273">
        <f t="shared" si="110"/>
        <v>0.55555555555555558</v>
      </c>
      <c r="W273">
        <f>survey_responses[[#This Row],[Tôi tin rằng Nhà nước, cơ quan thuế có đủ khả năng và công nghệ để phát hiện, xử lý nghiêm các hành vi trốn thuế. - HUMAN-ENF2]]</f>
        <v>8</v>
      </c>
      <c r="X273">
        <f t="shared" si="111"/>
        <v>0.77777777777777779</v>
      </c>
      <c r="Y273" s="32">
        <f t="shared" si="112"/>
        <v>0.61111111111111116</v>
      </c>
      <c r="Z273" s="32">
        <f t="shared" si="113"/>
        <v>0.72222222222222221</v>
      </c>
      <c r="AA273">
        <f>step3_validation[[#This Row],[AI_FAC1]]</f>
        <v>7</v>
      </c>
      <c r="AB273">
        <f t="shared" si="114"/>
        <v>0.66666666666666663</v>
      </c>
      <c r="AC273">
        <f>survey_responses[[#This Row],[Các thủ tục khai báo thuế VÀ/HOẶC quy trình làm việc với cơ quan thuế đơn giản, tiện lợi, nhanh chóng hơn so với trước đây. - HUMAN-FAC1]]</f>
        <v>2</v>
      </c>
      <c r="AD273">
        <f t="shared" si="115"/>
        <v>0.1111111111111111</v>
      </c>
      <c r="AE273">
        <f>step3_validation[[#This Row],[AI_FAC2]]</f>
        <v>8</v>
      </c>
      <c r="AF273">
        <f t="shared" si="116"/>
        <v>0.77777777777777779</v>
      </c>
      <c r="AG273">
        <f>survey_responses[[#This Row],[So với trước đây, tôi thấy cách tính thuế và các bậc thuế trong phương án mới đơn giản, dễ hiểu và dễ thực hiện hơn. - HUMAN-FAC2]]</f>
        <v>6</v>
      </c>
      <c r="AH273">
        <f t="shared" si="117"/>
        <v>0.55555555555555558</v>
      </c>
      <c r="AI273" s="32">
        <f t="shared" si="118"/>
        <v>0.72222222222222221</v>
      </c>
      <c r="AJ273" s="32">
        <f t="shared" si="119"/>
        <v>0.33333333333333337</v>
      </c>
      <c r="AK273">
        <f>step3_validation[[#This Row],[AI_TRU1]]</f>
        <v>7</v>
      </c>
      <c r="AL273">
        <f t="shared" si="120"/>
        <v>0.66666666666666663</v>
      </c>
      <c r="AM273">
        <f>survey_responses[[#This Row],[Tôi tin rằng Nhà nước, cơ quan thuế sẽ thực thi chính sách mới một cách khách quan, công tâm và đối xử bình đẳng với mọi người nộp thuế.  - HUMAN-TRU1]]</f>
        <v>6</v>
      </c>
      <c r="AN273">
        <f t="shared" si="121"/>
        <v>0.55555555555555558</v>
      </c>
      <c r="AO273">
        <f>step3_validation[[#This Row],[AI_TRU2]]</f>
        <v>8</v>
      </c>
      <c r="AP273">
        <f t="shared" si="122"/>
        <v>0.77777777777777779</v>
      </c>
      <c r="AQ273">
        <f>survey_responses[[#This Row],[Tôi thấy mức thuế tôi phải đóng theo phương án mới là công bằng (người thu nhập như tôi đóng mức này là hợp lý). - HUMAN-TRU2]]</f>
        <v>6</v>
      </c>
      <c r="AR273">
        <f t="shared" si="123"/>
        <v>0.55555555555555558</v>
      </c>
      <c r="AS273">
        <f>step3_validation[[#This Row],[AI_TRU3]]</f>
        <v>7</v>
      </c>
      <c r="AT273">
        <f t="shared" si="124"/>
        <v>0.66666666666666663</v>
      </c>
      <c r="AU273">
        <f>survey_responses[[#This Row],[Tôi tin tưởng số tiền thuế tôi đóng sẽ được Nhà nước sử dụng hiệu quả để cải thiện dịch vụ công (y tế, đường xá...). - HUMAN-TRU3]]</f>
        <v>5</v>
      </c>
      <c r="AV273">
        <f t="shared" si="125"/>
        <v>0.44444444444444442</v>
      </c>
      <c r="AW273">
        <f>step3_validation[[#This Row],[AI_TRU4]]</f>
        <v>8</v>
      </c>
      <c r="AX273">
        <f t="shared" si="126"/>
        <v>0.77777777777777779</v>
      </c>
      <c r="AY273">
        <f>survey_responses[[#This Row],[Tôi thấy Nhà nước đã giải thích rõ ràng, minh bạch về lý do và mục tiêu của việc sửa đổi thuế lần này. - HUMAN-TRU4]]</f>
        <v>5</v>
      </c>
      <c r="AZ273">
        <f t="shared" si="127"/>
        <v>0.44444444444444442</v>
      </c>
      <c r="BA273" s="32">
        <f t="shared" si="128"/>
        <v>0.72222222222222221</v>
      </c>
      <c r="BB273" s="32">
        <f t="shared" si="129"/>
        <v>0.5</v>
      </c>
      <c r="BC273" s="7">
        <f t="shared" si="130"/>
        <v>0.68518518518518523</v>
      </c>
      <c r="BD273" s="7">
        <f t="shared" si="131"/>
        <v>0.51851851851851849</v>
      </c>
      <c r="BE273">
        <f>step3_validation[[#This Row],[AI_OUT1]]</f>
        <v>9</v>
      </c>
      <c r="BF273">
        <f t="shared" si="132"/>
        <v>0.88888888888888884</v>
      </c>
      <c r="BG273">
        <f>survey_responses[[#This Row],[Sau khi xem xét các quyền lợi và nghĩa vụ, bạn có ủng hộ và tuân thủ chính sách mới hiện nay? - HUMAN-OUT1]]</f>
        <v>6</v>
      </c>
      <c r="BH273">
        <f t="shared" si="133"/>
        <v>0.55555555555555558</v>
      </c>
      <c r="BI273" s="32">
        <f t="shared" si="134"/>
        <v>3</v>
      </c>
    </row>
    <row r="274" spans="1:61" x14ac:dyDescent="0.45">
      <c r="A274" s="30">
        <f>step3_validation[[#This Row],[Persona_ID]]</f>
        <v>273</v>
      </c>
      <c r="B274" s="31">
        <f>step3_validation[[#This Row],[Used_Seed]]</f>
        <v>12617</v>
      </c>
      <c r="C274" t="str">
        <f>step3_validation[[#This Row],[Gender]]</f>
        <v>Nữ</v>
      </c>
      <c r="D274" t="str">
        <f>survey_responses[[#This Row],[Giới tính của bạn:]]</f>
        <v>Nữ</v>
      </c>
      <c r="E274" t="str">
        <f>step3_validation[[#This Row],[Age_Group]]</f>
        <v>50 - 54</v>
      </c>
      <c r="F274" t="str">
        <f>survey_responses[[#This Row],[Độ tuổi của bạn:]]</f>
        <v>50 - 54</v>
      </c>
      <c r="G274" t="str">
        <f>step3_validation[[#This Row],[Region]]</f>
        <v>Thành thị</v>
      </c>
      <c r="H274" t="str">
        <f>survey_responses[[#This Row],[Khu vực bạn đang sinh sống:]]</f>
        <v>Thành thị</v>
      </c>
      <c r="I274" t="str">
        <f>step3_validation[[#This Row],[Education]]</f>
        <v>Sau Đại học</v>
      </c>
      <c r="J274" t="str">
        <f>survey_responses[[#This Row],[Trình độ học vấn cao nhất:]]</f>
        <v>Sau Đại học</v>
      </c>
      <c r="K274" t="str">
        <f>step3_validation[[#This Row],[Employment]]</f>
        <v>Chính thức</v>
      </c>
      <c r="L274" t="str">
        <f>survey_responses[[#This Row],[Tình trạng việc làm chính:]]</f>
        <v>Khu vực chính thức (Có Hợp đồng lao động, đóng BHXH)</v>
      </c>
      <c r="M274">
        <f>step3_validation[[#This Row],[Income_Mil]]</f>
        <v>94.51187685135308</v>
      </c>
      <c r="N274" t="str">
        <f>survey_responses[[#This Row],[Thu nhập bình quân tháng theo Hợp đồng lao động của bạn là bao nhiêu? (Vui lòng điền tổng thu nhập trước khi khấu trừ các loại Bảo hiểm (BHXH, BHYT, BHTN) và Thuế TNCN)]]</f>
        <v>Từ 70 - 102 triệu VNĐ</v>
      </c>
      <c r="O274">
        <f>step3_validation[[#This Row],[Dependents]]</f>
        <v>4</v>
      </c>
      <c r="P274" t="str">
        <f>survey_responses[[#This Row],[Số người phụ thuộc (con nhỏ, cha mẹ già...) đủ điều kiện giảm trừ gia cảnh:]]</f>
        <v>4 người trở lên</v>
      </c>
      <c r="Q274">
        <f>step3_validation[[#This Row],[AI_ENF1]]</f>
        <v>7</v>
      </c>
      <c r="R274">
        <f t="shared" si="108"/>
        <v>0.66666666666666663</v>
      </c>
      <c r="S274">
        <f>survey_responses[[#This Row],[Tôi tin rằng với các quy định quản lý thuế hiện nay, hành vi gian lận hoặc trốn thuế sẽ dễ dàng bị phát hiện và xử lý nghiêm. - HUMAN-ENF1]]</f>
        <v>3</v>
      </c>
      <c r="T274">
        <f t="shared" si="109"/>
        <v>0.22222222222222221</v>
      </c>
      <c r="U274">
        <f>step3_validation[[#This Row],[AI_ENF2]]</f>
        <v>7</v>
      </c>
      <c r="V274">
        <f t="shared" si="110"/>
        <v>0.66666666666666663</v>
      </c>
      <c r="W274">
        <f>survey_responses[[#This Row],[Tôi tin rằng Nhà nước, cơ quan thuế có đủ khả năng và công nghệ để phát hiện, xử lý nghiêm các hành vi trốn thuế. - HUMAN-ENF2]]</f>
        <v>3</v>
      </c>
      <c r="X274">
        <f t="shared" si="111"/>
        <v>0.22222222222222221</v>
      </c>
      <c r="Y274" s="32">
        <f t="shared" si="112"/>
        <v>0.66666666666666663</v>
      </c>
      <c r="Z274" s="32">
        <f t="shared" si="113"/>
        <v>0.22222222222222221</v>
      </c>
      <c r="AA274">
        <f>step3_validation[[#This Row],[AI_FAC1]]</f>
        <v>8</v>
      </c>
      <c r="AB274">
        <f t="shared" si="114"/>
        <v>0.77777777777777779</v>
      </c>
      <c r="AC274">
        <f>survey_responses[[#This Row],[Các thủ tục khai báo thuế VÀ/HOẶC quy trình làm việc với cơ quan thuế đơn giản, tiện lợi, nhanh chóng hơn so với trước đây. - HUMAN-FAC1]]</f>
        <v>1</v>
      </c>
      <c r="AD274">
        <f t="shared" si="115"/>
        <v>0</v>
      </c>
      <c r="AE274">
        <f>step3_validation[[#This Row],[AI_FAC2]]</f>
        <v>9</v>
      </c>
      <c r="AF274">
        <f t="shared" si="116"/>
        <v>0.88888888888888884</v>
      </c>
      <c r="AG274">
        <f>survey_responses[[#This Row],[So với trước đây, tôi thấy cách tính thuế và các bậc thuế trong phương án mới đơn giản, dễ hiểu và dễ thực hiện hơn. - HUMAN-FAC2]]</f>
        <v>6</v>
      </c>
      <c r="AH274">
        <f t="shared" si="117"/>
        <v>0.55555555555555558</v>
      </c>
      <c r="AI274" s="32">
        <f t="shared" si="118"/>
        <v>0.83333333333333326</v>
      </c>
      <c r="AJ274" s="32">
        <f t="shared" si="119"/>
        <v>0.27777777777777779</v>
      </c>
      <c r="AK274">
        <f>step3_validation[[#This Row],[AI_TRU1]]</f>
        <v>7</v>
      </c>
      <c r="AL274">
        <f t="shared" si="120"/>
        <v>0.66666666666666663</v>
      </c>
      <c r="AM274">
        <f>survey_responses[[#This Row],[Tôi tin rằng Nhà nước, cơ quan thuế sẽ thực thi chính sách mới một cách khách quan, công tâm và đối xử bình đẳng với mọi người nộp thuế.  - HUMAN-TRU1]]</f>
        <v>1</v>
      </c>
      <c r="AN274">
        <f t="shared" si="121"/>
        <v>0</v>
      </c>
      <c r="AO274">
        <f>step3_validation[[#This Row],[AI_TRU2]]</f>
        <v>9</v>
      </c>
      <c r="AP274">
        <f t="shared" si="122"/>
        <v>0.88888888888888884</v>
      </c>
      <c r="AQ274">
        <f>survey_responses[[#This Row],[Tôi thấy mức thuế tôi phải đóng theo phương án mới là công bằng (người thu nhập như tôi đóng mức này là hợp lý). - HUMAN-TRU2]]</f>
        <v>1</v>
      </c>
      <c r="AR274">
        <f t="shared" si="123"/>
        <v>0</v>
      </c>
      <c r="AS274">
        <f>step3_validation[[#This Row],[AI_TRU3]]</f>
        <v>7</v>
      </c>
      <c r="AT274">
        <f t="shared" si="124"/>
        <v>0.66666666666666663</v>
      </c>
      <c r="AU274">
        <f>survey_responses[[#This Row],[Tôi tin tưởng số tiền thuế tôi đóng sẽ được Nhà nước sử dụng hiệu quả để cải thiện dịch vụ công (y tế, đường xá...). - HUMAN-TRU3]]</f>
        <v>1</v>
      </c>
      <c r="AV274">
        <f t="shared" si="125"/>
        <v>0</v>
      </c>
      <c r="AW274">
        <f>step3_validation[[#This Row],[AI_TRU4]]</f>
        <v>8</v>
      </c>
      <c r="AX274">
        <f t="shared" si="126"/>
        <v>0.77777777777777779</v>
      </c>
      <c r="AY274">
        <f>survey_responses[[#This Row],[Tôi thấy Nhà nước đã giải thích rõ ràng, minh bạch về lý do và mục tiêu của việc sửa đổi thuế lần này. - HUMAN-TRU4]]</f>
        <v>1</v>
      </c>
      <c r="AZ274">
        <f t="shared" si="127"/>
        <v>0</v>
      </c>
      <c r="BA274" s="32">
        <f t="shared" si="128"/>
        <v>0.74999999999999989</v>
      </c>
      <c r="BB274" s="32">
        <f t="shared" si="129"/>
        <v>0</v>
      </c>
      <c r="BC274" s="7">
        <f t="shared" si="130"/>
        <v>0.75</v>
      </c>
      <c r="BD274" s="7">
        <f t="shared" si="131"/>
        <v>0.16666666666666666</v>
      </c>
      <c r="BE274">
        <f>step3_validation[[#This Row],[AI_OUT1]]</f>
        <v>8</v>
      </c>
      <c r="BF274">
        <f t="shared" si="132"/>
        <v>0.77777777777777779</v>
      </c>
      <c r="BG274">
        <f>survey_responses[[#This Row],[Sau khi xem xét các quyền lợi và nghĩa vụ, bạn có ủng hộ và tuân thủ chính sách mới hiện nay? - HUMAN-OUT1]]</f>
        <v>1</v>
      </c>
      <c r="BH274">
        <f t="shared" si="133"/>
        <v>0</v>
      </c>
      <c r="BI274" s="32">
        <f t="shared" si="134"/>
        <v>7</v>
      </c>
    </row>
    <row r="275" spans="1:61" x14ac:dyDescent="0.45">
      <c r="A275" s="30">
        <f>step3_validation[[#This Row],[Persona_ID]]</f>
        <v>274</v>
      </c>
      <c r="B275" s="31">
        <f>step3_validation[[#This Row],[Used_Seed]]</f>
        <v>12618</v>
      </c>
      <c r="C275" t="str">
        <f>step3_validation[[#This Row],[Gender]]</f>
        <v>Nữ</v>
      </c>
      <c r="D275" t="str">
        <f>survey_responses[[#This Row],[Giới tính của bạn:]]</f>
        <v>Nữ</v>
      </c>
      <c r="E275" t="str">
        <f>step3_validation[[#This Row],[Age_Group]]</f>
        <v>30 - 39</v>
      </c>
      <c r="F275" t="str">
        <f>survey_responses[[#This Row],[Độ tuổi của bạn:]]</f>
        <v>30 - 39</v>
      </c>
      <c r="G275" t="str">
        <f>step3_validation[[#This Row],[Region]]</f>
        <v>Thành thị</v>
      </c>
      <c r="H275" t="str">
        <f>survey_responses[[#This Row],[Khu vực bạn đang sinh sống:]]</f>
        <v>Thành thị</v>
      </c>
      <c r="I275" t="str">
        <f>step3_validation[[#This Row],[Education]]</f>
        <v>Đại học</v>
      </c>
      <c r="J275" t="str">
        <f>survey_responses[[#This Row],[Trình độ học vấn cao nhất:]]</f>
        <v>Đại học</v>
      </c>
      <c r="K275" t="str">
        <f>step3_validation[[#This Row],[Employment]]</f>
        <v>Chính thức</v>
      </c>
      <c r="L275" t="str">
        <f>survey_responses[[#This Row],[Tình trạng việc làm chính:]]</f>
        <v>Khu vực chính thức (Có Hợp đồng lao động, đóng BHXH)</v>
      </c>
      <c r="M275">
        <f>step3_validation[[#This Row],[Income_Mil]]</f>
        <v>65.316219846220875</v>
      </c>
      <c r="N275" t="str">
        <f>survey_responses[[#This Row],[Thu nhập bình quân tháng theo Hợp đồng lao động của bạn là bao nhiêu? (Vui lòng điền tổng thu nhập trước khi khấu trừ các loại Bảo hiểm (BHXH, BHYT, BHTN) và Thuế TNCN)]]</f>
        <v>Từ 48 - 70 triệu VNĐ</v>
      </c>
      <c r="O275">
        <f>step3_validation[[#This Row],[Dependents]]</f>
        <v>2</v>
      </c>
      <c r="P275" t="str">
        <f>survey_responses[[#This Row],[Số người phụ thuộc (con nhỏ, cha mẹ già...) đủ điều kiện giảm trừ gia cảnh:]]</f>
        <v>2 người</v>
      </c>
      <c r="Q275">
        <f>step3_validation[[#This Row],[AI_ENF1]]</f>
        <v>9</v>
      </c>
      <c r="R275">
        <f t="shared" si="108"/>
        <v>0.88888888888888884</v>
      </c>
      <c r="S275">
        <f>survey_responses[[#This Row],[Tôi tin rằng với các quy định quản lý thuế hiện nay, hành vi gian lận hoặc trốn thuế sẽ dễ dàng bị phát hiện và xử lý nghiêm. - HUMAN-ENF1]]</f>
        <v>6</v>
      </c>
      <c r="T275">
        <f t="shared" si="109"/>
        <v>0.55555555555555558</v>
      </c>
      <c r="U275">
        <f>step3_validation[[#This Row],[AI_ENF2]]</f>
        <v>8</v>
      </c>
      <c r="V275">
        <f t="shared" si="110"/>
        <v>0.77777777777777779</v>
      </c>
      <c r="W275">
        <f>survey_responses[[#This Row],[Tôi tin rằng Nhà nước, cơ quan thuế có đủ khả năng và công nghệ để phát hiện, xử lý nghiêm các hành vi trốn thuế. - HUMAN-ENF2]]</f>
        <v>6</v>
      </c>
      <c r="X275">
        <f t="shared" si="111"/>
        <v>0.55555555555555558</v>
      </c>
      <c r="Y275" s="32">
        <f t="shared" si="112"/>
        <v>0.83333333333333326</v>
      </c>
      <c r="Z275" s="32">
        <f t="shared" si="113"/>
        <v>0.55555555555555558</v>
      </c>
      <c r="AA275">
        <f>step3_validation[[#This Row],[AI_FAC1]]</f>
        <v>9</v>
      </c>
      <c r="AB275">
        <f t="shared" si="114"/>
        <v>0.88888888888888884</v>
      </c>
      <c r="AC275">
        <f>survey_responses[[#This Row],[Các thủ tục khai báo thuế VÀ/HOẶC quy trình làm việc với cơ quan thuế đơn giản, tiện lợi, nhanh chóng hơn so với trước đây. - HUMAN-FAC1]]</f>
        <v>5</v>
      </c>
      <c r="AD275">
        <f t="shared" si="115"/>
        <v>0.44444444444444442</v>
      </c>
      <c r="AE275">
        <f>step3_validation[[#This Row],[AI_FAC2]]</f>
        <v>8</v>
      </c>
      <c r="AF275">
        <f t="shared" si="116"/>
        <v>0.77777777777777779</v>
      </c>
      <c r="AG275">
        <f>survey_responses[[#This Row],[So với trước đây, tôi thấy cách tính thuế và các bậc thuế trong phương án mới đơn giản, dễ hiểu và dễ thực hiện hơn. - HUMAN-FAC2]]</f>
        <v>6</v>
      </c>
      <c r="AH275">
        <f t="shared" si="117"/>
        <v>0.55555555555555558</v>
      </c>
      <c r="AI275" s="32">
        <f t="shared" si="118"/>
        <v>0.83333333333333326</v>
      </c>
      <c r="AJ275" s="32">
        <f t="shared" si="119"/>
        <v>0.5</v>
      </c>
      <c r="AK275">
        <f>step3_validation[[#This Row],[AI_TRU1]]</f>
        <v>9</v>
      </c>
      <c r="AL275">
        <f t="shared" si="120"/>
        <v>0.88888888888888884</v>
      </c>
      <c r="AM275">
        <f>survey_responses[[#This Row],[Tôi tin rằng Nhà nước, cơ quan thuế sẽ thực thi chính sách mới một cách khách quan, công tâm và đối xử bình đẳng với mọi người nộp thuế.  - HUMAN-TRU1]]</f>
        <v>6</v>
      </c>
      <c r="AN275">
        <f t="shared" si="121"/>
        <v>0.55555555555555558</v>
      </c>
      <c r="AO275">
        <f>step3_validation[[#This Row],[AI_TRU2]]</f>
        <v>8</v>
      </c>
      <c r="AP275">
        <f t="shared" si="122"/>
        <v>0.77777777777777779</v>
      </c>
      <c r="AQ275">
        <f>survey_responses[[#This Row],[Tôi thấy mức thuế tôi phải đóng theo phương án mới là công bằng (người thu nhập như tôi đóng mức này là hợp lý). - HUMAN-TRU2]]</f>
        <v>6</v>
      </c>
      <c r="AR275">
        <f t="shared" si="123"/>
        <v>0.55555555555555558</v>
      </c>
      <c r="AS275">
        <f>step3_validation[[#This Row],[AI_TRU3]]</f>
        <v>9</v>
      </c>
      <c r="AT275">
        <f t="shared" si="124"/>
        <v>0.88888888888888884</v>
      </c>
      <c r="AU275">
        <f>survey_responses[[#This Row],[Tôi tin tưởng số tiền thuế tôi đóng sẽ được Nhà nước sử dụng hiệu quả để cải thiện dịch vụ công (y tế, đường xá...). - HUMAN-TRU3]]</f>
        <v>6</v>
      </c>
      <c r="AV275">
        <f t="shared" si="125"/>
        <v>0.55555555555555558</v>
      </c>
      <c r="AW275">
        <f>step3_validation[[#This Row],[AI_TRU4]]</f>
        <v>8</v>
      </c>
      <c r="AX275">
        <f t="shared" si="126"/>
        <v>0.77777777777777779</v>
      </c>
      <c r="AY275">
        <f>survey_responses[[#This Row],[Tôi thấy Nhà nước đã giải thích rõ ràng, minh bạch về lý do và mục tiêu của việc sửa đổi thuế lần này. - HUMAN-TRU4]]</f>
        <v>6</v>
      </c>
      <c r="AZ275">
        <f t="shared" si="127"/>
        <v>0.55555555555555558</v>
      </c>
      <c r="BA275" s="32">
        <f t="shared" si="128"/>
        <v>0.83333333333333326</v>
      </c>
      <c r="BB275" s="32">
        <f t="shared" si="129"/>
        <v>0.55555555555555558</v>
      </c>
      <c r="BC275" s="7">
        <f t="shared" si="130"/>
        <v>0.83333333333333337</v>
      </c>
      <c r="BD275" s="7">
        <f t="shared" si="131"/>
        <v>0.53703703703703709</v>
      </c>
      <c r="BE275">
        <f>step3_validation[[#This Row],[AI_OUT1]]</f>
        <v>9</v>
      </c>
      <c r="BF275">
        <f t="shared" si="132"/>
        <v>0.88888888888888884</v>
      </c>
      <c r="BG275">
        <f>survey_responses[[#This Row],[Sau khi xem xét các quyền lợi và nghĩa vụ, bạn có ủng hộ và tuân thủ chính sách mới hiện nay? - HUMAN-OUT1]]</f>
        <v>6</v>
      </c>
      <c r="BH275">
        <f t="shared" si="133"/>
        <v>0.55555555555555558</v>
      </c>
      <c r="BI275" s="32">
        <f t="shared" si="134"/>
        <v>3</v>
      </c>
    </row>
    <row r="276" spans="1:61" x14ac:dyDescent="0.45">
      <c r="A276" s="30">
        <f>step3_validation[[#This Row],[Persona_ID]]</f>
        <v>275</v>
      </c>
      <c r="B276" s="31">
        <f>step3_validation[[#This Row],[Used_Seed]]</f>
        <v>12619</v>
      </c>
      <c r="C276" t="str">
        <f>step3_validation[[#This Row],[Gender]]</f>
        <v>Nữ</v>
      </c>
      <c r="D276" t="str">
        <f>survey_responses[[#This Row],[Giới tính của bạn:]]</f>
        <v>Nữ</v>
      </c>
      <c r="E276" t="str">
        <f>step3_validation[[#This Row],[Age_Group]]</f>
        <v>40 - 49</v>
      </c>
      <c r="F276" t="str">
        <f>survey_responses[[#This Row],[Độ tuổi của bạn:]]</f>
        <v>40 - 49</v>
      </c>
      <c r="G276" t="str">
        <f>step3_validation[[#This Row],[Region]]</f>
        <v>Thành thị</v>
      </c>
      <c r="H276" t="str">
        <f>survey_responses[[#This Row],[Khu vực bạn đang sinh sống:]]</f>
        <v>Thành thị</v>
      </c>
      <c r="I276" t="str">
        <f>step3_validation[[#This Row],[Education]]</f>
        <v>Sau Đại học</v>
      </c>
      <c r="J276" t="str">
        <f>survey_responses[[#This Row],[Trình độ học vấn cao nhất:]]</f>
        <v>Sau Đại học</v>
      </c>
      <c r="K276" t="str">
        <f>step3_validation[[#This Row],[Employment]]</f>
        <v>Chính thức</v>
      </c>
      <c r="L276" t="str">
        <f>survey_responses[[#This Row],[Tình trạng việc làm chính:]]</f>
        <v>Khu vực chính thức (Có Hợp đồng lao động, đóng BHXH)</v>
      </c>
      <c r="M276">
        <f>step3_validation[[#This Row],[Income_Mil]]</f>
        <v>61.039403417158866</v>
      </c>
      <c r="N276" t="str">
        <f>survey_responses[[#This Row],[Thu nhập bình quân tháng theo Hợp đồng lao động của bạn là bao nhiêu? (Vui lòng điền tổng thu nhập trước khi khấu trừ các loại Bảo hiểm (BHXH, BHYT, BHTN) và Thuế TNCN)]]</f>
        <v>Từ 48 - 70 triệu VNĐ</v>
      </c>
      <c r="O276">
        <f>step3_validation[[#This Row],[Dependents]]</f>
        <v>2</v>
      </c>
      <c r="P276" t="str">
        <f>survey_responses[[#This Row],[Số người phụ thuộc (con nhỏ, cha mẹ già...) đủ điều kiện giảm trừ gia cảnh:]]</f>
        <v>2 người</v>
      </c>
      <c r="Q276">
        <f>step3_validation[[#This Row],[AI_ENF1]]</f>
        <v>5</v>
      </c>
      <c r="R276">
        <f t="shared" si="108"/>
        <v>0.44444444444444442</v>
      </c>
      <c r="S276">
        <f>survey_responses[[#This Row],[Tôi tin rằng với các quy định quản lý thuế hiện nay, hành vi gian lận hoặc trốn thuế sẽ dễ dàng bị phát hiện và xử lý nghiêm. - HUMAN-ENF1]]</f>
        <v>8</v>
      </c>
      <c r="T276">
        <f t="shared" si="109"/>
        <v>0.77777777777777779</v>
      </c>
      <c r="U276">
        <f>step3_validation[[#This Row],[AI_ENF2]]</f>
        <v>6</v>
      </c>
      <c r="V276">
        <f t="shared" si="110"/>
        <v>0.55555555555555558</v>
      </c>
      <c r="W276">
        <f>survey_responses[[#This Row],[Tôi tin rằng Nhà nước, cơ quan thuế có đủ khả năng và công nghệ để phát hiện, xử lý nghiêm các hành vi trốn thuế. - HUMAN-ENF2]]</f>
        <v>9</v>
      </c>
      <c r="X276">
        <f t="shared" si="111"/>
        <v>0.88888888888888884</v>
      </c>
      <c r="Y276" s="32">
        <f t="shared" si="112"/>
        <v>0.5</v>
      </c>
      <c r="Z276" s="32">
        <f t="shared" si="113"/>
        <v>0.83333333333333326</v>
      </c>
      <c r="AA276">
        <f>step3_validation[[#This Row],[AI_FAC1]]</f>
        <v>8</v>
      </c>
      <c r="AB276">
        <f t="shared" si="114"/>
        <v>0.77777777777777779</v>
      </c>
      <c r="AC276">
        <f>survey_responses[[#This Row],[Các thủ tục khai báo thuế VÀ/HOẶC quy trình làm việc với cơ quan thuế đơn giản, tiện lợi, nhanh chóng hơn so với trước đây. - HUMAN-FAC1]]</f>
        <v>5</v>
      </c>
      <c r="AD276">
        <f t="shared" si="115"/>
        <v>0.44444444444444442</v>
      </c>
      <c r="AE276">
        <f>step3_validation[[#This Row],[AI_FAC2]]</f>
        <v>7</v>
      </c>
      <c r="AF276">
        <f t="shared" si="116"/>
        <v>0.66666666666666663</v>
      </c>
      <c r="AG276">
        <f>survey_responses[[#This Row],[So với trước đây, tôi thấy cách tính thuế và các bậc thuế trong phương án mới đơn giản, dễ hiểu và dễ thực hiện hơn. - HUMAN-FAC2]]</f>
        <v>7</v>
      </c>
      <c r="AH276">
        <f t="shared" si="117"/>
        <v>0.66666666666666663</v>
      </c>
      <c r="AI276" s="32">
        <f t="shared" si="118"/>
        <v>0.72222222222222221</v>
      </c>
      <c r="AJ276" s="32">
        <f t="shared" si="119"/>
        <v>0.55555555555555558</v>
      </c>
      <c r="AK276">
        <f>step3_validation[[#This Row],[AI_TRU1]]</f>
        <v>6</v>
      </c>
      <c r="AL276">
        <f t="shared" si="120"/>
        <v>0.55555555555555558</v>
      </c>
      <c r="AM276">
        <f>survey_responses[[#This Row],[Tôi tin rằng Nhà nước, cơ quan thuế sẽ thực thi chính sách mới một cách khách quan, công tâm và đối xử bình đẳng với mọi người nộp thuế.  - HUMAN-TRU1]]</f>
        <v>6</v>
      </c>
      <c r="AN276">
        <f t="shared" si="121"/>
        <v>0.55555555555555558</v>
      </c>
      <c r="AO276">
        <f>step3_validation[[#This Row],[AI_TRU2]]</f>
        <v>7</v>
      </c>
      <c r="AP276">
        <f t="shared" si="122"/>
        <v>0.66666666666666663</v>
      </c>
      <c r="AQ276">
        <f>survey_responses[[#This Row],[Tôi thấy mức thuế tôi phải đóng theo phương án mới là công bằng (người thu nhập như tôi đóng mức này là hợp lý). - HUMAN-TRU2]]</f>
        <v>7</v>
      </c>
      <c r="AR276">
        <f t="shared" si="123"/>
        <v>0.66666666666666663</v>
      </c>
      <c r="AS276">
        <f>step3_validation[[#This Row],[AI_TRU3]]</f>
        <v>6</v>
      </c>
      <c r="AT276">
        <f t="shared" si="124"/>
        <v>0.55555555555555558</v>
      </c>
      <c r="AU276">
        <f>survey_responses[[#This Row],[Tôi tin tưởng số tiền thuế tôi đóng sẽ được Nhà nước sử dụng hiệu quả để cải thiện dịch vụ công (y tế, đường xá...). - HUMAN-TRU3]]</f>
        <v>7</v>
      </c>
      <c r="AV276">
        <f t="shared" si="125"/>
        <v>0.66666666666666663</v>
      </c>
      <c r="AW276">
        <f>step3_validation[[#This Row],[AI_TRU4]]</f>
        <v>7</v>
      </c>
      <c r="AX276">
        <f t="shared" si="126"/>
        <v>0.66666666666666663</v>
      </c>
      <c r="AY276">
        <f>survey_responses[[#This Row],[Tôi thấy Nhà nước đã giải thích rõ ràng, minh bạch về lý do và mục tiêu của việc sửa đổi thuế lần này. - HUMAN-TRU4]]</f>
        <v>7</v>
      </c>
      <c r="AZ276">
        <f t="shared" si="127"/>
        <v>0.66666666666666663</v>
      </c>
      <c r="BA276" s="32">
        <f t="shared" si="128"/>
        <v>0.61111111111111116</v>
      </c>
      <c r="BB276" s="32">
        <f t="shared" si="129"/>
        <v>0.63888888888888884</v>
      </c>
      <c r="BC276" s="7">
        <f t="shared" si="130"/>
        <v>0.61111111111111116</v>
      </c>
      <c r="BD276" s="7">
        <f t="shared" si="131"/>
        <v>0.67592592592592593</v>
      </c>
      <c r="BE276">
        <f>step3_validation[[#This Row],[AI_OUT1]]</f>
        <v>8</v>
      </c>
      <c r="BF276">
        <f t="shared" si="132"/>
        <v>0.77777777777777779</v>
      </c>
      <c r="BG276">
        <f>survey_responses[[#This Row],[Sau khi xem xét các quyền lợi và nghĩa vụ, bạn có ủng hộ và tuân thủ chính sách mới hiện nay? - HUMAN-OUT1]]</f>
        <v>7</v>
      </c>
      <c r="BH276">
        <f t="shared" si="133"/>
        <v>0.66666666666666663</v>
      </c>
      <c r="BI276" s="32">
        <f t="shared" si="134"/>
        <v>1</v>
      </c>
    </row>
    <row r="277" spans="1:61" x14ac:dyDescent="0.45">
      <c r="A277" s="30">
        <f>step3_validation[[#This Row],[Persona_ID]]</f>
        <v>276</v>
      </c>
      <c r="B277" s="31">
        <f>step3_validation[[#This Row],[Used_Seed]]</f>
        <v>12620</v>
      </c>
      <c r="C277" t="str">
        <f>step3_validation[[#This Row],[Gender]]</f>
        <v>Nam</v>
      </c>
      <c r="D277" t="str">
        <f>survey_responses[[#This Row],[Giới tính của bạn:]]</f>
        <v>Nam</v>
      </c>
      <c r="E277" t="str">
        <f>step3_validation[[#This Row],[Age_Group]]</f>
        <v>30 - 39</v>
      </c>
      <c r="F277" t="str">
        <f>survey_responses[[#This Row],[Độ tuổi của bạn:]]</f>
        <v>30 - 39</v>
      </c>
      <c r="G277" t="str">
        <f>step3_validation[[#This Row],[Region]]</f>
        <v>Thành thị</v>
      </c>
      <c r="H277" t="str">
        <f>survey_responses[[#This Row],[Khu vực bạn đang sinh sống:]]</f>
        <v>Thành thị</v>
      </c>
      <c r="I277" t="str">
        <f>step3_validation[[#This Row],[Education]]</f>
        <v>Đại học</v>
      </c>
      <c r="J277" t="str">
        <f>survey_responses[[#This Row],[Trình độ học vấn cao nhất:]]</f>
        <v>Đại học</v>
      </c>
      <c r="K277" t="str">
        <f>step3_validation[[#This Row],[Employment]]</f>
        <v>Chính thức</v>
      </c>
      <c r="L277" t="str">
        <f>survey_responses[[#This Row],[Tình trạng việc làm chính:]]</f>
        <v>Khu vực chính thức (Có Hợp đồng lao động, đóng BHXH)</v>
      </c>
      <c r="M277">
        <f>step3_validation[[#This Row],[Income_Mil]]</f>
        <v>33.603736278304325</v>
      </c>
      <c r="N277" t="str">
        <f>survey_responses[[#This Row],[Thu nhập bình quân tháng theo Hợp đồng lao động của bạn là bao nhiêu? (Vui lòng điền tổng thu nhập trước khi khấu trừ các loại Bảo hiểm (BHXH, BHYT, BHTN) và Thuế TNCN)]]</f>
        <v>Từ 32 - 48 triệu VNĐ</v>
      </c>
      <c r="O277">
        <f>step3_validation[[#This Row],[Dependents]]</f>
        <v>1</v>
      </c>
      <c r="P277" t="str">
        <f>survey_responses[[#This Row],[Số người phụ thuộc (con nhỏ, cha mẹ già...) đủ điều kiện giảm trừ gia cảnh:]]</f>
        <v>1 người</v>
      </c>
      <c r="Q277">
        <f>step3_validation[[#This Row],[AI_ENF1]]</f>
        <v>7</v>
      </c>
      <c r="R277">
        <f t="shared" si="108"/>
        <v>0.66666666666666663</v>
      </c>
      <c r="S277">
        <f>survey_responses[[#This Row],[Tôi tin rằng với các quy định quản lý thuế hiện nay, hành vi gian lận hoặc trốn thuế sẽ dễ dàng bị phát hiện và xử lý nghiêm. - HUMAN-ENF1]]</f>
        <v>6</v>
      </c>
      <c r="T277">
        <f t="shared" si="109"/>
        <v>0.55555555555555558</v>
      </c>
      <c r="U277">
        <f>step3_validation[[#This Row],[AI_ENF2]]</f>
        <v>8</v>
      </c>
      <c r="V277">
        <f t="shared" si="110"/>
        <v>0.77777777777777779</v>
      </c>
      <c r="W277">
        <f>survey_responses[[#This Row],[Tôi tin rằng Nhà nước, cơ quan thuế có đủ khả năng và công nghệ để phát hiện, xử lý nghiêm các hành vi trốn thuế. - HUMAN-ENF2]]</f>
        <v>6</v>
      </c>
      <c r="X277">
        <f t="shared" si="111"/>
        <v>0.55555555555555558</v>
      </c>
      <c r="Y277" s="32">
        <f t="shared" si="112"/>
        <v>0.72222222222222221</v>
      </c>
      <c r="Z277" s="32">
        <f t="shared" si="113"/>
        <v>0.55555555555555558</v>
      </c>
      <c r="AA277">
        <f>step3_validation[[#This Row],[AI_FAC1]]</f>
        <v>9</v>
      </c>
      <c r="AB277">
        <f t="shared" si="114"/>
        <v>0.88888888888888884</v>
      </c>
      <c r="AC277">
        <f>survey_responses[[#This Row],[Các thủ tục khai báo thuế VÀ/HOẶC quy trình làm việc với cơ quan thuế đơn giản, tiện lợi, nhanh chóng hơn so với trước đây. - HUMAN-FAC1]]</f>
        <v>3</v>
      </c>
      <c r="AD277">
        <f t="shared" si="115"/>
        <v>0.22222222222222221</v>
      </c>
      <c r="AE277">
        <f>step3_validation[[#This Row],[AI_FAC2]]</f>
        <v>10</v>
      </c>
      <c r="AF277">
        <f t="shared" si="116"/>
        <v>1</v>
      </c>
      <c r="AG277">
        <f>survey_responses[[#This Row],[So với trước đây, tôi thấy cách tính thuế và các bậc thuế trong phương án mới đơn giản, dễ hiểu và dễ thực hiện hơn. - HUMAN-FAC2]]</f>
        <v>7</v>
      </c>
      <c r="AH277">
        <f t="shared" si="117"/>
        <v>0.66666666666666663</v>
      </c>
      <c r="AI277" s="32">
        <f t="shared" si="118"/>
        <v>0.94444444444444442</v>
      </c>
      <c r="AJ277" s="32">
        <f t="shared" si="119"/>
        <v>0.44444444444444442</v>
      </c>
      <c r="AK277">
        <f>step3_validation[[#This Row],[AI_TRU1]]</f>
        <v>8</v>
      </c>
      <c r="AL277">
        <f t="shared" si="120"/>
        <v>0.77777777777777779</v>
      </c>
      <c r="AM277">
        <f>survey_responses[[#This Row],[Tôi tin rằng Nhà nước, cơ quan thuế sẽ thực thi chính sách mới một cách khách quan, công tâm và đối xử bình đẳng với mọi người nộp thuế.  - HUMAN-TRU1]]</f>
        <v>7</v>
      </c>
      <c r="AN277">
        <f t="shared" si="121"/>
        <v>0.66666666666666663</v>
      </c>
      <c r="AO277">
        <f>step3_validation[[#This Row],[AI_TRU2]]</f>
        <v>9</v>
      </c>
      <c r="AP277">
        <f t="shared" si="122"/>
        <v>0.88888888888888884</v>
      </c>
      <c r="AQ277">
        <f>survey_responses[[#This Row],[Tôi thấy mức thuế tôi phải đóng theo phương án mới là công bằng (người thu nhập như tôi đóng mức này là hợp lý). - HUMAN-TRU2]]</f>
        <v>7</v>
      </c>
      <c r="AR277">
        <f t="shared" si="123"/>
        <v>0.66666666666666663</v>
      </c>
      <c r="AS277">
        <f>step3_validation[[#This Row],[AI_TRU3]]</f>
        <v>7</v>
      </c>
      <c r="AT277">
        <f t="shared" si="124"/>
        <v>0.66666666666666663</v>
      </c>
      <c r="AU277">
        <f>survey_responses[[#This Row],[Tôi tin tưởng số tiền thuế tôi đóng sẽ được Nhà nước sử dụng hiệu quả để cải thiện dịch vụ công (y tế, đường xá...). - HUMAN-TRU3]]</f>
        <v>5</v>
      </c>
      <c r="AV277">
        <f t="shared" si="125"/>
        <v>0.44444444444444442</v>
      </c>
      <c r="AW277">
        <f>step3_validation[[#This Row],[AI_TRU4]]</f>
        <v>8</v>
      </c>
      <c r="AX277">
        <f t="shared" si="126"/>
        <v>0.77777777777777779</v>
      </c>
      <c r="AY277">
        <f>survey_responses[[#This Row],[Tôi thấy Nhà nước đã giải thích rõ ràng, minh bạch về lý do và mục tiêu của việc sửa đổi thuế lần này. - HUMAN-TRU4]]</f>
        <v>7</v>
      </c>
      <c r="AZ277">
        <f t="shared" si="127"/>
        <v>0.66666666666666663</v>
      </c>
      <c r="BA277" s="32">
        <f t="shared" si="128"/>
        <v>0.77777777777777768</v>
      </c>
      <c r="BB277" s="32">
        <f t="shared" si="129"/>
        <v>0.61111111111111105</v>
      </c>
      <c r="BC277" s="7">
        <f t="shared" si="130"/>
        <v>0.81481481481481477</v>
      </c>
      <c r="BD277" s="7">
        <f t="shared" si="131"/>
        <v>0.53703703703703709</v>
      </c>
      <c r="BE277">
        <f>step3_validation[[#This Row],[AI_OUT1]]</f>
        <v>9</v>
      </c>
      <c r="BF277">
        <f t="shared" si="132"/>
        <v>0.88888888888888884</v>
      </c>
      <c r="BG277">
        <f>survey_responses[[#This Row],[Sau khi xem xét các quyền lợi và nghĩa vụ, bạn có ủng hộ và tuân thủ chính sách mới hiện nay? - HUMAN-OUT1]]</f>
        <v>7</v>
      </c>
      <c r="BH277">
        <f t="shared" si="133"/>
        <v>0.66666666666666663</v>
      </c>
      <c r="BI277" s="32">
        <f t="shared" si="134"/>
        <v>2</v>
      </c>
    </row>
    <row r="278" spans="1:61" x14ac:dyDescent="0.45">
      <c r="A278" s="30">
        <f>step3_validation[[#This Row],[Persona_ID]]</f>
        <v>277</v>
      </c>
      <c r="B278" s="31">
        <f>step3_validation[[#This Row],[Used_Seed]]</f>
        <v>12621</v>
      </c>
      <c r="C278" t="str">
        <f>step3_validation[[#This Row],[Gender]]</f>
        <v>Nữ</v>
      </c>
      <c r="D278" t="str">
        <f>survey_responses[[#This Row],[Giới tính của bạn:]]</f>
        <v>Nữ</v>
      </c>
      <c r="E278" t="str">
        <f>step3_validation[[#This Row],[Age_Group]]</f>
        <v>40 - 49</v>
      </c>
      <c r="F278" t="str">
        <f>survey_responses[[#This Row],[Độ tuổi của bạn:]]</f>
        <v>40 - 49</v>
      </c>
      <c r="G278" t="str">
        <f>step3_validation[[#This Row],[Region]]</f>
        <v>Thành thị</v>
      </c>
      <c r="H278" t="str">
        <f>survey_responses[[#This Row],[Khu vực bạn đang sinh sống:]]</f>
        <v>Thành thị</v>
      </c>
      <c r="I278" t="str">
        <f>step3_validation[[#This Row],[Education]]</f>
        <v>Đại học</v>
      </c>
      <c r="J278" t="str">
        <f>survey_responses[[#This Row],[Trình độ học vấn cao nhất:]]</f>
        <v>Đại học</v>
      </c>
      <c r="K278" t="str">
        <f>step3_validation[[#This Row],[Employment]]</f>
        <v>Chính thức</v>
      </c>
      <c r="L278" t="str">
        <f>survey_responses[[#This Row],[Tình trạng việc làm chính:]]</f>
        <v>Khu vực chính thức (Có Hợp đồng lao động, đóng BHXH)</v>
      </c>
      <c r="M278">
        <f>step3_validation[[#This Row],[Income_Mil]]</f>
        <v>78.750453674134562</v>
      </c>
      <c r="N278" t="str">
        <f>survey_responses[[#This Row],[Thu nhập bình quân tháng theo Hợp đồng lao động của bạn là bao nhiêu? (Vui lòng điền tổng thu nhập trước khi khấu trừ các loại Bảo hiểm (BHXH, BHYT, BHTN) và Thuế TNCN)]]</f>
        <v>Từ 70 - 102 triệu VNĐ</v>
      </c>
      <c r="O278">
        <f>step3_validation[[#This Row],[Dependents]]</f>
        <v>4</v>
      </c>
      <c r="P278" t="str">
        <f>survey_responses[[#This Row],[Số người phụ thuộc (con nhỏ, cha mẹ già...) đủ điều kiện giảm trừ gia cảnh:]]</f>
        <v>4 người trở lên</v>
      </c>
      <c r="Q278">
        <f>step3_validation[[#This Row],[AI_ENF1]]</f>
        <v>7</v>
      </c>
      <c r="R278">
        <f t="shared" si="108"/>
        <v>0.66666666666666663</v>
      </c>
      <c r="S278">
        <f>survey_responses[[#This Row],[Tôi tin rằng với các quy định quản lý thuế hiện nay, hành vi gian lận hoặc trốn thuế sẽ dễ dàng bị phát hiện và xử lý nghiêm. - HUMAN-ENF1]]</f>
        <v>8</v>
      </c>
      <c r="T278">
        <f t="shared" si="109"/>
        <v>0.77777777777777779</v>
      </c>
      <c r="U278">
        <f>step3_validation[[#This Row],[AI_ENF2]]</f>
        <v>6</v>
      </c>
      <c r="V278">
        <f t="shared" si="110"/>
        <v>0.55555555555555558</v>
      </c>
      <c r="W278">
        <f>survey_responses[[#This Row],[Tôi tin rằng Nhà nước, cơ quan thuế có đủ khả năng và công nghệ để phát hiện, xử lý nghiêm các hành vi trốn thuế. - HUMAN-ENF2]]</f>
        <v>8</v>
      </c>
      <c r="X278">
        <f t="shared" si="111"/>
        <v>0.77777777777777779</v>
      </c>
      <c r="Y278" s="32">
        <f t="shared" si="112"/>
        <v>0.61111111111111116</v>
      </c>
      <c r="Z278" s="32">
        <f t="shared" si="113"/>
        <v>0.77777777777777779</v>
      </c>
      <c r="AA278">
        <f>step3_validation[[#This Row],[AI_FAC1]]</f>
        <v>8</v>
      </c>
      <c r="AB278">
        <f t="shared" si="114"/>
        <v>0.77777777777777779</v>
      </c>
      <c r="AC278">
        <f>survey_responses[[#This Row],[Các thủ tục khai báo thuế VÀ/HOẶC quy trình làm việc với cơ quan thuế đơn giản, tiện lợi, nhanh chóng hơn so với trước đây. - HUMAN-FAC1]]</f>
        <v>6</v>
      </c>
      <c r="AD278">
        <f t="shared" si="115"/>
        <v>0.55555555555555558</v>
      </c>
      <c r="AE278">
        <f>step3_validation[[#This Row],[AI_FAC2]]</f>
        <v>9</v>
      </c>
      <c r="AF278">
        <f t="shared" si="116"/>
        <v>0.88888888888888884</v>
      </c>
      <c r="AG278">
        <f>survey_responses[[#This Row],[So với trước đây, tôi thấy cách tính thuế và các bậc thuế trong phương án mới đơn giản, dễ hiểu và dễ thực hiện hơn. - HUMAN-FAC2]]</f>
        <v>7</v>
      </c>
      <c r="AH278">
        <f t="shared" si="117"/>
        <v>0.66666666666666663</v>
      </c>
      <c r="AI278" s="32">
        <f t="shared" si="118"/>
        <v>0.83333333333333326</v>
      </c>
      <c r="AJ278" s="32">
        <f t="shared" si="119"/>
        <v>0.61111111111111116</v>
      </c>
      <c r="AK278">
        <f>step3_validation[[#This Row],[AI_TRU1]]</f>
        <v>7</v>
      </c>
      <c r="AL278">
        <f t="shared" si="120"/>
        <v>0.66666666666666663</v>
      </c>
      <c r="AM278">
        <f>survey_responses[[#This Row],[Tôi tin rằng Nhà nước, cơ quan thuế sẽ thực thi chính sách mới một cách khách quan, công tâm và đối xử bình đẳng với mọi người nộp thuế.  - HUMAN-TRU1]]</f>
        <v>7</v>
      </c>
      <c r="AN278">
        <f t="shared" si="121"/>
        <v>0.66666666666666663</v>
      </c>
      <c r="AO278">
        <f>step3_validation[[#This Row],[AI_TRU2]]</f>
        <v>8</v>
      </c>
      <c r="AP278">
        <f t="shared" si="122"/>
        <v>0.77777777777777779</v>
      </c>
      <c r="AQ278">
        <f>survey_responses[[#This Row],[Tôi thấy mức thuế tôi phải đóng theo phương án mới là công bằng (người thu nhập như tôi đóng mức này là hợp lý). - HUMAN-TRU2]]</f>
        <v>4</v>
      </c>
      <c r="AR278">
        <f t="shared" si="123"/>
        <v>0.33333333333333331</v>
      </c>
      <c r="AS278">
        <f>step3_validation[[#This Row],[AI_TRU3]]</f>
        <v>7</v>
      </c>
      <c r="AT278">
        <f t="shared" si="124"/>
        <v>0.66666666666666663</v>
      </c>
      <c r="AU278">
        <f>survey_responses[[#This Row],[Tôi tin tưởng số tiền thuế tôi đóng sẽ được Nhà nước sử dụng hiệu quả để cải thiện dịch vụ công (y tế, đường xá...). - HUMAN-TRU3]]</f>
        <v>5</v>
      </c>
      <c r="AV278">
        <f t="shared" si="125"/>
        <v>0.44444444444444442</v>
      </c>
      <c r="AW278">
        <f>step3_validation[[#This Row],[AI_TRU4]]</f>
        <v>8</v>
      </c>
      <c r="AX278">
        <f t="shared" si="126"/>
        <v>0.77777777777777779</v>
      </c>
      <c r="AY278">
        <f>survey_responses[[#This Row],[Tôi thấy Nhà nước đã giải thích rõ ràng, minh bạch về lý do và mục tiêu của việc sửa đổi thuế lần này. - HUMAN-TRU4]]</f>
        <v>5</v>
      </c>
      <c r="AZ278">
        <f t="shared" si="127"/>
        <v>0.44444444444444442</v>
      </c>
      <c r="BA278" s="32">
        <f t="shared" si="128"/>
        <v>0.72222222222222221</v>
      </c>
      <c r="BB278" s="32">
        <f t="shared" si="129"/>
        <v>0.47222222222222221</v>
      </c>
      <c r="BC278" s="7">
        <f t="shared" si="130"/>
        <v>0.72222222222222221</v>
      </c>
      <c r="BD278" s="7">
        <f t="shared" si="131"/>
        <v>0.62037037037037035</v>
      </c>
      <c r="BE278">
        <f>step3_validation[[#This Row],[AI_OUT1]]</f>
        <v>9</v>
      </c>
      <c r="BF278">
        <f t="shared" si="132"/>
        <v>0.88888888888888884</v>
      </c>
      <c r="BG278">
        <f>survey_responses[[#This Row],[Sau khi xem xét các quyền lợi và nghĩa vụ, bạn có ủng hộ và tuân thủ chính sách mới hiện nay? - HUMAN-OUT1]]</f>
        <v>5</v>
      </c>
      <c r="BH278">
        <f t="shared" si="133"/>
        <v>0.44444444444444442</v>
      </c>
      <c r="BI278" s="32">
        <f t="shared" si="134"/>
        <v>4</v>
      </c>
    </row>
    <row r="279" spans="1:61" x14ac:dyDescent="0.45">
      <c r="A279" s="30">
        <f>step3_validation[[#This Row],[Persona_ID]]</f>
        <v>278</v>
      </c>
      <c r="B279" s="31">
        <f>step3_validation[[#This Row],[Used_Seed]]</f>
        <v>12622</v>
      </c>
      <c r="C279" t="str">
        <f>step3_validation[[#This Row],[Gender]]</f>
        <v>Nữ</v>
      </c>
      <c r="D279" t="str">
        <f>survey_responses[[#This Row],[Giới tính của bạn:]]</f>
        <v>Nữ</v>
      </c>
      <c r="E279" t="str">
        <f>step3_validation[[#This Row],[Age_Group]]</f>
        <v>30 - 39</v>
      </c>
      <c r="F279" t="str">
        <f>survey_responses[[#This Row],[Độ tuổi của bạn:]]</f>
        <v>30 - 39</v>
      </c>
      <c r="G279" t="str">
        <f>step3_validation[[#This Row],[Region]]</f>
        <v>Thành thị</v>
      </c>
      <c r="H279" t="str">
        <f>survey_responses[[#This Row],[Khu vực bạn đang sinh sống:]]</f>
        <v>Thành thị</v>
      </c>
      <c r="I279" t="str">
        <f>step3_validation[[#This Row],[Education]]</f>
        <v>Đại học</v>
      </c>
      <c r="J279" t="str">
        <f>survey_responses[[#This Row],[Trình độ học vấn cao nhất:]]</f>
        <v>Đại học</v>
      </c>
      <c r="K279" t="str">
        <f>step3_validation[[#This Row],[Employment]]</f>
        <v>Chính thức</v>
      </c>
      <c r="L279" t="str">
        <f>survey_responses[[#This Row],[Tình trạng việc làm chính:]]</f>
        <v>Khu vực chính thức (Có Hợp đồng lao động, đóng BHXH)</v>
      </c>
      <c r="M279">
        <f>step3_validation[[#This Row],[Income_Mil]]</f>
        <v>63.196717756684855</v>
      </c>
      <c r="N279" t="str">
        <f>survey_responses[[#This Row],[Thu nhập bình quân tháng theo Hợp đồng lao động của bạn là bao nhiêu? (Vui lòng điền tổng thu nhập trước khi khấu trừ các loại Bảo hiểm (BHXH, BHYT, BHTN) và Thuế TNCN)]]</f>
        <v>Từ 48 - 70 triệu VNĐ</v>
      </c>
      <c r="O279">
        <f>step3_validation[[#This Row],[Dependents]]</f>
        <v>3</v>
      </c>
      <c r="P279" t="str">
        <f>survey_responses[[#This Row],[Số người phụ thuộc (con nhỏ, cha mẹ già...) đủ điều kiện giảm trừ gia cảnh:]]</f>
        <v>3 người</v>
      </c>
      <c r="Q279">
        <f>step3_validation[[#This Row],[AI_ENF1]]</f>
        <v>8</v>
      </c>
      <c r="R279">
        <f t="shared" si="108"/>
        <v>0.77777777777777779</v>
      </c>
      <c r="S279">
        <f>survey_responses[[#This Row],[Tôi tin rằng với các quy định quản lý thuế hiện nay, hành vi gian lận hoặc trốn thuế sẽ dễ dàng bị phát hiện và xử lý nghiêm. - HUMAN-ENF1]]</f>
        <v>6</v>
      </c>
      <c r="T279">
        <f t="shared" si="109"/>
        <v>0.55555555555555558</v>
      </c>
      <c r="U279">
        <f>step3_validation[[#This Row],[AI_ENF2]]</f>
        <v>7</v>
      </c>
      <c r="V279">
        <f t="shared" si="110"/>
        <v>0.66666666666666663</v>
      </c>
      <c r="W279">
        <f>survey_responses[[#This Row],[Tôi tin rằng Nhà nước, cơ quan thuế có đủ khả năng và công nghệ để phát hiện, xử lý nghiêm các hành vi trốn thuế. - HUMAN-ENF2]]</f>
        <v>7</v>
      </c>
      <c r="X279">
        <f t="shared" si="111"/>
        <v>0.66666666666666663</v>
      </c>
      <c r="Y279" s="32">
        <f t="shared" si="112"/>
        <v>0.72222222222222221</v>
      </c>
      <c r="Z279" s="32">
        <f t="shared" si="113"/>
        <v>0.61111111111111116</v>
      </c>
      <c r="AA279">
        <f>step3_validation[[#This Row],[AI_FAC1]]</f>
        <v>6</v>
      </c>
      <c r="AB279">
        <f t="shared" si="114"/>
        <v>0.55555555555555558</v>
      </c>
      <c r="AC279">
        <f>survey_responses[[#This Row],[Các thủ tục khai báo thuế VÀ/HOẶC quy trình làm việc với cơ quan thuế đơn giản, tiện lợi, nhanh chóng hơn so với trước đây. - HUMAN-FAC1]]</f>
        <v>5</v>
      </c>
      <c r="AD279">
        <f t="shared" si="115"/>
        <v>0.44444444444444442</v>
      </c>
      <c r="AE279">
        <f>step3_validation[[#This Row],[AI_FAC2]]</f>
        <v>9</v>
      </c>
      <c r="AF279">
        <f t="shared" si="116"/>
        <v>0.88888888888888884</v>
      </c>
      <c r="AG279">
        <f>survey_responses[[#This Row],[So với trước đây, tôi thấy cách tính thuế và các bậc thuế trong phương án mới đơn giản, dễ hiểu và dễ thực hiện hơn. - HUMAN-FAC2]]</f>
        <v>7</v>
      </c>
      <c r="AH279">
        <f t="shared" si="117"/>
        <v>0.66666666666666663</v>
      </c>
      <c r="AI279" s="32">
        <f t="shared" si="118"/>
        <v>0.72222222222222221</v>
      </c>
      <c r="AJ279" s="32">
        <f t="shared" si="119"/>
        <v>0.55555555555555558</v>
      </c>
      <c r="AK279">
        <f>step3_validation[[#This Row],[AI_TRU1]]</f>
        <v>8</v>
      </c>
      <c r="AL279">
        <f t="shared" si="120"/>
        <v>0.77777777777777779</v>
      </c>
      <c r="AM279">
        <f>survey_responses[[#This Row],[Tôi tin rằng Nhà nước, cơ quan thuế sẽ thực thi chính sách mới một cách khách quan, công tâm và đối xử bình đẳng với mọi người nộp thuế.  - HUMAN-TRU1]]</f>
        <v>6</v>
      </c>
      <c r="AN279">
        <f t="shared" si="121"/>
        <v>0.55555555555555558</v>
      </c>
      <c r="AO279">
        <f>step3_validation[[#This Row],[AI_TRU2]]</f>
        <v>9</v>
      </c>
      <c r="AP279">
        <f t="shared" si="122"/>
        <v>0.88888888888888884</v>
      </c>
      <c r="AQ279">
        <f>survey_responses[[#This Row],[Tôi thấy mức thuế tôi phải đóng theo phương án mới là công bằng (người thu nhập như tôi đóng mức này là hợp lý). - HUMAN-TRU2]]</f>
        <v>6</v>
      </c>
      <c r="AR279">
        <f t="shared" si="123"/>
        <v>0.55555555555555558</v>
      </c>
      <c r="AS279">
        <f>step3_validation[[#This Row],[AI_TRU3]]</f>
        <v>7</v>
      </c>
      <c r="AT279">
        <f t="shared" si="124"/>
        <v>0.66666666666666663</v>
      </c>
      <c r="AU279">
        <f>survey_responses[[#This Row],[Tôi tin tưởng số tiền thuế tôi đóng sẽ được Nhà nước sử dụng hiệu quả để cải thiện dịch vụ công (y tế, đường xá...). - HUMAN-TRU3]]</f>
        <v>6</v>
      </c>
      <c r="AV279">
        <f t="shared" si="125"/>
        <v>0.55555555555555558</v>
      </c>
      <c r="AW279">
        <f>step3_validation[[#This Row],[AI_TRU4]]</f>
        <v>8</v>
      </c>
      <c r="AX279">
        <f t="shared" si="126"/>
        <v>0.77777777777777779</v>
      </c>
      <c r="AY279">
        <f>survey_responses[[#This Row],[Tôi thấy Nhà nước đã giải thích rõ ràng, minh bạch về lý do và mục tiêu của việc sửa đổi thuế lần này. - HUMAN-TRU4]]</f>
        <v>6</v>
      </c>
      <c r="AZ279">
        <f t="shared" si="127"/>
        <v>0.55555555555555558</v>
      </c>
      <c r="BA279" s="32">
        <f t="shared" si="128"/>
        <v>0.77777777777777768</v>
      </c>
      <c r="BB279" s="32">
        <f t="shared" si="129"/>
        <v>0.55555555555555558</v>
      </c>
      <c r="BC279" s="7">
        <f t="shared" si="130"/>
        <v>0.74074074074074081</v>
      </c>
      <c r="BD279" s="7">
        <f t="shared" si="131"/>
        <v>0.57407407407407407</v>
      </c>
      <c r="BE279">
        <f>step3_validation[[#This Row],[AI_OUT1]]</f>
        <v>9</v>
      </c>
      <c r="BF279">
        <f t="shared" si="132"/>
        <v>0.88888888888888884</v>
      </c>
      <c r="BG279">
        <f>survey_responses[[#This Row],[Sau khi xem xét các quyền lợi và nghĩa vụ, bạn có ủng hộ và tuân thủ chính sách mới hiện nay? - HUMAN-OUT1]]</f>
        <v>6</v>
      </c>
      <c r="BH279">
        <f t="shared" si="133"/>
        <v>0.55555555555555558</v>
      </c>
      <c r="BI279" s="32">
        <f t="shared" si="134"/>
        <v>3</v>
      </c>
    </row>
    <row r="280" spans="1:61" x14ac:dyDescent="0.45">
      <c r="A280" s="30">
        <f>step3_validation[[#This Row],[Persona_ID]]</f>
        <v>279</v>
      </c>
      <c r="B280" s="31">
        <f>step3_validation[[#This Row],[Used_Seed]]</f>
        <v>12623</v>
      </c>
      <c r="C280" t="str">
        <f>step3_validation[[#This Row],[Gender]]</f>
        <v>Nam</v>
      </c>
      <c r="D280" t="str">
        <f>survey_responses[[#This Row],[Giới tính của bạn:]]</f>
        <v>Nam</v>
      </c>
      <c r="E280" t="str">
        <f>step3_validation[[#This Row],[Age_Group]]</f>
        <v>30 - 39</v>
      </c>
      <c r="F280" t="str">
        <f>survey_responses[[#This Row],[Độ tuổi của bạn:]]</f>
        <v>30 - 39</v>
      </c>
      <c r="G280" t="str">
        <f>step3_validation[[#This Row],[Region]]</f>
        <v>Thành thị</v>
      </c>
      <c r="H280" t="str">
        <f>survey_responses[[#This Row],[Khu vực bạn đang sinh sống:]]</f>
        <v>Thành thị</v>
      </c>
      <c r="I280" t="str">
        <f>step3_validation[[#This Row],[Education]]</f>
        <v>Sau Đại học</v>
      </c>
      <c r="J280" t="str">
        <f>survey_responses[[#This Row],[Trình độ học vấn cao nhất:]]</f>
        <v>Sau Đại học</v>
      </c>
      <c r="K280" t="str">
        <f>step3_validation[[#This Row],[Employment]]</f>
        <v>Phi chính thức</v>
      </c>
      <c r="L280" t="str">
        <f>survey_responses[[#This Row],[Tình trạng việc làm chính:]]</f>
        <v>Khu vực phi chính thức (Lao động tự do, không có HĐLĐ)</v>
      </c>
      <c r="M280">
        <f>step3_validation[[#This Row],[Income_Mil]]</f>
        <v>82.146160335976077</v>
      </c>
      <c r="N280" t="str">
        <f>survey_responses[[#This Row],[Thu nhập bình quân tháng theo Hợp đồng lao động của bạn là bao nhiêu? (Vui lòng điền tổng thu nhập trước khi khấu trừ các loại Bảo hiểm (BHXH, BHYT, BHTN) và Thuế TNCN)]]</f>
        <v>Từ 70 - 102 triệu VNĐ</v>
      </c>
      <c r="O280">
        <f>step3_validation[[#This Row],[Dependents]]</f>
        <v>0</v>
      </c>
      <c r="P280" t="str">
        <f>survey_responses[[#This Row],[Số người phụ thuộc (con nhỏ, cha mẹ già...) đủ điều kiện giảm trừ gia cảnh:]]</f>
        <v>0 người</v>
      </c>
      <c r="Q280">
        <f>step3_validation[[#This Row],[AI_ENF1]]</f>
        <v>7</v>
      </c>
      <c r="R280">
        <f t="shared" si="108"/>
        <v>0.66666666666666663</v>
      </c>
      <c r="S280">
        <f>survey_responses[[#This Row],[Tôi tin rằng với các quy định quản lý thuế hiện nay, hành vi gian lận hoặc trốn thuế sẽ dễ dàng bị phát hiện và xử lý nghiêm. - HUMAN-ENF1]]</f>
        <v>6</v>
      </c>
      <c r="T280">
        <f t="shared" si="109"/>
        <v>0.55555555555555558</v>
      </c>
      <c r="U280">
        <f>step3_validation[[#This Row],[AI_ENF2]]</f>
        <v>6</v>
      </c>
      <c r="V280">
        <f t="shared" si="110"/>
        <v>0.55555555555555558</v>
      </c>
      <c r="W280">
        <f>survey_responses[[#This Row],[Tôi tin rằng Nhà nước, cơ quan thuế có đủ khả năng và công nghệ để phát hiện, xử lý nghiêm các hành vi trốn thuế. - HUMAN-ENF2]]</f>
        <v>7</v>
      </c>
      <c r="X280">
        <f t="shared" si="111"/>
        <v>0.66666666666666663</v>
      </c>
      <c r="Y280" s="32">
        <f t="shared" si="112"/>
        <v>0.61111111111111116</v>
      </c>
      <c r="Z280" s="32">
        <f t="shared" si="113"/>
        <v>0.61111111111111116</v>
      </c>
      <c r="AA280">
        <f>step3_validation[[#This Row],[AI_FAC1]]</f>
        <v>9</v>
      </c>
      <c r="AB280">
        <f t="shared" si="114"/>
        <v>0.88888888888888884</v>
      </c>
      <c r="AC280">
        <f>survey_responses[[#This Row],[Các thủ tục khai báo thuế VÀ/HOẶC quy trình làm việc với cơ quan thuế đơn giản, tiện lợi, nhanh chóng hơn so với trước đây. - HUMAN-FAC1]]</f>
        <v>5</v>
      </c>
      <c r="AD280">
        <f t="shared" si="115"/>
        <v>0.44444444444444442</v>
      </c>
      <c r="AE280">
        <f>step3_validation[[#This Row],[AI_FAC2]]</f>
        <v>8</v>
      </c>
      <c r="AF280">
        <f t="shared" si="116"/>
        <v>0.77777777777777779</v>
      </c>
      <c r="AG280">
        <f>survey_responses[[#This Row],[So với trước đây, tôi thấy cách tính thuế và các bậc thuế trong phương án mới đơn giản, dễ hiểu và dễ thực hiện hơn. - HUMAN-FAC2]]</f>
        <v>8</v>
      </c>
      <c r="AH280">
        <f t="shared" si="117"/>
        <v>0.77777777777777779</v>
      </c>
      <c r="AI280" s="32">
        <f t="shared" si="118"/>
        <v>0.83333333333333326</v>
      </c>
      <c r="AJ280" s="32">
        <f t="shared" si="119"/>
        <v>0.61111111111111116</v>
      </c>
      <c r="AK280">
        <f>step3_validation[[#This Row],[AI_TRU1]]</f>
        <v>7</v>
      </c>
      <c r="AL280">
        <f t="shared" si="120"/>
        <v>0.66666666666666663</v>
      </c>
      <c r="AM280">
        <f>survey_responses[[#This Row],[Tôi tin rằng Nhà nước, cơ quan thuế sẽ thực thi chính sách mới một cách khách quan, công tâm và đối xử bình đẳng với mọi người nộp thuế.  - HUMAN-TRU1]]</f>
        <v>6</v>
      </c>
      <c r="AN280">
        <f t="shared" si="121"/>
        <v>0.55555555555555558</v>
      </c>
      <c r="AO280">
        <f>step3_validation[[#This Row],[AI_TRU2]]</f>
        <v>9</v>
      </c>
      <c r="AP280">
        <f t="shared" si="122"/>
        <v>0.88888888888888884</v>
      </c>
      <c r="AQ280">
        <f>survey_responses[[#This Row],[Tôi thấy mức thuế tôi phải đóng theo phương án mới là công bằng (người thu nhập như tôi đóng mức này là hợp lý). - HUMAN-TRU2]]</f>
        <v>3</v>
      </c>
      <c r="AR280">
        <f t="shared" si="123"/>
        <v>0.22222222222222221</v>
      </c>
      <c r="AS280">
        <f>step3_validation[[#This Row],[AI_TRU3]]</f>
        <v>7</v>
      </c>
      <c r="AT280">
        <f t="shared" si="124"/>
        <v>0.66666666666666663</v>
      </c>
      <c r="AU280">
        <f>survey_responses[[#This Row],[Tôi tin tưởng số tiền thuế tôi đóng sẽ được Nhà nước sử dụng hiệu quả để cải thiện dịch vụ công (y tế, đường xá...). - HUMAN-TRU3]]</f>
        <v>6</v>
      </c>
      <c r="AV280">
        <f t="shared" si="125"/>
        <v>0.55555555555555558</v>
      </c>
      <c r="AW280">
        <f>step3_validation[[#This Row],[AI_TRU4]]</f>
        <v>6</v>
      </c>
      <c r="AX280">
        <f t="shared" si="126"/>
        <v>0.55555555555555558</v>
      </c>
      <c r="AY280">
        <f>survey_responses[[#This Row],[Tôi thấy Nhà nước đã giải thích rõ ràng, minh bạch về lý do và mục tiêu của việc sửa đổi thuế lần này. - HUMAN-TRU4]]</f>
        <v>8</v>
      </c>
      <c r="AZ280">
        <f t="shared" si="127"/>
        <v>0.77777777777777779</v>
      </c>
      <c r="BA280" s="32">
        <f t="shared" si="128"/>
        <v>0.69444444444444442</v>
      </c>
      <c r="BB280" s="32">
        <f t="shared" si="129"/>
        <v>0.52777777777777779</v>
      </c>
      <c r="BC280" s="7">
        <f t="shared" si="130"/>
        <v>0.71296296296296291</v>
      </c>
      <c r="BD280" s="7">
        <f t="shared" si="131"/>
        <v>0.58333333333333337</v>
      </c>
      <c r="BE280">
        <f>step3_validation[[#This Row],[AI_OUT1]]</f>
        <v>8</v>
      </c>
      <c r="BF280">
        <f t="shared" si="132"/>
        <v>0.77777777777777779</v>
      </c>
      <c r="BG280">
        <f>survey_responses[[#This Row],[Sau khi xem xét các quyền lợi và nghĩa vụ, bạn có ủng hộ và tuân thủ chính sách mới hiện nay? - HUMAN-OUT1]]</f>
        <v>6</v>
      </c>
      <c r="BH280">
        <f t="shared" si="133"/>
        <v>0.55555555555555558</v>
      </c>
      <c r="BI280" s="32">
        <f t="shared" si="134"/>
        <v>2</v>
      </c>
    </row>
    <row r="281" spans="1:61" x14ac:dyDescent="0.45">
      <c r="A281" s="30">
        <f>step3_validation[[#This Row],[Persona_ID]]</f>
        <v>280</v>
      </c>
      <c r="B281" s="31">
        <f>step3_validation[[#This Row],[Used_Seed]]</f>
        <v>12624</v>
      </c>
      <c r="C281" t="str">
        <f>step3_validation[[#This Row],[Gender]]</f>
        <v>Nữ</v>
      </c>
      <c r="D281" t="str">
        <f>survey_responses[[#This Row],[Giới tính của bạn:]]</f>
        <v>Nữ</v>
      </c>
      <c r="E281" t="str">
        <f>step3_validation[[#This Row],[Age_Group]]</f>
        <v>30 - 39</v>
      </c>
      <c r="F281" t="str">
        <f>survey_responses[[#This Row],[Độ tuổi của bạn:]]</f>
        <v>30 - 39</v>
      </c>
      <c r="G281" t="str">
        <f>step3_validation[[#This Row],[Region]]</f>
        <v>Thành thị</v>
      </c>
      <c r="H281" t="str">
        <f>survey_responses[[#This Row],[Khu vực bạn đang sinh sống:]]</f>
        <v>Thành thị</v>
      </c>
      <c r="I281" t="str">
        <f>step3_validation[[#This Row],[Education]]</f>
        <v>Sau Đại học</v>
      </c>
      <c r="J281" t="str">
        <f>survey_responses[[#This Row],[Trình độ học vấn cao nhất:]]</f>
        <v>Sau Đại học</v>
      </c>
      <c r="K281" t="str">
        <f>step3_validation[[#This Row],[Employment]]</f>
        <v>Chính thức</v>
      </c>
      <c r="L281" t="str">
        <f>survey_responses[[#This Row],[Tình trạng việc làm chính:]]</f>
        <v>Khu vực chính thức (Có Hợp đồng lao động, đóng BHXH)</v>
      </c>
      <c r="M281">
        <f>step3_validation[[#This Row],[Income_Mil]]</f>
        <v>70.772828588128235</v>
      </c>
      <c r="N281" t="str">
        <f>survey_responses[[#This Row],[Thu nhập bình quân tháng theo Hợp đồng lao động của bạn là bao nhiêu? (Vui lòng điền tổng thu nhập trước khi khấu trừ các loại Bảo hiểm (BHXH, BHYT, BHTN) và Thuế TNCN)]]</f>
        <v>Từ 70 - 102 triệu VNĐ</v>
      </c>
      <c r="O281">
        <f>step3_validation[[#This Row],[Dependents]]</f>
        <v>2</v>
      </c>
      <c r="P281" t="str">
        <f>survey_responses[[#This Row],[Số người phụ thuộc (con nhỏ, cha mẹ già...) đủ điều kiện giảm trừ gia cảnh:]]</f>
        <v>2 người</v>
      </c>
      <c r="Q281">
        <f>step3_validation[[#This Row],[AI_ENF1]]</f>
        <v>7</v>
      </c>
      <c r="R281">
        <f t="shared" si="108"/>
        <v>0.66666666666666663</v>
      </c>
      <c r="S281">
        <f>survey_responses[[#This Row],[Tôi tin rằng với các quy định quản lý thuế hiện nay, hành vi gian lận hoặc trốn thuế sẽ dễ dàng bị phát hiện và xử lý nghiêm. - HUMAN-ENF1]]</f>
        <v>4</v>
      </c>
      <c r="T281">
        <f t="shared" si="109"/>
        <v>0.33333333333333331</v>
      </c>
      <c r="U281">
        <f>step3_validation[[#This Row],[AI_ENF2]]</f>
        <v>8</v>
      </c>
      <c r="V281">
        <f t="shared" si="110"/>
        <v>0.77777777777777779</v>
      </c>
      <c r="W281">
        <f>survey_responses[[#This Row],[Tôi tin rằng Nhà nước, cơ quan thuế có đủ khả năng và công nghệ để phát hiện, xử lý nghiêm các hành vi trốn thuế. - HUMAN-ENF2]]</f>
        <v>4</v>
      </c>
      <c r="X281">
        <f t="shared" si="111"/>
        <v>0.33333333333333331</v>
      </c>
      <c r="Y281" s="32">
        <f t="shared" si="112"/>
        <v>0.72222222222222221</v>
      </c>
      <c r="Z281" s="32">
        <f t="shared" si="113"/>
        <v>0.33333333333333331</v>
      </c>
      <c r="AA281">
        <f>step3_validation[[#This Row],[AI_FAC1]]</f>
        <v>6</v>
      </c>
      <c r="AB281">
        <f t="shared" si="114"/>
        <v>0.55555555555555558</v>
      </c>
      <c r="AC281">
        <f>survey_responses[[#This Row],[Các thủ tục khai báo thuế VÀ/HOẶC quy trình làm việc với cơ quan thuế đơn giản, tiện lợi, nhanh chóng hơn so với trước đây. - HUMAN-FAC1]]</f>
        <v>1</v>
      </c>
      <c r="AD281">
        <f t="shared" si="115"/>
        <v>0</v>
      </c>
      <c r="AE281">
        <f>step3_validation[[#This Row],[AI_FAC2]]</f>
        <v>9</v>
      </c>
      <c r="AF281">
        <f t="shared" si="116"/>
        <v>0.88888888888888884</v>
      </c>
      <c r="AG281">
        <f>survey_responses[[#This Row],[So với trước đây, tôi thấy cách tính thuế và các bậc thuế trong phương án mới đơn giản, dễ hiểu và dễ thực hiện hơn. - HUMAN-FAC2]]</f>
        <v>6</v>
      </c>
      <c r="AH281">
        <f t="shared" si="117"/>
        <v>0.55555555555555558</v>
      </c>
      <c r="AI281" s="32">
        <f t="shared" si="118"/>
        <v>0.72222222222222221</v>
      </c>
      <c r="AJ281" s="32">
        <f t="shared" si="119"/>
        <v>0.27777777777777779</v>
      </c>
      <c r="AK281">
        <f>step3_validation[[#This Row],[AI_TRU1]]</f>
        <v>7</v>
      </c>
      <c r="AL281">
        <f t="shared" si="120"/>
        <v>0.66666666666666663</v>
      </c>
      <c r="AM281">
        <f>survey_responses[[#This Row],[Tôi tin rằng Nhà nước, cơ quan thuế sẽ thực thi chính sách mới một cách khách quan, công tâm và đối xử bình đẳng với mọi người nộp thuế.  - HUMAN-TRU1]]</f>
        <v>3</v>
      </c>
      <c r="AN281">
        <f t="shared" si="121"/>
        <v>0.22222222222222221</v>
      </c>
      <c r="AO281">
        <f>step3_validation[[#This Row],[AI_TRU2]]</f>
        <v>9</v>
      </c>
      <c r="AP281">
        <f t="shared" si="122"/>
        <v>0.88888888888888884</v>
      </c>
      <c r="AQ281">
        <f>survey_responses[[#This Row],[Tôi thấy mức thuế tôi phải đóng theo phương án mới là công bằng (người thu nhập như tôi đóng mức này là hợp lý). - HUMAN-TRU2]]</f>
        <v>2</v>
      </c>
      <c r="AR281">
        <f t="shared" si="123"/>
        <v>0.1111111111111111</v>
      </c>
      <c r="AS281">
        <f>step3_validation[[#This Row],[AI_TRU3]]</f>
        <v>8</v>
      </c>
      <c r="AT281">
        <f t="shared" si="124"/>
        <v>0.77777777777777779</v>
      </c>
      <c r="AU281">
        <f>survey_responses[[#This Row],[Tôi tin tưởng số tiền thuế tôi đóng sẽ được Nhà nước sử dụng hiệu quả để cải thiện dịch vụ công (y tế, đường xá...). - HUMAN-TRU3]]</f>
        <v>1</v>
      </c>
      <c r="AV281">
        <f t="shared" si="125"/>
        <v>0</v>
      </c>
      <c r="AW281">
        <f>step3_validation[[#This Row],[AI_TRU4]]</f>
        <v>7</v>
      </c>
      <c r="AX281">
        <f t="shared" si="126"/>
        <v>0.66666666666666663</v>
      </c>
      <c r="AY281">
        <f>survey_responses[[#This Row],[Tôi thấy Nhà nước đã giải thích rõ ràng, minh bạch về lý do và mục tiêu của việc sửa đổi thuế lần này. - HUMAN-TRU4]]</f>
        <v>5</v>
      </c>
      <c r="AZ281">
        <f t="shared" si="127"/>
        <v>0.44444444444444442</v>
      </c>
      <c r="BA281" s="32">
        <f t="shared" si="128"/>
        <v>0.74999999999999989</v>
      </c>
      <c r="BB281" s="32">
        <f t="shared" si="129"/>
        <v>0.19444444444444442</v>
      </c>
      <c r="BC281" s="7">
        <f t="shared" si="130"/>
        <v>0.7314814814814814</v>
      </c>
      <c r="BD281" s="7">
        <f t="shared" si="131"/>
        <v>0.26851851851851855</v>
      </c>
      <c r="BE281">
        <f>step3_validation[[#This Row],[AI_OUT1]]</f>
        <v>9</v>
      </c>
      <c r="BF281">
        <f t="shared" si="132"/>
        <v>0.88888888888888884</v>
      </c>
      <c r="BG281">
        <f>survey_responses[[#This Row],[Sau khi xem xét các quyền lợi và nghĩa vụ, bạn có ủng hộ và tuân thủ chính sách mới hiện nay? - HUMAN-OUT1]]</f>
        <v>4</v>
      </c>
      <c r="BH281">
        <f t="shared" si="133"/>
        <v>0.33333333333333331</v>
      </c>
      <c r="BI281" s="32">
        <f t="shared" si="134"/>
        <v>5</v>
      </c>
    </row>
    <row r="282" spans="1:61" x14ac:dyDescent="0.45">
      <c r="A282" s="30">
        <f>step3_validation[[#This Row],[Persona_ID]]</f>
        <v>281</v>
      </c>
      <c r="B282" s="31">
        <f>step3_validation[[#This Row],[Used_Seed]]</f>
        <v>12625</v>
      </c>
      <c r="C282" t="str">
        <f>step3_validation[[#This Row],[Gender]]</f>
        <v>Nữ</v>
      </c>
      <c r="D282" t="str">
        <f>survey_responses[[#This Row],[Giới tính của bạn:]]</f>
        <v>Nữ</v>
      </c>
      <c r="E282" t="str">
        <f>step3_validation[[#This Row],[Age_Group]]</f>
        <v>40 - 49</v>
      </c>
      <c r="F282" t="str">
        <f>survey_responses[[#This Row],[Độ tuổi của bạn:]]</f>
        <v>40 - 49</v>
      </c>
      <c r="G282" t="str">
        <f>step3_validation[[#This Row],[Region]]</f>
        <v>Thành thị</v>
      </c>
      <c r="H282" t="str">
        <f>survey_responses[[#This Row],[Khu vực bạn đang sinh sống:]]</f>
        <v>Thành thị</v>
      </c>
      <c r="I282" t="str">
        <f>step3_validation[[#This Row],[Education]]</f>
        <v>Sau Đại học</v>
      </c>
      <c r="J282" t="str">
        <f>survey_responses[[#This Row],[Trình độ học vấn cao nhất:]]</f>
        <v>Sau Đại học</v>
      </c>
      <c r="K282" t="str">
        <f>step3_validation[[#This Row],[Employment]]</f>
        <v>Chính thức</v>
      </c>
      <c r="L282" t="str">
        <f>survey_responses[[#This Row],[Tình trạng việc làm chính:]]</f>
        <v>Khu vực chính thức (Có Hợp đồng lao động, đóng BHXH)</v>
      </c>
      <c r="M282">
        <f>step3_validation[[#This Row],[Income_Mil]]</f>
        <v>96.872665591889103</v>
      </c>
      <c r="N282" t="str">
        <f>survey_responses[[#This Row],[Thu nhập bình quân tháng theo Hợp đồng lao động của bạn là bao nhiêu? (Vui lòng điền tổng thu nhập trước khi khấu trừ các loại Bảo hiểm (BHXH, BHYT, BHTN) và Thuế TNCN)]]</f>
        <v>Từ 70 - 102 triệu VNĐ</v>
      </c>
      <c r="O282">
        <f>step3_validation[[#This Row],[Dependents]]</f>
        <v>3</v>
      </c>
      <c r="P282" t="str">
        <f>survey_responses[[#This Row],[Số người phụ thuộc (con nhỏ, cha mẹ già...) đủ điều kiện giảm trừ gia cảnh:]]</f>
        <v>3 người</v>
      </c>
      <c r="Q282">
        <f>step3_validation[[#This Row],[AI_ENF1]]</f>
        <v>8</v>
      </c>
      <c r="R282">
        <f t="shared" si="108"/>
        <v>0.77777777777777779</v>
      </c>
      <c r="S282">
        <f>survey_responses[[#This Row],[Tôi tin rằng với các quy định quản lý thuế hiện nay, hành vi gian lận hoặc trốn thuế sẽ dễ dàng bị phát hiện và xử lý nghiêm. - HUMAN-ENF1]]</f>
        <v>6</v>
      </c>
      <c r="T282">
        <f t="shared" si="109"/>
        <v>0.55555555555555558</v>
      </c>
      <c r="U282">
        <f>step3_validation[[#This Row],[AI_ENF2]]</f>
        <v>9</v>
      </c>
      <c r="V282">
        <f t="shared" si="110"/>
        <v>0.88888888888888884</v>
      </c>
      <c r="W282">
        <f>survey_responses[[#This Row],[Tôi tin rằng Nhà nước, cơ quan thuế có đủ khả năng và công nghệ để phát hiện, xử lý nghiêm các hành vi trốn thuế. - HUMAN-ENF2]]</f>
        <v>7</v>
      </c>
      <c r="X282">
        <f t="shared" si="111"/>
        <v>0.66666666666666663</v>
      </c>
      <c r="Y282" s="32">
        <f t="shared" si="112"/>
        <v>0.83333333333333326</v>
      </c>
      <c r="Z282" s="32">
        <f t="shared" si="113"/>
        <v>0.61111111111111116</v>
      </c>
      <c r="AA282">
        <f>step3_validation[[#This Row],[AI_FAC1]]</f>
        <v>8</v>
      </c>
      <c r="AB282">
        <f t="shared" si="114"/>
        <v>0.77777777777777779</v>
      </c>
      <c r="AC282">
        <f>survey_responses[[#This Row],[Các thủ tục khai báo thuế VÀ/HOẶC quy trình làm việc với cơ quan thuế đơn giản, tiện lợi, nhanh chóng hơn so với trước đây. - HUMAN-FAC1]]</f>
        <v>4</v>
      </c>
      <c r="AD282">
        <f t="shared" si="115"/>
        <v>0.33333333333333331</v>
      </c>
      <c r="AE282">
        <f>step3_validation[[#This Row],[AI_FAC2]]</f>
        <v>9</v>
      </c>
      <c r="AF282">
        <f t="shared" si="116"/>
        <v>0.88888888888888884</v>
      </c>
      <c r="AG282">
        <f>survey_responses[[#This Row],[So với trước đây, tôi thấy cách tính thuế và các bậc thuế trong phương án mới đơn giản, dễ hiểu và dễ thực hiện hơn. - HUMAN-FAC2]]</f>
        <v>8</v>
      </c>
      <c r="AH282">
        <f t="shared" si="117"/>
        <v>0.77777777777777779</v>
      </c>
      <c r="AI282" s="32">
        <f t="shared" si="118"/>
        <v>0.83333333333333326</v>
      </c>
      <c r="AJ282" s="32">
        <f t="shared" si="119"/>
        <v>0.55555555555555558</v>
      </c>
      <c r="AK282">
        <f>step3_validation[[#This Row],[AI_TRU1]]</f>
        <v>8</v>
      </c>
      <c r="AL282">
        <f t="shared" si="120"/>
        <v>0.77777777777777779</v>
      </c>
      <c r="AM282">
        <f>survey_responses[[#This Row],[Tôi tin rằng Nhà nước, cơ quan thuế sẽ thực thi chính sách mới một cách khách quan, công tâm và đối xử bình đẳng với mọi người nộp thuế.  - HUMAN-TRU1]]</f>
        <v>6</v>
      </c>
      <c r="AN282">
        <f t="shared" si="121"/>
        <v>0.55555555555555558</v>
      </c>
      <c r="AO282">
        <f>step3_validation[[#This Row],[AI_TRU2]]</f>
        <v>9</v>
      </c>
      <c r="AP282">
        <f t="shared" si="122"/>
        <v>0.88888888888888884</v>
      </c>
      <c r="AQ282">
        <f>survey_responses[[#This Row],[Tôi thấy mức thuế tôi phải đóng theo phương án mới là công bằng (người thu nhập như tôi đóng mức này là hợp lý). - HUMAN-TRU2]]</f>
        <v>6</v>
      </c>
      <c r="AR282">
        <f t="shared" si="123"/>
        <v>0.55555555555555558</v>
      </c>
      <c r="AS282">
        <f>step3_validation[[#This Row],[AI_TRU3]]</f>
        <v>8</v>
      </c>
      <c r="AT282">
        <f t="shared" si="124"/>
        <v>0.77777777777777779</v>
      </c>
      <c r="AU282">
        <f>survey_responses[[#This Row],[Tôi tin tưởng số tiền thuế tôi đóng sẽ được Nhà nước sử dụng hiệu quả để cải thiện dịch vụ công (y tế, đường xá...). - HUMAN-TRU3]]</f>
        <v>5</v>
      </c>
      <c r="AV282">
        <f t="shared" si="125"/>
        <v>0.44444444444444442</v>
      </c>
      <c r="AW282">
        <f>step3_validation[[#This Row],[AI_TRU4]]</f>
        <v>9</v>
      </c>
      <c r="AX282">
        <f t="shared" si="126"/>
        <v>0.88888888888888884</v>
      </c>
      <c r="AY282">
        <f>survey_responses[[#This Row],[Tôi thấy Nhà nước đã giải thích rõ ràng, minh bạch về lý do và mục tiêu của việc sửa đổi thuế lần này. - HUMAN-TRU4]]</f>
        <v>7</v>
      </c>
      <c r="AZ282">
        <f t="shared" si="127"/>
        <v>0.66666666666666663</v>
      </c>
      <c r="BA282" s="32">
        <f t="shared" si="128"/>
        <v>0.83333333333333326</v>
      </c>
      <c r="BB282" s="32">
        <f t="shared" si="129"/>
        <v>0.55555555555555558</v>
      </c>
      <c r="BC282" s="7">
        <f t="shared" si="130"/>
        <v>0.83333333333333337</v>
      </c>
      <c r="BD282" s="7">
        <f t="shared" si="131"/>
        <v>0.57407407407407407</v>
      </c>
      <c r="BE282">
        <f>step3_validation[[#This Row],[AI_OUT1]]</f>
        <v>8</v>
      </c>
      <c r="BF282">
        <f t="shared" si="132"/>
        <v>0.77777777777777779</v>
      </c>
      <c r="BG282">
        <f>survey_responses[[#This Row],[Sau khi xem xét các quyền lợi và nghĩa vụ, bạn có ủng hộ và tuân thủ chính sách mới hiện nay? - HUMAN-OUT1]]</f>
        <v>6</v>
      </c>
      <c r="BH282">
        <f t="shared" si="133"/>
        <v>0.55555555555555558</v>
      </c>
      <c r="BI282" s="32">
        <f t="shared" si="134"/>
        <v>2</v>
      </c>
    </row>
    <row r="283" spans="1:61" x14ac:dyDescent="0.45">
      <c r="A283" s="30">
        <f>step3_validation[[#This Row],[Persona_ID]]</f>
        <v>282</v>
      </c>
      <c r="B283" s="31">
        <f>step3_validation[[#This Row],[Used_Seed]]</f>
        <v>12626</v>
      </c>
      <c r="C283" t="str">
        <f>step3_validation[[#This Row],[Gender]]</f>
        <v>Nữ</v>
      </c>
      <c r="D283" t="str">
        <f>survey_responses[[#This Row],[Giới tính của bạn:]]</f>
        <v>Nữ</v>
      </c>
      <c r="E283" t="str">
        <f>step3_validation[[#This Row],[Age_Group]]</f>
        <v>55 - 64</v>
      </c>
      <c r="F283" t="str">
        <f>survey_responses[[#This Row],[Độ tuổi của bạn:]]</f>
        <v>55 - 64</v>
      </c>
      <c r="G283" t="str">
        <f>step3_validation[[#This Row],[Region]]</f>
        <v>Thành thị</v>
      </c>
      <c r="H283" t="str">
        <f>survey_responses[[#This Row],[Khu vực bạn đang sinh sống:]]</f>
        <v>Thành thị</v>
      </c>
      <c r="I283" t="str">
        <f>step3_validation[[#This Row],[Education]]</f>
        <v>Sau Đại học</v>
      </c>
      <c r="J283" t="str">
        <f>survey_responses[[#This Row],[Trình độ học vấn cao nhất:]]</f>
        <v>Sau Đại học</v>
      </c>
      <c r="K283" t="str">
        <f>step3_validation[[#This Row],[Employment]]</f>
        <v>Chính thức</v>
      </c>
      <c r="L283" t="str">
        <f>survey_responses[[#This Row],[Tình trạng việc làm chính:]]</f>
        <v>Khu vực chính thức (Có Hợp đồng lao động, đóng BHXH)</v>
      </c>
      <c r="M283">
        <f>step3_validation[[#This Row],[Income_Mil]]</f>
        <v>220.3058166118995</v>
      </c>
      <c r="N283" t="str">
        <f>survey_responses[[#This Row],[Thu nhập bình quân tháng theo Hợp đồng lao động của bạn là bao nhiêu? (Vui lòng điền tổng thu nhập trước khi khấu trừ các loại Bảo hiểm (BHXH, BHYT, BHTN) và Thuế TNCN)]]</f>
        <v>Trên 102 triệu VNĐ</v>
      </c>
      <c r="O283">
        <f>step3_validation[[#This Row],[Dependents]]</f>
        <v>4</v>
      </c>
      <c r="P283" t="str">
        <f>survey_responses[[#This Row],[Số người phụ thuộc (con nhỏ, cha mẹ già...) đủ điều kiện giảm trừ gia cảnh:]]</f>
        <v>4 người trở lên</v>
      </c>
      <c r="Q283">
        <f>step3_validation[[#This Row],[AI_ENF1]]</f>
        <v>7</v>
      </c>
      <c r="R283">
        <f t="shared" si="108"/>
        <v>0.66666666666666663</v>
      </c>
      <c r="S283">
        <f>survey_responses[[#This Row],[Tôi tin rằng với các quy định quản lý thuế hiện nay, hành vi gian lận hoặc trốn thuế sẽ dễ dàng bị phát hiện và xử lý nghiêm. - HUMAN-ENF1]]</f>
        <v>8</v>
      </c>
      <c r="T283">
        <f t="shared" si="109"/>
        <v>0.77777777777777779</v>
      </c>
      <c r="U283">
        <f>step3_validation[[#This Row],[AI_ENF2]]</f>
        <v>8</v>
      </c>
      <c r="V283">
        <f t="shared" si="110"/>
        <v>0.77777777777777779</v>
      </c>
      <c r="W283">
        <f>survey_responses[[#This Row],[Tôi tin rằng Nhà nước, cơ quan thuế có đủ khả năng và công nghệ để phát hiện, xử lý nghiêm các hành vi trốn thuế. - HUMAN-ENF2]]</f>
        <v>8</v>
      </c>
      <c r="X283">
        <f t="shared" si="111"/>
        <v>0.77777777777777779</v>
      </c>
      <c r="Y283" s="32">
        <f t="shared" si="112"/>
        <v>0.72222222222222221</v>
      </c>
      <c r="Z283" s="32">
        <f t="shared" si="113"/>
        <v>0.77777777777777779</v>
      </c>
      <c r="AA283">
        <f>step3_validation[[#This Row],[AI_FAC1]]</f>
        <v>9</v>
      </c>
      <c r="AB283">
        <f t="shared" si="114"/>
        <v>0.88888888888888884</v>
      </c>
      <c r="AC283">
        <f>survey_responses[[#This Row],[Các thủ tục khai báo thuế VÀ/HOẶC quy trình làm việc với cơ quan thuế đơn giản, tiện lợi, nhanh chóng hơn so với trước đây. - HUMAN-FAC1]]</f>
        <v>9</v>
      </c>
      <c r="AD283">
        <f t="shared" si="115"/>
        <v>0.88888888888888884</v>
      </c>
      <c r="AE283">
        <f>step3_validation[[#This Row],[AI_FAC2]]</f>
        <v>8</v>
      </c>
      <c r="AF283">
        <f t="shared" si="116"/>
        <v>0.77777777777777779</v>
      </c>
      <c r="AG283">
        <f>survey_responses[[#This Row],[So với trước đây, tôi thấy cách tính thuế và các bậc thuế trong phương án mới đơn giản, dễ hiểu và dễ thực hiện hơn. - HUMAN-FAC2]]</f>
        <v>9</v>
      </c>
      <c r="AH283">
        <f t="shared" si="117"/>
        <v>0.88888888888888884</v>
      </c>
      <c r="AI283" s="32">
        <f t="shared" si="118"/>
        <v>0.83333333333333326</v>
      </c>
      <c r="AJ283" s="32">
        <f t="shared" si="119"/>
        <v>0.88888888888888884</v>
      </c>
      <c r="AK283">
        <f>step3_validation[[#This Row],[AI_TRU1]]</f>
        <v>6</v>
      </c>
      <c r="AL283">
        <f t="shared" si="120"/>
        <v>0.55555555555555558</v>
      </c>
      <c r="AM283">
        <f>survey_responses[[#This Row],[Tôi tin rằng Nhà nước, cơ quan thuế sẽ thực thi chính sách mới một cách khách quan, công tâm và đối xử bình đẳng với mọi người nộp thuế.  - HUMAN-TRU1]]</f>
        <v>7</v>
      </c>
      <c r="AN283">
        <f t="shared" si="121"/>
        <v>0.66666666666666663</v>
      </c>
      <c r="AO283">
        <f>step3_validation[[#This Row],[AI_TRU2]]</f>
        <v>7</v>
      </c>
      <c r="AP283">
        <f t="shared" si="122"/>
        <v>0.66666666666666663</v>
      </c>
      <c r="AQ283">
        <f>survey_responses[[#This Row],[Tôi thấy mức thuế tôi phải đóng theo phương án mới là công bằng (người thu nhập như tôi đóng mức này là hợp lý). - HUMAN-TRU2]]</f>
        <v>8</v>
      </c>
      <c r="AR283">
        <f t="shared" si="123"/>
        <v>0.77777777777777779</v>
      </c>
      <c r="AS283">
        <f>step3_validation[[#This Row],[AI_TRU3]]</f>
        <v>6</v>
      </c>
      <c r="AT283">
        <f t="shared" si="124"/>
        <v>0.55555555555555558</v>
      </c>
      <c r="AU283">
        <f>survey_responses[[#This Row],[Tôi tin tưởng số tiền thuế tôi đóng sẽ được Nhà nước sử dụng hiệu quả để cải thiện dịch vụ công (y tế, đường xá...). - HUMAN-TRU3]]</f>
        <v>8</v>
      </c>
      <c r="AV283">
        <f t="shared" si="125"/>
        <v>0.77777777777777779</v>
      </c>
      <c r="AW283">
        <f>step3_validation[[#This Row],[AI_TRU4]]</f>
        <v>5</v>
      </c>
      <c r="AX283">
        <f t="shared" si="126"/>
        <v>0.44444444444444442</v>
      </c>
      <c r="AY283">
        <f>survey_responses[[#This Row],[Tôi thấy Nhà nước đã giải thích rõ ràng, minh bạch về lý do và mục tiêu của việc sửa đổi thuế lần này. - HUMAN-TRU4]]</f>
        <v>8</v>
      </c>
      <c r="AZ283">
        <f t="shared" si="127"/>
        <v>0.77777777777777779</v>
      </c>
      <c r="BA283" s="32">
        <f t="shared" si="128"/>
        <v>0.55555555555555558</v>
      </c>
      <c r="BB283" s="32">
        <f t="shared" si="129"/>
        <v>0.75</v>
      </c>
      <c r="BC283" s="7">
        <f t="shared" si="130"/>
        <v>0.70370370370370361</v>
      </c>
      <c r="BD283" s="7">
        <f t="shared" si="131"/>
        <v>0.80555555555555547</v>
      </c>
      <c r="BE283">
        <f>step3_validation[[#This Row],[AI_OUT1]]</f>
        <v>8</v>
      </c>
      <c r="BF283">
        <f t="shared" si="132"/>
        <v>0.77777777777777779</v>
      </c>
      <c r="BG283">
        <f>survey_responses[[#This Row],[Sau khi xem xét các quyền lợi và nghĩa vụ, bạn có ủng hộ và tuân thủ chính sách mới hiện nay? - HUMAN-OUT1]]</f>
        <v>7</v>
      </c>
      <c r="BH283">
        <f t="shared" si="133"/>
        <v>0.66666666666666663</v>
      </c>
      <c r="BI283" s="32">
        <f t="shared" si="134"/>
        <v>1</v>
      </c>
    </row>
    <row r="284" spans="1:61" x14ac:dyDescent="0.45">
      <c r="A284" s="30">
        <f>step3_validation[[#This Row],[Persona_ID]]</f>
        <v>283</v>
      </c>
      <c r="B284" s="31">
        <f>step3_validation[[#This Row],[Used_Seed]]</f>
        <v>12627</v>
      </c>
      <c r="C284" t="str">
        <f>step3_validation[[#This Row],[Gender]]</f>
        <v>Nữ</v>
      </c>
      <c r="D284" t="str">
        <f>survey_responses[[#This Row],[Giới tính của bạn:]]</f>
        <v>Nữ</v>
      </c>
      <c r="E284" t="str">
        <f>step3_validation[[#This Row],[Age_Group]]</f>
        <v>40 - 49</v>
      </c>
      <c r="F284" t="str">
        <f>survey_responses[[#This Row],[Độ tuổi của bạn:]]</f>
        <v>40 - 49</v>
      </c>
      <c r="G284" t="str">
        <f>step3_validation[[#This Row],[Region]]</f>
        <v>Thành thị</v>
      </c>
      <c r="H284" t="str">
        <f>survey_responses[[#This Row],[Khu vực bạn đang sinh sống:]]</f>
        <v>Thành thị</v>
      </c>
      <c r="I284" t="str">
        <f>step3_validation[[#This Row],[Education]]</f>
        <v>Đại học</v>
      </c>
      <c r="J284" t="str">
        <f>survey_responses[[#This Row],[Trình độ học vấn cao nhất:]]</f>
        <v>Đại học</v>
      </c>
      <c r="K284" t="str">
        <f>step3_validation[[#This Row],[Employment]]</f>
        <v>Chính thức</v>
      </c>
      <c r="L284" t="str">
        <f>survey_responses[[#This Row],[Tình trạng việc làm chính:]]</f>
        <v>Khu vực chính thức (Có Hợp đồng lao động, đóng BHXH)</v>
      </c>
      <c r="M284">
        <f>step3_validation[[#This Row],[Income_Mil]]</f>
        <v>67.215088829980886</v>
      </c>
      <c r="N284" t="str">
        <f>survey_responses[[#This Row],[Thu nhập bình quân tháng theo Hợp đồng lao động của bạn là bao nhiêu? (Vui lòng điền tổng thu nhập trước khi khấu trừ các loại Bảo hiểm (BHXH, BHYT, BHTN) và Thuế TNCN)]]</f>
        <v>Từ 48 - 70 triệu VNĐ</v>
      </c>
      <c r="O284">
        <f>step3_validation[[#This Row],[Dependents]]</f>
        <v>2</v>
      </c>
      <c r="P284" t="str">
        <f>survey_responses[[#This Row],[Số người phụ thuộc (con nhỏ, cha mẹ già...) đủ điều kiện giảm trừ gia cảnh:]]</f>
        <v>2 người</v>
      </c>
      <c r="Q284">
        <f>step3_validation[[#This Row],[AI_ENF1]]</f>
        <v>9</v>
      </c>
      <c r="R284">
        <f t="shared" si="108"/>
        <v>0.88888888888888884</v>
      </c>
      <c r="S284">
        <f>survey_responses[[#This Row],[Tôi tin rằng với các quy định quản lý thuế hiện nay, hành vi gian lận hoặc trốn thuế sẽ dễ dàng bị phát hiện và xử lý nghiêm. - HUMAN-ENF1]]</f>
        <v>5</v>
      </c>
      <c r="T284">
        <f t="shared" si="109"/>
        <v>0.44444444444444442</v>
      </c>
      <c r="U284">
        <f>step3_validation[[#This Row],[AI_ENF2]]</f>
        <v>8</v>
      </c>
      <c r="V284">
        <f t="shared" si="110"/>
        <v>0.77777777777777779</v>
      </c>
      <c r="W284">
        <f>survey_responses[[#This Row],[Tôi tin rằng Nhà nước, cơ quan thuế có đủ khả năng và công nghệ để phát hiện, xử lý nghiêm các hành vi trốn thuế. - HUMAN-ENF2]]</f>
        <v>5</v>
      </c>
      <c r="X284">
        <f t="shared" si="111"/>
        <v>0.44444444444444442</v>
      </c>
      <c r="Y284" s="32">
        <f t="shared" si="112"/>
        <v>0.83333333333333326</v>
      </c>
      <c r="Z284" s="32">
        <f t="shared" si="113"/>
        <v>0.44444444444444442</v>
      </c>
      <c r="AA284">
        <f>step3_validation[[#This Row],[AI_FAC1]]</f>
        <v>9</v>
      </c>
      <c r="AB284">
        <f t="shared" si="114"/>
        <v>0.88888888888888884</v>
      </c>
      <c r="AC284">
        <f>survey_responses[[#This Row],[Các thủ tục khai báo thuế VÀ/HOẶC quy trình làm việc với cơ quan thuế đơn giản, tiện lợi, nhanh chóng hơn so với trước đây. - HUMAN-FAC1]]</f>
        <v>2</v>
      </c>
      <c r="AD284">
        <f t="shared" si="115"/>
        <v>0.1111111111111111</v>
      </c>
      <c r="AE284">
        <f>step3_validation[[#This Row],[AI_FAC2]]</f>
        <v>8</v>
      </c>
      <c r="AF284">
        <f t="shared" si="116"/>
        <v>0.77777777777777779</v>
      </c>
      <c r="AG284">
        <f>survey_responses[[#This Row],[So với trước đây, tôi thấy cách tính thuế và các bậc thuế trong phương án mới đơn giản, dễ hiểu và dễ thực hiện hơn. - HUMAN-FAC2]]</f>
        <v>6</v>
      </c>
      <c r="AH284">
        <f t="shared" si="117"/>
        <v>0.55555555555555558</v>
      </c>
      <c r="AI284" s="32">
        <f t="shared" si="118"/>
        <v>0.83333333333333326</v>
      </c>
      <c r="AJ284" s="32">
        <f t="shared" si="119"/>
        <v>0.33333333333333337</v>
      </c>
      <c r="AK284">
        <f>step3_validation[[#This Row],[AI_TRU1]]</f>
        <v>9</v>
      </c>
      <c r="AL284">
        <f t="shared" si="120"/>
        <v>0.88888888888888884</v>
      </c>
      <c r="AM284">
        <f>survey_responses[[#This Row],[Tôi tin rằng Nhà nước, cơ quan thuế sẽ thực thi chính sách mới một cách khách quan, công tâm và đối xử bình đẳng với mọi người nộp thuế.  - HUMAN-TRU1]]</f>
        <v>5</v>
      </c>
      <c r="AN284">
        <f t="shared" si="121"/>
        <v>0.44444444444444442</v>
      </c>
      <c r="AO284">
        <f>step3_validation[[#This Row],[AI_TRU2]]</f>
        <v>8</v>
      </c>
      <c r="AP284">
        <f t="shared" si="122"/>
        <v>0.77777777777777779</v>
      </c>
      <c r="AQ284">
        <f>survey_responses[[#This Row],[Tôi thấy mức thuế tôi phải đóng theo phương án mới là công bằng (người thu nhập như tôi đóng mức này là hợp lý). - HUMAN-TRU2]]</f>
        <v>4</v>
      </c>
      <c r="AR284">
        <f t="shared" si="123"/>
        <v>0.33333333333333331</v>
      </c>
      <c r="AS284">
        <f>step3_validation[[#This Row],[AI_TRU3]]</f>
        <v>9</v>
      </c>
      <c r="AT284">
        <f t="shared" si="124"/>
        <v>0.88888888888888884</v>
      </c>
      <c r="AU284">
        <f>survey_responses[[#This Row],[Tôi tin tưởng số tiền thuế tôi đóng sẽ được Nhà nước sử dụng hiệu quả để cải thiện dịch vụ công (y tế, đường xá...). - HUMAN-TRU3]]</f>
        <v>5</v>
      </c>
      <c r="AV284">
        <f t="shared" si="125"/>
        <v>0.44444444444444442</v>
      </c>
      <c r="AW284">
        <f>step3_validation[[#This Row],[AI_TRU4]]</f>
        <v>8</v>
      </c>
      <c r="AX284">
        <f t="shared" si="126"/>
        <v>0.77777777777777779</v>
      </c>
      <c r="AY284">
        <f>survey_responses[[#This Row],[Tôi thấy Nhà nước đã giải thích rõ ràng, minh bạch về lý do và mục tiêu của việc sửa đổi thuế lần này. - HUMAN-TRU4]]</f>
        <v>5</v>
      </c>
      <c r="AZ284">
        <f t="shared" si="127"/>
        <v>0.44444444444444442</v>
      </c>
      <c r="BA284" s="32">
        <f t="shared" si="128"/>
        <v>0.83333333333333326</v>
      </c>
      <c r="BB284" s="32">
        <f t="shared" si="129"/>
        <v>0.41666666666666663</v>
      </c>
      <c r="BC284" s="7">
        <f t="shared" si="130"/>
        <v>0.83333333333333337</v>
      </c>
      <c r="BD284" s="7">
        <f t="shared" si="131"/>
        <v>0.39814814814814814</v>
      </c>
      <c r="BE284">
        <f>step3_validation[[#This Row],[AI_OUT1]]</f>
        <v>9</v>
      </c>
      <c r="BF284">
        <f t="shared" si="132"/>
        <v>0.88888888888888884</v>
      </c>
      <c r="BG284">
        <f>survey_responses[[#This Row],[Sau khi xem xét các quyền lợi và nghĩa vụ, bạn có ủng hộ và tuân thủ chính sách mới hiện nay? - HUMAN-OUT1]]</f>
        <v>4</v>
      </c>
      <c r="BH284">
        <f t="shared" si="133"/>
        <v>0.33333333333333331</v>
      </c>
      <c r="BI284" s="32">
        <f t="shared" si="134"/>
        <v>5</v>
      </c>
    </row>
    <row r="285" spans="1:61" x14ac:dyDescent="0.45">
      <c r="A285" s="30">
        <f>step3_validation[[#This Row],[Persona_ID]]</f>
        <v>284</v>
      </c>
      <c r="B285" s="31">
        <f>step3_validation[[#This Row],[Used_Seed]]</f>
        <v>12628</v>
      </c>
      <c r="C285" t="str">
        <f>step3_validation[[#This Row],[Gender]]</f>
        <v>Nam</v>
      </c>
      <c r="D285" t="str">
        <f>survey_responses[[#This Row],[Giới tính của bạn:]]</f>
        <v>Nam</v>
      </c>
      <c r="E285" t="str">
        <f>step3_validation[[#This Row],[Age_Group]]</f>
        <v>30 - 39</v>
      </c>
      <c r="F285" t="str">
        <f>survey_responses[[#This Row],[Độ tuổi của bạn:]]</f>
        <v>30 - 39</v>
      </c>
      <c r="G285" t="str">
        <f>step3_validation[[#This Row],[Region]]</f>
        <v>Thành thị</v>
      </c>
      <c r="H285" t="str">
        <f>survey_responses[[#This Row],[Khu vực bạn đang sinh sống:]]</f>
        <v>Thành thị</v>
      </c>
      <c r="I285" t="str">
        <f>step3_validation[[#This Row],[Education]]</f>
        <v>Đại học</v>
      </c>
      <c r="J285" t="str">
        <f>survey_responses[[#This Row],[Trình độ học vấn cao nhất:]]</f>
        <v>Đại học</v>
      </c>
      <c r="K285" t="str">
        <f>step3_validation[[#This Row],[Employment]]</f>
        <v>Chính thức</v>
      </c>
      <c r="L285" t="str">
        <f>survey_responses[[#This Row],[Tình trạng việc làm chính:]]</f>
        <v>Khu vực chính thức (Có Hợp đồng lao động, đóng BHXH)</v>
      </c>
      <c r="M285">
        <f>step3_validation[[#This Row],[Income_Mil]]</f>
        <v>57.766302457784683</v>
      </c>
      <c r="N285" t="str">
        <f>survey_responses[[#This Row],[Thu nhập bình quân tháng theo Hợp đồng lao động của bạn là bao nhiêu? (Vui lòng điền tổng thu nhập trước khi khấu trừ các loại Bảo hiểm (BHXH, BHYT, BHTN) và Thuế TNCN)]]</f>
        <v>Từ 48 - 70 triệu VNĐ</v>
      </c>
      <c r="O285">
        <f>step3_validation[[#This Row],[Dependents]]</f>
        <v>2</v>
      </c>
      <c r="P285" t="str">
        <f>survey_responses[[#This Row],[Số người phụ thuộc (con nhỏ, cha mẹ già...) đủ điều kiện giảm trừ gia cảnh:]]</f>
        <v>2 người</v>
      </c>
      <c r="Q285">
        <f>step3_validation[[#This Row],[AI_ENF1]]</f>
        <v>7</v>
      </c>
      <c r="R285">
        <f t="shared" si="108"/>
        <v>0.66666666666666663</v>
      </c>
      <c r="S285">
        <f>survey_responses[[#This Row],[Tôi tin rằng với các quy định quản lý thuế hiện nay, hành vi gian lận hoặc trốn thuế sẽ dễ dàng bị phát hiện và xử lý nghiêm. - HUMAN-ENF1]]</f>
        <v>7</v>
      </c>
      <c r="T285">
        <f t="shared" si="109"/>
        <v>0.66666666666666663</v>
      </c>
      <c r="U285">
        <f>step3_validation[[#This Row],[AI_ENF2]]</f>
        <v>6</v>
      </c>
      <c r="V285">
        <f t="shared" si="110"/>
        <v>0.55555555555555558</v>
      </c>
      <c r="W285">
        <f>survey_responses[[#This Row],[Tôi tin rằng Nhà nước, cơ quan thuế có đủ khả năng và công nghệ để phát hiện, xử lý nghiêm các hành vi trốn thuế. - HUMAN-ENF2]]</f>
        <v>7</v>
      </c>
      <c r="X285">
        <f t="shared" si="111"/>
        <v>0.66666666666666663</v>
      </c>
      <c r="Y285" s="32">
        <f t="shared" si="112"/>
        <v>0.61111111111111116</v>
      </c>
      <c r="Z285" s="32">
        <f t="shared" si="113"/>
        <v>0.66666666666666663</v>
      </c>
      <c r="AA285">
        <f>step3_validation[[#This Row],[AI_FAC1]]</f>
        <v>8</v>
      </c>
      <c r="AB285">
        <f t="shared" si="114"/>
        <v>0.77777777777777779</v>
      </c>
      <c r="AC285">
        <f>survey_responses[[#This Row],[Các thủ tục khai báo thuế VÀ/HOẶC quy trình làm việc với cơ quan thuế đơn giản, tiện lợi, nhanh chóng hơn so với trước đây. - HUMAN-FAC1]]</f>
        <v>5</v>
      </c>
      <c r="AD285">
        <f t="shared" si="115"/>
        <v>0.44444444444444442</v>
      </c>
      <c r="AE285">
        <f>step3_validation[[#This Row],[AI_FAC2]]</f>
        <v>9</v>
      </c>
      <c r="AF285">
        <f t="shared" si="116"/>
        <v>0.88888888888888884</v>
      </c>
      <c r="AG285">
        <f>survey_responses[[#This Row],[So với trước đây, tôi thấy cách tính thuế và các bậc thuế trong phương án mới đơn giản, dễ hiểu và dễ thực hiện hơn. - HUMAN-FAC2]]</f>
        <v>7</v>
      </c>
      <c r="AH285">
        <f t="shared" si="117"/>
        <v>0.66666666666666663</v>
      </c>
      <c r="AI285" s="32">
        <f t="shared" si="118"/>
        <v>0.83333333333333326</v>
      </c>
      <c r="AJ285" s="32">
        <f t="shared" si="119"/>
        <v>0.55555555555555558</v>
      </c>
      <c r="AK285">
        <f>step3_validation[[#This Row],[AI_TRU1]]</f>
        <v>8</v>
      </c>
      <c r="AL285">
        <f t="shared" si="120"/>
        <v>0.77777777777777779</v>
      </c>
      <c r="AM285">
        <f>survey_responses[[#This Row],[Tôi tin rằng Nhà nước, cơ quan thuế sẽ thực thi chính sách mới một cách khách quan, công tâm và đối xử bình đẳng với mọi người nộp thuế.  - HUMAN-TRU1]]</f>
        <v>5</v>
      </c>
      <c r="AN285">
        <f t="shared" si="121"/>
        <v>0.44444444444444442</v>
      </c>
      <c r="AO285">
        <f>step3_validation[[#This Row],[AI_TRU2]]</f>
        <v>9</v>
      </c>
      <c r="AP285">
        <f t="shared" si="122"/>
        <v>0.88888888888888884</v>
      </c>
      <c r="AQ285">
        <f>survey_responses[[#This Row],[Tôi thấy mức thuế tôi phải đóng theo phương án mới là công bằng (người thu nhập như tôi đóng mức này là hợp lý). - HUMAN-TRU2]]</f>
        <v>6</v>
      </c>
      <c r="AR285">
        <f t="shared" si="123"/>
        <v>0.55555555555555558</v>
      </c>
      <c r="AS285">
        <f>step3_validation[[#This Row],[AI_TRU3]]</f>
        <v>8</v>
      </c>
      <c r="AT285">
        <f t="shared" si="124"/>
        <v>0.77777777777777779</v>
      </c>
      <c r="AU285">
        <f>survey_responses[[#This Row],[Tôi tin tưởng số tiền thuế tôi đóng sẽ được Nhà nước sử dụng hiệu quả để cải thiện dịch vụ công (y tế, đường xá...). - HUMAN-TRU3]]</f>
        <v>5</v>
      </c>
      <c r="AV285">
        <f t="shared" si="125"/>
        <v>0.44444444444444442</v>
      </c>
      <c r="AW285">
        <f>step3_validation[[#This Row],[AI_TRU4]]</f>
        <v>9</v>
      </c>
      <c r="AX285">
        <f t="shared" si="126"/>
        <v>0.88888888888888884</v>
      </c>
      <c r="AY285">
        <f>survey_responses[[#This Row],[Tôi thấy Nhà nước đã giải thích rõ ràng, minh bạch về lý do và mục tiêu của việc sửa đổi thuế lần này. - HUMAN-TRU4]]</f>
        <v>7</v>
      </c>
      <c r="AZ285">
        <f t="shared" si="127"/>
        <v>0.66666666666666663</v>
      </c>
      <c r="BA285" s="32">
        <f t="shared" si="128"/>
        <v>0.83333333333333326</v>
      </c>
      <c r="BB285" s="32">
        <f t="shared" si="129"/>
        <v>0.52777777777777779</v>
      </c>
      <c r="BC285" s="7">
        <f t="shared" si="130"/>
        <v>0.75925925925925919</v>
      </c>
      <c r="BD285" s="7">
        <f t="shared" si="131"/>
        <v>0.58333333333333337</v>
      </c>
      <c r="BE285">
        <f>step3_validation[[#This Row],[AI_OUT1]]</f>
        <v>8</v>
      </c>
      <c r="BF285">
        <f t="shared" si="132"/>
        <v>0.77777777777777779</v>
      </c>
      <c r="BG285">
        <f>survey_responses[[#This Row],[Sau khi xem xét các quyền lợi và nghĩa vụ, bạn có ủng hộ và tuân thủ chính sách mới hiện nay? - HUMAN-OUT1]]</f>
        <v>6</v>
      </c>
      <c r="BH285">
        <f t="shared" si="133"/>
        <v>0.55555555555555558</v>
      </c>
      <c r="BI285" s="32">
        <f t="shared" si="134"/>
        <v>2</v>
      </c>
    </row>
    <row r="286" spans="1:61" x14ac:dyDescent="0.45">
      <c r="A286" s="30">
        <f>step3_validation[[#This Row],[Persona_ID]]</f>
        <v>285</v>
      </c>
      <c r="B286" s="31">
        <f>step3_validation[[#This Row],[Used_Seed]]</f>
        <v>12629</v>
      </c>
      <c r="C286" t="str">
        <f>step3_validation[[#This Row],[Gender]]</f>
        <v>Nam</v>
      </c>
      <c r="D286" t="str">
        <f>survey_responses[[#This Row],[Giới tính của bạn:]]</f>
        <v>Nam</v>
      </c>
      <c r="E286" t="str">
        <f>step3_validation[[#This Row],[Age_Group]]</f>
        <v>50 - 54</v>
      </c>
      <c r="F286" t="str">
        <f>survey_responses[[#This Row],[Độ tuổi của bạn:]]</f>
        <v>50 - 54</v>
      </c>
      <c r="G286" t="str">
        <f>step3_validation[[#This Row],[Region]]</f>
        <v>Thành thị</v>
      </c>
      <c r="H286" t="str">
        <f>survey_responses[[#This Row],[Khu vực bạn đang sinh sống:]]</f>
        <v>Thành thị</v>
      </c>
      <c r="I286" t="str">
        <f>step3_validation[[#This Row],[Education]]</f>
        <v>Đại học</v>
      </c>
      <c r="J286" t="str">
        <f>survey_responses[[#This Row],[Trình độ học vấn cao nhất:]]</f>
        <v>Đại học</v>
      </c>
      <c r="K286" t="str">
        <f>step3_validation[[#This Row],[Employment]]</f>
        <v>Chính thức</v>
      </c>
      <c r="L286" t="str">
        <f>survey_responses[[#This Row],[Tình trạng việc làm chính:]]</f>
        <v>Khu vực chính thức (Có Hợp đồng lao động, đóng BHXH)</v>
      </c>
      <c r="M286">
        <f>step3_validation[[#This Row],[Income_Mil]]</f>
        <v>99.46031303063414</v>
      </c>
      <c r="N286" t="str">
        <f>survey_responses[[#This Row],[Thu nhập bình quân tháng theo Hợp đồng lao động của bạn là bao nhiêu? (Vui lòng điền tổng thu nhập trước khi khấu trừ các loại Bảo hiểm (BHXH, BHYT, BHTN) và Thuế TNCN)]]</f>
        <v>Từ 70 - 102 triệu VNĐ</v>
      </c>
      <c r="O286">
        <f>step3_validation[[#This Row],[Dependents]]</f>
        <v>3</v>
      </c>
      <c r="P286" t="str">
        <f>survey_responses[[#This Row],[Số người phụ thuộc (con nhỏ, cha mẹ già...) đủ điều kiện giảm trừ gia cảnh:]]</f>
        <v>3 người</v>
      </c>
      <c r="Q286">
        <f>step3_validation[[#This Row],[AI_ENF1]]</f>
        <v>6</v>
      </c>
      <c r="R286">
        <f t="shared" si="108"/>
        <v>0.55555555555555558</v>
      </c>
      <c r="S286">
        <f>survey_responses[[#This Row],[Tôi tin rằng với các quy định quản lý thuế hiện nay, hành vi gian lận hoặc trốn thuế sẽ dễ dàng bị phát hiện và xử lý nghiêm. - HUMAN-ENF1]]</f>
        <v>7</v>
      </c>
      <c r="T286">
        <f t="shared" si="109"/>
        <v>0.66666666666666663</v>
      </c>
      <c r="U286">
        <f>step3_validation[[#This Row],[AI_ENF2]]</f>
        <v>5</v>
      </c>
      <c r="V286">
        <f t="shared" si="110"/>
        <v>0.44444444444444442</v>
      </c>
      <c r="W286">
        <f>survey_responses[[#This Row],[Tôi tin rằng Nhà nước, cơ quan thuế có đủ khả năng và công nghệ để phát hiện, xử lý nghiêm các hành vi trốn thuế. - HUMAN-ENF2]]</f>
        <v>7</v>
      </c>
      <c r="X286">
        <f t="shared" si="111"/>
        <v>0.66666666666666663</v>
      </c>
      <c r="Y286" s="32">
        <f t="shared" si="112"/>
        <v>0.5</v>
      </c>
      <c r="Z286" s="32">
        <f t="shared" si="113"/>
        <v>0.66666666666666663</v>
      </c>
      <c r="AA286">
        <f>step3_validation[[#This Row],[AI_FAC1]]</f>
        <v>8</v>
      </c>
      <c r="AB286">
        <f t="shared" si="114"/>
        <v>0.77777777777777779</v>
      </c>
      <c r="AC286">
        <f>survey_responses[[#This Row],[Các thủ tục khai báo thuế VÀ/HOẶC quy trình làm việc với cơ quan thuế đơn giản, tiện lợi, nhanh chóng hơn so với trước đây. - HUMAN-FAC1]]</f>
        <v>5</v>
      </c>
      <c r="AD286">
        <f t="shared" si="115"/>
        <v>0.44444444444444442</v>
      </c>
      <c r="AE286">
        <f>step3_validation[[#This Row],[AI_FAC2]]</f>
        <v>9</v>
      </c>
      <c r="AF286">
        <f t="shared" si="116"/>
        <v>0.88888888888888884</v>
      </c>
      <c r="AG286">
        <f>survey_responses[[#This Row],[So với trước đây, tôi thấy cách tính thuế và các bậc thuế trong phương án mới đơn giản, dễ hiểu và dễ thực hiện hơn. - HUMAN-FAC2]]</f>
        <v>8</v>
      </c>
      <c r="AH286">
        <f t="shared" si="117"/>
        <v>0.77777777777777779</v>
      </c>
      <c r="AI286" s="32">
        <f t="shared" si="118"/>
        <v>0.83333333333333326</v>
      </c>
      <c r="AJ286" s="32">
        <f t="shared" si="119"/>
        <v>0.61111111111111116</v>
      </c>
      <c r="AK286">
        <f>step3_validation[[#This Row],[AI_TRU1]]</f>
        <v>7</v>
      </c>
      <c r="AL286">
        <f t="shared" si="120"/>
        <v>0.66666666666666663</v>
      </c>
      <c r="AM286">
        <f>survey_responses[[#This Row],[Tôi tin rằng Nhà nước, cơ quan thuế sẽ thực thi chính sách mới một cách khách quan, công tâm và đối xử bình đẳng với mọi người nộp thuế.  - HUMAN-TRU1]]</f>
        <v>6</v>
      </c>
      <c r="AN286">
        <f t="shared" si="121"/>
        <v>0.55555555555555558</v>
      </c>
      <c r="AO286">
        <f>step3_validation[[#This Row],[AI_TRU2]]</f>
        <v>9</v>
      </c>
      <c r="AP286">
        <f t="shared" si="122"/>
        <v>0.88888888888888884</v>
      </c>
      <c r="AQ286">
        <f>survey_responses[[#This Row],[Tôi thấy mức thuế tôi phải đóng theo phương án mới là công bằng (người thu nhập như tôi đóng mức này là hợp lý). - HUMAN-TRU2]]</f>
        <v>6</v>
      </c>
      <c r="AR286">
        <f t="shared" si="123"/>
        <v>0.55555555555555558</v>
      </c>
      <c r="AS286">
        <f>step3_validation[[#This Row],[AI_TRU3]]</f>
        <v>8</v>
      </c>
      <c r="AT286">
        <f t="shared" si="124"/>
        <v>0.77777777777777779</v>
      </c>
      <c r="AU286">
        <f>survey_responses[[#This Row],[Tôi tin tưởng số tiền thuế tôi đóng sẽ được Nhà nước sử dụng hiệu quả để cải thiện dịch vụ công (y tế, đường xá...). - HUMAN-TRU3]]</f>
        <v>6</v>
      </c>
      <c r="AV286">
        <f t="shared" si="125"/>
        <v>0.55555555555555558</v>
      </c>
      <c r="AW286">
        <f>step3_validation[[#This Row],[AI_TRU4]]</f>
        <v>7</v>
      </c>
      <c r="AX286">
        <f t="shared" si="126"/>
        <v>0.66666666666666663</v>
      </c>
      <c r="AY286">
        <f>survey_responses[[#This Row],[Tôi thấy Nhà nước đã giải thích rõ ràng, minh bạch về lý do và mục tiêu của việc sửa đổi thuế lần này. - HUMAN-TRU4]]</f>
        <v>7</v>
      </c>
      <c r="AZ286">
        <f t="shared" si="127"/>
        <v>0.66666666666666663</v>
      </c>
      <c r="BA286" s="32">
        <f t="shared" si="128"/>
        <v>0.74999999999999989</v>
      </c>
      <c r="BB286" s="32">
        <f t="shared" si="129"/>
        <v>0.58333333333333337</v>
      </c>
      <c r="BC286" s="7">
        <f t="shared" si="130"/>
        <v>0.69444444444444431</v>
      </c>
      <c r="BD286" s="7">
        <f t="shared" si="131"/>
        <v>0.62037037037037035</v>
      </c>
      <c r="BE286">
        <f>step3_validation[[#This Row],[AI_OUT1]]</f>
        <v>8</v>
      </c>
      <c r="BF286">
        <f t="shared" si="132"/>
        <v>0.77777777777777779</v>
      </c>
      <c r="BG286">
        <f>survey_responses[[#This Row],[Sau khi xem xét các quyền lợi và nghĩa vụ, bạn có ủng hộ và tuân thủ chính sách mới hiện nay? - HUMAN-OUT1]]</f>
        <v>7</v>
      </c>
      <c r="BH286">
        <f t="shared" si="133"/>
        <v>0.66666666666666663</v>
      </c>
      <c r="BI286" s="32">
        <f t="shared" si="134"/>
        <v>1</v>
      </c>
    </row>
    <row r="287" spans="1:61" x14ac:dyDescent="0.45">
      <c r="A287" s="30">
        <f>step3_validation[[#This Row],[Persona_ID]]</f>
        <v>286</v>
      </c>
      <c r="B287" s="31">
        <f>step3_validation[[#This Row],[Used_Seed]]</f>
        <v>12630</v>
      </c>
      <c r="C287" t="str">
        <f>step3_validation[[#This Row],[Gender]]</f>
        <v>Nữ</v>
      </c>
      <c r="D287" t="str">
        <f>survey_responses[[#This Row],[Giới tính của bạn:]]</f>
        <v>Nữ</v>
      </c>
      <c r="E287" t="str">
        <f>step3_validation[[#This Row],[Age_Group]]</f>
        <v>30 - 39</v>
      </c>
      <c r="F287" t="str">
        <f>survey_responses[[#This Row],[Độ tuổi của bạn:]]</f>
        <v>30 - 39</v>
      </c>
      <c r="G287" t="str">
        <f>step3_validation[[#This Row],[Region]]</f>
        <v>Thành thị</v>
      </c>
      <c r="H287" t="str">
        <f>survey_responses[[#This Row],[Khu vực bạn đang sinh sống:]]</f>
        <v>Thành thị</v>
      </c>
      <c r="I287" t="str">
        <f>step3_validation[[#This Row],[Education]]</f>
        <v>Đại học</v>
      </c>
      <c r="J287" t="str">
        <f>survey_responses[[#This Row],[Trình độ học vấn cao nhất:]]</f>
        <v>Đại học</v>
      </c>
      <c r="K287" t="str">
        <f>step3_validation[[#This Row],[Employment]]</f>
        <v>Chính thức</v>
      </c>
      <c r="L287" t="str">
        <f>survey_responses[[#This Row],[Tình trạng việc làm chính:]]</f>
        <v>Khu vực chính thức (Có Hợp đồng lao động, đóng BHXH)</v>
      </c>
      <c r="M287">
        <f>step3_validation[[#This Row],[Income_Mil]]</f>
        <v>40.982443905549381</v>
      </c>
      <c r="N287" t="str">
        <f>survey_responses[[#This Row],[Thu nhập bình quân tháng theo Hợp đồng lao động của bạn là bao nhiêu? (Vui lòng điền tổng thu nhập trước khi khấu trừ các loại Bảo hiểm (BHXH, BHYT, BHTN) và Thuế TNCN)]]</f>
        <v>Từ 32 - 48 triệu VNĐ</v>
      </c>
      <c r="O287">
        <f>step3_validation[[#This Row],[Dependents]]</f>
        <v>0</v>
      </c>
      <c r="P287" t="str">
        <f>survey_responses[[#This Row],[Số người phụ thuộc (con nhỏ, cha mẹ già...) đủ điều kiện giảm trừ gia cảnh:]]</f>
        <v>0 người</v>
      </c>
      <c r="Q287">
        <f>step3_validation[[#This Row],[AI_ENF1]]</f>
        <v>8</v>
      </c>
      <c r="R287">
        <f t="shared" si="108"/>
        <v>0.77777777777777779</v>
      </c>
      <c r="S287">
        <f>survey_responses[[#This Row],[Tôi tin rằng với các quy định quản lý thuế hiện nay, hành vi gian lận hoặc trốn thuế sẽ dễ dàng bị phát hiện và xử lý nghiêm. - HUMAN-ENF1]]</f>
        <v>4</v>
      </c>
      <c r="T287">
        <f t="shared" si="109"/>
        <v>0.33333333333333331</v>
      </c>
      <c r="U287">
        <f>step3_validation[[#This Row],[AI_ENF2]]</f>
        <v>7</v>
      </c>
      <c r="V287">
        <f t="shared" si="110"/>
        <v>0.66666666666666663</v>
      </c>
      <c r="W287">
        <f>survey_responses[[#This Row],[Tôi tin rằng Nhà nước, cơ quan thuế có đủ khả năng và công nghệ để phát hiện, xử lý nghiêm các hành vi trốn thuế. - HUMAN-ENF2]]</f>
        <v>4</v>
      </c>
      <c r="X287">
        <f t="shared" si="111"/>
        <v>0.33333333333333331</v>
      </c>
      <c r="Y287" s="32">
        <f t="shared" si="112"/>
        <v>0.72222222222222221</v>
      </c>
      <c r="Z287" s="32">
        <f t="shared" si="113"/>
        <v>0.33333333333333331</v>
      </c>
      <c r="AA287">
        <f>step3_validation[[#This Row],[AI_FAC1]]</f>
        <v>6</v>
      </c>
      <c r="AB287">
        <f t="shared" si="114"/>
        <v>0.55555555555555558</v>
      </c>
      <c r="AC287">
        <f>survey_responses[[#This Row],[Các thủ tục khai báo thuế VÀ/HOẶC quy trình làm việc với cơ quan thuế đơn giản, tiện lợi, nhanh chóng hơn so với trước đây. - HUMAN-FAC1]]</f>
        <v>2</v>
      </c>
      <c r="AD287">
        <f t="shared" si="115"/>
        <v>0.1111111111111111</v>
      </c>
      <c r="AE287">
        <f>step3_validation[[#This Row],[AI_FAC2]]</f>
        <v>8</v>
      </c>
      <c r="AF287">
        <f t="shared" si="116"/>
        <v>0.77777777777777779</v>
      </c>
      <c r="AG287">
        <f>survey_responses[[#This Row],[So với trước đây, tôi thấy cách tính thuế và các bậc thuế trong phương án mới đơn giản, dễ hiểu và dễ thực hiện hơn. - HUMAN-FAC2]]</f>
        <v>8</v>
      </c>
      <c r="AH287">
        <f t="shared" si="117"/>
        <v>0.77777777777777779</v>
      </c>
      <c r="AI287" s="32">
        <f t="shared" si="118"/>
        <v>0.66666666666666674</v>
      </c>
      <c r="AJ287" s="32">
        <f t="shared" si="119"/>
        <v>0.44444444444444442</v>
      </c>
      <c r="AK287">
        <f>step3_validation[[#This Row],[AI_TRU1]]</f>
        <v>7</v>
      </c>
      <c r="AL287">
        <f t="shared" si="120"/>
        <v>0.66666666666666663</v>
      </c>
      <c r="AM287">
        <f>survey_responses[[#This Row],[Tôi tin rằng Nhà nước, cơ quan thuế sẽ thực thi chính sách mới một cách khách quan, công tâm và đối xử bình đẳng với mọi người nộp thuế.  - HUMAN-TRU1]]</f>
        <v>5</v>
      </c>
      <c r="AN287">
        <f t="shared" si="121"/>
        <v>0.44444444444444442</v>
      </c>
      <c r="AO287">
        <f>step3_validation[[#This Row],[AI_TRU2]]</f>
        <v>9</v>
      </c>
      <c r="AP287">
        <f t="shared" si="122"/>
        <v>0.88888888888888884</v>
      </c>
      <c r="AQ287">
        <f>survey_responses[[#This Row],[Tôi thấy mức thuế tôi phải đóng theo phương án mới là công bằng (người thu nhập như tôi đóng mức này là hợp lý). - HUMAN-TRU2]]</f>
        <v>5</v>
      </c>
      <c r="AR287">
        <f t="shared" si="123"/>
        <v>0.44444444444444442</v>
      </c>
      <c r="AS287">
        <f>step3_validation[[#This Row],[AI_TRU3]]</f>
        <v>7</v>
      </c>
      <c r="AT287">
        <f t="shared" si="124"/>
        <v>0.66666666666666663</v>
      </c>
      <c r="AU287">
        <f>survey_responses[[#This Row],[Tôi tin tưởng số tiền thuế tôi đóng sẽ được Nhà nước sử dụng hiệu quả để cải thiện dịch vụ công (y tế, đường xá...). - HUMAN-TRU3]]</f>
        <v>4</v>
      </c>
      <c r="AV287">
        <f t="shared" si="125"/>
        <v>0.33333333333333331</v>
      </c>
      <c r="AW287">
        <f>step3_validation[[#This Row],[AI_TRU4]]</f>
        <v>6</v>
      </c>
      <c r="AX287">
        <f t="shared" si="126"/>
        <v>0.55555555555555558</v>
      </c>
      <c r="AY287">
        <f>survey_responses[[#This Row],[Tôi thấy Nhà nước đã giải thích rõ ràng, minh bạch về lý do và mục tiêu của việc sửa đổi thuế lần này. - HUMAN-TRU4]]</f>
        <v>6</v>
      </c>
      <c r="AZ287">
        <f t="shared" si="127"/>
        <v>0.55555555555555558</v>
      </c>
      <c r="BA287" s="32">
        <f t="shared" si="128"/>
        <v>0.69444444444444442</v>
      </c>
      <c r="BB287" s="32">
        <f t="shared" si="129"/>
        <v>0.44444444444444442</v>
      </c>
      <c r="BC287" s="7">
        <f t="shared" si="130"/>
        <v>0.69444444444444431</v>
      </c>
      <c r="BD287" s="7">
        <f t="shared" si="131"/>
        <v>0.40740740740740738</v>
      </c>
      <c r="BE287">
        <f>step3_validation[[#This Row],[AI_OUT1]]</f>
        <v>8</v>
      </c>
      <c r="BF287">
        <f t="shared" si="132"/>
        <v>0.77777777777777779</v>
      </c>
      <c r="BG287">
        <f>survey_responses[[#This Row],[Sau khi xem xét các quyền lợi và nghĩa vụ, bạn có ủng hộ và tuân thủ chính sách mới hiện nay? - HUMAN-OUT1]]</f>
        <v>5</v>
      </c>
      <c r="BH287">
        <f t="shared" si="133"/>
        <v>0.44444444444444442</v>
      </c>
      <c r="BI287" s="32">
        <f t="shared" si="134"/>
        <v>3</v>
      </c>
    </row>
    <row r="288" spans="1:61" x14ac:dyDescent="0.45">
      <c r="A288" s="30">
        <f>step3_validation[[#This Row],[Persona_ID]]</f>
        <v>287</v>
      </c>
      <c r="B288" s="31">
        <f>step3_validation[[#This Row],[Used_Seed]]</f>
        <v>12631</v>
      </c>
      <c r="C288" t="str">
        <f>step3_validation[[#This Row],[Gender]]</f>
        <v>Nữ</v>
      </c>
      <c r="D288" t="str">
        <f>survey_responses[[#This Row],[Giới tính của bạn:]]</f>
        <v>Nữ</v>
      </c>
      <c r="E288" t="str">
        <f>step3_validation[[#This Row],[Age_Group]]</f>
        <v>50 - 54</v>
      </c>
      <c r="F288" t="str">
        <f>survey_responses[[#This Row],[Độ tuổi của bạn:]]</f>
        <v>50 - 54</v>
      </c>
      <c r="G288" t="str">
        <f>step3_validation[[#This Row],[Region]]</f>
        <v>Thành thị</v>
      </c>
      <c r="H288" t="str">
        <f>survey_responses[[#This Row],[Khu vực bạn đang sinh sống:]]</f>
        <v>Thành thị</v>
      </c>
      <c r="I288" t="str">
        <f>step3_validation[[#This Row],[Education]]</f>
        <v>Đại học</v>
      </c>
      <c r="J288" t="str">
        <f>survey_responses[[#This Row],[Trình độ học vấn cao nhất:]]</f>
        <v>Đại học</v>
      </c>
      <c r="K288" t="str">
        <f>step3_validation[[#This Row],[Employment]]</f>
        <v>Chính thức</v>
      </c>
      <c r="L288" t="str">
        <f>survey_responses[[#This Row],[Tình trạng việc làm chính:]]</f>
        <v>Khu vực chính thức (Có Hợp đồng lao động, đóng BHXH)</v>
      </c>
      <c r="M288">
        <f>step3_validation[[#This Row],[Income_Mil]]</f>
        <v>67.014852647140088</v>
      </c>
      <c r="N288" t="str">
        <f>survey_responses[[#This Row],[Thu nhập bình quân tháng theo Hợp đồng lao động của bạn là bao nhiêu? (Vui lòng điền tổng thu nhập trước khi khấu trừ các loại Bảo hiểm (BHXH, BHYT, BHTN) và Thuế TNCN)]]</f>
        <v>Từ 48 - 70 triệu VNĐ</v>
      </c>
      <c r="O288">
        <f>step3_validation[[#This Row],[Dependents]]</f>
        <v>4</v>
      </c>
      <c r="P288" t="str">
        <f>survey_responses[[#This Row],[Số người phụ thuộc (con nhỏ, cha mẹ già...) đủ điều kiện giảm trừ gia cảnh:]]</f>
        <v>4 người trở lên</v>
      </c>
      <c r="Q288">
        <f>step3_validation[[#This Row],[AI_ENF1]]</f>
        <v>7</v>
      </c>
      <c r="R288">
        <f t="shared" si="108"/>
        <v>0.66666666666666663</v>
      </c>
      <c r="S288">
        <f>survey_responses[[#This Row],[Tôi tin rằng với các quy định quản lý thuế hiện nay, hành vi gian lận hoặc trốn thuế sẽ dễ dàng bị phát hiện và xử lý nghiêm. - HUMAN-ENF1]]</f>
        <v>10</v>
      </c>
      <c r="T288">
        <f t="shared" si="109"/>
        <v>1</v>
      </c>
      <c r="U288">
        <f>step3_validation[[#This Row],[AI_ENF2]]</f>
        <v>8</v>
      </c>
      <c r="V288">
        <f t="shared" si="110"/>
        <v>0.77777777777777779</v>
      </c>
      <c r="W288">
        <f>survey_responses[[#This Row],[Tôi tin rằng Nhà nước, cơ quan thuế có đủ khả năng và công nghệ để phát hiện, xử lý nghiêm các hành vi trốn thuế. - HUMAN-ENF2]]</f>
        <v>10</v>
      </c>
      <c r="X288">
        <f t="shared" si="111"/>
        <v>1</v>
      </c>
      <c r="Y288" s="32">
        <f t="shared" si="112"/>
        <v>0.72222222222222221</v>
      </c>
      <c r="Z288" s="32">
        <f t="shared" si="113"/>
        <v>1</v>
      </c>
      <c r="AA288">
        <f>step3_validation[[#This Row],[AI_FAC1]]</f>
        <v>9</v>
      </c>
      <c r="AB288">
        <f t="shared" si="114"/>
        <v>0.88888888888888884</v>
      </c>
      <c r="AC288">
        <f>survey_responses[[#This Row],[Các thủ tục khai báo thuế VÀ/HOẶC quy trình làm việc với cơ quan thuế đơn giản, tiện lợi, nhanh chóng hơn so với trước đây. - HUMAN-FAC1]]</f>
        <v>7</v>
      </c>
      <c r="AD288">
        <f t="shared" si="115"/>
        <v>0.66666666666666663</v>
      </c>
      <c r="AE288">
        <f>step3_validation[[#This Row],[AI_FAC2]]</f>
        <v>8</v>
      </c>
      <c r="AF288">
        <f t="shared" si="116"/>
        <v>0.77777777777777779</v>
      </c>
      <c r="AG288">
        <f>survey_responses[[#This Row],[So với trước đây, tôi thấy cách tính thuế và các bậc thuế trong phương án mới đơn giản, dễ hiểu và dễ thực hiện hơn. - HUMAN-FAC2]]</f>
        <v>7</v>
      </c>
      <c r="AH288">
        <f t="shared" si="117"/>
        <v>0.66666666666666663</v>
      </c>
      <c r="AI288" s="32">
        <f t="shared" si="118"/>
        <v>0.83333333333333326</v>
      </c>
      <c r="AJ288" s="32">
        <f t="shared" si="119"/>
        <v>0.66666666666666663</v>
      </c>
      <c r="AK288">
        <f>step3_validation[[#This Row],[AI_TRU1]]</f>
        <v>9</v>
      </c>
      <c r="AL288">
        <f t="shared" si="120"/>
        <v>0.88888888888888884</v>
      </c>
      <c r="AM288">
        <f>survey_responses[[#This Row],[Tôi tin rằng Nhà nước, cơ quan thuế sẽ thực thi chính sách mới một cách khách quan, công tâm và đối xử bình đẳng với mọi người nộp thuế.  - HUMAN-TRU1]]</f>
        <v>8</v>
      </c>
      <c r="AN288">
        <f t="shared" si="121"/>
        <v>0.77777777777777779</v>
      </c>
      <c r="AO288">
        <f>step3_validation[[#This Row],[AI_TRU2]]</f>
        <v>8</v>
      </c>
      <c r="AP288">
        <f t="shared" si="122"/>
        <v>0.77777777777777779</v>
      </c>
      <c r="AQ288">
        <f>survey_responses[[#This Row],[Tôi thấy mức thuế tôi phải đóng theo phương án mới là công bằng (người thu nhập như tôi đóng mức này là hợp lý). - HUMAN-TRU2]]</f>
        <v>7</v>
      </c>
      <c r="AR288">
        <f t="shared" si="123"/>
        <v>0.66666666666666663</v>
      </c>
      <c r="AS288">
        <f>step3_validation[[#This Row],[AI_TRU3]]</f>
        <v>7</v>
      </c>
      <c r="AT288">
        <f t="shared" si="124"/>
        <v>0.66666666666666663</v>
      </c>
      <c r="AU288">
        <f>survey_responses[[#This Row],[Tôi tin tưởng số tiền thuế tôi đóng sẽ được Nhà nước sử dụng hiệu quả để cải thiện dịch vụ công (y tế, đường xá...). - HUMAN-TRU3]]</f>
        <v>8</v>
      </c>
      <c r="AV288">
        <f t="shared" si="125"/>
        <v>0.77777777777777779</v>
      </c>
      <c r="AW288">
        <f>step3_validation[[#This Row],[AI_TRU4]]</f>
        <v>9</v>
      </c>
      <c r="AX288">
        <f t="shared" si="126"/>
        <v>0.88888888888888884</v>
      </c>
      <c r="AY288">
        <f>survey_responses[[#This Row],[Tôi thấy Nhà nước đã giải thích rõ ràng, minh bạch về lý do và mục tiêu của việc sửa đổi thuế lần này. - HUMAN-TRU4]]</f>
        <v>8</v>
      </c>
      <c r="AZ288">
        <f t="shared" si="127"/>
        <v>0.77777777777777779</v>
      </c>
      <c r="BA288" s="32">
        <f t="shared" si="128"/>
        <v>0.80555555555555547</v>
      </c>
      <c r="BB288" s="32">
        <f t="shared" si="129"/>
        <v>0.75</v>
      </c>
      <c r="BC288" s="7">
        <f t="shared" si="130"/>
        <v>0.78703703703703687</v>
      </c>
      <c r="BD288" s="7">
        <f t="shared" si="131"/>
        <v>0.80555555555555547</v>
      </c>
      <c r="BE288">
        <f>step3_validation[[#This Row],[AI_OUT1]]</f>
        <v>8</v>
      </c>
      <c r="BF288">
        <f t="shared" si="132"/>
        <v>0.77777777777777779</v>
      </c>
      <c r="BG288">
        <f>survey_responses[[#This Row],[Sau khi xem xét các quyền lợi và nghĩa vụ, bạn có ủng hộ và tuân thủ chính sách mới hiện nay? - HUMAN-OUT1]]</f>
        <v>8</v>
      </c>
      <c r="BH288">
        <f t="shared" si="133"/>
        <v>0.77777777777777779</v>
      </c>
      <c r="BI288" s="32">
        <f t="shared" si="134"/>
        <v>0</v>
      </c>
    </row>
    <row r="289" spans="1:61" x14ac:dyDescent="0.45">
      <c r="A289" s="30">
        <f>step3_validation[[#This Row],[Persona_ID]]</f>
        <v>288</v>
      </c>
      <c r="B289" s="31">
        <f>step3_validation[[#This Row],[Used_Seed]]</f>
        <v>12632</v>
      </c>
      <c r="C289" t="str">
        <f>step3_validation[[#This Row],[Gender]]</f>
        <v>Nam</v>
      </c>
      <c r="D289" t="str">
        <f>survey_responses[[#This Row],[Giới tính của bạn:]]</f>
        <v>Nam</v>
      </c>
      <c r="E289" t="str">
        <f>step3_validation[[#This Row],[Age_Group]]</f>
        <v>25 - 29</v>
      </c>
      <c r="F289" t="str">
        <f>survey_responses[[#This Row],[Độ tuổi của bạn:]]</f>
        <v>25 - 29</v>
      </c>
      <c r="G289" t="str">
        <f>step3_validation[[#This Row],[Region]]</f>
        <v>Thành thị</v>
      </c>
      <c r="H289" t="str">
        <f>survey_responses[[#This Row],[Khu vực bạn đang sinh sống:]]</f>
        <v>Thành thị</v>
      </c>
      <c r="I289" t="str">
        <f>step3_validation[[#This Row],[Education]]</f>
        <v>Đại học</v>
      </c>
      <c r="J289" t="str">
        <f>survey_responses[[#This Row],[Trình độ học vấn cao nhất:]]</f>
        <v>Đại học</v>
      </c>
      <c r="K289" t="str">
        <f>step3_validation[[#This Row],[Employment]]</f>
        <v>Chính thức</v>
      </c>
      <c r="L289" t="str">
        <f>survey_responses[[#This Row],[Tình trạng việc làm chính:]]</f>
        <v>Khu vực chính thức (Có Hợp đồng lao động, đóng BHXH)</v>
      </c>
      <c r="M289">
        <f>step3_validation[[#This Row],[Income_Mil]]</f>
        <v>25.773509379703359</v>
      </c>
      <c r="N289" t="str">
        <f>survey_responses[[#This Row],[Thu nhập bình quân tháng theo Hợp đồng lao động của bạn là bao nhiêu? (Vui lòng điền tổng thu nhập trước khi khấu trừ các loại Bảo hiểm (BHXH, BHYT, BHTN) và Thuế TNCN)]]</f>
        <v>Từ 23 - 32 triệu VNĐ</v>
      </c>
      <c r="O289">
        <f>step3_validation[[#This Row],[Dependents]]</f>
        <v>0</v>
      </c>
      <c r="P289" t="str">
        <f>survey_responses[[#This Row],[Số người phụ thuộc (con nhỏ, cha mẹ già...) đủ điều kiện giảm trừ gia cảnh:]]</f>
        <v>0 người</v>
      </c>
      <c r="Q289">
        <f>step3_validation[[#This Row],[AI_ENF1]]</f>
        <v>7</v>
      </c>
      <c r="R289">
        <f t="shared" si="108"/>
        <v>0.66666666666666663</v>
      </c>
      <c r="S289">
        <f>survey_responses[[#This Row],[Tôi tin rằng với các quy định quản lý thuế hiện nay, hành vi gian lận hoặc trốn thuế sẽ dễ dàng bị phát hiện và xử lý nghiêm. - HUMAN-ENF1]]</f>
        <v>8</v>
      </c>
      <c r="T289">
        <f t="shared" si="109"/>
        <v>0.77777777777777779</v>
      </c>
      <c r="U289">
        <f>step3_validation[[#This Row],[AI_ENF2]]</f>
        <v>6</v>
      </c>
      <c r="V289">
        <f t="shared" si="110"/>
        <v>0.55555555555555558</v>
      </c>
      <c r="W289">
        <f>survey_responses[[#This Row],[Tôi tin rằng Nhà nước, cơ quan thuế có đủ khả năng và công nghệ để phát hiện, xử lý nghiêm các hành vi trốn thuế. - HUMAN-ENF2]]</f>
        <v>8</v>
      </c>
      <c r="X289">
        <f t="shared" si="111"/>
        <v>0.77777777777777779</v>
      </c>
      <c r="Y289" s="32">
        <f t="shared" si="112"/>
        <v>0.61111111111111116</v>
      </c>
      <c r="Z289" s="32">
        <f t="shared" si="113"/>
        <v>0.77777777777777779</v>
      </c>
      <c r="AA289">
        <f>step3_validation[[#This Row],[AI_FAC1]]</f>
        <v>8</v>
      </c>
      <c r="AB289">
        <f t="shared" si="114"/>
        <v>0.77777777777777779</v>
      </c>
      <c r="AC289">
        <f>survey_responses[[#This Row],[Các thủ tục khai báo thuế VÀ/HOẶC quy trình làm việc với cơ quan thuế đơn giản, tiện lợi, nhanh chóng hơn so với trước đây. - HUMAN-FAC1]]</f>
        <v>5</v>
      </c>
      <c r="AD289">
        <f t="shared" si="115"/>
        <v>0.44444444444444442</v>
      </c>
      <c r="AE289">
        <f>step3_validation[[#This Row],[AI_FAC2]]</f>
        <v>9</v>
      </c>
      <c r="AF289">
        <f t="shared" si="116"/>
        <v>0.88888888888888884</v>
      </c>
      <c r="AG289">
        <f>survey_responses[[#This Row],[So với trước đây, tôi thấy cách tính thuế và các bậc thuế trong phương án mới đơn giản, dễ hiểu và dễ thực hiện hơn. - HUMAN-FAC2]]</f>
        <v>9</v>
      </c>
      <c r="AH289">
        <f t="shared" si="117"/>
        <v>0.88888888888888884</v>
      </c>
      <c r="AI289" s="32">
        <f t="shared" si="118"/>
        <v>0.83333333333333326</v>
      </c>
      <c r="AJ289" s="32">
        <f t="shared" si="119"/>
        <v>0.66666666666666663</v>
      </c>
      <c r="AK289">
        <f>step3_validation[[#This Row],[AI_TRU1]]</f>
        <v>7</v>
      </c>
      <c r="AL289">
        <f t="shared" si="120"/>
        <v>0.66666666666666663</v>
      </c>
      <c r="AM289">
        <f>survey_responses[[#This Row],[Tôi tin rằng Nhà nước, cơ quan thuế sẽ thực thi chính sách mới một cách khách quan, công tâm và đối xử bình đẳng với mọi người nộp thuế.  - HUMAN-TRU1]]</f>
        <v>10</v>
      </c>
      <c r="AN289">
        <f t="shared" si="121"/>
        <v>1</v>
      </c>
      <c r="AO289">
        <f>step3_validation[[#This Row],[AI_TRU2]]</f>
        <v>9</v>
      </c>
      <c r="AP289">
        <f t="shared" si="122"/>
        <v>0.88888888888888884</v>
      </c>
      <c r="AQ289">
        <f>survey_responses[[#This Row],[Tôi thấy mức thuế tôi phải đóng theo phương án mới là công bằng (người thu nhập như tôi đóng mức này là hợp lý). - HUMAN-TRU2]]</f>
        <v>10</v>
      </c>
      <c r="AR289">
        <f t="shared" si="123"/>
        <v>1</v>
      </c>
      <c r="AS289">
        <f>step3_validation[[#This Row],[AI_TRU3]]</f>
        <v>7</v>
      </c>
      <c r="AT289">
        <f t="shared" si="124"/>
        <v>0.66666666666666663</v>
      </c>
      <c r="AU289">
        <f>survey_responses[[#This Row],[Tôi tin tưởng số tiền thuế tôi đóng sẽ được Nhà nước sử dụng hiệu quả để cải thiện dịch vụ công (y tế, đường xá...). - HUMAN-TRU3]]</f>
        <v>9</v>
      </c>
      <c r="AV289">
        <f t="shared" si="125"/>
        <v>0.88888888888888884</v>
      </c>
      <c r="AW289">
        <f>step3_validation[[#This Row],[AI_TRU4]]</f>
        <v>8</v>
      </c>
      <c r="AX289">
        <f t="shared" si="126"/>
        <v>0.77777777777777779</v>
      </c>
      <c r="AY289">
        <f>survey_responses[[#This Row],[Tôi thấy Nhà nước đã giải thích rõ ràng, minh bạch về lý do và mục tiêu của việc sửa đổi thuế lần này. - HUMAN-TRU4]]</f>
        <v>9</v>
      </c>
      <c r="AZ289">
        <f t="shared" si="127"/>
        <v>0.88888888888888884</v>
      </c>
      <c r="BA289" s="32">
        <f t="shared" si="128"/>
        <v>0.74999999999999989</v>
      </c>
      <c r="BB289" s="32">
        <f t="shared" si="129"/>
        <v>0.94444444444444442</v>
      </c>
      <c r="BC289" s="7">
        <f t="shared" si="130"/>
        <v>0.7314814814814814</v>
      </c>
      <c r="BD289" s="7">
        <f t="shared" si="131"/>
        <v>0.79629629629629628</v>
      </c>
      <c r="BE289">
        <f>step3_validation[[#This Row],[AI_OUT1]]</f>
        <v>8</v>
      </c>
      <c r="BF289">
        <f t="shared" si="132"/>
        <v>0.77777777777777779</v>
      </c>
      <c r="BG289">
        <f>survey_responses[[#This Row],[Sau khi xem xét các quyền lợi và nghĩa vụ, bạn có ủng hộ và tuân thủ chính sách mới hiện nay? - HUMAN-OUT1]]</f>
        <v>10</v>
      </c>
      <c r="BH289">
        <f t="shared" si="133"/>
        <v>1</v>
      </c>
      <c r="BI289" s="32">
        <f t="shared" si="134"/>
        <v>2</v>
      </c>
    </row>
    <row r="290" spans="1:61" x14ac:dyDescent="0.45">
      <c r="A290" s="30">
        <f>step3_validation[[#This Row],[Persona_ID]]</f>
        <v>289</v>
      </c>
      <c r="B290" s="31">
        <f>step3_validation[[#This Row],[Used_Seed]]</f>
        <v>12633</v>
      </c>
      <c r="C290" t="str">
        <f>step3_validation[[#This Row],[Gender]]</f>
        <v>Nữ</v>
      </c>
      <c r="D290" t="str">
        <f>survey_responses[[#This Row],[Giới tính của bạn:]]</f>
        <v>Nữ</v>
      </c>
      <c r="E290" t="str">
        <f>step3_validation[[#This Row],[Age_Group]]</f>
        <v>30 - 39</v>
      </c>
      <c r="F290" t="str">
        <f>survey_responses[[#This Row],[Độ tuổi của bạn:]]</f>
        <v>30 - 39</v>
      </c>
      <c r="G290" t="str">
        <f>step3_validation[[#This Row],[Region]]</f>
        <v>Thành thị</v>
      </c>
      <c r="H290" t="str">
        <f>survey_responses[[#This Row],[Khu vực bạn đang sinh sống:]]</f>
        <v>Thành thị</v>
      </c>
      <c r="I290" t="str">
        <f>step3_validation[[#This Row],[Education]]</f>
        <v>Cao đẳng</v>
      </c>
      <c r="J290" t="str">
        <f>survey_responses[[#This Row],[Trình độ học vấn cao nhất:]]</f>
        <v>Cao đẳng</v>
      </c>
      <c r="K290" t="str">
        <f>step3_validation[[#This Row],[Employment]]</f>
        <v>Chính thức</v>
      </c>
      <c r="L290" t="str">
        <f>survey_responses[[#This Row],[Tình trạng việc làm chính:]]</f>
        <v>Khu vực chính thức (Có Hợp đồng lao động, đóng BHXH)</v>
      </c>
      <c r="M290">
        <f>step3_validation[[#This Row],[Income_Mil]]</f>
        <v>29.79743673042605</v>
      </c>
      <c r="N290" t="str">
        <f>survey_responses[[#This Row],[Thu nhập bình quân tháng theo Hợp đồng lao động của bạn là bao nhiêu? (Vui lòng điền tổng thu nhập trước khi khấu trừ các loại Bảo hiểm (BHXH, BHYT, BHTN) và Thuế TNCN)]]</f>
        <v>Từ 23 - 32 triệu VNĐ</v>
      </c>
      <c r="O290">
        <f>step3_validation[[#This Row],[Dependents]]</f>
        <v>1</v>
      </c>
      <c r="P290" t="str">
        <f>survey_responses[[#This Row],[Số người phụ thuộc (con nhỏ, cha mẹ già...) đủ điều kiện giảm trừ gia cảnh:]]</f>
        <v>1 người</v>
      </c>
      <c r="Q290">
        <f>step3_validation[[#This Row],[AI_ENF1]]</f>
        <v>7</v>
      </c>
      <c r="R290">
        <f t="shared" si="108"/>
        <v>0.66666666666666663</v>
      </c>
      <c r="S290">
        <f>survey_responses[[#This Row],[Tôi tin rằng với các quy định quản lý thuế hiện nay, hành vi gian lận hoặc trốn thuế sẽ dễ dàng bị phát hiện và xử lý nghiêm. - HUMAN-ENF1]]</f>
        <v>7</v>
      </c>
      <c r="T290">
        <f t="shared" si="109"/>
        <v>0.66666666666666663</v>
      </c>
      <c r="U290">
        <f>step3_validation[[#This Row],[AI_ENF2]]</f>
        <v>8</v>
      </c>
      <c r="V290">
        <f t="shared" si="110"/>
        <v>0.77777777777777779</v>
      </c>
      <c r="W290">
        <f>survey_responses[[#This Row],[Tôi tin rằng Nhà nước, cơ quan thuế có đủ khả năng và công nghệ để phát hiện, xử lý nghiêm các hành vi trốn thuế. - HUMAN-ENF2]]</f>
        <v>7</v>
      </c>
      <c r="X290">
        <f t="shared" si="111"/>
        <v>0.66666666666666663</v>
      </c>
      <c r="Y290" s="32">
        <f t="shared" si="112"/>
        <v>0.72222222222222221</v>
      </c>
      <c r="Z290" s="32">
        <f t="shared" si="113"/>
        <v>0.66666666666666663</v>
      </c>
      <c r="AA290">
        <f>step3_validation[[#This Row],[AI_FAC1]]</f>
        <v>7</v>
      </c>
      <c r="AB290">
        <f t="shared" si="114"/>
        <v>0.66666666666666663</v>
      </c>
      <c r="AC290">
        <f>survey_responses[[#This Row],[Các thủ tục khai báo thuế VÀ/HOẶC quy trình làm việc với cơ quan thuế đơn giản, tiện lợi, nhanh chóng hơn so với trước đây. - HUMAN-FAC1]]</f>
        <v>5</v>
      </c>
      <c r="AD290">
        <f t="shared" si="115"/>
        <v>0.44444444444444442</v>
      </c>
      <c r="AE290">
        <f>step3_validation[[#This Row],[AI_FAC2]]</f>
        <v>9</v>
      </c>
      <c r="AF290">
        <f t="shared" si="116"/>
        <v>0.88888888888888884</v>
      </c>
      <c r="AG290">
        <f>survey_responses[[#This Row],[So với trước đây, tôi thấy cách tính thuế và các bậc thuế trong phương án mới đơn giản, dễ hiểu và dễ thực hiện hơn. - HUMAN-FAC2]]</f>
        <v>6</v>
      </c>
      <c r="AH290">
        <f t="shared" si="117"/>
        <v>0.55555555555555558</v>
      </c>
      <c r="AI290" s="32">
        <f t="shared" si="118"/>
        <v>0.77777777777777768</v>
      </c>
      <c r="AJ290" s="32">
        <f t="shared" si="119"/>
        <v>0.5</v>
      </c>
      <c r="AK290">
        <f>step3_validation[[#This Row],[AI_TRU1]]</f>
        <v>8</v>
      </c>
      <c r="AL290">
        <f t="shared" si="120"/>
        <v>0.77777777777777779</v>
      </c>
      <c r="AM290">
        <f>survey_responses[[#This Row],[Tôi tin rằng Nhà nước, cơ quan thuế sẽ thực thi chính sách mới một cách khách quan, công tâm và đối xử bình đẳng với mọi người nộp thuế.  - HUMAN-TRU1]]</f>
        <v>5</v>
      </c>
      <c r="AN290">
        <f t="shared" si="121"/>
        <v>0.44444444444444442</v>
      </c>
      <c r="AO290">
        <f>step3_validation[[#This Row],[AI_TRU2]]</f>
        <v>9</v>
      </c>
      <c r="AP290">
        <f t="shared" si="122"/>
        <v>0.88888888888888884</v>
      </c>
      <c r="AQ290">
        <f>survey_responses[[#This Row],[Tôi thấy mức thuế tôi phải đóng theo phương án mới là công bằng (người thu nhập như tôi đóng mức này là hợp lý). - HUMAN-TRU2]]</f>
        <v>5</v>
      </c>
      <c r="AR290">
        <f t="shared" si="123"/>
        <v>0.44444444444444442</v>
      </c>
      <c r="AS290">
        <f>step3_validation[[#This Row],[AI_TRU3]]</f>
        <v>8</v>
      </c>
      <c r="AT290">
        <f t="shared" si="124"/>
        <v>0.77777777777777779</v>
      </c>
      <c r="AU290">
        <f>survey_responses[[#This Row],[Tôi tin tưởng số tiền thuế tôi đóng sẽ được Nhà nước sử dụng hiệu quả để cải thiện dịch vụ công (y tế, đường xá...). - HUMAN-TRU3]]</f>
        <v>5</v>
      </c>
      <c r="AV290">
        <f t="shared" si="125"/>
        <v>0.44444444444444442</v>
      </c>
      <c r="AW290">
        <f>step3_validation[[#This Row],[AI_TRU4]]</f>
        <v>7</v>
      </c>
      <c r="AX290">
        <f t="shared" si="126"/>
        <v>0.66666666666666663</v>
      </c>
      <c r="AY290">
        <f>survey_responses[[#This Row],[Tôi thấy Nhà nước đã giải thích rõ ràng, minh bạch về lý do và mục tiêu của việc sửa đổi thuế lần này. - HUMAN-TRU4]]</f>
        <v>5</v>
      </c>
      <c r="AZ290">
        <f t="shared" si="127"/>
        <v>0.44444444444444442</v>
      </c>
      <c r="BA290" s="32">
        <f t="shared" si="128"/>
        <v>0.77777777777777768</v>
      </c>
      <c r="BB290" s="32">
        <f t="shared" si="129"/>
        <v>0.44444444444444442</v>
      </c>
      <c r="BC290" s="7">
        <f t="shared" si="130"/>
        <v>0.75925925925925919</v>
      </c>
      <c r="BD290" s="7">
        <f t="shared" si="131"/>
        <v>0.53703703703703698</v>
      </c>
      <c r="BE290">
        <f>step3_validation[[#This Row],[AI_OUT1]]</f>
        <v>9</v>
      </c>
      <c r="BF290">
        <f t="shared" si="132"/>
        <v>0.88888888888888884</v>
      </c>
      <c r="BG290">
        <f>survey_responses[[#This Row],[Sau khi xem xét các quyền lợi và nghĩa vụ, bạn có ủng hộ và tuân thủ chính sách mới hiện nay? - HUMAN-OUT1]]</f>
        <v>6</v>
      </c>
      <c r="BH290">
        <f t="shared" si="133"/>
        <v>0.55555555555555558</v>
      </c>
      <c r="BI290" s="32">
        <f t="shared" si="134"/>
        <v>3</v>
      </c>
    </row>
    <row r="291" spans="1:61" x14ac:dyDescent="0.45">
      <c r="A291" s="30">
        <f>step3_validation[[#This Row],[Persona_ID]]</f>
        <v>290</v>
      </c>
      <c r="B291" s="31">
        <f>step3_validation[[#This Row],[Used_Seed]]</f>
        <v>12634</v>
      </c>
      <c r="C291" t="str">
        <f>step3_validation[[#This Row],[Gender]]</f>
        <v>Nam</v>
      </c>
      <c r="D291" t="str">
        <f>survey_responses[[#This Row],[Giới tính của bạn:]]</f>
        <v>Nam</v>
      </c>
      <c r="E291" t="str">
        <f>step3_validation[[#This Row],[Age_Group]]</f>
        <v>30 - 39</v>
      </c>
      <c r="F291" t="str">
        <f>survey_responses[[#This Row],[Độ tuổi của bạn:]]</f>
        <v>30 - 39</v>
      </c>
      <c r="G291" t="str">
        <f>step3_validation[[#This Row],[Region]]</f>
        <v>Thành thị</v>
      </c>
      <c r="H291" t="str">
        <f>survey_responses[[#This Row],[Khu vực bạn đang sinh sống:]]</f>
        <v>Thành thị</v>
      </c>
      <c r="I291" t="str">
        <f>step3_validation[[#This Row],[Education]]</f>
        <v>Đại học</v>
      </c>
      <c r="J291" t="str">
        <f>survey_responses[[#This Row],[Trình độ học vấn cao nhất:]]</f>
        <v>Đại học</v>
      </c>
      <c r="K291" t="str">
        <f>step3_validation[[#This Row],[Employment]]</f>
        <v>Chính thức</v>
      </c>
      <c r="L291" t="str">
        <f>survey_responses[[#This Row],[Tình trạng việc làm chính:]]</f>
        <v>Khu vực chính thức (Có Hợp đồng lao động, đóng BHXH)</v>
      </c>
      <c r="M291">
        <f>step3_validation[[#This Row],[Income_Mil]]</f>
        <v>45.104991096016889</v>
      </c>
      <c r="N291" t="str">
        <f>survey_responses[[#This Row],[Thu nhập bình quân tháng theo Hợp đồng lao động của bạn là bao nhiêu? (Vui lòng điền tổng thu nhập trước khi khấu trừ các loại Bảo hiểm (BHXH, BHYT, BHTN) và Thuế TNCN)]]</f>
        <v>Từ 32 - 48 triệu VNĐ</v>
      </c>
      <c r="O291">
        <f>step3_validation[[#This Row],[Dependents]]</f>
        <v>2</v>
      </c>
      <c r="P291" t="str">
        <f>survey_responses[[#This Row],[Số người phụ thuộc (con nhỏ, cha mẹ già...) đủ điều kiện giảm trừ gia cảnh:]]</f>
        <v>2 người</v>
      </c>
      <c r="Q291">
        <f>step3_validation[[#This Row],[AI_ENF1]]</f>
        <v>7</v>
      </c>
      <c r="R291">
        <f t="shared" si="108"/>
        <v>0.66666666666666663</v>
      </c>
      <c r="S291">
        <f>survey_responses[[#This Row],[Tôi tin rằng với các quy định quản lý thuế hiện nay, hành vi gian lận hoặc trốn thuế sẽ dễ dàng bị phát hiện và xử lý nghiêm. - HUMAN-ENF1]]</f>
        <v>8</v>
      </c>
      <c r="T291">
        <f t="shared" si="109"/>
        <v>0.77777777777777779</v>
      </c>
      <c r="U291">
        <f>step3_validation[[#This Row],[AI_ENF2]]</f>
        <v>6</v>
      </c>
      <c r="V291">
        <f t="shared" si="110"/>
        <v>0.55555555555555558</v>
      </c>
      <c r="W291">
        <f>survey_responses[[#This Row],[Tôi tin rằng Nhà nước, cơ quan thuế có đủ khả năng và công nghệ để phát hiện, xử lý nghiêm các hành vi trốn thuế. - HUMAN-ENF2]]</f>
        <v>8</v>
      </c>
      <c r="X291">
        <f t="shared" si="111"/>
        <v>0.77777777777777779</v>
      </c>
      <c r="Y291" s="32">
        <f t="shared" si="112"/>
        <v>0.61111111111111116</v>
      </c>
      <c r="Z291" s="32">
        <f t="shared" si="113"/>
        <v>0.77777777777777779</v>
      </c>
      <c r="AA291">
        <f>step3_validation[[#This Row],[AI_FAC1]]</f>
        <v>9</v>
      </c>
      <c r="AB291">
        <f t="shared" si="114"/>
        <v>0.88888888888888884</v>
      </c>
      <c r="AC291">
        <f>survey_responses[[#This Row],[Các thủ tục khai báo thuế VÀ/HOẶC quy trình làm việc với cơ quan thuế đơn giản, tiện lợi, nhanh chóng hơn so với trước đây. - HUMAN-FAC1]]</f>
        <v>8</v>
      </c>
      <c r="AD291">
        <f t="shared" si="115"/>
        <v>0.77777777777777779</v>
      </c>
      <c r="AE291">
        <f>step3_validation[[#This Row],[AI_FAC2]]</f>
        <v>8</v>
      </c>
      <c r="AF291">
        <f t="shared" si="116"/>
        <v>0.77777777777777779</v>
      </c>
      <c r="AG291">
        <f>survey_responses[[#This Row],[So với trước đây, tôi thấy cách tính thuế và các bậc thuế trong phương án mới đơn giản, dễ hiểu và dễ thực hiện hơn. - HUMAN-FAC2]]</f>
        <v>8</v>
      </c>
      <c r="AH291">
        <f t="shared" si="117"/>
        <v>0.77777777777777779</v>
      </c>
      <c r="AI291" s="32">
        <f t="shared" si="118"/>
        <v>0.83333333333333326</v>
      </c>
      <c r="AJ291" s="32">
        <f t="shared" si="119"/>
        <v>0.77777777777777779</v>
      </c>
      <c r="AK291">
        <f>step3_validation[[#This Row],[AI_TRU1]]</f>
        <v>7</v>
      </c>
      <c r="AL291">
        <f t="shared" si="120"/>
        <v>0.66666666666666663</v>
      </c>
      <c r="AM291">
        <f>survey_responses[[#This Row],[Tôi tin rằng Nhà nước, cơ quan thuế sẽ thực thi chính sách mới một cách khách quan, công tâm và đối xử bình đẳng với mọi người nộp thuế.  - HUMAN-TRU1]]</f>
        <v>8</v>
      </c>
      <c r="AN291">
        <f t="shared" si="121"/>
        <v>0.77777777777777779</v>
      </c>
      <c r="AO291">
        <f>step3_validation[[#This Row],[AI_TRU2]]</f>
        <v>9</v>
      </c>
      <c r="AP291">
        <f t="shared" si="122"/>
        <v>0.88888888888888884</v>
      </c>
      <c r="AQ291">
        <f>survey_responses[[#This Row],[Tôi thấy mức thuế tôi phải đóng theo phương án mới là công bằng (người thu nhập như tôi đóng mức này là hợp lý). - HUMAN-TRU2]]</f>
        <v>8</v>
      </c>
      <c r="AR291">
        <f t="shared" si="123"/>
        <v>0.77777777777777779</v>
      </c>
      <c r="AS291">
        <f>step3_validation[[#This Row],[AI_TRU3]]</f>
        <v>7</v>
      </c>
      <c r="AT291">
        <f t="shared" si="124"/>
        <v>0.66666666666666663</v>
      </c>
      <c r="AU291">
        <f>survey_responses[[#This Row],[Tôi tin tưởng số tiền thuế tôi đóng sẽ được Nhà nước sử dụng hiệu quả để cải thiện dịch vụ công (y tế, đường xá...). - HUMAN-TRU3]]</f>
        <v>8</v>
      </c>
      <c r="AV291">
        <f t="shared" si="125"/>
        <v>0.77777777777777779</v>
      </c>
      <c r="AW291">
        <f>step3_validation[[#This Row],[AI_TRU4]]</f>
        <v>8</v>
      </c>
      <c r="AX291">
        <f t="shared" si="126"/>
        <v>0.77777777777777779</v>
      </c>
      <c r="AY291">
        <f>survey_responses[[#This Row],[Tôi thấy Nhà nước đã giải thích rõ ràng, minh bạch về lý do và mục tiêu của việc sửa đổi thuế lần này. - HUMAN-TRU4]]</f>
        <v>8</v>
      </c>
      <c r="AZ291">
        <f t="shared" si="127"/>
        <v>0.77777777777777779</v>
      </c>
      <c r="BA291" s="32">
        <f t="shared" si="128"/>
        <v>0.74999999999999989</v>
      </c>
      <c r="BB291" s="32">
        <f t="shared" si="129"/>
        <v>0.77777777777777779</v>
      </c>
      <c r="BC291" s="7">
        <f t="shared" si="130"/>
        <v>0.7314814814814814</v>
      </c>
      <c r="BD291" s="7">
        <f t="shared" si="131"/>
        <v>0.77777777777777779</v>
      </c>
      <c r="BE291">
        <f>step3_validation[[#This Row],[AI_OUT1]]</f>
        <v>9</v>
      </c>
      <c r="BF291">
        <f t="shared" si="132"/>
        <v>0.88888888888888884</v>
      </c>
      <c r="BG291">
        <f>survey_responses[[#This Row],[Sau khi xem xét các quyền lợi và nghĩa vụ, bạn có ủng hộ và tuân thủ chính sách mới hiện nay? - HUMAN-OUT1]]</f>
        <v>8</v>
      </c>
      <c r="BH291">
        <f t="shared" si="133"/>
        <v>0.77777777777777779</v>
      </c>
      <c r="BI291" s="32">
        <f t="shared" si="134"/>
        <v>1</v>
      </c>
    </row>
    <row r="292" spans="1:61" x14ac:dyDescent="0.45">
      <c r="A292" s="30">
        <f>step3_validation[[#This Row],[Persona_ID]]</f>
        <v>291</v>
      </c>
      <c r="B292" s="31">
        <f>step3_validation[[#This Row],[Used_Seed]]</f>
        <v>12635</v>
      </c>
      <c r="C292" t="str">
        <f>step3_validation[[#This Row],[Gender]]</f>
        <v>Nam</v>
      </c>
      <c r="D292" t="str">
        <f>survey_responses[[#This Row],[Giới tính của bạn:]]</f>
        <v>Nam</v>
      </c>
      <c r="E292" t="str">
        <f>step3_validation[[#This Row],[Age_Group]]</f>
        <v>25 - 29</v>
      </c>
      <c r="F292" t="str">
        <f>survey_responses[[#This Row],[Độ tuổi của bạn:]]</f>
        <v>25 - 29</v>
      </c>
      <c r="G292" t="str">
        <f>step3_validation[[#This Row],[Region]]</f>
        <v>Thành thị</v>
      </c>
      <c r="H292" t="str">
        <f>survey_responses[[#This Row],[Khu vực bạn đang sinh sống:]]</f>
        <v>Thành thị</v>
      </c>
      <c r="I292" t="str">
        <f>step3_validation[[#This Row],[Education]]</f>
        <v>Đại học</v>
      </c>
      <c r="J292" t="str">
        <f>survey_responses[[#This Row],[Trình độ học vấn cao nhất:]]</f>
        <v>Đại học</v>
      </c>
      <c r="K292" t="str">
        <f>step3_validation[[#This Row],[Employment]]</f>
        <v>Chính thức</v>
      </c>
      <c r="L292" t="str">
        <f>survey_responses[[#This Row],[Tình trạng việc làm chính:]]</f>
        <v>Khu vực chính thức (Có Hợp đồng lao động, đóng BHXH)</v>
      </c>
      <c r="M292">
        <f>step3_validation[[#This Row],[Income_Mil]]</f>
        <v>61.339928034608413</v>
      </c>
      <c r="N292" t="str">
        <f>survey_responses[[#This Row],[Thu nhập bình quân tháng theo Hợp đồng lao động của bạn là bao nhiêu? (Vui lòng điền tổng thu nhập trước khi khấu trừ các loại Bảo hiểm (BHXH, BHYT, BHTN) và Thuế TNCN)]]</f>
        <v>Từ 48 - 70 triệu VNĐ</v>
      </c>
      <c r="O292">
        <f>step3_validation[[#This Row],[Dependents]]</f>
        <v>2</v>
      </c>
      <c r="P292" t="str">
        <f>survey_responses[[#This Row],[Số người phụ thuộc (con nhỏ, cha mẹ già...) đủ điều kiện giảm trừ gia cảnh:]]</f>
        <v>2 người</v>
      </c>
      <c r="Q292">
        <f>step3_validation[[#This Row],[AI_ENF1]]</f>
        <v>7</v>
      </c>
      <c r="R292">
        <f t="shared" si="108"/>
        <v>0.66666666666666663</v>
      </c>
      <c r="S292">
        <f>survey_responses[[#This Row],[Tôi tin rằng với các quy định quản lý thuế hiện nay, hành vi gian lận hoặc trốn thuế sẽ dễ dàng bị phát hiện và xử lý nghiêm. - HUMAN-ENF1]]</f>
        <v>9</v>
      </c>
      <c r="T292">
        <f t="shared" si="109"/>
        <v>0.88888888888888884</v>
      </c>
      <c r="U292">
        <f>step3_validation[[#This Row],[AI_ENF2]]</f>
        <v>8</v>
      </c>
      <c r="V292">
        <f t="shared" si="110"/>
        <v>0.77777777777777779</v>
      </c>
      <c r="W292">
        <f>survey_responses[[#This Row],[Tôi tin rằng Nhà nước, cơ quan thuế có đủ khả năng và công nghệ để phát hiện, xử lý nghiêm các hành vi trốn thuế. - HUMAN-ENF2]]</f>
        <v>9</v>
      </c>
      <c r="X292">
        <f t="shared" si="111"/>
        <v>0.88888888888888884</v>
      </c>
      <c r="Y292" s="32">
        <f t="shared" si="112"/>
        <v>0.72222222222222221</v>
      </c>
      <c r="Z292" s="32">
        <f t="shared" si="113"/>
        <v>0.88888888888888884</v>
      </c>
      <c r="AA292">
        <f>step3_validation[[#This Row],[AI_FAC1]]</f>
        <v>9</v>
      </c>
      <c r="AB292">
        <f t="shared" si="114"/>
        <v>0.88888888888888884</v>
      </c>
      <c r="AC292">
        <f>survey_responses[[#This Row],[Các thủ tục khai báo thuế VÀ/HOẶC quy trình làm việc với cơ quan thuế đơn giản, tiện lợi, nhanh chóng hơn so với trước đây. - HUMAN-FAC1]]</f>
        <v>3</v>
      </c>
      <c r="AD292">
        <f t="shared" si="115"/>
        <v>0.22222222222222221</v>
      </c>
      <c r="AE292">
        <f>step3_validation[[#This Row],[AI_FAC2]]</f>
        <v>9</v>
      </c>
      <c r="AF292">
        <f t="shared" si="116"/>
        <v>0.88888888888888884</v>
      </c>
      <c r="AG292">
        <f>survey_responses[[#This Row],[So với trước đây, tôi thấy cách tính thuế và các bậc thuế trong phương án mới đơn giản, dễ hiểu và dễ thực hiện hơn. - HUMAN-FAC2]]</f>
        <v>10</v>
      </c>
      <c r="AH292">
        <f t="shared" si="117"/>
        <v>1</v>
      </c>
      <c r="AI292" s="32">
        <f t="shared" si="118"/>
        <v>0.88888888888888884</v>
      </c>
      <c r="AJ292" s="32">
        <f t="shared" si="119"/>
        <v>0.61111111111111116</v>
      </c>
      <c r="AK292">
        <f>step3_validation[[#This Row],[AI_TRU1]]</f>
        <v>6</v>
      </c>
      <c r="AL292">
        <f t="shared" si="120"/>
        <v>0.55555555555555558</v>
      </c>
      <c r="AM292">
        <f>survey_responses[[#This Row],[Tôi tin rằng Nhà nước, cơ quan thuế sẽ thực thi chính sách mới một cách khách quan, công tâm và đối xử bình đẳng với mọi người nộp thuế.  - HUMAN-TRU1]]</f>
        <v>8</v>
      </c>
      <c r="AN292">
        <f t="shared" si="121"/>
        <v>0.77777777777777779</v>
      </c>
      <c r="AO292">
        <f>step3_validation[[#This Row],[AI_TRU2]]</f>
        <v>8</v>
      </c>
      <c r="AP292">
        <f t="shared" si="122"/>
        <v>0.77777777777777779</v>
      </c>
      <c r="AQ292">
        <f>survey_responses[[#This Row],[Tôi thấy mức thuế tôi phải đóng theo phương án mới là công bằng (người thu nhập như tôi đóng mức này là hợp lý). - HUMAN-TRU2]]</f>
        <v>8</v>
      </c>
      <c r="AR292">
        <f t="shared" si="123"/>
        <v>0.77777777777777779</v>
      </c>
      <c r="AS292">
        <f>step3_validation[[#This Row],[AI_TRU3]]</f>
        <v>7</v>
      </c>
      <c r="AT292">
        <f t="shared" si="124"/>
        <v>0.66666666666666663</v>
      </c>
      <c r="AU292">
        <f>survey_responses[[#This Row],[Tôi tin tưởng số tiền thuế tôi đóng sẽ được Nhà nước sử dụng hiệu quả để cải thiện dịch vụ công (y tế, đường xá...). - HUMAN-TRU3]]</f>
        <v>6</v>
      </c>
      <c r="AV292">
        <f t="shared" si="125"/>
        <v>0.55555555555555558</v>
      </c>
      <c r="AW292">
        <f>step3_validation[[#This Row],[AI_TRU4]]</f>
        <v>8</v>
      </c>
      <c r="AX292">
        <f t="shared" si="126"/>
        <v>0.77777777777777779</v>
      </c>
      <c r="AY292">
        <f>survey_responses[[#This Row],[Tôi thấy Nhà nước đã giải thích rõ ràng, minh bạch về lý do và mục tiêu của việc sửa đổi thuế lần này. - HUMAN-TRU4]]</f>
        <v>8</v>
      </c>
      <c r="AZ292">
        <f t="shared" si="127"/>
        <v>0.77777777777777779</v>
      </c>
      <c r="BA292" s="32">
        <f t="shared" si="128"/>
        <v>0.69444444444444442</v>
      </c>
      <c r="BB292" s="32">
        <f t="shared" si="129"/>
        <v>0.72222222222222221</v>
      </c>
      <c r="BC292" s="7">
        <f t="shared" si="130"/>
        <v>0.76851851851851849</v>
      </c>
      <c r="BD292" s="7">
        <f t="shared" si="131"/>
        <v>0.74074074074074081</v>
      </c>
      <c r="BE292">
        <f>step3_validation[[#This Row],[AI_OUT1]]</f>
        <v>9</v>
      </c>
      <c r="BF292">
        <f t="shared" si="132"/>
        <v>0.88888888888888884</v>
      </c>
      <c r="BG292">
        <f>survey_responses[[#This Row],[Sau khi xem xét các quyền lợi và nghĩa vụ, bạn có ủng hộ và tuân thủ chính sách mới hiện nay? - HUMAN-OUT1]]</f>
        <v>8</v>
      </c>
      <c r="BH292">
        <f t="shared" si="133"/>
        <v>0.77777777777777779</v>
      </c>
      <c r="BI292" s="32">
        <f t="shared" si="134"/>
        <v>1</v>
      </c>
    </row>
    <row r="293" spans="1:61" x14ac:dyDescent="0.45">
      <c r="A293" s="30">
        <f>step3_validation[[#This Row],[Persona_ID]]</f>
        <v>292</v>
      </c>
      <c r="B293" s="31">
        <f>step3_validation[[#This Row],[Used_Seed]]</f>
        <v>12636</v>
      </c>
      <c r="C293" t="str">
        <f>step3_validation[[#This Row],[Gender]]</f>
        <v>Nữ</v>
      </c>
      <c r="D293" t="str">
        <f>survey_responses[[#This Row],[Giới tính của bạn:]]</f>
        <v>Nữ</v>
      </c>
      <c r="E293" t="str">
        <f>step3_validation[[#This Row],[Age_Group]]</f>
        <v>55 - 64</v>
      </c>
      <c r="F293" t="str">
        <f>survey_responses[[#This Row],[Độ tuổi của bạn:]]</f>
        <v>55 - 64</v>
      </c>
      <c r="G293" t="str">
        <f>step3_validation[[#This Row],[Region]]</f>
        <v>Thành thị</v>
      </c>
      <c r="H293" t="str">
        <f>survey_responses[[#This Row],[Khu vực bạn đang sinh sống:]]</f>
        <v>Thành thị</v>
      </c>
      <c r="I293" t="str">
        <f>step3_validation[[#This Row],[Education]]</f>
        <v>Sau Đại học</v>
      </c>
      <c r="J293" t="str">
        <f>survey_responses[[#This Row],[Trình độ học vấn cao nhất:]]</f>
        <v>Sau Đại học</v>
      </c>
      <c r="K293" t="str">
        <f>step3_validation[[#This Row],[Employment]]</f>
        <v>Phi chính thức</v>
      </c>
      <c r="L293" t="str">
        <f>survey_responses[[#This Row],[Tình trạng việc làm chính:]]</f>
        <v>Khác (Về hưu, nội trợ, sinh viên)</v>
      </c>
      <c r="M293">
        <f>step3_validation[[#This Row],[Income_Mil]]</f>
        <v>51.316450442993485</v>
      </c>
      <c r="N293" t="str">
        <f>survey_responses[[#This Row],[Thu nhập bình quân tháng theo Hợp đồng lao động của bạn là bao nhiêu? (Vui lòng điền tổng thu nhập trước khi khấu trừ các loại Bảo hiểm (BHXH, BHYT, BHTN) và Thuế TNCN)]]</f>
        <v>Từ 48 - 70 triệu VNĐ</v>
      </c>
      <c r="O293">
        <f>step3_validation[[#This Row],[Dependents]]</f>
        <v>2</v>
      </c>
      <c r="P293" t="str">
        <f>survey_responses[[#This Row],[Số người phụ thuộc (con nhỏ, cha mẹ già...) đủ điều kiện giảm trừ gia cảnh:]]</f>
        <v>2 người</v>
      </c>
      <c r="Q293">
        <f>step3_validation[[#This Row],[AI_ENF1]]</f>
        <v>8</v>
      </c>
      <c r="R293">
        <f t="shared" si="108"/>
        <v>0.77777777777777779</v>
      </c>
      <c r="S293">
        <f>survey_responses[[#This Row],[Tôi tin rằng với các quy định quản lý thuế hiện nay, hành vi gian lận hoặc trốn thuế sẽ dễ dàng bị phát hiện và xử lý nghiêm. - HUMAN-ENF1]]</f>
        <v>6</v>
      </c>
      <c r="T293">
        <f t="shared" si="109"/>
        <v>0.55555555555555558</v>
      </c>
      <c r="U293">
        <f>step3_validation[[#This Row],[AI_ENF2]]</f>
        <v>7</v>
      </c>
      <c r="V293">
        <f t="shared" si="110"/>
        <v>0.66666666666666663</v>
      </c>
      <c r="W293">
        <f>survey_responses[[#This Row],[Tôi tin rằng Nhà nước, cơ quan thuế có đủ khả năng và công nghệ để phát hiện, xử lý nghiêm các hành vi trốn thuế. - HUMAN-ENF2]]</f>
        <v>6</v>
      </c>
      <c r="X293">
        <f t="shared" si="111"/>
        <v>0.55555555555555558</v>
      </c>
      <c r="Y293" s="32">
        <f t="shared" si="112"/>
        <v>0.72222222222222221</v>
      </c>
      <c r="Z293" s="32">
        <f t="shared" si="113"/>
        <v>0.55555555555555558</v>
      </c>
      <c r="AA293">
        <f>step3_validation[[#This Row],[AI_FAC1]]</f>
        <v>9</v>
      </c>
      <c r="AB293">
        <f t="shared" si="114"/>
        <v>0.88888888888888884</v>
      </c>
      <c r="AC293">
        <f>survey_responses[[#This Row],[Các thủ tục khai báo thuế VÀ/HOẶC quy trình làm việc với cơ quan thuế đơn giản, tiện lợi, nhanh chóng hơn so với trước đây. - HUMAN-FAC1]]</f>
        <v>1</v>
      </c>
      <c r="AD293">
        <f t="shared" si="115"/>
        <v>0</v>
      </c>
      <c r="AE293">
        <f>step3_validation[[#This Row],[AI_FAC2]]</f>
        <v>8</v>
      </c>
      <c r="AF293">
        <f t="shared" si="116"/>
        <v>0.77777777777777779</v>
      </c>
      <c r="AG293">
        <f>survey_responses[[#This Row],[So với trước đây, tôi thấy cách tính thuế và các bậc thuế trong phương án mới đơn giản, dễ hiểu và dễ thực hiện hơn. - HUMAN-FAC2]]</f>
        <v>6</v>
      </c>
      <c r="AH293">
        <f t="shared" si="117"/>
        <v>0.55555555555555558</v>
      </c>
      <c r="AI293" s="32">
        <f t="shared" si="118"/>
        <v>0.83333333333333326</v>
      </c>
      <c r="AJ293" s="32">
        <f t="shared" si="119"/>
        <v>0.27777777777777779</v>
      </c>
      <c r="AK293">
        <f>step3_validation[[#This Row],[AI_TRU1]]</f>
        <v>9</v>
      </c>
      <c r="AL293">
        <f t="shared" si="120"/>
        <v>0.88888888888888884</v>
      </c>
      <c r="AM293">
        <f>survey_responses[[#This Row],[Tôi tin rằng Nhà nước, cơ quan thuế sẽ thực thi chính sách mới một cách khách quan, công tâm và đối xử bình đẳng với mọi người nộp thuế.  - HUMAN-TRU1]]</f>
        <v>5</v>
      </c>
      <c r="AN293">
        <f t="shared" si="121"/>
        <v>0.44444444444444442</v>
      </c>
      <c r="AO293">
        <f>step3_validation[[#This Row],[AI_TRU2]]</f>
        <v>8</v>
      </c>
      <c r="AP293">
        <f t="shared" si="122"/>
        <v>0.77777777777777779</v>
      </c>
      <c r="AQ293">
        <f>survey_responses[[#This Row],[Tôi thấy mức thuế tôi phải đóng theo phương án mới là công bằng (người thu nhập như tôi đóng mức này là hợp lý). - HUMAN-TRU2]]</f>
        <v>6</v>
      </c>
      <c r="AR293">
        <f t="shared" si="123"/>
        <v>0.55555555555555558</v>
      </c>
      <c r="AS293">
        <f>step3_validation[[#This Row],[AI_TRU3]]</f>
        <v>9</v>
      </c>
      <c r="AT293">
        <f t="shared" si="124"/>
        <v>0.88888888888888884</v>
      </c>
      <c r="AU293">
        <f>survey_responses[[#This Row],[Tôi tin tưởng số tiền thuế tôi đóng sẽ được Nhà nước sử dụng hiệu quả để cải thiện dịch vụ công (y tế, đường xá...). - HUMAN-TRU3]]</f>
        <v>5</v>
      </c>
      <c r="AV293">
        <f t="shared" si="125"/>
        <v>0.44444444444444442</v>
      </c>
      <c r="AW293">
        <f>step3_validation[[#This Row],[AI_TRU4]]</f>
        <v>8</v>
      </c>
      <c r="AX293">
        <f t="shared" si="126"/>
        <v>0.77777777777777779</v>
      </c>
      <c r="AY293">
        <f>survey_responses[[#This Row],[Tôi thấy Nhà nước đã giải thích rõ ràng, minh bạch về lý do và mục tiêu của việc sửa đổi thuế lần này. - HUMAN-TRU4]]</f>
        <v>6</v>
      </c>
      <c r="AZ293">
        <f t="shared" si="127"/>
        <v>0.55555555555555558</v>
      </c>
      <c r="BA293" s="32">
        <f t="shared" si="128"/>
        <v>0.83333333333333326</v>
      </c>
      <c r="BB293" s="32">
        <f t="shared" si="129"/>
        <v>0.5</v>
      </c>
      <c r="BC293" s="7">
        <f t="shared" si="130"/>
        <v>0.79629629629629617</v>
      </c>
      <c r="BD293" s="7">
        <f t="shared" si="131"/>
        <v>0.44444444444444448</v>
      </c>
      <c r="BE293">
        <f>step3_validation[[#This Row],[AI_OUT1]]</f>
        <v>9</v>
      </c>
      <c r="BF293">
        <f t="shared" si="132"/>
        <v>0.88888888888888884</v>
      </c>
      <c r="BG293">
        <f>survey_responses[[#This Row],[Sau khi xem xét các quyền lợi và nghĩa vụ, bạn có ủng hộ và tuân thủ chính sách mới hiện nay? - HUMAN-OUT1]]</f>
        <v>6</v>
      </c>
      <c r="BH293">
        <f t="shared" si="133"/>
        <v>0.55555555555555558</v>
      </c>
      <c r="BI293" s="32">
        <f t="shared" si="134"/>
        <v>3</v>
      </c>
    </row>
    <row r="294" spans="1:61" x14ac:dyDescent="0.45">
      <c r="A294" s="30">
        <f>step3_validation[[#This Row],[Persona_ID]]</f>
        <v>293</v>
      </c>
      <c r="B294" s="31">
        <f>step3_validation[[#This Row],[Used_Seed]]</f>
        <v>12637</v>
      </c>
      <c r="C294" t="str">
        <f>step3_validation[[#This Row],[Gender]]</f>
        <v>Nữ</v>
      </c>
      <c r="D294" t="str">
        <f>survey_responses[[#This Row],[Giới tính của bạn:]]</f>
        <v>Nữ</v>
      </c>
      <c r="E294" t="str">
        <f>step3_validation[[#This Row],[Age_Group]]</f>
        <v>25 - 29</v>
      </c>
      <c r="F294" t="str">
        <f>survey_responses[[#This Row],[Độ tuổi của bạn:]]</f>
        <v>25 - 29</v>
      </c>
      <c r="G294" t="str">
        <f>step3_validation[[#This Row],[Region]]</f>
        <v>Thành thị</v>
      </c>
      <c r="H294" t="str">
        <f>survey_responses[[#This Row],[Khu vực bạn đang sinh sống:]]</f>
        <v>Thành thị</v>
      </c>
      <c r="I294" t="str">
        <f>step3_validation[[#This Row],[Education]]</f>
        <v>Đại học</v>
      </c>
      <c r="J294" t="str">
        <f>survey_responses[[#This Row],[Trình độ học vấn cao nhất:]]</f>
        <v>Đại học</v>
      </c>
      <c r="K294" t="str">
        <f>step3_validation[[#This Row],[Employment]]</f>
        <v>Chính thức</v>
      </c>
      <c r="L294" t="str">
        <f>survey_responses[[#This Row],[Tình trạng việc làm chính:]]</f>
        <v>Khu vực chính thức (Có Hợp đồng lao động, đóng BHXH)</v>
      </c>
      <c r="M294">
        <f>step3_validation[[#This Row],[Income_Mil]]</f>
        <v>36.76426561228746</v>
      </c>
      <c r="N294" t="str">
        <f>survey_responses[[#This Row],[Thu nhập bình quân tháng theo Hợp đồng lao động của bạn là bao nhiêu? (Vui lòng điền tổng thu nhập trước khi khấu trừ các loại Bảo hiểm (BHXH, BHYT, BHTN) và Thuế TNCN)]]</f>
        <v>Từ 32 - 48 triệu VNĐ</v>
      </c>
      <c r="O294">
        <f>step3_validation[[#This Row],[Dependents]]</f>
        <v>1</v>
      </c>
      <c r="P294" t="str">
        <f>survey_responses[[#This Row],[Số người phụ thuộc (con nhỏ, cha mẹ già...) đủ điều kiện giảm trừ gia cảnh:]]</f>
        <v>1 người</v>
      </c>
      <c r="Q294">
        <f>step3_validation[[#This Row],[AI_ENF1]]</f>
        <v>7</v>
      </c>
      <c r="R294">
        <f t="shared" si="108"/>
        <v>0.66666666666666663</v>
      </c>
      <c r="S294">
        <f>survey_responses[[#This Row],[Tôi tin rằng với các quy định quản lý thuế hiện nay, hành vi gian lận hoặc trốn thuế sẽ dễ dàng bị phát hiện và xử lý nghiêm. - HUMAN-ENF1]]</f>
        <v>8</v>
      </c>
      <c r="T294">
        <f t="shared" si="109"/>
        <v>0.77777777777777779</v>
      </c>
      <c r="U294">
        <f>step3_validation[[#This Row],[AI_ENF2]]</f>
        <v>8</v>
      </c>
      <c r="V294">
        <f t="shared" si="110"/>
        <v>0.77777777777777779</v>
      </c>
      <c r="W294">
        <f>survey_responses[[#This Row],[Tôi tin rằng Nhà nước, cơ quan thuế có đủ khả năng và công nghệ để phát hiện, xử lý nghiêm các hành vi trốn thuế. - HUMAN-ENF2]]</f>
        <v>8</v>
      </c>
      <c r="X294">
        <f t="shared" si="111"/>
        <v>0.77777777777777779</v>
      </c>
      <c r="Y294" s="32">
        <f t="shared" si="112"/>
        <v>0.72222222222222221</v>
      </c>
      <c r="Z294" s="32">
        <f t="shared" si="113"/>
        <v>0.77777777777777779</v>
      </c>
      <c r="AA294">
        <f>step3_validation[[#This Row],[AI_FAC1]]</f>
        <v>7</v>
      </c>
      <c r="AB294">
        <f t="shared" si="114"/>
        <v>0.66666666666666663</v>
      </c>
      <c r="AC294">
        <f>survey_responses[[#This Row],[Các thủ tục khai báo thuế VÀ/HOẶC quy trình làm việc với cơ quan thuế đơn giản, tiện lợi, nhanh chóng hơn so với trước đây. - HUMAN-FAC1]]</f>
        <v>5</v>
      </c>
      <c r="AD294">
        <f t="shared" si="115"/>
        <v>0.44444444444444442</v>
      </c>
      <c r="AE294">
        <f>step3_validation[[#This Row],[AI_FAC2]]</f>
        <v>9</v>
      </c>
      <c r="AF294">
        <f t="shared" si="116"/>
        <v>0.88888888888888884</v>
      </c>
      <c r="AG294">
        <f>survey_responses[[#This Row],[So với trước đây, tôi thấy cách tính thuế và các bậc thuế trong phương án mới đơn giản, dễ hiểu và dễ thực hiện hơn. - HUMAN-FAC2]]</f>
        <v>8</v>
      </c>
      <c r="AH294">
        <f t="shared" si="117"/>
        <v>0.77777777777777779</v>
      </c>
      <c r="AI294" s="32">
        <f t="shared" si="118"/>
        <v>0.77777777777777768</v>
      </c>
      <c r="AJ294" s="32">
        <f t="shared" si="119"/>
        <v>0.61111111111111116</v>
      </c>
      <c r="AK294">
        <f>step3_validation[[#This Row],[AI_TRU1]]</f>
        <v>6</v>
      </c>
      <c r="AL294">
        <f t="shared" si="120"/>
        <v>0.55555555555555558</v>
      </c>
      <c r="AM294">
        <f>survey_responses[[#This Row],[Tôi tin rằng Nhà nước, cơ quan thuế sẽ thực thi chính sách mới một cách khách quan, công tâm và đối xử bình đẳng với mọi người nộp thuế.  - HUMAN-TRU1]]</f>
        <v>5</v>
      </c>
      <c r="AN294">
        <f t="shared" si="121"/>
        <v>0.44444444444444442</v>
      </c>
      <c r="AO294">
        <f>step3_validation[[#This Row],[AI_TRU2]]</f>
        <v>7</v>
      </c>
      <c r="AP294">
        <f t="shared" si="122"/>
        <v>0.66666666666666663</v>
      </c>
      <c r="AQ294">
        <f>survey_responses[[#This Row],[Tôi thấy mức thuế tôi phải đóng theo phương án mới là công bằng (người thu nhập như tôi đóng mức này là hợp lý). - HUMAN-TRU2]]</f>
        <v>6</v>
      </c>
      <c r="AR294">
        <f t="shared" si="123"/>
        <v>0.55555555555555558</v>
      </c>
      <c r="AS294">
        <f>step3_validation[[#This Row],[AI_TRU3]]</f>
        <v>6</v>
      </c>
      <c r="AT294">
        <f t="shared" si="124"/>
        <v>0.55555555555555558</v>
      </c>
      <c r="AU294">
        <f>survey_responses[[#This Row],[Tôi tin tưởng số tiền thuế tôi đóng sẽ được Nhà nước sử dụng hiệu quả để cải thiện dịch vụ công (y tế, đường xá...). - HUMAN-TRU3]]</f>
        <v>5</v>
      </c>
      <c r="AV294">
        <f t="shared" si="125"/>
        <v>0.44444444444444442</v>
      </c>
      <c r="AW294">
        <f>step3_validation[[#This Row],[AI_TRU4]]</f>
        <v>5</v>
      </c>
      <c r="AX294">
        <f t="shared" si="126"/>
        <v>0.44444444444444442</v>
      </c>
      <c r="AY294">
        <f>survey_responses[[#This Row],[Tôi thấy Nhà nước đã giải thích rõ ràng, minh bạch về lý do và mục tiêu của việc sửa đổi thuế lần này. - HUMAN-TRU4]]</f>
        <v>6</v>
      </c>
      <c r="AZ294">
        <f t="shared" si="127"/>
        <v>0.55555555555555558</v>
      </c>
      <c r="BA294" s="32">
        <f t="shared" si="128"/>
        <v>0.55555555555555558</v>
      </c>
      <c r="BB294" s="32">
        <f t="shared" si="129"/>
        <v>0.5</v>
      </c>
      <c r="BC294" s="7">
        <f t="shared" si="130"/>
        <v>0.68518518518518512</v>
      </c>
      <c r="BD294" s="7">
        <f t="shared" si="131"/>
        <v>0.62962962962962965</v>
      </c>
      <c r="BE294">
        <f>step3_validation[[#This Row],[AI_OUT1]]</f>
        <v>8</v>
      </c>
      <c r="BF294">
        <f t="shared" si="132"/>
        <v>0.77777777777777779</v>
      </c>
      <c r="BG294">
        <f>survey_responses[[#This Row],[Sau khi xem xét các quyền lợi và nghĩa vụ, bạn có ủng hộ và tuân thủ chính sách mới hiện nay? - HUMAN-OUT1]]</f>
        <v>6</v>
      </c>
      <c r="BH294">
        <f t="shared" si="133"/>
        <v>0.55555555555555558</v>
      </c>
      <c r="BI294" s="32">
        <f t="shared" si="134"/>
        <v>2</v>
      </c>
    </row>
    <row r="295" spans="1:61" x14ac:dyDescent="0.45">
      <c r="A295" s="30">
        <f>step3_validation[[#This Row],[Persona_ID]]</f>
        <v>294</v>
      </c>
      <c r="B295" s="31">
        <f>step3_validation[[#This Row],[Used_Seed]]</f>
        <v>12638</v>
      </c>
      <c r="C295" t="str">
        <f>step3_validation[[#This Row],[Gender]]</f>
        <v>Nữ</v>
      </c>
      <c r="D295" t="str">
        <f>survey_responses[[#This Row],[Giới tính của bạn:]]</f>
        <v>Nữ</v>
      </c>
      <c r="E295" t="str">
        <f>step3_validation[[#This Row],[Age_Group]]</f>
        <v>25 - 29</v>
      </c>
      <c r="F295" t="str">
        <f>survey_responses[[#This Row],[Độ tuổi của bạn:]]</f>
        <v>25 - 29</v>
      </c>
      <c r="G295" t="str">
        <f>step3_validation[[#This Row],[Region]]</f>
        <v>Thành thị</v>
      </c>
      <c r="H295" t="str">
        <f>survey_responses[[#This Row],[Khu vực bạn đang sinh sống:]]</f>
        <v>Thành thị</v>
      </c>
      <c r="I295" t="str">
        <f>step3_validation[[#This Row],[Education]]</f>
        <v>Đại học</v>
      </c>
      <c r="J295" t="str">
        <f>survey_responses[[#This Row],[Trình độ học vấn cao nhất:]]</f>
        <v>Đại học</v>
      </c>
      <c r="K295" t="str">
        <f>step3_validation[[#This Row],[Employment]]</f>
        <v>Chính thức</v>
      </c>
      <c r="L295" t="str">
        <f>survey_responses[[#This Row],[Tình trạng việc làm chính:]]</f>
        <v>Khu vực chính thức (Có Hợp đồng lao động, đóng BHXH)</v>
      </c>
      <c r="M295">
        <f>step3_validation[[#This Row],[Income_Mil]]</f>
        <v>49.63187851692156</v>
      </c>
      <c r="N295" t="str">
        <f>survey_responses[[#This Row],[Thu nhập bình quân tháng theo Hợp đồng lao động của bạn là bao nhiêu? (Vui lòng điền tổng thu nhập trước khi khấu trừ các loại Bảo hiểm (BHXH, BHYT, BHTN) và Thuế TNCN)]]</f>
        <v>Từ 48 - 70 triệu VNĐ</v>
      </c>
      <c r="O295">
        <f>step3_validation[[#This Row],[Dependents]]</f>
        <v>3</v>
      </c>
      <c r="P295" t="str">
        <f>survey_responses[[#This Row],[Số người phụ thuộc (con nhỏ, cha mẹ già...) đủ điều kiện giảm trừ gia cảnh:]]</f>
        <v>3 người</v>
      </c>
      <c r="Q295">
        <f>step3_validation[[#This Row],[AI_ENF1]]</f>
        <v>6</v>
      </c>
      <c r="R295">
        <f t="shared" si="108"/>
        <v>0.55555555555555558</v>
      </c>
      <c r="S295">
        <f>survey_responses[[#This Row],[Tôi tin rằng với các quy định quản lý thuế hiện nay, hành vi gian lận hoặc trốn thuế sẽ dễ dàng bị phát hiện và xử lý nghiêm. - HUMAN-ENF1]]</f>
        <v>6</v>
      </c>
      <c r="T295">
        <f t="shared" si="109"/>
        <v>0.55555555555555558</v>
      </c>
      <c r="U295">
        <f>step3_validation[[#This Row],[AI_ENF2]]</f>
        <v>7</v>
      </c>
      <c r="V295">
        <f t="shared" si="110"/>
        <v>0.66666666666666663</v>
      </c>
      <c r="W295">
        <f>survey_responses[[#This Row],[Tôi tin rằng Nhà nước, cơ quan thuế có đủ khả năng và công nghệ để phát hiện, xử lý nghiêm các hành vi trốn thuế. - HUMAN-ENF2]]</f>
        <v>6</v>
      </c>
      <c r="X295">
        <f t="shared" si="111"/>
        <v>0.55555555555555558</v>
      </c>
      <c r="Y295" s="32">
        <f t="shared" si="112"/>
        <v>0.61111111111111116</v>
      </c>
      <c r="Z295" s="32">
        <f t="shared" si="113"/>
        <v>0.55555555555555558</v>
      </c>
      <c r="AA295">
        <f>step3_validation[[#This Row],[AI_FAC1]]</f>
        <v>8</v>
      </c>
      <c r="AB295">
        <f t="shared" si="114"/>
        <v>0.77777777777777779</v>
      </c>
      <c r="AC295">
        <f>survey_responses[[#This Row],[Các thủ tục khai báo thuế VÀ/HOẶC quy trình làm việc với cơ quan thuế đơn giản, tiện lợi, nhanh chóng hơn so với trước đây. - HUMAN-FAC1]]</f>
        <v>3</v>
      </c>
      <c r="AD295">
        <f t="shared" si="115"/>
        <v>0.22222222222222221</v>
      </c>
      <c r="AE295">
        <f>step3_validation[[#This Row],[AI_FAC2]]</f>
        <v>9</v>
      </c>
      <c r="AF295">
        <f t="shared" si="116"/>
        <v>0.88888888888888884</v>
      </c>
      <c r="AG295">
        <f>survey_responses[[#This Row],[So với trước đây, tôi thấy cách tính thuế và các bậc thuế trong phương án mới đơn giản, dễ hiểu và dễ thực hiện hơn. - HUMAN-FAC2]]</f>
        <v>7</v>
      </c>
      <c r="AH295">
        <f t="shared" si="117"/>
        <v>0.66666666666666663</v>
      </c>
      <c r="AI295" s="32">
        <f t="shared" si="118"/>
        <v>0.83333333333333326</v>
      </c>
      <c r="AJ295" s="32">
        <f t="shared" si="119"/>
        <v>0.44444444444444442</v>
      </c>
      <c r="AK295">
        <f>step3_validation[[#This Row],[AI_TRU1]]</f>
        <v>7</v>
      </c>
      <c r="AL295">
        <f t="shared" si="120"/>
        <v>0.66666666666666663</v>
      </c>
      <c r="AM295">
        <f>survey_responses[[#This Row],[Tôi tin rằng Nhà nước, cơ quan thuế sẽ thực thi chính sách mới một cách khách quan, công tâm và đối xử bình đẳng với mọi người nộp thuế.  - HUMAN-TRU1]]</f>
        <v>5</v>
      </c>
      <c r="AN295">
        <f t="shared" si="121"/>
        <v>0.44444444444444442</v>
      </c>
      <c r="AO295">
        <f>step3_validation[[#This Row],[AI_TRU2]]</f>
        <v>8</v>
      </c>
      <c r="AP295">
        <f t="shared" si="122"/>
        <v>0.77777777777777779</v>
      </c>
      <c r="AQ295">
        <f>survey_responses[[#This Row],[Tôi thấy mức thuế tôi phải đóng theo phương án mới là công bằng (người thu nhập như tôi đóng mức này là hợp lý). - HUMAN-TRU2]]</f>
        <v>6</v>
      </c>
      <c r="AR295">
        <f t="shared" si="123"/>
        <v>0.55555555555555558</v>
      </c>
      <c r="AS295">
        <f>step3_validation[[#This Row],[AI_TRU3]]</f>
        <v>7</v>
      </c>
      <c r="AT295">
        <f t="shared" si="124"/>
        <v>0.66666666666666663</v>
      </c>
      <c r="AU295">
        <f>survey_responses[[#This Row],[Tôi tin tưởng số tiền thuế tôi đóng sẽ được Nhà nước sử dụng hiệu quả để cải thiện dịch vụ công (y tế, đường xá...). - HUMAN-TRU3]]</f>
        <v>5</v>
      </c>
      <c r="AV295">
        <f t="shared" si="125"/>
        <v>0.44444444444444442</v>
      </c>
      <c r="AW295">
        <f>step3_validation[[#This Row],[AI_TRU4]]</f>
        <v>6</v>
      </c>
      <c r="AX295">
        <f t="shared" si="126"/>
        <v>0.55555555555555558</v>
      </c>
      <c r="AY295">
        <f>survey_responses[[#This Row],[Tôi thấy Nhà nước đã giải thích rõ ràng, minh bạch về lý do và mục tiêu của việc sửa đổi thuế lần này. - HUMAN-TRU4]]</f>
        <v>5</v>
      </c>
      <c r="AZ295">
        <f t="shared" si="127"/>
        <v>0.44444444444444442</v>
      </c>
      <c r="BA295" s="32">
        <f t="shared" si="128"/>
        <v>0.66666666666666674</v>
      </c>
      <c r="BB295" s="32">
        <f t="shared" si="129"/>
        <v>0.47222222222222221</v>
      </c>
      <c r="BC295" s="7">
        <f t="shared" si="130"/>
        <v>0.70370370370370372</v>
      </c>
      <c r="BD295" s="7">
        <f t="shared" si="131"/>
        <v>0.49074074074074076</v>
      </c>
      <c r="BE295">
        <f>step3_validation[[#This Row],[AI_OUT1]]</f>
        <v>8</v>
      </c>
      <c r="BF295">
        <f t="shared" si="132"/>
        <v>0.77777777777777779</v>
      </c>
      <c r="BG295">
        <f>survey_responses[[#This Row],[Sau khi xem xét các quyền lợi và nghĩa vụ, bạn có ủng hộ và tuân thủ chính sách mới hiện nay? - HUMAN-OUT1]]</f>
        <v>6</v>
      </c>
      <c r="BH295">
        <f t="shared" si="133"/>
        <v>0.55555555555555558</v>
      </c>
      <c r="BI295" s="32">
        <f t="shared" si="134"/>
        <v>2</v>
      </c>
    </row>
    <row r="296" spans="1:61" x14ac:dyDescent="0.45">
      <c r="A296" s="30">
        <f>step3_validation[[#This Row],[Persona_ID]]</f>
        <v>295</v>
      </c>
      <c r="B296" s="31">
        <f>step3_validation[[#This Row],[Used_Seed]]</f>
        <v>12639</v>
      </c>
      <c r="C296" t="str">
        <f>step3_validation[[#This Row],[Gender]]</f>
        <v>Nam</v>
      </c>
      <c r="D296" t="str">
        <f>survey_responses[[#This Row],[Giới tính của bạn:]]</f>
        <v>Nam</v>
      </c>
      <c r="E296" t="str">
        <f>step3_validation[[#This Row],[Age_Group]]</f>
        <v>18 - 24</v>
      </c>
      <c r="F296" t="str">
        <f>survey_responses[[#This Row],[Độ tuổi của bạn:]]</f>
        <v>18 - 24</v>
      </c>
      <c r="G296" t="str">
        <f>step3_validation[[#This Row],[Region]]</f>
        <v>Thành thị</v>
      </c>
      <c r="H296" t="str">
        <f>survey_responses[[#This Row],[Khu vực bạn đang sinh sống:]]</f>
        <v>Thành thị</v>
      </c>
      <c r="I296" t="str">
        <f>step3_validation[[#This Row],[Education]]</f>
        <v>Đại học</v>
      </c>
      <c r="J296" t="str">
        <f>survey_responses[[#This Row],[Trình độ học vấn cao nhất:]]</f>
        <v>Đại học</v>
      </c>
      <c r="K296" t="str">
        <f>step3_validation[[#This Row],[Employment]]</f>
        <v>Chính thức</v>
      </c>
      <c r="L296" t="str">
        <f>survey_responses[[#This Row],[Tình trạng việc làm chính:]]</f>
        <v>Khu vực chính thức (Có Hợp đồng lao động, đóng BHXH)</v>
      </c>
      <c r="M296">
        <f>step3_validation[[#This Row],[Income_Mil]]</f>
        <v>25.984365789218586</v>
      </c>
      <c r="N296" t="str">
        <f>survey_responses[[#This Row],[Thu nhập bình quân tháng theo Hợp đồng lao động của bạn là bao nhiêu? (Vui lòng điền tổng thu nhập trước khi khấu trừ các loại Bảo hiểm (BHXH, BHYT, BHTN) và Thuế TNCN)]]</f>
        <v>Từ 23 - 32 triệu VNĐ</v>
      </c>
      <c r="O296">
        <f>step3_validation[[#This Row],[Dependents]]</f>
        <v>0</v>
      </c>
      <c r="P296" t="str">
        <f>survey_responses[[#This Row],[Số người phụ thuộc (con nhỏ, cha mẹ già...) đủ điều kiện giảm trừ gia cảnh:]]</f>
        <v>0 người</v>
      </c>
      <c r="Q296">
        <f>step3_validation[[#This Row],[AI_ENF1]]</f>
        <v>7</v>
      </c>
      <c r="R296">
        <f t="shared" si="108"/>
        <v>0.66666666666666663</v>
      </c>
      <c r="S296">
        <f>survey_responses[[#This Row],[Tôi tin rằng với các quy định quản lý thuế hiện nay, hành vi gian lận hoặc trốn thuế sẽ dễ dàng bị phát hiện và xử lý nghiêm. - HUMAN-ENF1]]</f>
        <v>8</v>
      </c>
      <c r="T296">
        <f t="shared" si="109"/>
        <v>0.77777777777777779</v>
      </c>
      <c r="U296">
        <f>step3_validation[[#This Row],[AI_ENF2]]</f>
        <v>6</v>
      </c>
      <c r="V296">
        <f t="shared" si="110"/>
        <v>0.55555555555555558</v>
      </c>
      <c r="W296">
        <f>survey_responses[[#This Row],[Tôi tin rằng Nhà nước, cơ quan thuế có đủ khả năng và công nghệ để phát hiện, xử lý nghiêm các hành vi trốn thuế. - HUMAN-ENF2]]</f>
        <v>9</v>
      </c>
      <c r="X296">
        <f t="shared" si="111"/>
        <v>0.88888888888888884</v>
      </c>
      <c r="Y296" s="32">
        <f t="shared" si="112"/>
        <v>0.61111111111111116</v>
      </c>
      <c r="Z296" s="32">
        <f t="shared" si="113"/>
        <v>0.83333333333333326</v>
      </c>
      <c r="AA296">
        <f>step3_validation[[#This Row],[AI_FAC1]]</f>
        <v>9</v>
      </c>
      <c r="AB296">
        <f t="shared" si="114"/>
        <v>0.88888888888888884</v>
      </c>
      <c r="AC296">
        <f>survey_responses[[#This Row],[Các thủ tục khai báo thuế VÀ/HOẶC quy trình làm việc với cơ quan thuế đơn giản, tiện lợi, nhanh chóng hơn so với trước đây. - HUMAN-FAC1]]</f>
        <v>9</v>
      </c>
      <c r="AD296">
        <f t="shared" si="115"/>
        <v>0.88888888888888884</v>
      </c>
      <c r="AE296">
        <f>step3_validation[[#This Row],[AI_FAC2]]</f>
        <v>10</v>
      </c>
      <c r="AF296">
        <f t="shared" si="116"/>
        <v>1</v>
      </c>
      <c r="AG296">
        <f>survey_responses[[#This Row],[So với trước đây, tôi thấy cách tính thuế và các bậc thuế trong phương án mới đơn giản, dễ hiểu và dễ thực hiện hơn. - HUMAN-FAC2]]</f>
        <v>10</v>
      </c>
      <c r="AH296">
        <f t="shared" si="117"/>
        <v>1</v>
      </c>
      <c r="AI296" s="32">
        <f t="shared" si="118"/>
        <v>0.94444444444444442</v>
      </c>
      <c r="AJ296" s="32">
        <f t="shared" si="119"/>
        <v>0.94444444444444442</v>
      </c>
      <c r="AK296">
        <f>step3_validation[[#This Row],[AI_TRU1]]</f>
        <v>8</v>
      </c>
      <c r="AL296">
        <f t="shared" si="120"/>
        <v>0.77777777777777779</v>
      </c>
      <c r="AM296">
        <f>survey_responses[[#This Row],[Tôi tin rằng Nhà nước, cơ quan thuế sẽ thực thi chính sách mới một cách khách quan, công tâm và đối xử bình đẳng với mọi người nộp thuế.  - HUMAN-TRU1]]</f>
        <v>8</v>
      </c>
      <c r="AN296">
        <f t="shared" si="121"/>
        <v>0.77777777777777779</v>
      </c>
      <c r="AO296">
        <f>step3_validation[[#This Row],[AI_TRU2]]</f>
        <v>9</v>
      </c>
      <c r="AP296">
        <f t="shared" si="122"/>
        <v>0.88888888888888884</v>
      </c>
      <c r="AQ296">
        <f>survey_responses[[#This Row],[Tôi thấy mức thuế tôi phải đóng theo phương án mới là công bằng (người thu nhập như tôi đóng mức này là hợp lý). - HUMAN-TRU2]]</f>
        <v>8</v>
      </c>
      <c r="AR296">
        <f t="shared" si="123"/>
        <v>0.77777777777777779</v>
      </c>
      <c r="AS296">
        <f>step3_validation[[#This Row],[AI_TRU3]]</f>
        <v>8</v>
      </c>
      <c r="AT296">
        <f t="shared" si="124"/>
        <v>0.77777777777777779</v>
      </c>
      <c r="AU296">
        <f>survey_responses[[#This Row],[Tôi tin tưởng số tiền thuế tôi đóng sẽ được Nhà nước sử dụng hiệu quả để cải thiện dịch vụ công (y tế, đường xá...). - HUMAN-TRU3]]</f>
        <v>9</v>
      </c>
      <c r="AV296">
        <f t="shared" si="125"/>
        <v>0.88888888888888884</v>
      </c>
      <c r="AW296">
        <f>step3_validation[[#This Row],[AI_TRU4]]</f>
        <v>7</v>
      </c>
      <c r="AX296">
        <f t="shared" si="126"/>
        <v>0.66666666666666663</v>
      </c>
      <c r="AY296">
        <f>survey_responses[[#This Row],[Tôi thấy Nhà nước đã giải thích rõ ràng, minh bạch về lý do và mục tiêu của việc sửa đổi thuế lần này. - HUMAN-TRU4]]</f>
        <v>10</v>
      </c>
      <c r="AZ296">
        <f t="shared" si="127"/>
        <v>1</v>
      </c>
      <c r="BA296" s="32">
        <f t="shared" si="128"/>
        <v>0.77777777777777768</v>
      </c>
      <c r="BB296" s="32">
        <f t="shared" si="129"/>
        <v>0.86111111111111116</v>
      </c>
      <c r="BC296" s="7">
        <f t="shared" si="130"/>
        <v>0.77777777777777768</v>
      </c>
      <c r="BD296" s="7">
        <f t="shared" si="131"/>
        <v>0.87962962962962965</v>
      </c>
      <c r="BE296">
        <f>step3_validation[[#This Row],[AI_OUT1]]</f>
        <v>9</v>
      </c>
      <c r="BF296">
        <f t="shared" si="132"/>
        <v>0.88888888888888884</v>
      </c>
      <c r="BG296">
        <f>survey_responses[[#This Row],[Sau khi xem xét các quyền lợi và nghĩa vụ, bạn có ủng hộ và tuân thủ chính sách mới hiện nay? - HUMAN-OUT1]]</f>
        <v>10</v>
      </c>
      <c r="BH296">
        <f t="shared" si="133"/>
        <v>1</v>
      </c>
      <c r="BI296" s="32">
        <f t="shared" si="134"/>
        <v>1</v>
      </c>
    </row>
    <row r="297" spans="1:61" x14ac:dyDescent="0.45">
      <c r="A297" s="30">
        <f>step3_validation[[#This Row],[Persona_ID]]</f>
        <v>296</v>
      </c>
      <c r="B297" s="31">
        <f>step3_validation[[#This Row],[Used_Seed]]</f>
        <v>12640</v>
      </c>
      <c r="C297" t="str">
        <f>step3_validation[[#This Row],[Gender]]</f>
        <v>Nam</v>
      </c>
      <c r="D297" t="str">
        <f>survey_responses[[#This Row],[Giới tính của bạn:]]</f>
        <v>Nam</v>
      </c>
      <c r="E297" t="str">
        <f>step3_validation[[#This Row],[Age_Group]]</f>
        <v>55 - 64</v>
      </c>
      <c r="F297" t="str">
        <f>survey_responses[[#This Row],[Độ tuổi của bạn:]]</f>
        <v>55 - 64</v>
      </c>
      <c r="G297" t="str">
        <f>step3_validation[[#This Row],[Region]]</f>
        <v>Thành thị</v>
      </c>
      <c r="H297" t="str">
        <f>survey_responses[[#This Row],[Khu vực bạn đang sinh sống:]]</f>
        <v>Thành thị</v>
      </c>
      <c r="I297" t="str">
        <f>step3_validation[[#This Row],[Education]]</f>
        <v>Đại học</v>
      </c>
      <c r="J297" t="str">
        <f>survey_responses[[#This Row],[Trình độ học vấn cao nhất:]]</f>
        <v>Đại học</v>
      </c>
      <c r="K297" t="str">
        <f>step3_validation[[#This Row],[Employment]]</f>
        <v>Chính thức</v>
      </c>
      <c r="L297" t="str">
        <f>survey_responses[[#This Row],[Tình trạng việc làm chính:]]</f>
        <v>Khu vực chính thức (Có Hợp đồng lao động, đóng BHXH)</v>
      </c>
      <c r="M297">
        <f>step3_validation[[#This Row],[Income_Mil]]</f>
        <v>12</v>
      </c>
      <c r="N297" t="str">
        <f>survey_responses[[#This Row],[Thu nhập bình quân tháng theo Hợp đồng lao động của bạn là bao nhiêu? (Vui lòng điền tổng thu nhập trước khi khấu trừ các loại Bảo hiểm (BHXH, BHYT, BHTN) và Thuế TNCN)]]</f>
        <v>Dưới 12 triệu VNĐ</v>
      </c>
      <c r="O297">
        <f>step3_validation[[#This Row],[Dependents]]</f>
        <v>0</v>
      </c>
      <c r="P297" t="str">
        <f>survey_responses[[#This Row],[Số người phụ thuộc (con nhỏ, cha mẹ già...) đủ điều kiện giảm trừ gia cảnh:]]</f>
        <v>0 người</v>
      </c>
      <c r="Q297">
        <f>step3_validation[[#This Row],[AI_ENF1]]</f>
        <v>6</v>
      </c>
      <c r="R297">
        <f t="shared" si="108"/>
        <v>0.55555555555555558</v>
      </c>
      <c r="S297">
        <f>survey_responses[[#This Row],[Tôi tin rằng với các quy định quản lý thuế hiện nay, hành vi gian lận hoặc trốn thuế sẽ dễ dàng bị phát hiện và xử lý nghiêm. - HUMAN-ENF1]]</f>
        <v>7</v>
      </c>
      <c r="T297">
        <f t="shared" si="109"/>
        <v>0.66666666666666663</v>
      </c>
      <c r="U297">
        <f>step3_validation[[#This Row],[AI_ENF2]]</f>
        <v>7</v>
      </c>
      <c r="V297">
        <f t="shared" si="110"/>
        <v>0.66666666666666663</v>
      </c>
      <c r="W297">
        <f>survey_responses[[#This Row],[Tôi tin rằng Nhà nước, cơ quan thuế có đủ khả năng và công nghệ để phát hiện, xử lý nghiêm các hành vi trốn thuế. - HUMAN-ENF2]]</f>
        <v>7</v>
      </c>
      <c r="X297">
        <f t="shared" si="111"/>
        <v>0.66666666666666663</v>
      </c>
      <c r="Y297" s="32">
        <f t="shared" si="112"/>
        <v>0.61111111111111116</v>
      </c>
      <c r="Z297" s="32">
        <f t="shared" si="113"/>
        <v>0.66666666666666663</v>
      </c>
      <c r="AA297">
        <f>step3_validation[[#This Row],[AI_FAC1]]</f>
        <v>8</v>
      </c>
      <c r="AB297">
        <f t="shared" si="114"/>
        <v>0.77777777777777779</v>
      </c>
      <c r="AC297">
        <f>survey_responses[[#This Row],[Các thủ tục khai báo thuế VÀ/HOẶC quy trình làm việc với cơ quan thuế đơn giản, tiện lợi, nhanh chóng hơn so với trước đây. - HUMAN-FAC1]]</f>
        <v>6</v>
      </c>
      <c r="AD297">
        <f t="shared" si="115"/>
        <v>0.55555555555555558</v>
      </c>
      <c r="AE297">
        <f>step3_validation[[#This Row],[AI_FAC2]]</f>
        <v>9</v>
      </c>
      <c r="AF297">
        <f t="shared" si="116"/>
        <v>0.88888888888888884</v>
      </c>
      <c r="AG297">
        <f>survey_responses[[#This Row],[So với trước đây, tôi thấy cách tính thuế và các bậc thuế trong phương án mới đơn giản, dễ hiểu và dễ thực hiện hơn. - HUMAN-FAC2]]</f>
        <v>7</v>
      </c>
      <c r="AH297">
        <f t="shared" si="117"/>
        <v>0.66666666666666663</v>
      </c>
      <c r="AI297" s="32">
        <f t="shared" si="118"/>
        <v>0.83333333333333326</v>
      </c>
      <c r="AJ297" s="32">
        <f t="shared" si="119"/>
        <v>0.61111111111111116</v>
      </c>
      <c r="AK297">
        <f>step3_validation[[#This Row],[AI_TRU1]]</f>
        <v>8</v>
      </c>
      <c r="AL297">
        <f t="shared" si="120"/>
        <v>0.77777777777777779</v>
      </c>
      <c r="AM297">
        <f>survey_responses[[#This Row],[Tôi tin rằng Nhà nước, cơ quan thuế sẽ thực thi chính sách mới một cách khách quan, công tâm và đối xử bình đẳng với mọi người nộp thuế.  - HUMAN-TRU1]]</f>
        <v>7</v>
      </c>
      <c r="AN297">
        <f t="shared" si="121"/>
        <v>0.66666666666666663</v>
      </c>
      <c r="AO297">
        <f>step3_validation[[#This Row],[AI_TRU2]]</f>
        <v>9</v>
      </c>
      <c r="AP297">
        <f t="shared" si="122"/>
        <v>0.88888888888888884</v>
      </c>
      <c r="AQ297">
        <f>survey_responses[[#This Row],[Tôi thấy mức thuế tôi phải đóng theo phương án mới là công bằng (người thu nhập như tôi đóng mức này là hợp lý). - HUMAN-TRU2]]</f>
        <v>1</v>
      </c>
      <c r="AR297">
        <f t="shared" si="123"/>
        <v>0</v>
      </c>
      <c r="AS297">
        <f>step3_validation[[#This Row],[AI_TRU3]]</f>
        <v>8</v>
      </c>
      <c r="AT297">
        <f t="shared" si="124"/>
        <v>0.77777777777777779</v>
      </c>
      <c r="AU297">
        <f>survey_responses[[#This Row],[Tôi tin tưởng số tiền thuế tôi đóng sẽ được Nhà nước sử dụng hiệu quả để cải thiện dịch vụ công (y tế, đường xá...). - HUMAN-TRU3]]</f>
        <v>5</v>
      </c>
      <c r="AV297">
        <f t="shared" si="125"/>
        <v>0.44444444444444442</v>
      </c>
      <c r="AW297">
        <f>step3_validation[[#This Row],[AI_TRU4]]</f>
        <v>7</v>
      </c>
      <c r="AX297">
        <f t="shared" si="126"/>
        <v>0.66666666666666663</v>
      </c>
      <c r="AY297">
        <f>survey_responses[[#This Row],[Tôi thấy Nhà nước đã giải thích rõ ràng, minh bạch về lý do và mục tiêu của việc sửa đổi thuế lần này. - HUMAN-TRU4]]</f>
        <v>7</v>
      </c>
      <c r="AZ297">
        <f t="shared" si="127"/>
        <v>0.66666666666666663</v>
      </c>
      <c r="BA297" s="32">
        <f t="shared" si="128"/>
        <v>0.77777777777777768</v>
      </c>
      <c r="BB297" s="32">
        <f t="shared" si="129"/>
        <v>0.44444444444444442</v>
      </c>
      <c r="BC297" s="7">
        <f t="shared" si="130"/>
        <v>0.74074074074074081</v>
      </c>
      <c r="BD297" s="7">
        <f t="shared" si="131"/>
        <v>0.57407407407407407</v>
      </c>
      <c r="BE297">
        <f>step3_validation[[#This Row],[AI_OUT1]]</f>
        <v>9</v>
      </c>
      <c r="BF297">
        <f t="shared" si="132"/>
        <v>0.88888888888888884</v>
      </c>
      <c r="BG297">
        <f>survey_responses[[#This Row],[Sau khi xem xét các quyền lợi và nghĩa vụ, bạn có ủng hộ và tuân thủ chính sách mới hiện nay? - HUMAN-OUT1]]</f>
        <v>7</v>
      </c>
      <c r="BH297">
        <f t="shared" si="133"/>
        <v>0.66666666666666663</v>
      </c>
      <c r="BI297" s="32">
        <f t="shared" si="134"/>
        <v>2</v>
      </c>
    </row>
    <row r="298" spans="1:61" x14ac:dyDescent="0.45">
      <c r="A298" s="30">
        <f>step3_validation[[#This Row],[Persona_ID]]</f>
        <v>297</v>
      </c>
      <c r="B298" s="31">
        <f>step3_validation[[#This Row],[Used_Seed]]</f>
        <v>12641</v>
      </c>
      <c r="C298" t="str">
        <f>step3_validation[[#This Row],[Gender]]</f>
        <v>Nữ</v>
      </c>
      <c r="D298" t="str">
        <f>survey_responses[[#This Row],[Giới tính của bạn:]]</f>
        <v>Nữ</v>
      </c>
      <c r="E298" t="str">
        <f>step3_validation[[#This Row],[Age_Group]]</f>
        <v>30 - 39</v>
      </c>
      <c r="F298" t="str">
        <f>survey_responses[[#This Row],[Độ tuổi của bạn:]]</f>
        <v>30 - 39</v>
      </c>
      <c r="G298" t="str">
        <f>step3_validation[[#This Row],[Region]]</f>
        <v>Thành thị</v>
      </c>
      <c r="H298" t="str">
        <f>survey_responses[[#This Row],[Khu vực bạn đang sinh sống:]]</f>
        <v>Thành thị</v>
      </c>
      <c r="I298" t="str">
        <f>step3_validation[[#This Row],[Education]]</f>
        <v>Đại học</v>
      </c>
      <c r="J298" t="str">
        <f>survey_responses[[#This Row],[Trình độ học vấn cao nhất:]]</f>
        <v>Đại học</v>
      </c>
      <c r="K298" t="str">
        <f>step3_validation[[#This Row],[Employment]]</f>
        <v>Chính thức</v>
      </c>
      <c r="L298" t="str">
        <f>survey_responses[[#This Row],[Tình trạng việc làm chính:]]</f>
        <v>Khu vực chính thức (Có Hợp đồng lao động, đóng BHXH)</v>
      </c>
      <c r="M298">
        <f>step3_validation[[#This Row],[Income_Mil]]</f>
        <v>68.317760226526588</v>
      </c>
      <c r="N298" t="str">
        <f>survey_responses[[#This Row],[Thu nhập bình quân tháng theo Hợp đồng lao động của bạn là bao nhiêu? (Vui lòng điền tổng thu nhập trước khi khấu trừ các loại Bảo hiểm (BHXH, BHYT, BHTN) và Thuế TNCN)]]</f>
        <v>Từ 48 - 70 triệu VNĐ</v>
      </c>
      <c r="O298">
        <f>step3_validation[[#This Row],[Dependents]]</f>
        <v>2</v>
      </c>
      <c r="P298" t="str">
        <f>survey_responses[[#This Row],[Số người phụ thuộc (con nhỏ, cha mẹ già...) đủ điều kiện giảm trừ gia cảnh:]]</f>
        <v>2 người</v>
      </c>
      <c r="Q298">
        <f>step3_validation[[#This Row],[AI_ENF1]]</f>
        <v>8</v>
      </c>
      <c r="R298">
        <f t="shared" si="108"/>
        <v>0.77777777777777779</v>
      </c>
      <c r="S298">
        <f>survey_responses[[#This Row],[Tôi tin rằng với các quy định quản lý thuế hiện nay, hành vi gian lận hoặc trốn thuế sẽ dễ dàng bị phát hiện và xử lý nghiêm. - HUMAN-ENF1]]</f>
        <v>5</v>
      </c>
      <c r="T298">
        <f t="shared" si="109"/>
        <v>0.44444444444444442</v>
      </c>
      <c r="U298">
        <f>step3_validation[[#This Row],[AI_ENF2]]</f>
        <v>9</v>
      </c>
      <c r="V298">
        <f t="shared" si="110"/>
        <v>0.88888888888888884</v>
      </c>
      <c r="W298">
        <f>survey_responses[[#This Row],[Tôi tin rằng Nhà nước, cơ quan thuế có đủ khả năng và công nghệ để phát hiện, xử lý nghiêm các hành vi trốn thuế. - HUMAN-ENF2]]</f>
        <v>10</v>
      </c>
      <c r="X298">
        <f t="shared" si="111"/>
        <v>1</v>
      </c>
      <c r="Y298" s="32">
        <f t="shared" si="112"/>
        <v>0.83333333333333326</v>
      </c>
      <c r="Z298" s="32">
        <f t="shared" si="113"/>
        <v>0.72222222222222221</v>
      </c>
      <c r="AA298">
        <f>step3_validation[[#This Row],[AI_FAC1]]</f>
        <v>8</v>
      </c>
      <c r="AB298">
        <f t="shared" si="114"/>
        <v>0.77777777777777779</v>
      </c>
      <c r="AC298">
        <f>survey_responses[[#This Row],[Các thủ tục khai báo thuế VÀ/HOẶC quy trình làm việc với cơ quan thuế đơn giản, tiện lợi, nhanh chóng hơn so với trước đây. - HUMAN-FAC1]]</f>
        <v>5</v>
      </c>
      <c r="AD298">
        <f t="shared" si="115"/>
        <v>0.44444444444444442</v>
      </c>
      <c r="AE298">
        <f>step3_validation[[#This Row],[AI_FAC2]]</f>
        <v>9</v>
      </c>
      <c r="AF298">
        <f t="shared" si="116"/>
        <v>0.88888888888888884</v>
      </c>
      <c r="AG298">
        <f>survey_responses[[#This Row],[So với trước đây, tôi thấy cách tính thuế và các bậc thuế trong phương án mới đơn giản, dễ hiểu và dễ thực hiện hơn. - HUMAN-FAC2]]</f>
        <v>5</v>
      </c>
      <c r="AH298">
        <f t="shared" si="117"/>
        <v>0.44444444444444442</v>
      </c>
      <c r="AI298" s="32">
        <f t="shared" si="118"/>
        <v>0.83333333333333326</v>
      </c>
      <c r="AJ298" s="32">
        <f t="shared" si="119"/>
        <v>0.44444444444444442</v>
      </c>
      <c r="AK298">
        <f>step3_validation[[#This Row],[AI_TRU1]]</f>
        <v>8</v>
      </c>
      <c r="AL298">
        <f t="shared" si="120"/>
        <v>0.77777777777777779</v>
      </c>
      <c r="AM298">
        <f>survey_responses[[#This Row],[Tôi tin rằng Nhà nước, cơ quan thuế sẽ thực thi chính sách mới một cách khách quan, công tâm và đối xử bình đẳng với mọi người nộp thuế.  - HUMAN-TRU1]]</f>
        <v>2</v>
      </c>
      <c r="AN298">
        <f t="shared" si="121"/>
        <v>0.1111111111111111</v>
      </c>
      <c r="AO298">
        <f>step3_validation[[#This Row],[AI_TRU2]]</f>
        <v>9</v>
      </c>
      <c r="AP298">
        <f t="shared" si="122"/>
        <v>0.88888888888888884</v>
      </c>
      <c r="AQ298">
        <f>survey_responses[[#This Row],[Tôi thấy mức thuế tôi phải đóng theo phương án mới là công bằng (người thu nhập như tôi đóng mức này là hợp lý). - HUMAN-TRU2]]</f>
        <v>3</v>
      </c>
      <c r="AR298">
        <f t="shared" si="123"/>
        <v>0.22222222222222221</v>
      </c>
      <c r="AS298">
        <f>step3_validation[[#This Row],[AI_TRU3]]</f>
        <v>8</v>
      </c>
      <c r="AT298">
        <f t="shared" si="124"/>
        <v>0.77777777777777779</v>
      </c>
      <c r="AU298">
        <f>survey_responses[[#This Row],[Tôi tin tưởng số tiền thuế tôi đóng sẽ được Nhà nước sử dụng hiệu quả để cải thiện dịch vụ công (y tế, đường xá...). - HUMAN-TRU3]]</f>
        <v>2</v>
      </c>
      <c r="AV298">
        <f t="shared" si="125"/>
        <v>0.1111111111111111</v>
      </c>
      <c r="AW298">
        <f>step3_validation[[#This Row],[AI_TRU4]]</f>
        <v>9</v>
      </c>
      <c r="AX298">
        <f t="shared" si="126"/>
        <v>0.88888888888888884</v>
      </c>
      <c r="AY298">
        <f>survey_responses[[#This Row],[Tôi thấy Nhà nước đã giải thích rõ ràng, minh bạch về lý do và mục tiêu của việc sửa đổi thuế lần này. - HUMAN-TRU4]]</f>
        <v>5</v>
      </c>
      <c r="AZ298">
        <f t="shared" si="127"/>
        <v>0.44444444444444442</v>
      </c>
      <c r="BA298" s="32">
        <f t="shared" si="128"/>
        <v>0.83333333333333326</v>
      </c>
      <c r="BB298" s="32">
        <f t="shared" si="129"/>
        <v>0.22222222222222221</v>
      </c>
      <c r="BC298" s="7">
        <f t="shared" si="130"/>
        <v>0.83333333333333337</v>
      </c>
      <c r="BD298" s="7">
        <f t="shared" si="131"/>
        <v>0.46296296296296297</v>
      </c>
      <c r="BE298">
        <f>step3_validation[[#This Row],[AI_OUT1]]</f>
        <v>9</v>
      </c>
      <c r="BF298">
        <f t="shared" si="132"/>
        <v>0.88888888888888884</v>
      </c>
      <c r="BG298">
        <f>survey_responses[[#This Row],[Sau khi xem xét các quyền lợi và nghĩa vụ, bạn có ủng hộ và tuân thủ chính sách mới hiện nay? - HUMAN-OUT1]]</f>
        <v>5</v>
      </c>
      <c r="BH298">
        <f t="shared" si="133"/>
        <v>0.44444444444444442</v>
      </c>
      <c r="BI298" s="32">
        <f t="shared" si="134"/>
        <v>4</v>
      </c>
    </row>
    <row r="299" spans="1:61" x14ac:dyDescent="0.45">
      <c r="A299" s="30">
        <f>step3_validation[[#This Row],[Persona_ID]]</f>
        <v>298</v>
      </c>
      <c r="B299" s="31">
        <f>step3_validation[[#This Row],[Used_Seed]]</f>
        <v>12642</v>
      </c>
      <c r="C299" t="str">
        <f>step3_validation[[#This Row],[Gender]]</f>
        <v>Nam</v>
      </c>
      <c r="D299" t="str">
        <f>survey_responses[[#This Row],[Giới tính của bạn:]]</f>
        <v>Nam</v>
      </c>
      <c r="E299" t="str">
        <f>step3_validation[[#This Row],[Age_Group]]</f>
        <v>30 - 39</v>
      </c>
      <c r="F299" t="str">
        <f>survey_responses[[#This Row],[Độ tuổi của bạn:]]</f>
        <v>30 - 39</v>
      </c>
      <c r="G299" t="str">
        <f>step3_validation[[#This Row],[Region]]</f>
        <v>Thành thị</v>
      </c>
      <c r="H299" t="str">
        <f>survey_responses[[#This Row],[Khu vực bạn đang sinh sống:]]</f>
        <v>Thành thị</v>
      </c>
      <c r="I299" t="str">
        <f>step3_validation[[#This Row],[Education]]</f>
        <v>Đại học</v>
      </c>
      <c r="J299" t="str">
        <f>survey_responses[[#This Row],[Trình độ học vấn cao nhất:]]</f>
        <v>Đại học</v>
      </c>
      <c r="K299" t="str">
        <f>step3_validation[[#This Row],[Employment]]</f>
        <v>Phi chính thức</v>
      </c>
      <c r="L299" t="str">
        <f>survey_responses[[#This Row],[Tình trạng việc làm chính:]]</f>
        <v>Khác (Về hưu, nội trợ, sinh viên)</v>
      </c>
      <c r="M299">
        <f>step3_validation[[#This Row],[Income_Mil]]</f>
        <v>12</v>
      </c>
      <c r="N299" t="str">
        <f>survey_responses[[#This Row],[Thu nhập bình quân tháng theo Hợp đồng lao động của bạn là bao nhiêu? (Vui lòng điền tổng thu nhập trước khi khấu trừ các loại Bảo hiểm (BHXH, BHYT, BHTN) và Thuế TNCN)]]</f>
        <v>Dưới 12 triệu VNĐ</v>
      </c>
      <c r="O299">
        <f>step3_validation[[#This Row],[Dependents]]</f>
        <v>0</v>
      </c>
      <c r="P299" t="str">
        <f>survey_responses[[#This Row],[Số người phụ thuộc (con nhỏ, cha mẹ già...) đủ điều kiện giảm trừ gia cảnh:]]</f>
        <v>0 người</v>
      </c>
      <c r="Q299">
        <f>step3_validation[[#This Row],[AI_ENF1]]</f>
        <v>8</v>
      </c>
      <c r="R299">
        <f t="shared" si="108"/>
        <v>0.77777777777777779</v>
      </c>
      <c r="S299">
        <f>survey_responses[[#This Row],[Tôi tin rằng với các quy định quản lý thuế hiện nay, hành vi gian lận hoặc trốn thuế sẽ dễ dàng bị phát hiện và xử lý nghiêm. - HUMAN-ENF1]]</f>
        <v>5</v>
      </c>
      <c r="T299">
        <f t="shared" si="109"/>
        <v>0.44444444444444442</v>
      </c>
      <c r="U299">
        <f>step3_validation[[#This Row],[AI_ENF2]]</f>
        <v>7</v>
      </c>
      <c r="V299">
        <f t="shared" si="110"/>
        <v>0.66666666666666663</v>
      </c>
      <c r="W299">
        <f>survey_responses[[#This Row],[Tôi tin rằng Nhà nước, cơ quan thuế có đủ khả năng và công nghệ để phát hiện, xử lý nghiêm các hành vi trốn thuế. - HUMAN-ENF2]]</f>
        <v>5</v>
      </c>
      <c r="X299">
        <f t="shared" si="111"/>
        <v>0.44444444444444442</v>
      </c>
      <c r="Y299" s="32">
        <f t="shared" si="112"/>
        <v>0.72222222222222221</v>
      </c>
      <c r="Z299" s="32">
        <f t="shared" si="113"/>
        <v>0.44444444444444442</v>
      </c>
      <c r="AA299">
        <f>step3_validation[[#This Row],[AI_FAC1]]</f>
        <v>9</v>
      </c>
      <c r="AB299">
        <f t="shared" si="114"/>
        <v>0.88888888888888884</v>
      </c>
      <c r="AC299">
        <f>survey_responses[[#This Row],[Các thủ tục khai báo thuế VÀ/HOẶC quy trình làm việc với cơ quan thuế đơn giản, tiện lợi, nhanh chóng hơn so với trước đây. - HUMAN-FAC1]]</f>
        <v>5</v>
      </c>
      <c r="AD299">
        <f t="shared" si="115"/>
        <v>0.44444444444444442</v>
      </c>
      <c r="AE299">
        <f>step3_validation[[#This Row],[AI_FAC2]]</f>
        <v>8</v>
      </c>
      <c r="AF299">
        <f t="shared" si="116"/>
        <v>0.77777777777777779</v>
      </c>
      <c r="AG299">
        <f>survey_responses[[#This Row],[So với trước đây, tôi thấy cách tính thuế và các bậc thuế trong phương án mới đơn giản, dễ hiểu và dễ thực hiện hơn. - HUMAN-FAC2]]</f>
        <v>10</v>
      </c>
      <c r="AH299">
        <f t="shared" si="117"/>
        <v>1</v>
      </c>
      <c r="AI299" s="32">
        <f t="shared" si="118"/>
        <v>0.83333333333333326</v>
      </c>
      <c r="AJ299" s="32">
        <f t="shared" si="119"/>
        <v>0.72222222222222221</v>
      </c>
      <c r="AK299">
        <f>step3_validation[[#This Row],[AI_TRU1]]</f>
        <v>9</v>
      </c>
      <c r="AL299">
        <f t="shared" si="120"/>
        <v>0.88888888888888884</v>
      </c>
      <c r="AM299">
        <f>survey_responses[[#This Row],[Tôi tin rằng Nhà nước, cơ quan thuế sẽ thực thi chính sách mới một cách khách quan, công tâm và đối xử bình đẳng với mọi người nộp thuế.  - HUMAN-TRU1]]</f>
        <v>10</v>
      </c>
      <c r="AN299">
        <f t="shared" si="121"/>
        <v>1</v>
      </c>
      <c r="AO299">
        <f>step3_validation[[#This Row],[AI_TRU2]]</f>
        <v>8</v>
      </c>
      <c r="AP299">
        <f t="shared" si="122"/>
        <v>0.77777777777777779</v>
      </c>
      <c r="AQ299">
        <f>survey_responses[[#This Row],[Tôi thấy mức thuế tôi phải đóng theo phương án mới là công bằng (người thu nhập như tôi đóng mức này là hợp lý). - HUMAN-TRU2]]</f>
        <v>5</v>
      </c>
      <c r="AR299">
        <f t="shared" si="123"/>
        <v>0.44444444444444442</v>
      </c>
      <c r="AS299">
        <f>step3_validation[[#This Row],[AI_TRU3]]</f>
        <v>9</v>
      </c>
      <c r="AT299">
        <f t="shared" si="124"/>
        <v>0.88888888888888884</v>
      </c>
      <c r="AU299">
        <f>survey_responses[[#This Row],[Tôi tin tưởng số tiền thuế tôi đóng sẽ được Nhà nước sử dụng hiệu quả để cải thiện dịch vụ công (y tế, đường xá...). - HUMAN-TRU3]]</f>
        <v>5</v>
      </c>
      <c r="AV299">
        <f t="shared" si="125"/>
        <v>0.44444444444444442</v>
      </c>
      <c r="AW299">
        <f>step3_validation[[#This Row],[AI_TRU4]]</f>
        <v>8</v>
      </c>
      <c r="AX299">
        <f t="shared" si="126"/>
        <v>0.77777777777777779</v>
      </c>
      <c r="AY299">
        <f>survey_responses[[#This Row],[Tôi thấy Nhà nước đã giải thích rõ ràng, minh bạch về lý do và mục tiêu của việc sửa đổi thuế lần này. - HUMAN-TRU4]]</f>
        <v>5</v>
      </c>
      <c r="AZ299">
        <f t="shared" si="127"/>
        <v>0.44444444444444442</v>
      </c>
      <c r="BA299" s="32">
        <f t="shared" si="128"/>
        <v>0.83333333333333326</v>
      </c>
      <c r="BB299" s="32">
        <f t="shared" si="129"/>
        <v>0.58333333333333326</v>
      </c>
      <c r="BC299" s="7">
        <f t="shared" si="130"/>
        <v>0.79629629629629617</v>
      </c>
      <c r="BD299" s="7">
        <f t="shared" si="131"/>
        <v>0.58333333333333326</v>
      </c>
      <c r="BE299">
        <f>step3_validation[[#This Row],[AI_OUT1]]</f>
        <v>9</v>
      </c>
      <c r="BF299">
        <f t="shared" si="132"/>
        <v>0.88888888888888884</v>
      </c>
      <c r="BG299">
        <f>survey_responses[[#This Row],[Sau khi xem xét các quyền lợi và nghĩa vụ, bạn có ủng hộ và tuân thủ chính sách mới hiện nay? - HUMAN-OUT1]]</f>
        <v>5</v>
      </c>
      <c r="BH299">
        <f t="shared" si="133"/>
        <v>0.44444444444444442</v>
      </c>
      <c r="BI299" s="32">
        <f t="shared" si="134"/>
        <v>4</v>
      </c>
    </row>
    <row r="300" spans="1:61" x14ac:dyDescent="0.45">
      <c r="A300" s="30">
        <f>step3_validation[[#This Row],[Persona_ID]]</f>
        <v>299</v>
      </c>
      <c r="B300" s="31">
        <f>step3_validation[[#This Row],[Used_Seed]]</f>
        <v>12643</v>
      </c>
      <c r="C300" t="str">
        <f>step3_validation[[#This Row],[Gender]]</f>
        <v>Nam</v>
      </c>
      <c r="D300" t="str">
        <f>survey_responses[[#This Row],[Giới tính của bạn:]]</f>
        <v>Nam</v>
      </c>
      <c r="E300" t="str">
        <f>step3_validation[[#This Row],[Age_Group]]</f>
        <v>30 - 39</v>
      </c>
      <c r="F300" t="str">
        <f>survey_responses[[#This Row],[Độ tuổi của bạn:]]</f>
        <v>30 - 39</v>
      </c>
      <c r="G300" t="str">
        <f>step3_validation[[#This Row],[Region]]</f>
        <v>Thành thị</v>
      </c>
      <c r="H300" t="str">
        <f>survey_responses[[#This Row],[Khu vực bạn đang sinh sống:]]</f>
        <v>Thành thị</v>
      </c>
      <c r="I300" t="str">
        <f>step3_validation[[#This Row],[Education]]</f>
        <v>Sau Đại học</v>
      </c>
      <c r="J300" t="str">
        <f>survey_responses[[#This Row],[Trình độ học vấn cao nhất:]]</f>
        <v>Sau Đại học</v>
      </c>
      <c r="K300" t="str">
        <f>step3_validation[[#This Row],[Employment]]</f>
        <v>Chính thức</v>
      </c>
      <c r="L300" t="str">
        <f>survey_responses[[#This Row],[Tình trạng việc làm chính:]]</f>
        <v>Khu vực chính thức (Có Hợp đồng lao động, đóng BHXH)</v>
      </c>
      <c r="M300">
        <f>step3_validation[[#This Row],[Income_Mil]]</f>
        <v>32.44069611738707</v>
      </c>
      <c r="N300" t="str">
        <f>survey_responses[[#This Row],[Thu nhập bình quân tháng theo Hợp đồng lao động của bạn là bao nhiêu? (Vui lòng điền tổng thu nhập trước khi khấu trừ các loại Bảo hiểm (BHXH, BHYT, BHTN) và Thuế TNCN)]]</f>
        <v>Từ 32 - 48 triệu VNĐ</v>
      </c>
      <c r="O300">
        <f>step3_validation[[#This Row],[Dependents]]</f>
        <v>0</v>
      </c>
      <c r="P300" t="str">
        <f>survey_responses[[#This Row],[Số người phụ thuộc (con nhỏ, cha mẹ già...) đủ điều kiện giảm trừ gia cảnh:]]</f>
        <v>0 người</v>
      </c>
      <c r="Q300">
        <f>step3_validation[[#This Row],[AI_ENF1]]</f>
        <v>8</v>
      </c>
      <c r="R300">
        <f t="shared" si="108"/>
        <v>0.77777777777777779</v>
      </c>
      <c r="S300">
        <f>survey_responses[[#This Row],[Tôi tin rằng với các quy định quản lý thuế hiện nay, hành vi gian lận hoặc trốn thuế sẽ dễ dàng bị phát hiện và xử lý nghiêm. - HUMAN-ENF1]]</f>
        <v>10</v>
      </c>
      <c r="T300">
        <f t="shared" si="109"/>
        <v>1</v>
      </c>
      <c r="U300">
        <f>step3_validation[[#This Row],[AI_ENF2]]</f>
        <v>7</v>
      </c>
      <c r="V300">
        <f t="shared" si="110"/>
        <v>0.66666666666666663</v>
      </c>
      <c r="W300">
        <f>survey_responses[[#This Row],[Tôi tin rằng Nhà nước, cơ quan thuế có đủ khả năng và công nghệ để phát hiện, xử lý nghiêm các hành vi trốn thuế. - HUMAN-ENF2]]</f>
        <v>10</v>
      </c>
      <c r="X300">
        <f t="shared" si="111"/>
        <v>1</v>
      </c>
      <c r="Y300" s="32">
        <f t="shared" si="112"/>
        <v>0.72222222222222221</v>
      </c>
      <c r="Z300" s="32">
        <f t="shared" si="113"/>
        <v>1</v>
      </c>
      <c r="AA300">
        <f>step3_validation[[#This Row],[AI_FAC1]]</f>
        <v>9</v>
      </c>
      <c r="AB300">
        <f t="shared" si="114"/>
        <v>0.88888888888888884</v>
      </c>
      <c r="AC300">
        <f>survey_responses[[#This Row],[Các thủ tục khai báo thuế VÀ/HOẶC quy trình làm việc với cơ quan thuế đơn giản, tiện lợi, nhanh chóng hơn so với trước đây. - HUMAN-FAC1]]</f>
        <v>10</v>
      </c>
      <c r="AD300">
        <f t="shared" si="115"/>
        <v>1</v>
      </c>
      <c r="AE300">
        <f>step3_validation[[#This Row],[AI_FAC2]]</f>
        <v>9</v>
      </c>
      <c r="AF300">
        <f t="shared" si="116"/>
        <v>0.88888888888888884</v>
      </c>
      <c r="AG300">
        <f>survey_responses[[#This Row],[So với trước đây, tôi thấy cách tính thuế và các bậc thuế trong phương án mới đơn giản, dễ hiểu và dễ thực hiện hơn. - HUMAN-FAC2]]</f>
        <v>10</v>
      </c>
      <c r="AH300">
        <f t="shared" si="117"/>
        <v>1</v>
      </c>
      <c r="AI300" s="32">
        <f t="shared" si="118"/>
        <v>0.88888888888888884</v>
      </c>
      <c r="AJ300" s="32">
        <f t="shared" si="119"/>
        <v>1</v>
      </c>
      <c r="AK300">
        <f>step3_validation[[#This Row],[AI_TRU1]]</f>
        <v>7</v>
      </c>
      <c r="AL300">
        <f t="shared" si="120"/>
        <v>0.66666666666666663</v>
      </c>
      <c r="AM300">
        <f>survey_responses[[#This Row],[Tôi tin rằng Nhà nước, cơ quan thuế sẽ thực thi chính sách mới một cách khách quan, công tâm và đối xử bình đẳng với mọi người nộp thuế.  - HUMAN-TRU1]]</f>
        <v>10</v>
      </c>
      <c r="AN300">
        <f t="shared" si="121"/>
        <v>1</v>
      </c>
      <c r="AO300">
        <f>step3_validation[[#This Row],[AI_TRU2]]</f>
        <v>8</v>
      </c>
      <c r="AP300">
        <f t="shared" si="122"/>
        <v>0.77777777777777779</v>
      </c>
      <c r="AQ300">
        <f>survey_responses[[#This Row],[Tôi thấy mức thuế tôi phải đóng theo phương án mới là công bằng (người thu nhập như tôi đóng mức này là hợp lý). - HUMAN-TRU2]]</f>
        <v>10</v>
      </c>
      <c r="AR300">
        <f t="shared" si="123"/>
        <v>1</v>
      </c>
      <c r="AS300">
        <f>step3_validation[[#This Row],[AI_TRU3]]</f>
        <v>7</v>
      </c>
      <c r="AT300">
        <f t="shared" si="124"/>
        <v>0.66666666666666663</v>
      </c>
      <c r="AU300">
        <f>survey_responses[[#This Row],[Tôi tin tưởng số tiền thuế tôi đóng sẽ được Nhà nước sử dụng hiệu quả để cải thiện dịch vụ công (y tế, đường xá...). - HUMAN-TRU3]]</f>
        <v>10</v>
      </c>
      <c r="AV300">
        <f t="shared" si="125"/>
        <v>1</v>
      </c>
      <c r="AW300">
        <f>step3_validation[[#This Row],[AI_TRU4]]</f>
        <v>8</v>
      </c>
      <c r="AX300">
        <f t="shared" si="126"/>
        <v>0.77777777777777779</v>
      </c>
      <c r="AY300">
        <f>survey_responses[[#This Row],[Tôi thấy Nhà nước đã giải thích rõ ràng, minh bạch về lý do và mục tiêu của việc sửa đổi thuế lần này. - HUMAN-TRU4]]</f>
        <v>10</v>
      </c>
      <c r="AZ300">
        <f t="shared" si="127"/>
        <v>1</v>
      </c>
      <c r="BA300" s="32">
        <f t="shared" si="128"/>
        <v>0.72222222222222221</v>
      </c>
      <c r="BB300" s="32">
        <f t="shared" si="129"/>
        <v>1</v>
      </c>
      <c r="BC300" s="7">
        <f t="shared" si="130"/>
        <v>0.77777777777777779</v>
      </c>
      <c r="BD300" s="7">
        <f t="shared" si="131"/>
        <v>1</v>
      </c>
      <c r="BE300">
        <f>step3_validation[[#This Row],[AI_OUT1]]</f>
        <v>9</v>
      </c>
      <c r="BF300">
        <f t="shared" si="132"/>
        <v>0.88888888888888884</v>
      </c>
      <c r="BG300">
        <f>survey_responses[[#This Row],[Sau khi xem xét các quyền lợi và nghĩa vụ, bạn có ủng hộ và tuân thủ chính sách mới hiện nay? - HUMAN-OUT1]]</f>
        <v>10</v>
      </c>
      <c r="BH300">
        <f t="shared" si="133"/>
        <v>1</v>
      </c>
      <c r="BI300" s="32">
        <f t="shared" si="134"/>
        <v>1</v>
      </c>
    </row>
    <row r="301" spans="1:61" x14ac:dyDescent="0.45">
      <c r="A301" s="30">
        <f>step3_validation[[#This Row],[Persona_ID]]</f>
        <v>300</v>
      </c>
      <c r="B301" s="31">
        <f>step3_validation[[#This Row],[Used_Seed]]</f>
        <v>12644</v>
      </c>
      <c r="C301" t="str">
        <f>step3_validation[[#This Row],[Gender]]</f>
        <v>Nam</v>
      </c>
      <c r="D301" t="str">
        <f>survey_responses[[#This Row],[Giới tính của bạn:]]</f>
        <v>Nam</v>
      </c>
      <c r="E301" t="str">
        <f>step3_validation[[#This Row],[Age_Group]]</f>
        <v>30 - 39</v>
      </c>
      <c r="F301" t="str">
        <f>survey_responses[[#This Row],[Độ tuổi của bạn:]]</f>
        <v>30 - 39</v>
      </c>
      <c r="G301" t="str">
        <f>step3_validation[[#This Row],[Region]]</f>
        <v>Thành thị</v>
      </c>
      <c r="H301" t="str">
        <f>survey_responses[[#This Row],[Khu vực bạn đang sinh sống:]]</f>
        <v>Thành thị</v>
      </c>
      <c r="I301" t="str">
        <f>step3_validation[[#This Row],[Education]]</f>
        <v>Đại học</v>
      </c>
      <c r="J301" t="str">
        <f>survey_responses[[#This Row],[Trình độ học vấn cao nhất:]]</f>
        <v>Đại học</v>
      </c>
      <c r="K301" t="str">
        <f>step3_validation[[#This Row],[Employment]]</f>
        <v>Chính thức</v>
      </c>
      <c r="L301" t="str">
        <f>survey_responses[[#This Row],[Tình trạng việc làm chính:]]</f>
        <v>Khu vực chính thức (Có Hợp đồng lao động, đóng BHXH)</v>
      </c>
      <c r="M301">
        <f>step3_validation[[#This Row],[Income_Mil]]</f>
        <v>25.493077285704377</v>
      </c>
      <c r="N301" t="str">
        <f>survey_responses[[#This Row],[Thu nhập bình quân tháng theo Hợp đồng lao động của bạn là bao nhiêu? (Vui lòng điền tổng thu nhập trước khi khấu trừ các loại Bảo hiểm (BHXH, BHYT, BHTN) và Thuế TNCN)]]</f>
        <v>Từ 23 - 32 triệu VNĐ</v>
      </c>
      <c r="O301">
        <f>step3_validation[[#This Row],[Dependents]]</f>
        <v>1</v>
      </c>
      <c r="P301" t="str">
        <f>survey_responses[[#This Row],[Số người phụ thuộc (con nhỏ, cha mẹ già...) đủ điều kiện giảm trừ gia cảnh:]]</f>
        <v>1 người</v>
      </c>
      <c r="Q301">
        <f>step3_validation[[#This Row],[AI_ENF1]]</f>
        <v>7</v>
      </c>
      <c r="R301">
        <f t="shared" si="108"/>
        <v>0.66666666666666663</v>
      </c>
      <c r="S301">
        <f>survey_responses[[#This Row],[Tôi tin rằng với các quy định quản lý thuế hiện nay, hành vi gian lận hoặc trốn thuế sẽ dễ dàng bị phát hiện và xử lý nghiêm. - HUMAN-ENF1]]</f>
        <v>9</v>
      </c>
      <c r="T301">
        <f t="shared" si="109"/>
        <v>0.88888888888888884</v>
      </c>
      <c r="U301">
        <f>step3_validation[[#This Row],[AI_ENF2]]</f>
        <v>8</v>
      </c>
      <c r="V301">
        <f t="shared" si="110"/>
        <v>0.77777777777777779</v>
      </c>
      <c r="W301">
        <f>survey_responses[[#This Row],[Tôi tin rằng Nhà nước, cơ quan thuế có đủ khả năng và công nghệ để phát hiện, xử lý nghiêm các hành vi trốn thuế. - HUMAN-ENF2]]</f>
        <v>9</v>
      </c>
      <c r="X301">
        <f t="shared" si="111"/>
        <v>0.88888888888888884</v>
      </c>
      <c r="Y301" s="32">
        <f t="shared" si="112"/>
        <v>0.72222222222222221</v>
      </c>
      <c r="Z301" s="32">
        <f t="shared" si="113"/>
        <v>0.88888888888888884</v>
      </c>
      <c r="AA301">
        <f>step3_validation[[#This Row],[AI_FAC1]]</f>
        <v>9</v>
      </c>
      <c r="AB301">
        <f t="shared" si="114"/>
        <v>0.88888888888888884</v>
      </c>
      <c r="AC301">
        <f>survey_responses[[#This Row],[Các thủ tục khai báo thuế VÀ/HOẶC quy trình làm việc với cơ quan thuế đơn giản, tiện lợi, nhanh chóng hơn so với trước đây. - HUMAN-FAC1]]</f>
        <v>8</v>
      </c>
      <c r="AD301">
        <f t="shared" si="115"/>
        <v>0.77777777777777779</v>
      </c>
      <c r="AE301">
        <f>step3_validation[[#This Row],[AI_FAC2]]</f>
        <v>10</v>
      </c>
      <c r="AF301">
        <f t="shared" si="116"/>
        <v>1</v>
      </c>
      <c r="AG301">
        <f>survey_responses[[#This Row],[So với trước đây, tôi thấy cách tính thuế và các bậc thuế trong phương án mới đơn giản, dễ hiểu và dễ thực hiện hơn. - HUMAN-FAC2]]</f>
        <v>10</v>
      </c>
      <c r="AH301">
        <f t="shared" si="117"/>
        <v>1</v>
      </c>
      <c r="AI301" s="32">
        <f t="shared" si="118"/>
        <v>0.94444444444444442</v>
      </c>
      <c r="AJ301" s="32">
        <f t="shared" si="119"/>
        <v>0.88888888888888884</v>
      </c>
      <c r="AK301">
        <f>step3_validation[[#This Row],[AI_TRU1]]</f>
        <v>6</v>
      </c>
      <c r="AL301">
        <f t="shared" si="120"/>
        <v>0.55555555555555558</v>
      </c>
      <c r="AM301">
        <f>survey_responses[[#This Row],[Tôi tin rằng Nhà nước, cơ quan thuế sẽ thực thi chính sách mới một cách khách quan, công tâm và đối xử bình đẳng với mọi người nộp thuế.  - HUMAN-TRU1]]</f>
        <v>8</v>
      </c>
      <c r="AN301">
        <f t="shared" si="121"/>
        <v>0.77777777777777779</v>
      </c>
      <c r="AO301">
        <f>step3_validation[[#This Row],[AI_TRU2]]</f>
        <v>8</v>
      </c>
      <c r="AP301">
        <f t="shared" si="122"/>
        <v>0.77777777777777779</v>
      </c>
      <c r="AQ301">
        <f>survey_responses[[#This Row],[Tôi thấy mức thuế tôi phải đóng theo phương án mới là công bằng (người thu nhập như tôi đóng mức này là hợp lý). - HUMAN-TRU2]]</f>
        <v>8</v>
      </c>
      <c r="AR301">
        <f t="shared" si="123"/>
        <v>0.77777777777777779</v>
      </c>
      <c r="AS301">
        <f>step3_validation[[#This Row],[AI_TRU3]]</f>
        <v>7</v>
      </c>
      <c r="AT301">
        <f t="shared" si="124"/>
        <v>0.66666666666666663</v>
      </c>
      <c r="AU301">
        <f>survey_responses[[#This Row],[Tôi tin tưởng số tiền thuế tôi đóng sẽ được Nhà nước sử dụng hiệu quả để cải thiện dịch vụ công (y tế, đường xá...). - HUMAN-TRU3]]</f>
        <v>10</v>
      </c>
      <c r="AV301">
        <f t="shared" si="125"/>
        <v>1</v>
      </c>
      <c r="AW301">
        <f>step3_validation[[#This Row],[AI_TRU4]]</f>
        <v>6</v>
      </c>
      <c r="AX301">
        <f t="shared" si="126"/>
        <v>0.55555555555555558</v>
      </c>
      <c r="AY301">
        <f>survey_responses[[#This Row],[Tôi thấy Nhà nước đã giải thích rõ ràng, minh bạch về lý do và mục tiêu của việc sửa đổi thuế lần này. - HUMAN-TRU4]]</f>
        <v>9</v>
      </c>
      <c r="AZ301">
        <f t="shared" si="127"/>
        <v>0.88888888888888884</v>
      </c>
      <c r="BA301" s="32">
        <f t="shared" si="128"/>
        <v>0.63888888888888884</v>
      </c>
      <c r="BB301" s="32">
        <f t="shared" si="129"/>
        <v>0.86111111111111105</v>
      </c>
      <c r="BC301" s="7">
        <f t="shared" si="130"/>
        <v>0.76851851851851849</v>
      </c>
      <c r="BD301" s="7">
        <f t="shared" si="131"/>
        <v>0.87962962962962965</v>
      </c>
      <c r="BE301">
        <f>step3_validation[[#This Row],[AI_OUT1]]</f>
        <v>9</v>
      </c>
      <c r="BF301">
        <f t="shared" si="132"/>
        <v>0.88888888888888884</v>
      </c>
      <c r="BG301">
        <f>survey_responses[[#This Row],[Sau khi xem xét các quyền lợi và nghĩa vụ, bạn có ủng hộ và tuân thủ chính sách mới hiện nay? - HUMAN-OUT1]]</f>
        <v>9</v>
      </c>
      <c r="BH301">
        <f t="shared" si="133"/>
        <v>0.88888888888888884</v>
      </c>
      <c r="BI301" s="32">
        <f t="shared" si="134"/>
        <v>0</v>
      </c>
    </row>
    <row r="302" spans="1:61" x14ac:dyDescent="0.45">
      <c r="A302" s="30">
        <f>step3_validation[[#This Row],[Persona_ID]]</f>
        <v>301</v>
      </c>
      <c r="B302" s="31">
        <f>step3_validation[[#This Row],[Used_Seed]]</f>
        <v>12645</v>
      </c>
      <c r="C302" t="str">
        <f>step3_validation[[#This Row],[Gender]]</f>
        <v>Nam</v>
      </c>
      <c r="D302" t="str">
        <f>survey_responses[[#This Row],[Giới tính của bạn:]]</f>
        <v>Nam</v>
      </c>
      <c r="E302" t="str">
        <f>step3_validation[[#This Row],[Age_Group]]</f>
        <v>25 - 29</v>
      </c>
      <c r="F302" t="str">
        <f>survey_responses[[#This Row],[Độ tuổi của bạn:]]</f>
        <v>25 - 29</v>
      </c>
      <c r="G302" t="str">
        <f>step3_validation[[#This Row],[Region]]</f>
        <v>Thành thị</v>
      </c>
      <c r="H302" t="str">
        <f>survey_responses[[#This Row],[Khu vực bạn đang sinh sống:]]</f>
        <v>Thành thị</v>
      </c>
      <c r="I302" t="str">
        <f>step3_validation[[#This Row],[Education]]</f>
        <v>Đại học</v>
      </c>
      <c r="J302" t="str">
        <f>survey_responses[[#This Row],[Trình độ học vấn cao nhất:]]</f>
        <v>Đại học</v>
      </c>
      <c r="K302" t="str">
        <f>step3_validation[[#This Row],[Employment]]</f>
        <v>Chính thức</v>
      </c>
      <c r="L302" t="str">
        <f>survey_responses[[#This Row],[Tình trạng việc làm chính:]]</f>
        <v>Khu vực chính thức (Có Hợp đồng lao động, đóng BHXH)</v>
      </c>
      <c r="M302">
        <f>step3_validation[[#This Row],[Income_Mil]]</f>
        <v>12</v>
      </c>
      <c r="N302" t="str">
        <f>survey_responses[[#This Row],[Thu nhập bình quân tháng theo Hợp đồng lao động của bạn là bao nhiêu? (Vui lòng điền tổng thu nhập trước khi khấu trừ các loại Bảo hiểm (BHXH, BHYT, BHTN) và Thuế TNCN)]]</f>
        <v>Dưới 12 triệu VNĐ</v>
      </c>
      <c r="O302">
        <f>step3_validation[[#This Row],[Dependents]]</f>
        <v>0</v>
      </c>
      <c r="P302" t="str">
        <f>survey_responses[[#This Row],[Số người phụ thuộc (con nhỏ, cha mẹ già...) đủ điều kiện giảm trừ gia cảnh:]]</f>
        <v>0 người</v>
      </c>
      <c r="Q302">
        <f>step3_validation[[#This Row],[AI_ENF1]]</f>
        <v>7</v>
      </c>
      <c r="R302">
        <f t="shared" si="108"/>
        <v>0.66666666666666663</v>
      </c>
      <c r="S302">
        <f>survey_responses[[#This Row],[Tôi tin rằng với các quy định quản lý thuế hiện nay, hành vi gian lận hoặc trốn thuế sẽ dễ dàng bị phát hiện và xử lý nghiêm. - HUMAN-ENF1]]</f>
        <v>8</v>
      </c>
      <c r="T302">
        <f t="shared" si="109"/>
        <v>0.77777777777777779</v>
      </c>
      <c r="U302">
        <f>step3_validation[[#This Row],[AI_ENF2]]</f>
        <v>8</v>
      </c>
      <c r="V302">
        <f t="shared" si="110"/>
        <v>0.77777777777777779</v>
      </c>
      <c r="W302">
        <f>survey_responses[[#This Row],[Tôi tin rằng Nhà nước, cơ quan thuế có đủ khả năng và công nghệ để phát hiện, xử lý nghiêm các hành vi trốn thuế. - HUMAN-ENF2]]</f>
        <v>7</v>
      </c>
      <c r="X302">
        <f t="shared" si="111"/>
        <v>0.66666666666666663</v>
      </c>
      <c r="Y302" s="32">
        <f t="shared" si="112"/>
        <v>0.72222222222222221</v>
      </c>
      <c r="Z302" s="32">
        <f t="shared" si="113"/>
        <v>0.72222222222222221</v>
      </c>
      <c r="AA302">
        <f>step3_validation[[#This Row],[AI_FAC1]]</f>
        <v>9</v>
      </c>
      <c r="AB302">
        <f t="shared" si="114"/>
        <v>0.88888888888888884</v>
      </c>
      <c r="AC302">
        <f>survey_responses[[#This Row],[Các thủ tục khai báo thuế VÀ/HOẶC quy trình làm việc với cơ quan thuế đơn giản, tiện lợi, nhanh chóng hơn so với trước đây. - HUMAN-FAC1]]</f>
        <v>9</v>
      </c>
      <c r="AD302">
        <f t="shared" si="115"/>
        <v>0.88888888888888884</v>
      </c>
      <c r="AE302">
        <f>step3_validation[[#This Row],[AI_FAC2]]</f>
        <v>10</v>
      </c>
      <c r="AF302">
        <f t="shared" si="116"/>
        <v>1</v>
      </c>
      <c r="AG302">
        <f>survey_responses[[#This Row],[So với trước đây, tôi thấy cách tính thuế và các bậc thuế trong phương án mới đơn giản, dễ hiểu và dễ thực hiện hơn. - HUMAN-FAC2]]</f>
        <v>5</v>
      </c>
      <c r="AH302">
        <f t="shared" si="117"/>
        <v>0.44444444444444442</v>
      </c>
      <c r="AI302" s="32">
        <f t="shared" si="118"/>
        <v>0.94444444444444442</v>
      </c>
      <c r="AJ302" s="32">
        <f t="shared" si="119"/>
        <v>0.66666666666666663</v>
      </c>
      <c r="AK302">
        <f>step3_validation[[#This Row],[AI_TRU1]]</f>
        <v>8</v>
      </c>
      <c r="AL302">
        <f t="shared" si="120"/>
        <v>0.77777777777777779</v>
      </c>
      <c r="AM302">
        <f>survey_responses[[#This Row],[Tôi tin rằng Nhà nước, cơ quan thuế sẽ thực thi chính sách mới một cách khách quan, công tâm và đối xử bình đẳng với mọi người nộp thuế.  - HUMAN-TRU1]]</f>
        <v>7</v>
      </c>
      <c r="AN302">
        <f t="shared" si="121"/>
        <v>0.66666666666666663</v>
      </c>
      <c r="AO302">
        <f>step3_validation[[#This Row],[AI_TRU2]]</f>
        <v>9</v>
      </c>
      <c r="AP302">
        <f t="shared" si="122"/>
        <v>0.88888888888888884</v>
      </c>
      <c r="AQ302">
        <f>survey_responses[[#This Row],[Tôi thấy mức thuế tôi phải đóng theo phương án mới là công bằng (người thu nhập như tôi đóng mức này là hợp lý). - HUMAN-TRU2]]</f>
        <v>7</v>
      </c>
      <c r="AR302">
        <f t="shared" si="123"/>
        <v>0.66666666666666663</v>
      </c>
      <c r="AS302">
        <f>step3_validation[[#This Row],[AI_TRU3]]</f>
        <v>7</v>
      </c>
      <c r="AT302">
        <f t="shared" si="124"/>
        <v>0.66666666666666663</v>
      </c>
      <c r="AU302">
        <f>survey_responses[[#This Row],[Tôi tin tưởng số tiền thuế tôi đóng sẽ được Nhà nước sử dụng hiệu quả để cải thiện dịch vụ công (y tế, đường xá...). - HUMAN-TRU3]]</f>
        <v>7</v>
      </c>
      <c r="AV302">
        <f t="shared" si="125"/>
        <v>0.66666666666666663</v>
      </c>
      <c r="AW302">
        <f>step3_validation[[#This Row],[AI_TRU4]]</f>
        <v>6</v>
      </c>
      <c r="AX302">
        <f t="shared" si="126"/>
        <v>0.55555555555555558</v>
      </c>
      <c r="AY302">
        <f>survey_responses[[#This Row],[Tôi thấy Nhà nước đã giải thích rõ ràng, minh bạch về lý do và mục tiêu của việc sửa đổi thuế lần này. - HUMAN-TRU4]]</f>
        <v>6</v>
      </c>
      <c r="AZ302">
        <f t="shared" si="127"/>
        <v>0.55555555555555558</v>
      </c>
      <c r="BA302" s="32">
        <f t="shared" si="128"/>
        <v>0.7222222222222221</v>
      </c>
      <c r="BB302" s="32">
        <f t="shared" si="129"/>
        <v>0.63888888888888884</v>
      </c>
      <c r="BC302" s="7">
        <f t="shared" si="130"/>
        <v>0.79629629629629617</v>
      </c>
      <c r="BD302" s="7">
        <f t="shared" si="131"/>
        <v>0.67592592592592593</v>
      </c>
      <c r="BE302">
        <f>step3_validation[[#This Row],[AI_OUT1]]</f>
        <v>9</v>
      </c>
      <c r="BF302">
        <f t="shared" si="132"/>
        <v>0.88888888888888884</v>
      </c>
      <c r="BG302">
        <f>survey_responses[[#This Row],[Sau khi xem xét các quyền lợi và nghĩa vụ, bạn có ủng hộ và tuân thủ chính sách mới hiện nay? - HUMAN-OUT1]]</f>
        <v>7</v>
      </c>
      <c r="BH302">
        <f t="shared" si="133"/>
        <v>0.66666666666666663</v>
      </c>
      <c r="BI302" s="32">
        <f t="shared" si="134"/>
        <v>2</v>
      </c>
    </row>
    <row r="303" spans="1:61" x14ac:dyDescent="0.45">
      <c r="A303" s="30">
        <f>step3_validation[[#This Row],[Persona_ID]]</f>
        <v>302</v>
      </c>
      <c r="B303" s="31">
        <f>step3_validation[[#This Row],[Used_Seed]]</f>
        <v>12646</v>
      </c>
      <c r="C303" t="str">
        <f>step3_validation[[#This Row],[Gender]]</f>
        <v>Nữ</v>
      </c>
      <c r="D303" t="str">
        <f>survey_responses[[#This Row],[Giới tính của bạn:]]</f>
        <v>Nữ</v>
      </c>
      <c r="E303" t="str">
        <f>step3_validation[[#This Row],[Age_Group]]</f>
        <v>30 - 39</v>
      </c>
      <c r="F303" t="str">
        <f>survey_responses[[#This Row],[Độ tuổi của bạn:]]</f>
        <v>30 - 39</v>
      </c>
      <c r="G303" t="str">
        <f>step3_validation[[#This Row],[Region]]</f>
        <v>Thành thị</v>
      </c>
      <c r="H303" t="str">
        <f>survey_responses[[#This Row],[Khu vực bạn đang sinh sống:]]</f>
        <v>Thành thị</v>
      </c>
      <c r="I303" t="str">
        <f>step3_validation[[#This Row],[Education]]</f>
        <v>Đại học</v>
      </c>
      <c r="J303" t="str">
        <f>survey_responses[[#This Row],[Trình độ học vấn cao nhất:]]</f>
        <v>Đại học</v>
      </c>
      <c r="K303" t="str">
        <f>step3_validation[[#This Row],[Employment]]</f>
        <v>Chính thức</v>
      </c>
      <c r="L303" t="str">
        <f>survey_responses[[#This Row],[Tình trạng việc làm chính:]]</f>
        <v>Khu vực chính thức (Có Hợp đồng lao động, đóng BHXH)</v>
      </c>
      <c r="M303">
        <f>step3_validation[[#This Row],[Income_Mil]]</f>
        <v>29.180053897591208</v>
      </c>
      <c r="N303" t="str">
        <f>survey_responses[[#This Row],[Thu nhập bình quân tháng theo Hợp đồng lao động của bạn là bao nhiêu? (Vui lòng điền tổng thu nhập trước khi khấu trừ các loại Bảo hiểm (BHXH, BHYT, BHTN) và Thuế TNCN)]]</f>
        <v>Từ 23 - 32 triệu VNĐ</v>
      </c>
      <c r="O303">
        <f>step3_validation[[#This Row],[Dependents]]</f>
        <v>0</v>
      </c>
      <c r="P303" t="str">
        <f>survey_responses[[#This Row],[Số người phụ thuộc (con nhỏ, cha mẹ già...) đủ điều kiện giảm trừ gia cảnh:]]</f>
        <v>0 người</v>
      </c>
      <c r="Q303">
        <f>step3_validation[[#This Row],[AI_ENF1]]</f>
        <v>8</v>
      </c>
      <c r="R303">
        <f t="shared" si="108"/>
        <v>0.77777777777777779</v>
      </c>
      <c r="S303">
        <f>survey_responses[[#This Row],[Tôi tin rằng với các quy định quản lý thuế hiện nay, hành vi gian lận hoặc trốn thuế sẽ dễ dàng bị phát hiện và xử lý nghiêm. - HUMAN-ENF1]]</f>
        <v>7</v>
      </c>
      <c r="T303">
        <f t="shared" si="109"/>
        <v>0.66666666666666663</v>
      </c>
      <c r="U303">
        <f>step3_validation[[#This Row],[AI_ENF2]]</f>
        <v>7</v>
      </c>
      <c r="V303">
        <f t="shared" si="110"/>
        <v>0.66666666666666663</v>
      </c>
      <c r="W303">
        <f>survey_responses[[#This Row],[Tôi tin rằng Nhà nước, cơ quan thuế có đủ khả năng và công nghệ để phát hiện, xử lý nghiêm các hành vi trốn thuế. - HUMAN-ENF2]]</f>
        <v>7</v>
      </c>
      <c r="X303">
        <f t="shared" si="111"/>
        <v>0.66666666666666663</v>
      </c>
      <c r="Y303" s="32">
        <f t="shared" si="112"/>
        <v>0.72222222222222221</v>
      </c>
      <c r="Z303" s="32">
        <f t="shared" si="113"/>
        <v>0.66666666666666663</v>
      </c>
      <c r="AA303">
        <f>step3_validation[[#This Row],[AI_FAC1]]</f>
        <v>8</v>
      </c>
      <c r="AB303">
        <f t="shared" si="114"/>
        <v>0.77777777777777779</v>
      </c>
      <c r="AC303">
        <f>survey_responses[[#This Row],[Các thủ tục khai báo thuế VÀ/HOẶC quy trình làm việc với cơ quan thuế đơn giản, tiện lợi, nhanh chóng hơn so với trước đây. - HUMAN-FAC1]]</f>
        <v>4</v>
      </c>
      <c r="AD303">
        <f t="shared" si="115"/>
        <v>0.33333333333333331</v>
      </c>
      <c r="AE303">
        <f>step3_validation[[#This Row],[AI_FAC2]]</f>
        <v>9</v>
      </c>
      <c r="AF303">
        <f t="shared" si="116"/>
        <v>0.88888888888888884</v>
      </c>
      <c r="AG303">
        <f>survey_responses[[#This Row],[So với trước đây, tôi thấy cách tính thuế và các bậc thuế trong phương án mới đơn giản, dễ hiểu và dễ thực hiện hơn. - HUMAN-FAC2]]</f>
        <v>8</v>
      </c>
      <c r="AH303">
        <f t="shared" si="117"/>
        <v>0.77777777777777779</v>
      </c>
      <c r="AI303" s="32">
        <f t="shared" si="118"/>
        <v>0.83333333333333326</v>
      </c>
      <c r="AJ303" s="32">
        <f t="shared" si="119"/>
        <v>0.55555555555555558</v>
      </c>
      <c r="AK303">
        <f>step3_validation[[#This Row],[AI_TRU1]]</f>
        <v>8</v>
      </c>
      <c r="AL303">
        <f t="shared" si="120"/>
        <v>0.77777777777777779</v>
      </c>
      <c r="AM303">
        <f>survey_responses[[#This Row],[Tôi tin rằng Nhà nước, cơ quan thuế sẽ thực thi chính sách mới một cách khách quan, công tâm và đối xử bình đẳng với mọi người nộp thuế.  - HUMAN-TRU1]]</f>
        <v>7</v>
      </c>
      <c r="AN303">
        <f t="shared" si="121"/>
        <v>0.66666666666666663</v>
      </c>
      <c r="AO303">
        <f>step3_validation[[#This Row],[AI_TRU2]]</f>
        <v>9</v>
      </c>
      <c r="AP303">
        <f t="shared" si="122"/>
        <v>0.88888888888888884</v>
      </c>
      <c r="AQ303">
        <f>survey_responses[[#This Row],[Tôi thấy mức thuế tôi phải đóng theo phương án mới là công bằng (người thu nhập như tôi đóng mức này là hợp lý). - HUMAN-TRU2]]</f>
        <v>7</v>
      </c>
      <c r="AR303">
        <f t="shared" si="123"/>
        <v>0.66666666666666663</v>
      </c>
      <c r="AS303">
        <f>step3_validation[[#This Row],[AI_TRU3]]</f>
        <v>8</v>
      </c>
      <c r="AT303">
        <f t="shared" si="124"/>
        <v>0.77777777777777779</v>
      </c>
      <c r="AU303">
        <f>survey_responses[[#This Row],[Tôi tin tưởng số tiền thuế tôi đóng sẽ được Nhà nước sử dụng hiệu quả để cải thiện dịch vụ công (y tế, đường xá...). - HUMAN-TRU3]]</f>
        <v>5</v>
      </c>
      <c r="AV303">
        <f t="shared" si="125"/>
        <v>0.44444444444444442</v>
      </c>
      <c r="AW303">
        <f>step3_validation[[#This Row],[AI_TRU4]]</f>
        <v>7</v>
      </c>
      <c r="AX303">
        <f t="shared" si="126"/>
        <v>0.66666666666666663</v>
      </c>
      <c r="AY303">
        <f>survey_responses[[#This Row],[Tôi thấy Nhà nước đã giải thích rõ ràng, minh bạch về lý do và mục tiêu của việc sửa đổi thuế lần này. - HUMAN-TRU4]]</f>
        <v>5</v>
      </c>
      <c r="AZ303">
        <f t="shared" si="127"/>
        <v>0.44444444444444442</v>
      </c>
      <c r="BA303" s="32">
        <f t="shared" si="128"/>
        <v>0.77777777777777768</v>
      </c>
      <c r="BB303" s="32">
        <f t="shared" si="129"/>
        <v>0.55555555555555558</v>
      </c>
      <c r="BC303" s="7">
        <f t="shared" si="130"/>
        <v>0.77777777777777768</v>
      </c>
      <c r="BD303" s="7">
        <f t="shared" si="131"/>
        <v>0.59259259259259267</v>
      </c>
      <c r="BE303">
        <f>step3_validation[[#This Row],[AI_OUT1]]</f>
        <v>9</v>
      </c>
      <c r="BF303">
        <f t="shared" si="132"/>
        <v>0.88888888888888884</v>
      </c>
      <c r="BG303">
        <f>survey_responses[[#This Row],[Sau khi xem xét các quyền lợi và nghĩa vụ, bạn có ủng hộ và tuân thủ chính sách mới hiện nay? - HUMAN-OUT1]]</f>
        <v>7</v>
      </c>
      <c r="BH303">
        <f t="shared" si="133"/>
        <v>0.66666666666666663</v>
      </c>
      <c r="BI303" s="32">
        <f t="shared" si="134"/>
        <v>2</v>
      </c>
    </row>
    <row r="304" spans="1:61" x14ac:dyDescent="0.45">
      <c r="A304" s="30">
        <f>step3_validation[[#This Row],[Persona_ID]]</f>
        <v>303</v>
      </c>
      <c r="B304" s="31">
        <f>step3_validation[[#This Row],[Used_Seed]]</f>
        <v>12647</v>
      </c>
      <c r="C304" t="str">
        <f>step3_validation[[#This Row],[Gender]]</f>
        <v>Nam</v>
      </c>
      <c r="D304" t="str">
        <f>survey_responses[[#This Row],[Giới tính của bạn:]]</f>
        <v>Nam</v>
      </c>
      <c r="E304" t="str">
        <f>step3_validation[[#This Row],[Age_Group]]</f>
        <v>30 - 39</v>
      </c>
      <c r="F304" t="str">
        <f>survey_responses[[#This Row],[Độ tuổi của bạn:]]</f>
        <v>30 - 39</v>
      </c>
      <c r="G304" t="str">
        <f>step3_validation[[#This Row],[Region]]</f>
        <v>Thành thị</v>
      </c>
      <c r="H304" t="str">
        <f>survey_responses[[#This Row],[Khu vực bạn đang sinh sống:]]</f>
        <v>Thành thị</v>
      </c>
      <c r="I304" t="str">
        <f>step3_validation[[#This Row],[Education]]</f>
        <v>Đại học</v>
      </c>
      <c r="J304" t="str">
        <f>survey_responses[[#This Row],[Trình độ học vấn cao nhất:]]</f>
        <v>Đại học</v>
      </c>
      <c r="K304" t="str">
        <f>step3_validation[[#This Row],[Employment]]</f>
        <v>Chính thức</v>
      </c>
      <c r="L304" t="str">
        <f>survey_responses[[#This Row],[Tình trạng việc làm chính:]]</f>
        <v>Khu vực chính thức (Có Hợp đồng lao động, đóng BHXH)</v>
      </c>
      <c r="M304">
        <f>step3_validation[[#This Row],[Income_Mil]]</f>
        <v>24.889605446300539</v>
      </c>
      <c r="N304" t="str">
        <f>survey_responses[[#This Row],[Thu nhập bình quân tháng theo Hợp đồng lao động của bạn là bao nhiêu? (Vui lòng điền tổng thu nhập trước khi khấu trừ các loại Bảo hiểm (BHXH, BHYT, BHTN) và Thuế TNCN)]]</f>
        <v>Từ 23 - 32 triệu VNĐ</v>
      </c>
      <c r="O304">
        <f>step3_validation[[#This Row],[Dependents]]</f>
        <v>2</v>
      </c>
      <c r="P304" t="str">
        <f>survey_responses[[#This Row],[Số người phụ thuộc (con nhỏ, cha mẹ già...) đủ điều kiện giảm trừ gia cảnh:]]</f>
        <v>2 người</v>
      </c>
      <c r="Q304">
        <f>step3_validation[[#This Row],[AI_ENF1]]</f>
        <v>7</v>
      </c>
      <c r="R304">
        <f t="shared" si="108"/>
        <v>0.66666666666666663</v>
      </c>
      <c r="S304">
        <f>survey_responses[[#This Row],[Tôi tin rằng với các quy định quản lý thuế hiện nay, hành vi gian lận hoặc trốn thuế sẽ dễ dàng bị phát hiện và xử lý nghiêm. - HUMAN-ENF1]]</f>
        <v>6</v>
      </c>
      <c r="T304">
        <f t="shared" si="109"/>
        <v>0.55555555555555558</v>
      </c>
      <c r="U304">
        <f>step3_validation[[#This Row],[AI_ENF2]]</f>
        <v>7</v>
      </c>
      <c r="V304">
        <f t="shared" si="110"/>
        <v>0.66666666666666663</v>
      </c>
      <c r="W304">
        <f>survey_responses[[#This Row],[Tôi tin rằng Nhà nước, cơ quan thuế có đủ khả năng và công nghệ để phát hiện, xử lý nghiêm các hành vi trốn thuế. - HUMAN-ENF2]]</f>
        <v>10</v>
      </c>
      <c r="X304">
        <f t="shared" si="111"/>
        <v>1</v>
      </c>
      <c r="Y304" s="32">
        <f t="shared" si="112"/>
        <v>0.66666666666666663</v>
      </c>
      <c r="Z304" s="32">
        <f t="shared" si="113"/>
        <v>0.77777777777777779</v>
      </c>
      <c r="AA304">
        <f>step3_validation[[#This Row],[AI_FAC1]]</f>
        <v>8</v>
      </c>
      <c r="AB304">
        <f t="shared" si="114"/>
        <v>0.77777777777777779</v>
      </c>
      <c r="AC304">
        <f>survey_responses[[#This Row],[Các thủ tục khai báo thuế VÀ/HOẶC quy trình làm việc với cơ quan thuế đơn giản, tiện lợi, nhanh chóng hơn so với trước đây. - HUMAN-FAC1]]</f>
        <v>5</v>
      </c>
      <c r="AD304">
        <f t="shared" si="115"/>
        <v>0.44444444444444442</v>
      </c>
      <c r="AE304">
        <f>step3_validation[[#This Row],[AI_FAC2]]</f>
        <v>9</v>
      </c>
      <c r="AF304">
        <f t="shared" si="116"/>
        <v>0.88888888888888884</v>
      </c>
      <c r="AG304">
        <f>survey_responses[[#This Row],[So với trước đây, tôi thấy cách tính thuế và các bậc thuế trong phương án mới đơn giản, dễ hiểu và dễ thực hiện hơn. - HUMAN-FAC2]]</f>
        <v>4</v>
      </c>
      <c r="AH304">
        <f t="shared" si="117"/>
        <v>0.33333333333333331</v>
      </c>
      <c r="AI304" s="32">
        <f t="shared" si="118"/>
        <v>0.83333333333333326</v>
      </c>
      <c r="AJ304" s="32">
        <f t="shared" si="119"/>
        <v>0.38888888888888884</v>
      </c>
      <c r="AK304">
        <f>step3_validation[[#This Row],[AI_TRU1]]</f>
        <v>8</v>
      </c>
      <c r="AL304">
        <f t="shared" si="120"/>
        <v>0.77777777777777779</v>
      </c>
      <c r="AM304">
        <f>survey_responses[[#This Row],[Tôi tin rằng Nhà nước, cơ quan thuế sẽ thực thi chính sách mới một cách khách quan, công tâm và đối xử bình đẳng với mọi người nộp thuế.  - HUMAN-TRU1]]</f>
        <v>3</v>
      </c>
      <c r="AN304">
        <f t="shared" si="121"/>
        <v>0.22222222222222221</v>
      </c>
      <c r="AO304">
        <f>step3_validation[[#This Row],[AI_TRU2]]</f>
        <v>9</v>
      </c>
      <c r="AP304">
        <f t="shared" si="122"/>
        <v>0.88888888888888884</v>
      </c>
      <c r="AQ304">
        <f>survey_responses[[#This Row],[Tôi thấy mức thuế tôi phải đóng theo phương án mới là công bằng (người thu nhập như tôi đóng mức này là hợp lý). - HUMAN-TRU2]]</f>
        <v>7</v>
      </c>
      <c r="AR304">
        <f t="shared" si="123"/>
        <v>0.66666666666666663</v>
      </c>
      <c r="AS304">
        <f>step3_validation[[#This Row],[AI_TRU3]]</f>
        <v>8</v>
      </c>
      <c r="AT304">
        <f t="shared" si="124"/>
        <v>0.77777777777777779</v>
      </c>
      <c r="AU304">
        <f>survey_responses[[#This Row],[Tôi tin tưởng số tiền thuế tôi đóng sẽ được Nhà nước sử dụng hiệu quả để cải thiện dịch vụ công (y tế, đường xá...). - HUMAN-TRU3]]</f>
        <v>4</v>
      </c>
      <c r="AV304">
        <f t="shared" si="125"/>
        <v>0.33333333333333331</v>
      </c>
      <c r="AW304">
        <f>step3_validation[[#This Row],[AI_TRU4]]</f>
        <v>9</v>
      </c>
      <c r="AX304">
        <f t="shared" si="126"/>
        <v>0.88888888888888884</v>
      </c>
      <c r="AY304">
        <f>survey_responses[[#This Row],[Tôi thấy Nhà nước đã giải thích rõ ràng, minh bạch về lý do và mục tiêu của việc sửa đổi thuế lần này. - HUMAN-TRU4]]</f>
        <v>4</v>
      </c>
      <c r="AZ304">
        <f t="shared" si="127"/>
        <v>0.33333333333333331</v>
      </c>
      <c r="BA304" s="32">
        <f t="shared" si="128"/>
        <v>0.83333333333333326</v>
      </c>
      <c r="BB304" s="32">
        <f t="shared" si="129"/>
        <v>0.38888888888888884</v>
      </c>
      <c r="BC304" s="7">
        <f t="shared" si="130"/>
        <v>0.77777777777777768</v>
      </c>
      <c r="BD304" s="7">
        <f t="shared" si="131"/>
        <v>0.51851851851851849</v>
      </c>
      <c r="BE304">
        <f>step3_validation[[#This Row],[AI_OUT1]]</f>
        <v>9</v>
      </c>
      <c r="BF304">
        <f t="shared" si="132"/>
        <v>0.88888888888888884</v>
      </c>
      <c r="BG304">
        <f>survey_responses[[#This Row],[Sau khi xem xét các quyền lợi và nghĩa vụ, bạn có ủng hộ và tuân thủ chính sách mới hiện nay? - HUMAN-OUT1]]</f>
        <v>5</v>
      </c>
      <c r="BH304">
        <f t="shared" si="133"/>
        <v>0.44444444444444442</v>
      </c>
      <c r="BI304" s="32">
        <f t="shared" si="134"/>
        <v>4</v>
      </c>
    </row>
    <row r="305" spans="1:61" x14ac:dyDescent="0.45">
      <c r="A305" s="30">
        <f>step3_validation[[#This Row],[Persona_ID]]</f>
        <v>304</v>
      </c>
      <c r="B305" s="31">
        <f>step3_validation[[#This Row],[Used_Seed]]</f>
        <v>12648</v>
      </c>
      <c r="C305" t="str">
        <f>step3_validation[[#This Row],[Gender]]</f>
        <v>Nam</v>
      </c>
      <c r="D305" t="str">
        <f>survey_responses[[#This Row],[Giới tính của bạn:]]</f>
        <v>Nam</v>
      </c>
      <c r="E305" t="str">
        <f>step3_validation[[#This Row],[Age_Group]]</f>
        <v>25 - 29</v>
      </c>
      <c r="F305" t="str">
        <f>survey_responses[[#This Row],[Độ tuổi của bạn:]]</f>
        <v>25 - 29</v>
      </c>
      <c r="G305" t="str">
        <f>step3_validation[[#This Row],[Region]]</f>
        <v>Thành thị</v>
      </c>
      <c r="H305" t="str">
        <f>survey_responses[[#This Row],[Khu vực bạn đang sinh sống:]]</f>
        <v>Thành thị</v>
      </c>
      <c r="I305" t="str">
        <f>step3_validation[[#This Row],[Education]]</f>
        <v>Sau Đại học</v>
      </c>
      <c r="J305" t="str">
        <f>survey_responses[[#This Row],[Trình độ học vấn cao nhất:]]</f>
        <v>Sau Đại học</v>
      </c>
      <c r="K305" t="str">
        <f>step3_validation[[#This Row],[Employment]]</f>
        <v>Chính thức</v>
      </c>
      <c r="L305" t="str">
        <f>survey_responses[[#This Row],[Tình trạng việc làm chính:]]</f>
        <v>Khu vực chính thức (Có Hợp đồng lao động, đóng BHXH)</v>
      </c>
      <c r="M305">
        <f>step3_validation[[#This Row],[Income_Mil]]</f>
        <v>12</v>
      </c>
      <c r="N305" t="str">
        <f>survey_responses[[#This Row],[Thu nhập bình quân tháng theo Hợp đồng lao động của bạn là bao nhiêu? (Vui lòng điền tổng thu nhập trước khi khấu trừ các loại Bảo hiểm (BHXH, BHYT, BHTN) và Thuế TNCN)]]</f>
        <v>Dưới 12 triệu VNĐ</v>
      </c>
      <c r="O305">
        <f>step3_validation[[#This Row],[Dependents]]</f>
        <v>0</v>
      </c>
      <c r="P305" t="str">
        <f>survey_responses[[#This Row],[Số người phụ thuộc (con nhỏ, cha mẹ già...) đủ điều kiện giảm trừ gia cảnh:]]</f>
        <v>0 người</v>
      </c>
      <c r="Q305">
        <f>step3_validation[[#This Row],[AI_ENF1]]</f>
        <v>6</v>
      </c>
      <c r="R305">
        <f t="shared" si="108"/>
        <v>0.55555555555555558</v>
      </c>
      <c r="S305">
        <f>survey_responses[[#This Row],[Tôi tin rằng với các quy định quản lý thuế hiện nay, hành vi gian lận hoặc trốn thuế sẽ dễ dàng bị phát hiện và xử lý nghiêm. - HUMAN-ENF1]]</f>
        <v>10</v>
      </c>
      <c r="T305">
        <f t="shared" si="109"/>
        <v>1</v>
      </c>
      <c r="U305">
        <f>step3_validation[[#This Row],[AI_ENF2]]</f>
        <v>7</v>
      </c>
      <c r="V305">
        <f t="shared" si="110"/>
        <v>0.66666666666666663</v>
      </c>
      <c r="W305">
        <f>survey_responses[[#This Row],[Tôi tin rằng Nhà nước, cơ quan thuế có đủ khả năng và công nghệ để phát hiện, xử lý nghiêm các hành vi trốn thuế. - HUMAN-ENF2]]</f>
        <v>10</v>
      </c>
      <c r="X305">
        <f t="shared" si="111"/>
        <v>1</v>
      </c>
      <c r="Y305" s="32">
        <f t="shared" si="112"/>
        <v>0.61111111111111116</v>
      </c>
      <c r="Z305" s="32">
        <f t="shared" si="113"/>
        <v>1</v>
      </c>
      <c r="AA305">
        <f>step3_validation[[#This Row],[AI_FAC1]]</f>
        <v>8</v>
      </c>
      <c r="AB305">
        <f t="shared" si="114"/>
        <v>0.77777777777777779</v>
      </c>
      <c r="AC305">
        <f>survey_responses[[#This Row],[Các thủ tục khai báo thuế VÀ/HOẶC quy trình làm việc với cơ quan thuế đơn giản, tiện lợi, nhanh chóng hơn so với trước đây. - HUMAN-FAC1]]</f>
        <v>10</v>
      </c>
      <c r="AD305">
        <f t="shared" si="115"/>
        <v>1</v>
      </c>
      <c r="AE305">
        <f>step3_validation[[#This Row],[AI_FAC2]]</f>
        <v>9</v>
      </c>
      <c r="AF305">
        <f t="shared" si="116"/>
        <v>0.88888888888888884</v>
      </c>
      <c r="AG305">
        <f>survey_responses[[#This Row],[So với trước đây, tôi thấy cách tính thuế và các bậc thuế trong phương án mới đơn giản, dễ hiểu và dễ thực hiện hơn. - HUMAN-FAC2]]</f>
        <v>10</v>
      </c>
      <c r="AH305">
        <f t="shared" si="117"/>
        <v>1</v>
      </c>
      <c r="AI305" s="32">
        <f t="shared" si="118"/>
        <v>0.83333333333333326</v>
      </c>
      <c r="AJ305" s="32">
        <f t="shared" si="119"/>
        <v>1</v>
      </c>
      <c r="AK305">
        <f>step3_validation[[#This Row],[AI_TRU1]]</f>
        <v>7</v>
      </c>
      <c r="AL305">
        <f t="shared" si="120"/>
        <v>0.66666666666666663</v>
      </c>
      <c r="AM305">
        <f>survey_responses[[#This Row],[Tôi tin rằng Nhà nước, cơ quan thuế sẽ thực thi chính sách mới một cách khách quan, công tâm và đối xử bình đẳng với mọi người nộp thuế.  - HUMAN-TRU1]]</f>
        <v>10</v>
      </c>
      <c r="AN305">
        <f t="shared" si="121"/>
        <v>1</v>
      </c>
      <c r="AO305">
        <f>step3_validation[[#This Row],[AI_TRU2]]</f>
        <v>9</v>
      </c>
      <c r="AP305">
        <f t="shared" si="122"/>
        <v>0.88888888888888884</v>
      </c>
      <c r="AQ305">
        <f>survey_responses[[#This Row],[Tôi thấy mức thuế tôi phải đóng theo phương án mới là công bằng (người thu nhập như tôi đóng mức này là hợp lý). - HUMAN-TRU2]]</f>
        <v>10</v>
      </c>
      <c r="AR305">
        <f t="shared" si="123"/>
        <v>1</v>
      </c>
      <c r="AS305">
        <f>step3_validation[[#This Row],[AI_TRU3]]</f>
        <v>7</v>
      </c>
      <c r="AT305">
        <f t="shared" si="124"/>
        <v>0.66666666666666663</v>
      </c>
      <c r="AU305">
        <f>survey_responses[[#This Row],[Tôi tin tưởng số tiền thuế tôi đóng sẽ được Nhà nước sử dụng hiệu quả để cải thiện dịch vụ công (y tế, đường xá...). - HUMAN-TRU3]]</f>
        <v>10</v>
      </c>
      <c r="AV305">
        <f t="shared" si="125"/>
        <v>1</v>
      </c>
      <c r="AW305">
        <f>step3_validation[[#This Row],[AI_TRU4]]</f>
        <v>6</v>
      </c>
      <c r="AX305">
        <f t="shared" si="126"/>
        <v>0.55555555555555558</v>
      </c>
      <c r="AY305">
        <f>survey_responses[[#This Row],[Tôi thấy Nhà nước đã giải thích rõ ràng, minh bạch về lý do và mục tiêu của việc sửa đổi thuế lần này. - HUMAN-TRU4]]</f>
        <v>10</v>
      </c>
      <c r="AZ305">
        <f t="shared" si="127"/>
        <v>1</v>
      </c>
      <c r="BA305" s="32">
        <f t="shared" si="128"/>
        <v>0.69444444444444442</v>
      </c>
      <c r="BB305" s="32">
        <f t="shared" si="129"/>
        <v>1</v>
      </c>
      <c r="BC305" s="7">
        <f t="shared" si="130"/>
        <v>0.71296296296296291</v>
      </c>
      <c r="BD305" s="7">
        <f t="shared" si="131"/>
        <v>1</v>
      </c>
      <c r="BE305">
        <f>step3_validation[[#This Row],[AI_OUT1]]</f>
        <v>9</v>
      </c>
      <c r="BF305">
        <f t="shared" si="132"/>
        <v>0.88888888888888884</v>
      </c>
      <c r="BG305">
        <f>survey_responses[[#This Row],[Sau khi xem xét các quyền lợi và nghĩa vụ, bạn có ủng hộ và tuân thủ chính sách mới hiện nay? - HUMAN-OUT1]]</f>
        <v>10</v>
      </c>
      <c r="BH305">
        <f t="shared" si="133"/>
        <v>1</v>
      </c>
      <c r="BI305" s="32">
        <f t="shared" si="134"/>
        <v>1</v>
      </c>
    </row>
    <row r="306" spans="1:61" x14ac:dyDescent="0.45">
      <c r="A306" s="30">
        <f>step3_validation[[#This Row],[Persona_ID]]</f>
        <v>305</v>
      </c>
      <c r="B306" s="31">
        <f>step3_validation[[#This Row],[Used_Seed]]</f>
        <v>12649</v>
      </c>
      <c r="C306" t="str">
        <f>step3_validation[[#This Row],[Gender]]</f>
        <v>Nam</v>
      </c>
      <c r="D306" t="str">
        <f>survey_responses[[#This Row],[Giới tính của bạn:]]</f>
        <v>Nam</v>
      </c>
      <c r="E306" t="str">
        <f>step3_validation[[#This Row],[Age_Group]]</f>
        <v>30 - 39</v>
      </c>
      <c r="F306" t="str">
        <f>survey_responses[[#This Row],[Độ tuổi của bạn:]]</f>
        <v>30 - 39</v>
      </c>
      <c r="G306" t="str">
        <f>step3_validation[[#This Row],[Region]]</f>
        <v>Thành thị</v>
      </c>
      <c r="H306" t="str">
        <f>survey_responses[[#This Row],[Khu vực bạn đang sinh sống:]]</f>
        <v>Thành thị</v>
      </c>
      <c r="I306" t="str">
        <f>step3_validation[[#This Row],[Education]]</f>
        <v>Đại học</v>
      </c>
      <c r="J306" t="str">
        <f>survey_responses[[#This Row],[Trình độ học vấn cao nhất:]]</f>
        <v>Đại học</v>
      </c>
      <c r="K306" t="str">
        <f>step3_validation[[#This Row],[Employment]]</f>
        <v>Chính thức</v>
      </c>
      <c r="L306" t="str">
        <f>survey_responses[[#This Row],[Tình trạng việc làm chính:]]</f>
        <v>Khu vực chính thức (Có Hợp đồng lao động, đóng BHXH)</v>
      </c>
      <c r="M306">
        <f>step3_validation[[#This Row],[Income_Mil]]</f>
        <v>32.57063773134351</v>
      </c>
      <c r="N306" t="str">
        <f>survey_responses[[#This Row],[Thu nhập bình quân tháng theo Hợp đồng lao động của bạn là bao nhiêu? (Vui lòng điền tổng thu nhập trước khi khấu trừ các loại Bảo hiểm (BHXH, BHYT, BHTN) và Thuế TNCN)]]</f>
        <v>Từ 32 - 48 triệu VNĐ</v>
      </c>
      <c r="O306">
        <f>step3_validation[[#This Row],[Dependents]]</f>
        <v>0</v>
      </c>
      <c r="P306" t="str">
        <f>survey_responses[[#This Row],[Số người phụ thuộc (con nhỏ, cha mẹ già...) đủ điều kiện giảm trừ gia cảnh:]]</f>
        <v>0 người</v>
      </c>
      <c r="Q306">
        <f>step3_validation[[#This Row],[AI_ENF1]]</f>
        <v>7</v>
      </c>
      <c r="R306">
        <f t="shared" si="108"/>
        <v>0.66666666666666663</v>
      </c>
      <c r="S306">
        <f>survey_responses[[#This Row],[Tôi tin rằng với các quy định quản lý thuế hiện nay, hành vi gian lận hoặc trốn thuế sẽ dễ dàng bị phát hiện và xử lý nghiêm. - HUMAN-ENF1]]</f>
        <v>7</v>
      </c>
      <c r="T306">
        <f t="shared" si="109"/>
        <v>0.66666666666666663</v>
      </c>
      <c r="U306">
        <f>step3_validation[[#This Row],[AI_ENF2]]</f>
        <v>6</v>
      </c>
      <c r="V306">
        <f t="shared" si="110"/>
        <v>0.55555555555555558</v>
      </c>
      <c r="W306">
        <f>survey_responses[[#This Row],[Tôi tin rằng Nhà nước, cơ quan thuế có đủ khả năng và công nghệ để phát hiện, xử lý nghiêm các hành vi trốn thuế. - HUMAN-ENF2]]</f>
        <v>9</v>
      </c>
      <c r="X306">
        <f t="shared" si="111"/>
        <v>0.88888888888888884</v>
      </c>
      <c r="Y306" s="32">
        <f t="shared" si="112"/>
        <v>0.61111111111111116</v>
      </c>
      <c r="Z306" s="32">
        <f t="shared" si="113"/>
        <v>0.77777777777777768</v>
      </c>
      <c r="AA306">
        <f>step3_validation[[#This Row],[AI_FAC1]]</f>
        <v>7</v>
      </c>
      <c r="AB306">
        <f t="shared" si="114"/>
        <v>0.66666666666666663</v>
      </c>
      <c r="AC306">
        <f>survey_responses[[#This Row],[Các thủ tục khai báo thuế VÀ/HOẶC quy trình làm việc với cơ quan thuế đơn giản, tiện lợi, nhanh chóng hơn so với trước đây. - HUMAN-FAC1]]</f>
        <v>8</v>
      </c>
      <c r="AD306">
        <f t="shared" si="115"/>
        <v>0.77777777777777779</v>
      </c>
      <c r="AE306">
        <f>step3_validation[[#This Row],[AI_FAC2]]</f>
        <v>8</v>
      </c>
      <c r="AF306">
        <f t="shared" si="116"/>
        <v>0.77777777777777779</v>
      </c>
      <c r="AG306">
        <f>survey_responses[[#This Row],[So với trước đây, tôi thấy cách tính thuế và các bậc thuế trong phương án mới đơn giản, dễ hiểu và dễ thực hiện hơn. - HUMAN-FAC2]]</f>
        <v>6</v>
      </c>
      <c r="AH306">
        <f t="shared" si="117"/>
        <v>0.55555555555555558</v>
      </c>
      <c r="AI306" s="32">
        <f t="shared" si="118"/>
        <v>0.72222222222222221</v>
      </c>
      <c r="AJ306" s="32">
        <f t="shared" si="119"/>
        <v>0.66666666666666674</v>
      </c>
      <c r="AK306">
        <f>step3_validation[[#This Row],[AI_TRU1]]</f>
        <v>6</v>
      </c>
      <c r="AL306">
        <f t="shared" si="120"/>
        <v>0.55555555555555558</v>
      </c>
      <c r="AM306">
        <f>survey_responses[[#This Row],[Tôi tin rằng Nhà nước, cơ quan thuế sẽ thực thi chính sách mới một cách khách quan, công tâm và đối xử bình đẳng với mọi người nộp thuế.  - HUMAN-TRU1]]</f>
        <v>5</v>
      </c>
      <c r="AN306">
        <f t="shared" si="121"/>
        <v>0.44444444444444442</v>
      </c>
      <c r="AO306">
        <f>step3_validation[[#This Row],[AI_TRU2]]</f>
        <v>8</v>
      </c>
      <c r="AP306">
        <f t="shared" si="122"/>
        <v>0.77777777777777779</v>
      </c>
      <c r="AQ306">
        <f>survey_responses[[#This Row],[Tôi thấy mức thuế tôi phải đóng theo phương án mới là công bằng (người thu nhập như tôi đóng mức này là hợp lý). - HUMAN-TRU2]]</f>
        <v>3</v>
      </c>
      <c r="AR306">
        <f t="shared" si="123"/>
        <v>0.22222222222222221</v>
      </c>
      <c r="AS306">
        <f>step3_validation[[#This Row],[AI_TRU3]]</f>
        <v>6</v>
      </c>
      <c r="AT306">
        <f t="shared" si="124"/>
        <v>0.55555555555555558</v>
      </c>
      <c r="AU306">
        <f>survey_responses[[#This Row],[Tôi tin tưởng số tiền thuế tôi đóng sẽ được Nhà nước sử dụng hiệu quả để cải thiện dịch vụ công (y tế, đường xá...). - HUMAN-TRU3]]</f>
        <v>9</v>
      </c>
      <c r="AV306">
        <f t="shared" si="125"/>
        <v>0.88888888888888884</v>
      </c>
      <c r="AW306">
        <f>step3_validation[[#This Row],[AI_TRU4]]</f>
        <v>7</v>
      </c>
      <c r="AX306">
        <f t="shared" si="126"/>
        <v>0.66666666666666663</v>
      </c>
      <c r="AY306">
        <f>survey_responses[[#This Row],[Tôi thấy Nhà nước đã giải thích rõ ràng, minh bạch về lý do và mục tiêu của việc sửa đổi thuế lần này. - HUMAN-TRU4]]</f>
        <v>3</v>
      </c>
      <c r="AZ306">
        <f t="shared" si="127"/>
        <v>0.22222222222222221</v>
      </c>
      <c r="BA306" s="32">
        <f t="shared" si="128"/>
        <v>0.63888888888888895</v>
      </c>
      <c r="BB306" s="32">
        <f t="shared" si="129"/>
        <v>0.44444444444444442</v>
      </c>
      <c r="BC306" s="7">
        <f t="shared" si="130"/>
        <v>0.65740740740740744</v>
      </c>
      <c r="BD306" s="7">
        <f t="shared" si="131"/>
        <v>0.62962962962962965</v>
      </c>
      <c r="BE306">
        <f>step3_validation[[#This Row],[AI_OUT1]]</f>
        <v>8</v>
      </c>
      <c r="BF306">
        <f t="shared" si="132"/>
        <v>0.77777777777777779</v>
      </c>
      <c r="BG306">
        <f>survey_responses[[#This Row],[Sau khi xem xét các quyền lợi và nghĩa vụ, bạn có ủng hộ và tuân thủ chính sách mới hiện nay? - HUMAN-OUT1]]</f>
        <v>4</v>
      </c>
      <c r="BH306">
        <f t="shared" si="133"/>
        <v>0.33333333333333331</v>
      </c>
      <c r="BI306" s="32">
        <f t="shared" si="134"/>
        <v>4</v>
      </c>
    </row>
    <row r="307" spans="1:61" x14ac:dyDescent="0.45">
      <c r="A307" s="30">
        <f>step3_validation[[#This Row],[Persona_ID]]</f>
        <v>306</v>
      </c>
      <c r="B307" s="31">
        <f>step3_validation[[#This Row],[Used_Seed]]</f>
        <v>12650</v>
      </c>
      <c r="C307" t="str">
        <f>step3_validation[[#This Row],[Gender]]</f>
        <v>Nữ</v>
      </c>
      <c r="D307" t="str">
        <f>survey_responses[[#This Row],[Giới tính của bạn:]]</f>
        <v>Nữ</v>
      </c>
      <c r="E307" t="str">
        <f>step3_validation[[#This Row],[Age_Group]]</f>
        <v>40 - 49</v>
      </c>
      <c r="F307" t="str">
        <f>survey_responses[[#This Row],[Độ tuổi của bạn:]]</f>
        <v>40 - 49</v>
      </c>
      <c r="G307" t="str">
        <f>step3_validation[[#This Row],[Region]]</f>
        <v>Thành thị</v>
      </c>
      <c r="H307" t="str">
        <f>survey_responses[[#This Row],[Khu vực bạn đang sinh sống:]]</f>
        <v>Thành thị</v>
      </c>
      <c r="I307" t="str">
        <f>step3_validation[[#This Row],[Education]]</f>
        <v>Đại học</v>
      </c>
      <c r="J307" t="str">
        <f>survey_responses[[#This Row],[Trình độ học vấn cao nhất:]]</f>
        <v>Đại học</v>
      </c>
      <c r="K307" t="str">
        <f>step3_validation[[#This Row],[Employment]]</f>
        <v>Chính thức</v>
      </c>
      <c r="L307" t="str">
        <f>survey_responses[[#This Row],[Tình trạng việc làm chính:]]</f>
        <v>Khu vực chính thức (Có Hợp đồng lao động, đóng BHXH)</v>
      </c>
      <c r="M307">
        <f>step3_validation[[#This Row],[Income_Mil]]</f>
        <v>67.890443679752039</v>
      </c>
      <c r="N307" t="str">
        <f>survey_responses[[#This Row],[Thu nhập bình quân tháng theo Hợp đồng lao động của bạn là bao nhiêu? (Vui lòng điền tổng thu nhập trước khi khấu trừ các loại Bảo hiểm (BHXH, BHYT, BHTN) và Thuế TNCN)]]</f>
        <v>Từ 48 - 70 triệu VNĐ</v>
      </c>
      <c r="O307">
        <f>step3_validation[[#This Row],[Dependents]]</f>
        <v>3</v>
      </c>
      <c r="P307" t="str">
        <f>survey_responses[[#This Row],[Số người phụ thuộc (con nhỏ, cha mẹ già...) đủ điều kiện giảm trừ gia cảnh:]]</f>
        <v>3 người</v>
      </c>
      <c r="Q307">
        <f>step3_validation[[#This Row],[AI_ENF1]]</f>
        <v>6</v>
      </c>
      <c r="R307">
        <f t="shared" si="108"/>
        <v>0.55555555555555558</v>
      </c>
      <c r="S307">
        <f>survey_responses[[#This Row],[Tôi tin rằng với các quy định quản lý thuế hiện nay, hành vi gian lận hoặc trốn thuế sẽ dễ dàng bị phát hiện và xử lý nghiêm. - HUMAN-ENF1]]</f>
        <v>3</v>
      </c>
      <c r="T307">
        <f t="shared" si="109"/>
        <v>0.22222222222222221</v>
      </c>
      <c r="U307">
        <f>step3_validation[[#This Row],[AI_ENF2]]</f>
        <v>5</v>
      </c>
      <c r="V307">
        <f t="shared" si="110"/>
        <v>0.44444444444444442</v>
      </c>
      <c r="W307">
        <f>survey_responses[[#This Row],[Tôi tin rằng Nhà nước, cơ quan thuế có đủ khả năng và công nghệ để phát hiện, xử lý nghiêm các hành vi trốn thuế. - HUMAN-ENF2]]</f>
        <v>8</v>
      </c>
      <c r="X307">
        <f t="shared" si="111"/>
        <v>0.77777777777777779</v>
      </c>
      <c r="Y307" s="32">
        <f t="shared" si="112"/>
        <v>0.5</v>
      </c>
      <c r="Z307" s="32">
        <f t="shared" si="113"/>
        <v>0.5</v>
      </c>
      <c r="AA307">
        <f>step3_validation[[#This Row],[AI_FAC1]]</f>
        <v>8</v>
      </c>
      <c r="AB307">
        <f t="shared" si="114"/>
        <v>0.77777777777777779</v>
      </c>
      <c r="AC307">
        <f>survey_responses[[#This Row],[Các thủ tục khai báo thuế VÀ/HOẶC quy trình làm việc với cơ quan thuế đơn giản, tiện lợi, nhanh chóng hơn so với trước đây. - HUMAN-FAC1]]</f>
        <v>8</v>
      </c>
      <c r="AD307">
        <f t="shared" si="115"/>
        <v>0.77777777777777779</v>
      </c>
      <c r="AE307">
        <f>step3_validation[[#This Row],[AI_FAC2]]</f>
        <v>9</v>
      </c>
      <c r="AF307">
        <f t="shared" si="116"/>
        <v>0.88888888888888884</v>
      </c>
      <c r="AG307">
        <f>survey_responses[[#This Row],[So với trước đây, tôi thấy cách tính thuế và các bậc thuế trong phương án mới đơn giản, dễ hiểu và dễ thực hiện hơn. - HUMAN-FAC2]]</f>
        <v>4</v>
      </c>
      <c r="AH307">
        <f t="shared" si="117"/>
        <v>0.33333333333333331</v>
      </c>
      <c r="AI307" s="32">
        <f t="shared" si="118"/>
        <v>0.83333333333333326</v>
      </c>
      <c r="AJ307" s="32">
        <f t="shared" si="119"/>
        <v>0.55555555555555558</v>
      </c>
      <c r="AK307">
        <f>step3_validation[[#This Row],[AI_TRU1]]</f>
        <v>7</v>
      </c>
      <c r="AL307">
        <f t="shared" si="120"/>
        <v>0.66666666666666663</v>
      </c>
      <c r="AM307">
        <f>survey_responses[[#This Row],[Tôi tin rằng Nhà nước, cơ quan thuế sẽ thực thi chính sách mới một cách khách quan, công tâm và đối xử bình đẳng với mọi người nộp thuế.  - HUMAN-TRU1]]</f>
        <v>4</v>
      </c>
      <c r="AN307">
        <f t="shared" si="121"/>
        <v>0.33333333333333331</v>
      </c>
      <c r="AO307">
        <f>step3_validation[[#This Row],[AI_TRU2]]</f>
        <v>9</v>
      </c>
      <c r="AP307">
        <f t="shared" si="122"/>
        <v>0.88888888888888884</v>
      </c>
      <c r="AQ307">
        <f>survey_responses[[#This Row],[Tôi thấy mức thuế tôi phải đóng theo phương án mới là công bằng (người thu nhập như tôi đóng mức này là hợp lý). - HUMAN-TRU2]]</f>
        <v>3</v>
      </c>
      <c r="AR307">
        <f t="shared" si="123"/>
        <v>0.22222222222222221</v>
      </c>
      <c r="AS307">
        <f>step3_validation[[#This Row],[AI_TRU3]]</f>
        <v>8</v>
      </c>
      <c r="AT307">
        <f t="shared" si="124"/>
        <v>0.77777777777777779</v>
      </c>
      <c r="AU307">
        <f>survey_responses[[#This Row],[Tôi tin tưởng số tiền thuế tôi đóng sẽ được Nhà nước sử dụng hiệu quả để cải thiện dịch vụ công (y tế, đường xá...). - HUMAN-TRU3]]</f>
        <v>7</v>
      </c>
      <c r="AV307">
        <f t="shared" si="125"/>
        <v>0.66666666666666663</v>
      </c>
      <c r="AW307">
        <f>step3_validation[[#This Row],[AI_TRU4]]</f>
        <v>7</v>
      </c>
      <c r="AX307">
        <f t="shared" si="126"/>
        <v>0.66666666666666663</v>
      </c>
      <c r="AY307">
        <f>survey_responses[[#This Row],[Tôi thấy Nhà nước đã giải thích rõ ràng, minh bạch về lý do và mục tiêu của việc sửa đổi thuế lần này. - HUMAN-TRU4]]</f>
        <v>5</v>
      </c>
      <c r="AZ307">
        <f t="shared" si="127"/>
        <v>0.44444444444444442</v>
      </c>
      <c r="BA307" s="32">
        <f t="shared" si="128"/>
        <v>0.74999999999999989</v>
      </c>
      <c r="BB307" s="32">
        <f t="shared" si="129"/>
        <v>0.41666666666666669</v>
      </c>
      <c r="BC307" s="7">
        <f t="shared" si="130"/>
        <v>0.69444444444444431</v>
      </c>
      <c r="BD307" s="7">
        <f t="shared" si="131"/>
        <v>0.49074074074074076</v>
      </c>
      <c r="BE307">
        <f>step3_validation[[#This Row],[AI_OUT1]]</f>
        <v>9</v>
      </c>
      <c r="BF307">
        <f t="shared" si="132"/>
        <v>0.88888888888888884</v>
      </c>
      <c r="BG307">
        <f>survey_responses[[#This Row],[Sau khi xem xét các quyền lợi và nghĩa vụ, bạn có ủng hộ và tuân thủ chính sách mới hiện nay? - HUMAN-OUT1]]</f>
        <v>5</v>
      </c>
      <c r="BH307">
        <f t="shared" si="133"/>
        <v>0.44444444444444442</v>
      </c>
      <c r="BI307" s="32">
        <f t="shared" si="134"/>
        <v>4</v>
      </c>
    </row>
    <row r="308" spans="1:61" x14ac:dyDescent="0.45">
      <c r="A308" s="30">
        <f>step3_validation[[#This Row],[Persona_ID]]</f>
        <v>307</v>
      </c>
      <c r="B308" s="31">
        <f>step3_validation[[#This Row],[Used_Seed]]</f>
        <v>12651</v>
      </c>
      <c r="C308" t="str">
        <f>step3_validation[[#This Row],[Gender]]</f>
        <v>Nữ</v>
      </c>
      <c r="D308" t="str">
        <f>survey_responses[[#This Row],[Giới tính của bạn:]]</f>
        <v>Nữ</v>
      </c>
      <c r="E308" t="str">
        <f>step3_validation[[#This Row],[Age_Group]]</f>
        <v>55 - 64</v>
      </c>
      <c r="F308" t="str">
        <f>survey_responses[[#This Row],[Độ tuổi của bạn:]]</f>
        <v>55 - 64</v>
      </c>
      <c r="G308" t="str">
        <f>step3_validation[[#This Row],[Region]]</f>
        <v>Thành thị</v>
      </c>
      <c r="H308" t="str">
        <f>survey_responses[[#This Row],[Khu vực bạn đang sinh sống:]]</f>
        <v>Thành thị</v>
      </c>
      <c r="I308" t="str">
        <f>step3_validation[[#This Row],[Education]]</f>
        <v>Sau Đại học</v>
      </c>
      <c r="J308" t="str">
        <f>survey_responses[[#This Row],[Trình độ học vấn cao nhất:]]</f>
        <v>Sau Đại học</v>
      </c>
      <c r="K308" t="str">
        <f>step3_validation[[#This Row],[Employment]]</f>
        <v>Phi chính thức</v>
      </c>
      <c r="L308" t="str">
        <f>survey_responses[[#This Row],[Tình trạng việc làm chính:]]</f>
        <v>Khác (Về hưu, nội trợ, sinh viên)</v>
      </c>
      <c r="M308">
        <f>step3_validation[[#This Row],[Income_Mil]]</f>
        <v>12.333176127212651</v>
      </c>
      <c r="N308" t="str">
        <f>survey_responses[[#This Row],[Thu nhập bình quân tháng theo Hợp đồng lao động của bạn là bao nhiêu? (Vui lòng điền tổng thu nhập trước khi khấu trừ các loại Bảo hiểm (BHXH, BHYT, BHTN) và Thuế TNCN)]]</f>
        <v>Từ 12 - 18 triệu VNĐ</v>
      </c>
      <c r="O308">
        <f>step3_validation[[#This Row],[Dependents]]</f>
        <v>2</v>
      </c>
      <c r="P308" t="str">
        <f>survey_responses[[#This Row],[Số người phụ thuộc (con nhỏ, cha mẹ già...) đủ điều kiện giảm trừ gia cảnh:]]</f>
        <v>2 người</v>
      </c>
      <c r="Q308">
        <f>step3_validation[[#This Row],[AI_ENF1]]</f>
        <v>5</v>
      </c>
      <c r="R308">
        <f t="shared" si="108"/>
        <v>0.44444444444444442</v>
      </c>
      <c r="S308">
        <f>survey_responses[[#This Row],[Tôi tin rằng với các quy định quản lý thuế hiện nay, hành vi gian lận hoặc trốn thuế sẽ dễ dàng bị phát hiện và xử lý nghiêm. - HUMAN-ENF1]]</f>
        <v>2</v>
      </c>
      <c r="T308">
        <f t="shared" si="109"/>
        <v>0.1111111111111111</v>
      </c>
      <c r="U308">
        <f>step3_validation[[#This Row],[AI_ENF2]]</f>
        <v>5</v>
      </c>
      <c r="V308">
        <f t="shared" si="110"/>
        <v>0.44444444444444442</v>
      </c>
      <c r="W308">
        <f>survey_responses[[#This Row],[Tôi tin rằng Nhà nước, cơ quan thuế có đủ khả năng và công nghệ để phát hiện, xử lý nghiêm các hành vi trốn thuế. - HUMAN-ENF2]]</f>
        <v>2</v>
      </c>
      <c r="X308">
        <f t="shared" si="111"/>
        <v>0.1111111111111111</v>
      </c>
      <c r="Y308" s="32">
        <f t="shared" si="112"/>
        <v>0.44444444444444442</v>
      </c>
      <c r="Z308" s="32">
        <f t="shared" si="113"/>
        <v>0.1111111111111111</v>
      </c>
      <c r="AA308">
        <f>step3_validation[[#This Row],[AI_FAC1]]</f>
        <v>8</v>
      </c>
      <c r="AB308">
        <f t="shared" si="114"/>
        <v>0.77777777777777779</v>
      </c>
      <c r="AC308">
        <f>survey_responses[[#This Row],[Các thủ tục khai báo thuế VÀ/HOẶC quy trình làm việc với cơ quan thuế đơn giản, tiện lợi, nhanh chóng hơn so với trước đây. - HUMAN-FAC1]]</f>
        <v>2</v>
      </c>
      <c r="AD308">
        <f t="shared" si="115"/>
        <v>0.1111111111111111</v>
      </c>
      <c r="AE308">
        <f>step3_validation[[#This Row],[AI_FAC2]]</f>
        <v>7</v>
      </c>
      <c r="AF308">
        <f t="shared" si="116"/>
        <v>0.66666666666666663</v>
      </c>
      <c r="AG308">
        <f>survey_responses[[#This Row],[So với trước đây, tôi thấy cách tính thuế và các bậc thuế trong phương án mới đơn giản, dễ hiểu và dễ thực hiện hơn. - HUMAN-FAC2]]</f>
        <v>1</v>
      </c>
      <c r="AH308">
        <f t="shared" si="117"/>
        <v>0</v>
      </c>
      <c r="AI308" s="32">
        <f t="shared" si="118"/>
        <v>0.72222222222222221</v>
      </c>
      <c r="AJ308" s="32">
        <f t="shared" si="119"/>
        <v>5.5555555555555552E-2</v>
      </c>
      <c r="AK308">
        <f>step3_validation[[#This Row],[AI_TRU1]]</f>
        <v>8</v>
      </c>
      <c r="AL308">
        <f t="shared" si="120"/>
        <v>0.77777777777777779</v>
      </c>
      <c r="AM308">
        <f>survey_responses[[#This Row],[Tôi tin rằng Nhà nước, cơ quan thuế sẽ thực thi chính sách mới một cách khách quan, công tâm và đối xử bình đẳng với mọi người nộp thuế.  - HUMAN-TRU1]]</f>
        <v>2</v>
      </c>
      <c r="AN308">
        <f t="shared" si="121"/>
        <v>0.1111111111111111</v>
      </c>
      <c r="AO308">
        <f>step3_validation[[#This Row],[AI_TRU2]]</f>
        <v>9</v>
      </c>
      <c r="AP308">
        <f t="shared" si="122"/>
        <v>0.88888888888888884</v>
      </c>
      <c r="AQ308">
        <f>survey_responses[[#This Row],[Tôi thấy mức thuế tôi phải đóng theo phương án mới là công bằng (người thu nhập như tôi đóng mức này là hợp lý). - HUMAN-TRU2]]</f>
        <v>2</v>
      </c>
      <c r="AR308">
        <f t="shared" si="123"/>
        <v>0.1111111111111111</v>
      </c>
      <c r="AS308">
        <f>step3_validation[[#This Row],[AI_TRU3]]</f>
        <v>7</v>
      </c>
      <c r="AT308">
        <f t="shared" si="124"/>
        <v>0.66666666666666663</v>
      </c>
      <c r="AU308">
        <f>survey_responses[[#This Row],[Tôi tin tưởng số tiền thuế tôi đóng sẽ được Nhà nước sử dụng hiệu quả để cải thiện dịch vụ công (y tế, đường xá...). - HUMAN-TRU3]]</f>
        <v>2</v>
      </c>
      <c r="AV308">
        <f t="shared" si="125"/>
        <v>0.1111111111111111</v>
      </c>
      <c r="AW308">
        <f>step3_validation[[#This Row],[AI_TRU4]]</f>
        <v>8</v>
      </c>
      <c r="AX308">
        <f t="shared" si="126"/>
        <v>0.77777777777777779</v>
      </c>
      <c r="AY308">
        <f>survey_responses[[#This Row],[Tôi thấy Nhà nước đã giải thích rõ ràng, minh bạch về lý do và mục tiêu của việc sửa đổi thuế lần này. - HUMAN-TRU4]]</f>
        <v>2</v>
      </c>
      <c r="AZ308">
        <f t="shared" si="127"/>
        <v>0.1111111111111111</v>
      </c>
      <c r="BA308" s="32">
        <f t="shared" si="128"/>
        <v>0.77777777777777768</v>
      </c>
      <c r="BB308" s="32">
        <f t="shared" si="129"/>
        <v>0.1111111111111111</v>
      </c>
      <c r="BC308" s="7">
        <f t="shared" si="130"/>
        <v>0.64814814814814803</v>
      </c>
      <c r="BD308" s="7">
        <f t="shared" si="131"/>
        <v>9.2592592592592601E-2</v>
      </c>
      <c r="BE308">
        <f>step3_validation[[#This Row],[AI_OUT1]]</f>
        <v>9</v>
      </c>
      <c r="BF308">
        <f t="shared" si="132"/>
        <v>0.88888888888888884</v>
      </c>
      <c r="BG308">
        <f>survey_responses[[#This Row],[Sau khi xem xét các quyền lợi và nghĩa vụ, bạn có ủng hộ và tuân thủ chính sách mới hiện nay? - HUMAN-OUT1]]</f>
        <v>2</v>
      </c>
      <c r="BH308">
        <f t="shared" si="133"/>
        <v>0.1111111111111111</v>
      </c>
      <c r="BI308" s="32">
        <f t="shared" si="134"/>
        <v>7</v>
      </c>
    </row>
    <row r="309" spans="1:61" x14ac:dyDescent="0.45">
      <c r="A309" s="30">
        <f>step3_validation[[#This Row],[Persona_ID]]</f>
        <v>308</v>
      </c>
      <c r="B309" s="31">
        <f>step3_validation[[#This Row],[Used_Seed]]</f>
        <v>12652</v>
      </c>
      <c r="C309" t="str">
        <f>step3_validation[[#This Row],[Gender]]</f>
        <v>Nữ</v>
      </c>
      <c r="D309" t="str">
        <f>survey_responses[[#This Row],[Giới tính của bạn:]]</f>
        <v>Nữ</v>
      </c>
      <c r="E309" t="str">
        <f>step3_validation[[#This Row],[Age_Group]]</f>
        <v>40 - 49</v>
      </c>
      <c r="F309" t="str">
        <f>survey_responses[[#This Row],[Độ tuổi của bạn:]]</f>
        <v>40 - 49</v>
      </c>
      <c r="G309" t="str">
        <f>step3_validation[[#This Row],[Region]]</f>
        <v>Thành thị</v>
      </c>
      <c r="H309" t="str">
        <f>survey_responses[[#This Row],[Khu vực bạn đang sinh sống:]]</f>
        <v>Thành thị</v>
      </c>
      <c r="I309" t="str">
        <f>step3_validation[[#This Row],[Education]]</f>
        <v>Sau Đại học</v>
      </c>
      <c r="J309" t="str">
        <f>survey_responses[[#This Row],[Trình độ học vấn cao nhất:]]</f>
        <v>Sau Đại học</v>
      </c>
      <c r="K309" t="str">
        <f>step3_validation[[#This Row],[Employment]]</f>
        <v>Chính thức</v>
      </c>
      <c r="L309" t="str">
        <f>survey_responses[[#This Row],[Tình trạng việc làm chính:]]</f>
        <v>Khu vực chính thức (Có Hợp đồng lao động, đóng BHXH)</v>
      </c>
      <c r="M309">
        <f>step3_validation[[#This Row],[Income_Mil]]</f>
        <v>219.2113405072491</v>
      </c>
      <c r="N309" t="str">
        <f>survey_responses[[#This Row],[Thu nhập bình quân tháng theo Hợp đồng lao động của bạn là bao nhiêu? (Vui lòng điền tổng thu nhập trước khi khấu trừ các loại Bảo hiểm (BHXH, BHYT, BHTN) và Thuế TNCN)]]</f>
        <v>Trên 102 triệu VNĐ</v>
      </c>
      <c r="O309">
        <f>step3_validation[[#This Row],[Dependents]]</f>
        <v>2</v>
      </c>
      <c r="P309" t="str">
        <f>survey_responses[[#This Row],[Số người phụ thuộc (con nhỏ, cha mẹ già...) đủ điều kiện giảm trừ gia cảnh:]]</f>
        <v>2 người</v>
      </c>
      <c r="Q309">
        <f>step3_validation[[#This Row],[AI_ENF1]]</f>
        <v>6</v>
      </c>
      <c r="R309">
        <f t="shared" si="108"/>
        <v>0.55555555555555558</v>
      </c>
      <c r="S309">
        <f>survey_responses[[#This Row],[Tôi tin rằng với các quy định quản lý thuế hiện nay, hành vi gian lận hoặc trốn thuế sẽ dễ dàng bị phát hiện và xử lý nghiêm. - HUMAN-ENF1]]</f>
        <v>10</v>
      </c>
      <c r="T309">
        <f t="shared" si="109"/>
        <v>1</v>
      </c>
      <c r="U309">
        <f>step3_validation[[#This Row],[AI_ENF2]]</f>
        <v>7</v>
      </c>
      <c r="V309">
        <f t="shared" si="110"/>
        <v>0.66666666666666663</v>
      </c>
      <c r="W309">
        <f>survey_responses[[#This Row],[Tôi tin rằng Nhà nước, cơ quan thuế có đủ khả năng và công nghệ để phát hiện, xử lý nghiêm các hành vi trốn thuế. - HUMAN-ENF2]]</f>
        <v>8</v>
      </c>
      <c r="X309">
        <f t="shared" si="111"/>
        <v>0.77777777777777779</v>
      </c>
      <c r="Y309" s="32">
        <f t="shared" si="112"/>
        <v>0.61111111111111116</v>
      </c>
      <c r="Z309" s="32">
        <f t="shared" si="113"/>
        <v>0.88888888888888884</v>
      </c>
      <c r="AA309">
        <f>step3_validation[[#This Row],[AI_FAC1]]</f>
        <v>8</v>
      </c>
      <c r="AB309">
        <f t="shared" si="114"/>
        <v>0.77777777777777779</v>
      </c>
      <c r="AC309">
        <f>survey_responses[[#This Row],[Các thủ tục khai báo thuế VÀ/HOẶC quy trình làm việc với cơ quan thuế đơn giản, tiện lợi, nhanh chóng hơn so với trước đây. - HUMAN-FAC1]]</f>
        <v>8</v>
      </c>
      <c r="AD309">
        <f t="shared" si="115"/>
        <v>0.77777777777777779</v>
      </c>
      <c r="AE309">
        <f>step3_validation[[#This Row],[AI_FAC2]]</f>
        <v>9</v>
      </c>
      <c r="AF309">
        <f t="shared" si="116"/>
        <v>0.88888888888888884</v>
      </c>
      <c r="AG309">
        <f>survey_responses[[#This Row],[So với trước đây, tôi thấy cách tính thuế và các bậc thuế trong phương án mới đơn giản, dễ hiểu và dễ thực hiện hơn. - HUMAN-FAC2]]</f>
        <v>8</v>
      </c>
      <c r="AH309">
        <f t="shared" si="117"/>
        <v>0.77777777777777779</v>
      </c>
      <c r="AI309" s="32">
        <f t="shared" si="118"/>
        <v>0.83333333333333326</v>
      </c>
      <c r="AJ309" s="32">
        <f t="shared" si="119"/>
        <v>0.77777777777777779</v>
      </c>
      <c r="AK309">
        <f>step3_validation[[#This Row],[AI_TRU1]]</f>
        <v>8</v>
      </c>
      <c r="AL309">
        <f t="shared" si="120"/>
        <v>0.77777777777777779</v>
      </c>
      <c r="AM309">
        <f>survey_responses[[#This Row],[Tôi tin rằng Nhà nước, cơ quan thuế sẽ thực thi chính sách mới một cách khách quan, công tâm và đối xử bình đẳng với mọi người nộp thuế.  - HUMAN-TRU1]]</f>
        <v>10</v>
      </c>
      <c r="AN309">
        <f t="shared" si="121"/>
        <v>1</v>
      </c>
      <c r="AO309">
        <f>step3_validation[[#This Row],[AI_TRU2]]</f>
        <v>9</v>
      </c>
      <c r="AP309">
        <f t="shared" si="122"/>
        <v>0.88888888888888884</v>
      </c>
      <c r="AQ309">
        <f>survey_responses[[#This Row],[Tôi thấy mức thuế tôi phải đóng theo phương án mới là công bằng (người thu nhập như tôi đóng mức này là hợp lý). - HUMAN-TRU2]]</f>
        <v>10</v>
      </c>
      <c r="AR309">
        <f t="shared" si="123"/>
        <v>1</v>
      </c>
      <c r="AS309">
        <f>step3_validation[[#This Row],[AI_TRU3]]</f>
        <v>8</v>
      </c>
      <c r="AT309">
        <f t="shared" si="124"/>
        <v>0.77777777777777779</v>
      </c>
      <c r="AU309">
        <f>survey_responses[[#This Row],[Tôi tin tưởng số tiền thuế tôi đóng sẽ được Nhà nước sử dụng hiệu quả để cải thiện dịch vụ công (y tế, đường xá...). - HUMAN-TRU3]]</f>
        <v>6</v>
      </c>
      <c r="AV309">
        <f t="shared" si="125"/>
        <v>0.55555555555555558</v>
      </c>
      <c r="AW309">
        <f>step3_validation[[#This Row],[AI_TRU4]]</f>
        <v>9</v>
      </c>
      <c r="AX309">
        <f t="shared" si="126"/>
        <v>0.88888888888888884</v>
      </c>
      <c r="AY309">
        <f>survey_responses[[#This Row],[Tôi thấy Nhà nước đã giải thích rõ ràng, minh bạch về lý do và mục tiêu của việc sửa đổi thuế lần này. - HUMAN-TRU4]]</f>
        <v>8</v>
      </c>
      <c r="AZ309">
        <f t="shared" si="127"/>
        <v>0.77777777777777779</v>
      </c>
      <c r="BA309" s="32">
        <f t="shared" si="128"/>
        <v>0.83333333333333326</v>
      </c>
      <c r="BB309" s="32">
        <f t="shared" si="129"/>
        <v>0.83333333333333326</v>
      </c>
      <c r="BC309" s="7">
        <f t="shared" si="130"/>
        <v>0.75925925925925919</v>
      </c>
      <c r="BD309" s="7">
        <f t="shared" si="131"/>
        <v>0.83333333333333337</v>
      </c>
      <c r="BE309">
        <f>step3_validation[[#This Row],[AI_OUT1]]</f>
        <v>8</v>
      </c>
      <c r="BF309">
        <f t="shared" si="132"/>
        <v>0.77777777777777779</v>
      </c>
      <c r="BG309">
        <f>survey_responses[[#This Row],[Sau khi xem xét các quyền lợi và nghĩa vụ, bạn có ủng hộ và tuân thủ chính sách mới hiện nay? - HUMAN-OUT1]]</f>
        <v>8</v>
      </c>
      <c r="BH309">
        <f t="shared" si="133"/>
        <v>0.77777777777777779</v>
      </c>
      <c r="BI309" s="32">
        <f t="shared" si="134"/>
        <v>0</v>
      </c>
    </row>
    <row r="310" spans="1:61" x14ac:dyDescent="0.45">
      <c r="A310" s="30">
        <f>step3_validation[[#This Row],[Persona_ID]]</f>
        <v>309</v>
      </c>
      <c r="B310" s="31">
        <f>step3_validation[[#This Row],[Used_Seed]]</f>
        <v>12653</v>
      </c>
      <c r="C310" t="str">
        <f>step3_validation[[#This Row],[Gender]]</f>
        <v>Nam</v>
      </c>
      <c r="D310" t="str">
        <f>survey_responses[[#This Row],[Giới tính của bạn:]]</f>
        <v>Nam</v>
      </c>
      <c r="E310" t="str">
        <f>step3_validation[[#This Row],[Age_Group]]</f>
        <v>30 - 39</v>
      </c>
      <c r="F310" t="str">
        <f>survey_responses[[#This Row],[Độ tuổi của bạn:]]</f>
        <v>30 - 39</v>
      </c>
      <c r="G310" t="str">
        <f>step3_validation[[#This Row],[Region]]</f>
        <v>Thành thị</v>
      </c>
      <c r="H310" t="str">
        <f>survey_responses[[#This Row],[Khu vực bạn đang sinh sống:]]</f>
        <v>Thành thị</v>
      </c>
      <c r="I310" t="str">
        <f>step3_validation[[#This Row],[Education]]</f>
        <v>Đại học</v>
      </c>
      <c r="J310" t="str">
        <f>survey_responses[[#This Row],[Trình độ học vấn cao nhất:]]</f>
        <v>Đại học</v>
      </c>
      <c r="K310" t="str">
        <f>step3_validation[[#This Row],[Employment]]</f>
        <v>Chính thức</v>
      </c>
      <c r="L310" t="str">
        <f>survey_responses[[#This Row],[Tình trạng việc làm chính:]]</f>
        <v>Khu vực chính thức (Có Hợp đồng lao động, đóng BHXH)</v>
      </c>
      <c r="M310">
        <f>step3_validation[[#This Row],[Income_Mil]]</f>
        <v>57.593945901295918</v>
      </c>
      <c r="N310" t="str">
        <f>survey_responses[[#This Row],[Thu nhập bình quân tháng theo Hợp đồng lao động của bạn là bao nhiêu? (Vui lòng điền tổng thu nhập trước khi khấu trừ các loại Bảo hiểm (BHXH, BHYT, BHTN) và Thuế TNCN)]]</f>
        <v>Từ 48 - 70 triệu VNĐ</v>
      </c>
      <c r="O310">
        <f>step3_validation[[#This Row],[Dependents]]</f>
        <v>1</v>
      </c>
      <c r="P310" t="str">
        <f>survey_responses[[#This Row],[Số người phụ thuộc (con nhỏ, cha mẹ già...) đủ điều kiện giảm trừ gia cảnh:]]</f>
        <v>1 người</v>
      </c>
      <c r="Q310">
        <f>step3_validation[[#This Row],[AI_ENF1]]</f>
        <v>8</v>
      </c>
      <c r="R310">
        <f t="shared" si="108"/>
        <v>0.77777777777777779</v>
      </c>
      <c r="S310">
        <f>survey_responses[[#This Row],[Tôi tin rằng với các quy định quản lý thuế hiện nay, hành vi gian lận hoặc trốn thuế sẽ dễ dàng bị phát hiện và xử lý nghiêm. - HUMAN-ENF1]]</f>
        <v>10</v>
      </c>
      <c r="T310">
        <f t="shared" si="109"/>
        <v>1</v>
      </c>
      <c r="U310">
        <f>step3_validation[[#This Row],[AI_ENF2]]</f>
        <v>9</v>
      </c>
      <c r="V310">
        <f t="shared" si="110"/>
        <v>0.88888888888888884</v>
      </c>
      <c r="W310">
        <f>survey_responses[[#This Row],[Tôi tin rằng Nhà nước, cơ quan thuế có đủ khả năng và công nghệ để phát hiện, xử lý nghiêm các hành vi trốn thuế. - HUMAN-ENF2]]</f>
        <v>10</v>
      </c>
      <c r="X310">
        <f t="shared" si="111"/>
        <v>1</v>
      </c>
      <c r="Y310" s="32">
        <f t="shared" si="112"/>
        <v>0.83333333333333326</v>
      </c>
      <c r="Z310" s="32">
        <f t="shared" si="113"/>
        <v>1</v>
      </c>
      <c r="AA310">
        <f>step3_validation[[#This Row],[AI_FAC1]]</f>
        <v>7</v>
      </c>
      <c r="AB310">
        <f t="shared" si="114"/>
        <v>0.66666666666666663</v>
      </c>
      <c r="AC310">
        <f>survey_responses[[#This Row],[Các thủ tục khai báo thuế VÀ/HOẶC quy trình làm việc với cơ quan thuế đơn giản, tiện lợi, nhanh chóng hơn so với trước đây. - HUMAN-FAC1]]</f>
        <v>10</v>
      </c>
      <c r="AD310">
        <f t="shared" si="115"/>
        <v>1</v>
      </c>
      <c r="AE310">
        <f>step3_validation[[#This Row],[AI_FAC2]]</f>
        <v>9</v>
      </c>
      <c r="AF310">
        <f t="shared" si="116"/>
        <v>0.88888888888888884</v>
      </c>
      <c r="AG310">
        <f>survey_responses[[#This Row],[So với trước đây, tôi thấy cách tính thuế và các bậc thuế trong phương án mới đơn giản, dễ hiểu và dễ thực hiện hơn. - HUMAN-FAC2]]</f>
        <v>10</v>
      </c>
      <c r="AH310">
        <f t="shared" si="117"/>
        <v>1</v>
      </c>
      <c r="AI310" s="32">
        <f t="shared" si="118"/>
        <v>0.77777777777777768</v>
      </c>
      <c r="AJ310" s="32">
        <f t="shared" si="119"/>
        <v>1</v>
      </c>
      <c r="AK310">
        <f>step3_validation[[#This Row],[AI_TRU1]]</f>
        <v>8</v>
      </c>
      <c r="AL310">
        <f t="shared" si="120"/>
        <v>0.77777777777777779</v>
      </c>
      <c r="AM310">
        <f>survey_responses[[#This Row],[Tôi tin rằng Nhà nước, cơ quan thuế sẽ thực thi chính sách mới một cách khách quan, công tâm và đối xử bình đẳng với mọi người nộp thuế.  - HUMAN-TRU1]]</f>
        <v>10</v>
      </c>
      <c r="AN310">
        <f t="shared" si="121"/>
        <v>1</v>
      </c>
      <c r="AO310">
        <f>step3_validation[[#This Row],[AI_TRU2]]</f>
        <v>9</v>
      </c>
      <c r="AP310">
        <f t="shared" si="122"/>
        <v>0.88888888888888884</v>
      </c>
      <c r="AQ310">
        <f>survey_responses[[#This Row],[Tôi thấy mức thuế tôi phải đóng theo phương án mới là công bằng (người thu nhập như tôi đóng mức này là hợp lý). - HUMAN-TRU2]]</f>
        <v>9</v>
      </c>
      <c r="AR310">
        <f t="shared" si="123"/>
        <v>0.88888888888888884</v>
      </c>
      <c r="AS310">
        <f>step3_validation[[#This Row],[AI_TRU3]]</f>
        <v>8</v>
      </c>
      <c r="AT310">
        <f t="shared" si="124"/>
        <v>0.77777777777777779</v>
      </c>
      <c r="AU310">
        <f>survey_responses[[#This Row],[Tôi tin tưởng số tiền thuế tôi đóng sẽ được Nhà nước sử dụng hiệu quả để cải thiện dịch vụ công (y tế, đường xá...). - HUMAN-TRU3]]</f>
        <v>9</v>
      </c>
      <c r="AV310">
        <f t="shared" si="125"/>
        <v>0.88888888888888884</v>
      </c>
      <c r="AW310">
        <f>step3_validation[[#This Row],[AI_TRU4]]</f>
        <v>9</v>
      </c>
      <c r="AX310">
        <f t="shared" si="126"/>
        <v>0.88888888888888884</v>
      </c>
      <c r="AY310">
        <f>survey_responses[[#This Row],[Tôi thấy Nhà nước đã giải thích rõ ràng, minh bạch về lý do và mục tiêu của việc sửa đổi thuế lần này. - HUMAN-TRU4]]</f>
        <v>10</v>
      </c>
      <c r="AZ310">
        <f t="shared" si="127"/>
        <v>1</v>
      </c>
      <c r="BA310" s="32">
        <f t="shared" si="128"/>
        <v>0.83333333333333326</v>
      </c>
      <c r="BB310" s="32">
        <f t="shared" si="129"/>
        <v>0.94444444444444442</v>
      </c>
      <c r="BC310" s="7">
        <f t="shared" si="130"/>
        <v>0.81481481481481477</v>
      </c>
      <c r="BD310" s="7">
        <f t="shared" si="131"/>
        <v>0.98148148148148151</v>
      </c>
      <c r="BE310">
        <f>step3_validation[[#This Row],[AI_OUT1]]</f>
        <v>8</v>
      </c>
      <c r="BF310">
        <f t="shared" si="132"/>
        <v>0.77777777777777779</v>
      </c>
      <c r="BG310">
        <f>survey_responses[[#This Row],[Sau khi xem xét các quyền lợi và nghĩa vụ, bạn có ủng hộ và tuân thủ chính sách mới hiện nay? - HUMAN-OUT1]]</f>
        <v>10</v>
      </c>
      <c r="BH310">
        <f t="shared" si="133"/>
        <v>1</v>
      </c>
      <c r="BI310" s="32">
        <f t="shared" si="134"/>
        <v>2</v>
      </c>
    </row>
    <row r="311" spans="1:61" x14ac:dyDescent="0.45">
      <c r="A311" s="30">
        <f>step3_validation[[#This Row],[Persona_ID]]</f>
        <v>310</v>
      </c>
      <c r="B311" s="31">
        <f>step3_validation[[#This Row],[Used_Seed]]</f>
        <v>12654</v>
      </c>
      <c r="C311" t="str">
        <f>step3_validation[[#This Row],[Gender]]</f>
        <v>Nữ</v>
      </c>
      <c r="D311" t="str">
        <f>survey_responses[[#This Row],[Giới tính của bạn:]]</f>
        <v>Nữ</v>
      </c>
      <c r="E311" t="str">
        <f>step3_validation[[#This Row],[Age_Group]]</f>
        <v>18 - 24</v>
      </c>
      <c r="F311" t="str">
        <f>survey_responses[[#This Row],[Độ tuổi của bạn:]]</f>
        <v>18 - 24</v>
      </c>
      <c r="G311" t="str">
        <f>step3_validation[[#This Row],[Region]]</f>
        <v>Thành thị</v>
      </c>
      <c r="H311" t="str">
        <f>survey_responses[[#This Row],[Khu vực bạn đang sinh sống:]]</f>
        <v>Thành thị</v>
      </c>
      <c r="I311" t="str">
        <f>step3_validation[[#This Row],[Education]]</f>
        <v>Đại học</v>
      </c>
      <c r="J311" t="str">
        <f>survey_responses[[#This Row],[Trình độ học vấn cao nhất:]]</f>
        <v>Đại học</v>
      </c>
      <c r="K311" t="str">
        <f>step3_validation[[#This Row],[Employment]]</f>
        <v>Chính thức</v>
      </c>
      <c r="L311" t="str">
        <f>survey_responses[[#This Row],[Tình trạng việc làm chính:]]</f>
        <v>Khu vực chính thức (Có Hợp đồng lao động, đóng BHXH)</v>
      </c>
      <c r="M311">
        <f>step3_validation[[#This Row],[Income_Mil]]</f>
        <v>20.941939360557114</v>
      </c>
      <c r="N311" t="str">
        <f>survey_responses[[#This Row],[Thu nhập bình quân tháng theo Hợp đồng lao động của bạn là bao nhiêu? (Vui lòng điền tổng thu nhập trước khi khấu trừ các loại Bảo hiểm (BHXH, BHYT, BHTN) và Thuế TNCN)]]</f>
        <v>Từ 18 - 23 triệu VNĐ</v>
      </c>
      <c r="O311">
        <f>step3_validation[[#This Row],[Dependents]]</f>
        <v>0</v>
      </c>
      <c r="P311" t="str">
        <f>survey_responses[[#This Row],[Số người phụ thuộc (con nhỏ, cha mẹ già...) đủ điều kiện giảm trừ gia cảnh:]]</f>
        <v>0 người</v>
      </c>
      <c r="Q311">
        <f>step3_validation[[#This Row],[AI_ENF1]]</f>
        <v>7</v>
      </c>
      <c r="R311">
        <f t="shared" si="108"/>
        <v>0.66666666666666663</v>
      </c>
      <c r="S311">
        <f>survey_responses[[#This Row],[Tôi tin rằng với các quy định quản lý thuế hiện nay, hành vi gian lận hoặc trốn thuế sẽ dễ dàng bị phát hiện và xử lý nghiêm. - HUMAN-ENF1]]</f>
        <v>7</v>
      </c>
      <c r="T311">
        <f t="shared" si="109"/>
        <v>0.66666666666666663</v>
      </c>
      <c r="U311">
        <f>step3_validation[[#This Row],[AI_ENF2]]</f>
        <v>8</v>
      </c>
      <c r="V311">
        <f t="shared" si="110"/>
        <v>0.77777777777777779</v>
      </c>
      <c r="W311">
        <f>survey_responses[[#This Row],[Tôi tin rằng Nhà nước, cơ quan thuế có đủ khả năng và công nghệ để phát hiện, xử lý nghiêm các hành vi trốn thuế. - HUMAN-ENF2]]</f>
        <v>7</v>
      </c>
      <c r="X311">
        <f t="shared" si="111"/>
        <v>0.66666666666666663</v>
      </c>
      <c r="Y311" s="32">
        <f t="shared" si="112"/>
        <v>0.72222222222222221</v>
      </c>
      <c r="Z311" s="32">
        <f t="shared" si="113"/>
        <v>0.66666666666666663</v>
      </c>
      <c r="AA311">
        <f>step3_validation[[#This Row],[AI_FAC1]]</f>
        <v>7</v>
      </c>
      <c r="AB311">
        <f t="shared" si="114"/>
        <v>0.66666666666666663</v>
      </c>
      <c r="AC311">
        <f>survey_responses[[#This Row],[Các thủ tục khai báo thuế VÀ/HOẶC quy trình làm việc với cơ quan thuế đơn giản, tiện lợi, nhanh chóng hơn so với trước đây. - HUMAN-FAC1]]</f>
        <v>5</v>
      </c>
      <c r="AD311">
        <f t="shared" si="115"/>
        <v>0.44444444444444442</v>
      </c>
      <c r="AE311">
        <f>step3_validation[[#This Row],[AI_FAC2]]</f>
        <v>9</v>
      </c>
      <c r="AF311">
        <f t="shared" si="116"/>
        <v>0.88888888888888884</v>
      </c>
      <c r="AG311">
        <f>survey_responses[[#This Row],[So với trước đây, tôi thấy cách tính thuế và các bậc thuế trong phương án mới đơn giản, dễ hiểu và dễ thực hiện hơn. - HUMAN-FAC2]]</f>
        <v>8</v>
      </c>
      <c r="AH311">
        <f t="shared" si="117"/>
        <v>0.77777777777777779</v>
      </c>
      <c r="AI311" s="32">
        <f t="shared" si="118"/>
        <v>0.77777777777777768</v>
      </c>
      <c r="AJ311" s="32">
        <f t="shared" si="119"/>
        <v>0.61111111111111116</v>
      </c>
      <c r="AK311">
        <f>step3_validation[[#This Row],[AI_TRU1]]</f>
        <v>6</v>
      </c>
      <c r="AL311">
        <f t="shared" si="120"/>
        <v>0.55555555555555558</v>
      </c>
      <c r="AM311">
        <f>survey_responses[[#This Row],[Tôi tin rằng Nhà nước, cơ quan thuế sẽ thực thi chính sách mới một cách khách quan, công tâm và đối xử bình đẳng với mọi người nộp thuế.  - HUMAN-TRU1]]</f>
        <v>8</v>
      </c>
      <c r="AN311">
        <f t="shared" si="121"/>
        <v>0.77777777777777779</v>
      </c>
      <c r="AO311">
        <f>step3_validation[[#This Row],[AI_TRU2]]</f>
        <v>9</v>
      </c>
      <c r="AP311">
        <f t="shared" si="122"/>
        <v>0.88888888888888884</v>
      </c>
      <c r="AQ311">
        <f>survey_responses[[#This Row],[Tôi thấy mức thuế tôi phải đóng theo phương án mới là công bằng (người thu nhập như tôi đóng mức này là hợp lý). - HUMAN-TRU2]]</f>
        <v>9</v>
      </c>
      <c r="AR311">
        <f t="shared" si="123"/>
        <v>0.88888888888888884</v>
      </c>
      <c r="AS311">
        <f>step3_validation[[#This Row],[AI_TRU3]]</f>
        <v>8</v>
      </c>
      <c r="AT311">
        <f t="shared" si="124"/>
        <v>0.77777777777777779</v>
      </c>
      <c r="AU311">
        <f>survey_responses[[#This Row],[Tôi tin tưởng số tiền thuế tôi đóng sẽ được Nhà nước sử dụng hiệu quả để cải thiện dịch vụ công (y tế, đường xá...). - HUMAN-TRU3]]</f>
        <v>9</v>
      </c>
      <c r="AV311">
        <f t="shared" si="125"/>
        <v>0.88888888888888884</v>
      </c>
      <c r="AW311">
        <f>step3_validation[[#This Row],[AI_TRU4]]</f>
        <v>7</v>
      </c>
      <c r="AX311">
        <f t="shared" si="126"/>
        <v>0.66666666666666663</v>
      </c>
      <c r="AY311">
        <f>survey_responses[[#This Row],[Tôi thấy Nhà nước đã giải thích rõ ràng, minh bạch về lý do và mục tiêu của việc sửa đổi thuế lần này. - HUMAN-TRU4]]</f>
        <v>9</v>
      </c>
      <c r="AZ311">
        <f t="shared" si="127"/>
        <v>0.88888888888888884</v>
      </c>
      <c r="BA311" s="32">
        <f t="shared" si="128"/>
        <v>0.72222222222222221</v>
      </c>
      <c r="BB311" s="32">
        <f t="shared" si="129"/>
        <v>0.86111111111111105</v>
      </c>
      <c r="BC311" s="7">
        <f t="shared" si="130"/>
        <v>0.74074074074074081</v>
      </c>
      <c r="BD311" s="7">
        <f t="shared" si="131"/>
        <v>0.71296296296296291</v>
      </c>
      <c r="BE311">
        <f>step3_validation[[#This Row],[AI_OUT1]]</f>
        <v>9</v>
      </c>
      <c r="BF311">
        <f t="shared" si="132"/>
        <v>0.88888888888888884</v>
      </c>
      <c r="BG311">
        <f>survey_responses[[#This Row],[Sau khi xem xét các quyền lợi và nghĩa vụ, bạn có ủng hộ và tuân thủ chính sách mới hiện nay? - HUMAN-OUT1]]</f>
        <v>10</v>
      </c>
      <c r="BH311">
        <f t="shared" si="133"/>
        <v>1</v>
      </c>
      <c r="BI311" s="32">
        <f t="shared" si="134"/>
        <v>1</v>
      </c>
    </row>
    <row r="312" spans="1:61" x14ac:dyDescent="0.45">
      <c r="A312" s="30">
        <f>step3_validation[[#This Row],[Persona_ID]]</f>
        <v>311</v>
      </c>
      <c r="B312" s="31">
        <f>step3_validation[[#This Row],[Used_Seed]]</f>
        <v>12655</v>
      </c>
      <c r="C312" t="str">
        <f>step3_validation[[#This Row],[Gender]]</f>
        <v>Nữ</v>
      </c>
      <c r="D312" t="str">
        <f>survey_responses[[#This Row],[Giới tính của bạn:]]</f>
        <v>Nữ</v>
      </c>
      <c r="E312" t="str">
        <f>step3_validation[[#This Row],[Age_Group]]</f>
        <v>18 - 24</v>
      </c>
      <c r="F312" t="str">
        <f>survey_responses[[#This Row],[Độ tuổi của bạn:]]</f>
        <v>18 - 24</v>
      </c>
      <c r="G312" t="str">
        <f>step3_validation[[#This Row],[Region]]</f>
        <v>Thành thị</v>
      </c>
      <c r="H312" t="str">
        <f>survey_responses[[#This Row],[Khu vực bạn đang sinh sống:]]</f>
        <v>Thành thị</v>
      </c>
      <c r="I312" t="str">
        <f>step3_validation[[#This Row],[Education]]</f>
        <v>Đại học</v>
      </c>
      <c r="J312" t="str">
        <f>survey_responses[[#This Row],[Trình độ học vấn cao nhất:]]</f>
        <v>Đại học</v>
      </c>
      <c r="K312" t="str">
        <f>step3_validation[[#This Row],[Employment]]</f>
        <v>Chính thức</v>
      </c>
      <c r="L312" t="str">
        <f>survey_responses[[#This Row],[Tình trạng việc làm chính:]]</f>
        <v>Khu vực chính thức (Có Hợp đồng lao động, đóng BHXH)</v>
      </c>
      <c r="M312">
        <f>step3_validation[[#This Row],[Income_Mil]]</f>
        <v>16.669150897098412</v>
      </c>
      <c r="N312" t="str">
        <f>survey_responses[[#This Row],[Thu nhập bình quân tháng theo Hợp đồng lao động của bạn là bao nhiêu? (Vui lòng điền tổng thu nhập trước khi khấu trừ các loại Bảo hiểm (BHXH, BHYT, BHTN) và Thuế TNCN)]]</f>
        <v>Từ 12 - 18 triệu VNĐ</v>
      </c>
      <c r="O312">
        <f>step3_validation[[#This Row],[Dependents]]</f>
        <v>0</v>
      </c>
      <c r="P312" t="str">
        <f>survey_responses[[#This Row],[Số người phụ thuộc (con nhỏ, cha mẹ già...) đủ điều kiện giảm trừ gia cảnh:]]</f>
        <v>0 người</v>
      </c>
      <c r="Q312">
        <f>step3_validation[[#This Row],[AI_ENF1]]</f>
        <v>7</v>
      </c>
      <c r="R312">
        <f t="shared" si="108"/>
        <v>0.66666666666666663</v>
      </c>
      <c r="S312">
        <f>survey_responses[[#This Row],[Tôi tin rằng với các quy định quản lý thuế hiện nay, hành vi gian lận hoặc trốn thuế sẽ dễ dàng bị phát hiện và xử lý nghiêm. - HUMAN-ENF1]]</f>
        <v>6</v>
      </c>
      <c r="T312">
        <f t="shared" si="109"/>
        <v>0.55555555555555558</v>
      </c>
      <c r="U312">
        <f>step3_validation[[#This Row],[AI_ENF2]]</f>
        <v>6</v>
      </c>
      <c r="V312">
        <f t="shared" si="110"/>
        <v>0.55555555555555558</v>
      </c>
      <c r="W312">
        <f>survey_responses[[#This Row],[Tôi tin rằng Nhà nước, cơ quan thuế có đủ khả năng và công nghệ để phát hiện, xử lý nghiêm các hành vi trốn thuế. - HUMAN-ENF2]]</f>
        <v>5</v>
      </c>
      <c r="X312">
        <f t="shared" si="111"/>
        <v>0.44444444444444442</v>
      </c>
      <c r="Y312" s="32">
        <f t="shared" si="112"/>
        <v>0.61111111111111116</v>
      </c>
      <c r="Z312" s="32">
        <f t="shared" si="113"/>
        <v>0.5</v>
      </c>
      <c r="AA312">
        <f>step3_validation[[#This Row],[AI_FAC1]]</f>
        <v>8</v>
      </c>
      <c r="AB312">
        <f t="shared" si="114"/>
        <v>0.77777777777777779</v>
      </c>
      <c r="AC312">
        <f>survey_responses[[#This Row],[Các thủ tục khai báo thuế VÀ/HOẶC quy trình làm việc với cơ quan thuế đơn giản, tiện lợi, nhanh chóng hơn so với trước đây. - HUMAN-FAC1]]</f>
        <v>4</v>
      </c>
      <c r="AD312">
        <f t="shared" si="115"/>
        <v>0.33333333333333331</v>
      </c>
      <c r="AE312">
        <f>step3_validation[[#This Row],[AI_FAC2]]</f>
        <v>9</v>
      </c>
      <c r="AF312">
        <f t="shared" si="116"/>
        <v>0.88888888888888884</v>
      </c>
      <c r="AG312">
        <f>survey_responses[[#This Row],[So với trước đây, tôi thấy cách tính thuế và các bậc thuế trong phương án mới đơn giản, dễ hiểu và dễ thực hiện hơn. - HUMAN-FAC2]]</f>
        <v>7</v>
      </c>
      <c r="AH312">
        <f t="shared" si="117"/>
        <v>0.66666666666666663</v>
      </c>
      <c r="AI312" s="32">
        <f t="shared" si="118"/>
        <v>0.83333333333333326</v>
      </c>
      <c r="AJ312" s="32">
        <f t="shared" si="119"/>
        <v>0.5</v>
      </c>
      <c r="AK312">
        <f>step3_validation[[#This Row],[AI_TRU1]]</f>
        <v>7</v>
      </c>
      <c r="AL312">
        <f t="shared" si="120"/>
        <v>0.66666666666666663</v>
      </c>
      <c r="AM312">
        <f>survey_responses[[#This Row],[Tôi tin rằng Nhà nước, cơ quan thuế sẽ thực thi chính sách mới một cách khách quan, công tâm và đối xử bình đẳng với mọi người nộp thuế.  - HUMAN-TRU1]]</f>
        <v>5</v>
      </c>
      <c r="AN312">
        <f t="shared" si="121"/>
        <v>0.44444444444444442</v>
      </c>
      <c r="AO312">
        <f>step3_validation[[#This Row],[AI_TRU2]]</f>
        <v>8</v>
      </c>
      <c r="AP312">
        <f t="shared" si="122"/>
        <v>0.77777777777777779</v>
      </c>
      <c r="AQ312">
        <f>survey_responses[[#This Row],[Tôi thấy mức thuế tôi phải đóng theo phương án mới là công bằng (người thu nhập như tôi đóng mức này là hợp lý). - HUMAN-TRU2]]</f>
        <v>6</v>
      </c>
      <c r="AR312">
        <f t="shared" si="123"/>
        <v>0.55555555555555558</v>
      </c>
      <c r="AS312">
        <f>step3_validation[[#This Row],[AI_TRU3]]</f>
        <v>7</v>
      </c>
      <c r="AT312">
        <f t="shared" si="124"/>
        <v>0.66666666666666663</v>
      </c>
      <c r="AU312">
        <f>survey_responses[[#This Row],[Tôi tin tưởng số tiền thuế tôi đóng sẽ được Nhà nước sử dụng hiệu quả để cải thiện dịch vụ công (y tế, đường xá...). - HUMAN-TRU3]]</f>
        <v>6</v>
      </c>
      <c r="AV312">
        <f t="shared" si="125"/>
        <v>0.55555555555555558</v>
      </c>
      <c r="AW312">
        <f>step3_validation[[#This Row],[AI_TRU4]]</f>
        <v>6</v>
      </c>
      <c r="AX312">
        <f t="shared" si="126"/>
        <v>0.55555555555555558</v>
      </c>
      <c r="AY312">
        <f>survey_responses[[#This Row],[Tôi thấy Nhà nước đã giải thích rõ ràng, minh bạch về lý do và mục tiêu của việc sửa đổi thuế lần này. - HUMAN-TRU4]]</f>
        <v>7</v>
      </c>
      <c r="AZ312">
        <f t="shared" si="127"/>
        <v>0.66666666666666663</v>
      </c>
      <c r="BA312" s="32">
        <f t="shared" si="128"/>
        <v>0.66666666666666674</v>
      </c>
      <c r="BB312" s="32">
        <f t="shared" si="129"/>
        <v>0.55555555555555558</v>
      </c>
      <c r="BC312" s="7">
        <f t="shared" si="130"/>
        <v>0.70370370370370372</v>
      </c>
      <c r="BD312" s="7">
        <f t="shared" si="131"/>
        <v>0.51851851851851849</v>
      </c>
      <c r="BE312">
        <f>step3_validation[[#This Row],[AI_OUT1]]</f>
        <v>9</v>
      </c>
      <c r="BF312">
        <f t="shared" si="132"/>
        <v>0.88888888888888884</v>
      </c>
      <c r="BG312">
        <f>survey_responses[[#This Row],[Sau khi xem xét các quyền lợi và nghĩa vụ, bạn có ủng hộ và tuân thủ chính sách mới hiện nay? - HUMAN-OUT1]]</f>
        <v>7</v>
      </c>
      <c r="BH312">
        <f t="shared" si="133"/>
        <v>0.66666666666666663</v>
      </c>
      <c r="BI312" s="32">
        <f t="shared" si="134"/>
        <v>2</v>
      </c>
    </row>
    <row r="313" spans="1:61" x14ac:dyDescent="0.45">
      <c r="A313" s="30">
        <f>step3_validation[[#This Row],[Persona_ID]]</f>
        <v>312</v>
      </c>
      <c r="B313" s="31">
        <f>step3_validation[[#This Row],[Used_Seed]]</f>
        <v>12656</v>
      </c>
      <c r="C313" t="str">
        <f>step3_validation[[#This Row],[Gender]]</f>
        <v>Nam</v>
      </c>
      <c r="D313" t="str">
        <f>survey_responses[[#This Row],[Giới tính của bạn:]]</f>
        <v>Nam</v>
      </c>
      <c r="E313" t="str">
        <f>step3_validation[[#This Row],[Age_Group]]</f>
        <v>25 - 29</v>
      </c>
      <c r="F313" t="str">
        <f>survey_responses[[#This Row],[Độ tuổi của bạn:]]</f>
        <v>25 - 29</v>
      </c>
      <c r="G313" t="str">
        <f>step3_validation[[#This Row],[Region]]</f>
        <v>Thành thị</v>
      </c>
      <c r="H313" t="str">
        <f>survey_responses[[#This Row],[Khu vực bạn đang sinh sống:]]</f>
        <v>Thành thị</v>
      </c>
      <c r="I313" t="str">
        <f>step3_validation[[#This Row],[Education]]</f>
        <v>Đại học</v>
      </c>
      <c r="J313" t="str">
        <f>survey_responses[[#This Row],[Trình độ học vấn cao nhất:]]</f>
        <v>Đại học</v>
      </c>
      <c r="K313" t="str">
        <f>step3_validation[[#This Row],[Employment]]</f>
        <v>Chính thức</v>
      </c>
      <c r="L313" t="str">
        <f>survey_responses[[#This Row],[Tình trạng việc làm chính:]]</f>
        <v>Khu vực chính thức (Có Hợp đồng lao động, đóng BHXH)</v>
      </c>
      <c r="M313">
        <f>step3_validation[[#This Row],[Income_Mil]]</f>
        <v>21.162094279206197</v>
      </c>
      <c r="N313" t="str">
        <f>survey_responses[[#This Row],[Thu nhập bình quân tháng theo Hợp đồng lao động của bạn là bao nhiêu? (Vui lòng điền tổng thu nhập trước khi khấu trừ các loại Bảo hiểm (BHXH, BHYT, BHTN) và Thuế TNCN)]]</f>
        <v>Từ 18 - 23 triệu VNĐ</v>
      </c>
      <c r="O313">
        <f>step3_validation[[#This Row],[Dependents]]</f>
        <v>0</v>
      </c>
      <c r="P313" t="str">
        <f>survey_responses[[#This Row],[Số người phụ thuộc (con nhỏ, cha mẹ già...) đủ điều kiện giảm trừ gia cảnh:]]</f>
        <v>0 người</v>
      </c>
      <c r="Q313">
        <f>step3_validation[[#This Row],[AI_ENF1]]</f>
        <v>6</v>
      </c>
      <c r="R313">
        <f t="shared" si="108"/>
        <v>0.55555555555555558</v>
      </c>
      <c r="S313">
        <f>survey_responses[[#This Row],[Tôi tin rằng với các quy định quản lý thuế hiện nay, hành vi gian lận hoặc trốn thuế sẽ dễ dàng bị phát hiện và xử lý nghiêm. - HUMAN-ENF1]]</f>
        <v>8</v>
      </c>
      <c r="T313">
        <f t="shared" si="109"/>
        <v>0.77777777777777779</v>
      </c>
      <c r="U313">
        <f>step3_validation[[#This Row],[AI_ENF2]]</f>
        <v>7</v>
      </c>
      <c r="V313">
        <f t="shared" si="110"/>
        <v>0.66666666666666663</v>
      </c>
      <c r="W313">
        <f>survey_responses[[#This Row],[Tôi tin rằng Nhà nước, cơ quan thuế có đủ khả năng và công nghệ để phát hiện, xử lý nghiêm các hành vi trốn thuế. - HUMAN-ENF2]]</f>
        <v>9</v>
      </c>
      <c r="X313">
        <f t="shared" si="111"/>
        <v>0.88888888888888884</v>
      </c>
      <c r="Y313" s="32">
        <f t="shared" si="112"/>
        <v>0.61111111111111116</v>
      </c>
      <c r="Z313" s="32">
        <f t="shared" si="113"/>
        <v>0.83333333333333326</v>
      </c>
      <c r="AA313">
        <f>step3_validation[[#This Row],[AI_FAC1]]</f>
        <v>9</v>
      </c>
      <c r="AB313">
        <f t="shared" si="114"/>
        <v>0.88888888888888884</v>
      </c>
      <c r="AC313">
        <f>survey_responses[[#This Row],[Các thủ tục khai báo thuế VÀ/HOẶC quy trình làm việc với cơ quan thuế đơn giản, tiện lợi, nhanh chóng hơn so với trước đây. - HUMAN-FAC1]]</f>
        <v>10</v>
      </c>
      <c r="AD313">
        <f t="shared" si="115"/>
        <v>1</v>
      </c>
      <c r="AE313">
        <f>step3_validation[[#This Row],[AI_FAC2]]</f>
        <v>10</v>
      </c>
      <c r="AF313">
        <f t="shared" si="116"/>
        <v>1</v>
      </c>
      <c r="AG313">
        <f>survey_responses[[#This Row],[So với trước đây, tôi thấy cách tính thuế và các bậc thuế trong phương án mới đơn giản, dễ hiểu và dễ thực hiện hơn. - HUMAN-FAC2]]</f>
        <v>10</v>
      </c>
      <c r="AH313">
        <f t="shared" si="117"/>
        <v>1</v>
      </c>
      <c r="AI313" s="32">
        <f t="shared" si="118"/>
        <v>0.94444444444444442</v>
      </c>
      <c r="AJ313" s="32">
        <f t="shared" si="119"/>
        <v>1</v>
      </c>
      <c r="AK313">
        <f>step3_validation[[#This Row],[AI_TRU1]]</f>
        <v>7</v>
      </c>
      <c r="AL313">
        <f t="shared" si="120"/>
        <v>0.66666666666666663</v>
      </c>
      <c r="AM313">
        <f>survey_responses[[#This Row],[Tôi tin rằng Nhà nước, cơ quan thuế sẽ thực thi chính sách mới một cách khách quan, công tâm và đối xử bình đẳng với mọi người nộp thuế.  - HUMAN-TRU1]]</f>
        <v>8</v>
      </c>
      <c r="AN313">
        <f t="shared" si="121"/>
        <v>0.77777777777777779</v>
      </c>
      <c r="AO313">
        <f>step3_validation[[#This Row],[AI_TRU2]]</f>
        <v>9</v>
      </c>
      <c r="AP313">
        <f t="shared" si="122"/>
        <v>0.88888888888888884</v>
      </c>
      <c r="AQ313">
        <f>survey_responses[[#This Row],[Tôi thấy mức thuế tôi phải đóng theo phương án mới là công bằng (người thu nhập như tôi đóng mức này là hợp lý). - HUMAN-TRU2]]</f>
        <v>9</v>
      </c>
      <c r="AR313">
        <f t="shared" si="123"/>
        <v>0.88888888888888884</v>
      </c>
      <c r="AS313">
        <f>step3_validation[[#This Row],[AI_TRU3]]</f>
        <v>8</v>
      </c>
      <c r="AT313">
        <f t="shared" si="124"/>
        <v>0.77777777777777779</v>
      </c>
      <c r="AU313">
        <f>survey_responses[[#This Row],[Tôi tin tưởng số tiền thuế tôi đóng sẽ được Nhà nước sử dụng hiệu quả để cải thiện dịch vụ công (y tế, đường xá...). - HUMAN-TRU3]]</f>
        <v>8</v>
      </c>
      <c r="AV313">
        <f t="shared" si="125"/>
        <v>0.77777777777777779</v>
      </c>
      <c r="AW313">
        <f>step3_validation[[#This Row],[AI_TRU4]]</f>
        <v>9</v>
      </c>
      <c r="AX313">
        <f t="shared" si="126"/>
        <v>0.88888888888888884</v>
      </c>
      <c r="AY313">
        <f>survey_responses[[#This Row],[Tôi thấy Nhà nước đã giải thích rõ ràng, minh bạch về lý do và mục tiêu của việc sửa đổi thuế lần này. - HUMAN-TRU4]]</f>
        <v>8</v>
      </c>
      <c r="AZ313">
        <f t="shared" si="127"/>
        <v>0.77777777777777779</v>
      </c>
      <c r="BA313" s="32">
        <f t="shared" si="128"/>
        <v>0.80555555555555547</v>
      </c>
      <c r="BB313" s="32">
        <f t="shared" si="129"/>
        <v>0.80555555555555547</v>
      </c>
      <c r="BC313" s="7">
        <f t="shared" si="130"/>
        <v>0.78703703703703709</v>
      </c>
      <c r="BD313" s="7">
        <f t="shared" si="131"/>
        <v>0.87962962962962965</v>
      </c>
      <c r="BE313">
        <f>step3_validation[[#This Row],[AI_OUT1]]</f>
        <v>9</v>
      </c>
      <c r="BF313">
        <f t="shared" si="132"/>
        <v>0.88888888888888884</v>
      </c>
      <c r="BG313">
        <f>survey_responses[[#This Row],[Sau khi xem xét các quyền lợi và nghĩa vụ, bạn có ủng hộ và tuân thủ chính sách mới hiện nay? - HUMAN-OUT1]]</f>
        <v>10</v>
      </c>
      <c r="BH313">
        <f t="shared" si="133"/>
        <v>1</v>
      </c>
      <c r="BI313" s="32">
        <f t="shared" si="134"/>
        <v>1</v>
      </c>
    </row>
    <row r="314" spans="1:61" x14ac:dyDescent="0.45">
      <c r="A314" s="30">
        <f>step3_validation[[#This Row],[Persona_ID]]</f>
        <v>313</v>
      </c>
      <c r="B314" s="31">
        <f>step3_validation[[#This Row],[Used_Seed]]</f>
        <v>12657</v>
      </c>
      <c r="C314" t="str">
        <f>step3_validation[[#This Row],[Gender]]</f>
        <v>Nam</v>
      </c>
      <c r="D314" t="str">
        <f>survey_responses[[#This Row],[Giới tính của bạn:]]</f>
        <v>Nam</v>
      </c>
      <c r="E314" t="str">
        <f>step3_validation[[#This Row],[Age_Group]]</f>
        <v>18 - 24</v>
      </c>
      <c r="F314" t="str">
        <f>survey_responses[[#This Row],[Độ tuổi của bạn:]]</f>
        <v>18 - 24</v>
      </c>
      <c r="G314" t="str">
        <f>step3_validation[[#This Row],[Region]]</f>
        <v>Thành thị</v>
      </c>
      <c r="H314" t="str">
        <f>survey_responses[[#This Row],[Khu vực bạn đang sinh sống:]]</f>
        <v>Thành thị</v>
      </c>
      <c r="I314" t="str">
        <f>step3_validation[[#This Row],[Education]]</f>
        <v>Đại học</v>
      </c>
      <c r="J314" t="str">
        <f>survey_responses[[#This Row],[Trình độ học vấn cao nhất:]]</f>
        <v>Đại học</v>
      </c>
      <c r="K314" t="str">
        <f>step3_validation[[#This Row],[Employment]]</f>
        <v>Chính thức</v>
      </c>
      <c r="L314" t="str">
        <f>survey_responses[[#This Row],[Tình trạng việc làm chính:]]</f>
        <v>Khu vực chính thức (Có Hợp đồng lao động, đóng BHXH)</v>
      </c>
      <c r="M314">
        <f>step3_validation[[#This Row],[Income_Mil]]</f>
        <v>16.672525263306586</v>
      </c>
      <c r="N314" t="str">
        <f>survey_responses[[#This Row],[Thu nhập bình quân tháng theo Hợp đồng lao động của bạn là bao nhiêu? (Vui lòng điền tổng thu nhập trước khi khấu trừ các loại Bảo hiểm (BHXH, BHYT, BHTN) và Thuế TNCN)]]</f>
        <v>Từ 12 - 18 triệu VNĐ</v>
      </c>
      <c r="O314">
        <f>step3_validation[[#This Row],[Dependents]]</f>
        <v>0</v>
      </c>
      <c r="P314" t="str">
        <f>survey_responses[[#This Row],[Số người phụ thuộc (con nhỏ, cha mẹ già...) đủ điều kiện giảm trừ gia cảnh:]]</f>
        <v>0 người</v>
      </c>
      <c r="Q314">
        <f>step3_validation[[#This Row],[AI_ENF1]]</f>
        <v>6</v>
      </c>
      <c r="R314">
        <f t="shared" si="108"/>
        <v>0.55555555555555558</v>
      </c>
      <c r="S314">
        <f>survey_responses[[#This Row],[Tôi tin rằng với các quy định quản lý thuế hiện nay, hành vi gian lận hoặc trốn thuế sẽ dễ dàng bị phát hiện và xử lý nghiêm. - HUMAN-ENF1]]</f>
        <v>6</v>
      </c>
      <c r="T314">
        <f t="shared" si="109"/>
        <v>0.55555555555555558</v>
      </c>
      <c r="U314">
        <f>step3_validation[[#This Row],[AI_ENF2]]</f>
        <v>7</v>
      </c>
      <c r="V314">
        <f t="shared" si="110"/>
        <v>0.66666666666666663</v>
      </c>
      <c r="W314">
        <f>survey_responses[[#This Row],[Tôi tin rằng Nhà nước, cơ quan thuế có đủ khả năng và công nghệ để phát hiện, xử lý nghiêm các hành vi trốn thuế. - HUMAN-ENF2]]</f>
        <v>6</v>
      </c>
      <c r="X314">
        <f t="shared" si="111"/>
        <v>0.55555555555555558</v>
      </c>
      <c r="Y314" s="32">
        <f t="shared" si="112"/>
        <v>0.61111111111111116</v>
      </c>
      <c r="Z314" s="32">
        <f t="shared" si="113"/>
        <v>0.55555555555555558</v>
      </c>
      <c r="AA314">
        <f>step3_validation[[#This Row],[AI_FAC1]]</f>
        <v>8</v>
      </c>
      <c r="AB314">
        <f t="shared" si="114"/>
        <v>0.77777777777777779</v>
      </c>
      <c r="AC314">
        <f>survey_responses[[#This Row],[Các thủ tục khai báo thuế VÀ/HOẶC quy trình làm việc với cơ quan thuế đơn giản, tiện lợi, nhanh chóng hơn so với trước đây. - HUMAN-FAC1]]</f>
        <v>7</v>
      </c>
      <c r="AD314">
        <f t="shared" si="115"/>
        <v>0.66666666666666663</v>
      </c>
      <c r="AE314">
        <f>step3_validation[[#This Row],[AI_FAC2]]</f>
        <v>9</v>
      </c>
      <c r="AF314">
        <f t="shared" si="116"/>
        <v>0.88888888888888884</v>
      </c>
      <c r="AG314">
        <f>survey_responses[[#This Row],[So với trước đây, tôi thấy cách tính thuế và các bậc thuế trong phương án mới đơn giản, dễ hiểu và dễ thực hiện hơn. - HUMAN-FAC2]]</f>
        <v>7</v>
      </c>
      <c r="AH314">
        <f t="shared" si="117"/>
        <v>0.66666666666666663</v>
      </c>
      <c r="AI314" s="32">
        <f t="shared" si="118"/>
        <v>0.83333333333333326</v>
      </c>
      <c r="AJ314" s="32">
        <f t="shared" si="119"/>
        <v>0.66666666666666663</v>
      </c>
      <c r="AK314">
        <f>step3_validation[[#This Row],[AI_TRU1]]</f>
        <v>7</v>
      </c>
      <c r="AL314">
        <f t="shared" si="120"/>
        <v>0.66666666666666663</v>
      </c>
      <c r="AM314">
        <f>survey_responses[[#This Row],[Tôi tin rằng Nhà nước, cơ quan thuế sẽ thực thi chính sách mới một cách khách quan, công tâm và đối xử bình đẳng với mọi người nộp thuế.  - HUMAN-TRU1]]</f>
        <v>7</v>
      </c>
      <c r="AN314">
        <f t="shared" si="121"/>
        <v>0.66666666666666663</v>
      </c>
      <c r="AO314">
        <f>step3_validation[[#This Row],[AI_TRU2]]</f>
        <v>8</v>
      </c>
      <c r="AP314">
        <f t="shared" si="122"/>
        <v>0.77777777777777779</v>
      </c>
      <c r="AQ314">
        <f>survey_responses[[#This Row],[Tôi thấy mức thuế tôi phải đóng theo phương án mới là công bằng (người thu nhập như tôi đóng mức này là hợp lý). - HUMAN-TRU2]]</f>
        <v>8</v>
      </c>
      <c r="AR314">
        <f t="shared" si="123"/>
        <v>0.77777777777777779</v>
      </c>
      <c r="AS314">
        <f>step3_validation[[#This Row],[AI_TRU3]]</f>
        <v>9</v>
      </c>
      <c r="AT314">
        <f t="shared" si="124"/>
        <v>0.88888888888888884</v>
      </c>
      <c r="AU314">
        <f>survey_responses[[#This Row],[Tôi tin tưởng số tiền thuế tôi đóng sẽ được Nhà nước sử dụng hiệu quả để cải thiện dịch vụ công (y tế, đường xá...). - HUMAN-TRU3]]</f>
        <v>5</v>
      </c>
      <c r="AV314">
        <f t="shared" si="125"/>
        <v>0.44444444444444442</v>
      </c>
      <c r="AW314">
        <f>step3_validation[[#This Row],[AI_TRU4]]</f>
        <v>7</v>
      </c>
      <c r="AX314">
        <f t="shared" si="126"/>
        <v>0.66666666666666663</v>
      </c>
      <c r="AY314">
        <f>survey_responses[[#This Row],[Tôi thấy Nhà nước đã giải thích rõ ràng, minh bạch về lý do và mục tiêu của việc sửa đổi thuế lần này. - HUMAN-TRU4]]</f>
        <v>5</v>
      </c>
      <c r="AZ314">
        <f t="shared" si="127"/>
        <v>0.44444444444444442</v>
      </c>
      <c r="BA314" s="32">
        <f t="shared" si="128"/>
        <v>0.74999999999999989</v>
      </c>
      <c r="BB314" s="32">
        <f t="shared" si="129"/>
        <v>0.58333333333333326</v>
      </c>
      <c r="BC314" s="7">
        <f t="shared" si="130"/>
        <v>0.7314814814814814</v>
      </c>
      <c r="BD314" s="7">
        <f t="shared" si="131"/>
        <v>0.60185185185185186</v>
      </c>
      <c r="BE314">
        <f>step3_validation[[#This Row],[AI_OUT1]]</f>
        <v>9</v>
      </c>
      <c r="BF314">
        <f t="shared" si="132"/>
        <v>0.88888888888888884</v>
      </c>
      <c r="BG314">
        <f>survey_responses[[#This Row],[Sau khi xem xét các quyền lợi và nghĩa vụ, bạn có ủng hộ và tuân thủ chính sách mới hiện nay? - HUMAN-OUT1]]</f>
        <v>8</v>
      </c>
      <c r="BH314">
        <f t="shared" si="133"/>
        <v>0.77777777777777779</v>
      </c>
      <c r="BI314" s="32">
        <f t="shared" si="134"/>
        <v>1</v>
      </c>
    </row>
    <row r="315" spans="1:61" x14ac:dyDescent="0.45">
      <c r="A315" s="30">
        <f>step3_validation[[#This Row],[Persona_ID]]</f>
        <v>314</v>
      </c>
      <c r="B315" s="31">
        <f>step3_validation[[#This Row],[Used_Seed]]</f>
        <v>12658</v>
      </c>
      <c r="C315" t="str">
        <f>step3_validation[[#This Row],[Gender]]</f>
        <v>Nữ</v>
      </c>
      <c r="D315" t="str">
        <f>survey_responses[[#This Row],[Giới tính của bạn:]]</f>
        <v>Nữ</v>
      </c>
      <c r="E315" t="str">
        <f>step3_validation[[#This Row],[Age_Group]]</f>
        <v>18 - 24</v>
      </c>
      <c r="F315" t="str">
        <f>survey_responses[[#This Row],[Độ tuổi của bạn:]]</f>
        <v>18 - 24</v>
      </c>
      <c r="G315" t="str">
        <f>step3_validation[[#This Row],[Region]]</f>
        <v>Thành thị</v>
      </c>
      <c r="H315" t="str">
        <f>survey_responses[[#This Row],[Khu vực bạn đang sinh sống:]]</f>
        <v>Thành thị</v>
      </c>
      <c r="I315" t="str">
        <f>step3_validation[[#This Row],[Education]]</f>
        <v>Đại học</v>
      </c>
      <c r="J315" t="str">
        <f>survey_responses[[#This Row],[Trình độ học vấn cao nhất:]]</f>
        <v>Đại học</v>
      </c>
      <c r="K315" t="str">
        <f>step3_validation[[#This Row],[Employment]]</f>
        <v>Chính thức</v>
      </c>
      <c r="L315" t="str">
        <f>survey_responses[[#This Row],[Tình trạng việc làm chính:]]</f>
        <v>Khu vực chính thức (Có Hợp đồng lao động, đóng BHXH)</v>
      </c>
      <c r="M315">
        <f>step3_validation[[#This Row],[Income_Mil]]</f>
        <v>16.853699332144384</v>
      </c>
      <c r="N315" t="str">
        <f>survey_responses[[#This Row],[Thu nhập bình quân tháng theo Hợp đồng lao động của bạn là bao nhiêu? (Vui lòng điền tổng thu nhập trước khi khấu trừ các loại Bảo hiểm (BHXH, BHYT, BHTN) và Thuế TNCN)]]</f>
        <v>Từ 12 - 18 triệu VNĐ</v>
      </c>
      <c r="O315">
        <f>step3_validation[[#This Row],[Dependents]]</f>
        <v>0</v>
      </c>
      <c r="P315" t="str">
        <f>survey_responses[[#This Row],[Số người phụ thuộc (con nhỏ, cha mẹ già...) đủ điều kiện giảm trừ gia cảnh:]]</f>
        <v>0 người</v>
      </c>
      <c r="Q315">
        <f>step3_validation[[#This Row],[AI_ENF1]]</f>
        <v>6</v>
      </c>
      <c r="R315">
        <f t="shared" si="108"/>
        <v>0.55555555555555558</v>
      </c>
      <c r="S315">
        <f>survey_responses[[#This Row],[Tôi tin rằng với các quy định quản lý thuế hiện nay, hành vi gian lận hoặc trốn thuế sẽ dễ dàng bị phát hiện và xử lý nghiêm. - HUMAN-ENF1]]</f>
        <v>7</v>
      </c>
      <c r="T315">
        <f t="shared" si="109"/>
        <v>0.66666666666666663</v>
      </c>
      <c r="U315">
        <f>step3_validation[[#This Row],[AI_ENF2]]</f>
        <v>7</v>
      </c>
      <c r="V315">
        <f t="shared" si="110"/>
        <v>0.66666666666666663</v>
      </c>
      <c r="W315">
        <f>survey_responses[[#This Row],[Tôi tin rằng Nhà nước, cơ quan thuế có đủ khả năng và công nghệ để phát hiện, xử lý nghiêm các hành vi trốn thuế. - HUMAN-ENF2]]</f>
        <v>8</v>
      </c>
      <c r="X315">
        <f t="shared" si="111"/>
        <v>0.77777777777777779</v>
      </c>
      <c r="Y315" s="32">
        <f t="shared" si="112"/>
        <v>0.61111111111111116</v>
      </c>
      <c r="Z315" s="32">
        <f t="shared" si="113"/>
        <v>0.72222222222222221</v>
      </c>
      <c r="AA315">
        <f>step3_validation[[#This Row],[AI_FAC1]]</f>
        <v>8</v>
      </c>
      <c r="AB315">
        <f t="shared" si="114"/>
        <v>0.77777777777777779</v>
      </c>
      <c r="AC315">
        <f>survey_responses[[#This Row],[Các thủ tục khai báo thuế VÀ/HOẶC quy trình làm việc với cơ quan thuế đơn giản, tiện lợi, nhanh chóng hơn so với trước đây. - HUMAN-FAC1]]</f>
        <v>8</v>
      </c>
      <c r="AD315">
        <f t="shared" si="115"/>
        <v>0.77777777777777779</v>
      </c>
      <c r="AE315">
        <f>step3_validation[[#This Row],[AI_FAC2]]</f>
        <v>9</v>
      </c>
      <c r="AF315">
        <f t="shared" si="116"/>
        <v>0.88888888888888884</v>
      </c>
      <c r="AG315">
        <f>survey_responses[[#This Row],[So với trước đây, tôi thấy cách tính thuế và các bậc thuế trong phương án mới đơn giản, dễ hiểu và dễ thực hiện hơn. - HUMAN-FAC2]]</f>
        <v>8</v>
      </c>
      <c r="AH315">
        <f t="shared" si="117"/>
        <v>0.77777777777777779</v>
      </c>
      <c r="AI315" s="32">
        <f t="shared" si="118"/>
        <v>0.83333333333333326</v>
      </c>
      <c r="AJ315" s="32">
        <f t="shared" si="119"/>
        <v>0.77777777777777779</v>
      </c>
      <c r="AK315">
        <f>step3_validation[[#This Row],[AI_TRU1]]</f>
        <v>7</v>
      </c>
      <c r="AL315">
        <f t="shared" si="120"/>
        <v>0.66666666666666663</v>
      </c>
      <c r="AM315">
        <f>survey_responses[[#This Row],[Tôi tin rằng Nhà nước, cơ quan thuế sẽ thực thi chính sách mới một cách khách quan, công tâm và đối xử bình đẳng với mọi người nộp thuế.  - HUMAN-TRU1]]</f>
        <v>5</v>
      </c>
      <c r="AN315">
        <f t="shared" si="121"/>
        <v>0.44444444444444442</v>
      </c>
      <c r="AO315">
        <f>step3_validation[[#This Row],[AI_TRU2]]</f>
        <v>9</v>
      </c>
      <c r="AP315">
        <f t="shared" si="122"/>
        <v>0.88888888888888884</v>
      </c>
      <c r="AQ315">
        <f>survey_responses[[#This Row],[Tôi thấy mức thuế tôi phải đóng theo phương án mới là công bằng (người thu nhập như tôi đóng mức này là hợp lý). - HUMAN-TRU2]]</f>
        <v>8</v>
      </c>
      <c r="AR315">
        <f t="shared" si="123"/>
        <v>0.77777777777777779</v>
      </c>
      <c r="AS315">
        <f>step3_validation[[#This Row],[AI_TRU3]]</f>
        <v>7</v>
      </c>
      <c r="AT315">
        <f t="shared" si="124"/>
        <v>0.66666666666666663</v>
      </c>
      <c r="AU315">
        <f>survey_responses[[#This Row],[Tôi tin tưởng số tiền thuế tôi đóng sẽ được Nhà nước sử dụng hiệu quả để cải thiện dịch vụ công (y tế, đường xá...). - HUMAN-TRU3]]</f>
        <v>6</v>
      </c>
      <c r="AV315">
        <f t="shared" si="125"/>
        <v>0.55555555555555558</v>
      </c>
      <c r="AW315">
        <f>step3_validation[[#This Row],[AI_TRU4]]</f>
        <v>8</v>
      </c>
      <c r="AX315">
        <f t="shared" si="126"/>
        <v>0.77777777777777779</v>
      </c>
      <c r="AY315">
        <f>survey_responses[[#This Row],[Tôi thấy Nhà nước đã giải thích rõ ràng, minh bạch về lý do và mục tiêu của việc sửa đổi thuế lần này. - HUMAN-TRU4]]</f>
        <v>6</v>
      </c>
      <c r="AZ315">
        <f t="shared" si="127"/>
        <v>0.55555555555555558</v>
      </c>
      <c r="BA315" s="32">
        <f t="shared" si="128"/>
        <v>0.74999999999999989</v>
      </c>
      <c r="BB315" s="32">
        <f t="shared" si="129"/>
        <v>0.58333333333333337</v>
      </c>
      <c r="BC315" s="7">
        <f t="shared" si="130"/>
        <v>0.7314814814814814</v>
      </c>
      <c r="BD315" s="7">
        <f t="shared" si="131"/>
        <v>0.69444444444444453</v>
      </c>
      <c r="BE315">
        <f>step3_validation[[#This Row],[AI_OUT1]]</f>
        <v>9</v>
      </c>
      <c r="BF315">
        <f t="shared" si="132"/>
        <v>0.88888888888888884</v>
      </c>
      <c r="BG315">
        <f>survey_responses[[#This Row],[Sau khi xem xét các quyền lợi và nghĩa vụ, bạn có ủng hộ và tuân thủ chính sách mới hiện nay? - HUMAN-OUT1]]</f>
        <v>8</v>
      </c>
      <c r="BH315">
        <f t="shared" si="133"/>
        <v>0.77777777777777779</v>
      </c>
      <c r="BI315" s="32">
        <f t="shared" si="134"/>
        <v>1</v>
      </c>
    </row>
    <row r="316" spans="1:61" x14ac:dyDescent="0.45">
      <c r="A316" s="30">
        <f>step3_validation[[#This Row],[Persona_ID]]</f>
        <v>315</v>
      </c>
      <c r="B316" s="31">
        <f>step3_validation[[#This Row],[Used_Seed]]</f>
        <v>12659</v>
      </c>
      <c r="C316" t="str">
        <f>step3_validation[[#This Row],[Gender]]</f>
        <v>Nam</v>
      </c>
      <c r="D316" t="str">
        <f>survey_responses[[#This Row],[Giới tính của bạn:]]</f>
        <v>Nam</v>
      </c>
      <c r="E316" t="str">
        <f>step3_validation[[#This Row],[Age_Group]]</f>
        <v>18 - 24</v>
      </c>
      <c r="F316" t="str">
        <f>survey_responses[[#This Row],[Độ tuổi của bạn:]]</f>
        <v>18 - 24</v>
      </c>
      <c r="G316" t="str">
        <f>step3_validation[[#This Row],[Region]]</f>
        <v>Thành thị</v>
      </c>
      <c r="H316" t="str">
        <f>survey_responses[[#This Row],[Khu vực bạn đang sinh sống:]]</f>
        <v>Thành thị</v>
      </c>
      <c r="I316" t="str">
        <f>step3_validation[[#This Row],[Education]]</f>
        <v>Đại học</v>
      </c>
      <c r="J316" t="str">
        <f>survey_responses[[#This Row],[Trình độ học vấn cao nhất:]]</f>
        <v>Đại học</v>
      </c>
      <c r="K316" t="str">
        <f>step3_validation[[#This Row],[Employment]]</f>
        <v>Chính thức</v>
      </c>
      <c r="L316" t="str">
        <f>survey_responses[[#This Row],[Tình trạng việc làm chính:]]</f>
        <v>Khu vực chính thức (Có Hợp đồng lao động, đóng BHXH)</v>
      </c>
      <c r="M316">
        <f>step3_validation[[#This Row],[Income_Mil]]</f>
        <v>19.883375120681503</v>
      </c>
      <c r="N316" t="str">
        <f>survey_responses[[#This Row],[Thu nhập bình quân tháng theo Hợp đồng lao động của bạn là bao nhiêu? (Vui lòng điền tổng thu nhập trước khi khấu trừ các loại Bảo hiểm (BHXH, BHYT, BHTN) và Thuế TNCN)]]</f>
        <v>Từ 18 - 23 triệu VNĐ</v>
      </c>
      <c r="O316">
        <f>step3_validation[[#This Row],[Dependents]]</f>
        <v>0</v>
      </c>
      <c r="P316" t="str">
        <f>survey_responses[[#This Row],[Số người phụ thuộc (con nhỏ, cha mẹ già...) đủ điều kiện giảm trừ gia cảnh:]]</f>
        <v>0 người</v>
      </c>
      <c r="Q316">
        <f>step3_validation[[#This Row],[AI_ENF1]]</f>
        <v>7</v>
      </c>
      <c r="R316">
        <f t="shared" si="108"/>
        <v>0.66666666666666663</v>
      </c>
      <c r="S316">
        <f>survey_responses[[#This Row],[Tôi tin rằng với các quy định quản lý thuế hiện nay, hành vi gian lận hoặc trốn thuế sẽ dễ dàng bị phát hiện và xử lý nghiêm. - HUMAN-ENF1]]</f>
        <v>4</v>
      </c>
      <c r="T316">
        <f t="shared" si="109"/>
        <v>0.33333333333333331</v>
      </c>
      <c r="U316">
        <f>step3_validation[[#This Row],[AI_ENF2]]</f>
        <v>8</v>
      </c>
      <c r="V316">
        <f t="shared" si="110"/>
        <v>0.77777777777777779</v>
      </c>
      <c r="W316">
        <f>survey_responses[[#This Row],[Tôi tin rằng Nhà nước, cơ quan thuế có đủ khả năng và công nghệ để phát hiện, xử lý nghiêm các hành vi trốn thuế. - HUMAN-ENF2]]</f>
        <v>5</v>
      </c>
      <c r="X316">
        <f t="shared" si="111"/>
        <v>0.44444444444444442</v>
      </c>
      <c r="Y316" s="32">
        <f t="shared" si="112"/>
        <v>0.72222222222222221</v>
      </c>
      <c r="Z316" s="32">
        <f t="shared" si="113"/>
        <v>0.38888888888888884</v>
      </c>
      <c r="AA316">
        <f>step3_validation[[#This Row],[AI_FAC1]]</f>
        <v>9</v>
      </c>
      <c r="AB316">
        <f t="shared" si="114"/>
        <v>0.88888888888888884</v>
      </c>
      <c r="AC316">
        <f>survey_responses[[#This Row],[Các thủ tục khai báo thuế VÀ/HOẶC quy trình làm việc với cơ quan thuế đơn giản, tiện lợi, nhanh chóng hơn so với trước đây. - HUMAN-FAC1]]</f>
        <v>5</v>
      </c>
      <c r="AD316">
        <f t="shared" si="115"/>
        <v>0.44444444444444442</v>
      </c>
      <c r="AE316">
        <f>step3_validation[[#This Row],[AI_FAC2]]</f>
        <v>10</v>
      </c>
      <c r="AF316">
        <f t="shared" si="116"/>
        <v>1</v>
      </c>
      <c r="AG316">
        <f>survey_responses[[#This Row],[So với trước đây, tôi thấy cách tính thuế và các bậc thuế trong phương án mới đơn giản, dễ hiểu và dễ thực hiện hơn. - HUMAN-FAC2]]</f>
        <v>7</v>
      </c>
      <c r="AH316">
        <f t="shared" si="117"/>
        <v>0.66666666666666663</v>
      </c>
      <c r="AI316" s="32">
        <f t="shared" si="118"/>
        <v>0.94444444444444442</v>
      </c>
      <c r="AJ316" s="32">
        <f t="shared" si="119"/>
        <v>0.55555555555555558</v>
      </c>
      <c r="AK316">
        <f>step3_validation[[#This Row],[AI_TRU1]]</f>
        <v>9</v>
      </c>
      <c r="AL316">
        <f t="shared" si="120"/>
        <v>0.88888888888888884</v>
      </c>
      <c r="AM316">
        <f>survey_responses[[#This Row],[Tôi tin rằng Nhà nước, cơ quan thuế sẽ thực thi chính sách mới một cách khách quan, công tâm và đối xử bình đẳng với mọi người nộp thuế.  - HUMAN-TRU1]]</f>
        <v>5</v>
      </c>
      <c r="AN316">
        <f t="shared" si="121"/>
        <v>0.44444444444444442</v>
      </c>
      <c r="AO316">
        <f>step3_validation[[#This Row],[AI_TRU2]]</f>
        <v>8</v>
      </c>
      <c r="AP316">
        <f t="shared" si="122"/>
        <v>0.77777777777777779</v>
      </c>
      <c r="AQ316">
        <f>survey_responses[[#This Row],[Tôi thấy mức thuế tôi phải đóng theo phương án mới là công bằng (người thu nhập như tôi đóng mức này là hợp lý). - HUMAN-TRU2]]</f>
        <v>8</v>
      </c>
      <c r="AR316">
        <f t="shared" si="123"/>
        <v>0.77777777777777779</v>
      </c>
      <c r="AS316">
        <f>step3_validation[[#This Row],[AI_TRU3]]</f>
        <v>9</v>
      </c>
      <c r="AT316">
        <f t="shared" si="124"/>
        <v>0.88888888888888884</v>
      </c>
      <c r="AU316">
        <f>survey_responses[[#This Row],[Tôi tin tưởng số tiền thuế tôi đóng sẽ được Nhà nước sử dụng hiệu quả để cải thiện dịch vụ công (y tế, đường xá...). - HUMAN-TRU3]]</f>
        <v>5</v>
      </c>
      <c r="AV316">
        <f t="shared" si="125"/>
        <v>0.44444444444444442</v>
      </c>
      <c r="AW316">
        <f>step3_validation[[#This Row],[AI_TRU4]]</f>
        <v>8</v>
      </c>
      <c r="AX316">
        <f t="shared" si="126"/>
        <v>0.77777777777777779</v>
      </c>
      <c r="AY316">
        <f>survey_responses[[#This Row],[Tôi thấy Nhà nước đã giải thích rõ ràng, minh bạch về lý do và mục tiêu của việc sửa đổi thuế lần này. - HUMAN-TRU4]]</f>
        <v>6</v>
      </c>
      <c r="AZ316">
        <f t="shared" si="127"/>
        <v>0.55555555555555558</v>
      </c>
      <c r="BA316" s="32">
        <f t="shared" si="128"/>
        <v>0.83333333333333326</v>
      </c>
      <c r="BB316" s="32">
        <f t="shared" si="129"/>
        <v>0.55555555555555558</v>
      </c>
      <c r="BC316" s="7">
        <f t="shared" si="130"/>
        <v>0.83333333333333337</v>
      </c>
      <c r="BD316" s="7">
        <f t="shared" si="131"/>
        <v>0.5</v>
      </c>
      <c r="BE316">
        <f>step3_validation[[#This Row],[AI_OUT1]]</f>
        <v>9</v>
      </c>
      <c r="BF316">
        <f t="shared" si="132"/>
        <v>0.88888888888888884</v>
      </c>
      <c r="BG316">
        <f>survey_responses[[#This Row],[Sau khi xem xét các quyền lợi và nghĩa vụ, bạn có ủng hộ và tuân thủ chính sách mới hiện nay? - HUMAN-OUT1]]</f>
        <v>8</v>
      </c>
      <c r="BH316">
        <f t="shared" si="133"/>
        <v>0.77777777777777779</v>
      </c>
      <c r="BI316" s="32">
        <f t="shared" si="134"/>
        <v>1</v>
      </c>
    </row>
    <row r="317" spans="1:61" x14ac:dyDescent="0.45">
      <c r="A317" s="30">
        <f>step3_validation[[#This Row],[Persona_ID]]</f>
        <v>316</v>
      </c>
      <c r="B317" s="31">
        <f>step3_validation[[#This Row],[Used_Seed]]</f>
        <v>12660</v>
      </c>
      <c r="C317" t="str">
        <f>step3_validation[[#This Row],[Gender]]</f>
        <v>Nữ</v>
      </c>
      <c r="D317" t="str">
        <f>survey_responses[[#This Row],[Giới tính của bạn:]]</f>
        <v>Nữ</v>
      </c>
      <c r="E317" t="str">
        <f>step3_validation[[#This Row],[Age_Group]]</f>
        <v>25 - 29</v>
      </c>
      <c r="F317" t="str">
        <f>survey_responses[[#This Row],[Độ tuổi của bạn:]]</f>
        <v>25 - 29</v>
      </c>
      <c r="G317" t="str">
        <f>step3_validation[[#This Row],[Region]]</f>
        <v>Thành thị</v>
      </c>
      <c r="H317" t="str">
        <f>survey_responses[[#This Row],[Khu vực bạn đang sinh sống:]]</f>
        <v>Thành thị</v>
      </c>
      <c r="I317" t="str">
        <f>step3_validation[[#This Row],[Education]]</f>
        <v>Đại học</v>
      </c>
      <c r="J317" t="str">
        <f>survey_responses[[#This Row],[Trình độ học vấn cao nhất:]]</f>
        <v>Đại học</v>
      </c>
      <c r="K317" t="str">
        <f>step3_validation[[#This Row],[Employment]]</f>
        <v>Chính thức</v>
      </c>
      <c r="L317" t="str">
        <f>survey_responses[[#This Row],[Tình trạng việc làm chính:]]</f>
        <v>Khu vực chính thức (Có Hợp đồng lao động, đóng BHXH)</v>
      </c>
      <c r="M317">
        <f>step3_validation[[#This Row],[Income_Mil]]</f>
        <v>23.434193889157577</v>
      </c>
      <c r="N317" t="str">
        <f>survey_responses[[#This Row],[Thu nhập bình quân tháng theo Hợp đồng lao động của bạn là bao nhiêu? (Vui lòng điền tổng thu nhập trước khi khấu trừ các loại Bảo hiểm (BHXH, BHYT, BHTN) và Thuế TNCN)]]</f>
        <v>Từ 23 - 32 triệu VNĐ</v>
      </c>
      <c r="O317">
        <f>step3_validation[[#This Row],[Dependents]]</f>
        <v>0</v>
      </c>
      <c r="P317" t="str">
        <f>survey_responses[[#This Row],[Số người phụ thuộc (con nhỏ, cha mẹ già...) đủ điều kiện giảm trừ gia cảnh:]]</f>
        <v>0 người</v>
      </c>
      <c r="Q317">
        <f>step3_validation[[#This Row],[AI_ENF1]]</f>
        <v>7</v>
      </c>
      <c r="R317">
        <f t="shared" si="108"/>
        <v>0.66666666666666663</v>
      </c>
      <c r="S317">
        <f>survey_responses[[#This Row],[Tôi tin rằng với các quy định quản lý thuế hiện nay, hành vi gian lận hoặc trốn thuế sẽ dễ dàng bị phát hiện và xử lý nghiêm. - HUMAN-ENF1]]</f>
        <v>6</v>
      </c>
      <c r="T317">
        <f t="shared" si="109"/>
        <v>0.55555555555555558</v>
      </c>
      <c r="U317">
        <f>step3_validation[[#This Row],[AI_ENF2]]</f>
        <v>8</v>
      </c>
      <c r="V317">
        <f t="shared" si="110"/>
        <v>0.77777777777777779</v>
      </c>
      <c r="W317">
        <f>survey_responses[[#This Row],[Tôi tin rằng Nhà nước, cơ quan thuế có đủ khả năng và công nghệ để phát hiện, xử lý nghiêm các hành vi trốn thuế. - HUMAN-ENF2]]</f>
        <v>8</v>
      </c>
      <c r="X317">
        <f t="shared" si="111"/>
        <v>0.77777777777777779</v>
      </c>
      <c r="Y317" s="32">
        <f t="shared" si="112"/>
        <v>0.72222222222222221</v>
      </c>
      <c r="Z317" s="32">
        <f t="shared" si="113"/>
        <v>0.66666666666666674</v>
      </c>
      <c r="AA317">
        <f>step3_validation[[#This Row],[AI_FAC1]]</f>
        <v>9</v>
      </c>
      <c r="AB317">
        <f t="shared" si="114"/>
        <v>0.88888888888888884</v>
      </c>
      <c r="AC317">
        <f>survey_responses[[#This Row],[Các thủ tục khai báo thuế VÀ/HOẶC quy trình làm việc với cơ quan thuế đơn giản, tiện lợi, nhanh chóng hơn so với trước đây. - HUMAN-FAC1]]</f>
        <v>5</v>
      </c>
      <c r="AD317">
        <f t="shared" si="115"/>
        <v>0.44444444444444442</v>
      </c>
      <c r="AE317">
        <f>step3_validation[[#This Row],[AI_FAC2]]</f>
        <v>9</v>
      </c>
      <c r="AF317">
        <f t="shared" si="116"/>
        <v>0.88888888888888884</v>
      </c>
      <c r="AG317">
        <f>survey_responses[[#This Row],[So với trước đây, tôi thấy cách tính thuế và các bậc thuế trong phương án mới đơn giản, dễ hiểu và dễ thực hiện hơn. - HUMAN-FAC2]]</f>
        <v>6</v>
      </c>
      <c r="AH317">
        <f t="shared" si="117"/>
        <v>0.55555555555555558</v>
      </c>
      <c r="AI317" s="32">
        <f t="shared" si="118"/>
        <v>0.88888888888888884</v>
      </c>
      <c r="AJ317" s="32">
        <f t="shared" si="119"/>
        <v>0.5</v>
      </c>
      <c r="AK317">
        <f>step3_validation[[#This Row],[AI_TRU1]]</f>
        <v>7</v>
      </c>
      <c r="AL317">
        <f t="shared" si="120"/>
        <v>0.66666666666666663</v>
      </c>
      <c r="AM317">
        <f>survey_responses[[#This Row],[Tôi tin rằng Nhà nước, cơ quan thuế sẽ thực thi chính sách mới một cách khách quan, công tâm và đối xử bình đẳng với mọi người nộp thuế.  - HUMAN-TRU1]]</f>
        <v>6</v>
      </c>
      <c r="AN317">
        <f t="shared" si="121"/>
        <v>0.55555555555555558</v>
      </c>
      <c r="AO317">
        <f>step3_validation[[#This Row],[AI_TRU2]]</f>
        <v>9</v>
      </c>
      <c r="AP317">
        <f t="shared" si="122"/>
        <v>0.88888888888888884</v>
      </c>
      <c r="AQ317">
        <f>survey_responses[[#This Row],[Tôi thấy mức thuế tôi phải đóng theo phương án mới là công bằng (người thu nhập như tôi đóng mức này là hợp lý). - HUMAN-TRU2]]</f>
        <v>7</v>
      </c>
      <c r="AR317">
        <f t="shared" si="123"/>
        <v>0.66666666666666663</v>
      </c>
      <c r="AS317">
        <f>step3_validation[[#This Row],[AI_TRU3]]</f>
        <v>7</v>
      </c>
      <c r="AT317">
        <f t="shared" si="124"/>
        <v>0.66666666666666663</v>
      </c>
      <c r="AU317">
        <f>survey_responses[[#This Row],[Tôi tin tưởng số tiền thuế tôi đóng sẽ được Nhà nước sử dụng hiệu quả để cải thiện dịch vụ công (y tế, đường xá...). - HUMAN-TRU3]]</f>
        <v>6</v>
      </c>
      <c r="AV317">
        <f t="shared" si="125"/>
        <v>0.55555555555555558</v>
      </c>
      <c r="AW317">
        <f>step3_validation[[#This Row],[AI_TRU4]]</f>
        <v>8</v>
      </c>
      <c r="AX317">
        <f t="shared" si="126"/>
        <v>0.77777777777777779</v>
      </c>
      <c r="AY317">
        <f>survey_responses[[#This Row],[Tôi thấy Nhà nước đã giải thích rõ ràng, minh bạch về lý do và mục tiêu của việc sửa đổi thuế lần này. - HUMAN-TRU4]]</f>
        <v>7</v>
      </c>
      <c r="AZ317">
        <f t="shared" si="127"/>
        <v>0.66666666666666663</v>
      </c>
      <c r="BA317" s="32">
        <f t="shared" si="128"/>
        <v>0.74999999999999989</v>
      </c>
      <c r="BB317" s="32">
        <f t="shared" si="129"/>
        <v>0.61111111111111116</v>
      </c>
      <c r="BC317" s="7">
        <f t="shared" si="130"/>
        <v>0.78703703703703709</v>
      </c>
      <c r="BD317" s="7">
        <f t="shared" si="131"/>
        <v>0.59259259259259267</v>
      </c>
      <c r="BE317">
        <f>step3_validation[[#This Row],[AI_OUT1]]</f>
        <v>9</v>
      </c>
      <c r="BF317">
        <f t="shared" si="132"/>
        <v>0.88888888888888884</v>
      </c>
      <c r="BG317">
        <f>survey_responses[[#This Row],[Sau khi xem xét các quyền lợi và nghĩa vụ, bạn có ủng hộ và tuân thủ chính sách mới hiện nay? - HUMAN-OUT1]]</f>
        <v>7</v>
      </c>
      <c r="BH317">
        <f t="shared" si="133"/>
        <v>0.66666666666666663</v>
      </c>
      <c r="BI317" s="32">
        <f t="shared" si="134"/>
        <v>2</v>
      </c>
    </row>
    <row r="318" spans="1:61" x14ac:dyDescent="0.45">
      <c r="A318" s="30">
        <f>step3_validation[[#This Row],[Persona_ID]]</f>
        <v>317</v>
      </c>
      <c r="B318" s="31">
        <f>step3_validation[[#This Row],[Used_Seed]]</f>
        <v>12661</v>
      </c>
      <c r="C318" t="str">
        <f>step3_validation[[#This Row],[Gender]]</f>
        <v>Nữ</v>
      </c>
      <c r="D318" t="str">
        <f>survey_responses[[#This Row],[Giới tính của bạn:]]</f>
        <v>Nữ</v>
      </c>
      <c r="E318" t="str">
        <f>step3_validation[[#This Row],[Age_Group]]</f>
        <v>18 - 24</v>
      </c>
      <c r="F318" t="str">
        <f>survey_responses[[#This Row],[Độ tuổi của bạn:]]</f>
        <v>18 - 24</v>
      </c>
      <c r="G318" t="str">
        <f>step3_validation[[#This Row],[Region]]</f>
        <v>Thành thị</v>
      </c>
      <c r="H318" t="str">
        <f>survey_responses[[#This Row],[Khu vực bạn đang sinh sống:]]</f>
        <v>Thành thị</v>
      </c>
      <c r="I318" t="str">
        <f>step3_validation[[#This Row],[Education]]</f>
        <v>Đại học</v>
      </c>
      <c r="J318" t="str">
        <f>survey_responses[[#This Row],[Trình độ học vấn cao nhất:]]</f>
        <v>Đại học</v>
      </c>
      <c r="K318" t="str">
        <f>step3_validation[[#This Row],[Employment]]</f>
        <v>Chính thức</v>
      </c>
      <c r="L318" t="str">
        <f>survey_responses[[#This Row],[Tình trạng việc làm chính:]]</f>
        <v>Khu vực chính thức (Có Hợp đồng lao động, đóng BHXH)</v>
      </c>
      <c r="M318">
        <f>step3_validation[[#This Row],[Income_Mil]]</f>
        <v>13.189205483468264</v>
      </c>
      <c r="N318" t="str">
        <f>survey_responses[[#This Row],[Thu nhập bình quân tháng theo Hợp đồng lao động của bạn là bao nhiêu? (Vui lòng điền tổng thu nhập trước khi khấu trừ các loại Bảo hiểm (BHXH, BHYT, BHTN) và Thuế TNCN)]]</f>
        <v>Từ 12 - 18 triệu VNĐ</v>
      </c>
      <c r="O318">
        <f>step3_validation[[#This Row],[Dependents]]</f>
        <v>0</v>
      </c>
      <c r="P318" t="str">
        <f>survey_responses[[#This Row],[Số người phụ thuộc (con nhỏ, cha mẹ già...) đủ điều kiện giảm trừ gia cảnh:]]</f>
        <v>0 người</v>
      </c>
      <c r="Q318">
        <f>step3_validation[[#This Row],[AI_ENF1]]</f>
        <v>8</v>
      </c>
      <c r="R318">
        <f t="shared" si="108"/>
        <v>0.77777777777777779</v>
      </c>
      <c r="S318">
        <f>survey_responses[[#This Row],[Tôi tin rằng với các quy định quản lý thuế hiện nay, hành vi gian lận hoặc trốn thuế sẽ dễ dàng bị phát hiện và xử lý nghiêm. - HUMAN-ENF1]]</f>
        <v>7</v>
      </c>
      <c r="T318">
        <f t="shared" si="109"/>
        <v>0.66666666666666663</v>
      </c>
      <c r="U318">
        <f>step3_validation[[#This Row],[AI_ENF2]]</f>
        <v>9</v>
      </c>
      <c r="V318">
        <f t="shared" si="110"/>
        <v>0.88888888888888884</v>
      </c>
      <c r="W318">
        <f>survey_responses[[#This Row],[Tôi tin rằng Nhà nước, cơ quan thuế có đủ khả năng và công nghệ để phát hiện, xử lý nghiêm các hành vi trốn thuế. - HUMAN-ENF2]]</f>
        <v>7</v>
      </c>
      <c r="X318">
        <f t="shared" si="111"/>
        <v>0.66666666666666663</v>
      </c>
      <c r="Y318" s="32">
        <f t="shared" si="112"/>
        <v>0.83333333333333326</v>
      </c>
      <c r="Z318" s="32">
        <f t="shared" si="113"/>
        <v>0.66666666666666663</v>
      </c>
      <c r="AA318">
        <f>step3_validation[[#This Row],[AI_FAC1]]</f>
        <v>8</v>
      </c>
      <c r="AB318">
        <f t="shared" si="114"/>
        <v>0.77777777777777779</v>
      </c>
      <c r="AC318">
        <f>survey_responses[[#This Row],[Các thủ tục khai báo thuế VÀ/HOẶC quy trình làm việc với cơ quan thuế đơn giản, tiện lợi, nhanh chóng hơn so với trước đây. - HUMAN-FAC1]]</f>
        <v>5</v>
      </c>
      <c r="AD318">
        <f t="shared" si="115"/>
        <v>0.44444444444444442</v>
      </c>
      <c r="AE318">
        <f>step3_validation[[#This Row],[AI_FAC2]]</f>
        <v>9</v>
      </c>
      <c r="AF318">
        <f t="shared" si="116"/>
        <v>0.88888888888888884</v>
      </c>
      <c r="AG318">
        <f>survey_responses[[#This Row],[So với trước đây, tôi thấy cách tính thuế và các bậc thuế trong phương án mới đơn giản, dễ hiểu và dễ thực hiện hơn. - HUMAN-FAC2]]</f>
        <v>8</v>
      </c>
      <c r="AH318">
        <f t="shared" si="117"/>
        <v>0.77777777777777779</v>
      </c>
      <c r="AI318" s="32">
        <f t="shared" si="118"/>
        <v>0.83333333333333326</v>
      </c>
      <c r="AJ318" s="32">
        <f t="shared" si="119"/>
        <v>0.61111111111111116</v>
      </c>
      <c r="AK318">
        <f>step3_validation[[#This Row],[AI_TRU1]]</f>
        <v>8</v>
      </c>
      <c r="AL318">
        <f t="shared" si="120"/>
        <v>0.77777777777777779</v>
      </c>
      <c r="AM318">
        <f>survey_responses[[#This Row],[Tôi tin rằng Nhà nước, cơ quan thuế sẽ thực thi chính sách mới một cách khách quan, công tâm và đối xử bình đẳng với mọi người nộp thuế.  - HUMAN-TRU1]]</f>
        <v>5</v>
      </c>
      <c r="AN318">
        <f t="shared" si="121"/>
        <v>0.44444444444444442</v>
      </c>
      <c r="AO318">
        <f>step3_validation[[#This Row],[AI_TRU2]]</f>
        <v>9</v>
      </c>
      <c r="AP318">
        <f t="shared" si="122"/>
        <v>0.88888888888888884</v>
      </c>
      <c r="AQ318">
        <f>survey_responses[[#This Row],[Tôi thấy mức thuế tôi phải đóng theo phương án mới là công bằng (người thu nhập như tôi đóng mức này là hợp lý). - HUMAN-TRU2]]</f>
        <v>8</v>
      </c>
      <c r="AR318">
        <f t="shared" si="123"/>
        <v>0.77777777777777779</v>
      </c>
      <c r="AS318">
        <f>step3_validation[[#This Row],[AI_TRU3]]</f>
        <v>8</v>
      </c>
      <c r="AT318">
        <f t="shared" si="124"/>
        <v>0.77777777777777779</v>
      </c>
      <c r="AU318">
        <f>survey_responses[[#This Row],[Tôi tin tưởng số tiền thuế tôi đóng sẽ được Nhà nước sử dụng hiệu quả để cải thiện dịch vụ công (y tế, đường xá...). - HUMAN-TRU3]]</f>
        <v>5</v>
      </c>
      <c r="AV318">
        <f t="shared" si="125"/>
        <v>0.44444444444444442</v>
      </c>
      <c r="AW318">
        <f>step3_validation[[#This Row],[AI_TRU4]]</f>
        <v>9</v>
      </c>
      <c r="AX318">
        <f t="shared" si="126"/>
        <v>0.88888888888888884</v>
      </c>
      <c r="AY318">
        <f>survey_responses[[#This Row],[Tôi thấy Nhà nước đã giải thích rõ ràng, minh bạch về lý do và mục tiêu của việc sửa đổi thuế lần này. - HUMAN-TRU4]]</f>
        <v>7</v>
      </c>
      <c r="AZ318">
        <f t="shared" si="127"/>
        <v>0.66666666666666663</v>
      </c>
      <c r="BA318" s="32">
        <f t="shared" si="128"/>
        <v>0.83333333333333326</v>
      </c>
      <c r="BB318" s="32">
        <f t="shared" si="129"/>
        <v>0.58333333333333337</v>
      </c>
      <c r="BC318" s="7">
        <f t="shared" si="130"/>
        <v>0.83333333333333337</v>
      </c>
      <c r="BD318" s="7">
        <f t="shared" si="131"/>
        <v>0.62037037037037035</v>
      </c>
      <c r="BE318">
        <f>step3_validation[[#This Row],[AI_OUT1]]</f>
        <v>8</v>
      </c>
      <c r="BF318">
        <f t="shared" si="132"/>
        <v>0.77777777777777779</v>
      </c>
      <c r="BG318">
        <f>survey_responses[[#This Row],[Sau khi xem xét các quyền lợi và nghĩa vụ, bạn có ủng hộ và tuân thủ chính sách mới hiện nay? - HUMAN-OUT1]]</f>
        <v>8</v>
      </c>
      <c r="BH318">
        <f t="shared" si="133"/>
        <v>0.77777777777777779</v>
      </c>
      <c r="BI318" s="32">
        <f t="shared" si="134"/>
        <v>0</v>
      </c>
    </row>
    <row r="319" spans="1:61" x14ac:dyDescent="0.45">
      <c r="A319" s="30">
        <f>step3_validation[[#This Row],[Persona_ID]]</f>
        <v>318</v>
      </c>
      <c r="B319" s="31">
        <f>step3_validation[[#This Row],[Used_Seed]]</f>
        <v>12662</v>
      </c>
      <c r="C319" t="str">
        <f>step3_validation[[#This Row],[Gender]]</f>
        <v>Nữ</v>
      </c>
      <c r="D319" t="str">
        <f>survey_responses[[#This Row],[Giới tính của bạn:]]</f>
        <v>Nữ</v>
      </c>
      <c r="E319" t="str">
        <f>step3_validation[[#This Row],[Age_Group]]</f>
        <v>25 - 29</v>
      </c>
      <c r="F319" t="str">
        <f>survey_responses[[#This Row],[Độ tuổi của bạn:]]</f>
        <v>25 - 29</v>
      </c>
      <c r="G319" t="str">
        <f>step3_validation[[#This Row],[Region]]</f>
        <v>Thành thị</v>
      </c>
      <c r="H319" t="str">
        <f>survey_responses[[#This Row],[Khu vực bạn đang sinh sống:]]</f>
        <v>Thành thị</v>
      </c>
      <c r="I319" t="str">
        <f>step3_validation[[#This Row],[Education]]</f>
        <v>Sau Đại học</v>
      </c>
      <c r="J319" t="str">
        <f>survey_responses[[#This Row],[Trình độ học vấn cao nhất:]]</f>
        <v>Sau Đại học</v>
      </c>
      <c r="K319" t="str">
        <f>step3_validation[[#This Row],[Employment]]</f>
        <v>Chính thức</v>
      </c>
      <c r="L319" t="str">
        <f>survey_responses[[#This Row],[Tình trạng việc làm chính:]]</f>
        <v>Khu vực chính thức (Có Hợp đồng lao động, đóng BHXH)</v>
      </c>
      <c r="M319">
        <f>step3_validation[[#This Row],[Income_Mil]]</f>
        <v>21.746024411486641</v>
      </c>
      <c r="N319" t="str">
        <f>survey_responses[[#This Row],[Thu nhập bình quân tháng theo Hợp đồng lao động của bạn là bao nhiêu? (Vui lòng điền tổng thu nhập trước khi khấu trừ các loại Bảo hiểm (BHXH, BHYT, BHTN) và Thuế TNCN)]]</f>
        <v>Từ 18 - 23 triệu VNĐ</v>
      </c>
      <c r="O319">
        <f>step3_validation[[#This Row],[Dependents]]</f>
        <v>0</v>
      </c>
      <c r="P319" t="str">
        <f>survey_responses[[#This Row],[Số người phụ thuộc (con nhỏ, cha mẹ già...) đủ điều kiện giảm trừ gia cảnh:]]</f>
        <v>0 người</v>
      </c>
      <c r="Q319">
        <f>step3_validation[[#This Row],[AI_ENF1]]</f>
        <v>7</v>
      </c>
      <c r="R319">
        <f t="shared" si="108"/>
        <v>0.66666666666666663</v>
      </c>
      <c r="S319">
        <f>survey_responses[[#This Row],[Tôi tin rằng với các quy định quản lý thuế hiện nay, hành vi gian lận hoặc trốn thuế sẽ dễ dàng bị phát hiện và xử lý nghiêm. - HUMAN-ENF1]]</f>
        <v>4</v>
      </c>
      <c r="T319">
        <f t="shared" si="109"/>
        <v>0.33333333333333331</v>
      </c>
      <c r="U319">
        <f>step3_validation[[#This Row],[AI_ENF2]]</f>
        <v>6</v>
      </c>
      <c r="V319">
        <f t="shared" si="110"/>
        <v>0.55555555555555558</v>
      </c>
      <c r="W319">
        <f>survey_responses[[#This Row],[Tôi tin rằng Nhà nước, cơ quan thuế có đủ khả năng và công nghệ để phát hiện, xử lý nghiêm các hành vi trốn thuế. - HUMAN-ENF2]]</f>
        <v>4</v>
      </c>
      <c r="X319">
        <f t="shared" si="111"/>
        <v>0.33333333333333331</v>
      </c>
      <c r="Y319" s="32">
        <f t="shared" si="112"/>
        <v>0.61111111111111116</v>
      </c>
      <c r="Z319" s="32">
        <f t="shared" si="113"/>
        <v>0.33333333333333331</v>
      </c>
      <c r="AA319">
        <f>step3_validation[[#This Row],[AI_FAC1]]</f>
        <v>8</v>
      </c>
      <c r="AB319">
        <f t="shared" si="114"/>
        <v>0.77777777777777779</v>
      </c>
      <c r="AC319">
        <f>survey_responses[[#This Row],[Các thủ tục khai báo thuế VÀ/HOẶC quy trình làm việc với cơ quan thuế đơn giản, tiện lợi, nhanh chóng hơn so với trước đây. - HUMAN-FAC1]]</f>
        <v>6</v>
      </c>
      <c r="AD319">
        <f t="shared" si="115"/>
        <v>0.55555555555555558</v>
      </c>
      <c r="AE319">
        <f>step3_validation[[#This Row],[AI_FAC2]]</f>
        <v>9</v>
      </c>
      <c r="AF319">
        <f t="shared" si="116"/>
        <v>0.88888888888888884</v>
      </c>
      <c r="AG319">
        <f>survey_responses[[#This Row],[So với trước đây, tôi thấy cách tính thuế và các bậc thuế trong phương án mới đơn giản, dễ hiểu và dễ thực hiện hơn. - HUMAN-FAC2]]</f>
        <v>7</v>
      </c>
      <c r="AH319">
        <f t="shared" si="117"/>
        <v>0.66666666666666663</v>
      </c>
      <c r="AI319" s="32">
        <f t="shared" si="118"/>
        <v>0.83333333333333326</v>
      </c>
      <c r="AJ319" s="32">
        <f t="shared" si="119"/>
        <v>0.61111111111111116</v>
      </c>
      <c r="AK319">
        <f>step3_validation[[#This Row],[AI_TRU1]]</f>
        <v>7</v>
      </c>
      <c r="AL319">
        <f t="shared" si="120"/>
        <v>0.66666666666666663</v>
      </c>
      <c r="AM319">
        <f>survey_responses[[#This Row],[Tôi tin rằng Nhà nước, cơ quan thuế sẽ thực thi chính sách mới một cách khách quan, công tâm và đối xử bình đẳng với mọi người nộp thuế.  - HUMAN-TRU1]]</f>
        <v>5</v>
      </c>
      <c r="AN319">
        <f t="shared" si="121"/>
        <v>0.44444444444444442</v>
      </c>
      <c r="AO319">
        <f>step3_validation[[#This Row],[AI_TRU2]]</f>
        <v>8</v>
      </c>
      <c r="AP319">
        <f t="shared" si="122"/>
        <v>0.77777777777777779</v>
      </c>
      <c r="AQ319">
        <f>survey_responses[[#This Row],[Tôi thấy mức thuế tôi phải đóng theo phương án mới là công bằng (người thu nhập như tôi đóng mức này là hợp lý). - HUMAN-TRU2]]</f>
        <v>8</v>
      </c>
      <c r="AR319">
        <f t="shared" si="123"/>
        <v>0.77777777777777779</v>
      </c>
      <c r="AS319">
        <f>step3_validation[[#This Row],[AI_TRU3]]</f>
        <v>7</v>
      </c>
      <c r="AT319">
        <f t="shared" si="124"/>
        <v>0.66666666666666663</v>
      </c>
      <c r="AU319">
        <f>survey_responses[[#This Row],[Tôi tin tưởng số tiền thuế tôi đóng sẽ được Nhà nước sử dụng hiệu quả để cải thiện dịch vụ công (y tế, đường xá...). - HUMAN-TRU3]]</f>
        <v>5</v>
      </c>
      <c r="AV319">
        <f t="shared" si="125"/>
        <v>0.44444444444444442</v>
      </c>
      <c r="AW319">
        <f>step3_validation[[#This Row],[AI_TRU4]]</f>
        <v>8</v>
      </c>
      <c r="AX319">
        <f t="shared" si="126"/>
        <v>0.77777777777777779</v>
      </c>
      <c r="AY319">
        <f>survey_responses[[#This Row],[Tôi thấy Nhà nước đã giải thích rõ ràng, minh bạch về lý do và mục tiêu của việc sửa đổi thuế lần này. - HUMAN-TRU4]]</f>
        <v>5</v>
      </c>
      <c r="AZ319">
        <f t="shared" si="127"/>
        <v>0.44444444444444442</v>
      </c>
      <c r="BA319" s="32">
        <f t="shared" si="128"/>
        <v>0.72222222222222221</v>
      </c>
      <c r="BB319" s="32">
        <f t="shared" si="129"/>
        <v>0.52777777777777779</v>
      </c>
      <c r="BC319" s="7">
        <f t="shared" si="130"/>
        <v>0.72222222222222221</v>
      </c>
      <c r="BD319" s="7">
        <f t="shared" si="131"/>
        <v>0.49074074074074076</v>
      </c>
      <c r="BE319">
        <f>step3_validation[[#This Row],[AI_OUT1]]</f>
        <v>9</v>
      </c>
      <c r="BF319">
        <f t="shared" si="132"/>
        <v>0.88888888888888884</v>
      </c>
      <c r="BG319">
        <f>survey_responses[[#This Row],[Sau khi xem xét các quyền lợi và nghĩa vụ, bạn có ủng hộ và tuân thủ chính sách mới hiện nay? - HUMAN-OUT1]]</f>
        <v>8</v>
      </c>
      <c r="BH319">
        <f t="shared" si="133"/>
        <v>0.77777777777777779</v>
      </c>
      <c r="BI319" s="32">
        <f t="shared" si="134"/>
        <v>1</v>
      </c>
    </row>
    <row r="320" spans="1:61" x14ac:dyDescent="0.45">
      <c r="A320" s="30">
        <f>step3_validation[[#This Row],[Persona_ID]]</f>
        <v>319</v>
      </c>
      <c r="B320" s="31">
        <f>step3_validation[[#This Row],[Used_Seed]]</f>
        <v>12663</v>
      </c>
      <c r="C320" t="str">
        <f>step3_validation[[#This Row],[Gender]]</f>
        <v>Nữ</v>
      </c>
      <c r="D320" t="str">
        <f>survey_responses[[#This Row],[Giới tính của bạn:]]</f>
        <v>Nữ</v>
      </c>
      <c r="E320" t="str">
        <f>step3_validation[[#This Row],[Age_Group]]</f>
        <v>18 - 24</v>
      </c>
      <c r="F320" t="str">
        <f>survey_responses[[#This Row],[Độ tuổi của bạn:]]</f>
        <v>18 - 24</v>
      </c>
      <c r="G320" t="str">
        <f>step3_validation[[#This Row],[Region]]</f>
        <v>Thành thị</v>
      </c>
      <c r="H320" t="str">
        <f>survey_responses[[#This Row],[Khu vực bạn đang sinh sống:]]</f>
        <v>Thành thị</v>
      </c>
      <c r="I320" t="str">
        <f>step3_validation[[#This Row],[Education]]</f>
        <v>Đại học</v>
      </c>
      <c r="J320" t="str">
        <f>survey_responses[[#This Row],[Trình độ học vấn cao nhất:]]</f>
        <v>Đại học</v>
      </c>
      <c r="K320" t="str">
        <f>step3_validation[[#This Row],[Employment]]</f>
        <v>Chính thức</v>
      </c>
      <c r="L320" t="str">
        <f>survey_responses[[#This Row],[Tình trạng việc làm chính:]]</f>
        <v>Khu vực chính thức (Có Hợp đồng lao động, đóng BHXH)</v>
      </c>
      <c r="M320">
        <f>step3_validation[[#This Row],[Income_Mil]]</f>
        <v>15.418228397582919</v>
      </c>
      <c r="N320" t="str">
        <f>survey_responses[[#This Row],[Thu nhập bình quân tháng theo Hợp đồng lao động của bạn là bao nhiêu? (Vui lòng điền tổng thu nhập trước khi khấu trừ các loại Bảo hiểm (BHXH, BHYT, BHTN) và Thuế TNCN)]]</f>
        <v>Từ 12 - 18 triệu VNĐ</v>
      </c>
      <c r="O320">
        <f>step3_validation[[#This Row],[Dependents]]</f>
        <v>0</v>
      </c>
      <c r="P320" t="str">
        <f>survey_responses[[#This Row],[Số người phụ thuộc (con nhỏ, cha mẹ già...) đủ điều kiện giảm trừ gia cảnh:]]</f>
        <v>0 người</v>
      </c>
      <c r="Q320">
        <f>step3_validation[[#This Row],[AI_ENF1]]</f>
        <v>7</v>
      </c>
      <c r="R320">
        <f t="shared" si="108"/>
        <v>0.66666666666666663</v>
      </c>
      <c r="S320">
        <f>survey_responses[[#This Row],[Tôi tin rằng với các quy định quản lý thuế hiện nay, hành vi gian lận hoặc trốn thuế sẽ dễ dàng bị phát hiện và xử lý nghiêm. - HUMAN-ENF1]]</f>
        <v>8</v>
      </c>
      <c r="T320">
        <f t="shared" si="109"/>
        <v>0.77777777777777779</v>
      </c>
      <c r="U320">
        <f>step3_validation[[#This Row],[AI_ENF2]]</f>
        <v>9</v>
      </c>
      <c r="V320">
        <f t="shared" si="110"/>
        <v>0.88888888888888884</v>
      </c>
      <c r="W320">
        <f>survey_responses[[#This Row],[Tôi tin rằng Nhà nước, cơ quan thuế có đủ khả năng và công nghệ để phát hiện, xử lý nghiêm các hành vi trốn thuế. - HUMAN-ENF2]]</f>
        <v>8</v>
      </c>
      <c r="X320">
        <f t="shared" si="111"/>
        <v>0.77777777777777779</v>
      </c>
      <c r="Y320" s="32">
        <f t="shared" si="112"/>
        <v>0.77777777777777768</v>
      </c>
      <c r="Z320" s="32">
        <f t="shared" si="113"/>
        <v>0.77777777777777779</v>
      </c>
      <c r="AA320">
        <f>step3_validation[[#This Row],[AI_FAC1]]</f>
        <v>9</v>
      </c>
      <c r="AB320">
        <f t="shared" si="114"/>
        <v>0.88888888888888884</v>
      </c>
      <c r="AC320">
        <f>survey_responses[[#This Row],[Các thủ tục khai báo thuế VÀ/HOẶC quy trình làm việc với cơ quan thuế đơn giản, tiện lợi, nhanh chóng hơn so với trước đây. - HUMAN-FAC1]]</f>
        <v>10</v>
      </c>
      <c r="AD320">
        <f t="shared" si="115"/>
        <v>1</v>
      </c>
      <c r="AE320">
        <f>step3_validation[[#This Row],[AI_FAC2]]</f>
        <v>10</v>
      </c>
      <c r="AF320">
        <f t="shared" si="116"/>
        <v>1</v>
      </c>
      <c r="AG320">
        <f>survey_responses[[#This Row],[So với trước đây, tôi thấy cách tính thuế và các bậc thuế trong phương án mới đơn giản, dễ hiểu và dễ thực hiện hơn. - HUMAN-FAC2]]</f>
        <v>10</v>
      </c>
      <c r="AH320">
        <f t="shared" si="117"/>
        <v>1</v>
      </c>
      <c r="AI320" s="32">
        <f t="shared" si="118"/>
        <v>0.94444444444444442</v>
      </c>
      <c r="AJ320" s="32">
        <f t="shared" si="119"/>
        <v>1</v>
      </c>
      <c r="AK320">
        <f>step3_validation[[#This Row],[AI_TRU1]]</f>
        <v>9</v>
      </c>
      <c r="AL320">
        <f t="shared" si="120"/>
        <v>0.88888888888888884</v>
      </c>
      <c r="AM320">
        <f>survey_responses[[#This Row],[Tôi tin rằng Nhà nước, cơ quan thuế sẽ thực thi chính sách mới một cách khách quan, công tâm và đối xử bình đẳng với mọi người nộp thuế.  - HUMAN-TRU1]]</f>
        <v>9</v>
      </c>
      <c r="AN320">
        <f t="shared" si="121"/>
        <v>0.88888888888888884</v>
      </c>
      <c r="AO320">
        <f>step3_validation[[#This Row],[AI_TRU2]]</f>
        <v>10</v>
      </c>
      <c r="AP320">
        <f t="shared" si="122"/>
        <v>1</v>
      </c>
      <c r="AQ320">
        <f>survey_responses[[#This Row],[Tôi thấy mức thuế tôi phải đóng theo phương án mới là công bằng (người thu nhập như tôi đóng mức này là hợp lý). - HUMAN-TRU2]]</f>
        <v>10</v>
      </c>
      <c r="AR320">
        <f t="shared" si="123"/>
        <v>1</v>
      </c>
      <c r="AS320">
        <f>step3_validation[[#This Row],[AI_TRU3]]</f>
        <v>9</v>
      </c>
      <c r="AT320">
        <f t="shared" si="124"/>
        <v>0.88888888888888884</v>
      </c>
      <c r="AU320">
        <f>survey_responses[[#This Row],[Tôi tin tưởng số tiền thuế tôi đóng sẽ được Nhà nước sử dụng hiệu quả để cải thiện dịch vụ công (y tế, đường xá...). - HUMAN-TRU3]]</f>
        <v>8</v>
      </c>
      <c r="AV320">
        <f t="shared" si="125"/>
        <v>0.77777777777777779</v>
      </c>
      <c r="AW320">
        <f>step3_validation[[#This Row],[AI_TRU4]]</f>
        <v>8</v>
      </c>
      <c r="AX320">
        <f t="shared" si="126"/>
        <v>0.77777777777777779</v>
      </c>
      <c r="AY320">
        <f>survey_responses[[#This Row],[Tôi thấy Nhà nước đã giải thích rõ ràng, minh bạch về lý do và mục tiêu của việc sửa đổi thuế lần này. - HUMAN-TRU4]]</f>
        <v>8</v>
      </c>
      <c r="AZ320">
        <f t="shared" si="127"/>
        <v>0.77777777777777779</v>
      </c>
      <c r="BA320" s="32">
        <f t="shared" si="128"/>
        <v>0.88888888888888884</v>
      </c>
      <c r="BB320" s="32">
        <f t="shared" si="129"/>
        <v>0.86111111111111105</v>
      </c>
      <c r="BC320" s="7">
        <f t="shared" si="130"/>
        <v>0.87037037037037024</v>
      </c>
      <c r="BD320" s="7">
        <f t="shared" si="131"/>
        <v>0.87962962962962965</v>
      </c>
      <c r="BE320">
        <f>step3_validation[[#This Row],[AI_OUT1]]</f>
        <v>9</v>
      </c>
      <c r="BF320">
        <f t="shared" si="132"/>
        <v>0.88888888888888884</v>
      </c>
      <c r="BG320">
        <f>survey_responses[[#This Row],[Sau khi xem xét các quyền lợi và nghĩa vụ, bạn có ủng hộ và tuân thủ chính sách mới hiện nay? - HUMAN-OUT1]]</f>
        <v>10</v>
      </c>
      <c r="BH320">
        <f t="shared" si="133"/>
        <v>1</v>
      </c>
      <c r="BI320" s="32">
        <f t="shared" si="134"/>
        <v>1</v>
      </c>
    </row>
    <row r="321" spans="1:61" x14ac:dyDescent="0.45">
      <c r="A321" s="30">
        <f>step3_validation[[#This Row],[Persona_ID]]</f>
        <v>320</v>
      </c>
      <c r="B321" s="31">
        <f>step3_validation[[#This Row],[Used_Seed]]</f>
        <v>12664</v>
      </c>
      <c r="C321" t="str">
        <f>step3_validation[[#This Row],[Gender]]</f>
        <v>Nam</v>
      </c>
      <c r="D321" t="str">
        <f>survey_responses[[#This Row],[Giới tính của bạn:]]</f>
        <v>Nam</v>
      </c>
      <c r="E321" t="str">
        <f>step3_validation[[#This Row],[Age_Group]]</f>
        <v>30 - 39</v>
      </c>
      <c r="F321" t="str">
        <f>survey_responses[[#This Row],[Độ tuổi của bạn:]]</f>
        <v>30 - 39</v>
      </c>
      <c r="G321" t="str">
        <f>step3_validation[[#This Row],[Region]]</f>
        <v>Thành thị</v>
      </c>
      <c r="H321" t="str">
        <f>survey_responses[[#This Row],[Khu vực bạn đang sinh sống:]]</f>
        <v>Thành thị</v>
      </c>
      <c r="I321" t="str">
        <f>step3_validation[[#This Row],[Education]]</f>
        <v>Sau Đại học</v>
      </c>
      <c r="J321" t="str">
        <f>survey_responses[[#This Row],[Trình độ học vấn cao nhất:]]</f>
        <v>Sau Đại học</v>
      </c>
      <c r="K321" t="str">
        <f>step3_validation[[#This Row],[Employment]]</f>
        <v>Chính thức</v>
      </c>
      <c r="L321" t="str">
        <f>survey_responses[[#This Row],[Tình trạng việc làm chính:]]</f>
        <v>Khu vực chính thức (Có Hợp đồng lao động, đóng BHXH)</v>
      </c>
      <c r="M321">
        <f>step3_validation[[#This Row],[Income_Mil]]</f>
        <v>30.473517806818467</v>
      </c>
      <c r="N321" t="str">
        <f>survey_responses[[#This Row],[Thu nhập bình quân tháng theo Hợp đồng lao động của bạn là bao nhiêu? (Vui lòng điền tổng thu nhập trước khi khấu trừ các loại Bảo hiểm (BHXH, BHYT, BHTN) và Thuế TNCN)]]</f>
        <v>Từ 23 - 32 triệu VNĐ</v>
      </c>
      <c r="O321">
        <f>step3_validation[[#This Row],[Dependents]]</f>
        <v>0</v>
      </c>
      <c r="P321" t="str">
        <f>survey_responses[[#This Row],[Số người phụ thuộc (con nhỏ, cha mẹ già...) đủ điều kiện giảm trừ gia cảnh:]]</f>
        <v>0 người</v>
      </c>
      <c r="Q321">
        <f>step3_validation[[#This Row],[AI_ENF1]]</f>
        <v>7</v>
      </c>
      <c r="R321">
        <f t="shared" si="108"/>
        <v>0.66666666666666663</v>
      </c>
      <c r="S321">
        <f>survey_responses[[#This Row],[Tôi tin rằng với các quy định quản lý thuế hiện nay, hành vi gian lận hoặc trốn thuế sẽ dễ dàng bị phát hiện và xử lý nghiêm. - HUMAN-ENF1]]</f>
        <v>5</v>
      </c>
      <c r="T321">
        <f t="shared" si="109"/>
        <v>0.44444444444444442</v>
      </c>
      <c r="U321">
        <f>step3_validation[[#This Row],[AI_ENF2]]</f>
        <v>8</v>
      </c>
      <c r="V321">
        <f t="shared" si="110"/>
        <v>0.77777777777777779</v>
      </c>
      <c r="W321">
        <f>survey_responses[[#This Row],[Tôi tin rằng Nhà nước, cơ quan thuế có đủ khả năng và công nghệ để phát hiện, xử lý nghiêm các hành vi trốn thuế. - HUMAN-ENF2]]</f>
        <v>7</v>
      </c>
      <c r="X321">
        <f t="shared" si="111"/>
        <v>0.66666666666666663</v>
      </c>
      <c r="Y321" s="32">
        <f t="shared" si="112"/>
        <v>0.72222222222222221</v>
      </c>
      <c r="Z321" s="32">
        <f t="shared" si="113"/>
        <v>0.55555555555555558</v>
      </c>
      <c r="AA321">
        <f>step3_validation[[#This Row],[AI_FAC1]]</f>
        <v>6</v>
      </c>
      <c r="AB321">
        <f t="shared" si="114"/>
        <v>0.55555555555555558</v>
      </c>
      <c r="AC321">
        <f>survey_responses[[#This Row],[Các thủ tục khai báo thuế VÀ/HOẶC quy trình làm việc với cơ quan thuế đơn giản, tiện lợi, nhanh chóng hơn so với trước đây. - HUMAN-FAC1]]</f>
        <v>7</v>
      </c>
      <c r="AD321">
        <f t="shared" si="115"/>
        <v>0.66666666666666663</v>
      </c>
      <c r="AE321">
        <f>step3_validation[[#This Row],[AI_FAC2]]</f>
        <v>9</v>
      </c>
      <c r="AF321">
        <f t="shared" si="116"/>
        <v>0.88888888888888884</v>
      </c>
      <c r="AG321">
        <f>survey_responses[[#This Row],[So với trước đây, tôi thấy cách tính thuế và các bậc thuế trong phương án mới đơn giản, dễ hiểu và dễ thực hiện hơn. - HUMAN-FAC2]]</f>
        <v>9</v>
      </c>
      <c r="AH321">
        <f t="shared" si="117"/>
        <v>0.88888888888888884</v>
      </c>
      <c r="AI321" s="32">
        <f t="shared" si="118"/>
        <v>0.72222222222222221</v>
      </c>
      <c r="AJ321" s="32">
        <f t="shared" si="119"/>
        <v>0.77777777777777768</v>
      </c>
      <c r="AK321">
        <f>step3_validation[[#This Row],[AI_TRU1]]</f>
        <v>7</v>
      </c>
      <c r="AL321">
        <f t="shared" si="120"/>
        <v>0.66666666666666663</v>
      </c>
      <c r="AM321">
        <f>survey_responses[[#This Row],[Tôi tin rằng Nhà nước, cơ quan thuế sẽ thực thi chính sách mới một cách khách quan, công tâm và đối xử bình đẳng với mọi người nộp thuế.  - HUMAN-TRU1]]</f>
        <v>5</v>
      </c>
      <c r="AN321">
        <f t="shared" si="121"/>
        <v>0.44444444444444442</v>
      </c>
      <c r="AO321">
        <f>step3_validation[[#This Row],[AI_TRU2]]</f>
        <v>9</v>
      </c>
      <c r="AP321">
        <f t="shared" si="122"/>
        <v>0.88888888888888884</v>
      </c>
      <c r="AQ321">
        <f>survey_responses[[#This Row],[Tôi thấy mức thuế tôi phải đóng theo phương án mới là công bằng (người thu nhập như tôi đóng mức này là hợp lý). - HUMAN-TRU2]]</f>
        <v>6</v>
      </c>
      <c r="AR321">
        <f t="shared" si="123"/>
        <v>0.55555555555555558</v>
      </c>
      <c r="AS321">
        <f>step3_validation[[#This Row],[AI_TRU3]]</f>
        <v>8</v>
      </c>
      <c r="AT321">
        <f t="shared" si="124"/>
        <v>0.77777777777777779</v>
      </c>
      <c r="AU321">
        <f>survey_responses[[#This Row],[Tôi tin tưởng số tiền thuế tôi đóng sẽ được Nhà nước sử dụng hiệu quả để cải thiện dịch vụ công (y tế, đường xá...). - HUMAN-TRU3]]</f>
        <v>5</v>
      </c>
      <c r="AV321">
        <f t="shared" si="125"/>
        <v>0.44444444444444442</v>
      </c>
      <c r="AW321">
        <f>step3_validation[[#This Row],[AI_TRU4]]</f>
        <v>9</v>
      </c>
      <c r="AX321">
        <f t="shared" si="126"/>
        <v>0.88888888888888884</v>
      </c>
      <c r="AY321">
        <f>survey_responses[[#This Row],[Tôi thấy Nhà nước đã giải thích rõ ràng, minh bạch về lý do và mục tiêu của việc sửa đổi thuế lần này. - HUMAN-TRU4]]</f>
        <v>7</v>
      </c>
      <c r="AZ321">
        <f t="shared" si="127"/>
        <v>0.66666666666666663</v>
      </c>
      <c r="BA321" s="32">
        <f t="shared" si="128"/>
        <v>0.80555555555555547</v>
      </c>
      <c r="BB321" s="32">
        <f t="shared" si="129"/>
        <v>0.52777777777777779</v>
      </c>
      <c r="BC321" s="7">
        <f t="shared" si="130"/>
        <v>0.75</v>
      </c>
      <c r="BD321" s="7">
        <f t="shared" si="131"/>
        <v>0.62037037037037035</v>
      </c>
      <c r="BE321">
        <f>step3_validation[[#This Row],[AI_OUT1]]</f>
        <v>9</v>
      </c>
      <c r="BF321">
        <f t="shared" si="132"/>
        <v>0.88888888888888884</v>
      </c>
      <c r="BG321">
        <f>survey_responses[[#This Row],[Sau khi xem xét các quyền lợi và nghĩa vụ, bạn có ủng hộ và tuân thủ chính sách mới hiện nay? - HUMAN-OUT1]]</f>
        <v>7</v>
      </c>
      <c r="BH321">
        <f t="shared" si="133"/>
        <v>0.66666666666666663</v>
      </c>
      <c r="BI321" s="32">
        <f t="shared" si="134"/>
        <v>2</v>
      </c>
    </row>
    <row r="322" spans="1:61" x14ac:dyDescent="0.45">
      <c r="A322" s="30">
        <f>step3_validation[[#This Row],[Persona_ID]]</f>
        <v>321</v>
      </c>
      <c r="B322" s="31">
        <f>step3_validation[[#This Row],[Used_Seed]]</f>
        <v>12665</v>
      </c>
      <c r="C322" t="str">
        <f>step3_validation[[#This Row],[Gender]]</f>
        <v>Nữ</v>
      </c>
      <c r="D322" t="str">
        <f>survey_responses[[#This Row],[Giới tính của bạn:]]</f>
        <v>Nữ</v>
      </c>
      <c r="E322" t="str">
        <f>step3_validation[[#This Row],[Age_Group]]</f>
        <v>18 - 24</v>
      </c>
      <c r="F322" t="str">
        <f>survey_responses[[#This Row],[Độ tuổi của bạn:]]</f>
        <v>18 - 24</v>
      </c>
      <c r="G322" t="str">
        <f>step3_validation[[#This Row],[Region]]</f>
        <v>Thành thị</v>
      </c>
      <c r="H322" t="str">
        <f>survey_responses[[#This Row],[Khu vực bạn đang sinh sống:]]</f>
        <v>Thành thị</v>
      </c>
      <c r="I322" t="str">
        <f>step3_validation[[#This Row],[Education]]</f>
        <v>Đại học</v>
      </c>
      <c r="J322" t="str">
        <f>survey_responses[[#This Row],[Trình độ học vấn cao nhất:]]</f>
        <v>Đại học</v>
      </c>
      <c r="K322" t="str">
        <f>step3_validation[[#This Row],[Employment]]</f>
        <v>Chính thức</v>
      </c>
      <c r="L322" t="str">
        <f>survey_responses[[#This Row],[Tình trạng việc làm chính:]]</f>
        <v>Khu vực chính thức (Có Hợp đồng lao động, đóng BHXH)</v>
      </c>
      <c r="M322">
        <f>step3_validation[[#This Row],[Income_Mil]]</f>
        <v>16.256873801040314</v>
      </c>
      <c r="N322" t="str">
        <f>survey_responses[[#This Row],[Thu nhập bình quân tháng theo Hợp đồng lao động của bạn là bao nhiêu? (Vui lòng điền tổng thu nhập trước khi khấu trừ các loại Bảo hiểm (BHXH, BHYT, BHTN) và Thuế TNCN)]]</f>
        <v>Từ 12 - 18 triệu VNĐ</v>
      </c>
      <c r="O322">
        <f>step3_validation[[#This Row],[Dependents]]</f>
        <v>0</v>
      </c>
      <c r="P322" t="str">
        <f>survey_responses[[#This Row],[Số người phụ thuộc (con nhỏ, cha mẹ già...) đủ điều kiện giảm trừ gia cảnh:]]</f>
        <v>0 người</v>
      </c>
      <c r="Q322">
        <f>step3_validation[[#This Row],[AI_ENF1]]</f>
        <v>7</v>
      </c>
      <c r="R322">
        <f t="shared" si="108"/>
        <v>0.66666666666666663</v>
      </c>
      <c r="S322">
        <f>survey_responses[[#This Row],[Tôi tin rằng với các quy định quản lý thuế hiện nay, hành vi gian lận hoặc trốn thuế sẽ dễ dàng bị phát hiện và xử lý nghiêm. - HUMAN-ENF1]]</f>
        <v>8</v>
      </c>
      <c r="T322">
        <f t="shared" si="109"/>
        <v>0.77777777777777779</v>
      </c>
      <c r="U322">
        <f>step3_validation[[#This Row],[AI_ENF2]]</f>
        <v>6</v>
      </c>
      <c r="V322">
        <f t="shared" si="110"/>
        <v>0.55555555555555558</v>
      </c>
      <c r="W322">
        <f>survey_responses[[#This Row],[Tôi tin rằng Nhà nước, cơ quan thuế có đủ khả năng và công nghệ để phát hiện, xử lý nghiêm các hành vi trốn thuế. - HUMAN-ENF2]]</f>
        <v>8</v>
      </c>
      <c r="X322">
        <f t="shared" si="111"/>
        <v>0.77777777777777779</v>
      </c>
      <c r="Y322" s="32">
        <f t="shared" si="112"/>
        <v>0.61111111111111116</v>
      </c>
      <c r="Z322" s="32">
        <f t="shared" si="113"/>
        <v>0.77777777777777779</v>
      </c>
      <c r="AA322">
        <f>step3_validation[[#This Row],[AI_FAC1]]</f>
        <v>8</v>
      </c>
      <c r="AB322">
        <f t="shared" si="114"/>
        <v>0.77777777777777779</v>
      </c>
      <c r="AC322">
        <f>survey_responses[[#This Row],[Các thủ tục khai báo thuế VÀ/HOẶC quy trình làm việc với cơ quan thuế đơn giản, tiện lợi, nhanh chóng hơn so với trước đây. - HUMAN-FAC1]]</f>
        <v>7</v>
      </c>
      <c r="AD322">
        <f t="shared" si="115"/>
        <v>0.66666666666666663</v>
      </c>
      <c r="AE322">
        <f>step3_validation[[#This Row],[AI_FAC2]]</f>
        <v>9</v>
      </c>
      <c r="AF322">
        <f t="shared" si="116"/>
        <v>0.88888888888888884</v>
      </c>
      <c r="AG322">
        <f>survey_responses[[#This Row],[So với trước đây, tôi thấy cách tính thuế và các bậc thuế trong phương án mới đơn giản, dễ hiểu và dễ thực hiện hơn. - HUMAN-FAC2]]</f>
        <v>9</v>
      </c>
      <c r="AH322">
        <f t="shared" si="117"/>
        <v>0.88888888888888884</v>
      </c>
      <c r="AI322" s="32">
        <f t="shared" si="118"/>
        <v>0.83333333333333326</v>
      </c>
      <c r="AJ322" s="32">
        <f t="shared" si="119"/>
        <v>0.77777777777777768</v>
      </c>
      <c r="AK322">
        <f>step3_validation[[#This Row],[AI_TRU1]]</f>
        <v>7</v>
      </c>
      <c r="AL322">
        <f t="shared" si="120"/>
        <v>0.66666666666666663</v>
      </c>
      <c r="AM322">
        <f>survey_responses[[#This Row],[Tôi tin rằng Nhà nước, cơ quan thuế sẽ thực thi chính sách mới một cách khách quan, công tâm và đối xử bình đẳng với mọi người nộp thuế.  - HUMAN-TRU1]]</f>
        <v>9</v>
      </c>
      <c r="AN322">
        <f t="shared" si="121"/>
        <v>0.88888888888888884</v>
      </c>
      <c r="AO322">
        <f>step3_validation[[#This Row],[AI_TRU2]]</f>
        <v>9</v>
      </c>
      <c r="AP322">
        <f t="shared" si="122"/>
        <v>0.88888888888888884</v>
      </c>
      <c r="AQ322">
        <f>survey_responses[[#This Row],[Tôi thấy mức thuế tôi phải đóng theo phương án mới là công bằng (người thu nhập như tôi đóng mức này là hợp lý). - HUMAN-TRU2]]</f>
        <v>9</v>
      </c>
      <c r="AR322">
        <f t="shared" si="123"/>
        <v>0.88888888888888884</v>
      </c>
      <c r="AS322">
        <f>step3_validation[[#This Row],[AI_TRU3]]</f>
        <v>8</v>
      </c>
      <c r="AT322">
        <f t="shared" si="124"/>
        <v>0.77777777777777779</v>
      </c>
      <c r="AU322">
        <f>survey_responses[[#This Row],[Tôi tin tưởng số tiền thuế tôi đóng sẽ được Nhà nước sử dụng hiệu quả để cải thiện dịch vụ công (y tế, đường xá...). - HUMAN-TRU3]]</f>
        <v>7</v>
      </c>
      <c r="AV322">
        <f t="shared" si="125"/>
        <v>0.66666666666666663</v>
      </c>
      <c r="AW322">
        <f>step3_validation[[#This Row],[AI_TRU4]]</f>
        <v>7</v>
      </c>
      <c r="AX322">
        <f t="shared" si="126"/>
        <v>0.66666666666666663</v>
      </c>
      <c r="AY322">
        <f>survey_responses[[#This Row],[Tôi thấy Nhà nước đã giải thích rõ ràng, minh bạch về lý do và mục tiêu của việc sửa đổi thuế lần này. - HUMAN-TRU4]]</f>
        <v>9</v>
      </c>
      <c r="AZ322">
        <f t="shared" si="127"/>
        <v>0.88888888888888884</v>
      </c>
      <c r="BA322" s="32">
        <f t="shared" si="128"/>
        <v>0.74999999999999989</v>
      </c>
      <c r="BB322" s="32">
        <f t="shared" si="129"/>
        <v>0.83333333333333326</v>
      </c>
      <c r="BC322" s="7">
        <f t="shared" si="130"/>
        <v>0.7314814814814814</v>
      </c>
      <c r="BD322" s="7">
        <f t="shared" si="131"/>
        <v>0.79629629629629617</v>
      </c>
      <c r="BE322">
        <f>step3_validation[[#This Row],[AI_OUT1]]</f>
        <v>8</v>
      </c>
      <c r="BF322">
        <f t="shared" si="132"/>
        <v>0.77777777777777779</v>
      </c>
      <c r="BG322">
        <f>survey_responses[[#This Row],[Sau khi xem xét các quyền lợi và nghĩa vụ, bạn có ủng hộ và tuân thủ chính sách mới hiện nay? - HUMAN-OUT1]]</f>
        <v>9</v>
      </c>
      <c r="BH322">
        <f t="shared" si="133"/>
        <v>0.88888888888888884</v>
      </c>
      <c r="BI322" s="32">
        <f t="shared" si="134"/>
        <v>1</v>
      </c>
    </row>
    <row r="323" spans="1:61" x14ac:dyDescent="0.45">
      <c r="A323" s="30">
        <f>step3_validation[[#This Row],[Persona_ID]]</f>
        <v>322</v>
      </c>
      <c r="B323" s="31">
        <f>step3_validation[[#This Row],[Used_Seed]]</f>
        <v>12666</v>
      </c>
      <c r="C323" t="str">
        <f>step3_validation[[#This Row],[Gender]]</f>
        <v>Nam</v>
      </c>
      <c r="D323" t="str">
        <f>survey_responses[[#This Row],[Giới tính của bạn:]]</f>
        <v>Nam</v>
      </c>
      <c r="E323" t="str">
        <f>step3_validation[[#This Row],[Age_Group]]</f>
        <v>25 - 29</v>
      </c>
      <c r="F323" t="str">
        <f>survey_responses[[#This Row],[Độ tuổi của bạn:]]</f>
        <v>25 - 29</v>
      </c>
      <c r="G323" t="str">
        <f>step3_validation[[#This Row],[Region]]</f>
        <v>Thành thị</v>
      </c>
      <c r="H323" t="str">
        <f>survey_responses[[#This Row],[Khu vực bạn đang sinh sống:]]</f>
        <v>Thành thị</v>
      </c>
      <c r="I323" t="str">
        <f>step3_validation[[#This Row],[Education]]</f>
        <v>Đại học</v>
      </c>
      <c r="J323" t="str">
        <f>survey_responses[[#This Row],[Trình độ học vấn cao nhất:]]</f>
        <v>Đại học</v>
      </c>
      <c r="K323" t="str">
        <f>step3_validation[[#This Row],[Employment]]</f>
        <v>Chính thức</v>
      </c>
      <c r="L323" t="str">
        <f>survey_responses[[#This Row],[Tình trạng việc làm chính:]]</f>
        <v>Khu vực chính thức (Có Hợp đồng lao động, đóng BHXH)</v>
      </c>
      <c r="M323">
        <f>step3_validation[[#This Row],[Income_Mil]]</f>
        <v>25.362896743820713</v>
      </c>
      <c r="N323" t="str">
        <f>survey_responses[[#This Row],[Thu nhập bình quân tháng theo Hợp đồng lao động của bạn là bao nhiêu? (Vui lòng điền tổng thu nhập trước khi khấu trừ các loại Bảo hiểm (BHXH, BHYT, BHTN) và Thuế TNCN)]]</f>
        <v>Từ 23 - 32 triệu VNĐ</v>
      </c>
      <c r="O323">
        <f>step3_validation[[#This Row],[Dependents]]</f>
        <v>0</v>
      </c>
      <c r="P323" t="str">
        <f>survey_responses[[#This Row],[Số người phụ thuộc (con nhỏ, cha mẹ già...) đủ điều kiện giảm trừ gia cảnh:]]</f>
        <v>0 người</v>
      </c>
      <c r="Q323">
        <f>step3_validation[[#This Row],[AI_ENF1]]</f>
        <v>7</v>
      </c>
      <c r="R323">
        <f t="shared" ref="R323:R386" si="135">(Q323-1)/9</f>
        <v>0.66666666666666663</v>
      </c>
      <c r="S323">
        <f>survey_responses[[#This Row],[Tôi tin rằng với các quy định quản lý thuế hiện nay, hành vi gian lận hoặc trốn thuế sẽ dễ dàng bị phát hiện và xử lý nghiêm. - HUMAN-ENF1]]</f>
        <v>5</v>
      </c>
      <c r="T323">
        <f t="shared" ref="T323:T386" si="136">(S323-1)/9</f>
        <v>0.44444444444444442</v>
      </c>
      <c r="U323">
        <f>step3_validation[[#This Row],[AI_ENF2]]</f>
        <v>6</v>
      </c>
      <c r="V323">
        <f t="shared" ref="V323:V386" si="137">(U323-1)/9</f>
        <v>0.55555555555555558</v>
      </c>
      <c r="W323">
        <f>survey_responses[[#This Row],[Tôi tin rằng Nhà nước, cơ quan thuế có đủ khả năng và công nghệ để phát hiện, xử lý nghiêm các hành vi trốn thuế. - HUMAN-ENF2]]</f>
        <v>5</v>
      </c>
      <c r="X323">
        <f t="shared" ref="X323:X386" si="138">(W323-1)/9</f>
        <v>0.44444444444444442</v>
      </c>
      <c r="Y323" s="32">
        <f t="shared" ref="Y323:Y386" si="139">AVERAGE(R323,V323)</f>
        <v>0.61111111111111116</v>
      </c>
      <c r="Z323" s="32">
        <f t="shared" ref="Z323:Z386" si="140">AVERAGE(T323,X323)</f>
        <v>0.44444444444444442</v>
      </c>
      <c r="AA323">
        <f>step3_validation[[#This Row],[AI_FAC1]]</f>
        <v>9</v>
      </c>
      <c r="AB323">
        <f t="shared" ref="AB323:AB386" si="141">(AA323-1)/9</f>
        <v>0.88888888888888884</v>
      </c>
      <c r="AC323">
        <f>survey_responses[[#This Row],[Các thủ tục khai báo thuế VÀ/HOẶC quy trình làm việc với cơ quan thuế đơn giản, tiện lợi, nhanh chóng hơn so với trước đây. - HUMAN-FAC1]]</f>
        <v>5</v>
      </c>
      <c r="AD323">
        <f t="shared" ref="AD323:AD386" si="142">(AC323-1)/9</f>
        <v>0.44444444444444442</v>
      </c>
      <c r="AE323">
        <f>step3_validation[[#This Row],[AI_FAC2]]</f>
        <v>9</v>
      </c>
      <c r="AF323">
        <f t="shared" ref="AF323:AF386" si="143">(AE323-1)/9</f>
        <v>0.88888888888888884</v>
      </c>
      <c r="AG323">
        <f>survey_responses[[#This Row],[So với trước đây, tôi thấy cách tính thuế và các bậc thuế trong phương án mới đơn giản, dễ hiểu và dễ thực hiện hơn. - HUMAN-FAC2]]</f>
        <v>7</v>
      </c>
      <c r="AH323">
        <f t="shared" ref="AH323:AH386" si="144">(AG323-1)/9</f>
        <v>0.66666666666666663</v>
      </c>
      <c r="AI323" s="32">
        <f t="shared" ref="AI323:AI386" si="145">AVERAGE(AB323,AF323)</f>
        <v>0.88888888888888884</v>
      </c>
      <c r="AJ323" s="32">
        <f t="shared" ref="AJ323:AJ386" si="146">AVERAGE(AD323,AH323)</f>
        <v>0.55555555555555558</v>
      </c>
      <c r="AK323">
        <f>step3_validation[[#This Row],[AI_TRU1]]</f>
        <v>8</v>
      </c>
      <c r="AL323">
        <f t="shared" ref="AL323:AL386" si="147">(AK323-1)/9</f>
        <v>0.77777777777777779</v>
      </c>
      <c r="AM323">
        <f>survey_responses[[#This Row],[Tôi tin rằng Nhà nước, cơ quan thuế sẽ thực thi chính sách mới một cách khách quan, công tâm và đối xử bình đẳng với mọi người nộp thuế.  - HUMAN-TRU1]]</f>
        <v>5</v>
      </c>
      <c r="AN323">
        <f t="shared" ref="AN323:AN386" si="148">(AM323-1)/9</f>
        <v>0.44444444444444442</v>
      </c>
      <c r="AO323">
        <f>step3_validation[[#This Row],[AI_TRU2]]</f>
        <v>9</v>
      </c>
      <c r="AP323">
        <f t="shared" ref="AP323:AP386" si="149">(AO323-1)/9</f>
        <v>0.88888888888888884</v>
      </c>
      <c r="AQ323">
        <f>survey_responses[[#This Row],[Tôi thấy mức thuế tôi phải đóng theo phương án mới là công bằng (người thu nhập như tôi đóng mức này là hợp lý). - HUMAN-TRU2]]</f>
        <v>7</v>
      </c>
      <c r="AR323">
        <f t="shared" ref="AR323:AR386" si="150">(AQ323-1)/9</f>
        <v>0.66666666666666663</v>
      </c>
      <c r="AS323">
        <f>step3_validation[[#This Row],[AI_TRU3]]</f>
        <v>8</v>
      </c>
      <c r="AT323">
        <f t="shared" ref="AT323:AT386" si="151">(AS323-1)/9</f>
        <v>0.77777777777777779</v>
      </c>
      <c r="AU323">
        <f>survey_responses[[#This Row],[Tôi tin tưởng số tiền thuế tôi đóng sẽ được Nhà nước sử dụng hiệu quả để cải thiện dịch vụ công (y tế, đường xá...). - HUMAN-TRU3]]</f>
        <v>5</v>
      </c>
      <c r="AV323">
        <f t="shared" ref="AV323:AV386" si="152">(AU323-1)/9</f>
        <v>0.44444444444444442</v>
      </c>
      <c r="AW323">
        <f>step3_validation[[#This Row],[AI_TRU4]]</f>
        <v>9</v>
      </c>
      <c r="AX323">
        <f t="shared" ref="AX323:AX386" si="153">(AW323-1)/9</f>
        <v>0.88888888888888884</v>
      </c>
      <c r="AY323">
        <f>survey_responses[[#This Row],[Tôi thấy Nhà nước đã giải thích rõ ràng, minh bạch về lý do và mục tiêu của việc sửa đổi thuế lần này. - HUMAN-TRU4]]</f>
        <v>5</v>
      </c>
      <c r="AZ323">
        <f t="shared" ref="AZ323:AZ386" si="154">(AY323-1)/9</f>
        <v>0.44444444444444442</v>
      </c>
      <c r="BA323" s="32">
        <f t="shared" ref="BA323:BA386" si="155">AVERAGE(AL323,AP323,AT323,AX323)</f>
        <v>0.83333333333333326</v>
      </c>
      <c r="BB323" s="32">
        <f t="shared" ref="BB323:BB386" si="156">AVERAGE(AN323,AR323,AV323,AZ323)</f>
        <v>0.5</v>
      </c>
      <c r="BC323" s="7">
        <f t="shared" ref="BC323:BC386" si="157">(Y323+AI323+BA323)/3</f>
        <v>0.77777777777777768</v>
      </c>
      <c r="BD323" s="7">
        <f t="shared" ref="BD323:BD386" si="158">(Z323+AJ323+BB323)/3</f>
        <v>0.5</v>
      </c>
      <c r="BE323">
        <f>step3_validation[[#This Row],[AI_OUT1]]</f>
        <v>8</v>
      </c>
      <c r="BF323">
        <f t="shared" ref="BF323:BF386" si="159">(BE323-1)/9</f>
        <v>0.77777777777777779</v>
      </c>
      <c r="BG323">
        <f>survey_responses[[#This Row],[Sau khi xem xét các quyền lợi và nghĩa vụ, bạn có ủng hộ và tuân thủ chính sách mới hiện nay? - HUMAN-OUT1]]</f>
        <v>7</v>
      </c>
      <c r="BH323">
        <f t="shared" ref="BH323:BH386" si="160">(BG323-1)/9</f>
        <v>0.66666666666666663</v>
      </c>
      <c r="BI323" s="32">
        <f t="shared" ref="BI323:BI386" si="161">ABS(BG323-BE323)</f>
        <v>1</v>
      </c>
    </row>
    <row r="324" spans="1:61" x14ac:dyDescent="0.45">
      <c r="A324" s="30">
        <f>step3_validation[[#This Row],[Persona_ID]]</f>
        <v>323</v>
      </c>
      <c r="B324" s="31">
        <f>step3_validation[[#This Row],[Used_Seed]]</f>
        <v>12667</v>
      </c>
      <c r="C324" t="str">
        <f>step3_validation[[#This Row],[Gender]]</f>
        <v>Nam</v>
      </c>
      <c r="D324" t="str">
        <f>survey_responses[[#This Row],[Giới tính của bạn:]]</f>
        <v>Nam</v>
      </c>
      <c r="E324" t="str">
        <f>step3_validation[[#This Row],[Age_Group]]</f>
        <v>25 - 29</v>
      </c>
      <c r="F324" t="str">
        <f>survey_responses[[#This Row],[Độ tuổi của bạn:]]</f>
        <v>25 - 29</v>
      </c>
      <c r="G324" t="str">
        <f>step3_validation[[#This Row],[Region]]</f>
        <v>Thành thị</v>
      </c>
      <c r="H324" t="str">
        <f>survey_responses[[#This Row],[Khu vực bạn đang sinh sống:]]</f>
        <v>Thành thị</v>
      </c>
      <c r="I324" t="str">
        <f>step3_validation[[#This Row],[Education]]</f>
        <v>Sau Đại học</v>
      </c>
      <c r="J324" t="str">
        <f>survey_responses[[#This Row],[Trình độ học vấn cao nhất:]]</f>
        <v>Sau Đại học</v>
      </c>
      <c r="K324" t="str">
        <f>step3_validation[[#This Row],[Employment]]</f>
        <v>Chính thức</v>
      </c>
      <c r="L324" t="str">
        <f>survey_responses[[#This Row],[Tình trạng việc làm chính:]]</f>
        <v>Khu vực chính thức (Có Hợp đồng lao động, đóng BHXH)</v>
      </c>
      <c r="M324">
        <f>step3_validation[[#This Row],[Income_Mil]]</f>
        <v>23.326446966869465</v>
      </c>
      <c r="N324" t="str">
        <f>survey_responses[[#This Row],[Thu nhập bình quân tháng theo Hợp đồng lao động của bạn là bao nhiêu? (Vui lòng điền tổng thu nhập trước khi khấu trừ các loại Bảo hiểm (BHXH, BHYT, BHTN) và Thuế TNCN)]]</f>
        <v>Từ 23 - 32 triệu VNĐ</v>
      </c>
      <c r="O324">
        <f>step3_validation[[#This Row],[Dependents]]</f>
        <v>0</v>
      </c>
      <c r="P324" t="str">
        <f>survey_responses[[#This Row],[Số người phụ thuộc (con nhỏ, cha mẹ già...) đủ điều kiện giảm trừ gia cảnh:]]</f>
        <v>0 người</v>
      </c>
      <c r="Q324">
        <f>step3_validation[[#This Row],[AI_ENF1]]</f>
        <v>7</v>
      </c>
      <c r="R324">
        <f t="shared" si="135"/>
        <v>0.66666666666666663</v>
      </c>
      <c r="S324">
        <f>survey_responses[[#This Row],[Tôi tin rằng với các quy định quản lý thuế hiện nay, hành vi gian lận hoặc trốn thuế sẽ dễ dàng bị phát hiện và xử lý nghiêm. - HUMAN-ENF1]]</f>
        <v>7</v>
      </c>
      <c r="T324">
        <f t="shared" si="136"/>
        <v>0.66666666666666663</v>
      </c>
      <c r="U324">
        <f>step3_validation[[#This Row],[AI_ENF2]]</f>
        <v>9</v>
      </c>
      <c r="V324">
        <f t="shared" si="137"/>
        <v>0.88888888888888884</v>
      </c>
      <c r="W324">
        <f>survey_responses[[#This Row],[Tôi tin rằng Nhà nước, cơ quan thuế có đủ khả năng và công nghệ để phát hiện, xử lý nghiêm các hành vi trốn thuế. - HUMAN-ENF2]]</f>
        <v>7</v>
      </c>
      <c r="X324">
        <f t="shared" si="138"/>
        <v>0.66666666666666663</v>
      </c>
      <c r="Y324" s="32">
        <f t="shared" si="139"/>
        <v>0.77777777777777768</v>
      </c>
      <c r="Z324" s="32">
        <f t="shared" si="140"/>
        <v>0.66666666666666663</v>
      </c>
      <c r="AA324">
        <f>step3_validation[[#This Row],[AI_FAC1]]</f>
        <v>8</v>
      </c>
      <c r="AB324">
        <f t="shared" si="141"/>
        <v>0.77777777777777779</v>
      </c>
      <c r="AC324">
        <f>survey_responses[[#This Row],[Các thủ tục khai báo thuế VÀ/HOẶC quy trình làm việc với cơ quan thuế đơn giản, tiện lợi, nhanh chóng hơn so với trước đây. - HUMAN-FAC1]]</f>
        <v>8</v>
      </c>
      <c r="AD324">
        <f t="shared" si="142"/>
        <v>0.77777777777777779</v>
      </c>
      <c r="AE324">
        <f>step3_validation[[#This Row],[AI_FAC2]]</f>
        <v>9</v>
      </c>
      <c r="AF324">
        <f t="shared" si="143"/>
        <v>0.88888888888888884</v>
      </c>
      <c r="AG324">
        <f>survey_responses[[#This Row],[So với trước đây, tôi thấy cách tính thuế và các bậc thuế trong phương án mới đơn giản, dễ hiểu và dễ thực hiện hơn. - HUMAN-FAC2]]</f>
        <v>8</v>
      </c>
      <c r="AH324">
        <f t="shared" si="144"/>
        <v>0.77777777777777779</v>
      </c>
      <c r="AI324" s="32">
        <f t="shared" si="145"/>
        <v>0.83333333333333326</v>
      </c>
      <c r="AJ324" s="32">
        <f t="shared" si="146"/>
        <v>0.77777777777777779</v>
      </c>
      <c r="AK324">
        <f>step3_validation[[#This Row],[AI_TRU1]]</f>
        <v>8</v>
      </c>
      <c r="AL324">
        <f t="shared" si="147"/>
        <v>0.77777777777777779</v>
      </c>
      <c r="AM324">
        <f>survey_responses[[#This Row],[Tôi tin rằng Nhà nước, cơ quan thuế sẽ thực thi chính sách mới một cách khách quan, công tâm và đối xử bình đẳng với mọi người nộp thuế.  - HUMAN-TRU1]]</f>
        <v>6</v>
      </c>
      <c r="AN324">
        <f t="shared" si="148"/>
        <v>0.55555555555555558</v>
      </c>
      <c r="AO324">
        <f>step3_validation[[#This Row],[AI_TRU2]]</f>
        <v>9</v>
      </c>
      <c r="AP324">
        <f t="shared" si="149"/>
        <v>0.88888888888888884</v>
      </c>
      <c r="AQ324">
        <f>survey_responses[[#This Row],[Tôi thấy mức thuế tôi phải đóng theo phương án mới là công bằng (người thu nhập như tôi đóng mức này là hợp lý). - HUMAN-TRU2]]</f>
        <v>7</v>
      </c>
      <c r="AR324">
        <f t="shared" si="150"/>
        <v>0.66666666666666663</v>
      </c>
      <c r="AS324">
        <f>step3_validation[[#This Row],[AI_TRU3]]</f>
        <v>8</v>
      </c>
      <c r="AT324">
        <f t="shared" si="151"/>
        <v>0.77777777777777779</v>
      </c>
      <c r="AU324">
        <f>survey_responses[[#This Row],[Tôi tin tưởng số tiền thuế tôi đóng sẽ được Nhà nước sử dụng hiệu quả để cải thiện dịch vụ công (y tế, đường xá...). - HUMAN-TRU3]]</f>
        <v>6</v>
      </c>
      <c r="AV324">
        <f t="shared" si="152"/>
        <v>0.55555555555555558</v>
      </c>
      <c r="AW324">
        <f>step3_validation[[#This Row],[AI_TRU4]]</f>
        <v>9</v>
      </c>
      <c r="AX324">
        <f t="shared" si="153"/>
        <v>0.88888888888888884</v>
      </c>
      <c r="AY324">
        <f>survey_responses[[#This Row],[Tôi thấy Nhà nước đã giải thích rõ ràng, minh bạch về lý do và mục tiêu của việc sửa đổi thuế lần này. - HUMAN-TRU4]]</f>
        <v>7</v>
      </c>
      <c r="AZ324">
        <f t="shared" si="154"/>
        <v>0.66666666666666663</v>
      </c>
      <c r="BA324" s="32">
        <f t="shared" si="155"/>
        <v>0.83333333333333326</v>
      </c>
      <c r="BB324" s="32">
        <f t="shared" si="156"/>
        <v>0.61111111111111116</v>
      </c>
      <c r="BC324" s="7">
        <f t="shared" si="157"/>
        <v>0.81481481481481477</v>
      </c>
      <c r="BD324" s="7">
        <f t="shared" si="158"/>
        <v>0.68518518518518512</v>
      </c>
      <c r="BE324">
        <f>step3_validation[[#This Row],[AI_OUT1]]</f>
        <v>10</v>
      </c>
      <c r="BF324">
        <f t="shared" si="159"/>
        <v>1</v>
      </c>
      <c r="BG324">
        <f>survey_responses[[#This Row],[Sau khi xem xét các quyền lợi và nghĩa vụ, bạn có ủng hộ và tuân thủ chính sách mới hiện nay? - HUMAN-OUT1]]</f>
        <v>7</v>
      </c>
      <c r="BH324">
        <f t="shared" si="160"/>
        <v>0.66666666666666663</v>
      </c>
      <c r="BI324" s="32">
        <f t="shared" si="161"/>
        <v>3</v>
      </c>
    </row>
    <row r="325" spans="1:61" x14ac:dyDescent="0.45">
      <c r="A325" s="30">
        <f>step3_validation[[#This Row],[Persona_ID]]</f>
        <v>324</v>
      </c>
      <c r="B325" s="31">
        <f>step3_validation[[#This Row],[Used_Seed]]</f>
        <v>12668</v>
      </c>
      <c r="C325" t="str">
        <f>step3_validation[[#This Row],[Gender]]</f>
        <v>Nữ</v>
      </c>
      <c r="D325" t="str">
        <f>survey_responses[[#This Row],[Giới tính của bạn:]]</f>
        <v>Nữ</v>
      </c>
      <c r="E325" t="str">
        <f>step3_validation[[#This Row],[Age_Group]]</f>
        <v>18 - 24</v>
      </c>
      <c r="F325" t="str">
        <f>survey_responses[[#This Row],[Độ tuổi của bạn:]]</f>
        <v>18 - 24</v>
      </c>
      <c r="G325" t="str">
        <f>step3_validation[[#This Row],[Region]]</f>
        <v>Thành thị</v>
      </c>
      <c r="H325" t="str">
        <f>survey_responses[[#This Row],[Khu vực bạn đang sinh sống:]]</f>
        <v>Thành thị</v>
      </c>
      <c r="I325" t="str">
        <f>step3_validation[[#This Row],[Education]]</f>
        <v>Đại học</v>
      </c>
      <c r="J325" t="str">
        <f>survey_responses[[#This Row],[Trình độ học vấn cao nhất:]]</f>
        <v>Đại học</v>
      </c>
      <c r="K325" t="str">
        <f>step3_validation[[#This Row],[Employment]]</f>
        <v>Chính thức</v>
      </c>
      <c r="L325" t="str">
        <f>survey_responses[[#This Row],[Tình trạng việc làm chính:]]</f>
        <v>Khu vực chính thức (Có Hợp đồng lao động, đóng BHXH)</v>
      </c>
      <c r="M325">
        <f>step3_validation[[#This Row],[Income_Mil]]</f>
        <v>12</v>
      </c>
      <c r="N325" t="str">
        <f>survey_responses[[#This Row],[Thu nhập bình quân tháng theo Hợp đồng lao động của bạn là bao nhiêu? (Vui lòng điền tổng thu nhập trước khi khấu trừ các loại Bảo hiểm (BHXH, BHYT, BHTN) và Thuế TNCN)]]</f>
        <v>Dưới 12 triệu VNĐ</v>
      </c>
      <c r="O325">
        <f>step3_validation[[#This Row],[Dependents]]</f>
        <v>0</v>
      </c>
      <c r="P325" t="str">
        <f>survey_responses[[#This Row],[Số người phụ thuộc (con nhỏ, cha mẹ già...) đủ điều kiện giảm trừ gia cảnh:]]</f>
        <v>0 người</v>
      </c>
      <c r="Q325">
        <f>step3_validation[[#This Row],[AI_ENF1]]</f>
        <v>7</v>
      </c>
      <c r="R325">
        <f t="shared" si="135"/>
        <v>0.66666666666666663</v>
      </c>
      <c r="S325">
        <f>survey_responses[[#This Row],[Tôi tin rằng với các quy định quản lý thuế hiện nay, hành vi gian lận hoặc trốn thuế sẽ dễ dàng bị phát hiện và xử lý nghiêm. - HUMAN-ENF1]]</f>
        <v>7</v>
      </c>
      <c r="T325">
        <f t="shared" si="136"/>
        <v>0.66666666666666663</v>
      </c>
      <c r="U325">
        <f>step3_validation[[#This Row],[AI_ENF2]]</f>
        <v>7</v>
      </c>
      <c r="V325">
        <f t="shared" si="137"/>
        <v>0.66666666666666663</v>
      </c>
      <c r="W325">
        <f>survey_responses[[#This Row],[Tôi tin rằng Nhà nước, cơ quan thuế có đủ khả năng và công nghệ để phát hiện, xử lý nghiêm các hành vi trốn thuế. - HUMAN-ENF2]]</f>
        <v>7</v>
      </c>
      <c r="X325">
        <f t="shared" si="138"/>
        <v>0.66666666666666663</v>
      </c>
      <c r="Y325" s="32">
        <f t="shared" si="139"/>
        <v>0.66666666666666663</v>
      </c>
      <c r="Z325" s="32">
        <f t="shared" si="140"/>
        <v>0.66666666666666663</v>
      </c>
      <c r="AA325">
        <f>step3_validation[[#This Row],[AI_FAC1]]</f>
        <v>9</v>
      </c>
      <c r="AB325">
        <f t="shared" si="141"/>
        <v>0.88888888888888884</v>
      </c>
      <c r="AC325">
        <f>survey_responses[[#This Row],[Các thủ tục khai báo thuế VÀ/HOẶC quy trình làm việc với cơ quan thuế đơn giản, tiện lợi, nhanh chóng hơn so với trước đây. - HUMAN-FAC1]]</f>
        <v>5</v>
      </c>
      <c r="AD325">
        <f t="shared" si="142"/>
        <v>0.44444444444444442</v>
      </c>
      <c r="AE325">
        <f>step3_validation[[#This Row],[AI_FAC2]]</f>
        <v>9</v>
      </c>
      <c r="AF325">
        <f t="shared" si="143"/>
        <v>0.88888888888888884</v>
      </c>
      <c r="AG325">
        <f>survey_responses[[#This Row],[So với trước đây, tôi thấy cách tính thuế và các bậc thuế trong phương án mới đơn giản, dễ hiểu và dễ thực hiện hơn. - HUMAN-FAC2]]</f>
        <v>7</v>
      </c>
      <c r="AH325">
        <f t="shared" si="144"/>
        <v>0.66666666666666663</v>
      </c>
      <c r="AI325" s="32">
        <f t="shared" si="145"/>
        <v>0.88888888888888884</v>
      </c>
      <c r="AJ325" s="32">
        <f t="shared" si="146"/>
        <v>0.55555555555555558</v>
      </c>
      <c r="AK325">
        <f>step3_validation[[#This Row],[AI_TRU1]]</f>
        <v>8</v>
      </c>
      <c r="AL325">
        <f t="shared" si="147"/>
        <v>0.77777777777777779</v>
      </c>
      <c r="AM325">
        <f>survey_responses[[#This Row],[Tôi tin rằng Nhà nước, cơ quan thuế sẽ thực thi chính sách mới một cách khách quan, công tâm và đối xử bình đẳng với mọi người nộp thuế.  - HUMAN-TRU1]]</f>
        <v>7</v>
      </c>
      <c r="AN325">
        <f t="shared" si="148"/>
        <v>0.66666666666666663</v>
      </c>
      <c r="AO325">
        <f>step3_validation[[#This Row],[AI_TRU2]]</f>
        <v>9</v>
      </c>
      <c r="AP325">
        <f t="shared" si="149"/>
        <v>0.88888888888888884</v>
      </c>
      <c r="AQ325">
        <f>survey_responses[[#This Row],[Tôi thấy mức thuế tôi phải đóng theo phương án mới là công bằng (người thu nhập như tôi đóng mức này là hợp lý). - HUMAN-TRU2]]</f>
        <v>7</v>
      </c>
      <c r="AR325">
        <f t="shared" si="150"/>
        <v>0.66666666666666663</v>
      </c>
      <c r="AS325">
        <f>step3_validation[[#This Row],[AI_TRU3]]</f>
        <v>8</v>
      </c>
      <c r="AT325">
        <f t="shared" si="151"/>
        <v>0.77777777777777779</v>
      </c>
      <c r="AU325">
        <f>survey_responses[[#This Row],[Tôi tin tưởng số tiền thuế tôi đóng sẽ được Nhà nước sử dụng hiệu quả để cải thiện dịch vụ công (y tế, đường xá...). - HUMAN-TRU3]]</f>
        <v>5</v>
      </c>
      <c r="AV325">
        <f t="shared" si="152"/>
        <v>0.44444444444444442</v>
      </c>
      <c r="AW325">
        <f>step3_validation[[#This Row],[AI_TRU4]]</f>
        <v>9</v>
      </c>
      <c r="AX325">
        <f t="shared" si="153"/>
        <v>0.88888888888888884</v>
      </c>
      <c r="AY325">
        <f>survey_responses[[#This Row],[Tôi thấy Nhà nước đã giải thích rõ ràng, minh bạch về lý do và mục tiêu của việc sửa đổi thuế lần này. - HUMAN-TRU4]]</f>
        <v>5</v>
      </c>
      <c r="AZ325">
        <f t="shared" si="154"/>
        <v>0.44444444444444442</v>
      </c>
      <c r="BA325" s="32">
        <f t="shared" si="155"/>
        <v>0.83333333333333326</v>
      </c>
      <c r="BB325" s="32">
        <f t="shared" si="156"/>
        <v>0.55555555555555558</v>
      </c>
      <c r="BC325" s="7">
        <f t="shared" si="157"/>
        <v>0.79629629629629617</v>
      </c>
      <c r="BD325" s="7">
        <f t="shared" si="158"/>
        <v>0.59259259259259267</v>
      </c>
      <c r="BE325">
        <f>step3_validation[[#This Row],[AI_OUT1]]</f>
        <v>8</v>
      </c>
      <c r="BF325">
        <f t="shared" si="159"/>
        <v>0.77777777777777779</v>
      </c>
      <c r="BG325">
        <f>survey_responses[[#This Row],[Sau khi xem xét các quyền lợi và nghĩa vụ, bạn có ủng hộ và tuân thủ chính sách mới hiện nay? - HUMAN-OUT1]]</f>
        <v>8</v>
      </c>
      <c r="BH325">
        <f t="shared" si="160"/>
        <v>0.77777777777777779</v>
      </c>
      <c r="BI325" s="32">
        <f t="shared" si="161"/>
        <v>0</v>
      </c>
    </row>
    <row r="326" spans="1:61" x14ac:dyDescent="0.45">
      <c r="A326" s="30">
        <f>step3_validation[[#This Row],[Persona_ID]]</f>
        <v>325</v>
      </c>
      <c r="B326" s="31">
        <f>step3_validation[[#This Row],[Used_Seed]]</f>
        <v>12669</v>
      </c>
      <c r="C326" t="str">
        <f>step3_validation[[#This Row],[Gender]]</f>
        <v>Nam</v>
      </c>
      <c r="D326" t="str">
        <f>survey_responses[[#This Row],[Giới tính của bạn:]]</f>
        <v>Nam</v>
      </c>
      <c r="E326" t="str">
        <f>step3_validation[[#This Row],[Age_Group]]</f>
        <v>30 - 39</v>
      </c>
      <c r="F326" t="str">
        <f>survey_responses[[#This Row],[Độ tuổi của bạn:]]</f>
        <v>30 - 39</v>
      </c>
      <c r="G326" t="str">
        <f>step3_validation[[#This Row],[Region]]</f>
        <v>Thành thị</v>
      </c>
      <c r="H326" t="str">
        <f>survey_responses[[#This Row],[Khu vực bạn đang sinh sống:]]</f>
        <v>Thành thị</v>
      </c>
      <c r="I326" t="str">
        <f>step3_validation[[#This Row],[Education]]</f>
        <v>Đại học</v>
      </c>
      <c r="J326" t="str">
        <f>survey_responses[[#This Row],[Trình độ học vấn cao nhất:]]</f>
        <v>Đại học</v>
      </c>
      <c r="K326" t="str">
        <f>step3_validation[[#This Row],[Employment]]</f>
        <v>Chính thức</v>
      </c>
      <c r="L326" t="str">
        <f>survey_responses[[#This Row],[Tình trạng việc làm chính:]]</f>
        <v>Khu vực chính thức (Có Hợp đồng lao động, đóng BHXH)</v>
      </c>
      <c r="M326">
        <f>step3_validation[[#This Row],[Income_Mil]]</f>
        <v>35.101855093697857</v>
      </c>
      <c r="N326" t="str">
        <f>survey_responses[[#This Row],[Thu nhập bình quân tháng theo Hợp đồng lao động của bạn là bao nhiêu? (Vui lòng điền tổng thu nhập trước khi khấu trừ các loại Bảo hiểm (BHXH, BHYT, BHTN) và Thuế TNCN)]]</f>
        <v>Từ 32 - 48 triệu VNĐ</v>
      </c>
      <c r="O326">
        <f>step3_validation[[#This Row],[Dependents]]</f>
        <v>1</v>
      </c>
      <c r="P326" t="str">
        <f>survey_responses[[#This Row],[Số người phụ thuộc (con nhỏ, cha mẹ già...) đủ điều kiện giảm trừ gia cảnh:]]</f>
        <v>1 người</v>
      </c>
      <c r="Q326">
        <f>step3_validation[[#This Row],[AI_ENF1]]</f>
        <v>6</v>
      </c>
      <c r="R326">
        <f t="shared" si="135"/>
        <v>0.55555555555555558</v>
      </c>
      <c r="S326">
        <f>survey_responses[[#This Row],[Tôi tin rằng với các quy định quản lý thuế hiện nay, hành vi gian lận hoặc trốn thuế sẽ dễ dàng bị phát hiện và xử lý nghiêm. - HUMAN-ENF1]]</f>
        <v>2</v>
      </c>
      <c r="T326">
        <f t="shared" si="136"/>
        <v>0.1111111111111111</v>
      </c>
      <c r="U326">
        <f>step3_validation[[#This Row],[AI_ENF2]]</f>
        <v>8</v>
      </c>
      <c r="V326">
        <f t="shared" si="137"/>
        <v>0.77777777777777779</v>
      </c>
      <c r="W326">
        <f>survey_responses[[#This Row],[Tôi tin rằng Nhà nước, cơ quan thuế có đủ khả năng và công nghệ để phát hiện, xử lý nghiêm các hành vi trốn thuế. - HUMAN-ENF2]]</f>
        <v>2</v>
      </c>
      <c r="X326">
        <f t="shared" si="138"/>
        <v>0.1111111111111111</v>
      </c>
      <c r="Y326" s="32">
        <f t="shared" si="139"/>
        <v>0.66666666666666674</v>
      </c>
      <c r="Z326" s="32">
        <f t="shared" si="140"/>
        <v>0.1111111111111111</v>
      </c>
      <c r="AA326">
        <f>step3_validation[[#This Row],[AI_FAC1]]</f>
        <v>7</v>
      </c>
      <c r="AB326">
        <f t="shared" si="141"/>
        <v>0.66666666666666663</v>
      </c>
      <c r="AC326">
        <f>survey_responses[[#This Row],[Các thủ tục khai báo thuế VÀ/HOẶC quy trình làm việc với cơ quan thuế đơn giản, tiện lợi, nhanh chóng hơn so với trước đây. - HUMAN-FAC1]]</f>
        <v>6</v>
      </c>
      <c r="AD326">
        <f t="shared" si="142"/>
        <v>0.55555555555555558</v>
      </c>
      <c r="AE326">
        <f>step3_validation[[#This Row],[AI_FAC2]]</f>
        <v>9</v>
      </c>
      <c r="AF326">
        <f t="shared" si="143"/>
        <v>0.88888888888888884</v>
      </c>
      <c r="AG326">
        <f>survey_responses[[#This Row],[So với trước đây, tôi thấy cách tính thuế và các bậc thuế trong phương án mới đơn giản, dễ hiểu và dễ thực hiện hơn. - HUMAN-FAC2]]</f>
        <v>7</v>
      </c>
      <c r="AH326">
        <f t="shared" si="144"/>
        <v>0.66666666666666663</v>
      </c>
      <c r="AI326" s="32">
        <f t="shared" si="145"/>
        <v>0.77777777777777768</v>
      </c>
      <c r="AJ326" s="32">
        <f t="shared" si="146"/>
        <v>0.61111111111111116</v>
      </c>
      <c r="AK326">
        <f>step3_validation[[#This Row],[AI_TRU1]]</f>
        <v>8</v>
      </c>
      <c r="AL326">
        <f t="shared" si="147"/>
        <v>0.77777777777777779</v>
      </c>
      <c r="AM326">
        <f>survey_responses[[#This Row],[Tôi tin rằng Nhà nước, cơ quan thuế sẽ thực thi chính sách mới một cách khách quan, công tâm và đối xử bình đẳng với mọi người nộp thuế.  - HUMAN-TRU1]]</f>
        <v>2</v>
      </c>
      <c r="AN326">
        <f t="shared" si="148"/>
        <v>0.1111111111111111</v>
      </c>
      <c r="AO326">
        <f>step3_validation[[#This Row],[AI_TRU2]]</f>
        <v>9</v>
      </c>
      <c r="AP326">
        <f t="shared" si="149"/>
        <v>0.88888888888888884</v>
      </c>
      <c r="AQ326">
        <f>survey_responses[[#This Row],[Tôi thấy mức thuế tôi phải đóng theo phương án mới là công bằng (người thu nhập như tôi đóng mức này là hợp lý). - HUMAN-TRU2]]</f>
        <v>5</v>
      </c>
      <c r="AR326">
        <f t="shared" si="150"/>
        <v>0.44444444444444442</v>
      </c>
      <c r="AS326">
        <f>step3_validation[[#This Row],[AI_TRU3]]</f>
        <v>8</v>
      </c>
      <c r="AT326">
        <f t="shared" si="151"/>
        <v>0.77777777777777779</v>
      </c>
      <c r="AU326">
        <f>survey_responses[[#This Row],[Tôi tin tưởng số tiền thuế tôi đóng sẽ được Nhà nước sử dụng hiệu quả để cải thiện dịch vụ công (y tế, đường xá...). - HUMAN-TRU3]]</f>
        <v>5</v>
      </c>
      <c r="AV326">
        <f t="shared" si="152"/>
        <v>0.44444444444444442</v>
      </c>
      <c r="AW326">
        <f>step3_validation[[#This Row],[AI_TRU4]]</f>
        <v>7</v>
      </c>
      <c r="AX326">
        <f t="shared" si="153"/>
        <v>0.66666666666666663</v>
      </c>
      <c r="AY326">
        <f>survey_responses[[#This Row],[Tôi thấy Nhà nước đã giải thích rõ ràng, minh bạch về lý do và mục tiêu của việc sửa đổi thuế lần này. - HUMAN-TRU4]]</f>
        <v>6</v>
      </c>
      <c r="AZ326">
        <f t="shared" si="154"/>
        <v>0.55555555555555558</v>
      </c>
      <c r="BA326" s="32">
        <f t="shared" si="155"/>
        <v>0.77777777777777768</v>
      </c>
      <c r="BB326" s="32">
        <f t="shared" si="156"/>
        <v>0.3888888888888889</v>
      </c>
      <c r="BC326" s="7">
        <f t="shared" si="157"/>
        <v>0.74074074074074081</v>
      </c>
      <c r="BD326" s="7">
        <f t="shared" si="158"/>
        <v>0.37037037037037041</v>
      </c>
      <c r="BE326">
        <f>step3_validation[[#This Row],[AI_OUT1]]</f>
        <v>9</v>
      </c>
      <c r="BF326">
        <f t="shared" si="159"/>
        <v>0.88888888888888884</v>
      </c>
      <c r="BG326">
        <f>survey_responses[[#This Row],[Sau khi xem xét các quyền lợi và nghĩa vụ, bạn có ủng hộ và tuân thủ chính sách mới hiện nay? - HUMAN-OUT1]]</f>
        <v>5</v>
      </c>
      <c r="BH326">
        <f t="shared" si="160"/>
        <v>0.44444444444444442</v>
      </c>
      <c r="BI326" s="32">
        <f t="shared" si="161"/>
        <v>4</v>
      </c>
    </row>
    <row r="327" spans="1:61" x14ac:dyDescent="0.45">
      <c r="A327" s="30">
        <f>step3_validation[[#This Row],[Persona_ID]]</f>
        <v>326</v>
      </c>
      <c r="B327" s="31">
        <f>step3_validation[[#This Row],[Used_Seed]]</f>
        <v>12670</v>
      </c>
      <c r="C327" t="str">
        <f>step3_validation[[#This Row],[Gender]]</f>
        <v>Nữ</v>
      </c>
      <c r="D327" t="str">
        <f>survey_responses[[#This Row],[Giới tính của bạn:]]</f>
        <v>Nữ</v>
      </c>
      <c r="E327" t="str">
        <f>step3_validation[[#This Row],[Age_Group]]</f>
        <v>40 - 49</v>
      </c>
      <c r="F327" t="str">
        <f>survey_responses[[#This Row],[Độ tuổi của bạn:]]</f>
        <v>40 - 49</v>
      </c>
      <c r="G327" t="str">
        <f>step3_validation[[#This Row],[Region]]</f>
        <v>Thành thị</v>
      </c>
      <c r="H327" t="str">
        <f>survey_responses[[#This Row],[Khu vực bạn đang sinh sống:]]</f>
        <v>Thành thị</v>
      </c>
      <c r="I327" t="str">
        <f>step3_validation[[#This Row],[Education]]</f>
        <v>Đại học</v>
      </c>
      <c r="J327" t="str">
        <f>survey_responses[[#This Row],[Trình độ học vấn cao nhất:]]</f>
        <v>Đại học</v>
      </c>
      <c r="K327" t="str">
        <f>step3_validation[[#This Row],[Employment]]</f>
        <v>Chính thức</v>
      </c>
      <c r="L327" t="str">
        <f>survey_responses[[#This Row],[Tình trạng việc làm chính:]]</f>
        <v>Khu vực chính thức (Có Hợp đồng lao động, đóng BHXH)</v>
      </c>
      <c r="M327">
        <f>step3_validation[[#This Row],[Income_Mil]]</f>
        <v>58.561444966306951</v>
      </c>
      <c r="N327" t="str">
        <f>survey_responses[[#This Row],[Thu nhập bình quân tháng theo Hợp đồng lao động của bạn là bao nhiêu? (Vui lòng điền tổng thu nhập trước khi khấu trừ các loại Bảo hiểm (BHXH, BHYT, BHTN) và Thuế TNCN)]]</f>
        <v>Từ 48 - 70 triệu VNĐ</v>
      </c>
      <c r="O327">
        <f>step3_validation[[#This Row],[Dependents]]</f>
        <v>2</v>
      </c>
      <c r="P327" t="str">
        <f>survey_responses[[#This Row],[Số người phụ thuộc (con nhỏ, cha mẹ già...) đủ điều kiện giảm trừ gia cảnh:]]</f>
        <v>2 người</v>
      </c>
      <c r="Q327">
        <f>step3_validation[[#This Row],[AI_ENF1]]</f>
        <v>7</v>
      </c>
      <c r="R327">
        <f t="shared" si="135"/>
        <v>0.66666666666666663</v>
      </c>
      <c r="S327">
        <f>survey_responses[[#This Row],[Tôi tin rằng với các quy định quản lý thuế hiện nay, hành vi gian lận hoặc trốn thuế sẽ dễ dàng bị phát hiện và xử lý nghiêm. - HUMAN-ENF1]]</f>
        <v>8</v>
      </c>
      <c r="T327">
        <f t="shared" si="136"/>
        <v>0.77777777777777779</v>
      </c>
      <c r="U327">
        <f>step3_validation[[#This Row],[AI_ENF2]]</f>
        <v>7</v>
      </c>
      <c r="V327">
        <f t="shared" si="137"/>
        <v>0.66666666666666663</v>
      </c>
      <c r="W327">
        <f>survey_responses[[#This Row],[Tôi tin rằng Nhà nước, cơ quan thuế có đủ khả năng và công nghệ để phát hiện, xử lý nghiêm các hành vi trốn thuế. - HUMAN-ENF2]]</f>
        <v>9</v>
      </c>
      <c r="X327">
        <f t="shared" si="138"/>
        <v>0.88888888888888884</v>
      </c>
      <c r="Y327" s="32">
        <f t="shared" si="139"/>
        <v>0.66666666666666663</v>
      </c>
      <c r="Z327" s="32">
        <f t="shared" si="140"/>
        <v>0.83333333333333326</v>
      </c>
      <c r="AA327">
        <f>step3_validation[[#This Row],[AI_FAC1]]</f>
        <v>9</v>
      </c>
      <c r="AB327">
        <f t="shared" si="141"/>
        <v>0.88888888888888884</v>
      </c>
      <c r="AC327">
        <f>survey_responses[[#This Row],[Các thủ tục khai báo thuế VÀ/HOẶC quy trình làm việc với cơ quan thuế đơn giản, tiện lợi, nhanh chóng hơn so với trước đây. - HUMAN-FAC1]]</f>
        <v>9</v>
      </c>
      <c r="AD327">
        <f t="shared" si="142"/>
        <v>0.88888888888888884</v>
      </c>
      <c r="AE327">
        <f>step3_validation[[#This Row],[AI_FAC2]]</f>
        <v>9</v>
      </c>
      <c r="AF327">
        <f t="shared" si="143"/>
        <v>0.88888888888888884</v>
      </c>
      <c r="AG327">
        <f>survey_responses[[#This Row],[So với trước đây, tôi thấy cách tính thuế và các bậc thuế trong phương án mới đơn giản, dễ hiểu và dễ thực hiện hơn. - HUMAN-FAC2]]</f>
        <v>10</v>
      </c>
      <c r="AH327">
        <f t="shared" si="144"/>
        <v>1</v>
      </c>
      <c r="AI327" s="32">
        <f t="shared" si="145"/>
        <v>0.88888888888888884</v>
      </c>
      <c r="AJ327" s="32">
        <f t="shared" si="146"/>
        <v>0.94444444444444442</v>
      </c>
      <c r="AK327">
        <f>step3_validation[[#This Row],[AI_TRU1]]</f>
        <v>8</v>
      </c>
      <c r="AL327">
        <f t="shared" si="147"/>
        <v>0.77777777777777779</v>
      </c>
      <c r="AM327">
        <f>survey_responses[[#This Row],[Tôi tin rằng Nhà nước, cơ quan thuế sẽ thực thi chính sách mới một cách khách quan, công tâm và đối xử bình đẳng với mọi người nộp thuế.  - HUMAN-TRU1]]</f>
        <v>8</v>
      </c>
      <c r="AN327">
        <f t="shared" si="148"/>
        <v>0.77777777777777779</v>
      </c>
      <c r="AO327">
        <f>step3_validation[[#This Row],[AI_TRU2]]</f>
        <v>9</v>
      </c>
      <c r="AP327">
        <f t="shared" si="149"/>
        <v>0.88888888888888884</v>
      </c>
      <c r="AQ327">
        <f>survey_responses[[#This Row],[Tôi thấy mức thuế tôi phải đóng theo phương án mới là công bằng (người thu nhập như tôi đóng mức này là hợp lý). - HUMAN-TRU2]]</f>
        <v>10</v>
      </c>
      <c r="AR327">
        <f t="shared" si="150"/>
        <v>1</v>
      </c>
      <c r="AS327">
        <f>step3_validation[[#This Row],[AI_TRU3]]</f>
        <v>8</v>
      </c>
      <c r="AT327">
        <f t="shared" si="151"/>
        <v>0.77777777777777779</v>
      </c>
      <c r="AU327">
        <f>survey_responses[[#This Row],[Tôi tin tưởng số tiền thuế tôi đóng sẽ được Nhà nước sử dụng hiệu quả để cải thiện dịch vụ công (y tế, đường xá...). - HUMAN-TRU3]]</f>
        <v>9</v>
      </c>
      <c r="AV327">
        <f t="shared" si="152"/>
        <v>0.88888888888888884</v>
      </c>
      <c r="AW327">
        <f>step3_validation[[#This Row],[AI_TRU4]]</f>
        <v>7</v>
      </c>
      <c r="AX327">
        <f t="shared" si="153"/>
        <v>0.66666666666666663</v>
      </c>
      <c r="AY327">
        <f>survey_responses[[#This Row],[Tôi thấy Nhà nước đã giải thích rõ ràng, minh bạch về lý do và mục tiêu của việc sửa đổi thuế lần này. - HUMAN-TRU4]]</f>
        <v>9</v>
      </c>
      <c r="AZ327">
        <f t="shared" si="154"/>
        <v>0.88888888888888884</v>
      </c>
      <c r="BA327" s="32">
        <f t="shared" si="155"/>
        <v>0.77777777777777768</v>
      </c>
      <c r="BB327" s="32">
        <f t="shared" si="156"/>
        <v>0.88888888888888884</v>
      </c>
      <c r="BC327" s="7">
        <f t="shared" si="157"/>
        <v>0.77777777777777768</v>
      </c>
      <c r="BD327" s="7">
        <f t="shared" si="158"/>
        <v>0.88888888888888884</v>
      </c>
      <c r="BE327">
        <f>step3_validation[[#This Row],[AI_OUT1]]</f>
        <v>9</v>
      </c>
      <c r="BF327">
        <f t="shared" si="159"/>
        <v>0.88888888888888884</v>
      </c>
      <c r="BG327">
        <f>survey_responses[[#This Row],[Sau khi xem xét các quyền lợi và nghĩa vụ, bạn có ủng hộ và tuân thủ chính sách mới hiện nay? - HUMAN-OUT1]]</f>
        <v>10</v>
      </c>
      <c r="BH327">
        <f t="shared" si="160"/>
        <v>1</v>
      </c>
      <c r="BI327" s="32">
        <f t="shared" si="161"/>
        <v>1</v>
      </c>
    </row>
    <row r="328" spans="1:61" x14ac:dyDescent="0.45">
      <c r="A328" s="30">
        <f>step3_validation[[#This Row],[Persona_ID]]</f>
        <v>327</v>
      </c>
      <c r="B328" s="31">
        <f>step3_validation[[#This Row],[Used_Seed]]</f>
        <v>12671</v>
      </c>
      <c r="C328" t="str">
        <f>step3_validation[[#This Row],[Gender]]</f>
        <v>Nữ</v>
      </c>
      <c r="D328" t="str">
        <f>survey_responses[[#This Row],[Giới tính của bạn:]]</f>
        <v>Nữ</v>
      </c>
      <c r="E328" t="str">
        <f>step3_validation[[#This Row],[Age_Group]]</f>
        <v>25 - 29</v>
      </c>
      <c r="F328" t="str">
        <f>survey_responses[[#This Row],[Độ tuổi của bạn:]]</f>
        <v>25 - 29</v>
      </c>
      <c r="G328" t="str">
        <f>step3_validation[[#This Row],[Region]]</f>
        <v>Thành thị</v>
      </c>
      <c r="H328" t="str">
        <f>survey_responses[[#This Row],[Khu vực bạn đang sinh sống:]]</f>
        <v>Thành thị</v>
      </c>
      <c r="I328" t="str">
        <f>step3_validation[[#This Row],[Education]]</f>
        <v>Đại học</v>
      </c>
      <c r="J328" t="str">
        <f>survey_responses[[#This Row],[Trình độ học vấn cao nhất:]]</f>
        <v>Đại học</v>
      </c>
      <c r="K328" t="str">
        <f>step3_validation[[#This Row],[Employment]]</f>
        <v>Chính thức</v>
      </c>
      <c r="L328" t="str">
        <f>survey_responses[[#This Row],[Tình trạng việc làm chính:]]</f>
        <v>Khu vực chính thức (Có Hợp đồng lao động, đóng BHXH)</v>
      </c>
      <c r="M328">
        <f>step3_validation[[#This Row],[Income_Mil]]</f>
        <v>19.035889284805496</v>
      </c>
      <c r="N328" t="str">
        <f>survey_responses[[#This Row],[Thu nhập bình quân tháng theo Hợp đồng lao động của bạn là bao nhiêu? (Vui lòng điền tổng thu nhập trước khi khấu trừ các loại Bảo hiểm (BHXH, BHYT, BHTN) và Thuế TNCN)]]</f>
        <v>Từ 18 - 23 triệu VNĐ</v>
      </c>
      <c r="O328">
        <f>step3_validation[[#This Row],[Dependents]]</f>
        <v>0</v>
      </c>
      <c r="P328" t="str">
        <f>survey_responses[[#This Row],[Số người phụ thuộc (con nhỏ, cha mẹ già...) đủ điều kiện giảm trừ gia cảnh:]]</f>
        <v>0 người</v>
      </c>
      <c r="Q328">
        <f>step3_validation[[#This Row],[AI_ENF1]]</f>
        <v>7</v>
      </c>
      <c r="R328">
        <f t="shared" si="135"/>
        <v>0.66666666666666663</v>
      </c>
      <c r="S328">
        <f>survey_responses[[#This Row],[Tôi tin rằng với các quy định quản lý thuế hiện nay, hành vi gian lận hoặc trốn thuế sẽ dễ dàng bị phát hiện và xử lý nghiêm. - HUMAN-ENF1]]</f>
        <v>7</v>
      </c>
      <c r="T328">
        <f t="shared" si="136"/>
        <v>0.66666666666666663</v>
      </c>
      <c r="U328">
        <f>step3_validation[[#This Row],[AI_ENF2]]</f>
        <v>6</v>
      </c>
      <c r="V328">
        <f t="shared" si="137"/>
        <v>0.55555555555555558</v>
      </c>
      <c r="W328">
        <f>survey_responses[[#This Row],[Tôi tin rằng Nhà nước, cơ quan thuế có đủ khả năng và công nghệ để phát hiện, xử lý nghiêm các hành vi trốn thuế. - HUMAN-ENF2]]</f>
        <v>7</v>
      </c>
      <c r="X328">
        <f t="shared" si="138"/>
        <v>0.66666666666666663</v>
      </c>
      <c r="Y328" s="32">
        <f t="shared" si="139"/>
        <v>0.61111111111111116</v>
      </c>
      <c r="Z328" s="32">
        <f t="shared" si="140"/>
        <v>0.66666666666666663</v>
      </c>
      <c r="AA328">
        <f>step3_validation[[#This Row],[AI_FAC1]]</f>
        <v>9</v>
      </c>
      <c r="AB328">
        <f t="shared" si="141"/>
        <v>0.88888888888888884</v>
      </c>
      <c r="AC328">
        <f>survey_responses[[#This Row],[Các thủ tục khai báo thuế VÀ/HOẶC quy trình làm việc với cơ quan thuế đơn giản, tiện lợi, nhanh chóng hơn so với trước đây. - HUMAN-FAC1]]</f>
        <v>7</v>
      </c>
      <c r="AD328">
        <f t="shared" si="142"/>
        <v>0.66666666666666663</v>
      </c>
      <c r="AE328">
        <f>step3_validation[[#This Row],[AI_FAC2]]</f>
        <v>8</v>
      </c>
      <c r="AF328">
        <f t="shared" si="143"/>
        <v>0.77777777777777779</v>
      </c>
      <c r="AG328">
        <f>survey_responses[[#This Row],[So với trước đây, tôi thấy cách tính thuế và các bậc thuế trong phương án mới đơn giản, dễ hiểu và dễ thực hiện hơn. - HUMAN-FAC2]]</f>
        <v>9</v>
      </c>
      <c r="AH328">
        <f t="shared" si="144"/>
        <v>0.88888888888888884</v>
      </c>
      <c r="AI328" s="32">
        <f t="shared" si="145"/>
        <v>0.83333333333333326</v>
      </c>
      <c r="AJ328" s="32">
        <f t="shared" si="146"/>
        <v>0.77777777777777768</v>
      </c>
      <c r="AK328">
        <f>step3_validation[[#This Row],[AI_TRU1]]</f>
        <v>5</v>
      </c>
      <c r="AL328">
        <f t="shared" si="147"/>
        <v>0.44444444444444442</v>
      </c>
      <c r="AM328">
        <f>survey_responses[[#This Row],[Tôi tin rằng Nhà nước, cơ quan thuế sẽ thực thi chính sách mới một cách khách quan, công tâm và đối xử bình đẳng với mọi người nộp thuế.  - HUMAN-TRU1]]</f>
        <v>7</v>
      </c>
      <c r="AN328">
        <f t="shared" si="148"/>
        <v>0.66666666666666663</v>
      </c>
      <c r="AO328">
        <f>step3_validation[[#This Row],[AI_TRU2]]</f>
        <v>7</v>
      </c>
      <c r="AP328">
        <f t="shared" si="149"/>
        <v>0.66666666666666663</v>
      </c>
      <c r="AQ328">
        <f>survey_responses[[#This Row],[Tôi thấy mức thuế tôi phải đóng theo phương án mới là công bằng (người thu nhập như tôi đóng mức này là hợp lý). - HUMAN-TRU2]]</f>
        <v>8</v>
      </c>
      <c r="AR328">
        <f t="shared" si="150"/>
        <v>0.77777777777777779</v>
      </c>
      <c r="AS328">
        <f>step3_validation[[#This Row],[AI_TRU3]]</f>
        <v>6</v>
      </c>
      <c r="AT328">
        <f t="shared" si="151"/>
        <v>0.55555555555555558</v>
      </c>
      <c r="AU328">
        <f>survey_responses[[#This Row],[Tôi tin tưởng số tiền thuế tôi đóng sẽ được Nhà nước sử dụng hiệu quả để cải thiện dịch vụ công (y tế, đường xá...). - HUMAN-TRU3]]</f>
        <v>5</v>
      </c>
      <c r="AV328">
        <f t="shared" si="152"/>
        <v>0.44444444444444442</v>
      </c>
      <c r="AW328">
        <f>step3_validation[[#This Row],[AI_TRU4]]</f>
        <v>5</v>
      </c>
      <c r="AX328">
        <f t="shared" si="153"/>
        <v>0.44444444444444442</v>
      </c>
      <c r="AY328">
        <f>survey_responses[[#This Row],[Tôi thấy Nhà nước đã giải thích rõ ràng, minh bạch về lý do và mục tiêu của việc sửa đổi thuế lần này. - HUMAN-TRU4]]</f>
        <v>7</v>
      </c>
      <c r="AZ328">
        <f t="shared" si="154"/>
        <v>0.66666666666666663</v>
      </c>
      <c r="BA328" s="32">
        <f t="shared" si="155"/>
        <v>0.52777777777777779</v>
      </c>
      <c r="BB328" s="32">
        <f t="shared" si="156"/>
        <v>0.63888888888888884</v>
      </c>
      <c r="BC328" s="7">
        <f t="shared" si="157"/>
        <v>0.65740740740740744</v>
      </c>
      <c r="BD328" s="7">
        <f t="shared" si="158"/>
        <v>0.69444444444444431</v>
      </c>
      <c r="BE328">
        <f>step3_validation[[#This Row],[AI_OUT1]]</f>
        <v>9</v>
      </c>
      <c r="BF328">
        <f t="shared" si="159"/>
        <v>0.88888888888888884</v>
      </c>
      <c r="BG328">
        <f>survey_responses[[#This Row],[Sau khi xem xét các quyền lợi và nghĩa vụ, bạn có ủng hộ và tuân thủ chính sách mới hiện nay? - HUMAN-OUT1]]</f>
        <v>8</v>
      </c>
      <c r="BH328">
        <f t="shared" si="160"/>
        <v>0.77777777777777779</v>
      </c>
      <c r="BI328" s="32">
        <f t="shared" si="161"/>
        <v>1</v>
      </c>
    </row>
    <row r="329" spans="1:61" x14ac:dyDescent="0.45">
      <c r="A329" s="30">
        <f>step3_validation[[#This Row],[Persona_ID]]</f>
        <v>328</v>
      </c>
      <c r="B329" s="31">
        <f>step3_validation[[#This Row],[Used_Seed]]</f>
        <v>12672</v>
      </c>
      <c r="C329" t="str">
        <f>step3_validation[[#This Row],[Gender]]</f>
        <v>Nam</v>
      </c>
      <c r="D329" t="str">
        <f>survey_responses[[#This Row],[Giới tính của bạn:]]</f>
        <v>Nam</v>
      </c>
      <c r="E329" t="str">
        <f>step3_validation[[#This Row],[Age_Group]]</f>
        <v>40 - 49</v>
      </c>
      <c r="F329" t="str">
        <f>survey_responses[[#This Row],[Độ tuổi của bạn:]]</f>
        <v>40 - 49</v>
      </c>
      <c r="G329" t="str">
        <f>step3_validation[[#This Row],[Region]]</f>
        <v>Thành thị</v>
      </c>
      <c r="H329" t="str">
        <f>survey_responses[[#This Row],[Khu vực bạn đang sinh sống:]]</f>
        <v>Thành thị</v>
      </c>
      <c r="I329" t="str">
        <f>step3_validation[[#This Row],[Education]]</f>
        <v>Sau Đại học</v>
      </c>
      <c r="J329" t="str">
        <f>survey_responses[[#This Row],[Trình độ học vấn cao nhất:]]</f>
        <v>Sau Đại học</v>
      </c>
      <c r="K329" t="str">
        <f>step3_validation[[#This Row],[Employment]]</f>
        <v>Chính thức</v>
      </c>
      <c r="L329" t="str">
        <f>survey_responses[[#This Row],[Tình trạng việc làm chính:]]</f>
        <v>Khu vực chính thức (Có Hợp đồng lao động, đóng BHXH)</v>
      </c>
      <c r="M329">
        <f>step3_validation[[#This Row],[Income_Mil]]</f>
        <v>83.392659369885664</v>
      </c>
      <c r="N329" t="str">
        <f>survey_responses[[#This Row],[Thu nhập bình quân tháng theo Hợp đồng lao động của bạn là bao nhiêu? (Vui lòng điền tổng thu nhập trước khi khấu trừ các loại Bảo hiểm (BHXH, BHYT, BHTN) và Thuế TNCN)]]</f>
        <v>Từ 70 - 102 triệu VNĐ</v>
      </c>
      <c r="O329">
        <f>step3_validation[[#This Row],[Dependents]]</f>
        <v>3</v>
      </c>
      <c r="P329" t="str">
        <f>survey_responses[[#This Row],[Số người phụ thuộc (con nhỏ, cha mẹ già...) đủ điều kiện giảm trừ gia cảnh:]]</f>
        <v>3 người</v>
      </c>
      <c r="Q329">
        <f>step3_validation[[#This Row],[AI_ENF1]]</f>
        <v>8</v>
      </c>
      <c r="R329">
        <f t="shared" si="135"/>
        <v>0.77777777777777779</v>
      </c>
      <c r="S329">
        <f>survey_responses[[#This Row],[Tôi tin rằng với các quy định quản lý thuế hiện nay, hành vi gian lận hoặc trốn thuế sẽ dễ dàng bị phát hiện và xử lý nghiêm. - HUMAN-ENF1]]</f>
        <v>7</v>
      </c>
      <c r="T329">
        <f t="shared" si="136"/>
        <v>0.66666666666666663</v>
      </c>
      <c r="U329">
        <f>step3_validation[[#This Row],[AI_ENF2]]</f>
        <v>7</v>
      </c>
      <c r="V329">
        <f t="shared" si="137"/>
        <v>0.66666666666666663</v>
      </c>
      <c r="W329">
        <f>survey_responses[[#This Row],[Tôi tin rằng Nhà nước, cơ quan thuế có đủ khả năng và công nghệ để phát hiện, xử lý nghiêm các hành vi trốn thuế. - HUMAN-ENF2]]</f>
        <v>8</v>
      </c>
      <c r="X329">
        <f t="shared" si="138"/>
        <v>0.77777777777777779</v>
      </c>
      <c r="Y329" s="32">
        <f t="shared" si="139"/>
        <v>0.72222222222222221</v>
      </c>
      <c r="Z329" s="32">
        <f t="shared" si="140"/>
        <v>0.72222222222222221</v>
      </c>
      <c r="AA329">
        <f>step3_validation[[#This Row],[AI_FAC1]]</f>
        <v>9</v>
      </c>
      <c r="AB329">
        <f t="shared" si="141"/>
        <v>0.88888888888888884</v>
      </c>
      <c r="AC329">
        <f>survey_responses[[#This Row],[Các thủ tục khai báo thuế VÀ/HOẶC quy trình làm việc với cơ quan thuế đơn giản, tiện lợi, nhanh chóng hơn so với trước đây. - HUMAN-FAC1]]</f>
        <v>9</v>
      </c>
      <c r="AD329">
        <f t="shared" si="142"/>
        <v>0.88888888888888884</v>
      </c>
      <c r="AE329">
        <f>step3_validation[[#This Row],[AI_FAC2]]</f>
        <v>10</v>
      </c>
      <c r="AF329">
        <f t="shared" si="143"/>
        <v>1</v>
      </c>
      <c r="AG329">
        <f>survey_responses[[#This Row],[So với trước đây, tôi thấy cách tính thuế và các bậc thuế trong phương án mới đơn giản, dễ hiểu và dễ thực hiện hơn. - HUMAN-FAC2]]</f>
        <v>9</v>
      </c>
      <c r="AH329">
        <f t="shared" si="144"/>
        <v>0.88888888888888884</v>
      </c>
      <c r="AI329" s="32">
        <f t="shared" si="145"/>
        <v>0.94444444444444442</v>
      </c>
      <c r="AJ329" s="32">
        <f t="shared" si="146"/>
        <v>0.88888888888888884</v>
      </c>
      <c r="AK329">
        <f>step3_validation[[#This Row],[AI_TRU1]]</f>
        <v>7</v>
      </c>
      <c r="AL329">
        <f t="shared" si="147"/>
        <v>0.66666666666666663</v>
      </c>
      <c r="AM329">
        <f>survey_responses[[#This Row],[Tôi tin rằng Nhà nước, cơ quan thuế sẽ thực thi chính sách mới một cách khách quan, công tâm và đối xử bình đẳng với mọi người nộp thuế.  - HUMAN-TRU1]]</f>
        <v>9</v>
      </c>
      <c r="AN329">
        <f t="shared" si="148"/>
        <v>0.88888888888888884</v>
      </c>
      <c r="AO329">
        <f>step3_validation[[#This Row],[AI_TRU2]]</f>
        <v>9</v>
      </c>
      <c r="AP329">
        <f t="shared" si="149"/>
        <v>0.88888888888888884</v>
      </c>
      <c r="AQ329">
        <f>survey_responses[[#This Row],[Tôi thấy mức thuế tôi phải đóng theo phương án mới là công bằng (người thu nhập như tôi đóng mức này là hợp lý). - HUMAN-TRU2]]</f>
        <v>8</v>
      </c>
      <c r="AR329">
        <f t="shared" si="150"/>
        <v>0.77777777777777779</v>
      </c>
      <c r="AS329">
        <f>step3_validation[[#This Row],[AI_TRU3]]</f>
        <v>8</v>
      </c>
      <c r="AT329">
        <f t="shared" si="151"/>
        <v>0.77777777777777779</v>
      </c>
      <c r="AU329">
        <f>survey_responses[[#This Row],[Tôi tin tưởng số tiền thuế tôi đóng sẽ được Nhà nước sử dụng hiệu quả để cải thiện dịch vụ công (y tế, đường xá...). - HUMAN-TRU3]]</f>
        <v>7</v>
      </c>
      <c r="AV329">
        <f t="shared" si="152"/>
        <v>0.66666666666666663</v>
      </c>
      <c r="AW329">
        <f>step3_validation[[#This Row],[AI_TRU4]]</f>
        <v>7</v>
      </c>
      <c r="AX329">
        <f t="shared" si="153"/>
        <v>0.66666666666666663</v>
      </c>
      <c r="AY329">
        <f>survey_responses[[#This Row],[Tôi thấy Nhà nước đã giải thích rõ ràng, minh bạch về lý do và mục tiêu của việc sửa đổi thuế lần này. - HUMAN-TRU4]]</f>
        <v>7</v>
      </c>
      <c r="AZ329">
        <f t="shared" si="154"/>
        <v>0.66666666666666663</v>
      </c>
      <c r="BA329" s="32">
        <f t="shared" si="155"/>
        <v>0.74999999999999989</v>
      </c>
      <c r="BB329" s="32">
        <f t="shared" si="156"/>
        <v>0.74999999999999989</v>
      </c>
      <c r="BC329" s="7">
        <f t="shared" si="157"/>
        <v>0.80555555555555547</v>
      </c>
      <c r="BD329" s="7">
        <f t="shared" si="158"/>
        <v>0.78703703703703709</v>
      </c>
      <c r="BE329">
        <f>step3_validation[[#This Row],[AI_OUT1]]</f>
        <v>9</v>
      </c>
      <c r="BF329">
        <f t="shared" si="159"/>
        <v>0.88888888888888884</v>
      </c>
      <c r="BG329">
        <f>survey_responses[[#This Row],[Sau khi xem xét các quyền lợi và nghĩa vụ, bạn có ủng hộ và tuân thủ chính sách mới hiện nay? - HUMAN-OUT1]]</f>
        <v>9</v>
      </c>
      <c r="BH329">
        <f t="shared" si="160"/>
        <v>0.88888888888888884</v>
      </c>
      <c r="BI329" s="32">
        <f t="shared" si="161"/>
        <v>0</v>
      </c>
    </row>
    <row r="330" spans="1:61" x14ac:dyDescent="0.45">
      <c r="A330" s="30">
        <f>step3_validation[[#This Row],[Persona_ID]]</f>
        <v>329</v>
      </c>
      <c r="B330" s="31">
        <f>step3_validation[[#This Row],[Used_Seed]]</f>
        <v>12673</v>
      </c>
      <c r="C330" t="str">
        <f>step3_validation[[#This Row],[Gender]]</f>
        <v>Nữ</v>
      </c>
      <c r="D330" t="str">
        <f>survey_responses[[#This Row],[Giới tính của bạn:]]</f>
        <v>Nữ</v>
      </c>
      <c r="E330" t="str">
        <f>step3_validation[[#This Row],[Age_Group]]</f>
        <v>25 - 29</v>
      </c>
      <c r="F330" t="str">
        <f>survey_responses[[#This Row],[Độ tuổi của bạn:]]</f>
        <v>25 - 29</v>
      </c>
      <c r="G330" t="str">
        <f>step3_validation[[#This Row],[Region]]</f>
        <v>Thành thị</v>
      </c>
      <c r="H330" t="str">
        <f>survey_responses[[#This Row],[Khu vực bạn đang sinh sống:]]</f>
        <v>Thành thị</v>
      </c>
      <c r="I330" t="str">
        <f>step3_validation[[#This Row],[Education]]</f>
        <v>Đại học</v>
      </c>
      <c r="J330" t="str">
        <f>survey_responses[[#This Row],[Trình độ học vấn cao nhất:]]</f>
        <v>Đại học</v>
      </c>
      <c r="K330" t="str">
        <f>step3_validation[[#This Row],[Employment]]</f>
        <v>Chính thức</v>
      </c>
      <c r="L330" t="str">
        <f>survey_responses[[#This Row],[Tình trạng việc làm chính:]]</f>
        <v>Khu vực chính thức (Có Hợp đồng lao động, đóng BHXH)</v>
      </c>
      <c r="M330">
        <f>step3_validation[[#This Row],[Income_Mil]]</f>
        <v>13.491123587526593</v>
      </c>
      <c r="N330" t="str">
        <f>survey_responses[[#This Row],[Thu nhập bình quân tháng theo Hợp đồng lao động của bạn là bao nhiêu? (Vui lòng điền tổng thu nhập trước khi khấu trừ các loại Bảo hiểm (BHXH, BHYT, BHTN) và Thuế TNCN)]]</f>
        <v>Từ 12 - 18 triệu VNĐ</v>
      </c>
      <c r="O330">
        <f>step3_validation[[#This Row],[Dependents]]</f>
        <v>0</v>
      </c>
      <c r="P330" t="str">
        <f>survey_responses[[#This Row],[Số người phụ thuộc (con nhỏ, cha mẹ già...) đủ điều kiện giảm trừ gia cảnh:]]</f>
        <v>0 người</v>
      </c>
      <c r="Q330">
        <f>step3_validation[[#This Row],[AI_ENF1]]</f>
        <v>7</v>
      </c>
      <c r="R330">
        <f t="shared" si="135"/>
        <v>0.66666666666666663</v>
      </c>
      <c r="S330">
        <f>survey_responses[[#This Row],[Tôi tin rằng với các quy định quản lý thuế hiện nay, hành vi gian lận hoặc trốn thuế sẽ dễ dàng bị phát hiện và xử lý nghiêm. - HUMAN-ENF1]]</f>
        <v>7</v>
      </c>
      <c r="T330">
        <f t="shared" si="136"/>
        <v>0.66666666666666663</v>
      </c>
      <c r="U330">
        <f>step3_validation[[#This Row],[AI_ENF2]]</f>
        <v>6</v>
      </c>
      <c r="V330">
        <f t="shared" si="137"/>
        <v>0.55555555555555558</v>
      </c>
      <c r="W330">
        <f>survey_responses[[#This Row],[Tôi tin rằng Nhà nước, cơ quan thuế có đủ khả năng và công nghệ để phát hiện, xử lý nghiêm các hành vi trốn thuế. - HUMAN-ENF2]]</f>
        <v>7</v>
      </c>
      <c r="X330">
        <f t="shared" si="138"/>
        <v>0.66666666666666663</v>
      </c>
      <c r="Y330" s="32">
        <f t="shared" si="139"/>
        <v>0.61111111111111116</v>
      </c>
      <c r="Z330" s="32">
        <f t="shared" si="140"/>
        <v>0.66666666666666663</v>
      </c>
      <c r="AA330">
        <f>step3_validation[[#This Row],[AI_FAC1]]</f>
        <v>8</v>
      </c>
      <c r="AB330">
        <f t="shared" si="141"/>
        <v>0.77777777777777779</v>
      </c>
      <c r="AC330">
        <f>survey_responses[[#This Row],[Các thủ tục khai báo thuế VÀ/HOẶC quy trình làm việc với cơ quan thuế đơn giản, tiện lợi, nhanh chóng hơn so với trước đây. - HUMAN-FAC1]]</f>
        <v>9</v>
      </c>
      <c r="AD330">
        <f t="shared" si="142"/>
        <v>0.88888888888888884</v>
      </c>
      <c r="AE330">
        <f>step3_validation[[#This Row],[AI_FAC2]]</f>
        <v>9</v>
      </c>
      <c r="AF330">
        <f t="shared" si="143"/>
        <v>0.88888888888888884</v>
      </c>
      <c r="AG330">
        <f>survey_responses[[#This Row],[So với trước đây, tôi thấy cách tính thuế và các bậc thuế trong phương án mới đơn giản, dễ hiểu và dễ thực hiện hơn. - HUMAN-FAC2]]</f>
        <v>9</v>
      </c>
      <c r="AH330">
        <f t="shared" si="144"/>
        <v>0.88888888888888884</v>
      </c>
      <c r="AI330" s="32">
        <f t="shared" si="145"/>
        <v>0.83333333333333326</v>
      </c>
      <c r="AJ330" s="32">
        <f t="shared" si="146"/>
        <v>0.88888888888888884</v>
      </c>
      <c r="AK330">
        <f>step3_validation[[#This Row],[AI_TRU1]]</f>
        <v>7</v>
      </c>
      <c r="AL330">
        <f t="shared" si="147"/>
        <v>0.66666666666666663</v>
      </c>
      <c r="AM330">
        <f>survey_responses[[#This Row],[Tôi tin rằng Nhà nước, cơ quan thuế sẽ thực thi chính sách mới một cách khách quan, công tâm và đối xử bình đẳng với mọi người nộp thuế.  - HUMAN-TRU1]]</f>
        <v>9</v>
      </c>
      <c r="AN330">
        <f t="shared" si="148"/>
        <v>0.88888888888888884</v>
      </c>
      <c r="AO330">
        <f>step3_validation[[#This Row],[AI_TRU2]]</f>
        <v>8</v>
      </c>
      <c r="AP330">
        <f t="shared" si="149"/>
        <v>0.77777777777777779</v>
      </c>
      <c r="AQ330">
        <f>survey_responses[[#This Row],[Tôi thấy mức thuế tôi phải đóng theo phương án mới là công bằng (người thu nhập như tôi đóng mức này là hợp lý). - HUMAN-TRU2]]</f>
        <v>9</v>
      </c>
      <c r="AR330">
        <f t="shared" si="150"/>
        <v>0.88888888888888884</v>
      </c>
      <c r="AS330">
        <f>step3_validation[[#This Row],[AI_TRU3]]</f>
        <v>7</v>
      </c>
      <c r="AT330">
        <f t="shared" si="151"/>
        <v>0.66666666666666663</v>
      </c>
      <c r="AU330">
        <f>survey_responses[[#This Row],[Tôi tin tưởng số tiền thuế tôi đóng sẽ được Nhà nước sử dụng hiệu quả để cải thiện dịch vụ công (y tế, đường xá...). - HUMAN-TRU3]]</f>
        <v>5</v>
      </c>
      <c r="AV330">
        <f t="shared" si="152"/>
        <v>0.44444444444444442</v>
      </c>
      <c r="AW330">
        <f>step3_validation[[#This Row],[AI_TRU4]]</f>
        <v>6</v>
      </c>
      <c r="AX330">
        <f t="shared" si="153"/>
        <v>0.55555555555555558</v>
      </c>
      <c r="AY330">
        <f>survey_responses[[#This Row],[Tôi thấy Nhà nước đã giải thích rõ ràng, minh bạch về lý do và mục tiêu của việc sửa đổi thuế lần này. - HUMAN-TRU4]]</f>
        <v>6</v>
      </c>
      <c r="AZ330">
        <f t="shared" si="154"/>
        <v>0.55555555555555558</v>
      </c>
      <c r="BA330" s="32">
        <f t="shared" si="155"/>
        <v>0.66666666666666674</v>
      </c>
      <c r="BB330" s="32">
        <f t="shared" si="156"/>
        <v>0.69444444444444442</v>
      </c>
      <c r="BC330" s="7">
        <f t="shared" si="157"/>
        <v>0.70370370370370372</v>
      </c>
      <c r="BD330" s="7">
        <f t="shared" si="158"/>
        <v>0.75</v>
      </c>
      <c r="BE330">
        <f>step3_validation[[#This Row],[AI_OUT1]]</f>
        <v>8</v>
      </c>
      <c r="BF330">
        <f t="shared" si="159"/>
        <v>0.77777777777777779</v>
      </c>
      <c r="BG330">
        <f>survey_responses[[#This Row],[Sau khi xem xét các quyền lợi và nghĩa vụ, bạn có ủng hộ và tuân thủ chính sách mới hiện nay? - HUMAN-OUT1]]</f>
        <v>9</v>
      </c>
      <c r="BH330">
        <f t="shared" si="160"/>
        <v>0.88888888888888884</v>
      </c>
      <c r="BI330" s="32">
        <f t="shared" si="161"/>
        <v>1</v>
      </c>
    </row>
    <row r="331" spans="1:61" x14ac:dyDescent="0.45">
      <c r="A331" s="30">
        <f>step3_validation[[#This Row],[Persona_ID]]</f>
        <v>330</v>
      </c>
      <c r="B331" s="31">
        <f>step3_validation[[#This Row],[Used_Seed]]</f>
        <v>12674</v>
      </c>
      <c r="C331" t="str">
        <f>step3_validation[[#This Row],[Gender]]</f>
        <v>Nam</v>
      </c>
      <c r="D331" t="str">
        <f>survey_responses[[#This Row],[Giới tính của bạn:]]</f>
        <v>Nam</v>
      </c>
      <c r="E331" t="str">
        <f>step3_validation[[#This Row],[Age_Group]]</f>
        <v>18 - 24</v>
      </c>
      <c r="F331" t="str">
        <f>survey_responses[[#This Row],[Độ tuổi của bạn:]]</f>
        <v>18 - 24</v>
      </c>
      <c r="G331" t="str">
        <f>step3_validation[[#This Row],[Region]]</f>
        <v>Thành thị</v>
      </c>
      <c r="H331" t="str">
        <f>survey_responses[[#This Row],[Khu vực bạn đang sinh sống:]]</f>
        <v>Thành thị</v>
      </c>
      <c r="I331" t="str">
        <f>step3_validation[[#This Row],[Education]]</f>
        <v>Đại học</v>
      </c>
      <c r="J331" t="str">
        <f>survey_responses[[#This Row],[Trình độ học vấn cao nhất:]]</f>
        <v>Đại học</v>
      </c>
      <c r="K331" t="str">
        <f>step3_validation[[#This Row],[Employment]]</f>
        <v>Chính thức</v>
      </c>
      <c r="L331" t="str">
        <f>survey_responses[[#This Row],[Tình trạng việc làm chính:]]</f>
        <v>Khu vực chính thức (Có Hợp đồng lao động, đóng BHXH)</v>
      </c>
      <c r="M331">
        <f>step3_validation[[#This Row],[Income_Mil]]</f>
        <v>13.455637584605176</v>
      </c>
      <c r="N331" t="str">
        <f>survey_responses[[#This Row],[Thu nhập bình quân tháng theo Hợp đồng lao động của bạn là bao nhiêu? (Vui lòng điền tổng thu nhập trước khi khấu trừ các loại Bảo hiểm (BHXH, BHYT, BHTN) và Thuế TNCN)]]</f>
        <v>Từ 12 - 18 triệu VNĐ</v>
      </c>
      <c r="O331">
        <f>step3_validation[[#This Row],[Dependents]]</f>
        <v>0</v>
      </c>
      <c r="P331" t="str">
        <f>survey_responses[[#This Row],[Số người phụ thuộc (con nhỏ, cha mẹ già...) đủ điều kiện giảm trừ gia cảnh:]]</f>
        <v>0 người</v>
      </c>
      <c r="Q331">
        <f>step3_validation[[#This Row],[AI_ENF1]]</f>
        <v>6</v>
      </c>
      <c r="R331">
        <f t="shared" si="135"/>
        <v>0.55555555555555558</v>
      </c>
      <c r="S331">
        <f>survey_responses[[#This Row],[Tôi tin rằng với các quy định quản lý thuế hiện nay, hành vi gian lận hoặc trốn thuế sẽ dễ dàng bị phát hiện và xử lý nghiêm. - HUMAN-ENF1]]</f>
        <v>3</v>
      </c>
      <c r="T331">
        <f t="shared" si="136"/>
        <v>0.22222222222222221</v>
      </c>
      <c r="U331">
        <f>step3_validation[[#This Row],[AI_ENF2]]</f>
        <v>6</v>
      </c>
      <c r="V331">
        <f t="shared" si="137"/>
        <v>0.55555555555555558</v>
      </c>
      <c r="W331">
        <f>survey_responses[[#This Row],[Tôi tin rằng Nhà nước, cơ quan thuế có đủ khả năng và công nghệ để phát hiện, xử lý nghiêm các hành vi trốn thuế. - HUMAN-ENF2]]</f>
        <v>3</v>
      </c>
      <c r="X331">
        <f t="shared" si="138"/>
        <v>0.22222222222222221</v>
      </c>
      <c r="Y331" s="32">
        <f t="shared" si="139"/>
        <v>0.55555555555555558</v>
      </c>
      <c r="Z331" s="32">
        <f t="shared" si="140"/>
        <v>0.22222222222222221</v>
      </c>
      <c r="AA331">
        <f>step3_validation[[#This Row],[AI_FAC1]]</f>
        <v>9</v>
      </c>
      <c r="AB331">
        <f t="shared" si="141"/>
        <v>0.88888888888888884</v>
      </c>
      <c r="AC331">
        <f>survey_responses[[#This Row],[Các thủ tục khai báo thuế VÀ/HOẶC quy trình làm việc với cơ quan thuế đơn giản, tiện lợi, nhanh chóng hơn so với trước đây. - HUMAN-FAC1]]</f>
        <v>5</v>
      </c>
      <c r="AD331">
        <f t="shared" si="142"/>
        <v>0.44444444444444442</v>
      </c>
      <c r="AE331">
        <f>step3_validation[[#This Row],[AI_FAC2]]</f>
        <v>8</v>
      </c>
      <c r="AF331">
        <f t="shared" si="143"/>
        <v>0.77777777777777779</v>
      </c>
      <c r="AG331">
        <f>survey_responses[[#This Row],[So với trước đây, tôi thấy cách tính thuế và các bậc thuế trong phương án mới đơn giản, dễ hiểu và dễ thực hiện hơn. - HUMAN-FAC2]]</f>
        <v>6</v>
      </c>
      <c r="AH331">
        <f t="shared" si="144"/>
        <v>0.55555555555555558</v>
      </c>
      <c r="AI331" s="32">
        <f t="shared" si="145"/>
        <v>0.83333333333333326</v>
      </c>
      <c r="AJ331" s="32">
        <f t="shared" si="146"/>
        <v>0.5</v>
      </c>
      <c r="AK331">
        <f>step3_validation[[#This Row],[AI_TRU1]]</f>
        <v>9</v>
      </c>
      <c r="AL331">
        <f t="shared" si="147"/>
        <v>0.88888888888888884</v>
      </c>
      <c r="AM331">
        <f>survey_responses[[#This Row],[Tôi tin rằng Nhà nước, cơ quan thuế sẽ thực thi chính sách mới một cách khách quan, công tâm và đối xử bình đẳng với mọi người nộp thuế.  - HUMAN-TRU1]]</f>
        <v>4</v>
      </c>
      <c r="AN331">
        <f t="shared" si="148"/>
        <v>0.33333333333333331</v>
      </c>
      <c r="AO331">
        <f>step3_validation[[#This Row],[AI_TRU2]]</f>
        <v>8</v>
      </c>
      <c r="AP331">
        <f t="shared" si="149"/>
        <v>0.77777777777777779</v>
      </c>
      <c r="AQ331">
        <f>survey_responses[[#This Row],[Tôi thấy mức thuế tôi phải đóng theo phương án mới là công bằng (người thu nhập như tôi đóng mức này là hợp lý). - HUMAN-TRU2]]</f>
        <v>5</v>
      </c>
      <c r="AR331">
        <f t="shared" si="150"/>
        <v>0.44444444444444442</v>
      </c>
      <c r="AS331">
        <f>step3_validation[[#This Row],[AI_TRU3]]</f>
        <v>9</v>
      </c>
      <c r="AT331">
        <f t="shared" si="151"/>
        <v>0.88888888888888884</v>
      </c>
      <c r="AU331">
        <f>survey_responses[[#This Row],[Tôi tin tưởng số tiền thuế tôi đóng sẽ được Nhà nước sử dụng hiệu quả để cải thiện dịch vụ công (y tế, đường xá...). - HUMAN-TRU3]]</f>
        <v>5</v>
      </c>
      <c r="AV331">
        <f t="shared" si="152"/>
        <v>0.44444444444444442</v>
      </c>
      <c r="AW331">
        <f>step3_validation[[#This Row],[AI_TRU4]]</f>
        <v>8</v>
      </c>
      <c r="AX331">
        <f t="shared" si="153"/>
        <v>0.77777777777777779</v>
      </c>
      <c r="AY331">
        <f>survey_responses[[#This Row],[Tôi thấy Nhà nước đã giải thích rõ ràng, minh bạch về lý do và mục tiêu của việc sửa đổi thuế lần này. - HUMAN-TRU4]]</f>
        <v>5</v>
      </c>
      <c r="AZ331">
        <f t="shared" si="154"/>
        <v>0.44444444444444442</v>
      </c>
      <c r="BA331" s="32">
        <f t="shared" si="155"/>
        <v>0.83333333333333326</v>
      </c>
      <c r="BB331" s="32">
        <f t="shared" si="156"/>
        <v>0.41666666666666663</v>
      </c>
      <c r="BC331" s="7">
        <f t="shared" si="157"/>
        <v>0.74074074074074081</v>
      </c>
      <c r="BD331" s="7">
        <f t="shared" si="158"/>
        <v>0.37962962962962959</v>
      </c>
      <c r="BE331">
        <f>step3_validation[[#This Row],[AI_OUT1]]</f>
        <v>9</v>
      </c>
      <c r="BF331">
        <f t="shared" si="159"/>
        <v>0.88888888888888884</v>
      </c>
      <c r="BG331">
        <f>survey_responses[[#This Row],[Sau khi xem xét các quyền lợi và nghĩa vụ, bạn có ủng hộ và tuân thủ chính sách mới hiện nay? - HUMAN-OUT1]]</f>
        <v>5</v>
      </c>
      <c r="BH331">
        <f t="shared" si="160"/>
        <v>0.44444444444444442</v>
      </c>
      <c r="BI331" s="32">
        <f t="shared" si="161"/>
        <v>4</v>
      </c>
    </row>
    <row r="332" spans="1:61" x14ac:dyDescent="0.45">
      <c r="A332" s="30">
        <f>step3_validation[[#This Row],[Persona_ID]]</f>
        <v>331</v>
      </c>
      <c r="B332" s="31">
        <f>step3_validation[[#This Row],[Used_Seed]]</f>
        <v>12675</v>
      </c>
      <c r="C332" t="str">
        <f>step3_validation[[#This Row],[Gender]]</f>
        <v>Nam</v>
      </c>
      <c r="D332" t="str">
        <f>survey_responses[[#This Row],[Giới tính của bạn:]]</f>
        <v>Nam</v>
      </c>
      <c r="E332" t="str">
        <f>step3_validation[[#This Row],[Age_Group]]</f>
        <v>30 - 39</v>
      </c>
      <c r="F332" t="str">
        <f>survey_responses[[#This Row],[Độ tuổi của bạn:]]</f>
        <v>30 - 39</v>
      </c>
      <c r="G332" t="str">
        <f>step3_validation[[#This Row],[Region]]</f>
        <v>Thành thị</v>
      </c>
      <c r="H332" t="str">
        <f>survey_responses[[#This Row],[Khu vực bạn đang sinh sống:]]</f>
        <v>Thành thị</v>
      </c>
      <c r="I332" t="str">
        <f>step3_validation[[#This Row],[Education]]</f>
        <v>Đại học</v>
      </c>
      <c r="J332" t="str">
        <f>survey_responses[[#This Row],[Trình độ học vấn cao nhất:]]</f>
        <v>Đại học</v>
      </c>
      <c r="K332" t="str">
        <f>step3_validation[[#This Row],[Employment]]</f>
        <v>Chính thức</v>
      </c>
      <c r="L332" t="str">
        <f>survey_responses[[#This Row],[Tình trạng việc làm chính:]]</f>
        <v>Khu vực chính thức (Có Hợp đồng lao động, đóng BHXH)</v>
      </c>
      <c r="M332">
        <f>step3_validation[[#This Row],[Income_Mil]]</f>
        <v>26.633126491530575</v>
      </c>
      <c r="N332" t="str">
        <f>survey_responses[[#This Row],[Thu nhập bình quân tháng theo Hợp đồng lao động của bạn là bao nhiêu? (Vui lòng điền tổng thu nhập trước khi khấu trừ các loại Bảo hiểm (BHXH, BHYT, BHTN) và Thuế TNCN)]]</f>
        <v>Từ 23 - 32 triệu VNĐ</v>
      </c>
      <c r="O332">
        <f>step3_validation[[#This Row],[Dependents]]</f>
        <v>1</v>
      </c>
      <c r="P332" t="str">
        <f>survey_responses[[#This Row],[Số người phụ thuộc (con nhỏ, cha mẹ già...) đủ điều kiện giảm trừ gia cảnh:]]</f>
        <v>1 người</v>
      </c>
      <c r="Q332">
        <f>step3_validation[[#This Row],[AI_ENF1]]</f>
        <v>8</v>
      </c>
      <c r="R332">
        <f t="shared" si="135"/>
        <v>0.77777777777777779</v>
      </c>
      <c r="S332">
        <f>survey_responses[[#This Row],[Tôi tin rằng với các quy định quản lý thuế hiện nay, hành vi gian lận hoặc trốn thuế sẽ dễ dàng bị phát hiện và xử lý nghiêm. - HUMAN-ENF1]]</f>
        <v>4</v>
      </c>
      <c r="T332">
        <f t="shared" si="136"/>
        <v>0.33333333333333331</v>
      </c>
      <c r="U332">
        <f>step3_validation[[#This Row],[AI_ENF2]]</f>
        <v>8</v>
      </c>
      <c r="V332">
        <f t="shared" si="137"/>
        <v>0.77777777777777779</v>
      </c>
      <c r="W332">
        <f>survey_responses[[#This Row],[Tôi tin rằng Nhà nước, cơ quan thuế có đủ khả năng và công nghệ để phát hiện, xử lý nghiêm các hành vi trốn thuế. - HUMAN-ENF2]]</f>
        <v>4</v>
      </c>
      <c r="X332">
        <f t="shared" si="138"/>
        <v>0.33333333333333331</v>
      </c>
      <c r="Y332" s="32">
        <f t="shared" si="139"/>
        <v>0.77777777777777779</v>
      </c>
      <c r="Z332" s="32">
        <f t="shared" si="140"/>
        <v>0.33333333333333331</v>
      </c>
      <c r="AA332">
        <f>step3_validation[[#This Row],[AI_FAC1]]</f>
        <v>9</v>
      </c>
      <c r="AB332">
        <f t="shared" si="141"/>
        <v>0.88888888888888884</v>
      </c>
      <c r="AC332">
        <f>survey_responses[[#This Row],[Các thủ tục khai báo thuế VÀ/HOẶC quy trình làm việc với cơ quan thuế đơn giản, tiện lợi, nhanh chóng hơn so với trước đây. - HUMAN-FAC1]]</f>
        <v>5</v>
      </c>
      <c r="AD332">
        <f t="shared" si="142"/>
        <v>0.44444444444444442</v>
      </c>
      <c r="AE332">
        <f>step3_validation[[#This Row],[AI_FAC2]]</f>
        <v>9</v>
      </c>
      <c r="AF332">
        <f t="shared" si="143"/>
        <v>0.88888888888888884</v>
      </c>
      <c r="AG332">
        <f>survey_responses[[#This Row],[So với trước đây, tôi thấy cách tính thuế và các bậc thuế trong phương án mới đơn giản, dễ hiểu và dễ thực hiện hơn. - HUMAN-FAC2]]</f>
        <v>6</v>
      </c>
      <c r="AH332">
        <f t="shared" si="144"/>
        <v>0.55555555555555558</v>
      </c>
      <c r="AI332" s="32">
        <f t="shared" si="145"/>
        <v>0.88888888888888884</v>
      </c>
      <c r="AJ332" s="32">
        <f t="shared" si="146"/>
        <v>0.5</v>
      </c>
      <c r="AK332">
        <f>step3_validation[[#This Row],[AI_TRU1]]</f>
        <v>7</v>
      </c>
      <c r="AL332">
        <f t="shared" si="147"/>
        <v>0.66666666666666663</v>
      </c>
      <c r="AM332">
        <f>survey_responses[[#This Row],[Tôi tin rằng Nhà nước, cơ quan thuế sẽ thực thi chính sách mới một cách khách quan, công tâm và đối xử bình đẳng với mọi người nộp thuế.  - HUMAN-TRU1]]</f>
        <v>4</v>
      </c>
      <c r="AN332">
        <f t="shared" si="148"/>
        <v>0.33333333333333331</v>
      </c>
      <c r="AO332">
        <f>step3_validation[[#This Row],[AI_TRU2]]</f>
        <v>8</v>
      </c>
      <c r="AP332">
        <f t="shared" si="149"/>
        <v>0.77777777777777779</v>
      </c>
      <c r="AQ332">
        <f>survey_responses[[#This Row],[Tôi thấy mức thuế tôi phải đóng theo phương án mới là công bằng (người thu nhập như tôi đóng mức này là hợp lý). - HUMAN-TRU2]]</f>
        <v>5</v>
      </c>
      <c r="AR332">
        <f t="shared" si="150"/>
        <v>0.44444444444444442</v>
      </c>
      <c r="AS332">
        <f>step3_validation[[#This Row],[AI_TRU3]]</f>
        <v>7</v>
      </c>
      <c r="AT332">
        <f t="shared" si="151"/>
        <v>0.66666666666666663</v>
      </c>
      <c r="AU332">
        <f>survey_responses[[#This Row],[Tôi tin tưởng số tiền thuế tôi đóng sẽ được Nhà nước sử dụng hiệu quả để cải thiện dịch vụ công (y tế, đường xá...). - HUMAN-TRU3]]</f>
        <v>3</v>
      </c>
      <c r="AV332">
        <f t="shared" si="152"/>
        <v>0.22222222222222221</v>
      </c>
      <c r="AW332">
        <f>step3_validation[[#This Row],[AI_TRU4]]</f>
        <v>8</v>
      </c>
      <c r="AX332">
        <f t="shared" si="153"/>
        <v>0.77777777777777779</v>
      </c>
      <c r="AY332">
        <f>survey_responses[[#This Row],[Tôi thấy Nhà nước đã giải thích rõ ràng, minh bạch về lý do và mục tiêu của việc sửa đổi thuế lần này. - HUMAN-TRU4]]</f>
        <v>4</v>
      </c>
      <c r="AZ332">
        <f t="shared" si="154"/>
        <v>0.33333333333333331</v>
      </c>
      <c r="BA332" s="32">
        <f t="shared" si="155"/>
        <v>0.72222222222222221</v>
      </c>
      <c r="BB332" s="32">
        <f t="shared" si="156"/>
        <v>0.33333333333333331</v>
      </c>
      <c r="BC332" s="7">
        <f t="shared" si="157"/>
        <v>0.79629629629629628</v>
      </c>
      <c r="BD332" s="7">
        <f t="shared" si="158"/>
        <v>0.38888888888888884</v>
      </c>
      <c r="BE332">
        <f>step3_validation[[#This Row],[AI_OUT1]]</f>
        <v>9</v>
      </c>
      <c r="BF332">
        <f t="shared" si="159"/>
        <v>0.88888888888888884</v>
      </c>
      <c r="BG332">
        <f>survey_responses[[#This Row],[Sau khi xem xét các quyền lợi và nghĩa vụ, bạn có ủng hộ và tuân thủ chính sách mới hiện nay? - HUMAN-OUT1]]</f>
        <v>5</v>
      </c>
      <c r="BH332">
        <f t="shared" si="160"/>
        <v>0.44444444444444442</v>
      </c>
      <c r="BI332" s="32">
        <f t="shared" si="161"/>
        <v>4</v>
      </c>
    </row>
    <row r="333" spans="1:61" x14ac:dyDescent="0.45">
      <c r="A333" s="30">
        <f>step3_validation[[#This Row],[Persona_ID]]</f>
        <v>332</v>
      </c>
      <c r="B333" s="31">
        <f>step3_validation[[#This Row],[Used_Seed]]</f>
        <v>12676</v>
      </c>
      <c r="C333" t="str">
        <f>step3_validation[[#This Row],[Gender]]</f>
        <v>Nữ</v>
      </c>
      <c r="D333" t="str">
        <f>survey_responses[[#This Row],[Giới tính của bạn:]]</f>
        <v>Nữ</v>
      </c>
      <c r="E333" t="str">
        <f>step3_validation[[#This Row],[Age_Group]]</f>
        <v>18 - 24</v>
      </c>
      <c r="F333" t="str">
        <f>survey_responses[[#This Row],[Độ tuổi của bạn:]]</f>
        <v>18 - 24</v>
      </c>
      <c r="G333" t="str">
        <f>step3_validation[[#This Row],[Region]]</f>
        <v>Thành thị</v>
      </c>
      <c r="H333" t="str">
        <f>survey_responses[[#This Row],[Khu vực bạn đang sinh sống:]]</f>
        <v>Thành thị</v>
      </c>
      <c r="I333" t="str">
        <f>step3_validation[[#This Row],[Education]]</f>
        <v>Đại học</v>
      </c>
      <c r="J333" t="str">
        <f>survey_responses[[#This Row],[Trình độ học vấn cao nhất:]]</f>
        <v>Đại học</v>
      </c>
      <c r="K333" t="str">
        <f>step3_validation[[#This Row],[Employment]]</f>
        <v>Chính thức</v>
      </c>
      <c r="L333" t="str">
        <f>survey_responses[[#This Row],[Tình trạng việc làm chính:]]</f>
        <v>Khu vực chính thức (Có Hợp đồng lao động, đóng BHXH)</v>
      </c>
      <c r="M333">
        <f>step3_validation[[#This Row],[Income_Mil]]</f>
        <v>21.494607292331743</v>
      </c>
      <c r="N333" t="str">
        <f>survey_responses[[#This Row],[Thu nhập bình quân tháng theo Hợp đồng lao động của bạn là bao nhiêu? (Vui lòng điền tổng thu nhập trước khi khấu trừ các loại Bảo hiểm (BHXH, BHYT, BHTN) và Thuế TNCN)]]</f>
        <v>Từ 18 - 23 triệu VNĐ</v>
      </c>
      <c r="O333">
        <f>step3_validation[[#This Row],[Dependents]]</f>
        <v>0</v>
      </c>
      <c r="P333" t="str">
        <f>survey_responses[[#This Row],[Số người phụ thuộc (con nhỏ, cha mẹ già...) đủ điều kiện giảm trừ gia cảnh:]]</f>
        <v>0 người</v>
      </c>
      <c r="Q333">
        <f>step3_validation[[#This Row],[AI_ENF1]]</f>
        <v>7</v>
      </c>
      <c r="R333">
        <f t="shared" si="135"/>
        <v>0.66666666666666663</v>
      </c>
      <c r="S333">
        <f>survey_responses[[#This Row],[Tôi tin rằng với các quy định quản lý thuế hiện nay, hành vi gian lận hoặc trốn thuế sẽ dễ dàng bị phát hiện và xử lý nghiêm. - HUMAN-ENF1]]</f>
        <v>7</v>
      </c>
      <c r="T333">
        <f t="shared" si="136"/>
        <v>0.66666666666666663</v>
      </c>
      <c r="U333">
        <f>step3_validation[[#This Row],[AI_ENF2]]</f>
        <v>8</v>
      </c>
      <c r="V333">
        <f t="shared" si="137"/>
        <v>0.77777777777777779</v>
      </c>
      <c r="W333">
        <f>survey_responses[[#This Row],[Tôi tin rằng Nhà nước, cơ quan thuế có đủ khả năng và công nghệ để phát hiện, xử lý nghiêm các hành vi trốn thuế. - HUMAN-ENF2]]</f>
        <v>7</v>
      </c>
      <c r="X333">
        <f t="shared" si="138"/>
        <v>0.66666666666666663</v>
      </c>
      <c r="Y333" s="32">
        <f t="shared" si="139"/>
        <v>0.72222222222222221</v>
      </c>
      <c r="Z333" s="32">
        <f t="shared" si="140"/>
        <v>0.66666666666666663</v>
      </c>
      <c r="AA333">
        <f>step3_validation[[#This Row],[AI_FAC1]]</f>
        <v>9</v>
      </c>
      <c r="AB333">
        <f t="shared" si="141"/>
        <v>0.88888888888888884</v>
      </c>
      <c r="AC333">
        <f>survey_responses[[#This Row],[Các thủ tục khai báo thuế VÀ/HOẶC quy trình làm việc với cơ quan thuế đơn giản, tiện lợi, nhanh chóng hơn so với trước đây. - HUMAN-FAC1]]</f>
        <v>9</v>
      </c>
      <c r="AD333">
        <f t="shared" si="142"/>
        <v>0.88888888888888884</v>
      </c>
      <c r="AE333">
        <f>step3_validation[[#This Row],[AI_FAC2]]</f>
        <v>8</v>
      </c>
      <c r="AF333">
        <f t="shared" si="143"/>
        <v>0.77777777777777779</v>
      </c>
      <c r="AG333">
        <f>survey_responses[[#This Row],[So với trước đây, tôi thấy cách tính thuế và các bậc thuế trong phương án mới đơn giản, dễ hiểu và dễ thực hiện hơn. - HUMAN-FAC2]]</f>
        <v>9</v>
      </c>
      <c r="AH333">
        <f t="shared" si="144"/>
        <v>0.88888888888888884</v>
      </c>
      <c r="AI333" s="32">
        <f t="shared" si="145"/>
        <v>0.83333333333333326</v>
      </c>
      <c r="AJ333" s="32">
        <f t="shared" si="146"/>
        <v>0.88888888888888884</v>
      </c>
      <c r="AK333">
        <f>step3_validation[[#This Row],[AI_TRU1]]</f>
        <v>9</v>
      </c>
      <c r="AL333">
        <f t="shared" si="147"/>
        <v>0.88888888888888884</v>
      </c>
      <c r="AM333">
        <f>survey_responses[[#This Row],[Tôi tin rằng Nhà nước, cơ quan thuế sẽ thực thi chính sách mới một cách khách quan, công tâm và đối xử bình đẳng với mọi người nộp thuế.  - HUMAN-TRU1]]</f>
        <v>8</v>
      </c>
      <c r="AN333">
        <f t="shared" si="148"/>
        <v>0.77777777777777779</v>
      </c>
      <c r="AO333">
        <f>step3_validation[[#This Row],[AI_TRU2]]</f>
        <v>8</v>
      </c>
      <c r="AP333">
        <f t="shared" si="149"/>
        <v>0.77777777777777779</v>
      </c>
      <c r="AQ333">
        <f>survey_responses[[#This Row],[Tôi thấy mức thuế tôi phải đóng theo phương án mới là công bằng (người thu nhập như tôi đóng mức này là hợp lý). - HUMAN-TRU2]]</f>
        <v>9</v>
      </c>
      <c r="AR333">
        <f t="shared" si="150"/>
        <v>0.88888888888888884</v>
      </c>
      <c r="AS333">
        <f>step3_validation[[#This Row],[AI_TRU3]]</f>
        <v>9</v>
      </c>
      <c r="AT333">
        <f t="shared" si="151"/>
        <v>0.88888888888888884</v>
      </c>
      <c r="AU333">
        <f>survey_responses[[#This Row],[Tôi tin tưởng số tiền thuế tôi đóng sẽ được Nhà nước sử dụng hiệu quả để cải thiện dịch vụ công (y tế, đường xá...). - HUMAN-TRU3]]</f>
        <v>7</v>
      </c>
      <c r="AV333">
        <f t="shared" si="152"/>
        <v>0.66666666666666663</v>
      </c>
      <c r="AW333">
        <f>step3_validation[[#This Row],[AI_TRU4]]</f>
        <v>7</v>
      </c>
      <c r="AX333">
        <f t="shared" si="153"/>
        <v>0.66666666666666663</v>
      </c>
      <c r="AY333">
        <f>survey_responses[[#This Row],[Tôi thấy Nhà nước đã giải thích rõ ràng, minh bạch về lý do và mục tiêu của việc sửa đổi thuế lần này. - HUMAN-TRU4]]</f>
        <v>9</v>
      </c>
      <c r="AZ333">
        <f t="shared" si="154"/>
        <v>0.88888888888888884</v>
      </c>
      <c r="BA333" s="32">
        <f t="shared" si="155"/>
        <v>0.80555555555555547</v>
      </c>
      <c r="BB333" s="32">
        <f t="shared" si="156"/>
        <v>0.80555555555555547</v>
      </c>
      <c r="BC333" s="7">
        <f t="shared" si="157"/>
        <v>0.78703703703703687</v>
      </c>
      <c r="BD333" s="7">
        <f t="shared" si="158"/>
        <v>0.78703703703703687</v>
      </c>
      <c r="BE333">
        <f>step3_validation[[#This Row],[AI_OUT1]]</f>
        <v>9</v>
      </c>
      <c r="BF333">
        <f t="shared" si="159"/>
        <v>0.88888888888888884</v>
      </c>
      <c r="BG333">
        <f>survey_responses[[#This Row],[Sau khi xem xét các quyền lợi và nghĩa vụ, bạn có ủng hộ và tuân thủ chính sách mới hiện nay? - HUMAN-OUT1]]</f>
        <v>9</v>
      </c>
      <c r="BH333">
        <f t="shared" si="160"/>
        <v>0.88888888888888884</v>
      </c>
      <c r="BI333" s="32">
        <f t="shared" si="161"/>
        <v>0</v>
      </c>
    </row>
    <row r="334" spans="1:61" x14ac:dyDescent="0.45">
      <c r="A334" s="30">
        <f>step3_validation[[#This Row],[Persona_ID]]</f>
        <v>333</v>
      </c>
      <c r="B334" s="31">
        <f>step3_validation[[#This Row],[Used_Seed]]</f>
        <v>12677</v>
      </c>
      <c r="C334" t="str">
        <f>step3_validation[[#This Row],[Gender]]</f>
        <v>Nam</v>
      </c>
      <c r="D334" t="str">
        <f>survey_responses[[#This Row],[Giới tính của bạn:]]</f>
        <v>Nam</v>
      </c>
      <c r="E334" t="str">
        <f>step3_validation[[#This Row],[Age_Group]]</f>
        <v>40 - 49</v>
      </c>
      <c r="F334" t="str">
        <f>survey_responses[[#This Row],[Độ tuổi của bạn:]]</f>
        <v>40 - 49</v>
      </c>
      <c r="G334" t="str">
        <f>step3_validation[[#This Row],[Region]]</f>
        <v>Thành thị</v>
      </c>
      <c r="H334" t="str">
        <f>survey_responses[[#This Row],[Khu vực bạn đang sinh sống:]]</f>
        <v>Thành thị</v>
      </c>
      <c r="I334" t="str">
        <f>step3_validation[[#This Row],[Education]]</f>
        <v>Sau Đại học</v>
      </c>
      <c r="J334" t="str">
        <f>survey_responses[[#This Row],[Trình độ học vấn cao nhất:]]</f>
        <v>Sau Đại học</v>
      </c>
      <c r="K334" t="str">
        <f>step3_validation[[#This Row],[Employment]]</f>
        <v>Chính thức</v>
      </c>
      <c r="L334" t="str">
        <f>survey_responses[[#This Row],[Tình trạng việc làm chính:]]</f>
        <v>Khu vực chính thức (Có Hợp đồng lao động, đóng BHXH)</v>
      </c>
      <c r="M334">
        <f>step3_validation[[#This Row],[Income_Mil]]</f>
        <v>86.95655635314948</v>
      </c>
      <c r="N334" t="str">
        <f>survey_responses[[#This Row],[Thu nhập bình quân tháng theo Hợp đồng lao động của bạn là bao nhiêu? (Vui lòng điền tổng thu nhập trước khi khấu trừ các loại Bảo hiểm (BHXH, BHYT, BHTN) và Thuế TNCN)]]</f>
        <v>Từ 70 - 102 triệu VNĐ</v>
      </c>
      <c r="O334">
        <f>step3_validation[[#This Row],[Dependents]]</f>
        <v>1</v>
      </c>
      <c r="P334" t="str">
        <f>survey_responses[[#This Row],[Số người phụ thuộc (con nhỏ, cha mẹ già...) đủ điều kiện giảm trừ gia cảnh:]]</f>
        <v>1 người</v>
      </c>
      <c r="Q334">
        <f>step3_validation[[#This Row],[AI_ENF1]]</f>
        <v>6</v>
      </c>
      <c r="R334">
        <f t="shared" si="135"/>
        <v>0.55555555555555558</v>
      </c>
      <c r="S334">
        <f>survey_responses[[#This Row],[Tôi tin rằng với các quy định quản lý thuế hiện nay, hành vi gian lận hoặc trốn thuế sẽ dễ dàng bị phát hiện và xử lý nghiêm. - HUMAN-ENF1]]</f>
        <v>6</v>
      </c>
      <c r="T334">
        <f t="shared" si="136"/>
        <v>0.55555555555555558</v>
      </c>
      <c r="U334">
        <f>step3_validation[[#This Row],[AI_ENF2]]</f>
        <v>8</v>
      </c>
      <c r="V334">
        <f t="shared" si="137"/>
        <v>0.77777777777777779</v>
      </c>
      <c r="W334">
        <f>survey_responses[[#This Row],[Tôi tin rằng Nhà nước, cơ quan thuế có đủ khả năng và công nghệ để phát hiện, xử lý nghiêm các hành vi trốn thuế. - HUMAN-ENF2]]</f>
        <v>6</v>
      </c>
      <c r="X334">
        <f t="shared" si="138"/>
        <v>0.55555555555555558</v>
      </c>
      <c r="Y334" s="32">
        <f t="shared" si="139"/>
        <v>0.66666666666666674</v>
      </c>
      <c r="Z334" s="32">
        <f t="shared" si="140"/>
        <v>0.55555555555555558</v>
      </c>
      <c r="AA334">
        <f>step3_validation[[#This Row],[AI_FAC1]]</f>
        <v>9</v>
      </c>
      <c r="AB334">
        <f t="shared" si="141"/>
        <v>0.88888888888888884</v>
      </c>
      <c r="AC334">
        <f>survey_responses[[#This Row],[Các thủ tục khai báo thuế VÀ/HOẶC quy trình làm việc với cơ quan thuế đơn giản, tiện lợi, nhanh chóng hơn so với trước đây. - HUMAN-FAC1]]</f>
        <v>8</v>
      </c>
      <c r="AD334">
        <f t="shared" si="142"/>
        <v>0.77777777777777779</v>
      </c>
      <c r="AE334">
        <f>step3_validation[[#This Row],[AI_FAC2]]</f>
        <v>8</v>
      </c>
      <c r="AF334">
        <f t="shared" si="143"/>
        <v>0.77777777777777779</v>
      </c>
      <c r="AG334">
        <f>survey_responses[[#This Row],[So với trước đây, tôi thấy cách tính thuế và các bậc thuế trong phương án mới đơn giản, dễ hiểu và dễ thực hiện hơn. - HUMAN-FAC2]]</f>
        <v>8</v>
      </c>
      <c r="AH334">
        <f t="shared" si="144"/>
        <v>0.77777777777777779</v>
      </c>
      <c r="AI334" s="32">
        <f t="shared" si="145"/>
        <v>0.83333333333333326</v>
      </c>
      <c r="AJ334" s="32">
        <f t="shared" si="146"/>
        <v>0.77777777777777779</v>
      </c>
      <c r="AK334">
        <f>step3_validation[[#This Row],[AI_TRU1]]</f>
        <v>7</v>
      </c>
      <c r="AL334">
        <f t="shared" si="147"/>
        <v>0.66666666666666663</v>
      </c>
      <c r="AM334">
        <f>survey_responses[[#This Row],[Tôi tin rằng Nhà nước, cơ quan thuế sẽ thực thi chính sách mới một cách khách quan, công tâm và đối xử bình đẳng với mọi người nộp thuế.  - HUMAN-TRU1]]</f>
        <v>6</v>
      </c>
      <c r="AN334">
        <f t="shared" si="148"/>
        <v>0.55555555555555558</v>
      </c>
      <c r="AO334">
        <f>step3_validation[[#This Row],[AI_TRU2]]</f>
        <v>9</v>
      </c>
      <c r="AP334">
        <f t="shared" si="149"/>
        <v>0.88888888888888884</v>
      </c>
      <c r="AQ334">
        <f>survey_responses[[#This Row],[Tôi thấy mức thuế tôi phải đóng theo phương án mới là công bằng (người thu nhập như tôi đóng mức này là hợp lý). - HUMAN-TRU2]]</f>
        <v>7</v>
      </c>
      <c r="AR334">
        <f t="shared" si="150"/>
        <v>0.66666666666666663</v>
      </c>
      <c r="AS334">
        <f>step3_validation[[#This Row],[AI_TRU3]]</f>
        <v>7</v>
      </c>
      <c r="AT334">
        <f t="shared" si="151"/>
        <v>0.66666666666666663</v>
      </c>
      <c r="AU334">
        <f>survey_responses[[#This Row],[Tôi tin tưởng số tiền thuế tôi đóng sẽ được Nhà nước sử dụng hiệu quả để cải thiện dịch vụ công (y tế, đường xá...). - HUMAN-TRU3]]</f>
        <v>6</v>
      </c>
      <c r="AV334">
        <f t="shared" si="152"/>
        <v>0.55555555555555558</v>
      </c>
      <c r="AW334">
        <f>step3_validation[[#This Row],[AI_TRU4]]</f>
        <v>8</v>
      </c>
      <c r="AX334">
        <f t="shared" si="153"/>
        <v>0.77777777777777779</v>
      </c>
      <c r="AY334">
        <f>survey_responses[[#This Row],[Tôi thấy Nhà nước đã giải thích rõ ràng, minh bạch về lý do và mục tiêu của việc sửa đổi thuế lần này. - HUMAN-TRU4]]</f>
        <v>7</v>
      </c>
      <c r="AZ334">
        <f t="shared" si="154"/>
        <v>0.66666666666666663</v>
      </c>
      <c r="BA334" s="32">
        <f t="shared" si="155"/>
        <v>0.74999999999999989</v>
      </c>
      <c r="BB334" s="32">
        <f t="shared" si="156"/>
        <v>0.61111111111111116</v>
      </c>
      <c r="BC334" s="7">
        <f t="shared" si="157"/>
        <v>0.75</v>
      </c>
      <c r="BD334" s="7">
        <f t="shared" si="158"/>
        <v>0.64814814814814825</v>
      </c>
      <c r="BE334">
        <f>step3_validation[[#This Row],[AI_OUT1]]</f>
        <v>9</v>
      </c>
      <c r="BF334">
        <f t="shared" si="159"/>
        <v>0.88888888888888884</v>
      </c>
      <c r="BG334">
        <f>survey_responses[[#This Row],[Sau khi xem xét các quyền lợi và nghĩa vụ, bạn có ủng hộ và tuân thủ chính sách mới hiện nay? - HUMAN-OUT1]]</f>
        <v>7</v>
      </c>
      <c r="BH334">
        <f t="shared" si="160"/>
        <v>0.66666666666666663</v>
      </c>
      <c r="BI334" s="32">
        <f t="shared" si="161"/>
        <v>2</v>
      </c>
    </row>
    <row r="335" spans="1:61" x14ac:dyDescent="0.45">
      <c r="A335" s="30">
        <f>step3_validation[[#This Row],[Persona_ID]]</f>
        <v>334</v>
      </c>
      <c r="B335" s="31">
        <f>step3_validation[[#This Row],[Used_Seed]]</f>
        <v>12678</v>
      </c>
      <c r="C335" t="str">
        <f>step3_validation[[#This Row],[Gender]]</f>
        <v>Nữ</v>
      </c>
      <c r="D335" t="str">
        <f>survey_responses[[#This Row],[Giới tính của bạn:]]</f>
        <v>Nữ</v>
      </c>
      <c r="E335" t="str">
        <f>step3_validation[[#This Row],[Age_Group]]</f>
        <v>50 - 54</v>
      </c>
      <c r="F335" t="str">
        <f>survey_responses[[#This Row],[Độ tuổi của bạn:]]</f>
        <v>50 - 54</v>
      </c>
      <c r="G335" t="str">
        <f>step3_validation[[#This Row],[Region]]</f>
        <v>Thành thị</v>
      </c>
      <c r="H335" t="str">
        <f>survey_responses[[#This Row],[Khu vực bạn đang sinh sống:]]</f>
        <v>Thành thị</v>
      </c>
      <c r="I335" t="str">
        <f>step3_validation[[#This Row],[Education]]</f>
        <v>Sau Đại học</v>
      </c>
      <c r="J335" t="str">
        <f>survey_responses[[#This Row],[Trình độ học vấn cao nhất:]]</f>
        <v>Sau Đại học</v>
      </c>
      <c r="K335" t="str">
        <f>step3_validation[[#This Row],[Employment]]</f>
        <v>Phi chính thức</v>
      </c>
      <c r="L335" t="str">
        <f>survey_responses[[#This Row],[Tình trạng việc làm chính:]]</f>
        <v>Khu vực phi chính thức (Lao động tự do, không có HĐLĐ)</v>
      </c>
      <c r="M335">
        <f>step3_validation[[#This Row],[Income_Mil]]</f>
        <v>143.22514320672158</v>
      </c>
      <c r="N335" t="str">
        <f>survey_responses[[#This Row],[Thu nhập bình quân tháng theo Hợp đồng lao động của bạn là bao nhiêu? (Vui lòng điền tổng thu nhập trước khi khấu trừ các loại Bảo hiểm (BHXH, BHYT, BHTN) và Thuế TNCN)]]</f>
        <v>Trên 102 triệu VNĐ</v>
      </c>
      <c r="O335">
        <f>step3_validation[[#This Row],[Dependents]]</f>
        <v>3</v>
      </c>
      <c r="P335" t="str">
        <f>survey_responses[[#This Row],[Số người phụ thuộc (con nhỏ, cha mẹ già...) đủ điều kiện giảm trừ gia cảnh:]]</f>
        <v>3 người</v>
      </c>
      <c r="Q335">
        <f>step3_validation[[#This Row],[AI_ENF1]]</f>
        <v>6</v>
      </c>
      <c r="R335">
        <f t="shared" si="135"/>
        <v>0.55555555555555558</v>
      </c>
      <c r="S335">
        <f>survey_responses[[#This Row],[Tôi tin rằng với các quy định quản lý thuế hiện nay, hành vi gian lận hoặc trốn thuế sẽ dễ dàng bị phát hiện và xử lý nghiêm. - HUMAN-ENF1]]</f>
        <v>2</v>
      </c>
      <c r="T335">
        <f t="shared" si="136"/>
        <v>0.1111111111111111</v>
      </c>
      <c r="U335">
        <f>step3_validation[[#This Row],[AI_ENF2]]</f>
        <v>7</v>
      </c>
      <c r="V335">
        <f t="shared" si="137"/>
        <v>0.66666666666666663</v>
      </c>
      <c r="W335">
        <f>survey_responses[[#This Row],[Tôi tin rằng Nhà nước, cơ quan thuế có đủ khả năng và công nghệ để phát hiện, xử lý nghiêm các hành vi trốn thuế. - HUMAN-ENF2]]</f>
        <v>2</v>
      </c>
      <c r="X335">
        <f t="shared" si="138"/>
        <v>0.1111111111111111</v>
      </c>
      <c r="Y335" s="32">
        <f t="shared" si="139"/>
        <v>0.61111111111111116</v>
      </c>
      <c r="Z335" s="32">
        <f t="shared" si="140"/>
        <v>0.1111111111111111</v>
      </c>
      <c r="AA335">
        <f>step3_validation[[#This Row],[AI_FAC1]]</f>
        <v>5</v>
      </c>
      <c r="AB335">
        <f t="shared" si="141"/>
        <v>0.44444444444444442</v>
      </c>
      <c r="AC335">
        <f>survey_responses[[#This Row],[Các thủ tục khai báo thuế VÀ/HOẶC quy trình làm việc với cơ quan thuế đơn giản, tiện lợi, nhanh chóng hơn so với trước đây. - HUMAN-FAC1]]</f>
        <v>3</v>
      </c>
      <c r="AD335">
        <f t="shared" si="142"/>
        <v>0.22222222222222221</v>
      </c>
      <c r="AE335">
        <f>step3_validation[[#This Row],[AI_FAC2]]</f>
        <v>8</v>
      </c>
      <c r="AF335">
        <f t="shared" si="143"/>
        <v>0.77777777777777779</v>
      </c>
      <c r="AG335">
        <f>survey_responses[[#This Row],[So với trước đây, tôi thấy cách tính thuế và các bậc thuế trong phương án mới đơn giản, dễ hiểu và dễ thực hiện hơn. - HUMAN-FAC2]]</f>
        <v>5</v>
      </c>
      <c r="AH335">
        <f t="shared" si="144"/>
        <v>0.44444444444444442</v>
      </c>
      <c r="AI335" s="32">
        <f t="shared" si="145"/>
        <v>0.61111111111111116</v>
      </c>
      <c r="AJ335" s="32">
        <f t="shared" si="146"/>
        <v>0.33333333333333331</v>
      </c>
      <c r="AK335">
        <f>step3_validation[[#This Row],[AI_TRU1]]</f>
        <v>6</v>
      </c>
      <c r="AL335">
        <f t="shared" si="147"/>
        <v>0.55555555555555558</v>
      </c>
      <c r="AM335">
        <f>survey_responses[[#This Row],[Tôi tin rằng Nhà nước, cơ quan thuế sẽ thực thi chính sách mới một cách khách quan, công tâm và đối xử bình đẳng với mọi người nộp thuế.  - HUMAN-TRU1]]</f>
        <v>1</v>
      </c>
      <c r="AN335">
        <f t="shared" si="148"/>
        <v>0</v>
      </c>
      <c r="AO335">
        <f>step3_validation[[#This Row],[AI_TRU2]]</f>
        <v>9</v>
      </c>
      <c r="AP335">
        <f t="shared" si="149"/>
        <v>0.88888888888888884</v>
      </c>
      <c r="AQ335">
        <f>survey_responses[[#This Row],[Tôi thấy mức thuế tôi phải đóng theo phương án mới là công bằng (người thu nhập như tôi đóng mức này là hợp lý). - HUMAN-TRU2]]</f>
        <v>1</v>
      </c>
      <c r="AR335">
        <f t="shared" si="150"/>
        <v>0</v>
      </c>
      <c r="AS335">
        <f>step3_validation[[#This Row],[AI_TRU3]]</f>
        <v>7</v>
      </c>
      <c r="AT335">
        <f t="shared" si="151"/>
        <v>0.66666666666666663</v>
      </c>
      <c r="AU335">
        <f>survey_responses[[#This Row],[Tôi tin tưởng số tiền thuế tôi đóng sẽ được Nhà nước sử dụng hiệu quả để cải thiện dịch vụ công (y tế, đường xá...). - HUMAN-TRU3]]</f>
        <v>1</v>
      </c>
      <c r="AV335">
        <f t="shared" si="152"/>
        <v>0</v>
      </c>
      <c r="AW335">
        <f>step3_validation[[#This Row],[AI_TRU4]]</f>
        <v>6</v>
      </c>
      <c r="AX335">
        <f t="shared" si="153"/>
        <v>0.55555555555555558</v>
      </c>
      <c r="AY335">
        <f>survey_responses[[#This Row],[Tôi thấy Nhà nước đã giải thích rõ ràng, minh bạch về lý do và mục tiêu của việc sửa đổi thuế lần này. - HUMAN-TRU4]]</f>
        <v>3</v>
      </c>
      <c r="AZ335">
        <f t="shared" si="154"/>
        <v>0.22222222222222221</v>
      </c>
      <c r="BA335" s="32">
        <f t="shared" si="155"/>
        <v>0.66666666666666674</v>
      </c>
      <c r="BB335" s="32">
        <f t="shared" si="156"/>
        <v>5.5555555555555552E-2</v>
      </c>
      <c r="BC335" s="7">
        <f t="shared" si="157"/>
        <v>0.62962962962962965</v>
      </c>
      <c r="BD335" s="7">
        <f t="shared" si="158"/>
        <v>0.16666666666666666</v>
      </c>
      <c r="BE335">
        <f>step3_validation[[#This Row],[AI_OUT1]]</f>
        <v>8</v>
      </c>
      <c r="BF335">
        <f t="shared" si="159"/>
        <v>0.77777777777777779</v>
      </c>
      <c r="BG335">
        <f>survey_responses[[#This Row],[Sau khi xem xét các quyền lợi và nghĩa vụ, bạn có ủng hộ và tuân thủ chính sách mới hiện nay? - HUMAN-OUT1]]</f>
        <v>1</v>
      </c>
      <c r="BH335">
        <f t="shared" si="160"/>
        <v>0</v>
      </c>
      <c r="BI335" s="32">
        <f t="shared" si="161"/>
        <v>7</v>
      </c>
    </row>
    <row r="336" spans="1:61" x14ac:dyDescent="0.45">
      <c r="A336" s="30">
        <f>step3_validation[[#This Row],[Persona_ID]]</f>
        <v>335</v>
      </c>
      <c r="B336" s="31">
        <f>step3_validation[[#This Row],[Used_Seed]]</f>
        <v>12679</v>
      </c>
      <c r="C336" t="str">
        <f>step3_validation[[#This Row],[Gender]]</f>
        <v>Nam</v>
      </c>
      <c r="D336" t="str">
        <f>survey_responses[[#This Row],[Giới tính của bạn:]]</f>
        <v>Nam</v>
      </c>
      <c r="E336" t="str">
        <f>step3_validation[[#This Row],[Age_Group]]</f>
        <v>18 - 24</v>
      </c>
      <c r="F336" t="str">
        <f>survey_responses[[#This Row],[Độ tuổi của bạn:]]</f>
        <v>18 - 24</v>
      </c>
      <c r="G336" t="str">
        <f>step3_validation[[#This Row],[Region]]</f>
        <v>Thành thị</v>
      </c>
      <c r="H336" t="str">
        <f>survey_responses[[#This Row],[Khu vực bạn đang sinh sống:]]</f>
        <v>Thành thị</v>
      </c>
      <c r="I336" t="str">
        <f>step3_validation[[#This Row],[Education]]</f>
        <v>Đại học</v>
      </c>
      <c r="J336" t="str">
        <f>survey_responses[[#This Row],[Trình độ học vấn cao nhất:]]</f>
        <v>Đại học</v>
      </c>
      <c r="K336" t="str">
        <f>step3_validation[[#This Row],[Employment]]</f>
        <v>Chính thức</v>
      </c>
      <c r="L336" t="str">
        <f>survey_responses[[#This Row],[Tình trạng việc làm chính:]]</f>
        <v>Khu vực chính thức (Có Hợp đồng lao động, đóng BHXH)</v>
      </c>
      <c r="M336">
        <f>step3_validation[[#This Row],[Income_Mil]]</f>
        <v>14.806608746231747</v>
      </c>
      <c r="N336" t="str">
        <f>survey_responses[[#This Row],[Thu nhập bình quân tháng theo Hợp đồng lao động của bạn là bao nhiêu? (Vui lòng điền tổng thu nhập trước khi khấu trừ các loại Bảo hiểm (BHXH, BHYT, BHTN) và Thuế TNCN)]]</f>
        <v>Từ 12 - 18 triệu VNĐ</v>
      </c>
      <c r="O336">
        <f>step3_validation[[#This Row],[Dependents]]</f>
        <v>0</v>
      </c>
      <c r="P336" t="str">
        <f>survey_responses[[#This Row],[Số người phụ thuộc (con nhỏ, cha mẹ già...) đủ điều kiện giảm trừ gia cảnh:]]</f>
        <v>0 người</v>
      </c>
      <c r="Q336">
        <f>step3_validation[[#This Row],[AI_ENF1]]</f>
        <v>7</v>
      </c>
      <c r="R336">
        <f t="shared" si="135"/>
        <v>0.66666666666666663</v>
      </c>
      <c r="S336">
        <f>survey_responses[[#This Row],[Tôi tin rằng với các quy định quản lý thuế hiện nay, hành vi gian lận hoặc trốn thuế sẽ dễ dàng bị phát hiện và xử lý nghiêm. - HUMAN-ENF1]]</f>
        <v>7</v>
      </c>
      <c r="T336">
        <f t="shared" si="136"/>
        <v>0.66666666666666663</v>
      </c>
      <c r="U336">
        <f>step3_validation[[#This Row],[AI_ENF2]]</f>
        <v>8</v>
      </c>
      <c r="V336">
        <f t="shared" si="137"/>
        <v>0.77777777777777779</v>
      </c>
      <c r="W336">
        <f>survey_responses[[#This Row],[Tôi tin rằng Nhà nước, cơ quan thuế có đủ khả năng và công nghệ để phát hiện, xử lý nghiêm các hành vi trốn thuế. - HUMAN-ENF2]]</f>
        <v>7</v>
      </c>
      <c r="X336">
        <f t="shared" si="138"/>
        <v>0.66666666666666663</v>
      </c>
      <c r="Y336" s="32">
        <f t="shared" si="139"/>
        <v>0.72222222222222221</v>
      </c>
      <c r="Z336" s="32">
        <f t="shared" si="140"/>
        <v>0.66666666666666663</v>
      </c>
      <c r="AA336">
        <f>step3_validation[[#This Row],[AI_FAC1]]</f>
        <v>6</v>
      </c>
      <c r="AB336">
        <f t="shared" si="141"/>
        <v>0.55555555555555558</v>
      </c>
      <c r="AC336">
        <f>survey_responses[[#This Row],[Các thủ tục khai báo thuế VÀ/HOẶC quy trình làm việc với cơ quan thuế đơn giản, tiện lợi, nhanh chóng hơn so với trước đây. - HUMAN-FAC1]]</f>
        <v>8</v>
      </c>
      <c r="AD336">
        <f t="shared" si="142"/>
        <v>0.77777777777777779</v>
      </c>
      <c r="AE336">
        <f>step3_validation[[#This Row],[AI_FAC2]]</f>
        <v>9</v>
      </c>
      <c r="AF336">
        <f t="shared" si="143"/>
        <v>0.88888888888888884</v>
      </c>
      <c r="AG336">
        <f>survey_responses[[#This Row],[So với trước đây, tôi thấy cách tính thuế và các bậc thuế trong phương án mới đơn giản, dễ hiểu và dễ thực hiện hơn. - HUMAN-FAC2]]</f>
        <v>10</v>
      </c>
      <c r="AH336">
        <f t="shared" si="144"/>
        <v>1</v>
      </c>
      <c r="AI336" s="32">
        <f t="shared" si="145"/>
        <v>0.72222222222222221</v>
      </c>
      <c r="AJ336" s="32">
        <f t="shared" si="146"/>
        <v>0.88888888888888884</v>
      </c>
      <c r="AK336">
        <f>step3_validation[[#This Row],[AI_TRU1]]</f>
        <v>7</v>
      </c>
      <c r="AL336">
        <f t="shared" si="147"/>
        <v>0.66666666666666663</v>
      </c>
      <c r="AM336">
        <f>survey_responses[[#This Row],[Tôi tin rằng Nhà nước, cơ quan thuế sẽ thực thi chính sách mới một cách khách quan, công tâm và đối xử bình đẳng với mọi người nộp thuế.  - HUMAN-TRU1]]</f>
        <v>9</v>
      </c>
      <c r="AN336">
        <f t="shared" si="148"/>
        <v>0.88888888888888884</v>
      </c>
      <c r="AO336">
        <f>step3_validation[[#This Row],[AI_TRU2]]</f>
        <v>8</v>
      </c>
      <c r="AP336">
        <f t="shared" si="149"/>
        <v>0.77777777777777779</v>
      </c>
      <c r="AQ336">
        <f>survey_responses[[#This Row],[Tôi thấy mức thuế tôi phải đóng theo phương án mới là công bằng (người thu nhập như tôi đóng mức này là hợp lý). - HUMAN-TRU2]]</f>
        <v>10</v>
      </c>
      <c r="AR336">
        <f t="shared" si="150"/>
        <v>1</v>
      </c>
      <c r="AS336">
        <f>step3_validation[[#This Row],[AI_TRU3]]</f>
        <v>7</v>
      </c>
      <c r="AT336">
        <f t="shared" si="151"/>
        <v>0.66666666666666663</v>
      </c>
      <c r="AU336">
        <f>survey_responses[[#This Row],[Tôi tin tưởng số tiền thuế tôi đóng sẽ được Nhà nước sử dụng hiệu quả để cải thiện dịch vụ công (y tế, đường xá...). - HUMAN-TRU3]]</f>
        <v>8</v>
      </c>
      <c r="AV336">
        <f t="shared" si="152"/>
        <v>0.77777777777777779</v>
      </c>
      <c r="AW336">
        <f>step3_validation[[#This Row],[AI_TRU4]]</f>
        <v>8</v>
      </c>
      <c r="AX336">
        <f t="shared" si="153"/>
        <v>0.77777777777777779</v>
      </c>
      <c r="AY336">
        <f>survey_responses[[#This Row],[Tôi thấy Nhà nước đã giải thích rõ ràng, minh bạch về lý do và mục tiêu của việc sửa đổi thuế lần này. - HUMAN-TRU4]]</f>
        <v>8</v>
      </c>
      <c r="AZ336">
        <f t="shared" si="154"/>
        <v>0.77777777777777779</v>
      </c>
      <c r="BA336" s="32">
        <f t="shared" si="155"/>
        <v>0.72222222222222221</v>
      </c>
      <c r="BB336" s="32">
        <f t="shared" si="156"/>
        <v>0.86111111111111105</v>
      </c>
      <c r="BC336" s="7">
        <f t="shared" si="157"/>
        <v>0.72222222222222221</v>
      </c>
      <c r="BD336" s="7">
        <f t="shared" si="158"/>
        <v>0.80555555555555547</v>
      </c>
      <c r="BE336">
        <f>step3_validation[[#This Row],[AI_OUT1]]</f>
        <v>9</v>
      </c>
      <c r="BF336">
        <f t="shared" si="159"/>
        <v>0.88888888888888884</v>
      </c>
      <c r="BG336">
        <f>survey_responses[[#This Row],[Sau khi xem xét các quyền lợi và nghĩa vụ, bạn có ủng hộ và tuân thủ chính sách mới hiện nay? - HUMAN-OUT1]]</f>
        <v>10</v>
      </c>
      <c r="BH336">
        <f t="shared" si="160"/>
        <v>1</v>
      </c>
      <c r="BI336" s="32">
        <f t="shared" si="161"/>
        <v>1</v>
      </c>
    </row>
    <row r="337" spans="1:61" x14ac:dyDescent="0.45">
      <c r="A337" s="30">
        <f>step3_validation[[#This Row],[Persona_ID]]</f>
        <v>336</v>
      </c>
      <c r="B337" s="31">
        <f>step3_validation[[#This Row],[Used_Seed]]</f>
        <v>12680</v>
      </c>
      <c r="C337" t="str">
        <f>step3_validation[[#This Row],[Gender]]</f>
        <v>Nữ</v>
      </c>
      <c r="D337" t="str">
        <f>survey_responses[[#This Row],[Giới tính của bạn:]]</f>
        <v>Nữ</v>
      </c>
      <c r="E337" t="str">
        <f>step3_validation[[#This Row],[Age_Group]]</f>
        <v>25 - 29</v>
      </c>
      <c r="F337" t="str">
        <f>survey_responses[[#This Row],[Độ tuổi của bạn:]]</f>
        <v>25 - 29</v>
      </c>
      <c r="G337" t="str">
        <f>step3_validation[[#This Row],[Region]]</f>
        <v>Thành thị</v>
      </c>
      <c r="H337" t="str">
        <f>survey_responses[[#This Row],[Khu vực bạn đang sinh sống:]]</f>
        <v>Thành thị</v>
      </c>
      <c r="I337" t="str">
        <f>step3_validation[[#This Row],[Education]]</f>
        <v>Đại học</v>
      </c>
      <c r="J337" t="str">
        <f>survey_responses[[#This Row],[Trình độ học vấn cao nhất:]]</f>
        <v>Đại học</v>
      </c>
      <c r="K337" t="str">
        <f>step3_validation[[#This Row],[Employment]]</f>
        <v>Chính thức</v>
      </c>
      <c r="L337" t="str">
        <f>survey_responses[[#This Row],[Tình trạng việc làm chính:]]</f>
        <v>Khu vực chính thức (Có Hợp đồng lao động, đóng BHXH)</v>
      </c>
      <c r="M337">
        <f>step3_validation[[#This Row],[Income_Mil]]</f>
        <v>20.793069406099796</v>
      </c>
      <c r="N337" t="str">
        <f>survey_responses[[#This Row],[Thu nhập bình quân tháng theo Hợp đồng lao động của bạn là bao nhiêu? (Vui lòng điền tổng thu nhập trước khi khấu trừ các loại Bảo hiểm (BHXH, BHYT, BHTN) và Thuế TNCN)]]</f>
        <v>Từ 18 - 23 triệu VNĐ</v>
      </c>
      <c r="O337">
        <f>step3_validation[[#This Row],[Dependents]]</f>
        <v>0</v>
      </c>
      <c r="P337" t="str">
        <f>survey_responses[[#This Row],[Số người phụ thuộc (con nhỏ, cha mẹ già...) đủ điều kiện giảm trừ gia cảnh:]]</f>
        <v>0 người</v>
      </c>
      <c r="Q337">
        <f>step3_validation[[#This Row],[AI_ENF1]]</f>
        <v>7</v>
      </c>
      <c r="R337">
        <f t="shared" si="135"/>
        <v>0.66666666666666663</v>
      </c>
      <c r="S337">
        <f>survey_responses[[#This Row],[Tôi tin rằng với các quy định quản lý thuế hiện nay, hành vi gian lận hoặc trốn thuế sẽ dễ dàng bị phát hiện và xử lý nghiêm. - HUMAN-ENF1]]</f>
        <v>4</v>
      </c>
      <c r="T337">
        <f t="shared" si="136"/>
        <v>0.33333333333333331</v>
      </c>
      <c r="U337">
        <f>step3_validation[[#This Row],[AI_ENF2]]</f>
        <v>8</v>
      </c>
      <c r="V337">
        <f t="shared" si="137"/>
        <v>0.77777777777777779</v>
      </c>
      <c r="W337">
        <f>survey_responses[[#This Row],[Tôi tin rằng Nhà nước, cơ quan thuế có đủ khả năng và công nghệ để phát hiện, xử lý nghiêm các hành vi trốn thuế. - HUMAN-ENF2]]</f>
        <v>5</v>
      </c>
      <c r="X337">
        <f t="shared" si="138"/>
        <v>0.44444444444444442</v>
      </c>
      <c r="Y337" s="32">
        <f t="shared" si="139"/>
        <v>0.72222222222222221</v>
      </c>
      <c r="Z337" s="32">
        <f t="shared" si="140"/>
        <v>0.38888888888888884</v>
      </c>
      <c r="AA337">
        <f>step3_validation[[#This Row],[AI_FAC1]]</f>
        <v>9</v>
      </c>
      <c r="AB337">
        <f t="shared" si="141"/>
        <v>0.88888888888888884</v>
      </c>
      <c r="AC337">
        <f>survey_responses[[#This Row],[Các thủ tục khai báo thuế VÀ/HOẶC quy trình làm việc với cơ quan thuế đơn giản, tiện lợi, nhanh chóng hơn so với trước đây. - HUMAN-FAC1]]</f>
        <v>5</v>
      </c>
      <c r="AD337">
        <f t="shared" si="142"/>
        <v>0.44444444444444442</v>
      </c>
      <c r="AE337">
        <f>step3_validation[[#This Row],[AI_FAC2]]</f>
        <v>9</v>
      </c>
      <c r="AF337">
        <f t="shared" si="143"/>
        <v>0.88888888888888884</v>
      </c>
      <c r="AG337">
        <f>survey_responses[[#This Row],[So với trước đây, tôi thấy cách tính thuế và các bậc thuế trong phương án mới đơn giản, dễ hiểu và dễ thực hiện hơn. - HUMAN-FAC2]]</f>
        <v>6</v>
      </c>
      <c r="AH337">
        <f t="shared" si="144"/>
        <v>0.55555555555555558</v>
      </c>
      <c r="AI337" s="32">
        <f t="shared" si="145"/>
        <v>0.88888888888888884</v>
      </c>
      <c r="AJ337" s="32">
        <f t="shared" si="146"/>
        <v>0.5</v>
      </c>
      <c r="AK337">
        <f>step3_validation[[#This Row],[AI_TRU1]]</f>
        <v>8</v>
      </c>
      <c r="AL337">
        <f t="shared" si="147"/>
        <v>0.77777777777777779</v>
      </c>
      <c r="AM337">
        <f>survey_responses[[#This Row],[Tôi tin rằng Nhà nước, cơ quan thuế sẽ thực thi chính sách mới một cách khách quan, công tâm và đối xử bình đẳng với mọi người nộp thuế.  - HUMAN-TRU1]]</f>
        <v>5</v>
      </c>
      <c r="AN337">
        <f t="shared" si="148"/>
        <v>0.44444444444444442</v>
      </c>
      <c r="AO337">
        <f>step3_validation[[#This Row],[AI_TRU2]]</f>
        <v>9</v>
      </c>
      <c r="AP337">
        <f t="shared" si="149"/>
        <v>0.88888888888888884</v>
      </c>
      <c r="AQ337">
        <f>survey_responses[[#This Row],[Tôi thấy mức thuế tôi phải đóng theo phương án mới là công bằng (người thu nhập như tôi đóng mức này là hợp lý). - HUMAN-TRU2]]</f>
        <v>6</v>
      </c>
      <c r="AR337">
        <f t="shared" si="150"/>
        <v>0.55555555555555558</v>
      </c>
      <c r="AS337">
        <f>step3_validation[[#This Row],[AI_TRU3]]</f>
        <v>8</v>
      </c>
      <c r="AT337">
        <f t="shared" si="151"/>
        <v>0.77777777777777779</v>
      </c>
      <c r="AU337">
        <f>survey_responses[[#This Row],[Tôi tin tưởng số tiền thuế tôi đóng sẽ được Nhà nước sử dụng hiệu quả để cải thiện dịch vụ công (y tế, đường xá...). - HUMAN-TRU3]]</f>
        <v>5</v>
      </c>
      <c r="AV337">
        <f t="shared" si="152"/>
        <v>0.44444444444444442</v>
      </c>
      <c r="AW337">
        <f>step3_validation[[#This Row],[AI_TRU4]]</f>
        <v>7</v>
      </c>
      <c r="AX337">
        <f t="shared" si="153"/>
        <v>0.66666666666666663</v>
      </c>
      <c r="AY337">
        <f>survey_responses[[#This Row],[Tôi thấy Nhà nước đã giải thích rõ ràng, minh bạch về lý do và mục tiêu của việc sửa đổi thuế lần này. - HUMAN-TRU4]]</f>
        <v>5</v>
      </c>
      <c r="AZ337">
        <f t="shared" si="154"/>
        <v>0.44444444444444442</v>
      </c>
      <c r="BA337" s="32">
        <f t="shared" si="155"/>
        <v>0.77777777777777768</v>
      </c>
      <c r="BB337" s="32">
        <f t="shared" si="156"/>
        <v>0.47222222222222221</v>
      </c>
      <c r="BC337" s="7">
        <f t="shared" si="157"/>
        <v>0.79629629629629628</v>
      </c>
      <c r="BD337" s="7">
        <f t="shared" si="158"/>
        <v>0.45370370370370372</v>
      </c>
      <c r="BE337">
        <f>step3_validation[[#This Row],[AI_OUT1]]</f>
        <v>9</v>
      </c>
      <c r="BF337">
        <f t="shared" si="159"/>
        <v>0.88888888888888884</v>
      </c>
      <c r="BG337">
        <f>survey_responses[[#This Row],[Sau khi xem xét các quyền lợi và nghĩa vụ, bạn có ủng hộ và tuân thủ chính sách mới hiện nay? - HUMAN-OUT1]]</f>
        <v>6</v>
      </c>
      <c r="BH337">
        <f t="shared" si="160"/>
        <v>0.55555555555555558</v>
      </c>
      <c r="BI337" s="32">
        <f t="shared" si="161"/>
        <v>3</v>
      </c>
    </row>
    <row r="338" spans="1:61" x14ac:dyDescent="0.45">
      <c r="A338" s="30">
        <f>step3_validation[[#This Row],[Persona_ID]]</f>
        <v>337</v>
      </c>
      <c r="B338" s="31">
        <f>step3_validation[[#This Row],[Used_Seed]]</f>
        <v>12681</v>
      </c>
      <c r="C338" t="str">
        <f>step3_validation[[#This Row],[Gender]]</f>
        <v>Nam</v>
      </c>
      <c r="D338" t="str">
        <f>survey_responses[[#This Row],[Giới tính của bạn:]]</f>
        <v>Nam</v>
      </c>
      <c r="E338" t="str">
        <f>step3_validation[[#This Row],[Age_Group]]</f>
        <v>30 - 39</v>
      </c>
      <c r="F338" t="str">
        <f>survey_responses[[#This Row],[Độ tuổi của bạn:]]</f>
        <v>30 - 39</v>
      </c>
      <c r="G338" t="str">
        <f>step3_validation[[#This Row],[Region]]</f>
        <v>Thành thị</v>
      </c>
      <c r="H338" t="str">
        <f>survey_responses[[#This Row],[Khu vực bạn đang sinh sống:]]</f>
        <v>Thành thị</v>
      </c>
      <c r="I338" t="str">
        <f>step3_validation[[#This Row],[Education]]</f>
        <v>Đại học</v>
      </c>
      <c r="J338" t="str">
        <f>survey_responses[[#This Row],[Trình độ học vấn cao nhất:]]</f>
        <v>Đại học</v>
      </c>
      <c r="K338" t="str">
        <f>step3_validation[[#This Row],[Employment]]</f>
        <v>Chính thức</v>
      </c>
      <c r="L338" t="str">
        <f>survey_responses[[#This Row],[Tình trạng việc làm chính:]]</f>
        <v>Khu vực chính thức (Có Hợp đồng lao động, đóng BHXH)</v>
      </c>
      <c r="M338">
        <f>step3_validation[[#This Row],[Income_Mil]]</f>
        <v>26.515504121593221</v>
      </c>
      <c r="N338" t="str">
        <f>survey_responses[[#This Row],[Thu nhập bình quân tháng theo Hợp đồng lao động của bạn là bao nhiêu? (Vui lòng điền tổng thu nhập trước khi khấu trừ các loại Bảo hiểm (BHXH, BHYT, BHTN) và Thuế TNCN)]]</f>
        <v>Từ 23 - 32 triệu VNĐ</v>
      </c>
      <c r="O338">
        <f>step3_validation[[#This Row],[Dependents]]</f>
        <v>0</v>
      </c>
      <c r="P338" t="str">
        <f>survey_responses[[#This Row],[Số người phụ thuộc (con nhỏ, cha mẹ già...) đủ điều kiện giảm trừ gia cảnh:]]</f>
        <v>0 người</v>
      </c>
      <c r="Q338">
        <f>step3_validation[[#This Row],[AI_ENF1]]</f>
        <v>7</v>
      </c>
      <c r="R338">
        <f t="shared" si="135"/>
        <v>0.66666666666666663</v>
      </c>
      <c r="S338">
        <f>survey_responses[[#This Row],[Tôi tin rằng với các quy định quản lý thuế hiện nay, hành vi gian lận hoặc trốn thuế sẽ dễ dàng bị phát hiện và xử lý nghiêm. - HUMAN-ENF1]]</f>
        <v>7</v>
      </c>
      <c r="T338">
        <f t="shared" si="136"/>
        <v>0.66666666666666663</v>
      </c>
      <c r="U338">
        <f>step3_validation[[#This Row],[AI_ENF2]]</f>
        <v>6</v>
      </c>
      <c r="V338">
        <f t="shared" si="137"/>
        <v>0.55555555555555558</v>
      </c>
      <c r="W338">
        <f>survey_responses[[#This Row],[Tôi tin rằng Nhà nước, cơ quan thuế có đủ khả năng và công nghệ để phát hiện, xử lý nghiêm các hành vi trốn thuế. - HUMAN-ENF2]]</f>
        <v>8</v>
      </c>
      <c r="X338">
        <f t="shared" si="138"/>
        <v>0.77777777777777779</v>
      </c>
      <c r="Y338" s="32">
        <f t="shared" si="139"/>
        <v>0.61111111111111116</v>
      </c>
      <c r="Z338" s="32">
        <f t="shared" si="140"/>
        <v>0.72222222222222221</v>
      </c>
      <c r="AA338">
        <f>step3_validation[[#This Row],[AI_FAC1]]</f>
        <v>9</v>
      </c>
      <c r="AB338">
        <f t="shared" si="141"/>
        <v>0.88888888888888884</v>
      </c>
      <c r="AC338">
        <f>survey_responses[[#This Row],[Các thủ tục khai báo thuế VÀ/HOẶC quy trình làm việc với cơ quan thuế đơn giản, tiện lợi, nhanh chóng hơn so với trước đây. - HUMAN-FAC1]]</f>
        <v>7</v>
      </c>
      <c r="AD338">
        <f t="shared" si="142"/>
        <v>0.66666666666666663</v>
      </c>
      <c r="AE338">
        <f>step3_validation[[#This Row],[AI_FAC2]]</f>
        <v>8</v>
      </c>
      <c r="AF338">
        <f t="shared" si="143"/>
        <v>0.77777777777777779</v>
      </c>
      <c r="AG338">
        <f>survey_responses[[#This Row],[So với trước đây, tôi thấy cách tính thuế và các bậc thuế trong phương án mới đơn giản, dễ hiểu và dễ thực hiện hơn. - HUMAN-FAC2]]</f>
        <v>7</v>
      </c>
      <c r="AH338">
        <f t="shared" si="144"/>
        <v>0.66666666666666663</v>
      </c>
      <c r="AI338" s="32">
        <f t="shared" si="145"/>
        <v>0.83333333333333326</v>
      </c>
      <c r="AJ338" s="32">
        <f t="shared" si="146"/>
        <v>0.66666666666666663</v>
      </c>
      <c r="AK338">
        <f>step3_validation[[#This Row],[AI_TRU1]]</f>
        <v>9</v>
      </c>
      <c r="AL338">
        <f t="shared" si="147"/>
        <v>0.88888888888888884</v>
      </c>
      <c r="AM338">
        <f>survey_responses[[#This Row],[Tôi tin rằng Nhà nước, cơ quan thuế sẽ thực thi chính sách mới một cách khách quan, công tâm và đối xử bình đẳng với mọi người nộp thuế.  - HUMAN-TRU1]]</f>
        <v>6</v>
      </c>
      <c r="AN338">
        <f t="shared" si="148"/>
        <v>0.55555555555555558</v>
      </c>
      <c r="AO338">
        <f>step3_validation[[#This Row],[AI_TRU2]]</f>
        <v>8</v>
      </c>
      <c r="AP338">
        <f t="shared" si="149"/>
        <v>0.77777777777777779</v>
      </c>
      <c r="AQ338">
        <f>survey_responses[[#This Row],[Tôi thấy mức thuế tôi phải đóng theo phương án mới là công bằng (người thu nhập như tôi đóng mức này là hợp lý). - HUMAN-TRU2]]</f>
        <v>8</v>
      </c>
      <c r="AR338">
        <f t="shared" si="150"/>
        <v>0.77777777777777779</v>
      </c>
      <c r="AS338">
        <f>step3_validation[[#This Row],[AI_TRU3]]</f>
        <v>9</v>
      </c>
      <c r="AT338">
        <f t="shared" si="151"/>
        <v>0.88888888888888884</v>
      </c>
      <c r="AU338">
        <f>survey_responses[[#This Row],[Tôi tin tưởng số tiền thuế tôi đóng sẽ được Nhà nước sử dụng hiệu quả để cải thiện dịch vụ công (y tế, đường xá...). - HUMAN-TRU3]]</f>
        <v>6</v>
      </c>
      <c r="AV338">
        <f t="shared" si="152"/>
        <v>0.55555555555555558</v>
      </c>
      <c r="AW338">
        <f>step3_validation[[#This Row],[AI_TRU4]]</f>
        <v>8</v>
      </c>
      <c r="AX338">
        <f t="shared" si="153"/>
        <v>0.77777777777777779</v>
      </c>
      <c r="AY338">
        <f>survey_responses[[#This Row],[Tôi thấy Nhà nước đã giải thích rõ ràng, minh bạch về lý do và mục tiêu của việc sửa đổi thuế lần này. - HUMAN-TRU4]]</f>
        <v>8</v>
      </c>
      <c r="AZ338">
        <f t="shared" si="154"/>
        <v>0.77777777777777779</v>
      </c>
      <c r="BA338" s="32">
        <f t="shared" si="155"/>
        <v>0.83333333333333326</v>
      </c>
      <c r="BB338" s="32">
        <f t="shared" si="156"/>
        <v>0.66666666666666674</v>
      </c>
      <c r="BC338" s="7">
        <f t="shared" si="157"/>
        <v>0.75925925925925919</v>
      </c>
      <c r="BD338" s="7">
        <f t="shared" si="158"/>
        <v>0.68518518518518512</v>
      </c>
      <c r="BE338">
        <f>step3_validation[[#This Row],[AI_OUT1]]</f>
        <v>9</v>
      </c>
      <c r="BF338">
        <f t="shared" si="159"/>
        <v>0.88888888888888884</v>
      </c>
      <c r="BG338">
        <f>survey_responses[[#This Row],[Sau khi xem xét các quyền lợi và nghĩa vụ, bạn có ủng hộ và tuân thủ chính sách mới hiện nay? - HUMAN-OUT1]]</f>
        <v>8</v>
      </c>
      <c r="BH338">
        <f t="shared" si="160"/>
        <v>0.77777777777777779</v>
      </c>
      <c r="BI338" s="32">
        <f t="shared" si="161"/>
        <v>1</v>
      </c>
    </row>
    <row r="339" spans="1:61" x14ac:dyDescent="0.45">
      <c r="A339" s="30">
        <f>step3_validation[[#This Row],[Persona_ID]]</f>
        <v>338</v>
      </c>
      <c r="B339" s="31">
        <f>step3_validation[[#This Row],[Used_Seed]]</f>
        <v>12682</v>
      </c>
      <c r="C339" t="str">
        <f>step3_validation[[#This Row],[Gender]]</f>
        <v>Nam</v>
      </c>
      <c r="D339" t="str">
        <f>survey_responses[[#This Row],[Giới tính của bạn:]]</f>
        <v>Nam</v>
      </c>
      <c r="E339" t="str">
        <f>step3_validation[[#This Row],[Age_Group]]</f>
        <v>18 - 24</v>
      </c>
      <c r="F339" t="str">
        <f>survey_responses[[#This Row],[Độ tuổi của bạn:]]</f>
        <v>18 - 24</v>
      </c>
      <c r="G339" t="str">
        <f>step3_validation[[#This Row],[Region]]</f>
        <v>Thành thị</v>
      </c>
      <c r="H339" t="str">
        <f>survey_responses[[#This Row],[Khu vực bạn đang sinh sống:]]</f>
        <v>Thành thị</v>
      </c>
      <c r="I339" t="str">
        <f>step3_validation[[#This Row],[Education]]</f>
        <v>Đại học</v>
      </c>
      <c r="J339" t="str">
        <f>survey_responses[[#This Row],[Trình độ học vấn cao nhất:]]</f>
        <v>Đại học</v>
      </c>
      <c r="K339" t="str">
        <f>step3_validation[[#This Row],[Employment]]</f>
        <v>Chính thức</v>
      </c>
      <c r="L339" t="str">
        <f>survey_responses[[#This Row],[Tình trạng việc làm chính:]]</f>
        <v>Khu vực chính thức (Có Hợp đồng lao động, đóng BHXH)</v>
      </c>
      <c r="M339">
        <f>step3_validation[[#This Row],[Income_Mil]]</f>
        <v>13.586592018886273</v>
      </c>
      <c r="N339" t="str">
        <f>survey_responses[[#This Row],[Thu nhập bình quân tháng theo Hợp đồng lao động của bạn là bao nhiêu? (Vui lòng điền tổng thu nhập trước khi khấu trừ các loại Bảo hiểm (BHXH, BHYT, BHTN) và Thuế TNCN)]]</f>
        <v>Từ 12 - 18 triệu VNĐ</v>
      </c>
      <c r="O339">
        <f>step3_validation[[#This Row],[Dependents]]</f>
        <v>0</v>
      </c>
      <c r="P339" t="str">
        <f>survey_responses[[#This Row],[Số người phụ thuộc (con nhỏ, cha mẹ già...) đủ điều kiện giảm trừ gia cảnh:]]</f>
        <v>0 người</v>
      </c>
      <c r="Q339">
        <f>step3_validation[[#This Row],[AI_ENF1]]</f>
        <v>7</v>
      </c>
      <c r="R339">
        <f t="shared" si="135"/>
        <v>0.66666666666666663</v>
      </c>
      <c r="S339">
        <f>survey_responses[[#This Row],[Tôi tin rằng với các quy định quản lý thuế hiện nay, hành vi gian lận hoặc trốn thuế sẽ dễ dàng bị phát hiện và xử lý nghiêm. - HUMAN-ENF1]]</f>
        <v>8</v>
      </c>
      <c r="T339">
        <f t="shared" si="136"/>
        <v>0.77777777777777779</v>
      </c>
      <c r="U339">
        <f>step3_validation[[#This Row],[AI_ENF2]]</f>
        <v>8</v>
      </c>
      <c r="V339">
        <f t="shared" si="137"/>
        <v>0.77777777777777779</v>
      </c>
      <c r="W339">
        <f>survey_responses[[#This Row],[Tôi tin rằng Nhà nước, cơ quan thuế có đủ khả năng và công nghệ để phát hiện, xử lý nghiêm các hành vi trốn thuế. - HUMAN-ENF2]]</f>
        <v>8</v>
      </c>
      <c r="X339">
        <f t="shared" si="138"/>
        <v>0.77777777777777779</v>
      </c>
      <c r="Y339" s="32">
        <f t="shared" si="139"/>
        <v>0.72222222222222221</v>
      </c>
      <c r="Z339" s="32">
        <f t="shared" si="140"/>
        <v>0.77777777777777779</v>
      </c>
      <c r="AA339">
        <f>step3_validation[[#This Row],[AI_FAC1]]</f>
        <v>9</v>
      </c>
      <c r="AB339">
        <f t="shared" si="141"/>
        <v>0.88888888888888884</v>
      </c>
      <c r="AC339">
        <f>survey_responses[[#This Row],[Các thủ tục khai báo thuế VÀ/HOẶC quy trình làm việc với cơ quan thuế đơn giản, tiện lợi, nhanh chóng hơn so với trước đây. - HUMAN-FAC1]]</f>
        <v>9</v>
      </c>
      <c r="AD339">
        <f t="shared" si="142"/>
        <v>0.88888888888888884</v>
      </c>
      <c r="AE339">
        <f>step3_validation[[#This Row],[AI_FAC2]]</f>
        <v>9</v>
      </c>
      <c r="AF339">
        <f t="shared" si="143"/>
        <v>0.88888888888888884</v>
      </c>
      <c r="AG339">
        <f>survey_responses[[#This Row],[So với trước đây, tôi thấy cách tính thuế và các bậc thuế trong phương án mới đơn giản, dễ hiểu và dễ thực hiện hơn. - HUMAN-FAC2]]</f>
        <v>9</v>
      </c>
      <c r="AH339">
        <f t="shared" si="144"/>
        <v>0.88888888888888884</v>
      </c>
      <c r="AI339" s="32">
        <f t="shared" si="145"/>
        <v>0.88888888888888884</v>
      </c>
      <c r="AJ339" s="32">
        <f t="shared" si="146"/>
        <v>0.88888888888888884</v>
      </c>
      <c r="AK339">
        <f>step3_validation[[#This Row],[AI_TRU1]]</f>
        <v>6</v>
      </c>
      <c r="AL339">
        <f t="shared" si="147"/>
        <v>0.55555555555555558</v>
      </c>
      <c r="AM339">
        <f>survey_responses[[#This Row],[Tôi tin rằng Nhà nước, cơ quan thuế sẽ thực thi chính sách mới một cách khách quan, công tâm và đối xử bình đẳng với mọi người nộp thuế.  - HUMAN-TRU1]]</f>
        <v>8</v>
      </c>
      <c r="AN339">
        <f t="shared" si="148"/>
        <v>0.77777777777777779</v>
      </c>
      <c r="AO339">
        <f>step3_validation[[#This Row],[AI_TRU2]]</f>
        <v>7</v>
      </c>
      <c r="AP339">
        <f t="shared" si="149"/>
        <v>0.66666666666666663</v>
      </c>
      <c r="AQ339">
        <f>survey_responses[[#This Row],[Tôi thấy mức thuế tôi phải đóng theo phương án mới là công bằng (người thu nhập như tôi đóng mức này là hợp lý). - HUMAN-TRU2]]</f>
        <v>9</v>
      </c>
      <c r="AR339">
        <f t="shared" si="150"/>
        <v>0.88888888888888884</v>
      </c>
      <c r="AS339">
        <f>step3_validation[[#This Row],[AI_TRU3]]</f>
        <v>6</v>
      </c>
      <c r="AT339">
        <f t="shared" si="151"/>
        <v>0.55555555555555558</v>
      </c>
      <c r="AU339">
        <f>survey_responses[[#This Row],[Tôi tin tưởng số tiền thuế tôi đóng sẽ được Nhà nước sử dụng hiệu quả để cải thiện dịch vụ công (y tế, đường xá...). - HUMAN-TRU3]]</f>
        <v>10</v>
      </c>
      <c r="AV339">
        <f t="shared" si="152"/>
        <v>1</v>
      </c>
      <c r="AW339">
        <f>step3_validation[[#This Row],[AI_TRU4]]</f>
        <v>5</v>
      </c>
      <c r="AX339">
        <f t="shared" si="153"/>
        <v>0.44444444444444442</v>
      </c>
      <c r="AY339">
        <f>survey_responses[[#This Row],[Tôi thấy Nhà nước đã giải thích rõ ràng, minh bạch về lý do và mục tiêu của việc sửa đổi thuế lần này. - HUMAN-TRU4]]</f>
        <v>9</v>
      </c>
      <c r="AZ339">
        <f t="shared" si="154"/>
        <v>0.88888888888888884</v>
      </c>
      <c r="BA339" s="32">
        <f t="shared" si="155"/>
        <v>0.55555555555555558</v>
      </c>
      <c r="BB339" s="32">
        <f t="shared" si="156"/>
        <v>0.88888888888888884</v>
      </c>
      <c r="BC339" s="7">
        <f t="shared" si="157"/>
        <v>0.72222222222222232</v>
      </c>
      <c r="BD339" s="7">
        <f t="shared" si="158"/>
        <v>0.85185185185185175</v>
      </c>
      <c r="BE339">
        <f>step3_validation[[#This Row],[AI_OUT1]]</f>
        <v>8</v>
      </c>
      <c r="BF339">
        <f t="shared" si="159"/>
        <v>0.77777777777777779</v>
      </c>
      <c r="BG339">
        <f>survey_responses[[#This Row],[Sau khi xem xét các quyền lợi và nghĩa vụ, bạn có ủng hộ và tuân thủ chính sách mới hiện nay? - HUMAN-OUT1]]</f>
        <v>10</v>
      </c>
      <c r="BH339">
        <f t="shared" si="160"/>
        <v>1</v>
      </c>
      <c r="BI339" s="32">
        <f t="shared" si="161"/>
        <v>2</v>
      </c>
    </row>
    <row r="340" spans="1:61" x14ac:dyDescent="0.45">
      <c r="A340" s="30">
        <f>step3_validation[[#This Row],[Persona_ID]]</f>
        <v>339</v>
      </c>
      <c r="B340" s="31">
        <f>step3_validation[[#This Row],[Used_Seed]]</f>
        <v>12683</v>
      </c>
      <c r="C340" t="str">
        <f>step3_validation[[#This Row],[Gender]]</f>
        <v>Nữ</v>
      </c>
      <c r="D340" t="str">
        <f>survey_responses[[#This Row],[Giới tính của bạn:]]</f>
        <v>Nữ</v>
      </c>
      <c r="E340" t="str">
        <f>step3_validation[[#This Row],[Age_Group]]</f>
        <v>18 - 24</v>
      </c>
      <c r="F340" t="str">
        <f>survey_responses[[#This Row],[Độ tuổi của bạn:]]</f>
        <v>18 - 24</v>
      </c>
      <c r="G340" t="str">
        <f>step3_validation[[#This Row],[Region]]</f>
        <v>Thành thị</v>
      </c>
      <c r="H340" t="str">
        <f>survey_responses[[#This Row],[Khu vực bạn đang sinh sống:]]</f>
        <v>Thành thị</v>
      </c>
      <c r="I340" t="str">
        <f>step3_validation[[#This Row],[Education]]</f>
        <v>Đại học</v>
      </c>
      <c r="J340" t="str">
        <f>survey_responses[[#This Row],[Trình độ học vấn cao nhất:]]</f>
        <v>Đại học</v>
      </c>
      <c r="K340" t="str">
        <f>step3_validation[[#This Row],[Employment]]</f>
        <v>Chính thức</v>
      </c>
      <c r="L340" t="str">
        <f>survey_responses[[#This Row],[Tình trạng việc làm chính:]]</f>
        <v>Khu vực chính thức (Có Hợp đồng lao động, đóng BHXH)</v>
      </c>
      <c r="M340">
        <f>step3_validation[[#This Row],[Income_Mil]]</f>
        <v>14.936353682077161</v>
      </c>
      <c r="N340" t="str">
        <f>survey_responses[[#This Row],[Thu nhập bình quân tháng theo Hợp đồng lao động của bạn là bao nhiêu? (Vui lòng điền tổng thu nhập trước khi khấu trừ các loại Bảo hiểm (BHXH, BHYT, BHTN) và Thuế TNCN)]]</f>
        <v>Từ 12 - 18 triệu VNĐ</v>
      </c>
      <c r="O340">
        <f>step3_validation[[#This Row],[Dependents]]</f>
        <v>0</v>
      </c>
      <c r="P340" t="str">
        <f>survey_responses[[#This Row],[Số người phụ thuộc (con nhỏ, cha mẹ già...) đủ điều kiện giảm trừ gia cảnh:]]</f>
        <v>0 người</v>
      </c>
      <c r="Q340">
        <f>step3_validation[[#This Row],[AI_ENF1]]</f>
        <v>7</v>
      </c>
      <c r="R340">
        <f t="shared" si="135"/>
        <v>0.66666666666666663</v>
      </c>
      <c r="S340">
        <f>survey_responses[[#This Row],[Tôi tin rằng với các quy định quản lý thuế hiện nay, hành vi gian lận hoặc trốn thuế sẽ dễ dàng bị phát hiện và xử lý nghiêm. - HUMAN-ENF1]]</f>
        <v>7</v>
      </c>
      <c r="T340">
        <f t="shared" si="136"/>
        <v>0.66666666666666663</v>
      </c>
      <c r="U340">
        <f>step3_validation[[#This Row],[AI_ENF2]]</f>
        <v>6</v>
      </c>
      <c r="V340">
        <f t="shared" si="137"/>
        <v>0.55555555555555558</v>
      </c>
      <c r="W340">
        <f>survey_responses[[#This Row],[Tôi tin rằng Nhà nước, cơ quan thuế có đủ khả năng và công nghệ để phát hiện, xử lý nghiêm các hành vi trốn thuế. - HUMAN-ENF2]]</f>
        <v>7</v>
      </c>
      <c r="X340">
        <f t="shared" si="138"/>
        <v>0.66666666666666663</v>
      </c>
      <c r="Y340" s="32">
        <f t="shared" si="139"/>
        <v>0.61111111111111116</v>
      </c>
      <c r="Z340" s="32">
        <f t="shared" si="140"/>
        <v>0.66666666666666663</v>
      </c>
      <c r="AA340">
        <f>step3_validation[[#This Row],[AI_FAC1]]</f>
        <v>8</v>
      </c>
      <c r="AB340">
        <f t="shared" si="141"/>
        <v>0.77777777777777779</v>
      </c>
      <c r="AC340">
        <f>survey_responses[[#This Row],[Các thủ tục khai báo thuế VÀ/HOẶC quy trình làm việc với cơ quan thuế đơn giản, tiện lợi, nhanh chóng hơn so với trước đây. - HUMAN-FAC1]]</f>
        <v>8</v>
      </c>
      <c r="AD340">
        <f t="shared" si="142"/>
        <v>0.77777777777777779</v>
      </c>
      <c r="AE340">
        <f>step3_validation[[#This Row],[AI_FAC2]]</f>
        <v>9</v>
      </c>
      <c r="AF340">
        <f t="shared" si="143"/>
        <v>0.88888888888888884</v>
      </c>
      <c r="AG340">
        <f>survey_responses[[#This Row],[So với trước đây, tôi thấy cách tính thuế và các bậc thuế trong phương án mới đơn giản, dễ hiểu và dễ thực hiện hơn. - HUMAN-FAC2]]</f>
        <v>8</v>
      </c>
      <c r="AH340">
        <f t="shared" si="144"/>
        <v>0.77777777777777779</v>
      </c>
      <c r="AI340" s="32">
        <f t="shared" si="145"/>
        <v>0.83333333333333326</v>
      </c>
      <c r="AJ340" s="32">
        <f t="shared" si="146"/>
        <v>0.77777777777777779</v>
      </c>
      <c r="AK340">
        <f>step3_validation[[#This Row],[AI_TRU1]]</f>
        <v>7</v>
      </c>
      <c r="AL340">
        <f t="shared" si="147"/>
        <v>0.66666666666666663</v>
      </c>
      <c r="AM340">
        <f>survey_responses[[#This Row],[Tôi tin rằng Nhà nước, cơ quan thuế sẽ thực thi chính sách mới một cách khách quan, công tâm và đối xử bình đẳng với mọi người nộp thuế.  - HUMAN-TRU1]]</f>
        <v>6</v>
      </c>
      <c r="AN340">
        <f t="shared" si="148"/>
        <v>0.55555555555555558</v>
      </c>
      <c r="AO340">
        <f>step3_validation[[#This Row],[AI_TRU2]]</f>
        <v>9</v>
      </c>
      <c r="AP340">
        <f t="shared" si="149"/>
        <v>0.88888888888888884</v>
      </c>
      <c r="AQ340">
        <f>survey_responses[[#This Row],[Tôi thấy mức thuế tôi phải đóng theo phương án mới là công bằng (người thu nhập như tôi đóng mức này là hợp lý). - HUMAN-TRU2]]</f>
        <v>7</v>
      </c>
      <c r="AR340">
        <f t="shared" si="150"/>
        <v>0.66666666666666663</v>
      </c>
      <c r="AS340">
        <f>step3_validation[[#This Row],[AI_TRU3]]</f>
        <v>7</v>
      </c>
      <c r="AT340">
        <f t="shared" si="151"/>
        <v>0.66666666666666663</v>
      </c>
      <c r="AU340">
        <f>survey_responses[[#This Row],[Tôi tin tưởng số tiền thuế tôi đóng sẽ được Nhà nước sử dụng hiệu quả để cải thiện dịch vụ công (y tế, đường xá...). - HUMAN-TRU3]]</f>
        <v>6</v>
      </c>
      <c r="AV340">
        <f t="shared" si="152"/>
        <v>0.55555555555555558</v>
      </c>
      <c r="AW340">
        <f>step3_validation[[#This Row],[AI_TRU4]]</f>
        <v>8</v>
      </c>
      <c r="AX340">
        <f t="shared" si="153"/>
        <v>0.77777777777777779</v>
      </c>
      <c r="AY340">
        <f>survey_responses[[#This Row],[Tôi thấy Nhà nước đã giải thích rõ ràng, minh bạch về lý do và mục tiêu của việc sửa đổi thuế lần này. - HUMAN-TRU4]]</f>
        <v>6</v>
      </c>
      <c r="AZ340">
        <f t="shared" si="154"/>
        <v>0.55555555555555558</v>
      </c>
      <c r="BA340" s="32">
        <f t="shared" si="155"/>
        <v>0.74999999999999989</v>
      </c>
      <c r="BB340" s="32">
        <f t="shared" si="156"/>
        <v>0.58333333333333337</v>
      </c>
      <c r="BC340" s="7">
        <f t="shared" si="157"/>
        <v>0.7314814814814814</v>
      </c>
      <c r="BD340" s="7">
        <f t="shared" si="158"/>
        <v>0.67592592592592593</v>
      </c>
      <c r="BE340">
        <f>step3_validation[[#This Row],[AI_OUT1]]</f>
        <v>9</v>
      </c>
      <c r="BF340">
        <f t="shared" si="159"/>
        <v>0.88888888888888884</v>
      </c>
      <c r="BG340">
        <f>survey_responses[[#This Row],[Sau khi xem xét các quyền lợi và nghĩa vụ, bạn có ủng hộ và tuân thủ chính sách mới hiện nay? - HUMAN-OUT1]]</f>
        <v>7</v>
      </c>
      <c r="BH340">
        <f t="shared" si="160"/>
        <v>0.66666666666666663</v>
      </c>
      <c r="BI340" s="32">
        <f t="shared" si="161"/>
        <v>2</v>
      </c>
    </row>
    <row r="341" spans="1:61" x14ac:dyDescent="0.45">
      <c r="A341" s="30">
        <f>step3_validation[[#This Row],[Persona_ID]]</f>
        <v>340</v>
      </c>
      <c r="B341" s="31">
        <f>step3_validation[[#This Row],[Used_Seed]]</f>
        <v>12684</v>
      </c>
      <c r="C341" t="str">
        <f>step3_validation[[#This Row],[Gender]]</f>
        <v>Nam</v>
      </c>
      <c r="D341" t="str">
        <f>survey_responses[[#This Row],[Giới tính của bạn:]]</f>
        <v>Nam</v>
      </c>
      <c r="E341" t="str">
        <f>step3_validation[[#This Row],[Age_Group]]</f>
        <v>25 - 29</v>
      </c>
      <c r="F341" t="str">
        <f>survey_responses[[#This Row],[Độ tuổi của bạn:]]</f>
        <v>25 - 29</v>
      </c>
      <c r="G341" t="str">
        <f>step3_validation[[#This Row],[Region]]</f>
        <v>Thành thị</v>
      </c>
      <c r="H341" t="str">
        <f>survey_responses[[#This Row],[Khu vực bạn đang sinh sống:]]</f>
        <v>Thành thị</v>
      </c>
      <c r="I341" t="str">
        <f>step3_validation[[#This Row],[Education]]</f>
        <v>Đại học</v>
      </c>
      <c r="J341" t="str">
        <f>survey_responses[[#This Row],[Trình độ học vấn cao nhất:]]</f>
        <v>Đại học</v>
      </c>
      <c r="K341" t="str">
        <f>step3_validation[[#This Row],[Employment]]</f>
        <v>Chính thức</v>
      </c>
      <c r="L341" t="str">
        <f>survey_responses[[#This Row],[Tình trạng việc làm chính:]]</f>
        <v>Khu vực chính thức (Có Hợp đồng lao động, đóng BHXH)</v>
      </c>
      <c r="M341">
        <f>step3_validation[[#This Row],[Income_Mil]]</f>
        <v>16.718147872687155</v>
      </c>
      <c r="N341" t="str">
        <f>survey_responses[[#This Row],[Thu nhập bình quân tháng theo Hợp đồng lao động của bạn là bao nhiêu? (Vui lòng điền tổng thu nhập trước khi khấu trừ các loại Bảo hiểm (BHXH, BHYT, BHTN) và Thuế TNCN)]]</f>
        <v>Từ 12 - 18 triệu VNĐ</v>
      </c>
      <c r="O341">
        <f>step3_validation[[#This Row],[Dependents]]</f>
        <v>0</v>
      </c>
      <c r="P341" t="str">
        <f>survey_responses[[#This Row],[Số người phụ thuộc (con nhỏ, cha mẹ già...) đủ điều kiện giảm trừ gia cảnh:]]</f>
        <v>0 người</v>
      </c>
      <c r="Q341">
        <f>step3_validation[[#This Row],[AI_ENF1]]</f>
        <v>9</v>
      </c>
      <c r="R341">
        <f t="shared" si="135"/>
        <v>0.88888888888888884</v>
      </c>
      <c r="S341">
        <f>survey_responses[[#This Row],[Tôi tin rằng với các quy định quản lý thuế hiện nay, hành vi gian lận hoặc trốn thuế sẽ dễ dàng bị phát hiện và xử lý nghiêm. - HUMAN-ENF1]]</f>
        <v>7</v>
      </c>
      <c r="T341">
        <f t="shared" si="136"/>
        <v>0.66666666666666663</v>
      </c>
      <c r="U341">
        <f>step3_validation[[#This Row],[AI_ENF2]]</f>
        <v>8</v>
      </c>
      <c r="V341">
        <f t="shared" si="137"/>
        <v>0.77777777777777779</v>
      </c>
      <c r="W341">
        <f>survey_responses[[#This Row],[Tôi tin rằng Nhà nước, cơ quan thuế có đủ khả năng và công nghệ để phát hiện, xử lý nghiêm các hành vi trốn thuế. - HUMAN-ENF2]]</f>
        <v>8</v>
      </c>
      <c r="X341">
        <f t="shared" si="138"/>
        <v>0.77777777777777779</v>
      </c>
      <c r="Y341" s="32">
        <f t="shared" si="139"/>
        <v>0.83333333333333326</v>
      </c>
      <c r="Z341" s="32">
        <f t="shared" si="140"/>
        <v>0.72222222222222221</v>
      </c>
      <c r="AA341">
        <f>step3_validation[[#This Row],[AI_FAC1]]</f>
        <v>9</v>
      </c>
      <c r="AB341">
        <f t="shared" si="141"/>
        <v>0.88888888888888884</v>
      </c>
      <c r="AC341">
        <f>survey_responses[[#This Row],[Các thủ tục khai báo thuế VÀ/HOẶC quy trình làm việc với cơ quan thuế đơn giản, tiện lợi, nhanh chóng hơn so với trước đây. - HUMAN-FAC1]]</f>
        <v>8</v>
      </c>
      <c r="AD341">
        <f t="shared" si="142"/>
        <v>0.77777777777777779</v>
      </c>
      <c r="AE341">
        <f>step3_validation[[#This Row],[AI_FAC2]]</f>
        <v>9</v>
      </c>
      <c r="AF341">
        <f t="shared" si="143"/>
        <v>0.88888888888888884</v>
      </c>
      <c r="AG341">
        <f>survey_responses[[#This Row],[So với trước đây, tôi thấy cách tính thuế và các bậc thuế trong phương án mới đơn giản, dễ hiểu và dễ thực hiện hơn. - HUMAN-FAC2]]</f>
        <v>8</v>
      </c>
      <c r="AH341">
        <f t="shared" si="144"/>
        <v>0.77777777777777779</v>
      </c>
      <c r="AI341" s="32">
        <f t="shared" si="145"/>
        <v>0.88888888888888884</v>
      </c>
      <c r="AJ341" s="32">
        <f t="shared" si="146"/>
        <v>0.77777777777777779</v>
      </c>
      <c r="AK341">
        <f>step3_validation[[#This Row],[AI_TRU1]]</f>
        <v>8</v>
      </c>
      <c r="AL341">
        <f t="shared" si="147"/>
        <v>0.77777777777777779</v>
      </c>
      <c r="AM341">
        <f>survey_responses[[#This Row],[Tôi tin rằng Nhà nước, cơ quan thuế sẽ thực thi chính sách mới một cách khách quan, công tâm và đối xử bình đẳng với mọi người nộp thuế.  - HUMAN-TRU1]]</f>
        <v>5</v>
      </c>
      <c r="AN341">
        <f t="shared" si="148"/>
        <v>0.44444444444444442</v>
      </c>
      <c r="AO341">
        <f>step3_validation[[#This Row],[AI_TRU2]]</f>
        <v>9</v>
      </c>
      <c r="AP341">
        <f t="shared" si="149"/>
        <v>0.88888888888888884</v>
      </c>
      <c r="AQ341">
        <f>survey_responses[[#This Row],[Tôi thấy mức thuế tôi phải đóng theo phương án mới là công bằng (người thu nhập như tôi đóng mức này là hợp lý). - HUMAN-TRU2]]</f>
        <v>8</v>
      </c>
      <c r="AR341">
        <f t="shared" si="150"/>
        <v>0.77777777777777779</v>
      </c>
      <c r="AS341">
        <f>step3_validation[[#This Row],[AI_TRU3]]</f>
        <v>8</v>
      </c>
      <c r="AT341">
        <f t="shared" si="151"/>
        <v>0.77777777777777779</v>
      </c>
      <c r="AU341">
        <f>survey_responses[[#This Row],[Tôi tin tưởng số tiền thuế tôi đóng sẽ được Nhà nước sử dụng hiệu quả để cải thiện dịch vụ công (y tế, đường xá...). - HUMAN-TRU3]]</f>
        <v>5</v>
      </c>
      <c r="AV341">
        <f t="shared" si="152"/>
        <v>0.44444444444444442</v>
      </c>
      <c r="AW341">
        <f>step3_validation[[#This Row],[AI_TRU4]]</f>
        <v>9</v>
      </c>
      <c r="AX341">
        <f t="shared" si="153"/>
        <v>0.88888888888888884</v>
      </c>
      <c r="AY341">
        <f>survey_responses[[#This Row],[Tôi thấy Nhà nước đã giải thích rõ ràng, minh bạch về lý do và mục tiêu của việc sửa đổi thuế lần này. - HUMAN-TRU4]]</f>
        <v>8</v>
      </c>
      <c r="AZ341">
        <f t="shared" si="154"/>
        <v>0.77777777777777779</v>
      </c>
      <c r="BA341" s="32">
        <f t="shared" si="155"/>
        <v>0.83333333333333326</v>
      </c>
      <c r="BB341" s="32">
        <f t="shared" si="156"/>
        <v>0.61111111111111116</v>
      </c>
      <c r="BC341" s="7">
        <f t="shared" si="157"/>
        <v>0.85185185185185175</v>
      </c>
      <c r="BD341" s="7">
        <f t="shared" si="158"/>
        <v>0.70370370370370372</v>
      </c>
      <c r="BE341">
        <f>step3_validation[[#This Row],[AI_OUT1]]</f>
        <v>8</v>
      </c>
      <c r="BF341">
        <f t="shared" si="159"/>
        <v>0.77777777777777779</v>
      </c>
      <c r="BG341">
        <f>survey_responses[[#This Row],[Sau khi xem xét các quyền lợi và nghĩa vụ, bạn có ủng hộ và tuân thủ chính sách mới hiện nay? - HUMAN-OUT1]]</f>
        <v>8</v>
      </c>
      <c r="BH341">
        <f t="shared" si="160"/>
        <v>0.77777777777777779</v>
      </c>
      <c r="BI341" s="32">
        <f t="shared" si="161"/>
        <v>0</v>
      </c>
    </row>
    <row r="342" spans="1:61" x14ac:dyDescent="0.45">
      <c r="A342" s="30">
        <f>step3_validation[[#This Row],[Persona_ID]]</f>
        <v>341</v>
      </c>
      <c r="B342" s="31">
        <f>step3_validation[[#This Row],[Used_Seed]]</f>
        <v>12685</v>
      </c>
      <c r="C342" t="str">
        <f>step3_validation[[#This Row],[Gender]]</f>
        <v>Nữ</v>
      </c>
      <c r="D342" t="str">
        <f>survey_responses[[#This Row],[Giới tính của bạn:]]</f>
        <v>Nữ</v>
      </c>
      <c r="E342" t="str">
        <f>step3_validation[[#This Row],[Age_Group]]</f>
        <v>18 - 24</v>
      </c>
      <c r="F342" t="str">
        <f>survey_responses[[#This Row],[Độ tuổi của bạn:]]</f>
        <v>18 - 24</v>
      </c>
      <c r="G342" t="str">
        <f>step3_validation[[#This Row],[Region]]</f>
        <v>Thành thị</v>
      </c>
      <c r="H342" t="str">
        <f>survey_responses[[#This Row],[Khu vực bạn đang sinh sống:]]</f>
        <v>Thành thị</v>
      </c>
      <c r="I342" t="str">
        <f>step3_validation[[#This Row],[Education]]</f>
        <v>Đại học</v>
      </c>
      <c r="J342" t="str">
        <f>survey_responses[[#This Row],[Trình độ học vấn cao nhất:]]</f>
        <v>Đại học</v>
      </c>
      <c r="K342" t="str">
        <f>step3_validation[[#This Row],[Employment]]</f>
        <v>Chính thức</v>
      </c>
      <c r="L342" t="str">
        <f>survey_responses[[#This Row],[Tình trạng việc làm chính:]]</f>
        <v>Khu vực chính thức (Có Hợp đồng lao động, đóng BHXH)</v>
      </c>
      <c r="M342">
        <f>step3_validation[[#This Row],[Income_Mil]]</f>
        <v>12</v>
      </c>
      <c r="N342" t="str">
        <f>survey_responses[[#This Row],[Thu nhập bình quân tháng theo Hợp đồng lao động của bạn là bao nhiêu? (Vui lòng điền tổng thu nhập trước khi khấu trừ các loại Bảo hiểm (BHXH, BHYT, BHTN) và Thuế TNCN)]]</f>
        <v>Dưới 12 triệu VNĐ</v>
      </c>
      <c r="O342">
        <f>step3_validation[[#This Row],[Dependents]]</f>
        <v>0</v>
      </c>
      <c r="P342" t="str">
        <f>survey_responses[[#This Row],[Số người phụ thuộc (con nhỏ, cha mẹ già...) đủ điều kiện giảm trừ gia cảnh:]]</f>
        <v>0 người</v>
      </c>
      <c r="Q342">
        <f>step3_validation[[#This Row],[AI_ENF1]]</f>
        <v>8</v>
      </c>
      <c r="R342">
        <f t="shared" si="135"/>
        <v>0.77777777777777779</v>
      </c>
      <c r="S342">
        <f>survey_responses[[#This Row],[Tôi tin rằng với các quy định quản lý thuế hiện nay, hành vi gian lận hoặc trốn thuế sẽ dễ dàng bị phát hiện và xử lý nghiêm. - HUMAN-ENF1]]</f>
        <v>8</v>
      </c>
      <c r="T342">
        <f t="shared" si="136"/>
        <v>0.77777777777777779</v>
      </c>
      <c r="U342">
        <f>step3_validation[[#This Row],[AI_ENF2]]</f>
        <v>9</v>
      </c>
      <c r="V342">
        <f t="shared" si="137"/>
        <v>0.88888888888888884</v>
      </c>
      <c r="W342">
        <f>survey_responses[[#This Row],[Tôi tin rằng Nhà nước, cơ quan thuế có đủ khả năng và công nghệ để phát hiện, xử lý nghiêm các hành vi trốn thuế. - HUMAN-ENF2]]</f>
        <v>8</v>
      </c>
      <c r="X342">
        <f t="shared" si="138"/>
        <v>0.77777777777777779</v>
      </c>
      <c r="Y342" s="32">
        <f t="shared" si="139"/>
        <v>0.83333333333333326</v>
      </c>
      <c r="Z342" s="32">
        <f t="shared" si="140"/>
        <v>0.77777777777777779</v>
      </c>
      <c r="AA342">
        <f>step3_validation[[#This Row],[AI_FAC1]]</f>
        <v>8</v>
      </c>
      <c r="AB342">
        <f t="shared" si="141"/>
        <v>0.77777777777777779</v>
      </c>
      <c r="AC342">
        <f>survey_responses[[#This Row],[Các thủ tục khai báo thuế VÀ/HOẶC quy trình làm việc với cơ quan thuế đơn giản, tiện lợi, nhanh chóng hơn so với trước đây. - HUMAN-FAC1]]</f>
        <v>8</v>
      </c>
      <c r="AD342">
        <f t="shared" si="142"/>
        <v>0.77777777777777779</v>
      </c>
      <c r="AE342">
        <f>step3_validation[[#This Row],[AI_FAC2]]</f>
        <v>9</v>
      </c>
      <c r="AF342">
        <f t="shared" si="143"/>
        <v>0.88888888888888884</v>
      </c>
      <c r="AG342">
        <f>survey_responses[[#This Row],[So với trước đây, tôi thấy cách tính thuế và các bậc thuế trong phương án mới đơn giản, dễ hiểu và dễ thực hiện hơn. - HUMAN-FAC2]]</f>
        <v>9</v>
      </c>
      <c r="AH342">
        <f t="shared" si="144"/>
        <v>0.88888888888888884</v>
      </c>
      <c r="AI342" s="32">
        <f t="shared" si="145"/>
        <v>0.83333333333333326</v>
      </c>
      <c r="AJ342" s="32">
        <f t="shared" si="146"/>
        <v>0.83333333333333326</v>
      </c>
      <c r="AK342">
        <f>step3_validation[[#This Row],[AI_TRU1]]</f>
        <v>8</v>
      </c>
      <c r="AL342">
        <f t="shared" si="147"/>
        <v>0.77777777777777779</v>
      </c>
      <c r="AM342">
        <f>survey_responses[[#This Row],[Tôi tin rằng Nhà nước, cơ quan thuế sẽ thực thi chính sách mới một cách khách quan, công tâm và đối xử bình đẳng với mọi người nộp thuế.  - HUMAN-TRU1]]</f>
        <v>8</v>
      </c>
      <c r="AN342">
        <f t="shared" si="148"/>
        <v>0.77777777777777779</v>
      </c>
      <c r="AO342">
        <f>step3_validation[[#This Row],[AI_TRU2]]</f>
        <v>9</v>
      </c>
      <c r="AP342">
        <f t="shared" si="149"/>
        <v>0.88888888888888884</v>
      </c>
      <c r="AQ342">
        <f>survey_responses[[#This Row],[Tôi thấy mức thuế tôi phải đóng theo phương án mới là công bằng (người thu nhập như tôi đóng mức này là hợp lý). - HUMAN-TRU2]]</f>
        <v>8</v>
      </c>
      <c r="AR342">
        <f t="shared" si="150"/>
        <v>0.77777777777777779</v>
      </c>
      <c r="AS342">
        <f>step3_validation[[#This Row],[AI_TRU3]]</f>
        <v>8</v>
      </c>
      <c r="AT342">
        <f t="shared" si="151"/>
        <v>0.77777777777777779</v>
      </c>
      <c r="AU342">
        <f>survey_responses[[#This Row],[Tôi tin tưởng số tiền thuế tôi đóng sẽ được Nhà nước sử dụng hiệu quả để cải thiện dịch vụ công (y tế, đường xá...). - HUMAN-TRU3]]</f>
        <v>7</v>
      </c>
      <c r="AV342">
        <f t="shared" si="152"/>
        <v>0.66666666666666663</v>
      </c>
      <c r="AW342">
        <f>step3_validation[[#This Row],[AI_TRU4]]</f>
        <v>9</v>
      </c>
      <c r="AX342">
        <f t="shared" si="153"/>
        <v>0.88888888888888884</v>
      </c>
      <c r="AY342">
        <f>survey_responses[[#This Row],[Tôi thấy Nhà nước đã giải thích rõ ràng, minh bạch về lý do và mục tiêu của việc sửa đổi thuế lần này. - HUMAN-TRU4]]</f>
        <v>7</v>
      </c>
      <c r="AZ342">
        <f t="shared" si="154"/>
        <v>0.66666666666666663</v>
      </c>
      <c r="BA342" s="32">
        <f t="shared" si="155"/>
        <v>0.83333333333333326</v>
      </c>
      <c r="BB342" s="32">
        <f t="shared" si="156"/>
        <v>0.72222222222222221</v>
      </c>
      <c r="BC342" s="7">
        <f t="shared" si="157"/>
        <v>0.83333333333333337</v>
      </c>
      <c r="BD342" s="7">
        <f t="shared" si="158"/>
        <v>0.77777777777777779</v>
      </c>
      <c r="BE342">
        <f>step3_validation[[#This Row],[AI_OUT1]]</f>
        <v>9</v>
      </c>
      <c r="BF342">
        <f t="shared" si="159"/>
        <v>0.88888888888888884</v>
      </c>
      <c r="BG342">
        <f>survey_responses[[#This Row],[Sau khi xem xét các quyền lợi và nghĩa vụ, bạn có ủng hộ và tuân thủ chính sách mới hiện nay? - HUMAN-OUT1]]</f>
        <v>8</v>
      </c>
      <c r="BH342">
        <f t="shared" si="160"/>
        <v>0.77777777777777779</v>
      </c>
      <c r="BI342" s="32">
        <f t="shared" si="161"/>
        <v>1</v>
      </c>
    </row>
    <row r="343" spans="1:61" x14ac:dyDescent="0.45">
      <c r="A343" s="30">
        <f>step3_validation[[#This Row],[Persona_ID]]</f>
        <v>342</v>
      </c>
      <c r="B343" s="31">
        <f>step3_validation[[#This Row],[Used_Seed]]</f>
        <v>12686</v>
      </c>
      <c r="C343" t="str">
        <f>step3_validation[[#This Row],[Gender]]</f>
        <v>Nam</v>
      </c>
      <c r="D343" t="str">
        <f>survey_responses[[#This Row],[Giới tính của bạn:]]</f>
        <v>Nam</v>
      </c>
      <c r="E343" t="str">
        <f>step3_validation[[#This Row],[Age_Group]]</f>
        <v>18 - 24</v>
      </c>
      <c r="F343" t="str">
        <f>survey_responses[[#This Row],[Độ tuổi của bạn:]]</f>
        <v>18 - 24</v>
      </c>
      <c r="G343" t="str">
        <f>step3_validation[[#This Row],[Region]]</f>
        <v>Thành thị</v>
      </c>
      <c r="H343" t="str">
        <f>survey_responses[[#This Row],[Khu vực bạn đang sinh sống:]]</f>
        <v>Thành thị</v>
      </c>
      <c r="I343" t="str">
        <f>step3_validation[[#This Row],[Education]]</f>
        <v>Đại học</v>
      </c>
      <c r="J343" t="str">
        <f>survey_responses[[#This Row],[Trình độ học vấn cao nhất:]]</f>
        <v>Đại học</v>
      </c>
      <c r="K343" t="str">
        <f>step3_validation[[#This Row],[Employment]]</f>
        <v>Chính thức</v>
      </c>
      <c r="L343" t="str">
        <f>survey_responses[[#This Row],[Tình trạng việc làm chính:]]</f>
        <v>Khu vực chính thức (Có Hợp đồng lao động, đóng BHXH)</v>
      </c>
      <c r="M343">
        <f>step3_validation[[#This Row],[Income_Mil]]</f>
        <v>12</v>
      </c>
      <c r="N343" t="str">
        <f>survey_responses[[#This Row],[Thu nhập bình quân tháng theo Hợp đồng lao động của bạn là bao nhiêu? (Vui lòng điền tổng thu nhập trước khi khấu trừ các loại Bảo hiểm (BHXH, BHYT, BHTN) và Thuế TNCN)]]</f>
        <v>Dưới 12 triệu VNĐ</v>
      </c>
      <c r="O343">
        <f>step3_validation[[#This Row],[Dependents]]</f>
        <v>0</v>
      </c>
      <c r="P343" t="str">
        <f>survey_responses[[#This Row],[Số người phụ thuộc (con nhỏ, cha mẹ già...) đủ điều kiện giảm trừ gia cảnh:]]</f>
        <v>0 người</v>
      </c>
      <c r="Q343">
        <f>step3_validation[[#This Row],[AI_ENF1]]</f>
        <v>7</v>
      </c>
      <c r="R343">
        <f t="shared" si="135"/>
        <v>0.66666666666666663</v>
      </c>
      <c r="S343">
        <f>survey_responses[[#This Row],[Tôi tin rằng với các quy định quản lý thuế hiện nay, hành vi gian lận hoặc trốn thuế sẽ dễ dàng bị phát hiện và xử lý nghiêm. - HUMAN-ENF1]]</f>
        <v>5</v>
      </c>
      <c r="T343">
        <f t="shared" si="136"/>
        <v>0.44444444444444442</v>
      </c>
      <c r="U343">
        <f>step3_validation[[#This Row],[AI_ENF2]]</f>
        <v>8</v>
      </c>
      <c r="V343">
        <f t="shared" si="137"/>
        <v>0.77777777777777779</v>
      </c>
      <c r="W343">
        <f>survey_responses[[#This Row],[Tôi tin rằng Nhà nước, cơ quan thuế có đủ khả năng và công nghệ để phát hiện, xử lý nghiêm các hành vi trốn thuế. - HUMAN-ENF2]]</f>
        <v>5</v>
      </c>
      <c r="X343">
        <f t="shared" si="138"/>
        <v>0.44444444444444442</v>
      </c>
      <c r="Y343" s="32">
        <f t="shared" si="139"/>
        <v>0.72222222222222221</v>
      </c>
      <c r="Z343" s="32">
        <f t="shared" si="140"/>
        <v>0.44444444444444442</v>
      </c>
      <c r="AA343">
        <f>step3_validation[[#This Row],[AI_FAC1]]</f>
        <v>7</v>
      </c>
      <c r="AB343">
        <f t="shared" si="141"/>
        <v>0.66666666666666663</v>
      </c>
      <c r="AC343">
        <f>survey_responses[[#This Row],[Các thủ tục khai báo thuế VÀ/HOẶC quy trình làm việc với cơ quan thuế đơn giản, tiện lợi, nhanh chóng hơn so với trước đây. - HUMAN-FAC1]]</f>
        <v>6</v>
      </c>
      <c r="AD343">
        <f t="shared" si="142"/>
        <v>0.55555555555555558</v>
      </c>
      <c r="AE343">
        <f>step3_validation[[#This Row],[AI_FAC2]]</f>
        <v>9</v>
      </c>
      <c r="AF343">
        <f t="shared" si="143"/>
        <v>0.88888888888888884</v>
      </c>
      <c r="AG343">
        <f>survey_responses[[#This Row],[So với trước đây, tôi thấy cách tính thuế và các bậc thuế trong phương án mới đơn giản, dễ hiểu và dễ thực hiện hơn. - HUMAN-FAC2]]</f>
        <v>7</v>
      </c>
      <c r="AH343">
        <f t="shared" si="144"/>
        <v>0.66666666666666663</v>
      </c>
      <c r="AI343" s="32">
        <f t="shared" si="145"/>
        <v>0.77777777777777768</v>
      </c>
      <c r="AJ343" s="32">
        <f t="shared" si="146"/>
        <v>0.61111111111111116</v>
      </c>
      <c r="AK343">
        <f>step3_validation[[#This Row],[AI_TRU1]]</f>
        <v>8</v>
      </c>
      <c r="AL343">
        <f t="shared" si="147"/>
        <v>0.77777777777777779</v>
      </c>
      <c r="AM343">
        <f>survey_responses[[#This Row],[Tôi tin rằng Nhà nước, cơ quan thuế sẽ thực thi chính sách mới một cách khách quan, công tâm và đối xử bình đẳng với mọi người nộp thuế.  - HUMAN-TRU1]]</f>
        <v>5</v>
      </c>
      <c r="AN343">
        <f t="shared" si="148"/>
        <v>0.44444444444444442</v>
      </c>
      <c r="AO343">
        <f>step3_validation[[#This Row],[AI_TRU2]]</f>
        <v>9</v>
      </c>
      <c r="AP343">
        <f t="shared" si="149"/>
        <v>0.88888888888888884</v>
      </c>
      <c r="AQ343">
        <f>survey_responses[[#This Row],[Tôi thấy mức thuế tôi phải đóng theo phương án mới là công bằng (người thu nhập như tôi đóng mức này là hợp lý). - HUMAN-TRU2]]</f>
        <v>8</v>
      </c>
      <c r="AR343">
        <f t="shared" si="150"/>
        <v>0.77777777777777779</v>
      </c>
      <c r="AS343">
        <f>step3_validation[[#This Row],[AI_TRU3]]</f>
        <v>8</v>
      </c>
      <c r="AT343">
        <f t="shared" si="151"/>
        <v>0.77777777777777779</v>
      </c>
      <c r="AU343">
        <f>survey_responses[[#This Row],[Tôi tin tưởng số tiền thuế tôi đóng sẽ được Nhà nước sử dụng hiệu quả để cải thiện dịch vụ công (y tế, đường xá...). - HUMAN-TRU3]]</f>
        <v>6</v>
      </c>
      <c r="AV343">
        <f t="shared" si="152"/>
        <v>0.55555555555555558</v>
      </c>
      <c r="AW343">
        <f>step3_validation[[#This Row],[AI_TRU4]]</f>
        <v>8</v>
      </c>
      <c r="AX343">
        <f t="shared" si="153"/>
        <v>0.77777777777777779</v>
      </c>
      <c r="AY343">
        <f>survey_responses[[#This Row],[Tôi thấy Nhà nước đã giải thích rõ ràng, minh bạch về lý do và mục tiêu của việc sửa đổi thuế lần này. - HUMAN-TRU4]]</f>
        <v>6</v>
      </c>
      <c r="AZ343">
        <f t="shared" si="154"/>
        <v>0.55555555555555558</v>
      </c>
      <c r="BA343" s="32">
        <f t="shared" si="155"/>
        <v>0.80555555555555547</v>
      </c>
      <c r="BB343" s="32">
        <f t="shared" si="156"/>
        <v>0.58333333333333337</v>
      </c>
      <c r="BC343" s="7">
        <f t="shared" si="157"/>
        <v>0.76851851851851849</v>
      </c>
      <c r="BD343" s="7">
        <f t="shared" si="158"/>
        <v>0.54629629629629628</v>
      </c>
      <c r="BE343">
        <f>step3_validation[[#This Row],[AI_OUT1]]</f>
        <v>9</v>
      </c>
      <c r="BF343">
        <f t="shared" si="159"/>
        <v>0.88888888888888884</v>
      </c>
      <c r="BG343">
        <f>survey_responses[[#This Row],[Sau khi xem xét các quyền lợi và nghĩa vụ, bạn có ủng hộ và tuân thủ chính sách mới hiện nay? - HUMAN-OUT1]]</f>
        <v>7</v>
      </c>
      <c r="BH343">
        <f t="shared" si="160"/>
        <v>0.66666666666666663</v>
      </c>
      <c r="BI343" s="32">
        <f t="shared" si="161"/>
        <v>2</v>
      </c>
    </row>
    <row r="344" spans="1:61" x14ac:dyDescent="0.45">
      <c r="A344" s="30">
        <f>step3_validation[[#This Row],[Persona_ID]]</f>
        <v>343</v>
      </c>
      <c r="B344" s="31">
        <f>step3_validation[[#This Row],[Used_Seed]]</f>
        <v>12687</v>
      </c>
      <c r="C344" t="str">
        <f>step3_validation[[#This Row],[Gender]]</f>
        <v>Nam</v>
      </c>
      <c r="D344" t="str">
        <f>survey_responses[[#This Row],[Giới tính của bạn:]]</f>
        <v>Nam</v>
      </c>
      <c r="E344" t="str">
        <f>step3_validation[[#This Row],[Age_Group]]</f>
        <v>25 - 29</v>
      </c>
      <c r="F344" t="str">
        <f>survey_responses[[#This Row],[Độ tuổi của bạn:]]</f>
        <v>25 - 29</v>
      </c>
      <c r="G344" t="str">
        <f>step3_validation[[#This Row],[Region]]</f>
        <v>Thành thị</v>
      </c>
      <c r="H344" t="str">
        <f>survey_responses[[#This Row],[Khu vực bạn đang sinh sống:]]</f>
        <v>Thành thị</v>
      </c>
      <c r="I344" t="str">
        <f>step3_validation[[#This Row],[Education]]</f>
        <v>Đại học</v>
      </c>
      <c r="J344" t="str">
        <f>survey_responses[[#This Row],[Trình độ học vấn cao nhất:]]</f>
        <v>Đại học</v>
      </c>
      <c r="K344" t="str">
        <f>step3_validation[[#This Row],[Employment]]</f>
        <v>Chính thức</v>
      </c>
      <c r="L344" t="str">
        <f>survey_responses[[#This Row],[Tình trạng việc làm chính:]]</f>
        <v>Khu vực chính thức (Có Hợp đồng lao động, đóng BHXH)</v>
      </c>
      <c r="M344">
        <f>step3_validation[[#This Row],[Income_Mil]]</f>
        <v>15.381319407352597</v>
      </c>
      <c r="N344" t="str">
        <f>survey_responses[[#This Row],[Thu nhập bình quân tháng theo Hợp đồng lao động của bạn là bao nhiêu? (Vui lòng điền tổng thu nhập trước khi khấu trừ các loại Bảo hiểm (BHXH, BHYT, BHTN) và Thuế TNCN)]]</f>
        <v>Từ 12 - 18 triệu VNĐ</v>
      </c>
      <c r="O344">
        <f>step3_validation[[#This Row],[Dependents]]</f>
        <v>0</v>
      </c>
      <c r="P344" t="str">
        <f>survey_responses[[#This Row],[Số người phụ thuộc (con nhỏ, cha mẹ già...) đủ điều kiện giảm trừ gia cảnh:]]</f>
        <v>0 người</v>
      </c>
      <c r="Q344">
        <f>step3_validation[[#This Row],[AI_ENF1]]</f>
        <v>7</v>
      </c>
      <c r="R344">
        <f t="shared" si="135"/>
        <v>0.66666666666666663</v>
      </c>
      <c r="S344">
        <f>survey_responses[[#This Row],[Tôi tin rằng với các quy định quản lý thuế hiện nay, hành vi gian lận hoặc trốn thuế sẽ dễ dàng bị phát hiện và xử lý nghiêm. - HUMAN-ENF1]]</f>
        <v>7</v>
      </c>
      <c r="T344">
        <f t="shared" si="136"/>
        <v>0.66666666666666663</v>
      </c>
      <c r="U344">
        <f>step3_validation[[#This Row],[AI_ENF2]]</f>
        <v>8</v>
      </c>
      <c r="V344">
        <f t="shared" si="137"/>
        <v>0.77777777777777779</v>
      </c>
      <c r="W344">
        <f>survey_responses[[#This Row],[Tôi tin rằng Nhà nước, cơ quan thuế có đủ khả năng và công nghệ để phát hiện, xử lý nghiêm các hành vi trốn thuế. - HUMAN-ENF2]]</f>
        <v>7</v>
      </c>
      <c r="X344">
        <f t="shared" si="138"/>
        <v>0.66666666666666663</v>
      </c>
      <c r="Y344" s="32">
        <f t="shared" si="139"/>
        <v>0.72222222222222221</v>
      </c>
      <c r="Z344" s="32">
        <f t="shared" si="140"/>
        <v>0.66666666666666663</v>
      </c>
      <c r="AA344">
        <f>step3_validation[[#This Row],[AI_FAC1]]</f>
        <v>6</v>
      </c>
      <c r="AB344">
        <f t="shared" si="141"/>
        <v>0.55555555555555558</v>
      </c>
      <c r="AC344">
        <f>survey_responses[[#This Row],[Các thủ tục khai báo thuế VÀ/HOẶC quy trình làm việc với cơ quan thuế đơn giản, tiện lợi, nhanh chóng hơn so với trước đây. - HUMAN-FAC1]]</f>
        <v>8</v>
      </c>
      <c r="AD344">
        <f t="shared" si="142"/>
        <v>0.77777777777777779</v>
      </c>
      <c r="AE344">
        <f>step3_validation[[#This Row],[AI_FAC2]]</f>
        <v>9</v>
      </c>
      <c r="AF344">
        <f t="shared" si="143"/>
        <v>0.88888888888888884</v>
      </c>
      <c r="AG344">
        <f>survey_responses[[#This Row],[So với trước đây, tôi thấy cách tính thuế và các bậc thuế trong phương án mới đơn giản, dễ hiểu và dễ thực hiện hơn. - HUMAN-FAC2]]</f>
        <v>7</v>
      </c>
      <c r="AH344">
        <f t="shared" si="144"/>
        <v>0.66666666666666663</v>
      </c>
      <c r="AI344" s="32">
        <f t="shared" si="145"/>
        <v>0.72222222222222221</v>
      </c>
      <c r="AJ344" s="32">
        <f t="shared" si="146"/>
        <v>0.72222222222222221</v>
      </c>
      <c r="AK344">
        <f>step3_validation[[#This Row],[AI_TRU1]]</f>
        <v>7</v>
      </c>
      <c r="AL344">
        <f t="shared" si="147"/>
        <v>0.66666666666666663</v>
      </c>
      <c r="AM344">
        <f>survey_responses[[#This Row],[Tôi tin rằng Nhà nước, cơ quan thuế sẽ thực thi chính sách mới một cách khách quan, công tâm và đối xử bình đẳng với mọi người nộp thuế.  - HUMAN-TRU1]]</f>
        <v>8</v>
      </c>
      <c r="AN344">
        <f t="shared" si="148"/>
        <v>0.77777777777777779</v>
      </c>
      <c r="AO344">
        <f>step3_validation[[#This Row],[AI_TRU2]]</f>
        <v>9</v>
      </c>
      <c r="AP344">
        <f t="shared" si="149"/>
        <v>0.88888888888888884</v>
      </c>
      <c r="AQ344">
        <f>survey_responses[[#This Row],[Tôi thấy mức thuế tôi phải đóng theo phương án mới là công bằng (người thu nhập như tôi đóng mức này là hợp lý). - HUMAN-TRU2]]</f>
        <v>8</v>
      </c>
      <c r="AR344">
        <f t="shared" si="150"/>
        <v>0.77777777777777779</v>
      </c>
      <c r="AS344">
        <f>step3_validation[[#This Row],[AI_TRU3]]</f>
        <v>8</v>
      </c>
      <c r="AT344">
        <f t="shared" si="151"/>
        <v>0.77777777777777779</v>
      </c>
      <c r="AU344">
        <f>survey_responses[[#This Row],[Tôi tin tưởng số tiền thuế tôi đóng sẽ được Nhà nước sử dụng hiệu quả để cải thiện dịch vụ công (y tế, đường xá...). - HUMAN-TRU3]]</f>
        <v>8</v>
      </c>
      <c r="AV344">
        <f t="shared" si="152"/>
        <v>0.77777777777777779</v>
      </c>
      <c r="AW344">
        <f>step3_validation[[#This Row],[AI_TRU4]]</f>
        <v>7</v>
      </c>
      <c r="AX344">
        <f t="shared" si="153"/>
        <v>0.66666666666666663</v>
      </c>
      <c r="AY344">
        <f>survey_responses[[#This Row],[Tôi thấy Nhà nước đã giải thích rõ ràng, minh bạch về lý do và mục tiêu của việc sửa đổi thuế lần này. - HUMAN-TRU4]]</f>
        <v>7</v>
      </c>
      <c r="AZ344">
        <f t="shared" si="154"/>
        <v>0.66666666666666663</v>
      </c>
      <c r="BA344" s="32">
        <f t="shared" si="155"/>
        <v>0.74999999999999989</v>
      </c>
      <c r="BB344" s="32">
        <f t="shared" si="156"/>
        <v>0.75</v>
      </c>
      <c r="BC344" s="7">
        <f t="shared" si="157"/>
        <v>0.7314814814814814</v>
      </c>
      <c r="BD344" s="7">
        <f t="shared" si="158"/>
        <v>0.71296296296296291</v>
      </c>
      <c r="BE344">
        <f>step3_validation[[#This Row],[AI_OUT1]]</f>
        <v>9</v>
      </c>
      <c r="BF344">
        <f t="shared" si="159"/>
        <v>0.88888888888888884</v>
      </c>
      <c r="BG344">
        <f>survey_responses[[#This Row],[Sau khi xem xét các quyền lợi và nghĩa vụ, bạn có ủng hộ và tuân thủ chính sách mới hiện nay? - HUMAN-OUT1]]</f>
        <v>8</v>
      </c>
      <c r="BH344">
        <f t="shared" si="160"/>
        <v>0.77777777777777779</v>
      </c>
      <c r="BI344" s="32">
        <f t="shared" si="161"/>
        <v>1</v>
      </c>
    </row>
    <row r="345" spans="1:61" x14ac:dyDescent="0.45">
      <c r="A345" s="30">
        <f>step3_validation[[#This Row],[Persona_ID]]</f>
        <v>344</v>
      </c>
      <c r="B345" s="31">
        <f>step3_validation[[#This Row],[Used_Seed]]</f>
        <v>12688</v>
      </c>
      <c r="C345" t="str">
        <f>step3_validation[[#This Row],[Gender]]</f>
        <v>Nam</v>
      </c>
      <c r="D345" t="str">
        <f>survey_responses[[#This Row],[Giới tính của bạn:]]</f>
        <v>Nam</v>
      </c>
      <c r="E345" t="str">
        <f>step3_validation[[#This Row],[Age_Group]]</f>
        <v>30 - 39</v>
      </c>
      <c r="F345" t="str">
        <f>survey_responses[[#This Row],[Độ tuổi của bạn:]]</f>
        <v>30 - 39</v>
      </c>
      <c r="G345" t="str">
        <f>step3_validation[[#This Row],[Region]]</f>
        <v>Thành thị</v>
      </c>
      <c r="H345" t="str">
        <f>survey_responses[[#This Row],[Khu vực bạn đang sinh sống:]]</f>
        <v>Thành thị</v>
      </c>
      <c r="I345" t="str">
        <f>step3_validation[[#This Row],[Education]]</f>
        <v>Sau Đại học</v>
      </c>
      <c r="J345" t="str">
        <f>survey_responses[[#This Row],[Trình độ học vấn cao nhất:]]</f>
        <v>Sau Đại học</v>
      </c>
      <c r="K345" t="str">
        <f>step3_validation[[#This Row],[Employment]]</f>
        <v>Chính thức</v>
      </c>
      <c r="L345" t="str">
        <f>survey_responses[[#This Row],[Tình trạng việc làm chính:]]</f>
        <v>Khu vực chính thức (Có Hợp đồng lao động, đóng BHXH)</v>
      </c>
      <c r="M345">
        <f>step3_validation[[#This Row],[Income_Mil]]</f>
        <v>67.320076132262471</v>
      </c>
      <c r="N345" t="str">
        <f>survey_responses[[#This Row],[Thu nhập bình quân tháng theo Hợp đồng lao động của bạn là bao nhiêu? (Vui lòng điền tổng thu nhập trước khi khấu trừ các loại Bảo hiểm (BHXH, BHYT, BHTN) và Thuế TNCN)]]</f>
        <v>Từ 48 - 70 triệu VNĐ</v>
      </c>
      <c r="O345">
        <f>step3_validation[[#This Row],[Dependents]]</f>
        <v>2</v>
      </c>
      <c r="P345" t="str">
        <f>survey_responses[[#This Row],[Số người phụ thuộc (con nhỏ, cha mẹ già...) đủ điều kiện giảm trừ gia cảnh:]]</f>
        <v>2 người</v>
      </c>
      <c r="Q345">
        <f>step3_validation[[#This Row],[AI_ENF1]]</f>
        <v>6</v>
      </c>
      <c r="R345">
        <f t="shared" si="135"/>
        <v>0.55555555555555558</v>
      </c>
      <c r="S345">
        <f>survey_responses[[#This Row],[Tôi tin rằng với các quy định quản lý thuế hiện nay, hành vi gian lận hoặc trốn thuế sẽ dễ dàng bị phát hiện và xử lý nghiêm. - HUMAN-ENF1]]</f>
        <v>7</v>
      </c>
      <c r="T345">
        <f t="shared" si="136"/>
        <v>0.66666666666666663</v>
      </c>
      <c r="U345">
        <f>step3_validation[[#This Row],[AI_ENF2]]</f>
        <v>6</v>
      </c>
      <c r="V345">
        <f t="shared" si="137"/>
        <v>0.55555555555555558</v>
      </c>
      <c r="W345">
        <f>survey_responses[[#This Row],[Tôi tin rằng Nhà nước, cơ quan thuế có đủ khả năng và công nghệ để phát hiện, xử lý nghiêm các hành vi trốn thuế. - HUMAN-ENF2]]</f>
        <v>7</v>
      </c>
      <c r="X345">
        <f t="shared" si="138"/>
        <v>0.66666666666666663</v>
      </c>
      <c r="Y345" s="32">
        <f t="shared" si="139"/>
        <v>0.55555555555555558</v>
      </c>
      <c r="Z345" s="32">
        <f t="shared" si="140"/>
        <v>0.66666666666666663</v>
      </c>
      <c r="AA345">
        <f>step3_validation[[#This Row],[AI_FAC1]]</f>
        <v>8</v>
      </c>
      <c r="AB345">
        <f t="shared" si="141"/>
        <v>0.77777777777777779</v>
      </c>
      <c r="AC345">
        <f>survey_responses[[#This Row],[Các thủ tục khai báo thuế VÀ/HOẶC quy trình làm việc với cơ quan thuế đơn giản, tiện lợi, nhanh chóng hơn so với trước đây. - HUMAN-FAC1]]</f>
        <v>5</v>
      </c>
      <c r="AD345">
        <f t="shared" si="142"/>
        <v>0.44444444444444442</v>
      </c>
      <c r="AE345">
        <f>step3_validation[[#This Row],[AI_FAC2]]</f>
        <v>9</v>
      </c>
      <c r="AF345">
        <f t="shared" si="143"/>
        <v>0.88888888888888884</v>
      </c>
      <c r="AG345">
        <f>survey_responses[[#This Row],[So với trước đây, tôi thấy cách tính thuế và các bậc thuế trong phương án mới đơn giản, dễ hiểu và dễ thực hiện hơn. - HUMAN-FAC2]]</f>
        <v>8</v>
      </c>
      <c r="AH345">
        <f t="shared" si="144"/>
        <v>0.77777777777777779</v>
      </c>
      <c r="AI345" s="32">
        <f t="shared" si="145"/>
        <v>0.83333333333333326</v>
      </c>
      <c r="AJ345" s="32">
        <f t="shared" si="146"/>
        <v>0.61111111111111116</v>
      </c>
      <c r="AK345">
        <f>step3_validation[[#This Row],[AI_TRU1]]</f>
        <v>7</v>
      </c>
      <c r="AL345">
        <f t="shared" si="147"/>
        <v>0.66666666666666663</v>
      </c>
      <c r="AM345">
        <f>survey_responses[[#This Row],[Tôi tin rằng Nhà nước, cơ quan thuế sẽ thực thi chính sách mới một cách khách quan, công tâm và đối xử bình đẳng với mọi người nộp thuế.  - HUMAN-TRU1]]</f>
        <v>6</v>
      </c>
      <c r="AN345">
        <f t="shared" si="148"/>
        <v>0.55555555555555558</v>
      </c>
      <c r="AO345">
        <f>step3_validation[[#This Row],[AI_TRU2]]</f>
        <v>8</v>
      </c>
      <c r="AP345">
        <f t="shared" si="149"/>
        <v>0.77777777777777779</v>
      </c>
      <c r="AQ345">
        <f>survey_responses[[#This Row],[Tôi thấy mức thuế tôi phải đóng theo phương án mới là công bằng (người thu nhập như tôi đóng mức này là hợp lý). - HUMAN-TRU2]]</f>
        <v>5</v>
      </c>
      <c r="AR345">
        <f t="shared" si="150"/>
        <v>0.44444444444444442</v>
      </c>
      <c r="AS345">
        <f>step3_validation[[#This Row],[AI_TRU3]]</f>
        <v>6</v>
      </c>
      <c r="AT345">
        <f t="shared" si="151"/>
        <v>0.55555555555555558</v>
      </c>
      <c r="AU345">
        <f>survey_responses[[#This Row],[Tôi tin tưởng số tiền thuế tôi đóng sẽ được Nhà nước sử dụng hiệu quả để cải thiện dịch vụ công (y tế, đường xá...). - HUMAN-TRU3]]</f>
        <v>5</v>
      </c>
      <c r="AV345">
        <f t="shared" si="152"/>
        <v>0.44444444444444442</v>
      </c>
      <c r="AW345">
        <f>step3_validation[[#This Row],[AI_TRU4]]</f>
        <v>7</v>
      </c>
      <c r="AX345">
        <f t="shared" si="153"/>
        <v>0.66666666666666663</v>
      </c>
      <c r="AY345">
        <f>survey_responses[[#This Row],[Tôi thấy Nhà nước đã giải thích rõ ràng, minh bạch về lý do và mục tiêu của việc sửa đổi thuế lần này. - HUMAN-TRU4]]</f>
        <v>6</v>
      </c>
      <c r="AZ345">
        <f t="shared" si="154"/>
        <v>0.55555555555555558</v>
      </c>
      <c r="BA345" s="32">
        <f t="shared" si="155"/>
        <v>0.66666666666666663</v>
      </c>
      <c r="BB345" s="32">
        <f t="shared" si="156"/>
        <v>0.5</v>
      </c>
      <c r="BC345" s="7">
        <f t="shared" si="157"/>
        <v>0.68518518518518512</v>
      </c>
      <c r="BD345" s="7">
        <f t="shared" si="158"/>
        <v>0.59259259259259256</v>
      </c>
      <c r="BE345">
        <f>step3_validation[[#This Row],[AI_OUT1]]</f>
        <v>9</v>
      </c>
      <c r="BF345">
        <f t="shared" si="159"/>
        <v>0.88888888888888884</v>
      </c>
      <c r="BG345">
        <f>survey_responses[[#This Row],[Sau khi xem xét các quyền lợi và nghĩa vụ, bạn có ủng hộ và tuân thủ chính sách mới hiện nay? - HUMAN-OUT1]]</f>
        <v>5</v>
      </c>
      <c r="BH345">
        <f t="shared" si="160"/>
        <v>0.44444444444444442</v>
      </c>
      <c r="BI345" s="32">
        <f t="shared" si="161"/>
        <v>4</v>
      </c>
    </row>
    <row r="346" spans="1:61" x14ac:dyDescent="0.45">
      <c r="A346" s="30">
        <f>step3_validation[[#This Row],[Persona_ID]]</f>
        <v>345</v>
      </c>
      <c r="B346" s="31">
        <f>step3_validation[[#This Row],[Used_Seed]]</f>
        <v>12689</v>
      </c>
      <c r="C346" t="str">
        <f>step3_validation[[#This Row],[Gender]]</f>
        <v>Nữ</v>
      </c>
      <c r="D346" t="str">
        <f>survey_responses[[#This Row],[Giới tính của bạn:]]</f>
        <v>Nữ</v>
      </c>
      <c r="E346" t="str">
        <f>step3_validation[[#This Row],[Age_Group]]</f>
        <v>25 - 29</v>
      </c>
      <c r="F346" t="str">
        <f>survey_responses[[#This Row],[Độ tuổi của bạn:]]</f>
        <v>25 - 29</v>
      </c>
      <c r="G346" t="str">
        <f>step3_validation[[#This Row],[Region]]</f>
        <v>Thành thị</v>
      </c>
      <c r="H346" t="str">
        <f>survey_responses[[#This Row],[Khu vực bạn đang sinh sống:]]</f>
        <v>Thành thị</v>
      </c>
      <c r="I346" t="str">
        <f>step3_validation[[#This Row],[Education]]</f>
        <v>Đại học</v>
      </c>
      <c r="J346" t="str">
        <f>survey_responses[[#This Row],[Trình độ học vấn cao nhất:]]</f>
        <v>Đại học</v>
      </c>
      <c r="K346" t="str">
        <f>step3_validation[[#This Row],[Employment]]</f>
        <v>Chính thức</v>
      </c>
      <c r="L346" t="str">
        <f>survey_responses[[#This Row],[Tình trạng việc làm chính:]]</f>
        <v>Khu vực chính thức (Có Hợp đồng lao động, đóng BHXH)</v>
      </c>
      <c r="M346">
        <f>step3_validation[[#This Row],[Income_Mil]]</f>
        <v>12.069918907792498</v>
      </c>
      <c r="N346" t="str">
        <f>survey_responses[[#This Row],[Thu nhập bình quân tháng theo Hợp đồng lao động của bạn là bao nhiêu? (Vui lòng điền tổng thu nhập trước khi khấu trừ các loại Bảo hiểm (BHXH, BHYT, BHTN) và Thuế TNCN)]]</f>
        <v>Từ 12 - 18 triệu VNĐ</v>
      </c>
      <c r="O346">
        <f>step3_validation[[#This Row],[Dependents]]</f>
        <v>0</v>
      </c>
      <c r="P346" t="str">
        <f>survey_responses[[#This Row],[Số người phụ thuộc (con nhỏ, cha mẹ già...) đủ điều kiện giảm trừ gia cảnh:]]</f>
        <v>0 người</v>
      </c>
      <c r="Q346">
        <f>step3_validation[[#This Row],[AI_ENF1]]</f>
        <v>7</v>
      </c>
      <c r="R346">
        <f t="shared" si="135"/>
        <v>0.66666666666666663</v>
      </c>
      <c r="S346">
        <f>survey_responses[[#This Row],[Tôi tin rằng với các quy định quản lý thuế hiện nay, hành vi gian lận hoặc trốn thuế sẽ dễ dàng bị phát hiện và xử lý nghiêm. - HUMAN-ENF1]]</f>
        <v>7</v>
      </c>
      <c r="T346">
        <f t="shared" si="136"/>
        <v>0.66666666666666663</v>
      </c>
      <c r="U346">
        <f>step3_validation[[#This Row],[AI_ENF2]]</f>
        <v>7</v>
      </c>
      <c r="V346">
        <f t="shared" si="137"/>
        <v>0.66666666666666663</v>
      </c>
      <c r="W346">
        <f>survey_responses[[#This Row],[Tôi tin rằng Nhà nước, cơ quan thuế có đủ khả năng và công nghệ để phát hiện, xử lý nghiêm các hành vi trốn thuế. - HUMAN-ENF2]]</f>
        <v>7</v>
      </c>
      <c r="X346">
        <f t="shared" si="138"/>
        <v>0.66666666666666663</v>
      </c>
      <c r="Y346" s="32">
        <f t="shared" si="139"/>
        <v>0.66666666666666663</v>
      </c>
      <c r="Z346" s="32">
        <f t="shared" si="140"/>
        <v>0.66666666666666663</v>
      </c>
      <c r="AA346">
        <f>step3_validation[[#This Row],[AI_FAC1]]</f>
        <v>9</v>
      </c>
      <c r="AB346">
        <f t="shared" si="141"/>
        <v>0.88888888888888884</v>
      </c>
      <c r="AC346">
        <f>survey_responses[[#This Row],[Các thủ tục khai báo thuế VÀ/HOẶC quy trình làm việc với cơ quan thuế đơn giản, tiện lợi, nhanh chóng hơn so với trước đây. - HUMAN-FAC1]]</f>
        <v>5</v>
      </c>
      <c r="AD346">
        <f t="shared" si="142"/>
        <v>0.44444444444444442</v>
      </c>
      <c r="AE346">
        <f>step3_validation[[#This Row],[AI_FAC2]]</f>
        <v>8</v>
      </c>
      <c r="AF346">
        <f t="shared" si="143"/>
        <v>0.77777777777777779</v>
      </c>
      <c r="AG346">
        <f>survey_responses[[#This Row],[So với trước đây, tôi thấy cách tính thuế và các bậc thuế trong phương án mới đơn giản, dễ hiểu và dễ thực hiện hơn. - HUMAN-FAC2]]</f>
        <v>8</v>
      </c>
      <c r="AH346">
        <f t="shared" si="144"/>
        <v>0.77777777777777779</v>
      </c>
      <c r="AI346" s="32">
        <f t="shared" si="145"/>
        <v>0.83333333333333326</v>
      </c>
      <c r="AJ346" s="32">
        <f t="shared" si="146"/>
        <v>0.61111111111111116</v>
      </c>
      <c r="AK346">
        <f>step3_validation[[#This Row],[AI_TRU1]]</f>
        <v>6</v>
      </c>
      <c r="AL346">
        <f t="shared" si="147"/>
        <v>0.55555555555555558</v>
      </c>
      <c r="AM346">
        <f>survey_responses[[#This Row],[Tôi tin rằng Nhà nước, cơ quan thuế sẽ thực thi chính sách mới một cách khách quan, công tâm và đối xử bình đẳng với mọi người nộp thuế.  - HUMAN-TRU1]]</f>
        <v>7</v>
      </c>
      <c r="AN346">
        <f t="shared" si="148"/>
        <v>0.66666666666666663</v>
      </c>
      <c r="AO346">
        <f>step3_validation[[#This Row],[AI_TRU2]]</f>
        <v>8</v>
      </c>
      <c r="AP346">
        <f t="shared" si="149"/>
        <v>0.77777777777777779</v>
      </c>
      <c r="AQ346">
        <f>survey_responses[[#This Row],[Tôi thấy mức thuế tôi phải đóng theo phương án mới là công bằng (người thu nhập như tôi đóng mức này là hợp lý). - HUMAN-TRU2]]</f>
        <v>7</v>
      </c>
      <c r="AR346">
        <f t="shared" si="150"/>
        <v>0.66666666666666663</v>
      </c>
      <c r="AS346">
        <f>step3_validation[[#This Row],[AI_TRU3]]</f>
        <v>7</v>
      </c>
      <c r="AT346">
        <f t="shared" si="151"/>
        <v>0.66666666666666663</v>
      </c>
      <c r="AU346">
        <f>survey_responses[[#This Row],[Tôi tin tưởng số tiền thuế tôi đóng sẽ được Nhà nước sử dụng hiệu quả để cải thiện dịch vụ công (y tế, đường xá...). - HUMAN-TRU3]]</f>
        <v>6</v>
      </c>
      <c r="AV346">
        <f t="shared" si="152"/>
        <v>0.55555555555555558</v>
      </c>
      <c r="AW346">
        <f>step3_validation[[#This Row],[AI_TRU4]]</f>
        <v>6</v>
      </c>
      <c r="AX346">
        <f t="shared" si="153"/>
        <v>0.55555555555555558</v>
      </c>
      <c r="AY346">
        <f>survey_responses[[#This Row],[Tôi thấy Nhà nước đã giải thích rõ ràng, minh bạch về lý do và mục tiêu của việc sửa đổi thuế lần này. - HUMAN-TRU4]]</f>
        <v>7</v>
      </c>
      <c r="AZ346">
        <f t="shared" si="154"/>
        <v>0.66666666666666663</v>
      </c>
      <c r="BA346" s="32">
        <f t="shared" si="155"/>
        <v>0.63888888888888884</v>
      </c>
      <c r="BB346" s="32">
        <f t="shared" si="156"/>
        <v>0.63888888888888884</v>
      </c>
      <c r="BC346" s="7">
        <f t="shared" si="157"/>
        <v>0.71296296296296291</v>
      </c>
      <c r="BD346" s="7">
        <f t="shared" si="158"/>
        <v>0.63888888888888884</v>
      </c>
      <c r="BE346">
        <f>step3_validation[[#This Row],[AI_OUT1]]</f>
        <v>9</v>
      </c>
      <c r="BF346">
        <f t="shared" si="159"/>
        <v>0.88888888888888884</v>
      </c>
      <c r="BG346">
        <f>survey_responses[[#This Row],[Sau khi xem xét các quyền lợi và nghĩa vụ, bạn có ủng hộ và tuân thủ chính sách mới hiện nay? - HUMAN-OUT1]]</f>
        <v>7</v>
      </c>
      <c r="BH346">
        <f t="shared" si="160"/>
        <v>0.66666666666666663</v>
      </c>
      <c r="BI346" s="32">
        <f t="shared" si="161"/>
        <v>2</v>
      </c>
    </row>
    <row r="347" spans="1:61" x14ac:dyDescent="0.45">
      <c r="A347" s="30">
        <f>step3_validation[[#This Row],[Persona_ID]]</f>
        <v>346</v>
      </c>
      <c r="B347" s="31">
        <f>step3_validation[[#This Row],[Used_Seed]]</f>
        <v>12690</v>
      </c>
      <c r="C347" t="str">
        <f>step3_validation[[#This Row],[Gender]]</f>
        <v>Nữ</v>
      </c>
      <c r="D347" t="str">
        <f>survey_responses[[#This Row],[Giới tính của bạn:]]</f>
        <v>Nữ</v>
      </c>
      <c r="E347" t="str">
        <f>step3_validation[[#This Row],[Age_Group]]</f>
        <v>30 - 39</v>
      </c>
      <c r="F347" t="str">
        <f>survey_responses[[#This Row],[Độ tuổi của bạn:]]</f>
        <v>30 - 39</v>
      </c>
      <c r="G347" t="str">
        <f>step3_validation[[#This Row],[Region]]</f>
        <v>Thành thị</v>
      </c>
      <c r="H347" t="str">
        <f>survey_responses[[#This Row],[Khu vực bạn đang sinh sống:]]</f>
        <v>Thành thị</v>
      </c>
      <c r="I347" t="str">
        <f>step3_validation[[#This Row],[Education]]</f>
        <v>Đại học</v>
      </c>
      <c r="J347" t="str">
        <f>survey_responses[[#This Row],[Trình độ học vấn cao nhất:]]</f>
        <v>Đại học</v>
      </c>
      <c r="K347" t="str">
        <f>step3_validation[[#This Row],[Employment]]</f>
        <v>Chính thức</v>
      </c>
      <c r="L347" t="str">
        <f>survey_responses[[#This Row],[Tình trạng việc làm chính:]]</f>
        <v>Khu vực chính thức (Có Hợp đồng lao động, đóng BHXH)</v>
      </c>
      <c r="M347">
        <f>step3_validation[[#This Row],[Income_Mil]]</f>
        <v>28.869904376097207</v>
      </c>
      <c r="N347" t="str">
        <f>survey_responses[[#This Row],[Thu nhập bình quân tháng theo Hợp đồng lao động của bạn là bao nhiêu? (Vui lòng điền tổng thu nhập trước khi khấu trừ các loại Bảo hiểm (BHXH, BHYT, BHTN) và Thuế TNCN)]]</f>
        <v>Từ 23 - 32 triệu VNĐ</v>
      </c>
      <c r="O347">
        <f>step3_validation[[#This Row],[Dependents]]</f>
        <v>1</v>
      </c>
      <c r="P347" t="str">
        <f>survey_responses[[#This Row],[Số người phụ thuộc (con nhỏ, cha mẹ già...) đủ điều kiện giảm trừ gia cảnh:]]</f>
        <v>1 người</v>
      </c>
      <c r="Q347">
        <f>step3_validation[[#This Row],[AI_ENF1]]</f>
        <v>7</v>
      </c>
      <c r="R347">
        <f t="shared" si="135"/>
        <v>0.66666666666666663</v>
      </c>
      <c r="S347">
        <f>survey_responses[[#This Row],[Tôi tin rằng với các quy định quản lý thuế hiện nay, hành vi gian lận hoặc trốn thuế sẽ dễ dàng bị phát hiện và xử lý nghiêm. - HUMAN-ENF1]]</f>
        <v>9</v>
      </c>
      <c r="T347">
        <f t="shared" si="136"/>
        <v>0.88888888888888884</v>
      </c>
      <c r="U347">
        <f>step3_validation[[#This Row],[AI_ENF2]]</f>
        <v>8</v>
      </c>
      <c r="V347">
        <f t="shared" si="137"/>
        <v>0.77777777777777779</v>
      </c>
      <c r="W347">
        <f>survey_responses[[#This Row],[Tôi tin rằng Nhà nước, cơ quan thuế có đủ khả năng và công nghệ để phát hiện, xử lý nghiêm các hành vi trốn thuế. - HUMAN-ENF2]]</f>
        <v>8</v>
      </c>
      <c r="X347">
        <f t="shared" si="138"/>
        <v>0.77777777777777779</v>
      </c>
      <c r="Y347" s="32">
        <f t="shared" si="139"/>
        <v>0.72222222222222221</v>
      </c>
      <c r="Z347" s="32">
        <f t="shared" si="140"/>
        <v>0.83333333333333326</v>
      </c>
      <c r="AA347">
        <f>step3_validation[[#This Row],[AI_FAC1]]</f>
        <v>6</v>
      </c>
      <c r="AB347">
        <f t="shared" si="141"/>
        <v>0.55555555555555558</v>
      </c>
      <c r="AC347">
        <f>survey_responses[[#This Row],[Các thủ tục khai báo thuế VÀ/HOẶC quy trình làm việc với cơ quan thuế đơn giản, tiện lợi, nhanh chóng hơn so với trước đây. - HUMAN-FAC1]]</f>
        <v>8</v>
      </c>
      <c r="AD347">
        <f t="shared" si="142"/>
        <v>0.77777777777777779</v>
      </c>
      <c r="AE347">
        <f>step3_validation[[#This Row],[AI_FAC2]]</f>
        <v>7</v>
      </c>
      <c r="AF347">
        <f t="shared" si="143"/>
        <v>0.66666666666666663</v>
      </c>
      <c r="AG347">
        <f>survey_responses[[#This Row],[So với trước đây, tôi thấy cách tính thuế và các bậc thuế trong phương án mới đơn giản, dễ hiểu và dễ thực hiện hơn. - HUMAN-FAC2]]</f>
        <v>9</v>
      </c>
      <c r="AH347">
        <f t="shared" si="144"/>
        <v>0.88888888888888884</v>
      </c>
      <c r="AI347" s="32">
        <f t="shared" si="145"/>
        <v>0.61111111111111116</v>
      </c>
      <c r="AJ347" s="32">
        <f t="shared" si="146"/>
        <v>0.83333333333333326</v>
      </c>
      <c r="AK347">
        <f>step3_validation[[#This Row],[AI_TRU1]]</f>
        <v>7</v>
      </c>
      <c r="AL347">
        <f t="shared" si="147"/>
        <v>0.66666666666666663</v>
      </c>
      <c r="AM347">
        <f>survey_responses[[#This Row],[Tôi tin rằng Nhà nước, cơ quan thuế sẽ thực thi chính sách mới một cách khách quan, công tâm và đối xử bình đẳng với mọi người nộp thuế.  - HUMAN-TRU1]]</f>
        <v>7</v>
      </c>
      <c r="AN347">
        <f t="shared" si="148"/>
        <v>0.66666666666666663</v>
      </c>
      <c r="AO347">
        <f>step3_validation[[#This Row],[AI_TRU2]]</f>
        <v>8</v>
      </c>
      <c r="AP347">
        <f t="shared" si="149"/>
        <v>0.77777777777777779</v>
      </c>
      <c r="AQ347">
        <f>survey_responses[[#This Row],[Tôi thấy mức thuế tôi phải đóng theo phương án mới là công bằng (người thu nhập như tôi đóng mức này là hợp lý). - HUMAN-TRU2]]</f>
        <v>8</v>
      </c>
      <c r="AR347">
        <f t="shared" si="150"/>
        <v>0.77777777777777779</v>
      </c>
      <c r="AS347">
        <f>step3_validation[[#This Row],[AI_TRU3]]</f>
        <v>7</v>
      </c>
      <c r="AT347">
        <f t="shared" si="151"/>
        <v>0.66666666666666663</v>
      </c>
      <c r="AU347">
        <f>survey_responses[[#This Row],[Tôi tin tưởng số tiền thuế tôi đóng sẽ được Nhà nước sử dụng hiệu quả để cải thiện dịch vụ công (y tế, đường xá...). - HUMAN-TRU3]]</f>
        <v>7</v>
      </c>
      <c r="AV347">
        <f t="shared" si="152"/>
        <v>0.66666666666666663</v>
      </c>
      <c r="AW347">
        <f>step3_validation[[#This Row],[AI_TRU4]]</f>
        <v>6</v>
      </c>
      <c r="AX347">
        <f t="shared" si="153"/>
        <v>0.55555555555555558</v>
      </c>
      <c r="AY347">
        <f>survey_responses[[#This Row],[Tôi thấy Nhà nước đã giải thích rõ ràng, minh bạch về lý do và mục tiêu của việc sửa đổi thuế lần này. - HUMAN-TRU4]]</f>
        <v>7</v>
      </c>
      <c r="AZ347">
        <f t="shared" si="154"/>
        <v>0.66666666666666663</v>
      </c>
      <c r="BA347" s="32">
        <f t="shared" si="155"/>
        <v>0.66666666666666674</v>
      </c>
      <c r="BB347" s="32">
        <f t="shared" si="156"/>
        <v>0.69444444444444442</v>
      </c>
      <c r="BC347" s="7">
        <f t="shared" si="157"/>
        <v>0.66666666666666663</v>
      </c>
      <c r="BD347" s="7">
        <f t="shared" si="158"/>
        <v>0.78703703703703687</v>
      </c>
      <c r="BE347">
        <f>step3_validation[[#This Row],[AI_OUT1]]</f>
        <v>9</v>
      </c>
      <c r="BF347">
        <f t="shared" si="159"/>
        <v>0.88888888888888884</v>
      </c>
      <c r="BG347">
        <f>survey_responses[[#This Row],[Sau khi xem xét các quyền lợi và nghĩa vụ, bạn có ủng hộ và tuân thủ chính sách mới hiện nay? - HUMAN-OUT1]]</f>
        <v>8</v>
      </c>
      <c r="BH347">
        <f t="shared" si="160"/>
        <v>0.77777777777777779</v>
      </c>
      <c r="BI347" s="32">
        <f t="shared" si="161"/>
        <v>1</v>
      </c>
    </row>
    <row r="348" spans="1:61" x14ac:dyDescent="0.45">
      <c r="A348" s="30">
        <f>step3_validation[[#This Row],[Persona_ID]]</f>
        <v>347</v>
      </c>
      <c r="B348" s="31">
        <f>step3_validation[[#This Row],[Used_Seed]]</f>
        <v>12691</v>
      </c>
      <c r="C348" t="str">
        <f>step3_validation[[#This Row],[Gender]]</f>
        <v>Nữ</v>
      </c>
      <c r="D348" t="str">
        <f>survey_responses[[#This Row],[Giới tính của bạn:]]</f>
        <v>Nữ</v>
      </c>
      <c r="E348" t="str">
        <f>step3_validation[[#This Row],[Age_Group]]</f>
        <v>25 - 29</v>
      </c>
      <c r="F348" t="str">
        <f>survey_responses[[#This Row],[Độ tuổi của bạn:]]</f>
        <v>25 - 29</v>
      </c>
      <c r="G348" t="str">
        <f>step3_validation[[#This Row],[Region]]</f>
        <v>Thành thị</v>
      </c>
      <c r="H348" t="str">
        <f>survey_responses[[#This Row],[Khu vực bạn đang sinh sống:]]</f>
        <v>Thành thị</v>
      </c>
      <c r="I348" t="str">
        <f>step3_validation[[#This Row],[Education]]</f>
        <v>Đại học</v>
      </c>
      <c r="J348" t="str">
        <f>survey_responses[[#This Row],[Trình độ học vấn cao nhất:]]</f>
        <v>Đại học</v>
      </c>
      <c r="K348" t="str">
        <f>step3_validation[[#This Row],[Employment]]</f>
        <v>Chính thức</v>
      </c>
      <c r="L348" t="str">
        <f>survey_responses[[#This Row],[Tình trạng việc làm chính:]]</f>
        <v>Khu vực chính thức (Có Hợp đồng lao động, đóng BHXH)</v>
      </c>
      <c r="M348">
        <f>step3_validation[[#This Row],[Income_Mil]]</f>
        <v>18.18328571339428</v>
      </c>
      <c r="N348" t="str">
        <f>survey_responses[[#This Row],[Thu nhập bình quân tháng theo Hợp đồng lao động của bạn là bao nhiêu? (Vui lòng điền tổng thu nhập trước khi khấu trừ các loại Bảo hiểm (BHXH, BHYT, BHTN) và Thuế TNCN)]]</f>
        <v>Từ 18 - 23 triệu VNĐ</v>
      </c>
      <c r="O348">
        <f>step3_validation[[#This Row],[Dependents]]</f>
        <v>0</v>
      </c>
      <c r="P348" t="str">
        <f>survey_responses[[#This Row],[Số người phụ thuộc (con nhỏ, cha mẹ già...) đủ điều kiện giảm trừ gia cảnh:]]</f>
        <v>0 người</v>
      </c>
      <c r="Q348">
        <f>step3_validation[[#This Row],[AI_ENF1]]</f>
        <v>5</v>
      </c>
      <c r="R348">
        <f t="shared" si="135"/>
        <v>0.44444444444444442</v>
      </c>
      <c r="S348">
        <f>survey_responses[[#This Row],[Tôi tin rằng với các quy định quản lý thuế hiện nay, hành vi gian lận hoặc trốn thuế sẽ dễ dàng bị phát hiện và xử lý nghiêm. - HUMAN-ENF1]]</f>
        <v>8</v>
      </c>
      <c r="T348">
        <f t="shared" si="136"/>
        <v>0.77777777777777779</v>
      </c>
      <c r="U348">
        <f>step3_validation[[#This Row],[AI_ENF2]]</f>
        <v>4</v>
      </c>
      <c r="V348">
        <f t="shared" si="137"/>
        <v>0.33333333333333331</v>
      </c>
      <c r="W348">
        <f>survey_responses[[#This Row],[Tôi tin rằng Nhà nước, cơ quan thuế có đủ khả năng và công nghệ để phát hiện, xử lý nghiêm các hành vi trốn thuế. - HUMAN-ENF2]]</f>
        <v>8</v>
      </c>
      <c r="X348">
        <f t="shared" si="138"/>
        <v>0.77777777777777779</v>
      </c>
      <c r="Y348" s="32">
        <f t="shared" si="139"/>
        <v>0.38888888888888884</v>
      </c>
      <c r="Z348" s="32">
        <f t="shared" si="140"/>
        <v>0.77777777777777779</v>
      </c>
      <c r="AA348">
        <f>step3_validation[[#This Row],[AI_FAC1]]</f>
        <v>7</v>
      </c>
      <c r="AB348">
        <f t="shared" si="141"/>
        <v>0.66666666666666663</v>
      </c>
      <c r="AC348">
        <f>survey_responses[[#This Row],[Các thủ tục khai báo thuế VÀ/HOẶC quy trình làm việc với cơ quan thuế đơn giản, tiện lợi, nhanh chóng hơn so với trước đây. - HUMAN-FAC1]]</f>
        <v>7</v>
      </c>
      <c r="AD348">
        <f t="shared" si="142"/>
        <v>0.66666666666666663</v>
      </c>
      <c r="AE348">
        <f>step3_validation[[#This Row],[AI_FAC2]]</f>
        <v>8</v>
      </c>
      <c r="AF348">
        <f t="shared" si="143"/>
        <v>0.77777777777777779</v>
      </c>
      <c r="AG348">
        <f>survey_responses[[#This Row],[So với trước đây, tôi thấy cách tính thuế và các bậc thuế trong phương án mới đơn giản, dễ hiểu và dễ thực hiện hơn. - HUMAN-FAC2]]</f>
        <v>8</v>
      </c>
      <c r="AH348">
        <f t="shared" si="144"/>
        <v>0.77777777777777779</v>
      </c>
      <c r="AI348" s="32">
        <f t="shared" si="145"/>
        <v>0.72222222222222221</v>
      </c>
      <c r="AJ348" s="32">
        <f t="shared" si="146"/>
        <v>0.72222222222222221</v>
      </c>
      <c r="AK348">
        <f>step3_validation[[#This Row],[AI_TRU1]]</f>
        <v>6</v>
      </c>
      <c r="AL348">
        <f t="shared" si="147"/>
        <v>0.55555555555555558</v>
      </c>
      <c r="AM348">
        <f>survey_responses[[#This Row],[Tôi tin rằng Nhà nước, cơ quan thuế sẽ thực thi chính sách mới một cách khách quan, công tâm và đối xử bình đẳng với mọi người nộp thuế.  - HUMAN-TRU1]]</f>
        <v>6</v>
      </c>
      <c r="AN348">
        <f t="shared" si="148"/>
        <v>0.55555555555555558</v>
      </c>
      <c r="AO348">
        <f>step3_validation[[#This Row],[AI_TRU2]]</f>
        <v>7</v>
      </c>
      <c r="AP348">
        <f t="shared" si="149"/>
        <v>0.66666666666666663</v>
      </c>
      <c r="AQ348">
        <f>survey_responses[[#This Row],[Tôi thấy mức thuế tôi phải đóng theo phương án mới là công bằng (người thu nhập như tôi đóng mức này là hợp lý). - HUMAN-TRU2]]</f>
        <v>8</v>
      </c>
      <c r="AR348">
        <f t="shared" si="150"/>
        <v>0.77777777777777779</v>
      </c>
      <c r="AS348">
        <f>step3_validation[[#This Row],[AI_TRU3]]</f>
        <v>5</v>
      </c>
      <c r="AT348">
        <f t="shared" si="151"/>
        <v>0.44444444444444442</v>
      </c>
      <c r="AU348">
        <f>survey_responses[[#This Row],[Tôi tin tưởng số tiền thuế tôi đóng sẽ được Nhà nước sử dụng hiệu quả để cải thiện dịch vụ công (y tế, đường xá...). - HUMAN-TRU3]]</f>
        <v>6</v>
      </c>
      <c r="AV348">
        <f t="shared" si="152"/>
        <v>0.55555555555555558</v>
      </c>
      <c r="AW348">
        <f>step3_validation[[#This Row],[AI_TRU4]]</f>
        <v>6</v>
      </c>
      <c r="AX348">
        <f t="shared" si="153"/>
        <v>0.55555555555555558</v>
      </c>
      <c r="AY348">
        <f>survey_responses[[#This Row],[Tôi thấy Nhà nước đã giải thích rõ ràng, minh bạch về lý do và mục tiêu của việc sửa đổi thuế lần này. - HUMAN-TRU4]]</f>
        <v>6</v>
      </c>
      <c r="AZ348">
        <f t="shared" si="154"/>
        <v>0.55555555555555558</v>
      </c>
      <c r="BA348" s="32">
        <f t="shared" si="155"/>
        <v>0.55555555555555558</v>
      </c>
      <c r="BB348" s="32">
        <f t="shared" si="156"/>
        <v>0.61111111111111116</v>
      </c>
      <c r="BC348" s="7">
        <f t="shared" si="157"/>
        <v>0.55555555555555558</v>
      </c>
      <c r="BD348" s="7">
        <f t="shared" si="158"/>
        <v>0.70370370370370372</v>
      </c>
      <c r="BE348">
        <f>step3_validation[[#This Row],[AI_OUT1]]</f>
        <v>8</v>
      </c>
      <c r="BF348">
        <f t="shared" si="159"/>
        <v>0.77777777777777779</v>
      </c>
      <c r="BG348">
        <f>survey_responses[[#This Row],[Sau khi xem xét các quyền lợi và nghĩa vụ, bạn có ủng hộ và tuân thủ chính sách mới hiện nay? - HUMAN-OUT1]]</f>
        <v>8</v>
      </c>
      <c r="BH348">
        <f t="shared" si="160"/>
        <v>0.77777777777777779</v>
      </c>
      <c r="BI348" s="32">
        <f t="shared" si="161"/>
        <v>0</v>
      </c>
    </row>
    <row r="349" spans="1:61" x14ac:dyDescent="0.45">
      <c r="A349" s="30">
        <f>step3_validation[[#This Row],[Persona_ID]]</f>
        <v>348</v>
      </c>
      <c r="B349" s="31">
        <f>step3_validation[[#This Row],[Used_Seed]]</f>
        <v>12692</v>
      </c>
      <c r="C349" t="str">
        <f>step3_validation[[#This Row],[Gender]]</f>
        <v>Nữ</v>
      </c>
      <c r="D349" t="str">
        <f>survey_responses[[#This Row],[Giới tính của bạn:]]</f>
        <v>Nữ</v>
      </c>
      <c r="E349" t="str">
        <f>step3_validation[[#This Row],[Age_Group]]</f>
        <v>25 - 29</v>
      </c>
      <c r="F349" t="str">
        <f>survey_responses[[#This Row],[Độ tuổi của bạn:]]</f>
        <v>25 - 29</v>
      </c>
      <c r="G349" t="str">
        <f>step3_validation[[#This Row],[Region]]</f>
        <v>Thành thị</v>
      </c>
      <c r="H349" t="str">
        <f>survey_responses[[#This Row],[Khu vực bạn đang sinh sống:]]</f>
        <v>Thành thị</v>
      </c>
      <c r="I349" t="str">
        <f>step3_validation[[#This Row],[Education]]</f>
        <v>Đại học</v>
      </c>
      <c r="J349" t="str">
        <f>survey_responses[[#This Row],[Trình độ học vấn cao nhất:]]</f>
        <v>Đại học</v>
      </c>
      <c r="K349" t="str">
        <f>step3_validation[[#This Row],[Employment]]</f>
        <v>Chính thức</v>
      </c>
      <c r="L349" t="str">
        <f>survey_responses[[#This Row],[Tình trạng việc làm chính:]]</f>
        <v>Khu vực chính thức (Có Hợp đồng lao động, đóng BHXH)</v>
      </c>
      <c r="M349">
        <f>step3_validation[[#This Row],[Income_Mil]]</f>
        <v>21.829935364779054</v>
      </c>
      <c r="N349" t="str">
        <f>survey_responses[[#This Row],[Thu nhập bình quân tháng theo Hợp đồng lao động của bạn là bao nhiêu? (Vui lòng điền tổng thu nhập trước khi khấu trừ các loại Bảo hiểm (BHXH, BHYT, BHTN) và Thuế TNCN)]]</f>
        <v>Từ 18 - 23 triệu VNĐ</v>
      </c>
      <c r="O349">
        <f>step3_validation[[#This Row],[Dependents]]</f>
        <v>0</v>
      </c>
      <c r="P349" t="str">
        <f>survey_responses[[#This Row],[Số người phụ thuộc (con nhỏ, cha mẹ già...) đủ điều kiện giảm trừ gia cảnh:]]</f>
        <v>0 người</v>
      </c>
      <c r="Q349">
        <f>step3_validation[[#This Row],[AI_ENF1]]</f>
        <v>7</v>
      </c>
      <c r="R349">
        <f t="shared" si="135"/>
        <v>0.66666666666666663</v>
      </c>
      <c r="S349">
        <f>survey_responses[[#This Row],[Tôi tin rằng với các quy định quản lý thuế hiện nay, hành vi gian lận hoặc trốn thuế sẽ dễ dàng bị phát hiện và xử lý nghiêm. - HUMAN-ENF1]]</f>
        <v>8</v>
      </c>
      <c r="T349">
        <f t="shared" si="136"/>
        <v>0.77777777777777779</v>
      </c>
      <c r="U349">
        <f>step3_validation[[#This Row],[AI_ENF2]]</f>
        <v>7</v>
      </c>
      <c r="V349">
        <f t="shared" si="137"/>
        <v>0.66666666666666663</v>
      </c>
      <c r="W349">
        <f>survey_responses[[#This Row],[Tôi tin rằng Nhà nước, cơ quan thuế có đủ khả năng và công nghệ để phát hiện, xử lý nghiêm các hành vi trốn thuế. - HUMAN-ENF2]]</f>
        <v>8</v>
      </c>
      <c r="X349">
        <f t="shared" si="138"/>
        <v>0.77777777777777779</v>
      </c>
      <c r="Y349" s="32">
        <f t="shared" si="139"/>
        <v>0.66666666666666663</v>
      </c>
      <c r="Z349" s="32">
        <f t="shared" si="140"/>
        <v>0.77777777777777779</v>
      </c>
      <c r="AA349">
        <f>step3_validation[[#This Row],[AI_FAC1]]</f>
        <v>6</v>
      </c>
      <c r="AB349">
        <f t="shared" si="141"/>
        <v>0.55555555555555558</v>
      </c>
      <c r="AC349">
        <f>survey_responses[[#This Row],[Các thủ tục khai báo thuế VÀ/HOẶC quy trình làm việc với cơ quan thuế đơn giản, tiện lợi, nhanh chóng hơn so với trước đây. - HUMAN-FAC1]]</f>
        <v>7</v>
      </c>
      <c r="AD349">
        <f t="shared" si="142"/>
        <v>0.66666666666666663</v>
      </c>
      <c r="AE349">
        <f>step3_validation[[#This Row],[AI_FAC2]]</f>
        <v>8</v>
      </c>
      <c r="AF349">
        <f t="shared" si="143"/>
        <v>0.77777777777777779</v>
      </c>
      <c r="AG349">
        <f>survey_responses[[#This Row],[So với trước đây, tôi thấy cách tính thuế và các bậc thuế trong phương án mới đơn giản, dễ hiểu và dễ thực hiện hơn. - HUMAN-FAC2]]</f>
        <v>7</v>
      </c>
      <c r="AH349">
        <f t="shared" si="144"/>
        <v>0.66666666666666663</v>
      </c>
      <c r="AI349" s="32">
        <f t="shared" si="145"/>
        <v>0.66666666666666674</v>
      </c>
      <c r="AJ349" s="32">
        <f t="shared" si="146"/>
        <v>0.66666666666666663</v>
      </c>
      <c r="AK349">
        <f>step3_validation[[#This Row],[AI_TRU1]]</f>
        <v>9</v>
      </c>
      <c r="AL349">
        <f t="shared" si="147"/>
        <v>0.88888888888888884</v>
      </c>
      <c r="AM349">
        <f>survey_responses[[#This Row],[Tôi tin rằng Nhà nước, cơ quan thuế sẽ thực thi chính sách mới một cách khách quan, công tâm và đối xử bình đẳng với mọi người nộp thuế.  - HUMAN-TRU1]]</f>
        <v>6</v>
      </c>
      <c r="AN349">
        <f t="shared" si="148"/>
        <v>0.55555555555555558</v>
      </c>
      <c r="AO349">
        <f>step3_validation[[#This Row],[AI_TRU2]]</f>
        <v>8</v>
      </c>
      <c r="AP349">
        <f t="shared" si="149"/>
        <v>0.77777777777777779</v>
      </c>
      <c r="AQ349">
        <f>survey_responses[[#This Row],[Tôi thấy mức thuế tôi phải đóng theo phương án mới là công bằng (người thu nhập như tôi đóng mức này là hợp lý). - HUMAN-TRU2]]</f>
        <v>7</v>
      </c>
      <c r="AR349">
        <f t="shared" si="150"/>
        <v>0.66666666666666663</v>
      </c>
      <c r="AS349">
        <f>step3_validation[[#This Row],[AI_TRU3]]</f>
        <v>9</v>
      </c>
      <c r="AT349">
        <f t="shared" si="151"/>
        <v>0.88888888888888884</v>
      </c>
      <c r="AU349">
        <f>survey_responses[[#This Row],[Tôi tin tưởng số tiền thuế tôi đóng sẽ được Nhà nước sử dụng hiệu quả để cải thiện dịch vụ công (y tế, đường xá...). - HUMAN-TRU3]]</f>
        <v>6</v>
      </c>
      <c r="AV349">
        <f t="shared" si="152"/>
        <v>0.55555555555555558</v>
      </c>
      <c r="AW349">
        <f>step3_validation[[#This Row],[AI_TRU4]]</f>
        <v>7</v>
      </c>
      <c r="AX349">
        <f t="shared" si="153"/>
        <v>0.66666666666666663</v>
      </c>
      <c r="AY349">
        <f>survey_responses[[#This Row],[Tôi thấy Nhà nước đã giải thích rõ ràng, minh bạch về lý do và mục tiêu của việc sửa đổi thuế lần này. - HUMAN-TRU4]]</f>
        <v>6</v>
      </c>
      <c r="AZ349">
        <f t="shared" si="154"/>
        <v>0.55555555555555558</v>
      </c>
      <c r="BA349" s="32">
        <f t="shared" si="155"/>
        <v>0.80555555555555547</v>
      </c>
      <c r="BB349" s="32">
        <f t="shared" si="156"/>
        <v>0.58333333333333337</v>
      </c>
      <c r="BC349" s="7">
        <f t="shared" si="157"/>
        <v>0.71296296296296291</v>
      </c>
      <c r="BD349" s="7">
        <f t="shared" si="158"/>
        <v>0.67592592592592593</v>
      </c>
      <c r="BE349">
        <f>step3_validation[[#This Row],[AI_OUT1]]</f>
        <v>9</v>
      </c>
      <c r="BF349">
        <f t="shared" si="159"/>
        <v>0.88888888888888884</v>
      </c>
      <c r="BG349">
        <f>survey_responses[[#This Row],[Sau khi xem xét các quyền lợi và nghĩa vụ, bạn có ủng hộ và tuân thủ chính sách mới hiện nay? - HUMAN-OUT1]]</f>
        <v>7</v>
      </c>
      <c r="BH349">
        <f t="shared" si="160"/>
        <v>0.66666666666666663</v>
      </c>
      <c r="BI349" s="32">
        <f t="shared" si="161"/>
        <v>2</v>
      </c>
    </row>
    <row r="350" spans="1:61" x14ac:dyDescent="0.45">
      <c r="A350" s="30">
        <f>step3_validation[[#This Row],[Persona_ID]]</f>
        <v>349</v>
      </c>
      <c r="B350" s="31">
        <f>step3_validation[[#This Row],[Used_Seed]]</f>
        <v>12693</v>
      </c>
      <c r="C350" t="str">
        <f>step3_validation[[#This Row],[Gender]]</f>
        <v>Nữ</v>
      </c>
      <c r="D350" t="str">
        <f>survey_responses[[#This Row],[Giới tính của bạn:]]</f>
        <v>Nữ</v>
      </c>
      <c r="E350" t="str">
        <f>step3_validation[[#This Row],[Age_Group]]</f>
        <v>25 - 29</v>
      </c>
      <c r="F350" t="str">
        <f>survey_responses[[#This Row],[Độ tuổi của bạn:]]</f>
        <v>25 - 29</v>
      </c>
      <c r="G350" t="str">
        <f>step3_validation[[#This Row],[Region]]</f>
        <v>Thành thị</v>
      </c>
      <c r="H350" t="str">
        <f>survey_responses[[#This Row],[Khu vực bạn đang sinh sống:]]</f>
        <v>Thành thị</v>
      </c>
      <c r="I350" t="str">
        <f>step3_validation[[#This Row],[Education]]</f>
        <v>Đại học</v>
      </c>
      <c r="J350" t="str">
        <f>survey_responses[[#This Row],[Trình độ học vấn cao nhất:]]</f>
        <v>Đại học</v>
      </c>
      <c r="K350" t="str">
        <f>step3_validation[[#This Row],[Employment]]</f>
        <v>Chính thức</v>
      </c>
      <c r="L350" t="str">
        <f>survey_responses[[#This Row],[Tình trạng việc làm chính:]]</f>
        <v>Khu vực chính thức (Có Hợp đồng lao động, đóng BHXH)</v>
      </c>
      <c r="M350">
        <f>step3_validation[[#This Row],[Income_Mil]]</f>
        <v>18.940736922102833</v>
      </c>
      <c r="N350" t="str">
        <f>survey_responses[[#This Row],[Thu nhập bình quân tháng theo Hợp đồng lao động của bạn là bao nhiêu? (Vui lòng điền tổng thu nhập trước khi khấu trừ các loại Bảo hiểm (BHXH, BHYT, BHTN) và Thuế TNCN)]]</f>
        <v>Từ 18 - 23 triệu VNĐ</v>
      </c>
      <c r="O350">
        <f>step3_validation[[#This Row],[Dependents]]</f>
        <v>0</v>
      </c>
      <c r="P350" t="str">
        <f>survey_responses[[#This Row],[Số người phụ thuộc (con nhỏ, cha mẹ già...) đủ điều kiện giảm trừ gia cảnh:]]</f>
        <v>0 người</v>
      </c>
      <c r="Q350">
        <f>step3_validation[[#This Row],[AI_ENF1]]</f>
        <v>6</v>
      </c>
      <c r="R350">
        <f t="shared" si="135"/>
        <v>0.55555555555555558</v>
      </c>
      <c r="S350">
        <f>survey_responses[[#This Row],[Tôi tin rằng với các quy định quản lý thuế hiện nay, hành vi gian lận hoặc trốn thuế sẽ dễ dàng bị phát hiện và xử lý nghiêm. - HUMAN-ENF1]]</f>
        <v>4</v>
      </c>
      <c r="T350">
        <f t="shared" si="136"/>
        <v>0.33333333333333331</v>
      </c>
      <c r="U350">
        <f>step3_validation[[#This Row],[AI_ENF2]]</f>
        <v>7</v>
      </c>
      <c r="V350">
        <f t="shared" si="137"/>
        <v>0.66666666666666663</v>
      </c>
      <c r="W350">
        <f>survey_responses[[#This Row],[Tôi tin rằng Nhà nước, cơ quan thuế có đủ khả năng và công nghệ để phát hiện, xử lý nghiêm các hành vi trốn thuế. - HUMAN-ENF2]]</f>
        <v>4</v>
      </c>
      <c r="X350">
        <f t="shared" si="138"/>
        <v>0.33333333333333331</v>
      </c>
      <c r="Y350" s="32">
        <f t="shared" si="139"/>
        <v>0.61111111111111116</v>
      </c>
      <c r="Z350" s="32">
        <f t="shared" si="140"/>
        <v>0.33333333333333331</v>
      </c>
      <c r="AA350">
        <f>step3_validation[[#This Row],[AI_FAC1]]</f>
        <v>8</v>
      </c>
      <c r="AB350">
        <f t="shared" si="141"/>
        <v>0.77777777777777779</v>
      </c>
      <c r="AC350">
        <f>survey_responses[[#This Row],[Các thủ tục khai báo thuế VÀ/HOẶC quy trình làm việc với cơ quan thuế đơn giản, tiện lợi, nhanh chóng hơn so với trước đây. - HUMAN-FAC1]]</f>
        <v>5</v>
      </c>
      <c r="AD350">
        <f t="shared" si="142"/>
        <v>0.44444444444444442</v>
      </c>
      <c r="AE350">
        <f>step3_validation[[#This Row],[AI_FAC2]]</f>
        <v>9</v>
      </c>
      <c r="AF350">
        <f t="shared" si="143"/>
        <v>0.88888888888888884</v>
      </c>
      <c r="AG350">
        <f>survey_responses[[#This Row],[So với trước đây, tôi thấy cách tính thuế và các bậc thuế trong phương án mới đơn giản, dễ hiểu và dễ thực hiện hơn. - HUMAN-FAC2]]</f>
        <v>7</v>
      </c>
      <c r="AH350">
        <f t="shared" si="144"/>
        <v>0.66666666666666663</v>
      </c>
      <c r="AI350" s="32">
        <f t="shared" si="145"/>
        <v>0.83333333333333326</v>
      </c>
      <c r="AJ350" s="32">
        <f t="shared" si="146"/>
        <v>0.55555555555555558</v>
      </c>
      <c r="AK350">
        <f>step3_validation[[#This Row],[AI_TRU1]]</f>
        <v>7</v>
      </c>
      <c r="AL350">
        <f t="shared" si="147"/>
        <v>0.66666666666666663</v>
      </c>
      <c r="AM350">
        <f>survey_responses[[#This Row],[Tôi tin rằng Nhà nước, cơ quan thuế sẽ thực thi chính sách mới một cách khách quan, công tâm và đối xử bình đẳng với mọi người nộp thuế.  - HUMAN-TRU1]]</f>
        <v>5</v>
      </c>
      <c r="AN350">
        <f t="shared" si="148"/>
        <v>0.44444444444444442</v>
      </c>
      <c r="AO350">
        <f>step3_validation[[#This Row],[AI_TRU2]]</f>
        <v>9</v>
      </c>
      <c r="AP350">
        <f t="shared" si="149"/>
        <v>0.88888888888888884</v>
      </c>
      <c r="AQ350">
        <f>survey_responses[[#This Row],[Tôi thấy mức thuế tôi phải đóng theo phương án mới là công bằng (người thu nhập như tôi đóng mức này là hợp lý). - HUMAN-TRU2]]</f>
        <v>6</v>
      </c>
      <c r="AR350">
        <f t="shared" si="150"/>
        <v>0.55555555555555558</v>
      </c>
      <c r="AS350">
        <f>step3_validation[[#This Row],[AI_TRU3]]</f>
        <v>6</v>
      </c>
      <c r="AT350">
        <f t="shared" si="151"/>
        <v>0.55555555555555558</v>
      </c>
      <c r="AU350">
        <f>survey_responses[[#This Row],[Tôi tin tưởng số tiền thuế tôi đóng sẽ được Nhà nước sử dụng hiệu quả để cải thiện dịch vụ công (y tế, đường xá...). - HUMAN-TRU3]]</f>
        <v>6</v>
      </c>
      <c r="AV350">
        <f t="shared" si="152"/>
        <v>0.55555555555555558</v>
      </c>
      <c r="AW350">
        <f>step3_validation[[#This Row],[AI_TRU4]]</f>
        <v>7</v>
      </c>
      <c r="AX350">
        <f t="shared" si="153"/>
        <v>0.66666666666666663</v>
      </c>
      <c r="AY350">
        <f>survey_responses[[#This Row],[Tôi thấy Nhà nước đã giải thích rõ ràng, minh bạch về lý do và mục tiêu của việc sửa đổi thuế lần này. - HUMAN-TRU4]]</f>
        <v>6</v>
      </c>
      <c r="AZ350">
        <f t="shared" si="154"/>
        <v>0.55555555555555558</v>
      </c>
      <c r="BA350" s="32">
        <f t="shared" si="155"/>
        <v>0.69444444444444431</v>
      </c>
      <c r="BB350" s="32">
        <f t="shared" si="156"/>
        <v>0.52777777777777779</v>
      </c>
      <c r="BC350" s="7">
        <f t="shared" si="157"/>
        <v>0.71296296296296291</v>
      </c>
      <c r="BD350" s="7">
        <f t="shared" si="158"/>
        <v>0.47222222222222215</v>
      </c>
      <c r="BE350">
        <f>step3_validation[[#This Row],[AI_OUT1]]</f>
        <v>9</v>
      </c>
      <c r="BF350">
        <f t="shared" si="159"/>
        <v>0.88888888888888884</v>
      </c>
      <c r="BG350">
        <f>survey_responses[[#This Row],[Sau khi xem xét các quyền lợi và nghĩa vụ, bạn có ủng hộ và tuân thủ chính sách mới hiện nay? - HUMAN-OUT1]]</f>
        <v>6</v>
      </c>
      <c r="BH350">
        <f t="shared" si="160"/>
        <v>0.55555555555555558</v>
      </c>
      <c r="BI350" s="32">
        <f t="shared" si="161"/>
        <v>3</v>
      </c>
    </row>
    <row r="351" spans="1:61" x14ac:dyDescent="0.45">
      <c r="A351" s="30">
        <f>step3_validation[[#This Row],[Persona_ID]]</f>
        <v>350</v>
      </c>
      <c r="B351" s="31">
        <f>step3_validation[[#This Row],[Used_Seed]]</f>
        <v>12694</v>
      </c>
      <c r="C351" t="str">
        <f>step3_validation[[#This Row],[Gender]]</f>
        <v>Nữ</v>
      </c>
      <c r="D351" t="str">
        <f>survey_responses[[#This Row],[Giới tính của bạn:]]</f>
        <v>Nữ</v>
      </c>
      <c r="E351" t="str">
        <f>step3_validation[[#This Row],[Age_Group]]</f>
        <v>25 - 29</v>
      </c>
      <c r="F351" t="str">
        <f>survey_responses[[#This Row],[Độ tuổi của bạn:]]</f>
        <v>25 - 29</v>
      </c>
      <c r="G351" t="str">
        <f>step3_validation[[#This Row],[Region]]</f>
        <v>Thành thị</v>
      </c>
      <c r="H351" t="str">
        <f>survey_responses[[#This Row],[Khu vực bạn đang sinh sống:]]</f>
        <v>Thành thị</v>
      </c>
      <c r="I351" t="str">
        <f>step3_validation[[#This Row],[Education]]</f>
        <v>Đại học</v>
      </c>
      <c r="J351" t="str">
        <f>survey_responses[[#This Row],[Trình độ học vấn cao nhất:]]</f>
        <v>Đại học</v>
      </c>
      <c r="K351" t="str">
        <f>step3_validation[[#This Row],[Employment]]</f>
        <v>Chính thức</v>
      </c>
      <c r="L351" t="str">
        <f>survey_responses[[#This Row],[Tình trạng việc làm chính:]]</f>
        <v>Khu vực chính thức (Có Hợp đồng lao động, đóng BHXH)</v>
      </c>
      <c r="M351">
        <f>step3_validation[[#This Row],[Income_Mil]]</f>
        <v>25.591899975098052</v>
      </c>
      <c r="N351" t="str">
        <f>survey_responses[[#This Row],[Thu nhập bình quân tháng theo Hợp đồng lao động của bạn là bao nhiêu? (Vui lòng điền tổng thu nhập trước khi khấu trừ các loại Bảo hiểm (BHXH, BHYT, BHTN) và Thuế TNCN)]]</f>
        <v>Từ 23 - 32 triệu VNĐ</v>
      </c>
      <c r="O351">
        <f>step3_validation[[#This Row],[Dependents]]</f>
        <v>0</v>
      </c>
      <c r="P351" t="str">
        <f>survey_responses[[#This Row],[Số người phụ thuộc (con nhỏ, cha mẹ già...) đủ điều kiện giảm trừ gia cảnh:]]</f>
        <v>0 người</v>
      </c>
      <c r="Q351">
        <f>step3_validation[[#This Row],[AI_ENF1]]</f>
        <v>7</v>
      </c>
      <c r="R351">
        <f t="shared" si="135"/>
        <v>0.66666666666666663</v>
      </c>
      <c r="S351">
        <f>survey_responses[[#This Row],[Tôi tin rằng với các quy định quản lý thuế hiện nay, hành vi gian lận hoặc trốn thuế sẽ dễ dàng bị phát hiện và xử lý nghiêm. - HUMAN-ENF1]]</f>
        <v>7</v>
      </c>
      <c r="T351">
        <f t="shared" si="136"/>
        <v>0.66666666666666663</v>
      </c>
      <c r="U351">
        <f>step3_validation[[#This Row],[AI_ENF2]]</f>
        <v>8</v>
      </c>
      <c r="V351">
        <f t="shared" si="137"/>
        <v>0.77777777777777779</v>
      </c>
      <c r="W351">
        <f>survey_responses[[#This Row],[Tôi tin rằng Nhà nước, cơ quan thuế có đủ khả năng và công nghệ để phát hiện, xử lý nghiêm các hành vi trốn thuế. - HUMAN-ENF2]]</f>
        <v>7</v>
      </c>
      <c r="X351">
        <f t="shared" si="138"/>
        <v>0.66666666666666663</v>
      </c>
      <c r="Y351" s="32">
        <f t="shared" si="139"/>
        <v>0.72222222222222221</v>
      </c>
      <c r="Z351" s="32">
        <f t="shared" si="140"/>
        <v>0.66666666666666663</v>
      </c>
      <c r="AA351">
        <f>step3_validation[[#This Row],[AI_FAC1]]</f>
        <v>9</v>
      </c>
      <c r="AB351">
        <f t="shared" si="141"/>
        <v>0.88888888888888884</v>
      </c>
      <c r="AC351">
        <f>survey_responses[[#This Row],[Các thủ tục khai báo thuế VÀ/HOẶC quy trình làm việc với cơ quan thuế đơn giản, tiện lợi, nhanh chóng hơn so với trước đây. - HUMAN-FAC1]]</f>
        <v>8</v>
      </c>
      <c r="AD351">
        <f t="shared" si="142"/>
        <v>0.77777777777777779</v>
      </c>
      <c r="AE351">
        <f>step3_validation[[#This Row],[AI_FAC2]]</f>
        <v>8</v>
      </c>
      <c r="AF351">
        <f t="shared" si="143"/>
        <v>0.77777777777777779</v>
      </c>
      <c r="AG351">
        <f>survey_responses[[#This Row],[So với trước đây, tôi thấy cách tính thuế và các bậc thuế trong phương án mới đơn giản, dễ hiểu và dễ thực hiện hơn. - HUMAN-FAC2]]</f>
        <v>8</v>
      </c>
      <c r="AH351">
        <f t="shared" si="144"/>
        <v>0.77777777777777779</v>
      </c>
      <c r="AI351" s="32">
        <f t="shared" si="145"/>
        <v>0.83333333333333326</v>
      </c>
      <c r="AJ351" s="32">
        <f t="shared" si="146"/>
        <v>0.77777777777777779</v>
      </c>
      <c r="AK351">
        <f>step3_validation[[#This Row],[AI_TRU1]]</f>
        <v>9</v>
      </c>
      <c r="AL351">
        <f t="shared" si="147"/>
        <v>0.88888888888888884</v>
      </c>
      <c r="AM351">
        <f>survey_responses[[#This Row],[Tôi tin rằng Nhà nước, cơ quan thuế sẽ thực thi chính sách mới một cách khách quan, công tâm và đối xử bình đẳng với mọi người nộp thuế.  - HUMAN-TRU1]]</f>
        <v>7</v>
      </c>
      <c r="AN351">
        <f t="shared" si="148"/>
        <v>0.66666666666666663</v>
      </c>
      <c r="AO351">
        <f>step3_validation[[#This Row],[AI_TRU2]]</f>
        <v>8</v>
      </c>
      <c r="AP351">
        <f t="shared" si="149"/>
        <v>0.77777777777777779</v>
      </c>
      <c r="AQ351">
        <f>survey_responses[[#This Row],[Tôi thấy mức thuế tôi phải đóng theo phương án mới là công bằng (người thu nhập như tôi đóng mức này là hợp lý). - HUMAN-TRU2]]</f>
        <v>7</v>
      </c>
      <c r="AR351">
        <f t="shared" si="150"/>
        <v>0.66666666666666663</v>
      </c>
      <c r="AS351">
        <f>step3_validation[[#This Row],[AI_TRU3]]</f>
        <v>9</v>
      </c>
      <c r="AT351">
        <f t="shared" si="151"/>
        <v>0.88888888888888884</v>
      </c>
      <c r="AU351">
        <f>survey_responses[[#This Row],[Tôi tin tưởng số tiền thuế tôi đóng sẽ được Nhà nước sử dụng hiệu quả để cải thiện dịch vụ công (y tế, đường xá...). - HUMAN-TRU3]]</f>
        <v>8</v>
      </c>
      <c r="AV351">
        <f t="shared" si="152"/>
        <v>0.77777777777777779</v>
      </c>
      <c r="AW351">
        <f>step3_validation[[#This Row],[AI_TRU4]]</f>
        <v>8</v>
      </c>
      <c r="AX351">
        <f t="shared" si="153"/>
        <v>0.77777777777777779</v>
      </c>
      <c r="AY351">
        <f>survey_responses[[#This Row],[Tôi thấy Nhà nước đã giải thích rõ ràng, minh bạch về lý do và mục tiêu của việc sửa đổi thuế lần này. - HUMAN-TRU4]]</f>
        <v>7</v>
      </c>
      <c r="AZ351">
        <f t="shared" si="154"/>
        <v>0.66666666666666663</v>
      </c>
      <c r="BA351" s="32">
        <f t="shared" si="155"/>
        <v>0.83333333333333326</v>
      </c>
      <c r="BB351" s="32">
        <f t="shared" si="156"/>
        <v>0.69444444444444442</v>
      </c>
      <c r="BC351" s="7">
        <f t="shared" si="157"/>
        <v>0.79629629629629617</v>
      </c>
      <c r="BD351" s="7">
        <f t="shared" si="158"/>
        <v>0.71296296296296291</v>
      </c>
      <c r="BE351">
        <f>step3_validation[[#This Row],[AI_OUT1]]</f>
        <v>9</v>
      </c>
      <c r="BF351">
        <f t="shared" si="159"/>
        <v>0.88888888888888884</v>
      </c>
      <c r="BG351">
        <f>survey_responses[[#This Row],[Sau khi xem xét các quyền lợi và nghĩa vụ, bạn có ủng hộ và tuân thủ chính sách mới hiện nay? - HUMAN-OUT1]]</f>
        <v>8</v>
      </c>
      <c r="BH351">
        <f t="shared" si="160"/>
        <v>0.77777777777777779</v>
      </c>
      <c r="BI351" s="32">
        <f t="shared" si="161"/>
        <v>1</v>
      </c>
    </row>
    <row r="352" spans="1:61" x14ac:dyDescent="0.45">
      <c r="A352" s="30">
        <f>step3_validation[[#This Row],[Persona_ID]]</f>
        <v>351</v>
      </c>
      <c r="B352" s="31">
        <f>step3_validation[[#This Row],[Used_Seed]]</f>
        <v>12695</v>
      </c>
      <c r="C352" t="str">
        <f>step3_validation[[#This Row],[Gender]]</f>
        <v>Nữ</v>
      </c>
      <c r="D352" t="str">
        <f>survey_responses[[#This Row],[Giới tính của bạn:]]</f>
        <v>Nữ</v>
      </c>
      <c r="E352" t="str">
        <f>step3_validation[[#This Row],[Age_Group]]</f>
        <v>30 - 39</v>
      </c>
      <c r="F352" t="str">
        <f>survey_responses[[#This Row],[Độ tuổi của bạn:]]</f>
        <v>30 - 39</v>
      </c>
      <c r="G352" t="str">
        <f>step3_validation[[#This Row],[Region]]</f>
        <v>Thành thị</v>
      </c>
      <c r="H352" t="str">
        <f>survey_responses[[#This Row],[Khu vực bạn đang sinh sống:]]</f>
        <v>Thành thị</v>
      </c>
      <c r="I352" t="str">
        <f>step3_validation[[#This Row],[Education]]</f>
        <v>Đại học</v>
      </c>
      <c r="J352" t="str">
        <f>survey_responses[[#This Row],[Trình độ học vấn cao nhất:]]</f>
        <v>Đại học</v>
      </c>
      <c r="K352" t="str">
        <f>step3_validation[[#This Row],[Employment]]</f>
        <v>Chính thức</v>
      </c>
      <c r="L352" t="str">
        <f>survey_responses[[#This Row],[Tình trạng việc làm chính:]]</f>
        <v>Khu vực chính thức (Có Hợp đồng lao động, đóng BHXH)</v>
      </c>
      <c r="M352">
        <f>step3_validation[[#This Row],[Income_Mil]]</f>
        <v>35.271364870345501</v>
      </c>
      <c r="N352" t="str">
        <f>survey_responses[[#This Row],[Thu nhập bình quân tháng theo Hợp đồng lao động của bạn là bao nhiêu? (Vui lòng điền tổng thu nhập trước khi khấu trừ các loại Bảo hiểm (BHXH, BHYT, BHTN) và Thuế TNCN)]]</f>
        <v>Từ 32 - 48 triệu VNĐ</v>
      </c>
      <c r="O352">
        <f>step3_validation[[#This Row],[Dependents]]</f>
        <v>2</v>
      </c>
      <c r="P352" t="str">
        <f>survey_responses[[#This Row],[Số người phụ thuộc (con nhỏ, cha mẹ già...) đủ điều kiện giảm trừ gia cảnh:]]</f>
        <v>2 người</v>
      </c>
      <c r="Q352">
        <f>step3_validation[[#This Row],[AI_ENF1]]</f>
        <v>7</v>
      </c>
      <c r="R352">
        <f t="shared" si="135"/>
        <v>0.66666666666666663</v>
      </c>
      <c r="S352">
        <f>survey_responses[[#This Row],[Tôi tin rằng với các quy định quản lý thuế hiện nay, hành vi gian lận hoặc trốn thuế sẽ dễ dàng bị phát hiện và xử lý nghiêm. - HUMAN-ENF1]]</f>
        <v>8</v>
      </c>
      <c r="T352">
        <f t="shared" si="136"/>
        <v>0.77777777777777779</v>
      </c>
      <c r="U352">
        <f>step3_validation[[#This Row],[AI_ENF2]]</f>
        <v>7</v>
      </c>
      <c r="V352">
        <f t="shared" si="137"/>
        <v>0.66666666666666663</v>
      </c>
      <c r="W352">
        <f>survey_responses[[#This Row],[Tôi tin rằng Nhà nước, cơ quan thuế có đủ khả năng và công nghệ để phát hiện, xử lý nghiêm các hành vi trốn thuế. - HUMAN-ENF2]]</f>
        <v>8</v>
      </c>
      <c r="X352">
        <f t="shared" si="138"/>
        <v>0.77777777777777779</v>
      </c>
      <c r="Y352" s="32">
        <f t="shared" si="139"/>
        <v>0.66666666666666663</v>
      </c>
      <c r="Z352" s="32">
        <f t="shared" si="140"/>
        <v>0.77777777777777779</v>
      </c>
      <c r="AA352">
        <f>step3_validation[[#This Row],[AI_FAC1]]</f>
        <v>8</v>
      </c>
      <c r="AB352">
        <f t="shared" si="141"/>
        <v>0.77777777777777779</v>
      </c>
      <c r="AC352">
        <f>survey_responses[[#This Row],[Các thủ tục khai báo thuế VÀ/HOẶC quy trình làm việc với cơ quan thuế đơn giản, tiện lợi, nhanh chóng hơn so với trước đây. - HUMAN-FAC1]]</f>
        <v>6</v>
      </c>
      <c r="AD352">
        <f t="shared" si="142"/>
        <v>0.55555555555555558</v>
      </c>
      <c r="AE352">
        <f>step3_validation[[#This Row],[AI_FAC2]]</f>
        <v>9</v>
      </c>
      <c r="AF352">
        <f t="shared" si="143"/>
        <v>0.88888888888888884</v>
      </c>
      <c r="AG352">
        <f>survey_responses[[#This Row],[So với trước đây, tôi thấy cách tính thuế và các bậc thuế trong phương án mới đơn giản, dễ hiểu và dễ thực hiện hơn. - HUMAN-FAC2]]</f>
        <v>7</v>
      </c>
      <c r="AH352">
        <f t="shared" si="144"/>
        <v>0.66666666666666663</v>
      </c>
      <c r="AI352" s="32">
        <f t="shared" si="145"/>
        <v>0.83333333333333326</v>
      </c>
      <c r="AJ352" s="32">
        <f t="shared" si="146"/>
        <v>0.61111111111111116</v>
      </c>
      <c r="AK352">
        <f>step3_validation[[#This Row],[AI_TRU1]]</f>
        <v>7</v>
      </c>
      <c r="AL352">
        <f t="shared" si="147"/>
        <v>0.66666666666666663</v>
      </c>
      <c r="AM352">
        <f>survey_responses[[#This Row],[Tôi tin rằng Nhà nước, cơ quan thuế sẽ thực thi chính sách mới một cách khách quan, công tâm và đối xử bình đẳng với mọi người nộp thuế.  - HUMAN-TRU1]]</f>
        <v>6</v>
      </c>
      <c r="AN352">
        <f t="shared" si="148"/>
        <v>0.55555555555555558</v>
      </c>
      <c r="AO352">
        <f>step3_validation[[#This Row],[AI_TRU2]]</f>
        <v>9</v>
      </c>
      <c r="AP352">
        <f t="shared" si="149"/>
        <v>0.88888888888888884</v>
      </c>
      <c r="AQ352">
        <f>survey_responses[[#This Row],[Tôi thấy mức thuế tôi phải đóng theo phương án mới là công bằng (người thu nhập như tôi đóng mức này là hợp lý). - HUMAN-TRU2]]</f>
        <v>7</v>
      </c>
      <c r="AR352">
        <f t="shared" si="150"/>
        <v>0.66666666666666663</v>
      </c>
      <c r="AS352">
        <f>step3_validation[[#This Row],[AI_TRU3]]</f>
        <v>7</v>
      </c>
      <c r="AT352">
        <f t="shared" si="151"/>
        <v>0.66666666666666663</v>
      </c>
      <c r="AU352">
        <f>survey_responses[[#This Row],[Tôi tin tưởng số tiền thuế tôi đóng sẽ được Nhà nước sử dụng hiệu quả để cải thiện dịch vụ công (y tế, đường xá...). - HUMAN-TRU3]]</f>
        <v>5</v>
      </c>
      <c r="AV352">
        <f t="shared" si="152"/>
        <v>0.44444444444444442</v>
      </c>
      <c r="AW352">
        <f>step3_validation[[#This Row],[AI_TRU4]]</f>
        <v>8</v>
      </c>
      <c r="AX352">
        <f t="shared" si="153"/>
        <v>0.77777777777777779</v>
      </c>
      <c r="AY352">
        <f>survey_responses[[#This Row],[Tôi thấy Nhà nước đã giải thích rõ ràng, minh bạch về lý do và mục tiêu của việc sửa đổi thuế lần này. - HUMAN-TRU4]]</f>
        <v>7</v>
      </c>
      <c r="AZ352">
        <f t="shared" si="154"/>
        <v>0.66666666666666663</v>
      </c>
      <c r="BA352" s="32">
        <f t="shared" si="155"/>
        <v>0.74999999999999989</v>
      </c>
      <c r="BB352" s="32">
        <f t="shared" si="156"/>
        <v>0.58333333333333337</v>
      </c>
      <c r="BC352" s="7">
        <f t="shared" si="157"/>
        <v>0.75</v>
      </c>
      <c r="BD352" s="7">
        <f t="shared" si="158"/>
        <v>0.65740740740740744</v>
      </c>
      <c r="BE352">
        <f>step3_validation[[#This Row],[AI_OUT1]]</f>
        <v>9</v>
      </c>
      <c r="BF352">
        <f t="shared" si="159"/>
        <v>0.88888888888888884</v>
      </c>
      <c r="BG352">
        <f>survey_responses[[#This Row],[Sau khi xem xét các quyền lợi và nghĩa vụ, bạn có ủng hộ và tuân thủ chính sách mới hiện nay? - HUMAN-OUT1]]</f>
        <v>7</v>
      </c>
      <c r="BH352">
        <f t="shared" si="160"/>
        <v>0.66666666666666663</v>
      </c>
      <c r="BI352" s="32">
        <f t="shared" si="161"/>
        <v>2</v>
      </c>
    </row>
    <row r="353" spans="1:61" x14ac:dyDescent="0.45">
      <c r="A353" s="30">
        <f>step3_validation[[#This Row],[Persona_ID]]</f>
        <v>352</v>
      </c>
      <c r="B353" s="31">
        <f>step3_validation[[#This Row],[Used_Seed]]</f>
        <v>12696</v>
      </c>
      <c r="C353" t="str">
        <f>step3_validation[[#This Row],[Gender]]</f>
        <v>Nữ</v>
      </c>
      <c r="D353" t="str">
        <f>survey_responses[[#This Row],[Giới tính của bạn:]]</f>
        <v>Nữ</v>
      </c>
      <c r="E353" t="str">
        <f>step3_validation[[#This Row],[Age_Group]]</f>
        <v>30 - 39</v>
      </c>
      <c r="F353" t="str">
        <f>survey_responses[[#This Row],[Độ tuổi của bạn:]]</f>
        <v>30 - 39</v>
      </c>
      <c r="G353" t="str">
        <f>step3_validation[[#This Row],[Region]]</f>
        <v>Thành thị</v>
      </c>
      <c r="H353" t="str">
        <f>survey_responses[[#This Row],[Khu vực bạn đang sinh sống:]]</f>
        <v>Thành thị</v>
      </c>
      <c r="I353" t="str">
        <f>step3_validation[[#This Row],[Education]]</f>
        <v>Đại học</v>
      </c>
      <c r="J353" t="str">
        <f>survey_responses[[#This Row],[Trình độ học vấn cao nhất:]]</f>
        <v>Đại học</v>
      </c>
      <c r="K353" t="str">
        <f>step3_validation[[#This Row],[Employment]]</f>
        <v>Chính thức</v>
      </c>
      <c r="L353" t="str">
        <f>survey_responses[[#This Row],[Tình trạng việc làm chính:]]</f>
        <v>Khu vực chính thức (Có Hợp đồng lao động, đóng BHXH)</v>
      </c>
      <c r="M353">
        <f>step3_validation[[#This Row],[Income_Mil]]</f>
        <v>27.965344578082892</v>
      </c>
      <c r="N353" t="str">
        <f>survey_responses[[#This Row],[Thu nhập bình quân tháng theo Hợp đồng lao động của bạn là bao nhiêu? (Vui lòng điền tổng thu nhập trước khi khấu trừ các loại Bảo hiểm (BHXH, BHYT, BHTN) và Thuế TNCN)]]</f>
        <v>Từ 23 - 32 triệu VNĐ</v>
      </c>
      <c r="O353">
        <f>step3_validation[[#This Row],[Dependents]]</f>
        <v>1</v>
      </c>
      <c r="P353" t="str">
        <f>survey_responses[[#This Row],[Số người phụ thuộc (con nhỏ, cha mẹ già...) đủ điều kiện giảm trừ gia cảnh:]]</f>
        <v>1 người</v>
      </c>
      <c r="Q353">
        <f>step3_validation[[#This Row],[AI_ENF1]]</f>
        <v>7</v>
      </c>
      <c r="R353">
        <f t="shared" si="135"/>
        <v>0.66666666666666663</v>
      </c>
      <c r="S353">
        <f>survey_responses[[#This Row],[Tôi tin rằng với các quy định quản lý thuế hiện nay, hành vi gian lận hoặc trốn thuế sẽ dễ dàng bị phát hiện và xử lý nghiêm. - HUMAN-ENF1]]</f>
        <v>6</v>
      </c>
      <c r="T353">
        <f t="shared" si="136"/>
        <v>0.55555555555555558</v>
      </c>
      <c r="U353">
        <f>step3_validation[[#This Row],[AI_ENF2]]</f>
        <v>8</v>
      </c>
      <c r="V353">
        <f t="shared" si="137"/>
        <v>0.77777777777777779</v>
      </c>
      <c r="W353">
        <f>survey_responses[[#This Row],[Tôi tin rằng Nhà nước, cơ quan thuế có đủ khả năng và công nghệ để phát hiện, xử lý nghiêm các hành vi trốn thuế. - HUMAN-ENF2]]</f>
        <v>6</v>
      </c>
      <c r="X353">
        <f t="shared" si="138"/>
        <v>0.55555555555555558</v>
      </c>
      <c r="Y353" s="32">
        <f t="shared" si="139"/>
        <v>0.72222222222222221</v>
      </c>
      <c r="Z353" s="32">
        <f t="shared" si="140"/>
        <v>0.55555555555555558</v>
      </c>
      <c r="AA353">
        <f>step3_validation[[#This Row],[AI_FAC1]]</f>
        <v>9</v>
      </c>
      <c r="AB353">
        <f t="shared" si="141"/>
        <v>0.88888888888888884</v>
      </c>
      <c r="AC353">
        <f>survey_responses[[#This Row],[Các thủ tục khai báo thuế VÀ/HOẶC quy trình làm việc với cơ quan thuế đơn giản, tiện lợi, nhanh chóng hơn so với trước đây. - HUMAN-FAC1]]</f>
        <v>8</v>
      </c>
      <c r="AD353">
        <f t="shared" si="142"/>
        <v>0.77777777777777779</v>
      </c>
      <c r="AE353">
        <f>step3_validation[[#This Row],[AI_FAC2]]</f>
        <v>8</v>
      </c>
      <c r="AF353">
        <f t="shared" si="143"/>
        <v>0.77777777777777779</v>
      </c>
      <c r="AG353">
        <f>survey_responses[[#This Row],[So với trước đây, tôi thấy cách tính thuế và các bậc thuế trong phương án mới đơn giản, dễ hiểu và dễ thực hiện hơn. - HUMAN-FAC2]]</f>
        <v>7</v>
      </c>
      <c r="AH353">
        <f t="shared" si="144"/>
        <v>0.66666666666666663</v>
      </c>
      <c r="AI353" s="32">
        <f t="shared" si="145"/>
        <v>0.83333333333333326</v>
      </c>
      <c r="AJ353" s="32">
        <f t="shared" si="146"/>
        <v>0.72222222222222221</v>
      </c>
      <c r="AK353">
        <f>step3_validation[[#This Row],[AI_TRU1]]</f>
        <v>7</v>
      </c>
      <c r="AL353">
        <f t="shared" si="147"/>
        <v>0.66666666666666663</v>
      </c>
      <c r="AM353">
        <f>survey_responses[[#This Row],[Tôi tin rằng Nhà nước, cơ quan thuế sẽ thực thi chính sách mới một cách khách quan, công tâm và đối xử bình đẳng với mọi người nộp thuế.  - HUMAN-TRU1]]</f>
        <v>7</v>
      </c>
      <c r="AN353">
        <f t="shared" si="148"/>
        <v>0.66666666666666663</v>
      </c>
      <c r="AO353">
        <f>step3_validation[[#This Row],[AI_TRU2]]</f>
        <v>9</v>
      </c>
      <c r="AP353">
        <f t="shared" si="149"/>
        <v>0.88888888888888884</v>
      </c>
      <c r="AQ353">
        <f>survey_responses[[#This Row],[Tôi thấy mức thuế tôi phải đóng theo phương án mới là công bằng (người thu nhập như tôi đóng mức này là hợp lý). - HUMAN-TRU2]]</f>
        <v>7</v>
      </c>
      <c r="AR353">
        <f t="shared" si="150"/>
        <v>0.66666666666666663</v>
      </c>
      <c r="AS353">
        <f>step3_validation[[#This Row],[AI_TRU3]]</f>
        <v>8</v>
      </c>
      <c r="AT353">
        <f t="shared" si="151"/>
        <v>0.77777777777777779</v>
      </c>
      <c r="AU353">
        <f>survey_responses[[#This Row],[Tôi tin tưởng số tiền thuế tôi đóng sẽ được Nhà nước sử dụng hiệu quả để cải thiện dịch vụ công (y tế, đường xá...). - HUMAN-TRU3]]</f>
        <v>5</v>
      </c>
      <c r="AV353">
        <f t="shared" si="152"/>
        <v>0.44444444444444442</v>
      </c>
      <c r="AW353">
        <f>step3_validation[[#This Row],[AI_TRU4]]</f>
        <v>9</v>
      </c>
      <c r="AX353">
        <f t="shared" si="153"/>
        <v>0.88888888888888884</v>
      </c>
      <c r="AY353">
        <f>survey_responses[[#This Row],[Tôi thấy Nhà nước đã giải thích rõ ràng, minh bạch về lý do và mục tiêu của việc sửa đổi thuế lần này. - HUMAN-TRU4]]</f>
        <v>6</v>
      </c>
      <c r="AZ353">
        <f t="shared" si="154"/>
        <v>0.55555555555555558</v>
      </c>
      <c r="BA353" s="32">
        <f t="shared" si="155"/>
        <v>0.80555555555555547</v>
      </c>
      <c r="BB353" s="32">
        <f t="shared" si="156"/>
        <v>0.58333333333333326</v>
      </c>
      <c r="BC353" s="7">
        <f t="shared" si="157"/>
        <v>0.78703703703703687</v>
      </c>
      <c r="BD353" s="7">
        <f t="shared" si="158"/>
        <v>0.62037037037037035</v>
      </c>
      <c r="BE353">
        <f>step3_validation[[#This Row],[AI_OUT1]]</f>
        <v>8</v>
      </c>
      <c r="BF353">
        <f t="shared" si="159"/>
        <v>0.77777777777777779</v>
      </c>
      <c r="BG353">
        <f>survey_responses[[#This Row],[Sau khi xem xét các quyền lợi và nghĩa vụ, bạn có ủng hộ và tuân thủ chính sách mới hiện nay? - HUMAN-OUT1]]</f>
        <v>7</v>
      </c>
      <c r="BH353">
        <f t="shared" si="160"/>
        <v>0.66666666666666663</v>
      </c>
      <c r="BI353" s="32">
        <f t="shared" si="161"/>
        <v>1</v>
      </c>
    </row>
    <row r="354" spans="1:61" x14ac:dyDescent="0.45">
      <c r="A354" s="30">
        <f>step3_validation[[#This Row],[Persona_ID]]</f>
        <v>353</v>
      </c>
      <c r="B354" s="31">
        <f>step3_validation[[#This Row],[Used_Seed]]</f>
        <v>12697</v>
      </c>
      <c r="C354" t="str">
        <f>step3_validation[[#This Row],[Gender]]</f>
        <v>Nam</v>
      </c>
      <c r="D354" t="str">
        <f>survey_responses[[#This Row],[Giới tính của bạn:]]</f>
        <v>Nam</v>
      </c>
      <c r="E354" t="str">
        <f>step3_validation[[#This Row],[Age_Group]]</f>
        <v>40 - 49</v>
      </c>
      <c r="F354" t="str">
        <f>survey_responses[[#This Row],[Độ tuổi của bạn:]]</f>
        <v>40 - 49</v>
      </c>
      <c r="G354" t="str">
        <f>step3_validation[[#This Row],[Region]]</f>
        <v>Thành thị</v>
      </c>
      <c r="H354" t="str">
        <f>survey_responses[[#This Row],[Khu vực bạn đang sinh sống:]]</f>
        <v>Thành thị</v>
      </c>
      <c r="I354" t="str">
        <f>step3_validation[[#This Row],[Education]]</f>
        <v>Đại học</v>
      </c>
      <c r="J354" t="str">
        <f>survey_responses[[#This Row],[Trình độ học vấn cao nhất:]]</f>
        <v>Đại học</v>
      </c>
      <c r="K354" t="str">
        <f>step3_validation[[#This Row],[Employment]]</f>
        <v>Chính thức</v>
      </c>
      <c r="L354" t="str">
        <f>survey_responses[[#This Row],[Tình trạng việc làm chính:]]</f>
        <v>Khu vực chính thức (Có Hợp đồng lao động, đóng BHXH)</v>
      </c>
      <c r="M354">
        <f>step3_validation[[#This Row],[Income_Mil]]</f>
        <v>84.867868707700836</v>
      </c>
      <c r="N354" t="str">
        <f>survey_responses[[#This Row],[Thu nhập bình quân tháng theo Hợp đồng lao động của bạn là bao nhiêu? (Vui lòng điền tổng thu nhập trước khi khấu trừ các loại Bảo hiểm (BHXH, BHYT, BHTN) và Thuế TNCN)]]</f>
        <v>Từ 70 - 102 triệu VNĐ</v>
      </c>
      <c r="O354">
        <f>step3_validation[[#This Row],[Dependents]]</f>
        <v>4</v>
      </c>
      <c r="P354" t="str">
        <f>survey_responses[[#This Row],[Số người phụ thuộc (con nhỏ, cha mẹ già...) đủ điều kiện giảm trừ gia cảnh:]]</f>
        <v>4 người trở lên</v>
      </c>
      <c r="Q354">
        <f>step3_validation[[#This Row],[AI_ENF1]]</f>
        <v>7</v>
      </c>
      <c r="R354">
        <f t="shared" si="135"/>
        <v>0.66666666666666663</v>
      </c>
      <c r="S354">
        <f>survey_responses[[#This Row],[Tôi tin rằng với các quy định quản lý thuế hiện nay, hành vi gian lận hoặc trốn thuế sẽ dễ dàng bị phát hiện và xử lý nghiêm. - HUMAN-ENF1]]</f>
        <v>7</v>
      </c>
      <c r="T354">
        <f t="shared" si="136"/>
        <v>0.66666666666666663</v>
      </c>
      <c r="U354">
        <f>step3_validation[[#This Row],[AI_ENF2]]</f>
        <v>8</v>
      </c>
      <c r="V354">
        <f t="shared" si="137"/>
        <v>0.77777777777777779</v>
      </c>
      <c r="W354">
        <f>survey_responses[[#This Row],[Tôi tin rằng Nhà nước, cơ quan thuế có đủ khả năng và công nghệ để phát hiện, xử lý nghiêm các hành vi trốn thuế. - HUMAN-ENF2]]</f>
        <v>7</v>
      </c>
      <c r="X354">
        <f t="shared" si="138"/>
        <v>0.66666666666666663</v>
      </c>
      <c r="Y354" s="32">
        <f t="shared" si="139"/>
        <v>0.72222222222222221</v>
      </c>
      <c r="Z354" s="32">
        <f t="shared" si="140"/>
        <v>0.66666666666666663</v>
      </c>
      <c r="AA354">
        <f>step3_validation[[#This Row],[AI_FAC1]]</f>
        <v>9</v>
      </c>
      <c r="AB354">
        <f t="shared" si="141"/>
        <v>0.88888888888888884</v>
      </c>
      <c r="AC354">
        <f>survey_responses[[#This Row],[Các thủ tục khai báo thuế VÀ/HOẶC quy trình làm việc với cơ quan thuế đơn giản, tiện lợi, nhanh chóng hơn so với trước đây. - HUMAN-FAC1]]</f>
        <v>8</v>
      </c>
      <c r="AD354">
        <f t="shared" si="142"/>
        <v>0.77777777777777779</v>
      </c>
      <c r="AE354">
        <f>step3_validation[[#This Row],[AI_FAC2]]</f>
        <v>9</v>
      </c>
      <c r="AF354">
        <f t="shared" si="143"/>
        <v>0.88888888888888884</v>
      </c>
      <c r="AG354">
        <f>survey_responses[[#This Row],[So với trước đây, tôi thấy cách tính thuế và các bậc thuế trong phương án mới đơn giản, dễ hiểu và dễ thực hiện hơn. - HUMAN-FAC2]]</f>
        <v>8</v>
      </c>
      <c r="AH354">
        <f t="shared" si="144"/>
        <v>0.77777777777777779</v>
      </c>
      <c r="AI354" s="32">
        <f t="shared" si="145"/>
        <v>0.88888888888888884</v>
      </c>
      <c r="AJ354" s="32">
        <f t="shared" si="146"/>
        <v>0.77777777777777779</v>
      </c>
      <c r="AK354">
        <f>step3_validation[[#This Row],[AI_TRU1]]</f>
        <v>8</v>
      </c>
      <c r="AL354">
        <f t="shared" si="147"/>
        <v>0.77777777777777779</v>
      </c>
      <c r="AM354">
        <f>survey_responses[[#This Row],[Tôi tin rằng Nhà nước, cơ quan thuế sẽ thực thi chính sách mới một cách khách quan, công tâm và đối xử bình đẳng với mọi người nộp thuế.  - HUMAN-TRU1]]</f>
        <v>6</v>
      </c>
      <c r="AN354">
        <f t="shared" si="148"/>
        <v>0.55555555555555558</v>
      </c>
      <c r="AO354">
        <f>step3_validation[[#This Row],[AI_TRU2]]</f>
        <v>9</v>
      </c>
      <c r="AP354">
        <f t="shared" si="149"/>
        <v>0.88888888888888884</v>
      </c>
      <c r="AQ354">
        <f>survey_responses[[#This Row],[Tôi thấy mức thuế tôi phải đóng theo phương án mới là công bằng (người thu nhập như tôi đóng mức này là hợp lý). - HUMAN-TRU2]]</f>
        <v>7</v>
      </c>
      <c r="AR354">
        <f t="shared" si="150"/>
        <v>0.66666666666666663</v>
      </c>
      <c r="AS354">
        <f>step3_validation[[#This Row],[AI_TRU3]]</f>
        <v>8</v>
      </c>
      <c r="AT354">
        <f t="shared" si="151"/>
        <v>0.77777777777777779</v>
      </c>
      <c r="AU354">
        <f>survey_responses[[#This Row],[Tôi tin tưởng số tiền thuế tôi đóng sẽ được Nhà nước sử dụng hiệu quả để cải thiện dịch vụ công (y tế, đường xá...). - HUMAN-TRU3]]</f>
        <v>5</v>
      </c>
      <c r="AV354">
        <f t="shared" si="152"/>
        <v>0.44444444444444442</v>
      </c>
      <c r="AW354">
        <f>step3_validation[[#This Row],[AI_TRU4]]</f>
        <v>9</v>
      </c>
      <c r="AX354">
        <f t="shared" si="153"/>
        <v>0.88888888888888884</v>
      </c>
      <c r="AY354">
        <f>survey_responses[[#This Row],[Tôi thấy Nhà nước đã giải thích rõ ràng, minh bạch về lý do và mục tiêu của việc sửa đổi thuế lần này. - HUMAN-TRU4]]</f>
        <v>7</v>
      </c>
      <c r="AZ354">
        <f t="shared" si="154"/>
        <v>0.66666666666666663</v>
      </c>
      <c r="BA354" s="32">
        <f t="shared" si="155"/>
        <v>0.83333333333333326</v>
      </c>
      <c r="BB354" s="32">
        <f t="shared" si="156"/>
        <v>0.58333333333333337</v>
      </c>
      <c r="BC354" s="7">
        <f t="shared" si="157"/>
        <v>0.81481481481481488</v>
      </c>
      <c r="BD354" s="7">
        <f t="shared" si="158"/>
        <v>0.67592592592592593</v>
      </c>
      <c r="BE354">
        <f>step3_validation[[#This Row],[AI_OUT1]]</f>
        <v>8</v>
      </c>
      <c r="BF354">
        <f t="shared" si="159"/>
        <v>0.77777777777777779</v>
      </c>
      <c r="BG354">
        <f>survey_responses[[#This Row],[Sau khi xem xét các quyền lợi và nghĩa vụ, bạn có ủng hộ và tuân thủ chính sách mới hiện nay? - HUMAN-OUT1]]</f>
        <v>7</v>
      </c>
      <c r="BH354">
        <f t="shared" si="160"/>
        <v>0.66666666666666663</v>
      </c>
      <c r="BI354" s="32">
        <f t="shared" si="161"/>
        <v>1</v>
      </c>
    </row>
    <row r="355" spans="1:61" x14ac:dyDescent="0.45">
      <c r="A355" s="30">
        <f>step3_validation[[#This Row],[Persona_ID]]</f>
        <v>354</v>
      </c>
      <c r="B355" s="31">
        <f>step3_validation[[#This Row],[Used_Seed]]</f>
        <v>12698</v>
      </c>
      <c r="C355" t="str">
        <f>step3_validation[[#This Row],[Gender]]</f>
        <v>Nữ</v>
      </c>
      <c r="D355" t="str">
        <f>survey_responses[[#This Row],[Giới tính của bạn:]]</f>
        <v>Nữ</v>
      </c>
      <c r="E355" t="str">
        <f>step3_validation[[#This Row],[Age_Group]]</f>
        <v>18 - 24</v>
      </c>
      <c r="F355" t="str">
        <f>survey_responses[[#This Row],[Độ tuổi của bạn:]]</f>
        <v>18 - 24</v>
      </c>
      <c r="G355" t="str">
        <f>step3_validation[[#This Row],[Region]]</f>
        <v>Thành thị</v>
      </c>
      <c r="H355" t="str">
        <f>survey_responses[[#This Row],[Khu vực bạn đang sinh sống:]]</f>
        <v>Thành thị</v>
      </c>
      <c r="I355" t="str">
        <f>step3_validation[[#This Row],[Education]]</f>
        <v>Đại học</v>
      </c>
      <c r="J355" t="str">
        <f>survey_responses[[#This Row],[Trình độ học vấn cao nhất:]]</f>
        <v>Đại học</v>
      </c>
      <c r="K355" t="str">
        <f>step3_validation[[#This Row],[Employment]]</f>
        <v>Chính thức</v>
      </c>
      <c r="L355" t="str">
        <f>survey_responses[[#This Row],[Tình trạng việc làm chính:]]</f>
        <v>Khu vực chính thức (Có Hợp đồng lao động, đóng BHXH)</v>
      </c>
      <c r="M355">
        <f>step3_validation[[#This Row],[Income_Mil]]</f>
        <v>13.292739428794732</v>
      </c>
      <c r="N355" t="str">
        <f>survey_responses[[#This Row],[Thu nhập bình quân tháng theo Hợp đồng lao động của bạn là bao nhiêu? (Vui lòng điền tổng thu nhập trước khi khấu trừ các loại Bảo hiểm (BHXH, BHYT, BHTN) và Thuế TNCN)]]</f>
        <v>Từ 12 - 18 triệu VNĐ</v>
      </c>
      <c r="O355">
        <f>step3_validation[[#This Row],[Dependents]]</f>
        <v>0</v>
      </c>
      <c r="P355" t="str">
        <f>survey_responses[[#This Row],[Số người phụ thuộc (con nhỏ, cha mẹ già...) đủ điều kiện giảm trừ gia cảnh:]]</f>
        <v>0 người</v>
      </c>
      <c r="Q355">
        <f>step3_validation[[#This Row],[AI_ENF1]]</f>
        <v>6</v>
      </c>
      <c r="R355">
        <f t="shared" si="135"/>
        <v>0.55555555555555558</v>
      </c>
      <c r="S355">
        <f>survey_responses[[#This Row],[Tôi tin rằng với các quy định quản lý thuế hiện nay, hành vi gian lận hoặc trốn thuế sẽ dễ dàng bị phát hiện và xử lý nghiêm. - HUMAN-ENF1]]</f>
        <v>9</v>
      </c>
      <c r="T355">
        <f t="shared" si="136"/>
        <v>0.88888888888888884</v>
      </c>
      <c r="U355">
        <f>step3_validation[[#This Row],[AI_ENF2]]</f>
        <v>6</v>
      </c>
      <c r="V355">
        <f t="shared" si="137"/>
        <v>0.55555555555555558</v>
      </c>
      <c r="W355">
        <f>survey_responses[[#This Row],[Tôi tin rằng Nhà nước, cơ quan thuế có đủ khả năng và công nghệ để phát hiện, xử lý nghiêm các hành vi trốn thuế. - HUMAN-ENF2]]</f>
        <v>9</v>
      </c>
      <c r="X355">
        <f t="shared" si="138"/>
        <v>0.88888888888888884</v>
      </c>
      <c r="Y355" s="32">
        <f t="shared" si="139"/>
        <v>0.55555555555555558</v>
      </c>
      <c r="Z355" s="32">
        <f t="shared" si="140"/>
        <v>0.88888888888888884</v>
      </c>
      <c r="AA355">
        <f>step3_validation[[#This Row],[AI_FAC1]]</f>
        <v>9</v>
      </c>
      <c r="AB355">
        <f t="shared" si="141"/>
        <v>0.88888888888888884</v>
      </c>
      <c r="AC355">
        <f>survey_responses[[#This Row],[Các thủ tục khai báo thuế VÀ/HOẶC quy trình làm việc với cơ quan thuế đơn giản, tiện lợi, nhanh chóng hơn so với trước đây. - HUMAN-FAC1]]</f>
        <v>10</v>
      </c>
      <c r="AD355">
        <f t="shared" si="142"/>
        <v>1</v>
      </c>
      <c r="AE355">
        <f>step3_validation[[#This Row],[AI_FAC2]]</f>
        <v>9</v>
      </c>
      <c r="AF355">
        <f t="shared" si="143"/>
        <v>0.88888888888888884</v>
      </c>
      <c r="AG355">
        <f>survey_responses[[#This Row],[So với trước đây, tôi thấy cách tính thuế và các bậc thuế trong phương án mới đơn giản, dễ hiểu và dễ thực hiện hơn. - HUMAN-FAC2]]</f>
        <v>10</v>
      </c>
      <c r="AH355">
        <f t="shared" si="144"/>
        <v>1</v>
      </c>
      <c r="AI355" s="32">
        <f t="shared" si="145"/>
        <v>0.88888888888888884</v>
      </c>
      <c r="AJ355" s="32">
        <f t="shared" si="146"/>
        <v>1</v>
      </c>
      <c r="AK355">
        <f>step3_validation[[#This Row],[AI_TRU1]]</f>
        <v>8</v>
      </c>
      <c r="AL355">
        <f t="shared" si="147"/>
        <v>0.77777777777777779</v>
      </c>
      <c r="AM355">
        <f>survey_responses[[#This Row],[Tôi tin rằng Nhà nước, cơ quan thuế sẽ thực thi chính sách mới một cách khách quan, công tâm và đối xử bình đẳng với mọi người nộp thuế.  - HUMAN-TRU1]]</f>
        <v>9</v>
      </c>
      <c r="AN355">
        <f t="shared" si="148"/>
        <v>0.88888888888888884</v>
      </c>
      <c r="AO355">
        <f>step3_validation[[#This Row],[AI_TRU2]]</f>
        <v>8</v>
      </c>
      <c r="AP355">
        <f t="shared" si="149"/>
        <v>0.77777777777777779</v>
      </c>
      <c r="AQ355">
        <f>survey_responses[[#This Row],[Tôi thấy mức thuế tôi phải đóng theo phương án mới là công bằng (người thu nhập như tôi đóng mức này là hợp lý). - HUMAN-TRU2]]</f>
        <v>10</v>
      </c>
      <c r="AR355">
        <f t="shared" si="150"/>
        <v>1</v>
      </c>
      <c r="AS355">
        <f>step3_validation[[#This Row],[AI_TRU3]]</f>
        <v>7</v>
      </c>
      <c r="AT355">
        <f t="shared" si="151"/>
        <v>0.66666666666666663</v>
      </c>
      <c r="AU355">
        <f>survey_responses[[#This Row],[Tôi tin tưởng số tiền thuế tôi đóng sẽ được Nhà nước sử dụng hiệu quả để cải thiện dịch vụ công (y tế, đường xá...). - HUMAN-TRU3]]</f>
        <v>8</v>
      </c>
      <c r="AV355">
        <f t="shared" si="152"/>
        <v>0.77777777777777779</v>
      </c>
      <c r="AW355">
        <f>step3_validation[[#This Row],[AI_TRU4]]</f>
        <v>6</v>
      </c>
      <c r="AX355">
        <f t="shared" si="153"/>
        <v>0.55555555555555558</v>
      </c>
      <c r="AY355">
        <f>survey_responses[[#This Row],[Tôi thấy Nhà nước đã giải thích rõ ràng, minh bạch về lý do và mục tiêu của việc sửa đổi thuế lần này. - HUMAN-TRU4]]</f>
        <v>8</v>
      </c>
      <c r="AZ355">
        <f t="shared" si="154"/>
        <v>0.77777777777777779</v>
      </c>
      <c r="BA355" s="32">
        <f t="shared" si="155"/>
        <v>0.69444444444444442</v>
      </c>
      <c r="BB355" s="32">
        <f t="shared" si="156"/>
        <v>0.86111111111111105</v>
      </c>
      <c r="BC355" s="7">
        <f t="shared" si="157"/>
        <v>0.71296296296296291</v>
      </c>
      <c r="BD355" s="7">
        <f t="shared" si="158"/>
        <v>0.91666666666666663</v>
      </c>
      <c r="BE355">
        <f>step3_validation[[#This Row],[AI_OUT1]]</f>
        <v>8</v>
      </c>
      <c r="BF355">
        <f t="shared" si="159"/>
        <v>0.77777777777777779</v>
      </c>
      <c r="BG355">
        <f>survey_responses[[#This Row],[Sau khi xem xét các quyền lợi và nghĩa vụ, bạn có ủng hộ và tuân thủ chính sách mới hiện nay? - HUMAN-OUT1]]</f>
        <v>9</v>
      </c>
      <c r="BH355">
        <f t="shared" si="160"/>
        <v>0.88888888888888884</v>
      </c>
      <c r="BI355" s="32">
        <f t="shared" si="161"/>
        <v>1</v>
      </c>
    </row>
    <row r="356" spans="1:61" x14ac:dyDescent="0.45">
      <c r="A356" s="30">
        <f>step3_validation[[#This Row],[Persona_ID]]</f>
        <v>355</v>
      </c>
      <c r="B356" s="31">
        <f>step3_validation[[#This Row],[Used_Seed]]</f>
        <v>12699</v>
      </c>
      <c r="C356" t="str">
        <f>step3_validation[[#This Row],[Gender]]</f>
        <v>Nam</v>
      </c>
      <c r="D356" t="str">
        <f>survey_responses[[#This Row],[Giới tính của bạn:]]</f>
        <v>Nam</v>
      </c>
      <c r="E356" t="str">
        <f>step3_validation[[#This Row],[Age_Group]]</f>
        <v>18 - 24</v>
      </c>
      <c r="F356" t="str">
        <f>survey_responses[[#This Row],[Độ tuổi của bạn:]]</f>
        <v>18 - 24</v>
      </c>
      <c r="G356" t="str">
        <f>step3_validation[[#This Row],[Region]]</f>
        <v>Thành thị</v>
      </c>
      <c r="H356" t="str">
        <f>survey_responses[[#This Row],[Khu vực bạn đang sinh sống:]]</f>
        <v>Thành thị</v>
      </c>
      <c r="I356" t="str">
        <f>step3_validation[[#This Row],[Education]]</f>
        <v>Đại học</v>
      </c>
      <c r="J356" t="str">
        <f>survey_responses[[#This Row],[Trình độ học vấn cao nhất:]]</f>
        <v>Đại học</v>
      </c>
      <c r="K356" t="str">
        <f>step3_validation[[#This Row],[Employment]]</f>
        <v>Chính thức</v>
      </c>
      <c r="L356" t="str">
        <f>survey_responses[[#This Row],[Tình trạng việc làm chính:]]</f>
        <v>Khu vực chính thức (Có Hợp đồng lao động, đóng BHXH)</v>
      </c>
      <c r="M356">
        <f>step3_validation[[#This Row],[Income_Mil]]</f>
        <v>12.502771161707546</v>
      </c>
      <c r="N356" t="str">
        <f>survey_responses[[#This Row],[Thu nhập bình quân tháng theo Hợp đồng lao động của bạn là bao nhiêu? (Vui lòng điền tổng thu nhập trước khi khấu trừ các loại Bảo hiểm (BHXH, BHYT, BHTN) và Thuế TNCN)]]</f>
        <v>Từ 12 - 18 triệu VNĐ</v>
      </c>
      <c r="O356">
        <f>step3_validation[[#This Row],[Dependents]]</f>
        <v>0</v>
      </c>
      <c r="P356" t="str">
        <f>survey_responses[[#This Row],[Số người phụ thuộc (con nhỏ, cha mẹ già...) đủ điều kiện giảm trừ gia cảnh:]]</f>
        <v>0 người</v>
      </c>
      <c r="Q356">
        <f>step3_validation[[#This Row],[AI_ENF1]]</f>
        <v>8</v>
      </c>
      <c r="R356">
        <f t="shared" si="135"/>
        <v>0.77777777777777779</v>
      </c>
      <c r="S356">
        <f>survey_responses[[#This Row],[Tôi tin rằng với các quy định quản lý thuế hiện nay, hành vi gian lận hoặc trốn thuế sẽ dễ dàng bị phát hiện và xử lý nghiêm. - HUMAN-ENF1]]</f>
        <v>7</v>
      </c>
      <c r="T356">
        <f t="shared" si="136"/>
        <v>0.66666666666666663</v>
      </c>
      <c r="U356">
        <f>step3_validation[[#This Row],[AI_ENF2]]</f>
        <v>7</v>
      </c>
      <c r="V356">
        <f t="shared" si="137"/>
        <v>0.66666666666666663</v>
      </c>
      <c r="W356">
        <f>survey_responses[[#This Row],[Tôi tin rằng Nhà nước, cơ quan thuế có đủ khả năng và công nghệ để phát hiện, xử lý nghiêm các hành vi trốn thuế. - HUMAN-ENF2]]</f>
        <v>8</v>
      </c>
      <c r="X356">
        <f t="shared" si="138"/>
        <v>0.77777777777777779</v>
      </c>
      <c r="Y356" s="32">
        <f t="shared" si="139"/>
        <v>0.72222222222222221</v>
      </c>
      <c r="Z356" s="32">
        <f t="shared" si="140"/>
        <v>0.72222222222222221</v>
      </c>
      <c r="AA356">
        <f>step3_validation[[#This Row],[AI_FAC1]]</f>
        <v>9</v>
      </c>
      <c r="AB356">
        <f t="shared" si="141"/>
        <v>0.88888888888888884</v>
      </c>
      <c r="AC356">
        <f>survey_responses[[#This Row],[Các thủ tục khai báo thuế VÀ/HOẶC quy trình làm việc với cơ quan thuế đơn giản, tiện lợi, nhanh chóng hơn so với trước đây. - HUMAN-FAC1]]</f>
        <v>8</v>
      </c>
      <c r="AD356">
        <f t="shared" si="142"/>
        <v>0.77777777777777779</v>
      </c>
      <c r="AE356">
        <f>step3_validation[[#This Row],[AI_FAC2]]</f>
        <v>10</v>
      </c>
      <c r="AF356">
        <f t="shared" si="143"/>
        <v>1</v>
      </c>
      <c r="AG356">
        <f>survey_responses[[#This Row],[So với trước đây, tôi thấy cách tính thuế và các bậc thuế trong phương án mới đơn giản, dễ hiểu và dễ thực hiện hơn. - HUMAN-FAC2]]</f>
        <v>9</v>
      </c>
      <c r="AH356">
        <f t="shared" si="144"/>
        <v>0.88888888888888884</v>
      </c>
      <c r="AI356" s="32">
        <f t="shared" si="145"/>
        <v>0.94444444444444442</v>
      </c>
      <c r="AJ356" s="32">
        <f t="shared" si="146"/>
        <v>0.83333333333333326</v>
      </c>
      <c r="AK356">
        <f>step3_validation[[#This Row],[AI_TRU1]]</f>
        <v>9</v>
      </c>
      <c r="AL356">
        <f t="shared" si="147"/>
        <v>0.88888888888888884</v>
      </c>
      <c r="AM356">
        <f>survey_responses[[#This Row],[Tôi tin rằng Nhà nước, cơ quan thuế sẽ thực thi chính sách mới một cách khách quan, công tâm và đối xử bình đẳng với mọi người nộp thuế.  - HUMAN-TRU1]]</f>
        <v>8</v>
      </c>
      <c r="AN356">
        <f t="shared" si="148"/>
        <v>0.77777777777777779</v>
      </c>
      <c r="AO356">
        <f>step3_validation[[#This Row],[AI_TRU2]]</f>
        <v>8</v>
      </c>
      <c r="AP356">
        <f t="shared" si="149"/>
        <v>0.77777777777777779</v>
      </c>
      <c r="AQ356">
        <f>survey_responses[[#This Row],[Tôi thấy mức thuế tôi phải đóng theo phương án mới là công bằng (người thu nhập như tôi đóng mức này là hợp lý). - HUMAN-TRU2]]</f>
        <v>10</v>
      </c>
      <c r="AR356">
        <f t="shared" si="150"/>
        <v>1</v>
      </c>
      <c r="AS356">
        <f>step3_validation[[#This Row],[AI_TRU3]]</f>
        <v>9</v>
      </c>
      <c r="AT356">
        <f t="shared" si="151"/>
        <v>0.88888888888888884</v>
      </c>
      <c r="AU356">
        <f>survey_responses[[#This Row],[Tôi tin tưởng số tiền thuế tôi đóng sẽ được Nhà nước sử dụng hiệu quả để cải thiện dịch vụ công (y tế, đường xá...). - HUMAN-TRU3]]</f>
        <v>8</v>
      </c>
      <c r="AV356">
        <f t="shared" si="152"/>
        <v>0.77777777777777779</v>
      </c>
      <c r="AW356">
        <f>step3_validation[[#This Row],[AI_TRU4]]</f>
        <v>7</v>
      </c>
      <c r="AX356">
        <f t="shared" si="153"/>
        <v>0.66666666666666663</v>
      </c>
      <c r="AY356">
        <f>survey_responses[[#This Row],[Tôi thấy Nhà nước đã giải thích rõ ràng, minh bạch về lý do và mục tiêu của việc sửa đổi thuế lần này. - HUMAN-TRU4]]</f>
        <v>8</v>
      </c>
      <c r="AZ356">
        <f t="shared" si="154"/>
        <v>0.77777777777777779</v>
      </c>
      <c r="BA356" s="32">
        <f t="shared" si="155"/>
        <v>0.80555555555555547</v>
      </c>
      <c r="BB356" s="32">
        <f t="shared" si="156"/>
        <v>0.83333333333333326</v>
      </c>
      <c r="BC356" s="7">
        <f t="shared" si="157"/>
        <v>0.82407407407407396</v>
      </c>
      <c r="BD356" s="7">
        <f t="shared" si="158"/>
        <v>0.79629629629629617</v>
      </c>
      <c r="BE356">
        <f>step3_validation[[#This Row],[AI_OUT1]]</f>
        <v>9</v>
      </c>
      <c r="BF356">
        <f t="shared" si="159"/>
        <v>0.88888888888888884</v>
      </c>
      <c r="BG356">
        <f>survey_responses[[#This Row],[Sau khi xem xét các quyền lợi và nghĩa vụ, bạn có ủng hộ và tuân thủ chính sách mới hiện nay? - HUMAN-OUT1]]</f>
        <v>9</v>
      </c>
      <c r="BH356">
        <f t="shared" si="160"/>
        <v>0.88888888888888884</v>
      </c>
      <c r="BI356" s="32">
        <f t="shared" si="161"/>
        <v>0</v>
      </c>
    </row>
    <row r="357" spans="1:61" x14ac:dyDescent="0.45">
      <c r="A357" s="30">
        <f>step3_validation[[#This Row],[Persona_ID]]</f>
        <v>356</v>
      </c>
      <c r="B357" s="31">
        <f>step3_validation[[#This Row],[Used_Seed]]</f>
        <v>12700</v>
      </c>
      <c r="C357" t="str">
        <f>step3_validation[[#This Row],[Gender]]</f>
        <v>Nam</v>
      </c>
      <c r="D357" t="str">
        <f>survey_responses[[#This Row],[Giới tính của bạn:]]</f>
        <v>Nam</v>
      </c>
      <c r="E357" t="str">
        <f>step3_validation[[#This Row],[Age_Group]]</f>
        <v>18 - 24</v>
      </c>
      <c r="F357" t="str">
        <f>survey_responses[[#This Row],[Độ tuổi của bạn:]]</f>
        <v>18 - 24</v>
      </c>
      <c r="G357" t="str">
        <f>step3_validation[[#This Row],[Region]]</f>
        <v>Thành thị</v>
      </c>
      <c r="H357" t="str">
        <f>survey_responses[[#This Row],[Khu vực bạn đang sinh sống:]]</f>
        <v>Thành thị</v>
      </c>
      <c r="I357" t="str">
        <f>step3_validation[[#This Row],[Education]]</f>
        <v>Đại học</v>
      </c>
      <c r="J357" t="str">
        <f>survey_responses[[#This Row],[Trình độ học vấn cao nhất:]]</f>
        <v>Đại học</v>
      </c>
      <c r="K357" t="str">
        <f>step3_validation[[#This Row],[Employment]]</f>
        <v>Chính thức</v>
      </c>
      <c r="L357" t="str">
        <f>survey_responses[[#This Row],[Tình trạng việc làm chính:]]</f>
        <v>Khu vực chính thức (Có Hợp đồng lao động, đóng BHXH)</v>
      </c>
      <c r="M357">
        <f>step3_validation[[#This Row],[Income_Mil]]</f>
        <v>15.742557486937738</v>
      </c>
      <c r="N357" t="str">
        <f>survey_responses[[#This Row],[Thu nhập bình quân tháng theo Hợp đồng lao động của bạn là bao nhiêu? (Vui lòng điền tổng thu nhập trước khi khấu trừ các loại Bảo hiểm (BHXH, BHYT, BHTN) và Thuế TNCN)]]</f>
        <v>Từ 12 - 18 triệu VNĐ</v>
      </c>
      <c r="O357">
        <f>step3_validation[[#This Row],[Dependents]]</f>
        <v>0</v>
      </c>
      <c r="P357" t="str">
        <f>survey_responses[[#This Row],[Số người phụ thuộc (con nhỏ, cha mẹ già...) đủ điều kiện giảm trừ gia cảnh:]]</f>
        <v>0 người</v>
      </c>
      <c r="Q357">
        <f>step3_validation[[#This Row],[AI_ENF1]]</f>
        <v>6</v>
      </c>
      <c r="R357">
        <f t="shared" si="135"/>
        <v>0.55555555555555558</v>
      </c>
      <c r="S357">
        <f>survey_responses[[#This Row],[Tôi tin rằng với các quy định quản lý thuế hiện nay, hành vi gian lận hoặc trốn thuế sẽ dễ dàng bị phát hiện và xử lý nghiêm. - HUMAN-ENF1]]</f>
        <v>7</v>
      </c>
      <c r="T357">
        <f t="shared" si="136"/>
        <v>0.66666666666666663</v>
      </c>
      <c r="U357">
        <f>step3_validation[[#This Row],[AI_ENF2]]</f>
        <v>7</v>
      </c>
      <c r="V357">
        <f t="shared" si="137"/>
        <v>0.66666666666666663</v>
      </c>
      <c r="W357">
        <f>survey_responses[[#This Row],[Tôi tin rằng Nhà nước, cơ quan thuế có đủ khả năng và công nghệ để phát hiện, xử lý nghiêm các hành vi trốn thuế. - HUMAN-ENF2]]</f>
        <v>7</v>
      </c>
      <c r="X357">
        <f t="shared" si="138"/>
        <v>0.66666666666666663</v>
      </c>
      <c r="Y357" s="32">
        <f t="shared" si="139"/>
        <v>0.61111111111111116</v>
      </c>
      <c r="Z357" s="32">
        <f t="shared" si="140"/>
        <v>0.66666666666666663</v>
      </c>
      <c r="AA357">
        <f>step3_validation[[#This Row],[AI_FAC1]]</f>
        <v>9</v>
      </c>
      <c r="AB357">
        <f t="shared" si="141"/>
        <v>0.88888888888888884</v>
      </c>
      <c r="AC357">
        <f>survey_responses[[#This Row],[Các thủ tục khai báo thuế VÀ/HOẶC quy trình làm việc với cơ quan thuế đơn giản, tiện lợi, nhanh chóng hơn so với trước đây. - HUMAN-FAC1]]</f>
        <v>8</v>
      </c>
      <c r="AD357">
        <f t="shared" si="142"/>
        <v>0.77777777777777779</v>
      </c>
      <c r="AE357">
        <f>step3_validation[[#This Row],[AI_FAC2]]</f>
        <v>8</v>
      </c>
      <c r="AF357">
        <f t="shared" si="143"/>
        <v>0.77777777777777779</v>
      </c>
      <c r="AG357">
        <f>survey_responses[[#This Row],[So với trước đây, tôi thấy cách tính thuế và các bậc thuế trong phương án mới đơn giản, dễ hiểu và dễ thực hiện hơn. - HUMAN-FAC2]]</f>
        <v>10</v>
      </c>
      <c r="AH357">
        <f t="shared" si="144"/>
        <v>1</v>
      </c>
      <c r="AI357" s="32">
        <f t="shared" si="145"/>
        <v>0.83333333333333326</v>
      </c>
      <c r="AJ357" s="32">
        <f t="shared" si="146"/>
        <v>0.88888888888888884</v>
      </c>
      <c r="AK357">
        <f>step3_validation[[#This Row],[AI_TRU1]]</f>
        <v>6</v>
      </c>
      <c r="AL357">
        <f t="shared" si="147"/>
        <v>0.55555555555555558</v>
      </c>
      <c r="AM357">
        <f>survey_responses[[#This Row],[Tôi tin rằng Nhà nước, cơ quan thuế sẽ thực thi chính sách mới một cách khách quan, công tâm và đối xử bình đẳng với mọi người nộp thuế.  - HUMAN-TRU1]]</f>
        <v>9</v>
      </c>
      <c r="AN357">
        <f t="shared" si="148"/>
        <v>0.88888888888888884</v>
      </c>
      <c r="AO357">
        <f>step3_validation[[#This Row],[AI_TRU2]]</f>
        <v>8</v>
      </c>
      <c r="AP357">
        <f t="shared" si="149"/>
        <v>0.77777777777777779</v>
      </c>
      <c r="AQ357">
        <f>survey_responses[[#This Row],[Tôi thấy mức thuế tôi phải đóng theo phương án mới là công bằng (người thu nhập như tôi đóng mức này là hợp lý). - HUMAN-TRU2]]</f>
        <v>10</v>
      </c>
      <c r="AR357">
        <f t="shared" si="150"/>
        <v>1</v>
      </c>
      <c r="AS357">
        <f>step3_validation[[#This Row],[AI_TRU3]]</f>
        <v>7</v>
      </c>
      <c r="AT357">
        <f t="shared" si="151"/>
        <v>0.66666666666666663</v>
      </c>
      <c r="AU357">
        <f>survey_responses[[#This Row],[Tôi tin tưởng số tiền thuế tôi đóng sẽ được Nhà nước sử dụng hiệu quả để cải thiện dịch vụ công (y tế, đường xá...). - HUMAN-TRU3]]</f>
        <v>8</v>
      </c>
      <c r="AV357">
        <f t="shared" si="152"/>
        <v>0.77777777777777779</v>
      </c>
      <c r="AW357">
        <f>step3_validation[[#This Row],[AI_TRU4]]</f>
        <v>8</v>
      </c>
      <c r="AX357">
        <f t="shared" si="153"/>
        <v>0.77777777777777779</v>
      </c>
      <c r="AY357">
        <f>survey_responses[[#This Row],[Tôi thấy Nhà nước đã giải thích rõ ràng, minh bạch về lý do và mục tiêu của việc sửa đổi thuế lần này. - HUMAN-TRU4]]</f>
        <v>8</v>
      </c>
      <c r="AZ357">
        <f t="shared" si="154"/>
        <v>0.77777777777777779</v>
      </c>
      <c r="BA357" s="32">
        <f t="shared" si="155"/>
        <v>0.69444444444444442</v>
      </c>
      <c r="BB357" s="32">
        <f t="shared" si="156"/>
        <v>0.86111111111111105</v>
      </c>
      <c r="BC357" s="7">
        <f t="shared" si="157"/>
        <v>0.71296296296296291</v>
      </c>
      <c r="BD357" s="7">
        <f t="shared" si="158"/>
        <v>0.80555555555555547</v>
      </c>
      <c r="BE357">
        <f>step3_validation[[#This Row],[AI_OUT1]]</f>
        <v>9</v>
      </c>
      <c r="BF357">
        <f t="shared" si="159"/>
        <v>0.88888888888888884</v>
      </c>
      <c r="BG357">
        <f>survey_responses[[#This Row],[Sau khi xem xét các quyền lợi và nghĩa vụ, bạn có ủng hộ và tuân thủ chính sách mới hiện nay? - HUMAN-OUT1]]</f>
        <v>10</v>
      </c>
      <c r="BH357">
        <f t="shared" si="160"/>
        <v>1</v>
      </c>
      <c r="BI357" s="32">
        <f t="shared" si="161"/>
        <v>1</v>
      </c>
    </row>
    <row r="358" spans="1:61" x14ac:dyDescent="0.45">
      <c r="A358" s="30">
        <f>step3_validation[[#This Row],[Persona_ID]]</f>
        <v>357</v>
      </c>
      <c r="B358" s="31">
        <f>step3_validation[[#This Row],[Used_Seed]]</f>
        <v>12701</v>
      </c>
      <c r="C358" t="str">
        <f>step3_validation[[#This Row],[Gender]]</f>
        <v>Nam</v>
      </c>
      <c r="D358" t="str">
        <f>survey_responses[[#This Row],[Giới tính của bạn:]]</f>
        <v>Nam</v>
      </c>
      <c r="E358" t="str">
        <f>step3_validation[[#This Row],[Age_Group]]</f>
        <v>25 - 29</v>
      </c>
      <c r="F358" t="str">
        <f>survey_responses[[#This Row],[Độ tuổi của bạn:]]</f>
        <v>25 - 29</v>
      </c>
      <c r="G358" t="str">
        <f>step3_validation[[#This Row],[Region]]</f>
        <v>Thành thị</v>
      </c>
      <c r="H358" t="str">
        <f>survey_responses[[#This Row],[Khu vực bạn đang sinh sống:]]</f>
        <v>Thành thị</v>
      </c>
      <c r="I358" t="str">
        <f>step3_validation[[#This Row],[Education]]</f>
        <v>Đại học</v>
      </c>
      <c r="J358" t="str">
        <f>survey_responses[[#This Row],[Trình độ học vấn cao nhất:]]</f>
        <v>Đại học</v>
      </c>
      <c r="K358" t="str">
        <f>step3_validation[[#This Row],[Employment]]</f>
        <v>Chính thức</v>
      </c>
      <c r="L358" t="str">
        <f>survey_responses[[#This Row],[Tình trạng việc làm chính:]]</f>
        <v>Khu vực chính thức (Có Hợp đồng lao động, đóng BHXH)</v>
      </c>
      <c r="M358">
        <f>step3_validation[[#This Row],[Income_Mil]]</f>
        <v>25.957773442227086</v>
      </c>
      <c r="N358" t="str">
        <f>survey_responses[[#This Row],[Thu nhập bình quân tháng theo Hợp đồng lao động của bạn là bao nhiêu? (Vui lòng điền tổng thu nhập trước khi khấu trừ các loại Bảo hiểm (BHXH, BHYT, BHTN) và Thuế TNCN)]]</f>
        <v>Từ 23 - 32 triệu VNĐ</v>
      </c>
      <c r="O358">
        <f>step3_validation[[#This Row],[Dependents]]</f>
        <v>0</v>
      </c>
      <c r="P358" t="str">
        <f>survey_responses[[#This Row],[Số người phụ thuộc (con nhỏ, cha mẹ già...) đủ điều kiện giảm trừ gia cảnh:]]</f>
        <v>0 người</v>
      </c>
      <c r="Q358">
        <f>step3_validation[[#This Row],[AI_ENF1]]</f>
        <v>9</v>
      </c>
      <c r="R358">
        <f t="shared" si="135"/>
        <v>0.88888888888888884</v>
      </c>
      <c r="S358">
        <f>survey_responses[[#This Row],[Tôi tin rằng với các quy định quản lý thuế hiện nay, hành vi gian lận hoặc trốn thuế sẽ dễ dàng bị phát hiện và xử lý nghiêm. - HUMAN-ENF1]]</f>
        <v>9</v>
      </c>
      <c r="T358">
        <f t="shared" si="136"/>
        <v>0.88888888888888884</v>
      </c>
      <c r="U358">
        <f>step3_validation[[#This Row],[AI_ENF2]]</f>
        <v>8</v>
      </c>
      <c r="V358">
        <f t="shared" si="137"/>
        <v>0.77777777777777779</v>
      </c>
      <c r="W358">
        <f>survey_responses[[#This Row],[Tôi tin rằng Nhà nước, cơ quan thuế có đủ khả năng và công nghệ để phát hiện, xử lý nghiêm các hành vi trốn thuế. - HUMAN-ENF2]]</f>
        <v>9</v>
      </c>
      <c r="X358">
        <f t="shared" si="138"/>
        <v>0.88888888888888884</v>
      </c>
      <c r="Y358" s="32">
        <f t="shared" si="139"/>
        <v>0.83333333333333326</v>
      </c>
      <c r="Z358" s="32">
        <f t="shared" si="140"/>
        <v>0.88888888888888884</v>
      </c>
      <c r="AA358">
        <f>step3_validation[[#This Row],[AI_FAC1]]</f>
        <v>9</v>
      </c>
      <c r="AB358">
        <f t="shared" si="141"/>
        <v>0.88888888888888884</v>
      </c>
      <c r="AC358">
        <f>survey_responses[[#This Row],[Các thủ tục khai báo thuế VÀ/HOẶC quy trình làm việc với cơ quan thuế đơn giản, tiện lợi, nhanh chóng hơn so với trước đây. - HUMAN-FAC1]]</f>
        <v>8</v>
      </c>
      <c r="AD358">
        <f t="shared" si="142"/>
        <v>0.77777777777777779</v>
      </c>
      <c r="AE358">
        <f>step3_validation[[#This Row],[AI_FAC2]]</f>
        <v>10</v>
      </c>
      <c r="AF358">
        <f t="shared" si="143"/>
        <v>1</v>
      </c>
      <c r="AG358">
        <f>survey_responses[[#This Row],[So với trước đây, tôi thấy cách tính thuế và các bậc thuế trong phương án mới đơn giản, dễ hiểu và dễ thực hiện hơn. - HUMAN-FAC2]]</f>
        <v>9</v>
      </c>
      <c r="AH358">
        <f t="shared" si="144"/>
        <v>0.88888888888888884</v>
      </c>
      <c r="AI358" s="32">
        <f t="shared" si="145"/>
        <v>0.94444444444444442</v>
      </c>
      <c r="AJ358" s="32">
        <f t="shared" si="146"/>
        <v>0.83333333333333326</v>
      </c>
      <c r="AK358">
        <f>step3_validation[[#This Row],[AI_TRU1]]</f>
        <v>9</v>
      </c>
      <c r="AL358">
        <f t="shared" si="147"/>
        <v>0.88888888888888884</v>
      </c>
      <c r="AM358">
        <f>survey_responses[[#This Row],[Tôi tin rằng Nhà nước, cơ quan thuế sẽ thực thi chính sách mới một cách khách quan, công tâm và đối xử bình đẳng với mọi người nộp thuế.  - HUMAN-TRU1]]</f>
        <v>8</v>
      </c>
      <c r="AN358">
        <f t="shared" si="148"/>
        <v>0.77777777777777779</v>
      </c>
      <c r="AO358">
        <f>step3_validation[[#This Row],[AI_TRU2]]</f>
        <v>8</v>
      </c>
      <c r="AP358">
        <f t="shared" si="149"/>
        <v>0.77777777777777779</v>
      </c>
      <c r="AQ358">
        <f>survey_responses[[#This Row],[Tôi thấy mức thuế tôi phải đóng theo phương án mới là công bằng (người thu nhập như tôi đóng mức này là hợp lý). - HUMAN-TRU2]]</f>
        <v>8</v>
      </c>
      <c r="AR358">
        <f t="shared" si="150"/>
        <v>0.77777777777777779</v>
      </c>
      <c r="AS358">
        <f>step3_validation[[#This Row],[AI_TRU3]]</f>
        <v>9</v>
      </c>
      <c r="AT358">
        <f t="shared" si="151"/>
        <v>0.88888888888888884</v>
      </c>
      <c r="AU358">
        <f>survey_responses[[#This Row],[Tôi tin tưởng số tiền thuế tôi đóng sẽ được Nhà nước sử dụng hiệu quả để cải thiện dịch vụ công (y tế, đường xá...). - HUMAN-TRU3]]</f>
        <v>7</v>
      </c>
      <c r="AV358">
        <f t="shared" si="152"/>
        <v>0.66666666666666663</v>
      </c>
      <c r="AW358">
        <f>step3_validation[[#This Row],[AI_TRU4]]</f>
        <v>8</v>
      </c>
      <c r="AX358">
        <f t="shared" si="153"/>
        <v>0.77777777777777779</v>
      </c>
      <c r="AY358">
        <f>survey_responses[[#This Row],[Tôi thấy Nhà nước đã giải thích rõ ràng, minh bạch về lý do và mục tiêu của việc sửa đổi thuế lần này. - HUMAN-TRU4]]</f>
        <v>7</v>
      </c>
      <c r="AZ358">
        <f t="shared" si="154"/>
        <v>0.66666666666666663</v>
      </c>
      <c r="BA358" s="32">
        <f t="shared" si="155"/>
        <v>0.83333333333333326</v>
      </c>
      <c r="BB358" s="32">
        <f t="shared" si="156"/>
        <v>0.72222222222222221</v>
      </c>
      <c r="BC358" s="7">
        <f t="shared" si="157"/>
        <v>0.87037037037037024</v>
      </c>
      <c r="BD358" s="7">
        <f t="shared" si="158"/>
        <v>0.81481481481481477</v>
      </c>
      <c r="BE358">
        <f>step3_validation[[#This Row],[AI_OUT1]]</f>
        <v>9</v>
      </c>
      <c r="BF358">
        <f t="shared" si="159"/>
        <v>0.88888888888888884</v>
      </c>
      <c r="BG358">
        <f>survey_responses[[#This Row],[Sau khi xem xét các quyền lợi và nghĩa vụ, bạn có ủng hộ và tuân thủ chính sách mới hiện nay? - HUMAN-OUT1]]</f>
        <v>8</v>
      </c>
      <c r="BH358">
        <f t="shared" si="160"/>
        <v>0.77777777777777779</v>
      </c>
      <c r="BI358" s="32">
        <f t="shared" si="161"/>
        <v>1</v>
      </c>
    </row>
    <row r="359" spans="1:61" x14ac:dyDescent="0.45">
      <c r="A359" s="30">
        <f>step3_validation[[#This Row],[Persona_ID]]</f>
        <v>358</v>
      </c>
      <c r="B359" s="31">
        <f>step3_validation[[#This Row],[Used_Seed]]</f>
        <v>12702</v>
      </c>
      <c r="C359" t="str">
        <f>step3_validation[[#This Row],[Gender]]</f>
        <v>Nữ</v>
      </c>
      <c r="D359" t="str">
        <f>survey_responses[[#This Row],[Giới tính của bạn:]]</f>
        <v>Nữ</v>
      </c>
      <c r="E359" t="str">
        <f>step3_validation[[#This Row],[Age_Group]]</f>
        <v>18 - 24</v>
      </c>
      <c r="F359" t="str">
        <f>survey_responses[[#This Row],[Độ tuổi của bạn:]]</f>
        <v>18 - 24</v>
      </c>
      <c r="G359" t="str">
        <f>step3_validation[[#This Row],[Region]]</f>
        <v>Thành thị</v>
      </c>
      <c r="H359" t="str">
        <f>survey_responses[[#This Row],[Khu vực bạn đang sinh sống:]]</f>
        <v>Thành thị</v>
      </c>
      <c r="I359" t="str">
        <f>step3_validation[[#This Row],[Education]]</f>
        <v>Đại học</v>
      </c>
      <c r="J359" t="str">
        <f>survey_responses[[#This Row],[Trình độ học vấn cao nhất:]]</f>
        <v>Đại học</v>
      </c>
      <c r="K359" t="str">
        <f>step3_validation[[#This Row],[Employment]]</f>
        <v>Chính thức</v>
      </c>
      <c r="L359" t="str">
        <f>survey_responses[[#This Row],[Tình trạng việc làm chính:]]</f>
        <v>Khu vực chính thức (Có Hợp đồng lao động, đóng BHXH)</v>
      </c>
      <c r="M359">
        <f>step3_validation[[#This Row],[Income_Mil]]</f>
        <v>15.110265671808389</v>
      </c>
      <c r="N359" t="str">
        <f>survey_responses[[#This Row],[Thu nhập bình quân tháng theo Hợp đồng lao động của bạn là bao nhiêu? (Vui lòng điền tổng thu nhập trước khi khấu trừ các loại Bảo hiểm (BHXH, BHYT, BHTN) và Thuế TNCN)]]</f>
        <v>Từ 12 - 18 triệu VNĐ</v>
      </c>
      <c r="O359">
        <f>step3_validation[[#This Row],[Dependents]]</f>
        <v>0</v>
      </c>
      <c r="P359" t="str">
        <f>survey_responses[[#This Row],[Số người phụ thuộc (con nhỏ, cha mẹ già...) đủ điều kiện giảm trừ gia cảnh:]]</f>
        <v>0 người</v>
      </c>
      <c r="Q359">
        <f>step3_validation[[#This Row],[AI_ENF1]]</f>
        <v>6</v>
      </c>
      <c r="R359">
        <f t="shared" si="135"/>
        <v>0.55555555555555558</v>
      </c>
      <c r="S359">
        <f>survey_responses[[#This Row],[Tôi tin rằng với các quy định quản lý thuế hiện nay, hành vi gian lận hoặc trốn thuế sẽ dễ dàng bị phát hiện và xử lý nghiêm. - HUMAN-ENF1]]</f>
        <v>7</v>
      </c>
      <c r="T359">
        <f t="shared" si="136"/>
        <v>0.66666666666666663</v>
      </c>
      <c r="U359">
        <f>step3_validation[[#This Row],[AI_ENF2]]</f>
        <v>6</v>
      </c>
      <c r="V359">
        <f t="shared" si="137"/>
        <v>0.55555555555555558</v>
      </c>
      <c r="W359">
        <f>survey_responses[[#This Row],[Tôi tin rằng Nhà nước, cơ quan thuế có đủ khả năng và công nghệ để phát hiện, xử lý nghiêm các hành vi trốn thuế. - HUMAN-ENF2]]</f>
        <v>7</v>
      </c>
      <c r="X359">
        <f t="shared" si="138"/>
        <v>0.66666666666666663</v>
      </c>
      <c r="Y359" s="32">
        <f t="shared" si="139"/>
        <v>0.55555555555555558</v>
      </c>
      <c r="Z359" s="32">
        <f t="shared" si="140"/>
        <v>0.66666666666666663</v>
      </c>
      <c r="AA359">
        <f>step3_validation[[#This Row],[AI_FAC1]]</f>
        <v>9</v>
      </c>
      <c r="AB359">
        <f t="shared" si="141"/>
        <v>0.88888888888888884</v>
      </c>
      <c r="AC359">
        <f>survey_responses[[#This Row],[Các thủ tục khai báo thuế VÀ/HOẶC quy trình làm việc với cơ quan thuế đơn giản, tiện lợi, nhanh chóng hơn so với trước đây. - HUMAN-FAC1]]</f>
        <v>7</v>
      </c>
      <c r="AD359">
        <f t="shared" si="142"/>
        <v>0.66666666666666663</v>
      </c>
      <c r="AE359">
        <f>step3_validation[[#This Row],[AI_FAC2]]</f>
        <v>8</v>
      </c>
      <c r="AF359">
        <f t="shared" si="143"/>
        <v>0.77777777777777779</v>
      </c>
      <c r="AG359">
        <f>survey_responses[[#This Row],[So với trước đây, tôi thấy cách tính thuế và các bậc thuế trong phương án mới đơn giản, dễ hiểu và dễ thực hiện hơn. - HUMAN-FAC2]]</f>
        <v>8</v>
      </c>
      <c r="AH359">
        <f t="shared" si="144"/>
        <v>0.77777777777777779</v>
      </c>
      <c r="AI359" s="32">
        <f t="shared" si="145"/>
        <v>0.83333333333333326</v>
      </c>
      <c r="AJ359" s="32">
        <f t="shared" si="146"/>
        <v>0.72222222222222221</v>
      </c>
      <c r="AK359">
        <f>step3_validation[[#This Row],[AI_TRU1]]</f>
        <v>7</v>
      </c>
      <c r="AL359">
        <f t="shared" si="147"/>
        <v>0.66666666666666663</v>
      </c>
      <c r="AM359">
        <f>survey_responses[[#This Row],[Tôi tin rằng Nhà nước, cơ quan thuế sẽ thực thi chính sách mới một cách khách quan, công tâm và đối xử bình đẳng với mọi người nộp thuế.  - HUMAN-TRU1]]</f>
        <v>7</v>
      </c>
      <c r="AN359">
        <f t="shared" si="148"/>
        <v>0.66666666666666663</v>
      </c>
      <c r="AO359">
        <f>step3_validation[[#This Row],[AI_TRU2]]</f>
        <v>9</v>
      </c>
      <c r="AP359">
        <f t="shared" si="149"/>
        <v>0.88888888888888884</v>
      </c>
      <c r="AQ359">
        <f>survey_responses[[#This Row],[Tôi thấy mức thuế tôi phải đóng theo phương án mới là công bằng (người thu nhập như tôi đóng mức này là hợp lý). - HUMAN-TRU2]]</f>
        <v>9</v>
      </c>
      <c r="AR359">
        <f t="shared" si="150"/>
        <v>0.88888888888888884</v>
      </c>
      <c r="AS359">
        <f>step3_validation[[#This Row],[AI_TRU3]]</f>
        <v>7</v>
      </c>
      <c r="AT359">
        <f t="shared" si="151"/>
        <v>0.66666666666666663</v>
      </c>
      <c r="AU359">
        <f>survey_responses[[#This Row],[Tôi tin tưởng số tiền thuế tôi đóng sẽ được Nhà nước sử dụng hiệu quả để cải thiện dịch vụ công (y tế, đường xá...). - HUMAN-TRU3]]</f>
        <v>8</v>
      </c>
      <c r="AV359">
        <f t="shared" si="152"/>
        <v>0.77777777777777779</v>
      </c>
      <c r="AW359">
        <f>step3_validation[[#This Row],[AI_TRU4]]</f>
        <v>8</v>
      </c>
      <c r="AX359">
        <f t="shared" si="153"/>
        <v>0.77777777777777779</v>
      </c>
      <c r="AY359">
        <f>survey_responses[[#This Row],[Tôi thấy Nhà nước đã giải thích rõ ràng, minh bạch về lý do và mục tiêu của việc sửa đổi thuế lần này. - HUMAN-TRU4]]</f>
        <v>8</v>
      </c>
      <c r="AZ359">
        <f t="shared" si="154"/>
        <v>0.77777777777777779</v>
      </c>
      <c r="BA359" s="32">
        <f t="shared" si="155"/>
        <v>0.74999999999999989</v>
      </c>
      <c r="BB359" s="32">
        <f t="shared" si="156"/>
        <v>0.77777777777777768</v>
      </c>
      <c r="BC359" s="7">
        <f t="shared" si="157"/>
        <v>0.71296296296296291</v>
      </c>
      <c r="BD359" s="7">
        <f t="shared" si="158"/>
        <v>0.72222222222222221</v>
      </c>
      <c r="BE359">
        <f>step3_validation[[#This Row],[AI_OUT1]]</f>
        <v>9</v>
      </c>
      <c r="BF359">
        <f t="shared" si="159"/>
        <v>0.88888888888888884</v>
      </c>
      <c r="BG359">
        <f>survey_responses[[#This Row],[Sau khi xem xét các quyền lợi và nghĩa vụ, bạn có ủng hộ và tuân thủ chính sách mới hiện nay? - HUMAN-OUT1]]</f>
        <v>8</v>
      </c>
      <c r="BH359">
        <f t="shared" si="160"/>
        <v>0.77777777777777779</v>
      </c>
      <c r="BI359" s="32">
        <f t="shared" si="161"/>
        <v>1</v>
      </c>
    </row>
    <row r="360" spans="1:61" x14ac:dyDescent="0.45">
      <c r="A360" s="30">
        <f>step3_validation[[#This Row],[Persona_ID]]</f>
        <v>359</v>
      </c>
      <c r="B360" s="31">
        <f>step3_validation[[#This Row],[Used_Seed]]</f>
        <v>12703</v>
      </c>
      <c r="C360" t="str">
        <f>step3_validation[[#This Row],[Gender]]</f>
        <v>Nữ</v>
      </c>
      <c r="D360" t="str">
        <f>survey_responses[[#This Row],[Giới tính của bạn:]]</f>
        <v>Nữ</v>
      </c>
      <c r="E360" t="str">
        <f>step3_validation[[#This Row],[Age_Group]]</f>
        <v>25 - 29</v>
      </c>
      <c r="F360" t="str">
        <f>survey_responses[[#This Row],[Độ tuổi của bạn:]]</f>
        <v>25 - 29</v>
      </c>
      <c r="G360" t="str">
        <f>step3_validation[[#This Row],[Region]]</f>
        <v>Thành thị</v>
      </c>
      <c r="H360" t="str">
        <f>survey_responses[[#This Row],[Khu vực bạn đang sinh sống:]]</f>
        <v>Thành thị</v>
      </c>
      <c r="I360" t="str">
        <f>step3_validation[[#This Row],[Education]]</f>
        <v>Đại học</v>
      </c>
      <c r="J360" t="str">
        <f>survey_responses[[#This Row],[Trình độ học vấn cao nhất:]]</f>
        <v>Đại học</v>
      </c>
      <c r="K360" t="str">
        <f>step3_validation[[#This Row],[Employment]]</f>
        <v>Chính thức</v>
      </c>
      <c r="L360" t="str">
        <f>survey_responses[[#This Row],[Tình trạng việc làm chính:]]</f>
        <v>Khu vực chính thức (Có Hợp đồng lao động, đóng BHXH)</v>
      </c>
      <c r="M360">
        <f>step3_validation[[#This Row],[Income_Mil]]</f>
        <v>18.218602068343287</v>
      </c>
      <c r="N360" t="str">
        <f>survey_responses[[#This Row],[Thu nhập bình quân tháng theo Hợp đồng lao động của bạn là bao nhiêu? (Vui lòng điền tổng thu nhập trước khi khấu trừ các loại Bảo hiểm (BHXH, BHYT, BHTN) và Thuế TNCN)]]</f>
        <v>Từ 18 - 23 triệu VNĐ</v>
      </c>
      <c r="O360">
        <f>step3_validation[[#This Row],[Dependents]]</f>
        <v>1</v>
      </c>
      <c r="P360" t="str">
        <f>survey_responses[[#This Row],[Số người phụ thuộc (con nhỏ, cha mẹ già...) đủ điều kiện giảm trừ gia cảnh:]]</f>
        <v>1 người</v>
      </c>
      <c r="Q360">
        <f>step3_validation[[#This Row],[AI_ENF1]]</f>
        <v>7</v>
      </c>
      <c r="R360">
        <f t="shared" si="135"/>
        <v>0.66666666666666663</v>
      </c>
      <c r="S360">
        <f>survey_responses[[#This Row],[Tôi tin rằng với các quy định quản lý thuế hiện nay, hành vi gian lận hoặc trốn thuế sẽ dễ dàng bị phát hiện và xử lý nghiêm. - HUMAN-ENF1]]</f>
        <v>4</v>
      </c>
      <c r="T360">
        <f t="shared" si="136"/>
        <v>0.33333333333333331</v>
      </c>
      <c r="U360">
        <f>step3_validation[[#This Row],[AI_ENF2]]</f>
        <v>8</v>
      </c>
      <c r="V360">
        <f t="shared" si="137"/>
        <v>0.77777777777777779</v>
      </c>
      <c r="W360">
        <f>survey_responses[[#This Row],[Tôi tin rằng Nhà nước, cơ quan thuế có đủ khả năng và công nghệ để phát hiện, xử lý nghiêm các hành vi trốn thuế. - HUMAN-ENF2]]</f>
        <v>5</v>
      </c>
      <c r="X360">
        <f t="shared" si="138"/>
        <v>0.44444444444444442</v>
      </c>
      <c r="Y360" s="32">
        <f t="shared" si="139"/>
        <v>0.72222222222222221</v>
      </c>
      <c r="Z360" s="32">
        <f t="shared" si="140"/>
        <v>0.38888888888888884</v>
      </c>
      <c r="AA360">
        <f>step3_validation[[#This Row],[AI_FAC1]]</f>
        <v>9</v>
      </c>
      <c r="AB360">
        <f t="shared" si="141"/>
        <v>0.88888888888888884</v>
      </c>
      <c r="AC360">
        <f>survey_responses[[#This Row],[Các thủ tục khai báo thuế VÀ/HOẶC quy trình làm việc với cơ quan thuế đơn giản, tiện lợi, nhanh chóng hơn so với trước đây. - HUMAN-FAC1]]</f>
        <v>6</v>
      </c>
      <c r="AD360">
        <f t="shared" si="142"/>
        <v>0.55555555555555558</v>
      </c>
      <c r="AE360">
        <f>step3_validation[[#This Row],[AI_FAC2]]</f>
        <v>9</v>
      </c>
      <c r="AF360">
        <f t="shared" si="143"/>
        <v>0.88888888888888884</v>
      </c>
      <c r="AG360">
        <f>survey_responses[[#This Row],[So với trước đây, tôi thấy cách tính thuế và các bậc thuế trong phương án mới đơn giản, dễ hiểu và dễ thực hiện hơn. - HUMAN-FAC2]]</f>
        <v>7</v>
      </c>
      <c r="AH360">
        <f t="shared" si="144"/>
        <v>0.66666666666666663</v>
      </c>
      <c r="AI360" s="32">
        <f t="shared" si="145"/>
        <v>0.88888888888888884</v>
      </c>
      <c r="AJ360" s="32">
        <f t="shared" si="146"/>
        <v>0.61111111111111116</v>
      </c>
      <c r="AK360">
        <f>step3_validation[[#This Row],[AI_TRU1]]</f>
        <v>8</v>
      </c>
      <c r="AL360">
        <f t="shared" si="147"/>
        <v>0.77777777777777779</v>
      </c>
      <c r="AM360">
        <f>survey_responses[[#This Row],[Tôi tin rằng Nhà nước, cơ quan thuế sẽ thực thi chính sách mới một cách khách quan, công tâm và đối xử bình đẳng với mọi người nộp thuế.  - HUMAN-TRU1]]</f>
        <v>7</v>
      </c>
      <c r="AN360">
        <f t="shared" si="148"/>
        <v>0.66666666666666663</v>
      </c>
      <c r="AO360">
        <f>step3_validation[[#This Row],[AI_TRU2]]</f>
        <v>9</v>
      </c>
      <c r="AP360">
        <f t="shared" si="149"/>
        <v>0.88888888888888884</v>
      </c>
      <c r="AQ360">
        <f>survey_responses[[#This Row],[Tôi thấy mức thuế tôi phải đóng theo phương án mới là công bằng (người thu nhập như tôi đóng mức này là hợp lý). - HUMAN-TRU2]]</f>
        <v>6</v>
      </c>
      <c r="AR360">
        <f t="shared" si="150"/>
        <v>0.55555555555555558</v>
      </c>
      <c r="AS360">
        <f>step3_validation[[#This Row],[AI_TRU3]]</f>
        <v>8</v>
      </c>
      <c r="AT360">
        <f t="shared" si="151"/>
        <v>0.77777777777777779</v>
      </c>
      <c r="AU360">
        <f>survey_responses[[#This Row],[Tôi tin tưởng số tiền thuế tôi đóng sẽ được Nhà nước sử dụng hiệu quả để cải thiện dịch vụ công (y tế, đường xá...). - HUMAN-TRU3]]</f>
        <v>4</v>
      </c>
      <c r="AV360">
        <f t="shared" si="152"/>
        <v>0.33333333333333331</v>
      </c>
      <c r="AW360">
        <f>step3_validation[[#This Row],[AI_TRU4]]</f>
        <v>7</v>
      </c>
      <c r="AX360">
        <f t="shared" si="153"/>
        <v>0.66666666666666663</v>
      </c>
      <c r="AY360">
        <f>survey_responses[[#This Row],[Tôi thấy Nhà nước đã giải thích rõ ràng, minh bạch về lý do và mục tiêu của việc sửa đổi thuế lần này. - HUMAN-TRU4]]</f>
        <v>6</v>
      </c>
      <c r="AZ360">
        <f t="shared" si="154"/>
        <v>0.55555555555555558</v>
      </c>
      <c r="BA360" s="32">
        <f t="shared" si="155"/>
        <v>0.77777777777777768</v>
      </c>
      <c r="BB360" s="32">
        <f t="shared" si="156"/>
        <v>0.52777777777777779</v>
      </c>
      <c r="BC360" s="7">
        <f t="shared" si="157"/>
        <v>0.79629629629629628</v>
      </c>
      <c r="BD360" s="7">
        <f t="shared" si="158"/>
        <v>0.50925925925925919</v>
      </c>
      <c r="BE360">
        <f>step3_validation[[#This Row],[AI_OUT1]]</f>
        <v>9</v>
      </c>
      <c r="BF360">
        <f t="shared" si="159"/>
        <v>0.88888888888888884</v>
      </c>
      <c r="BG360">
        <f>survey_responses[[#This Row],[Sau khi xem xét các quyền lợi và nghĩa vụ, bạn có ủng hộ và tuân thủ chính sách mới hiện nay? - HUMAN-OUT1]]</f>
        <v>7</v>
      </c>
      <c r="BH360">
        <f t="shared" si="160"/>
        <v>0.66666666666666663</v>
      </c>
      <c r="BI360" s="32">
        <f t="shared" si="161"/>
        <v>2</v>
      </c>
    </row>
    <row r="361" spans="1:61" x14ac:dyDescent="0.45">
      <c r="A361" s="30">
        <f>step3_validation[[#This Row],[Persona_ID]]</f>
        <v>360</v>
      </c>
      <c r="B361" s="31">
        <f>step3_validation[[#This Row],[Used_Seed]]</f>
        <v>12704</v>
      </c>
      <c r="C361" t="str">
        <f>step3_validation[[#This Row],[Gender]]</f>
        <v>Nam</v>
      </c>
      <c r="D361" t="str">
        <f>survey_responses[[#This Row],[Giới tính của bạn:]]</f>
        <v>Nam</v>
      </c>
      <c r="E361" t="str">
        <f>step3_validation[[#This Row],[Age_Group]]</f>
        <v>25 - 29</v>
      </c>
      <c r="F361" t="str">
        <f>survey_responses[[#This Row],[Độ tuổi của bạn:]]</f>
        <v>25 - 29</v>
      </c>
      <c r="G361" t="str">
        <f>step3_validation[[#This Row],[Region]]</f>
        <v>Thành thị</v>
      </c>
      <c r="H361" t="str">
        <f>survey_responses[[#This Row],[Khu vực bạn đang sinh sống:]]</f>
        <v>Thành thị</v>
      </c>
      <c r="I361" t="str">
        <f>step3_validation[[#This Row],[Education]]</f>
        <v>Đại học</v>
      </c>
      <c r="J361" t="str">
        <f>survey_responses[[#This Row],[Trình độ học vấn cao nhất:]]</f>
        <v>Đại học</v>
      </c>
      <c r="K361" t="str">
        <f>step3_validation[[#This Row],[Employment]]</f>
        <v>Chính thức</v>
      </c>
      <c r="L361" t="str">
        <f>survey_responses[[#This Row],[Tình trạng việc làm chính:]]</f>
        <v>Khu vực chính thức (Có Hợp đồng lao động, đóng BHXH)</v>
      </c>
      <c r="M361">
        <f>step3_validation[[#This Row],[Income_Mil]]</f>
        <v>18.514557326781983</v>
      </c>
      <c r="N361" t="str">
        <f>survey_responses[[#This Row],[Thu nhập bình quân tháng theo Hợp đồng lao động của bạn là bao nhiêu? (Vui lòng điền tổng thu nhập trước khi khấu trừ các loại Bảo hiểm (BHXH, BHYT, BHTN) và Thuế TNCN)]]</f>
        <v>Từ 18 - 23 triệu VNĐ</v>
      </c>
      <c r="O361">
        <f>step3_validation[[#This Row],[Dependents]]</f>
        <v>0</v>
      </c>
      <c r="P361" t="str">
        <f>survey_responses[[#This Row],[Số người phụ thuộc (con nhỏ, cha mẹ già...) đủ điều kiện giảm trừ gia cảnh:]]</f>
        <v>0 người</v>
      </c>
      <c r="Q361">
        <f>step3_validation[[#This Row],[AI_ENF1]]</f>
        <v>7</v>
      </c>
      <c r="R361">
        <f t="shared" si="135"/>
        <v>0.66666666666666663</v>
      </c>
      <c r="S361">
        <f>survey_responses[[#This Row],[Tôi tin rằng với các quy định quản lý thuế hiện nay, hành vi gian lận hoặc trốn thuế sẽ dễ dàng bị phát hiện và xử lý nghiêm. - HUMAN-ENF1]]</f>
        <v>9</v>
      </c>
      <c r="T361">
        <f t="shared" si="136"/>
        <v>0.88888888888888884</v>
      </c>
      <c r="U361">
        <f>step3_validation[[#This Row],[AI_ENF2]]</f>
        <v>7</v>
      </c>
      <c r="V361">
        <f t="shared" si="137"/>
        <v>0.66666666666666663</v>
      </c>
      <c r="W361">
        <f>survey_responses[[#This Row],[Tôi tin rằng Nhà nước, cơ quan thuế có đủ khả năng và công nghệ để phát hiện, xử lý nghiêm các hành vi trốn thuế. - HUMAN-ENF2]]</f>
        <v>8</v>
      </c>
      <c r="X361">
        <f t="shared" si="138"/>
        <v>0.77777777777777779</v>
      </c>
      <c r="Y361" s="32">
        <f t="shared" si="139"/>
        <v>0.66666666666666663</v>
      </c>
      <c r="Z361" s="32">
        <f t="shared" si="140"/>
        <v>0.83333333333333326</v>
      </c>
      <c r="AA361">
        <f>step3_validation[[#This Row],[AI_FAC1]]</f>
        <v>8</v>
      </c>
      <c r="AB361">
        <f t="shared" si="141"/>
        <v>0.77777777777777779</v>
      </c>
      <c r="AC361">
        <f>survey_responses[[#This Row],[Các thủ tục khai báo thuế VÀ/HOẶC quy trình làm việc với cơ quan thuế đơn giản, tiện lợi, nhanh chóng hơn so với trước đây. - HUMAN-FAC1]]</f>
        <v>8</v>
      </c>
      <c r="AD361">
        <f t="shared" si="142"/>
        <v>0.77777777777777779</v>
      </c>
      <c r="AE361">
        <f>step3_validation[[#This Row],[AI_FAC2]]</f>
        <v>9</v>
      </c>
      <c r="AF361">
        <f t="shared" si="143"/>
        <v>0.88888888888888884</v>
      </c>
      <c r="AG361">
        <f>survey_responses[[#This Row],[So với trước đây, tôi thấy cách tính thuế và các bậc thuế trong phương án mới đơn giản, dễ hiểu và dễ thực hiện hơn. - HUMAN-FAC2]]</f>
        <v>8</v>
      </c>
      <c r="AH361">
        <f t="shared" si="144"/>
        <v>0.77777777777777779</v>
      </c>
      <c r="AI361" s="32">
        <f t="shared" si="145"/>
        <v>0.83333333333333326</v>
      </c>
      <c r="AJ361" s="32">
        <f t="shared" si="146"/>
        <v>0.77777777777777779</v>
      </c>
      <c r="AK361">
        <f>step3_validation[[#This Row],[AI_TRU1]]</f>
        <v>7</v>
      </c>
      <c r="AL361">
        <f t="shared" si="147"/>
        <v>0.66666666666666663</v>
      </c>
      <c r="AM361">
        <f>survey_responses[[#This Row],[Tôi tin rằng Nhà nước, cơ quan thuế sẽ thực thi chính sách mới một cách khách quan, công tâm và đối xử bình đẳng với mọi người nộp thuế.  - HUMAN-TRU1]]</f>
        <v>7</v>
      </c>
      <c r="AN361">
        <f t="shared" si="148"/>
        <v>0.66666666666666663</v>
      </c>
      <c r="AO361">
        <f>step3_validation[[#This Row],[AI_TRU2]]</f>
        <v>8</v>
      </c>
      <c r="AP361">
        <f t="shared" si="149"/>
        <v>0.77777777777777779</v>
      </c>
      <c r="AQ361">
        <f>survey_responses[[#This Row],[Tôi thấy mức thuế tôi phải đóng theo phương án mới là công bằng (người thu nhập như tôi đóng mức này là hợp lý). - HUMAN-TRU2]]</f>
        <v>7</v>
      </c>
      <c r="AR361">
        <f t="shared" si="150"/>
        <v>0.66666666666666663</v>
      </c>
      <c r="AS361">
        <f>step3_validation[[#This Row],[AI_TRU3]]</f>
        <v>7</v>
      </c>
      <c r="AT361">
        <f t="shared" si="151"/>
        <v>0.66666666666666663</v>
      </c>
      <c r="AU361">
        <f>survey_responses[[#This Row],[Tôi tin tưởng số tiền thuế tôi đóng sẽ được Nhà nước sử dụng hiệu quả để cải thiện dịch vụ công (y tế, đường xá...). - HUMAN-TRU3]]</f>
        <v>6</v>
      </c>
      <c r="AV361">
        <f t="shared" si="152"/>
        <v>0.55555555555555558</v>
      </c>
      <c r="AW361">
        <f>step3_validation[[#This Row],[AI_TRU4]]</f>
        <v>8</v>
      </c>
      <c r="AX361">
        <f t="shared" si="153"/>
        <v>0.77777777777777779</v>
      </c>
      <c r="AY361">
        <f>survey_responses[[#This Row],[Tôi thấy Nhà nước đã giải thích rõ ràng, minh bạch về lý do và mục tiêu của việc sửa đổi thuế lần này. - HUMAN-TRU4]]</f>
        <v>7</v>
      </c>
      <c r="AZ361">
        <f t="shared" si="154"/>
        <v>0.66666666666666663</v>
      </c>
      <c r="BA361" s="32">
        <f t="shared" si="155"/>
        <v>0.72222222222222221</v>
      </c>
      <c r="BB361" s="32">
        <f t="shared" si="156"/>
        <v>0.63888888888888884</v>
      </c>
      <c r="BC361" s="7">
        <f t="shared" si="157"/>
        <v>0.74074074074074081</v>
      </c>
      <c r="BD361" s="7">
        <f t="shared" si="158"/>
        <v>0.75</v>
      </c>
      <c r="BE361">
        <f>step3_validation[[#This Row],[AI_OUT1]]</f>
        <v>9</v>
      </c>
      <c r="BF361">
        <f t="shared" si="159"/>
        <v>0.88888888888888884</v>
      </c>
      <c r="BG361">
        <f>survey_responses[[#This Row],[Sau khi xem xét các quyền lợi và nghĩa vụ, bạn có ủng hộ và tuân thủ chính sách mới hiện nay? - HUMAN-OUT1]]</f>
        <v>8</v>
      </c>
      <c r="BH361">
        <f t="shared" si="160"/>
        <v>0.77777777777777779</v>
      </c>
      <c r="BI361" s="32">
        <f t="shared" si="161"/>
        <v>1</v>
      </c>
    </row>
    <row r="362" spans="1:61" x14ac:dyDescent="0.45">
      <c r="A362" s="30">
        <f>step3_validation[[#This Row],[Persona_ID]]</f>
        <v>361</v>
      </c>
      <c r="B362" s="31">
        <f>step3_validation[[#This Row],[Used_Seed]]</f>
        <v>12705</v>
      </c>
      <c r="C362" t="str">
        <f>step3_validation[[#This Row],[Gender]]</f>
        <v>Nữ</v>
      </c>
      <c r="D362" t="str">
        <f>survey_responses[[#This Row],[Giới tính của bạn:]]</f>
        <v>Nữ</v>
      </c>
      <c r="E362" t="str">
        <f>step3_validation[[#This Row],[Age_Group]]</f>
        <v>18 - 24</v>
      </c>
      <c r="F362" t="str">
        <f>survey_responses[[#This Row],[Độ tuổi của bạn:]]</f>
        <v>18 - 24</v>
      </c>
      <c r="G362" t="str">
        <f>step3_validation[[#This Row],[Region]]</f>
        <v>Thành thị</v>
      </c>
      <c r="H362" t="str">
        <f>survey_responses[[#This Row],[Khu vực bạn đang sinh sống:]]</f>
        <v>Thành thị</v>
      </c>
      <c r="I362" t="str">
        <f>step3_validation[[#This Row],[Education]]</f>
        <v>Đại học</v>
      </c>
      <c r="J362" t="str">
        <f>survey_responses[[#This Row],[Trình độ học vấn cao nhất:]]</f>
        <v>Đại học</v>
      </c>
      <c r="K362" t="str">
        <f>step3_validation[[#This Row],[Employment]]</f>
        <v>Chính thức</v>
      </c>
      <c r="L362" t="str">
        <f>survey_responses[[#This Row],[Tình trạng việc làm chính:]]</f>
        <v>Khu vực chính thức (Có Hợp đồng lao động, đóng BHXH)</v>
      </c>
      <c r="M362">
        <f>step3_validation[[#This Row],[Income_Mil]]</f>
        <v>12</v>
      </c>
      <c r="N362" t="str">
        <f>survey_responses[[#This Row],[Thu nhập bình quân tháng theo Hợp đồng lao động của bạn là bao nhiêu? (Vui lòng điền tổng thu nhập trước khi khấu trừ các loại Bảo hiểm (BHXH, BHYT, BHTN) và Thuế TNCN)]]</f>
        <v>Dưới 12 triệu VNĐ</v>
      </c>
      <c r="O362">
        <f>step3_validation[[#This Row],[Dependents]]</f>
        <v>0</v>
      </c>
      <c r="P362" t="str">
        <f>survey_responses[[#This Row],[Số người phụ thuộc (con nhỏ, cha mẹ già...) đủ điều kiện giảm trừ gia cảnh:]]</f>
        <v>0 người</v>
      </c>
      <c r="Q362">
        <f>step3_validation[[#This Row],[AI_ENF1]]</f>
        <v>6</v>
      </c>
      <c r="R362">
        <f t="shared" si="135"/>
        <v>0.55555555555555558</v>
      </c>
      <c r="S362">
        <f>survey_responses[[#This Row],[Tôi tin rằng với các quy định quản lý thuế hiện nay, hành vi gian lận hoặc trốn thuế sẽ dễ dàng bị phát hiện và xử lý nghiêm. - HUMAN-ENF1]]</f>
        <v>7</v>
      </c>
      <c r="T362">
        <f t="shared" si="136"/>
        <v>0.66666666666666663</v>
      </c>
      <c r="U362">
        <f>step3_validation[[#This Row],[AI_ENF2]]</f>
        <v>7</v>
      </c>
      <c r="V362">
        <f t="shared" si="137"/>
        <v>0.66666666666666663</v>
      </c>
      <c r="W362">
        <f>survey_responses[[#This Row],[Tôi tin rằng Nhà nước, cơ quan thuế có đủ khả năng và công nghệ để phát hiện, xử lý nghiêm các hành vi trốn thuế. - HUMAN-ENF2]]</f>
        <v>7</v>
      </c>
      <c r="X362">
        <f t="shared" si="138"/>
        <v>0.66666666666666663</v>
      </c>
      <c r="Y362" s="32">
        <f t="shared" si="139"/>
        <v>0.61111111111111116</v>
      </c>
      <c r="Z362" s="32">
        <f t="shared" si="140"/>
        <v>0.66666666666666663</v>
      </c>
      <c r="AA362">
        <f>step3_validation[[#This Row],[AI_FAC1]]</f>
        <v>8</v>
      </c>
      <c r="AB362">
        <f t="shared" si="141"/>
        <v>0.77777777777777779</v>
      </c>
      <c r="AC362">
        <f>survey_responses[[#This Row],[Các thủ tục khai báo thuế VÀ/HOẶC quy trình làm việc với cơ quan thuế đơn giản, tiện lợi, nhanh chóng hơn so với trước đây. - HUMAN-FAC1]]</f>
        <v>8</v>
      </c>
      <c r="AD362">
        <f t="shared" si="142"/>
        <v>0.77777777777777779</v>
      </c>
      <c r="AE362">
        <f>step3_validation[[#This Row],[AI_FAC2]]</f>
        <v>9</v>
      </c>
      <c r="AF362">
        <f t="shared" si="143"/>
        <v>0.88888888888888884</v>
      </c>
      <c r="AG362">
        <f>survey_responses[[#This Row],[So với trước đây, tôi thấy cách tính thuế và các bậc thuế trong phương án mới đơn giản, dễ hiểu và dễ thực hiện hơn. - HUMAN-FAC2]]</f>
        <v>9</v>
      </c>
      <c r="AH362">
        <f t="shared" si="144"/>
        <v>0.88888888888888884</v>
      </c>
      <c r="AI362" s="32">
        <f t="shared" si="145"/>
        <v>0.83333333333333326</v>
      </c>
      <c r="AJ362" s="32">
        <f t="shared" si="146"/>
        <v>0.83333333333333326</v>
      </c>
      <c r="AK362">
        <f>step3_validation[[#This Row],[AI_TRU1]]</f>
        <v>7</v>
      </c>
      <c r="AL362">
        <f t="shared" si="147"/>
        <v>0.66666666666666663</v>
      </c>
      <c r="AM362">
        <f>survey_responses[[#This Row],[Tôi tin rằng Nhà nước, cơ quan thuế sẽ thực thi chính sách mới một cách khách quan, công tâm và đối xử bình đẳng với mọi người nộp thuế.  - HUMAN-TRU1]]</f>
        <v>7</v>
      </c>
      <c r="AN362">
        <f t="shared" si="148"/>
        <v>0.66666666666666663</v>
      </c>
      <c r="AO362">
        <f>step3_validation[[#This Row],[AI_TRU2]]</f>
        <v>9</v>
      </c>
      <c r="AP362">
        <f t="shared" si="149"/>
        <v>0.88888888888888884</v>
      </c>
      <c r="AQ362">
        <f>survey_responses[[#This Row],[Tôi thấy mức thuế tôi phải đóng theo phương án mới là công bằng (người thu nhập như tôi đóng mức này là hợp lý). - HUMAN-TRU2]]</f>
        <v>10</v>
      </c>
      <c r="AR362">
        <f t="shared" si="150"/>
        <v>1</v>
      </c>
      <c r="AS362">
        <f>step3_validation[[#This Row],[AI_TRU3]]</f>
        <v>8</v>
      </c>
      <c r="AT362">
        <f t="shared" si="151"/>
        <v>0.77777777777777779</v>
      </c>
      <c r="AU362">
        <f>survey_responses[[#This Row],[Tôi tin tưởng số tiền thuế tôi đóng sẽ được Nhà nước sử dụng hiệu quả để cải thiện dịch vụ công (y tế, đường xá...). - HUMAN-TRU3]]</f>
        <v>8</v>
      </c>
      <c r="AV362">
        <f t="shared" si="152"/>
        <v>0.77777777777777779</v>
      </c>
      <c r="AW362">
        <f>step3_validation[[#This Row],[AI_TRU4]]</f>
        <v>7</v>
      </c>
      <c r="AX362">
        <f t="shared" si="153"/>
        <v>0.66666666666666663</v>
      </c>
      <c r="AY362">
        <f>survey_responses[[#This Row],[Tôi thấy Nhà nước đã giải thích rõ ràng, minh bạch về lý do và mục tiêu của việc sửa đổi thuế lần này. - HUMAN-TRU4]]</f>
        <v>8</v>
      </c>
      <c r="AZ362">
        <f t="shared" si="154"/>
        <v>0.77777777777777779</v>
      </c>
      <c r="BA362" s="32">
        <f t="shared" si="155"/>
        <v>0.74999999999999989</v>
      </c>
      <c r="BB362" s="32">
        <f t="shared" si="156"/>
        <v>0.80555555555555547</v>
      </c>
      <c r="BC362" s="7">
        <f t="shared" si="157"/>
        <v>0.7314814814814814</v>
      </c>
      <c r="BD362" s="7">
        <f t="shared" si="158"/>
        <v>0.76851851851851849</v>
      </c>
      <c r="BE362">
        <f>step3_validation[[#This Row],[AI_OUT1]]</f>
        <v>9</v>
      </c>
      <c r="BF362">
        <f t="shared" si="159"/>
        <v>0.88888888888888884</v>
      </c>
      <c r="BG362">
        <f>survey_responses[[#This Row],[Sau khi xem xét các quyền lợi và nghĩa vụ, bạn có ủng hộ và tuân thủ chính sách mới hiện nay? - HUMAN-OUT1]]</f>
        <v>10</v>
      </c>
      <c r="BH362">
        <f t="shared" si="160"/>
        <v>1</v>
      </c>
      <c r="BI362" s="32">
        <f t="shared" si="161"/>
        <v>1</v>
      </c>
    </row>
    <row r="363" spans="1:61" x14ac:dyDescent="0.45">
      <c r="A363" s="30">
        <f>step3_validation[[#This Row],[Persona_ID]]</f>
        <v>362</v>
      </c>
      <c r="B363" s="31">
        <f>step3_validation[[#This Row],[Used_Seed]]</f>
        <v>12706</v>
      </c>
      <c r="C363" t="str">
        <f>step3_validation[[#This Row],[Gender]]</f>
        <v>Nữ</v>
      </c>
      <c r="D363" t="str">
        <f>survey_responses[[#This Row],[Giới tính của bạn:]]</f>
        <v>Nữ</v>
      </c>
      <c r="E363" t="str">
        <f>step3_validation[[#This Row],[Age_Group]]</f>
        <v>18 - 24</v>
      </c>
      <c r="F363" t="str">
        <f>survey_responses[[#This Row],[Độ tuổi của bạn:]]</f>
        <v>18 - 24</v>
      </c>
      <c r="G363" t="str">
        <f>step3_validation[[#This Row],[Region]]</f>
        <v>Thành thị</v>
      </c>
      <c r="H363" t="str">
        <f>survey_responses[[#This Row],[Khu vực bạn đang sinh sống:]]</f>
        <v>Thành thị</v>
      </c>
      <c r="I363" t="str">
        <f>step3_validation[[#This Row],[Education]]</f>
        <v>Đại học</v>
      </c>
      <c r="J363" t="str">
        <f>survey_responses[[#This Row],[Trình độ học vấn cao nhất:]]</f>
        <v>Đại học</v>
      </c>
      <c r="K363" t="str">
        <f>step3_validation[[#This Row],[Employment]]</f>
        <v>Chính thức</v>
      </c>
      <c r="L363" t="str">
        <f>survey_responses[[#This Row],[Tình trạng việc làm chính:]]</f>
        <v>Khu vực chính thức (Có Hợp đồng lao động, đóng BHXH)</v>
      </c>
      <c r="M363">
        <f>step3_validation[[#This Row],[Income_Mil]]</f>
        <v>16.270761270443494</v>
      </c>
      <c r="N363" t="str">
        <f>survey_responses[[#This Row],[Thu nhập bình quân tháng theo Hợp đồng lao động của bạn là bao nhiêu? (Vui lòng điền tổng thu nhập trước khi khấu trừ các loại Bảo hiểm (BHXH, BHYT, BHTN) và Thuế TNCN)]]</f>
        <v>Từ 12 - 18 triệu VNĐ</v>
      </c>
      <c r="O363">
        <f>step3_validation[[#This Row],[Dependents]]</f>
        <v>0</v>
      </c>
      <c r="P363" t="str">
        <f>survey_responses[[#This Row],[Số người phụ thuộc (con nhỏ, cha mẹ già...) đủ điều kiện giảm trừ gia cảnh:]]</f>
        <v>0 người</v>
      </c>
      <c r="Q363">
        <f>step3_validation[[#This Row],[AI_ENF1]]</f>
        <v>8</v>
      </c>
      <c r="R363">
        <f t="shared" si="135"/>
        <v>0.77777777777777779</v>
      </c>
      <c r="S363">
        <f>survey_responses[[#This Row],[Tôi tin rằng với các quy định quản lý thuế hiện nay, hành vi gian lận hoặc trốn thuế sẽ dễ dàng bị phát hiện và xử lý nghiêm. - HUMAN-ENF1]]</f>
        <v>3</v>
      </c>
      <c r="T363">
        <f t="shared" si="136"/>
        <v>0.22222222222222221</v>
      </c>
      <c r="U363">
        <f>step3_validation[[#This Row],[AI_ENF2]]</f>
        <v>9</v>
      </c>
      <c r="V363">
        <f t="shared" si="137"/>
        <v>0.88888888888888884</v>
      </c>
      <c r="W363">
        <f>survey_responses[[#This Row],[Tôi tin rằng Nhà nước, cơ quan thuế có đủ khả năng và công nghệ để phát hiện, xử lý nghiêm các hành vi trốn thuế. - HUMAN-ENF2]]</f>
        <v>3</v>
      </c>
      <c r="X363">
        <f t="shared" si="138"/>
        <v>0.22222222222222221</v>
      </c>
      <c r="Y363" s="32">
        <f t="shared" si="139"/>
        <v>0.83333333333333326</v>
      </c>
      <c r="Z363" s="32">
        <f t="shared" si="140"/>
        <v>0.22222222222222221</v>
      </c>
      <c r="AA363">
        <f>step3_validation[[#This Row],[AI_FAC1]]</f>
        <v>9</v>
      </c>
      <c r="AB363">
        <f t="shared" si="141"/>
        <v>0.88888888888888884</v>
      </c>
      <c r="AC363">
        <f>survey_responses[[#This Row],[Các thủ tục khai báo thuế VÀ/HOẶC quy trình làm việc với cơ quan thuế đơn giản, tiện lợi, nhanh chóng hơn so với trước đây. - HUMAN-FAC1]]</f>
        <v>5</v>
      </c>
      <c r="AD363">
        <f t="shared" si="142"/>
        <v>0.44444444444444442</v>
      </c>
      <c r="AE363">
        <f>step3_validation[[#This Row],[AI_FAC2]]</f>
        <v>9</v>
      </c>
      <c r="AF363">
        <f t="shared" si="143"/>
        <v>0.88888888888888884</v>
      </c>
      <c r="AG363">
        <f>survey_responses[[#This Row],[So với trước đây, tôi thấy cách tính thuế và các bậc thuế trong phương án mới đơn giản, dễ hiểu và dễ thực hiện hơn. - HUMAN-FAC2]]</f>
        <v>6</v>
      </c>
      <c r="AH363">
        <f t="shared" si="144"/>
        <v>0.55555555555555558</v>
      </c>
      <c r="AI363" s="32">
        <f t="shared" si="145"/>
        <v>0.88888888888888884</v>
      </c>
      <c r="AJ363" s="32">
        <f t="shared" si="146"/>
        <v>0.5</v>
      </c>
      <c r="AK363">
        <f>step3_validation[[#This Row],[AI_TRU1]]</f>
        <v>8</v>
      </c>
      <c r="AL363">
        <f t="shared" si="147"/>
        <v>0.77777777777777779</v>
      </c>
      <c r="AM363">
        <f>survey_responses[[#This Row],[Tôi tin rằng Nhà nước, cơ quan thuế sẽ thực thi chính sách mới một cách khách quan, công tâm và đối xử bình đẳng với mọi người nộp thuế.  - HUMAN-TRU1]]</f>
        <v>5</v>
      </c>
      <c r="AN363">
        <f t="shared" si="148"/>
        <v>0.44444444444444442</v>
      </c>
      <c r="AO363">
        <f>step3_validation[[#This Row],[AI_TRU2]]</f>
        <v>9</v>
      </c>
      <c r="AP363">
        <f t="shared" si="149"/>
        <v>0.88888888888888884</v>
      </c>
      <c r="AQ363">
        <f>survey_responses[[#This Row],[Tôi thấy mức thuế tôi phải đóng theo phương án mới là công bằng (người thu nhập như tôi đóng mức này là hợp lý). - HUMAN-TRU2]]</f>
        <v>6</v>
      </c>
      <c r="AR363">
        <f t="shared" si="150"/>
        <v>0.55555555555555558</v>
      </c>
      <c r="AS363">
        <f>step3_validation[[#This Row],[AI_TRU3]]</f>
        <v>8</v>
      </c>
      <c r="AT363">
        <f t="shared" si="151"/>
        <v>0.77777777777777779</v>
      </c>
      <c r="AU363">
        <f>survey_responses[[#This Row],[Tôi tin tưởng số tiền thuế tôi đóng sẽ được Nhà nước sử dụng hiệu quả để cải thiện dịch vụ công (y tế, đường xá...). - HUMAN-TRU3]]</f>
        <v>4</v>
      </c>
      <c r="AV363">
        <f t="shared" si="152"/>
        <v>0.33333333333333331</v>
      </c>
      <c r="AW363">
        <f>step3_validation[[#This Row],[AI_TRU4]]</f>
        <v>9</v>
      </c>
      <c r="AX363">
        <f t="shared" si="153"/>
        <v>0.88888888888888884</v>
      </c>
      <c r="AY363">
        <f>survey_responses[[#This Row],[Tôi thấy Nhà nước đã giải thích rõ ràng, minh bạch về lý do và mục tiêu của việc sửa đổi thuế lần này. - HUMAN-TRU4]]</f>
        <v>6</v>
      </c>
      <c r="AZ363">
        <f t="shared" si="154"/>
        <v>0.55555555555555558</v>
      </c>
      <c r="BA363" s="32">
        <f t="shared" si="155"/>
        <v>0.83333333333333326</v>
      </c>
      <c r="BB363" s="32">
        <f t="shared" si="156"/>
        <v>0.47222222222222221</v>
      </c>
      <c r="BC363" s="7">
        <f t="shared" si="157"/>
        <v>0.85185185185185175</v>
      </c>
      <c r="BD363" s="7">
        <f t="shared" si="158"/>
        <v>0.39814814814814814</v>
      </c>
      <c r="BE363">
        <f>step3_validation[[#This Row],[AI_OUT1]]</f>
        <v>9</v>
      </c>
      <c r="BF363">
        <f t="shared" si="159"/>
        <v>0.88888888888888884</v>
      </c>
      <c r="BG363">
        <f>survey_responses[[#This Row],[Sau khi xem xét các quyền lợi và nghĩa vụ, bạn có ủng hộ và tuân thủ chính sách mới hiện nay? - HUMAN-OUT1]]</f>
        <v>6</v>
      </c>
      <c r="BH363">
        <f t="shared" si="160"/>
        <v>0.55555555555555558</v>
      </c>
      <c r="BI363" s="32">
        <f t="shared" si="161"/>
        <v>3</v>
      </c>
    </row>
    <row r="364" spans="1:61" x14ac:dyDescent="0.45">
      <c r="A364" s="30">
        <f>step3_validation[[#This Row],[Persona_ID]]</f>
        <v>363</v>
      </c>
      <c r="B364" s="31">
        <f>step3_validation[[#This Row],[Used_Seed]]</f>
        <v>12707</v>
      </c>
      <c r="C364" t="str">
        <f>step3_validation[[#This Row],[Gender]]</f>
        <v>Nam</v>
      </c>
      <c r="D364" t="str">
        <f>survey_responses[[#This Row],[Giới tính của bạn:]]</f>
        <v>Nam</v>
      </c>
      <c r="E364" t="str">
        <f>step3_validation[[#This Row],[Age_Group]]</f>
        <v>25 - 29</v>
      </c>
      <c r="F364" t="str">
        <f>survey_responses[[#This Row],[Độ tuổi của bạn:]]</f>
        <v>25 - 29</v>
      </c>
      <c r="G364" t="str">
        <f>step3_validation[[#This Row],[Region]]</f>
        <v>Thành thị</v>
      </c>
      <c r="H364" t="str">
        <f>survey_responses[[#This Row],[Khu vực bạn đang sinh sống:]]</f>
        <v>Thành thị</v>
      </c>
      <c r="I364" t="str">
        <f>step3_validation[[#This Row],[Education]]</f>
        <v>Đại học</v>
      </c>
      <c r="J364" t="str">
        <f>survey_responses[[#This Row],[Trình độ học vấn cao nhất:]]</f>
        <v>Đại học</v>
      </c>
      <c r="K364" t="str">
        <f>step3_validation[[#This Row],[Employment]]</f>
        <v>Chính thức</v>
      </c>
      <c r="L364" t="str">
        <f>survey_responses[[#This Row],[Tình trạng việc làm chính:]]</f>
        <v>Khu vực chính thức (Có Hợp đồng lao động, đóng BHXH)</v>
      </c>
      <c r="M364">
        <f>step3_validation[[#This Row],[Income_Mil]]</f>
        <v>25.836097824113111</v>
      </c>
      <c r="N364" t="str">
        <f>survey_responses[[#This Row],[Thu nhập bình quân tháng theo Hợp đồng lao động của bạn là bao nhiêu? (Vui lòng điền tổng thu nhập trước khi khấu trừ các loại Bảo hiểm (BHXH, BHYT, BHTN) và Thuế TNCN)]]</f>
        <v>Từ 23 - 32 triệu VNĐ</v>
      </c>
      <c r="O364">
        <f>step3_validation[[#This Row],[Dependents]]</f>
        <v>1</v>
      </c>
      <c r="P364" t="str">
        <f>survey_responses[[#This Row],[Số người phụ thuộc (con nhỏ, cha mẹ già...) đủ điều kiện giảm trừ gia cảnh:]]</f>
        <v>1 người</v>
      </c>
      <c r="Q364">
        <f>step3_validation[[#This Row],[AI_ENF1]]</f>
        <v>6</v>
      </c>
      <c r="R364">
        <f t="shared" si="135"/>
        <v>0.55555555555555558</v>
      </c>
      <c r="S364">
        <f>survey_responses[[#This Row],[Tôi tin rằng với các quy định quản lý thuế hiện nay, hành vi gian lận hoặc trốn thuế sẽ dễ dàng bị phát hiện và xử lý nghiêm. - HUMAN-ENF1]]</f>
        <v>8</v>
      </c>
      <c r="T364">
        <f t="shared" si="136"/>
        <v>0.77777777777777779</v>
      </c>
      <c r="U364">
        <f>step3_validation[[#This Row],[AI_ENF2]]</f>
        <v>6</v>
      </c>
      <c r="V364">
        <f t="shared" si="137"/>
        <v>0.55555555555555558</v>
      </c>
      <c r="W364">
        <f>survey_responses[[#This Row],[Tôi tin rằng Nhà nước, cơ quan thuế có đủ khả năng và công nghệ để phát hiện, xử lý nghiêm các hành vi trốn thuế. - HUMAN-ENF2]]</f>
        <v>8</v>
      </c>
      <c r="X364">
        <f t="shared" si="138"/>
        <v>0.77777777777777779</v>
      </c>
      <c r="Y364" s="32">
        <f t="shared" si="139"/>
        <v>0.55555555555555558</v>
      </c>
      <c r="Z364" s="32">
        <f t="shared" si="140"/>
        <v>0.77777777777777779</v>
      </c>
      <c r="AA364">
        <f>step3_validation[[#This Row],[AI_FAC1]]</f>
        <v>8</v>
      </c>
      <c r="AB364">
        <f t="shared" si="141"/>
        <v>0.77777777777777779</v>
      </c>
      <c r="AC364">
        <f>survey_responses[[#This Row],[Các thủ tục khai báo thuế VÀ/HOẶC quy trình làm việc với cơ quan thuế đơn giản, tiện lợi, nhanh chóng hơn so với trước đây. - HUMAN-FAC1]]</f>
        <v>5</v>
      </c>
      <c r="AD364">
        <f t="shared" si="142"/>
        <v>0.44444444444444442</v>
      </c>
      <c r="AE364">
        <f>step3_validation[[#This Row],[AI_FAC2]]</f>
        <v>9</v>
      </c>
      <c r="AF364">
        <f t="shared" si="143"/>
        <v>0.88888888888888884</v>
      </c>
      <c r="AG364">
        <f>survey_responses[[#This Row],[So với trước đây, tôi thấy cách tính thuế và các bậc thuế trong phương án mới đơn giản, dễ hiểu và dễ thực hiện hơn. - HUMAN-FAC2]]</f>
        <v>7</v>
      </c>
      <c r="AH364">
        <f t="shared" si="144"/>
        <v>0.66666666666666663</v>
      </c>
      <c r="AI364" s="32">
        <f t="shared" si="145"/>
        <v>0.83333333333333326</v>
      </c>
      <c r="AJ364" s="32">
        <f t="shared" si="146"/>
        <v>0.55555555555555558</v>
      </c>
      <c r="AK364">
        <f>step3_validation[[#This Row],[AI_TRU1]]</f>
        <v>7</v>
      </c>
      <c r="AL364">
        <f t="shared" si="147"/>
        <v>0.66666666666666663</v>
      </c>
      <c r="AM364">
        <f>survey_responses[[#This Row],[Tôi tin rằng Nhà nước, cơ quan thuế sẽ thực thi chính sách mới một cách khách quan, công tâm và đối xử bình đẳng với mọi người nộp thuế.  - HUMAN-TRU1]]</f>
        <v>5</v>
      </c>
      <c r="AN364">
        <f t="shared" si="148"/>
        <v>0.44444444444444442</v>
      </c>
      <c r="AO364">
        <f>step3_validation[[#This Row],[AI_TRU2]]</f>
        <v>8</v>
      </c>
      <c r="AP364">
        <f t="shared" si="149"/>
        <v>0.77777777777777779</v>
      </c>
      <c r="AQ364">
        <f>survey_responses[[#This Row],[Tôi thấy mức thuế tôi phải đóng theo phương án mới là công bằng (người thu nhập như tôi đóng mức này là hợp lý). - HUMAN-TRU2]]</f>
        <v>8</v>
      </c>
      <c r="AR364">
        <f t="shared" si="150"/>
        <v>0.77777777777777779</v>
      </c>
      <c r="AS364">
        <f>step3_validation[[#This Row],[AI_TRU3]]</f>
        <v>7</v>
      </c>
      <c r="AT364">
        <f t="shared" si="151"/>
        <v>0.66666666666666663</v>
      </c>
      <c r="AU364">
        <f>survey_responses[[#This Row],[Tôi tin tưởng số tiền thuế tôi đóng sẽ được Nhà nước sử dụng hiệu quả để cải thiện dịch vụ công (y tế, đường xá...). - HUMAN-TRU3]]</f>
        <v>5</v>
      </c>
      <c r="AV364">
        <f t="shared" si="152"/>
        <v>0.44444444444444442</v>
      </c>
      <c r="AW364">
        <f>step3_validation[[#This Row],[AI_TRU4]]</f>
        <v>6</v>
      </c>
      <c r="AX364">
        <f t="shared" si="153"/>
        <v>0.55555555555555558</v>
      </c>
      <c r="AY364">
        <f>survey_responses[[#This Row],[Tôi thấy Nhà nước đã giải thích rõ ràng, minh bạch về lý do và mục tiêu của việc sửa đổi thuế lần này. - HUMAN-TRU4]]</f>
        <v>7</v>
      </c>
      <c r="AZ364">
        <f t="shared" si="154"/>
        <v>0.66666666666666663</v>
      </c>
      <c r="BA364" s="32">
        <f t="shared" si="155"/>
        <v>0.66666666666666674</v>
      </c>
      <c r="BB364" s="32">
        <f t="shared" si="156"/>
        <v>0.58333333333333337</v>
      </c>
      <c r="BC364" s="7">
        <f t="shared" si="157"/>
        <v>0.68518518518518512</v>
      </c>
      <c r="BD364" s="7">
        <f t="shared" si="158"/>
        <v>0.63888888888888895</v>
      </c>
      <c r="BE364">
        <f>step3_validation[[#This Row],[AI_OUT1]]</f>
        <v>9</v>
      </c>
      <c r="BF364">
        <f t="shared" si="159"/>
        <v>0.88888888888888884</v>
      </c>
      <c r="BG364">
        <f>survey_responses[[#This Row],[Sau khi xem xét các quyền lợi và nghĩa vụ, bạn có ủng hộ và tuân thủ chính sách mới hiện nay? - HUMAN-OUT1]]</f>
        <v>8</v>
      </c>
      <c r="BH364">
        <f t="shared" si="160"/>
        <v>0.77777777777777779</v>
      </c>
      <c r="BI364" s="32">
        <f t="shared" si="161"/>
        <v>1</v>
      </c>
    </row>
    <row r="365" spans="1:61" x14ac:dyDescent="0.45">
      <c r="A365" s="30">
        <f>step3_validation[[#This Row],[Persona_ID]]</f>
        <v>364</v>
      </c>
      <c r="B365" s="31">
        <f>step3_validation[[#This Row],[Used_Seed]]</f>
        <v>12708</v>
      </c>
      <c r="C365" t="str">
        <f>step3_validation[[#This Row],[Gender]]</f>
        <v>Nam</v>
      </c>
      <c r="D365" t="str">
        <f>survey_responses[[#This Row],[Giới tính của bạn:]]</f>
        <v>Nam</v>
      </c>
      <c r="E365" t="str">
        <f>step3_validation[[#This Row],[Age_Group]]</f>
        <v>30 - 39</v>
      </c>
      <c r="F365" t="str">
        <f>survey_responses[[#This Row],[Độ tuổi của bạn:]]</f>
        <v>30 - 39</v>
      </c>
      <c r="G365" t="str">
        <f>step3_validation[[#This Row],[Region]]</f>
        <v>Thành thị</v>
      </c>
      <c r="H365" t="str">
        <f>survey_responses[[#This Row],[Khu vực bạn đang sinh sống:]]</f>
        <v>Thành thị</v>
      </c>
      <c r="I365" t="str">
        <f>step3_validation[[#This Row],[Education]]</f>
        <v>Đại học</v>
      </c>
      <c r="J365" t="str">
        <f>survey_responses[[#This Row],[Trình độ học vấn cao nhất:]]</f>
        <v>Đại học</v>
      </c>
      <c r="K365" t="str">
        <f>step3_validation[[#This Row],[Employment]]</f>
        <v>Chính thức</v>
      </c>
      <c r="L365" t="str">
        <f>survey_responses[[#This Row],[Tình trạng việc làm chính:]]</f>
        <v>Khu vực chính thức (Có Hợp đồng lao động, đóng BHXH)</v>
      </c>
      <c r="M365">
        <f>step3_validation[[#This Row],[Income_Mil]]</f>
        <v>18.182181126099756</v>
      </c>
      <c r="N365" t="str">
        <f>survey_responses[[#This Row],[Thu nhập bình quân tháng theo Hợp đồng lao động của bạn là bao nhiêu? (Vui lòng điền tổng thu nhập trước khi khấu trừ các loại Bảo hiểm (BHXH, BHYT, BHTN) và Thuế TNCN)]]</f>
        <v>Từ 18 - 23 triệu VNĐ</v>
      </c>
      <c r="O365">
        <f>step3_validation[[#This Row],[Dependents]]</f>
        <v>1</v>
      </c>
      <c r="P365" t="str">
        <f>survey_responses[[#This Row],[Số người phụ thuộc (con nhỏ, cha mẹ già...) đủ điều kiện giảm trừ gia cảnh:]]</f>
        <v>1 người</v>
      </c>
      <c r="Q365">
        <f>step3_validation[[#This Row],[AI_ENF1]]</f>
        <v>7</v>
      </c>
      <c r="R365">
        <f t="shared" si="135"/>
        <v>0.66666666666666663</v>
      </c>
      <c r="S365">
        <f>survey_responses[[#This Row],[Tôi tin rằng với các quy định quản lý thuế hiện nay, hành vi gian lận hoặc trốn thuế sẽ dễ dàng bị phát hiện và xử lý nghiêm. - HUMAN-ENF1]]</f>
        <v>4</v>
      </c>
      <c r="T365">
        <f t="shared" si="136"/>
        <v>0.33333333333333331</v>
      </c>
      <c r="U365">
        <f>step3_validation[[#This Row],[AI_ENF2]]</f>
        <v>8</v>
      </c>
      <c r="V365">
        <f t="shared" si="137"/>
        <v>0.77777777777777779</v>
      </c>
      <c r="W365">
        <f>survey_responses[[#This Row],[Tôi tin rằng Nhà nước, cơ quan thuế có đủ khả năng và công nghệ để phát hiện, xử lý nghiêm các hành vi trốn thuế. - HUMAN-ENF2]]</f>
        <v>5</v>
      </c>
      <c r="X365">
        <f t="shared" si="138"/>
        <v>0.44444444444444442</v>
      </c>
      <c r="Y365" s="32">
        <f t="shared" si="139"/>
        <v>0.72222222222222221</v>
      </c>
      <c r="Z365" s="32">
        <f t="shared" si="140"/>
        <v>0.38888888888888884</v>
      </c>
      <c r="AA365">
        <f>step3_validation[[#This Row],[AI_FAC1]]</f>
        <v>6</v>
      </c>
      <c r="AB365">
        <f t="shared" si="141"/>
        <v>0.55555555555555558</v>
      </c>
      <c r="AC365">
        <f>survey_responses[[#This Row],[Các thủ tục khai báo thuế VÀ/HOẶC quy trình làm việc với cơ quan thuế đơn giản, tiện lợi, nhanh chóng hơn so với trước đây. - HUMAN-FAC1]]</f>
        <v>5</v>
      </c>
      <c r="AD365">
        <f t="shared" si="142"/>
        <v>0.44444444444444442</v>
      </c>
      <c r="AE365">
        <f>step3_validation[[#This Row],[AI_FAC2]]</f>
        <v>9</v>
      </c>
      <c r="AF365">
        <f t="shared" si="143"/>
        <v>0.88888888888888884</v>
      </c>
      <c r="AG365">
        <f>survey_responses[[#This Row],[So với trước đây, tôi thấy cách tính thuế và các bậc thuế trong phương án mới đơn giản, dễ hiểu và dễ thực hiện hơn. - HUMAN-FAC2]]</f>
        <v>7</v>
      </c>
      <c r="AH365">
        <f t="shared" si="144"/>
        <v>0.66666666666666663</v>
      </c>
      <c r="AI365" s="32">
        <f t="shared" si="145"/>
        <v>0.72222222222222221</v>
      </c>
      <c r="AJ365" s="32">
        <f t="shared" si="146"/>
        <v>0.55555555555555558</v>
      </c>
      <c r="AK365">
        <f>step3_validation[[#This Row],[AI_TRU1]]</f>
        <v>8</v>
      </c>
      <c r="AL365">
        <f t="shared" si="147"/>
        <v>0.77777777777777779</v>
      </c>
      <c r="AM365">
        <f>survey_responses[[#This Row],[Tôi tin rằng Nhà nước, cơ quan thuế sẽ thực thi chính sách mới một cách khách quan, công tâm và đối xử bình đẳng với mọi người nộp thuế.  - HUMAN-TRU1]]</f>
        <v>5</v>
      </c>
      <c r="AN365">
        <f t="shared" si="148"/>
        <v>0.44444444444444442</v>
      </c>
      <c r="AO365">
        <f>step3_validation[[#This Row],[AI_TRU2]]</f>
        <v>9</v>
      </c>
      <c r="AP365">
        <f t="shared" si="149"/>
        <v>0.88888888888888884</v>
      </c>
      <c r="AQ365">
        <f>survey_responses[[#This Row],[Tôi thấy mức thuế tôi phải đóng theo phương án mới là công bằng (người thu nhập như tôi đóng mức này là hợp lý). - HUMAN-TRU2]]</f>
        <v>7</v>
      </c>
      <c r="AR365">
        <f t="shared" si="150"/>
        <v>0.66666666666666663</v>
      </c>
      <c r="AS365">
        <f>step3_validation[[#This Row],[AI_TRU3]]</f>
        <v>8</v>
      </c>
      <c r="AT365">
        <f t="shared" si="151"/>
        <v>0.77777777777777779</v>
      </c>
      <c r="AU365">
        <f>survey_responses[[#This Row],[Tôi tin tưởng số tiền thuế tôi đóng sẽ được Nhà nước sử dụng hiệu quả để cải thiện dịch vụ công (y tế, đường xá...). - HUMAN-TRU3]]</f>
        <v>5</v>
      </c>
      <c r="AV365">
        <f t="shared" si="152"/>
        <v>0.44444444444444442</v>
      </c>
      <c r="AW365">
        <f>step3_validation[[#This Row],[AI_TRU4]]</f>
        <v>9</v>
      </c>
      <c r="AX365">
        <f t="shared" si="153"/>
        <v>0.88888888888888884</v>
      </c>
      <c r="AY365">
        <f>survey_responses[[#This Row],[Tôi thấy Nhà nước đã giải thích rõ ràng, minh bạch về lý do và mục tiêu của việc sửa đổi thuế lần này. - HUMAN-TRU4]]</f>
        <v>6</v>
      </c>
      <c r="AZ365">
        <f t="shared" si="154"/>
        <v>0.55555555555555558</v>
      </c>
      <c r="BA365" s="32">
        <f t="shared" si="155"/>
        <v>0.83333333333333326</v>
      </c>
      <c r="BB365" s="32">
        <f t="shared" si="156"/>
        <v>0.52777777777777779</v>
      </c>
      <c r="BC365" s="7">
        <f t="shared" si="157"/>
        <v>0.75925925925925919</v>
      </c>
      <c r="BD365" s="7">
        <f t="shared" si="158"/>
        <v>0.49074074074074076</v>
      </c>
      <c r="BE365">
        <f>step3_validation[[#This Row],[AI_OUT1]]</f>
        <v>8</v>
      </c>
      <c r="BF365">
        <f t="shared" si="159"/>
        <v>0.77777777777777779</v>
      </c>
      <c r="BG365">
        <f>survey_responses[[#This Row],[Sau khi xem xét các quyền lợi và nghĩa vụ, bạn có ủng hộ và tuân thủ chính sách mới hiện nay? - HUMAN-OUT1]]</f>
        <v>7</v>
      </c>
      <c r="BH365">
        <f t="shared" si="160"/>
        <v>0.66666666666666663</v>
      </c>
      <c r="BI365" s="32">
        <f t="shared" si="161"/>
        <v>1</v>
      </c>
    </row>
    <row r="366" spans="1:61" x14ac:dyDescent="0.45">
      <c r="A366" s="30">
        <f>step3_validation[[#This Row],[Persona_ID]]</f>
        <v>365</v>
      </c>
      <c r="B366" s="31">
        <f>step3_validation[[#This Row],[Used_Seed]]</f>
        <v>12709</v>
      </c>
      <c r="C366" t="str">
        <f>step3_validation[[#This Row],[Gender]]</f>
        <v>Nữ</v>
      </c>
      <c r="D366" t="str">
        <f>survey_responses[[#This Row],[Giới tính của bạn:]]</f>
        <v>Nữ</v>
      </c>
      <c r="E366" t="str">
        <f>step3_validation[[#This Row],[Age_Group]]</f>
        <v>25 - 29</v>
      </c>
      <c r="F366" t="str">
        <f>survey_responses[[#This Row],[Độ tuổi của bạn:]]</f>
        <v>25 - 29</v>
      </c>
      <c r="G366" t="str">
        <f>step3_validation[[#This Row],[Region]]</f>
        <v>Thành thị</v>
      </c>
      <c r="H366" t="str">
        <f>survey_responses[[#This Row],[Khu vực bạn đang sinh sống:]]</f>
        <v>Thành thị</v>
      </c>
      <c r="I366" t="str">
        <f>step3_validation[[#This Row],[Education]]</f>
        <v>Đại học</v>
      </c>
      <c r="J366" t="str">
        <f>survey_responses[[#This Row],[Trình độ học vấn cao nhất:]]</f>
        <v>Đại học</v>
      </c>
      <c r="K366" t="str">
        <f>step3_validation[[#This Row],[Employment]]</f>
        <v>Chính thức</v>
      </c>
      <c r="L366" t="str">
        <f>survey_responses[[#This Row],[Tình trạng việc làm chính:]]</f>
        <v>Khu vực chính thức (Có Hợp đồng lao động, đóng BHXH)</v>
      </c>
      <c r="M366">
        <f>step3_validation[[#This Row],[Income_Mil]]</f>
        <v>46.942828274849099</v>
      </c>
      <c r="N366" t="str">
        <f>survey_responses[[#This Row],[Thu nhập bình quân tháng theo Hợp đồng lao động của bạn là bao nhiêu? (Vui lòng điền tổng thu nhập trước khi khấu trừ các loại Bảo hiểm (BHXH, BHYT, BHTN) và Thuế TNCN)]]</f>
        <v>Từ 32 - 48 triệu VNĐ</v>
      </c>
      <c r="O366">
        <f>step3_validation[[#This Row],[Dependents]]</f>
        <v>0</v>
      </c>
      <c r="P366" t="str">
        <f>survey_responses[[#This Row],[Số người phụ thuộc (con nhỏ, cha mẹ già...) đủ điều kiện giảm trừ gia cảnh:]]</f>
        <v>0 người</v>
      </c>
      <c r="Q366">
        <f>step3_validation[[#This Row],[AI_ENF1]]</f>
        <v>6</v>
      </c>
      <c r="R366">
        <f t="shared" si="135"/>
        <v>0.55555555555555558</v>
      </c>
      <c r="S366">
        <f>survey_responses[[#This Row],[Tôi tin rằng với các quy định quản lý thuế hiện nay, hành vi gian lận hoặc trốn thuế sẽ dễ dàng bị phát hiện và xử lý nghiêm. - HUMAN-ENF1]]</f>
        <v>9</v>
      </c>
      <c r="T366">
        <f t="shared" si="136"/>
        <v>0.88888888888888884</v>
      </c>
      <c r="U366">
        <f>step3_validation[[#This Row],[AI_ENF2]]</f>
        <v>8</v>
      </c>
      <c r="V366">
        <f t="shared" si="137"/>
        <v>0.77777777777777779</v>
      </c>
      <c r="W366">
        <f>survey_responses[[#This Row],[Tôi tin rằng Nhà nước, cơ quan thuế có đủ khả năng và công nghệ để phát hiện, xử lý nghiêm các hành vi trốn thuế. - HUMAN-ENF2]]</f>
        <v>9</v>
      </c>
      <c r="X366">
        <f t="shared" si="138"/>
        <v>0.88888888888888884</v>
      </c>
      <c r="Y366" s="32">
        <f t="shared" si="139"/>
        <v>0.66666666666666674</v>
      </c>
      <c r="Z366" s="32">
        <f t="shared" si="140"/>
        <v>0.88888888888888884</v>
      </c>
      <c r="AA366">
        <f>step3_validation[[#This Row],[AI_FAC1]]</f>
        <v>7</v>
      </c>
      <c r="AB366">
        <f t="shared" si="141"/>
        <v>0.66666666666666663</v>
      </c>
      <c r="AC366">
        <f>survey_responses[[#This Row],[Các thủ tục khai báo thuế VÀ/HOẶC quy trình làm việc với cơ quan thuế đơn giản, tiện lợi, nhanh chóng hơn so với trước đây. - HUMAN-FAC1]]</f>
        <v>8</v>
      </c>
      <c r="AD366">
        <f t="shared" si="142"/>
        <v>0.77777777777777779</v>
      </c>
      <c r="AE366">
        <f>step3_validation[[#This Row],[AI_FAC2]]</f>
        <v>9</v>
      </c>
      <c r="AF366">
        <f t="shared" si="143"/>
        <v>0.88888888888888884</v>
      </c>
      <c r="AG366">
        <f>survey_responses[[#This Row],[So với trước đây, tôi thấy cách tính thuế và các bậc thuế trong phương án mới đơn giản, dễ hiểu và dễ thực hiện hơn. - HUMAN-FAC2]]</f>
        <v>9</v>
      </c>
      <c r="AH366">
        <f t="shared" si="144"/>
        <v>0.88888888888888884</v>
      </c>
      <c r="AI366" s="32">
        <f t="shared" si="145"/>
        <v>0.77777777777777768</v>
      </c>
      <c r="AJ366" s="32">
        <f t="shared" si="146"/>
        <v>0.83333333333333326</v>
      </c>
      <c r="AK366">
        <f>step3_validation[[#This Row],[AI_TRU1]]</f>
        <v>7</v>
      </c>
      <c r="AL366">
        <f t="shared" si="147"/>
        <v>0.66666666666666663</v>
      </c>
      <c r="AM366">
        <f>survey_responses[[#This Row],[Tôi tin rằng Nhà nước, cơ quan thuế sẽ thực thi chính sách mới một cách khách quan, công tâm và đối xử bình đẳng với mọi người nộp thuế.  - HUMAN-TRU1]]</f>
        <v>9</v>
      </c>
      <c r="AN366">
        <f t="shared" si="148"/>
        <v>0.88888888888888884</v>
      </c>
      <c r="AO366">
        <f>step3_validation[[#This Row],[AI_TRU2]]</f>
        <v>8</v>
      </c>
      <c r="AP366">
        <f t="shared" si="149"/>
        <v>0.77777777777777779</v>
      </c>
      <c r="AQ366">
        <f>survey_responses[[#This Row],[Tôi thấy mức thuế tôi phải đóng theo phương án mới là công bằng (người thu nhập như tôi đóng mức này là hợp lý). - HUMAN-TRU2]]</f>
        <v>7</v>
      </c>
      <c r="AR366">
        <f t="shared" si="150"/>
        <v>0.66666666666666663</v>
      </c>
      <c r="AS366">
        <f>step3_validation[[#This Row],[AI_TRU3]]</f>
        <v>7</v>
      </c>
      <c r="AT366">
        <f t="shared" si="151"/>
        <v>0.66666666666666663</v>
      </c>
      <c r="AU366">
        <f>survey_responses[[#This Row],[Tôi tin tưởng số tiền thuế tôi đóng sẽ được Nhà nước sử dụng hiệu quả để cải thiện dịch vụ công (y tế, đường xá...). - HUMAN-TRU3]]</f>
        <v>7</v>
      </c>
      <c r="AV366">
        <f t="shared" si="152"/>
        <v>0.66666666666666663</v>
      </c>
      <c r="AW366">
        <f>step3_validation[[#This Row],[AI_TRU4]]</f>
        <v>6</v>
      </c>
      <c r="AX366">
        <f t="shared" si="153"/>
        <v>0.55555555555555558</v>
      </c>
      <c r="AY366">
        <f>survey_responses[[#This Row],[Tôi thấy Nhà nước đã giải thích rõ ràng, minh bạch về lý do và mục tiêu của việc sửa đổi thuế lần này. - HUMAN-TRU4]]</f>
        <v>7</v>
      </c>
      <c r="AZ366">
        <f t="shared" si="154"/>
        <v>0.66666666666666663</v>
      </c>
      <c r="BA366" s="32">
        <f t="shared" si="155"/>
        <v>0.66666666666666674</v>
      </c>
      <c r="BB366" s="32">
        <f t="shared" si="156"/>
        <v>0.7222222222222221</v>
      </c>
      <c r="BC366" s="7">
        <f t="shared" si="157"/>
        <v>0.70370370370370372</v>
      </c>
      <c r="BD366" s="7">
        <f t="shared" si="158"/>
        <v>0.81481481481481477</v>
      </c>
      <c r="BE366">
        <f>step3_validation[[#This Row],[AI_OUT1]]</f>
        <v>8</v>
      </c>
      <c r="BF366">
        <f t="shared" si="159"/>
        <v>0.77777777777777779</v>
      </c>
      <c r="BG366">
        <f>survey_responses[[#This Row],[Sau khi xem xét các quyền lợi và nghĩa vụ, bạn có ủng hộ và tuân thủ chính sách mới hiện nay? - HUMAN-OUT1]]</f>
        <v>7</v>
      </c>
      <c r="BH366">
        <f t="shared" si="160"/>
        <v>0.66666666666666663</v>
      </c>
      <c r="BI366" s="32">
        <f t="shared" si="161"/>
        <v>1</v>
      </c>
    </row>
    <row r="367" spans="1:61" x14ac:dyDescent="0.45">
      <c r="A367" s="30">
        <f>step3_validation[[#This Row],[Persona_ID]]</f>
        <v>366</v>
      </c>
      <c r="B367" s="31">
        <f>step3_validation[[#This Row],[Used_Seed]]</f>
        <v>12710</v>
      </c>
      <c r="C367" t="str">
        <f>step3_validation[[#This Row],[Gender]]</f>
        <v>Nam</v>
      </c>
      <c r="D367" t="str">
        <f>survey_responses[[#This Row],[Giới tính của bạn:]]</f>
        <v>Nam</v>
      </c>
      <c r="E367" t="str">
        <f>step3_validation[[#This Row],[Age_Group]]</f>
        <v>30 - 39</v>
      </c>
      <c r="F367" t="str">
        <f>survey_responses[[#This Row],[Độ tuổi của bạn:]]</f>
        <v>30 - 39</v>
      </c>
      <c r="G367" t="str">
        <f>step3_validation[[#This Row],[Region]]</f>
        <v>Thành thị</v>
      </c>
      <c r="H367" t="str">
        <f>survey_responses[[#This Row],[Khu vực bạn đang sinh sống:]]</f>
        <v>Thành thị</v>
      </c>
      <c r="I367" t="str">
        <f>step3_validation[[#This Row],[Education]]</f>
        <v>Sau Đại học</v>
      </c>
      <c r="J367" t="str">
        <f>survey_responses[[#This Row],[Trình độ học vấn cao nhất:]]</f>
        <v>Sau Đại học</v>
      </c>
      <c r="K367" t="str">
        <f>step3_validation[[#This Row],[Employment]]</f>
        <v>Chính thức</v>
      </c>
      <c r="L367" t="str">
        <f>survey_responses[[#This Row],[Tình trạng việc làm chính:]]</f>
        <v>Khu vực chính thức (Có Hợp đồng lao động, đóng BHXH)</v>
      </c>
      <c r="M367">
        <f>step3_validation[[#This Row],[Income_Mil]]</f>
        <v>68.883594394844124</v>
      </c>
      <c r="N367" t="str">
        <f>survey_responses[[#This Row],[Thu nhập bình quân tháng theo Hợp đồng lao động của bạn là bao nhiêu? (Vui lòng điền tổng thu nhập trước khi khấu trừ các loại Bảo hiểm (BHXH, BHYT, BHTN) và Thuế TNCN)]]</f>
        <v>Từ 48 - 70 triệu VNĐ</v>
      </c>
      <c r="O367">
        <f>step3_validation[[#This Row],[Dependents]]</f>
        <v>1</v>
      </c>
      <c r="P367" t="str">
        <f>survey_responses[[#This Row],[Số người phụ thuộc (con nhỏ, cha mẹ già...) đủ điều kiện giảm trừ gia cảnh:]]</f>
        <v>1 người</v>
      </c>
      <c r="Q367">
        <f>step3_validation[[#This Row],[AI_ENF1]]</f>
        <v>8</v>
      </c>
      <c r="R367">
        <f t="shared" si="135"/>
        <v>0.77777777777777779</v>
      </c>
      <c r="S367">
        <f>survey_responses[[#This Row],[Tôi tin rằng với các quy định quản lý thuế hiện nay, hành vi gian lận hoặc trốn thuế sẽ dễ dàng bị phát hiện và xử lý nghiêm. - HUMAN-ENF1]]</f>
        <v>7</v>
      </c>
      <c r="T367">
        <f t="shared" si="136"/>
        <v>0.66666666666666663</v>
      </c>
      <c r="U367">
        <f>step3_validation[[#This Row],[AI_ENF2]]</f>
        <v>8</v>
      </c>
      <c r="V367">
        <f t="shared" si="137"/>
        <v>0.77777777777777779</v>
      </c>
      <c r="W367">
        <f>survey_responses[[#This Row],[Tôi tin rằng Nhà nước, cơ quan thuế có đủ khả năng và công nghệ để phát hiện, xử lý nghiêm các hành vi trốn thuế. - HUMAN-ENF2]]</f>
        <v>8</v>
      </c>
      <c r="X367">
        <f t="shared" si="138"/>
        <v>0.77777777777777779</v>
      </c>
      <c r="Y367" s="32">
        <f t="shared" si="139"/>
        <v>0.77777777777777779</v>
      </c>
      <c r="Z367" s="32">
        <f t="shared" si="140"/>
        <v>0.72222222222222221</v>
      </c>
      <c r="AA367">
        <f>step3_validation[[#This Row],[AI_FAC1]]</f>
        <v>7</v>
      </c>
      <c r="AB367">
        <f t="shared" si="141"/>
        <v>0.66666666666666663</v>
      </c>
      <c r="AC367">
        <f>survey_responses[[#This Row],[Các thủ tục khai báo thuế VÀ/HOẶC quy trình làm việc với cơ quan thuế đơn giản, tiện lợi, nhanh chóng hơn so với trước đây. - HUMAN-FAC1]]</f>
        <v>8</v>
      </c>
      <c r="AD367">
        <f t="shared" si="142"/>
        <v>0.77777777777777779</v>
      </c>
      <c r="AE367">
        <f>step3_validation[[#This Row],[AI_FAC2]]</f>
        <v>9</v>
      </c>
      <c r="AF367">
        <f t="shared" si="143"/>
        <v>0.88888888888888884</v>
      </c>
      <c r="AG367">
        <f>survey_responses[[#This Row],[So với trước đây, tôi thấy cách tính thuế và các bậc thuế trong phương án mới đơn giản, dễ hiểu và dễ thực hiện hơn. - HUMAN-FAC2]]</f>
        <v>8</v>
      </c>
      <c r="AH367">
        <f t="shared" si="144"/>
        <v>0.77777777777777779</v>
      </c>
      <c r="AI367" s="32">
        <f t="shared" si="145"/>
        <v>0.77777777777777768</v>
      </c>
      <c r="AJ367" s="32">
        <f t="shared" si="146"/>
        <v>0.77777777777777779</v>
      </c>
      <c r="AK367">
        <f>step3_validation[[#This Row],[AI_TRU1]]</f>
        <v>7</v>
      </c>
      <c r="AL367">
        <f t="shared" si="147"/>
        <v>0.66666666666666663</v>
      </c>
      <c r="AM367">
        <f>survey_responses[[#This Row],[Tôi tin rằng Nhà nước, cơ quan thuế sẽ thực thi chính sách mới một cách khách quan, công tâm và đối xử bình đẳng với mọi người nộp thuế.  - HUMAN-TRU1]]</f>
        <v>5</v>
      </c>
      <c r="AN367">
        <f t="shared" si="148"/>
        <v>0.44444444444444442</v>
      </c>
      <c r="AO367">
        <f>step3_validation[[#This Row],[AI_TRU2]]</f>
        <v>9</v>
      </c>
      <c r="AP367">
        <f t="shared" si="149"/>
        <v>0.88888888888888884</v>
      </c>
      <c r="AQ367">
        <f>survey_responses[[#This Row],[Tôi thấy mức thuế tôi phải đóng theo phương án mới là công bằng (người thu nhập như tôi đóng mức này là hợp lý). - HUMAN-TRU2]]</f>
        <v>6</v>
      </c>
      <c r="AR367">
        <f t="shared" si="150"/>
        <v>0.55555555555555558</v>
      </c>
      <c r="AS367">
        <f>step3_validation[[#This Row],[AI_TRU3]]</f>
        <v>7</v>
      </c>
      <c r="AT367">
        <f t="shared" si="151"/>
        <v>0.66666666666666663</v>
      </c>
      <c r="AU367">
        <f>survey_responses[[#This Row],[Tôi tin tưởng số tiền thuế tôi đóng sẽ được Nhà nước sử dụng hiệu quả để cải thiện dịch vụ công (y tế, đường xá...). - HUMAN-TRU3]]</f>
        <v>5</v>
      </c>
      <c r="AV367">
        <f t="shared" si="152"/>
        <v>0.44444444444444442</v>
      </c>
      <c r="AW367">
        <f>step3_validation[[#This Row],[AI_TRU4]]</f>
        <v>8</v>
      </c>
      <c r="AX367">
        <f t="shared" si="153"/>
        <v>0.77777777777777779</v>
      </c>
      <c r="AY367">
        <f>survey_responses[[#This Row],[Tôi thấy Nhà nước đã giải thích rõ ràng, minh bạch về lý do và mục tiêu của việc sửa đổi thuế lần này. - HUMAN-TRU4]]</f>
        <v>6</v>
      </c>
      <c r="AZ367">
        <f t="shared" si="154"/>
        <v>0.55555555555555558</v>
      </c>
      <c r="BA367" s="32">
        <f t="shared" si="155"/>
        <v>0.74999999999999989</v>
      </c>
      <c r="BB367" s="32">
        <f t="shared" si="156"/>
        <v>0.5</v>
      </c>
      <c r="BC367" s="7">
        <f t="shared" si="157"/>
        <v>0.76851851851851849</v>
      </c>
      <c r="BD367" s="7">
        <f t="shared" si="158"/>
        <v>0.66666666666666663</v>
      </c>
      <c r="BE367">
        <f>step3_validation[[#This Row],[AI_OUT1]]</f>
        <v>9</v>
      </c>
      <c r="BF367">
        <f t="shared" si="159"/>
        <v>0.88888888888888884</v>
      </c>
      <c r="BG367">
        <f>survey_responses[[#This Row],[Sau khi xem xét các quyền lợi và nghĩa vụ, bạn có ủng hộ và tuân thủ chính sách mới hiện nay? - HUMAN-OUT1]]</f>
        <v>6</v>
      </c>
      <c r="BH367">
        <f t="shared" si="160"/>
        <v>0.55555555555555558</v>
      </c>
      <c r="BI367" s="32">
        <f t="shared" si="161"/>
        <v>3</v>
      </c>
    </row>
    <row r="368" spans="1:61" x14ac:dyDescent="0.45">
      <c r="A368" s="30">
        <f>step3_validation[[#This Row],[Persona_ID]]</f>
        <v>367</v>
      </c>
      <c r="B368" s="31">
        <f>step3_validation[[#This Row],[Used_Seed]]</f>
        <v>12711</v>
      </c>
      <c r="C368" t="str">
        <f>step3_validation[[#This Row],[Gender]]</f>
        <v>Nữ</v>
      </c>
      <c r="D368" t="str">
        <f>survey_responses[[#This Row],[Giới tính của bạn:]]</f>
        <v>Nữ</v>
      </c>
      <c r="E368" t="str">
        <f>step3_validation[[#This Row],[Age_Group]]</f>
        <v>18 - 24</v>
      </c>
      <c r="F368" t="str">
        <f>survey_responses[[#This Row],[Độ tuổi của bạn:]]</f>
        <v>18 - 24</v>
      </c>
      <c r="G368" t="str">
        <f>step3_validation[[#This Row],[Region]]</f>
        <v>Thành thị</v>
      </c>
      <c r="H368" t="str">
        <f>survey_responses[[#This Row],[Khu vực bạn đang sinh sống:]]</f>
        <v>Thành thị</v>
      </c>
      <c r="I368" t="str">
        <f>step3_validation[[#This Row],[Education]]</f>
        <v>Đại học</v>
      </c>
      <c r="J368" t="str">
        <f>survey_responses[[#This Row],[Trình độ học vấn cao nhất:]]</f>
        <v>Đại học</v>
      </c>
      <c r="K368" t="str">
        <f>step3_validation[[#This Row],[Employment]]</f>
        <v>Chính thức</v>
      </c>
      <c r="L368" t="str">
        <f>survey_responses[[#This Row],[Tình trạng việc làm chính:]]</f>
        <v>Khu vực chính thức (Có Hợp đồng lao động, đóng BHXH)</v>
      </c>
      <c r="M368">
        <f>step3_validation[[#This Row],[Income_Mil]]</f>
        <v>16.818679472200255</v>
      </c>
      <c r="N368" t="str">
        <f>survey_responses[[#This Row],[Thu nhập bình quân tháng theo Hợp đồng lao động của bạn là bao nhiêu? (Vui lòng điền tổng thu nhập trước khi khấu trừ các loại Bảo hiểm (BHXH, BHYT, BHTN) và Thuế TNCN)]]</f>
        <v>Từ 12 - 18 triệu VNĐ</v>
      </c>
      <c r="O368">
        <f>step3_validation[[#This Row],[Dependents]]</f>
        <v>0</v>
      </c>
      <c r="P368" t="str">
        <f>survey_responses[[#This Row],[Số người phụ thuộc (con nhỏ, cha mẹ già...) đủ điều kiện giảm trừ gia cảnh:]]</f>
        <v>0 người</v>
      </c>
      <c r="Q368">
        <f>step3_validation[[#This Row],[AI_ENF1]]</f>
        <v>6</v>
      </c>
      <c r="R368">
        <f t="shared" si="135"/>
        <v>0.55555555555555558</v>
      </c>
      <c r="S368">
        <f>survey_responses[[#This Row],[Tôi tin rằng với các quy định quản lý thuế hiện nay, hành vi gian lận hoặc trốn thuế sẽ dễ dàng bị phát hiện và xử lý nghiêm. - HUMAN-ENF1]]</f>
        <v>8</v>
      </c>
      <c r="T368">
        <f t="shared" si="136"/>
        <v>0.77777777777777779</v>
      </c>
      <c r="U368">
        <f>step3_validation[[#This Row],[AI_ENF2]]</f>
        <v>5</v>
      </c>
      <c r="V368">
        <f t="shared" si="137"/>
        <v>0.44444444444444442</v>
      </c>
      <c r="W368">
        <f>survey_responses[[#This Row],[Tôi tin rằng Nhà nước, cơ quan thuế có đủ khả năng và công nghệ để phát hiện, xử lý nghiêm các hành vi trốn thuế. - HUMAN-ENF2]]</f>
        <v>9</v>
      </c>
      <c r="X368">
        <f t="shared" si="138"/>
        <v>0.88888888888888884</v>
      </c>
      <c r="Y368" s="32">
        <f t="shared" si="139"/>
        <v>0.5</v>
      </c>
      <c r="Z368" s="32">
        <f t="shared" si="140"/>
        <v>0.83333333333333326</v>
      </c>
      <c r="AA368">
        <f>step3_validation[[#This Row],[AI_FAC1]]</f>
        <v>9</v>
      </c>
      <c r="AB368">
        <f t="shared" si="141"/>
        <v>0.88888888888888884</v>
      </c>
      <c r="AC368">
        <f>survey_responses[[#This Row],[Các thủ tục khai báo thuế VÀ/HOẶC quy trình làm việc với cơ quan thuế đơn giản, tiện lợi, nhanh chóng hơn so với trước đây. - HUMAN-FAC1]]</f>
        <v>8</v>
      </c>
      <c r="AD368">
        <f t="shared" si="142"/>
        <v>0.77777777777777779</v>
      </c>
      <c r="AE368">
        <f>step3_validation[[#This Row],[AI_FAC2]]</f>
        <v>8</v>
      </c>
      <c r="AF368">
        <f t="shared" si="143"/>
        <v>0.77777777777777779</v>
      </c>
      <c r="AG368">
        <f>survey_responses[[#This Row],[So với trước đây, tôi thấy cách tính thuế và các bậc thuế trong phương án mới đơn giản, dễ hiểu và dễ thực hiện hơn. - HUMAN-FAC2]]</f>
        <v>8</v>
      </c>
      <c r="AH368">
        <f t="shared" si="144"/>
        <v>0.77777777777777779</v>
      </c>
      <c r="AI368" s="32">
        <f t="shared" si="145"/>
        <v>0.83333333333333326</v>
      </c>
      <c r="AJ368" s="32">
        <f t="shared" si="146"/>
        <v>0.77777777777777779</v>
      </c>
      <c r="AK368">
        <f>step3_validation[[#This Row],[AI_TRU1]]</f>
        <v>9</v>
      </c>
      <c r="AL368">
        <f t="shared" si="147"/>
        <v>0.88888888888888884</v>
      </c>
      <c r="AM368">
        <f>survey_responses[[#This Row],[Tôi tin rằng Nhà nước, cơ quan thuế sẽ thực thi chính sách mới một cách khách quan, công tâm và đối xử bình đẳng với mọi người nộp thuế.  - HUMAN-TRU1]]</f>
        <v>9</v>
      </c>
      <c r="AN368">
        <f t="shared" si="148"/>
        <v>0.88888888888888884</v>
      </c>
      <c r="AO368">
        <f>step3_validation[[#This Row],[AI_TRU2]]</f>
        <v>8</v>
      </c>
      <c r="AP368">
        <f t="shared" si="149"/>
        <v>0.77777777777777779</v>
      </c>
      <c r="AQ368">
        <f>survey_responses[[#This Row],[Tôi thấy mức thuế tôi phải đóng theo phương án mới là công bằng (người thu nhập như tôi đóng mức này là hợp lý). - HUMAN-TRU2]]</f>
        <v>10</v>
      </c>
      <c r="AR368">
        <f t="shared" si="150"/>
        <v>1</v>
      </c>
      <c r="AS368">
        <f>step3_validation[[#This Row],[AI_TRU3]]</f>
        <v>9</v>
      </c>
      <c r="AT368">
        <f t="shared" si="151"/>
        <v>0.88888888888888884</v>
      </c>
      <c r="AU368">
        <f>survey_responses[[#This Row],[Tôi tin tưởng số tiền thuế tôi đóng sẽ được Nhà nước sử dụng hiệu quả để cải thiện dịch vụ công (y tế, đường xá...). - HUMAN-TRU3]]</f>
        <v>10</v>
      </c>
      <c r="AV368">
        <f t="shared" si="152"/>
        <v>1</v>
      </c>
      <c r="AW368">
        <f>step3_validation[[#This Row],[AI_TRU4]]</f>
        <v>7</v>
      </c>
      <c r="AX368">
        <f t="shared" si="153"/>
        <v>0.66666666666666663</v>
      </c>
      <c r="AY368">
        <f>survey_responses[[#This Row],[Tôi thấy Nhà nước đã giải thích rõ ràng, minh bạch về lý do và mục tiêu của việc sửa đổi thuế lần này. - HUMAN-TRU4]]</f>
        <v>9</v>
      </c>
      <c r="AZ368">
        <f t="shared" si="154"/>
        <v>0.88888888888888884</v>
      </c>
      <c r="BA368" s="32">
        <f t="shared" si="155"/>
        <v>0.80555555555555547</v>
      </c>
      <c r="BB368" s="32">
        <f t="shared" si="156"/>
        <v>0.94444444444444442</v>
      </c>
      <c r="BC368" s="7">
        <f t="shared" si="157"/>
        <v>0.71296296296296291</v>
      </c>
      <c r="BD368" s="7">
        <f t="shared" si="158"/>
        <v>0.85185185185185175</v>
      </c>
      <c r="BE368">
        <f>step3_validation[[#This Row],[AI_OUT1]]</f>
        <v>9</v>
      </c>
      <c r="BF368">
        <f t="shared" si="159"/>
        <v>0.88888888888888884</v>
      </c>
      <c r="BG368">
        <f>survey_responses[[#This Row],[Sau khi xem xét các quyền lợi và nghĩa vụ, bạn có ủng hộ và tuân thủ chính sách mới hiện nay? - HUMAN-OUT1]]</f>
        <v>10</v>
      </c>
      <c r="BH368">
        <f t="shared" si="160"/>
        <v>1</v>
      </c>
      <c r="BI368" s="32">
        <f t="shared" si="161"/>
        <v>1</v>
      </c>
    </row>
    <row r="369" spans="1:61" x14ac:dyDescent="0.45">
      <c r="A369" s="30">
        <f>step3_validation[[#This Row],[Persona_ID]]</f>
        <v>368</v>
      </c>
      <c r="B369" s="31">
        <f>step3_validation[[#This Row],[Used_Seed]]</f>
        <v>12712</v>
      </c>
      <c r="C369" t="str">
        <f>step3_validation[[#This Row],[Gender]]</f>
        <v>Nữ</v>
      </c>
      <c r="D369" t="str">
        <f>survey_responses[[#This Row],[Giới tính của bạn:]]</f>
        <v>Nữ</v>
      </c>
      <c r="E369" t="str">
        <f>step3_validation[[#This Row],[Age_Group]]</f>
        <v>25 - 29</v>
      </c>
      <c r="F369" t="str">
        <f>survey_responses[[#This Row],[Độ tuổi của bạn:]]</f>
        <v>25 - 29</v>
      </c>
      <c r="G369" t="str">
        <f>step3_validation[[#This Row],[Region]]</f>
        <v>Thành thị</v>
      </c>
      <c r="H369" t="str">
        <f>survey_responses[[#This Row],[Khu vực bạn đang sinh sống:]]</f>
        <v>Thành thị</v>
      </c>
      <c r="I369" t="str">
        <f>step3_validation[[#This Row],[Education]]</f>
        <v>Sau Đại học</v>
      </c>
      <c r="J369" t="str">
        <f>survey_responses[[#This Row],[Trình độ học vấn cao nhất:]]</f>
        <v>Sau Đại học</v>
      </c>
      <c r="K369" t="str">
        <f>step3_validation[[#This Row],[Employment]]</f>
        <v>Chính thức</v>
      </c>
      <c r="L369" t="str">
        <f>survey_responses[[#This Row],[Tình trạng việc làm chính:]]</f>
        <v>Khu vực chính thức (Có Hợp đồng lao động, đóng BHXH)</v>
      </c>
      <c r="M369">
        <f>step3_validation[[#This Row],[Income_Mil]]</f>
        <v>29.223706589345699</v>
      </c>
      <c r="N369" t="str">
        <f>survey_responses[[#This Row],[Thu nhập bình quân tháng theo Hợp đồng lao động của bạn là bao nhiêu? (Vui lòng điền tổng thu nhập trước khi khấu trừ các loại Bảo hiểm (BHXH, BHYT, BHTN) và Thuế TNCN)]]</f>
        <v>Từ 23 - 32 triệu VNĐ</v>
      </c>
      <c r="O369">
        <f>step3_validation[[#This Row],[Dependents]]</f>
        <v>2</v>
      </c>
      <c r="P369" t="str">
        <f>survey_responses[[#This Row],[Số người phụ thuộc (con nhỏ, cha mẹ già...) đủ điều kiện giảm trừ gia cảnh:]]</f>
        <v>2 người</v>
      </c>
      <c r="Q369">
        <f>step3_validation[[#This Row],[AI_ENF1]]</f>
        <v>7</v>
      </c>
      <c r="R369">
        <f t="shared" si="135"/>
        <v>0.66666666666666663</v>
      </c>
      <c r="S369">
        <f>survey_responses[[#This Row],[Tôi tin rằng với các quy định quản lý thuế hiện nay, hành vi gian lận hoặc trốn thuế sẽ dễ dàng bị phát hiện và xử lý nghiêm. - HUMAN-ENF1]]</f>
        <v>7</v>
      </c>
      <c r="T369">
        <f t="shared" si="136"/>
        <v>0.66666666666666663</v>
      </c>
      <c r="U369">
        <f>step3_validation[[#This Row],[AI_ENF2]]</f>
        <v>9</v>
      </c>
      <c r="V369">
        <f t="shared" si="137"/>
        <v>0.88888888888888884</v>
      </c>
      <c r="W369">
        <f>survey_responses[[#This Row],[Tôi tin rằng Nhà nước, cơ quan thuế có đủ khả năng và công nghệ để phát hiện, xử lý nghiêm các hành vi trốn thuế. - HUMAN-ENF2]]</f>
        <v>7</v>
      </c>
      <c r="X369">
        <f t="shared" si="138"/>
        <v>0.66666666666666663</v>
      </c>
      <c r="Y369" s="32">
        <f t="shared" si="139"/>
        <v>0.77777777777777768</v>
      </c>
      <c r="Z369" s="32">
        <f t="shared" si="140"/>
        <v>0.66666666666666663</v>
      </c>
      <c r="AA369">
        <f>step3_validation[[#This Row],[AI_FAC1]]</f>
        <v>8</v>
      </c>
      <c r="AB369">
        <f t="shared" si="141"/>
        <v>0.77777777777777779</v>
      </c>
      <c r="AC369">
        <f>survey_responses[[#This Row],[Các thủ tục khai báo thuế VÀ/HOẶC quy trình làm việc với cơ quan thuế đơn giản, tiện lợi, nhanh chóng hơn so với trước đây. - HUMAN-FAC1]]</f>
        <v>8</v>
      </c>
      <c r="AD369">
        <f t="shared" si="142"/>
        <v>0.77777777777777779</v>
      </c>
      <c r="AE369">
        <f>step3_validation[[#This Row],[AI_FAC2]]</f>
        <v>9</v>
      </c>
      <c r="AF369">
        <f t="shared" si="143"/>
        <v>0.88888888888888884</v>
      </c>
      <c r="AG369">
        <f>survey_responses[[#This Row],[So với trước đây, tôi thấy cách tính thuế và các bậc thuế trong phương án mới đơn giản, dễ hiểu và dễ thực hiện hơn. - HUMAN-FAC2]]</f>
        <v>8</v>
      </c>
      <c r="AH369">
        <f t="shared" si="144"/>
        <v>0.77777777777777779</v>
      </c>
      <c r="AI369" s="32">
        <f t="shared" si="145"/>
        <v>0.83333333333333326</v>
      </c>
      <c r="AJ369" s="32">
        <f t="shared" si="146"/>
        <v>0.77777777777777779</v>
      </c>
      <c r="AK369">
        <f>step3_validation[[#This Row],[AI_TRU1]]</f>
        <v>7</v>
      </c>
      <c r="AL369">
        <f t="shared" si="147"/>
        <v>0.66666666666666663</v>
      </c>
      <c r="AM369">
        <f>survey_responses[[#This Row],[Tôi tin rằng Nhà nước, cơ quan thuế sẽ thực thi chính sách mới một cách khách quan, công tâm và đối xử bình đẳng với mọi người nộp thuế.  - HUMAN-TRU1]]</f>
        <v>6</v>
      </c>
      <c r="AN369">
        <f t="shared" si="148"/>
        <v>0.55555555555555558</v>
      </c>
      <c r="AO369">
        <f>step3_validation[[#This Row],[AI_TRU2]]</f>
        <v>9</v>
      </c>
      <c r="AP369">
        <f t="shared" si="149"/>
        <v>0.88888888888888884</v>
      </c>
      <c r="AQ369">
        <f>survey_responses[[#This Row],[Tôi thấy mức thuế tôi phải đóng theo phương án mới là công bằng (người thu nhập như tôi đóng mức này là hợp lý). - HUMAN-TRU2]]</f>
        <v>8</v>
      </c>
      <c r="AR369">
        <f t="shared" si="150"/>
        <v>0.77777777777777779</v>
      </c>
      <c r="AS369">
        <f>step3_validation[[#This Row],[AI_TRU3]]</f>
        <v>8</v>
      </c>
      <c r="AT369">
        <f t="shared" si="151"/>
        <v>0.77777777777777779</v>
      </c>
      <c r="AU369">
        <f>survey_responses[[#This Row],[Tôi tin tưởng số tiền thuế tôi đóng sẽ được Nhà nước sử dụng hiệu quả để cải thiện dịch vụ công (y tế, đường xá...). - HUMAN-TRU3]]</f>
        <v>6</v>
      </c>
      <c r="AV369">
        <f t="shared" si="152"/>
        <v>0.55555555555555558</v>
      </c>
      <c r="AW369">
        <f>step3_validation[[#This Row],[AI_TRU4]]</f>
        <v>7</v>
      </c>
      <c r="AX369">
        <f t="shared" si="153"/>
        <v>0.66666666666666663</v>
      </c>
      <c r="AY369">
        <f>survey_responses[[#This Row],[Tôi thấy Nhà nước đã giải thích rõ ràng, minh bạch về lý do và mục tiêu của việc sửa đổi thuế lần này. - HUMAN-TRU4]]</f>
        <v>7</v>
      </c>
      <c r="AZ369">
        <f t="shared" si="154"/>
        <v>0.66666666666666663</v>
      </c>
      <c r="BA369" s="32">
        <f t="shared" si="155"/>
        <v>0.74999999999999989</v>
      </c>
      <c r="BB369" s="32">
        <f t="shared" si="156"/>
        <v>0.63888888888888895</v>
      </c>
      <c r="BC369" s="7">
        <f t="shared" si="157"/>
        <v>0.78703703703703687</v>
      </c>
      <c r="BD369" s="7">
        <f t="shared" si="158"/>
        <v>0.69444444444444453</v>
      </c>
      <c r="BE369">
        <f>step3_validation[[#This Row],[AI_OUT1]]</f>
        <v>9</v>
      </c>
      <c r="BF369">
        <f t="shared" si="159"/>
        <v>0.88888888888888884</v>
      </c>
      <c r="BG369">
        <f>survey_responses[[#This Row],[Sau khi xem xét các quyền lợi và nghĩa vụ, bạn có ủng hộ và tuân thủ chính sách mới hiện nay? - HUMAN-OUT1]]</f>
        <v>8</v>
      </c>
      <c r="BH369">
        <f t="shared" si="160"/>
        <v>0.77777777777777779</v>
      </c>
      <c r="BI369" s="32">
        <f t="shared" si="161"/>
        <v>1</v>
      </c>
    </row>
    <row r="370" spans="1:61" x14ac:dyDescent="0.45">
      <c r="A370" s="30">
        <f>step3_validation[[#This Row],[Persona_ID]]</f>
        <v>369</v>
      </c>
      <c r="B370" s="31">
        <f>step3_validation[[#This Row],[Used_Seed]]</f>
        <v>12713</v>
      </c>
      <c r="C370" t="str">
        <f>step3_validation[[#This Row],[Gender]]</f>
        <v>Nam</v>
      </c>
      <c r="D370" t="str">
        <f>survey_responses[[#This Row],[Giới tính của bạn:]]</f>
        <v>Nam</v>
      </c>
      <c r="E370" t="str">
        <f>step3_validation[[#This Row],[Age_Group]]</f>
        <v>25 - 29</v>
      </c>
      <c r="F370" t="str">
        <f>survey_responses[[#This Row],[Độ tuổi của bạn:]]</f>
        <v>25 - 29</v>
      </c>
      <c r="G370" t="str">
        <f>step3_validation[[#This Row],[Region]]</f>
        <v>Thành thị</v>
      </c>
      <c r="H370" t="str">
        <f>survey_responses[[#This Row],[Khu vực bạn đang sinh sống:]]</f>
        <v>Thành thị</v>
      </c>
      <c r="I370" t="str">
        <f>step3_validation[[#This Row],[Education]]</f>
        <v>Đại học</v>
      </c>
      <c r="J370" t="str">
        <f>survey_responses[[#This Row],[Trình độ học vấn cao nhất:]]</f>
        <v>Đại học</v>
      </c>
      <c r="K370" t="str">
        <f>step3_validation[[#This Row],[Employment]]</f>
        <v>Chính thức</v>
      </c>
      <c r="L370" t="str">
        <f>survey_responses[[#This Row],[Tình trạng việc làm chính:]]</f>
        <v>Khu vực chính thức (Có Hợp đồng lao động, đóng BHXH)</v>
      </c>
      <c r="M370">
        <f>step3_validation[[#This Row],[Income_Mil]]</f>
        <v>14.334666874127459</v>
      </c>
      <c r="N370" t="str">
        <f>survey_responses[[#This Row],[Thu nhập bình quân tháng theo Hợp đồng lao động của bạn là bao nhiêu? (Vui lòng điền tổng thu nhập trước khi khấu trừ các loại Bảo hiểm (BHXH, BHYT, BHTN) và Thuế TNCN)]]</f>
        <v>Từ 12 - 18 triệu VNĐ</v>
      </c>
      <c r="O370">
        <f>step3_validation[[#This Row],[Dependents]]</f>
        <v>0</v>
      </c>
      <c r="P370" t="str">
        <f>survey_responses[[#This Row],[Số người phụ thuộc (con nhỏ, cha mẹ già...) đủ điều kiện giảm trừ gia cảnh:]]</f>
        <v>0 người</v>
      </c>
      <c r="Q370">
        <f>step3_validation[[#This Row],[AI_ENF1]]</f>
        <v>7</v>
      </c>
      <c r="R370">
        <f t="shared" si="135"/>
        <v>0.66666666666666663</v>
      </c>
      <c r="S370">
        <f>survey_responses[[#This Row],[Tôi tin rằng với các quy định quản lý thuế hiện nay, hành vi gian lận hoặc trốn thuế sẽ dễ dàng bị phát hiện và xử lý nghiêm. - HUMAN-ENF1]]</f>
        <v>6</v>
      </c>
      <c r="T370">
        <f t="shared" si="136"/>
        <v>0.55555555555555558</v>
      </c>
      <c r="U370">
        <f>step3_validation[[#This Row],[AI_ENF2]]</f>
        <v>8</v>
      </c>
      <c r="V370">
        <f t="shared" si="137"/>
        <v>0.77777777777777779</v>
      </c>
      <c r="W370">
        <f>survey_responses[[#This Row],[Tôi tin rằng Nhà nước, cơ quan thuế có đủ khả năng và công nghệ để phát hiện, xử lý nghiêm các hành vi trốn thuế. - HUMAN-ENF2]]</f>
        <v>6</v>
      </c>
      <c r="X370">
        <f t="shared" si="138"/>
        <v>0.55555555555555558</v>
      </c>
      <c r="Y370" s="32">
        <f t="shared" si="139"/>
        <v>0.72222222222222221</v>
      </c>
      <c r="Z370" s="32">
        <f t="shared" si="140"/>
        <v>0.55555555555555558</v>
      </c>
      <c r="AA370">
        <f>step3_validation[[#This Row],[AI_FAC1]]</f>
        <v>9</v>
      </c>
      <c r="AB370">
        <f t="shared" si="141"/>
        <v>0.88888888888888884</v>
      </c>
      <c r="AC370">
        <f>survey_responses[[#This Row],[Các thủ tục khai báo thuế VÀ/HOẶC quy trình làm việc với cơ quan thuế đơn giản, tiện lợi, nhanh chóng hơn so với trước đây. - HUMAN-FAC1]]</f>
        <v>8</v>
      </c>
      <c r="AD370">
        <f t="shared" si="142"/>
        <v>0.77777777777777779</v>
      </c>
      <c r="AE370">
        <f>step3_validation[[#This Row],[AI_FAC2]]</f>
        <v>9</v>
      </c>
      <c r="AF370">
        <f t="shared" si="143"/>
        <v>0.88888888888888884</v>
      </c>
      <c r="AG370">
        <f>survey_responses[[#This Row],[So với trước đây, tôi thấy cách tính thuế và các bậc thuế trong phương án mới đơn giản, dễ hiểu và dễ thực hiện hơn. - HUMAN-FAC2]]</f>
        <v>9</v>
      </c>
      <c r="AH370">
        <f t="shared" si="144"/>
        <v>0.88888888888888884</v>
      </c>
      <c r="AI370" s="32">
        <f t="shared" si="145"/>
        <v>0.88888888888888884</v>
      </c>
      <c r="AJ370" s="32">
        <f t="shared" si="146"/>
        <v>0.83333333333333326</v>
      </c>
      <c r="AK370">
        <f>step3_validation[[#This Row],[AI_TRU1]]</f>
        <v>8</v>
      </c>
      <c r="AL370">
        <f t="shared" si="147"/>
        <v>0.77777777777777779</v>
      </c>
      <c r="AM370">
        <f>survey_responses[[#This Row],[Tôi tin rằng Nhà nước, cơ quan thuế sẽ thực thi chính sách mới một cách khách quan, công tâm và đối xử bình đẳng với mọi người nộp thuế.  - HUMAN-TRU1]]</f>
        <v>8</v>
      </c>
      <c r="AN370">
        <f t="shared" si="148"/>
        <v>0.77777777777777779</v>
      </c>
      <c r="AO370">
        <f>step3_validation[[#This Row],[AI_TRU2]]</f>
        <v>9</v>
      </c>
      <c r="AP370">
        <f t="shared" si="149"/>
        <v>0.88888888888888884</v>
      </c>
      <c r="AQ370">
        <f>survey_responses[[#This Row],[Tôi thấy mức thuế tôi phải đóng theo phương án mới là công bằng (người thu nhập như tôi đóng mức này là hợp lý). - HUMAN-TRU2]]</f>
        <v>8</v>
      </c>
      <c r="AR370">
        <f t="shared" si="150"/>
        <v>0.77777777777777779</v>
      </c>
      <c r="AS370">
        <f>step3_validation[[#This Row],[AI_TRU3]]</f>
        <v>8</v>
      </c>
      <c r="AT370">
        <f t="shared" si="151"/>
        <v>0.77777777777777779</v>
      </c>
      <c r="AU370">
        <f>survey_responses[[#This Row],[Tôi tin tưởng số tiền thuế tôi đóng sẽ được Nhà nước sử dụng hiệu quả để cải thiện dịch vụ công (y tế, đường xá...). - HUMAN-TRU3]]</f>
        <v>5</v>
      </c>
      <c r="AV370">
        <f t="shared" si="152"/>
        <v>0.44444444444444442</v>
      </c>
      <c r="AW370">
        <f>step3_validation[[#This Row],[AI_TRU4]]</f>
        <v>9</v>
      </c>
      <c r="AX370">
        <f t="shared" si="153"/>
        <v>0.88888888888888884</v>
      </c>
      <c r="AY370">
        <f>survey_responses[[#This Row],[Tôi thấy Nhà nước đã giải thích rõ ràng, minh bạch về lý do và mục tiêu của việc sửa đổi thuế lần này. - HUMAN-TRU4]]</f>
        <v>7</v>
      </c>
      <c r="AZ370">
        <f t="shared" si="154"/>
        <v>0.66666666666666663</v>
      </c>
      <c r="BA370" s="32">
        <f t="shared" si="155"/>
        <v>0.83333333333333326</v>
      </c>
      <c r="BB370" s="32">
        <f t="shared" si="156"/>
        <v>0.66666666666666663</v>
      </c>
      <c r="BC370" s="7">
        <f t="shared" si="157"/>
        <v>0.81481481481481488</v>
      </c>
      <c r="BD370" s="7">
        <f t="shared" si="158"/>
        <v>0.68518518518518512</v>
      </c>
      <c r="BE370">
        <f>step3_validation[[#This Row],[AI_OUT1]]</f>
        <v>10</v>
      </c>
      <c r="BF370">
        <f t="shared" si="159"/>
        <v>1</v>
      </c>
      <c r="BG370">
        <f>survey_responses[[#This Row],[Sau khi xem xét các quyền lợi và nghĩa vụ, bạn có ủng hộ và tuân thủ chính sách mới hiện nay? - HUMAN-OUT1]]</f>
        <v>8</v>
      </c>
      <c r="BH370">
        <f t="shared" si="160"/>
        <v>0.77777777777777779</v>
      </c>
      <c r="BI370" s="32">
        <f t="shared" si="161"/>
        <v>2</v>
      </c>
    </row>
    <row r="371" spans="1:61" x14ac:dyDescent="0.45">
      <c r="A371" s="30">
        <f>step3_validation[[#This Row],[Persona_ID]]</f>
        <v>370</v>
      </c>
      <c r="B371" s="31">
        <f>step3_validation[[#This Row],[Used_Seed]]</f>
        <v>12714</v>
      </c>
      <c r="C371" t="str">
        <f>step3_validation[[#This Row],[Gender]]</f>
        <v>Nam</v>
      </c>
      <c r="D371" t="str">
        <f>survey_responses[[#This Row],[Giới tính của bạn:]]</f>
        <v>Nam</v>
      </c>
      <c r="E371" t="str">
        <f>step3_validation[[#This Row],[Age_Group]]</f>
        <v>18 - 24</v>
      </c>
      <c r="F371" t="str">
        <f>survey_responses[[#This Row],[Độ tuổi của bạn:]]</f>
        <v>18 - 24</v>
      </c>
      <c r="G371" t="str">
        <f>step3_validation[[#This Row],[Region]]</f>
        <v>Thành thị</v>
      </c>
      <c r="H371" t="str">
        <f>survey_responses[[#This Row],[Khu vực bạn đang sinh sống:]]</f>
        <v>Thành thị</v>
      </c>
      <c r="I371" t="str">
        <f>step3_validation[[#This Row],[Education]]</f>
        <v>Đại học</v>
      </c>
      <c r="J371" t="str">
        <f>survey_responses[[#This Row],[Trình độ học vấn cao nhất:]]</f>
        <v>Đại học</v>
      </c>
      <c r="K371" t="str">
        <f>step3_validation[[#This Row],[Employment]]</f>
        <v>Chính thức</v>
      </c>
      <c r="L371" t="str">
        <f>survey_responses[[#This Row],[Tình trạng việc làm chính:]]</f>
        <v>Khu vực chính thức (Có Hợp đồng lao động, đóng BHXH)</v>
      </c>
      <c r="M371">
        <f>step3_validation[[#This Row],[Income_Mil]]</f>
        <v>18.287658310058934</v>
      </c>
      <c r="N371" t="str">
        <f>survey_responses[[#This Row],[Thu nhập bình quân tháng theo Hợp đồng lao động của bạn là bao nhiêu? (Vui lòng điền tổng thu nhập trước khi khấu trừ các loại Bảo hiểm (BHXH, BHYT, BHTN) và Thuế TNCN)]]</f>
        <v>Từ 18 - 23 triệu VNĐ</v>
      </c>
      <c r="O371">
        <f>step3_validation[[#This Row],[Dependents]]</f>
        <v>0</v>
      </c>
      <c r="P371" t="str">
        <f>survey_responses[[#This Row],[Số người phụ thuộc (con nhỏ, cha mẹ già...) đủ điều kiện giảm trừ gia cảnh:]]</f>
        <v>0 người</v>
      </c>
      <c r="Q371">
        <f>step3_validation[[#This Row],[AI_ENF1]]</f>
        <v>7</v>
      </c>
      <c r="R371">
        <f t="shared" si="135"/>
        <v>0.66666666666666663</v>
      </c>
      <c r="S371">
        <f>survey_responses[[#This Row],[Tôi tin rằng với các quy định quản lý thuế hiện nay, hành vi gian lận hoặc trốn thuế sẽ dễ dàng bị phát hiện và xử lý nghiêm. - HUMAN-ENF1]]</f>
        <v>6</v>
      </c>
      <c r="T371">
        <f t="shared" si="136"/>
        <v>0.55555555555555558</v>
      </c>
      <c r="U371">
        <f>step3_validation[[#This Row],[AI_ENF2]]</f>
        <v>8</v>
      </c>
      <c r="V371">
        <f t="shared" si="137"/>
        <v>0.77777777777777779</v>
      </c>
      <c r="W371">
        <f>survey_responses[[#This Row],[Tôi tin rằng Nhà nước, cơ quan thuế có đủ khả năng và công nghệ để phát hiện, xử lý nghiêm các hành vi trốn thuế. - HUMAN-ENF2]]</f>
        <v>7</v>
      </c>
      <c r="X371">
        <f t="shared" si="138"/>
        <v>0.66666666666666663</v>
      </c>
      <c r="Y371" s="32">
        <f t="shared" si="139"/>
        <v>0.72222222222222221</v>
      </c>
      <c r="Z371" s="32">
        <f t="shared" si="140"/>
        <v>0.61111111111111116</v>
      </c>
      <c r="AA371">
        <f>step3_validation[[#This Row],[AI_FAC1]]</f>
        <v>9</v>
      </c>
      <c r="AB371">
        <f t="shared" si="141"/>
        <v>0.88888888888888884</v>
      </c>
      <c r="AC371">
        <f>survey_responses[[#This Row],[Các thủ tục khai báo thuế VÀ/HOẶC quy trình làm việc với cơ quan thuế đơn giản, tiện lợi, nhanh chóng hơn so với trước đây. - HUMAN-FAC1]]</f>
        <v>7</v>
      </c>
      <c r="AD371">
        <f t="shared" si="142"/>
        <v>0.66666666666666663</v>
      </c>
      <c r="AE371">
        <f>step3_validation[[#This Row],[AI_FAC2]]</f>
        <v>9</v>
      </c>
      <c r="AF371">
        <f t="shared" si="143"/>
        <v>0.88888888888888884</v>
      </c>
      <c r="AG371">
        <f>survey_responses[[#This Row],[So với trước đây, tôi thấy cách tính thuế và các bậc thuế trong phương án mới đơn giản, dễ hiểu và dễ thực hiện hơn. - HUMAN-FAC2]]</f>
        <v>9</v>
      </c>
      <c r="AH371">
        <f t="shared" si="144"/>
        <v>0.88888888888888884</v>
      </c>
      <c r="AI371" s="32">
        <f t="shared" si="145"/>
        <v>0.88888888888888884</v>
      </c>
      <c r="AJ371" s="32">
        <f t="shared" si="146"/>
        <v>0.77777777777777768</v>
      </c>
      <c r="AK371">
        <f>step3_validation[[#This Row],[AI_TRU1]]</f>
        <v>8</v>
      </c>
      <c r="AL371">
        <f t="shared" si="147"/>
        <v>0.77777777777777779</v>
      </c>
      <c r="AM371">
        <f>survey_responses[[#This Row],[Tôi tin rằng Nhà nước, cơ quan thuế sẽ thực thi chính sách mới một cách khách quan, công tâm và đối xử bình đẳng với mọi người nộp thuế.  - HUMAN-TRU1]]</f>
        <v>7</v>
      </c>
      <c r="AN371">
        <f t="shared" si="148"/>
        <v>0.66666666666666663</v>
      </c>
      <c r="AO371">
        <f>step3_validation[[#This Row],[AI_TRU2]]</f>
        <v>9</v>
      </c>
      <c r="AP371">
        <f t="shared" si="149"/>
        <v>0.88888888888888884</v>
      </c>
      <c r="AQ371">
        <f>survey_responses[[#This Row],[Tôi thấy mức thuế tôi phải đóng theo phương án mới là công bằng (người thu nhập như tôi đóng mức này là hợp lý). - HUMAN-TRU2]]</f>
        <v>9</v>
      </c>
      <c r="AR371">
        <f t="shared" si="150"/>
        <v>0.88888888888888884</v>
      </c>
      <c r="AS371">
        <f>step3_validation[[#This Row],[AI_TRU3]]</f>
        <v>8</v>
      </c>
      <c r="AT371">
        <f t="shared" si="151"/>
        <v>0.77777777777777779</v>
      </c>
      <c r="AU371">
        <f>survey_responses[[#This Row],[Tôi tin tưởng số tiền thuế tôi đóng sẽ được Nhà nước sử dụng hiệu quả để cải thiện dịch vụ công (y tế, đường xá...). - HUMAN-TRU3]]</f>
        <v>9</v>
      </c>
      <c r="AV371">
        <f t="shared" si="152"/>
        <v>0.88888888888888884</v>
      </c>
      <c r="AW371">
        <f>step3_validation[[#This Row],[AI_TRU4]]</f>
        <v>9</v>
      </c>
      <c r="AX371">
        <f t="shared" si="153"/>
        <v>0.88888888888888884</v>
      </c>
      <c r="AY371">
        <f>survey_responses[[#This Row],[Tôi thấy Nhà nước đã giải thích rõ ràng, minh bạch về lý do và mục tiêu của việc sửa đổi thuế lần này. - HUMAN-TRU4]]</f>
        <v>9</v>
      </c>
      <c r="AZ371">
        <f t="shared" si="154"/>
        <v>0.88888888888888884</v>
      </c>
      <c r="BA371" s="32">
        <f t="shared" si="155"/>
        <v>0.83333333333333326</v>
      </c>
      <c r="BB371" s="32">
        <f t="shared" si="156"/>
        <v>0.83333333333333326</v>
      </c>
      <c r="BC371" s="7">
        <f t="shared" si="157"/>
        <v>0.81481481481481488</v>
      </c>
      <c r="BD371" s="7">
        <f t="shared" si="158"/>
        <v>0.74074074074074081</v>
      </c>
      <c r="BE371">
        <f>step3_validation[[#This Row],[AI_OUT1]]</f>
        <v>9</v>
      </c>
      <c r="BF371">
        <f t="shared" si="159"/>
        <v>0.88888888888888884</v>
      </c>
      <c r="BG371">
        <f>survey_responses[[#This Row],[Sau khi xem xét các quyền lợi và nghĩa vụ, bạn có ủng hộ và tuân thủ chính sách mới hiện nay? - HUMAN-OUT1]]</f>
        <v>9</v>
      </c>
      <c r="BH371">
        <f t="shared" si="160"/>
        <v>0.88888888888888884</v>
      </c>
      <c r="BI371" s="32">
        <f t="shared" si="161"/>
        <v>0</v>
      </c>
    </row>
    <row r="372" spans="1:61" x14ac:dyDescent="0.45">
      <c r="A372" s="30">
        <f>step3_validation[[#This Row],[Persona_ID]]</f>
        <v>371</v>
      </c>
      <c r="B372" s="31">
        <f>step3_validation[[#This Row],[Used_Seed]]</f>
        <v>12715</v>
      </c>
      <c r="C372" t="str">
        <f>step3_validation[[#This Row],[Gender]]</f>
        <v>Nam</v>
      </c>
      <c r="D372" t="str">
        <f>survey_responses[[#This Row],[Giới tính của bạn:]]</f>
        <v>Nam</v>
      </c>
      <c r="E372" t="str">
        <f>step3_validation[[#This Row],[Age_Group]]</f>
        <v>40 - 49</v>
      </c>
      <c r="F372" t="str">
        <f>survey_responses[[#This Row],[Độ tuổi của bạn:]]</f>
        <v>40 - 49</v>
      </c>
      <c r="G372" t="str">
        <f>step3_validation[[#This Row],[Region]]</f>
        <v>Thành thị</v>
      </c>
      <c r="H372" t="str">
        <f>survey_responses[[#This Row],[Khu vực bạn đang sinh sống:]]</f>
        <v>Thành thị</v>
      </c>
      <c r="I372" t="str">
        <f>step3_validation[[#This Row],[Education]]</f>
        <v>Sau Đại học</v>
      </c>
      <c r="J372" t="str">
        <f>survey_responses[[#This Row],[Trình độ học vấn cao nhất:]]</f>
        <v>Sau Đại học</v>
      </c>
      <c r="K372" t="str">
        <f>step3_validation[[#This Row],[Employment]]</f>
        <v>Chính thức</v>
      </c>
      <c r="L372" t="str">
        <f>survey_responses[[#This Row],[Tình trạng việc làm chính:]]</f>
        <v>Khu vực chính thức (Có Hợp đồng lao động, đóng BHXH)</v>
      </c>
      <c r="M372">
        <f>step3_validation[[#This Row],[Income_Mil]]</f>
        <v>57.925657763033932</v>
      </c>
      <c r="N372" t="str">
        <f>survey_responses[[#This Row],[Thu nhập bình quân tháng theo Hợp đồng lao động của bạn là bao nhiêu? (Vui lòng điền tổng thu nhập trước khi khấu trừ các loại Bảo hiểm (BHXH, BHYT, BHTN) và Thuế TNCN)]]</f>
        <v>Từ 48 - 70 triệu VNĐ</v>
      </c>
      <c r="O372">
        <f>step3_validation[[#This Row],[Dependents]]</f>
        <v>3</v>
      </c>
      <c r="P372" t="str">
        <f>survey_responses[[#This Row],[Số người phụ thuộc (con nhỏ, cha mẹ già...) đủ điều kiện giảm trừ gia cảnh:]]</f>
        <v>3 người</v>
      </c>
      <c r="Q372">
        <f>step3_validation[[#This Row],[AI_ENF1]]</f>
        <v>8</v>
      </c>
      <c r="R372">
        <f t="shared" si="135"/>
        <v>0.77777777777777779</v>
      </c>
      <c r="S372">
        <f>survey_responses[[#This Row],[Tôi tin rằng với các quy định quản lý thuế hiện nay, hành vi gian lận hoặc trốn thuế sẽ dễ dàng bị phát hiện và xử lý nghiêm. - HUMAN-ENF1]]</f>
        <v>4</v>
      </c>
      <c r="T372">
        <f t="shared" si="136"/>
        <v>0.33333333333333331</v>
      </c>
      <c r="U372">
        <f>step3_validation[[#This Row],[AI_ENF2]]</f>
        <v>9</v>
      </c>
      <c r="V372">
        <f t="shared" si="137"/>
        <v>0.88888888888888884</v>
      </c>
      <c r="W372">
        <f>survey_responses[[#This Row],[Tôi tin rằng Nhà nước, cơ quan thuế có đủ khả năng và công nghệ để phát hiện, xử lý nghiêm các hành vi trốn thuế. - HUMAN-ENF2]]</f>
        <v>4</v>
      </c>
      <c r="X372">
        <f t="shared" si="138"/>
        <v>0.33333333333333331</v>
      </c>
      <c r="Y372" s="32">
        <f t="shared" si="139"/>
        <v>0.83333333333333326</v>
      </c>
      <c r="Z372" s="32">
        <f t="shared" si="140"/>
        <v>0.33333333333333331</v>
      </c>
      <c r="AA372">
        <f>step3_validation[[#This Row],[AI_FAC1]]</f>
        <v>8</v>
      </c>
      <c r="AB372">
        <f t="shared" si="141"/>
        <v>0.77777777777777779</v>
      </c>
      <c r="AC372">
        <f>survey_responses[[#This Row],[Các thủ tục khai báo thuế VÀ/HOẶC quy trình làm việc với cơ quan thuế đơn giản, tiện lợi, nhanh chóng hơn so với trước đây. - HUMAN-FAC1]]</f>
        <v>5</v>
      </c>
      <c r="AD372">
        <f t="shared" si="142"/>
        <v>0.44444444444444442</v>
      </c>
      <c r="AE372">
        <f>step3_validation[[#This Row],[AI_FAC2]]</f>
        <v>9</v>
      </c>
      <c r="AF372">
        <f t="shared" si="143"/>
        <v>0.88888888888888884</v>
      </c>
      <c r="AG372">
        <f>survey_responses[[#This Row],[So với trước đây, tôi thấy cách tính thuế và các bậc thuế trong phương án mới đơn giản, dễ hiểu và dễ thực hiện hơn. - HUMAN-FAC2]]</f>
        <v>5</v>
      </c>
      <c r="AH372">
        <f t="shared" si="144"/>
        <v>0.44444444444444442</v>
      </c>
      <c r="AI372" s="32">
        <f t="shared" si="145"/>
        <v>0.83333333333333326</v>
      </c>
      <c r="AJ372" s="32">
        <f t="shared" si="146"/>
        <v>0.44444444444444442</v>
      </c>
      <c r="AK372">
        <f>step3_validation[[#This Row],[AI_TRU1]]</f>
        <v>8</v>
      </c>
      <c r="AL372">
        <f t="shared" si="147"/>
        <v>0.77777777777777779</v>
      </c>
      <c r="AM372">
        <f>survey_responses[[#This Row],[Tôi tin rằng Nhà nước, cơ quan thuế sẽ thực thi chính sách mới một cách khách quan, công tâm và đối xử bình đẳng với mọi người nộp thuế.  - HUMAN-TRU1]]</f>
        <v>5</v>
      </c>
      <c r="AN372">
        <f t="shared" si="148"/>
        <v>0.44444444444444442</v>
      </c>
      <c r="AO372">
        <f>step3_validation[[#This Row],[AI_TRU2]]</f>
        <v>9</v>
      </c>
      <c r="AP372">
        <f t="shared" si="149"/>
        <v>0.88888888888888884</v>
      </c>
      <c r="AQ372">
        <f>survey_responses[[#This Row],[Tôi thấy mức thuế tôi phải đóng theo phương án mới là công bằng (người thu nhập như tôi đóng mức này là hợp lý). - HUMAN-TRU2]]</f>
        <v>4</v>
      </c>
      <c r="AR372">
        <f t="shared" si="150"/>
        <v>0.33333333333333331</v>
      </c>
      <c r="AS372">
        <f>step3_validation[[#This Row],[AI_TRU3]]</f>
        <v>8</v>
      </c>
      <c r="AT372">
        <f t="shared" si="151"/>
        <v>0.77777777777777779</v>
      </c>
      <c r="AU372">
        <f>survey_responses[[#This Row],[Tôi tin tưởng số tiền thuế tôi đóng sẽ được Nhà nước sử dụng hiệu quả để cải thiện dịch vụ công (y tế, đường xá...). - HUMAN-TRU3]]</f>
        <v>5</v>
      </c>
      <c r="AV372">
        <f t="shared" si="152"/>
        <v>0.44444444444444442</v>
      </c>
      <c r="AW372">
        <f>step3_validation[[#This Row],[AI_TRU4]]</f>
        <v>9</v>
      </c>
      <c r="AX372">
        <f t="shared" si="153"/>
        <v>0.88888888888888884</v>
      </c>
      <c r="AY372">
        <f>survey_responses[[#This Row],[Tôi thấy Nhà nước đã giải thích rõ ràng, minh bạch về lý do và mục tiêu của việc sửa đổi thuế lần này. - HUMAN-TRU4]]</f>
        <v>6</v>
      </c>
      <c r="AZ372">
        <f t="shared" si="154"/>
        <v>0.55555555555555558</v>
      </c>
      <c r="BA372" s="32">
        <f t="shared" si="155"/>
        <v>0.83333333333333326</v>
      </c>
      <c r="BB372" s="32">
        <f t="shared" si="156"/>
        <v>0.44444444444444442</v>
      </c>
      <c r="BC372" s="7">
        <f t="shared" si="157"/>
        <v>0.83333333333333337</v>
      </c>
      <c r="BD372" s="7">
        <f t="shared" si="158"/>
        <v>0.40740740740740738</v>
      </c>
      <c r="BE372">
        <f>step3_validation[[#This Row],[AI_OUT1]]</f>
        <v>10</v>
      </c>
      <c r="BF372">
        <f t="shared" si="159"/>
        <v>1</v>
      </c>
      <c r="BG372">
        <f>survey_responses[[#This Row],[Sau khi xem xét các quyền lợi và nghĩa vụ, bạn có ủng hộ và tuân thủ chính sách mới hiện nay? - HUMAN-OUT1]]</f>
        <v>5</v>
      </c>
      <c r="BH372">
        <f t="shared" si="160"/>
        <v>0.44444444444444442</v>
      </c>
      <c r="BI372" s="32">
        <f t="shared" si="161"/>
        <v>5</v>
      </c>
    </row>
    <row r="373" spans="1:61" x14ac:dyDescent="0.45">
      <c r="A373" s="30">
        <f>step3_validation[[#This Row],[Persona_ID]]</f>
        <v>372</v>
      </c>
      <c r="B373" s="31">
        <f>step3_validation[[#This Row],[Used_Seed]]</f>
        <v>12716</v>
      </c>
      <c r="C373" t="str">
        <f>step3_validation[[#This Row],[Gender]]</f>
        <v>Nữ</v>
      </c>
      <c r="D373" t="str">
        <f>survey_responses[[#This Row],[Giới tính của bạn:]]</f>
        <v>Nữ</v>
      </c>
      <c r="E373" t="str">
        <f>step3_validation[[#This Row],[Age_Group]]</f>
        <v>30 - 39</v>
      </c>
      <c r="F373" t="str">
        <f>survey_responses[[#This Row],[Độ tuổi của bạn:]]</f>
        <v>30 - 39</v>
      </c>
      <c r="G373" t="str">
        <f>step3_validation[[#This Row],[Region]]</f>
        <v>Thành thị</v>
      </c>
      <c r="H373" t="str">
        <f>survey_responses[[#This Row],[Khu vực bạn đang sinh sống:]]</f>
        <v>Thành thị</v>
      </c>
      <c r="I373" t="str">
        <f>step3_validation[[#This Row],[Education]]</f>
        <v>Đại học</v>
      </c>
      <c r="J373" t="str">
        <f>survey_responses[[#This Row],[Trình độ học vấn cao nhất:]]</f>
        <v>Đại học</v>
      </c>
      <c r="K373" t="str">
        <f>step3_validation[[#This Row],[Employment]]</f>
        <v>Chính thức</v>
      </c>
      <c r="L373" t="str">
        <f>survey_responses[[#This Row],[Tình trạng việc làm chính:]]</f>
        <v>Khu vực chính thức (Có Hợp đồng lao động, đóng BHXH)</v>
      </c>
      <c r="M373">
        <f>step3_validation[[#This Row],[Income_Mil]]</f>
        <v>32.5114094180405</v>
      </c>
      <c r="N373" t="str">
        <f>survey_responses[[#This Row],[Thu nhập bình quân tháng theo Hợp đồng lao động của bạn là bao nhiêu? (Vui lòng điền tổng thu nhập trước khi khấu trừ các loại Bảo hiểm (BHXH, BHYT, BHTN) và Thuế TNCN)]]</f>
        <v>Từ 32 - 48 triệu VNĐ</v>
      </c>
      <c r="O373">
        <f>step3_validation[[#This Row],[Dependents]]</f>
        <v>2</v>
      </c>
      <c r="P373" t="str">
        <f>survey_responses[[#This Row],[Số người phụ thuộc (con nhỏ, cha mẹ già...) đủ điều kiện giảm trừ gia cảnh:]]</f>
        <v>2 người</v>
      </c>
      <c r="Q373">
        <f>step3_validation[[#This Row],[AI_ENF1]]</f>
        <v>7</v>
      </c>
      <c r="R373">
        <f t="shared" si="135"/>
        <v>0.66666666666666663</v>
      </c>
      <c r="S373">
        <f>survey_responses[[#This Row],[Tôi tin rằng với các quy định quản lý thuế hiện nay, hành vi gian lận hoặc trốn thuế sẽ dễ dàng bị phát hiện và xử lý nghiêm. - HUMAN-ENF1]]</f>
        <v>6</v>
      </c>
      <c r="T373">
        <f t="shared" si="136"/>
        <v>0.55555555555555558</v>
      </c>
      <c r="U373">
        <f>step3_validation[[#This Row],[AI_ENF2]]</f>
        <v>8</v>
      </c>
      <c r="V373">
        <f t="shared" si="137"/>
        <v>0.77777777777777779</v>
      </c>
      <c r="W373">
        <f>survey_responses[[#This Row],[Tôi tin rằng Nhà nước, cơ quan thuế có đủ khả năng và công nghệ để phát hiện, xử lý nghiêm các hành vi trốn thuế. - HUMAN-ENF2]]</f>
        <v>6</v>
      </c>
      <c r="X373">
        <f t="shared" si="138"/>
        <v>0.55555555555555558</v>
      </c>
      <c r="Y373" s="32">
        <f t="shared" si="139"/>
        <v>0.72222222222222221</v>
      </c>
      <c r="Z373" s="32">
        <f t="shared" si="140"/>
        <v>0.55555555555555558</v>
      </c>
      <c r="AA373">
        <f>step3_validation[[#This Row],[AI_FAC1]]</f>
        <v>9</v>
      </c>
      <c r="AB373">
        <f t="shared" si="141"/>
        <v>0.88888888888888884</v>
      </c>
      <c r="AC373">
        <f>survey_responses[[#This Row],[Các thủ tục khai báo thuế VÀ/HOẶC quy trình làm việc với cơ quan thuế đơn giản, tiện lợi, nhanh chóng hơn so với trước đây. - HUMAN-FAC1]]</f>
        <v>8</v>
      </c>
      <c r="AD373">
        <f t="shared" si="142"/>
        <v>0.77777777777777779</v>
      </c>
      <c r="AE373">
        <f>step3_validation[[#This Row],[AI_FAC2]]</f>
        <v>10</v>
      </c>
      <c r="AF373">
        <f t="shared" si="143"/>
        <v>1</v>
      </c>
      <c r="AG373">
        <f>survey_responses[[#This Row],[So với trước đây, tôi thấy cách tính thuế và các bậc thuế trong phương án mới đơn giản, dễ hiểu và dễ thực hiện hơn. - HUMAN-FAC2]]</f>
        <v>8</v>
      </c>
      <c r="AH373">
        <f t="shared" si="144"/>
        <v>0.77777777777777779</v>
      </c>
      <c r="AI373" s="32">
        <f t="shared" si="145"/>
        <v>0.94444444444444442</v>
      </c>
      <c r="AJ373" s="32">
        <f t="shared" si="146"/>
        <v>0.77777777777777779</v>
      </c>
      <c r="AK373">
        <f>step3_validation[[#This Row],[AI_TRU1]]</f>
        <v>7</v>
      </c>
      <c r="AL373">
        <f t="shared" si="147"/>
        <v>0.66666666666666663</v>
      </c>
      <c r="AM373">
        <f>survey_responses[[#This Row],[Tôi tin rằng Nhà nước, cơ quan thuế sẽ thực thi chính sách mới một cách khách quan, công tâm và đối xử bình đẳng với mọi người nộp thuế.  - HUMAN-TRU1]]</f>
        <v>6</v>
      </c>
      <c r="AN373">
        <f t="shared" si="148"/>
        <v>0.55555555555555558</v>
      </c>
      <c r="AO373">
        <f>step3_validation[[#This Row],[AI_TRU2]]</f>
        <v>9</v>
      </c>
      <c r="AP373">
        <f t="shared" si="149"/>
        <v>0.88888888888888884</v>
      </c>
      <c r="AQ373">
        <f>survey_responses[[#This Row],[Tôi thấy mức thuế tôi phải đóng theo phương án mới là công bằng (người thu nhập như tôi đóng mức này là hợp lý). - HUMAN-TRU2]]</f>
        <v>7</v>
      </c>
      <c r="AR373">
        <f t="shared" si="150"/>
        <v>0.66666666666666663</v>
      </c>
      <c r="AS373">
        <f>step3_validation[[#This Row],[AI_TRU3]]</f>
        <v>6</v>
      </c>
      <c r="AT373">
        <f t="shared" si="151"/>
        <v>0.55555555555555558</v>
      </c>
      <c r="AU373">
        <f>survey_responses[[#This Row],[Tôi tin tưởng số tiền thuế tôi đóng sẽ được Nhà nước sử dụng hiệu quả để cải thiện dịch vụ công (y tế, đường xá...). - HUMAN-TRU3]]</f>
        <v>5</v>
      </c>
      <c r="AV373">
        <f t="shared" si="152"/>
        <v>0.44444444444444442</v>
      </c>
      <c r="AW373">
        <f>step3_validation[[#This Row],[AI_TRU4]]</f>
        <v>8</v>
      </c>
      <c r="AX373">
        <f t="shared" si="153"/>
        <v>0.77777777777777779</v>
      </c>
      <c r="AY373">
        <f>survey_responses[[#This Row],[Tôi thấy Nhà nước đã giải thích rõ ràng, minh bạch về lý do và mục tiêu của việc sửa đổi thuế lần này. - HUMAN-TRU4]]</f>
        <v>6</v>
      </c>
      <c r="AZ373">
        <f t="shared" si="154"/>
        <v>0.55555555555555558</v>
      </c>
      <c r="BA373" s="32">
        <f t="shared" si="155"/>
        <v>0.7222222222222221</v>
      </c>
      <c r="BB373" s="32">
        <f t="shared" si="156"/>
        <v>0.55555555555555558</v>
      </c>
      <c r="BC373" s="7">
        <f t="shared" si="157"/>
        <v>0.79629629629629617</v>
      </c>
      <c r="BD373" s="7">
        <f t="shared" si="158"/>
        <v>0.62962962962962965</v>
      </c>
      <c r="BE373">
        <f>step3_validation[[#This Row],[AI_OUT1]]</f>
        <v>9</v>
      </c>
      <c r="BF373">
        <f t="shared" si="159"/>
        <v>0.88888888888888884</v>
      </c>
      <c r="BG373">
        <f>survey_responses[[#This Row],[Sau khi xem xét các quyền lợi và nghĩa vụ, bạn có ủng hộ và tuân thủ chính sách mới hiện nay? - HUMAN-OUT1]]</f>
        <v>6</v>
      </c>
      <c r="BH373">
        <f t="shared" si="160"/>
        <v>0.55555555555555558</v>
      </c>
      <c r="BI373" s="32">
        <f t="shared" si="161"/>
        <v>3</v>
      </c>
    </row>
    <row r="374" spans="1:61" x14ac:dyDescent="0.45">
      <c r="A374" s="30">
        <f>step3_validation[[#This Row],[Persona_ID]]</f>
        <v>373</v>
      </c>
      <c r="B374" s="31">
        <f>step3_validation[[#This Row],[Used_Seed]]</f>
        <v>12717</v>
      </c>
      <c r="C374" t="str">
        <f>step3_validation[[#This Row],[Gender]]</f>
        <v>Nữ</v>
      </c>
      <c r="D374" t="str">
        <f>survey_responses[[#This Row],[Giới tính của bạn:]]</f>
        <v>Nữ</v>
      </c>
      <c r="E374" t="str">
        <f>step3_validation[[#This Row],[Age_Group]]</f>
        <v>30 - 39</v>
      </c>
      <c r="F374" t="str">
        <f>survey_responses[[#This Row],[Độ tuổi của bạn:]]</f>
        <v>30 - 39</v>
      </c>
      <c r="G374" t="str">
        <f>step3_validation[[#This Row],[Region]]</f>
        <v>Thành thị</v>
      </c>
      <c r="H374" t="str">
        <f>survey_responses[[#This Row],[Khu vực bạn đang sinh sống:]]</f>
        <v>Thành thị</v>
      </c>
      <c r="I374" t="str">
        <f>step3_validation[[#This Row],[Education]]</f>
        <v>Đại học</v>
      </c>
      <c r="J374" t="str">
        <f>survey_responses[[#This Row],[Trình độ học vấn cao nhất:]]</f>
        <v>Đại học</v>
      </c>
      <c r="K374" t="str">
        <f>step3_validation[[#This Row],[Employment]]</f>
        <v>Chính thức</v>
      </c>
      <c r="L374" t="str">
        <f>survey_responses[[#This Row],[Tình trạng việc làm chính:]]</f>
        <v>Khu vực chính thức (Có Hợp đồng lao động, đóng BHXH)</v>
      </c>
      <c r="M374">
        <f>step3_validation[[#This Row],[Income_Mil]]</f>
        <v>74.379603978091083</v>
      </c>
      <c r="N374" t="str">
        <f>survey_responses[[#This Row],[Thu nhập bình quân tháng theo Hợp đồng lao động của bạn là bao nhiêu? (Vui lòng điền tổng thu nhập trước khi khấu trừ các loại Bảo hiểm (BHXH, BHYT, BHTN) và Thuế TNCN)]]</f>
        <v>Từ 70 - 102 triệu VNĐ</v>
      </c>
      <c r="O374">
        <f>step3_validation[[#This Row],[Dependents]]</f>
        <v>2</v>
      </c>
      <c r="P374" t="str">
        <f>survey_responses[[#This Row],[Số người phụ thuộc (con nhỏ, cha mẹ già...) đủ điều kiện giảm trừ gia cảnh:]]</f>
        <v>2 người</v>
      </c>
      <c r="Q374">
        <f>step3_validation[[#This Row],[AI_ENF1]]</f>
        <v>7</v>
      </c>
      <c r="R374">
        <f t="shared" si="135"/>
        <v>0.66666666666666663</v>
      </c>
      <c r="S374">
        <f>survey_responses[[#This Row],[Tôi tin rằng với các quy định quản lý thuế hiện nay, hành vi gian lận hoặc trốn thuế sẽ dễ dàng bị phát hiện và xử lý nghiêm. - HUMAN-ENF1]]</f>
        <v>8</v>
      </c>
      <c r="T374">
        <f t="shared" si="136"/>
        <v>0.77777777777777779</v>
      </c>
      <c r="U374">
        <f>step3_validation[[#This Row],[AI_ENF2]]</f>
        <v>8</v>
      </c>
      <c r="V374">
        <f t="shared" si="137"/>
        <v>0.77777777777777779</v>
      </c>
      <c r="W374">
        <f>survey_responses[[#This Row],[Tôi tin rằng Nhà nước, cơ quan thuế có đủ khả năng và công nghệ để phát hiện, xử lý nghiêm các hành vi trốn thuế. - HUMAN-ENF2]]</f>
        <v>8</v>
      </c>
      <c r="X374">
        <f t="shared" si="138"/>
        <v>0.77777777777777779</v>
      </c>
      <c r="Y374" s="32">
        <f t="shared" si="139"/>
        <v>0.72222222222222221</v>
      </c>
      <c r="Z374" s="32">
        <f t="shared" si="140"/>
        <v>0.77777777777777779</v>
      </c>
      <c r="AA374">
        <f>step3_validation[[#This Row],[AI_FAC1]]</f>
        <v>9</v>
      </c>
      <c r="AB374">
        <f t="shared" si="141"/>
        <v>0.88888888888888884</v>
      </c>
      <c r="AC374">
        <f>survey_responses[[#This Row],[Các thủ tục khai báo thuế VÀ/HOẶC quy trình làm việc với cơ quan thuế đơn giản, tiện lợi, nhanh chóng hơn so với trước đây. - HUMAN-FAC1]]</f>
        <v>9</v>
      </c>
      <c r="AD374">
        <f t="shared" si="142"/>
        <v>0.88888888888888884</v>
      </c>
      <c r="AE374">
        <f>step3_validation[[#This Row],[AI_FAC2]]</f>
        <v>8</v>
      </c>
      <c r="AF374">
        <f t="shared" si="143"/>
        <v>0.77777777777777779</v>
      </c>
      <c r="AG374">
        <f>survey_responses[[#This Row],[So với trước đây, tôi thấy cách tính thuế và các bậc thuế trong phương án mới đơn giản, dễ hiểu và dễ thực hiện hơn. - HUMAN-FAC2]]</f>
        <v>9</v>
      </c>
      <c r="AH374">
        <f t="shared" si="144"/>
        <v>0.88888888888888884</v>
      </c>
      <c r="AI374" s="32">
        <f t="shared" si="145"/>
        <v>0.83333333333333326</v>
      </c>
      <c r="AJ374" s="32">
        <f t="shared" si="146"/>
        <v>0.88888888888888884</v>
      </c>
      <c r="AK374">
        <f>step3_validation[[#This Row],[AI_TRU1]]</f>
        <v>0</v>
      </c>
      <c r="AL374">
        <f t="shared" si="147"/>
        <v>-0.1111111111111111</v>
      </c>
      <c r="AM374">
        <f>survey_responses[[#This Row],[Tôi tin rằng Nhà nước, cơ quan thuế sẽ thực thi chính sách mới một cách khách quan, công tâm và đối xử bình đẳng với mọi người nộp thuế.  - HUMAN-TRU1]]</f>
        <v>5</v>
      </c>
      <c r="AN374">
        <f t="shared" si="148"/>
        <v>0.44444444444444442</v>
      </c>
      <c r="AO374">
        <f>step3_validation[[#This Row],[AI_TRU2]]</f>
        <v>0</v>
      </c>
      <c r="AP374">
        <f t="shared" si="149"/>
        <v>-0.1111111111111111</v>
      </c>
      <c r="AQ374">
        <f>survey_responses[[#This Row],[Tôi thấy mức thuế tôi phải đóng theo phương án mới là công bằng (người thu nhập như tôi đóng mức này là hợp lý). - HUMAN-TRU2]]</f>
        <v>5</v>
      </c>
      <c r="AR374">
        <f t="shared" si="150"/>
        <v>0.44444444444444442</v>
      </c>
      <c r="AS374">
        <f>step3_validation[[#This Row],[AI_TRU3]]</f>
        <v>0</v>
      </c>
      <c r="AT374">
        <f t="shared" si="151"/>
        <v>-0.1111111111111111</v>
      </c>
      <c r="AU374">
        <f>survey_responses[[#This Row],[Tôi tin tưởng số tiền thuế tôi đóng sẽ được Nhà nước sử dụng hiệu quả để cải thiện dịch vụ công (y tế, đường xá...). - HUMAN-TRU3]]</f>
        <v>5</v>
      </c>
      <c r="AV374">
        <f t="shared" si="152"/>
        <v>0.44444444444444442</v>
      </c>
      <c r="AW374">
        <f>step3_validation[[#This Row],[AI_TRU4]]</f>
        <v>0</v>
      </c>
      <c r="AX374">
        <f t="shared" si="153"/>
        <v>-0.1111111111111111</v>
      </c>
      <c r="AY374">
        <f>survey_responses[[#This Row],[Tôi thấy Nhà nước đã giải thích rõ ràng, minh bạch về lý do và mục tiêu của việc sửa đổi thuế lần này. - HUMAN-TRU4]]</f>
        <v>6</v>
      </c>
      <c r="AZ374">
        <f t="shared" si="154"/>
        <v>0.55555555555555558</v>
      </c>
      <c r="BA374" s="32">
        <f t="shared" si="155"/>
        <v>-0.1111111111111111</v>
      </c>
      <c r="BB374" s="32">
        <f t="shared" si="156"/>
        <v>0.47222222222222221</v>
      </c>
      <c r="BC374" s="7">
        <f t="shared" si="157"/>
        <v>0.4814814814814814</v>
      </c>
      <c r="BD374" s="7">
        <f t="shared" si="158"/>
        <v>0.71296296296296291</v>
      </c>
      <c r="BE374">
        <f>step3_validation[[#This Row],[AI_OUT1]]</f>
        <v>0</v>
      </c>
      <c r="BF374">
        <f t="shared" si="159"/>
        <v>-0.1111111111111111</v>
      </c>
      <c r="BG374">
        <f>survey_responses[[#This Row],[Sau khi xem xét các quyền lợi và nghĩa vụ, bạn có ủng hộ và tuân thủ chính sách mới hiện nay? - HUMAN-OUT1]]</f>
        <v>5</v>
      </c>
      <c r="BH374">
        <f t="shared" si="160"/>
        <v>0.44444444444444442</v>
      </c>
      <c r="BI374" s="32">
        <f t="shared" si="161"/>
        <v>5</v>
      </c>
    </row>
    <row r="375" spans="1:61" x14ac:dyDescent="0.45">
      <c r="A375" s="30">
        <f>step3_validation[[#This Row],[Persona_ID]]</f>
        <v>374</v>
      </c>
      <c r="B375" s="31">
        <f>step3_validation[[#This Row],[Used_Seed]]</f>
        <v>12718</v>
      </c>
      <c r="C375" t="str">
        <f>step3_validation[[#This Row],[Gender]]</f>
        <v>Nữ</v>
      </c>
      <c r="D375" t="str">
        <f>survey_responses[[#This Row],[Giới tính của bạn:]]</f>
        <v>Nữ</v>
      </c>
      <c r="E375" t="str">
        <f>step3_validation[[#This Row],[Age_Group]]</f>
        <v>30 - 39</v>
      </c>
      <c r="F375" t="str">
        <f>survey_responses[[#This Row],[Độ tuổi của bạn:]]</f>
        <v>30 - 39</v>
      </c>
      <c r="G375" t="str">
        <f>step3_validation[[#This Row],[Region]]</f>
        <v>Thành thị</v>
      </c>
      <c r="H375" t="str">
        <f>survey_responses[[#This Row],[Khu vực bạn đang sinh sống:]]</f>
        <v>Thành thị</v>
      </c>
      <c r="I375" t="str">
        <f>step3_validation[[#This Row],[Education]]</f>
        <v>Đại học</v>
      </c>
      <c r="J375" t="str">
        <f>survey_responses[[#This Row],[Trình độ học vấn cao nhất:]]</f>
        <v>Đại học</v>
      </c>
      <c r="K375" t="str">
        <f>step3_validation[[#This Row],[Employment]]</f>
        <v>Chính thức</v>
      </c>
      <c r="L375" t="str">
        <f>survey_responses[[#This Row],[Tình trạng việc làm chính:]]</f>
        <v>Khu vực chính thức (Có Hợp đồng lao động, đóng BHXH)</v>
      </c>
      <c r="M375">
        <f>step3_validation[[#This Row],[Income_Mil]]</f>
        <v>32.601505194681039</v>
      </c>
      <c r="N375" t="str">
        <f>survey_responses[[#This Row],[Thu nhập bình quân tháng theo Hợp đồng lao động của bạn là bao nhiêu? (Vui lòng điền tổng thu nhập trước khi khấu trừ các loại Bảo hiểm (BHXH, BHYT, BHTN) và Thuế TNCN)]]</f>
        <v>Từ 32 - 48 triệu VNĐ</v>
      </c>
      <c r="O375">
        <f>step3_validation[[#This Row],[Dependents]]</f>
        <v>1</v>
      </c>
      <c r="P375" t="str">
        <f>survey_responses[[#This Row],[Số người phụ thuộc (con nhỏ, cha mẹ già...) đủ điều kiện giảm trừ gia cảnh:]]</f>
        <v>1 người</v>
      </c>
      <c r="Q375">
        <f>step3_validation[[#This Row],[AI_ENF1]]</f>
        <v>8</v>
      </c>
      <c r="R375">
        <f t="shared" si="135"/>
        <v>0.77777777777777779</v>
      </c>
      <c r="S375">
        <f>survey_responses[[#This Row],[Tôi tin rằng với các quy định quản lý thuế hiện nay, hành vi gian lận hoặc trốn thuế sẽ dễ dàng bị phát hiện và xử lý nghiêm. - HUMAN-ENF1]]</f>
        <v>6</v>
      </c>
      <c r="T375">
        <f t="shared" si="136"/>
        <v>0.55555555555555558</v>
      </c>
      <c r="U375">
        <f>step3_validation[[#This Row],[AI_ENF2]]</f>
        <v>7</v>
      </c>
      <c r="V375">
        <f t="shared" si="137"/>
        <v>0.66666666666666663</v>
      </c>
      <c r="W375">
        <f>survey_responses[[#This Row],[Tôi tin rằng Nhà nước, cơ quan thuế có đủ khả năng và công nghệ để phát hiện, xử lý nghiêm các hành vi trốn thuế. - HUMAN-ENF2]]</f>
        <v>6</v>
      </c>
      <c r="X375">
        <f t="shared" si="138"/>
        <v>0.55555555555555558</v>
      </c>
      <c r="Y375" s="32">
        <f t="shared" si="139"/>
        <v>0.72222222222222221</v>
      </c>
      <c r="Z375" s="32">
        <f t="shared" si="140"/>
        <v>0.55555555555555558</v>
      </c>
      <c r="AA375">
        <f>step3_validation[[#This Row],[AI_FAC1]]</f>
        <v>6</v>
      </c>
      <c r="AB375">
        <f t="shared" si="141"/>
        <v>0.55555555555555558</v>
      </c>
      <c r="AC375">
        <f>survey_responses[[#This Row],[Các thủ tục khai báo thuế VÀ/HOẶC quy trình làm việc với cơ quan thuế đơn giản, tiện lợi, nhanh chóng hơn so với trước đây. - HUMAN-FAC1]]</f>
        <v>7</v>
      </c>
      <c r="AD375">
        <f t="shared" si="142"/>
        <v>0.66666666666666663</v>
      </c>
      <c r="AE375">
        <f>step3_validation[[#This Row],[AI_FAC2]]</f>
        <v>8</v>
      </c>
      <c r="AF375">
        <f t="shared" si="143"/>
        <v>0.77777777777777779</v>
      </c>
      <c r="AG375">
        <f>survey_responses[[#This Row],[So với trước đây, tôi thấy cách tính thuế và các bậc thuế trong phương án mới đơn giản, dễ hiểu và dễ thực hiện hơn. - HUMAN-FAC2]]</f>
        <v>7</v>
      </c>
      <c r="AH375">
        <f t="shared" si="144"/>
        <v>0.66666666666666663</v>
      </c>
      <c r="AI375" s="32">
        <f t="shared" si="145"/>
        <v>0.66666666666666674</v>
      </c>
      <c r="AJ375" s="32">
        <f t="shared" si="146"/>
        <v>0.66666666666666663</v>
      </c>
      <c r="AK375">
        <f>step3_validation[[#This Row],[AI_TRU1]]</f>
        <v>9</v>
      </c>
      <c r="AL375">
        <f t="shared" si="147"/>
        <v>0.88888888888888884</v>
      </c>
      <c r="AM375">
        <f>survey_responses[[#This Row],[Tôi tin rằng Nhà nước, cơ quan thuế sẽ thực thi chính sách mới một cách khách quan, công tâm và đối xử bình đẳng với mọi người nộp thuế.  - HUMAN-TRU1]]</f>
        <v>6</v>
      </c>
      <c r="AN375">
        <f t="shared" si="148"/>
        <v>0.55555555555555558</v>
      </c>
      <c r="AO375">
        <f>step3_validation[[#This Row],[AI_TRU2]]</f>
        <v>9</v>
      </c>
      <c r="AP375">
        <f t="shared" si="149"/>
        <v>0.88888888888888884</v>
      </c>
      <c r="AQ375">
        <f>survey_responses[[#This Row],[Tôi thấy mức thuế tôi phải đóng theo phương án mới là công bằng (người thu nhập như tôi đóng mức này là hợp lý). - HUMAN-TRU2]]</f>
        <v>6</v>
      </c>
      <c r="AR375">
        <f t="shared" si="150"/>
        <v>0.55555555555555558</v>
      </c>
      <c r="AS375">
        <f>step3_validation[[#This Row],[AI_TRU3]]</f>
        <v>8</v>
      </c>
      <c r="AT375">
        <f t="shared" si="151"/>
        <v>0.77777777777777779</v>
      </c>
      <c r="AU375">
        <f>survey_responses[[#This Row],[Tôi tin tưởng số tiền thuế tôi đóng sẽ được Nhà nước sử dụng hiệu quả để cải thiện dịch vụ công (y tế, đường xá...). - HUMAN-TRU3]]</f>
        <v>6</v>
      </c>
      <c r="AV375">
        <f t="shared" si="152"/>
        <v>0.55555555555555558</v>
      </c>
      <c r="AW375">
        <f>step3_validation[[#This Row],[AI_TRU4]]</f>
        <v>9</v>
      </c>
      <c r="AX375">
        <f t="shared" si="153"/>
        <v>0.88888888888888884</v>
      </c>
      <c r="AY375">
        <f>survey_responses[[#This Row],[Tôi thấy Nhà nước đã giải thích rõ ràng, minh bạch về lý do và mục tiêu của việc sửa đổi thuế lần này. - HUMAN-TRU4]]</f>
        <v>6</v>
      </c>
      <c r="AZ375">
        <f t="shared" si="154"/>
        <v>0.55555555555555558</v>
      </c>
      <c r="BA375" s="32">
        <f t="shared" si="155"/>
        <v>0.86111111111111105</v>
      </c>
      <c r="BB375" s="32">
        <f t="shared" si="156"/>
        <v>0.55555555555555558</v>
      </c>
      <c r="BC375" s="7">
        <f t="shared" si="157"/>
        <v>0.75</v>
      </c>
      <c r="BD375" s="7">
        <f t="shared" si="158"/>
        <v>0.59259259259259267</v>
      </c>
      <c r="BE375">
        <f>step3_validation[[#This Row],[AI_OUT1]]</f>
        <v>9</v>
      </c>
      <c r="BF375">
        <f t="shared" si="159"/>
        <v>0.88888888888888884</v>
      </c>
      <c r="BG375">
        <f>survey_responses[[#This Row],[Sau khi xem xét các quyền lợi và nghĩa vụ, bạn có ủng hộ và tuân thủ chính sách mới hiện nay? - HUMAN-OUT1]]</f>
        <v>6</v>
      </c>
      <c r="BH375">
        <f t="shared" si="160"/>
        <v>0.55555555555555558</v>
      </c>
      <c r="BI375" s="32">
        <f t="shared" si="161"/>
        <v>3</v>
      </c>
    </row>
    <row r="376" spans="1:61" x14ac:dyDescent="0.45">
      <c r="A376" s="30">
        <f>step3_validation[[#This Row],[Persona_ID]]</f>
        <v>375</v>
      </c>
      <c r="B376" s="31">
        <f>step3_validation[[#This Row],[Used_Seed]]</f>
        <v>12719</v>
      </c>
      <c r="C376" t="str">
        <f>step3_validation[[#This Row],[Gender]]</f>
        <v>Nữ</v>
      </c>
      <c r="D376" t="str">
        <f>survey_responses[[#This Row],[Giới tính của bạn:]]</f>
        <v>Nữ</v>
      </c>
      <c r="E376" t="str">
        <f>step3_validation[[#This Row],[Age_Group]]</f>
        <v>30 - 39</v>
      </c>
      <c r="F376" t="str">
        <f>survey_responses[[#This Row],[Độ tuổi của bạn:]]</f>
        <v>30 - 39</v>
      </c>
      <c r="G376" t="str">
        <f>step3_validation[[#This Row],[Region]]</f>
        <v>Thành thị</v>
      </c>
      <c r="H376" t="str">
        <f>survey_responses[[#This Row],[Khu vực bạn đang sinh sống:]]</f>
        <v>Thành thị</v>
      </c>
      <c r="I376" t="str">
        <f>step3_validation[[#This Row],[Education]]</f>
        <v>Đại học</v>
      </c>
      <c r="J376" t="str">
        <f>survey_responses[[#This Row],[Trình độ học vấn cao nhất:]]</f>
        <v>Đại học</v>
      </c>
      <c r="K376" t="str">
        <f>step3_validation[[#This Row],[Employment]]</f>
        <v>Chính thức</v>
      </c>
      <c r="L376" t="str">
        <f>survey_responses[[#This Row],[Tình trạng việc làm chính:]]</f>
        <v>Khu vực chính thức (Có Hợp đồng lao động, đóng BHXH)</v>
      </c>
      <c r="M376">
        <f>step3_validation[[#This Row],[Income_Mil]]</f>
        <v>59.657926275255136</v>
      </c>
      <c r="N376" t="str">
        <f>survey_responses[[#This Row],[Thu nhập bình quân tháng theo Hợp đồng lao động của bạn là bao nhiêu? (Vui lòng điền tổng thu nhập trước khi khấu trừ các loại Bảo hiểm (BHXH, BHYT, BHTN) và Thuế TNCN)]]</f>
        <v>Từ 48 - 70 triệu VNĐ</v>
      </c>
      <c r="O376">
        <f>step3_validation[[#This Row],[Dependents]]</f>
        <v>1</v>
      </c>
      <c r="P376" t="str">
        <f>survey_responses[[#This Row],[Số người phụ thuộc (con nhỏ, cha mẹ già...) đủ điều kiện giảm trừ gia cảnh:]]</f>
        <v>1 người</v>
      </c>
      <c r="Q376">
        <f>step3_validation[[#This Row],[AI_ENF1]]</f>
        <v>8</v>
      </c>
      <c r="R376">
        <f t="shared" si="135"/>
        <v>0.77777777777777779</v>
      </c>
      <c r="S376">
        <f>survey_responses[[#This Row],[Tôi tin rằng với các quy định quản lý thuế hiện nay, hành vi gian lận hoặc trốn thuế sẽ dễ dàng bị phát hiện và xử lý nghiêm. - HUMAN-ENF1]]</f>
        <v>8</v>
      </c>
      <c r="T376">
        <f t="shared" si="136"/>
        <v>0.77777777777777779</v>
      </c>
      <c r="U376">
        <f>step3_validation[[#This Row],[AI_ENF2]]</f>
        <v>9</v>
      </c>
      <c r="V376">
        <f t="shared" si="137"/>
        <v>0.88888888888888884</v>
      </c>
      <c r="W376">
        <f>survey_responses[[#This Row],[Tôi tin rằng Nhà nước, cơ quan thuế có đủ khả năng và công nghệ để phát hiện, xử lý nghiêm các hành vi trốn thuế. - HUMAN-ENF2]]</f>
        <v>8</v>
      </c>
      <c r="X376">
        <f t="shared" si="138"/>
        <v>0.77777777777777779</v>
      </c>
      <c r="Y376" s="32">
        <f t="shared" si="139"/>
        <v>0.83333333333333326</v>
      </c>
      <c r="Z376" s="32">
        <f t="shared" si="140"/>
        <v>0.77777777777777779</v>
      </c>
      <c r="AA376">
        <f>step3_validation[[#This Row],[AI_FAC1]]</f>
        <v>8</v>
      </c>
      <c r="AB376">
        <f t="shared" si="141"/>
        <v>0.77777777777777779</v>
      </c>
      <c r="AC376">
        <f>survey_responses[[#This Row],[Các thủ tục khai báo thuế VÀ/HOẶC quy trình làm việc với cơ quan thuế đơn giản, tiện lợi, nhanh chóng hơn so với trước đây. - HUMAN-FAC1]]</f>
        <v>8</v>
      </c>
      <c r="AD376">
        <f t="shared" si="142"/>
        <v>0.77777777777777779</v>
      </c>
      <c r="AE376">
        <f>step3_validation[[#This Row],[AI_FAC2]]</f>
        <v>9</v>
      </c>
      <c r="AF376">
        <f t="shared" si="143"/>
        <v>0.88888888888888884</v>
      </c>
      <c r="AG376">
        <f>survey_responses[[#This Row],[So với trước đây, tôi thấy cách tính thuế và các bậc thuế trong phương án mới đơn giản, dễ hiểu và dễ thực hiện hơn. - HUMAN-FAC2]]</f>
        <v>8</v>
      </c>
      <c r="AH376">
        <f t="shared" si="144"/>
        <v>0.77777777777777779</v>
      </c>
      <c r="AI376" s="32">
        <f t="shared" si="145"/>
        <v>0.83333333333333326</v>
      </c>
      <c r="AJ376" s="32">
        <f t="shared" si="146"/>
        <v>0.77777777777777779</v>
      </c>
      <c r="AK376">
        <f>step3_validation[[#This Row],[AI_TRU1]]</f>
        <v>7</v>
      </c>
      <c r="AL376">
        <f t="shared" si="147"/>
        <v>0.66666666666666663</v>
      </c>
      <c r="AM376">
        <f>survey_responses[[#This Row],[Tôi tin rằng Nhà nước, cơ quan thuế sẽ thực thi chính sách mới một cách khách quan, công tâm và đối xử bình đẳng với mọi người nộp thuế.  - HUMAN-TRU1]]</f>
        <v>7</v>
      </c>
      <c r="AN376">
        <f t="shared" si="148"/>
        <v>0.66666666666666663</v>
      </c>
      <c r="AO376">
        <f>step3_validation[[#This Row],[AI_TRU2]]</f>
        <v>9</v>
      </c>
      <c r="AP376">
        <f t="shared" si="149"/>
        <v>0.88888888888888884</v>
      </c>
      <c r="AQ376">
        <f>survey_responses[[#This Row],[Tôi thấy mức thuế tôi phải đóng theo phương án mới là công bằng (người thu nhập như tôi đóng mức này là hợp lý). - HUMAN-TRU2]]</f>
        <v>6</v>
      </c>
      <c r="AR376">
        <f t="shared" si="150"/>
        <v>0.55555555555555558</v>
      </c>
      <c r="AS376">
        <f>step3_validation[[#This Row],[AI_TRU3]]</f>
        <v>8</v>
      </c>
      <c r="AT376">
        <f t="shared" si="151"/>
        <v>0.77777777777777779</v>
      </c>
      <c r="AU376">
        <f>survey_responses[[#This Row],[Tôi tin tưởng số tiền thuế tôi đóng sẽ được Nhà nước sử dụng hiệu quả để cải thiện dịch vụ công (y tế, đường xá...). - HUMAN-TRU3]]</f>
        <v>6</v>
      </c>
      <c r="AV376">
        <f t="shared" si="152"/>
        <v>0.55555555555555558</v>
      </c>
      <c r="AW376">
        <f>step3_validation[[#This Row],[AI_TRU4]]</f>
        <v>7</v>
      </c>
      <c r="AX376">
        <f t="shared" si="153"/>
        <v>0.66666666666666663</v>
      </c>
      <c r="AY376">
        <f>survey_responses[[#This Row],[Tôi thấy Nhà nước đã giải thích rõ ràng, minh bạch về lý do và mục tiêu của việc sửa đổi thuế lần này. - HUMAN-TRU4]]</f>
        <v>5</v>
      </c>
      <c r="AZ376">
        <f t="shared" si="154"/>
        <v>0.44444444444444442</v>
      </c>
      <c r="BA376" s="32">
        <f t="shared" si="155"/>
        <v>0.74999999999999989</v>
      </c>
      <c r="BB376" s="32">
        <f t="shared" si="156"/>
        <v>0.55555555555555558</v>
      </c>
      <c r="BC376" s="7">
        <f t="shared" si="157"/>
        <v>0.80555555555555547</v>
      </c>
      <c r="BD376" s="7">
        <f t="shared" si="158"/>
        <v>0.70370370370370372</v>
      </c>
      <c r="BE376">
        <f>step3_validation[[#This Row],[AI_OUT1]]</f>
        <v>9</v>
      </c>
      <c r="BF376">
        <f t="shared" si="159"/>
        <v>0.88888888888888884</v>
      </c>
      <c r="BG376">
        <f>survey_responses[[#This Row],[Sau khi xem xét các quyền lợi và nghĩa vụ, bạn có ủng hộ và tuân thủ chính sách mới hiện nay? - HUMAN-OUT1]]</f>
        <v>7</v>
      </c>
      <c r="BH376">
        <f t="shared" si="160"/>
        <v>0.66666666666666663</v>
      </c>
      <c r="BI376" s="32">
        <f t="shared" si="161"/>
        <v>2</v>
      </c>
    </row>
    <row r="377" spans="1:61" x14ac:dyDescent="0.45">
      <c r="A377" s="30">
        <f>step3_validation[[#This Row],[Persona_ID]]</f>
        <v>376</v>
      </c>
      <c r="B377" s="31">
        <f>step3_validation[[#This Row],[Used_Seed]]</f>
        <v>12720</v>
      </c>
      <c r="C377" t="str">
        <f>step3_validation[[#This Row],[Gender]]</f>
        <v>Nữ</v>
      </c>
      <c r="D377" t="str">
        <f>survey_responses[[#This Row],[Giới tính của bạn:]]</f>
        <v>Nữ</v>
      </c>
      <c r="E377" t="str">
        <f>step3_validation[[#This Row],[Age_Group]]</f>
        <v>25 - 29</v>
      </c>
      <c r="F377" t="str">
        <f>survey_responses[[#This Row],[Độ tuổi của bạn:]]</f>
        <v>25 - 29</v>
      </c>
      <c r="G377" t="str">
        <f>step3_validation[[#This Row],[Region]]</f>
        <v>Thành thị</v>
      </c>
      <c r="H377" t="str">
        <f>survey_responses[[#This Row],[Khu vực bạn đang sinh sống:]]</f>
        <v>Thành thị</v>
      </c>
      <c r="I377" t="str">
        <f>step3_validation[[#This Row],[Education]]</f>
        <v>Đại học</v>
      </c>
      <c r="J377" t="str">
        <f>survey_responses[[#This Row],[Trình độ học vấn cao nhất:]]</f>
        <v>Đại học</v>
      </c>
      <c r="K377" t="str">
        <f>step3_validation[[#This Row],[Employment]]</f>
        <v>Chính thức</v>
      </c>
      <c r="L377" t="str">
        <f>survey_responses[[#This Row],[Tình trạng việc làm chính:]]</f>
        <v>Khu vực chính thức (Có Hợp đồng lao động, đóng BHXH)</v>
      </c>
      <c r="M377">
        <f>step3_validation[[#This Row],[Income_Mil]]</f>
        <v>18.785665330489277</v>
      </c>
      <c r="N377" t="str">
        <f>survey_responses[[#This Row],[Thu nhập bình quân tháng theo Hợp đồng lao động của bạn là bao nhiêu? (Vui lòng điền tổng thu nhập trước khi khấu trừ các loại Bảo hiểm (BHXH, BHYT, BHTN) và Thuế TNCN)]]</f>
        <v>Từ 18 - 23 triệu VNĐ</v>
      </c>
      <c r="O377">
        <f>step3_validation[[#This Row],[Dependents]]</f>
        <v>0</v>
      </c>
      <c r="P377" t="str">
        <f>survey_responses[[#This Row],[Số người phụ thuộc (con nhỏ, cha mẹ già...) đủ điều kiện giảm trừ gia cảnh:]]</f>
        <v>0 người</v>
      </c>
      <c r="Q377">
        <f>step3_validation[[#This Row],[AI_ENF1]]</f>
        <v>8</v>
      </c>
      <c r="R377">
        <f t="shared" si="135"/>
        <v>0.77777777777777779</v>
      </c>
      <c r="S377">
        <f>survey_responses[[#This Row],[Tôi tin rằng với các quy định quản lý thuế hiện nay, hành vi gian lận hoặc trốn thuế sẽ dễ dàng bị phát hiện và xử lý nghiêm. - HUMAN-ENF1]]</f>
        <v>6</v>
      </c>
      <c r="T377">
        <f t="shared" si="136"/>
        <v>0.55555555555555558</v>
      </c>
      <c r="U377">
        <f>step3_validation[[#This Row],[AI_ENF2]]</f>
        <v>7</v>
      </c>
      <c r="V377">
        <f t="shared" si="137"/>
        <v>0.66666666666666663</v>
      </c>
      <c r="W377">
        <f>survey_responses[[#This Row],[Tôi tin rằng Nhà nước, cơ quan thuế có đủ khả năng và công nghệ để phát hiện, xử lý nghiêm các hành vi trốn thuế. - HUMAN-ENF2]]</f>
        <v>6</v>
      </c>
      <c r="X377">
        <f t="shared" si="138"/>
        <v>0.55555555555555558</v>
      </c>
      <c r="Y377" s="32">
        <f t="shared" si="139"/>
        <v>0.72222222222222221</v>
      </c>
      <c r="Z377" s="32">
        <f t="shared" si="140"/>
        <v>0.55555555555555558</v>
      </c>
      <c r="AA377">
        <f>step3_validation[[#This Row],[AI_FAC1]]</f>
        <v>9</v>
      </c>
      <c r="AB377">
        <f t="shared" si="141"/>
        <v>0.88888888888888884</v>
      </c>
      <c r="AC377">
        <f>survey_responses[[#This Row],[Các thủ tục khai báo thuế VÀ/HOẶC quy trình làm việc với cơ quan thuế đơn giản, tiện lợi, nhanh chóng hơn so với trước đây. - HUMAN-FAC1]]</f>
        <v>5</v>
      </c>
      <c r="AD377">
        <f t="shared" si="142"/>
        <v>0.44444444444444442</v>
      </c>
      <c r="AE377">
        <f>step3_validation[[#This Row],[AI_FAC2]]</f>
        <v>9</v>
      </c>
      <c r="AF377">
        <f t="shared" si="143"/>
        <v>0.88888888888888884</v>
      </c>
      <c r="AG377">
        <f>survey_responses[[#This Row],[So với trước đây, tôi thấy cách tính thuế và các bậc thuế trong phương án mới đơn giản, dễ hiểu và dễ thực hiện hơn. - HUMAN-FAC2]]</f>
        <v>7</v>
      </c>
      <c r="AH377">
        <f t="shared" si="144"/>
        <v>0.66666666666666663</v>
      </c>
      <c r="AI377" s="32">
        <f t="shared" si="145"/>
        <v>0.88888888888888884</v>
      </c>
      <c r="AJ377" s="32">
        <f t="shared" si="146"/>
        <v>0.55555555555555558</v>
      </c>
      <c r="AK377">
        <f>step3_validation[[#This Row],[AI_TRU1]]</f>
        <v>7</v>
      </c>
      <c r="AL377">
        <f t="shared" si="147"/>
        <v>0.66666666666666663</v>
      </c>
      <c r="AM377">
        <f>survey_responses[[#This Row],[Tôi tin rằng Nhà nước, cơ quan thuế sẽ thực thi chính sách mới một cách khách quan, công tâm và đối xử bình đẳng với mọi người nộp thuế.  - HUMAN-TRU1]]</f>
        <v>6</v>
      </c>
      <c r="AN377">
        <f t="shared" si="148"/>
        <v>0.55555555555555558</v>
      </c>
      <c r="AO377">
        <f>step3_validation[[#This Row],[AI_TRU2]]</f>
        <v>8</v>
      </c>
      <c r="AP377">
        <f t="shared" si="149"/>
        <v>0.77777777777777779</v>
      </c>
      <c r="AQ377">
        <f>survey_responses[[#This Row],[Tôi thấy mức thuế tôi phải đóng theo phương án mới là công bằng (người thu nhập như tôi đóng mức này là hợp lý). - HUMAN-TRU2]]</f>
        <v>7</v>
      </c>
      <c r="AR377">
        <f t="shared" si="150"/>
        <v>0.66666666666666663</v>
      </c>
      <c r="AS377">
        <f>step3_validation[[#This Row],[AI_TRU3]]</f>
        <v>7</v>
      </c>
      <c r="AT377">
        <f t="shared" si="151"/>
        <v>0.66666666666666663</v>
      </c>
      <c r="AU377">
        <f>survey_responses[[#This Row],[Tôi tin tưởng số tiền thuế tôi đóng sẽ được Nhà nước sử dụng hiệu quả để cải thiện dịch vụ công (y tế, đường xá...). - HUMAN-TRU3]]</f>
        <v>5</v>
      </c>
      <c r="AV377">
        <f t="shared" si="152"/>
        <v>0.44444444444444442</v>
      </c>
      <c r="AW377">
        <f>step3_validation[[#This Row],[AI_TRU4]]</f>
        <v>8</v>
      </c>
      <c r="AX377">
        <f t="shared" si="153"/>
        <v>0.77777777777777779</v>
      </c>
      <c r="AY377">
        <f>survey_responses[[#This Row],[Tôi thấy Nhà nước đã giải thích rõ ràng, minh bạch về lý do và mục tiêu của việc sửa đổi thuế lần này. - HUMAN-TRU4]]</f>
        <v>6</v>
      </c>
      <c r="AZ377">
        <f t="shared" si="154"/>
        <v>0.55555555555555558</v>
      </c>
      <c r="BA377" s="32">
        <f t="shared" si="155"/>
        <v>0.72222222222222221</v>
      </c>
      <c r="BB377" s="32">
        <f t="shared" si="156"/>
        <v>0.55555555555555558</v>
      </c>
      <c r="BC377" s="7">
        <f t="shared" si="157"/>
        <v>0.77777777777777779</v>
      </c>
      <c r="BD377" s="7">
        <f t="shared" si="158"/>
        <v>0.55555555555555558</v>
      </c>
      <c r="BE377">
        <f>step3_validation[[#This Row],[AI_OUT1]]</f>
        <v>8</v>
      </c>
      <c r="BF377">
        <f t="shared" si="159"/>
        <v>0.77777777777777779</v>
      </c>
      <c r="BG377">
        <f>survey_responses[[#This Row],[Sau khi xem xét các quyền lợi và nghĩa vụ, bạn có ủng hộ và tuân thủ chính sách mới hiện nay? - HUMAN-OUT1]]</f>
        <v>7</v>
      </c>
      <c r="BH377">
        <f t="shared" si="160"/>
        <v>0.66666666666666663</v>
      </c>
      <c r="BI377" s="32">
        <f t="shared" si="161"/>
        <v>1</v>
      </c>
    </row>
    <row r="378" spans="1:61" x14ac:dyDescent="0.45">
      <c r="A378" s="30">
        <f>step3_validation[[#This Row],[Persona_ID]]</f>
        <v>377</v>
      </c>
      <c r="B378" s="31">
        <f>step3_validation[[#This Row],[Used_Seed]]</f>
        <v>12721</v>
      </c>
      <c r="C378" t="str">
        <f>step3_validation[[#This Row],[Gender]]</f>
        <v>Nam</v>
      </c>
      <c r="D378" t="str">
        <f>survey_responses[[#This Row],[Giới tính của bạn:]]</f>
        <v>Nam</v>
      </c>
      <c r="E378" t="str">
        <f>step3_validation[[#This Row],[Age_Group]]</f>
        <v>25 - 29</v>
      </c>
      <c r="F378" t="str">
        <f>survey_responses[[#This Row],[Độ tuổi của bạn:]]</f>
        <v>25 - 29</v>
      </c>
      <c r="G378" t="str">
        <f>step3_validation[[#This Row],[Region]]</f>
        <v>Thành thị</v>
      </c>
      <c r="H378" t="str">
        <f>survey_responses[[#This Row],[Khu vực bạn đang sinh sống:]]</f>
        <v>Thành thị</v>
      </c>
      <c r="I378" t="str">
        <f>step3_validation[[#This Row],[Education]]</f>
        <v>Đại học</v>
      </c>
      <c r="J378" t="str">
        <f>survey_responses[[#This Row],[Trình độ học vấn cao nhất:]]</f>
        <v>Đại học</v>
      </c>
      <c r="K378" t="str">
        <f>step3_validation[[#This Row],[Employment]]</f>
        <v>Chính thức</v>
      </c>
      <c r="L378" t="str">
        <f>survey_responses[[#This Row],[Tình trạng việc làm chính:]]</f>
        <v>Khu vực chính thức (Có Hợp đồng lao động, đóng BHXH)</v>
      </c>
      <c r="M378">
        <f>step3_validation[[#This Row],[Income_Mil]]</f>
        <v>13.875214382941952</v>
      </c>
      <c r="N378" t="str">
        <f>survey_responses[[#This Row],[Thu nhập bình quân tháng theo Hợp đồng lao động của bạn là bao nhiêu? (Vui lòng điền tổng thu nhập trước khi khấu trừ các loại Bảo hiểm (BHXH, BHYT, BHTN) và Thuế TNCN)]]</f>
        <v>Từ 12 - 18 triệu VNĐ</v>
      </c>
      <c r="O378">
        <f>step3_validation[[#This Row],[Dependents]]</f>
        <v>0</v>
      </c>
      <c r="P378" t="str">
        <f>survey_responses[[#This Row],[Số người phụ thuộc (con nhỏ, cha mẹ già...) đủ điều kiện giảm trừ gia cảnh:]]</f>
        <v>0 người</v>
      </c>
      <c r="Q378">
        <f>step3_validation[[#This Row],[AI_ENF1]]</f>
        <v>7</v>
      </c>
      <c r="R378">
        <f t="shared" si="135"/>
        <v>0.66666666666666663</v>
      </c>
      <c r="S378">
        <f>survey_responses[[#This Row],[Tôi tin rằng với các quy định quản lý thuế hiện nay, hành vi gian lận hoặc trốn thuế sẽ dễ dàng bị phát hiện và xử lý nghiêm. - HUMAN-ENF1]]</f>
        <v>7</v>
      </c>
      <c r="T378">
        <f t="shared" si="136"/>
        <v>0.66666666666666663</v>
      </c>
      <c r="U378">
        <f>step3_validation[[#This Row],[AI_ENF2]]</f>
        <v>8</v>
      </c>
      <c r="V378">
        <f t="shared" si="137"/>
        <v>0.77777777777777779</v>
      </c>
      <c r="W378">
        <f>survey_responses[[#This Row],[Tôi tin rằng Nhà nước, cơ quan thuế có đủ khả năng và công nghệ để phát hiện, xử lý nghiêm các hành vi trốn thuế. - HUMAN-ENF2]]</f>
        <v>8</v>
      </c>
      <c r="X378">
        <f t="shared" si="138"/>
        <v>0.77777777777777779</v>
      </c>
      <c r="Y378" s="32">
        <f t="shared" si="139"/>
        <v>0.72222222222222221</v>
      </c>
      <c r="Z378" s="32">
        <f t="shared" si="140"/>
        <v>0.72222222222222221</v>
      </c>
      <c r="AA378">
        <f>step3_validation[[#This Row],[AI_FAC1]]</f>
        <v>9</v>
      </c>
      <c r="AB378">
        <f t="shared" si="141"/>
        <v>0.88888888888888884</v>
      </c>
      <c r="AC378">
        <f>survey_responses[[#This Row],[Các thủ tục khai báo thuế VÀ/HOẶC quy trình làm việc với cơ quan thuế đơn giản, tiện lợi, nhanh chóng hơn so với trước đây. - HUMAN-FAC1]]</f>
        <v>7</v>
      </c>
      <c r="AD378">
        <f t="shared" si="142"/>
        <v>0.66666666666666663</v>
      </c>
      <c r="AE378">
        <f>step3_validation[[#This Row],[AI_FAC2]]</f>
        <v>9</v>
      </c>
      <c r="AF378">
        <f t="shared" si="143"/>
        <v>0.88888888888888884</v>
      </c>
      <c r="AG378">
        <f>survey_responses[[#This Row],[So với trước đây, tôi thấy cách tính thuế và các bậc thuế trong phương án mới đơn giản, dễ hiểu và dễ thực hiện hơn. - HUMAN-FAC2]]</f>
        <v>7</v>
      </c>
      <c r="AH378">
        <f t="shared" si="144"/>
        <v>0.66666666666666663</v>
      </c>
      <c r="AI378" s="32">
        <f t="shared" si="145"/>
        <v>0.88888888888888884</v>
      </c>
      <c r="AJ378" s="32">
        <f t="shared" si="146"/>
        <v>0.66666666666666663</v>
      </c>
      <c r="AK378">
        <f>step3_validation[[#This Row],[AI_TRU1]]</f>
        <v>8</v>
      </c>
      <c r="AL378">
        <f t="shared" si="147"/>
        <v>0.77777777777777779</v>
      </c>
      <c r="AM378">
        <f>survey_responses[[#This Row],[Tôi tin rằng Nhà nước, cơ quan thuế sẽ thực thi chính sách mới một cách khách quan, công tâm và đối xử bình đẳng với mọi người nộp thuế.  - HUMAN-TRU1]]</f>
        <v>8</v>
      </c>
      <c r="AN378">
        <f t="shared" si="148"/>
        <v>0.77777777777777779</v>
      </c>
      <c r="AO378">
        <f>step3_validation[[#This Row],[AI_TRU2]]</f>
        <v>9</v>
      </c>
      <c r="AP378">
        <f t="shared" si="149"/>
        <v>0.88888888888888884</v>
      </c>
      <c r="AQ378">
        <f>survey_responses[[#This Row],[Tôi thấy mức thuế tôi phải đóng theo phương án mới là công bằng (người thu nhập như tôi đóng mức này là hợp lý). - HUMAN-TRU2]]</f>
        <v>9</v>
      </c>
      <c r="AR378">
        <f t="shared" si="150"/>
        <v>0.88888888888888884</v>
      </c>
      <c r="AS378">
        <f>step3_validation[[#This Row],[AI_TRU3]]</f>
        <v>8</v>
      </c>
      <c r="AT378">
        <f t="shared" si="151"/>
        <v>0.77777777777777779</v>
      </c>
      <c r="AU378">
        <f>survey_responses[[#This Row],[Tôi tin tưởng số tiền thuế tôi đóng sẽ được Nhà nước sử dụng hiệu quả để cải thiện dịch vụ công (y tế, đường xá...). - HUMAN-TRU3]]</f>
        <v>7</v>
      </c>
      <c r="AV378">
        <f t="shared" si="152"/>
        <v>0.66666666666666663</v>
      </c>
      <c r="AW378">
        <f>step3_validation[[#This Row],[AI_TRU4]]</f>
        <v>9</v>
      </c>
      <c r="AX378">
        <f t="shared" si="153"/>
        <v>0.88888888888888884</v>
      </c>
      <c r="AY378">
        <f>survey_responses[[#This Row],[Tôi thấy Nhà nước đã giải thích rõ ràng, minh bạch về lý do và mục tiêu của việc sửa đổi thuế lần này. - HUMAN-TRU4]]</f>
        <v>7</v>
      </c>
      <c r="AZ378">
        <f t="shared" si="154"/>
        <v>0.66666666666666663</v>
      </c>
      <c r="BA378" s="32">
        <f t="shared" si="155"/>
        <v>0.83333333333333326</v>
      </c>
      <c r="BB378" s="32">
        <f t="shared" si="156"/>
        <v>0.74999999999999989</v>
      </c>
      <c r="BC378" s="7">
        <f t="shared" si="157"/>
        <v>0.81481481481481488</v>
      </c>
      <c r="BD378" s="7">
        <f t="shared" si="158"/>
        <v>0.71296296296296291</v>
      </c>
      <c r="BE378">
        <f>step3_validation[[#This Row],[AI_OUT1]]</f>
        <v>9</v>
      </c>
      <c r="BF378">
        <f t="shared" si="159"/>
        <v>0.88888888888888884</v>
      </c>
      <c r="BG378">
        <f>survey_responses[[#This Row],[Sau khi xem xét các quyền lợi và nghĩa vụ, bạn có ủng hộ và tuân thủ chính sách mới hiện nay? - HUMAN-OUT1]]</f>
        <v>8</v>
      </c>
      <c r="BH378">
        <f t="shared" si="160"/>
        <v>0.77777777777777779</v>
      </c>
      <c r="BI378" s="32">
        <f t="shared" si="161"/>
        <v>1</v>
      </c>
    </row>
    <row r="379" spans="1:61" x14ac:dyDescent="0.45">
      <c r="A379" s="30">
        <f>step3_validation[[#This Row],[Persona_ID]]</f>
        <v>378</v>
      </c>
      <c r="B379" s="31">
        <f>step3_validation[[#This Row],[Used_Seed]]</f>
        <v>12722</v>
      </c>
      <c r="C379" t="str">
        <f>step3_validation[[#This Row],[Gender]]</f>
        <v>Nữ</v>
      </c>
      <c r="D379" t="str">
        <f>survey_responses[[#This Row],[Giới tính của bạn:]]</f>
        <v>Nữ</v>
      </c>
      <c r="E379" t="str">
        <f>step3_validation[[#This Row],[Age_Group]]</f>
        <v>18 - 24</v>
      </c>
      <c r="F379" t="str">
        <f>survey_responses[[#This Row],[Độ tuổi của bạn:]]</f>
        <v>18 - 24</v>
      </c>
      <c r="G379" t="str">
        <f>step3_validation[[#This Row],[Region]]</f>
        <v>Thành thị</v>
      </c>
      <c r="H379" t="str">
        <f>survey_responses[[#This Row],[Khu vực bạn đang sinh sống:]]</f>
        <v>Thành thị</v>
      </c>
      <c r="I379" t="str">
        <f>step3_validation[[#This Row],[Education]]</f>
        <v>Đại học</v>
      </c>
      <c r="J379" t="str">
        <f>survey_responses[[#This Row],[Trình độ học vấn cao nhất:]]</f>
        <v>Đại học</v>
      </c>
      <c r="K379" t="str">
        <f>step3_validation[[#This Row],[Employment]]</f>
        <v>Chính thức</v>
      </c>
      <c r="L379" t="str">
        <f>survey_responses[[#This Row],[Tình trạng việc làm chính:]]</f>
        <v>Khu vực chính thức (Có Hợp đồng lao động, đóng BHXH)</v>
      </c>
      <c r="M379">
        <f>step3_validation[[#This Row],[Income_Mil]]</f>
        <v>18.12689272860187</v>
      </c>
      <c r="N379" t="str">
        <f>survey_responses[[#This Row],[Thu nhập bình quân tháng theo Hợp đồng lao động của bạn là bao nhiêu? (Vui lòng điền tổng thu nhập trước khi khấu trừ các loại Bảo hiểm (BHXH, BHYT, BHTN) và Thuế TNCN)]]</f>
        <v>Từ 18 - 23 triệu VNĐ</v>
      </c>
      <c r="O379">
        <f>step3_validation[[#This Row],[Dependents]]</f>
        <v>0</v>
      </c>
      <c r="P379" t="str">
        <f>survey_responses[[#This Row],[Số người phụ thuộc (con nhỏ, cha mẹ già...) đủ điều kiện giảm trừ gia cảnh:]]</f>
        <v>0 người</v>
      </c>
      <c r="Q379">
        <f>step3_validation[[#This Row],[AI_ENF1]]</f>
        <v>7</v>
      </c>
      <c r="R379">
        <f t="shared" si="135"/>
        <v>0.66666666666666663</v>
      </c>
      <c r="S379">
        <f>survey_responses[[#This Row],[Tôi tin rằng với các quy định quản lý thuế hiện nay, hành vi gian lận hoặc trốn thuế sẽ dễ dàng bị phát hiện và xử lý nghiêm. - HUMAN-ENF1]]</f>
        <v>6</v>
      </c>
      <c r="T379">
        <f t="shared" si="136"/>
        <v>0.55555555555555558</v>
      </c>
      <c r="U379">
        <f>step3_validation[[#This Row],[AI_ENF2]]</f>
        <v>6</v>
      </c>
      <c r="V379">
        <f t="shared" si="137"/>
        <v>0.55555555555555558</v>
      </c>
      <c r="W379">
        <f>survey_responses[[#This Row],[Tôi tin rằng Nhà nước, cơ quan thuế có đủ khả năng và công nghệ để phát hiện, xử lý nghiêm các hành vi trốn thuế. - HUMAN-ENF2]]</f>
        <v>7</v>
      </c>
      <c r="X379">
        <f t="shared" si="138"/>
        <v>0.66666666666666663</v>
      </c>
      <c r="Y379" s="32">
        <f t="shared" si="139"/>
        <v>0.61111111111111116</v>
      </c>
      <c r="Z379" s="32">
        <f t="shared" si="140"/>
        <v>0.61111111111111116</v>
      </c>
      <c r="AA379">
        <f>step3_validation[[#This Row],[AI_FAC1]]</f>
        <v>8</v>
      </c>
      <c r="AB379">
        <f t="shared" si="141"/>
        <v>0.77777777777777779</v>
      </c>
      <c r="AC379">
        <f>survey_responses[[#This Row],[Các thủ tục khai báo thuế VÀ/HOẶC quy trình làm việc với cơ quan thuế đơn giản, tiện lợi, nhanh chóng hơn so với trước đây. - HUMAN-FAC1]]</f>
        <v>5</v>
      </c>
      <c r="AD379">
        <f t="shared" si="142"/>
        <v>0.44444444444444442</v>
      </c>
      <c r="AE379">
        <f>step3_validation[[#This Row],[AI_FAC2]]</f>
        <v>9</v>
      </c>
      <c r="AF379">
        <f t="shared" si="143"/>
        <v>0.88888888888888884</v>
      </c>
      <c r="AG379">
        <f>survey_responses[[#This Row],[So với trước đây, tôi thấy cách tính thuế và các bậc thuế trong phương án mới đơn giản, dễ hiểu và dễ thực hiện hơn. - HUMAN-FAC2]]</f>
        <v>8</v>
      </c>
      <c r="AH379">
        <f t="shared" si="144"/>
        <v>0.77777777777777779</v>
      </c>
      <c r="AI379" s="32">
        <f t="shared" si="145"/>
        <v>0.83333333333333326</v>
      </c>
      <c r="AJ379" s="32">
        <f t="shared" si="146"/>
        <v>0.61111111111111116</v>
      </c>
      <c r="AK379">
        <f>step3_validation[[#This Row],[AI_TRU1]]</f>
        <v>7</v>
      </c>
      <c r="AL379">
        <f t="shared" si="147"/>
        <v>0.66666666666666663</v>
      </c>
      <c r="AM379">
        <f>survey_responses[[#This Row],[Tôi tin rằng Nhà nước, cơ quan thuế sẽ thực thi chính sách mới một cách khách quan, công tâm và đối xử bình đẳng với mọi người nộp thuế.  - HUMAN-TRU1]]</f>
        <v>7</v>
      </c>
      <c r="AN379">
        <f t="shared" si="148"/>
        <v>0.66666666666666663</v>
      </c>
      <c r="AO379">
        <f>step3_validation[[#This Row],[AI_TRU2]]</f>
        <v>8</v>
      </c>
      <c r="AP379">
        <f t="shared" si="149"/>
        <v>0.77777777777777779</v>
      </c>
      <c r="AQ379">
        <f>survey_responses[[#This Row],[Tôi thấy mức thuế tôi phải đóng theo phương án mới là công bằng (người thu nhập như tôi đóng mức này là hợp lý). - HUMAN-TRU2]]</f>
        <v>7</v>
      </c>
      <c r="AR379">
        <f t="shared" si="150"/>
        <v>0.66666666666666663</v>
      </c>
      <c r="AS379">
        <f>step3_validation[[#This Row],[AI_TRU3]]</f>
        <v>7</v>
      </c>
      <c r="AT379">
        <f t="shared" si="151"/>
        <v>0.66666666666666663</v>
      </c>
      <c r="AU379">
        <f>survey_responses[[#This Row],[Tôi tin tưởng số tiền thuế tôi đóng sẽ được Nhà nước sử dụng hiệu quả để cải thiện dịch vụ công (y tế, đường xá...). - HUMAN-TRU3]]</f>
        <v>7</v>
      </c>
      <c r="AV379">
        <f t="shared" si="152"/>
        <v>0.66666666666666663</v>
      </c>
      <c r="AW379">
        <f>step3_validation[[#This Row],[AI_TRU4]]</f>
        <v>6</v>
      </c>
      <c r="AX379">
        <f t="shared" si="153"/>
        <v>0.55555555555555558</v>
      </c>
      <c r="AY379">
        <f>survey_responses[[#This Row],[Tôi thấy Nhà nước đã giải thích rõ ràng, minh bạch về lý do và mục tiêu của việc sửa đổi thuế lần này. - HUMAN-TRU4]]</f>
        <v>7</v>
      </c>
      <c r="AZ379">
        <f t="shared" si="154"/>
        <v>0.66666666666666663</v>
      </c>
      <c r="BA379" s="32">
        <f t="shared" si="155"/>
        <v>0.66666666666666674</v>
      </c>
      <c r="BB379" s="32">
        <f t="shared" si="156"/>
        <v>0.66666666666666663</v>
      </c>
      <c r="BC379" s="7">
        <f t="shared" si="157"/>
        <v>0.70370370370370372</v>
      </c>
      <c r="BD379" s="7">
        <f t="shared" si="158"/>
        <v>0.62962962962962965</v>
      </c>
      <c r="BE379">
        <f>step3_validation[[#This Row],[AI_OUT1]]</f>
        <v>9</v>
      </c>
      <c r="BF379">
        <f t="shared" si="159"/>
        <v>0.88888888888888884</v>
      </c>
      <c r="BG379">
        <f>survey_responses[[#This Row],[Sau khi xem xét các quyền lợi và nghĩa vụ, bạn có ủng hộ và tuân thủ chính sách mới hiện nay? - HUMAN-OUT1]]</f>
        <v>8</v>
      </c>
      <c r="BH379">
        <f t="shared" si="160"/>
        <v>0.77777777777777779</v>
      </c>
      <c r="BI379" s="32">
        <f t="shared" si="161"/>
        <v>1</v>
      </c>
    </row>
    <row r="380" spans="1:61" x14ac:dyDescent="0.45">
      <c r="A380" s="30">
        <f>step3_validation[[#This Row],[Persona_ID]]</f>
        <v>379</v>
      </c>
      <c r="B380" s="31">
        <f>step3_validation[[#This Row],[Used_Seed]]</f>
        <v>12723</v>
      </c>
      <c r="C380" t="str">
        <f>step3_validation[[#This Row],[Gender]]</f>
        <v>Nữ</v>
      </c>
      <c r="D380" t="str">
        <f>survey_responses[[#This Row],[Giới tính của bạn:]]</f>
        <v>Nữ</v>
      </c>
      <c r="E380" t="str">
        <f>step3_validation[[#This Row],[Age_Group]]</f>
        <v>18 - 24</v>
      </c>
      <c r="F380" t="str">
        <f>survey_responses[[#This Row],[Độ tuổi của bạn:]]</f>
        <v>18 - 24</v>
      </c>
      <c r="G380" t="str">
        <f>step3_validation[[#This Row],[Region]]</f>
        <v>Thành thị</v>
      </c>
      <c r="H380" t="str">
        <f>survey_responses[[#This Row],[Khu vực bạn đang sinh sống:]]</f>
        <v>Thành thị</v>
      </c>
      <c r="I380" t="str">
        <f>step3_validation[[#This Row],[Education]]</f>
        <v>Đại học</v>
      </c>
      <c r="J380" t="str">
        <f>survey_responses[[#This Row],[Trình độ học vấn cao nhất:]]</f>
        <v>Đại học</v>
      </c>
      <c r="K380" t="str">
        <f>step3_validation[[#This Row],[Employment]]</f>
        <v>Chính thức</v>
      </c>
      <c r="L380" t="str">
        <f>survey_responses[[#This Row],[Tình trạng việc làm chính:]]</f>
        <v>Khu vực chính thức (Có Hợp đồng lao động, đóng BHXH)</v>
      </c>
      <c r="M380">
        <f>step3_validation[[#This Row],[Income_Mil]]</f>
        <v>14.773397892892959</v>
      </c>
      <c r="N380" t="str">
        <f>survey_responses[[#This Row],[Thu nhập bình quân tháng theo Hợp đồng lao động của bạn là bao nhiêu? (Vui lòng điền tổng thu nhập trước khi khấu trừ các loại Bảo hiểm (BHXH, BHYT, BHTN) và Thuế TNCN)]]</f>
        <v>Từ 12 - 18 triệu VNĐ</v>
      </c>
      <c r="O380">
        <f>step3_validation[[#This Row],[Dependents]]</f>
        <v>0</v>
      </c>
      <c r="P380" t="str">
        <f>survey_responses[[#This Row],[Số người phụ thuộc (con nhỏ, cha mẹ già...) đủ điều kiện giảm trừ gia cảnh:]]</f>
        <v>0 người</v>
      </c>
      <c r="Q380">
        <f>step3_validation[[#This Row],[AI_ENF1]]</f>
        <v>6</v>
      </c>
      <c r="R380">
        <f t="shared" si="135"/>
        <v>0.55555555555555558</v>
      </c>
      <c r="S380">
        <f>survey_responses[[#This Row],[Tôi tin rằng với các quy định quản lý thuế hiện nay, hành vi gian lận hoặc trốn thuế sẽ dễ dàng bị phát hiện và xử lý nghiêm. - HUMAN-ENF1]]</f>
        <v>8</v>
      </c>
      <c r="T380">
        <f t="shared" si="136"/>
        <v>0.77777777777777779</v>
      </c>
      <c r="U380">
        <f>step3_validation[[#This Row],[AI_ENF2]]</f>
        <v>7</v>
      </c>
      <c r="V380">
        <f t="shared" si="137"/>
        <v>0.66666666666666663</v>
      </c>
      <c r="W380">
        <f>survey_responses[[#This Row],[Tôi tin rằng Nhà nước, cơ quan thuế có đủ khả năng và công nghệ để phát hiện, xử lý nghiêm các hành vi trốn thuế. - HUMAN-ENF2]]</f>
        <v>8</v>
      </c>
      <c r="X380">
        <f t="shared" si="138"/>
        <v>0.77777777777777779</v>
      </c>
      <c r="Y380" s="32">
        <f t="shared" si="139"/>
        <v>0.61111111111111116</v>
      </c>
      <c r="Z380" s="32">
        <f t="shared" si="140"/>
        <v>0.77777777777777779</v>
      </c>
      <c r="AA380">
        <f>step3_validation[[#This Row],[AI_FAC1]]</f>
        <v>9</v>
      </c>
      <c r="AB380">
        <f t="shared" si="141"/>
        <v>0.88888888888888884</v>
      </c>
      <c r="AC380">
        <f>survey_responses[[#This Row],[Các thủ tục khai báo thuế VÀ/HOẶC quy trình làm việc với cơ quan thuế đơn giản, tiện lợi, nhanh chóng hơn so với trước đây. - HUMAN-FAC1]]</f>
        <v>9</v>
      </c>
      <c r="AD380">
        <f t="shared" si="142"/>
        <v>0.88888888888888884</v>
      </c>
      <c r="AE380">
        <f>step3_validation[[#This Row],[AI_FAC2]]</f>
        <v>8</v>
      </c>
      <c r="AF380">
        <f t="shared" si="143"/>
        <v>0.77777777777777779</v>
      </c>
      <c r="AG380">
        <f>survey_responses[[#This Row],[So với trước đây, tôi thấy cách tính thuế và các bậc thuế trong phương án mới đơn giản, dễ hiểu và dễ thực hiện hơn. - HUMAN-FAC2]]</f>
        <v>9</v>
      </c>
      <c r="AH380">
        <f t="shared" si="144"/>
        <v>0.88888888888888884</v>
      </c>
      <c r="AI380" s="32">
        <f t="shared" si="145"/>
        <v>0.83333333333333326</v>
      </c>
      <c r="AJ380" s="32">
        <f t="shared" si="146"/>
        <v>0.88888888888888884</v>
      </c>
      <c r="AK380">
        <f>step3_validation[[#This Row],[AI_TRU1]]</f>
        <v>7</v>
      </c>
      <c r="AL380">
        <f t="shared" si="147"/>
        <v>0.66666666666666663</v>
      </c>
      <c r="AM380">
        <f>survey_responses[[#This Row],[Tôi tin rằng Nhà nước, cơ quan thuế sẽ thực thi chính sách mới một cách khách quan, công tâm và đối xử bình đẳng với mọi người nộp thuế.  - HUMAN-TRU1]]</f>
        <v>7</v>
      </c>
      <c r="AN380">
        <f t="shared" si="148"/>
        <v>0.66666666666666663</v>
      </c>
      <c r="AO380">
        <f>step3_validation[[#This Row],[AI_TRU2]]</f>
        <v>9</v>
      </c>
      <c r="AP380">
        <f t="shared" si="149"/>
        <v>0.88888888888888884</v>
      </c>
      <c r="AQ380">
        <f>survey_responses[[#This Row],[Tôi thấy mức thuế tôi phải đóng theo phương án mới là công bằng (người thu nhập như tôi đóng mức này là hợp lý). - HUMAN-TRU2]]</f>
        <v>9</v>
      </c>
      <c r="AR380">
        <f t="shared" si="150"/>
        <v>0.88888888888888884</v>
      </c>
      <c r="AS380">
        <f>step3_validation[[#This Row],[AI_TRU3]]</f>
        <v>8</v>
      </c>
      <c r="AT380">
        <f t="shared" si="151"/>
        <v>0.77777777777777779</v>
      </c>
      <c r="AU380">
        <f>survey_responses[[#This Row],[Tôi tin tưởng số tiền thuế tôi đóng sẽ được Nhà nước sử dụng hiệu quả để cải thiện dịch vụ công (y tế, đường xá...). - HUMAN-TRU3]]</f>
        <v>7</v>
      </c>
      <c r="AV380">
        <f t="shared" si="152"/>
        <v>0.66666666666666663</v>
      </c>
      <c r="AW380">
        <f>step3_validation[[#This Row],[AI_TRU4]]</f>
        <v>6</v>
      </c>
      <c r="AX380">
        <f t="shared" si="153"/>
        <v>0.55555555555555558</v>
      </c>
      <c r="AY380">
        <f>survey_responses[[#This Row],[Tôi thấy Nhà nước đã giải thích rõ ràng, minh bạch về lý do và mục tiêu của việc sửa đổi thuế lần này. - HUMAN-TRU4]]</f>
        <v>7</v>
      </c>
      <c r="AZ380">
        <f t="shared" si="154"/>
        <v>0.66666666666666663</v>
      </c>
      <c r="BA380" s="32">
        <f t="shared" si="155"/>
        <v>0.7222222222222221</v>
      </c>
      <c r="BB380" s="32">
        <f t="shared" si="156"/>
        <v>0.7222222222222221</v>
      </c>
      <c r="BC380" s="7">
        <f t="shared" si="157"/>
        <v>0.72222222222222221</v>
      </c>
      <c r="BD380" s="7">
        <f t="shared" si="158"/>
        <v>0.79629629629629617</v>
      </c>
      <c r="BE380">
        <f>step3_validation[[#This Row],[AI_OUT1]]</f>
        <v>9</v>
      </c>
      <c r="BF380">
        <f t="shared" si="159"/>
        <v>0.88888888888888884</v>
      </c>
      <c r="BG380">
        <f>survey_responses[[#This Row],[Sau khi xem xét các quyền lợi và nghĩa vụ, bạn có ủng hộ và tuân thủ chính sách mới hiện nay? - HUMAN-OUT1]]</f>
        <v>9</v>
      </c>
      <c r="BH380">
        <f t="shared" si="160"/>
        <v>0.88888888888888884</v>
      </c>
      <c r="BI380" s="32">
        <f t="shared" si="161"/>
        <v>0</v>
      </c>
    </row>
    <row r="381" spans="1:61" x14ac:dyDescent="0.45">
      <c r="A381" s="30">
        <f>step3_validation[[#This Row],[Persona_ID]]</f>
        <v>380</v>
      </c>
      <c r="B381" s="31">
        <f>step3_validation[[#This Row],[Used_Seed]]</f>
        <v>12724</v>
      </c>
      <c r="C381" t="str">
        <f>step3_validation[[#This Row],[Gender]]</f>
        <v>Nam</v>
      </c>
      <c r="D381" t="str">
        <f>survey_responses[[#This Row],[Giới tính của bạn:]]</f>
        <v>Nam</v>
      </c>
      <c r="E381" t="str">
        <f>step3_validation[[#This Row],[Age_Group]]</f>
        <v>18 - 24</v>
      </c>
      <c r="F381" t="str">
        <f>survey_responses[[#This Row],[Độ tuổi của bạn:]]</f>
        <v>18 - 24</v>
      </c>
      <c r="G381" t="str">
        <f>step3_validation[[#This Row],[Region]]</f>
        <v>Thành thị</v>
      </c>
      <c r="H381" t="str">
        <f>survey_responses[[#This Row],[Khu vực bạn đang sinh sống:]]</f>
        <v>Thành thị</v>
      </c>
      <c r="I381" t="str">
        <f>step3_validation[[#This Row],[Education]]</f>
        <v>Đại học</v>
      </c>
      <c r="J381" t="str">
        <f>survey_responses[[#This Row],[Trình độ học vấn cao nhất:]]</f>
        <v>Đại học</v>
      </c>
      <c r="K381" t="str">
        <f>step3_validation[[#This Row],[Employment]]</f>
        <v>Chính thức</v>
      </c>
      <c r="L381" t="str">
        <f>survey_responses[[#This Row],[Tình trạng việc làm chính:]]</f>
        <v>Khu vực chính thức (Có Hợp đồng lao động, đóng BHXH)</v>
      </c>
      <c r="M381">
        <f>step3_validation[[#This Row],[Income_Mil]]</f>
        <v>18.438804071098293</v>
      </c>
      <c r="N381" t="str">
        <f>survey_responses[[#This Row],[Thu nhập bình quân tháng theo Hợp đồng lao động của bạn là bao nhiêu? (Vui lòng điền tổng thu nhập trước khi khấu trừ các loại Bảo hiểm (BHXH, BHYT, BHTN) và Thuế TNCN)]]</f>
        <v>Từ 18 - 23 triệu VNĐ</v>
      </c>
      <c r="O381">
        <f>step3_validation[[#This Row],[Dependents]]</f>
        <v>0</v>
      </c>
      <c r="P381" t="str">
        <f>survey_responses[[#This Row],[Số người phụ thuộc (con nhỏ, cha mẹ già...) đủ điều kiện giảm trừ gia cảnh:]]</f>
        <v>0 người</v>
      </c>
      <c r="Q381">
        <f>step3_validation[[#This Row],[AI_ENF1]]</f>
        <v>7</v>
      </c>
      <c r="R381">
        <f t="shared" si="135"/>
        <v>0.66666666666666663</v>
      </c>
      <c r="S381">
        <f>survey_responses[[#This Row],[Tôi tin rằng với các quy định quản lý thuế hiện nay, hành vi gian lận hoặc trốn thuế sẽ dễ dàng bị phát hiện và xử lý nghiêm. - HUMAN-ENF1]]</f>
        <v>8</v>
      </c>
      <c r="T381">
        <f t="shared" si="136"/>
        <v>0.77777777777777779</v>
      </c>
      <c r="U381">
        <f>step3_validation[[#This Row],[AI_ENF2]]</f>
        <v>9</v>
      </c>
      <c r="V381">
        <f t="shared" si="137"/>
        <v>0.88888888888888884</v>
      </c>
      <c r="W381">
        <f>survey_responses[[#This Row],[Tôi tin rằng Nhà nước, cơ quan thuế có đủ khả năng và công nghệ để phát hiện, xử lý nghiêm các hành vi trốn thuế. - HUMAN-ENF2]]</f>
        <v>8</v>
      </c>
      <c r="X381">
        <f t="shared" si="138"/>
        <v>0.77777777777777779</v>
      </c>
      <c r="Y381" s="32">
        <f t="shared" si="139"/>
        <v>0.77777777777777768</v>
      </c>
      <c r="Z381" s="32">
        <f t="shared" si="140"/>
        <v>0.77777777777777779</v>
      </c>
      <c r="AA381">
        <f>step3_validation[[#This Row],[AI_FAC1]]</f>
        <v>8</v>
      </c>
      <c r="AB381">
        <f t="shared" si="141"/>
        <v>0.77777777777777779</v>
      </c>
      <c r="AC381">
        <f>survey_responses[[#This Row],[Các thủ tục khai báo thuế VÀ/HOẶC quy trình làm việc với cơ quan thuế đơn giản, tiện lợi, nhanh chóng hơn so với trước đây. - HUMAN-FAC1]]</f>
        <v>5</v>
      </c>
      <c r="AD381">
        <f t="shared" si="142"/>
        <v>0.44444444444444442</v>
      </c>
      <c r="AE381">
        <f>step3_validation[[#This Row],[AI_FAC2]]</f>
        <v>9</v>
      </c>
      <c r="AF381">
        <f t="shared" si="143"/>
        <v>0.88888888888888884</v>
      </c>
      <c r="AG381">
        <f>survey_responses[[#This Row],[So với trước đây, tôi thấy cách tính thuế và các bậc thuế trong phương án mới đơn giản, dễ hiểu và dễ thực hiện hơn. - HUMAN-FAC2]]</f>
        <v>8</v>
      </c>
      <c r="AH381">
        <f t="shared" si="144"/>
        <v>0.77777777777777779</v>
      </c>
      <c r="AI381" s="32">
        <f t="shared" si="145"/>
        <v>0.83333333333333326</v>
      </c>
      <c r="AJ381" s="32">
        <f t="shared" si="146"/>
        <v>0.61111111111111116</v>
      </c>
      <c r="AK381">
        <f>step3_validation[[#This Row],[AI_TRU1]]</f>
        <v>6</v>
      </c>
      <c r="AL381">
        <f t="shared" si="147"/>
        <v>0.55555555555555558</v>
      </c>
      <c r="AM381">
        <f>survey_responses[[#This Row],[Tôi tin rằng Nhà nước, cơ quan thuế sẽ thực thi chính sách mới một cách khách quan, công tâm và đối xử bình đẳng với mọi người nộp thuế.  - HUMAN-TRU1]]</f>
        <v>6</v>
      </c>
      <c r="AN381">
        <f t="shared" si="148"/>
        <v>0.55555555555555558</v>
      </c>
      <c r="AO381">
        <f>step3_validation[[#This Row],[AI_TRU2]]</f>
        <v>8</v>
      </c>
      <c r="AP381">
        <f t="shared" si="149"/>
        <v>0.77777777777777779</v>
      </c>
      <c r="AQ381">
        <f>survey_responses[[#This Row],[Tôi thấy mức thuế tôi phải đóng theo phương án mới là công bằng (người thu nhập như tôi đóng mức này là hợp lý). - HUMAN-TRU2]]</f>
        <v>9</v>
      </c>
      <c r="AR381">
        <f t="shared" si="150"/>
        <v>0.88888888888888884</v>
      </c>
      <c r="AS381">
        <f>step3_validation[[#This Row],[AI_TRU3]]</f>
        <v>7</v>
      </c>
      <c r="AT381">
        <f t="shared" si="151"/>
        <v>0.66666666666666663</v>
      </c>
      <c r="AU381">
        <f>survey_responses[[#This Row],[Tôi tin tưởng số tiền thuế tôi đóng sẽ được Nhà nước sử dụng hiệu quả để cải thiện dịch vụ công (y tế, đường xá...). - HUMAN-TRU3]]</f>
        <v>5</v>
      </c>
      <c r="AV381">
        <f t="shared" si="152"/>
        <v>0.44444444444444442</v>
      </c>
      <c r="AW381">
        <f>step3_validation[[#This Row],[AI_TRU4]]</f>
        <v>6</v>
      </c>
      <c r="AX381">
        <f t="shared" si="153"/>
        <v>0.55555555555555558</v>
      </c>
      <c r="AY381">
        <f>survey_responses[[#This Row],[Tôi thấy Nhà nước đã giải thích rõ ràng, minh bạch về lý do và mục tiêu của việc sửa đổi thuế lần này. - HUMAN-TRU4]]</f>
        <v>7</v>
      </c>
      <c r="AZ381">
        <f t="shared" si="154"/>
        <v>0.66666666666666663</v>
      </c>
      <c r="BA381" s="32">
        <f t="shared" si="155"/>
        <v>0.63888888888888884</v>
      </c>
      <c r="BB381" s="32">
        <f t="shared" si="156"/>
        <v>0.63888888888888884</v>
      </c>
      <c r="BC381" s="7">
        <f t="shared" si="157"/>
        <v>0.75</v>
      </c>
      <c r="BD381" s="7">
        <f t="shared" si="158"/>
        <v>0.67592592592592593</v>
      </c>
      <c r="BE381">
        <f>step3_validation[[#This Row],[AI_OUT1]]</f>
        <v>9</v>
      </c>
      <c r="BF381">
        <f t="shared" si="159"/>
        <v>0.88888888888888884</v>
      </c>
      <c r="BG381">
        <f>survey_responses[[#This Row],[Sau khi xem xét các quyền lợi và nghĩa vụ, bạn có ủng hộ và tuân thủ chính sách mới hiện nay? - HUMAN-OUT1]]</f>
        <v>8</v>
      </c>
      <c r="BH381">
        <f t="shared" si="160"/>
        <v>0.77777777777777779</v>
      </c>
      <c r="BI381" s="32">
        <f t="shared" si="161"/>
        <v>1</v>
      </c>
    </row>
    <row r="382" spans="1:61" x14ac:dyDescent="0.45">
      <c r="A382" s="30">
        <f>step3_validation[[#This Row],[Persona_ID]]</f>
        <v>381</v>
      </c>
      <c r="B382" s="31">
        <f>step3_validation[[#This Row],[Used_Seed]]</f>
        <v>12725</v>
      </c>
      <c r="C382" t="str">
        <f>step3_validation[[#This Row],[Gender]]</f>
        <v>Nam</v>
      </c>
      <c r="D382" t="str">
        <f>survey_responses[[#This Row],[Giới tính của bạn:]]</f>
        <v>Nam</v>
      </c>
      <c r="E382" t="str">
        <f>step3_validation[[#This Row],[Age_Group]]</f>
        <v>18 - 24</v>
      </c>
      <c r="F382" t="str">
        <f>survey_responses[[#This Row],[Độ tuổi của bạn:]]</f>
        <v>18 - 24</v>
      </c>
      <c r="G382" t="str">
        <f>step3_validation[[#This Row],[Region]]</f>
        <v>Thành thị</v>
      </c>
      <c r="H382" t="str">
        <f>survey_responses[[#This Row],[Khu vực bạn đang sinh sống:]]</f>
        <v>Thành thị</v>
      </c>
      <c r="I382" t="str">
        <f>step3_validation[[#This Row],[Education]]</f>
        <v>Cao đẳng</v>
      </c>
      <c r="J382" t="str">
        <f>survey_responses[[#This Row],[Trình độ học vấn cao nhất:]]</f>
        <v>Cao đẳng</v>
      </c>
      <c r="K382" t="str">
        <f>step3_validation[[#This Row],[Employment]]</f>
        <v>Chính thức</v>
      </c>
      <c r="L382" t="str">
        <f>survey_responses[[#This Row],[Tình trạng việc làm chính:]]</f>
        <v>Khu vực chính thức (Có Hợp đồng lao động, đóng BHXH)</v>
      </c>
      <c r="M382">
        <f>step3_validation[[#This Row],[Income_Mil]]</f>
        <v>13.350333994675893</v>
      </c>
      <c r="N382" t="str">
        <f>survey_responses[[#This Row],[Thu nhập bình quân tháng theo Hợp đồng lao động của bạn là bao nhiêu? (Vui lòng điền tổng thu nhập trước khi khấu trừ các loại Bảo hiểm (BHXH, BHYT, BHTN) và Thuế TNCN)]]</f>
        <v>Từ 12 - 18 triệu VNĐ</v>
      </c>
      <c r="O382">
        <f>step3_validation[[#This Row],[Dependents]]</f>
        <v>0</v>
      </c>
      <c r="P382" t="str">
        <f>survey_responses[[#This Row],[Số người phụ thuộc (con nhỏ, cha mẹ già...) đủ điều kiện giảm trừ gia cảnh:]]</f>
        <v>0 người</v>
      </c>
      <c r="Q382">
        <f>step3_validation[[#This Row],[AI_ENF1]]</f>
        <v>4</v>
      </c>
      <c r="R382">
        <f t="shared" si="135"/>
        <v>0.33333333333333331</v>
      </c>
      <c r="S382">
        <f>survey_responses[[#This Row],[Tôi tin rằng với các quy định quản lý thuế hiện nay, hành vi gian lận hoặc trốn thuế sẽ dễ dàng bị phát hiện và xử lý nghiêm. - HUMAN-ENF1]]</f>
        <v>9</v>
      </c>
      <c r="T382">
        <f t="shared" si="136"/>
        <v>0.88888888888888884</v>
      </c>
      <c r="U382">
        <f>step3_validation[[#This Row],[AI_ENF2]]</f>
        <v>5</v>
      </c>
      <c r="V382">
        <f t="shared" si="137"/>
        <v>0.44444444444444442</v>
      </c>
      <c r="W382">
        <f>survey_responses[[#This Row],[Tôi tin rằng Nhà nước, cơ quan thuế có đủ khả năng và công nghệ để phát hiện, xử lý nghiêm các hành vi trốn thuế. - HUMAN-ENF2]]</f>
        <v>9</v>
      </c>
      <c r="X382">
        <f t="shared" si="138"/>
        <v>0.88888888888888884</v>
      </c>
      <c r="Y382" s="32">
        <f t="shared" si="139"/>
        <v>0.38888888888888884</v>
      </c>
      <c r="Z382" s="32">
        <f t="shared" si="140"/>
        <v>0.88888888888888884</v>
      </c>
      <c r="AA382">
        <f>step3_validation[[#This Row],[AI_FAC1]]</f>
        <v>8</v>
      </c>
      <c r="AB382">
        <f t="shared" si="141"/>
        <v>0.77777777777777779</v>
      </c>
      <c r="AC382">
        <f>survey_responses[[#This Row],[Các thủ tục khai báo thuế VÀ/HOẶC quy trình làm việc với cơ quan thuế đơn giản, tiện lợi, nhanh chóng hơn so với trước đây. - HUMAN-FAC1]]</f>
        <v>8</v>
      </c>
      <c r="AD382">
        <f t="shared" si="142"/>
        <v>0.77777777777777779</v>
      </c>
      <c r="AE382">
        <f>step3_validation[[#This Row],[AI_FAC2]]</f>
        <v>9</v>
      </c>
      <c r="AF382">
        <f t="shared" si="143"/>
        <v>0.88888888888888884</v>
      </c>
      <c r="AG382">
        <f>survey_responses[[#This Row],[So với trước đây, tôi thấy cách tính thuế và các bậc thuế trong phương án mới đơn giản, dễ hiểu và dễ thực hiện hơn. - HUMAN-FAC2]]</f>
        <v>9</v>
      </c>
      <c r="AH382">
        <f t="shared" si="144"/>
        <v>0.88888888888888884</v>
      </c>
      <c r="AI382" s="32">
        <f t="shared" si="145"/>
        <v>0.83333333333333326</v>
      </c>
      <c r="AJ382" s="32">
        <f t="shared" si="146"/>
        <v>0.83333333333333326</v>
      </c>
      <c r="AK382">
        <f>step3_validation[[#This Row],[AI_TRU1]]</f>
        <v>6</v>
      </c>
      <c r="AL382">
        <f t="shared" si="147"/>
        <v>0.55555555555555558</v>
      </c>
      <c r="AM382">
        <f>survey_responses[[#This Row],[Tôi tin rằng Nhà nước, cơ quan thuế sẽ thực thi chính sách mới một cách khách quan, công tâm và đối xử bình đẳng với mọi người nộp thuế.  - HUMAN-TRU1]]</f>
        <v>8</v>
      </c>
      <c r="AN382">
        <f t="shared" si="148"/>
        <v>0.77777777777777779</v>
      </c>
      <c r="AO382">
        <f>step3_validation[[#This Row],[AI_TRU2]]</f>
        <v>9</v>
      </c>
      <c r="AP382">
        <f t="shared" si="149"/>
        <v>0.88888888888888884</v>
      </c>
      <c r="AQ382">
        <f>survey_responses[[#This Row],[Tôi thấy mức thuế tôi phải đóng theo phương án mới là công bằng (người thu nhập như tôi đóng mức này là hợp lý). - HUMAN-TRU2]]</f>
        <v>10</v>
      </c>
      <c r="AR382">
        <f t="shared" si="150"/>
        <v>1</v>
      </c>
      <c r="AS382">
        <f>step3_validation[[#This Row],[AI_TRU3]]</f>
        <v>7</v>
      </c>
      <c r="AT382">
        <f t="shared" si="151"/>
        <v>0.66666666666666663</v>
      </c>
      <c r="AU382">
        <f>survey_responses[[#This Row],[Tôi tin tưởng số tiền thuế tôi đóng sẽ được Nhà nước sử dụng hiệu quả để cải thiện dịch vụ công (y tế, đường xá...). - HUMAN-TRU3]]</f>
        <v>8</v>
      </c>
      <c r="AV382">
        <f t="shared" si="152"/>
        <v>0.77777777777777779</v>
      </c>
      <c r="AW382">
        <f>step3_validation[[#This Row],[AI_TRU4]]</f>
        <v>6</v>
      </c>
      <c r="AX382">
        <f t="shared" si="153"/>
        <v>0.55555555555555558</v>
      </c>
      <c r="AY382">
        <f>survey_responses[[#This Row],[Tôi thấy Nhà nước đã giải thích rõ ràng, minh bạch về lý do và mục tiêu của việc sửa đổi thuế lần này. - HUMAN-TRU4]]</f>
        <v>8</v>
      </c>
      <c r="AZ382">
        <f t="shared" si="154"/>
        <v>0.77777777777777779</v>
      </c>
      <c r="BA382" s="32">
        <f t="shared" si="155"/>
        <v>0.66666666666666674</v>
      </c>
      <c r="BB382" s="32">
        <f t="shared" si="156"/>
        <v>0.83333333333333326</v>
      </c>
      <c r="BC382" s="7">
        <f t="shared" si="157"/>
        <v>0.62962962962962965</v>
      </c>
      <c r="BD382" s="7">
        <f t="shared" si="158"/>
        <v>0.85185185185185175</v>
      </c>
      <c r="BE382">
        <f>step3_validation[[#This Row],[AI_OUT1]]</f>
        <v>8</v>
      </c>
      <c r="BF382">
        <f t="shared" si="159"/>
        <v>0.77777777777777779</v>
      </c>
      <c r="BG382">
        <f>survey_responses[[#This Row],[Sau khi xem xét các quyền lợi và nghĩa vụ, bạn có ủng hộ và tuân thủ chính sách mới hiện nay? - HUMAN-OUT1]]</f>
        <v>10</v>
      </c>
      <c r="BH382">
        <f t="shared" si="160"/>
        <v>1</v>
      </c>
      <c r="BI382" s="32">
        <f t="shared" si="161"/>
        <v>2</v>
      </c>
    </row>
    <row r="383" spans="1:61" x14ac:dyDescent="0.45">
      <c r="A383" s="30">
        <f>step3_validation[[#This Row],[Persona_ID]]</f>
        <v>382</v>
      </c>
      <c r="B383" s="31">
        <f>step3_validation[[#This Row],[Used_Seed]]</f>
        <v>12726</v>
      </c>
      <c r="C383" t="str">
        <f>step3_validation[[#This Row],[Gender]]</f>
        <v>Nữ</v>
      </c>
      <c r="D383" t="str">
        <f>survey_responses[[#This Row],[Giới tính của bạn:]]</f>
        <v>Nữ</v>
      </c>
      <c r="E383" t="str">
        <f>step3_validation[[#This Row],[Age_Group]]</f>
        <v>18 - 24</v>
      </c>
      <c r="F383" t="str">
        <f>survey_responses[[#This Row],[Độ tuổi của bạn:]]</f>
        <v>18 - 24</v>
      </c>
      <c r="G383" t="str">
        <f>step3_validation[[#This Row],[Region]]</f>
        <v>Thành thị</v>
      </c>
      <c r="H383" t="str">
        <f>survey_responses[[#This Row],[Khu vực bạn đang sinh sống:]]</f>
        <v>Thành thị</v>
      </c>
      <c r="I383" t="str">
        <f>step3_validation[[#This Row],[Education]]</f>
        <v>Đại học</v>
      </c>
      <c r="J383" t="str">
        <f>survey_responses[[#This Row],[Trình độ học vấn cao nhất:]]</f>
        <v>Đại học</v>
      </c>
      <c r="K383" t="str">
        <f>step3_validation[[#This Row],[Employment]]</f>
        <v>Chính thức</v>
      </c>
      <c r="L383" t="str">
        <f>survey_responses[[#This Row],[Tình trạng việc làm chính:]]</f>
        <v>Khu vực chính thức (Có Hợp đồng lao động, đóng BHXH)</v>
      </c>
      <c r="M383">
        <f>step3_validation[[#This Row],[Income_Mil]]</f>
        <v>21.258895760174006</v>
      </c>
      <c r="N383" t="str">
        <f>survey_responses[[#This Row],[Thu nhập bình quân tháng theo Hợp đồng lao động của bạn là bao nhiêu? (Vui lòng điền tổng thu nhập trước khi khấu trừ các loại Bảo hiểm (BHXH, BHYT, BHTN) và Thuế TNCN)]]</f>
        <v>Từ 18 - 23 triệu VNĐ</v>
      </c>
      <c r="O383">
        <f>step3_validation[[#This Row],[Dependents]]</f>
        <v>1</v>
      </c>
      <c r="P383" t="str">
        <f>survey_responses[[#This Row],[Số người phụ thuộc (con nhỏ, cha mẹ già...) đủ điều kiện giảm trừ gia cảnh:]]</f>
        <v>1 người</v>
      </c>
      <c r="Q383">
        <f>step3_validation[[#This Row],[AI_ENF1]]</f>
        <v>7</v>
      </c>
      <c r="R383">
        <f t="shared" si="135"/>
        <v>0.66666666666666663</v>
      </c>
      <c r="S383">
        <f>survey_responses[[#This Row],[Tôi tin rằng với các quy định quản lý thuế hiện nay, hành vi gian lận hoặc trốn thuế sẽ dễ dàng bị phát hiện và xử lý nghiêm. - HUMAN-ENF1]]</f>
        <v>5</v>
      </c>
      <c r="T383">
        <f t="shared" si="136"/>
        <v>0.44444444444444442</v>
      </c>
      <c r="U383">
        <f>step3_validation[[#This Row],[AI_ENF2]]</f>
        <v>6</v>
      </c>
      <c r="V383">
        <f t="shared" si="137"/>
        <v>0.55555555555555558</v>
      </c>
      <c r="W383">
        <f>survey_responses[[#This Row],[Tôi tin rằng Nhà nước, cơ quan thuế có đủ khả năng và công nghệ để phát hiện, xử lý nghiêm các hành vi trốn thuế. - HUMAN-ENF2]]</f>
        <v>5</v>
      </c>
      <c r="X383">
        <f t="shared" si="138"/>
        <v>0.44444444444444442</v>
      </c>
      <c r="Y383" s="32">
        <f t="shared" si="139"/>
        <v>0.61111111111111116</v>
      </c>
      <c r="Z383" s="32">
        <f t="shared" si="140"/>
        <v>0.44444444444444442</v>
      </c>
      <c r="AA383">
        <f>step3_validation[[#This Row],[AI_FAC1]]</f>
        <v>9</v>
      </c>
      <c r="AB383">
        <f t="shared" si="141"/>
        <v>0.88888888888888884</v>
      </c>
      <c r="AC383">
        <f>survey_responses[[#This Row],[Các thủ tục khai báo thuế VÀ/HOẶC quy trình làm việc với cơ quan thuế đơn giản, tiện lợi, nhanh chóng hơn so với trước đây. - HUMAN-FAC1]]</f>
        <v>4</v>
      </c>
      <c r="AD383">
        <f t="shared" si="142"/>
        <v>0.33333333333333331</v>
      </c>
      <c r="AE383">
        <f>step3_validation[[#This Row],[AI_FAC2]]</f>
        <v>8</v>
      </c>
      <c r="AF383">
        <f t="shared" si="143"/>
        <v>0.77777777777777779</v>
      </c>
      <c r="AG383">
        <f>survey_responses[[#This Row],[So với trước đây, tôi thấy cách tính thuế và các bậc thuế trong phương án mới đơn giản, dễ hiểu và dễ thực hiện hơn. - HUMAN-FAC2]]</f>
        <v>8</v>
      </c>
      <c r="AH383">
        <f t="shared" si="144"/>
        <v>0.77777777777777779</v>
      </c>
      <c r="AI383" s="32">
        <f t="shared" si="145"/>
        <v>0.83333333333333326</v>
      </c>
      <c r="AJ383" s="32">
        <f t="shared" si="146"/>
        <v>0.55555555555555558</v>
      </c>
      <c r="AK383">
        <f>step3_validation[[#This Row],[AI_TRU1]]</f>
        <v>9</v>
      </c>
      <c r="AL383">
        <f t="shared" si="147"/>
        <v>0.88888888888888884</v>
      </c>
      <c r="AM383">
        <f>survey_responses[[#This Row],[Tôi tin rằng Nhà nước, cơ quan thuế sẽ thực thi chính sách mới một cách khách quan, công tâm và đối xử bình đẳng với mọi người nộp thuế.  - HUMAN-TRU1]]</f>
        <v>4</v>
      </c>
      <c r="AN383">
        <f t="shared" si="148"/>
        <v>0.33333333333333331</v>
      </c>
      <c r="AO383">
        <f>step3_validation[[#This Row],[AI_TRU2]]</f>
        <v>8</v>
      </c>
      <c r="AP383">
        <f t="shared" si="149"/>
        <v>0.77777777777777779</v>
      </c>
      <c r="AQ383">
        <f>survey_responses[[#This Row],[Tôi thấy mức thuế tôi phải đóng theo phương án mới là công bằng (người thu nhập như tôi đóng mức này là hợp lý). - HUMAN-TRU2]]</f>
        <v>8</v>
      </c>
      <c r="AR383">
        <f t="shared" si="150"/>
        <v>0.77777777777777779</v>
      </c>
      <c r="AS383">
        <f>step3_validation[[#This Row],[AI_TRU3]]</f>
        <v>9</v>
      </c>
      <c r="AT383">
        <f t="shared" si="151"/>
        <v>0.88888888888888884</v>
      </c>
      <c r="AU383">
        <f>survey_responses[[#This Row],[Tôi tin tưởng số tiền thuế tôi đóng sẽ được Nhà nước sử dụng hiệu quả để cải thiện dịch vụ công (y tế, đường xá...). - HUMAN-TRU3]]</f>
        <v>4</v>
      </c>
      <c r="AV383">
        <f t="shared" si="152"/>
        <v>0.33333333333333331</v>
      </c>
      <c r="AW383">
        <f>step3_validation[[#This Row],[AI_TRU4]]</f>
        <v>7</v>
      </c>
      <c r="AX383">
        <f t="shared" si="153"/>
        <v>0.66666666666666663</v>
      </c>
      <c r="AY383">
        <f>survey_responses[[#This Row],[Tôi thấy Nhà nước đã giải thích rõ ràng, minh bạch về lý do và mục tiêu của việc sửa đổi thuế lần này. - HUMAN-TRU4]]</f>
        <v>5</v>
      </c>
      <c r="AZ383">
        <f t="shared" si="154"/>
        <v>0.44444444444444442</v>
      </c>
      <c r="BA383" s="32">
        <f t="shared" si="155"/>
        <v>0.80555555555555547</v>
      </c>
      <c r="BB383" s="32">
        <f t="shared" si="156"/>
        <v>0.47222222222222221</v>
      </c>
      <c r="BC383" s="7">
        <f t="shared" si="157"/>
        <v>0.75</v>
      </c>
      <c r="BD383" s="7">
        <f t="shared" si="158"/>
        <v>0.49074074074074076</v>
      </c>
      <c r="BE383">
        <f>step3_validation[[#This Row],[AI_OUT1]]</f>
        <v>9</v>
      </c>
      <c r="BF383">
        <f t="shared" si="159"/>
        <v>0.88888888888888884</v>
      </c>
      <c r="BG383">
        <f>survey_responses[[#This Row],[Sau khi xem xét các quyền lợi và nghĩa vụ, bạn có ủng hộ và tuân thủ chính sách mới hiện nay? - HUMAN-OUT1]]</f>
        <v>7</v>
      </c>
      <c r="BH383">
        <f t="shared" si="160"/>
        <v>0.66666666666666663</v>
      </c>
      <c r="BI383" s="32">
        <f t="shared" si="161"/>
        <v>2</v>
      </c>
    </row>
    <row r="384" spans="1:61" x14ac:dyDescent="0.45">
      <c r="A384" s="30">
        <f>step3_validation[[#This Row],[Persona_ID]]</f>
        <v>383</v>
      </c>
      <c r="B384" s="31">
        <f>step3_validation[[#This Row],[Used_Seed]]</f>
        <v>12727</v>
      </c>
      <c r="C384" t="str">
        <f>step3_validation[[#This Row],[Gender]]</f>
        <v>Nam</v>
      </c>
      <c r="D384" t="str">
        <f>survey_responses[[#This Row],[Giới tính của bạn:]]</f>
        <v>Nam</v>
      </c>
      <c r="E384" t="str">
        <f>step3_validation[[#This Row],[Age_Group]]</f>
        <v>50 - 54</v>
      </c>
      <c r="F384" t="str">
        <f>survey_responses[[#This Row],[Độ tuổi của bạn:]]</f>
        <v>50 - 54</v>
      </c>
      <c r="G384" t="str">
        <f>step3_validation[[#This Row],[Region]]</f>
        <v>Thành thị</v>
      </c>
      <c r="H384" t="str">
        <f>survey_responses[[#This Row],[Khu vực bạn đang sinh sống:]]</f>
        <v>Thành thị</v>
      </c>
      <c r="I384" t="str">
        <f>step3_validation[[#This Row],[Education]]</f>
        <v>Sau Đại học</v>
      </c>
      <c r="J384" t="str">
        <f>survey_responses[[#This Row],[Trình độ học vấn cao nhất:]]</f>
        <v>Sau Đại học</v>
      </c>
      <c r="K384" t="str">
        <f>step3_validation[[#This Row],[Employment]]</f>
        <v>Chính thức</v>
      </c>
      <c r="L384" t="str">
        <f>survey_responses[[#This Row],[Tình trạng việc làm chính:]]</f>
        <v>Khu vực chính thức (Có Hợp đồng lao động, đóng BHXH)</v>
      </c>
      <c r="M384">
        <f>step3_validation[[#This Row],[Income_Mil]]</f>
        <v>90.414380698726006</v>
      </c>
      <c r="N384" t="str">
        <f>survey_responses[[#This Row],[Thu nhập bình quân tháng theo Hợp đồng lao động của bạn là bao nhiêu? (Vui lòng điền tổng thu nhập trước khi khấu trừ các loại Bảo hiểm (BHXH, BHYT, BHTN) và Thuế TNCN)]]</f>
        <v>Từ 70 - 102 triệu VNĐ</v>
      </c>
      <c r="O384">
        <f>step3_validation[[#This Row],[Dependents]]</f>
        <v>2</v>
      </c>
      <c r="P384" t="str">
        <f>survey_responses[[#This Row],[Số người phụ thuộc (con nhỏ, cha mẹ già...) đủ điều kiện giảm trừ gia cảnh:]]</f>
        <v>2 người</v>
      </c>
      <c r="Q384">
        <f>step3_validation[[#This Row],[AI_ENF1]]</f>
        <v>7</v>
      </c>
      <c r="R384">
        <f t="shared" si="135"/>
        <v>0.66666666666666663</v>
      </c>
      <c r="S384">
        <f>survey_responses[[#This Row],[Tôi tin rằng với các quy định quản lý thuế hiện nay, hành vi gian lận hoặc trốn thuế sẽ dễ dàng bị phát hiện và xử lý nghiêm. - HUMAN-ENF1]]</f>
        <v>1</v>
      </c>
      <c r="T384">
        <f t="shared" si="136"/>
        <v>0</v>
      </c>
      <c r="U384">
        <f>step3_validation[[#This Row],[AI_ENF2]]</f>
        <v>8</v>
      </c>
      <c r="V384">
        <f t="shared" si="137"/>
        <v>0.77777777777777779</v>
      </c>
      <c r="W384">
        <f>survey_responses[[#This Row],[Tôi tin rằng Nhà nước, cơ quan thuế có đủ khả năng và công nghệ để phát hiện, xử lý nghiêm các hành vi trốn thuế. - HUMAN-ENF2]]</f>
        <v>1</v>
      </c>
      <c r="X384">
        <f t="shared" si="138"/>
        <v>0</v>
      </c>
      <c r="Y384" s="32">
        <f t="shared" si="139"/>
        <v>0.72222222222222221</v>
      </c>
      <c r="Z384" s="32">
        <f t="shared" si="140"/>
        <v>0</v>
      </c>
      <c r="AA384">
        <f>step3_validation[[#This Row],[AI_FAC1]]</f>
        <v>9</v>
      </c>
      <c r="AB384">
        <f t="shared" si="141"/>
        <v>0.88888888888888884</v>
      </c>
      <c r="AC384">
        <f>survey_responses[[#This Row],[Các thủ tục khai báo thuế VÀ/HOẶC quy trình làm việc với cơ quan thuế đơn giản, tiện lợi, nhanh chóng hơn so với trước đây. - HUMAN-FAC1]]</f>
        <v>4</v>
      </c>
      <c r="AD384">
        <f t="shared" si="142"/>
        <v>0.33333333333333331</v>
      </c>
      <c r="AE384">
        <f>step3_validation[[#This Row],[AI_FAC2]]</f>
        <v>10</v>
      </c>
      <c r="AF384">
        <f t="shared" si="143"/>
        <v>1</v>
      </c>
      <c r="AG384">
        <f>survey_responses[[#This Row],[So với trước đây, tôi thấy cách tính thuế và các bậc thuế trong phương án mới đơn giản, dễ hiểu và dễ thực hiện hơn. - HUMAN-FAC2]]</f>
        <v>5</v>
      </c>
      <c r="AH384">
        <f t="shared" si="144"/>
        <v>0.44444444444444442</v>
      </c>
      <c r="AI384" s="32">
        <f t="shared" si="145"/>
        <v>0.94444444444444442</v>
      </c>
      <c r="AJ384" s="32">
        <f t="shared" si="146"/>
        <v>0.38888888888888884</v>
      </c>
      <c r="AK384">
        <f>step3_validation[[#This Row],[AI_TRU1]]</f>
        <v>9</v>
      </c>
      <c r="AL384">
        <f t="shared" si="147"/>
        <v>0.88888888888888884</v>
      </c>
      <c r="AM384">
        <f>survey_responses[[#This Row],[Tôi tin rằng Nhà nước, cơ quan thuế sẽ thực thi chính sách mới một cách khách quan, công tâm và đối xử bình đẳng với mọi người nộp thuế.  - HUMAN-TRU1]]</f>
        <v>5</v>
      </c>
      <c r="AN384">
        <f t="shared" si="148"/>
        <v>0.44444444444444442</v>
      </c>
      <c r="AO384">
        <f>step3_validation[[#This Row],[AI_TRU2]]</f>
        <v>8</v>
      </c>
      <c r="AP384">
        <f t="shared" si="149"/>
        <v>0.77777777777777779</v>
      </c>
      <c r="AQ384">
        <f>survey_responses[[#This Row],[Tôi thấy mức thuế tôi phải đóng theo phương án mới là công bằng (người thu nhập như tôi đóng mức này là hợp lý). - HUMAN-TRU2]]</f>
        <v>4</v>
      </c>
      <c r="AR384">
        <f t="shared" si="150"/>
        <v>0.33333333333333331</v>
      </c>
      <c r="AS384">
        <f>step3_validation[[#This Row],[AI_TRU3]]</f>
        <v>9</v>
      </c>
      <c r="AT384">
        <f t="shared" si="151"/>
        <v>0.88888888888888884</v>
      </c>
      <c r="AU384">
        <f>survey_responses[[#This Row],[Tôi tin tưởng số tiền thuế tôi đóng sẽ được Nhà nước sử dụng hiệu quả để cải thiện dịch vụ công (y tế, đường xá...). - HUMAN-TRU3]]</f>
        <v>4</v>
      </c>
      <c r="AV384">
        <f t="shared" si="152"/>
        <v>0.33333333333333331</v>
      </c>
      <c r="AW384">
        <f>step3_validation[[#This Row],[AI_TRU4]]</f>
        <v>7</v>
      </c>
      <c r="AX384">
        <f t="shared" si="153"/>
        <v>0.66666666666666663</v>
      </c>
      <c r="AY384">
        <f>survey_responses[[#This Row],[Tôi thấy Nhà nước đã giải thích rõ ràng, minh bạch về lý do và mục tiêu của việc sửa đổi thuế lần này. - HUMAN-TRU4]]</f>
        <v>5</v>
      </c>
      <c r="AZ384">
        <f t="shared" si="154"/>
        <v>0.44444444444444442</v>
      </c>
      <c r="BA384" s="32">
        <f t="shared" si="155"/>
        <v>0.80555555555555547</v>
      </c>
      <c r="BB384" s="32">
        <f t="shared" si="156"/>
        <v>0.38888888888888884</v>
      </c>
      <c r="BC384" s="7">
        <f t="shared" si="157"/>
        <v>0.82407407407407396</v>
      </c>
      <c r="BD384" s="7">
        <f t="shared" si="158"/>
        <v>0.25925925925925924</v>
      </c>
      <c r="BE384">
        <f>step3_validation[[#This Row],[AI_OUT1]]</f>
        <v>9</v>
      </c>
      <c r="BF384">
        <f t="shared" si="159"/>
        <v>0.88888888888888884</v>
      </c>
      <c r="BG384">
        <f>survey_responses[[#This Row],[Sau khi xem xét các quyền lợi và nghĩa vụ, bạn có ủng hộ và tuân thủ chính sách mới hiện nay? - HUMAN-OUT1]]</f>
        <v>3</v>
      </c>
      <c r="BH384">
        <f t="shared" si="160"/>
        <v>0.22222222222222221</v>
      </c>
      <c r="BI384" s="32">
        <f t="shared" si="161"/>
        <v>6</v>
      </c>
    </row>
    <row r="385" spans="1:61" x14ac:dyDescent="0.45">
      <c r="A385" s="30">
        <f>step3_validation[[#This Row],[Persona_ID]]</f>
        <v>384</v>
      </c>
      <c r="B385" s="31">
        <f>step3_validation[[#This Row],[Used_Seed]]</f>
        <v>12728</v>
      </c>
      <c r="C385" t="str">
        <f>step3_validation[[#This Row],[Gender]]</f>
        <v>Nam</v>
      </c>
      <c r="D385" t="str">
        <f>survey_responses[[#This Row],[Giới tính của bạn:]]</f>
        <v>Nam</v>
      </c>
      <c r="E385" t="str">
        <f>step3_validation[[#This Row],[Age_Group]]</f>
        <v>18 - 24</v>
      </c>
      <c r="F385" t="str">
        <f>survey_responses[[#This Row],[Độ tuổi của bạn:]]</f>
        <v>18 - 24</v>
      </c>
      <c r="G385" t="str">
        <f>step3_validation[[#This Row],[Region]]</f>
        <v>Thành thị</v>
      </c>
      <c r="H385" t="str">
        <f>survey_responses[[#This Row],[Khu vực bạn đang sinh sống:]]</f>
        <v>Thành thị</v>
      </c>
      <c r="I385" t="str">
        <f>step3_validation[[#This Row],[Education]]</f>
        <v>Đại học</v>
      </c>
      <c r="J385" t="str">
        <f>survey_responses[[#This Row],[Trình độ học vấn cao nhất:]]</f>
        <v>Đại học</v>
      </c>
      <c r="K385" t="str">
        <f>step3_validation[[#This Row],[Employment]]</f>
        <v>Chính thức</v>
      </c>
      <c r="L385" t="str">
        <f>survey_responses[[#This Row],[Tình trạng việc làm chính:]]</f>
        <v>Khu vực chính thức (Có Hợp đồng lao động, đóng BHXH)</v>
      </c>
      <c r="M385">
        <f>step3_validation[[#This Row],[Income_Mil]]</f>
        <v>12</v>
      </c>
      <c r="N385" t="str">
        <f>survey_responses[[#This Row],[Thu nhập bình quân tháng theo Hợp đồng lao động của bạn là bao nhiêu? (Vui lòng điền tổng thu nhập trước khi khấu trừ các loại Bảo hiểm (BHXH, BHYT, BHTN) và Thuế TNCN)]]</f>
        <v>Dưới 12 triệu VNĐ</v>
      </c>
      <c r="O385">
        <f>step3_validation[[#This Row],[Dependents]]</f>
        <v>0</v>
      </c>
      <c r="P385" t="str">
        <f>survey_responses[[#This Row],[Số người phụ thuộc (con nhỏ, cha mẹ già...) đủ điều kiện giảm trừ gia cảnh:]]</f>
        <v>0 người</v>
      </c>
      <c r="Q385">
        <f>step3_validation[[#This Row],[AI_ENF1]]</f>
        <v>5</v>
      </c>
      <c r="R385">
        <f t="shared" si="135"/>
        <v>0.44444444444444442</v>
      </c>
      <c r="S385">
        <f>survey_responses[[#This Row],[Tôi tin rằng với các quy định quản lý thuế hiện nay, hành vi gian lận hoặc trốn thuế sẽ dễ dàng bị phát hiện và xử lý nghiêm. - HUMAN-ENF1]]</f>
        <v>7</v>
      </c>
      <c r="T385">
        <f t="shared" si="136"/>
        <v>0.66666666666666663</v>
      </c>
      <c r="U385">
        <f>step3_validation[[#This Row],[AI_ENF2]]</f>
        <v>6</v>
      </c>
      <c r="V385">
        <f t="shared" si="137"/>
        <v>0.55555555555555558</v>
      </c>
      <c r="W385">
        <f>survey_responses[[#This Row],[Tôi tin rằng Nhà nước, cơ quan thuế có đủ khả năng và công nghệ để phát hiện, xử lý nghiêm các hành vi trốn thuế. - HUMAN-ENF2]]</f>
        <v>7</v>
      </c>
      <c r="X385">
        <f t="shared" si="138"/>
        <v>0.66666666666666663</v>
      </c>
      <c r="Y385" s="32">
        <f t="shared" si="139"/>
        <v>0.5</v>
      </c>
      <c r="Z385" s="32">
        <f t="shared" si="140"/>
        <v>0.66666666666666663</v>
      </c>
      <c r="AA385">
        <f>step3_validation[[#This Row],[AI_FAC1]]</f>
        <v>9</v>
      </c>
      <c r="AB385">
        <f t="shared" si="141"/>
        <v>0.88888888888888884</v>
      </c>
      <c r="AC385">
        <f>survey_responses[[#This Row],[Các thủ tục khai báo thuế VÀ/HOẶC quy trình làm việc với cơ quan thuế đơn giản, tiện lợi, nhanh chóng hơn so với trước đây. - HUMAN-FAC1]]</f>
        <v>7</v>
      </c>
      <c r="AD385">
        <f t="shared" si="142"/>
        <v>0.66666666666666663</v>
      </c>
      <c r="AE385">
        <f>step3_validation[[#This Row],[AI_FAC2]]</f>
        <v>8</v>
      </c>
      <c r="AF385">
        <f t="shared" si="143"/>
        <v>0.77777777777777779</v>
      </c>
      <c r="AG385">
        <f>survey_responses[[#This Row],[So với trước đây, tôi thấy cách tính thuế và các bậc thuế trong phương án mới đơn giản, dễ hiểu và dễ thực hiện hơn. - HUMAN-FAC2]]</f>
        <v>9</v>
      </c>
      <c r="AH385">
        <f t="shared" si="144"/>
        <v>0.88888888888888884</v>
      </c>
      <c r="AI385" s="32">
        <f t="shared" si="145"/>
        <v>0.83333333333333326</v>
      </c>
      <c r="AJ385" s="32">
        <f t="shared" si="146"/>
        <v>0.77777777777777768</v>
      </c>
      <c r="AK385">
        <f>step3_validation[[#This Row],[AI_TRU1]]</f>
        <v>7</v>
      </c>
      <c r="AL385">
        <f t="shared" si="147"/>
        <v>0.66666666666666663</v>
      </c>
      <c r="AM385">
        <f>survey_responses[[#This Row],[Tôi tin rằng Nhà nước, cơ quan thuế sẽ thực thi chính sách mới một cách khách quan, công tâm và đối xử bình đẳng với mọi người nộp thuế.  - HUMAN-TRU1]]</f>
        <v>8</v>
      </c>
      <c r="AN385">
        <f t="shared" si="148"/>
        <v>0.77777777777777779</v>
      </c>
      <c r="AO385">
        <f>step3_validation[[#This Row],[AI_TRU2]]</f>
        <v>9</v>
      </c>
      <c r="AP385">
        <f t="shared" si="149"/>
        <v>0.88888888888888884</v>
      </c>
      <c r="AQ385">
        <f>survey_responses[[#This Row],[Tôi thấy mức thuế tôi phải đóng theo phương án mới là công bằng (người thu nhập như tôi đóng mức này là hợp lý). - HUMAN-TRU2]]</f>
        <v>10</v>
      </c>
      <c r="AR385">
        <f t="shared" si="150"/>
        <v>1</v>
      </c>
      <c r="AS385">
        <f>step3_validation[[#This Row],[AI_TRU3]]</f>
        <v>8</v>
      </c>
      <c r="AT385">
        <f t="shared" si="151"/>
        <v>0.77777777777777779</v>
      </c>
      <c r="AU385">
        <f>survey_responses[[#This Row],[Tôi tin tưởng số tiền thuế tôi đóng sẽ được Nhà nước sử dụng hiệu quả để cải thiện dịch vụ công (y tế, đường xá...). - HUMAN-TRU3]]</f>
        <v>8</v>
      </c>
      <c r="AV385">
        <f t="shared" si="152"/>
        <v>0.77777777777777779</v>
      </c>
      <c r="AW385">
        <f>step3_validation[[#This Row],[AI_TRU4]]</f>
        <v>9</v>
      </c>
      <c r="AX385">
        <f t="shared" si="153"/>
        <v>0.88888888888888884</v>
      </c>
      <c r="AY385">
        <f>survey_responses[[#This Row],[Tôi thấy Nhà nước đã giải thích rõ ràng, minh bạch về lý do và mục tiêu của việc sửa đổi thuế lần này. - HUMAN-TRU4]]</f>
        <v>7</v>
      </c>
      <c r="AZ385">
        <f t="shared" si="154"/>
        <v>0.66666666666666663</v>
      </c>
      <c r="BA385" s="32">
        <f t="shared" si="155"/>
        <v>0.80555555555555547</v>
      </c>
      <c r="BB385" s="32">
        <f t="shared" si="156"/>
        <v>0.80555555555555547</v>
      </c>
      <c r="BC385" s="7">
        <f t="shared" si="157"/>
        <v>0.71296296296296291</v>
      </c>
      <c r="BD385" s="7">
        <f t="shared" si="158"/>
        <v>0.74999999999999989</v>
      </c>
      <c r="BE385">
        <f>step3_validation[[#This Row],[AI_OUT1]]</f>
        <v>8</v>
      </c>
      <c r="BF385">
        <f t="shared" si="159"/>
        <v>0.77777777777777779</v>
      </c>
      <c r="BG385">
        <f>survey_responses[[#This Row],[Sau khi xem xét các quyền lợi và nghĩa vụ, bạn có ủng hộ và tuân thủ chính sách mới hiện nay? - HUMAN-OUT1]]</f>
        <v>10</v>
      </c>
      <c r="BH385">
        <f t="shared" si="160"/>
        <v>1</v>
      </c>
      <c r="BI385" s="32">
        <f t="shared" si="161"/>
        <v>2</v>
      </c>
    </row>
    <row r="386" spans="1:61" x14ac:dyDescent="0.45">
      <c r="A386" s="30">
        <f>step3_validation[[#This Row],[Persona_ID]]</f>
        <v>385</v>
      </c>
      <c r="B386" s="31">
        <f>step3_validation[[#This Row],[Used_Seed]]</f>
        <v>12729</v>
      </c>
      <c r="C386" t="str">
        <f>step3_validation[[#This Row],[Gender]]</f>
        <v>Nam</v>
      </c>
      <c r="D386" t="str">
        <f>survey_responses[[#This Row],[Giới tính của bạn:]]</f>
        <v>Nam</v>
      </c>
      <c r="E386" t="str">
        <f>step3_validation[[#This Row],[Age_Group]]</f>
        <v>40 - 49</v>
      </c>
      <c r="F386" t="str">
        <f>survey_responses[[#This Row],[Độ tuổi của bạn:]]</f>
        <v>40 - 49</v>
      </c>
      <c r="G386" t="str">
        <f>step3_validation[[#This Row],[Region]]</f>
        <v>Thành thị</v>
      </c>
      <c r="H386" t="str">
        <f>survey_responses[[#This Row],[Khu vực bạn đang sinh sống:]]</f>
        <v>Thành thị</v>
      </c>
      <c r="I386" t="str">
        <f>step3_validation[[#This Row],[Education]]</f>
        <v>Đại học</v>
      </c>
      <c r="J386" t="str">
        <f>survey_responses[[#This Row],[Trình độ học vấn cao nhất:]]</f>
        <v>Đại học</v>
      </c>
      <c r="K386" t="str">
        <f>step3_validation[[#This Row],[Employment]]</f>
        <v>Chính thức</v>
      </c>
      <c r="L386" t="str">
        <f>survey_responses[[#This Row],[Tình trạng việc làm chính:]]</f>
        <v>Khu vực chính thức (Có Hợp đồng lao động, đóng BHXH)</v>
      </c>
      <c r="M386">
        <f>step3_validation[[#This Row],[Income_Mil]]</f>
        <v>37.094163354900736</v>
      </c>
      <c r="N386" t="str">
        <f>survey_responses[[#This Row],[Thu nhập bình quân tháng theo Hợp đồng lao động của bạn là bao nhiêu? (Vui lòng điền tổng thu nhập trước khi khấu trừ các loại Bảo hiểm (BHXH, BHYT, BHTN) và Thuế TNCN)]]</f>
        <v>Từ 32 - 48 triệu VNĐ</v>
      </c>
      <c r="O386">
        <f>step3_validation[[#This Row],[Dependents]]</f>
        <v>2</v>
      </c>
      <c r="P386" t="str">
        <f>survey_responses[[#This Row],[Số người phụ thuộc (con nhỏ, cha mẹ già...) đủ điều kiện giảm trừ gia cảnh:]]</f>
        <v>2 người</v>
      </c>
      <c r="Q386">
        <f>step3_validation[[#This Row],[AI_ENF1]]</f>
        <v>8</v>
      </c>
      <c r="R386">
        <f t="shared" si="135"/>
        <v>0.77777777777777779</v>
      </c>
      <c r="S386">
        <f>survey_responses[[#This Row],[Tôi tin rằng với các quy định quản lý thuế hiện nay, hành vi gian lận hoặc trốn thuế sẽ dễ dàng bị phát hiện và xử lý nghiêm. - HUMAN-ENF1]]</f>
        <v>3</v>
      </c>
      <c r="T386">
        <f t="shared" si="136"/>
        <v>0.22222222222222221</v>
      </c>
      <c r="U386">
        <f>step3_validation[[#This Row],[AI_ENF2]]</f>
        <v>8</v>
      </c>
      <c r="V386">
        <f t="shared" si="137"/>
        <v>0.77777777777777779</v>
      </c>
      <c r="W386">
        <f>survey_responses[[#This Row],[Tôi tin rằng Nhà nước, cơ quan thuế có đủ khả năng và công nghệ để phát hiện, xử lý nghiêm các hành vi trốn thuế. - HUMAN-ENF2]]</f>
        <v>3</v>
      </c>
      <c r="X386">
        <f t="shared" si="138"/>
        <v>0.22222222222222221</v>
      </c>
      <c r="Y386" s="32">
        <f t="shared" si="139"/>
        <v>0.77777777777777779</v>
      </c>
      <c r="Z386" s="32">
        <f t="shared" si="140"/>
        <v>0.22222222222222221</v>
      </c>
      <c r="AA386">
        <f>step3_validation[[#This Row],[AI_FAC1]]</f>
        <v>9</v>
      </c>
      <c r="AB386">
        <f t="shared" si="141"/>
        <v>0.88888888888888884</v>
      </c>
      <c r="AC386">
        <f>survey_responses[[#This Row],[Các thủ tục khai báo thuế VÀ/HOẶC quy trình làm việc với cơ quan thuế đơn giản, tiện lợi, nhanh chóng hơn so với trước đây. - HUMAN-FAC1]]</f>
        <v>4</v>
      </c>
      <c r="AD386">
        <f t="shared" si="142"/>
        <v>0.33333333333333331</v>
      </c>
      <c r="AE386">
        <f>step3_validation[[#This Row],[AI_FAC2]]</f>
        <v>10</v>
      </c>
      <c r="AF386">
        <f t="shared" si="143"/>
        <v>1</v>
      </c>
      <c r="AG386">
        <f>survey_responses[[#This Row],[So với trước đây, tôi thấy cách tính thuế và các bậc thuế trong phương án mới đơn giản, dễ hiểu và dễ thực hiện hơn. - HUMAN-FAC2]]</f>
        <v>6</v>
      </c>
      <c r="AH386">
        <f t="shared" si="144"/>
        <v>0.55555555555555558</v>
      </c>
      <c r="AI386" s="32">
        <f t="shared" si="145"/>
        <v>0.94444444444444442</v>
      </c>
      <c r="AJ386" s="32">
        <f t="shared" si="146"/>
        <v>0.44444444444444442</v>
      </c>
      <c r="AK386">
        <f>step3_validation[[#This Row],[AI_TRU1]]</f>
        <v>9</v>
      </c>
      <c r="AL386">
        <f t="shared" si="147"/>
        <v>0.88888888888888884</v>
      </c>
      <c r="AM386">
        <f>survey_responses[[#This Row],[Tôi tin rằng Nhà nước, cơ quan thuế sẽ thực thi chính sách mới một cách khách quan, công tâm và đối xử bình đẳng với mọi người nộp thuế.  - HUMAN-TRU1]]</f>
        <v>4</v>
      </c>
      <c r="AN386">
        <f t="shared" si="148"/>
        <v>0.33333333333333331</v>
      </c>
      <c r="AO386">
        <f>step3_validation[[#This Row],[AI_TRU2]]</f>
        <v>9</v>
      </c>
      <c r="AP386">
        <f t="shared" si="149"/>
        <v>0.88888888888888884</v>
      </c>
      <c r="AQ386">
        <f>survey_responses[[#This Row],[Tôi thấy mức thuế tôi phải đóng theo phương án mới là công bằng (người thu nhập như tôi đóng mức này là hợp lý). - HUMAN-TRU2]]</f>
        <v>5</v>
      </c>
      <c r="AR386">
        <f t="shared" si="150"/>
        <v>0.44444444444444442</v>
      </c>
      <c r="AS386">
        <f>step3_validation[[#This Row],[AI_TRU3]]</f>
        <v>8</v>
      </c>
      <c r="AT386">
        <f t="shared" si="151"/>
        <v>0.77777777777777779</v>
      </c>
      <c r="AU386">
        <f>survey_responses[[#This Row],[Tôi tin tưởng số tiền thuế tôi đóng sẽ được Nhà nước sử dụng hiệu quả để cải thiện dịch vụ công (y tế, đường xá...). - HUMAN-TRU3]]</f>
        <v>4</v>
      </c>
      <c r="AV386">
        <f t="shared" si="152"/>
        <v>0.33333333333333331</v>
      </c>
      <c r="AW386">
        <f>step3_validation[[#This Row],[AI_TRU4]]</f>
        <v>9</v>
      </c>
      <c r="AX386">
        <f t="shared" si="153"/>
        <v>0.88888888888888884</v>
      </c>
      <c r="AY386">
        <f>survey_responses[[#This Row],[Tôi thấy Nhà nước đã giải thích rõ ràng, minh bạch về lý do và mục tiêu của việc sửa đổi thuế lần này. - HUMAN-TRU4]]</f>
        <v>5</v>
      </c>
      <c r="AZ386">
        <f t="shared" si="154"/>
        <v>0.44444444444444442</v>
      </c>
      <c r="BA386" s="32">
        <f t="shared" si="155"/>
        <v>0.86111111111111105</v>
      </c>
      <c r="BB386" s="32">
        <f t="shared" si="156"/>
        <v>0.38888888888888884</v>
      </c>
      <c r="BC386" s="7">
        <f t="shared" si="157"/>
        <v>0.86111111111111116</v>
      </c>
      <c r="BD386" s="7">
        <f t="shared" si="158"/>
        <v>0.3518518518518518</v>
      </c>
      <c r="BE386">
        <f>step3_validation[[#This Row],[AI_OUT1]]</f>
        <v>10</v>
      </c>
      <c r="BF386">
        <f t="shared" si="159"/>
        <v>1</v>
      </c>
      <c r="BG386">
        <f>survey_responses[[#This Row],[Sau khi xem xét các quyền lợi và nghĩa vụ, bạn có ủng hộ và tuân thủ chính sách mới hiện nay? - HUMAN-OUT1]]</f>
        <v>5</v>
      </c>
      <c r="BH386">
        <f t="shared" si="160"/>
        <v>0.44444444444444442</v>
      </c>
      <c r="BI386" s="32">
        <f t="shared" si="161"/>
        <v>5</v>
      </c>
    </row>
    <row r="387" spans="1:61" x14ac:dyDescent="0.45">
      <c r="A387" s="30">
        <f>step3_validation[[#This Row],[Persona_ID]]</f>
        <v>386</v>
      </c>
      <c r="B387" s="31">
        <f>step3_validation[[#This Row],[Used_Seed]]</f>
        <v>12730</v>
      </c>
      <c r="C387" t="str">
        <f>step3_validation[[#This Row],[Gender]]</f>
        <v>Nữ</v>
      </c>
      <c r="D387" t="str">
        <f>survey_responses[[#This Row],[Giới tính của bạn:]]</f>
        <v>Nữ</v>
      </c>
      <c r="E387" t="str">
        <f>step3_validation[[#This Row],[Age_Group]]</f>
        <v>25 - 29</v>
      </c>
      <c r="F387" t="str">
        <f>survey_responses[[#This Row],[Độ tuổi của bạn:]]</f>
        <v>25 - 29</v>
      </c>
      <c r="G387" t="str">
        <f>step3_validation[[#This Row],[Region]]</f>
        <v>Thành thị</v>
      </c>
      <c r="H387" t="str">
        <f>survey_responses[[#This Row],[Khu vực bạn đang sinh sống:]]</f>
        <v>Thành thị</v>
      </c>
      <c r="I387" t="str">
        <f>step3_validation[[#This Row],[Education]]</f>
        <v>Sau Đại học</v>
      </c>
      <c r="J387" t="str">
        <f>survey_responses[[#This Row],[Trình độ học vấn cao nhất:]]</f>
        <v>Sau Đại học</v>
      </c>
      <c r="K387" t="str">
        <f>step3_validation[[#This Row],[Employment]]</f>
        <v>Chính thức</v>
      </c>
      <c r="L387" t="str">
        <f>survey_responses[[#This Row],[Tình trạng việc làm chính:]]</f>
        <v>Khu vực chính thức (Có Hợp đồng lao động, đóng BHXH)</v>
      </c>
      <c r="M387">
        <f>step3_validation[[#This Row],[Income_Mil]]</f>
        <v>29.255482617924837</v>
      </c>
      <c r="N387" t="str">
        <f>survey_responses[[#This Row],[Thu nhập bình quân tháng theo Hợp đồng lao động của bạn là bao nhiêu? (Vui lòng điền tổng thu nhập trước khi khấu trừ các loại Bảo hiểm (BHXH, BHYT, BHTN) và Thuế TNCN)]]</f>
        <v>Từ 23 - 32 triệu VNĐ</v>
      </c>
      <c r="O387">
        <f>step3_validation[[#This Row],[Dependents]]</f>
        <v>0</v>
      </c>
      <c r="P387" t="str">
        <f>survey_responses[[#This Row],[Số người phụ thuộc (con nhỏ, cha mẹ già...) đủ điều kiện giảm trừ gia cảnh:]]</f>
        <v>0 người</v>
      </c>
      <c r="Q387">
        <f>step3_validation[[#This Row],[AI_ENF1]]</f>
        <v>5</v>
      </c>
      <c r="R387">
        <f t="shared" ref="R387:R404" si="162">(Q387-1)/9</f>
        <v>0.44444444444444442</v>
      </c>
      <c r="S387">
        <f>survey_responses[[#This Row],[Tôi tin rằng với các quy định quản lý thuế hiện nay, hành vi gian lận hoặc trốn thuế sẽ dễ dàng bị phát hiện và xử lý nghiêm. - HUMAN-ENF1]]</f>
        <v>8</v>
      </c>
      <c r="T387">
        <f t="shared" ref="T387:T404" si="163">(S387-1)/9</f>
        <v>0.77777777777777779</v>
      </c>
      <c r="U387">
        <f>step3_validation[[#This Row],[AI_ENF2]]</f>
        <v>6</v>
      </c>
      <c r="V387">
        <f t="shared" ref="V387:V404" si="164">(U387-1)/9</f>
        <v>0.55555555555555558</v>
      </c>
      <c r="W387">
        <f>survey_responses[[#This Row],[Tôi tin rằng Nhà nước, cơ quan thuế có đủ khả năng và công nghệ để phát hiện, xử lý nghiêm các hành vi trốn thuế. - HUMAN-ENF2]]</f>
        <v>8</v>
      </c>
      <c r="X387">
        <f t="shared" ref="X387:X404" si="165">(W387-1)/9</f>
        <v>0.77777777777777779</v>
      </c>
      <c r="Y387" s="32">
        <f t="shared" ref="Y387:Y404" si="166">AVERAGE(R387,V387)</f>
        <v>0.5</v>
      </c>
      <c r="Z387" s="32">
        <f t="shared" ref="Z387:Z404" si="167">AVERAGE(T387,X387)</f>
        <v>0.77777777777777779</v>
      </c>
      <c r="AA387">
        <f>step3_validation[[#This Row],[AI_FAC1]]</f>
        <v>8</v>
      </c>
      <c r="AB387">
        <f t="shared" ref="AB387:AB404" si="168">(AA387-1)/9</f>
        <v>0.77777777777777779</v>
      </c>
      <c r="AC387">
        <f>survey_responses[[#This Row],[Các thủ tục khai báo thuế VÀ/HOẶC quy trình làm việc với cơ quan thuế đơn giản, tiện lợi, nhanh chóng hơn so với trước đây. - HUMAN-FAC1]]</f>
        <v>9</v>
      </c>
      <c r="AD387">
        <f t="shared" ref="AD387:AD404" si="169">(AC387-1)/9</f>
        <v>0.88888888888888884</v>
      </c>
      <c r="AE387">
        <f>step3_validation[[#This Row],[AI_FAC2]]</f>
        <v>9</v>
      </c>
      <c r="AF387">
        <f t="shared" ref="AF387:AF404" si="170">(AE387-1)/9</f>
        <v>0.88888888888888884</v>
      </c>
      <c r="AG387">
        <f>survey_responses[[#This Row],[So với trước đây, tôi thấy cách tính thuế và các bậc thuế trong phương án mới đơn giản, dễ hiểu và dễ thực hiện hơn. - HUMAN-FAC2]]</f>
        <v>8</v>
      </c>
      <c r="AH387">
        <f t="shared" ref="AH387:AH404" si="171">(AG387-1)/9</f>
        <v>0.77777777777777779</v>
      </c>
      <c r="AI387" s="32">
        <f t="shared" ref="AI387:AI404" si="172">AVERAGE(AB387,AF387)</f>
        <v>0.83333333333333326</v>
      </c>
      <c r="AJ387" s="32">
        <f t="shared" ref="AJ387:AJ404" si="173">AVERAGE(AD387,AH387)</f>
        <v>0.83333333333333326</v>
      </c>
      <c r="AK387">
        <f>step3_validation[[#This Row],[AI_TRU1]]</f>
        <v>7</v>
      </c>
      <c r="AL387">
        <f t="shared" ref="AL387:AL404" si="174">(AK387-1)/9</f>
        <v>0.66666666666666663</v>
      </c>
      <c r="AM387">
        <f>survey_responses[[#This Row],[Tôi tin rằng Nhà nước, cơ quan thuế sẽ thực thi chính sách mới một cách khách quan, công tâm và đối xử bình đẳng với mọi người nộp thuế.  - HUMAN-TRU1]]</f>
        <v>7</v>
      </c>
      <c r="AN387">
        <f t="shared" ref="AN387:AN404" si="175">(AM387-1)/9</f>
        <v>0.66666666666666663</v>
      </c>
      <c r="AO387">
        <f>step3_validation[[#This Row],[AI_TRU2]]</f>
        <v>9</v>
      </c>
      <c r="AP387">
        <f t="shared" ref="AP387:AP404" si="176">(AO387-1)/9</f>
        <v>0.88888888888888884</v>
      </c>
      <c r="AQ387">
        <f>survey_responses[[#This Row],[Tôi thấy mức thuế tôi phải đóng theo phương án mới là công bằng (người thu nhập như tôi đóng mức này là hợp lý). - HUMAN-TRU2]]</f>
        <v>8</v>
      </c>
      <c r="AR387">
        <f t="shared" ref="AR387:AR404" si="177">(AQ387-1)/9</f>
        <v>0.77777777777777779</v>
      </c>
      <c r="AS387">
        <f>step3_validation[[#This Row],[AI_TRU3]]</f>
        <v>7</v>
      </c>
      <c r="AT387">
        <f t="shared" ref="AT387:AT404" si="178">(AS387-1)/9</f>
        <v>0.66666666666666663</v>
      </c>
      <c r="AU387">
        <f>survey_responses[[#This Row],[Tôi tin tưởng số tiền thuế tôi đóng sẽ được Nhà nước sử dụng hiệu quả để cải thiện dịch vụ công (y tế, đường xá...). - HUMAN-TRU3]]</f>
        <v>7</v>
      </c>
      <c r="AV387">
        <f t="shared" ref="AV387:AV404" si="179">(AU387-1)/9</f>
        <v>0.66666666666666663</v>
      </c>
      <c r="AW387">
        <f>step3_validation[[#This Row],[AI_TRU4]]</f>
        <v>8</v>
      </c>
      <c r="AX387">
        <f t="shared" ref="AX387:AX404" si="180">(AW387-1)/9</f>
        <v>0.77777777777777779</v>
      </c>
      <c r="AY387">
        <f>survey_responses[[#This Row],[Tôi thấy Nhà nước đã giải thích rõ ràng, minh bạch về lý do và mục tiêu của việc sửa đổi thuế lần này. - HUMAN-TRU4]]</f>
        <v>7</v>
      </c>
      <c r="AZ387">
        <f t="shared" ref="AZ387:AZ404" si="181">(AY387-1)/9</f>
        <v>0.66666666666666663</v>
      </c>
      <c r="BA387" s="32">
        <f t="shared" ref="BA387:BA404" si="182">AVERAGE(AL387,AP387,AT387,AX387)</f>
        <v>0.74999999999999989</v>
      </c>
      <c r="BB387" s="32">
        <f t="shared" ref="BB387:BB404" si="183">AVERAGE(AN387,AR387,AV387,AZ387)</f>
        <v>0.69444444444444442</v>
      </c>
      <c r="BC387" s="7">
        <f t="shared" ref="BC387:BC404" si="184">(Y387+AI387+BA387)/3</f>
        <v>0.69444444444444431</v>
      </c>
      <c r="BD387" s="7">
        <f t="shared" ref="BD387:BD404" si="185">(Z387+AJ387+BB387)/3</f>
        <v>0.76851851851851849</v>
      </c>
      <c r="BE387">
        <f>step3_validation[[#This Row],[AI_OUT1]]</f>
        <v>7</v>
      </c>
      <c r="BF387">
        <f t="shared" ref="BF387:BF404" si="186">(BE387-1)/9</f>
        <v>0.66666666666666663</v>
      </c>
      <c r="BG387">
        <f>survey_responses[[#This Row],[Sau khi xem xét các quyền lợi và nghĩa vụ, bạn có ủng hộ và tuân thủ chính sách mới hiện nay? - HUMAN-OUT1]]</f>
        <v>8</v>
      </c>
      <c r="BH387">
        <f t="shared" ref="BH387:BH404" si="187">(BG387-1)/9</f>
        <v>0.77777777777777779</v>
      </c>
      <c r="BI387" s="32">
        <f t="shared" ref="BI387:BI404" si="188">ABS(BG387-BE387)</f>
        <v>1</v>
      </c>
    </row>
    <row r="388" spans="1:61" x14ac:dyDescent="0.45">
      <c r="A388" s="30">
        <f>step3_validation[[#This Row],[Persona_ID]]</f>
        <v>387</v>
      </c>
      <c r="B388" s="31">
        <f>step3_validation[[#This Row],[Used_Seed]]</f>
        <v>12731</v>
      </c>
      <c r="C388" t="str">
        <f>step3_validation[[#This Row],[Gender]]</f>
        <v>Nam</v>
      </c>
      <c r="D388" t="str">
        <f>survey_responses[[#This Row],[Giới tính của bạn:]]</f>
        <v>Nam</v>
      </c>
      <c r="E388" t="str">
        <f>step3_validation[[#This Row],[Age_Group]]</f>
        <v>30 - 39</v>
      </c>
      <c r="F388" t="str">
        <f>survey_responses[[#This Row],[Độ tuổi của bạn:]]</f>
        <v>30 - 39</v>
      </c>
      <c r="G388" t="str">
        <f>step3_validation[[#This Row],[Region]]</f>
        <v>Thành thị</v>
      </c>
      <c r="H388" t="str">
        <f>survey_responses[[#This Row],[Khu vực bạn đang sinh sống:]]</f>
        <v>Thành thị</v>
      </c>
      <c r="I388" t="str">
        <f>step3_validation[[#This Row],[Education]]</f>
        <v>Đại học</v>
      </c>
      <c r="J388" t="str">
        <f>survey_responses[[#This Row],[Trình độ học vấn cao nhất:]]</f>
        <v>Đại học</v>
      </c>
      <c r="K388" t="str">
        <f>step3_validation[[#This Row],[Employment]]</f>
        <v>Chính thức</v>
      </c>
      <c r="L388" t="str">
        <f>survey_responses[[#This Row],[Tình trạng việc làm chính:]]</f>
        <v>Khu vực chính thức (Có Hợp đồng lao động, đóng BHXH)</v>
      </c>
      <c r="M388">
        <f>step3_validation[[#This Row],[Income_Mil]]</f>
        <v>55.697175084285476</v>
      </c>
      <c r="N388" t="str">
        <f>survey_responses[[#This Row],[Thu nhập bình quân tháng theo Hợp đồng lao động của bạn là bao nhiêu? (Vui lòng điền tổng thu nhập trước khi khấu trừ các loại Bảo hiểm (BHXH, BHYT, BHTN) và Thuế TNCN)]]</f>
        <v>Từ 48 - 70 triệu VNĐ</v>
      </c>
      <c r="O388">
        <f>step3_validation[[#This Row],[Dependents]]</f>
        <v>2</v>
      </c>
      <c r="P388" t="str">
        <f>survey_responses[[#This Row],[Số người phụ thuộc (con nhỏ, cha mẹ già...) đủ điều kiện giảm trừ gia cảnh:]]</f>
        <v>2 người</v>
      </c>
      <c r="Q388">
        <f>step3_validation[[#This Row],[AI_ENF1]]</f>
        <v>7</v>
      </c>
      <c r="R388">
        <f t="shared" si="162"/>
        <v>0.66666666666666663</v>
      </c>
      <c r="S388">
        <f>survey_responses[[#This Row],[Tôi tin rằng với các quy định quản lý thuế hiện nay, hành vi gian lận hoặc trốn thuế sẽ dễ dàng bị phát hiện và xử lý nghiêm. - HUMAN-ENF1]]</f>
        <v>5</v>
      </c>
      <c r="T388">
        <f t="shared" si="163"/>
        <v>0.44444444444444442</v>
      </c>
      <c r="U388">
        <f>step3_validation[[#This Row],[AI_ENF2]]</f>
        <v>6</v>
      </c>
      <c r="V388">
        <f t="shared" si="164"/>
        <v>0.55555555555555558</v>
      </c>
      <c r="W388">
        <f>survey_responses[[#This Row],[Tôi tin rằng Nhà nước, cơ quan thuế có đủ khả năng và công nghệ để phát hiện, xử lý nghiêm các hành vi trốn thuế. - HUMAN-ENF2]]</f>
        <v>5</v>
      </c>
      <c r="X388">
        <f t="shared" si="165"/>
        <v>0.44444444444444442</v>
      </c>
      <c r="Y388" s="32">
        <f t="shared" si="166"/>
        <v>0.61111111111111116</v>
      </c>
      <c r="Z388" s="32">
        <f t="shared" si="167"/>
        <v>0.44444444444444442</v>
      </c>
      <c r="AA388">
        <f>step3_validation[[#This Row],[AI_FAC1]]</f>
        <v>8</v>
      </c>
      <c r="AB388">
        <f t="shared" si="168"/>
        <v>0.77777777777777779</v>
      </c>
      <c r="AC388">
        <f>survey_responses[[#This Row],[Các thủ tục khai báo thuế VÀ/HOẶC quy trình làm việc với cơ quan thuế đơn giản, tiện lợi, nhanh chóng hơn so với trước đây. - HUMAN-FAC1]]</f>
        <v>5</v>
      </c>
      <c r="AD388">
        <f t="shared" si="169"/>
        <v>0.44444444444444442</v>
      </c>
      <c r="AE388">
        <f>step3_validation[[#This Row],[AI_FAC2]]</f>
        <v>9</v>
      </c>
      <c r="AF388">
        <f t="shared" si="170"/>
        <v>0.88888888888888884</v>
      </c>
      <c r="AG388">
        <f>survey_responses[[#This Row],[So với trước đây, tôi thấy cách tính thuế và các bậc thuế trong phương án mới đơn giản, dễ hiểu và dễ thực hiện hơn. - HUMAN-FAC2]]</f>
        <v>5</v>
      </c>
      <c r="AH388">
        <f t="shared" si="171"/>
        <v>0.44444444444444442</v>
      </c>
      <c r="AI388" s="32">
        <f t="shared" si="172"/>
        <v>0.83333333333333326</v>
      </c>
      <c r="AJ388" s="32">
        <f t="shared" si="173"/>
        <v>0.44444444444444442</v>
      </c>
      <c r="AK388">
        <f>step3_validation[[#This Row],[AI_TRU1]]</f>
        <v>7</v>
      </c>
      <c r="AL388">
        <f t="shared" si="174"/>
        <v>0.66666666666666663</v>
      </c>
      <c r="AM388">
        <f>survey_responses[[#This Row],[Tôi tin rằng Nhà nước, cơ quan thuế sẽ thực thi chính sách mới một cách khách quan, công tâm và đối xử bình đẳng với mọi người nộp thuế.  - HUMAN-TRU1]]</f>
        <v>5</v>
      </c>
      <c r="AN388">
        <f t="shared" si="175"/>
        <v>0.44444444444444442</v>
      </c>
      <c r="AO388">
        <f>step3_validation[[#This Row],[AI_TRU2]]</f>
        <v>9</v>
      </c>
      <c r="AP388">
        <f t="shared" si="176"/>
        <v>0.88888888888888884</v>
      </c>
      <c r="AQ388">
        <f>survey_responses[[#This Row],[Tôi thấy mức thuế tôi phải đóng theo phương án mới là công bằng (người thu nhập như tôi đóng mức này là hợp lý). - HUMAN-TRU2]]</f>
        <v>5</v>
      </c>
      <c r="AR388">
        <f t="shared" si="177"/>
        <v>0.44444444444444442</v>
      </c>
      <c r="AS388">
        <f>step3_validation[[#This Row],[AI_TRU3]]</f>
        <v>7</v>
      </c>
      <c r="AT388">
        <f t="shared" si="178"/>
        <v>0.66666666666666663</v>
      </c>
      <c r="AU388">
        <f>survey_responses[[#This Row],[Tôi tin tưởng số tiền thuế tôi đóng sẽ được Nhà nước sử dụng hiệu quả để cải thiện dịch vụ công (y tế, đường xá...). - HUMAN-TRU3]]</f>
        <v>5</v>
      </c>
      <c r="AV388">
        <f t="shared" si="179"/>
        <v>0.44444444444444442</v>
      </c>
      <c r="AW388">
        <f>step3_validation[[#This Row],[AI_TRU4]]</f>
        <v>8</v>
      </c>
      <c r="AX388">
        <f t="shared" si="180"/>
        <v>0.77777777777777779</v>
      </c>
      <c r="AY388">
        <f>survey_responses[[#This Row],[Tôi thấy Nhà nước đã giải thích rõ ràng, minh bạch về lý do và mục tiêu của việc sửa đổi thuế lần này. - HUMAN-TRU4]]</f>
        <v>5</v>
      </c>
      <c r="AZ388">
        <f t="shared" si="181"/>
        <v>0.44444444444444442</v>
      </c>
      <c r="BA388" s="32">
        <f t="shared" si="182"/>
        <v>0.74999999999999989</v>
      </c>
      <c r="BB388" s="32">
        <f t="shared" si="183"/>
        <v>0.44444444444444442</v>
      </c>
      <c r="BC388" s="7">
        <f t="shared" si="184"/>
        <v>0.7314814814814814</v>
      </c>
      <c r="BD388" s="7">
        <f t="shared" si="185"/>
        <v>0.44444444444444442</v>
      </c>
      <c r="BE388">
        <f>step3_validation[[#This Row],[AI_OUT1]]</f>
        <v>9</v>
      </c>
      <c r="BF388">
        <f t="shared" si="186"/>
        <v>0.88888888888888884</v>
      </c>
      <c r="BG388">
        <f>survey_responses[[#This Row],[Sau khi xem xét các quyền lợi và nghĩa vụ, bạn có ủng hộ và tuân thủ chính sách mới hiện nay? - HUMAN-OUT1]]</f>
        <v>5</v>
      </c>
      <c r="BH388">
        <f t="shared" si="187"/>
        <v>0.44444444444444442</v>
      </c>
      <c r="BI388" s="32">
        <f t="shared" si="188"/>
        <v>4</v>
      </c>
    </row>
    <row r="389" spans="1:61" x14ac:dyDescent="0.45">
      <c r="A389" s="30">
        <f>step3_validation[[#This Row],[Persona_ID]]</f>
        <v>388</v>
      </c>
      <c r="B389" s="31">
        <f>step3_validation[[#This Row],[Used_Seed]]</f>
        <v>12732</v>
      </c>
      <c r="C389" t="str">
        <f>step3_validation[[#This Row],[Gender]]</f>
        <v>Nam</v>
      </c>
      <c r="D389" t="str">
        <f>survey_responses[[#This Row],[Giới tính của bạn:]]</f>
        <v>Nam</v>
      </c>
      <c r="E389" t="str">
        <f>step3_validation[[#This Row],[Age_Group]]</f>
        <v>18 - 24</v>
      </c>
      <c r="F389" t="str">
        <f>survey_responses[[#This Row],[Độ tuổi của bạn:]]</f>
        <v>18 - 24</v>
      </c>
      <c r="G389" t="str">
        <f>step3_validation[[#This Row],[Region]]</f>
        <v>Thành thị</v>
      </c>
      <c r="H389" t="str">
        <f>survey_responses[[#This Row],[Khu vực bạn đang sinh sống:]]</f>
        <v>Thành thị</v>
      </c>
      <c r="I389" t="str">
        <f>step3_validation[[#This Row],[Education]]</f>
        <v>Đại học</v>
      </c>
      <c r="J389" t="str">
        <f>survey_responses[[#This Row],[Trình độ học vấn cao nhất:]]</f>
        <v>Đại học</v>
      </c>
      <c r="K389" t="str">
        <f>step3_validation[[#This Row],[Employment]]</f>
        <v>Chính thức</v>
      </c>
      <c r="L389" t="str">
        <f>survey_responses[[#This Row],[Tình trạng việc làm chính:]]</f>
        <v>Khu vực chính thức (Có Hợp đồng lao động, đóng BHXH)</v>
      </c>
      <c r="M389">
        <f>step3_validation[[#This Row],[Income_Mil]]</f>
        <v>15.020886174324577</v>
      </c>
      <c r="N389" t="str">
        <f>survey_responses[[#This Row],[Thu nhập bình quân tháng theo Hợp đồng lao động của bạn là bao nhiêu? (Vui lòng điền tổng thu nhập trước khi khấu trừ các loại Bảo hiểm (BHXH, BHYT, BHTN) và Thuế TNCN)]]</f>
        <v>Từ 12 - 18 triệu VNĐ</v>
      </c>
      <c r="O389">
        <f>step3_validation[[#This Row],[Dependents]]</f>
        <v>0</v>
      </c>
      <c r="P389" t="str">
        <f>survey_responses[[#This Row],[Số người phụ thuộc (con nhỏ, cha mẹ già...) đủ điều kiện giảm trừ gia cảnh:]]</f>
        <v>0 người</v>
      </c>
      <c r="Q389">
        <f>step3_validation[[#This Row],[AI_ENF1]]</f>
        <v>9</v>
      </c>
      <c r="R389">
        <f t="shared" si="162"/>
        <v>0.88888888888888884</v>
      </c>
      <c r="S389">
        <f>survey_responses[[#This Row],[Tôi tin rằng với các quy định quản lý thuế hiện nay, hành vi gian lận hoặc trốn thuế sẽ dễ dàng bị phát hiện và xử lý nghiêm. - HUMAN-ENF1]]</f>
        <v>7</v>
      </c>
      <c r="T389">
        <f t="shared" si="163"/>
        <v>0.66666666666666663</v>
      </c>
      <c r="U389">
        <f>step3_validation[[#This Row],[AI_ENF2]]</f>
        <v>8</v>
      </c>
      <c r="V389">
        <f t="shared" si="164"/>
        <v>0.77777777777777779</v>
      </c>
      <c r="W389">
        <f>survey_responses[[#This Row],[Tôi tin rằng Nhà nước, cơ quan thuế có đủ khả năng và công nghệ để phát hiện, xử lý nghiêm các hành vi trốn thuế. - HUMAN-ENF2]]</f>
        <v>7</v>
      </c>
      <c r="X389">
        <f t="shared" si="165"/>
        <v>0.66666666666666663</v>
      </c>
      <c r="Y389" s="32">
        <f t="shared" si="166"/>
        <v>0.83333333333333326</v>
      </c>
      <c r="Z389" s="32">
        <f t="shared" si="167"/>
        <v>0.66666666666666663</v>
      </c>
      <c r="AA389">
        <f>step3_validation[[#This Row],[AI_FAC1]]</f>
        <v>9</v>
      </c>
      <c r="AB389">
        <f t="shared" si="168"/>
        <v>0.88888888888888884</v>
      </c>
      <c r="AC389">
        <f>survey_responses[[#This Row],[Các thủ tục khai báo thuế VÀ/HOẶC quy trình làm việc với cơ quan thuế đơn giản, tiện lợi, nhanh chóng hơn so với trước đây. - HUMAN-FAC1]]</f>
        <v>5</v>
      </c>
      <c r="AD389">
        <f t="shared" si="169"/>
        <v>0.44444444444444442</v>
      </c>
      <c r="AE389">
        <f>step3_validation[[#This Row],[AI_FAC2]]</f>
        <v>8</v>
      </c>
      <c r="AF389">
        <f t="shared" si="170"/>
        <v>0.77777777777777779</v>
      </c>
      <c r="AG389">
        <f>survey_responses[[#This Row],[So với trước đây, tôi thấy cách tính thuế và các bậc thuế trong phương án mới đơn giản, dễ hiểu và dễ thực hiện hơn. - HUMAN-FAC2]]</f>
        <v>8</v>
      </c>
      <c r="AH389">
        <f t="shared" si="171"/>
        <v>0.77777777777777779</v>
      </c>
      <c r="AI389" s="32">
        <f t="shared" si="172"/>
        <v>0.83333333333333326</v>
      </c>
      <c r="AJ389" s="32">
        <f t="shared" si="173"/>
        <v>0.61111111111111116</v>
      </c>
      <c r="AK389">
        <f>step3_validation[[#This Row],[AI_TRU1]]</f>
        <v>9</v>
      </c>
      <c r="AL389">
        <f t="shared" si="174"/>
        <v>0.88888888888888884</v>
      </c>
      <c r="AM389">
        <f>survey_responses[[#This Row],[Tôi tin rằng Nhà nước, cơ quan thuế sẽ thực thi chính sách mới một cách khách quan, công tâm và đối xử bình đẳng với mọi người nộp thuế.  - HUMAN-TRU1]]</f>
        <v>6</v>
      </c>
      <c r="AN389">
        <f t="shared" si="175"/>
        <v>0.55555555555555558</v>
      </c>
      <c r="AO389">
        <f>step3_validation[[#This Row],[AI_TRU2]]</f>
        <v>8</v>
      </c>
      <c r="AP389">
        <f t="shared" si="176"/>
        <v>0.77777777777777779</v>
      </c>
      <c r="AQ389">
        <f>survey_responses[[#This Row],[Tôi thấy mức thuế tôi phải đóng theo phương án mới là công bằng (người thu nhập như tôi đóng mức này là hợp lý). - HUMAN-TRU2]]</f>
        <v>8</v>
      </c>
      <c r="AR389">
        <f t="shared" si="177"/>
        <v>0.77777777777777779</v>
      </c>
      <c r="AS389">
        <f>step3_validation[[#This Row],[AI_TRU3]]</f>
        <v>9</v>
      </c>
      <c r="AT389">
        <f t="shared" si="178"/>
        <v>0.88888888888888884</v>
      </c>
      <c r="AU389">
        <f>survey_responses[[#This Row],[Tôi tin tưởng số tiền thuế tôi đóng sẽ được Nhà nước sử dụng hiệu quả để cải thiện dịch vụ công (y tế, đường xá...). - HUMAN-TRU3]]</f>
        <v>5</v>
      </c>
      <c r="AV389">
        <f t="shared" si="179"/>
        <v>0.44444444444444442</v>
      </c>
      <c r="AW389">
        <f>step3_validation[[#This Row],[AI_TRU4]]</f>
        <v>8</v>
      </c>
      <c r="AX389">
        <f t="shared" si="180"/>
        <v>0.77777777777777779</v>
      </c>
      <c r="AY389">
        <f>survey_responses[[#This Row],[Tôi thấy Nhà nước đã giải thích rõ ràng, minh bạch về lý do và mục tiêu của việc sửa đổi thuế lần này. - HUMAN-TRU4]]</f>
        <v>5</v>
      </c>
      <c r="AZ389">
        <f t="shared" si="181"/>
        <v>0.44444444444444442</v>
      </c>
      <c r="BA389" s="32">
        <f t="shared" si="182"/>
        <v>0.83333333333333326</v>
      </c>
      <c r="BB389" s="32">
        <f t="shared" si="183"/>
        <v>0.55555555555555558</v>
      </c>
      <c r="BC389" s="7">
        <f t="shared" si="184"/>
        <v>0.83333333333333337</v>
      </c>
      <c r="BD389" s="7">
        <f t="shared" si="185"/>
        <v>0.61111111111111105</v>
      </c>
      <c r="BE389">
        <f>step3_validation[[#This Row],[AI_OUT1]]</f>
        <v>9</v>
      </c>
      <c r="BF389">
        <f t="shared" si="186"/>
        <v>0.88888888888888884</v>
      </c>
      <c r="BG389">
        <f>survey_responses[[#This Row],[Sau khi xem xét các quyền lợi và nghĩa vụ, bạn có ủng hộ và tuân thủ chính sách mới hiện nay? - HUMAN-OUT1]]</f>
        <v>8</v>
      </c>
      <c r="BH389">
        <f t="shared" si="187"/>
        <v>0.77777777777777779</v>
      </c>
      <c r="BI389" s="32">
        <f t="shared" si="188"/>
        <v>1</v>
      </c>
    </row>
    <row r="390" spans="1:61" x14ac:dyDescent="0.45">
      <c r="A390" s="30">
        <f>step3_validation[[#This Row],[Persona_ID]]</f>
        <v>389</v>
      </c>
      <c r="B390" s="31">
        <f>step3_validation[[#This Row],[Used_Seed]]</f>
        <v>12733</v>
      </c>
      <c r="C390" t="str">
        <f>step3_validation[[#This Row],[Gender]]</f>
        <v>Nam</v>
      </c>
      <c r="D390" t="str">
        <f>survey_responses[[#This Row],[Giới tính của bạn:]]</f>
        <v>Nam</v>
      </c>
      <c r="E390" t="str">
        <f>step3_validation[[#This Row],[Age_Group]]</f>
        <v>25 - 29</v>
      </c>
      <c r="F390" t="str">
        <f>survey_responses[[#This Row],[Độ tuổi của bạn:]]</f>
        <v>25 - 29</v>
      </c>
      <c r="G390" t="str">
        <f>step3_validation[[#This Row],[Region]]</f>
        <v>Thành thị</v>
      </c>
      <c r="H390" t="str">
        <f>survey_responses[[#This Row],[Khu vực bạn đang sinh sống:]]</f>
        <v>Thành thị</v>
      </c>
      <c r="I390" t="str">
        <f>step3_validation[[#This Row],[Education]]</f>
        <v>Đại học</v>
      </c>
      <c r="J390" t="str">
        <f>survey_responses[[#This Row],[Trình độ học vấn cao nhất:]]</f>
        <v>Đại học</v>
      </c>
      <c r="K390" t="str">
        <f>step3_validation[[#This Row],[Employment]]</f>
        <v>Chính thức</v>
      </c>
      <c r="L390" t="str">
        <f>survey_responses[[#This Row],[Tình trạng việc làm chính:]]</f>
        <v>Khu vực chính thức (Có Hợp đồng lao động, đóng BHXH)</v>
      </c>
      <c r="M390">
        <f>step3_validation[[#This Row],[Income_Mil]]</f>
        <v>21.98653578409694</v>
      </c>
      <c r="N390" t="str">
        <f>survey_responses[[#This Row],[Thu nhập bình quân tháng theo Hợp đồng lao động của bạn là bao nhiêu? (Vui lòng điền tổng thu nhập trước khi khấu trừ các loại Bảo hiểm (BHXH, BHYT, BHTN) và Thuế TNCN)]]</f>
        <v>Từ 18 - 23 triệu VNĐ</v>
      </c>
      <c r="O390">
        <f>step3_validation[[#This Row],[Dependents]]</f>
        <v>0</v>
      </c>
      <c r="P390" t="str">
        <f>survey_responses[[#This Row],[Số người phụ thuộc (con nhỏ, cha mẹ già...) đủ điều kiện giảm trừ gia cảnh:]]</f>
        <v>0 người</v>
      </c>
      <c r="Q390">
        <f>step3_validation[[#This Row],[AI_ENF1]]</f>
        <v>6</v>
      </c>
      <c r="R390">
        <f t="shared" si="162"/>
        <v>0.55555555555555558</v>
      </c>
      <c r="S390">
        <f>survey_responses[[#This Row],[Tôi tin rằng với các quy định quản lý thuế hiện nay, hành vi gian lận hoặc trốn thuế sẽ dễ dàng bị phát hiện và xử lý nghiêm. - HUMAN-ENF1]]</f>
        <v>6</v>
      </c>
      <c r="T390">
        <f t="shared" si="163"/>
        <v>0.55555555555555558</v>
      </c>
      <c r="U390">
        <f>step3_validation[[#This Row],[AI_ENF2]]</f>
        <v>7</v>
      </c>
      <c r="V390">
        <f t="shared" si="164"/>
        <v>0.66666666666666663</v>
      </c>
      <c r="W390">
        <f>survey_responses[[#This Row],[Tôi tin rằng Nhà nước, cơ quan thuế có đủ khả năng và công nghệ để phát hiện, xử lý nghiêm các hành vi trốn thuế. - HUMAN-ENF2]]</f>
        <v>8</v>
      </c>
      <c r="X390">
        <f t="shared" si="165"/>
        <v>0.77777777777777779</v>
      </c>
      <c r="Y390" s="32">
        <f t="shared" si="166"/>
        <v>0.61111111111111116</v>
      </c>
      <c r="Z390" s="32">
        <f t="shared" si="167"/>
        <v>0.66666666666666674</v>
      </c>
      <c r="AA390">
        <f>step3_validation[[#This Row],[AI_FAC1]]</f>
        <v>8</v>
      </c>
      <c r="AB390">
        <f t="shared" si="168"/>
        <v>0.77777777777777779</v>
      </c>
      <c r="AC390">
        <f>survey_responses[[#This Row],[Các thủ tục khai báo thuế VÀ/HOẶC quy trình làm việc với cơ quan thuế đơn giản, tiện lợi, nhanh chóng hơn so với trước đây. - HUMAN-FAC1]]</f>
        <v>7</v>
      </c>
      <c r="AD390">
        <f t="shared" si="169"/>
        <v>0.66666666666666663</v>
      </c>
      <c r="AE390">
        <f>step3_validation[[#This Row],[AI_FAC2]]</f>
        <v>9</v>
      </c>
      <c r="AF390">
        <f t="shared" si="170"/>
        <v>0.88888888888888884</v>
      </c>
      <c r="AG390">
        <f>survey_responses[[#This Row],[So với trước đây, tôi thấy cách tính thuế và các bậc thuế trong phương án mới đơn giản, dễ hiểu và dễ thực hiện hơn. - HUMAN-FAC2]]</f>
        <v>8</v>
      </c>
      <c r="AH390">
        <f t="shared" si="171"/>
        <v>0.77777777777777779</v>
      </c>
      <c r="AI390" s="32">
        <f t="shared" si="172"/>
        <v>0.83333333333333326</v>
      </c>
      <c r="AJ390" s="32">
        <f t="shared" si="173"/>
        <v>0.72222222222222221</v>
      </c>
      <c r="AK390">
        <f>step3_validation[[#This Row],[AI_TRU1]]</f>
        <v>7</v>
      </c>
      <c r="AL390">
        <f t="shared" si="174"/>
        <v>0.66666666666666663</v>
      </c>
      <c r="AM390">
        <f>survey_responses[[#This Row],[Tôi tin rằng Nhà nước, cơ quan thuế sẽ thực thi chính sách mới một cách khách quan, công tâm và đối xử bình đẳng với mọi người nộp thuế.  - HUMAN-TRU1]]</f>
        <v>6</v>
      </c>
      <c r="AN390">
        <f t="shared" si="175"/>
        <v>0.55555555555555558</v>
      </c>
      <c r="AO390">
        <f>step3_validation[[#This Row],[AI_TRU2]]</f>
        <v>8</v>
      </c>
      <c r="AP390">
        <f t="shared" si="176"/>
        <v>0.77777777777777779</v>
      </c>
      <c r="AQ390">
        <f>survey_responses[[#This Row],[Tôi thấy mức thuế tôi phải đóng theo phương án mới là công bằng (người thu nhập như tôi đóng mức này là hợp lý). - HUMAN-TRU2]]</f>
        <v>8</v>
      </c>
      <c r="AR390">
        <f t="shared" si="177"/>
        <v>0.77777777777777779</v>
      </c>
      <c r="AS390">
        <f>step3_validation[[#This Row],[AI_TRU3]]</f>
        <v>7</v>
      </c>
      <c r="AT390">
        <f t="shared" si="178"/>
        <v>0.66666666666666663</v>
      </c>
      <c r="AU390">
        <f>survey_responses[[#This Row],[Tôi tin tưởng số tiền thuế tôi đóng sẽ được Nhà nước sử dụng hiệu quả để cải thiện dịch vụ công (y tế, đường xá...). - HUMAN-TRU3]]</f>
        <v>5</v>
      </c>
      <c r="AV390">
        <f t="shared" si="179"/>
        <v>0.44444444444444442</v>
      </c>
      <c r="AW390">
        <f>step3_validation[[#This Row],[AI_TRU4]]</f>
        <v>6</v>
      </c>
      <c r="AX390">
        <f t="shared" si="180"/>
        <v>0.55555555555555558</v>
      </c>
      <c r="AY390">
        <f>survey_responses[[#This Row],[Tôi thấy Nhà nước đã giải thích rõ ràng, minh bạch về lý do và mục tiêu của việc sửa đổi thuế lần này. - HUMAN-TRU4]]</f>
        <v>5</v>
      </c>
      <c r="AZ390">
        <f t="shared" si="181"/>
        <v>0.44444444444444442</v>
      </c>
      <c r="BA390" s="32">
        <f t="shared" si="182"/>
        <v>0.66666666666666674</v>
      </c>
      <c r="BB390" s="32">
        <f t="shared" si="183"/>
        <v>0.55555555555555558</v>
      </c>
      <c r="BC390" s="7">
        <f t="shared" si="184"/>
        <v>0.70370370370370372</v>
      </c>
      <c r="BD390" s="7">
        <f t="shared" si="185"/>
        <v>0.64814814814814814</v>
      </c>
      <c r="BE390">
        <f>step3_validation[[#This Row],[AI_OUT1]]</f>
        <v>9</v>
      </c>
      <c r="BF390">
        <f t="shared" si="186"/>
        <v>0.88888888888888884</v>
      </c>
      <c r="BG390">
        <f>survey_responses[[#This Row],[Sau khi xem xét các quyền lợi và nghĩa vụ, bạn có ủng hộ và tuân thủ chính sách mới hiện nay? - HUMAN-OUT1]]</f>
        <v>8</v>
      </c>
      <c r="BH390">
        <f t="shared" si="187"/>
        <v>0.77777777777777779</v>
      </c>
      <c r="BI390" s="32">
        <f t="shared" si="188"/>
        <v>1</v>
      </c>
    </row>
    <row r="391" spans="1:61" x14ac:dyDescent="0.45">
      <c r="A391" s="30">
        <f>step3_validation[[#This Row],[Persona_ID]]</f>
        <v>390</v>
      </c>
      <c r="B391" s="31">
        <f>step3_validation[[#This Row],[Used_Seed]]</f>
        <v>12734</v>
      </c>
      <c r="C391" t="str">
        <f>step3_validation[[#This Row],[Gender]]</f>
        <v>Nữ</v>
      </c>
      <c r="D391" t="str">
        <f>survey_responses[[#This Row],[Giới tính của bạn:]]</f>
        <v>Nữ</v>
      </c>
      <c r="E391" t="str">
        <f>step3_validation[[#This Row],[Age_Group]]</f>
        <v>40 - 49</v>
      </c>
      <c r="F391" t="str">
        <f>survey_responses[[#This Row],[Độ tuổi của bạn:]]</f>
        <v>40 - 49</v>
      </c>
      <c r="G391" t="str">
        <f>step3_validation[[#This Row],[Region]]</f>
        <v>Thành thị</v>
      </c>
      <c r="H391" t="str">
        <f>survey_responses[[#This Row],[Khu vực bạn đang sinh sống:]]</f>
        <v>Thành thị</v>
      </c>
      <c r="I391" t="str">
        <f>step3_validation[[#This Row],[Education]]</f>
        <v>Sau Đại học</v>
      </c>
      <c r="J391" t="str">
        <f>survey_responses[[#This Row],[Trình độ học vấn cao nhất:]]</f>
        <v>Sau Đại học</v>
      </c>
      <c r="K391" t="str">
        <f>step3_validation[[#This Row],[Employment]]</f>
        <v>Chính thức</v>
      </c>
      <c r="L391" t="str">
        <f>survey_responses[[#This Row],[Tình trạng việc làm chính:]]</f>
        <v>Khu vực chính thức (Có Hợp đồng lao động, đóng BHXH)</v>
      </c>
      <c r="M391">
        <f>step3_validation[[#This Row],[Income_Mil]]</f>
        <v>35.315906845948973</v>
      </c>
      <c r="N391" t="str">
        <f>survey_responses[[#This Row],[Thu nhập bình quân tháng theo Hợp đồng lao động của bạn là bao nhiêu? (Vui lòng điền tổng thu nhập trước khi khấu trừ các loại Bảo hiểm (BHXH, BHYT, BHTN) và Thuế TNCN)]]</f>
        <v>Từ 32 - 48 triệu VNĐ</v>
      </c>
      <c r="O391">
        <f>step3_validation[[#This Row],[Dependents]]</f>
        <v>3</v>
      </c>
      <c r="P391" t="str">
        <f>survey_responses[[#This Row],[Số người phụ thuộc (con nhỏ, cha mẹ già...) đủ điều kiện giảm trừ gia cảnh:]]</f>
        <v>3 người</v>
      </c>
      <c r="Q391">
        <f>step3_validation[[#This Row],[AI_ENF1]]</f>
        <v>5</v>
      </c>
      <c r="R391">
        <f t="shared" si="162"/>
        <v>0.44444444444444442</v>
      </c>
      <c r="S391">
        <f>survey_responses[[#This Row],[Tôi tin rằng với các quy định quản lý thuế hiện nay, hành vi gian lận hoặc trốn thuế sẽ dễ dàng bị phát hiện và xử lý nghiêm. - HUMAN-ENF1]]</f>
        <v>10</v>
      </c>
      <c r="T391">
        <f t="shared" si="163"/>
        <v>1</v>
      </c>
      <c r="U391">
        <f>step3_validation[[#This Row],[AI_ENF2]]</f>
        <v>7</v>
      </c>
      <c r="V391">
        <f t="shared" si="164"/>
        <v>0.66666666666666663</v>
      </c>
      <c r="W391">
        <f>survey_responses[[#This Row],[Tôi tin rằng Nhà nước, cơ quan thuế có đủ khả năng và công nghệ để phát hiện, xử lý nghiêm các hành vi trốn thuế. - HUMAN-ENF2]]</f>
        <v>10</v>
      </c>
      <c r="X391">
        <f t="shared" si="165"/>
        <v>1</v>
      </c>
      <c r="Y391" s="32">
        <f t="shared" si="166"/>
        <v>0.55555555555555558</v>
      </c>
      <c r="Z391" s="32">
        <f t="shared" si="167"/>
        <v>1</v>
      </c>
      <c r="AA391">
        <f>step3_validation[[#This Row],[AI_FAC1]]</f>
        <v>8</v>
      </c>
      <c r="AB391">
        <f t="shared" si="168"/>
        <v>0.77777777777777779</v>
      </c>
      <c r="AC391">
        <f>survey_responses[[#This Row],[Các thủ tục khai báo thuế VÀ/HOẶC quy trình làm việc với cơ quan thuế đơn giản, tiện lợi, nhanh chóng hơn so với trước đây. - HUMAN-FAC1]]</f>
        <v>5</v>
      </c>
      <c r="AD391">
        <f t="shared" si="169"/>
        <v>0.44444444444444442</v>
      </c>
      <c r="AE391">
        <f>step3_validation[[#This Row],[AI_FAC2]]</f>
        <v>9</v>
      </c>
      <c r="AF391">
        <f t="shared" si="170"/>
        <v>0.88888888888888884</v>
      </c>
      <c r="AG391">
        <f>survey_responses[[#This Row],[So với trước đây, tôi thấy cách tính thuế và các bậc thuế trong phương án mới đơn giản, dễ hiểu và dễ thực hiện hơn. - HUMAN-FAC2]]</f>
        <v>9</v>
      </c>
      <c r="AH391">
        <f t="shared" si="171"/>
        <v>0.88888888888888884</v>
      </c>
      <c r="AI391" s="32">
        <f t="shared" si="172"/>
        <v>0.83333333333333326</v>
      </c>
      <c r="AJ391" s="32">
        <f t="shared" si="173"/>
        <v>0.66666666666666663</v>
      </c>
      <c r="AK391">
        <f>step3_validation[[#This Row],[AI_TRU1]]</f>
        <v>6</v>
      </c>
      <c r="AL391">
        <f t="shared" si="174"/>
        <v>0.55555555555555558</v>
      </c>
      <c r="AM391">
        <f>survey_responses[[#This Row],[Tôi tin rằng Nhà nước, cơ quan thuế sẽ thực thi chính sách mới một cách khách quan, công tâm và đối xử bình đẳng với mọi người nộp thuế.  - HUMAN-TRU1]]</f>
        <v>7</v>
      </c>
      <c r="AN391">
        <f t="shared" si="175"/>
        <v>0.66666666666666663</v>
      </c>
      <c r="AO391">
        <f>step3_validation[[#This Row],[AI_TRU2]]</f>
        <v>8</v>
      </c>
      <c r="AP391">
        <f t="shared" si="176"/>
        <v>0.77777777777777779</v>
      </c>
      <c r="AQ391">
        <f>survey_responses[[#This Row],[Tôi thấy mức thuế tôi phải đóng theo phương án mới là công bằng (người thu nhập như tôi đóng mức này là hợp lý). - HUMAN-TRU2]]</f>
        <v>8</v>
      </c>
      <c r="AR391">
        <f t="shared" si="177"/>
        <v>0.77777777777777779</v>
      </c>
      <c r="AS391">
        <f>step3_validation[[#This Row],[AI_TRU3]]</f>
        <v>7</v>
      </c>
      <c r="AT391">
        <f t="shared" si="178"/>
        <v>0.66666666666666663</v>
      </c>
      <c r="AU391">
        <f>survey_responses[[#This Row],[Tôi tin tưởng số tiền thuế tôi đóng sẽ được Nhà nước sử dụng hiệu quả để cải thiện dịch vụ công (y tế, đường xá...). - HUMAN-TRU3]]</f>
        <v>5</v>
      </c>
      <c r="AV391">
        <f t="shared" si="179"/>
        <v>0.44444444444444442</v>
      </c>
      <c r="AW391">
        <f>step3_validation[[#This Row],[AI_TRU4]]</f>
        <v>6</v>
      </c>
      <c r="AX391">
        <f t="shared" si="180"/>
        <v>0.55555555555555558</v>
      </c>
      <c r="AY391">
        <f>survey_responses[[#This Row],[Tôi thấy Nhà nước đã giải thích rõ ràng, minh bạch về lý do và mục tiêu của việc sửa đổi thuế lần này. - HUMAN-TRU4]]</f>
        <v>5</v>
      </c>
      <c r="AZ391">
        <f t="shared" si="181"/>
        <v>0.44444444444444442</v>
      </c>
      <c r="BA391" s="32">
        <f t="shared" si="182"/>
        <v>0.63888888888888884</v>
      </c>
      <c r="BB391" s="32">
        <f t="shared" si="183"/>
        <v>0.58333333333333326</v>
      </c>
      <c r="BC391" s="7">
        <f t="shared" si="184"/>
        <v>0.67592592592592593</v>
      </c>
      <c r="BD391" s="7">
        <f t="shared" si="185"/>
        <v>0.75</v>
      </c>
      <c r="BE391">
        <f>step3_validation[[#This Row],[AI_OUT1]]</f>
        <v>9</v>
      </c>
      <c r="BF391">
        <f t="shared" si="186"/>
        <v>0.88888888888888884</v>
      </c>
      <c r="BG391">
        <f>survey_responses[[#This Row],[Sau khi xem xét các quyền lợi và nghĩa vụ, bạn có ủng hộ và tuân thủ chính sách mới hiện nay? - HUMAN-OUT1]]</f>
        <v>8</v>
      </c>
      <c r="BH391">
        <f t="shared" si="187"/>
        <v>0.77777777777777779</v>
      </c>
      <c r="BI391" s="32">
        <f t="shared" si="188"/>
        <v>1</v>
      </c>
    </row>
    <row r="392" spans="1:61" x14ac:dyDescent="0.45">
      <c r="A392" s="30">
        <f>step3_validation[[#This Row],[Persona_ID]]</f>
        <v>391</v>
      </c>
      <c r="B392" s="31">
        <f>step3_validation[[#This Row],[Used_Seed]]</f>
        <v>12735</v>
      </c>
      <c r="C392" t="str">
        <f>step3_validation[[#This Row],[Gender]]</f>
        <v>Nam</v>
      </c>
      <c r="D392" t="str">
        <f>survey_responses[[#This Row],[Giới tính của bạn:]]</f>
        <v>Nam</v>
      </c>
      <c r="E392" t="str">
        <f>step3_validation[[#This Row],[Age_Group]]</f>
        <v>25 - 29</v>
      </c>
      <c r="F392" t="str">
        <f>survey_responses[[#This Row],[Độ tuổi của bạn:]]</f>
        <v>25 - 29</v>
      </c>
      <c r="G392" t="str">
        <f>step3_validation[[#This Row],[Region]]</f>
        <v>Thành thị</v>
      </c>
      <c r="H392" t="str">
        <f>survey_responses[[#This Row],[Khu vực bạn đang sinh sống:]]</f>
        <v>Thành thị</v>
      </c>
      <c r="I392" t="str">
        <f>step3_validation[[#This Row],[Education]]</f>
        <v>Đại học</v>
      </c>
      <c r="J392" t="str">
        <f>survey_responses[[#This Row],[Trình độ học vấn cao nhất:]]</f>
        <v>Đại học</v>
      </c>
      <c r="K392" t="str">
        <f>step3_validation[[#This Row],[Employment]]</f>
        <v>Chính thức</v>
      </c>
      <c r="L392" t="str">
        <f>survey_responses[[#This Row],[Tình trạng việc làm chính:]]</f>
        <v>Khu vực chính thức (Có Hợp đồng lao động, đóng BHXH)</v>
      </c>
      <c r="M392">
        <f>step3_validation[[#This Row],[Income_Mil]]</f>
        <v>13.913131000062391</v>
      </c>
      <c r="N392" t="str">
        <f>survey_responses[[#This Row],[Thu nhập bình quân tháng theo Hợp đồng lao động của bạn là bao nhiêu? (Vui lòng điền tổng thu nhập trước khi khấu trừ các loại Bảo hiểm (BHXH, BHYT, BHTN) và Thuế TNCN)]]</f>
        <v>Từ 12 - 18 triệu VNĐ</v>
      </c>
      <c r="O392">
        <f>step3_validation[[#This Row],[Dependents]]</f>
        <v>0</v>
      </c>
      <c r="P392" t="str">
        <f>survey_responses[[#This Row],[Số người phụ thuộc (con nhỏ, cha mẹ già...) đủ điều kiện giảm trừ gia cảnh:]]</f>
        <v>0 người</v>
      </c>
      <c r="Q392">
        <f>step3_validation[[#This Row],[AI_ENF1]]</f>
        <v>6</v>
      </c>
      <c r="R392">
        <f t="shared" si="162"/>
        <v>0.55555555555555558</v>
      </c>
      <c r="S392">
        <f>survey_responses[[#This Row],[Tôi tin rằng với các quy định quản lý thuế hiện nay, hành vi gian lận hoặc trốn thuế sẽ dễ dàng bị phát hiện và xử lý nghiêm. - HUMAN-ENF1]]</f>
        <v>4</v>
      </c>
      <c r="T392">
        <f t="shared" si="163"/>
        <v>0.33333333333333331</v>
      </c>
      <c r="U392">
        <f>step3_validation[[#This Row],[AI_ENF2]]</f>
        <v>6</v>
      </c>
      <c r="V392">
        <f t="shared" si="164"/>
        <v>0.55555555555555558</v>
      </c>
      <c r="W392">
        <f>survey_responses[[#This Row],[Tôi tin rằng Nhà nước, cơ quan thuế có đủ khả năng và công nghệ để phát hiện, xử lý nghiêm các hành vi trốn thuế. - HUMAN-ENF2]]</f>
        <v>5</v>
      </c>
      <c r="X392">
        <f t="shared" si="165"/>
        <v>0.44444444444444442</v>
      </c>
      <c r="Y392" s="32">
        <f t="shared" si="166"/>
        <v>0.55555555555555558</v>
      </c>
      <c r="Z392" s="32">
        <f t="shared" si="167"/>
        <v>0.38888888888888884</v>
      </c>
      <c r="AA392">
        <f>step3_validation[[#This Row],[AI_FAC1]]</f>
        <v>7</v>
      </c>
      <c r="AB392">
        <f t="shared" si="168"/>
        <v>0.66666666666666663</v>
      </c>
      <c r="AC392">
        <f>survey_responses[[#This Row],[Các thủ tục khai báo thuế VÀ/HOẶC quy trình làm việc với cơ quan thuế đơn giản, tiện lợi, nhanh chóng hơn so với trước đây. - HUMAN-FAC1]]</f>
        <v>7</v>
      </c>
      <c r="AD392">
        <f t="shared" si="169"/>
        <v>0.66666666666666663</v>
      </c>
      <c r="AE392">
        <f>step3_validation[[#This Row],[AI_FAC2]]</f>
        <v>8</v>
      </c>
      <c r="AF392">
        <f t="shared" si="170"/>
        <v>0.77777777777777779</v>
      </c>
      <c r="AG392">
        <f>survey_responses[[#This Row],[So với trước đây, tôi thấy cách tính thuế và các bậc thuế trong phương án mới đơn giản, dễ hiểu và dễ thực hiện hơn. - HUMAN-FAC2]]</f>
        <v>7</v>
      </c>
      <c r="AH392">
        <f t="shared" si="171"/>
        <v>0.66666666666666663</v>
      </c>
      <c r="AI392" s="32">
        <f t="shared" si="172"/>
        <v>0.72222222222222221</v>
      </c>
      <c r="AJ392" s="32">
        <f t="shared" si="173"/>
        <v>0.66666666666666663</v>
      </c>
      <c r="AK392">
        <f>step3_validation[[#This Row],[AI_TRU1]]</f>
        <v>7</v>
      </c>
      <c r="AL392">
        <f t="shared" si="174"/>
        <v>0.66666666666666663</v>
      </c>
      <c r="AM392">
        <f>survey_responses[[#This Row],[Tôi tin rằng Nhà nước, cơ quan thuế sẽ thực thi chính sách mới một cách khách quan, công tâm và đối xử bình đẳng với mọi người nộp thuế.  - HUMAN-TRU1]]</f>
        <v>5</v>
      </c>
      <c r="AN392">
        <f t="shared" si="175"/>
        <v>0.44444444444444442</v>
      </c>
      <c r="AO392">
        <f>step3_validation[[#This Row],[AI_TRU2]]</f>
        <v>9</v>
      </c>
      <c r="AP392">
        <f t="shared" si="176"/>
        <v>0.88888888888888884</v>
      </c>
      <c r="AQ392">
        <f>survey_responses[[#This Row],[Tôi thấy mức thuế tôi phải đóng theo phương án mới là công bằng (người thu nhập như tôi đóng mức này là hợp lý). - HUMAN-TRU2]]</f>
        <v>7</v>
      </c>
      <c r="AR392">
        <f t="shared" si="177"/>
        <v>0.66666666666666663</v>
      </c>
      <c r="AS392">
        <f>step3_validation[[#This Row],[AI_TRU3]]</f>
        <v>7</v>
      </c>
      <c r="AT392">
        <f t="shared" si="178"/>
        <v>0.66666666666666663</v>
      </c>
      <c r="AU392">
        <f>survey_responses[[#This Row],[Tôi tin tưởng số tiền thuế tôi đóng sẽ được Nhà nước sử dụng hiệu quả để cải thiện dịch vụ công (y tế, đường xá...). - HUMAN-TRU3]]</f>
        <v>5</v>
      </c>
      <c r="AV392">
        <f t="shared" si="179"/>
        <v>0.44444444444444442</v>
      </c>
      <c r="AW392">
        <f>step3_validation[[#This Row],[AI_TRU4]]</f>
        <v>8</v>
      </c>
      <c r="AX392">
        <f t="shared" si="180"/>
        <v>0.77777777777777779</v>
      </c>
      <c r="AY392">
        <f>survey_responses[[#This Row],[Tôi thấy Nhà nước đã giải thích rõ ràng, minh bạch về lý do và mục tiêu của việc sửa đổi thuế lần này. - HUMAN-TRU4]]</f>
        <v>5</v>
      </c>
      <c r="AZ392">
        <f t="shared" si="181"/>
        <v>0.44444444444444442</v>
      </c>
      <c r="BA392" s="32">
        <f t="shared" si="182"/>
        <v>0.74999999999999989</v>
      </c>
      <c r="BB392" s="32">
        <f t="shared" si="183"/>
        <v>0.5</v>
      </c>
      <c r="BC392" s="7">
        <f t="shared" si="184"/>
        <v>0.67592592592592593</v>
      </c>
      <c r="BD392" s="7">
        <f t="shared" si="185"/>
        <v>0.51851851851851849</v>
      </c>
      <c r="BE392">
        <f>step3_validation[[#This Row],[AI_OUT1]]</f>
        <v>9</v>
      </c>
      <c r="BF392">
        <f t="shared" si="186"/>
        <v>0.88888888888888884</v>
      </c>
      <c r="BG392">
        <f>survey_responses[[#This Row],[Sau khi xem xét các quyền lợi và nghĩa vụ, bạn có ủng hộ và tuân thủ chính sách mới hiện nay? - HUMAN-OUT1]]</f>
        <v>7</v>
      </c>
      <c r="BH392">
        <f t="shared" si="187"/>
        <v>0.66666666666666663</v>
      </c>
      <c r="BI392" s="32">
        <f t="shared" si="188"/>
        <v>2</v>
      </c>
    </row>
    <row r="393" spans="1:61" x14ac:dyDescent="0.45">
      <c r="A393" s="30">
        <f>step3_validation[[#This Row],[Persona_ID]]</f>
        <v>392</v>
      </c>
      <c r="B393" s="31">
        <f>step3_validation[[#This Row],[Used_Seed]]</f>
        <v>12736</v>
      </c>
      <c r="C393" t="str">
        <f>step3_validation[[#This Row],[Gender]]</f>
        <v>Nữ</v>
      </c>
      <c r="D393" t="str">
        <f>survey_responses[[#This Row],[Giới tính của bạn:]]</f>
        <v>Nữ</v>
      </c>
      <c r="E393" t="str">
        <f>step3_validation[[#This Row],[Age_Group]]</f>
        <v>55 - 64</v>
      </c>
      <c r="F393" t="str">
        <f>survey_responses[[#This Row],[Độ tuổi của bạn:]]</f>
        <v>55 - 64</v>
      </c>
      <c r="G393" t="str">
        <f>step3_validation[[#This Row],[Region]]</f>
        <v>Thành thị</v>
      </c>
      <c r="H393" t="str">
        <f>survey_responses[[#This Row],[Khu vực bạn đang sinh sống:]]</f>
        <v>Thành thị</v>
      </c>
      <c r="I393" t="str">
        <f>step3_validation[[#This Row],[Education]]</f>
        <v>Sau Đại học</v>
      </c>
      <c r="J393" t="str">
        <f>survey_responses[[#This Row],[Trình độ học vấn cao nhất:]]</f>
        <v>Sau Đại học</v>
      </c>
      <c r="K393" t="str">
        <f>step3_validation[[#This Row],[Employment]]</f>
        <v>Chính thức</v>
      </c>
      <c r="L393" t="str">
        <f>survey_responses[[#This Row],[Tình trạng việc làm chính:]]</f>
        <v>Khu vực chính thức (Có Hợp đồng lao động, đóng BHXH)</v>
      </c>
      <c r="M393">
        <f>step3_validation[[#This Row],[Income_Mil]]</f>
        <v>134.44292884597559</v>
      </c>
      <c r="N393" t="str">
        <f>survey_responses[[#This Row],[Thu nhập bình quân tháng theo Hợp đồng lao động của bạn là bao nhiêu? (Vui lòng điền tổng thu nhập trước khi khấu trừ các loại Bảo hiểm (BHXH, BHYT, BHTN) và Thuế TNCN)]]</f>
        <v>Trên 102 triệu VNĐ</v>
      </c>
      <c r="O393">
        <f>step3_validation[[#This Row],[Dependents]]</f>
        <v>4</v>
      </c>
      <c r="P393" t="str">
        <f>survey_responses[[#This Row],[Số người phụ thuộc (con nhỏ, cha mẹ già...) đủ điều kiện giảm trừ gia cảnh:]]</f>
        <v>4 người trở lên</v>
      </c>
      <c r="Q393">
        <f>step3_validation[[#This Row],[AI_ENF1]]</f>
        <v>9</v>
      </c>
      <c r="R393">
        <f t="shared" si="162"/>
        <v>0.88888888888888884</v>
      </c>
      <c r="S393">
        <f>survey_responses[[#This Row],[Tôi tin rằng với các quy định quản lý thuế hiện nay, hành vi gian lận hoặc trốn thuế sẽ dễ dàng bị phát hiện và xử lý nghiêm. - HUMAN-ENF1]]</f>
        <v>2</v>
      </c>
      <c r="T393">
        <f t="shared" si="163"/>
        <v>0.1111111111111111</v>
      </c>
      <c r="U393">
        <f>step3_validation[[#This Row],[AI_ENF2]]</f>
        <v>8</v>
      </c>
      <c r="V393">
        <f t="shared" si="164"/>
        <v>0.77777777777777779</v>
      </c>
      <c r="W393">
        <f>survey_responses[[#This Row],[Tôi tin rằng Nhà nước, cơ quan thuế có đủ khả năng và công nghệ để phát hiện, xử lý nghiêm các hành vi trốn thuế. - HUMAN-ENF2]]</f>
        <v>3</v>
      </c>
      <c r="X393">
        <f t="shared" si="165"/>
        <v>0.22222222222222221</v>
      </c>
      <c r="Y393" s="32">
        <f t="shared" si="166"/>
        <v>0.83333333333333326</v>
      </c>
      <c r="Z393" s="32">
        <f t="shared" si="167"/>
        <v>0.16666666666666666</v>
      </c>
      <c r="AA393">
        <f>step3_validation[[#This Row],[AI_FAC1]]</f>
        <v>9</v>
      </c>
      <c r="AB393">
        <f t="shared" si="168"/>
        <v>0.88888888888888884</v>
      </c>
      <c r="AC393">
        <f>survey_responses[[#This Row],[Các thủ tục khai báo thuế VÀ/HOẶC quy trình làm việc với cơ quan thuế đơn giản, tiện lợi, nhanh chóng hơn so với trước đây. - HUMAN-FAC1]]</f>
        <v>3</v>
      </c>
      <c r="AD393">
        <f t="shared" si="169"/>
        <v>0.22222222222222221</v>
      </c>
      <c r="AE393">
        <f>step3_validation[[#This Row],[AI_FAC2]]</f>
        <v>8</v>
      </c>
      <c r="AF393">
        <f t="shared" si="170"/>
        <v>0.77777777777777779</v>
      </c>
      <c r="AG393">
        <f>survey_responses[[#This Row],[So với trước đây, tôi thấy cách tính thuế và các bậc thuế trong phương án mới đơn giản, dễ hiểu và dễ thực hiện hơn. - HUMAN-FAC2]]</f>
        <v>6</v>
      </c>
      <c r="AH393">
        <f t="shared" si="171"/>
        <v>0.55555555555555558</v>
      </c>
      <c r="AI393" s="32">
        <f t="shared" si="172"/>
        <v>0.83333333333333326</v>
      </c>
      <c r="AJ393" s="32">
        <f t="shared" si="173"/>
        <v>0.3888888888888889</v>
      </c>
      <c r="AK393">
        <f>step3_validation[[#This Row],[AI_TRU1]]</f>
        <v>9</v>
      </c>
      <c r="AL393">
        <f t="shared" si="174"/>
        <v>0.88888888888888884</v>
      </c>
      <c r="AM393">
        <f>survey_responses[[#This Row],[Tôi tin rằng Nhà nước, cơ quan thuế sẽ thực thi chính sách mới một cách khách quan, công tâm và đối xử bình đẳng với mọi người nộp thuế.  - HUMAN-TRU1]]</f>
        <v>5</v>
      </c>
      <c r="AN393">
        <f t="shared" si="175"/>
        <v>0.44444444444444442</v>
      </c>
      <c r="AO393">
        <f>step3_validation[[#This Row],[AI_TRU2]]</f>
        <v>8</v>
      </c>
      <c r="AP393">
        <f t="shared" si="176"/>
        <v>0.77777777777777779</v>
      </c>
      <c r="AQ393">
        <f>survey_responses[[#This Row],[Tôi thấy mức thuế tôi phải đóng theo phương án mới là công bằng (người thu nhập như tôi đóng mức này là hợp lý). - HUMAN-TRU2]]</f>
        <v>5</v>
      </c>
      <c r="AR393">
        <f t="shared" si="177"/>
        <v>0.44444444444444442</v>
      </c>
      <c r="AS393">
        <f>step3_validation[[#This Row],[AI_TRU3]]</f>
        <v>9</v>
      </c>
      <c r="AT393">
        <f t="shared" si="178"/>
        <v>0.88888888888888884</v>
      </c>
      <c r="AU393">
        <f>survey_responses[[#This Row],[Tôi tin tưởng số tiền thuế tôi đóng sẽ được Nhà nước sử dụng hiệu quả để cải thiện dịch vụ công (y tế, đường xá...). - HUMAN-TRU3]]</f>
        <v>5</v>
      </c>
      <c r="AV393">
        <f t="shared" si="179"/>
        <v>0.44444444444444442</v>
      </c>
      <c r="AW393">
        <f>step3_validation[[#This Row],[AI_TRU4]]</f>
        <v>8</v>
      </c>
      <c r="AX393">
        <f t="shared" si="180"/>
        <v>0.77777777777777779</v>
      </c>
      <c r="AY393">
        <f>survey_responses[[#This Row],[Tôi thấy Nhà nước đã giải thích rõ ràng, minh bạch về lý do và mục tiêu của việc sửa đổi thuế lần này. - HUMAN-TRU4]]</f>
        <v>5</v>
      </c>
      <c r="AZ393">
        <f t="shared" si="181"/>
        <v>0.44444444444444442</v>
      </c>
      <c r="BA393" s="32">
        <f t="shared" si="182"/>
        <v>0.83333333333333326</v>
      </c>
      <c r="BB393" s="32">
        <f t="shared" si="183"/>
        <v>0.44444444444444442</v>
      </c>
      <c r="BC393" s="7">
        <f t="shared" si="184"/>
        <v>0.83333333333333337</v>
      </c>
      <c r="BD393" s="7">
        <f t="shared" si="185"/>
        <v>0.33333333333333331</v>
      </c>
      <c r="BE393">
        <f>step3_validation[[#This Row],[AI_OUT1]]</f>
        <v>9</v>
      </c>
      <c r="BF393">
        <f t="shared" si="186"/>
        <v>0.88888888888888884</v>
      </c>
      <c r="BG393">
        <f>survey_responses[[#This Row],[Sau khi xem xét các quyền lợi và nghĩa vụ, bạn có ủng hộ và tuân thủ chính sách mới hiện nay? - HUMAN-OUT1]]</f>
        <v>5</v>
      </c>
      <c r="BH393">
        <f t="shared" si="187"/>
        <v>0.44444444444444442</v>
      </c>
      <c r="BI393" s="32">
        <f t="shared" si="188"/>
        <v>4</v>
      </c>
    </row>
    <row r="394" spans="1:61" x14ac:dyDescent="0.45">
      <c r="A394" s="30">
        <f>step3_validation[[#This Row],[Persona_ID]]</f>
        <v>393</v>
      </c>
      <c r="B394" s="31">
        <f>step3_validation[[#This Row],[Used_Seed]]</f>
        <v>12737</v>
      </c>
      <c r="C394" t="str">
        <f>step3_validation[[#This Row],[Gender]]</f>
        <v>Nữ</v>
      </c>
      <c r="D394" t="str">
        <f>survey_responses[[#This Row],[Giới tính của bạn:]]</f>
        <v>Nữ</v>
      </c>
      <c r="E394" t="str">
        <f>step3_validation[[#This Row],[Age_Group]]</f>
        <v>30 - 39</v>
      </c>
      <c r="F394" t="str">
        <f>survey_responses[[#This Row],[Độ tuổi của bạn:]]</f>
        <v>30 - 39</v>
      </c>
      <c r="G394" t="str">
        <f>step3_validation[[#This Row],[Region]]</f>
        <v>Thành thị</v>
      </c>
      <c r="H394" t="str">
        <f>survey_responses[[#This Row],[Khu vực bạn đang sinh sống:]]</f>
        <v>Thành thị</v>
      </c>
      <c r="I394" t="str">
        <f>step3_validation[[#This Row],[Education]]</f>
        <v>Đại học</v>
      </c>
      <c r="J394" t="str">
        <f>survey_responses[[#This Row],[Trình độ học vấn cao nhất:]]</f>
        <v>Đại học</v>
      </c>
      <c r="K394" t="str">
        <f>step3_validation[[#This Row],[Employment]]</f>
        <v>Chính thức</v>
      </c>
      <c r="L394" t="str">
        <f>survey_responses[[#This Row],[Tình trạng việc làm chính:]]</f>
        <v>Khu vực chính thức (Có Hợp đồng lao động, đóng BHXH)</v>
      </c>
      <c r="M394">
        <f>step3_validation[[#This Row],[Income_Mil]]</f>
        <v>24.670203317883299</v>
      </c>
      <c r="N394" t="str">
        <f>survey_responses[[#This Row],[Thu nhập bình quân tháng theo Hợp đồng lao động của bạn là bao nhiêu? (Vui lòng điền tổng thu nhập trước khi khấu trừ các loại Bảo hiểm (BHXH, BHYT, BHTN) và Thuế TNCN)]]</f>
        <v>Từ 23 - 32 triệu VNĐ</v>
      </c>
      <c r="O394">
        <f>step3_validation[[#This Row],[Dependents]]</f>
        <v>2</v>
      </c>
      <c r="P394" t="str">
        <f>survey_responses[[#This Row],[Số người phụ thuộc (con nhỏ, cha mẹ già...) đủ điều kiện giảm trừ gia cảnh:]]</f>
        <v>2 người</v>
      </c>
      <c r="Q394">
        <f>step3_validation[[#This Row],[AI_ENF1]]</f>
        <v>5</v>
      </c>
      <c r="R394">
        <f t="shared" si="162"/>
        <v>0.44444444444444442</v>
      </c>
      <c r="S394">
        <f>survey_responses[[#This Row],[Tôi tin rằng với các quy định quản lý thuế hiện nay, hành vi gian lận hoặc trốn thuế sẽ dễ dàng bị phát hiện và xử lý nghiêm. - HUMAN-ENF1]]</f>
        <v>7</v>
      </c>
      <c r="T394">
        <f t="shared" si="163"/>
        <v>0.66666666666666663</v>
      </c>
      <c r="U394">
        <f>step3_validation[[#This Row],[AI_ENF2]]</f>
        <v>7</v>
      </c>
      <c r="V394">
        <f t="shared" si="164"/>
        <v>0.66666666666666663</v>
      </c>
      <c r="W394">
        <f>survey_responses[[#This Row],[Tôi tin rằng Nhà nước, cơ quan thuế có đủ khả năng và công nghệ để phát hiện, xử lý nghiêm các hành vi trốn thuế. - HUMAN-ENF2]]</f>
        <v>7</v>
      </c>
      <c r="X394">
        <f t="shared" si="165"/>
        <v>0.66666666666666663</v>
      </c>
      <c r="Y394" s="32">
        <f t="shared" si="166"/>
        <v>0.55555555555555558</v>
      </c>
      <c r="Z394" s="32">
        <f t="shared" si="167"/>
        <v>0.66666666666666663</v>
      </c>
      <c r="AA394">
        <f>step3_validation[[#This Row],[AI_FAC1]]</f>
        <v>8</v>
      </c>
      <c r="AB394">
        <f t="shared" si="168"/>
        <v>0.77777777777777779</v>
      </c>
      <c r="AC394">
        <f>survey_responses[[#This Row],[Các thủ tục khai báo thuế VÀ/HOẶC quy trình làm việc với cơ quan thuế đơn giản, tiện lợi, nhanh chóng hơn so với trước đây. - HUMAN-FAC1]]</f>
        <v>5</v>
      </c>
      <c r="AD394">
        <f t="shared" si="169"/>
        <v>0.44444444444444442</v>
      </c>
      <c r="AE394">
        <f>step3_validation[[#This Row],[AI_FAC2]]</f>
        <v>9</v>
      </c>
      <c r="AF394">
        <f t="shared" si="170"/>
        <v>0.88888888888888884</v>
      </c>
      <c r="AG394">
        <f>survey_responses[[#This Row],[So với trước đây, tôi thấy cách tính thuế và các bậc thuế trong phương án mới đơn giản, dễ hiểu và dễ thực hiện hơn. - HUMAN-FAC2]]</f>
        <v>8</v>
      </c>
      <c r="AH394">
        <f t="shared" si="171"/>
        <v>0.77777777777777779</v>
      </c>
      <c r="AI394" s="32">
        <f t="shared" si="172"/>
        <v>0.83333333333333326</v>
      </c>
      <c r="AJ394" s="32">
        <f t="shared" si="173"/>
        <v>0.61111111111111116</v>
      </c>
      <c r="AK394">
        <f>step3_validation[[#This Row],[AI_TRU1]]</f>
        <v>8</v>
      </c>
      <c r="AL394">
        <f t="shared" si="174"/>
        <v>0.77777777777777779</v>
      </c>
      <c r="AM394">
        <f>survey_responses[[#This Row],[Tôi tin rằng Nhà nước, cơ quan thuế sẽ thực thi chính sách mới một cách khách quan, công tâm và đối xử bình đẳng với mọi người nộp thuế.  - HUMAN-TRU1]]</f>
        <v>7</v>
      </c>
      <c r="AN394">
        <f t="shared" si="175"/>
        <v>0.66666666666666663</v>
      </c>
      <c r="AO394">
        <f>step3_validation[[#This Row],[AI_TRU2]]</f>
        <v>9</v>
      </c>
      <c r="AP394">
        <f t="shared" si="176"/>
        <v>0.88888888888888884</v>
      </c>
      <c r="AQ394">
        <f>survey_responses[[#This Row],[Tôi thấy mức thuế tôi phải đóng theo phương án mới là công bằng (người thu nhập như tôi đóng mức này là hợp lý). - HUMAN-TRU2]]</f>
        <v>7</v>
      </c>
      <c r="AR394">
        <f t="shared" si="177"/>
        <v>0.66666666666666663</v>
      </c>
      <c r="AS394">
        <f>step3_validation[[#This Row],[AI_TRU3]]</f>
        <v>8</v>
      </c>
      <c r="AT394">
        <f t="shared" si="178"/>
        <v>0.77777777777777779</v>
      </c>
      <c r="AU394">
        <f>survey_responses[[#This Row],[Tôi tin tưởng số tiền thuế tôi đóng sẽ được Nhà nước sử dụng hiệu quả để cải thiện dịch vụ công (y tế, đường xá...). - HUMAN-TRU3]]</f>
        <v>5</v>
      </c>
      <c r="AV394">
        <f t="shared" si="179"/>
        <v>0.44444444444444442</v>
      </c>
      <c r="AW394">
        <f>step3_validation[[#This Row],[AI_TRU4]]</f>
        <v>7</v>
      </c>
      <c r="AX394">
        <f t="shared" si="180"/>
        <v>0.66666666666666663</v>
      </c>
      <c r="AY394">
        <f>survey_responses[[#This Row],[Tôi thấy Nhà nước đã giải thích rõ ràng, minh bạch về lý do và mục tiêu của việc sửa đổi thuế lần này. - HUMAN-TRU4]]</f>
        <v>6</v>
      </c>
      <c r="AZ394">
        <f t="shared" si="181"/>
        <v>0.55555555555555558</v>
      </c>
      <c r="BA394" s="32">
        <f t="shared" si="182"/>
        <v>0.77777777777777768</v>
      </c>
      <c r="BB394" s="32">
        <f t="shared" si="183"/>
        <v>0.58333333333333326</v>
      </c>
      <c r="BC394" s="7">
        <f t="shared" si="184"/>
        <v>0.72222222222222221</v>
      </c>
      <c r="BD394" s="7">
        <f t="shared" si="185"/>
        <v>0.62037037037037035</v>
      </c>
      <c r="BE394">
        <f>step3_validation[[#This Row],[AI_OUT1]]</f>
        <v>9</v>
      </c>
      <c r="BF394">
        <f t="shared" si="186"/>
        <v>0.88888888888888884</v>
      </c>
      <c r="BG394">
        <f>survey_responses[[#This Row],[Sau khi xem xét các quyền lợi và nghĩa vụ, bạn có ủng hộ và tuân thủ chính sách mới hiện nay? - HUMAN-OUT1]]</f>
        <v>7</v>
      </c>
      <c r="BH394">
        <f t="shared" si="187"/>
        <v>0.66666666666666663</v>
      </c>
      <c r="BI394" s="32">
        <f t="shared" si="188"/>
        <v>2</v>
      </c>
    </row>
    <row r="395" spans="1:61" x14ac:dyDescent="0.45">
      <c r="A395" s="30">
        <f>step3_validation[[#This Row],[Persona_ID]]</f>
        <v>394</v>
      </c>
      <c r="B395" s="31">
        <f>step3_validation[[#This Row],[Used_Seed]]</f>
        <v>12738</v>
      </c>
      <c r="C395" t="str">
        <f>step3_validation[[#This Row],[Gender]]</f>
        <v>Nam</v>
      </c>
      <c r="D395" t="str">
        <f>survey_responses[[#This Row],[Giới tính của bạn:]]</f>
        <v>Nam</v>
      </c>
      <c r="E395" t="str">
        <f>step3_validation[[#This Row],[Age_Group]]</f>
        <v>25 - 29</v>
      </c>
      <c r="F395" t="str">
        <f>survey_responses[[#This Row],[Độ tuổi của bạn:]]</f>
        <v>25 - 29</v>
      </c>
      <c r="G395" t="str">
        <f>step3_validation[[#This Row],[Region]]</f>
        <v>Thành thị</v>
      </c>
      <c r="H395" t="str">
        <f>survey_responses[[#This Row],[Khu vực bạn đang sinh sống:]]</f>
        <v>Thành thị</v>
      </c>
      <c r="I395" t="str">
        <f>step3_validation[[#This Row],[Education]]</f>
        <v>Đại học</v>
      </c>
      <c r="J395" t="str">
        <f>survey_responses[[#This Row],[Trình độ học vấn cao nhất:]]</f>
        <v>Đại học</v>
      </c>
      <c r="K395" t="str">
        <f>step3_validation[[#This Row],[Employment]]</f>
        <v>Chính thức</v>
      </c>
      <c r="L395" t="str">
        <f>survey_responses[[#This Row],[Tình trạng việc làm chính:]]</f>
        <v>Khu vực chính thức (Có Hợp đồng lao động, đóng BHXH)</v>
      </c>
      <c r="M395">
        <f>step3_validation[[#This Row],[Income_Mil]]</f>
        <v>12</v>
      </c>
      <c r="N395" t="str">
        <f>survey_responses[[#This Row],[Thu nhập bình quân tháng theo Hợp đồng lao động của bạn là bao nhiêu? (Vui lòng điền tổng thu nhập trước khi khấu trừ các loại Bảo hiểm (BHXH, BHYT, BHTN) và Thuế TNCN)]]</f>
        <v>Dưới 12 triệu VNĐ</v>
      </c>
      <c r="O395">
        <f>step3_validation[[#This Row],[Dependents]]</f>
        <v>1</v>
      </c>
      <c r="P395" t="str">
        <f>survey_responses[[#This Row],[Số người phụ thuộc (con nhỏ, cha mẹ già...) đủ điều kiện giảm trừ gia cảnh:]]</f>
        <v>1 người</v>
      </c>
      <c r="Q395">
        <f>step3_validation[[#This Row],[AI_ENF1]]</f>
        <v>7</v>
      </c>
      <c r="R395">
        <f t="shared" si="162"/>
        <v>0.66666666666666663</v>
      </c>
      <c r="S395">
        <f>survey_responses[[#This Row],[Tôi tin rằng với các quy định quản lý thuế hiện nay, hành vi gian lận hoặc trốn thuế sẽ dễ dàng bị phát hiện và xử lý nghiêm. - HUMAN-ENF1]]</f>
        <v>9</v>
      </c>
      <c r="T395">
        <f t="shared" si="163"/>
        <v>0.88888888888888884</v>
      </c>
      <c r="U395">
        <f>step3_validation[[#This Row],[AI_ENF2]]</f>
        <v>6</v>
      </c>
      <c r="V395">
        <f t="shared" si="164"/>
        <v>0.55555555555555558</v>
      </c>
      <c r="W395">
        <f>survey_responses[[#This Row],[Tôi tin rằng Nhà nước, cơ quan thuế có đủ khả năng và công nghệ để phát hiện, xử lý nghiêm các hành vi trốn thuế. - HUMAN-ENF2]]</f>
        <v>9</v>
      </c>
      <c r="X395">
        <f t="shared" si="165"/>
        <v>0.88888888888888884</v>
      </c>
      <c r="Y395" s="32">
        <f t="shared" si="166"/>
        <v>0.61111111111111116</v>
      </c>
      <c r="Z395" s="32">
        <f t="shared" si="167"/>
        <v>0.88888888888888884</v>
      </c>
      <c r="AA395">
        <f>step3_validation[[#This Row],[AI_FAC1]]</f>
        <v>9</v>
      </c>
      <c r="AB395">
        <f t="shared" si="168"/>
        <v>0.88888888888888884</v>
      </c>
      <c r="AC395">
        <f>survey_responses[[#This Row],[Các thủ tục khai báo thuế VÀ/HOẶC quy trình làm việc với cơ quan thuế đơn giản, tiện lợi, nhanh chóng hơn so với trước đây. - HUMAN-FAC1]]</f>
        <v>9</v>
      </c>
      <c r="AD395">
        <f t="shared" si="169"/>
        <v>0.88888888888888884</v>
      </c>
      <c r="AE395">
        <f>step3_validation[[#This Row],[AI_FAC2]]</f>
        <v>8</v>
      </c>
      <c r="AF395">
        <f t="shared" si="170"/>
        <v>0.77777777777777779</v>
      </c>
      <c r="AG395">
        <f>survey_responses[[#This Row],[So với trước đây, tôi thấy cách tính thuế và các bậc thuế trong phương án mới đơn giản, dễ hiểu và dễ thực hiện hơn. - HUMAN-FAC2]]</f>
        <v>7</v>
      </c>
      <c r="AH395">
        <f t="shared" si="171"/>
        <v>0.66666666666666663</v>
      </c>
      <c r="AI395" s="32">
        <f t="shared" si="172"/>
        <v>0.83333333333333326</v>
      </c>
      <c r="AJ395" s="32">
        <f t="shared" si="173"/>
        <v>0.77777777777777768</v>
      </c>
      <c r="AK395">
        <f>step3_validation[[#This Row],[AI_TRU1]]</f>
        <v>9</v>
      </c>
      <c r="AL395">
        <f t="shared" si="174"/>
        <v>0.88888888888888884</v>
      </c>
      <c r="AM395">
        <f>survey_responses[[#This Row],[Tôi tin rằng Nhà nước, cơ quan thuế sẽ thực thi chính sách mới một cách khách quan, công tâm và đối xử bình đẳng với mọi người nộp thuế.  - HUMAN-TRU1]]</f>
        <v>8</v>
      </c>
      <c r="AN395">
        <f t="shared" si="175"/>
        <v>0.77777777777777779</v>
      </c>
      <c r="AO395">
        <f>step3_validation[[#This Row],[AI_TRU2]]</f>
        <v>8</v>
      </c>
      <c r="AP395">
        <f t="shared" si="176"/>
        <v>0.77777777777777779</v>
      </c>
      <c r="AQ395">
        <f>survey_responses[[#This Row],[Tôi thấy mức thuế tôi phải đóng theo phương án mới là công bằng (người thu nhập như tôi đóng mức này là hợp lý). - HUMAN-TRU2]]</f>
        <v>6</v>
      </c>
      <c r="AR395">
        <f t="shared" si="177"/>
        <v>0.55555555555555558</v>
      </c>
      <c r="AS395">
        <f>step3_validation[[#This Row],[AI_TRU3]]</f>
        <v>7</v>
      </c>
      <c r="AT395">
        <f t="shared" si="178"/>
        <v>0.66666666666666663</v>
      </c>
      <c r="AU395">
        <f>survey_responses[[#This Row],[Tôi tin tưởng số tiền thuế tôi đóng sẽ được Nhà nước sử dụng hiệu quả để cải thiện dịch vụ công (y tế, đường xá...). - HUMAN-TRU3]]</f>
        <v>8</v>
      </c>
      <c r="AV395">
        <f t="shared" si="179"/>
        <v>0.77777777777777779</v>
      </c>
      <c r="AW395">
        <f>step3_validation[[#This Row],[AI_TRU4]]</f>
        <v>6</v>
      </c>
      <c r="AX395">
        <f t="shared" si="180"/>
        <v>0.55555555555555558</v>
      </c>
      <c r="AY395">
        <f>survey_responses[[#This Row],[Tôi thấy Nhà nước đã giải thích rõ ràng, minh bạch về lý do và mục tiêu của việc sửa đổi thuế lần này. - HUMAN-TRU4]]</f>
        <v>10</v>
      </c>
      <c r="AZ395">
        <f t="shared" si="181"/>
        <v>1</v>
      </c>
      <c r="BA395" s="32">
        <f t="shared" si="182"/>
        <v>0.7222222222222221</v>
      </c>
      <c r="BB395" s="32">
        <f t="shared" si="183"/>
        <v>0.77777777777777779</v>
      </c>
      <c r="BC395" s="7">
        <f t="shared" si="184"/>
        <v>0.72222222222222221</v>
      </c>
      <c r="BD395" s="7">
        <f t="shared" si="185"/>
        <v>0.81481481481481477</v>
      </c>
      <c r="BE395">
        <f>step3_validation[[#This Row],[AI_OUT1]]</f>
        <v>8</v>
      </c>
      <c r="BF395">
        <f t="shared" si="186"/>
        <v>0.77777777777777779</v>
      </c>
      <c r="BG395">
        <f>survey_responses[[#This Row],[Sau khi xem xét các quyền lợi và nghĩa vụ, bạn có ủng hộ và tuân thủ chính sách mới hiện nay? - HUMAN-OUT1]]</f>
        <v>10</v>
      </c>
      <c r="BH395">
        <f t="shared" si="187"/>
        <v>1</v>
      </c>
      <c r="BI395" s="32">
        <f t="shared" si="188"/>
        <v>2</v>
      </c>
    </row>
    <row r="396" spans="1:61" x14ac:dyDescent="0.45">
      <c r="A396" s="30">
        <f>step3_validation[[#This Row],[Persona_ID]]</f>
        <v>395</v>
      </c>
      <c r="B396" s="31">
        <f>step3_validation[[#This Row],[Used_Seed]]</f>
        <v>12739</v>
      </c>
      <c r="C396" t="str">
        <f>step3_validation[[#This Row],[Gender]]</f>
        <v>Nam</v>
      </c>
      <c r="D396" t="str">
        <f>survey_responses[[#This Row],[Giới tính của bạn:]]</f>
        <v>Nam</v>
      </c>
      <c r="E396" t="str">
        <f>step3_validation[[#This Row],[Age_Group]]</f>
        <v>50 - 54</v>
      </c>
      <c r="F396" t="str">
        <f>survey_responses[[#This Row],[Độ tuổi của bạn:]]</f>
        <v>50 - 54</v>
      </c>
      <c r="G396" t="str">
        <f>step3_validation[[#This Row],[Region]]</f>
        <v>Thành thị</v>
      </c>
      <c r="H396" t="str">
        <f>survey_responses[[#This Row],[Khu vực bạn đang sinh sống:]]</f>
        <v>Thành thị</v>
      </c>
      <c r="I396" t="str">
        <f>step3_validation[[#This Row],[Education]]</f>
        <v>Đại học</v>
      </c>
      <c r="J396" t="str">
        <f>survey_responses[[#This Row],[Trình độ học vấn cao nhất:]]</f>
        <v>Đại học</v>
      </c>
      <c r="K396" t="str">
        <f>step3_validation[[#This Row],[Employment]]</f>
        <v>Chính thức</v>
      </c>
      <c r="L396" t="str">
        <f>survey_responses[[#This Row],[Tình trạng việc làm chính:]]</f>
        <v>Khu vực chính thức (Có Hợp đồng lao động, đóng BHXH)</v>
      </c>
      <c r="M396">
        <f>step3_validation[[#This Row],[Income_Mil]]</f>
        <v>36.801474328622469</v>
      </c>
      <c r="N396" t="str">
        <f>survey_responses[[#This Row],[Thu nhập bình quân tháng theo Hợp đồng lao động của bạn là bao nhiêu? (Vui lòng điền tổng thu nhập trước khi khấu trừ các loại Bảo hiểm (BHXH, BHYT, BHTN) và Thuế TNCN)]]</f>
        <v>Từ 32 - 48 triệu VNĐ</v>
      </c>
      <c r="O396">
        <f>step3_validation[[#This Row],[Dependents]]</f>
        <v>1</v>
      </c>
      <c r="P396" t="str">
        <f>survey_responses[[#This Row],[Số người phụ thuộc (con nhỏ, cha mẹ già...) đủ điều kiện giảm trừ gia cảnh:]]</f>
        <v>1 người</v>
      </c>
      <c r="Q396">
        <f>step3_validation[[#This Row],[AI_ENF1]]</f>
        <v>7</v>
      </c>
      <c r="R396">
        <f t="shared" si="162"/>
        <v>0.66666666666666663</v>
      </c>
      <c r="S396">
        <f>survey_responses[[#This Row],[Tôi tin rằng với các quy định quản lý thuế hiện nay, hành vi gian lận hoặc trốn thuế sẽ dễ dàng bị phát hiện và xử lý nghiêm. - HUMAN-ENF1]]</f>
        <v>7</v>
      </c>
      <c r="T396">
        <f t="shared" si="163"/>
        <v>0.66666666666666663</v>
      </c>
      <c r="U396">
        <f>step3_validation[[#This Row],[AI_ENF2]]</f>
        <v>9</v>
      </c>
      <c r="V396">
        <f t="shared" si="164"/>
        <v>0.88888888888888884</v>
      </c>
      <c r="W396">
        <f>survey_responses[[#This Row],[Tôi tin rằng Nhà nước, cơ quan thuế có đủ khả năng và công nghệ để phát hiện, xử lý nghiêm các hành vi trốn thuế. - HUMAN-ENF2]]</f>
        <v>7</v>
      </c>
      <c r="X396">
        <f t="shared" si="165"/>
        <v>0.66666666666666663</v>
      </c>
      <c r="Y396" s="32">
        <f t="shared" si="166"/>
        <v>0.77777777777777768</v>
      </c>
      <c r="Z396" s="32">
        <f t="shared" si="167"/>
        <v>0.66666666666666663</v>
      </c>
      <c r="AA396">
        <f>step3_validation[[#This Row],[AI_FAC1]]</f>
        <v>8</v>
      </c>
      <c r="AB396">
        <f t="shared" si="168"/>
        <v>0.77777777777777779</v>
      </c>
      <c r="AC396">
        <f>survey_responses[[#This Row],[Các thủ tục khai báo thuế VÀ/HOẶC quy trình làm việc với cơ quan thuế đơn giản, tiện lợi, nhanh chóng hơn so với trước đây. - HUMAN-FAC1]]</f>
        <v>5</v>
      </c>
      <c r="AD396">
        <f t="shared" si="169"/>
        <v>0.44444444444444442</v>
      </c>
      <c r="AE396">
        <f>step3_validation[[#This Row],[AI_FAC2]]</f>
        <v>9</v>
      </c>
      <c r="AF396">
        <f t="shared" si="170"/>
        <v>0.88888888888888884</v>
      </c>
      <c r="AG396">
        <f>survey_responses[[#This Row],[So với trước đây, tôi thấy cách tính thuế và các bậc thuế trong phương án mới đơn giản, dễ hiểu và dễ thực hiện hơn. - HUMAN-FAC2]]</f>
        <v>7</v>
      </c>
      <c r="AH396">
        <f t="shared" si="171"/>
        <v>0.66666666666666663</v>
      </c>
      <c r="AI396" s="32">
        <f t="shared" si="172"/>
        <v>0.83333333333333326</v>
      </c>
      <c r="AJ396" s="32">
        <f t="shared" si="173"/>
        <v>0.55555555555555558</v>
      </c>
      <c r="AK396">
        <f>step3_validation[[#This Row],[AI_TRU1]]</f>
        <v>8</v>
      </c>
      <c r="AL396">
        <f t="shared" si="174"/>
        <v>0.77777777777777779</v>
      </c>
      <c r="AM396">
        <f>survey_responses[[#This Row],[Tôi tin rằng Nhà nước, cơ quan thuế sẽ thực thi chính sách mới một cách khách quan, công tâm và đối xử bình đẳng với mọi người nộp thuế.  - HUMAN-TRU1]]</f>
        <v>5</v>
      </c>
      <c r="AN396">
        <f t="shared" si="175"/>
        <v>0.44444444444444442</v>
      </c>
      <c r="AO396">
        <f>step3_validation[[#This Row],[AI_TRU2]]</f>
        <v>9</v>
      </c>
      <c r="AP396">
        <f t="shared" si="176"/>
        <v>0.88888888888888884</v>
      </c>
      <c r="AQ396">
        <f>survey_responses[[#This Row],[Tôi thấy mức thuế tôi phải đóng theo phương án mới là công bằng (người thu nhập như tôi đóng mức này là hợp lý). - HUMAN-TRU2]]</f>
        <v>6</v>
      </c>
      <c r="AR396">
        <f t="shared" si="177"/>
        <v>0.55555555555555558</v>
      </c>
      <c r="AS396">
        <f>step3_validation[[#This Row],[AI_TRU3]]</f>
        <v>8</v>
      </c>
      <c r="AT396">
        <f t="shared" si="178"/>
        <v>0.77777777777777779</v>
      </c>
      <c r="AU396">
        <f>survey_responses[[#This Row],[Tôi tin tưởng số tiền thuế tôi đóng sẽ được Nhà nước sử dụng hiệu quả để cải thiện dịch vụ công (y tế, đường xá...). - HUMAN-TRU3]]</f>
        <v>5</v>
      </c>
      <c r="AV396">
        <f t="shared" si="179"/>
        <v>0.44444444444444442</v>
      </c>
      <c r="AW396">
        <f>step3_validation[[#This Row],[AI_TRU4]]</f>
        <v>9</v>
      </c>
      <c r="AX396">
        <f t="shared" si="180"/>
        <v>0.88888888888888884</v>
      </c>
      <c r="AY396">
        <f>survey_responses[[#This Row],[Tôi thấy Nhà nước đã giải thích rõ ràng, minh bạch về lý do và mục tiêu của việc sửa đổi thuế lần này. - HUMAN-TRU4]]</f>
        <v>6</v>
      </c>
      <c r="AZ396">
        <f t="shared" si="181"/>
        <v>0.55555555555555558</v>
      </c>
      <c r="BA396" s="32">
        <f t="shared" si="182"/>
        <v>0.83333333333333326</v>
      </c>
      <c r="BB396" s="32">
        <f t="shared" si="183"/>
        <v>0.5</v>
      </c>
      <c r="BC396" s="7">
        <f t="shared" si="184"/>
        <v>0.81481481481481477</v>
      </c>
      <c r="BD396" s="7">
        <f t="shared" si="185"/>
        <v>0.57407407407407407</v>
      </c>
      <c r="BE396">
        <f>step3_validation[[#This Row],[AI_OUT1]]</f>
        <v>10</v>
      </c>
      <c r="BF396">
        <f t="shared" si="186"/>
        <v>1</v>
      </c>
      <c r="BG396">
        <f>survey_responses[[#This Row],[Sau khi xem xét các quyền lợi và nghĩa vụ, bạn có ủng hộ và tuân thủ chính sách mới hiện nay? - HUMAN-OUT1]]</f>
        <v>6</v>
      </c>
      <c r="BH396">
        <f t="shared" si="187"/>
        <v>0.55555555555555558</v>
      </c>
      <c r="BI396" s="32">
        <f t="shared" si="188"/>
        <v>4</v>
      </c>
    </row>
    <row r="397" spans="1:61" x14ac:dyDescent="0.45">
      <c r="A397" s="30">
        <f>step3_validation[[#This Row],[Persona_ID]]</f>
        <v>396</v>
      </c>
      <c r="B397" s="31">
        <f>step3_validation[[#This Row],[Used_Seed]]</f>
        <v>12740</v>
      </c>
      <c r="C397" t="str">
        <f>step3_validation[[#This Row],[Gender]]</f>
        <v>Nữ</v>
      </c>
      <c r="D397" t="str">
        <f>survey_responses[[#This Row],[Giới tính của bạn:]]</f>
        <v>Nữ</v>
      </c>
      <c r="E397" t="str">
        <f>step3_validation[[#This Row],[Age_Group]]</f>
        <v>30 - 39</v>
      </c>
      <c r="F397" t="str">
        <f>survey_responses[[#This Row],[Độ tuổi của bạn:]]</f>
        <v>30 - 39</v>
      </c>
      <c r="G397" t="str">
        <f>step3_validation[[#This Row],[Region]]</f>
        <v>Thành thị</v>
      </c>
      <c r="H397" t="str">
        <f>survey_responses[[#This Row],[Khu vực bạn đang sinh sống:]]</f>
        <v>Thành thị</v>
      </c>
      <c r="I397" t="str">
        <f>step3_validation[[#This Row],[Education]]</f>
        <v>Cao đẳng</v>
      </c>
      <c r="J397" t="str">
        <f>survey_responses[[#This Row],[Trình độ học vấn cao nhất:]]</f>
        <v>Cao đẳng</v>
      </c>
      <c r="K397" t="str">
        <f>step3_validation[[#This Row],[Employment]]</f>
        <v>Chính thức</v>
      </c>
      <c r="L397" t="str">
        <f>survey_responses[[#This Row],[Tình trạng việc làm chính:]]</f>
        <v>Khu vực chính thức (Có Hợp đồng lao động, đóng BHXH)</v>
      </c>
      <c r="M397">
        <f>step3_validation[[#This Row],[Income_Mil]]</f>
        <v>28.414981546846931</v>
      </c>
      <c r="N397" t="str">
        <f>survey_responses[[#This Row],[Thu nhập bình quân tháng theo Hợp đồng lao động của bạn là bao nhiêu? (Vui lòng điền tổng thu nhập trước khi khấu trừ các loại Bảo hiểm (BHXH, BHYT, BHTN) và Thuế TNCN)]]</f>
        <v>Từ 23 - 32 triệu VNĐ</v>
      </c>
      <c r="O397">
        <f>step3_validation[[#This Row],[Dependents]]</f>
        <v>1</v>
      </c>
      <c r="P397" t="str">
        <f>survey_responses[[#This Row],[Số người phụ thuộc (con nhỏ, cha mẹ già...) đủ điều kiện giảm trừ gia cảnh:]]</f>
        <v>1 người</v>
      </c>
      <c r="Q397">
        <f>step3_validation[[#This Row],[AI_ENF1]]</f>
        <v>6</v>
      </c>
      <c r="R397">
        <f t="shared" si="162"/>
        <v>0.55555555555555558</v>
      </c>
      <c r="S397">
        <f>survey_responses[[#This Row],[Tôi tin rằng với các quy định quản lý thuế hiện nay, hành vi gian lận hoặc trốn thuế sẽ dễ dàng bị phát hiện và xử lý nghiêm. - HUMAN-ENF1]]</f>
        <v>2</v>
      </c>
      <c r="T397">
        <f t="shared" si="163"/>
        <v>0.1111111111111111</v>
      </c>
      <c r="U397">
        <f>step3_validation[[#This Row],[AI_ENF2]]</f>
        <v>5</v>
      </c>
      <c r="V397">
        <f t="shared" si="164"/>
        <v>0.44444444444444442</v>
      </c>
      <c r="W397">
        <f>survey_responses[[#This Row],[Tôi tin rằng Nhà nước, cơ quan thuế có đủ khả năng và công nghệ để phát hiện, xử lý nghiêm các hành vi trốn thuế. - HUMAN-ENF2]]</f>
        <v>2</v>
      </c>
      <c r="X397">
        <f t="shared" si="165"/>
        <v>0.1111111111111111</v>
      </c>
      <c r="Y397" s="32">
        <f t="shared" si="166"/>
        <v>0.5</v>
      </c>
      <c r="Z397" s="32">
        <f t="shared" si="167"/>
        <v>0.1111111111111111</v>
      </c>
      <c r="AA397">
        <f>step3_validation[[#This Row],[AI_FAC1]]</f>
        <v>8</v>
      </c>
      <c r="AB397">
        <f t="shared" si="168"/>
        <v>0.77777777777777779</v>
      </c>
      <c r="AC397">
        <f>survey_responses[[#This Row],[Các thủ tục khai báo thuế VÀ/HOẶC quy trình làm việc với cơ quan thuế đơn giản, tiện lợi, nhanh chóng hơn so với trước đây. - HUMAN-FAC1]]</f>
        <v>4</v>
      </c>
      <c r="AD397">
        <f t="shared" si="169"/>
        <v>0.33333333333333331</v>
      </c>
      <c r="AE397">
        <f>step3_validation[[#This Row],[AI_FAC2]]</f>
        <v>7</v>
      </c>
      <c r="AF397">
        <f t="shared" si="170"/>
        <v>0.66666666666666663</v>
      </c>
      <c r="AG397">
        <f>survey_responses[[#This Row],[So với trước đây, tôi thấy cách tính thuế và các bậc thuế trong phương án mới đơn giản, dễ hiểu và dễ thực hiện hơn. - HUMAN-FAC2]]</f>
        <v>5</v>
      </c>
      <c r="AH397">
        <f t="shared" si="171"/>
        <v>0.44444444444444442</v>
      </c>
      <c r="AI397" s="32">
        <f t="shared" si="172"/>
        <v>0.72222222222222221</v>
      </c>
      <c r="AJ397" s="32">
        <f t="shared" si="173"/>
        <v>0.38888888888888884</v>
      </c>
      <c r="AK397">
        <f>step3_validation[[#This Row],[AI_TRU1]]</f>
        <v>6</v>
      </c>
      <c r="AL397">
        <f t="shared" si="174"/>
        <v>0.55555555555555558</v>
      </c>
      <c r="AM397">
        <f>survey_responses[[#This Row],[Tôi tin rằng Nhà nước, cơ quan thuế sẽ thực thi chính sách mới một cách khách quan, công tâm và đối xử bình đẳng với mọi người nộp thuế.  - HUMAN-TRU1]]</f>
        <v>5</v>
      </c>
      <c r="AN397">
        <f t="shared" si="175"/>
        <v>0.44444444444444442</v>
      </c>
      <c r="AO397">
        <f>step3_validation[[#This Row],[AI_TRU2]]</f>
        <v>8</v>
      </c>
      <c r="AP397">
        <f t="shared" si="176"/>
        <v>0.77777777777777779</v>
      </c>
      <c r="AQ397">
        <f>survey_responses[[#This Row],[Tôi thấy mức thuế tôi phải đóng theo phương án mới là công bằng (người thu nhập như tôi đóng mức này là hợp lý). - HUMAN-TRU2]]</f>
        <v>3</v>
      </c>
      <c r="AR397">
        <f t="shared" si="177"/>
        <v>0.22222222222222221</v>
      </c>
      <c r="AS397">
        <f>step3_validation[[#This Row],[AI_TRU3]]</f>
        <v>5</v>
      </c>
      <c r="AT397">
        <f t="shared" si="178"/>
        <v>0.44444444444444442</v>
      </c>
      <c r="AU397">
        <f>survey_responses[[#This Row],[Tôi tin tưởng số tiền thuế tôi đóng sẽ được Nhà nước sử dụng hiệu quả để cải thiện dịch vụ công (y tế, đường xá...). - HUMAN-TRU3]]</f>
        <v>5</v>
      </c>
      <c r="AV397">
        <f t="shared" si="179"/>
        <v>0.44444444444444442</v>
      </c>
      <c r="AW397">
        <f>step3_validation[[#This Row],[AI_TRU4]]</f>
        <v>7</v>
      </c>
      <c r="AX397">
        <f t="shared" si="180"/>
        <v>0.66666666666666663</v>
      </c>
      <c r="AY397">
        <f>survey_responses[[#This Row],[Tôi thấy Nhà nước đã giải thích rõ ràng, minh bạch về lý do và mục tiêu của việc sửa đổi thuế lần này. - HUMAN-TRU4]]</f>
        <v>5</v>
      </c>
      <c r="AZ397">
        <f t="shared" si="181"/>
        <v>0.44444444444444442</v>
      </c>
      <c r="BA397" s="32">
        <f t="shared" si="182"/>
        <v>0.61111111111111116</v>
      </c>
      <c r="BB397" s="32">
        <f t="shared" si="183"/>
        <v>0.3888888888888889</v>
      </c>
      <c r="BC397" s="7">
        <f t="shared" si="184"/>
        <v>0.61111111111111116</v>
      </c>
      <c r="BD397" s="7">
        <f t="shared" si="185"/>
        <v>0.29629629629629628</v>
      </c>
      <c r="BE397">
        <f>step3_validation[[#This Row],[AI_OUT1]]</f>
        <v>8</v>
      </c>
      <c r="BF397">
        <f t="shared" si="186"/>
        <v>0.77777777777777779</v>
      </c>
      <c r="BG397">
        <f>survey_responses[[#This Row],[Sau khi xem xét các quyền lợi và nghĩa vụ, bạn có ủng hộ và tuân thủ chính sách mới hiện nay? - HUMAN-OUT1]]</f>
        <v>5</v>
      </c>
      <c r="BH397">
        <f t="shared" si="187"/>
        <v>0.44444444444444442</v>
      </c>
      <c r="BI397" s="32">
        <f t="shared" si="188"/>
        <v>3</v>
      </c>
    </row>
    <row r="398" spans="1:61" x14ac:dyDescent="0.45">
      <c r="A398" s="30">
        <f>step3_validation[[#This Row],[Persona_ID]]</f>
        <v>397</v>
      </c>
      <c r="B398" s="31">
        <f>step3_validation[[#This Row],[Used_Seed]]</f>
        <v>12741</v>
      </c>
      <c r="C398" t="str">
        <f>step3_validation[[#This Row],[Gender]]</f>
        <v>Nữ</v>
      </c>
      <c r="D398" t="str">
        <f>survey_responses[[#This Row],[Giới tính của bạn:]]</f>
        <v>Nữ</v>
      </c>
      <c r="E398" t="str">
        <f>step3_validation[[#This Row],[Age_Group]]</f>
        <v>25 - 29</v>
      </c>
      <c r="F398" t="str">
        <f>survey_responses[[#This Row],[Độ tuổi của bạn:]]</f>
        <v>25 - 29</v>
      </c>
      <c r="G398" t="str">
        <f>step3_validation[[#This Row],[Region]]</f>
        <v>Thành thị</v>
      </c>
      <c r="H398" t="str">
        <f>survey_responses[[#This Row],[Khu vực bạn đang sinh sống:]]</f>
        <v>Thành thị</v>
      </c>
      <c r="I398" t="str">
        <f>step3_validation[[#This Row],[Education]]</f>
        <v>Đại học</v>
      </c>
      <c r="J398" t="str">
        <f>survey_responses[[#This Row],[Trình độ học vấn cao nhất:]]</f>
        <v>Đại học</v>
      </c>
      <c r="K398" t="str">
        <f>step3_validation[[#This Row],[Employment]]</f>
        <v>Chính thức</v>
      </c>
      <c r="L398" t="str">
        <f>survey_responses[[#This Row],[Tình trạng việc làm chính:]]</f>
        <v>Khu vực chính thức (Có Hợp đồng lao động, đóng BHXH)</v>
      </c>
      <c r="M398">
        <f>step3_validation[[#This Row],[Income_Mil]]</f>
        <v>25.252540362353248</v>
      </c>
      <c r="N398" t="str">
        <f>survey_responses[[#This Row],[Thu nhập bình quân tháng theo Hợp đồng lao động của bạn là bao nhiêu? (Vui lòng điền tổng thu nhập trước khi khấu trừ các loại Bảo hiểm (BHXH, BHYT, BHTN) và Thuế TNCN)]]</f>
        <v>Từ 23 - 32 triệu VNĐ</v>
      </c>
      <c r="O398">
        <f>step3_validation[[#This Row],[Dependents]]</f>
        <v>0</v>
      </c>
      <c r="P398" t="str">
        <f>survey_responses[[#This Row],[Số người phụ thuộc (con nhỏ, cha mẹ già...) đủ điều kiện giảm trừ gia cảnh:]]</f>
        <v>0 người</v>
      </c>
      <c r="Q398">
        <f>step3_validation[[#This Row],[AI_ENF1]]</f>
        <v>8</v>
      </c>
      <c r="R398">
        <f t="shared" si="162"/>
        <v>0.77777777777777779</v>
      </c>
      <c r="S398">
        <f>survey_responses[[#This Row],[Tôi tin rằng với các quy định quản lý thuế hiện nay, hành vi gian lận hoặc trốn thuế sẽ dễ dàng bị phát hiện và xử lý nghiêm. - HUMAN-ENF1]]</f>
        <v>8</v>
      </c>
      <c r="T398">
        <f t="shared" si="163"/>
        <v>0.77777777777777779</v>
      </c>
      <c r="U398">
        <f>step3_validation[[#This Row],[AI_ENF2]]</f>
        <v>8</v>
      </c>
      <c r="V398">
        <f t="shared" si="164"/>
        <v>0.77777777777777779</v>
      </c>
      <c r="W398">
        <f>survey_responses[[#This Row],[Tôi tin rằng Nhà nước, cơ quan thuế có đủ khả năng và công nghệ để phát hiện, xử lý nghiêm các hành vi trốn thuế. - HUMAN-ENF2]]</f>
        <v>8</v>
      </c>
      <c r="X398">
        <f t="shared" si="165"/>
        <v>0.77777777777777779</v>
      </c>
      <c r="Y398" s="32">
        <f t="shared" si="166"/>
        <v>0.77777777777777779</v>
      </c>
      <c r="Z398" s="32">
        <f t="shared" si="167"/>
        <v>0.77777777777777779</v>
      </c>
      <c r="AA398">
        <f>step3_validation[[#This Row],[AI_FAC1]]</f>
        <v>9</v>
      </c>
      <c r="AB398">
        <f t="shared" si="168"/>
        <v>0.88888888888888884</v>
      </c>
      <c r="AC398">
        <f>survey_responses[[#This Row],[Các thủ tục khai báo thuế VÀ/HOẶC quy trình làm việc với cơ quan thuế đơn giản, tiện lợi, nhanh chóng hơn so với trước đây. - HUMAN-FAC1]]</f>
        <v>7</v>
      </c>
      <c r="AD398">
        <f t="shared" si="169"/>
        <v>0.66666666666666663</v>
      </c>
      <c r="AE398">
        <f>step3_validation[[#This Row],[AI_FAC2]]</f>
        <v>9</v>
      </c>
      <c r="AF398">
        <f t="shared" si="170"/>
        <v>0.88888888888888884</v>
      </c>
      <c r="AG398">
        <f>survey_responses[[#This Row],[So với trước đây, tôi thấy cách tính thuế và các bậc thuế trong phương án mới đơn giản, dễ hiểu và dễ thực hiện hơn. - HUMAN-FAC2]]</f>
        <v>7</v>
      </c>
      <c r="AH398">
        <f t="shared" si="171"/>
        <v>0.66666666666666663</v>
      </c>
      <c r="AI398" s="32">
        <f t="shared" si="172"/>
        <v>0.88888888888888884</v>
      </c>
      <c r="AJ398" s="32">
        <f t="shared" si="173"/>
        <v>0.66666666666666663</v>
      </c>
      <c r="AK398">
        <f>step3_validation[[#This Row],[AI_TRU1]]</f>
        <v>7</v>
      </c>
      <c r="AL398">
        <f t="shared" si="174"/>
        <v>0.66666666666666663</v>
      </c>
      <c r="AM398">
        <f>survey_responses[[#This Row],[Tôi tin rằng Nhà nước, cơ quan thuế sẽ thực thi chính sách mới một cách khách quan, công tâm và đối xử bình đẳng với mọi người nộp thuế.  - HUMAN-TRU1]]</f>
        <v>7</v>
      </c>
      <c r="AN398">
        <f t="shared" si="175"/>
        <v>0.66666666666666663</v>
      </c>
      <c r="AO398">
        <f>step3_validation[[#This Row],[AI_TRU2]]</f>
        <v>8</v>
      </c>
      <c r="AP398">
        <f t="shared" si="176"/>
        <v>0.77777777777777779</v>
      </c>
      <c r="AQ398">
        <f>survey_responses[[#This Row],[Tôi thấy mức thuế tôi phải đóng theo phương án mới là công bằng (người thu nhập như tôi đóng mức này là hợp lý). - HUMAN-TRU2]]</f>
        <v>8</v>
      </c>
      <c r="AR398">
        <f t="shared" si="177"/>
        <v>0.77777777777777779</v>
      </c>
      <c r="AS398">
        <f>step3_validation[[#This Row],[AI_TRU3]]</f>
        <v>7</v>
      </c>
      <c r="AT398">
        <f t="shared" si="178"/>
        <v>0.66666666666666663</v>
      </c>
      <c r="AU398">
        <f>survey_responses[[#This Row],[Tôi tin tưởng số tiền thuế tôi đóng sẽ được Nhà nước sử dụng hiệu quả để cải thiện dịch vụ công (y tế, đường xá...). - HUMAN-TRU3]]</f>
        <v>7</v>
      </c>
      <c r="AV398">
        <f t="shared" si="179"/>
        <v>0.66666666666666663</v>
      </c>
      <c r="AW398">
        <f>step3_validation[[#This Row],[AI_TRU4]]</f>
        <v>6</v>
      </c>
      <c r="AX398">
        <f t="shared" si="180"/>
        <v>0.55555555555555558</v>
      </c>
      <c r="AY398">
        <f>survey_responses[[#This Row],[Tôi thấy Nhà nước đã giải thích rõ ràng, minh bạch về lý do và mục tiêu của việc sửa đổi thuế lần này. - HUMAN-TRU4]]</f>
        <v>8</v>
      </c>
      <c r="AZ398">
        <f t="shared" si="181"/>
        <v>0.77777777777777779</v>
      </c>
      <c r="BA398" s="32">
        <f t="shared" si="182"/>
        <v>0.66666666666666674</v>
      </c>
      <c r="BB398" s="32">
        <f t="shared" si="183"/>
        <v>0.72222222222222221</v>
      </c>
      <c r="BC398" s="7">
        <f t="shared" si="184"/>
        <v>0.77777777777777768</v>
      </c>
      <c r="BD398" s="7">
        <f t="shared" si="185"/>
        <v>0.72222222222222221</v>
      </c>
      <c r="BE398">
        <f>step3_validation[[#This Row],[AI_OUT1]]</f>
        <v>8</v>
      </c>
      <c r="BF398">
        <f t="shared" si="186"/>
        <v>0.77777777777777779</v>
      </c>
      <c r="BG398">
        <f>survey_responses[[#This Row],[Sau khi xem xét các quyền lợi và nghĩa vụ, bạn có ủng hộ và tuân thủ chính sách mới hiện nay? - HUMAN-OUT1]]</f>
        <v>8</v>
      </c>
      <c r="BH398">
        <f t="shared" si="187"/>
        <v>0.77777777777777779</v>
      </c>
      <c r="BI398" s="32">
        <f t="shared" si="188"/>
        <v>0</v>
      </c>
    </row>
    <row r="399" spans="1:61" x14ac:dyDescent="0.45">
      <c r="A399" s="30">
        <f>step3_validation[[#This Row],[Persona_ID]]</f>
        <v>398</v>
      </c>
      <c r="B399" s="31">
        <f>step3_validation[[#This Row],[Used_Seed]]</f>
        <v>12742</v>
      </c>
      <c r="C399" t="str">
        <f>step3_validation[[#This Row],[Gender]]</f>
        <v>Nữ</v>
      </c>
      <c r="D399" t="str">
        <f>survey_responses[[#This Row],[Giới tính của bạn:]]</f>
        <v>Nữ</v>
      </c>
      <c r="E399" t="str">
        <f>step3_validation[[#This Row],[Age_Group]]</f>
        <v>18 - 24</v>
      </c>
      <c r="F399" t="str">
        <f>survey_responses[[#This Row],[Độ tuổi của bạn:]]</f>
        <v>18 - 24</v>
      </c>
      <c r="G399" t="str">
        <f>step3_validation[[#This Row],[Region]]</f>
        <v>Thành thị</v>
      </c>
      <c r="H399" t="str">
        <f>survey_responses[[#This Row],[Khu vực bạn đang sinh sống:]]</f>
        <v>Thành thị</v>
      </c>
      <c r="I399" t="str">
        <f>step3_validation[[#This Row],[Education]]</f>
        <v>Đại học</v>
      </c>
      <c r="J399" t="str">
        <f>survey_responses[[#This Row],[Trình độ học vấn cao nhất:]]</f>
        <v>Đại học</v>
      </c>
      <c r="K399" t="str">
        <f>step3_validation[[#This Row],[Employment]]</f>
        <v>Chính thức</v>
      </c>
      <c r="L399" t="str">
        <f>survey_responses[[#This Row],[Tình trạng việc làm chính:]]</f>
        <v>Khu vực chính thức (Có Hợp đồng lao động, đóng BHXH)</v>
      </c>
      <c r="M399">
        <f>step3_validation[[#This Row],[Income_Mil]]</f>
        <v>12</v>
      </c>
      <c r="N399" t="str">
        <f>survey_responses[[#This Row],[Thu nhập bình quân tháng theo Hợp đồng lao động của bạn là bao nhiêu? (Vui lòng điền tổng thu nhập trước khi khấu trừ các loại Bảo hiểm (BHXH, BHYT, BHTN) và Thuế TNCN)]]</f>
        <v>Dưới 12 triệu VNĐ</v>
      </c>
      <c r="O399">
        <f>step3_validation[[#This Row],[Dependents]]</f>
        <v>0</v>
      </c>
      <c r="P399" t="str">
        <f>survey_responses[[#This Row],[Số người phụ thuộc (con nhỏ, cha mẹ già...) đủ điều kiện giảm trừ gia cảnh:]]</f>
        <v>0 người</v>
      </c>
      <c r="Q399">
        <f>step3_validation[[#This Row],[AI_ENF1]]</f>
        <v>7</v>
      </c>
      <c r="R399">
        <f t="shared" si="162"/>
        <v>0.66666666666666663</v>
      </c>
      <c r="S399">
        <f>survey_responses[[#This Row],[Tôi tin rằng với các quy định quản lý thuế hiện nay, hành vi gian lận hoặc trốn thuế sẽ dễ dàng bị phát hiện và xử lý nghiêm. - HUMAN-ENF1]]</f>
        <v>9</v>
      </c>
      <c r="T399">
        <f t="shared" si="163"/>
        <v>0.88888888888888884</v>
      </c>
      <c r="U399">
        <f>step3_validation[[#This Row],[AI_ENF2]]</f>
        <v>8</v>
      </c>
      <c r="V399">
        <f t="shared" si="164"/>
        <v>0.77777777777777779</v>
      </c>
      <c r="W399">
        <f>survey_responses[[#This Row],[Tôi tin rằng Nhà nước, cơ quan thuế có đủ khả năng và công nghệ để phát hiện, xử lý nghiêm các hành vi trốn thuế. - HUMAN-ENF2]]</f>
        <v>9</v>
      </c>
      <c r="X399">
        <f t="shared" si="165"/>
        <v>0.88888888888888884</v>
      </c>
      <c r="Y399" s="32">
        <f t="shared" si="166"/>
        <v>0.72222222222222221</v>
      </c>
      <c r="Z399" s="32">
        <f t="shared" si="167"/>
        <v>0.88888888888888884</v>
      </c>
      <c r="AA399">
        <f>step3_validation[[#This Row],[AI_FAC1]]</f>
        <v>9</v>
      </c>
      <c r="AB399">
        <f t="shared" si="168"/>
        <v>0.88888888888888884</v>
      </c>
      <c r="AC399">
        <f>survey_responses[[#This Row],[Các thủ tục khai báo thuế VÀ/HOẶC quy trình làm việc với cơ quan thuế đơn giản, tiện lợi, nhanh chóng hơn so với trước đây. - HUMAN-FAC1]]</f>
        <v>8</v>
      </c>
      <c r="AD399">
        <f t="shared" si="169"/>
        <v>0.77777777777777779</v>
      </c>
      <c r="AE399">
        <f>step3_validation[[#This Row],[AI_FAC2]]</f>
        <v>9</v>
      </c>
      <c r="AF399">
        <f t="shared" si="170"/>
        <v>0.88888888888888884</v>
      </c>
      <c r="AG399">
        <f>survey_responses[[#This Row],[So với trước đây, tôi thấy cách tính thuế và các bậc thuế trong phương án mới đơn giản, dễ hiểu và dễ thực hiện hơn. - HUMAN-FAC2]]</f>
        <v>9</v>
      </c>
      <c r="AH399">
        <f t="shared" si="171"/>
        <v>0.88888888888888884</v>
      </c>
      <c r="AI399" s="32">
        <f t="shared" si="172"/>
        <v>0.88888888888888884</v>
      </c>
      <c r="AJ399" s="32">
        <f t="shared" si="173"/>
        <v>0.83333333333333326</v>
      </c>
      <c r="AK399">
        <f>step3_validation[[#This Row],[AI_TRU1]]</f>
        <v>8</v>
      </c>
      <c r="AL399">
        <f t="shared" si="174"/>
        <v>0.77777777777777779</v>
      </c>
      <c r="AM399">
        <f>survey_responses[[#This Row],[Tôi tin rằng Nhà nước, cơ quan thuế sẽ thực thi chính sách mới một cách khách quan, công tâm và đối xử bình đẳng với mọi người nộp thuế.  - HUMAN-TRU1]]</f>
        <v>7</v>
      </c>
      <c r="AN399">
        <f t="shared" si="175"/>
        <v>0.66666666666666663</v>
      </c>
      <c r="AO399">
        <f>step3_validation[[#This Row],[AI_TRU2]]</f>
        <v>9</v>
      </c>
      <c r="AP399">
        <f t="shared" si="176"/>
        <v>0.88888888888888884</v>
      </c>
      <c r="AQ399">
        <f>survey_responses[[#This Row],[Tôi thấy mức thuế tôi phải đóng theo phương án mới là công bằng (người thu nhập như tôi đóng mức này là hợp lý). - HUMAN-TRU2]]</f>
        <v>9</v>
      </c>
      <c r="AR399">
        <f t="shared" si="177"/>
        <v>0.88888888888888884</v>
      </c>
      <c r="AS399">
        <f>step3_validation[[#This Row],[AI_TRU3]]</f>
        <v>8</v>
      </c>
      <c r="AT399">
        <f t="shared" si="178"/>
        <v>0.77777777777777779</v>
      </c>
      <c r="AU399">
        <f>survey_responses[[#This Row],[Tôi tin tưởng số tiền thuế tôi đóng sẽ được Nhà nước sử dụng hiệu quả để cải thiện dịch vụ công (y tế, đường xá...). - HUMAN-TRU3]]</f>
        <v>8</v>
      </c>
      <c r="AV399">
        <f t="shared" si="179"/>
        <v>0.77777777777777779</v>
      </c>
      <c r="AW399">
        <f>step3_validation[[#This Row],[AI_TRU4]]</f>
        <v>7</v>
      </c>
      <c r="AX399">
        <f t="shared" si="180"/>
        <v>0.66666666666666663</v>
      </c>
      <c r="AY399">
        <f>survey_responses[[#This Row],[Tôi thấy Nhà nước đã giải thích rõ ràng, minh bạch về lý do và mục tiêu của việc sửa đổi thuế lần này. - HUMAN-TRU4]]</f>
        <v>8</v>
      </c>
      <c r="AZ399">
        <f t="shared" si="181"/>
        <v>0.77777777777777779</v>
      </c>
      <c r="BA399" s="32">
        <f t="shared" si="182"/>
        <v>0.77777777777777768</v>
      </c>
      <c r="BB399" s="32">
        <f t="shared" si="183"/>
        <v>0.77777777777777768</v>
      </c>
      <c r="BC399" s="7">
        <f t="shared" si="184"/>
        <v>0.79629629629629628</v>
      </c>
      <c r="BD399" s="7">
        <f t="shared" si="185"/>
        <v>0.83333333333333337</v>
      </c>
      <c r="BE399">
        <f>step3_validation[[#This Row],[AI_OUT1]]</f>
        <v>9</v>
      </c>
      <c r="BF399">
        <f t="shared" si="186"/>
        <v>0.88888888888888884</v>
      </c>
      <c r="BG399">
        <f>survey_responses[[#This Row],[Sau khi xem xét các quyền lợi và nghĩa vụ, bạn có ủng hộ và tuân thủ chính sách mới hiện nay? - HUMAN-OUT1]]</f>
        <v>8</v>
      </c>
      <c r="BH399">
        <f t="shared" si="187"/>
        <v>0.77777777777777779</v>
      </c>
      <c r="BI399" s="32">
        <f t="shared" si="188"/>
        <v>1</v>
      </c>
    </row>
    <row r="400" spans="1:61" x14ac:dyDescent="0.45">
      <c r="A400" s="30">
        <f>step3_validation[[#This Row],[Persona_ID]]</f>
        <v>399</v>
      </c>
      <c r="B400" s="31">
        <f>step3_validation[[#This Row],[Used_Seed]]</f>
        <v>12743</v>
      </c>
      <c r="C400" t="str">
        <f>step3_validation[[#This Row],[Gender]]</f>
        <v>Nữ</v>
      </c>
      <c r="D400" t="str">
        <f>survey_responses[[#This Row],[Giới tính của bạn:]]</f>
        <v>Nữ</v>
      </c>
      <c r="E400" t="str">
        <f>step3_validation[[#This Row],[Age_Group]]</f>
        <v>25 - 29</v>
      </c>
      <c r="F400" t="str">
        <f>survey_responses[[#This Row],[Độ tuổi của bạn:]]</f>
        <v>25 - 29</v>
      </c>
      <c r="G400" t="str">
        <f>step3_validation[[#This Row],[Region]]</f>
        <v>Thành thị</v>
      </c>
      <c r="H400" t="str">
        <f>survey_responses[[#This Row],[Khu vực bạn đang sinh sống:]]</f>
        <v>Thành thị</v>
      </c>
      <c r="I400" t="str">
        <f>step3_validation[[#This Row],[Education]]</f>
        <v>Sau Đại học</v>
      </c>
      <c r="J400" t="str">
        <f>survey_responses[[#This Row],[Trình độ học vấn cao nhất:]]</f>
        <v>Sau Đại học</v>
      </c>
      <c r="K400" t="str">
        <f>step3_validation[[#This Row],[Employment]]</f>
        <v>Chính thức</v>
      </c>
      <c r="L400" t="str">
        <f>survey_responses[[#This Row],[Tình trạng việc làm chính:]]</f>
        <v>Khu vực chính thức (Có Hợp đồng lao động, đóng BHXH)</v>
      </c>
      <c r="M400">
        <f>step3_validation[[#This Row],[Income_Mil]]</f>
        <v>24.811244643832339</v>
      </c>
      <c r="N400" t="str">
        <f>survey_responses[[#This Row],[Thu nhập bình quân tháng theo Hợp đồng lao động của bạn là bao nhiêu? (Vui lòng điền tổng thu nhập trước khi khấu trừ các loại Bảo hiểm (BHXH, BHYT, BHTN) và Thuế TNCN)]]</f>
        <v>Từ 23 - 32 triệu VNĐ</v>
      </c>
      <c r="O400">
        <f>step3_validation[[#This Row],[Dependents]]</f>
        <v>0</v>
      </c>
      <c r="P400" t="str">
        <f>survey_responses[[#This Row],[Số người phụ thuộc (con nhỏ, cha mẹ già...) đủ điều kiện giảm trừ gia cảnh:]]</f>
        <v>0 người</v>
      </c>
      <c r="Q400">
        <f>step3_validation[[#This Row],[AI_ENF1]]</f>
        <v>7</v>
      </c>
      <c r="R400">
        <f t="shared" si="162"/>
        <v>0.66666666666666663</v>
      </c>
      <c r="S400">
        <f>survey_responses[[#This Row],[Tôi tin rằng với các quy định quản lý thuế hiện nay, hành vi gian lận hoặc trốn thuế sẽ dễ dàng bị phát hiện và xử lý nghiêm. - HUMAN-ENF1]]</f>
        <v>7</v>
      </c>
      <c r="T400">
        <f t="shared" si="163"/>
        <v>0.66666666666666663</v>
      </c>
      <c r="U400">
        <f>step3_validation[[#This Row],[AI_ENF2]]</f>
        <v>8</v>
      </c>
      <c r="V400">
        <f t="shared" si="164"/>
        <v>0.77777777777777779</v>
      </c>
      <c r="W400">
        <f>survey_responses[[#This Row],[Tôi tin rằng Nhà nước, cơ quan thuế có đủ khả năng và công nghệ để phát hiện, xử lý nghiêm các hành vi trốn thuế. - HUMAN-ENF2]]</f>
        <v>7</v>
      </c>
      <c r="X400">
        <f t="shared" si="165"/>
        <v>0.66666666666666663</v>
      </c>
      <c r="Y400" s="32">
        <f t="shared" si="166"/>
        <v>0.72222222222222221</v>
      </c>
      <c r="Z400" s="32">
        <f t="shared" si="167"/>
        <v>0.66666666666666663</v>
      </c>
      <c r="AA400">
        <f>step3_validation[[#This Row],[AI_FAC1]]</f>
        <v>7</v>
      </c>
      <c r="AB400">
        <f t="shared" si="168"/>
        <v>0.66666666666666663</v>
      </c>
      <c r="AC400">
        <f>survey_responses[[#This Row],[Các thủ tục khai báo thuế VÀ/HOẶC quy trình làm việc với cơ quan thuế đơn giản, tiện lợi, nhanh chóng hơn so với trước đây. - HUMAN-FAC1]]</f>
        <v>5</v>
      </c>
      <c r="AD400">
        <f t="shared" si="169"/>
        <v>0.44444444444444442</v>
      </c>
      <c r="AE400">
        <f>step3_validation[[#This Row],[AI_FAC2]]</f>
        <v>9</v>
      </c>
      <c r="AF400">
        <f t="shared" si="170"/>
        <v>0.88888888888888884</v>
      </c>
      <c r="AG400">
        <f>survey_responses[[#This Row],[So với trước đây, tôi thấy cách tính thuế và các bậc thuế trong phương án mới đơn giản, dễ hiểu và dễ thực hiện hơn. - HUMAN-FAC2]]</f>
        <v>8</v>
      </c>
      <c r="AH400">
        <f t="shared" si="171"/>
        <v>0.77777777777777779</v>
      </c>
      <c r="AI400" s="32">
        <f t="shared" si="172"/>
        <v>0.77777777777777768</v>
      </c>
      <c r="AJ400" s="32">
        <f t="shared" si="173"/>
        <v>0.61111111111111116</v>
      </c>
      <c r="AK400">
        <f>step3_validation[[#This Row],[AI_TRU1]]</f>
        <v>8</v>
      </c>
      <c r="AL400">
        <f t="shared" si="174"/>
        <v>0.77777777777777779</v>
      </c>
      <c r="AM400">
        <f>survey_responses[[#This Row],[Tôi tin rằng Nhà nước, cơ quan thuế sẽ thực thi chính sách mới một cách khách quan, công tâm và đối xử bình đẳng với mọi người nộp thuế.  - HUMAN-TRU1]]</f>
        <v>7</v>
      </c>
      <c r="AN400">
        <f t="shared" si="175"/>
        <v>0.66666666666666663</v>
      </c>
      <c r="AO400">
        <f>step3_validation[[#This Row],[AI_TRU2]]</f>
        <v>9</v>
      </c>
      <c r="AP400">
        <f t="shared" si="176"/>
        <v>0.88888888888888884</v>
      </c>
      <c r="AQ400">
        <f>survey_responses[[#This Row],[Tôi thấy mức thuế tôi phải đóng theo phương án mới là công bằng (người thu nhập như tôi đóng mức này là hợp lý). - HUMAN-TRU2]]</f>
        <v>8</v>
      </c>
      <c r="AR400">
        <f t="shared" si="177"/>
        <v>0.77777777777777779</v>
      </c>
      <c r="AS400">
        <f>step3_validation[[#This Row],[AI_TRU3]]</f>
        <v>8</v>
      </c>
      <c r="AT400">
        <f t="shared" si="178"/>
        <v>0.77777777777777779</v>
      </c>
      <c r="AU400">
        <f>survey_responses[[#This Row],[Tôi tin tưởng số tiền thuế tôi đóng sẽ được Nhà nước sử dụng hiệu quả để cải thiện dịch vụ công (y tế, đường xá...). - HUMAN-TRU3]]</f>
        <v>6</v>
      </c>
      <c r="AV400">
        <f t="shared" si="179"/>
        <v>0.55555555555555558</v>
      </c>
      <c r="AW400">
        <f>step3_validation[[#This Row],[AI_TRU4]]</f>
        <v>7</v>
      </c>
      <c r="AX400">
        <f t="shared" si="180"/>
        <v>0.66666666666666663</v>
      </c>
      <c r="AY400">
        <f>survey_responses[[#This Row],[Tôi thấy Nhà nước đã giải thích rõ ràng, minh bạch về lý do và mục tiêu của việc sửa đổi thuế lần này. - HUMAN-TRU4]]</f>
        <v>6</v>
      </c>
      <c r="AZ400">
        <f t="shared" si="181"/>
        <v>0.55555555555555558</v>
      </c>
      <c r="BA400" s="32">
        <f t="shared" si="182"/>
        <v>0.77777777777777768</v>
      </c>
      <c r="BB400" s="32">
        <f t="shared" si="183"/>
        <v>0.63888888888888884</v>
      </c>
      <c r="BC400" s="7">
        <f t="shared" si="184"/>
        <v>0.75925925925925919</v>
      </c>
      <c r="BD400" s="7">
        <f t="shared" si="185"/>
        <v>0.63888888888888884</v>
      </c>
      <c r="BE400">
        <f>step3_validation[[#This Row],[AI_OUT1]]</f>
        <v>9</v>
      </c>
      <c r="BF400">
        <f t="shared" si="186"/>
        <v>0.88888888888888884</v>
      </c>
      <c r="BG400">
        <f>survey_responses[[#This Row],[Sau khi xem xét các quyền lợi và nghĩa vụ, bạn có ủng hộ và tuân thủ chính sách mới hiện nay? - HUMAN-OUT1]]</f>
        <v>8</v>
      </c>
      <c r="BH400">
        <f t="shared" si="187"/>
        <v>0.77777777777777779</v>
      </c>
      <c r="BI400" s="32">
        <f t="shared" si="188"/>
        <v>1</v>
      </c>
    </row>
    <row r="401" spans="1:61" x14ac:dyDescent="0.45">
      <c r="A401" s="30">
        <f>step3_validation[[#This Row],[Persona_ID]]</f>
        <v>400</v>
      </c>
      <c r="B401" s="31">
        <f>step3_validation[[#This Row],[Used_Seed]]</f>
        <v>12744</v>
      </c>
      <c r="C401" t="str">
        <f>step3_validation[[#This Row],[Gender]]</f>
        <v>Nữ</v>
      </c>
      <c r="D401" t="str">
        <f>survey_responses[[#This Row],[Giới tính của bạn:]]</f>
        <v>Nữ</v>
      </c>
      <c r="E401" t="str">
        <f>step3_validation[[#This Row],[Age_Group]]</f>
        <v>40 - 49</v>
      </c>
      <c r="F401" t="str">
        <f>survey_responses[[#This Row],[Độ tuổi của bạn:]]</f>
        <v>40 - 49</v>
      </c>
      <c r="G401" t="str">
        <f>step3_validation[[#This Row],[Region]]</f>
        <v>Thành thị</v>
      </c>
      <c r="H401" t="str">
        <f>survey_responses[[#This Row],[Khu vực bạn đang sinh sống:]]</f>
        <v>Thành thị</v>
      </c>
      <c r="I401" t="str">
        <f>step3_validation[[#This Row],[Education]]</f>
        <v>Đại học</v>
      </c>
      <c r="J401" t="str">
        <f>survey_responses[[#This Row],[Trình độ học vấn cao nhất:]]</f>
        <v>Đại học</v>
      </c>
      <c r="K401" t="str">
        <f>step3_validation[[#This Row],[Employment]]</f>
        <v>Chính thức</v>
      </c>
      <c r="L401" t="str">
        <f>survey_responses[[#This Row],[Tình trạng việc làm chính:]]</f>
        <v>Khu vực chính thức (Có Hợp đồng lao động, đóng BHXH)</v>
      </c>
      <c r="M401">
        <f>step3_validation[[#This Row],[Income_Mil]]</f>
        <v>37.311246644564896</v>
      </c>
      <c r="N401" t="str">
        <f>survey_responses[[#This Row],[Thu nhập bình quân tháng theo Hợp đồng lao động của bạn là bao nhiêu? (Vui lòng điền tổng thu nhập trước khi khấu trừ các loại Bảo hiểm (BHXH, BHYT, BHTN) và Thuế TNCN)]]</f>
        <v>Từ 32 - 48 triệu VNĐ</v>
      </c>
      <c r="O401">
        <f>step3_validation[[#This Row],[Dependents]]</f>
        <v>3</v>
      </c>
      <c r="P401" t="str">
        <f>survey_responses[[#This Row],[Số người phụ thuộc (con nhỏ, cha mẹ già...) đủ điều kiện giảm trừ gia cảnh:]]</f>
        <v>3 người</v>
      </c>
      <c r="Q401">
        <f>step3_validation[[#This Row],[AI_ENF1]]</f>
        <v>8</v>
      </c>
      <c r="R401">
        <f t="shared" si="162"/>
        <v>0.77777777777777779</v>
      </c>
      <c r="S401">
        <f>survey_responses[[#This Row],[Tôi tin rằng với các quy định quản lý thuế hiện nay, hành vi gian lận hoặc trốn thuế sẽ dễ dàng bị phát hiện và xử lý nghiêm. - HUMAN-ENF1]]</f>
        <v>8</v>
      </c>
      <c r="T401">
        <f t="shared" si="163"/>
        <v>0.77777777777777779</v>
      </c>
      <c r="U401">
        <f>step3_validation[[#This Row],[AI_ENF2]]</f>
        <v>9</v>
      </c>
      <c r="V401">
        <f t="shared" si="164"/>
        <v>0.88888888888888884</v>
      </c>
      <c r="W401">
        <f>survey_responses[[#This Row],[Tôi tin rằng Nhà nước, cơ quan thuế có đủ khả năng và công nghệ để phát hiện, xử lý nghiêm các hành vi trốn thuế. - HUMAN-ENF2]]</f>
        <v>9</v>
      </c>
      <c r="X401">
        <f t="shared" si="165"/>
        <v>0.88888888888888884</v>
      </c>
      <c r="Y401" s="32">
        <f t="shared" si="166"/>
        <v>0.83333333333333326</v>
      </c>
      <c r="Z401" s="32">
        <f t="shared" si="167"/>
        <v>0.83333333333333326</v>
      </c>
      <c r="AA401">
        <f>step3_validation[[#This Row],[AI_FAC1]]</f>
        <v>8</v>
      </c>
      <c r="AB401">
        <f t="shared" si="168"/>
        <v>0.77777777777777779</v>
      </c>
      <c r="AC401">
        <f>survey_responses[[#This Row],[Các thủ tục khai báo thuế VÀ/HOẶC quy trình làm việc với cơ quan thuế đơn giản, tiện lợi, nhanh chóng hơn so với trước đây. - HUMAN-FAC1]]</f>
        <v>8</v>
      </c>
      <c r="AD401">
        <f t="shared" si="169"/>
        <v>0.77777777777777779</v>
      </c>
      <c r="AE401">
        <f>step3_validation[[#This Row],[AI_FAC2]]</f>
        <v>9</v>
      </c>
      <c r="AF401">
        <f t="shared" si="170"/>
        <v>0.88888888888888884</v>
      </c>
      <c r="AG401">
        <f>survey_responses[[#This Row],[So với trước đây, tôi thấy cách tính thuế và các bậc thuế trong phương án mới đơn giản, dễ hiểu và dễ thực hiện hơn. - HUMAN-FAC2]]</f>
        <v>8</v>
      </c>
      <c r="AH401">
        <f t="shared" si="171"/>
        <v>0.77777777777777779</v>
      </c>
      <c r="AI401" s="32">
        <f t="shared" si="172"/>
        <v>0.83333333333333326</v>
      </c>
      <c r="AJ401" s="32">
        <f t="shared" si="173"/>
        <v>0.77777777777777779</v>
      </c>
      <c r="AK401">
        <f>step3_validation[[#This Row],[AI_TRU1]]</f>
        <v>8</v>
      </c>
      <c r="AL401">
        <f t="shared" si="174"/>
        <v>0.77777777777777779</v>
      </c>
      <c r="AM401">
        <f>survey_responses[[#This Row],[Tôi tin rằng Nhà nước, cơ quan thuế sẽ thực thi chính sách mới một cách khách quan, công tâm và đối xử bình đẳng với mọi người nộp thuế.  - HUMAN-TRU1]]</f>
        <v>7</v>
      </c>
      <c r="AN401">
        <f t="shared" si="175"/>
        <v>0.66666666666666663</v>
      </c>
      <c r="AO401">
        <f>step3_validation[[#This Row],[AI_TRU2]]</f>
        <v>9</v>
      </c>
      <c r="AP401">
        <f t="shared" si="176"/>
        <v>0.88888888888888884</v>
      </c>
      <c r="AQ401">
        <f>survey_responses[[#This Row],[Tôi thấy mức thuế tôi phải đóng theo phương án mới là công bằng (người thu nhập như tôi đóng mức này là hợp lý). - HUMAN-TRU2]]</f>
        <v>7</v>
      </c>
      <c r="AR401">
        <f t="shared" si="177"/>
        <v>0.66666666666666663</v>
      </c>
      <c r="AS401">
        <f>step3_validation[[#This Row],[AI_TRU3]]</f>
        <v>8</v>
      </c>
      <c r="AT401">
        <f t="shared" si="178"/>
        <v>0.77777777777777779</v>
      </c>
      <c r="AU401">
        <f>survey_responses[[#This Row],[Tôi tin tưởng số tiền thuế tôi đóng sẽ được Nhà nước sử dụng hiệu quả để cải thiện dịch vụ công (y tế, đường xá...). - HUMAN-TRU3]]</f>
        <v>7</v>
      </c>
      <c r="AV401">
        <f t="shared" si="179"/>
        <v>0.66666666666666663</v>
      </c>
      <c r="AW401">
        <f>step3_validation[[#This Row],[AI_TRU4]]</f>
        <v>9</v>
      </c>
      <c r="AX401">
        <f t="shared" si="180"/>
        <v>0.88888888888888884</v>
      </c>
      <c r="AY401">
        <f>survey_responses[[#This Row],[Tôi thấy Nhà nước đã giải thích rõ ràng, minh bạch về lý do và mục tiêu của việc sửa đổi thuế lần này. - HUMAN-TRU4]]</f>
        <v>7</v>
      </c>
      <c r="AZ401">
        <f t="shared" si="181"/>
        <v>0.66666666666666663</v>
      </c>
      <c r="BA401" s="32">
        <f t="shared" si="182"/>
        <v>0.83333333333333326</v>
      </c>
      <c r="BB401" s="32">
        <f t="shared" si="183"/>
        <v>0.66666666666666663</v>
      </c>
      <c r="BC401" s="7">
        <f t="shared" si="184"/>
        <v>0.83333333333333337</v>
      </c>
      <c r="BD401" s="7">
        <f t="shared" si="185"/>
        <v>0.75925925925925919</v>
      </c>
      <c r="BE401">
        <f>step3_validation[[#This Row],[AI_OUT1]]</f>
        <v>8</v>
      </c>
      <c r="BF401">
        <f t="shared" si="186"/>
        <v>0.77777777777777779</v>
      </c>
      <c r="BG401">
        <f>survey_responses[[#This Row],[Sau khi xem xét các quyền lợi và nghĩa vụ, bạn có ủng hộ và tuân thủ chính sách mới hiện nay? - HUMAN-OUT1]]</f>
        <v>8</v>
      </c>
      <c r="BH401">
        <f t="shared" si="187"/>
        <v>0.77777777777777779</v>
      </c>
      <c r="BI401" s="32">
        <f t="shared" si="188"/>
        <v>0</v>
      </c>
    </row>
    <row r="402" spans="1:61" x14ac:dyDescent="0.45">
      <c r="A402" s="30">
        <f>step3_validation[[#This Row],[Persona_ID]]</f>
        <v>401</v>
      </c>
      <c r="B402" s="31">
        <f>step3_validation[[#This Row],[Used_Seed]]</f>
        <v>12745</v>
      </c>
      <c r="C402" t="str">
        <f>step3_validation[[#This Row],[Gender]]</f>
        <v>Nữ</v>
      </c>
      <c r="D402" t="str">
        <f>survey_responses[[#This Row],[Giới tính của bạn:]]</f>
        <v>Nữ</v>
      </c>
      <c r="E402" t="str">
        <f>step3_validation[[#This Row],[Age_Group]]</f>
        <v>25 - 29</v>
      </c>
      <c r="F402" t="str">
        <f>survey_responses[[#This Row],[Độ tuổi của bạn:]]</f>
        <v>25 - 29</v>
      </c>
      <c r="G402" t="str">
        <f>step3_validation[[#This Row],[Region]]</f>
        <v>Nông thôn</v>
      </c>
      <c r="H402" t="str">
        <f>survey_responses[[#This Row],[Khu vực bạn đang sinh sống:]]</f>
        <v>Nông thôn</v>
      </c>
      <c r="I402" t="str">
        <f>step3_validation[[#This Row],[Education]]</f>
        <v>Đại học</v>
      </c>
      <c r="J402" t="str">
        <f>survey_responses[[#This Row],[Trình độ học vấn cao nhất:]]</f>
        <v>Đại học</v>
      </c>
      <c r="K402" t="str">
        <f>step3_validation[[#This Row],[Employment]]</f>
        <v>Chính thức</v>
      </c>
      <c r="L402" t="str">
        <f>survey_responses[[#This Row],[Tình trạng việc làm chính:]]</f>
        <v>Khu vực chính thức (Có Hợp đồng lao động, đóng BHXH)</v>
      </c>
      <c r="M402">
        <f>step3_validation[[#This Row],[Income_Mil]]</f>
        <v>13.230576735736584</v>
      </c>
      <c r="N402" t="str">
        <f>survey_responses[[#This Row],[Thu nhập bình quân tháng theo Hợp đồng lao động của bạn là bao nhiêu? (Vui lòng điền tổng thu nhập trước khi khấu trừ các loại Bảo hiểm (BHXH, BHYT, BHTN) và Thuế TNCN)]]</f>
        <v>Từ 12 - 18 triệu VNĐ</v>
      </c>
      <c r="O402">
        <f>step3_validation[[#This Row],[Dependents]]</f>
        <v>0</v>
      </c>
      <c r="P402" t="str">
        <f>survey_responses[[#This Row],[Số người phụ thuộc (con nhỏ, cha mẹ già...) đủ điều kiện giảm trừ gia cảnh:]]</f>
        <v>0 người</v>
      </c>
      <c r="Q402">
        <f>step3_validation[[#This Row],[AI_ENF1]]</f>
        <v>7</v>
      </c>
      <c r="R402">
        <f t="shared" si="162"/>
        <v>0.66666666666666663</v>
      </c>
      <c r="S402">
        <f>survey_responses[[#This Row],[Tôi tin rằng với các quy định quản lý thuế hiện nay, hành vi gian lận hoặc trốn thuế sẽ dễ dàng bị phát hiện và xử lý nghiêm. - HUMAN-ENF1]]</f>
        <v>4</v>
      </c>
      <c r="T402">
        <f t="shared" si="163"/>
        <v>0.33333333333333331</v>
      </c>
      <c r="U402">
        <f>step3_validation[[#This Row],[AI_ENF2]]</f>
        <v>6</v>
      </c>
      <c r="V402">
        <f t="shared" si="164"/>
        <v>0.55555555555555558</v>
      </c>
      <c r="W402">
        <f>survey_responses[[#This Row],[Tôi tin rằng Nhà nước, cơ quan thuế có đủ khả năng và công nghệ để phát hiện, xử lý nghiêm các hành vi trốn thuế. - HUMAN-ENF2]]</f>
        <v>4</v>
      </c>
      <c r="X402">
        <f t="shared" si="165"/>
        <v>0.33333333333333331</v>
      </c>
      <c r="Y402" s="32">
        <f t="shared" si="166"/>
        <v>0.61111111111111116</v>
      </c>
      <c r="Z402" s="32">
        <f t="shared" si="167"/>
        <v>0.33333333333333331</v>
      </c>
      <c r="AA402">
        <f>step3_validation[[#This Row],[AI_FAC1]]</f>
        <v>8</v>
      </c>
      <c r="AB402">
        <f t="shared" si="168"/>
        <v>0.77777777777777779</v>
      </c>
      <c r="AC402">
        <f>survey_responses[[#This Row],[Các thủ tục khai báo thuế VÀ/HOẶC quy trình làm việc với cơ quan thuế đơn giản, tiện lợi, nhanh chóng hơn so với trước đây. - HUMAN-FAC1]]</f>
        <v>3</v>
      </c>
      <c r="AD402">
        <f t="shared" si="169"/>
        <v>0.22222222222222221</v>
      </c>
      <c r="AE402">
        <f>step3_validation[[#This Row],[AI_FAC2]]</f>
        <v>9</v>
      </c>
      <c r="AF402">
        <f t="shared" si="170"/>
        <v>0.88888888888888884</v>
      </c>
      <c r="AG402">
        <f>survey_responses[[#This Row],[So với trước đây, tôi thấy cách tính thuế và các bậc thuế trong phương án mới đơn giản, dễ hiểu và dễ thực hiện hơn. - HUMAN-FAC2]]</f>
        <v>5</v>
      </c>
      <c r="AH402">
        <f t="shared" si="171"/>
        <v>0.44444444444444442</v>
      </c>
      <c r="AI402" s="32">
        <f t="shared" si="172"/>
        <v>0.83333333333333326</v>
      </c>
      <c r="AJ402" s="32">
        <f t="shared" si="173"/>
        <v>0.33333333333333331</v>
      </c>
      <c r="AK402">
        <f>step3_validation[[#This Row],[AI_TRU1]]</f>
        <v>8</v>
      </c>
      <c r="AL402">
        <f t="shared" si="174"/>
        <v>0.77777777777777779</v>
      </c>
      <c r="AM402">
        <f>survey_responses[[#This Row],[Tôi tin rằng Nhà nước, cơ quan thuế sẽ thực thi chính sách mới một cách khách quan, công tâm và đối xử bình đẳng với mọi người nộp thuế.  - HUMAN-TRU1]]</f>
        <v>5</v>
      </c>
      <c r="AN402">
        <f t="shared" si="175"/>
        <v>0.44444444444444442</v>
      </c>
      <c r="AO402">
        <f>step3_validation[[#This Row],[AI_TRU2]]</f>
        <v>7</v>
      </c>
      <c r="AP402">
        <f t="shared" si="176"/>
        <v>0.66666666666666663</v>
      </c>
      <c r="AQ402">
        <f>survey_responses[[#This Row],[Tôi thấy mức thuế tôi phải đóng theo phương án mới là công bằng (người thu nhập như tôi đóng mức này là hợp lý). - HUMAN-TRU2]]</f>
        <v>2</v>
      </c>
      <c r="AR402">
        <f t="shared" si="177"/>
        <v>0.1111111111111111</v>
      </c>
      <c r="AS402">
        <f>step3_validation[[#This Row],[AI_TRU3]]</f>
        <v>9</v>
      </c>
      <c r="AT402">
        <f t="shared" si="178"/>
        <v>0.88888888888888884</v>
      </c>
      <c r="AU402">
        <f>survey_responses[[#This Row],[Tôi tin tưởng số tiền thuế tôi đóng sẽ được Nhà nước sử dụng hiệu quả để cải thiện dịch vụ công (y tế, đường xá...). - HUMAN-TRU3]]</f>
        <v>2</v>
      </c>
      <c r="AV402">
        <f t="shared" si="179"/>
        <v>0.1111111111111111</v>
      </c>
      <c r="AW402">
        <f>step3_validation[[#This Row],[AI_TRU4]]</f>
        <v>8</v>
      </c>
      <c r="AX402">
        <f t="shared" si="180"/>
        <v>0.77777777777777779</v>
      </c>
      <c r="AY402">
        <f>survey_responses[[#This Row],[Tôi thấy Nhà nước đã giải thích rõ ràng, minh bạch về lý do và mục tiêu của việc sửa đổi thuế lần này. - HUMAN-TRU4]]</f>
        <v>5</v>
      </c>
      <c r="AZ402">
        <f t="shared" si="181"/>
        <v>0.44444444444444442</v>
      </c>
      <c r="BA402" s="32">
        <f t="shared" si="182"/>
        <v>0.77777777777777768</v>
      </c>
      <c r="BB402" s="32">
        <f t="shared" si="183"/>
        <v>0.27777777777777779</v>
      </c>
      <c r="BC402" s="7">
        <f t="shared" si="184"/>
        <v>0.74074074074074081</v>
      </c>
      <c r="BD402" s="7">
        <f t="shared" si="185"/>
        <v>0.31481481481481483</v>
      </c>
      <c r="BE402">
        <f>step3_validation[[#This Row],[AI_OUT1]]</f>
        <v>9</v>
      </c>
      <c r="BF402">
        <f t="shared" si="186"/>
        <v>0.88888888888888884</v>
      </c>
      <c r="BG402">
        <f>survey_responses[[#This Row],[Sau khi xem xét các quyền lợi và nghĩa vụ, bạn có ủng hộ và tuân thủ chính sách mới hiện nay? - HUMAN-OUT1]]</f>
        <v>2</v>
      </c>
      <c r="BH402">
        <f t="shared" si="187"/>
        <v>0.1111111111111111</v>
      </c>
      <c r="BI402" s="32">
        <f t="shared" si="188"/>
        <v>7</v>
      </c>
    </row>
    <row r="403" spans="1:61" x14ac:dyDescent="0.45">
      <c r="A403" s="30">
        <f>step3_validation[[#This Row],[Persona_ID]]</f>
        <v>402</v>
      </c>
      <c r="B403" s="31">
        <f>step3_validation[[#This Row],[Used_Seed]]</f>
        <v>12746</v>
      </c>
      <c r="C403" t="str">
        <f>step3_validation[[#This Row],[Gender]]</f>
        <v>Nam</v>
      </c>
      <c r="D403" t="str">
        <f>survey_responses[[#This Row],[Giới tính của bạn:]]</f>
        <v>Nam</v>
      </c>
      <c r="E403" t="str">
        <f>step3_validation[[#This Row],[Age_Group]]</f>
        <v>55 - 64</v>
      </c>
      <c r="F403" t="str">
        <f>survey_responses[[#This Row],[Độ tuổi của bạn:]]</f>
        <v>55 - 64</v>
      </c>
      <c r="G403" t="str">
        <f>step3_validation[[#This Row],[Region]]</f>
        <v>Thành thị</v>
      </c>
      <c r="H403" t="str">
        <f>survey_responses[[#This Row],[Khu vực bạn đang sinh sống:]]</f>
        <v>Thành thị</v>
      </c>
      <c r="I403" t="str">
        <f>step3_validation[[#This Row],[Education]]</f>
        <v>Sau Đại học</v>
      </c>
      <c r="J403" t="str">
        <f>survey_responses[[#This Row],[Trình độ học vấn cao nhất:]]</f>
        <v>Sau Đại học</v>
      </c>
      <c r="K403" t="str">
        <f>step3_validation[[#This Row],[Employment]]</f>
        <v>Chính thức</v>
      </c>
      <c r="L403" t="str">
        <f>survey_responses[[#This Row],[Tình trạng việc làm chính:]]</f>
        <v>Khu vực chính thức (Có Hợp đồng lao động, đóng BHXH)</v>
      </c>
      <c r="M403">
        <f>step3_validation[[#This Row],[Income_Mil]]</f>
        <v>223.22624100216419</v>
      </c>
      <c r="N403" t="str">
        <f>survey_responses[[#This Row],[Thu nhập bình quân tháng theo Hợp đồng lao động của bạn là bao nhiêu? (Vui lòng điền tổng thu nhập trước khi khấu trừ các loại Bảo hiểm (BHXH, BHYT, BHTN) và Thuế TNCN)]]</f>
        <v>Trên 102 triệu VNĐ</v>
      </c>
      <c r="O403">
        <f>step3_validation[[#This Row],[Dependents]]</f>
        <v>4</v>
      </c>
      <c r="P403" t="str">
        <f>survey_responses[[#This Row],[Số người phụ thuộc (con nhỏ, cha mẹ già...) đủ điều kiện giảm trừ gia cảnh:]]</f>
        <v>4 người trở lên</v>
      </c>
      <c r="Q403">
        <f>step3_validation[[#This Row],[AI_ENF1]]</f>
        <v>7</v>
      </c>
      <c r="R403">
        <f t="shared" si="162"/>
        <v>0.66666666666666663</v>
      </c>
      <c r="S403">
        <f>survey_responses[[#This Row],[Tôi tin rằng với các quy định quản lý thuế hiện nay, hành vi gian lận hoặc trốn thuế sẽ dễ dàng bị phát hiện và xử lý nghiêm. - HUMAN-ENF1]]</f>
        <v>7</v>
      </c>
      <c r="T403">
        <f t="shared" si="163"/>
        <v>0.66666666666666663</v>
      </c>
      <c r="U403">
        <f>step3_validation[[#This Row],[AI_ENF2]]</f>
        <v>6</v>
      </c>
      <c r="V403">
        <f t="shared" si="164"/>
        <v>0.55555555555555558</v>
      </c>
      <c r="W403">
        <f>survey_responses[[#This Row],[Tôi tin rằng Nhà nước, cơ quan thuế có đủ khả năng và công nghệ để phát hiện, xử lý nghiêm các hành vi trốn thuế. - HUMAN-ENF2]]</f>
        <v>7</v>
      </c>
      <c r="X403">
        <f t="shared" si="165"/>
        <v>0.66666666666666663</v>
      </c>
      <c r="Y403" s="32">
        <f t="shared" si="166"/>
        <v>0.61111111111111116</v>
      </c>
      <c r="Z403" s="32">
        <f t="shared" si="167"/>
        <v>0.66666666666666663</v>
      </c>
      <c r="AA403">
        <f>step3_validation[[#This Row],[AI_FAC1]]</f>
        <v>8</v>
      </c>
      <c r="AB403">
        <f t="shared" si="168"/>
        <v>0.77777777777777779</v>
      </c>
      <c r="AC403">
        <f>survey_responses[[#This Row],[Các thủ tục khai báo thuế VÀ/HOẶC quy trình làm việc với cơ quan thuế đơn giản, tiện lợi, nhanh chóng hơn so với trước đây. - HUMAN-FAC1]]</f>
        <v>4</v>
      </c>
      <c r="AD403">
        <f t="shared" si="169"/>
        <v>0.33333333333333331</v>
      </c>
      <c r="AE403">
        <f>step3_validation[[#This Row],[AI_FAC2]]</f>
        <v>9</v>
      </c>
      <c r="AF403">
        <f t="shared" si="170"/>
        <v>0.88888888888888884</v>
      </c>
      <c r="AG403">
        <f>survey_responses[[#This Row],[So với trước đây, tôi thấy cách tính thuế và các bậc thuế trong phương án mới đơn giản, dễ hiểu và dễ thực hiện hơn. - HUMAN-FAC2]]</f>
        <v>6</v>
      </c>
      <c r="AH403">
        <f t="shared" si="171"/>
        <v>0.55555555555555558</v>
      </c>
      <c r="AI403" s="32">
        <f t="shared" si="172"/>
        <v>0.83333333333333326</v>
      </c>
      <c r="AJ403" s="32">
        <f t="shared" si="173"/>
        <v>0.44444444444444442</v>
      </c>
      <c r="AK403">
        <f>step3_validation[[#This Row],[AI_TRU1]]</f>
        <v>8</v>
      </c>
      <c r="AL403">
        <f t="shared" si="174"/>
        <v>0.77777777777777779</v>
      </c>
      <c r="AM403">
        <f>survey_responses[[#This Row],[Tôi tin rằng Nhà nước, cơ quan thuế sẽ thực thi chính sách mới một cách khách quan, công tâm và đối xử bình đẳng với mọi người nộp thuế.  - HUMAN-TRU1]]</f>
        <v>5</v>
      </c>
      <c r="AN403">
        <f t="shared" si="175"/>
        <v>0.44444444444444442</v>
      </c>
      <c r="AO403">
        <f>step3_validation[[#This Row],[AI_TRU2]]</f>
        <v>9</v>
      </c>
      <c r="AP403">
        <f t="shared" si="176"/>
        <v>0.88888888888888884</v>
      </c>
      <c r="AQ403">
        <f>survey_responses[[#This Row],[Tôi thấy mức thuế tôi phải đóng theo phương án mới là công bằng (người thu nhập như tôi đóng mức này là hợp lý). - HUMAN-TRU2]]</f>
        <v>4</v>
      </c>
      <c r="AR403">
        <f t="shared" si="177"/>
        <v>0.33333333333333331</v>
      </c>
      <c r="AS403">
        <f>step3_validation[[#This Row],[AI_TRU3]]</f>
        <v>8</v>
      </c>
      <c r="AT403">
        <f t="shared" si="178"/>
        <v>0.77777777777777779</v>
      </c>
      <c r="AU403">
        <f>survey_responses[[#This Row],[Tôi tin tưởng số tiền thuế tôi đóng sẽ được Nhà nước sử dụng hiệu quả để cải thiện dịch vụ công (y tế, đường xá...). - HUMAN-TRU3]]</f>
        <v>5</v>
      </c>
      <c r="AV403">
        <f t="shared" si="179"/>
        <v>0.44444444444444442</v>
      </c>
      <c r="AW403">
        <f>step3_validation[[#This Row],[AI_TRU4]]</f>
        <v>7</v>
      </c>
      <c r="AX403">
        <f t="shared" si="180"/>
        <v>0.66666666666666663</v>
      </c>
      <c r="AY403">
        <f>survey_responses[[#This Row],[Tôi thấy Nhà nước đã giải thích rõ ràng, minh bạch về lý do và mục tiêu của việc sửa đổi thuế lần này. - HUMAN-TRU4]]</f>
        <v>5</v>
      </c>
      <c r="AZ403">
        <f t="shared" si="181"/>
        <v>0.44444444444444442</v>
      </c>
      <c r="BA403" s="32">
        <f t="shared" si="182"/>
        <v>0.77777777777777768</v>
      </c>
      <c r="BB403" s="32">
        <f t="shared" si="183"/>
        <v>0.41666666666666663</v>
      </c>
      <c r="BC403" s="7">
        <f t="shared" si="184"/>
        <v>0.74074074074074081</v>
      </c>
      <c r="BD403" s="7">
        <f t="shared" si="185"/>
        <v>0.50925925925925919</v>
      </c>
      <c r="BE403">
        <f>step3_validation[[#This Row],[AI_OUT1]]</f>
        <v>9</v>
      </c>
      <c r="BF403">
        <f t="shared" si="186"/>
        <v>0.88888888888888884</v>
      </c>
      <c r="BG403">
        <f>survey_responses[[#This Row],[Sau khi xem xét các quyền lợi và nghĩa vụ, bạn có ủng hộ và tuân thủ chính sách mới hiện nay? - HUMAN-OUT1]]</f>
        <v>5</v>
      </c>
      <c r="BH403">
        <f t="shared" si="187"/>
        <v>0.44444444444444442</v>
      </c>
      <c r="BI403" s="32">
        <f t="shared" si="188"/>
        <v>4</v>
      </c>
    </row>
    <row r="404" spans="1:61" x14ac:dyDescent="0.45">
      <c r="A404" s="30">
        <f>step3_validation[[#This Row],[Persona_ID]]</f>
        <v>403</v>
      </c>
      <c r="B404" s="31">
        <f>step3_validation[[#This Row],[Used_Seed]]</f>
        <v>12747</v>
      </c>
      <c r="C404" t="str">
        <f>step3_validation[[#This Row],[Gender]]</f>
        <v>Nữ</v>
      </c>
      <c r="D404" t="str">
        <f>survey_responses[[#This Row],[Giới tính của bạn:]]</f>
        <v>Nữ</v>
      </c>
      <c r="E404" t="str">
        <f>step3_validation[[#This Row],[Age_Group]]</f>
        <v>25 - 29</v>
      </c>
      <c r="F404" t="str">
        <f>survey_responses[[#This Row],[Độ tuổi của bạn:]]</f>
        <v>25 - 29</v>
      </c>
      <c r="G404" t="str">
        <f>step3_validation[[#This Row],[Region]]</f>
        <v>Thành thị</v>
      </c>
      <c r="H404" t="str">
        <f>survey_responses[[#This Row],[Khu vực bạn đang sinh sống:]]</f>
        <v>Thành thị</v>
      </c>
      <c r="I404" t="str">
        <f>step3_validation[[#This Row],[Education]]</f>
        <v>Đại học</v>
      </c>
      <c r="J404" t="str">
        <f>survey_responses[[#This Row],[Trình độ học vấn cao nhất:]]</f>
        <v>Đại học</v>
      </c>
      <c r="K404" t="str">
        <f>step3_validation[[#This Row],[Employment]]</f>
        <v>Chính thức</v>
      </c>
      <c r="L404" t="str">
        <f>survey_responses[[#This Row],[Tình trạng việc làm chính:]]</f>
        <v>Khu vực chính thức (Có Hợp đồng lao động, đóng BHXH)</v>
      </c>
      <c r="M404">
        <f>step3_validation[[#This Row],[Income_Mil]]</f>
        <v>29.431749745655683</v>
      </c>
      <c r="N404" t="str">
        <f>survey_responses[[#This Row],[Thu nhập bình quân tháng theo Hợp đồng lao động của bạn là bao nhiêu? (Vui lòng điền tổng thu nhập trước khi khấu trừ các loại Bảo hiểm (BHXH, BHYT, BHTN) và Thuế TNCN)]]</f>
        <v>Từ 23 - 32 triệu VNĐ</v>
      </c>
      <c r="O404">
        <f>step3_validation[[#This Row],[Dependents]]</f>
        <v>0</v>
      </c>
      <c r="P404" t="str">
        <f>survey_responses[[#This Row],[Số người phụ thuộc (con nhỏ, cha mẹ già...) đủ điều kiện giảm trừ gia cảnh:]]</f>
        <v>0 người</v>
      </c>
      <c r="Q404">
        <f>step3_validation[[#This Row],[AI_ENF1]]</f>
        <v>7</v>
      </c>
      <c r="R404">
        <f t="shared" si="162"/>
        <v>0.66666666666666663</v>
      </c>
      <c r="S404">
        <f>survey_responses[[#This Row],[Tôi tin rằng với các quy định quản lý thuế hiện nay, hành vi gian lận hoặc trốn thuế sẽ dễ dàng bị phát hiện và xử lý nghiêm. - HUMAN-ENF1]]</f>
        <v>7</v>
      </c>
      <c r="T404">
        <f t="shared" si="163"/>
        <v>0.66666666666666663</v>
      </c>
      <c r="U404">
        <f>step3_validation[[#This Row],[AI_ENF2]]</f>
        <v>8</v>
      </c>
      <c r="V404">
        <f t="shared" si="164"/>
        <v>0.77777777777777779</v>
      </c>
      <c r="W404">
        <f>survey_responses[[#This Row],[Tôi tin rằng Nhà nước, cơ quan thuế có đủ khả năng và công nghệ để phát hiện, xử lý nghiêm các hành vi trốn thuế. - HUMAN-ENF2]]</f>
        <v>7</v>
      </c>
      <c r="X404">
        <f t="shared" si="165"/>
        <v>0.66666666666666663</v>
      </c>
      <c r="Y404" s="32">
        <f t="shared" si="166"/>
        <v>0.72222222222222221</v>
      </c>
      <c r="Z404" s="32">
        <f t="shared" si="167"/>
        <v>0.66666666666666663</v>
      </c>
      <c r="AA404">
        <f>step3_validation[[#This Row],[AI_FAC1]]</f>
        <v>9</v>
      </c>
      <c r="AB404">
        <f t="shared" si="168"/>
        <v>0.88888888888888884</v>
      </c>
      <c r="AC404">
        <f>survey_responses[[#This Row],[Các thủ tục khai báo thuế VÀ/HOẶC quy trình làm việc với cơ quan thuế đơn giản, tiện lợi, nhanh chóng hơn so với trước đây. - HUMAN-FAC1]]</f>
        <v>7</v>
      </c>
      <c r="AD404">
        <f t="shared" si="169"/>
        <v>0.66666666666666663</v>
      </c>
      <c r="AE404">
        <f>step3_validation[[#This Row],[AI_FAC2]]</f>
        <v>8</v>
      </c>
      <c r="AF404">
        <f t="shared" si="170"/>
        <v>0.77777777777777779</v>
      </c>
      <c r="AG404">
        <f>survey_responses[[#This Row],[So với trước đây, tôi thấy cách tính thuế và các bậc thuế trong phương án mới đơn giản, dễ hiểu và dễ thực hiện hơn. - HUMAN-FAC2]]</f>
        <v>7</v>
      </c>
      <c r="AH404">
        <f t="shared" si="171"/>
        <v>0.66666666666666663</v>
      </c>
      <c r="AI404" s="32">
        <f t="shared" si="172"/>
        <v>0.83333333333333326</v>
      </c>
      <c r="AJ404" s="32">
        <f t="shared" si="173"/>
        <v>0.66666666666666663</v>
      </c>
      <c r="AK404">
        <f>step3_validation[[#This Row],[AI_TRU1]]</f>
        <v>6</v>
      </c>
      <c r="AL404">
        <f t="shared" si="174"/>
        <v>0.55555555555555558</v>
      </c>
      <c r="AM404">
        <f>survey_responses[[#This Row],[Tôi tin rằng Nhà nước, cơ quan thuế sẽ thực thi chính sách mới một cách khách quan, công tâm và đối xử bình đẳng với mọi người nộp thuế.  - HUMAN-TRU1]]</f>
        <v>7</v>
      </c>
      <c r="AN404">
        <f t="shared" si="175"/>
        <v>0.66666666666666663</v>
      </c>
      <c r="AO404">
        <f>step3_validation[[#This Row],[AI_TRU2]]</f>
        <v>9</v>
      </c>
      <c r="AP404">
        <f t="shared" si="176"/>
        <v>0.88888888888888884</v>
      </c>
      <c r="AQ404">
        <f>survey_responses[[#This Row],[Tôi thấy mức thuế tôi phải đóng theo phương án mới là công bằng (người thu nhập như tôi đóng mức này là hợp lý). - HUMAN-TRU2]]</f>
        <v>7</v>
      </c>
      <c r="AR404">
        <f t="shared" si="177"/>
        <v>0.66666666666666663</v>
      </c>
      <c r="AS404">
        <f>step3_validation[[#This Row],[AI_TRU3]]</f>
        <v>7</v>
      </c>
      <c r="AT404">
        <f t="shared" si="178"/>
        <v>0.66666666666666663</v>
      </c>
      <c r="AU404">
        <f>survey_responses[[#This Row],[Tôi tin tưởng số tiền thuế tôi đóng sẽ được Nhà nước sử dụng hiệu quả để cải thiện dịch vụ công (y tế, đường xá...). - HUMAN-TRU3]]</f>
        <v>7</v>
      </c>
      <c r="AV404">
        <f t="shared" si="179"/>
        <v>0.66666666666666663</v>
      </c>
      <c r="AW404">
        <f>step3_validation[[#This Row],[AI_TRU4]]</f>
        <v>8</v>
      </c>
      <c r="AX404">
        <f t="shared" si="180"/>
        <v>0.77777777777777779</v>
      </c>
      <c r="AY404">
        <f>survey_responses[[#This Row],[Tôi thấy Nhà nước đã giải thích rõ ràng, minh bạch về lý do và mục tiêu của việc sửa đổi thuế lần này. - HUMAN-TRU4]]</f>
        <v>7</v>
      </c>
      <c r="AZ404">
        <f t="shared" si="181"/>
        <v>0.66666666666666663</v>
      </c>
      <c r="BA404" s="32">
        <f t="shared" si="182"/>
        <v>0.72222222222222221</v>
      </c>
      <c r="BB404" s="32">
        <f t="shared" si="183"/>
        <v>0.66666666666666663</v>
      </c>
      <c r="BC404" s="7">
        <f t="shared" si="184"/>
        <v>0.75925925925925919</v>
      </c>
      <c r="BD404" s="7">
        <f t="shared" si="185"/>
        <v>0.66666666666666663</v>
      </c>
      <c r="BE404">
        <f>step3_validation[[#This Row],[AI_OUT1]]</f>
        <v>9</v>
      </c>
      <c r="BF404">
        <f t="shared" si="186"/>
        <v>0.88888888888888884</v>
      </c>
      <c r="BG404">
        <f>survey_responses[[#This Row],[Sau khi xem xét các quyền lợi và nghĩa vụ, bạn có ủng hộ và tuân thủ chính sách mới hiện nay? - HUMAN-OUT1]]</f>
        <v>7</v>
      </c>
      <c r="BH404">
        <f t="shared" si="187"/>
        <v>0.66666666666666663</v>
      </c>
      <c r="BI404" s="32">
        <f t="shared" si="188"/>
        <v>2</v>
      </c>
    </row>
    <row r="405" spans="1:61" x14ac:dyDescent="0.45">
      <c r="BC405" s="7">
        <f>AVERAGE(BC2:BC404)</f>
        <v>0.753124712802133</v>
      </c>
      <c r="BD405" s="7">
        <f>AVERAGE(BD2:BD404)</f>
        <v>0.62937689550592735</v>
      </c>
      <c r="BF405" s="7">
        <f>AVERAGE(BF2:BF404)</f>
        <v>0.85249517507582218</v>
      </c>
      <c r="BH405" s="7">
        <f>AVERAGE(BH2:BH404)</f>
        <v>0.65977391783843187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F131A-19C3-435C-86ED-7667AF0B1349}">
  <dimension ref="A1:J79"/>
  <sheetViews>
    <sheetView tabSelected="1" workbookViewId="0">
      <selection activeCell="J79" sqref="A1:J79"/>
    </sheetView>
  </sheetViews>
  <sheetFormatPr defaultRowHeight="14.25" x14ac:dyDescent="0.45"/>
  <sheetData>
    <row r="1" spans="1:10" x14ac:dyDescent="0.45">
      <c r="A1" s="41" t="s">
        <v>13</v>
      </c>
      <c r="B1" s="41" t="s">
        <v>1</v>
      </c>
      <c r="C1" s="41" t="s">
        <v>2</v>
      </c>
      <c r="D1" s="41" t="s">
        <v>3</v>
      </c>
      <c r="E1" s="41">
        <f>SUM(E2:E3)</f>
        <v>403</v>
      </c>
      <c r="G1" s="41" t="s">
        <v>13</v>
      </c>
      <c r="H1" s="41" t="s">
        <v>1</v>
      </c>
      <c r="I1" s="41" t="s">
        <v>2</v>
      </c>
      <c r="J1" s="41" t="s">
        <v>3</v>
      </c>
    </row>
    <row r="2" spans="1:10" x14ac:dyDescent="0.45">
      <c r="A2" s="4" t="s">
        <v>76</v>
      </c>
      <c r="B2" s="4">
        <f>COUNTIFS(step3_combined_data!$R$2:$R$404,"Oppose", step3_combined_data!$K$2:$K$404,"Chính thức")</f>
        <v>5</v>
      </c>
      <c r="C2" s="4">
        <f>COUNTIFS(step3_combined_data!$R$2:$R$404,"Neutral", step3_combined_data!$K$2:$K$404,"Chính thức")</f>
        <v>272</v>
      </c>
      <c r="D2" s="4">
        <f>COUNTIFS(step3_combined_data!$R$2:$R$404,"Support", step3_combined_data!$K$2:$K$404,"Chính thức")</f>
        <v>100</v>
      </c>
      <c r="E2" s="4">
        <f>SUM(B2:D2)</f>
        <v>377</v>
      </c>
      <c r="G2" s="4" t="s">
        <v>76</v>
      </c>
      <c r="H2" s="42">
        <f>B2/E2</f>
        <v>1.3262599469496022E-2</v>
      </c>
      <c r="I2" s="42">
        <f>C2/E2</f>
        <v>0.72148541114058351</v>
      </c>
      <c r="J2" s="42">
        <f>D2/E2</f>
        <v>0.26525198938992045</v>
      </c>
    </row>
    <row r="3" spans="1:10" x14ac:dyDescent="0.45">
      <c r="A3" s="4" t="s">
        <v>162</v>
      </c>
      <c r="B3" s="4">
        <f>COUNTIFS(step3_combined_data!$R$2:$R$404,"Oppose", step3_combined_data!$K$2:$K$404,"Phi chính thức")</f>
        <v>1</v>
      </c>
      <c r="C3" s="4">
        <f>COUNTIFS(step3_combined_data!$R$2:$R$404,"Neutral", step3_combined_data!$K$2:$K$404,"Phi chính thức")</f>
        <v>17</v>
      </c>
      <c r="D3" s="4">
        <f>COUNTIFS(step3_combined_data!$R$2:$R$404,"Support", step3_combined_data!$K$2:$K$404,"Phi chính thức")</f>
        <v>8</v>
      </c>
      <c r="E3" s="4">
        <f>SUM(B3:D3)</f>
        <v>26</v>
      </c>
      <c r="G3" s="4" t="s">
        <v>162</v>
      </c>
      <c r="H3" s="42">
        <f>B3/E3</f>
        <v>3.8461538461538464E-2</v>
      </c>
      <c r="I3" s="42">
        <f>C3/E3</f>
        <v>0.65384615384615385</v>
      </c>
      <c r="J3" s="42">
        <f>D3/E3</f>
        <v>0.30769230769230771</v>
      </c>
    </row>
    <row r="5" spans="1:10" x14ac:dyDescent="0.45">
      <c r="A5" s="41" t="s">
        <v>14</v>
      </c>
      <c r="B5" s="41" t="s">
        <v>1</v>
      </c>
      <c r="C5" s="41" t="s">
        <v>2</v>
      </c>
      <c r="D5" s="41" t="s">
        <v>3</v>
      </c>
      <c r="E5" s="41">
        <f>SUM(E6:E7)</f>
        <v>403</v>
      </c>
      <c r="G5" s="41" t="s">
        <v>14</v>
      </c>
      <c r="H5" s="41" t="s">
        <v>1</v>
      </c>
      <c r="I5" s="41" t="s">
        <v>2</v>
      </c>
      <c r="J5" s="41" t="s">
        <v>3</v>
      </c>
    </row>
    <row r="6" spans="1:10" x14ac:dyDescent="0.45">
      <c r="A6" s="4" t="s">
        <v>76</v>
      </c>
      <c r="B6" s="4">
        <f>COUNTIFS(step3_combined_data!$W$2:$W$404,"Oppose", step3_combined_data!$K$2:$K$404,"Chính thức")</f>
        <v>4</v>
      </c>
      <c r="C6" s="4">
        <f>COUNTIFS(step3_combined_data!$W$2:$W$404,"Neutral", step3_combined_data!$K$2:$K$404,"Chính thức")</f>
        <v>195</v>
      </c>
      <c r="D6" s="4">
        <f>COUNTIFS(step3_combined_data!$W$2:$W$404,"Support", step3_combined_data!$K$2:$K$404,"Chính thức")</f>
        <v>178</v>
      </c>
      <c r="E6" s="4">
        <f>SUM(B6:D6)</f>
        <v>377</v>
      </c>
      <c r="G6" s="4" t="s">
        <v>76</v>
      </c>
      <c r="H6" s="42">
        <f>B6/E6</f>
        <v>1.0610079575596816E-2</v>
      </c>
      <c r="I6" s="42">
        <f>C6/E6</f>
        <v>0.51724137931034486</v>
      </c>
      <c r="J6" s="42">
        <f>D6/E6</f>
        <v>0.47214854111405835</v>
      </c>
    </row>
    <row r="7" spans="1:10" x14ac:dyDescent="0.45">
      <c r="A7" s="4" t="s">
        <v>162</v>
      </c>
      <c r="B7" s="4">
        <f>COUNTIFS(step3_combined_data!$W$2:$W$404,"Oppose", step3_combined_data!$K$2:$K$404,"Phi chính thức")</f>
        <v>1</v>
      </c>
      <c r="C7" s="4">
        <f>COUNTIFS(step3_combined_data!$W$2:$W$404,"Neutral", step3_combined_data!$K$2:$K$404,"Phi chính thức")</f>
        <v>19</v>
      </c>
      <c r="D7" s="4">
        <f>COUNTIFS(step3_combined_data!$W$2:$W$404,"Support", step3_combined_data!$K$2:$K$404,"Phi chính thức")</f>
        <v>6</v>
      </c>
      <c r="E7" s="4">
        <f>SUM(B7:D7)</f>
        <v>26</v>
      </c>
      <c r="G7" s="4" t="s">
        <v>162</v>
      </c>
      <c r="H7" s="42">
        <f>B7/E7</f>
        <v>3.8461538461538464E-2</v>
      </c>
      <c r="I7" s="42">
        <f>C7/E7</f>
        <v>0.73076923076923073</v>
      </c>
      <c r="J7" s="42">
        <f>D7/E7</f>
        <v>0.23076923076923078</v>
      </c>
    </row>
    <row r="9" spans="1:10" x14ac:dyDescent="0.45">
      <c r="A9" s="41" t="s">
        <v>15</v>
      </c>
      <c r="B9" s="41" t="s">
        <v>1</v>
      </c>
      <c r="C9" s="41" t="s">
        <v>2</v>
      </c>
      <c r="D9" s="41" t="s">
        <v>3</v>
      </c>
      <c r="E9" s="41">
        <f>SUM(E10:E11)</f>
        <v>403</v>
      </c>
      <c r="G9" s="41" t="s">
        <v>15</v>
      </c>
      <c r="H9" s="41" t="s">
        <v>1</v>
      </c>
      <c r="I9" s="41" t="s">
        <v>2</v>
      </c>
      <c r="J9" s="41" t="s">
        <v>3</v>
      </c>
    </row>
    <row r="10" spans="1:10" x14ac:dyDescent="0.45">
      <c r="A10" s="4" t="s">
        <v>76</v>
      </c>
      <c r="B10" s="4">
        <f>COUNTIFS(step3_combined_data!$AB$2:$AB$404,"Oppose", step3_combined_data!$K$2:$K$404,"Chính thức")</f>
        <v>1</v>
      </c>
      <c r="C10" s="4">
        <f>COUNTIFS(step3_combined_data!$AB$2:$AB$404,"Neutral", step3_combined_data!$K$2:$K$404,"Chính thức")</f>
        <v>74</v>
      </c>
      <c r="D10" s="4">
        <f>COUNTIFS(step3_combined_data!$AB$2:$AB$404,"Support", step3_combined_data!$K$2:$K$404,"Chính thức")</f>
        <v>302</v>
      </c>
      <c r="E10" s="4">
        <f>SUM(B10:D10)</f>
        <v>377</v>
      </c>
      <c r="G10" s="4" t="s">
        <v>76</v>
      </c>
      <c r="H10" s="42">
        <f>B10/E10</f>
        <v>2.6525198938992041E-3</v>
      </c>
      <c r="I10" s="42">
        <f>C10/E10</f>
        <v>0.19628647214854111</v>
      </c>
      <c r="J10" s="42">
        <f>D10/E10</f>
        <v>0.80106100795755963</v>
      </c>
    </row>
    <row r="11" spans="1:10" x14ac:dyDescent="0.45">
      <c r="A11" s="4" t="s">
        <v>162</v>
      </c>
      <c r="B11" s="4">
        <f>COUNTIFS(step3_combined_data!$AB$2:$AB$404,"Oppose", step3_combined_data!$K$2:$K$404,"Phi chính thức")</f>
        <v>0</v>
      </c>
      <c r="C11" s="4">
        <f>COUNTIFS(step3_combined_data!$AB$2:$AB$404,"Neutral", step3_combined_data!$K$2:$K$404,"Phi chính thức")</f>
        <v>4</v>
      </c>
      <c r="D11" s="4">
        <f>COUNTIFS(step3_combined_data!$AB$2:$AB$404,"Support", step3_combined_data!$K$2:$K$404,"Phi chính thức")</f>
        <v>22</v>
      </c>
      <c r="E11" s="4">
        <f>SUM(B11:D11)</f>
        <v>26</v>
      </c>
      <c r="G11" s="4" t="s">
        <v>162</v>
      </c>
      <c r="H11" s="42">
        <f>B11/E11</f>
        <v>0</v>
      </c>
      <c r="I11" s="42">
        <f>C11/E11</f>
        <v>0.15384615384615385</v>
      </c>
      <c r="J11" s="42">
        <f>D11/E11</f>
        <v>0.84615384615384615</v>
      </c>
    </row>
    <row r="13" spans="1:10" x14ac:dyDescent="0.45">
      <c r="A13" s="41" t="s">
        <v>16</v>
      </c>
      <c r="B13" s="41" t="s">
        <v>1</v>
      </c>
      <c r="C13" s="41" t="s">
        <v>2</v>
      </c>
      <c r="D13" s="41" t="s">
        <v>3</v>
      </c>
      <c r="E13" s="41">
        <f>SUM(E14:E19)</f>
        <v>403</v>
      </c>
      <c r="G13" s="41" t="s">
        <v>16</v>
      </c>
      <c r="H13" s="41" t="s">
        <v>1</v>
      </c>
      <c r="I13" s="41" t="s">
        <v>2</v>
      </c>
      <c r="J13" s="41" t="s">
        <v>3</v>
      </c>
    </row>
    <row r="14" spans="1:10" x14ac:dyDescent="0.45">
      <c r="A14" s="4" t="s">
        <v>189</v>
      </c>
      <c r="B14" s="4">
        <f>COUNTIFS(step3_combined_data!$AG$2:$AG$404,"Oppose", step3_combined_data!$E$2:$E$404,"18 - 24")</f>
        <v>0</v>
      </c>
      <c r="C14" s="4">
        <f>COUNTIFS(step3_combined_data!$AG$2:$AG$404,"Neutral", step3_combined_data!$E$2:$E$404,"18 - 24")</f>
        <v>0</v>
      </c>
      <c r="D14" s="4">
        <f>COUNTIFS(step3_combined_data!$AG$2:$AG$404,"Support", step3_combined_data!$E$2:$E$404,"18 - 24")</f>
        <v>55</v>
      </c>
      <c r="E14" s="4">
        <f>SUM(B14:D14)</f>
        <v>55</v>
      </c>
      <c r="G14" s="4" t="s">
        <v>189</v>
      </c>
      <c r="H14" s="43">
        <f t="shared" ref="H14:H19" si="0">B14/E14</f>
        <v>0</v>
      </c>
      <c r="I14" s="43">
        <f t="shared" ref="I14:I19" si="1">C14/E14</f>
        <v>0</v>
      </c>
      <c r="J14" s="43">
        <f t="shared" ref="J14:J19" si="2">D14/E14</f>
        <v>1</v>
      </c>
    </row>
    <row r="15" spans="1:10" x14ac:dyDescent="0.45">
      <c r="A15" s="4" t="s">
        <v>81</v>
      </c>
      <c r="B15" s="4">
        <f>COUNTIFS(step3_combined_data!$AG$2:$AG$404,"Oppose", step3_combined_data!$E$2:$E$404,"25 - 29")</f>
        <v>0</v>
      </c>
      <c r="C15" s="4">
        <f>COUNTIFS(step3_combined_data!$AG$2:$AG$404,"Neutral", step3_combined_data!$E$2:$E$404,"25 - 29")</f>
        <v>2</v>
      </c>
      <c r="D15" s="4">
        <f>COUNTIFS(step3_combined_data!$AG$2:$AG$404,"Support", step3_combined_data!$E$2:$E$404,"25 - 29")</f>
        <v>77</v>
      </c>
      <c r="E15" s="4">
        <f t="shared" ref="E15:E19" si="3">SUM(B15:D15)</f>
        <v>79</v>
      </c>
      <c r="G15" s="4" t="s">
        <v>81</v>
      </c>
      <c r="H15" s="43">
        <f t="shared" si="0"/>
        <v>0</v>
      </c>
      <c r="I15" s="43">
        <f t="shared" si="1"/>
        <v>2.5316455696202531E-2</v>
      </c>
      <c r="J15" s="43">
        <f t="shared" si="2"/>
        <v>0.97468354430379744</v>
      </c>
    </row>
    <row r="16" spans="1:10" x14ac:dyDescent="0.45">
      <c r="A16" s="4" t="s">
        <v>73</v>
      </c>
      <c r="B16" s="4">
        <f>COUNTIFS(step3_combined_data!$AG$2:$AG$404,"Oppose", step3_combined_data!$E$2:$E$404,"30 - 39")</f>
        <v>0</v>
      </c>
      <c r="C16" s="4">
        <f>COUNTIFS(step3_combined_data!$AG$2:$AG$404,"Neutral", step3_combined_data!$E$2:$E$404,"30 - 39")</f>
        <v>7</v>
      </c>
      <c r="D16" s="4">
        <f>COUNTIFS(step3_combined_data!$AG$2:$AG$404,"Support", step3_combined_data!$E$2:$E$404,"30 - 39")</f>
        <v>125</v>
      </c>
      <c r="E16" s="4">
        <f t="shared" si="3"/>
        <v>132</v>
      </c>
      <c r="G16" s="4" t="s">
        <v>73</v>
      </c>
      <c r="H16" s="43">
        <f t="shared" si="0"/>
        <v>0</v>
      </c>
      <c r="I16" s="43">
        <f t="shared" si="1"/>
        <v>5.3030303030303032E-2</v>
      </c>
      <c r="J16" s="43">
        <f t="shared" si="2"/>
        <v>0.94696969696969702</v>
      </c>
    </row>
    <row r="17" spans="1:10" x14ac:dyDescent="0.45">
      <c r="A17" s="4" t="s">
        <v>79</v>
      </c>
      <c r="B17" s="4">
        <f>COUNTIFS(step3_combined_data!$AG$2:$AG$404,"Oppose", step3_combined_data!$E$2:$E$404,"40 - 49")</f>
        <v>0</v>
      </c>
      <c r="C17" s="4">
        <f>COUNTIFS(step3_combined_data!$AG$2:$AG$404,"Neutral", step3_combined_data!$E$2:$E$404,"40 - 49")</f>
        <v>1</v>
      </c>
      <c r="D17" s="4">
        <f>COUNTIFS(step3_combined_data!$AG$2:$AG$404,"Support", step3_combined_data!$E$2:$E$404,"40 - 49")</f>
        <v>78</v>
      </c>
      <c r="E17" s="4">
        <f t="shared" si="3"/>
        <v>79</v>
      </c>
      <c r="G17" s="4" t="s">
        <v>79</v>
      </c>
      <c r="H17" s="43">
        <f t="shared" si="0"/>
        <v>0</v>
      </c>
      <c r="I17" s="43">
        <f t="shared" si="1"/>
        <v>1.2658227848101266E-2</v>
      </c>
      <c r="J17" s="43">
        <f t="shared" si="2"/>
        <v>0.98734177215189878</v>
      </c>
    </row>
    <row r="18" spans="1:10" x14ac:dyDescent="0.45">
      <c r="A18" s="4" t="s">
        <v>191</v>
      </c>
      <c r="B18" s="4">
        <f>COUNTIFS(step3_combined_data!$AG$2:$AG$404,"Oppose", step3_combined_data!$E$2:$E$404,"50 - 54")</f>
        <v>0</v>
      </c>
      <c r="C18" s="4">
        <f>COUNTIFS(step3_combined_data!$AG$2:$AG$404,"Neutral", step3_combined_data!$E$2:$E$404,"50 - 54")</f>
        <v>0</v>
      </c>
      <c r="D18" s="4">
        <f>COUNTIFS(step3_combined_data!$AG$2:$AG$404,"Support", step3_combined_data!$E$2:$E$404,"50 - 54")</f>
        <v>31</v>
      </c>
      <c r="E18" s="4">
        <f t="shared" si="3"/>
        <v>31</v>
      </c>
      <c r="G18" s="4" t="s">
        <v>191</v>
      </c>
      <c r="H18" s="43">
        <f t="shared" si="0"/>
        <v>0</v>
      </c>
      <c r="I18" s="43">
        <f t="shared" si="1"/>
        <v>0</v>
      </c>
      <c r="J18" s="43">
        <f t="shared" si="2"/>
        <v>1</v>
      </c>
    </row>
    <row r="19" spans="1:10" x14ac:dyDescent="0.45">
      <c r="A19" s="4" t="s">
        <v>193</v>
      </c>
      <c r="B19" s="4">
        <f>COUNTIFS(step3_combined_data!$AG$2:$AG$404,"Oppose", step3_combined_data!$E$2:$E$404,"55 - 64")</f>
        <v>0</v>
      </c>
      <c r="C19" s="4">
        <f>COUNTIFS(step3_combined_data!$AG$2:$AG$404,"Neutral", step3_combined_data!$E$2:$E$404,"55 - 64")</f>
        <v>2</v>
      </c>
      <c r="D19" s="4">
        <f>COUNTIFS(step3_combined_data!$AG$2:$AG$404,"Support", step3_combined_data!$E$2:$E$404,"55 - 64")</f>
        <v>25</v>
      </c>
      <c r="E19" s="4">
        <f t="shared" si="3"/>
        <v>27</v>
      </c>
      <c r="G19" s="4" t="s">
        <v>193</v>
      </c>
      <c r="H19" s="43">
        <f t="shared" si="0"/>
        <v>0</v>
      </c>
      <c r="I19" s="43">
        <f t="shared" si="1"/>
        <v>7.407407407407407E-2</v>
      </c>
      <c r="J19" s="43">
        <f t="shared" si="2"/>
        <v>0.92592592592592593</v>
      </c>
    </row>
    <row r="21" spans="1:10" x14ac:dyDescent="0.45">
      <c r="A21" s="41" t="s">
        <v>17</v>
      </c>
      <c r="B21" s="41" t="s">
        <v>1</v>
      </c>
      <c r="C21" s="41" t="s">
        <v>2</v>
      </c>
      <c r="D21" s="41" t="s">
        <v>3</v>
      </c>
      <c r="E21" s="41">
        <f>SUM(E22:E27)</f>
        <v>401</v>
      </c>
      <c r="G21" s="41" t="s">
        <v>17</v>
      </c>
      <c r="H21" s="41" t="s">
        <v>1</v>
      </c>
      <c r="I21" s="41" t="s">
        <v>2</v>
      </c>
      <c r="J21" s="41" t="s">
        <v>3</v>
      </c>
    </row>
    <row r="22" spans="1:10" x14ac:dyDescent="0.45">
      <c r="A22" s="4" t="s">
        <v>189</v>
      </c>
      <c r="B22" s="4">
        <f>COUNTIFS(step3_combined_data!$AL$2:$AL$404,"Oppose", step3_combined_data!$E$2:$E$404,"18 - 24")</f>
        <v>0</v>
      </c>
      <c r="C22" s="4">
        <f>COUNTIFS(step3_combined_data!$AL$2:$AL$404,"Neutral", step3_combined_data!$E$2:$E$404,"18 - 24")</f>
        <v>28</v>
      </c>
      <c r="D22" s="4">
        <f>COUNTIFS(step3_combined_data!$AL$2:$AL$404,"Support", step3_combined_data!$E$2:$E$404,"18 - 24")</f>
        <v>26</v>
      </c>
      <c r="E22" s="4">
        <f>SUM(B22:D22)</f>
        <v>54</v>
      </c>
      <c r="G22" s="4" t="s">
        <v>189</v>
      </c>
      <c r="H22" s="43">
        <f t="shared" ref="H22:H27" si="4">B22/E22</f>
        <v>0</v>
      </c>
      <c r="I22" s="43">
        <f t="shared" ref="I22:I27" si="5">C22/E22</f>
        <v>0.51851851851851849</v>
      </c>
      <c r="J22" s="43">
        <f t="shared" ref="J22:J27" si="6">D22/E22</f>
        <v>0.48148148148148145</v>
      </c>
    </row>
    <row r="23" spans="1:10" x14ac:dyDescent="0.45">
      <c r="A23" s="4" t="s">
        <v>81</v>
      </c>
      <c r="B23" s="4">
        <f>COUNTIFS(step3_combined_data!$AL$2:$AL$404,"Oppose", step3_combined_data!$E$2:$E$404,"25 - 29")</f>
        <v>2</v>
      </c>
      <c r="C23" s="4">
        <f>COUNTIFS(step3_combined_data!$AL$2:$AL$404,"Neutral", step3_combined_data!$E$2:$E$404,"25 - 29")</f>
        <v>43</v>
      </c>
      <c r="D23" s="4">
        <f>COUNTIFS(step3_combined_data!$AL$2:$AL$404,"Support", step3_combined_data!$E$2:$E$404,"25 - 29")</f>
        <v>34</v>
      </c>
      <c r="E23" s="4">
        <f t="shared" ref="E23:E27" si="7">SUM(B23:D23)</f>
        <v>79</v>
      </c>
      <c r="G23" s="4" t="s">
        <v>81</v>
      </c>
      <c r="H23" s="43">
        <f t="shared" si="4"/>
        <v>2.5316455696202531E-2</v>
      </c>
      <c r="I23" s="43">
        <f t="shared" si="5"/>
        <v>0.54430379746835444</v>
      </c>
      <c r="J23" s="43">
        <f t="shared" si="6"/>
        <v>0.43037974683544306</v>
      </c>
    </row>
    <row r="24" spans="1:10" x14ac:dyDescent="0.45">
      <c r="A24" s="4" t="s">
        <v>73</v>
      </c>
      <c r="B24" s="4">
        <f>COUNTIFS(step3_combined_data!$AL$2:$AL$404,"Oppose", step3_combined_data!$E$2:$E$404,"30 - 39")</f>
        <v>1</v>
      </c>
      <c r="C24" s="4">
        <f>COUNTIFS(step3_combined_data!$AL$2:$AL$404,"Neutral", step3_combined_data!$E$2:$E$404,"30 - 39")</f>
        <v>58</v>
      </c>
      <c r="D24" s="4">
        <f>COUNTIFS(step3_combined_data!$AL$2:$AL$404,"Support", step3_combined_data!$E$2:$E$404,"30 - 39")</f>
        <v>72</v>
      </c>
      <c r="E24" s="4">
        <f t="shared" si="7"/>
        <v>131</v>
      </c>
      <c r="G24" s="4" t="s">
        <v>73</v>
      </c>
      <c r="H24" s="43">
        <f t="shared" si="4"/>
        <v>7.6335877862595417E-3</v>
      </c>
      <c r="I24" s="43">
        <f t="shared" si="5"/>
        <v>0.44274809160305345</v>
      </c>
      <c r="J24" s="43">
        <f t="shared" si="6"/>
        <v>0.54961832061068705</v>
      </c>
    </row>
    <row r="25" spans="1:10" x14ac:dyDescent="0.45">
      <c r="A25" s="4" t="s">
        <v>79</v>
      </c>
      <c r="B25" s="4">
        <f>COUNTIFS(step3_combined_data!$AL$2:$AL$404,"Oppose", step3_combined_data!$E$2:$E$404,"40 - 49")</f>
        <v>1</v>
      </c>
      <c r="C25" s="4">
        <f>COUNTIFS(step3_combined_data!$AL$2:$AL$404,"Neutral", step3_combined_data!$E$2:$E$404,"40 - 49")</f>
        <v>38</v>
      </c>
      <c r="D25" s="4">
        <f>COUNTIFS(step3_combined_data!$AL$2:$AL$404,"Support", step3_combined_data!$E$2:$E$404,"40 - 49")</f>
        <v>40</v>
      </c>
      <c r="E25" s="4">
        <f t="shared" si="7"/>
        <v>79</v>
      </c>
      <c r="G25" s="4" t="s">
        <v>79</v>
      </c>
      <c r="H25" s="43">
        <f t="shared" si="4"/>
        <v>1.2658227848101266E-2</v>
      </c>
      <c r="I25" s="43">
        <f t="shared" si="5"/>
        <v>0.48101265822784811</v>
      </c>
      <c r="J25" s="43">
        <f t="shared" si="6"/>
        <v>0.50632911392405067</v>
      </c>
    </row>
    <row r="26" spans="1:10" x14ac:dyDescent="0.45">
      <c r="A26" s="4" t="s">
        <v>191</v>
      </c>
      <c r="B26" s="4">
        <f>COUNTIFS(step3_combined_data!$AL$2:$AL$404,"Oppose", step3_combined_data!$E$2:$E$404,"50 - 54")</f>
        <v>0</v>
      </c>
      <c r="C26" s="4">
        <f>COUNTIFS(step3_combined_data!$AL$2:$AL$404,"Neutral", step3_combined_data!$E$2:$E$404,"50 - 54")</f>
        <v>15</v>
      </c>
      <c r="D26" s="4">
        <f>COUNTIFS(step3_combined_data!$AL$2:$AL$404,"Support", step3_combined_data!$E$2:$E$404,"50 - 54")</f>
        <v>16</v>
      </c>
      <c r="E26" s="4">
        <f t="shared" si="7"/>
        <v>31</v>
      </c>
      <c r="G26" s="4" t="s">
        <v>191</v>
      </c>
      <c r="H26" s="43">
        <f t="shared" si="4"/>
        <v>0</v>
      </c>
      <c r="I26" s="43">
        <f t="shared" si="5"/>
        <v>0.4838709677419355</v>
      </c>
      <c r="J26" s="43">
        <f t="shared" si="6"/>
        <v>0.5161290322580645</v>
      </c>
    </row>
    <row r="27" spans="1:10" x14ac:dyDescent="0.45">
      <c r="A27" s="4" t="s">
        <v>193</v>
      </c>
      <c r="B27" s="4">
        <f>COUNTIFS(step3_combined_data!$AL$2:$AL$404,"Oppose", step3_combined_data!$E$2:$E$404,"55 - 64")</f>
        <v>0</v>
      </c>
      <c r="C27" s="4">
        <f>COUNTIFS(step3_combined_data!$AL$2:$AL$404,"Neutral", step3_combined_data!$E$2:$E$404,"55 - 64")</f>
        <v>10</v>
      </c>
      <c r="D27" s="4">
        <f>COUNTIFS(step3_combined_data!$AL$2:$AL$404,"Support", step3_combined_data!$E$2:$E$404,"55 - 64")</f>
        <v>17</v>
      </c>
      <c r="E27" s="4">
        <f t="shared" si="7"/>
        <v>27</v>
      </c>
      <c r="G27" s="4" t="s">
        <v>193</v>
      </c>
      <c r="H27" s="43">
        <f t="shared" si="4"/>
        <v>0</v>
      </c>
      <c r="I27" s="43">
        <f t="shared" si="5"/>
        <v>0.37037037037037035</v>
      </c>
      <c r="J27" s="43">
        <f t="shared" si="6"/>
        <v>0.62962962962962965</v>
      </c>
    </row>
    <row r="29" spans="1:10" x14ac:dyDescent="0.45">
      <c r="A29" s="41" t="s">
        <v>18</v>
      </c>
      <c r="B29" s="41" t="s">
        <v>1</v>
      </c>
      <c r="C29" s="41" t="s">
        <v>2</v>
      </c>
      <c r="D29" s="41" t="s">
        <v>3</v>
      </c>
      <c r="E29" s="41">
        <f>SUM(E30:E35)</f>
        <v>401</v>
      </c>
      <c r="G29" s="41" t="s">
        <v>18</v>
      </c>
      <c r="H29" s="41" t="s">
        <v>1</v>
      </c>
      <c r="I29" s="41" t="s">
        <v>2</v>
      </c>
      <c r="J29" s="41" t="s">
        <v>3</v>
      </c>
    </row>
    <row r="30" spans="1:10" x14ac:dyDescent="0.45">
      <c r="A30" s="4" t="s">
        <v>189</v>
      </c>
      <c r="B30" s="4">
        <f>COUNTIFS(step3_combined_data!$AQ$2:$AQ$404,"Oppose", step3_combined_data!$E$2:$E$404,"18 - 24")</f>
        <v>0</v>
      </c>
      <c r="C30" s="4">
        <f>COUNTIFS(step3_combined_data!$AQ$2:$AQ$404,"Neutral", step3_combined_data!$E$2:$E$404,"18 - 24")</f>
        <v>1</v>
      </c>
      <c r="D30" s="4">
        <f>COUNTIFS(step3_combined_data!$AQ$2:$AQ$404,"Support", step3_combined_data!$E$2:$E$404,"18 - 24")</f>
        <v>53</v>
      </c>
      <c r="E30" s="4">
        <f>SUM(B30:D30)</f>
        <v>54</v>
      </c>
      <c r="G30" s="4" t="s">
        <v>189</v>
      </c>
      <c r="H30" s="43">
        <f t="shared" ref="H30:H35" si="8">B30/E30</f>
        <v>0</v>
      </c>
      <c r="I30" s="43">
        <f t="shared" ref="I30:I35" si="9">C30/E30</f>
        <v>1.8518518518518517E-2</v>
      </c>
      <c r="J30" s="43">
        <f t="shared" ref="J30:J35" si="10">D30/E30</f>
        <v>0.98148148148148151</v>
      </c>
    </row>
    <row r="31" spans="1:10" x14ac:dyDescent="0.45">
      <c r="A31" s="4" t="s">
        <v>81</v>
      </c>
      <c r="B31" s="4">
        <f>COUNTIFS(step3_combined_data!$AQ$2:$AQ$404,"Oppose", step3_combined_data!$E$2:$E$404,"25 - 29")</f>
        <v>0</v>
      </c>
      <c r="C31" s="4">
        <f>COUNTIFS(step3_combined_data!$AQ$2:$AQ$404,"Neutral", step3_combined_data!$E$2:$E$404,"25 - 29")</f>
        <v>10</v>
      </c>
      <c r="D31" s="4">
        <f>COUNTIFS(step3_combined_data!$AQ$2:$AQ$404,"Support", step3_combined_data!$E$2:$E$404,"25 - 29")</f>
        <v>69</v>
      </c>
      <c r="E31" s="4">
        <f t="shared" ref="E31:E35" si="11">SUM(B31:D31)</f>
        <v>79</v>
      </c>
      <c r="G31" s="4" t="s">
        <v>81</v>
      </c>
      <c r="H31" s="43">
        <f t="shared" si="8"/>
        <v>0</v>
      </c>
      <c r="I31" s="43">
        <f t="shared" si="9"/>
        <v>0.12658227848101267</v>
      </c>
      <c r="J31" s="43">
        <f t="shared" si="10"/>
        <v>0.87341772151898733</v>
      </c>
    </row>
    <row r="32" spans="1:10" x14ac:dyDescent="0.45">
      <c r="A32" s="4" t="s">
        <v>73</v>
      </c>
      <c r="B32" s="4">
        <f>COUNTIFS(step3_combined_data!$AQ$2:$AQ$404,"Oppose", step3_combined_data!$E$2:$E$404,"30 - 39")</f>
        <v>0</v>
      </c>
      <c r="C32" s="4">
        <f>COUNTIFS(step3_combined_data!$AQ$2:$AQ$404,"Neutral", step3_combined_data!$E$2:$E$404,"30 - 39")</f>
        <v>2</v>
      </c>
      <c r="D32" s="4">
        <f>COUNTIFS(step3_combined_data!$AQ$2:$AQ$404,"Support", step3_combined_data!$E$2:$E$404,"30 - 39")</f>
        <v>129</v>
      </c>
      <c r="E32" s="4">
        <f t="shared" si="11"/>
        <v>131</v>
      </c>
      <c r="G32" s="4" t="s">
        <v>73</v>
      </c>
      <c r="H32" s="43">
        <f t="shared" si="8"/>
        <v>0</v>
      </c>
      <c r="I32" s="43">
        <f t="shared" si="9"/>
        <v>1.5267175572519083E-2</v>
      </c>
      <c r="J32" s="43">
        <f t="shared" si="10"/>
        <v>0.98473282442748089</v>
      </c>
    </row>
    <row r="33" spans="1:10" x14ac:dyDescent="0.45">
      <c r="A33" s="4" t="s">
        <v>79</v>
      </c>
      <c r="B33" s="4">
        <f>COUNTIFS(step3_combined_data!$AQ$2:$AQ$404,"Oppose", step3_combined_data!$E$2:$E$404,"40 - 49")</f>
        <v>0</v>
      </c>
      <c r="C33" s="4">
        <f>COUNTIFS(step3_combined_data!$AQ$2:$AQ$404,"Neutral", step3_combined_data!$E$2:$E$404,"40 - 49")</f>
        <v>10</v>
      </c>
      <c r="D33" s="4">
        <f>COUNTIFS(step3_combined_data!$AQ$2:$AQ$404,"Support", step3_combined_data!$E$2:$E$404,"40 - 49")</f>
        <v>69</v>
      </c>
      <c r="E33" s="4">
        <f t="shared" si="11"/>
        <v>79</v>
      </c>
      <c r="G33" s="4" t="s">
        <v>79</v>
      </c>
      <c r="H33" s="43">
        <f t="shared" si="8"/>
        <v>0</v>
      </c>
      <c r="I33" s="43">
        <f t="shared" si="9"/>
        <v>0.12658227848101267</v>
      </c>
      <c r="J33" s="43">
        <f t="shared" si="10"/>
        <v>0.87341772151898733</v>
      </c>
    </row>
    <row r="34" spans="1:10" x14ac:dyDescent="0.45">
      <c r="A34" s="4" t="s">
        <v>191</v>
      </c>
      <c r="B34" s="4">
        <f>COUNTIFS(step3_combined_data!$AQ$2:$AQ$404,"Oppose", step3_combined_data!$E$2:$E$404,"50 - 54")</f>
        <v>0</v>
      </c>
      <c r="C34" s="4">
        <f>COUNTIFS(step3_combined_data!$AQ$2:$AQ$404,"Neutral", step3_combined_data!$E$2:$E$404,"50 - 54")</f>
        <v>0</v>
      </c>
      <c r="D34" s="4">
        <f>COUNTIFS(step3_combined_data!$AQ$2:$AQ$404,"Support", step3_combined_data!$E$2:$E$404,"50 - 54")</f>
        <v>31</v>
      </c>
      <c r="E34" s="4">
        <f t="shared" si="11"/>
        <v>31</v>
      </c>
      <c r="G34" s="4" t="s">
        <v>191</v>
      </c>
      <c r="H34" s="43">
        <f t="shared" si="8"/>
        <v>0</v>
      </c>
      <c r="I34" s="43">
        <f t="shared" si="9"/>
        <v>0</v>
      </c>
      <c r="J34" s="43">
        <f t="shared" si="10"/>
        <v>1</v>
      </c>
    </row>
    <row r="35" spans="1:10" x14ac:dyDescent="0.45">
      <c r="A35" s="4" t="s">
        <v>193</v>
      </c>
      <c r="B35" s="4">
        <f>COUNTIFS(step3_combined_data!$AQ$2:$AQ$404,"Oppose", step3_combined_data!$E$2:$E$404,"55 - 64")</f>
        <v>0</v>
      </c>
      <c r="C35" s="4">
        <f>COUNTIFS(step3_combined_data!$AQ$2:$AQ$404,"Neutral", step3_combined_data!$E$2:$E$404,"55 - 64")</f>
        <v>2</v>
      </c>
      <c r="D35" s="4">
        <f>COUNTIFS(step3_combined_data!$AQ$2:$AQ$404,"Support", step3_combined_data!$E$2:$E$404,"55 - 64")</f>
        <v>25</v>
      </c>
      <c r="E35" s="4">
        <f t="shared" si="11"/>
        <v>27</v>
      </c>
      <c r="G35" s="4" t="s">
        <v>193</v>
      </c>
      <c r="H35" s="43">
        <f t="shared" si="8"/>
        <v>0</v>
      </c>
      <c r="I35" s="43">
        <f t="shared" si="9"/>
        <v>7.407407407407407E-2</v>
      </c>
      <c r="J35" s="43">
        <f t="shared" si="10"/>
        <v>0.92592592592592593</v>
      </c>
    </row>
    <row r="37" spans="1:10" x14ac:dyDescent="0.45">
      <c r="A37" s="41" t="s">
        <v>19</v>
      </c>
      <c r="B37" s="41" t="s">
        <v>1</v>
      </c>
      <c r="C37" s="41" t="s">
        <v>2</v>
      </c>
      <c r="D37" s="41" t="s">
        <v>3</v>
      </c>
      <c r="E37" s="41">
        <f>SUM(E38:E43)</f>
        <v>401</v>
      </c>
      <c r="G37" s="41" t="s">
        <v>19</v>
      </c>
      <c r="H37" s="41" t="s">
        <v>1</v>
      </c>
      <c r="I37" s="41" t="s">
        <v>2</v>
      </c>
      <c r="J37" s="41" t="s">
        <v>3</v>
      </c>
    </row>
    <row r="38" spans="1:10" x14ac:dyDescent="0.45">
      <c r="A38" s="4" t="s">
        <v>189</v>
      </c>
      <c r="B38" s="4">
        <f>COUNTIFS(step3_combined_data!$AV$2:$AV$404,"Oppose", step3_combined_data!$E$2:$E$404,"18 - 24")</f>
        <v>0</v>
      </c>
      <c r="C38" s="4">
        <f>COUNTIFS(step3_combined_data!$AV$2:$AV$404,"Neutral", step3_combined_data!$E$2:$E$404,"18 - 24")</f>
        <v>22</v>
      </c>
      <c r="D38" s="4">
        <f>COUNTIFS(step3_combined_data!$AV$2:$AV$404,"Support", step3_combined_data!$E$2:$E$404,"18 - 24")</f>
        <v>32</v>
      </c>
      <c r="E38" s="4">
        <f>SUM(B38:D38)</f>
        <v>54</v>
      </c>
      <c r="G38" s="4" t="s">
        <v>189</v>
      </c>
      <c r="H38" s="43">
        <f t="shared" ref="H38:H43" si="12">B38/E38</f>
        <v>0</v>
      </c>
      <c r="I38" s="43">
        <f t="shared" ref="I38:I43" si="13">C38/E38</f>
        <v>0.40740740740740738</v>
      </c>
      <c r="J38" s="43">
        <f t="shared" ref="J38:J43" si="14">D38/E38</f>
        <v>0.59259259259259256</v>
      </c>
    </row>
    <row r="39" spans="1:10" x14ac:dyDescent="0.45">
      <c r="A39" s="4" t="s">
        <v>81</v>
      </c>
      <c r="B39" s="4">
        <f>COUNTIFS(step3_combined_data!$AV$2:$AV$404,"Oppose", step3_combined_data!$E$2:$E$404,"25 - 29")</f>
        <v>0</v>
      </c>
      <c r="C39" s="4">
        <f>COUNTIFS(step3_combined_data!$AV$2:$AV$404,"Neutral", step3_combined_data!$E$2:$E$404,"25 - 29")</f>
        <v>44</v>
      </c>
      <c r="D39" s="4">
        <f>COUNTIFS(step3_combined_data!$AV$2:$AV$404,"Support", step3_combined_data!$E$2:$E$404,"25 - 29")</f>
        <v>35</v>
      </c>
      <c r="E39" s="4">
        <f t="shared" ref="E39:E43" si="15">SUM(B39:D39)</f>
        <v>79</v>
      </c>
      <c r="G39" s="4" t="s">
        <v>81</v>
      </c>
      <c r="H39" s="43">
        <f t="shared" si="12"/>
        <v>0</v>
      </c>
      <c r="I39" s="43">
        <f t="shared" si="13"/>
        <v>0.55696202531645567</v>
      </c>
      <c r="J39" s="43">
        <f t="shared" si="14"/>
        <v>0.44303797468354428</v>
      </c>
    </row>
    <row r="40" spans="1:10" x14ac:dyDescent="0.45">
      <c r="A40" s="4" t="s">
        <v>73</v>
      </c>
      <c r="B40" s="4">
        <f>COUNTIFS(step3_combined_data!$AV$2:$AV$404,"Oppose", step3_combined_data!$E$2:$E$404,"30 - 39")</f>
        <v>0</v>
      </c>
      <c r="C40" s="4">
        <f>COUNTIFS(step3_combined_data!$AV$2:$AV$404,"Neutral", step3_combined_data!$E$2:$E$404,"30 - 39")</f>
        <v>53</v>
      </c>
      <c r="D40" s="4">
        <f>COUNTIFS(step3_combined_data!$AV$2:$AV$404,"Support", step3_combined_data!$E$2:$E$404,"30 - 39")</f>
        <v>78</v>
      </c>
      <c r="E40" s="4">
        <f t="shared" si="15"/>
        <v>131</v>
      </c>
      <c r="G40" s="4" t="s">
        <v>73</v>
      </c>
      <c r="H40" s="43">
        <f t="shared" si="12"/>
        <v>0</v>
      </c>
      <c r="I40" s="43">
        <f t="shared" si="13"/>
        <v>0.40458015267175573</v>
      </c>
      <c r="J40" s="43">
        <f t="shared" si="14"/>
        <v>0.59541984732824427</v>
      </c>
    </row>
    <row r="41" spans="1:10" x14ac:dyDescent="0.45">
      <c r="A41" s="4" t="s">
        <v>79</v>
      </c>
      <c r="B41" s="4">
        <f>COUNTIFS(step3_combined_data!$AV$2:$AV$404,"Oppose", step3_combined_data!$E$2:$E$404,"40 - 49")</f>
        <v>1</v>
      </c>
      <c r="C41" s="4">
        <f>COUNTIFS(step3_combined_data!$AV$2:$AV$404,"Neutral", step3_combined_data!$E$2:$E$404,"40 - 49")</f>
        <v>31</v>
      </c>
      <c r="D41" s="4">
        <f>COUNTIFS(step3_combined_data!$AV$2:$AV$404,"Support", step3_combined_data!$E$2:$E$404,"40 - 49")</f>
        <v>47</v>
      </c>
      <c r="E41" s="4">
        <f t="shared" si="15"/>
        <v>79</v>
      </c>
      <c r="G41" s="4" t="s">
        <v>79</v>
      </c>
      <c r="H41" s="43">
        <f t="shared" si="12"/>
        <v>1.2658227848101266E-2</v>
      </c>
      <c r="I41" s="43">
        <f t="shared" si="13"/>
        <v>0.39240506329113922</v>
      </c>
      <c r="J41" s="43">
        <f t="shared" si="14"/>
        <v>0.59493670886075944</v>
      </c>
    </row>
    <row r="42" spans="1:10" x14ac:dyDescent="0.45">
      <c r="A42" s="4" t="s">
        <v>191</v>
      </c>
      <c r="B42" s="4">
        <f>COUNTIFS(step3_combined_data!$AV$2:$AV$404,"Oppose", step3_combined_data!$E$2:$E$404,"50 - 54")</f>
        <v>0</v>
      </c>
      <c r="C42" s="4">
        <f>COUNTIFS(step3_combined_data!$AV$2:$AV$404,"Neutral", step3_combined_data!$E$2:$E$404,"50 - 54")</f>
        <v>14</v>
      </c>
      <c r="D42" s="4">
        <f>COUNTIFS(step3_combined_data!$AV$2:$AV$404,"Support", step3_combined_data!$E$2:$E$404,"50 - 54")</f>
        <v>17</v>
      </c>
      <c r="E42" s="4">
        <f t="shared" si="15"/>
        <v>31</v>
      </c>
      <c r="G42" s="4" t="s">
        <v>191</v>
      </c>
      <c r="H42" s="43">
        <f t="shared" si="12"/>
        <v>0</v>
      </c>
      <c r="I42" s="43">
        <f t="shared" si="13"/>
        <v>0.45161290322580644</v>
      </c>
      <c r="J42" s="43">
        <f t="shared" si="14"/>
        <v>0.54838709677419351</v>
      </c>
    </row>
    <row r="43" spans="1:10" x14ac:dyDescent="0.45">
      <c r="A43" s="4" t="s">
        <v>193</v>
      </c>
      <c r="B43" s="4">
        <f>COUNTIFS(step3_combined_data!$AV$2:$AV$404,"Oppose", step3_combined_data!$E$2:$E$404,"55 - 64")</f>
        <v>0</v>
      </c>
      <c r="C43" s="4">
        <f>COUNTIFS(step3_combined_data!$AV$2:$AV$404,"Neutral", step3_combined_data!$E$2:$E$404,"55 - 64")</f>
        <v>9</v>
      </c>
      <c r="D43" s="4">
        <f>COUNTIFS(step3_combined_data!$AV$2:$AV$404,"Support", step3_combined_data!$E$2:$E$404,"55 - 64")</f>
        <v>18</v>
      </c>
      <c r="E43" s="4">
        <f t="shared" si="15"/>
        <v>27</v>
      </c>
      <c r="G43" s="4" t="s">
        <v>193</v>
      </c>
      <c r="H43" s="43">
        <f t="shared" si="12"/>
        <v>0</v>
      </c>
      <c r="I43" s="43">
        <f t="shared" si="13"/>
        <v>0.33333333333333331</v>
      </c>
      <c r="J43" s="43">
        <f t="shared" si="14"/>
        <v>0.66666666666666663</v>
      </c>
    </row>
    <row r="45" spans="1:10" x14ac:dyDescent="0.45">
      <c r="A45" s="41" t="s">
        <v>20</v>
      </c>
      <c r="B45" s="41" t="s">
        <v>1</v>
      </c>
      <c r="C45" s="41" t="s">
        <v>2</v>
      </c>
      <c r="D45" s="41" t="s">
        <v>3</v>
      </c>
      <c r="E45" s="41">
        <f>SUM(E46:E51)</f>
        <v>401</v>
      </c>
      <c r="G45" s="41" t="s">
        <v>20</v>
      </c>
      <c r="H45" s="41" t="s">
        <v>1</v>
      </c>
      <c r="I45" s="41" t="s">
        <v>2</v>
      </c>
      <c r="J45" s="41" t="s">
        <v>3</v>
      </c>
    </row>
    <row r="46" spans="1:10" x14ac:dyDescent="0.45">
      <c r="A46" s="4" t="s">
        <v>189</v>
      </c>
      <c r="B46" s="4">
        <f>COUNTIFS(step3_combined_data!$BA$2:$BA$404,"Oppose", step3_combined_data!$E$2:$E$404,"18 - 24")</f>
        <v>0</v>
      </c>
      <c r="C46" s="4">
        <f>COUNTIFS(step3_combined_data!$BA$2:$BA$404,"Neutral", step3_combined_data!$E$2:$E$404,"18 - 24")</f>
        <v>26</v>
      </c>
      <c r="D46" s="4">
        <f>COUNTIFS(step3_combined_data!$BA$2:$BA$404,"Support", step3_combined_data!$E$2:$E$404,"18 - 24")</f>
        <v>28</v>
      </c>
      <c r="E46" s="4">
        <f>SUM(B46:D46)</f>
        <v>54</v>
      </c>
      <c r="G46" s="4" t="s">
        <v>189</v>
      </c>
      <c r="H46" s="43">
        <f t="shared" ref="H46:H51" si="16">B46/E46</f>
        <v>0</v>
      </c>
      <c r="I46" s="43">
        <f t="shared" ref="I46:I51" si="17">C46/E46</f>
        <v>0.48148148148148145</v>
      </c>
      <c r="J46" s="43">
        <f t="shared" ref="J46:J51" si="18">D46/E46</f>
        <v>0.51851851851851849</v>
      </c>
    </row>
    <row r="47" spans="1:10" x14ac:dyDescent="0.45">
      <c r="A47" s="4" t="s">
        <v>81</v>
      </c>
      <c r="B47" s="4">
        <f>COUNTIFS(step3_combined_data!$BA$2:$BA$404,"Oppose", step3_combined_data!$E$2:$E$404,"25 - 29")</f>
        <v>0</v>
      </c>
      <c r="C47" s="4">
        <f>COUNTIFS(step3_combined_data!$BA$2:$BA$404,"Neutral", step3_combined_data!$E$2:$E$404,"25 - 29")</f>
        <v>36</v>
      </c>
      <c r="D47" s="4">
        <f>COUNTIFS(step3_combined_data!$BA$2:$BA$404,"Support", step3_combined_data!$E$2:$E$404,"25 - 29")</f>
        <v>43</v>
      </c>
      <c r="E47" s="4">
        <f t="shared" ref="E47:E51" si="19">SUM(B47:D47)</f>
        <v>79</v>
      </c>
      <c r="G47" s="4" t="s">
        <v>81</v>
      </c>
      <c r="H47" s="43">
        <f t="shared" si="16"/>
        <v>0</v>
      </c>
      <c r="I47" s="43">
        <f t="shared" si="17"/>
        <v>0.45569620253164556</v>
      </c>
      <c r="J47" s="43">
        <f t="shared" si="18"/>
        <v>0.54430379746835444</v>
      </c>
    </row>
    <row r="48" spans="1:10" x14ac:dyDescent="0.45">
      <c r="A48" s="4" t="s">
        <v>73</v>
      </c>
      <c r="B48" s="4">
        <f>COUNTIFS(step3_combined_data!$BA$2:$BA$404,"Oppose", step3_combined_data!$E$2:$E$404,"30 - 39")</f>
        <v>0</v>
      </c>
      <c r="C48" s="4">
        <f>COUNTIFS(step3_combined_data!$BA$2:$BA$404,"Neutral", step3_combined_data!$E$2:$E$404,"30 - 39")</f>
        <v>55</v>
      </c>
      <c r="D48" s="4">
        <f>COUNTIFS(step3_combined_data!$BA$2:$BA$404,"Support", step3_combined_data!$E$2:$E$404,"30 - 39")</f>
        <v>76</v>
      </c>
      <c r="E48" s="4">
        <f t="shared" si="19"/>
        <v>131</v>
      </c>
      <c r="G48" s="4" t="s">
        <v>73</v>
      </c>
      <c r="H48" s="43">
        <f t="shared" si="16"/>
        <v>0</v>
      </c>
      <c r="I48" s="43">
        <f t="shared" si="17"/>
        <v>0.41984732824427479</v>
      </c>
      <c r="J48" s="43">
        <f t="shared" si="18"/>
        <v>0.58015267175572516</v>
      </c>
    </row>
    <row r="49" spans="1:10" x14ac:dyDescent="0.45">
      <c r="A49" s="4" t="s">
        <v>79</v>
      </c>
      <c r="B49" s="4">
        <f>COUNTIFS(step3_combined_data!$BA$2:$BA$404,"Oppose", step3_combined_data!$E$2:$E$404,"40 - 49")</f>
        <v>0</v>
      </c>
      <c r="C49" s="4">
        <f>COUNTIFS(step3_combined_data!$BA$2:$BA$404,"Neutral", step3_combined_data!$E$2:$E$404,"40 - 49")</f>
        <v>39</v>
      </c>
      <c r="D49" s="4">
        <f>COUNTIFS(step3_combined_data!$BA$2:$BA$404,"Support", step3_combined_data!$E$2:$E$404,"40 - 49")</f>
        <v>40</v>
      </c>
      <c r="E49" s="4">
        <f t="shared" si="19"/>
        <v>79</v>
      </c>
      <c r="G49" s="4" t="s">
        <v>79</v>
      </c>
      <c r="H49" s="43">
        <f t="shared" si="16"/>
        <v>0</v>
      </c>
      <c r="I49" s="43">
        <f t="shared" si="17"/>
        <v>0.49367088607594939</v>
      </c>
      <c r="J49" s="43">
        <f t="shared" si="18"/>
        <v>0.50632911392405067</v>
      </c>
    </row>
    <row r="50" spans="1:10" x14ac:dyDescent="0.45">
      <c r="A50" s="4" t="s">
        <v>191</v>
      </c>
      <c r="B50" s="4">
        <f>COUNTIFS(step3_combined_data!$BA$2:$BA$404,"Oppose", step3_combined_data!$E$2:$E$404,"50 - 54")</f>
        <v>0</v>
      </c>
      <c r="C50" s="4">
        <f>COUNTIFS(step3_combined_data!$BA$2:$BA$404,"Neutral", step3_combined_data!$E$2:$E$404,"50 - 54")</f>
        <v>9</v>
      </c>
      <c r="D50" s="4">
        <f>COUNTIFS(step3_combined_data!$BA$2:$BA$404,"Support", step3_combined_data!$E$2:$E$404,"50 - 54")</f>
        <v>22</v>
      </c>
      <c r="E50" s="4">
        <f t="shared" si="19"/>
        <v>31</v>
      </c>
      <c r="G50" s="4" t="s">
        <v>191</v>
      </c>
      <c r="H50" s="43">
        <f t="shared" si="16"/>
        <v>0</v>
      </c>
      <c r="I50" s="43">
        <f t="shared" si="17"/>
        <v>0.29032258064516131</v>
      </c>
      <c r="J50" s="43">
        <f t="shared" si="18"/>
        <v>0.70967741935483875</v>
      </c>
    </row>
    <row r="51" spans="1:10" x14ac:dyDescent="0.45">
      <c r="A51" s="4" t="s">
        <v>193</v>
      </c>
      <c r="B51" s="4">
        <f>COUNTIFS(step3_combined_data!$BA$2:$BA$404,"Oppose", step3_combined_data!$E$2:$E$404,"55 - 64")</f>
        <v>0</v>
      </c>
      <c r="C51" s="4">
        <f>COUNTIFS(step3_combined_data!$BA$2:$BA$404,"Neutral", step3_combined_data!$E$2:$E$404,"55 - 64")</f>
        <v>15</v>
      </c>
      <c r="D51" s="4">
        <f>COUNTIFS(step3_combined_data!$BA$2:$BA$404,"Support", step3_combined_data!$E$2:$E$404,"55 - 64")</f>
        <v>12</v>
      </c>
      <c r="E51" s="4">
        <f t="shared" si="19"/>
        <v>27</v>
      </c>
      <c r="G51" s="4" t="s">
        <v>193</v>
      </c>
      <c r="H51" s="43">
        <f t="shared" si="16"/>
        <v>0</v>
      </c>
      <c r="I51" s="43">
        <f t="shared" si="17"/>
        <v>0.55555555555555558</v>
      </c>
      <c r="J51" s="43">
        <f t="shared" si="18"/>
        <v>0.44444444444444442</v>
      </c>
    </row>
    <row r="53" spans="1:10" x14ac:dyDescent="0.45">
      <c r="A53" s="41" t="s">
        <v>18</v>
      </c>
      <c r="B53" s="41" t="s">
        <v>1</v>
      </c>
      <c r="C53" s="41" t="s">
        <v>2</v>
      </c>
      <c r="D53" s="41" t="s">
        <v>3</v>
      </c>
      <c r="E53" s="41">
        <f>SUM(E54:E61)</f>
        <v>401</v>
      </c>
      <c r="G53" s="41" t="s">
        <v>18</v>
      </c>
      <c r="H53" s="41" t="s">
        <v>1</v>
      </c>
      <c r="I53" s="41" t="s">
        <v>2</v>
      </c>
      <c r="J53" s="41" t="s">
        <v>3</v>
      </c>
    </row>
    <row r="54" spans="1:10" x14ac:dyDescent="0.45">
      <c r="A54" s="4" t="s">
        <v>194</v>
      </c>
      <c r="B54" s="4">
        <f>COUNTIFS(step3_combined_data!$AQ$2:$AQ$404,"Oppose", step3_combined_data!$N$2:$N$404,"Dưới 12 triệu VNĐ")</f>
        <v>0</v>
      </c>
      <c r="C54" s="4">
        <f>COUNTIFS(step3_combined_data!$AQ$2:$AQ$404,"Neutral", step3_combined_data!$N$2:$N$404,"Dưới 12 triệu VNĐ")</f>
        <v>0</v>
      </c>
      <c r="D54" s="4">
        <f>COUNTIFS(step3_combined_data!$AQ$2:$AQ$404,"Support", step3_combined_data!$N$2:$N$404,"Dưới 12 triệu VNĐ")</f>
        <v>41</v>
      </c>
      <c r="E54" s="4">
        <f>SUM(B54:D54)</f>
        <v>41</v>
      </c>
      <c r="G54" s="4" t="s">
        <v>194</v>
      </c>
      <c r="H54" s="43">
        <f t="shared" ref="H54:H61" si="20">B54/E54</f>
        <v>0</v>
      </c>
      <c r="I54" s="43">
        <f t="shared" ref="I54:I61" si="21">C54/E54</f>
        <v>0</v>
      </c>
      <c r="J54" s="43">
        <f t="shared" ref="J54:J61" si="22">D54/E54</f>
        <v>1</v>
      </c>
    </row>
    <row r="55" spans="1:10" x14ac:dyDescent="0.45">
      <c r="A55" s="4" t="s">
        <v>104</v>
      </c>
      <c r="B55" s="4">
        <f>COUNTIFS(step3_combined_data!$AQ$2:$AQ$404,"Oppose", step3_combined_data!$N$2:$N$404,"Từ 12 - 18 triệu VNĐ")</f>
        <v>0</v>
      </c>
      <c r="C55" s="4">
        <f>COUNTIFS(step3_combined_data!$AQ$2:$AQ$404,"Neutral", step3_combined_data!$N$2:$N$404,"Từ 12 - 18 triệu VNĐ")</f>
        <v>9</v>
      </c>
      <c r="D55" s="4">
        <f>COUNTIFS(step3_combined_data!$AQ$2:$AQ$404,"Support", step3_combined_data!$N$2:$N$404,"Từ 12 - 18 triệu VNĐ")</f>
        <v>70</v>
      </c>
      <c r="E55" s="4">
        <f t="shared" ref="E55:E61" si="23">SUM(B55:D55)</f>
        <v>79</v>
      </c>
      <c r="G55" s="4" t="s">
        <v>104</v>
      </c>
      <c r="H55" s="43">
        <f t="shared" si="20"/>
        <v>0</v>
      </c>
      <c r="I55" s="43">
        <f t="shared" si="21"/>
        <v>0.11392405063291139</v>
      </c>
      <c r="J55" s="43">
        <f t="shared" si="22"/>
        <v>0.88607594936708856</v>
      </c>
    </row>
    <row r="56" spans="1:10" x14ac:dyDescent="0.45">
      <c r="A56" s="4" t="s">
        <v>196</v>
      </c>
      <c r="B56" s="4">
        <f>COUNTIFS(step3_combined_data!$AQ$2:$AQ$404,"Oppose", step3_combined_data!$N$2:$N$404,"Từ 18 - 23 triệu VNĐ")</f>
        <v>0</v>
      </c>
      <c r="C56" s="4">
        <f>COUNTIFS(step3_combined_data!$AQ$2:$AQ$404,"Neutral", step3_combined_data!$N$2:$N$404,"Từ 18 - 23 triệu VNĐ")</f>
        <v>2</v>
      </c>
      <c r="D56" s="4">
        <f>COUNTIFS(step3_combined_data!$AQ$2:$AQ$404,"Support", step3_combined_data!$N$2:$N$404,"Từ 18 - 23 triệu VNĐ")</f>
        <v>38</v>
      </c>
      <c r="E56" s="4">
        <f t="shared" si="23"/>
        <v>40</v>
      </c>
      <c r="G56" s="4" t="s">
        <v>196</v>
      </c>
      <c r="H56" s="43">
        <f t="shared" si="20"/>
        <v>0</v>
      </c>
      <c r="I56" s="43">
        <f t="shared" si="21"/>
        <v>0.05</v>
      </c>
      <c r="J56" s="43">
        <f t="shared" si="22"/>
        <v>0.95</v>
      </c>
    </row>
    <row r="57" spans="1:10" x14ac:dyDescent="0.45">
      <c r="A57" s="4" t="s">
        <v>101</v>
      </c>
      <c r="B57" s="4">
        <f>COUNTIFS(step3_combined_data!$AQ$2:$AQ$404,"Oppose", step3_combined_data!$N$2:$N$404,"Từ 23 - 32 triệu VNĐ")</f>
        <v>0</v>
      </c>
      <c r="C57" s="4">
        <f>COUNTIFS(step3_combined_data!$AQ$2:$AQ$404,"Neutral", step3_combined_data!$N$2:$N$404,"Từ 23 - 32 triệu VNĐ")</f>
        <v>3</v>
      </c>
      <c r="D57" s="4">
        <f>COUNTIFS(step3_combined_data!$AQ$2:$AQ$404,"Support", step3_combined_data!$N$2:$N$404,"Từ 23 - 32 triệu VNĐ")</f>
        <v>50</v>
      </c>
      <c r="E57" s="4">
        <f t="shared" si="23"/>
        <v>53</v>
      </c>
      <c r="G57" s="4" t="s">
        <v>101</v>
      </c>
      <c r="H57" s="43">
        <f t="shared" si="20"/>
        <v>0</v>
      </c>
      <c r="I57" s="43">
        <f t="shared" si="21"/>
        <v>5.6603773584905662E-2</v>
      </c>
      <c r="J57" s="43">
        <f t="shared" si="22"/>
        <v>0.94339622641509435</v>
      </c>
    </row>
    <row r="58" spans="1:10" x14ac:dyDescent="0.45">
      <c r="A58" s="4" t="s">
        <v>109</v>
      </c>
      <c r="B58" s="4">
        <f>COUNTIFS(step3_combined_data!$AQ$2:$AQ$404,"Oppose", step3_combined_data!$N$2:$N$404,"Từ 32 - 48 triệu VNĐ")</f>
        <v>0</v>
      </c>
      <c r="C58" s="4">
        <f>COUNTIFS(step3_combined_data!$AQ$2:$AQ$404,"Neutral", step3_combined_data!$N$2:$N$404,"Từ 32 - 48 triệu VNĐ")</f>
        <v>3</v>
      </c>
      <c r="D58" s="4">
        <f>COUNTIFS(step3_combined_data!$AQ$2:$AQ$404,"Support", step3_combined_data!$N$2:$N$404,"Từ 32 - 48 triệu VNĐ")</f>
        <v>50</v>
      </c>
      <c r="E58" s="4">
        <f t="shared" si="23"/>
        <v>53</v>
      </c>
      <c r="G58" s="4" t="s">
        <v>109</v>
      </c>
      <c r="H58" s="43">
        <f t="shared" si="20"/>
        <v>0</v>
      </c>
      <c r="I58" s="43">
        <f t="shared" si="21"/>
        <v>5.6603773584905662E-2</v>
      </c>
      <c r="J58" s="43">
        <f t="shared" si="22"/>
        <v>0.94339622641509435</v>
      </c>
    </row>
    <row r="59" spans="1:10" x14ac:dyDescent="0.45">
      <c r="A59" s="4" t="s">
        <v>111</v>
      </c>
      <c r="B59" s="4">
        <f>COUNTIFS(step3_combined_data!$AQ$2:$AQ$404,"Oppose", step3_combined_data!$N$2:$N$404,"Từ 48 - 70 triệu VNĐ")</f>
        <v>0</v>
      </c>
      <c r="C59" s="4">
        <f>COUNTIFS(step3_combined_data!$AQ$2:$AQ$404,"Neutral", step3_combined_data!$N$2:$N$404,"Từ 48 - 70 triệu VNĐ")</f>
        <v>3</v>
      </c>
      <c r="D59" s="4">
        <f>COUNTIFS(step3_combined_data!$AQ$2:$AQ$404,"Support", step3_combined_data!$N$2:$N$404,"Từ 48 - 70 triệu VNĐ")</f>
        <v>59</v>
      </c>
      <c r="E59" s="4">
        <f t="shared" si="23"/>
        <v>62</v>
      </c>
      <c r="G59" s="4" t="s">
        <v>111</v>
      </c>
      <c r="H59" s="43">
        <f t="shared" si="20"/>
        <v>0</v>
      </c>
      <c r="I59" s="43">
        <f t="shared" si="21"/>
        <v>4.8387096774193547E-2</v>
      </c>
      <c r="J59" s="43">
        <f t="shared" si="22"/>
        <v>0.95161290322580649</v>
      </c>
    </row>
    <row r="60" spans="1:10" x14ac:dyDescent="0.45">
      <c r="A60" s="4" t="s">
        <v>107</v>
      </c>
      <c r="B60" s="4">
        <f>COUNTIFS(step3_combined_data!$AQ$2:$AQ$404,"Oppose", step3_combined_data!$N$2:$N$404,"Từ 70 - 102 triệu VNĐ")</f>
        <v>0</v>
      </c>
      <c r="C60" s="4">
        <f>COUNTIFS(step3_combined_data!$AQ$2:$AQ$404,"Neutral", step3_combined_data!$N$2:$N$404,"Từ 70 - 102 triệu VNĐ")</f>
        <v>2</v>
      </c>
      <c r="D60" s="4">
        <f>COUNTIFS(step3_combined_data!$AQ$2:$AQ$404,"Support", step3_combined_data!$N$2:$N$404,"Từ 70 - 102 triệu VNĐ")</f>
        <v>36</v>
      </c>
      <c r="E60" s="4">
        <f t="shared" si="23"/>
        <v>38</v>
      </c>
      <c r="G60" s="4" t="s">
        <v>107</v>
      </c>
      <c r="H60" s="43">
        <f t="shared" si="20"/>
        <v>0</v>
      </c>
      <c r="I60" s="43">
        <f t="shared" si="21"/>
        <v>5.2631578947368418E-2</v>
      </c>
      <c r="J60" s="43">
        <f t="shared" si="22"/>
        <v>0.94736842105263153</v>
      </c>
    </row>
    <row r="61" spans="1:10" x14ac:dyDescent="0.45">
      <c r="A61" s="4" t="s">
        <v>108</v>
      </c>
      <c r="B61" s="4">
        <f>COUNTIFS(step3_combined_data!$AQ$2:$AQ$404,"Oppose", step3_combined_data!$N$2:$N$404,"Trên 102 triệu VNĐ")</f>
        <v>0</v>
      </c>
      <c r="C61" s="4">
        <f>COUNTIFS(step3_combined_data!$AQ$2:$AQ$404,"Neutral", step3_combined_data!$N$2:$N$404,"Trên 102 triệu VNĐ")</f>
        <v>3</v>
      </c>
      <c r="D61" s="4">
        <f>COUNTIFS(step3_combined_data!$AQ$2:$AQ$404,"Support", step3_combined_data!$N$2:$N$404,"Trên 102 triệu VNĐ")</f>
        <v>32</v>
      </c>
      <c r="E61" s="4">
        <f t="shared" si="23"/>
        <v>35</v>
      </c>
      <c r="G61" s="4" t="s">
        <v>108</v>
      </c>
      <c r="H61" s="43">
        <f t="shared" si="20"/>
        <v>0</v>
      </c>
      <c r="I61" s="43">
        <f t="shared" si="21"/>
        <v>8.5714285714285715E-2</v>
      </c>
      <c r="J61" s="43">
        <f t="shared" si="22"/>
        <v>0.91428571428571426</v>
      </c>
    </row>
    <row r="63" spans="1:10" x14ac:dyDescent="0.45">
      <c r="A63" s="41" t="s">
        <v>19</v>
      </c>
      <c r="B63" s="41" t="s">
        <v>1</v>
      </c>
      <c r="C63" s="41" t="s">
        <v>2</v>
      </c>
      <c r="D63" s="41" t="s">
        <v>3</v>
      </c>
      <c r="E63" s="41">
        <f>SUM(E64:E71)</f>
        <v>401</v>
      </c>
      <c r="G63" s="41" t="s">
        <v>19</v>
      </c>
      <c r="H63" s="41" t="s">
        <v>1</v>
      </c>
      <c r="I63" s="41" t="s">
        <v>2</v>
      </c>
      <c r="J63" s="41" t="s">
        <v>3</v>
      </c>
    </row>
    <row r="64" spans="1:10" x14ac:dyDescent="0.45">
      <c r="A64" s="4" t="s">
        <v>194</v>
      </c>
      <c r="B64" s="4">
        <f>COUNTIFS(step3_combined_data!$AV$2:$AV$404,"Oppose", step3_combined_data!$N$2:$N$404,"Dưới 12 triệu VNĐ")</f>
        <v>0</v>
      </c>
      <c r="C64" s="4">
        <f>COUNTIFS(step3_combined_data!$AV$2:$AV$404,"Neutral", step3_combined_data!$N$2:$N$404,"Dưới 12 triệu VNĐ")</f>
        <v>14</v>
      </c>
      <c r="D64" s="4">
        <f>COUNTIFS(step3_combined_data!$AV$2:$AV$404,"Support", step3_combined_data!$N$2:$N$404,"Dưới 12 triệu VNĐ")</f>
        <v>27</v>
      </c>
      <c r="E64" s="4">
        <f>SUM(B64:D64)</f>
        <v>41</v>
      </c>
      <c r="G64" s="4" t="s">
        <v>194</v>
      </c>
      <c r="H64" s="43">
        <f t="shared" ref="H64:H71" si="24">B64/E64</f>
        <v>0</v>
      </c>
      <c r="I64" s="43">
        <f t="shared" ref="I64:I71" si="25">C64/E64</f>
        <v>0.34146341463414637</v>
      </c>
      <c r="J64" s="43">
        <f t="shared" ref="J64:J71" si="26">D64/E64</f>
        <v>0.65853658536585369</v>
      </c>
    </row>
    <row r="65" spans="1:10" x14ac:dyDescent="0.45">
      <c r="A65" s="4" t="s">
        <v>104</v>
      </c>
      <c r="B65" s="4">
        <f>COUNTIFS(step3_combined_data!$AV$2:$AV$404,"Oppose", step3_combined_data!$N$2:$N$404,"Từ 12 - 18 triệu VNĐ")</f>
        <v>0</v>
      </c>
      <c r="C65" s="4">
        <f>COUNTIFS(step3_combined_data!$AV$2:$AV$404,"Neutral", step3_combined_data!$N$2:$N$404,"Từ 12 - 18 triệu VNĐ")</f>
        <v>34</v>
      </c>
      <c r="D65" s="4">
        <f>COUNTIFS(step3_combined_data!$AV$2:$AV$404,"Support", step3_combined_data!$N$2:$N$404,"Từ 12 - 18 triệu VNĐ")</f>
        <v>45</v>
      </c>
      <c r="E65" s="4">
        <f t="shared" ref="E65:E71" si="27">SUM(B65:D65)</f>
        <v>79</v>
      </c>
      <c r="G65" s="4" t="s">
        <v>104</v>
      </c>
      <c r="H65" s="43">
        <f t="shared" si="24"/>
        <v>0</v>
      </c>
      <c r="I65" s="43">
        <f t="shared" si="25"/>
        <v>0.43037974683544306</v>
      </c>
      <c r="J65" s="43">
        <f t="shared" si="26"/>
        <v>0.569620253164557</v>
      </c>
    </row>
    <row r="66" spans="1:10" x14ac:dyDescent="0.45">
      <c r="A66" s="4" t="s">
        <v>196</v>
      </c>
      <c r="B66" s="4">
        <f>COUNTIFS(step3_combined_data!$AV$2:$AV$404,"Oppose", step3_combined_data!$N$2:$N$404,"Từ 18 - 23 triệu VNĐ")</f>
        <v>0</v>
      </c>
      <c r="C66" s="4">
        <f>COUNTIFS(step3_combined_data!$AV$2:$AV$404,"Neutral", step3_combined_data!$N$2:$N$404,"Từ 18 - 23 triệu VNĐ")</f>
        <v>20</v>
      </c>
      <c r="D66" s="4">
        <f>COUNTIFS(step3_combined_data!$AV$2:$AV$404,"Support", step3_combined_data!$N$2:$N$404,"Từ 18 - 23 triệu VNĐ")</f>
        <v>20</v>
      </c>
      <c r="E66" s="4">
        <f t="shared" si="27"/>
        <v>40</v>
      </c>
      <c r="G66" s="4" t="s">
        <v>196</v>
      </c>
      <c r="H66" s="43">
        <f t="shared" si="24"/>
        <v>0</v>
      </c>
      <c r="I66" s="43">
        <f t="shared" si="25"/>
        <v>0.5</v>
      </c>
      <c r="J66" s="43">
        <f t="shared" si="26"/>
        <v>0.5</v>
      </c>
    </row>
    <row r="67" spans="1:10" x14ac:dyDescent="0.45">
      <c r="A67" s="4" t="s">
        <v>101</v>
      </c>
      <c r="B67" s="4">
        <f>COUNTIFS(step3_combined_data!$AV$2:$AV$404,"Oppose", step3_combined_data!$N$2:$N$404,"Từ 23 - 32 triệu VNĐ")</f>
        <v>1</v>
      </c>
      <c r="C67" s="4">
        <f>COUNTIFS(step3_combined_data!$AV$2:$AV$404,"Neutral", step3_combined_data!$N$2:$N$404,"Từ 23 - 32 triệu VNĐ")</f>
        <v>25</v>
      </c>
      <c r="D67" s="4">
        <f>COUNTIFS(step3_combined_data!$AV$2:$AV$404,"Support", step3_combined_data!$N$2:$N$404,"Từ 23 - 32 triệu VNĐ")</f>
        <v>27</v>
      </c>
      <c r="E67" s="4">
        <f t="shared" si="27"/>
        <v>53</v>
      </c>
      <c r="G67" s="4" t="s">
        <v>101</v>
      </c>
      <c r="H67" s="43">
        <f t="shared" si="24"/>
        <v>1.8867924528301886E-2</v>
      </c>
      <c r="I67" s="43">
        <f t="shared" si="25"/>
        <v>0.47169811320754718</v>
      </c>
      <c r="J67" s="43">
        <f t="shared" si="26"/>
        <v>0.50943396226415094</v>
      </c>
    </row>
    <row r="68" spans="1:10" x14ac:dyDescent="0.45">
      <c r="A68" s="4" t="s">
        <v>109</v>
      </c>
      <c r="B68" s="4">
        <f>COUNTIFS(step3_combined_data!$AV$2:$AV$404,"Oppose", step3_combined_data!$N$2:$N$404,"Từ 32 - 48 triệu VNĐ")</f>
        <v>0</v>
      </c>
      <c r="C68" s="4">
        <f>COUNTIFS(step3_combined_data!$AV$2:$AV$404,"Neutral", step3_combined_data!$N$2:$N$404,"Từ 32 - 48 triệu VNĐ")</f>
        <v>30</v>
      </c>
      <c r="D68" s="4">
        <f>COUNTIFS(step3_combined_data!$AV$2:$AV$404,"Support", step3_combined_data!$N$2:$N$404,"Từ 32 - 48 triệu VNĐ")</f>
        <v>23</v>
      </c>
      <c r="E68" s="4">
        <f t="shared" si="27"/>
        <v>53</v>
      </c>
      <c r="G68" s="4" t="s">
        <v>109</v>
      </c>
      <c r="H68" s="43">
        <f t="shared" si="24"/>
        <v>0</v>
      </c>
      <c r="I68" s="43">
        <f t="shared" si="25"/>
        <v>0.56603773584905659</v>
      </c>
      <c r="J68" s="43">
        <f t="shared" si="26"/>
        <v>0.43396226415094341</v>
      </c>
    </row>
    <row r="69" spans="1:10" x14ac:dyDescent="0.45">
      <c r="A69" s="4" t="s">
        <v>111</v>
      </c>
      <c r="B69" s="4">
        <f>COUNTIFS(step3_combined_data!$AV$2:$AV$404,"Oppose", step3_combined_data!$N$2:$N$404,"Từ 48 - 70 triệu VNĐ")</f>
        <v>0</v>
      </c>
      <c r="C69" s="4">
        <f>COUNTIFS(step3_combined_data!$AV$2:$AV$404,"Neutral", step3_combined_data!$N$2:$N$404,"Từ 48 - 70 triệu VNĐ")</f>
        <v>22</v>
      </c>
      <c r="D69" s="4">
        <f>COUNTIFS(step3_combined_data!$AV$2:$AV$404,"Support", step3_combined_data!$N$2:$N$404,"Từ 48 - 70 triệu VNĐ")</f>
        <v>40</v>
      </c>
      <c r="E69" s="4">
        <f t="shared" si="27"/>
        <v>62</v>
      </c>
      <c r="G69" s="4" t="s">
        <v>111</v>
      </c>
      <c r="H69" s="43">
        <f t="shared" si="24"/>
        <v>0</v>
      </c>
      <c r="I69" s="43">
        <f t="shared" si="25"/>
        <v>0.35483870967741937</v>
      </c>
      <c r="J69" s="43">
        <f t="shared" si="26"/>
        <v>0.64516129032258063</v>
      </c>
    </row>
    <row r="70" spans="1:10" x14ac:dyDescent="0.45">
      <c r="A70" s="4" t="s">
        <v>107</v>
      </c>
      <c r="B70" s="4">
        <f>COUNTIFS(step3_combined_data!$AV$2:$AV$404,"Oppose", step3_combined_data!$N$2:$N$404,"Từ 70 - 102 triệu VNĐ")</f>
        <v>0</v>
      </c>
      <c r="C70" s="4">
        <f>COUNTIFS(step3_combined_data!$AV$2:$AV$404,"Neutral", step3_combined_data!$N$2:$N$404,"Từ 70 - 102 triệu VNĐ")</f>
        <v>13</v>
      </c>
      <c r="D70" s="4">
        <f>COUNTIFS(step3_combined_data!$AV$2:$AV$404,"Support", step3_combined_data!$N$2:$N$404,"Từ 70 - 102 triệu VNĐ")</f>
        <v>25</v>
      </c>
      <c r="E70" s="4">
        <f t="shared" si="27"/>
        <v>38</v>
      </c>
      <c r="G70" s="4" t="s">
        <v>107</v>
      </c>
      <c r="H70" s="43">
        <f t="shared" si="24"/>
        <v>0</v>
      </c>
      <c r="I70" s="43">
        <f t="shared" si="25"/>
        <v>0.34210526315789475</v>
      </c>
      <c r="J70" s="43">
        <f t="shared" si="26"/>
        <v>0.65789473684210531</v>
      </c>
    </row>
    <row r="71" spans="1:10" x14ac:dyDescent="0.45">
      <c r="A71" s="4" t="s">
        <v>108</v>
      </c>
      <c r="B71" s="4">
        <f>COUNTIFS(step3_combined_data!$AV$2:$AV$404,"Oppose", step3_combined_data!$N$2:$N$404,"Trên 102 triệu VNĐ")</f>
        <v>0</v>
      </c>
      <c r="C71" s="4">
        <f>COUNTIFS(step3_combined_data!$AV$2:$AV$404,"Neutral", step3_combined_data!$N$2:$N$404,"Trên 102 triệu VNĐ")</f>
        <v>15</v>
      </c>
      <c r="D71" s="4">
        <f>COUNTIFS(step3_combined_data!$AV$2:$AV$404,"Support", step3_combined_data!$N$2:$N$404,"Trên 102 triệu VNĐ")</f>
        <v>20</v>
      </c>
      <c r="E71" s="4">
        <f t="shared" si="27"/>
        <v>35</v>
      </c>
      <c r="G71" s="4" t="s">
        <v>108</v>
      </c>
      <c r="H71" s="43">
        <f t="shared" si="24"/>
        <v>0</v>
      </c>
      <c r="I71" s="43">
        <f t="shared" si="25"/>
        <v>0.42857142857142855</v>
      </c>
      <c r="J71" s="43">
        <f t="shared" si="26"/>
        <v>0.5714285714285714</v>
      </c>
    </row>
    <row r="73" spans="1:10" x14ac:dyDescent="0.45">
      <c r="A73" s="41" t="s">
        <v>3810</v>
      </c>
      <c r="B73" s="41" t="s">
        <v>1</v>
      </c>
      <c r="C73" s="41" t="s">
        <v>2</v>
      </c>
      <c r="D73" s="41" t="s">
        <v>3</v>
      </c>
      <c r="E73" s="41">
        <f>SUM(E74:E79)</f>
        <v>401</v>
      </c>
      <c r="G73" s="41" t="s">
        <v>3810</v>
      </c>
      <c r="H73" s="41" t="s">
        <v>1</v>
      </c>
      <c r="I73" s="41" t="s">
        <v>2</v>
      </c>
      <c r="J73" s="41" t="s">
        <v>3</v>
      </c>
    </row>
    <row r="74" spans="1:10" x14ac:dyDescent="0.45">
      <c r="A74" s="4" t="s">
        <v>189</v>
      </c>
      <c r="B74" s="4">
        <f>COUNTIFS(step3_combined_data!$BF$2:$BF$404,"Oppose", step3_combined_data!$E$2:$E$404,"18 - 24")</f>
        <v>0</v>
      </c>
      <c r="C74" s="4">
        <f>COUNTIFS(step3_combined_data!$BF$2:$BF$404,"Neutral", step3_combined_data!$E$2:$E$404,"18 - 24")</f>
        <v>1</v>
      </c>
      <c r="D74" s="4">
        <f>COUNTIFS(step3_combined_data!$BF$2:$BF$404,"Support", step3_combined_data!$E$2:$E$404,"18 - 24")</f>
        <v>53</v>
      </c>
      <c r="E74" s="4">
        <f>SUM(B74:D74)</f>
        <v>54</v>
      </c>
      <c r="G74" s="4" t="s">
        <v>189</v>
      </c>
      <c r="H74" s="43">
        <f t="shared" ref="H74:H79" si="28">B74/E74</f>
        <v>0</v>
      </c>
      <c r="I74" s="43">
        <f t="shared" ref="I74:I79" si="29">C74/E74</f>
        <v>1.8518518518518517E-2</v>
      </c>
      <c r="J74" s="43">
        <f t="shared" ref="J74:J79" si="30">D74/E74</f>
        <v>0.98148148148148151</v>
      </c>
    </row>
    <row r="75" spans="1:10" x14ac:dyDescent="0.45">
      <c r="A75" s="4" t="s">
        <v>81</v>
      </c>
      <c r="B75" s="4">
        <f>COUNTIFS(step3_combined_data!$BF$2:$BF$404,"Oppose", step3_combined_data!$E$2:$E$404,"25 - 29")</f>
        <v>0</v>
      </c>
      <c r="C75" s="4">
        <f>COUNTIFS(step3_combined_data!$BF$2:$BF$404,"Neutral", step3_combined_data!$E$2:$E$404,"25 - 29")</f>
        <v>1</v>
      </c>
      <c r="D75" s="4">
        <f>COUNTIFS(step3_combined_data!$BF$2:$BF$404,"Support", step3_combined_data!$E$2:$E$404,"25 - 29")</f>
        <v>78</v>
      </c>
      <c r="E75" s="4">
        <f t="shared" ref="E75:E79" si="31">SUM(B75:D75)</f>
        <v>79</v>
      </c>
      <c r="G75" s="4" t="s">
        <v>81</v>
      </c>
      <c r="H75" s="43">
        <f t="shared" si="28"/>
        <v>0</v>
      </c>
      <c r="I75" s="43">
        <f t="shared" si="29"/>
        <v>1.2658227848101266E-2</v>
      </c>
      <c r="J75" s="43">
        <f t="shared" si="30"/>
        <v>0.98734177215189878</v>
      </c>
    </row>
    <row r="76" spans="1:10" x14ac:dyDescent="0.45">
      <c r="A76" s="4" t="s">
        <v>73</v>
      </c>
      <c r="B76" s="4">
        <f>COUNTIFS(step3_combined_data!$BF$2:$BF$404,"Oppose", step3_combined_data!$E$2:$E$404,"30 - 39")</f>
        <v>0</v>
      </c>
      <c r="C76" s="4">
        <f>COUNTIFS(step3_combined_data!$BF$2:$BF$404,"Neutral", step3_combined_data!$E$2:$E$404,"30 - 39")</f>
        <v>4</v>
      </c>
      <c r="D76" s="4">
        <f>COUNTIFS(step3_combined_data!$BF$2:$BF$404,"Support", step3_combined_data!$E$2:$E$404,"30 - 39")</f>
        <v>127</v>
      </c>
      <c r="E76" s="4">
        <f t="shared" si="31"/>
        <v>131</v>
      </c>
      <c r="G76" s="4" t="s">
        <v>73</v>
      </c>
      <c r="H76" s="43">
        <f t="shared" si="28"/>
        <v>0</v>
      </c>
      <c r="I76" s="43">
        <f t="shared" si="29"/>
        <v>3.0534351145038167E-2</v>
      </c>
      <c r="J76" s="43">
        <f t="shared" si="30"/>
        <v>0.96946564885496178</v>
      </c>
    </row>
    <row r="77" spans="1:10" x14ac:dyDescent="0.45">
      <c r="A77" s="4" t="s">
        <v>79</v>
      </c>
      <c r="B77" s="4">
        <f>COUNTIFS(step3_combined_data!$BF$2:$BF$404,"Oppose", step3_combined_data!$E$2:$E$404,"40 - 49")</f>
        <v>0</v>
      </c>
      <c r="C77" s="4">
        <f>COUNTIFS(step3_combined_data!$BF$2:$BF$404,"Neutral", step3_combined_data!$E$2:$E$404,"40 - 49")</f>
        <v>6</v>
      </c>
      <c r="D77" s="4">
        <f>COUNTIFS(step3_combined_data!$BF$2:$BF$404,"Support", step3_combined_data!$E$2:$E$404,"40 - 49")</f>
        <v>73</v>
      </c>
      <c r="E77" s="4">
        <f t="shared" si="31"/>
        <v>79</v>
      </c>
      <c r="G77" s="4" t="s">
        <v>79</v>
      </c>
      <c r="H77" s="43">
        <f t="shared" si="28"/>
        <v>0</v>
      </c>
      <c r="I77" s="43">
        <f t="shared" si="29"/>
        <v>7.5949367088607597E-2</v>
      </c>
      <c r="J77" s="43">
        <f t="shared" si="30"/>
        <v>0.92405063291139244</v>
      </c>
    </row>
    <row r="78" spans="1:10" x14ac:dyDescent="0.45">
      <c r="A78" s="4" t="s">
        <v>191</v>
      </c>
      <c r="B78" s="4">
        <f>COUNTIFS(step3_combined_data!$BF$2:$BF$404,"Oppose", step3_combined_data!$E$2:$E$404,"50 - 54")</f>
        <v>0</v>
      </c>
      <c r="C78" s="4">
        <f>COUNTIFS(step3_combined_data!$BF$2:$BF$404,"Neutral", step3_combined_data!$E$2:$E$404,"50 - 54")</f>
        <v>0</v>
      </c>
      <c r="D78" s="4">
        <f>COUNTIFS(step3_combined_data!$BF$2:$BF$404,"Support", step3_combined_data!$E$2:$E$404,"50 - 54")</f>
        <v>31</v>
      </c>
      <c r="E78" s="4">
        <f t="shared" si="31"/>
        <v>31</v>
      </c>
      <c r="G78" s="4" t="s">
        <v>191</v>
      </c>
      <c r="H78" s="43">
        <f t="shared" si="28"/>
        <v>0</v>
      </c>
      <c r="I78" s="43">
        <f t="shared" si="29"/>
        <v>0</v>
      </c>
      <c r="J78" s="43">
        <f t="shared" si="30"/>
        <v>1</v>
      </c>
    </row>
    <row r="79" spans="1:10" x14ac:dyDescent="0.45">
      <c r="A79" s="4" t="s">
        <v>193</v>
      </c>
      <c r="B79" s="4">
        <f>COUNTIFS(step3_combined_data!$BF$2:$BF$404,"Oppose", step3_combined_data!$E$2:$E$404,"55 - 64")</f>
        <v>0</v>
      </c>
      <c r="C79" s="4">
        <f>COUNTIFS(step3_combined_data!$BF$2:$BF$404,"Neutral", step3_combined_data!$E$2:$E$404,"55 - 64")</f>
        <v>3</v>
      </c>
      <c r="D79" s="4">
        <f>COUNTIFS(step3_combined_data!$BF$2:$BF$404,"Support", step3_combined_data!$E$2:$E$404,"55 - 64")</f>
        <v>24</v>
      </c>
      <c r="E79" s="4">
        <f t="shared" si="31"/>
        <v>27</v>
      </c>
      <c r="G79" s="4" t="s">
        <v>193</v>
      </c>
      <c r="H79" s="43">
        <f t="shared" si="28"/>
        <v>0</v>
      </c>
      <c r="I79" s="43">
        <f t="shared" si="29"/>
        <v>0.1111111111111111</v>
      </c>
      <c r="J79" s="43">
        <f t="shared" si="30"/>
        <v>0.88888888888888884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9FE0A-9457-4FC2-AF15-C2F30908F43C}">
  <dimension ref="A1:AA405"/>
  <sheetViews>
    <sheetView topLeftCell="G1" workbookViewId="0">
      <selection activeCell="Y2" sqref="Y2:Y404"/>
    </sheetView>
  </sheetViews>
  <sheetFormatPr defaultRowHeight="14.25" x14ac:dyDescent="0.45"/>
  <sheetData>
    <row r="1" spans="1:27" x14ac:dyDescent="0.45">
      <c r="A1" s="8" t="s">
        <v>45</v>
      </c>
      <c r="B1" s="35" t="s">
        <v>126</v>
      </c>
      <c r="C1" s="8" t="s">
        <v>206</v>
      </c>
      <c r="D1" s="8" t="s">
        <v>48</v>
      </c>
      <c r="E1" s="8" t="s">
        <v>131</v>
      </c>
      <c r="F1" s="8" t="s">
        <v>207</v>
      </c>
      <c r="G1" s="8" t="s">
        <v>51</v>
      </c>
      <c r="H1" s="8" t="s">
        <v>135</v>
      </c>
      <c r="I1" s="8" t="s">
        <v>208</v>
      </c>
      <c r="J1" s="8" t="s">
        <v>54</v>
      </c>
      <c r="K1" s="8" t="s">
        <v>139</v>
      </c>
      <c r="L1" s="8" t="s">
        <v>209</v>
      </c>
      <c r="M1" t="s">
        <v>57</v>
      </c>
      <c r="N1" t="s">
        <v>143</v>
      </c>
      <c r="O1" s="8" t="s">
        <v>210</v>
      </c>
      <c r="P1" t="s">
        <v>60</v>
      </c>
      <c r="Q1" t="s">
        <v>147</v>
      </c>
      <c r="R1" s="8" t="s">
        <v>211</v>
      </c>
      <c r="S1" t="s">
        <v>63</v>
      </c>
      <c r="T1" t="s">
        <v>151</v>
      </c>
      <c r="U1" s="8" t="s">
        <v>212</v>
      </c>
      <c r="V1" t="s">
        <v>66</v>
      </c>
      <c r="W1" t="s">
        <v>155</v>
      </c>
      <c r="X1" s="8" t="s">
        <v>213</v>
      </c>
      <c r="Y1" t="s">
        <v>69</v>
      </c>
      <c r="Z1" t="s">
        <v>159</v>
      </c>
      <c r="AA1" s="8" t="s">
        <v>214</v>
      </c>
    </row>
    <row r="2" spans="1:27" x14ac:dyDescent="0.45">
      <c r="A2">
        <v>2</v>
      </c>
      <c r="B2" s="36">
        <v>1</v>
      </c>
      <c r="C2" s="32">
        <f>ABS(B2-A2)</f>
        <v>1</v>
      </c>
      <c r="D2">
        <v>2</v>
      </c>
      <c r="E2" s="36">
        <v>1</v>
      </c>
      <c r="F2" s="32">
        <f>ABS(E2-D2)</f>
        <v>1</v>
      </c>
      <c r="G2">
        <v>5</v>
      </c>
      <c r="H2" s="36">
        <v>1</v>
      </c>
      <c r="I2" s="32">
        <f>ABS(H2-G2)</f>
        <v>4</v>
      </c>
      <c r="J2">
        <v>6</v>
      </c>
      <c r="K2" s="36">
        <v>1</v>
      </c>
      <c r="L2" s="32">
        <f>ABS(K2-J2)</f>
        <v>5</v>
      </c>
      <c r="M2">
        <v>0</v>
      </c>
      <c r="N2" s="36">
        <v>1</v>
      </c>
      <c r="O2" s="32">
        <f>ABS(N2-M2)</f>
        <v>1</v>
      </c>
      <c r="P2">
        <v>0</v>
      </c>
      <c r="Q2" s="36">
        <v>1</v>
      </c>
      <c r="R2" s="32">
        <f>ABS(Q2-P2)</f>
        <v>1</v>
      </c>
      <c r="S2">
        <v>0</v>
      </c>
      <c r="T2" s="36">
        <v>1</v>
      </c>
      <c r="U2" s="32">
        <f>ABS(T2-S2)</f>
        <v>1</v>
      </c>
      <c r="V2">
        <v>0</v>
      </c>
      <c r="W2" s="36">
        <v>1</v>
      </c>
      <c r="X2" s="32">
        <f>ABS(W2-V2)</f>
        <v>1</v>
      </c>
      <c r="Y2">
        <v>0</v>
      </c>
      <c r="Z2" s="36">
        <v>1</v>
      </c>
      <c r="AA2" s="32">
        <f>ABS(Z2-Y2)</f>
        <v>1</v>
      </c>
    </row>
    <row r="3" spans="1:27" x14ac:dyDescent="0.45">
      <c r="A3">
        <v>3</v>
      </c>
      <c r="B3" s="36">
        <v>1</v>
      </c>
      <c r="C3" s="32">
        <f t="shared" ref="C3:C66" si="0">ABS(B3-A3)</f>
        <v>2</v>
      </c>
      <c r="D3">
        <v>3</v>
      </c>
      <c r="E3" s="36">
        <v>1</v>
      </c>
      <c r="F3" s="32">
        <f t="shared" ref="F3:F66" si="1">ABS(E3-D3)</f>
        <v>2</v>
      </c>
      <c r="G3">
        <v>5</v>
      </c>
      <c r="H3" s="36">
        <v>1</v>
      </c>
      <c r="I3" s="32">
        <f t="shared" ref="I3:I66" si="2">ABS(H3-G3)</f>
        <v>4</v>
      </c>
      <c r="J3">
        <v>7</v>
      </c>
      <c r="K3" s="36">
        <v>1</v>
      </c>
      <c r="L3" s="32">
        <f t="shared" ref="L3:L66" si="3">ABS(K3-J3)</f>
        <v>6</v>
      </c>
      <c r="M3">
        <v>0</v>
      </c>
      <c r="N3" s="36">
        <v>1</v>
      </c>
      <c r="O3" s="32">
        <f t="shared" ref="O3:O66" si="4">ABS(N3-M3)</f>
        <v>1</v>
      </c>
      <c r="P3">
        <v>0</v>
      </c>
      <c r="Q3" s="36">
        <v>1</v>
      </c>
      <c r="R3" s="32">
        <f t="shared" ref="R3:R66" si="5">ABS(Q3-P3)</f>
        <v>1</v>
      </c>
      <c r="S3">
        <v>0</v>
      </c>
      <c r="T3" s="36">
        <v>1</v>
      </c>
      <c r="U3" s="32">
        <f t="shared" ref="U3:U66" si="6">ABS(T3-S3)</f>
        <v>1</v>
      </c>
      <c r="V3">
        <v>0</v>
      </c>
      <c r="W3" s="36">
        <v>1</v>
      </c>
      <c r="X3" s="32">
        <f t="shared" ref="X3:X66" si="7">ABS(W3-V3)</f>
        <v>1</v>
      </c>
      <c r="Y3">
        <v>0</v>
      </c>
      <c r="Z3" s="36">
        <v>1</v>
      </c>
      <c r="AA3" s="32">
        <f t="shared" ref="AA3:AA66" si="8">ABS(Z3-Y3)</f>
        <v>1</v>
      </c>
    </row>
    <row r="4" spans="1:27" x14ac:dyDescent="0.45">
      <c r="A4">
        <v>4</v>
      </c>
      <c r="B4" s="36">
        <v>1</v>
      </c>
      <c r="C4" s="32">
        <f t="shared" si="0"/>
        <v>3</v>
      </c>
      <c r="D4">
        <v>3</v>
      </c>
      <c r="E4" s="36">
        <v>1</v>
      </c>
      <c r="F4" s="32">
        <f t="shared" si="1"/>
        <v>2</v>
      </c>
      <c r="G4">
        <v>5</v>
      </c>
      <c r="H4" s="36">
        <v>1</v>
      </c>
      <c r="I4" s="32">
        <f t="shared" si="2"/>
        <v>4</v>
      </c>
      <c r="J4">
        <v>7</v>
      </c>
      <c r="K4" s="36">
        <v>1</v>
      </c>
      <c r="L4" s="32">
        <f t="shared" si="3"/>
        <v>6</v>
      </c>
      <c r="M4">
        <v>4</v>
      </c>
      <c r="N4" s="36">
        <v>1</v>
      </c>
      <c r="O4" s="32">
        <f t="shared" si="4"/>
        <v>3</v>
      </c>
      <c r="P4">
        <v>0</v>
      </c>
      <c r="Q4" s="36">
        <v>1</v>
      </c>
      <c r="R4" s="32">
        <f t="shared" si="5"/>
        <v>1</v>
      </c>
      <c r="S4">
        <v>0</v>
      </c>
      <c r="T4" s="36">
        <v>1</v>
      </c>
      <c r="U4" s="32">
        <f t="shared" si="6"/>
        <v>1</v>
      </c>
      <c r="V4">
        <v>0</v>
      </c>
      <c r="W4" s="36">
        <v>1</v>
      </c>
      <c r="X4" s="32">
        <f t="shared" si="7"/>
        <v>1</v>
      </c>
      <c r="Y4">
        <v>0</v>
      </c>
      <c r="Z4" s="36">
        <v>1</v>
      </c>
      <c r="AA4" s="32">
        <f t="shared" si="8"/>
        <v>1</v>
      </c>
    </row>
    <row r="5" spans="1:27" x14ac:dyDescent="0.45">
      <c r="A5">
        <v>4</v>
      </c>
      <c r="B5" s="36">
        <v>1</v>
      </c>
      <c r="C5" s="32">
        <f t="shared" si="0"/>
        <v>3</v>
      </c>
      <c r="D5">
        <v>5</v>
      </c>
      <c r="E5" s="36">
        <v>1</v>
      </c>
      <c r="F5" s="32">
        <f t="shared" si="1"/>
        <v>4</v>
      </c>
      <c r="G5">
        <v>5</v>
      </c>
      <c r="H5" s="36">
        <v>1</v>
      </c>
      <c r="I5" s="32">
        <f t="shared" si="2"/>
        <v>4</v>
      </c>
      <c r="J5">
        <v>7</v>
      </c>
      <c r="K5" s="36">
        <v>1</v>
      </c>
      <c r="L5" s="32">
        <f t="shared" si="3"/>
        <v>6</v>
      </c>
      <c r="M5">
        <v>5</v>
      </c>
      <c r="N5" s="36">
        <v>1</v>
      </c>
      <c r="O5" s="32">
        <f t="shared" si="4"/>
        <v>4</v>
      </c>
      <c r="P5">
        <v>5</v>
      </c>
      <c r="Q5" s="36">
        <v>1</v>
      </c>
      <c r="R5" s="32">
        <f t="shared" si="5"/>
        <v>4</v>
      </c>
      <c r="S5">
        <v>5</v>
      </c>
      <c r="T5" s="36">
        <v>1</v>
      </c>
      <c r="U5" s="32">
        <f t="shared" si="6"/>
        <v>4</v>
      </c>
      <c r="V5">
        <v>5</v>
      </c>
      <c r="W5" s="36">
        <v>1</v>
      </c>
      <c r="X5" s="32">
        <f t="shared" si="7"/>
        <v>4</v>
      </c>
      <c r="Y5">
        <v>6</v>
      </c>
      <c r="Z5" s="36">
        <v>1</v>
      </c>
      <c r="AA5" s="32">
        <f t="shared" si="8"/>
        <v>5</v>
      </c>
    </row>
    <row r="6" spans="1:27" x14ac:dyDescent="0.45">
      <c r="A6">
        <v>5</v>
      </c>
      <c r="B6" s="36">
        <v>1</v>
      </c>
      <c r="C6" s="32">
        <f t="shared" si="0"/>
        <v>4</v>
      </c>
      <c r="D6">
        <v>5</v>
      </c>
      <c r="E6" s="36">
        <v>1</v>
      </c>
      <c r="F6" s="32">
        <f t="shared" si="1"/>
        <v>4</v>
      </c>
      <c r="G6">
        <v>6</v>
      </c>
      <c r="H6" s="36">
        <v>1</v>
      </c>
      <c r="I6" s="32">
        <f t="shared" si="2"/>
        <v>5</v>
      </c>
      <c r="J6">
        <v>7</v>
      </c>
      <c r="K6" s="36">
        <v>1</v>
      </c>
      <c r="L6" s="32">
        <f t="shared" si="3"/>
        <v>6</v>
      </c>
      <c r="M6">
        <v>5</v>
      </c>
      <c r="N6" s="36">
        <v>1</v>
      </c>
      <c r="O6" s="32">
        <f t="shared" si="4"/>
        <v>4</v>
      </c>
      <c r="P6">
        <v>6</v>
      </c>
      <c r="Q6" s="36">
        <v>1</v>
      </c>
      <c r="R6" s="32">
        <f t="shared" si="5"/>
        <v>5</v>
      </c>
      <c r="S6">
        <v>5</v>
      </c>
      <c r="T6" s="36">
        <v>1</v>
      </c>
      <c r="U6" s="32">
        <f t="shared" si="6"/>
        <v>4</v>
      </c>
      <c r="V6">
        <v>5</v>
      </c>
      <c r="W6" s="36">
        <v>1</v>
      </c>
      <c r="X6" s="32">
        <f t="shared" si="7"/>
        <v>4</v>
      </c>
      <c r="Y6">
        <v>6</v>
      </c>
      <c r="Z6" s="36">
        <v>1</v>
      </c>
      <c r="AA6" s="32">
        <f t="shared" si="8"/>
        <v>5</v>
      </c>
    </row>
    <row r="7" spans="1:27" x14ac:dyDescent="0.45">
      <c r="A7">
        <v>5</v>
      </c>
      <c r="B7" s="36">
        <v>1</v>
      </c>
      <c r="C7" s="32">
        <f t="shared" si="0"/>
        <v>4</v>
      </c>
      <c r="D7">
        <v>5</v>
      </c>
      <c r="E7" s="36">
        <v>1</v>
      </c>
      <c r="F7" s="32">
        <f t="shared" si="1"/>
        <v>4</v>
      </c>
      <c r="G7">
        <v>6</v>
      </c>
      <c r="H7" s="36">
        <v>1</v>
      </c>
      <c r="I7" s="32">
        <f t="shared" si="2"/>
        <v>5</v>
      </c>
      <c r="J7">
        <v>7</v>
      </c>
      <c r="K7" s="36">
        <v>1</v>
      </c>
      <c r="L7" s="32">
        <f t="shared" si="3"/>
        <v>6</v>
      </c>
      <c r="M7">
        <v>5</v>
      </c>
      <c r="N7" s="36">
        <v>1</v>
      </c>
      <c r="O7" s="32">
        <f t="shared" si="4"/>
        <v>4</v>
      </c>
      <c r="P7">
        <v>6</v>
      </c>
      <c r="Q7" s="36">
        <v>1</v>
      </c>
      <c r="R7" s="32">
        <f t="shared" si="5"/>
        <v>5</v>
      </c>
      <c r="S7">
        <v>6</v>
      </c>
      <c r="T7" s="36">
        <v>1</v>
      </c>
      <c r="U7" s="32">
        <f t="shared" si="6"/>
        <v>5</v>
      </c>
      <c r="V7">
        <v>5</v>
      </c>
      <c r="W7" s="36">
        <v>1</v>
      </c>
      <c r="X7" s="32">
        <f t="shared" si="7"/>
        <v>4</v>
      </c>
      <c r="Y7">
        <v>6</v>
      </c>
      <c r="Z7" s="36">
        <v>1</v>
      </c>
      <c r="AA7" s="32">
        <f t="shared" si="8"/>
        <v>5</v>
      </c>
    </row>
    <row r="8" spans="1:27" x14ac:dyDescent="0.45">
      <c r="A8">
        <v>5</v>
      </c>
      <c r="B8" s="36">
        <v>1</v>
      </c>
      <c r="C8" s="32">
        <f t="shared" si="0"/>
        <v>4</v>
      </c>
      <c r="D8">
        <v>5</v>
      </c>
      <c r="E8" s="36">
        <v>1</v>
      </c>
      <c r="F8" s="32">
        <f t="shared" si="1"/>
        <v>4</v>
      </c>
      <c r="G8">
        <v>6</v>
      </c>
      <c r="H8" s="36">
        <v>1</v>
      </c>
      <c r="I8" s="32">
        <f t="shared" si="2"/>
        <v>5</v>
      </c>
      <c r="J8">
        <v>7</v>
      </c>
      <c r="K8" s="36">
        <v>2</v>
      </c>
      <c r="L8" s="32">
        <f t="shared" si="3"/>
        <v>5</v>
      </c>
      <c r="M8">
        <v>6</v>
      </c>
      <c r="N8" s="36">
        <v>1</v>
      </c>
      <c r="O8" s="32">
        <f t="shared" si="4"/>
        <v>5</v>
      </c>
      <c r="P8">
        <v>7</v>
      </c>
      <c r="Q8" s="36">
        <v>1</v>
      </c>
      <c r="R8" s="32">
        <f t="shared" si="5"/>
        <v>6</v>
      </c>
      <c r="S8">
        <v>6</v>
      </c>
      <c r="T8" s="36">
        <v>1</v>
      </c>
      <c r="U8" s="32">
        <f t="shared" si="6"/>
        <v>5</v>
      </c>
      <c r="V8">
        <v>5</v>
      </c>
      <c r="W8" s="36">
        <v>1</v>
      </c>
      <c r="X8" s="32">
        <f t="shared" si="7"/>
        <v>4</v>
      </c>
      <c r="Y8">
        <v>7</v>
      </c>
      <c r="Z8" s="36">
        <v>1</v>
      </c>
      <c r="AA8" s="32">
        <f t="shared" si="8"/>
        <v>6</v>
      </c>
    </row>
    <row r="9" spans="1:27" x14ac:dyDescent="0.45">
      <c r="A9">
        <v>5</v>
      </c>
      <c r="B9" s="36">
        <v>1</v>
      </c>
      <c r="C9" s="32">
        <f t="shared" si="0"/>
        <v>4</v>
      </c>
      <c r="D9">
        <v>5</v>
      </c>
      <c r="E9" s="36">
        <v>1</v>
      </c>
      <c r="F9" s="32">
        <f t="shared" si="1"/>
        <v>4</v>
      </c>
      <c r="G9">
        <v>6</v>
      </c>
      <c r="H9" s="36">
        <v>1</v>
      </c>
      <c r="I9" s="32">
        <f t="shared" si="2"/>
        <v>5</v>
      </c>
      <c r="J9">
        <v>7</v>
      </c>
      <c r="K9" s="36">
        <v>2</v>
      </c>
      <c r="L9" s="32">
        <f t="shared" si="3"/>
        <v>5</v>
      </c>
      <c r="M9">
        <v>6</v>
      </c>
      <c r="N9" s="36">
        <v>1</v>
      </c>
      <c r="O9" s="32">
        <f t="shared" si="4"/>
        <v>5</v>
      </c>
      <c r="P9">
        <v>7</v>
      </c>
      <c r="Q9" s="36">
        <v>1</v>
      </c>
      <c r="R9" s="32">
        <f t="shared" si="5"/>
        <v>6</v>
      </c>
      <c r="S9">
        <v>6</v>
      </c>
      <c r="T9" s="36">
        <v>1</v>
      </c>
      <c r="U9" s="32">
        <f t="shared" si="6"/>
        <v>5</v>
      </c>
      <c r="V9">
        <v>5</v>
      </c>
      <c r="W9" s="36">
        <v>1</v>
      </c>
      <c r="X9" s="32">
        <f t="shared" si="7"/>
        <v>4</v>
      </c>
      <c r="Y9">
        <v>7</v>
      </c>
      <c r="Z9" s="36">
        <v>1</v>
      </c>
      <c r="AA9" s="32">
        <f t="shared" si="8"/>
        <v>6</v>
      </c>
    </row>
    <row r="10" spans="1:27" x14ac:dyDescent="0.45">
      <c r="A10">
        <v>5</v>
      </c>
      <c r="B10" s="36">
        <v>1</v>
      </c>
      <c r="C10" s="32">
        <f t="shared" si="0"/>
        <v>4</v>
      </c>
      <c r="D10">
        <v>5</v>
      </c>
      <c r="E10" s="36">
        <v>1</v>
      </c>
      <c r="F10" s="32">
        <f t="shared" si="1"/>
        <v>4</v>
      </c>
      <c r="G10">
        <v>6</v>
      </c>
      <c r="H10" s="36">
        <v>1</v>
      </c>
      <c r="I10" s="32">
        <f t="shared" si="2"/>
        <v>5</v>
      </c>
      <c r="J10">
        <v>7</v>
      </c>
      <c r="K10" s="36">
        <v>2</v>
      </c>
      <c r="L10" s="32">
        <f t="shared" si="3"/>
        <v>5</v>
      </c>
      <c r="M10">
        <v>6</v>
      </c>
      <c r="N10" s="36">
        <v>1</v>
      </c>
      <c r="O10" s="32">
        <f t="shared" si="4"/>
        <v>5</v>
      </c>
      <c r="P10">
        <v>7</v>
      </c>
      <c r="Q10" s="36">
        <v>1</v>
      </c>
      <c r="R10" s="32">
        <f t="shared" si="5"/>
        <v>6</v>
      </c>
      <c r="S10">
        <v>6</v>
      </c>
      <c r="T10" s="36">
        <v>1</v>
      </c>
      <c r="U10" s="32">
        <f t="shared" si="6"/>
        <v>5</v>
      </c>
      <c r="V10">
        <v>5</v>
      </c>
      <c r="W10" s="36">
        <v>1</v>
      </c>
      <c r="X10" s="32">
        <f t="shared" si="7"/>
        <v>4</v>
      </c>
      <c r="Y10">
        <v>7</v>
      </c>
      <c r="Z10" s="36">
        <v>1</v>
      </c>
      <c r="AA10" s="32">
        <f t="shared" si="8"/>
        <v>6</v>
      </c>
    </row>
    <row r="11" spans="1:27" x14ac:dyDescent="0.45">
      <c r="A11">
        <v>5</v>
      </c>
      <c r="B11" s="36">
        <v>1</v>
      </c>
      <c r="C11" s="32">
        <f t="shared" si="0"/>
        <v>4</v>
      </c>
      <c r="D11">
        <v>5</v>
      </c>
      <c r="E11" s="36">
        <v>1</v>
      </c>
      <c r="F11" s="32">
        <f t="shared" si="1"/>
        <v>4</v>
      </c>
      <c r="G11">
        <v>6</v>
      </c>
      <c r="H11" s="36">
        <v>1</v>
      </c>
      <c r="I11" s="32">
        <f t="shared" si="2"/>
        <v>5</v>
      </c>
      <c r="J11">
        <v>7</v>
      </c>
      <c r="K11" s="36">
        <v>2</v>
      </c>
      <c r="L11" s="32">
        <f t="shared" si="3"/>
        <v>5</v>
      </c>
      <c r="M11">
        <v>6</v>
      </c>
      <c r="N11" s="36">
        <v>1</v>
      </c>
      <c r="O11" s="32">
        <f t="shared" si="4"/>
        <v>5</v>
      </c>
      <c r="P11">
        <v>7</v>
      </c>
      <c r="Q11" s="36">
        <v>1</v>
      </c>
      <c r="R11" s="32">
        <f t="shared" si="5"/>
        <v>6</v>
      </c>
      <c r="S11">
        <v>6</v>
      </c>
      <c r="T11" s="36">
        <v>1</v>
      </c>
      <c r="U11" s="32">
        <f t="shared" si="6"/>
        <v>5</v>
      </c>
      <c r="V11">
        <v>6</v>
      </c>
      <c r="W11" s="36">
        <v>1</v>
      </c>
      <c r="X11" s="32">
        <f t="shared" si="7"/>
        <v>5</v>
      </c>
      <c r="Y11">
        <v>7</v>
      </c>
      <c r="Z11" s="36">
        <v>1</v>
      </c>
      <c r="AA11" s="32">
        <f t="shared" si="8"/>
        <v>6</v>
      </c>
    </row>
    <row r="12" spans="1:27" x14ac:dyDescent="0.45">
      <c r="A12">
        <v>5</v>
      </c>
      <c r="B12" s="36">
        <v>1</v>
      </c>
      <c r="C12" s="32">
        <f t="shared" si="0"/>
        <v>4</v>
      </c>
      <c r="D12">
        <v>5</v>
      </c>
      <c r="E12" s="36">
        <v>1</v>
      </c>
      <c r="F12" s="32">
        <f t="shared" si="1"/>
        <v>4</v>
      </c>
      <c r="G12">
        <v>6</v>
      </c>
      <c r="H12" s="36">
        <v>1</v>
      </c>
      <c r="I12" s="32">
        <f t="shared" si="2"/>
        <v>5</v>
      </c>
      <c r="J12">
        <v>7</v>
      </c>
      <c r="K12" s="36">
        <v>2</v>
      </c>
      <c r="L12" s="32">
        <f t="shared" si="3"/>
        <v>5</v>
      </c>
      <c r="M12">
        <v>6</v>
      </c>
      <c r="N12" s="36">
        <v>1</v>
      </c>
      <c r="O12" s="32">
        <f t="shared" si="4"/>
        <v>5</v>
      </c>
      <c r="P12">
        <v>7</v>
      </c>
      <c r="Q12" s="36">
        <v>1</v>
      </c>
      <c r="R12" s="32">
        <f t="shared" si="5"/>
        <v>6</v>
      </c>
      <c r="S12">
        <v>6</v>
      </c>
      <c r="T12" s="36">
        <v>1</v>
      </c>
      <c r="U12" s="32">
        <f t="shared" si="6"/>
        <v>5</v>
      </c>
      <c r="V12">
        <v>6</v>
      </c>
      <c r="W12" s="36">
        <v>1</v>
      </c>
      <c r="X12" s="32">
        <f t="shared" si="7"/>
        <v>5</v>
      </c>
      <c r="Y12">
        <v>7</v>
      </c>
      <c r="Z12" s="36">
        <v>1</v>
      </c>
      <c r="AA12" s="32">
        <f t="shared" si="8"/>
        <v>6</v>
      </c>
    </row>
    <row r="13" spans="1:27" x14ac:dyDescent="0.45">
      <c r="A13">
        <v>5</v>
      </c>
      <c r="B13" s="36">
        <v>2</v>
      </c>
      <c r="C13" s="32">
        <f t="shared" si="0"/>
        <v>3</v>
      </c>
      <c r="D13">
        <v>6</v>
      </c>
      <c r="E13" s="36">
        <v>1</v>
      </c>
      <c r="F13" s="32">
        <f t="shared" si="1"/>
        <v>5</v>
      </c>
      <c r="G13">
        <v>6</v>
      </c>
      <c r="H13" s="36">
        <v>1</v>
      </c>
      <c r="I13" s="32">
        <f t="shared" si="2"/>
        <v>5</v>
      </c>
      <c r="J13">
        <v>8</v>
      </c>
      <c r="K13" s="36">
        <v>3</v>
      </c>
      <c r="L13" s="32">
        <f t="shared" si="3"/>
        <v>5</v>
      </c>
      <c r="M13">
        <v>6</v>
      </c>
      <c r="N13" s="36">
        <v>1</v>
      </c>
      <c r="O13" s="32">
        <f t="shared" si="4"/>
        <v>5</v>
      </c>
      <c r="P13">
        <v>7</v>
      </c>
      <c r="Q13" s="36">
        <v>1</v>
      </c>
      <c r="R13" s="32">
        <f t="shared" si="5"/>
        <v>6</v>
      </c>
      <c r="S13">
        <v>6</v>
      </c>
      <c r="T13" s="36">
        <v>1</v>
      </c>
      <c r="U13" s="32">
        <f t="shared" si="6"/>
        <v>5</v>
      </c>
      <c r="V13">
        <v>6</v>
      </c>
      <c r="W13" s="36">
        <v>1</v>
      </c>
      <c r="X13" s="32">
        <f t="shared" si="7"/>
        <v>5</v>
      </c>
      <c r="Y13">
        <v>7</v>
      </c>
      <c r="Z13" s="36">
        <v>1</v>
      </c>
      <c r="AA13" s="32">
        <f t="shared" si="8"/>
        <v>6</v>
      </c>
    </row>
    <row r="14" spans="1:27" x14ac:dyDescent="0.45">
      <c r="A14">
        <v>5</v>
      </c>
      <c r="B14" s="36">
        <v>2</v>
      </c>
      <c r="C14" s="32">
        <f t="shared" si="0"/>
        <v>3</v>
      </c>
      <c r="D14">
        <v>6</v>
      </c>
      <c r="E14" s="36">
        <v>1</v>
      </c>
      <c r="F14" s="32">
        <f t="shared" si="1"/>
        <v>5</v>
      </c>
      <c r="G14">
        <v>6</v>
      </c>
      <c r="H14" s="36">
        <v>1</v>
      </c>
      <c r="I14" s="32">
        <f t="shared" si="2"/>
        <v>5</v>
      </c>
      <c r="J14">
        <v>8</v>
      </c>
      <c r="K14" s="36">
        <v>4</v>
      </c>
      <c r="L14" s="32">
        <f t="shared" si="3"/>
        <v>4</v>
      </c>
      <c r="M14">
        <v>6</v>
      </c>
      <c r="N14" s="36">
        <v>1</v>
      </c>
      <c r="O14" s="32">
        <f t="shared" si="4"/>
        <v>5</v>
      </c>
      <c r="P14">
        <v>7</v>
      </c>
      <c r="Q14" s="36">
        <v>1</v>
      </c>
      <c r="R14" s="32">
        <f t="shared" si="5"/>
        <v>6</v>
      </c>
      <c r="S14">
        <v>6</v>
      </c>
      <c r="T14" s="36">
        <v>1</v>
      </c>
      <c r="U14" s="32">
        <f t="shared" si="6"/>
        <v>5</v>
      </c>
      <c r="V14">
        <v>6</v>
      </c>
      <c r="W14" s="36">
        <v>1</v>
      </c>
      <c r="X14" s="32">
        <f t="shared" si="7"/>
        <v>5</v>
      </c>
      <c r="Y14">
        <v>7</v>
      </c>
      <c r="Z14" s="36">
        <v>1</v>
      </c>
      <c r="AA14" s="32">
        <f t="shared" si="8"/>
        <v>6</v>
      </c>
    </row>
    <row r="15" spans="1:27" x14ac:dyDescent="0.45">
      <c r="A15">
        <v>5</v>
      </c>
      <c r="B15" s="36">
        <v>2</v>
      </c>
      <c r="C15" s="32">
        <f t="shared" si="0"/>
        <v>3</v>
      </c>
      <c r="D15">
        <v>6</v>
      </c>
      <c r="E15" s="36">
        <v>1</v>
      </c>
      <c r="F15" s="32">
        <f t="shared" si="1"/>
        <v>5</v>
      </c>
      <c r="G15">
        <v>6</v>
      </c>
      <c r="H15" s="36">
        <v>1</v>
      </c>
      <c r="I15" s="32">
        <f t="shared" si="2"/>
        <v>5</v>
      </c>
      <c r="J15">
        <v>8</v>
      </c>
      <c r="K15" s="36">
        <v>4</v>
      </c>
      <c r="L15" s="32">
        <f t="shared" si="3"/>
        <v>4</v>
      </c>
      <c r="M15">
        <v>6</v>
      </c>
      <c r="N15" s="36">
        <v>1</v>
      </c>
      <c r="O15" s="32">
        <f t="shared" si="4"/>
        <v>5</v>
      </c>
      <c r="P15">
        <v>7</v>
      </c>
      <c r="Q15" s="36">
        <v>1</v>
      </c>
      <c r="R15" s="32">
        <f t="shared" si="5"/>
        <v>6</v>
      </c>
      <c r="S15">
        <v>6</v>
      </c>
      <c r="T15" s="36">
        <v>1</v>
      </c>
      <c r="U15" s="32">
        <f t="shared" si="6"/>
        <v>5</v>
      </c>
      <c r="V15">
        <v>6</v>
      </c>
      <c r="W15" s="36">
        <v>1</v>
      </c>
      <c r="X15" s="32">
        <f t="shared" si="7"/>
        <v>5</v>
      </c>
      <c r="Y15">
        <v>7</v>
      </c>
      <c r="Z15" s="36">
        <v>2</v>
      </c>
      <c r="AA15" s="32">
        <f t="shared" si="8"/>
        <v>5</v>
      </c>
    </row>
    <row r="16" spans="1:27" x14ac:dyDescent="0.45">
      <c r="A16">
        <v>5</v>
      </c>
      <c r="B16" s="36">
        <v>2</v>
      </c>
      <c r="C16" s="32">
        <f t="shared" si="0"/>
        <v>3</v>
      </c>
      <c r="D16">
        <v>6</v>
      </c>
      <c r="E16" s="36">
        <v>2</v>
      </c>
      <c r="F16" s="32">
        <f t="shared" si="1"/>
        <v>4</v>
      </c>
      <c r="G16">
        <v>6</v>
      </c>
      <c r="H16" s="36">
        <v>1</v>
      </c>
      <c r="I16" s="32">
        <f t="shared" si="2"/>
        <v>5</v>
      </c>
      <c r="J16">
        <v>8</v>
      </c>
      <c r="K16" s="36">
        <v>4</v>
      </c>
      <c r="L16" s="32">
        <f t="shared" si="3"/>
        <v>4</v>
      </c>
      <c r="M16">
        <v>6</v>
      </c>
      <c r="N16" s="36">
        <v>1</v>
      </c>
      <c r="O16" s="32">
        <f t="shared" si="4"/>
        <v>5</v>
      </c>
      <c r="P16">
        <v>7</v>
      </c>
      <c r="Q16" s="36">
        <v>1</v>
      </c>
      <c r="R16" s="32">
        <f t="shared" si="5"/>
        <v>6</v>
      </c>
      <c r="S16">
        <v>6</v>
      </c>
      <c r="T16" s="36">
        <v>1</v>
      </c>
      <c r="U16" s="32">
        <f t="shared" si="6"/>
        <v>5</v>
      </c>
      <c r="V16">
        <v>6</v>
      </c>
      <c r="W16" s="36">
        <v>2</v>
      </c>
      <c r="X16" s="32">
        <f t="shared" si="7"/>
        <v>4</v>
      </c>
      <c r="Y16">
        <v>7</v>
      </c>
      <c r="Z16" s="36">
        <v>2</v>
      </c>
      <c r="AA16" s="32">
        <f t="shared" si="8"/>
        <v>5</v>
      </c>
    </row>
    <row r="17" spans="1:27" x14ac:dyDescent="0.45">
      <c r="A17">
        <v>5</v>
      </c>
      <c r="B17" s="36">
        <v>2</v>
      </c>
      <c r="C17" s="32">
        <f t="shared" si="0"/>
        <v>3</v>
      </c>
      <c r="D17">
        <v>6</v>
      </c>
      <c r="E17" s="36">
        <v>2</v>
      </c>
      <c r="F17" s="32">
        <f t="shared" si="1"/>
        <v>4</v>
      </c>
      <c r="G17">
        <v>6</v>
      </c>
      <c r="H17" s="36">
        <v>1</v>
      </c>
      <c r="I17" s="32">
        <f t="shared" si="2"/>
        <v>5</v>
      </c>
      <c r="J17">
        <v>8</v>
      </c>
      <c r="K17" s="36">
        <v>4</v>
      </c>
      <c r="L17" s="32">
        <f t="shared" si="3"/>
        <v>4</v>
      </c>
      <c r="M17">
        <v>6</v>
      </c>
      <c r="N17" s="36">
        <v>1</v>
      </c>
      <c r="O17" s="32">
        <f t="shared" si="4"/>
        <v>5</v>
      </c>
      <c r="P17">
        <v>7</v>
      </c>
      <c r="Q17" s="36">
        <v>1</v>
      </c>
      <c r="R17" s="32">
        <f t="shared" si="5"/>
        <v>6</v>
      </c>
      <c r="S17">
        <v>6</v>
      </c>
      <c r="T17" s="36">
        <v>1</v>
      </c>
      <c r="U17" s="32">
        <f t="shared" si="6"/>
        <v>5</v>
      </c>
      <c r="V17">
        <v>6</v>
      </c>
      <c r="W17" s="36">
        <v>2</v>
      </c>
      <c r="X17" s="32">
        <f t="shared" si="7"/>
        <v>4</v>
      </c>
      <c r="Y17">
        <v>7</v>
      </c>
      <c r="Z17" s="36">
        <v>2</v>
      </c>
      <c r="AA17" s="32">
        <f t="shared" si="8"/>
        <v>5</v>
      </c>
    </row>
    <row r="18" spans="1:27" x14ac:dyDescent="0.45">
      <c r="A18">
        <v>6</v>
      </c>
      <c r="B18" s="36">
        <v>2</v>
      </c>
      <c r="C18" s="32">
        <f t="shared" si="0"/>
        <v>4</v>
      </c>
      <c r="D18">
        <v>6</v>
      </c>
      <c r="E18" s="36">
        <v>2</v>
      </c>
      <c r="F18" s="32">
        <f t="shared" si="1"/>
        <v>4</v>
      </c>
      <c r="G18">
        <v>6</v>
      </c>
      <c r="H18" s="36">
        <v>1</v>
      </c>
      <c r="I18" s="32">
        <f t="shared" si="2"/>
        <v>5</v>
      </c>
      <c r="J18">
        <v>8</v>
      </c>
      <c r="K18" s="36">
        <v>4</v>
      </c>
      <c r="L18" s="32">
        <f t="shared" si="3"/>
        <v>4</v>
      </c>
      <c r="M18">
        <v>6</v>
      </c>
      <c r="N18" s="36">
        <v>1</v>
      </c>
      <c r="O18" s="32">
        <f t="shared" si="4"/>
        <v>5</v>
      </c>
      <c r="P18">
        <v>7</v>
      </c>
      <c r="Q18" s="36">
        <v>1</v>
      </c>
      <c r="R18" s="32">
        <f t="shared" si="5"/>
        <v>6</v>
      </c>
      <c r="S18">
        <v>6</v>
      </c>
      <c r="T18" s="36">
        <v>1</v>
      </c>
      <c r="U18" s="32">
        <f t="shared" si="6"/>
        <v>5</v>
      </c>
      <c r="V18">
        <v>6</v>
      </c>
      <c r="W18" s="36">
        <v>3</v>
      </c>
      <c r="X18" s="32">
        <f t="shared" si="7"/>
        <v>3</v>
      </c>
      <c r="Y18">
        <v>7</v>
      </c>
      <c r="Z18" s="36">
        <v>3</v>
      </c>
      <c r="AA18" s="32">
        <f t="shared" si="8"/>
        <v>4</v>
      </c>
    </row>
    <row r="19" spans="1:27" x14ac:dyDescent="0.45">
      <c r="A19">
        <v>6</v>
      </c>
      <c r="B19" s="36">
        <v>2</v>
      </c>
      <c r="C19" s="32">
        <f t="shared" si="0"/>
        <v>4</v>
      </c>
      <c r="D19">
        <v>6</v>
      </c>
      <c r="E19" s="36">
        <v>2</v>
      </c>
      <c r="F19" s="32">
        <f t="shared" si="1"/>
        <v>4</v>
      </c>
      <c r="G19">
        <v>6</v>
      </c>
      <c r="H19" s="36">
        <v>1</v>
      </c>
      <c r="I19" s="32">
        <f t="shared" si="2"/>
        <v>5</v>
      </c>
      <c r="J19">
        <v>8</v>
      </c>
      <c r="K19" s="36">
        <v>4</v>
      </c>
      <c r="L19" s="32">
        <f t="shared" si="3"/>
        <v>4</v>
      </c>
      <c r="M19">
        <v>6</v>
      </c>
      <c r="N19" s="36">
        <v>1</v>
      </c>
      <c r="O19" s="32">
        <f t="shared" si="4"/>
        <v>5</v>
      </c>
      <c r="P19">
        <v>8</v>
      </c>
      <c r="Q19" s="36">
        <v>1</v>
      </c>
      <c r="R19" s="32">
        <f t="shared" si="5"/>
        <v>7</v>
      </c>
      <c r="S19">
        <v>6</v>
      </c>
      <c r="T19" s="36">
        <v>1</v>
      </c>
      <c r="U19" s="32">
        <f t="shared" si="6"/>
        <v>5</v>
      </c>
      <c r="V19">
        <v>6</v>
      </c>
      <c r="W19" s="36">
        <v>3</v>
      </c>
      <c r="X19" s="32">
        <f t="shared" si="7"/>
        <v>3</v>
      </c>
      <c r="Y19">
        <v>7</v>
      </c>
      <c r="Z19" s="36">
        <v>3</v>
      </c>
      <c r="AA19" s="32">
        <f t="shared" si="8"/>
        <v>4</v>
      </c>
    </row>
    <row r="20" spans="1:27" x14ac:dyDescent="0.45">
      <c r="A20">
        <v>6</v>
      </c>
      <c r="B20" s="36">
        <v>2</v>
      </c>
      <c r="C20" s="32">
        <f t="shared" si="0"/>
        <v>4</v>
      </c>
      <c r="D20">
        <v>6</v>
      </c>
      <c r="E20" s="36">
        <v>2</v>
      </c>
      <c r="F20" s="32">
        <f t="shared" si="1"/>
        <v>4</v>
      </c>
      <c r="G20">
        <v>6</v>
      </c>
      <c r="H20" s="36">
        <v>1</v>
      </c>
      <c r="I20" s="32">
        <f t="shared" si="2"/>
        <v>5</v>
      </c>
      <c r="J20">
        <v>8</v>
      </c>
      <c r="K20" s="36">
        <v>4</v>
      </c>
      <c r="L20" s="32">
        <f t="shared" si="3"/>
        <v>4</v>
      </c>
      <c r="M20">
        <v>6</v>
      </c>
      <c r="N20" s="36">
        <v>2</v>
      </c>
      <c r="O20" s="32">
        <f t="shared" si="4"/>
        <v>4</v>
      </c>
      <c r="P20">
        <v>8</v>
      </c>
      <c r="Q20" s="36">
        <v>1</v>
      </c>
      <c r="R20" s="32">
        <f t="shared" si="5"/>
        <v>7</v>
      </c>
      <c r="S20">
        <v>6</v>
      </c>
      <c r="T20" s="36">
        <v>1</v>
      </c>
      <c r="U20" s="32">
        <f t="shared" si="6"/>
        <v>5</v>
      </c>
      <c r="V20">
        <v>6</v>
      </c>
      <c r="W20" s="36">
        <v>3</v>
      </c>
      <c r="X20" s="32">
        <f t="shared" si="7"/>
        <v>3</v>
      </c>
      <c r="Y20">
        <v>7</v>
      </c>
      <c r="Z20" s="36">
        <v>3</v>
      </c>
      <c r="AA20" s="32">
        <f t="shared" si="8"/>
        <v>4</v>
      </c>
    </row>
    <row r="21" spans="1:27" x14ac:dyDescent="0.45">
      <c r="A21">
        <v>6</v>
      </c>
      <c r="B21" s="36">
        <v>2</v>
      </c>
      <c r="C21" s="32">
        <f t="shared" si="0"/>
        <v>4</v>
      </c>
      <c r="D21">
        <v>6</v>
      </c>
      <c r="E21" s="36">
        <v>3</v>
      </c>
      <c r="F21" s="32">
        <f t="shared" si="1"/>
        <v>3</v>
      </c>
      <c r="G21">
        <v>6</v>
      </c>
      <c r="H21" s="36">
        <v>1</v>
      </c>
      <c r="I21" s="32">
        <f t="shared" si="2"/>
        <v>5</v>
      </c>
      <c r="J21">
        <v>8</v>
      </c>
      <c r="K21" s="36">
        <v>4</v>
      </c>
      <c r="L21" s="32">
        <f t="shared" si="3"/>
        <v>4</v>
      </c>
      <c r="M21">
        <v>6</v>
      </c>
      <c r="N21" s="36">
        <v>2</v>
      </c>
      <c r="O21" s="32">
        <f t="shared" si="4"/>
        <v>4</v>
      </c>
      <c r="P21">
        <v>8</v>
      </c>
      <c r="Q21" s="36">
        <v>1</v>
      </c>
      <c r="R21" s="32">
        <f t="shared" si="5"/>
        <v>7</v>
      </c>
      <c r="S21">
        <v>6</v>
      </c>
      <c r="T21" s="36">
        <v>1</v>
      </c>
      <c r="U21" s="32">
        <f t="shared" si="6"/>
        <v>5</v>
      </c>
      <c r="V21">
        <v>6</v>
      </c>
      <c r="W21" s="36">
        <v>3</v>
      </c>
      <c r="X21" s="32">
        <f t="shared" si="7"/>
        <v>3</v>
      </c>
      <c r="Y21">
        <v>7</v>
      </c>
      <c r="Z21" s="36">
        <v>3</v>
      </c>
      <c r="AA21" s="32">
        <f t="shared" si="8"/>
        <v>4</v>
      </c>
    </row>
    <row r="22" spans="1:27" x14ac:dyDescent="0.45">
      <c r="A22">
        <v>6</v>
      </c>
      <c r="B22" s="36">
        <v>3</v>
      </c>
      <c r="C22" s="32">
        <f t="shared" si="0"/>
        <v>3</v>
      </c>
      <c r="D22">
        <v>6</v>
      </c>
      <c r="E22" s="36">
        <v>3</v>
      </c>
      <c r="F22" s="32">
        <f t="shared" si="1"/>
        <v>3</v>
      </c>
      <c r="G22">
        <v>6</v>
      </c>
      <c r="H22" s="36">
        <v>1</v>
      </c>
      <c r="I22" s="32">
        <f t="shared" si="2"/>
        <v>5</v>
      </c>
      <c r="J22">
        <v>8</v>
      </c>
      <c r="K22" s="36">
        <v>4</v>
      </c>
      <c r="L22" s="32">
        <f t="shared" si="3"/>
        <v>4</v>
      </c>
      <c r="M22">
        <v>6</v>
      </c>
      <c r="N22" s="36">
        <v>2</v>
      </c>
      <c r="O22" s="32">
        <f t="shared" si="4"/>
        <v>4</v>
      </c>
      <c r="P22">
        <v>8</v>
      </c>
      <c r="Q22" s="36">
        <v>1</v>
      </c>
      <c r="R22" s="32">
        <f t="shared" si="5"/>
        <v>7</v>
      </c>
      <c r="S22">
        <v>6</v>
      </c>
      <c r="T22" s="36">
        <v>1</v>
      </c>
      <c r="U22" s="32">
        <f t="shared" si="6"/>
        <v>5</v>
      </c>
      <c r="V22">
        <v>6</v>
      </c>
      <c r="W22" s="36">
        <v>3</v>
      </c>
      <c r="X22" s="32">
        <f t="shared" si="7"/>
        <v>3</v>
      </c>
      <c r="Y22">
        <v>7</v>
      </c>
      <c r="Z22" s="36">
        <v>3</v>
      </c>
      <c r="AA22" s="32">
        <f t="shared" si="8"/>
        <v>4</v>
      </c>
    </row>
    <row r="23" spans="1:27" x14ac:dyDescent="0.45">
      <c r="A23">
        <v>6</v>
      </c>
      <c r="B23" s="36">
        <v>3</v>
      </c>
      <c r="C23" s="32">
        <f t="shared" si="0"/>
        <v>3</v>
      </c>
      <c r="D23">
        <v>6</v>
      </c>
      <c r="E23" s="36">
        <v>3</v>
      </c>
      <c r="F23" s="32">
        <f t="shared" si="1"/>
        <v>3</v>
      </c>
      <c r="G23">
        <v>6</v>
      </c>
      <c r="H23" s="36">
        <v>1</v>
      </c>
      <c r="I23" s="32">
        <f t="shared" si="2"/>
        <v>5</v>
      </c>
      <c r="J23">
        <v>8</v>
      </c>
      <c r="K23" s="36">
        <v>5</v>
      </c>
      <c r="L23" s="32">
        <f t="shared" si="3"/>
        <v>3</v>
      </c>
      <c r="M23">
        <v>6</v>
      </c>
      <c r="N23" s="36">
        <v>2</v>
      </c>
      <c r="O23" s="32">
        <f t="shared" si="4"/>
        <v>4</v>
      </c>
      <c r="P23">
        <v>8</v>
      </c>
      <c r="Q23" s="36">
        <v>1</v>
      </c>
      <c r="R23" s="32">
        <f t="shared" si="5"/>
        <v>7</v>
      </c>
      <c r="S23">
        <v>6</v>
      </c>
      <c r="T23" s="36">
        <v>1</v>
      </c>
      <c r="U23" s="32">
        <f t="shared" si="6"/>
        <v>5</v>
      </c>
      <c r="V23">
        <v>6</v>
      </c>
      <c r="W23" s="36">
        <v>3</v>
      </c>
      <c r="X23" s="32">
        <f t="shared" si="7"/>
        <v>3</v>
      </c>
      <c r="Y23">
        <v>8</v>
      </c>
      <c r="Z23" s="36">
        <v>3</v>
      </c>
      <c r="AA23" s="32">
        <f t="shared" si="8"/>
        <v>5</v>
      </c>
    </row>
    <row r="24" spans="1:27" x14ac:dyDescent="0.45">
      <c r="A24">
        <v>6</v>
      </c>
      <c r="B24" s="36">
        <v>3</v>
      </c>
      <c r="C24" s="32">
        <f t="shared" si="0"/>
        <v>3</v>
      </c>
      <c r="D24">
        <v>6</v>
      </c>
      <c r="E24" s="36">
        <v>3</v>
      </c>
      <c r="F24" s="32">
        <f t="shared" si="1"/>
        <v>3</v>
      </c>
      <c r="G24">
        <v>6</v>
      </c>
      <c r="H24" s="36">
        <v>1</v>
      </c>
      <c r="I24" s="32">
        <f t="shared" si="2"/>
        <v>5</v>
      </c>
      <c r="J24">
        <v>8</v>
      </c>
      <c r="K24" s="36">
        <v>5</v>
      </c>
      <c r="L24" s="32">
        <f t="shared" si="3"/>
        <v>3</v>
      </c>
      <c r="M24">
        <v>6</v>
      </c>
      <c r="N24" s="36">
        <v>2</v>
      </c>
      <c r="O24" s="32">
        <f t="shared" si="4"/>
        <v>4</v>
      </c>
      <c r="P24">
        <v>8</v>
      </c>
      <c r="Q24" s="36">
        <v>1</v>
      </c>
      <c r="R24" s="32">
        <f t="shared" si="5"/>
        <v>7</v>
      </c>
      <c r="S24">
        <v>6</v>
      </c>
      <c r="T24" s="36">
        <v>1</v>
      </c>
      <c r="U24" s="32">
        <f t="shared" si="6"/>
        <v>5</v>
      </c>
      <c r="V24">
        <v>6</v>
      </c>
      <c r="W24" s="36">
        <v>3</v>
      </c>
      <c r="X24" s="32">
        <f t="shared" si="7"/>
        <v>3</v>
      </c>
      <c r="Y24">
        <v>8</v>
      </c>
      <c r="Z24" s="36">
        <v>3</v>
      </c>
      <c r="AA24" s="32">
        <f t="shared" si="8"/>
        <v>5</v>
      </c>
    </row>
    <row r="25" spans="1:27" x14ac:dyDescent="0.45">
      <c r="A25">
        <v>6</v>
      </c>
      <c r="B25" s="36">
        <v>3</v>
      </c>
      <c r="C25" s="32">
        <f t="shared" si="0"/>
        <v>3</v>
      </c>
      <c r="D25">
        <v>6</v>
      </c>
      <c r="E25" s="36">
        <v>3</v>
      </c>
      <c r="F25" s="32">
        <f t="shared" si="1"/>
        <v>3</v>
      </c>
      <c r="G25">
        <v>6</v>
      </c>
      <c r="H25" s="36">
        <v>1</v>
      </c>
      <c r="I25" s="32">
        <f t="shared" si="2"/>
        <v>5</v>
      </c>
      <c r="J25">
        <v>8</v>
      </c>
      <c r="K25" s="36">
        <v>5</v>
      </c>
      <c r="L25" s="32">
        <f t="shared" si="3"/>
        <v>3</v>
      </c>
      <c r="M25">
        <v>6</v>
      </c>
      <c r="N25" s="36">
        <v>2</v>
      </c>
      <c r="O25" s="32">
        <f t="shared" si="4"/>
        <v>4</v>
      </c>
      <c r="P25">
        <v>8</v>
      </c>
      <c r="Q25" s="36">
        <v>2</v>
      </c>
      <c r="R25" s="32">
        <f t="shared" si="5"/>
        <v>6</v>
      </c>
      <c r="S25">
        <v>6</v>
      </c>
      <c r="T25" s="36">
        <v>1</v>
      </c>
      <c r="U25" s="32">
        <f t="shared" si="6"/>
        <v>5</v>
      </c>
      <c r="V25">
        <v>6</v>
      </c>
      <c r="W25" s="36">
        <v>3</v>
      </c>
      <c r="X25" s="32">
        <f t="shared" si="7"/>
        <v>3</v>
      </c>
      <c r="Y25">
        <v>8</v>
      </c>
      <c r="Z25" s="36">
        <v>4</v>
      </c>
      <c r="AA25" s="32">
        <f t="shared" si="8"/>
        <v>4</v>
      </c>
    </row>
    <row r="26" spans="1:27" x14ac:dyDescent="0.45">
      <c r="A26">
        <v>6</v>
      </c>
      <c r="B26">
        <v>3</v>
      </c>
      <c r="C26" s="32">
        <f t="shared" si="0"/>
        <v>3</v>
      </c>
      <c r="D26">
        <v>6</v>
      </c>
      <c r="E26" s="36">
        <v>3</v>
      </c>
      <c r="F26" s="32">
        <f t="shared" si="1"/>
        <v>3</v>
      </c>
      <c r="G26">
        <v>6</v>
      </c>
      <c r="H26" s="36">
        <v>1</v>
      </c>
      <c r="I26" s="32">
        <f t="shared" si="2"/>
        <v>5</v>
      </c>
      <c r="J26">
        <v>8</v>
      </c>
      <c r="K26" s="36">
        <v>5</v>
      </c>
      <c r="L26" s="32">
        <f t="shared" si="3"/>
        <v>3</v>
      </c>
      <c r="M26">
        <v>6</v>
      </c>
      <c r="N26" s="36">
        <v>3</v>
      </c>
      <c r="O26" s="32">
        <f t="shared" si="4"/>
        <v>3</v>
      </c>
      <c r="P26">
        <v>8</v>
      </c>
      <c r="Q26" s="36">
        <v>2</v>
      </c>
      <c r="R26" s="32">
        <f t="shared" si="5"/>
        <v>6</v>
      </c>
      <c r="S26">
        <v>6</v>
      </c>
      <c r="T26" s="36">
        <v>1</v>
      </c>
      <c r="U26" s="32">
        <f t="shared" si="6"/>
        <v>5</v>
      </c>
      <c r="V26">
        <v>6</v>
      </c>
      <c r="W26" s="36">
        <v>3</v>
      </c>
      <c r="X26" s="32">
        <f t="shared" si="7"/>
        <v>3</v>
      </c>
      <c r="Y26">
        <v>8</v>
      </c>
      <c r="Z26" s="36">
        <v>4</v>
      </c>
      <c r="AA26" s="32">
        <f t="shared" si="8"/>
        <v>4</v>
      </c>
    </row>
    <row r="27" spans="1:27" x14ac:dyDescent="0.45">
      <c r="A27">
        <v>6</v>
      </c>
      <c r="B27">
        <v>3</v>
      </c>
      <c r="C27" s="32">
        <f t="shared" si="0"/>
        <v>3</v>
      </c>
      <c r="D27">
        <v>6</v>
      </c>
      <c r="E27">
        <v>3</v>
      </c>
      <c r="F27" s="32">
        <f t="shared" si="1"/>
        <v>3</v>
      </c>
      <c r="G27">
        <v>6</v>
      </c>
      <c r="H27">
        <v>1</v>
      </c>
      <c r="I27" s="32">
        <f t="shared" si="2"/>
        <v>5</v>
      </c>
      <c r="J27">
        <v>8</v>
      </c>
      <c r="K27">
        <v>5</v>
      </c>
      <c r="L27" s="32">
        <f t="shared" si="3"/>
        <v>3</v>
      </c>
      <c r="M27">
        <v>6</v>
      </c>
      <c r="N27">
        <v>3</v>
      </c>
      <c r="O27" s="32">
        <f t="shared" si="4"/>
        <v>3</v>
      </c>
      <c r="P27">
        <v>8</v>
      </c>
      <c r="Q27">
        <v>2</v>
      </c>
      <c r="R27" s="32">
        <f t="shared" si="5"/>
        <v>6</v>
      </c>
      <c r="S27">
        <v>6</v>
      </c>
      <c r="T27">
        <v>1</v>
      </c>
      <c r="U27" s="32">
        <f t="shared" si="6"/>
        <v>5</v>
      </c>
      <c r="V27">
        <v>6</v>
      </c>
      <c r="W27">
        <v>3</v>
      </c>
      <c r="X27" s="32">
        <f t="shared" si="7"/>
        <v>3</v>
      </c>
      <c r="Y27">
        <v>8</v>
      </c>
      <c r="Z27">
        <v>4</v>
      </c>
      <c r="AA27" s="32">
        <f t="shared" si="8"/>
        <v>4</v>
      </c>
    </row>
    <row r="28" spans="1:27" x14ac:dyDescent="0.45">
      <c r="A28">
        <v>6</v>
      </c>
      <c r="B28">
        <v>3</v>
      </c>
      <c r="C28" s="32">
        <f t="shared" si="0"/>
        <v>3</v>
      </c>
      <c r="D28">
        <v>6</v>
      </c>
      <c r="E28">
        <v>3</v>
      </c>
      <c r="F28" s="32">
        <f t="shared" si="1"/>
        <v>3</v>
      </c>
      <c r="G28">
        <v>6</v>
      </c>
      <c r="H28">
        <v>1</v>
      </c>
      <c r="I28" s="32">
        <f t="shared" si="2"/>
        <v>5</v>
      </c>
      <c r="J28">
        <v>8</v>
      </c>
      <c r="K28">
        <v>5</v>
      </c>
      <c r="L28" s="32">
        <f t="shared" si="3"/>
        <v>3</v>
      </c>
      <c r="M28">
        <v>6</v>
      </c>
      <c r="N28">
        <v>3</v>
      </c>
      <c r="O28" s="32">
        <f t="shared" si="4"/>
        <v>3</v>
      </c>
      <c r="P28">
        <v>8</v>
      </c>
      <c r="Q28">
        <v>2</v>
      </c>
      <c r="R28" s="32">
        <f t="shared" si="5"/>
        <v>6</v>
      </c>
      <c r="S28">
        <v>6</v>
      </c>
      <c r="T28">
        <v>1</v>
      </c>
      <c r="U28" s="32">
        <f t="shared" si="6"/>
        <v>5</v>
      </c>
      <c r="V28">
        <v>6</v>
      </c>
      <c r="W28">
        <v>3</v>
      </c>
      <c r="X28" s="32">
        <f t="shared" si="7"/>
        <v>3</v>
      </c>
      <c r="Y28">
        <v>8</v>
      </c>
      <c r="Z28">
        <v>4</v>
      </c>
      <c r="AA28" s="32">
        <f t="shared" si="8"/>
        <v>4</v>
      </c>
    </row>
    <row r="29" spans="1:27" x14ac:dyDescent="0.45">
      <c r="A29">
        <v>6</v>
      </c>
      <c r="B29">
        <v>3</v>
      </c>
      <c r="C29" s="32">
        <f t="shared" si="0"/>
        <v>3</v>
      </c>
      <c r="D29">
        <v>6</v>
      </c>
      <c r="E29">
        <v>3</v>
      </c>
      <c r="F29" s="32">
        <f t="shared" si="1"/>
        <v>3</v>
      </c>
      <c r="G29">
        <v>6</v>
      </c>
      <c r="H29">
        <v>1</v>
      </c>
      <c r="I29" s="32">
        <f t="shared" si="2"/>
        <v>5</v>
      </c>
      <c r="J29">
        <v>8</v>
      </c>
      <c r="K29">
        <v>5</v>
      </c>
      <c r="L29" s="32">
        <f t="shared" si="3"/>
        <v>3</v>
      </c>
      <c r="M29">
        <v>6</v>
      </c>
      <c r="N29">
        <v>3</v>
      </c>
      <c r="O29" s="32">
        <f t="shared" si="4"/>
        <v>3</v>
      </c>
      <c r="P29">
        <v>8</v>
      </c>
      <c r="Q29">
        <v>2</v>
      </c>
      <c r="R29" s="32">
        <f t="shared" si="5"/>
        <v>6</v>
      </c>
      <c r="S29">
        <v>6</v>
      </c>
      <c r="T29">
        <v>1</v>
      </c>
      <c r="U29" s="32">
        <f t="shared" si="6"/>
        <v>5</v>
      </c>
      <c r="V29">
        <v>6</v>
      </c>
      <c r="W29">
        <v>3</v>
      </c>
      <c r="X29" s="32">
        <f t="shared" si="7"/>
        <v>3</v>
      </c>
      <c r="Y29">
        <v>8</v>
      </c>
      <c r="Z29">
        <v>4</v>
      </c>
      <c r="AA29" s="32">
        <f t="shared" si="8"/>
        <v>4</v>
      </c>
    </row>
    <row r="30" spans="1:27" x14ac:dyDescent="0.45">
      <c r="A30">
        <v>6</v>
      </c>
      <c r="B30">
        <v>4</v>
      </c>
      <c r="C30" s="32">
        <f t="shared" si="0"/>
        <v>2</v>
      </c>
      <c r="D30">
        <v>6</v>
      </c>
      <c r="E30">
        <v>3</v>
      </c>
      <c r="F30" s="32">
        <f t="shared" si="1"/>
        <v>3</v>
      </c>
      <c r="G30">
        <v>6</v>
      </c>
      <c r="H30">
        <v>1</v>
      </c>
      <c r="I30" s="32">
        <f t="shared" si="2"/>
        <v>5</v>
      </c>
      <c r="J30">
        <v>8</v>
      </c>
      <c r="K30">
        <v>5</v>
      </c>
      <c r="L30" s="32">
        <f t="shared" si="3"/>
        <v>3</v>
      </c>
      <c r="M30">
        <v>6</v>
      </c>
      <c r="N30">
        <v>3</v>
      </c>
      <c r="O30" s="32">
        <f t="shared" si="4"/>
        <v>3</v>
      </c>
      <c r="P30">
        <v>8</v>
      </c>
      <c r="Q30">
        <v>2</v>
      </c>
      <c r="R30" s="32">
        <f t="shared" si="5"/>
        <v>6</v>
      </c>
      <c r="S30">
        <v>6</v>
      </c>
      <c r="T30">
        <v>1</v>
      </c>
      <c r="U30" s="32">
        <f t="shared" si="6"/>
        <v>5</v>
      </c>
      <c r="V30">
        <v>6</v>
      </c>
      <c r="W30">
        <v>3</v>
      </c>
      <c r="X30" s="32">
        <f t="shared" si="7"/>
        <v>3</v>
      </c>
      <c r="Y30">
        <v>8</v>
      </c>
      <c r="Z30">
        <v>4</v>
      </c>
      <c r="AA30" s="32">
        <f t="shared" si="8"/>
        <v>4</v>
      </c>
    </row>
    <row r="31" spans="1:27" x14ac:dyDescent="0.45">
      <c r="A31">
        <v>6</v>
      </c>
      <c r="B31">
        <v>4</v>
      </c>
      <c r="C31" s="32">
        <f t="shared" si="0"/>
        <v>2</v>
      </c>
      <c r="D31">
        <v>6</v>
      </c>
      <c r="E31">
        <v>4</v>
      </c>
      <c r="F31" s="32">
        <f t="shared" si="1"/>
        <v>2</v>
      </c>
      <c r="G31">
        <v>6</v>
      </c>
      <c r="H31">
        <v>2</v>
      </c>
      <c r="I31" s="32">
        <f t="shared" si="2"/>
        <v>4</v>
      </c>
      <c r="J31">
        <v>8</v>
      </c>
      <c r="K31">
        <v>5</v>
      </c>
      <c r="L31" s="32">
        <f t="shared" si="3"/>
        <v>3</v>
      </c>
      <c r="M31">
        <v>6</v>
      </c>
      <c r="N31">
        <v>3</v>
      </c>
      <c r="O31" s="32">
        <f t="shared" si="4"/>
        <v>3</v>
      </c>
      <c r="P31">
        <v>8</v>
      </c>
      <c r="Q31">
        <v>2</v>
      </c>
      <c r="R31" s="32">
        <f t="shared" si="5"/>
        <v>6</v>
      </c>
      <c r="S31">
        <v>6</v>
      </c>
      <c r="T31">
        <v>1</v>
      </c>
      <c r="U31" s="32">
        <f t="shared" si="6"/>
        <v>5</v>
      </c>
      <c r="V31">
        <v>6</v>
      </c>
      <c r="W31">
        <v>3</v>
      </c>
      <c r="X31" s="32">
        <f t="shared" si="7"/>
        <v>3</v>
      </c>
      <c r="Y31">
        <v>8</v>
      </c>
      <c r="Z31">
        <v>4</v>
      </c>
      <c r="AA31" s="32">
        <f t="shared" si="8"/>
        <v>4</v>
      </c>
    </row>
    <row r="32" spans="1:27" x14ac:dyDescent="0.45">
      <c r="A32">
        <v>6</v>
      </c>
      <c r="B32">
        <v>4</v>
      </c>
      <c r="C32" s="32">
        <f t="shared" si="0"/>
        <v>2</v>
      </c>
      <c r="D32">
        <v>6</v>
      </c>
      <c r="E32">
        <v>4</v>
      </c>
      <c r="F32" s="32">
        <f t="shared" si="1"/>
        <v>2</v>
      </c>
      <c r="G32">
        <v>6</v>
      </c>
      <c r="H32">
        <v>2</v>
      </c>
      <c r="I32" s="32">
        <f t="shared" si="2"/>
        <v>4</v>
      </c>
      <c r="J32">
        <v>8</v>
      </c>
      <c r="K32">
        <v>5</v>
      </c>
      <c r="L32" s="32">
        <f t="shared" si="3"/>
        <v>3</v>
      </c>
      <c r="M32">
        <v>6</v>
      </c>
      <c r="N32">
        <v>3</v>
      </c>
      <c r="O32" s="32">
        <f t="shared" si="4"/>
        <v>3</v>
      </c>
      <c r="P32">
        <v>8</v>
      </c>
      <c r="Q32">
        <v>2</v>
      </c>
      <c r="R32" s="32">
        <f t="shared" si="5"/>
        <v>6</v>
      </c>
      <c r="S32">
        <v>7</v>
      </c>
      <c r="T32">
        <v>1</v>
      </c>
      <c r="U32" s="32">
        <f t="shared" si="6"/>
        <v>6</v>
      </c>
      <c r="V32">
        <v>6</v>
      </c>
      <c r="W32">
        <v>3</v>
      </c>
      <c r="X32" s="32">
        <f t="shared" si="7"/>
        <v>3</v>
      </c>
      <c r="Y32">
        <v>8</v>
      </c>
      <c r="Z32">
        <v>4</v>
      </c>
      <c r="AA32" s="32">
        <f t="shared" si="8"/>
        <v>4</v>
      </c>
    </row>
    <row r="33" spans="1:27" x14ac:dyDescent="0.45">
      <c r="A33">
        <v>6</v>
      </c>
      <c r="B33">
        <v>4</v>
      </c>
      <c r="C33" s="32">
        <f t="shared" si="0"/>
        <v>2</v>
      </c>
      <c r="D33">
        <v>6</v>
      </c>
      <c r="E33">
        <v>4</v>
      </c>
      <c r="F33" s="32">
        <f t="shared" si="1"/>
        <v>2</v>
      </c>
      <c r="G33">
        <v>6</v>
      </c>
      <c r="H33">
        <v>2</v>
      </c>
      <c r="I33" s="32">
        <f t="shared" si="2"/>
        <v>4</v>
      </c>
      <c r="J33">
        <v>8</v>
      </c>
      <c r="K33">
        <v>5</v>
      </c>
      <c r="L33" s="32">
        <f t="shared" si="3"/>
        <v>3</v>
      </c>
      <c r="M33">
        <v>6</v>
      </c>
      <c r="N33">
        <v>3</v>
      </c>
      <c r="O33" s="32">
        <f t="shared" si="4"/>
        <v>3</v>
      </c>
      <c r="P33">
        <v>8</v>
      </c>
      <c r="Q33">
        <v>3</v>
      </c>
      <c r="R33" s="32">
        <f t="shared" si="5"/>
        <v>5</v>
      </c>
      <c r="S33">
        <v>7</v>
      </c>
      <c r="T33">
        <v>1</v>
      </c>
      <c r="U33" s="32">
        <f t="shared" si="6"/>
        <v>6</v>
      </c>
      <c r="V33">
        <v>6</v>
      </c>
      <c r="W33">
        <v>4</v>
      </c>
      <c r="X33" s="32">
        <f t="shared" si="7"/>
        <v>2</v>
      </c>
      <c r="Y33">
        <v>8</v>
      </c>
      <c r="Z33">
        <v>4</v>
      </c>
      <c r="AA33" s="32">
        <f t="shared" si="8"/>
        <v>4</v>
      </c>
    </row>
    <row r="34" spans="1:27" x14ac:dyDescent="0.45">
      <c r="A34">
        <v>6</v>
      </c>
      <c r="B34">
        <v>4</v>
      </c>
      <c r="C34" s="32">
        <f t="shared" si="0"/>
        <v>2</v>
      </c>
      <c r="D34">
        <v>6</v>
      </c>
      <c r="E34">
        <v>4</v>
      </c>
      <c r="F34" s="32">
        <f t="shared" si="1"/>
        <v>2</v>
      </c>
      <c r="G34">
        <v>6</v>
      </c>
      <c r="H34">
        <v>2</v>
      </c>
      <c r="I34" s="32">
        <f t="shared" si="2"/>
        <v>4</v>
      </c>
      <c r="J34">
        <v>8</v>
      </c>
      <c r="K34">
        <v>5</v>
      </c>
      <c r="L34" s="32">
        <f t="shared" si="3"/>
        <v>3</v>
      </c>
      <c r="M34">
        <v>6</v>
      </c>
      <c r="N34">
        <v>3</v>
      </c>
      <c r="O34" s="32">
        <f t="shared" si="4"/>
        <v>3</v>
      </c>
      <c r="P34">
        <v>8</v>
      </c>
      <c r="Q34">
        <v>3</v>
      </c>
      <c r="R34" s="32">
        <f t="shared" si="5"/>
        <v>5</v>
      </c>
      <c r="S34">
        <v>7</v>
      </c>
      <c r="T34">
        <v>1</v>
      </c>
      <c r="U34" s="32">
        <f t="shared" si="6"/>
        <v>6</v>
      </c>
      <c r="V34">
        <v>6</v>
      </c>
      <c r="W34">
        <v>4</v>
      </c>
      <c r="X34" s="32">
        <f t="shared" si="7"/>
        <v>2</v>
      </c>
      <c r="Y34">
        <v>8</v>
      </c>
      <c r="Z34">
        <v>4</v>
      </c>
      <c r="AA34" s="32">
        <f t="shared" si="8"/>
        <v>4</v>
      </c>
    </row>
    <row r="35" spans="1:27" x14ac:dyDescent="0.45">
      <c r="A35">
        <v>6</v>
      </c>
      <c r="B35">
        <v>4</v>
      </c>
      <c r="C35" s="32">
        <f t="shared" si="0"/>
        <v>2</v>
      </c>
      <c r="D35">
        <v>6</v>
      </c>
      <c r="E35">
        <v>4</v>
      </c>
      <c r="F35" s="32">
        <f t="shared" si="1"/>
        <v>2</v>
      </c>
      <c r="G35">
        <v>6</v>
      </c>
      <c r="H35">
        <v>2</v>
      </c>
      <c r="I35" s="32">
        <f t="shared" si="2"/>
        <v>4</v>
      </c>
      <c r="J35">
        <v>8</v>
      </c>
      <c r="K35">
        <v>5</v>
      </c>
      <c r="L35" s="32">
        <f t="shared" si="3"/>
        <v>3</v>
      </c>
      <c r="M35">
        <v>6</v>
      </c>
      <c r="N35">
        <v>3</v>
      </c>
      <c r="O35" s="32">
        <f t="shared" si="4"/>
        <v>3</v>
      </c>
      <c r="P35">
        <v>8</v>
      </c>
      <c r="Q35">
        <v>3</v>
      </c>
      <c r="R35" s="32">
        <f t="shared" si="5"/>
        <v>5</v>
      </c>
      <c r="S35">
        <v>7</v>
      </c>
      <c r="T35">
        <v>1</v>
      </c>
      <c r="U35" s="32">
        <f t="shared" si="6"/>
        <v>6</v>
      </c>
      <c r="V35">
        <v>6</v>
      </c>
      <c r="W35">
        <v>4</v>
      </c>
      <c r="X35" s="32">
        <f t="shared" si="7"/>
        <v>2</v>
      </c>
      <c r="Y35">
        <v>8</v>
      </c>
      <c r="Z35">
        <v>4</v>
      </c>
      <c r="AA35" s="32">
        <f t="shared" si="8"/>
        <v>4</v>
      </c>
    </row>
    <row r="36" spans="1:27" x14ac:dyDescent="0.45">
      <c r="A36">
        <v>6</v>
      </c>
      <c r="B36">
        <v>4</v>
      </c>
      <c r="C36" s="32">
        <f t="shared" si="0"/>
        <v>2</v>
      </c>
      <c r="D36">
        <v>6</v>
      </c>
      <c r="E36">
        <v>4</v>
      </c>
      <c r="F36" s="32">
        <f t="shared" si="1"/>
        <v>2</v>
      </c>
      <c r="G36">
        <v>7</v>
      </c>
      <c r="H36">
        <v>2</v>
      </c>
      <c r="I36" s="32">
        <f t="shared" si="2"/>
        <v>5</v>
      </c>
      <c r="J36">
        <v>8</v>
      </c>
      <c r="K36">
        <v>5</v>
      </c>
      <c r="L36" s="32">
        <f t="shared" si="3"/>
        <v>3</v>
      </c>
      <c r="M36">
        <v>6</v>
      </c>
      <c r="N36">
        <v>3</v>
      </c>
      <c r="O36" s="32">
        <f t="shared" si="4"/>
        <v>3</v>
      </c>
      <c r="P36">
        <v>8</v>
      </c>
      <c r="Q36">
        <v>3</v>
      </c>
      <c r="R36" s="32">
        <f t="shared" si="5"/>
        <v>5</v>
      </c>
      <c r="S36">
        <v>7</v>
      </c>
      <c r="T36">
        <v>1</v>
      </c>
      <c r="U36" s="32">
        <f t="shared" si="6"/>
        <v>6</v>
      </c>
      <c r="V36">
        <v>6</v>
      </c>
      <c r="W36">
        <v>4</v>
      </c>
      <c r="X36" s="32">
        <f t="shared" si="7"/>
        <v>2</v>
      </c>
      <c r="Y36">
        <v>8</v>
      </c>
      <c r="Z36">
        <v>4</v>
      </c>
      <c r="AA36" s="32">
        <f t="shared" si="8"/>
        <v>4</v>
      </c>
    </row>
    <row r="37" spans="1:27" x14ac:dyDescent="0.45">
      <c r="A37">
        <v>6</v>
      </c>
      <c r="B37">
        <v>4</v>
      </c>
      <c r="C37" s="32">
        <f t="shared" si="0"/>
        <v>2</v>
      </c>
      <c r="D37">
        <v>6</v>
      </c>
      <c r="E37">
        <v>4</v>
      </c>
      <c r="F37" s="32">
        <f t="shared" si="1"/>
        <v>2</v>
      </c>
      <c r="G37">
        <v>7</v>
      </c>
      <c r="H37">
        <v>2</v>
      </c>
      <c r="I37" s="32">
        <f t="shared" si="2"/>
        <v>5</v>
      </c>
      <c r="J37">
        <v>8</v>
      </c>
      <c r="K37">
        <v>5</v>
      </c>
      <c r="L37" s="32">
        <f t="shared" si="3"/>
        <v>3</v>
      </c>
      <c r="M37">
        <v>6</v>
      </c>
      <c r="N37">
        <v>3</v>
      </c>
      <c r="O37" s="32">
        <f t="shared" si="4"/>
        <v>3</v>
      </c>
      <c r="P37">
        <v>8</v>
      </c>
      <c r="Q37">
        <v>3</v>
      </c>
      <c r="R37" s="32">
        <f t="shared" si="5"/>
        <v>5</v>
      </c>
      <c r="S37">
        <v>7</v>
      </c>
      <c r="T37">
        <v>2</v>
      </c>
      <c r="U37" s="32">
        <f t="shared" si="6"/>
        <v>5</v>
      </c>
      <c r="V37">
        <v>6</v>
      </c>
      <c r="W37">
        <v>4</v>
      </c>
      <c r="X37" s="32">
        <f t="shared" si="7"/>
        <v>2</v>
      </c>
      <c r="Y37">
        <v>8</v>
      </c>
      <c r="Z37">
        <v>5</v>
      </c>
      <c r="AA37" s="32">
        <f t="shared" si="8"/>
        <v>3</v>
      </c>
    </row>
    <row r="38" spans="1:27" x14ac:dyDescent="0.45">
      <c r="A38">
        <v>6</v>
      </c>
      <c r="B38">
        <v>4</v>
      </c>
      <c r="C38" s="32">
        <f t="shared" si="0"/>
        <v>2</v>
      </c>
      <c r="D38">
        <v>6</v>
      </c>
      <c r="E38">
        <v>4</v>
      </c>
      <c r="F38" s="32">
        <f t="shared" si="1"/>
        <v>2</v>
      </c>
      <c r="G38">
        <v>7</v>
      </c>
      <c r="H38">
        <v>2</v>
      </c>
      <c r="I38" s="32">
        <f t="shared" si="2"/>
        <v>5</v>
      </c>
      <c r="J38">
        <v>8</v>
      </c>
      <c r="K38">
        <v>5</v>
      </c>
      <c r="L38" s="32">
        <f t="shared" si="3"/>
        <v>3</v>
      </c>
      <c r="M38">
        <v>6</v>
      </c>
      <c r="N38">
        <v>3</v>
      </c>
      <c r="O38" s="32">
        <f t="shared" si="4"/>
        <v>3</v>
      </c>
      <c r="P38">
        <v>8</v>
      </c>
      <c r="Q38">
        <v>3</v>
      </c>
      <c r="R38" s="32">
        <f t="shared" si="5"/>
        <v>5</v>
      </c>
      <c r="S38">
        <v>7</v>
      </c>
      <c r="T38">
        <v>2</v>
      </c>
      <c r="U38" s="32">
        <f t="shared" si="6"/>
        <v>5</v>
      </c>
      <c r="V38">
        <v>6</v>
      </c>
      <c r="W38">
        <v>4</v>
      </c>
      <c r="X38" s="32">
        <f t="shared" si="7"/>
        <v>2</v>
      </c>
      <c r="Y38">
        <v>8</v>
      </c>
      <c r="Z38">
        <v>5</v>
      </c>
      <c r="AA38" s="32">
        <f t="shared" si="8"/>
        <v>3</v>
      </c>
    </row>
    <row r="39" spans="1:27" x14ac:dyDescent="0.45">
      <c r="A39">
        <v>6</v>
      </c>
      <c r="B39">
        <v>4</v>
      </c>
      <c r="C39" s="32">
        <f t="shared" si="0"/>
        <v>2</v>
      </c>
      <c r="D39">
        <v>6</v>
      </c>
      <c r="E39">
        <v>4</v>
      </c>
      <c r="F39" s="32">
        <f t="shared" si="1"/>
        <v>2</v>
      </c>
      <c r="G39">
        <v>7</v>
      </c>
      <c r="H39">
        <v>2</v>
      </c>
      <c r="I39" s="32">
        <f t="shared" si="2"/>
        <v>5</v>
      </c>
      <c r="J39">
        <v>8</v>
      </c>
      <c r="K39">
        <v>5</v>
      </c>
      <c r="L39" s="32">
        <f t="shared" si="3"/>
        <v>3</v>
      </c>
      <c r="M39">
        <v>6</v>
      </c>
      <c r="N39">
        <v>3</v>
      </c>
      <c r="O39" s="32">
        <f t="shared" si="4"/>
        <v>3</v>
      </c>
      <c r="P39">
        <v>8</v>
      </c>
      <c r="Q39">
        <v>3</v>
      </c>
      <c r="R39" s="32">
        <f t="shared" si="5"/>
        <v>5</v>
      </c>
      <c r="S39">
        <v>7</v>
      </c>
      <c r="T39">
        <v>2</v>
      </c>
      <c r="U39" s="32">
        <f t="shared" si="6"/>
        <v>5</v>
      </c>
      <c r="V39">
        <v>6</v>
      </c>
      <c r="W39">
        <v>4</v>
      </c>
      <c r="X39" s="32">
        <f t="shared" si="7"/>
        <v>2</v>
      </c>
      <c r="Y39">
        <v>8</v>
      </c>
      <c r="Z39">
        <v>5</v>
      </c>
      <c r="AA39" s="32">
        <f t="shared" si="8"/>
        <v>3</v>
      </c>
    </row>
    <row r="40" spans="1:27" x14ac:dyDescent="0.45">
      <c r="A40">
        <v>6</v>
      </c>
      <c r="B40">
        <v>4</v>
      </c>
      <c r="C40" s="32">
        <f t="shared" si="0"/>
        <v>2</v>
      </c>
      <c r="D40">
        <v>6</v>
      </c>
      <c r="E40">
        <v>4</v>
      </c>
      <c r="F40" s="32">
        <f t="shared" si="1"/>
        <v>2</v>
      </c>
      <c r="G40">
        <v>7</v>
      </c>
      <c r="H40">
        <v>2</v>
      </c>
      <c r="I40" s="32">
        <f t="shared" si="2"/>
        <v>5</v>
      </c>
      <c r="J40">
        <v>8</v>
      </c>
      <c r="K40">
        <v>5</v>
      </c>
      <c r="L40" s="32">
        <f t="shared" si="3"/>
        <v>3</v>
      </c>
      <c r="M40">
        <v>6</v>
      </c>
      <c r="N40">
        <v>3</v>
      </c>
      <c r="O40" s="32">
        <f t="shared" si="4"/>
        <v>3</v>
      </c>
      <c r="P40">
        <v>8</v>
      </c>
      <c r="Q40">
        <v>3</v>
      </c>
      <c r="R40" s="32">
        <f t="shared" si="5"/>
        <v>5</v>
      </c>
      <c r="S40">
        <v>7</v>
      </c>
      <c r="T40">
        <v>2</v>
      </c>
      <c r="U40" s="32">
        <f t="shared" si="6"/>
        <v>5</v>
      </c>
      <c r="V40">
        <v>6</v>
      </c>
      <c r="W40">
        <v>4</v>
      </c>
      <c r="X40" s="32">
        <f t="shared" si="7"/>
        <v>2</v>
      </c>
      <c r="Y40">
        <v>8</v>
      </c>
      <c r="Z40">
        <v>5</v>
      </c>
      <c r="AA40" s="32">
        <f t="shared" si="8"/>
        <v>3</v>
      </c>
    </row>
    <row r="41" spans="1:27" x14ac:dyDescent="0.45">
      <c r="A41">
        <v>6</v>
      </c>
      <c r="B41">
        <v>4</v>
      </c>
      <c r="C41" s="32">
        <f t="shared" si="0"/>
        <v>2</v>
      </c>
      <c r="D41">
        <v>6</v>
      </c>
      <c r="E41">
        <v>4</v>
      </c>
      <c r="F41" s="32">
        <f t="shared" si="1"/>
        <v>2</v>
      </c>
      <c r="G41">
        <v>7</v>
      </c>
      <c r="H41">
        <v>2</v>
      </c>
      <c r="I41" s="32">
        <f t="shared" si="2"/>
        <v>5</v>
      </c>
      <c r="J41">
        <v>8</v>
      </c>
      <c r="K41">
        <v>5</v>
      </c>
      <c r="L41" s="32">
        <f t="shared" si="3"/>
        <v>3</v>
      </c>
      <c r="M41">
        <v>6</v>
      </c>
      <c r="N41">
        <v>3</v>
      </c>
      <c r="O41" s="32">
        <f t="shared" si="4"/>
        <v>3</v>
      </c>
      <c r="P41">
        <v>8</v>
      </c>
      <c r="Q41">
        <v>3</v>
      </c>
      <c r="R41" s="32">
        <f t="shared" si="5"/>
        <v>5</v>
      </c>
      <c r="S41">
        <v>7</v>
      </c>
      <c r="T41">
        <v>2</v>
      </c>
      <c r="U41" s="32">
        <f t="shared" si="6"/>
        <v>5</v>
      </c>
      <c r="V41">
        <v>6</v>
      </c>
      <c r="W41">
        <v>4</v>
      </c>
      <c r="X41" s="32">
        <f t="shared" si="7"/>
        <v>2</v>
      </c>
      <c r="Y41">
        <v>8</v>
      </c>
      <c r="Z41">
        <v>5</v>
      </c>
      <c r="AA41" s="32">
        <f t="shared" si="8"/>
        <v>3</v>
      </c>
    </row>
    <row r="42" spans="1:27" x14ac:dyDescent="0.45">
      <c r="A42">
        <v>6</v>
      </c>
      <c r="B42">
        <v>4</v>
      </c>
      <c r="C42" s="32">
        <f t="shared" si="0"/>
        <v>2</v>
      </c>
      <c r="D42">
        <v>6</v>
      </c>
      <c r="E42">
        <v>4</v>
      </c>
      <c r="F42" s="32">
        <f t="shared" si="1"/>
        <v>2</v>
      </c>
      <c r="G42">
        <v>7</v>
      </c>
      <c r="H42">
        <v>3</v>
      </c>
      <c r="I42" s="32">
        <f t="shared" si="2"/>
        <v>4</v>
      </c>
      <c r="J42">
        <v>8</v>
      </c>
      <c r="K42">
        <v>5</v>
      </c>
      <c r="L42" s="32">
        <f t="shared" si="3"/>
        <v>3</v>
      </c>
      <c r="M42">
        <v>7</v>
      </c>
      <c r="N42">
        <v>4</v>
      </c>
      <c r="O42" s="32">
        <f t="shared" si="4"/>
        <v>3</v>
      </c>
      <c r="P42">
        <v>8</v>
      </c>
      <c r="Q42">
        <v>3</v>
      </c>
      <c r="R42" s="32">
        <f t="shared" si="5"/>
        <v>5</v>
      </c>
      <c r="S42">
        <v>7</v>
      </c>
      <c r="T42">
        <v>2</v>
      </c>
      <c r="U42" s="32">
        <f t="shared" si="6"/>
        <v>5</v>
      </c>
      <c r="V42">
        <v>6</v>
      </c>
      <c r="W42">
        <v>4</v>
      </c>
      <c r="X42" s="32">
        <f t="shared" si="7"/>
        <v>2</v>
      </c>
      <c r="Y42">
        <v>8</v>
      </c>
      <c r="Z42">
        <v>5</v>
      </c>
      <c r="AA42" s="32">
        <f t="shared" si="8"/>
        <v>3</v>
      </c>
    </row>
    <row r="43" spans="1:27" x14ac:dyDescent="0.45">
      <c r="A43">
        <v>6</v>
      </c>
      <c r="B43">
        <v>4</v>
      </c>
      <c r="C43" s="32">
        <f t="shared" si="0"/>
        <v>2</v>
      </c>
      <c r="D43">
        <v>6</v>
      </c>
      <c r="E43">
        <v>4</v>
      </c>
      <c r="F43" s="32">
        <f t="shared" si="1"/>
        <v>2</v>
      </c>
      <c r="G43">
        <v>7</v>
      </c>
      <c r="H43">
        <v>3</v>
      </c>
      <c r="I43" s="32">
        <f t="shared" si="2"/>
        <v>4</v>
      </c>
      <c r="J43">
        <v>8</v>
      </c>
      <c r="K43">
        <v>5</v>
      </c>
      <c r="L43" s="32">
        <f t="shared" si="3"/>
        <v>3</v>
      </c>
      <c r="M43">
        <v>7</v>
      </c>
      <c r="N43">
        <v>4</v>
      </c>
      <c r="O43" s="32">
        <f t="shared" si="4"/>
        <v>3</v>
      </c>
      <c r="P43">
        <v>8</v>
      </c>
      <c r="Q43">
        <v>3</v>
      </c>
      <c r="R43" s="32">
        <f t="shared" si="5"/>
        <v>5</v>
      </c>
      <c r="S43">
        <v>7</v>
      </c>
      <c r="T43">
        <v>2</v>
      </c>
      <c r="U43" s="32">
        <f t="shared" si="6"/>
        <v>5</v>
      </c>
      <c r="V43">
        <v>6</v>
      </c>
      <c r="W43">
        <v>4</v>
      </c>
      <c r="X43" s="32">
        <f t="shared" si="7"/>
        <v>2</v>
      </c>
      <c r="Y43">
        <v>8</v>
      </c>
      <c r="Z43">
        <v>5</v>
      </c>
      <c r="AA43" s="32">
        <f t="shared" si="8"/>
        <v>3</v>
      </c>
    </row>
    <row r="44" spans="1:27" x14ac:dyDescent="0.45">
      <c r="A44">
        <v>6</v>
      </c>
      <c r="B44">
        <v>4</v>
      </c>
      <c r="C44" s="32">
        <f t="shared" si="0"/>
        <v>2</v>
      </c>
      <c r="D44">
        <v>6</v>
      </c>
      <c r="E44">
        <v>4</v>
      </c>
      <c r="F44" s="32">
        <f t="shared" si="1"/>
        <v>2</v>
      </c>
      <c r="G44">
        <v>7</v>
      </c>
      <c r="H44">
        <v>3</v>
      </c>
      <c r="I44" s="32">
        <f t="shared" si="2"/>
        <v>4</v>
      </c>
      <c r="J44">
        <v>8</v>
      </c>
      <c r="K44">
        <v>5</v>
      </c>
      <c r="L44" s="32">
        <f t="shared" si="3"/>
        <v>3</v>
      </c>
      <c r="M44">
        <v>7</v>
      </c>
      <c r="N44">
        <v>4</v>
      </c>
      <c r="O44" s="32">
        <f t="shared" si="4"/>
        <v>3</v>
      </c>
      <c r="P44">
        <v>8</v>
      </c>
      <c r="Q44">
        <v>3</v>
      </c>
      <c r="R44" s="32">
        <f t="shared" si="5"/>
        <v>5</v>
      </c>
      <c r="S44">
        <v>7</v>
      </c>
      <c r="T44">
        <v>2</v>
      </c>
      <c r="U44" s="32">
        <f t="shared" si="6"/>
        <v>5</v>
      </c>
      <c r="V44">
        <v>6</v>
      </c>
      <c r="W44">
        <v>4</v>
      </c>
      <c r="X44" s="32">
        <f t="shared" si="7"/>
        <v>2</v>
      </c>
      <c r="Y44">
        <v>8</v>
      </c>
      <c r="Z44">
        <v>5</v>
      </c>
      <c r="AA44" s="32">
        <f t="shared" si="8"/>
        <v>3</v>
      </c>
    </row>
    <row r="45" spans="1:27" x14ac:dyDescent="0.45">
      <c r="A45">
        <v>6</v>
      </c>
      <c r="B45">
        <v>4</v>
      </c>
      <c r="C45" s="32">
        <f t="shared" si="0"/>
        <v>2</v>
      </c>
      <c r="D45">
        <v>6</v>
      </c>
      <c r="E45">
        <v>4</v>
      </c>
      <c r="F45" s="32">
        <f t="shared" si="1"/>
        <v>2</v>
      </c>
      <c r="G45">
        <v>7</v>
      </c>
      <c r="H45">
        <v>3</v>
      </c>
      <c r="I45" s="32">
        <f t="shared" si="2"/>
        <v>4</v>
      </c>
      <c r="J45">
        <v>8</v>
      </c>
      <c r="K45">
        <v>5</v>
      </c>
      <c r="L45" s="32">
        <f t="shared" si="3"/>
        <v>3</v>
      </c>
      <c r="M45">
        <v>7</v>
      </c>
      <c r="N45">
        <v>4</v>
      </c>
      <c r="O45" s="32">
        <f t="shared" si="4"/>
        <v>3</v>
      </c>
      <c r="P45">
        <v>8</v>
      </c>
      <c r="Q45">
        <v>3</v>
      </c>
      <c r="R45" s="32">
        <f t="shared" si="5"/>
        <v>5</v>
      </c>
      <c r="S45">
        <v>7</v>
      </c>
      <c r="T45">
        <v>2</v>
      </c>
      <c r="U45" s="32">
        <f t="shared" si="6"/>
        <v>5</v>
      </c>
      <c r="V45">
        <v>6</v>
      </c>
      <c r="W45">
        <v>4</v>
      </c>
      <c r="X45" s="32">
        <f t="shared" si="7"/>
        <v>2</v>
      </c>
      <c r="Y45">
        <v>8</v>
      </c>
      <c r="Z45">
        <v>5</v>
      </c>
      <c r="AA45" s="32">
        <f t="shared" si="8"/>
        <v>3</v>
      </c>
    </row>
    <row r="46" spans="1:27" x14ac:dyDescent="0.45">
      <c r="A46">
        <v>6</v>
      </c>
      <c r="B46">
        <v>4</v>
      </c>
      <c r="C46" s="32">
        <f t="shared" si="0"/>
        <v>2</v>
      </c>
      <c r="D46">
        <v>6</v>
      </c>
      <c r="E46">
        <v>4</v>
      </c>
      <c r="F46" s="32">
        <f t="shared" si="1"/>
        <v>2</v>
      </c>
      <c r="G46">
        <v>7</v>
      </c>
      <c r="H46">
        <v>3</v>
      </c>
      <c r="I46" s="32">
        <f t="shared" si="2"/>
        <v>4</v>
      </c>
      <c r="J46">
        <v>8</v>
      </c>
      <c r="K46">
        <v>5</v>
      </c>
      <c r="L46" s="32">
        <f t="shared" si="3"/>
        <v>3</v>
      </c>
      <c r="M46">
        <v>7</v>
      </c>
      <c r="N46">
        <v>4</v>
      </c>
      <c r="O46" s="32">
        <f t="shared" si="4"/>
        <v>3</v>
      </c>
      <c r="P46">
        <v>8</v>
      </c>
      <c r="Q46">
        <v>3</v>
      </c>
      <c r="R46" s="32">
        <f t="shared" si="5"/>
        <v>5</v>
      </c>
      <c r="S46">
        <v>7</v>
      </c>
      <c r="T46">
        <v>2</v>
      </c>
      <c r="U46" s="32">
        <f t="shared" si="6"/>
        <v>5</v>
      </c>
      <c r="V46">
        <v>6</v>
      </c>
      <c r="W46">
        <v>4</v>
      </c>
      <c r="X46" s="32">
        <f t="shared" si="7"/>
        <v>2</v>
      </c>
      <c r="Y46">
        <v>8</v>
      </c>
      <c r="Z46">
        <v>5</v>
      </c>
      <c r="AA46" s="32">
        <f t="shared" si="8"/>
        <v>3</v>
      </c>
    </row>
    <row r="47" spans="1:27" x14ac:dyDescent="0.45">
      <c r="A47">
        <v>6</v>
      </c>
      <c r="B47">
        <v>4</v>
      </c>
      <c r="C47" s="32">
        <f t="shared" si="0"/>
        <v>2</v>
      </c>
      <c r="D47">
        <v>6</v>
      </c>
      <c r="E47">
        <v>5</v>
      </c>
      <c r="F47" s="32">
        <f t="shared" si="1"/>
        <v>1</v>
      </c>
      <c r="G47">
        <v>7</v>
      </c>
      <c r="H47">
        <v>3</v>
      </c>
      <c r="I47" s="32">
        <f t="shared" si="2"/>
        <v>4</v>
      </c>
      <c r="J47">
        <v>8</v>
      </c>
      <c r="K47">
        <v>5</v>
      </c>
      <c r="L47" s="32">
        <f t="shared" si="3"/>
        <v>3</v>
      </c>
      <c r="M47">
        <v>7</v>
      </c>
      <c r="N47">
        <v>4</v>
      </c>
      <c r="O47" s="32">
        <f t="shared" si="4"/>
        <v>3</v>
      </c>
      <c r="P47">
        <v>8</v>
      </c>
      <c r="Q47">
        <v>3</v>
      </c>
      <c r="R47" s="32">
        <f t="shared" si="5"/>
        <v>5</v>
      </c>
      <c r="S47">
        <v>7</v>
      </c>
      <c r="T47">
        <v>2</v>
      </c>
      <c r="U47" s="32">
        <f t="shared" si="6"/>
        <v>5</v>
      </c>
      <c r="V47">
        <v>6</v>
      </c>
      <c r="W47">
        <v>4</v>
      </c>
      <c r="X47" s="32">
        <f t="shared" si="7"/>
        <v>2</v>
      </c>
      <c r="Y47">
        <v>8</v>
      </c>
      <c r="Z47">
        <v>5</v>
      </c>
      <c r="AA47" s="32">
        <f t="shared" si="8"/>
        <v>3</v>
      </c>
    </row>
    <row r="48" spans="1:27" x14ac:dyDescent="0.45">
      <c r="A48">
        <v>6</v>
      </c>
      <c r="B48">
        <v>4</v>
      </c>
      <c r="C48" s="32">
        <f t="shared" si="0"/>
        <v>2</v>
      </c>
      <c r="D48">
        <v>6</v>
      </c>
      <c r="E48">
        <v>5</v>
      </c>
      <c r="F48" s="32">
        <f t="shared" si="1"/>
        <v>1</v>
      </c>
      <c r="G48">
        <v>7</v>
      </c>
      <c r="H48">
        <v>3</v>
      </c>
      <c r="I48" s="32">
        <f t="shared" si="2"/>
        <v>4</v>
      </c>
      <c r="J48">
        <v>8</v>
      </c>
      <c r="K48">
        <v>5</v>
      </c>
      <c r="L48" s="32">
        <f t="shared" si="3"/>
        <v>3</v>
      </c>
      <c r="M48">
        <v>7</v>
      </c>
      <c r="N48">
        <v>4</v>
      </c>
      <c r="O48" s="32">
        <f t="shared" si="4"/>
        <v>3</v>
      </c>
      <c r="P48">
        <v>8</v>
      </c>
      <c r="Q48">
        <v>3</v>
      </c>
      <c r="R48" s="32">
        <f t="shared" si="5"/>
        <v>5</v>
      </c>
      <c r="S48">
        <v>7</v>
      </c>
      <c r="T48">
        <v>2</v>
      </c>
      <c r="U48" s="32">
        <f t="shared" si="6"/>
        <v>5</v>
      </c>
      <c r="V48">
        <v>6</v>
      </c>
      <c r="W48">
        <v>5</v>
      </c>
      <c r="X48" s="32">
        <f t="shared" si="7"/>
        <v>1</v>
      </c>
      <c r="Y48">
        <v>8</v>
      </c>
      <c r="Z48">
        <v>5</v>
      </c>
      <c r="AA48" s="32">
        <f t="shared" si="8"/>
        <v>3</v>
      </c>
    </row>
    <row r="49" spans="1:27" x14ac:dyDescent="0.45">
      <c r="A49">
        <v>6</v>
      </c>
      <c r="B49">
        <v>4</v>
      </c>
      <c r="C49" s="32">
        <f t="shared" si="0"/>
        <v>2</v>
      </c>
      <c r="D49">
        <v>6</v>
      </c>
      <c r="E49">
        <v>5</v>
      </c>
      <c r="F49" s="32">
        <f t="shared" si="1"/>
        <v>1</v>
      </c>
      <c r="G49">
        <v>7</v>
      </c>
      <c r="H49">
        <v>3</v>
      </c>
      <c r="I49" s="32">
        <f t="shared" si="2"/>
        <v>4</v>
      </c>
      <c r="J49">
        <v>8</v>
      </c>
      <c r="K49">
        <v>5</v>
      </c>
      <c r="L49" s="32">
        <f t="shared" si="3"/>
        <v>3</v>
      </c>
      <c r="M49">
        <v>7</v>
      </c>
      <c r="N49">
        <v>4</v>
      </c>
      <c r="O49" s="32">
        <f t="shared" si="4"/>
        <v>3</v>
      </c>
      <c r="P49">
        <v>8</v>
      </c>
      <c r="Q49">
        <v>3</v>
      </c>
      <c r="R49" s="32">
        <f t="shared" si="5"/>
        <v>5</v>
      </c>
      <c r="S49">
        <v>7</v>
      </c>
      <c r="T49">
        <v>2</v>
      </c>
      <c r="U49" s="32">
        <f t="shared" si="6"/>
        <v>5</v>
      </c>
      <c r="V49">
        <v>6</v>
      </c>
      <c r="W49">
        <v>5</v>
      </c>
      <c r="X49" s="32">
        <f t="shared" si="7"/>
        <v>1</v>
      </c>
      <c r="Y49">
        <v>8</v>
      </c>
      <c r="Z49">
        <v>5</v>
      </c>
      <c r="AA49" s="32">
        <f t="shared" si="8"/>
        <v>3</v>
      </c>
    </row>
    <row r="50" spans="1:27" x14ac:dyDescent="0.45">
      <c r="A50">
        <v>6</v>
      </c>
      <c r="B50">
        <v>4</v>
      </c>
      <c r="C50" s="32">
        <f t="shared" si="0"/>
        <v>2</v>
      </c>
      <c r="D50">
        <v>6</v>
      </c>
      <c r="E50">
        <v>5</v>
      </c>
      <c r="F50" s="32">
        <f t="shared" si="1"/>
        <v>1</v>
      </c>
      <c r="G50">
        <v>7</v>
      </c>
      <c r="H50">
        <v>3</v>
      </c>
      <c r="I50" s="32">
        <f t="shared" si="2"/>
        <v>4</v>
      </c>
      <c r="J50">
        <v>8</v>
      </c>
      <c r="K50">
        <v>5</v>
      </c>
      <c r="L50" s="32">
        <f t="shared" si="3"/>
        <v>3</v>
      </c>
      <c r="M50">
        <v>7</v>
      </c>
      <c r="N50">
        <v>4</v>
      </c>
      <c r="O50" s="32">
        <f t="shared" si="4"/>
        <v>3</v>
      </c>
      <c r="P50">
        <v>8</v>
      </c>
      <c r="Q50">
        <v>3</v>
      </c>
      <c r="R50" s="32">
        <f t="shared" si="5"/>
        <v>5</v>
      </c>
      <c r="S50">
        <v>7</v>
      </c>
      <c r="T50">
        <v>3</v>
      </c>
      <c r="U50" s="32">
        <f t="shared" si="6"/>
        <v>4</v>
      </c>
      <c r="V50">
        <v>6</v>
      </c>
      <c r="W50">
        <v>5</v>
      </c>
      <c r="X50" s="32">
        <f t="shared" si="7"/>
        <v>1</v>
      </c>
      <c r="Y50">
        <v>8</v>
      </c>
      <c r="Z50">
        <v>5</v>
      </c>
      <c r="AA50" s="32">
        <f t="shared" si="8"/>
        <v>3</v>
      </c>
    </row>
    <row r="51" spans="1:27" x14ac:dyDescent="0.45">
      <c r="A51">
        <v>6</v>
      </c>
      <c r="B51">
        <v>4</v>
      </c>
      <c r="C51" s="32">
        <f t="shared" si="0"/>
        <v>2</v>
      </c>
      <c r="D51">
        <v>6</v>
      </c>
      <c r="E51">
        <v>5</v>
      </c>
      <c r="F51" s="32">
        <f t="shared" si="1"/>
        <v>1</v>
      </c>
      <c r="G51">
        <v>7</v>
      </c>
      <c r="H51">
        <v>3</v>
      </c>
      <c r="I51" s="32">
        <f t="shared" si="2"/>
        <v>4</v>
      </c>
      <c r="J51">
        <v>8</v>
      </c>
      <c r="K51">
        <v>5</v>
      </c>
      <c r="L51" s="32">
        <f t="shared" si="3"/>
        <v>3</v>
      </c>
      <c r="M51">
        <v>7</v>
      </c>
      <c r="N51">
        <v>4</v>
      </c>
      <c r="O51" s="32">
        <f t="shared" si="4"/>
        <v>3</v>
      </c>
      <c r="P51">
        <v>8</v>
      </c>
      <c r="Q51">
        <v>3</v>
      </c>
      <c r="R51" s="32">
        <f t="shared" si="5"/>
        <v>5</v>
      </c>
      <c r="S51">
        <v>7</v>
      </c>
      <c r="T51">
        <v>3</v>
      </c>
      <c r="U51" s="32">
        <f t="shared" si="6"/>
        <v>4</v>
      </c>
      <c r="V51">
        <v>6</v>
      </c>
      <c r="W51">
        <v>5</v>
      </c>
      <c r="X51" s="32">
        <f t="shared" si="7"/>
        <v>1</v>
      </c>
      <c r="Y51">
        <v>8</v>
      </c>
      <c r="Z51">
        <v>5</v>
      </c>
      <c r="AA51" s="32">
        <f t="shared" si="8"/>
        <v>3</v>
      </c>
    </row>
    <row r="52" spans="1:27" x14ac:dyDescent="0.45">
      <c r="A52">
        <v>6</v>
      </c>
      <c r="B52">
        <v>4</v>
      </c>
      <c r="C52" s="32">
        <f t="shared" si="0"/>
        <v>2</v>
      </c>
      <c r="D52">
        <v>6</v>
      </c>
      <c r="E52">
        <v>5</v>
      </c>
      <c r="F52" s="32">
        <f t="shared" si="1"/>
        <v>1</v>
      </c>
      <c r="G52">
        <v>7</v>
      </c>
      <c r="H52">
        <v>3</v>
      </c>
      <c r="I52" s="32">
        <f t="shared" si="2"/>
        <v>4</v>
      </c>
      <c r="J52">
        <v>8</v>
      </c>
      <c r="K52">
        <v>5</v>
      </c>
      <c r="L52" s="32">
        <f t="shared" si="3"/>
        <v>3</v>
      </c>
      <c r="M52">
        <v>7</v>
      </c>
      <c r="N52">
        <v>4</v>
      </c>
      <c r="O52" s="32">
        <f t="shared" si="4"/>
        <v>3</v>
      </c>
      <c r="P52">
        <v>8</v>
      </c>
      <c r="Q52">
        <v>3</v>
      </c>
      <c r="R52" s="32">
        <f t="shared" si="5"/>
        <v>5</v>
      </c>
      <c r="S52">
        <v>7</v>
      </c>
      <c r="T52">
        <v>3</v>
      </c>
      <c r="U52" s="32">
        <f t="shared" si="6"/>
        <v>4</v>
      </c>
      <c r="V52">
        <v>6</v>
      </c>
      <c r="W52">
        <v>5</v>
      </c>
      <c r="X52" s="32">
        <f t="shared" si="7"/>
        <v>1</v>
      </c>
      <c r="Y52">
        <v>8</v>
      </c>
      <c r="Z52">
        <v>5</v>
      </c>
      <c r="AA52" s="32">
        <f t="shared" si="8"/>
        <v>3</v>
      </c>
    </row>
    <row r="53" spans="1:27" x14ac:dyDescent="0.45">
      <c r="A53">
        <v>6</v>
      </c>
      <c r="B53">
        <v>4</v>
      </c>
      <c r="C53" s="32">
        <f t="shared" si="0"/>
        <v>2</v>
      </c>
      <c r="D53">
        <v>6</v>
      </c>
      <c r="E53">
        <v>5</v>
      </c>
      <c r="F53" s="32">
        <f t="shared" si="1"/>
        <v>1</v>
      </c>
      <c r="G53">
        <v>7</v>
      </c>
      <c r="H53">
        <v>3</v>
      </c>
      <c r="I53" s="32">
        <f t="shared" si="2"/>
        <v>4</v>
      </c>
      <c r="J53">
        <v>8</v>
      </c>
      <c r="K53">
        <v>5</v>
      </c>
      <c r="L53" s="32">
        <f t="shared" si="3"/>
        <v>3</v>
      </c>
      <c r="M53">
        <v>7</v>
      </c>
      <c r="N53">
        <v>4</v>
      </c>
      <c r="O53" s="32">
        <f t="shared" si="4"/>
        <v>3</v>
      </c>
      <c r="P53">
        <v>8</v>
      </c>
      <c r="Q53">
        <v>3</v>
      </c>
      <c r="R53" s="32">
        <f t="shared" si="5"/>
        <v>5</v>
      </c>
      <c r="S53">
        <v>7</v>
      </c>
      <c r="T53">
        <v>3</v>
      </c>
      <c r="U53" s="32">
        <f t="shared" si="6"/>
        <v>4</v>
      </c>
      <c r="V53">
        <v>6</v>
      </c>
      <c r="W53">
        <v>5</v>
      </c>
      <c r="X53" s="32">
        <f t="shared" si="7"/>
        <v>1</v>
      </c>
      <c r="Y53">
        <v>8</v>
      </c>
      <c r="Z53">
        <v>5</v>
      </c>
      <c r="AA53" s="32">
        <f t="shared" si="8"/>
        <v>3</v>
      </c>
    </row>
    <row r="54" spans="1:27" x14ac:dyDescent="0.45">
      <c r="A54">
        <v>6</v>
      </c>
      <c r="B54">
        <v>4</v>
      </c>
      <c r="C54" s="32">
        <f t="shared" si="0"/>
        <v>2</v>
      </c>
      <c r="D54">
        <v>6</v>
      </c>
      <c r="E54">
        <v>5</v>
      </c>
      <c r="F54" s="32">
        <f t="shared" si="1"/>
        <v>1</v>
      </c>
      <c r="G54">
        <v>7</v>
      </c>
      <c r="H54">
        <v>3</v>
      </c>
      <c r="I54" s="32">
        <f t="shared" si="2"/>
        <v>4</v>
      </c>
      <c r="J54">
        <v>8</v>
      </c>
      <c r="K54">
        <v>5</v>
      </c>
      <c r="L54" s="32">
        <f t="shared" si="3"/>
        <v>3</v>
      </c>
      <c r="M54">
        <v>7</v>
      </c>
      <c r="N54">
        <v>4</v>
      </c>
      <c r="O54" s="32">
        <f t="shared" si="4"/>
        <v>3</v>
      </c>
      <c r="P54">
        <v>8</v>
      </c>
      <c r="Q54">
        <v>3</v>
      </c>
      <c r="R54" s="32">
        <f t="shared" si="5"/>
        <v>5</v>
      </c>
      <c r="S54">
        <v>7</v>
      </c>
      <c r="T54">
        <v>3</v>
      </c>
      <c r="U54" s="32">
        <f t="shared" si="6"/>
        <v>4</v>
      </c>
      <c r="V54">
        <v>6</v>
      </c>
      <c r="W54">
        <v>5</v>
      </c>
      <c r="X54" s="32">
        <f t="shared" si="7"/>
        <v>1</v>
      </c>
      <c r="Y54">
        <v>8</v>
      </c>
      <c r="Z54">
        <v>5</v>
      </c>
      <c r="AA54" s="32">
        <f t="shared" si="8"/>
        <v>3</v>
      </c>
    </row>
    <row r="55" spans="1:27" x14ac:dyDescent="0.45">
      <c r="A55">
        <v>6</v>
      </c>
      <c r="B55">
        <v>4</v>
      </c>
      <c r="C55" s="32">
        <f t="shared" si="0"/>
        <v>2</v>
      </c>
      <c r="D55">
        <v>6</v>
      </c>
      <c r="E55">
        <v>5</v>
      </c>
      <c r="F55" s="32">
        <f t="shared" si="1"/>
        <v>1</v>
      </c>
      <c r="G55">
        <v>7</v>
      </c>
      <c r="H55">
        <v>3</v>
      </c>
      <c r="I55" s="32">
        <f t="shared" si="2"/>
        <v>4</v>
      </c>
      <c r="J55">
        <v>8</v>
      </c>
      <c r="K55">
        <v>5</v>
      </c>
      <c r="L55" s="32">
        <f t="shared" si="3"/>
        <v>3</v>
      </c>
      <c r="M55">
        <v>7</v>
      </c>
      <c r="N55">
        <v>4</v>
      </c>
      <c r="O55" s="32">
        <f t="shared" si="4"/>
        <v>3</v>
      </c>
      <c r="P55">
        <v>8</v>
      </c>
      <c r="Q55">
        <v>4</v>
      </c>
      <c r="R55" s="32">
        <f t="shared" si="5"/>
        <v>4</v>
      </c>
      <c r="S55">
        <v>7</v>
      </c>
      <c r="T55">
        <v>3</v>
      </c>
      <c r="U55" s="32">
        <f t="shared" si="6"/>
        <v>4</v>
      </c>
      <c r="V55">
        <v>6</v>
      </c>
      <c r="W55">
        <v>5</v>
      </c>
      <c r="X55" s="32">
        <f t="shared" si="7"/>
        <v>1</v>
      </c>
      <c r="Y55">
        <v>8</v>
      </c>
      <c r="Z55">
        <v>5</v>
      </c>
      <c r="AA55" s="32">
        <f t="shared" si="8"/>
        <v>3</v>
      </c>
    </row>
    <row r="56" spans="1:27" x14ac:dyDescent="0.45">
      <c r="A56">
        <v>6</v>
      </c>
      <c r="B56">
        <v>4</v>
      </c>
      <c r="C56" s="32">
        <f t="shared" si="0"/>
        <v>2</v>
      </c>
      <c r="D56">
        <v>6</v>
      </c>
      <c r="E56">
        <v>5</v>
      </c>
      <c r="F56" s="32">
        <f t="shared" si="1"/>
        <v>1</v>
      </c>
      <c r="G56">
        <v>7</v>
      </c>
      <c r="H56">
        <v>3</v>
      </c>
      <c r="I56" s="32">
        <f t="shared" si="2"/>
        <v>4</v>
      </c>
      <c r="J56">
        <v>8</v>
      </c>
      <c r="K56">
        <v>5</v>
      </c>
      <c r="L56" s="32">
        <f t="shared" si="3"/>
        <v>3</v>
      </c>
      <c r="M56">
        <v>7</v>
      </c>
      <c r="N56">
        <v>4</v>
      </c>
      <c r="O56" s="32">
        <f t="shared" si="4"/>
        <v>3</v>
      </c>
      <c r="P56">
        <v>8</v>
      </c>
      <c r="Q56">
        <v>4</v>
      </c>
      <c r="R56" s="32">
        <f t="shared" si="5"/>
        <v>4</v>
      </c>
      <c r="S56">
        <v>7</v>
      </c>
      <c r="T56">
        <v>3</v>
      </c>
      <c r="U56" s="32">
        <f t="shared" si="6"/>
        <v>4</v>
      </c>
      <c r="V56">
        <v>6</v>
      </c>
      <c r="W56">
        <v>5</v>
      </c>
      <c r="X56" s="32">
        <f t="shared" si="7"/>
        <v>1</v>
      </c>
      <c r="Y56">
        <v>8</v>
      </c>
      <c r="Z56">
        <v>5</v>
      </c>
      <c r="AA56" s="32">
        <f t="shared" si="8"/>
        <v>3</v>
      </c>
    </row>
    <row r="57" spans="1:27" x14ac:dyDescent="0.45">
      <c r="A57">
        <v>6</v>
      </c>
      <c r="B57">
        <v>5</v>
      </c>
      <c r="C57" s="32">
        <f t="shared" si="0"/>
        <v>1</v>
      </c>
      <c r="D57">
        <v>6</v>
      </c>
      <c r="E57">
        <v>5</v>
      </c>
      <c r="F57" s="32">
        <f t="shared" si="1"/>
        <v>1</v>
      </c>
      <c r="G57">
        <v>7</v>
      </c>
      <c r="H57">
        <v>3</v>
      </c>
      <c r="I57" s="32">
        <f t="shared" si="2"/>
        <v>4</v>
      </c>
      <c r="J57">
        <v>8</v>
      </c>
      <c r="K57">
        <v>5</v>
      </c>
      <c r="L57" s="32">
        <f t="shared" si="3"/>
        <v>3</v>
      </c>
      <c r="M57">
        <v>7</v>
      </c>
      <c r="N57">
        <v>4</v>
      </c>
      <c r="O57" s="32">
        <f t="shared" si="4"/>
        <v>3</v>
      </c>
      <c r="P57">
        <v>8</v>
      </c>
      <c r="Q57">
        <v>4</v>
      </c>
      <c r="R57" s="32">
        <f t="shared" si="5"/>
        <v>4</v>
      </c>
      <c r="S57">
        <v>7</v>
      </c>
      <c r="T57">
        <v>3</v>
      </c>
      <c r="U57" s="32">
        <f t="shared" si="6"/>
        <v>4</v>
      </c>
      <c r="V57">
        <v>6</v>
      </c>
      <c r="W57">
        <v>5</v>
      </c>
      <c r="X57" s="32">
        <f t="shared" si="7"/>
        <v>1</v>
      </c>
      <c r="Y57">
        <v>8</v>
      </c>
      <c r="Z57">
        <v>5</v>
      </c>
      <c r="AA57" s="32">
        <f t="shared" si="8"/>
        <v>3</v>
      </c>
    </row>
    <row r="58" spans="1:27" x14ac:dyDescent="0.45">
      <c r="A58">
        <v>6</v>
      </c>
      <c r="B58">
        <v>5</v>
      </c>
      <c r="C58" s="32">
        <f t="shared" si="0"/>
        <v>1</v>
      </c>
      <c r="D58">
        <v>6</v>
      </c>
      <c r="E58">
        <v>5</v>
      </c>
      <c r="F58" s="32">
        <f t="shared" si="1"/>
        <v>1</v>
      </c>
      <c r="G58">
        <v>7</v>
      </c>
      <c r="H58">
        <v>3</v>
      </c>
      <c r="I58" s="32">
        <f t="shared" si="2"/>
        <v>4</v>
      </c>
      <c r="J58">
        <v>8</v>
      </c>
      <c r="K58">
        <v>5</v>
      </c>
      <c r="L58" s="32">
        <f t="shared" si="3"/>
        <v>3</v>
      </c>
      <c r="M58">
        <v>7</v>
      </c>
      <c r="N58">
        <v>4</v>
      </c>
      <c r="O58" s="32">
        <f t="shared" si="4"/>
        <v>3</v>
      </c>
      <c r="P58">
        <v>8</v>
      </c>
      <c r="Q58">
        <v>4</v>
      </c>
      <c r="R58" s="32">
        <f t="shared" si="5"/>
        <v>4</v>
      </c>
      <c r="S58">
        <v>7</v>
      </c>
      <c r="T58">
        <v>3</v>
      </c>
      <c r="U58" s="32">
        <f t="shared" si="6"/>
        <v>4</v>
      </c>
      <c r="V58">
        <v>6</v>
      </c>
      <c r="W58">
        <v>5</v>
      </c>
      <c r="X58" s="32">
        <f t="shared" si="7"/>
        <v>1</v>
      </c>
      <c r="Y58">
        <v>8</v>
      </c>
      <c r="Z58">
        <v>5</v>
      </c>
      <c r="AA58" s="32">
        <f t="shared" si="8"/>
        <v>3</v>
      </c>
    </row>
    <row r="59" spans="1:27" x14ac:dyDescent="0.45">
      <c r="A59">
        <v>6</v>
      </c>
      <c r="B59">
        <v>5</v>
      </c>
      <c r="C59" s="32">
        <f t="shared" si="0"/>
        <v>1</v>
      </c>
      <c r="D59">
        <v>6</v>
      </c>
      <c r="E59">
        <v>5</v>
      </c>
      <c r="F59" s="32">
        <f t="shared" si="1"/>
        <v>1</v>
      </c>
      <c r="G59">
        <v>7</v>
      </c>
      <c r="H59">
        <v>3</v>
      </c>
      <c r="I59" s="32">
        <f t="shared" si="2"/>
        <v>4</v>
      </c>
      <c r="J59">
        <v>8</v>
      </c>
      <c r="K59">
        <v>5</v>
      </c>
      <c r="L59" s="32">
        <f t="shared" si="3"/>
        <v>3</v>
      </c>
      <c r="M59">
        <v>7</v>
      </c>
      <c r="N59">
        <v>5</v>
      </c>
      <c r="O59" s="32">
        <f t="shared" si="4"/>
        <v>2</v>
      </c>
      <c r="P59">
        <v>8</v>
      </c>
      <c r="Q59">
        <v>4</v>
      </c>
      <c r="R59" s="32">
        <f t="shared" si="5"/>
        <v>4</v>
      </c>
      <c r="S59">
        <v>7</v>
      </c>
      <c r="T59">
        <v>4</v>
      </c>
      <c r="U59" s="32">
        <f t="shared" si="6"/>
        <v>3</v>
      </c>
      <c r="V59">
        <v>6</v>
      </c>
      <c r="W59">
        <v>5</v>
      </c>
      <c r="X59" s="32">
        <f t="shared" si="7"/>
        <v>1</v>
      </c>
      <c r="Y59">
        <v>8</v>
      </c>
      <c r="Z59">
        <v>5</v>
      </c>
      <c r="AA59" s="32">
        <f t="shared" si="8"/>
        <v>3</v>
      </c>
    </row>
    <row r="60" spans="1:27" x14ac:dyDescent="0.45">
      <c r="A60">
        <v>6</v>
      </c>
      <c r="B60">
        <v>5</v>
      </c>
      <c r="C60" s="32">
        <f t="shared" si="0"/>
        <v>1</v>
      </c>
      <c r="D60">
        <v>6</v>
      </c>
      <c r="E60">
        <v>5</v>
      </c>
      <c r="F60" s="32">
        <f t="shared" si="1"/>
        <v>1</v>
      </c>
      <c r="G60">
        <v>7</v>
      </c>
      <c r="H60">
        <v>4</v>
      </c>
      <c r="I60" s="32">
        <f t="shared" si="2"/>
        <v>3</v>
      </c>
      <c r="J60">
        <v>8</v>
      </c>
      <c r="K60">
        <v>5</v>
      </c>
      <c r="L60" s="32">
        <f t="shared" si="3"/>
        <v>3</v>
      </c>
      <c r="M60">
        <v>7</v>
      </c>
      <c r="N60">
        <v>5</v>
      </c>
      <c r="O60" s="32">
        <f t="shared" si="4"/>
        <v>2</v>
      </c>
      <c r="P60">
        <v>8</v>
      </c>
      <c r="Q60">
        <v>4</v>
      </c>
      <c r="R60" s="32">
        <f t="shared" si="5"/>
        <v>4</v>
      </c>
      <c r="S60">
        <v>7</v>
      </c>
      <c r="T60">
        <v>4</v>
      </c>
      <c r="U60" s="32">
        <f t="shared" si="6"/>
        <v>3</v>
      </c>
      <c r="V60">
        <v>6</v>
      </c>
      <c r="W60">
        <v>5</v>
      </c>
      <c r="X60" s="32">
        <f t="shared" si="7"/>
        <v>1</v>
      </c>
      <c r="Y60">
        <v>8</v>
      </c>
      <c r="Z60">
        <v>5</v>
      </c>
      <c r="AA60" s="32">
        <f t="shared" si="8"/>
        <v>3</v>
      </c>
    </row>
    <row r="61" spans="1:27" x14ac:dyDescent="0.45">
      <c r="A61">
        <v>6</v>
      </c>
      <c r="B61">
        <v>5</v>
      </c>
      <c r="C61" s="32">
        <f t="shared" si="0"/>
        <v>1</v>
      </c>
      <c r="D61">
        <v>6</v>
      </c>
      <c r="E61">
        <v>5</v>
      </c>
      <c r="F61" s="32">
        <f t="shared" si="1"/>
        <v>1</v>
      </c>
      <c r="G61">
        <v>7</v>
      </c>
      <c r="H61">
        <v>4</v>
      </c>
      <c r="I61" s="32">
        <f t="shared" si="2"/>
        <v>3</v>
      </c>
      <c r="J61">
        <v>8</v>
      </c>
      <c r="K61">
        <v>5</v>
      </c>
      <c r="L61" s="32">
        <f t="shared" si="3"/>
        <v>3</v>
      </c>
      <c r="M61">
        <v>7</v>
      </c>
      <c r="N61">
        <v>5</v>
      </c>
      <c r="O61" s="32">
        <f t="shared" si="4"/>
        <v>2</v>
      </c>
      <c r="P61">
        <v>8</v>
      </c>
      <c r="Q61">
        <v>4</v>
      </c>
      <c r="R61" s="32">
        <f t="shared" si="5"/>
        <v>4</v>
      </c>
      <c r="S61">
        <v>7</v>
      </c>
      <c r="T61">
        <v>4</v>
      </c>
      <c r="U61" s="32">
        <f t="shared" si="6"/>
        <v>3</v>
      </c>
      <c r="V61">
        <v>6</v>
      </c>
      <c r="W61">
        <v>5</v>
      </c>
      <c r="X61" s="32">
        <f t="shared" si="7"/>
        <v>1</v>
      </c>
      <c r="Y61">
        <v>8</v>
      </c>
      <c r="Z61">
        <v>5</v>
      </c>
      <c r="AA61" s="32">
        <f t="shared" si="8"/>
        <v>3</v>
      </c>
    </row>
    <row r="62" spans="1:27" x14ac:dyDescent="0.45">
      <c r="A62">
        <v>6</v>
      </c>
      <c r="B62">
        <v>5</v>
      </c>
      <c r="C62" s="32">
        <f t="shared" si="0"/>
        <v>1</v>
      </c>
      <c r="D62">
        <v>6</v>
      </c>
      <c r="E62">
        <v>5</v>
      </c>
      <c r="F62" s="32">
        <f t="shared" si="1"/>
        <v>1</v>
      </c>
      <c r="G62">
        <v>7</v>
      </c>
      <c r="H62">
        <v>4</v>
      </c>
      <c r="I62" s="32">
        <f t="shared" si="2"/>
        <v>3</v>
      </c>
      <c r="J62">
        <v>8</v>
      </c>
      <c r="K62">
        <v>5</v>
      </c>
      <c r="L62" s="32">
        <f t="shared" si="3"/>
        <v>3</v>
      </c>
      <c r="M62">
        <v>7</v>
      </c>
      <c r="N62">
        <v>5</v>
      </c>
      <c r="O62" s="32">
        <f t="shared" si="4"/>
        <v>2</v>
      </c>
      <c r="P62">
        <v>8</v>
      </c>
      <c r="Q62">
        <v>4</v>
      </c>
      <c r="R62" s="32">
        <f t="shared" si="5"/>
        <v>4</v>
      </c>
      <c r="S62">
        <v>7</v>
      </c>
      <c r="T62">
        <v>4</v>
      </c>
      <c r="U62" s="32">
        <f t="shared" si="6"/>
        <v>3</v>
      </c>
      <c r="V62">
        <v>6</v>
      </c>
      <c r="W62">
        <v>5</v>
      </c>
      <c r="X62" s="32">
        <f t="shared" si="7"/>
        <v>1</v>
      </c>
      <c r="Y62">
        <v>8</v>
      </c>
      <c r="Z62">
        <v>5</v>
      </c>
      <c r="AA62" s="32">
        <f t="shared" si="8"/>
        <v>3</v>
      </c>
    </row>
    <row r="63" spans="1:27" x14ac:dyDescent="0.45">
      <c r="A63">
        <v>6</v>
      </c>
      <c r="B63">
        <v>5</v>
      </c>
      <c r="C63" s="32">
        <f t="shared" si="0"/>
        <v>1</v>
      </c>
      <c r="D63">
        <v>6</v>
      </c>
      <c r="E63">
        <v>5</v>
      </c>
      <c r="F63" s="32">
        <f t="shared" si="1"/>
        <v>1</v>
      </c>
      <c r="G63">
        <v>7</v>
      </c>
      <c r="H63">
        <v>4</v>
      </c>
      <c r="I63" s="32">
        <f t="shared" si="2"/>
        <v>3</v>
      </c>
      <c r="J63">
        <v>8</v>
      </c>
      <c r="K63">
        <v>5</v>
      </c>
      <c r="L63" s="32">
        <f t="shared" si="3"/>
        <v>3</v>
      </c>
      <c r="M63">
        <v>7</v>
      </c>
      <c r="N63">
        <v>5</v>
      </c>
      <c r="O63" s="32">
        <f t="shared" si="4"/>
        <v>2</v>
      </c>
      <c r="P63">
        <v>8</v>
      </c>
      <c r="Q63">
        <v>4</v>
      </c>
      <c r="R63" s="32">
        <f t="shared" si="5"/>
        <v>4</v>
      </c>
      <c r="S63">
        <v>7</v>
      </c>
      <c r="T63">
        <v>4</v>
      </c>
      <c r="U63" s="32">
        <f t="shared" si="6"/>
        <v>3</v>
      </c>
      <c r="V63">
        <v>6</v>
      </c>
      <c r="W63">
        <v>5</v>
      </c>
      <c r="X63" s="32">
        <f t="shared" si="7"/>
        <v>1</v>
      </c>
      <c r="Y63">
        <v>8</v>
      </c>
      <c r="Z63">
        <v>5</v>
      </c>
      <c r="AA63" s="32">
        <f t="shared" si="8"/>
        <v>3</v>
      </c>
    </row>
    <row r="64" spans="1:27" x14ac:dyDescent="0.45">
      <c r="A64">
        <v>6</v>
      </c>
      <c r="B64">
        <v>5</v>
      </c>
      <c r="C64" s="32">
        <f t="shared" si="0"/>
        <v>1</v>
      </c>
      <c r="D64">
        <v>6</v>
      </c>
      <c r="E64">
        <v>5</v>
      </c>
      <c r="F64" s="32">
        <f t="shared" si="1"/>
        <v>1</v>
      </c>
      <c r="G64">
        <v>7</v>
      </c>
      <c r="H64">
        <v>4</v>
      </c>
      <c r="I64" s="32">
        <f t="shared" si="2"/>
        <v>3</v>
      </c>
      <c r="J64">
        <v>8</v>
      </c>
      <c r="K64">
        <v>5</v>
      </c>
      <c r="L64" s="32">
        <f t="shared" si="3"/>
        <v>3</v>
      </c>
      <c r="M64">
        <v>7</v>
      </c>
      <c r="N64">
        <v>5</v>
      </c>
      <c r="O64" s="32">
        <f t="shared" si="4"/>
        <v>2</v>
      </c>
      <c r="P64">
        <v>8</v>
      </c>
      <c r="Q64">
        <v>4</v>
      </c>
      <c r="R64" s="32">
        <f t="shared" si="5"/>
        <v>4</v>
      </c>
      <c r="S64">
        <v>7</v>
      </c>
      <c r="T64">
        <v>4</v>
      </c>
      <c r="U64" s="32">
        <f t="shared" si="6"/>
        <v>3</v>
      </c>
      <c r="V64">
        <v>6</v>
      </c>
      <c r="W64">
        <v>5</v>
      </c>
      <c r="X64" s="32">
        <f t="shared" si="7"/>
        <v>1</v>
      </c>
      <c r="Y64">
        <v>8</v>
      </c>
      <c r="Z64">
        <v>5</v>
      </c>
      <c r="AA64" s="32">
        <f t="shared" si="8"/>
        <v>3</v>
      </c>
    </row>
    <row r="65" spans="1:27" x14ac:dyDescent="0.45">
      <c r="A65">
        <v>6</v>
      </c>
      <c r="B65">
        <v>5</v>
      </c>
      <c r="C65" s="32">
        <f t="shared" si="0"/>
        <v>1</v>
      </c>
      <c r="D65">
        <v>6</v>
      </c>
      <c r="E65">
        <v>5</v>
      </c>
      <c r="F65" s="32">
        <f t="shared" si="1"/>
        <v>1</v>
      </c>
      <c r="G65">
        <v>7</v>
      </c>
      <c r="H65">
        <v>4</v>
      </c>
      <c r="I65" s="32">
        <f t="shared" si="2"/>
        <v>3</v>
      </c>
      <c r="J65">
        <v>8</v>
      </c>
      <c r="K65">
        <v>5</v>
      </c>
      <c r="L65" s="32">
        <f t="shared" si="3"/>
        <v>3</v>
      </c>
      <c r="M65">
        <v>7</v>
      </c>
      <c r="N65">
        <v>5</v>
      </c>
      <c r="O65" s="32">
        <f t="shared" si="4"/>
        <v>2</v>
      </c>
      <c r="P65">
        <v>8</v>
      </c>
      <c r="Q65">
        <v>4</v>
      </c>
      <c r="R65" s="32">
        <f t="shared" si="5"/>
        <v>4</v>
      </c>
      <c r="S65">
        <v>7</v>
      </c>
      <c r="T65">
        <v>4</v>
      </c>
      <c r="U65" s="32">
        <f t="shared" si="6"/>
        <v>3</v>
      </c>
      <c r="V65">
        <v>6</v>
      </c>
      <c r="W65">
        <v>5</v>
      </c>
      <c r="X65" s="32">
        <f t="shared" si="7"/>
        <v>1</v>
      </c>
      <c r="Y65">
        <v>8</v>
      </c>
      <c r="Z65">
        <v>5</v>
      </c>
      <c r="AA65" s="32">
        <f t="shared" si="8"/>
        <v>3</v>
      </c>
    </row>
    <row r="66" spans="1:27" x14ac:dyDescent="0.45">
      <c r="A66">
        <v>6</v>
      </c>
      <c r="B66">
        <v>5</v>
      </c>
      <c r="C66" s="32">
        <f t="shared" si="0"/>
        <v>1</v>
      </c>
      <c r="D66">
        <v>6</v>
      </c>
      <c r="E66">
        <v>5</v>
      </c>
      <c r="F66" s="32">
        <f t="shared" si="1"/>
        <v>1</v>
      </c>
      <c r="G66">
        <v>7</v>
      </c>
      <c r="H66">
        <v>4</v>
      </c>
      <c r="I66" s="32">
        <f t="shared" si="2"/>
        <v>3</v>
      </c>
      <c r="J66">
        <v>8</v>
      </c>
      <c r="K66">
        <v>5</v>
      </c>
      <c r="L66" s="32">
        <f t="shared" si="3"/>
        <v>3</v>
      </c>
      <c r="M66">
        <v>7</v>
      </c>
      <c r="N66">
        <v>5</v>
      </c>
      <c r="O66" s="32">
        <f t="shared" si="4"/>
        <v>2</v>
      </c>
      <c r="P66">
        <v>8</v>
      </c>
      <c r="Q66">
        <v>4</v>
      </c>
      <c r="R66" s="32">
        <f t="shared" si="5"/>
        <v>4</v>
      </c>
      <c r="S66">
        <v>7</v>
      </c>
      <c r="T66">
        <v>4</v>
      </c>
      <c r="U66" s="32">
        <f t="shared" si="6"/>
        <v>3</v>
      </c>
      <c r="V66">
        <v>6</v>
      </c>
      <c r="W66">
        <v>5</v>
      </c>
      <c r="X66" s="32">
        <f t="shared" si="7"/>
        <v>1</v>
      </c>
      <c r="Y66">
        <v>8</v>
      </c>
      <c r="Z66">
        <v>5</v>
      </c>
      <c r="AA66" s="32">
        <f t="shared" si="8"/>
        <v>3</v>
      </c>
    </row>
    <row r="67" spans="1:27" x14ac:dyDescent="0.45">
      <c r="A67">
        <v>6</v>
      </c>
      <c r="B67">
        <v>5</v>
      </c>
      <c r="C67" s="32">
        <f t="shared" ref="C67:C130" si="9">ABS(B67-A67)</f>
        <v>1</v>
      </c>
      <c r="D67">
        <v>6</v>
      </c>
      <c r="E67">
        <v>5</v>
      </c>
      <c r="F67" s="32">
        <f t="shared" ref="F67:F130" si="10">ABS(E67-D67)</f>
        <v>1</v>
      </c>
      <c r="G67">
        <v>7</v>
      </c>
      <c r="H67">
        <v>4</v>
      </c>
      <c r="I67" s="32">
        <f t="shared" ref="I67:I130" si="11">ABS(H67-G67)</f>
        <v>3</v>
      </c>
      <c r="J67">
        <v>8</v>
      </c>
      <c r="K67">
        <v>5</v>
      </c>
      <c r="L67" s="32">
        <f t="shared" ref="L67:L130" si="12">ABS(K67-J67)</f>
        <v>3</v>
      </c>
      <c r="M67">
        <v>7</v>
      </c>
      <c r="N67">
        <v>5</v>
      </c>
      <c r="O67" s="32">
        <f t="shared" ref="O67:O130" si="13">ABS(N67-M67)</f>
        <v>2</v>
      </c>
      <c r="P67">
        <v>8</v>
      </c>
      <c r="Q67">
        <v>4</v>
      </c>
      <c r="R67" s="32">
        <f t="shared" ref="R67:R130" si="14">ABS(Q67-P67)</f>
        <v>4</v>
      </c>
      <c r="S67">
        <v>7</v>
      </c>
      <c r="T67">
        <v>4</v>
      </c>
      <c r="U67" s="32">
        <f t="shared" ref="U67:U130" si="15">ABS(T67-S67)</f>
        <v>3</v>
      </c>
      <c r="V67">
        <v>6</v>
      </c>
      <c r="W67">
        <v>5</v>
      </c>
      <c r="X67" s="32">
        <f t="shared" ref="X67:X130" si="16">ABS(W67-V67)</f>
        <v>1</v>
      </c>
      <c r="Y67">
        <v>8</v>
      </c>
      <c r="Z67">
        <v>5</v>
      </c>
      <c r="AA67" s="32">
        <f t="shared" ref="AA67:AA130" si="17">ABS(Z67-Y67)</f>
        <v>3</v>
      </c>
    </row>
    <row r="68" spans="1:27" x14ac:dyDescent="0.45">
      <c r="A68">
        <v>6</v>
      </c>
      <c r="B68">
        <v>5</v>
      </c>
      <c r="C68" s="32">
        <f t="shared" si="9"/>
        <v>1</v>
      </c>
      <c r="D68">
        <v>6</v>
      </c>
      <c r="E68">
        <v>5</v>
      </c>
      <c r="F68" s="32">
        <f t="shared" si="10"/>
        <v>1</v>
      </c>
      <c r="G68">
        <v>7</v>
      </c>
      <c r="H68">
        <v>4</v>
      </c>
      <c r="I68" s="32">
        <f t="shared" si="11"/>
        <v>3</v>
      </c>
      <c r="J68">
        <v>8</v>
      </c>
      <c r="K68">
        <v>5</v>
      </c>
      <c r="L68" s="32">
        <f t="shared" si="12"/>
        <v>3</v>
      </c>
      <c r="M68">
        <v>7</v>
      </c>
      <c r="N68">
        <v>5</v>
      </c>
      <c r="O68" s="32">
        <f t="shared" si="13"/>
        <v>2</v>
      </c>
      <c r="P68">
        <v>8</v>
      </c>
      <c r="Q68">
        <v>4</v>
      </c>
      <c r="R68" s="32">
        <f t="shared" si="14"/>
        <v>4</v>
      </c>
      <c r="S68">
        <v>7</v>
      </c>
      <c r="T68">
        <v>4</v>
      </c>
      <c r="U68" s="32">
        <f t="shared" si="15"/>
        <v>3</v>
      </c>
      <c r="V68">
        <v>6</v>
      </c>
      <c r="W68">
        <v>5</v>
      </c>
      <c r="X68" s="32">
        <f t="shared" si="16"/>
        <v>1</v>
      </c>
      <c r="Y68">
        <v>8</v>
      </c>
      <c r="Z68">
        <v>5</v>
      </c>
      <c r="AA68" s="32">
        <f t="shared" si="17"/>
        <v>3</v>
      </c>
    </row>
    <row r="69" spans="1:27" x14ac:dyDescent="0.45">
      <c r="A69">
        <v>6</v>
      </c>
      <c r="B69">
        <v>5</v>
      </c>
      <c r="C69" s="32">
        <f t="shared" si="9"/>
        <v>1</v>
      </c>
      <c r="D69">
        <v>6</v>
      </c>
      <c r="E69">
        <v>5</v>
      </c>
      <c r="F69" s="32">
        <f t="shared" si="10"/>
        <v>1</v>
      </c>
      <c r="G69">
        <v>7</v>
      </c>
      <c r="H69">
        <v>4</v>
      </c>
      <c r="I69" s="32">
        <f t="shared" si="11"/>
        <v>3</v>
      </c>
      <c r="J69">
        <v>8</v>
      </c>
      <c r="K69">
        <v>5</v>
      </c>
      <c r="L69" s="32">
        <f t="shared" si="12"/>
        <v>3</v>
      </c>
      <c r="M69">
        <v>7</v>
      </c>
      <c r="N69">
        <v>5</v>
      </c>
      <c r="O69" s="32">
        <f t="shared" si="13"/>
        <v>2</v>
      </c>
      <c r="P69">
        <v>8</v>
      </c>
      <c r="Q69">
        <v>4</v>
      </c>
      <c r="R69" s="32">
        <f t="shared" si="14"/>
        <v>4</v>
      </c>
      <c r="S69">
        <v>7</v>
      </c>
      <c r="T69">
        <v>4</v>
      </c>
      <c r="U69" s="32">
        <f t="shared" si="15"/>
        <v>3</v>
      </c>
      <c r="V69">
        <v>6</v>
      </c>
      <c r="W69">
        <v>5</v>
      </c>
      <c r="X69" s="32">
        <f t="shared" si="16"/>
        <v>1</v>
      </c>
      <c r="Y69">
        <v>8</v>
      </c>
      <c r="Z69">
        <v>5</v>
      </c>
      <c r="AA69" s="32">
        <f t="shared" si="17"/>
        <v>3</v>
      </c>
    </row>
    <row r="70" spans="1:27" x14ac:dyDescent="0.45">
      <c r="A70">
        <v>6</v>
      </c>
      <c r="B70">
        <v>5</v>
      </c>
      <c r="C70" s="32">
        <f t="shared" si="9"/>
        <v>1</v>
      </c>
      <c r="D70">
        <v>6</v>
      </c>
      <c r="E70">
        <v>5</v>
      </c>
      <c r="F70" s="32">
        <f t="shared" si="10"/>
        <v>1</v>
      </c>
      <c r="G70">
        <v>7</v>
      </c>
      <c r="H70">
        <v>4</v>
      </c>
      <c r="I70" s="32">
        <f t="shared" si="11"/>
        <v>3</v>
      </c>
      <c r="J70">
        <v>8</v>
      </c>
      <c r="K70">
        <v>5</v>
      </c>
      <c r="L70" s="32">
        <f t="shared" si="12"/>
        <v>3</v>
      </c>
      <c r="M70">
        <v>7</v>
      </c>
      <c r="N70">
        <v>5</v>
      </c>
      <c r="O70" s="32">
        <f t="shared" si="13"/>
        <v>2</v>
      </c>
      <c r="P70">
        <v>8</v>
      </c>
      <c r="Q70">
        <v>4</v>
      </c>
      <c r="R70" s="32">
        <f t="shared" si="14"/>
        <v>4</v>
      </c>
      <c r="S70">
        <v>7</v>
      </c>
      <c r="T70">
        <v>4</v>
      </c>
      <c r="U70" s="32">
        <f t="shared" si="15"/>
        <v>3</v>
      </c>
      <c r="V70">
        <v>6</v>
      </c>
      <c r="W70">
        <v>5</v>
      </c>
      <c r="X70" s="32">
        <f t="shared" si="16"/>
        <v>1</v>
      </c>
      <c r="Y70">
        <v>8</v>
      </c>
      <c r="Z70">
        <v>5</v>
      </c>
      <c r="AA70" s="32">
        <f t="shared" si="17"/>
        <v>3</v>
      </c>
    </row>
    <row r="71" spans="1:27" x14ac:dyDescent="0.45">
      <c r="A71">
        <v>6</v>
      </c>
      <c r="B71">
        <v>5</v>
      </c>
      <c r="C71" s="32">
        <f t="shared" si="9"/>
        <v>1</v>
      </c>
      <c r="D71">
        <v>6</v>
      </c>
      <c r="E71">
        <v>5</v>
      </c>
      <c r="F71" s="32">
        <f t="shared" si="10"/>
        <v>1</v>
      </c>
      <c r="G71">
        <v>7</v>
      </c>
      <c r="H71">
        <v>4</v>
      </c>
      <c r="I71" s="32">
        <f t="shared" si="11"/>
        <v>3</v>
      </c>
      <c r="J71">
        <v>8</v>
      </c>
      <c r="K71">
        <v>5</v>
      </c>
      <c r="L71" s="32">
        <f t="shared" si="12"/>
        <v>3</v>
      </c>
      <c r="M71">
        <v>7</v>
      </c>
      <c r="N71">
        <v>5</v>
      </c>
      <c r="O71" s="32">
        <f t="shared" si="13"/>
        <v>2</v>
      </c>
      <c r="P71">
        <v>8</v>
      </c>
      <c r="Q71">
        <v>4</v>
      </c>
      <c r="R71" s="32">
        <f t="shared" si="14"/>
        <v>4</v>
      </c>
      <c r="S71">
        <v>7</v>
      </c>
      <c r="T71">
        <v>4</v>
      </c>
      <c r="U71" s="32">
        <f t="shared" si="15"/>
        <v>3</v>
      </c>
      <c r="V71">
        <v>6</v>
      </c>
      <c r="W71">
        <v>5</v>
      </c>
      <c r="X71" s="32">
        <f t="shared" si="16"/>
        <v>1</v>
      </c>
      <c r="Y71">
        <v>8</v>
      </c>
      <c r="Z71">
        <v>5</v>
      </c>
      <c r="AA71" s="32">
        <f t="shared" si="17"/>
        <v>3</v>
      </c>
    </row>
    <row r="72" spans="1:27" x14ac:dyDescent="0.45">
      <c r="A72">
        <v>6</v>
      </c>
      <c r="B72">
        <v>5</v>
      </c>
      <c r="C72" s="32">
        <f t="shared" si="9"/>
        <v>1</v>
      </c>
      <c r="D72">
        <v>6</v>
      </c>
      <c r="E72">
        <v>5</v>
      </c>
      <c r="F72" s="32">
        <f t="shared" si="10"/>
        <v>1</v>
      </c>
      <c r="G72">
        <v>7</v>
      </c>
      <c r="H72">
        <v>4</v>
      </c>
      <c r="I72" s="32">
        <f t="shared" si="11"/>
        <v>3</v>
      </c>
      <c r="J72">
        <v>8</v>
      </c>
      <c r="K72">
        <v>5</v>
      </c>
      <c r="L72" s="32">
        <f t="shared" si="12"/>
        <v>3</v>
      </c>
      <c r="M72">
        <v>7</v>
      </c>
      <c r="N72">
        <v>5</v>
      </c>
      <c r="O72" s="32">
        <f t="shared" si="13"/>
        <v>2</v>
      </c>
      <c r="P72">
        <v>8</v>
      </c>
      <c r="Q72">
        <v>5</v>
      </c>
      <c r="R72" s="32">
        <f t="shared" si="14"/>
        <v>3</v>
      </c>
      <c r="S72">
        <v>7</v>
      </c>
      <c r="T72">
        <v>4</v>
      </c>
      <c r="U72" s="32">
        <f t="shared" si="15"/>
        <v>3</v>
      </c>
      <c r="V72">
        <v>6</v>
      </c>
      <c r="W72">
        <v>5</v>
      </c>
      <c r="X72" s="32">
        <f t="shared" si="16"/>
        <v>1</v>
      </c>
      <c r="Y72">
        <v>8</v>
      </c>
      <c r="Z72">
        <v>5</v>
      </c>
      <c r="AA72" s="32">
        <f t="shared" si="17"/>
        <v>3</v>
      </c>
    </row>
    <row r="73" spans="1:27" x14ac:dyDescent="0.45">
      <c r="A73">
        <v>6</v>
      </c>
      <c r="B73">
        <v>5</v>
      </c>
      <c r="C73" s="32">
        <f t="shared" si="9"/>
        <v>1</v>
      </c>
      <c r="D73">
        <v>6</v>
      </c>
      <c r="E73">
        <v>5</v>
      </c>
      <c r="F73" s="32">
        <f t="shared" si="10"/>
        <v>1</v>
      </c>
      <c r="G73">
        <v>7</v>
      </c>
      <c r="H73">
        <v>4</v>
      </c>
      <c r="I73" s="32">
        <f t="shared" si="11"/>
        <v>3</v>
      </c>
      <c r="J73">
        <v>8</v>
      </c>
      <c r="K73">
        <v>5</v>
      </c>
      <c r="L73" s="32">
        <f t="shared" si="12"/>
        <v>3</v>
      </c>
      <c r="M73">
        <v>7</v>
      </c>
      <c r="N73">
        <v>5</v>
      </c>
      <c r="O73" s="32">
        <f t="shared" si="13"/>
        <v>2</v>
      </c>
      <c r="P73">
        <v>8</v>
      </c>
      <c r="Q73">
        <v>5</v>
      </c>
      <c r="R73" s="32">
        <f t="shared" si="14"/>
        <v>3</v>
      </c>
      <c r="S73">
        <v>7</v>
      </c>
      <c r="T73">
        <v>4</v>
      </c>
      <c r="U73" s="32">
        <f t="shared" si="15"/>
        <v>3</v>
      </c>
      <c r="V73">
        <v>6</v>
      </c>
      <c r="W73">
        <v>5</v>
      </c>
      <c r="X73" s="32">
        <f t="shared" si="16"/>
        <v>1</v>
      </c>
      <c r="Y73">
        <v>8</v>
      </c>
      <c r="Z73">
        <v>5</v>
      </c>
      <c r="AA73" s="32">
        <f t="shared" si="17"/>
        <v>3</v>
      </c>
    </row>
    <row r="74" spans="1:27" x14ac:dyDescent="0.45">
      <c r="A74">
        <v>6</v>
      </c>
      <c r="B74">
        <v>5</v>
      </c>
      <c r="C74" s="32">
        <f t="shared" si="9"/>
        <v>1</v>
      </c>
      <c r="D74">
        <v>6</v>
      </c>
      <c r="E74">
        <v>5</v>
      </c>
      <c r="F74" s="32">
        <f t="shared" si="10"/>
        <v>1</v>
      </c>
      <c r="G74">
        <v>7</v>
      </c>
      <c r="H74">
        <v>4</v>
      </c>
      <c r="I74" s="32">
        <f t="shared" si="11"/>
        <v>3</v>
      </c>
      <c r="J74">
        <v>8</v>
      </c>
      <c r="K74">
        <v>5</v>
      </c>
      <c r="L74" s="32">
        <f t="shared" si="12"/>
        <v>3</v>
      </c>
      <c r="M74">
        <v>7</v>
      </c>
      <c r="N74">
        <v>5</v>
      </c>
      <c r="O74" s="32">
        <f t="shared" si="13"/>
        <v>2</v>
      </c>
      <c r="P74">
        <v>8</v>
      </c>
      <c r="Q74">
        <v>5</v>
      </c>
      <c r="R74" s="32">
        <f t="shared" si="14"/>
        <v>3</v>
      </c>
      <c r="S74">
        <v>7</v>
      </c>
      <c r="T74">
        <v>5</v>
      </c>
      <c r="U74" s="32">
        <f t="shared" si="15"/>
        <v>2</v>
      </c>
      <c r="V74">
        <v>6</v>
      </c>
      <c r="W74">
        <v>5</v>
      </c>
      <c r="X74" s="32">
        <f t="shared" si="16"/>
        <v>1</v>
      </c>
      <c r="Y74">
        <v>8</v>
      </c>
      <c r="Z74">
        <v>5</v>
      </c>
      <c r="AA74" s="32">
        <f t="shared" si="17"/>
        <v>3</v>
      </c>
    </row>
    <row r="75" spans="1:27" x14ac:dyDescent="0.45">
      <c r="A75">
        <v>6</v>
      </c>
      <c r="B75">
        <v>5</v>
      </c>
      <c r="C75" s="32">
        <f t="shared" si="9"/>
        <v>1</v>
      </c>
      <c r="D75">
        <v>6</v>
      </c>
      <c r="E75">
        <v>5</v>
      </c>
      <c r="F75" s="32">
        <f t="shared" si="10"/>
        <v>1</v>
      </c>
      <c r="G75">
        <v>7</v>
      </c>
      <c r="H75">
        <v>4</v>
      </c>
      <c r="I75" s="32">
        <f t="shared" si="11"/>
        <v>3</v>
      </c>
      <c r="J75">
        <v>8</v>
      </c>
      <c r="K75">
        <v>5</v>
      </c>
      <c r="L75" s="32">
        <f t="shared" si="12"/>
        <v>3</v>
      </c>
      <c r="M75">
        <v>7</v>
      </c>
      <c r="N75">
        <v>5</v>
      </c>
      <c r="O75" s="32">
        <f t="shared" si="13"/>
        <v>2</v>
      </c>
      <c r="P75">
        <v>8</v>
      </c>
      <c r="Q75">
        <v>5</v>
      </c>
      <c r="R75" s="32">
        <f t="shared" si="14"/>
        <v>3</v>
      </c>
      <c r="S75">
        <v>7</v>
      </c>
      <c r="T75">
        <v>5</v>
      </c>
      <c r="U75" s="32">
        <f t="shared" si="15"/>
        <v>2</v>
      </c>
      <c r="V75">
        <v>6</v>
      </c>
      <c r="W75">
        <v>5</v>
      </c>
      <c r="X75" s="32">
        <f t="shared" si="16"/>
        <v>1</v>
      </c>
      <c r="Y75">
        <v>8</v>
      </c>
      <c r="Z75">
        <v>5</v>
      </c>
      <c r="AA75" s="32">
        <f t="shared" si="17"/>
        <v>3</v>
      </c>
    </row>
    <row r="76" spans="1:27" x14ac:dyDescent="0.45">
      <c r="A76">
        <v>6</v>
      </c>
      <c r="B76">
        <v>5</v>
      </c>
      <c r="C76" s="32">
        <f t="shared" si="9"/>
        <v>1</v>
      </c>
      <c r="D76">
        <v>6</v>
      </c>
      <c r="E76">
        <v>5</v>
      </c>
      <c r="F76" s="32">
        <f t="shared" si="10"/>
        <v>1</v>
      </c>
      <c r="G76">
        <v>7</v>
      </c>
      <c r="H76">
        <v>4</v>
      </c>
      <c r="I76" s="32">
        <f t="shared" si="11"/>
        <v>3</v>
      </c>
      <c r="J76">
        <v>8</v>
      </c>
      <c r="K76">
        <v>5</v>
      </c>
      <c r="L76" s="32">
        <f t="shared" si="12"/>
        <v>3</v>
      </c>
      <c r="M76">
        <v>7</v>
      </c>
      <c r="N76">
        <v>5</v>
      </c>
      <c r="O76" s="32">
        <f t="shared" si="13"/>
        <v>2</v>
      </c>
      <c r="P76">
        <v>8</v>
      </c>
      <c r="Q76">
        <v>5</v>
      </c>
      <c r="R76" s="32">
        <f t="shared" si="14"/>
        <v>3</v>
      </c>
      <c r="S76">
        <v>7</v>
      </c>
      <c r="T76">
        <v>5</v>
      </c>
      <c r="U76" s="32">
        <f t="shared" si="15"/>
        <v>2</v>
      </c>
      <c r="V76">
        <v>6</v>
      </c>
      <c r="W76">
        <v>5</v>
      </c>
      <c r="X76" s="32">
        <f t="shared" si="16"/>
        <v>1</v>
      </c>
      <c r="Y76">
        <v>8</v>
      </c>
      <c r="Z76">
        <v>5</v>
      </c>
      <c r="AA76" s="32">
        <f t="shared" si="17"/>
        <v>3</v>
      </c>
    </row>
    <row r="77" spans="1:27" x14ac:dyDescent="0.45">
      <c r="A77">
        <v>6</v>
      </c>
      <c r="B77">
        <v>5</v>
      </c>
      <c r="C77" s="32">
        <f t="shared" si="9"/>
        <v>1</v>
      </c>
      <c r="D77">
        <v>6</v>
      </c>
      <c r="E77">
        <v>5</v>
      </c>
      <c r="F77" s="32">
        <f t="shared" si="10"/>
        <v>1</v>
      </c>
      <c r="G77">
        <v>7</v>
      </c>
      <c r="H77">
        <v>4</v>
      </c>
      <c r="I77" s="32">
        <f t="shared" si="11"/>
        <v>3</v>
      </c>
      <c r="J77">
        <v>8</v>
      </c>
      <c r="K77">
        <v>6</v>
      </c>
      <c r="L77" s="32">
        <f t="shared" si="12"/>
        <v>2</v>
      </c>
      <c r="M77">
        <v>7</v>
      </c>
      <c r="N77">
        <v>5</v>
      </c>
      <c r="O77" s="32">
        <f t="shared" si="13"/>
        <v>2</v>
      </c>
      <c r="P77">
        <v>8</v>
      </c>
      <c r="Q77">
        <v>5</v>
      </c>
      <c r="R77" s="32">
        <f t="shared" si="14"/>
        <v>3</v>
      </c>
      <c r="S77">
        <v>7</v>
      </c>
      <c r="T77">
        <v>5</v>
      </c>
      <c r="U77" s="32">
        <f t="shared" si="15"/>
        <v>2</v>
      </c>
      <c r="V77">
        <v>7</v>
      </c>
      <c r="W77">
        <v>5</v>
      </c>
      <c r="X77" s="32">
        <f t="shared" si="16"/>
        <v>2</v>
      </c>
      <c r="Y77">
        <v>8</v>
      </c>
      <c r="Z77">
        <v>5</v>
      </c>
      <c r="AA77" s="32">
        <f t="shared" si="17"/>
        <v>3</v>
      </c>
    </row>
    <row r="78" spans="1:27" x14ac:dyDescent="0.45">
      <c r="A78">
        <v>6</v>
      </c>
      <c r="B78">
        <v>5</v>
      </c>
      <c r="C78" s="32">
        <f t="shared" si="9"/>
        <v>1</v>
      </c>
      <c r="D78">
        <v>6</v>
      </c>
      <c r="E78">
        <v>5</v>
      </c>
      <c r="F78" s="32">
        <f t="shared" si="10"/>
        <v>1</v>
      </c>
      <c r="G78">
        <v>7</v>
      </c>
      <c r="H78">
        <v>4</v>
      </c>
      <c r="I78" s="32">
        <f t="shared" si="11"/>
        <v>3</v>
      </c>
      <c r="J78">
        <v>8</v>
      </c>
      <c r="K78">
        <v>6</v>
      </c>
      <c r="L78" s="32">
        <f t="shared" si="12"/>
        <v>2</v>
      </c>
      <c r="M78">
        <v>7</v>
      </c>
      <c r="N78">
        <v>5</v>
      </c>
      <c r="O78" s="32">
        <f t="shared" si="13"/>
        <v>2</v>
      </c>
      <c r="P78">
        <v>8</v>
      </c>
      <c r="Q78">
        <v>5</v>
      </c>
      <c r="R78" s="32">
        <f t="shared" si="14"/>
        <v>3</v>
      </c>
      <c r="S78">
        <v>7</v>
      </c>
      <c r="T78">
        <v>5</v>
      </c>
      <c r="U78" s="32">
        <f t="shared" si="15"/>
        <v>2</v>
      </c>
      <c r="V78">
        <v>7</v>
      </c>
      <c r="W78">
        <v>5</v>
      </c>
      <c r="X78" s="32">
        <f t="shared" si="16"/>
        <v>2</v>
      </c>
      <c r="Y78">
        <v>8</v>
      </c>
      <c r="Z78">
        <v>5</v>
      </c>
      <c r="AA78" s="32">
        <f t="shared" si="17"/>
        <v>3</v>
      </c>
    </row>
    <row r="79" spans="1:27" x14ac:dyDescent="0.45">
      <c r="A79">
        <v>6</v>
      </c>
      <c r="B79">
        <v>5</v>
      </c>
      <c r="C79" s="32">
        <f t="shared" si="9"/>
        <v>1</v>
      </c>
      <c r="D79">
        <v>6</v>
      </c>
      <c r="E79">
        <v>5</v>
      </c>
      <c r="F79" s="32">
        <f t="shared" si="10"/>
        <v>1</v>
      </c>
      <c r="G79">
        <v>7</v>
      </c>
      <c r="H79">
        <v>4</v>
      </c>
      <c r="I79" s="32">
        <f t="shared" si="11"/>
        <v>3</v>
      </c>
      <c r="J79">
        <v>8</v>
      </c>
      <c r="K79">
        <v>6</v>
      </c>
      <c r="L79" s="32">
        <f t="shared" si="12"/>
        <v>2</v>
      </c>
      <c r="M79">
        <v>7</v>
      </c>
      <c r="N79">
        <v>5</v>
      </c>
      <c r="O79" s="32">
        <f t="shared" si="13"/>
        <v>2</v>
      </c>
      <c r="P79">
        <v>8</v>
      </c>
      <c r="Q79">
        <v>5</v>
      </c>
      <c r="R79" s="32">
        <f t="shared" si="14"/>
        <v>3</v>
      </c>
      <c r="S79">
        <v>7</v>
      </c>
      <c r="T79">
        <v>5</v>
      </c>
      <c r="U79" s="32">
        <f t="shared" si="15"/>
        <v>2</v>
      </c>
      <c r="V79">
        <v>7</v>
      </c>
      <c r="W79">
        <v>5</v>
      </c>
      <c r="X79" s="32">
        <f t="shared" si="16"/>
        <v>2</v>
      </c>
      <c r="Y79">
        <v>8</v>
      </c>
      <c r="Z79">
        <v>5</v>
      </c>
      <c r="AA79" s="32">
        <f t="shared" si="17"/>
        <v>3</v>
      </c>
    </row>
    <row r="80" spans="1:27" x14ac:dyDescent="0.45">
      <c r="A80">
        <v>6</v>
      </c>
      <c r="B80">
        <v>5</v>
      </c>
      <c r="C80" s="32">
        <f t="shared" si="9"/>
        <v>1</v>
      </c>
      <c r="D80">
        <v>6</v>
      </c>
      <c r="E80">
        <v>5</v>
      </c>
      <c r="F80" s="32">
        <f t="shared" si="10"/>
        <v>1</v>
      </c>
      <c r="G80">
        <v>7</v>
      </c>
      <c r="H80">
        <v>4</v>
      </c>
      <c r="I80" s="32">
        <f t="shared" si="11"/>
        <v>3</v>
      </c>
      <c r="J80">
        <v>8</v>
      </c>
      <c r="K80">
        <v>6</v>
      </c>
      <c r="L80" s="32">
        <f t="shared" si="12"/>
        <v>2</v>
      </c>
      <c r="M80">
        <v>7</v>
      </c>
      <c r="N80">
        <v>5</v>
      </c>
      <c r="O80" s="32">
        <f t="shared" si="13"/>
        <v>2</v>
      </c>
      <c r="P80">
        <v>8</v>
      </c>
      <c r="Q80">
        <v>5</v>
      </c>
      <c r="R80" s="32">
        <f t="shared" si="14"/>
        <v>3</v>
      </c>
      <c r="S80">
        <v>7</v>
      </c>
      <c r="T80">
        <v>5</v>
      </c>
      <c r="U80" s="32">
        <f t="shared" si="15"/>
        <v>2</v>
      </c>
      <c r="V80">
        <v>7</v>
      </c>
      <c r="W80">
        <v>5</v>
      </c>
      <c r="X80" s="32">
        <f t="shared" si="16"/>
        <v>2</v>
      </c>
      <c r="Y80">
        <v>8</v>
      </c>
      <c r="Z80">
        <v>5</v>
      </c>
      <c r="AA80" s="32">
        <f t="shared" si="17"/>
        <v>3</v>
      </c>
    </row>
    <row r="81" spans="1:27" x14ac:dyDescent="0.45">
      <c r="A81">
        <v>6</v>
      </c>
      <c r="B81">
        <v>5</v>
      </c>
      <c r="C81" s="32">
        <f t="shared" si="9"/>
        <v>1</v>
      </c>
      <c r="D81">
        <v>6</v>
      </c>
      <c r="E81">
        <v>5</v>
      </c>
      <c r="F81" s="32">
        <f t="shared" si="10"/>
        <v>1</v>
      </c>
      <c r="G81">
        <v>7</v>
      </c>
      <c r="H81">
        <v>4</v>
      </c>
      <c r="I81" s="32">
        <f t="shared" si="11"/>
        <v>3</v>
      </c>
      <c r="J81">
        <v>8</v>
      </c>
      <c r="K81">
        <v>6</v>
      </c>
      <c r="L81" s="32">
        <f t="shared" si="12"/>
        <v>2</v>
      </c>
      <c r="M81">
        <v>7</v>
      </c>
      <c r="N81">
        <v>5</v>
      </c>
      <c r="O81" s="32">
        <f t="shared" si="13"/>
        <v>2</v>
      </c>
      <c r="P81">
        <v>8</v>
      </c>
      <c r="Q81">
        <v>5</v>
      </c>
      <c r="R81" s="32">
        <f t="shared" si="14"/>
        <v>3</v>
      </c>
      <c r="S81">
        <v>7</v>
      </c>
      <c r="T81">
        <v>5</v>
      </c>
      <c r="U81" s="32">
        <f t="shared" si="15"/>
        <v>2</v>
      </c>
      <c r="V81">
        <v>7</v>
      </c>
      <c r="W81">
        <v>5</v>
      </c>
      <c r="X81" s="32">
        <f t="shared" si="16"/>
        <v>2</v>
      </c>
      <c r="Y81">
        <v>8</v>
      </c>
      <c r="Z81">
        <v>5</v>
      </c>
      <c r="AA81" s="32">
        <f t="shared" si="17"/>
        <v>3</v>
      </c>
    </row>
    <row r="82" spans="1:27" x14ac:dyDescent="0.45">
      <c r="A82">
        <v>6</v>
      </c>
      <c r="B82">
        <v>5</v>
      </c>
      <c r="C82" s="32">
        <f t="shared" si="9"/>
        <v>1</v>
      </c>
      <c r="D82">
        <v>6</v>
      </c>
      <c r="E82">
        <v>5</v>
      </c>
      <c r="F82" s="32">
        <f t="shared" si="10"/>
        <v>1</v>
      </c>
      <c r="G82">
        <v>7</v>
      </c>
      <c r="H82">
        <v>4</v>
      </c>
      <c r="I82" s="32">
        <f t="shared" si="11"/>
        <v>3</v>
      </c>
      <c r="J82">
        <v>8</v>
      </c>
      <c r="K82">
        <v>6</v>
      </c>
      <c r="L82" s="32">
        <f t="shared" si="12"/>
        <v>2</v>
      </c>
      <c r="M82">
        <v>7</v>
      </c>
      <c r="N82">
        <v>5</v>
      </c>
      <c r="O82" s="32">
        <f t="shared" si="13"/>
        <v>2</v>
      </c>
      <c r="P82">
        <v>8</v>
      </c>
      <c r="Q82">
        <v>5</v>
      </c>
      <c r="R82" s="32">
        <f t="shared" si="14"/>
        <v>3</v>
      </c>
      <c r="S82">
        <v>7</v>
      </c>
      <c r="T82">
        <v>5</v>
      </c>
      <c r="U82" s="32">
        <f t="shared" si="15"/>
        <v>2</v>
      </c>
      <c r="V82">
        <v>7</v>
      </c>
      <c r="W82">
        <v>5</v>
      </c>
      <c r="X82" s="32">
        <f t="shared" si="16"/>
        <v>2</v>
      </c>
      <c r="Y82">
        <v>8</v>
      </c>
      <c r="Z82">
        <v>5</v>
      </c>
      <c r="AA82" s="32">
        <f t="shared" si="17"/>
        <v>3</v>
      </c>
    </row>
    <row r="83" spans="1:27" x14ac:dyDescent="0.45">
      <c r="A83">
        <v>6</v>
      </c>
      <c r="B83">
        <v>5</v>
      </c>
      <c r="C83" s="32">
        <f t="shared" si="9"/>
        <v>1</v>
      </c>
      <c r="D83">
        <v>6</v>
      </c>
      <c r="E83">
        <v>5</v>
      </c>
      <c r="F83" s="32">
        <f t="shared" si="10"/>
        <v>1</v>
      </c>
      <c r="G83">
        <v>7</v>
      </c>
      <c r="H83">
        <v>4</v>
      </c>
      <c r="I83" s="32">
        <f t="shared" si="11"/>
        <v>3</v>
      </c>
      <c r="J83">
        <v>8</v>
      </c>
      <c r="K83">
        <v>6</v>
      </c>
      <c r="L83" s="32">
        <f t="shared" si="12"/>
        <v>2</v>
      </c>
      <c r="M83">
        <v>7</v>
      </c>
      <c r="N83">
        <v>5</v>
      </c>
      <c r="O83" s="32">
        <f t="shared" si="13"/>
        <v>2</v>
      </c>
      <c r="P83">
        <v>8</v>
      </c>
      <c r="Q83">
        <v>5</v>
      </c>
      <c r="R83" s="32">
        <f t="shared" si="14"/>
        <v>3</v>
      </c>
      <c r="S83">
        <v>7</v>
      </c>
      <c r="T83">
        <v>5</v>
      </c>
      <c r="U83" s="32">
        <f t="shared" si="15"/>
        <v>2</v>
      </c>
      <c r="V83">
        <v>7</v>
      </c>
      <c r="W83">
        <v>5</v>
      </c>
      <c r="X83" s="32">
        <f t="shared" si="16"/>
        <v>2</v>
      </c>
      <c r="Y83">
        <v>8</v>
      </c>
      <c r="Z83">
        <v>5</v>
      </c>
      <c r="AA83" s="32">
        <f t="shared" si="17"/>
        <v>3</v>
      </c>
    </row>
    <row r="84" spans="1:27" x14ac:dyDescent="0.45">
      <c r="A84">
        <v>6</v>
      </c>
      <c r="B84">
        <v>5</v>
      </c>
      <c r="C84" s="32">
        <f t="shared" si="9"/>
        <v>1</v>
      </c>
      <c r="D84">
        <v>6</v>
      </c>
      <c r="E84">
        <v>5</v>
      </c>
      <c r="F84" s="32">
        <f t="shared" si="10"/>
        <v>1</v>
      </c>
      <c r="G84">
        <v>7</v>
      </c>
      <c r="H84">
        <v>4</v>
      </c>
      <c r="I84" s="32">
        <f t="shared" si="11"/>
        <v>3</v>
      </c>
      <c r="J84">
        <v>8</v>
      </c>
      <c r="K84">
        <v>6</v>
      </c>
      <c r="L84" s="32">
        <f t="shared" si="12"/>
        <v>2</v>
      </c>
      <c r="M84">
        <v>7</v>
      </c>
      <c r="N84">
        <v>5</v>
      </c>
      <c r="O84" s="32">
        <f t="shared" si="13"/>
        <v>2</v>
      </c>
      <c r="P84">
        <v>8</v>
      </c>
      <c r="Q84">
        <v>5</v>
      </c>
      <c r="R84" s="32">
        <f t="shared" si="14"/>
        <v>3</v>
      </c>
      <c r="S84">
        <v>7</v>
      </c>
      <c r="T84">
        <v>5</v>
      </c>
      <c r="U84" s="32">
        <f t="shared" si="15"/>
        <v>2</v>
      </c>
      <c r="V84">
        <v>7</v>
      </c>
      <c r="W84">
        <v>5</v>
      </c>
      <c r="X84" s="32">
        <f t="shared" si="16"/>
        <v>2</v>
      </c>
      <c r="Y84">
        <v>8</v>
      </c>
      <c r="Z84">
        <v>5</v>
      </c>
      <c r="AA84" s="32">
        <f t="shared" si="17"/>
        <v>3</v>
      </c>
    </row>
    <row r="85" spans="1:27" x14ac:dyDescent="0.45">
      <c r="A85">
        <v>6</v>
      </c>
      <c r="B85">
        <v>5</v>
      </c>
      <c r="C85" s="32">
        <f t="shared" si="9"/>
        <v>1</v>
      </c>
      <c r="D85">
        <v>6</v>
      </c>
      <c r="E85">
        <v>5</v>
      </c>
      <c r="F85" s="32">
        <f t="shared" si="10"/>
        <v>1</v>
      </c>
      <c r="G85">
        <v>8</v>
      </c>
      <c r="H85">
        <v>5</v>
      </c>
      <c r="I85" s="32">
        <f t="shared" si="11"/>
        <v>3</v>
      </c>
      <c r="J85">
        <v>8</v>
      </c>
      <c r="K85">
        <v>6</v>
      </c>
      <c r="L85" s="32">
        <f t="shared" si="12"/>
        <v>2</v>
      </c>
      <c r="M85">
        <v>7</v>
      </c>
      <c r="N85">
        <v>5</v>
      </c>
      <c r="O85" s="32">
        <f t="shared" si="13"/>
        <v>2</v>
      </c>
      <c r="P85">
        <v>8</v>
      </c>
      <c r="Q85">
        <v>5</v>
      </c>
      <c r="R85" s="32">
        <f t="shared" si="14"/>
        <v>3</v>
      </c>
      <c r="S85">
        <v>7</v>
      </c>
      <c r="T85">
        <v>5</v>
      </c>
      <c r="U85" s="32">
        <f t="shared" si="15"/>
        <v>2</v>
      </c>
      <c r="V85">
        <v>7</v>
      </c>
      <c r="W85">
        <v>5</v>
      </c>
      <c r="X85" s="32">
        <f t="shared" si="16"/>
        <v>2</v>
      </c>
      <c r="Y85">
        <v>8</v>
      </c>
      <c r="Z85">
        <v>5</v>
      </c>
      <c r="AA85" s="32">
        <f t="shared" si="17"/>
        <v>3</v>
      </c>
    </row>
    <row r="86" spans="1:27" x14ac:dyDescent="0.45">
      <c r="A86">
        <v>6</v>
      </c>
      <c r="B86">
        <v>5</v>
      </c>
      <c r="C86" s="32">
        <f t="shared" si="9"/>
        <v>1</v>
      </c>
      <c r="D86">
        <v>6</v>
      </c>
      <c r="E86">
        <v>5</v>
      </c>
      <c r="F86" s="32">
        <f t="shared" si="10"/>
        <v>1</v>
      </c>
      <c r="G86">
        <v>8</v>
      </c>
      <c r="H86">
        <v>5</v>
      </c>
      <c r="I86" s="32">
        <f t="shared" si="11"/>
        <v>3</v>
      </c>
      <c r="J86">
        <v>8</v>
      </c>
      <c r="K86">
        <v>6</v>
      </c>
      <c r="L86" s="32">
        <f t="shared" si="12"/>
        <v>2</v>
      </c>
      <c r="M86">
        <v>7</v>
      </c>
      <c r="N86">
        <v>5</v>
      </c>
      <c r="O86" s="32">
        <f t="shared" si="13"/>
        <v>2</v>
      </c>
      <c r="P86">
        <v>8</v>
      </c>
      <c r="Q86">
        <v>5</v>
      </c>
      <c r="R86" s="32">
        <f t="shared" si="14"/>
        <v>3</v>
      </c>
      <c r="S86">
        <v>7</v>
      </c>
      <c r="T86">
        <v>5</v>
      </c>
      <c r="U86" s="32">
        <f t="shared" si="15"/>
        <v>2</v>
      </c>
      <c r="V86">
        <v>7</v>
      </c>
      <c r="W86">
        <v>5</v>
      </c>
      <c r="X86" s="32">
        <f t="shared" si="16"/>
        <v>2</v>
      </c>
      <c r="Y86">
        <v>8</v>
      </c>
      <c r="Z86">
        <v>5</v>
      </c>
      <c r="AA86" s="32">
        <f t="shared" si="17"/>
        <v>3</v>
      </c>
    </row>
    <row r="87" spans="1:27" x14ac:dyDescent="0.45">
      <c r="A87">
        <v>6</v>
      </c>
      <c r="B87">
        <v>5</v>
      </c>
      <c r="C87" s="32">
        <f t="shared" si="9"/>
        <v>1</v>
      </c>
      <c r="D87">
        <v>6</v>
      </c>
      <c r="E87">
        <v>5</v>
      </c>
      <c r="F87" s="32">
        <f t="shared" si="10"/>
        <v>1</v>
      </c>
      <c r="G87">
        <v>8</v>
      </c>
      <c r="H87">
        <v>5</v>
      </c>
      <c r="I87" s="32">
        <f t="shared" si="11"/>
        <v>3</v>
      </c>
      <c r="J87">
        <v>8</v>
      </c>
      <c r="K87">
        <v>6</v>
      </c>
      <c r="L87" s="32">
        <f t="shared" si="12"/>
        <v>2</v>
      </c>
      <c r="M87">
        <v>7</v>
      </c>
      <c r="N87">
        <v>5</v>
      </c>
      <c r="O87" s="32">
        <f t="shared" si="13"/>
        <v>2</v>
      </c>
      <c r="P87">
        <v>8</v>
      </c>
      <c r="Q87">
        <v>5</v>
      </c>
      <c r="R87" s="32">
        <f t="shared" si="14"/>
        <v>3</v>
      </c>
      <c r="S87">
        <v>7</v>
      </c>
      <c r="T87">
        <v>5</v>
      </c>
      <c r="U87" s="32">
        <f t="shared" si="15"/>
        <v>2</v>
      </c>
      <c r="V87">
        <v>7</v>
      </c>
      <c r="W87">
        <v>5</v>
      </c>
      <c r="X87" s="32">
        <f t="shared" si="16"/>
        <v>2</v>
      </c>
      <c r="Y87">
        <v>8</v>
      </c>
      <c r="Z87">
        <v>5</v>
      </c>
      <c r="AA87" s="32">
        <f t="shared" si="17"/>
        <v>3</v>
      </c>
    </row>
    <row r="88" spans="1:27" x14ac:dyDescent="0.45">
      <c r="A88">
        <v>6</v>
      </c>
      <c r="B88">
        <v>5</v>
      </c>
      <c r="C88" s="32">
        <f t="shared" si="9"/>
        <v>1</v>
      </c>
      <c r="D88">
        <v>6</v>
      </c>
      <c r="E88">
        <v>5</v>
      </c>
      <c r="F88" s="32">
        <f t="shared" si="10"/>
        <v>1</v>
      </c>
      <c r="G88">
        <v>8</v>
      </c>
      <c r="H88">
        <v>5</v>
      </c>
      <c r="I88" s="32">
        <f t="shared" si="11"/>
        <v>3</v>
      </c>
      <c r="J88">
        <v>8</v>
      </c>
      <c r="K88">
        <v>6</v>
      </c>
      <c r="L88" s="32">
        <f t="shared" si="12"/>
        <v>2</v>
      </c>
      <c r="M88">
        <v>7</v>
      </c>
      <c r="N88">
        <v>5</v>
      </c>
      <c r="O88" s="32">
        <f t="shared" si="13"/>
        <v>2</v>
      </c>
      <c r="P88">
        <v>8</v>
      </c>
      <c r="Q88">
        <v>5</v>
      </c>
      <c r="R88" s="32">
        <f t="shared" si="14"/>
        <v>3</v>
      </c>
      <c r="S88">
        <v>7</v>
      </c>
      <c r="T88">
        <v>5</v>
      </c>
      <c r="U88" s="32">
        <f t="shared" si="15"/>
        <v>2</v>
      </c>
      <c r="V88">
        <v>7</v>
      </c>
      <c r="W88">
        <v>5</v>
      </c>
      <c r="X88" s="32">
        <f t="shared" si="16"/>
        <v>2</v>
      </c>
      <c r="Y88">
        <v>8</v>
      </c>
      <c r="Z88">
        <v>5</v>
      </c>
      <c r="AA88" s="32">
        <f t="shared" si="17"/>
        <v>3</v>
      </c>
    </row>
    <row r="89" spans="1:27" x14ac:dyDescent="0.45">
      <c r="A89">
        <v>6</v>
      </c>
      <c r="B89">
        <v>5</v>
      </c>
      <c r="C89" s="32">
        <f t="shared" si="9"/>
        <v>1</v>
      </c>
      <c r="D89">
        <v>6</v>
      </c>
      <c r="E89">
        <v>5</v>
      </c>
      <c r="F89" s="32">
        <f t="shared" si="10"/>
        <v>1</v>
      </c>
      <c r="G89">
        <v>8</v>
      </c>
      <c r="H89">
        <v>5</v>
      </c>
      <c r="I89" s="32">
        <f t="shared" si="11"/>
        <v>3</v>
      </c>
      <c r="J89">
        <v>8</v>
      </c>
      <c r="K89">
        <v>6</v>
      </c>
      <c r="L89" s="32">
        <f t="shared" si="12"/>
        <v>2</v>
      </c>
      <c r="M89">
        <v>7</v>
      </c>
      <c r="N89">
        <v>5</v>
      </c>
      <c r="O89" s="32">
        <f t="shared" si="13"/>
        <v>2</v>
      </c>
      <c r="P89">
        <v>8</v>
      </c>
      <c r="Q89">
        <v>5</v>
      </c>
      <c r="R89" s="32">
        <f t="shared" si="14"/>
        <v>3</v>
      </c>
      <c r="S89">
        <v>7</v>
      </c>
      <c r="T89">
        <v>5</v>
      </c>
      <c r="U89" s="32">
        <f t="shared" si="15"/>
        <v>2</v>
      </c>
      <c r="V89">
        <v>7</v>
      </c>
      <c r="W89">
        <v>5</v>
      </c>
      <c r="X89" s="32">
        <f t="shared" si="16"/>
        <v>2</v>
      </c>
      <c r="Y89">
        <v>8</v>
      </c>
      <c r="Z89">
        <v>5</v>
      </c>
      <c r="AA89" s="32">
        <f t="shared" si="17"/>
        <v>3</v>
      </c>
    </row>
    <row r="90" spans="1:27" x14ac:dyDescent="0.45">
      <c r="A90">
        <v>6</v>
      </c>
      <c r="B90">
        <v>5</v>
      </c>
      <c r="C90" s="32">
        <f t="shared" si="9"/>
        <v>1</v>
      </c>
      <c r="D90">
        <v>6</v>
      </c>
      <c r="E90">
        <v>5</v>
      </c>
      <c r="F90" s="32">
        <f t="shared" si="10"/>
        <v>1</v>
      </c>
      <c r="G90">
        <v>8</v>
      </c>
      <c r="H90">
        <v>5</v>
      </c>
      <c r="I90" s="32">
        <f t="shared" si="11"/>
        <v>3</v>
      </c>
      <c r="J90">
        <v>8</v>
      </c>
      <c r="K90">
        <v>6</v>
      </c>
      <c r="L90" s="32">
        <f t="shared" si="12"/>
        <v>2</v>
      </c>
      <c r="M90">
        <v>7</v>
      </c>
      <c r="N90">
        <v>5</v>
      </c>
      <c r="O90" s="32">
        <f t="shared" si="13"/>
        <v>2</v>
      </c>
      <c r="P90">
        <v>8</v>
      </c>
      <c r="Q90">
        <v>5</v>
      </c>
      <c r="R90" s="32">
        <f t="shared" si="14"/>
        <v>3</v>
      </c>
      <c r="S90">
        <v>7</v>
      </c>
      <c r="T90">
        <v>5</v>
      </c>
      <c r="U90" s="32">
        <f t="shared" si="15"/>
        <v>2</v>
      </c>
      <c r="V90">
        <v>7</v>
      </c>
      <c r="W90">
        <v>5</v>
      </c>
      <c r="X90" s="32">
        <f t="shared" si="16"/>
        <v>2</v>
      </c>
      <c r="Y90">
        <v>8</v>
      </c>
      <c r="Z90">
        <v>5</v>
      </c>
      <c r="AA90" s="32">
        <f t="shared" si="17"/>
        <v>3</v>
      </c>
    </row>
    <row r="91" spans="1:27" x14ac:dyDescent="0.45">
      <c r="A91">
        <v>6</v>
      </c>
      <c r="B91">
        <v>5</v>
      </c>
      <c r="C91" s="32">
        <f t="shared" si="9"/>
        <v>1</v>
      </c>
      <c r="D91">
        <v>6</v>
      </c>
      <c r="E91">
        <v>5</v>
      </c>
      <c r="F91" s="32">
        <f t="shared" si="10"/>
        <v>1</v>
      </c>
      <c r="G91">
        <v>8</v>
      </c>
      <c r="H91">
        <v>5</v>
      </c>
      <c r="I91" s="32">
        <f t="shared" si="11"/>
        <v>3</v>
      </c>
      <c r="J91">
        <v>8</v>
      </c>
      <c r="K91">
        <v>6</v>
      </c>
      <c r="L91" s="32">
        <f t="shared" si="12"/>
        <v>2</v>
      </c>
      <c r="M91">
        <v>7</v>
      </c>
      <c r="N91">
        <v>5</v>
      </c>
      <c r="O91" s="32">
        <f t="shared" si="13"/>
        <v>2</v>
      </c>
      <c r="P91">
        <v>8</v>
      </c>
      <c r="Q91">
        <v>5</v>
      </c>
      <c r="R91" s="32">
        <f t="shared" si="14"/>
        <v>3</v>
      </c>
      <c r="S91">
        <v>7</v>
      </c>
      <c r="T91">
        <v>5</v>
      </c>
      <c r="U91" s="32">
        <f t="shared" si="15"/>
        <v>2</v>
      </c>
      <c r="V91">
        <v>7</v>
      </c>
      <c r="W91">
        <v>5</v>
      </c>
      <c r="X91" s="32">
        <f t="shared" si="16"/>
        <v>2</v>
      </c>
      <c r="Y91">
        <v>8</v>
      </c>
      <c r="Z91">
        <v>5</v>
      </c>
      <c r="AA91" s="32">
        <f t="shared" si="17"/>
        <v>3</v>
      </c>
    </row>
    <row r="92" spans="1:27" x14ac:dyDescent="0.45">
      <c r="A92">
        <v>6</v>
      </c>
      <c r="B92">
        <v>5</v>
      </c>
      <c r="C92" s="32">
        <f t="shared" si="9"/>
        <v>1</v>
      </c>
      <c r="D92">
        <v>6</v>
      </c>
      <c r="E92">
        <v>6</v>
      </c>
      <c r="F92" s="32">
        <f t="shared" si="10"/>
        <v>0</v>
      </c>
      <c r="G92">
        <v>8</v>
      </c>
      <c r="H92">
        <v>5</v>
      </c>
      <c r="I92" s="32">
        <f t="shared" si="11"/>
        <v>3</v>
      </c>
      <c r="J92">
        <v>8</v>
      </c>
      <c r="K92">
        <v>6</v>
      </c>
      <c r="L92" s="32">
        <f t="shared" si="12"/>
        <v>2</v>
      </c>
      <c r="M92">
        <v>7</v>
      </c>
      <c r="N92">
        <v>5</v>
      </c>
      <c r="O92" s="32">
        <f t="shared" si="13"/>
        <v>2</v>
      </c>
      <c r="P92">
        <v>8</v>
      </c>
      <c r="Q92">
        <v>5</v>
      </c>
      <c r="R92" s="32">
        <f t="shared" si="14"/>
        <v>3</v>
      </c>
      <c r="S92">
        <v>7</v>
      </c>
      <c r="T92">
        <v>5</v>
      </c>
      <c r="U92" s="32">
        <f t="shared" si="15"/>
        <v>2</v>
      </c>
      <c r="V92">
        <v>7</v>
      </c>
      <c r="W92">
        <v>5</v>
      </c>
      <c r="X92" s="32">
        <f t="shared" si="16"/>
        <v>2</v>
      </c>
      <c r="Y92">
        <v>8</v>
      </c>
      <c r="Z92">
        <v>5</v>
      </c>
      <c r="AA92" s="32">
        <f t="shared" si="17"/>
        <v>3</v>
      </c>
    </row>
    <row r="93" spans="1:27" x14ac:dyDescent="0.45">
      <c r="A93">
        <v>6</v>
      </c>
      <c r="B93">
        <v>5</v>
      </c>
      <c r="C93" s="32">
        <f t="shared" si="9"/>
        <v>1</v>
      </c>
      <c r="D93">
        <v>6</v>
      </c>
      <c r="E93">
        <v>6</v>
      </c>
      <c r="F93" s="32">
        <f t="shared" si="10"/>
        <v>0</v>
      </c>
      <c r="G93">
        <v>8</v>
      </c>
      <c r="H93">
        <v>5</v>
      </c>
      <c r="I93" s="32">
        <f t="shared" si="11"/>
        <v>3</v>
      </c>
      <c r="J93">
        <v>8</v>
      </c>
      <c r="K93">
        <v>6</v>
      </c>
      <c r="L93" s="32">
        <f t="shared" si="12"/>
        <v>2</v>
      </c>
      <c r="M93">
        <v>7</v>
      </c>
      <c r="N93">
        <v>5</v>
      </c>
      <c r="O93" s="32">
        <f t="shared" si="13"/>
        <v>2</v>
      </c>
      <c r="P93">
        <v>8</v>
      </c>
      <c r="Q93">
        <v>5</v>
      </c>
      <c r="R93" s="32">
        <f t="shared" si="14"/>
        <v>3</v>
      </c>
      <c r="S93">
        <v>7</v>
      </c>
      <c r="T93">
        <v>5</v>
      </c>
      <c r="U93" s="32">
        <f t="shared" si="15"/>
        <v>2</v>
      </c>
      <c r="V93">
        <v>7</v>
      </c>
      <c r="W93">
        <v>5</v>
      </c>
      <c r="X93" s="32">
        <f t="shared" si="16"/>
        <v>2</v>
      </c>
      <c r="Y93">
        <v>8</v>
      </c>
      <c r="Z93">
        <v>5</v>
      </c>
      <c r="AA93" s="32">
        <f t="shared" si="17"/>
        <v>3</v>
      </c>
    </row>
    <row r="94" spans="1:27" x14ac:dyDescent="0.45">
      <c r="A94">
        <v>6</v>
      </c>
      <c r="B94">
        <v>5</v>
      </c>
      <c r="C94" s="32">
        <f t="shared" si="9"/>
        <v>1</v>
      </c>
      <c r="D94">
        <v>6</v>
      </c>
      <c r="E94">
        <v>6</v>
      </c>
      <c r="F94" s="32">
        <f t="shared" si="10"/>
        <v>0</v>
      </c>
      <c r="G94">
        <v>8</v>
      </c>
      <c r="H94">
        <v>5</v>
      </c>
      <c r="I94" s="32">
        <f t="shared" si="11"/>
        <v>3</v>
      </c>
      <c r="J94">
        <v>8</v>
      </c>
      <c r="K94">
        <v>6</v>
      </c>
      <c r="L94" s="32">
        <f t="shared" si="12"/>
        <v>2</v>
      </c>
      <c r="M94">
        <v>7</v>
      </c>
      <c r="N94">
        <v>5</v>
      </c>
      <c r="O94" s="32">
        <f t="shared" si="13"/>
        <v>2</v>
      </c>
      <c r="P94">
        <v>8</v>
      </c>
      <c r="Q94">
        <v>5</v>
      </c>
      <c r="R94" s="32">
        <f t="shared" si="14"/>
        <v>3</v>
      </c>
      <c r="S94">
        <v>7</v>
      </c>
      <c r="T94">
        <v>5</v>
      </c>
      <c r="U94" s="32">
        <f t="shared" si="15"/>
        <v>2</v>
      </c>
      <c r="V94">
        <v>7</v>
      </c>
      <c r="W94">
        <v>5</v>
      </c>
      <c r="X94" s="32">
        <f t="shared" si="16"/>
        <v>2</v>
      </c>
      <c r="Y94">
        <v>8</v>
      </c>
      <c r="Z94">
        <v>5</v>
      </c>
      <c r="AA94" s="32">
        <f t="shared" si="17"/>
        <v>3</v>
      </c>
    </row>
    <row r="95" spans="1:27" x14ac:dyDescent="0.45">
      <c r="A95">
        <v>6</v>
      </c>
      <c r="B95">
        <v>5</v>
      </c>
      <c r="C95" s="32">
        <f t="shared" si="9"/>
        <v>1</v>
      </c>
      <c r="D95">
        <v>6</v>
      </c>
      <c r="E95">
        <v>6</v>
      </c>
      <c r="F95" s="32">
        <f t="shared" si="10"/>
        <v>0</v>
      </c>
      <c r="G95">
        <v>8</v>
      </c>
      <c r="H95">
        <v>5</v>
      </c>
      <c r="I95" s="32">
        <f t="shared" si="11"/>
        <v>3</v>
      </c>
      <c r="J95">
        <v>8</v>
      </c>
      <c r="K95">
        <v>6</v>
      </c>
      <c r="L95" s="32">
        <f t="shared" si="12"/>
        <v>2</v>
      </c>
      <c r="M95">
        <v>7</v>
      </c>
      <c r="N95">
        <v>5</v>
      </c>
      <c r="O95" s="32">
        <f t="shared" si="13"/>
        <v>2</v>
      </c>
      <c r="P95">
        <v>8</v>
      </c>
      <c r="Q95">
        <v>5</v>
      </c>
      <c r="R95" s="32">
        <f t="shared" si="14"/>
        <v>3</v>
      </c>
      <c r="S95">
        <v>7</v>
      </c>
      <c r="T95">
        <v>5</v>
      </c>
      <c r="U95" s="32">
        <f t="shared" si="15"/>
        <v>2</v>
      </c>
      <c r="V95">
        <v>7</v>
      </c>
      <c r="W95">
        <v>5</v>
      </c>
      <c r="X95" s="32">
        <f t="shared" si="16"/>
        <v>2</v>
      </c>
      <c r="Y95">
        <v>8</v>
      </c>
      <c r="Z95">
        <v>5</v>
      </c>
      <c r="AA95" s="32">
        <f t="shared" si="17"/>
        <v>3</v>
      </c>
    </row>
    <row r="96" spans="1:27" x14ac:dyDescent="0.45">
      <c r="A96">
        <v>6</v>
      </c>
      <c r="B96">
        <v>6</v>
      </c>
      <c r="C96" s="32">
        <f t="shared" si="9"/>
        <v>0</v>
      </c>
      <c r="D96">
        <v>6</v>
      </c>
      <c r="E96">
        <v>6</v>
      </c>
      <c r="F96" s="32">
        <f t="shared" si="10"/>
        <v>0</v>
      </c>
      <c r="G96">
        <v>8</v>
      </c>
      <c r="H96">
        <v>5</v>
      </c>
      <c r="I96" s="32">
        <f t="shared" si="11"/>
        <v>3</v>
      </c>
      <c r="J96">
        <v>8</v>
      </c>
      <c r="K96">
        <v>6</v>
      </c>
      <c r="L96" s="32">
        <f t="shared" si="12"/>
        <v>2</v>
      </c>
      <c r="M96">
        <v>7</v>
      </c>
      <c r="N96">
        <v>5</v>
      </c>
      <c r="O96" s="32">
        <f t="shared" si="13"/>
        <v>2</v>
      </c>
      <c r="P96">
        <v>8</v>
      </c>
      <c r="Q96">
        <v>5</v>
      </c>
      <c r="R96" s="32">
        <f t="shared" si="14"/>
        <v>3</v>
      </c>
      <c r="S96">
        <v>7</v>
      </c>
      <c r="T96">
        <v>5</v>
      </c>
      <c r="U96" s="32">
        <f t="shared" si="15"/>
        <v>2</v>
      </c>
      <c r="V96">
        <v>7</v>
      </c>
      <c r="W96">
        <v>5</v>
      </c>
      <c r="X96" s="32">
        <f t="shared" si="16"/>
        <v>2</v>
      </c>
      <c r="Y96">
        <v>8</v>
      </c>
      <c r="Z96">
        <v>5</v>
      </c>
      <c r="AA96" s="32">
        <f t="shared" si="17"/>
        <v>3</v>
      </c>
    </row>
    <row r="97" spans="1:27" x14ac:dyDescent="0.45">
      <c r="A97">
        <v>6</v>
      </c>
      <c r="B97">
        <v>6</v>
      </c>
      <c r="C97" s="32">
        <f t="shared" si="9"/>
        <v>0</v>
      </c>
      <c r="D97">
        <v>6</v>
      </c>
      <c r="E97">
        <v>6</v>
      </c>
      <c r="F97" s="32">
        <f t="shared" si="10"/>
        <v>0</v>
      </c>
      <c r="G97">
        <v>8</v>
      </c>
      <c r="H97">
        <v>5</v>
      </c>
      <c r="I97" s="32">
        <f t="shared" si="11"/>
        <v>3</v>
      </c>
      <c r="J97">
        <v>8</v>
      </c>
      <c r="K97">
        <v>6</v>
      </c>
      <c r="L97" s="32">
        <f t="shared" si="12"/>
        <v>2</v>
      </c>
      <c r="M97">
        <v>7</v>
      </c>
      <c r="N97">
        <v>5</v>
      </c>
      <c r="O97" s="32">
        <f t="shared" si="13"/>
        <v>2</v>
      </c>
      <c r="P97">
        <v>8</v>
      </c>
      <c r="Q97">
        <v>5</v>
      </c>
      <c r="R97" s="32">
        <f t="shared" si="14"/>
        <v>3</v>
      </c>
      <c r="S97">
        <v>7</v>
      </c>
      <c r="T97">
        <v>5</v>
      </c>
      <c r="U97" s="32">
        <f t="shared" si="15"/>
        <v>2</v>
      </c>
      <c r="V97">
        <v>7</v>
      </c>
      <c r="W97">
        <v>5</v>
      </c>
      <c r="X97" s="32">
        <f t="shared" si="16"/>
        <v>2</v>
      </c>
      <c r="Y97">
        <v>8</v>
      </c>
      <c r="Z97">
        <v>5</v>
      </c>
      <c r="AA97" s="32">
        <f t="shared" si="17"/>
        <v>3</v>
      </c>
    </row>
    <row r="98" spans="1:27" x14ac:dyDescent="0.45">
      <c r="A98">
        <v>6</v>
      </c>
      <c r="B98">
        <v>6</v>
      </c>
      <c r="C98" s="32">
        <f t="shared" si="9"/>
        <v>0</v>
      </c>
      <c r="D98">
        <v>6</v>
      </c>
      <c r="E98">
        <v>6</v>
      </c>
      <c r="F98" s="32">
        <f t="shared" si="10"/>
        <v>0</v>
      </c>
      <c r="G98">
        <v>8</v>
      </c>
      <c r="H98">
        <v>5</v>
      </c>
      <c r="I98" s="32">
        <f t="shared" si="11"/>
        <v>3</v>
      </c>
      <c r="J98">
        <v>8</v>
      </c>
      <c r="K98">
        <v>6</v>
      </c>
      <c r="L98" s="32">
        <f t="shared" si="12"/>
        <v>2</v>
      </c>
      <c r="M98">
        <v>7</v>
      </c>
      <c r="N98">
        <v>5</v>
      </c>
      <c r="O98" s="32">
        <f t="shared" si="13"/>
        <v>2</v>
      </c>
      <c r="P98">
        <v>8</v>
      </c>
      <c r="Q98">
        <v>5</v>
      </c>
      <c r="R98" s="32">
        <f t="shared" si="14"/>
        <v>3</v>
      </c>
      <c r="S98">
        <v>7</v>
      </c>
      <c r="T98">
        <v>5</v>
      </c>
      <c r="U98" s="32">
        <f t="shared" si="15"/>
        <v>2</v>
      </c>
      <c r="V98">
        <v>7</v>
      </c>
      <c r="W98">
        <v>5</v>
      </c>
      <c r="X98" s="32">
        <f t="shared" si="16"/>
        <v>2</v>
      </c>
      <c r="Y98">
        <v>8</v>
      </c>
      <c r="Z98">
        <v>5</v>
      </c>
      <c r="AA98" s="32">
        <f t="shared" si="17"/>
        <v>3</v>
      </c>
    </row>
    <row r="99" spans="1:27" x14ac:dyDescent="0.45">
      <c r="A99">
        <v>6</v>
      </c>
      <c r="B99">
        <v>6</v>
      </c>
      <c r="C99" s="32">
        <f t="shared" si="9"/>
        <v>0</v>
      </c>
      <c r="D99">
        <v>6</v>
      </c>
      <c r="E99">
        <v>6</v>
      </c>
      <c r="F99" s="32">
        <f t="shared" si="10"/>
        <v>0</v>
      </c>
      <c r="G99">
        <v>8</v>
      </c>
      <c r="H99">
        <v>5</v>
      </c>
      <c r="I99" s="32">
        <f t="shared" si="11"/>
        <v>3</v>
      </c>
      <c r="J99">
        <v>8</v>
      </c>
      <c r="K99">
        <v>6</v>
      </c>
      <c r="L99" s="32">
        <f t="shared" si="12"/>
        <v>2</v>
      </c>
      <c r="M99">
        <v>7</v>
      </c>
      <c r="N99">
        <v>5</v>
      </c>
      <c r="O99" s="32">
        <f t="shared" si="13"/>
        <v>2</v>
      </c>
      <c r="P99">
        <v>8</v>
      </c>
      <c r="Q99">
        <v>5</v>
      </c>
      <c r="R99" s="32">
        <f t="shared" si="14"/>
        <v>3</v>
      </c>
      <c r="S99">
        <v>7</v>
      </c>
      <c r="T99">
        <v>5</v>
      </c>
      <c r="U99" s="32">
        <f t="shared" si="15"/>
        <v>2</v>
      </c>
      <c r="V99">
        <v>7</v>
      </c>
      <c r="W99">
        <v>5</v>
      </c>
      <c r="X99" s="32">
        <f t="shared" si="16"/>
        <v>2</v>
      </c>
      <c r="Y99">
        <v>8</v>
      </c>
      <c r="Z99">
        <v>5</v>
      </c>
      <c r="AA99" s="32">
        <f t="shared" si="17"/>
        <v>3</v>
      </c>
    </row>
    <row r="100" spans="1:27" x14ac:dyDescent="0.45">
      <c r="A100">
        <v>6</v>
      </c>
      <c r="B100">
        <v>6</v>
      </c>
      <c r="C100" s="32">
        <f t="shared" si="9"/>
        <v>0</v>
      </c>
      <c r="D100">
        <v>6</v>
      </c>
      <c r="E100">
        <v>6</v>
      </c>
      <c r="F100" s="32">
        <f t="shared" si="10"/>
        <v>0</v>
      </c>
      <c r="G100">
        <v>8</v>
      </c>
      <c r="H100">
        <v>5</v>
      </c>
      <c r="I100" s="32">
        <f t="shared" si="11"/>
        <v>3</v>
      </c>
      <c r="J100">
        <v>8</v>
      </c>
      <c r="K100">
        <v>6</v>
      </c>
      <c r="L100" s="32">
        <f t="shared" si="12"/>
        <v>2</v>
      </c>
      <c r="M100">
        <v>7</v>
      </c>
      <c r="N100">
        <v>5</v>
      </c>
      <c r="O100" s="32">
        <f t="shared" si="13"/>
        <v>2</v>
      </c>
      <c r="P100">
        <v>8</v>
      </c>
      <c r="Q100">
        <v>5</v>
      </c>
      <c r="R100" s="32">
        <f t="shared" si="14"/>
        <v>3</v>
      </c>
      <c r="S100">
        <v>7</v>
      </c>
      <c r="T100">
        <v>5</v>
      </c>
      <c r="U100" s="32">
        <f t="shared" si="15"/>
        <v>2</v>
      </c>
      <c r="V100">
        <v>7</v>
      </c>
      <c r="W100">
        <v>5</v>
      </c>
      <c r="X100" s="32">
        <f t="shared" si="16"/>
        <v>2</v>
      </c>
      <c r="Y100">
        <v>8</v>
      </c>
      <c r="Z100">
        <v>5</v>
      </c>
      <c r="AA100" s="32">
        <f t="shared" si="17"/>
        <v>3</v>
      </c>
    </row>
    <row r="101" spans="1:27" x14ac:dyDescent="0.45">
      <c r="A101">
        <v>6</v>
      </c>
      <c r="B101">
        <v>6</v>
      </c>
      <c r="C101" s="32">
        <f t="shared" si="9"/>
        <v>0</v>
      </c>
      <c r="D101">
        <v>6</v>
      </c>
      <c r="E101">
        <v>6</v>
      </c>
      <c r="F101" s="32">
        <f t="shared" si="10"/>
        <v>0</v>
      </c>
      <c r="G101">
        <v>8</v>
      </c>
      <c r="H101">
        <v>5</v>
      </c>
      <c r="I101" s="32">
        <f t="shared" si="11"/>
        <v>3</v>
      </c>
      <c r="J101">
        <v>8</v>
      </c>
      <c r="K101">
        <v>6</v>
      </c>
      <c r="L101" s="32">
        <f t="shared" si="12"/>
        <v>2</v>
      </c>
      <c r="M101">
        <v>7</v>
      </c>
      <c r="N101">
        <v>5</v>
      </c>
      <c r="O101" s="32">
        <f t="shared" si="13"/>
        <v>2</v>
      </c>
      <c r="P101">
        <v>8</v>
      </c>
      <c r="Q101">
        <v>5</v>
      </c>
      <c r="R101" s="32">
        <f t="shared" si="14"/>
        <v>3</v>
      </c>
      <c r="S101">
        <v>7</v>
      </c>
      <c r="T101">
        <v>5</v>
      </c>
      <c r="U101" s="32">
        <f t="shared" si="15"/>
        <v>2</v>
      </c>
      <c r="V101">
        <v>7</v>
      </c>
      <c r="W101">
        <v>5</v>
      </c>
      <c r="X101" s="32">
        <f t="shared" si="16"/>
        <v>2</v>
      </c>
      <c r="Y101">
        <v>8</v>
      </c>
      <c r="Z101">
        <v>5</v>
      </c>
      <c r="AA101" s="32">
        <f t="shared" si="17"/>
        <v>3</v>
      </c>
    </row>
    <row r="102" spans="1:27" x14ac:dyDescent="0.45">
      <c r="A102">
        <v>6</v>
      </c>
      <c r="B102">
        <v>6</v>
      </c>
      <c r="C102" s="32">
        <f t="shared" si="9"/>
        <v>0</v>
      </c>
      <c r="D102">
        <v>6</v>
      </c>
      <c r="E102">
        <v>6</v>
      </c>
      <c r="F102" s="32">
        <f t="shared" si="10"/>
        <v>0</v>
      </c>
      <c r="G102">
        <v>8</v>
      </c>
      <c r="H102">
        <v>5</v>
      </c>
      <c r="I102" s="32">
        <f t="shared" si="11"/>
        <v>3</v>
      </c>
      <c r="J102">
        <v>8</v>
      </c>
      <c r="K102">
        <v>6</v>
      </c>
      <c r="L102" s="32">
        <f t="shared" si="12"/>
        <v>2</v>
      </c>
      <c r="M102">
        <v>7</v>
      </c>
      <c r="N102">
        <v>5</v>
      </c>
      <c r="O102" s="32">
        <f t="shared" si="13"/>
        <v>2</v>
      </c>
      <c r="P102">
        <v>8</v>
      </c>
      <c r="Q102">
        <v>5</v>
      </c>
      <c r="R102" s="32">
        <f t="shared" si="14"/>
        <v>3</v>
      </c>
      <c r="S102">
        <v>7</v>
      </c>
      <c r="T102">
        <v>5</v>
      </c>
      <c r="U102" s="32">
        <f t="shared" si="15"/>
        <v>2</v>
      </c>
      <c r="V102">
        <v>7</v>
      </c>
      <c r="W102">
        <v>5</v>
      </c>
      <c r="X102" s="32">
        <f t="shared" si="16"/>
        <v>2</v>
      </c>
      <c r="Y102">
        <v>8</v>
      </c>
      <c r="Z102">
        <v>5</v>
      </c>
      <c r="AA102" s="32">
        <f t="shared" si="17"/>
        <v>3</v>
      </c>
    </row>
    <row r="103" spans="1:27" x14ac:dyDescent="0.45">
      <c r="A103">
        <v>6</v>
      </c>
      <c r="B103">
        <v>6</v>
      </c>
      <c r="C103" s="32">
        <f t="shared" si="9"/>
        <v>0</v>
      </c>
      <c r="D103">
        <v>6</v>
      </c>
      <c r="E103">
        <v>6</v>
      </c>
      <c r="F103" s="32">
        <f t="shared" si="10"/>
        <v>0</v>
      </c>
      <c r="G103">
        <v>8</v>
      </c>
      <c r="H103">
        <v>5</v>
      </c>
      <c r="I103" s="32">
        <f t="shared" si="11"/>
        <v>3</v>
      </c>
      <c r="J103">
        <v>8</v>
      </c>
      <c r="K103">
        <v>6</v>
      </c>
      <c r="L103" s="32">
        <f t="shared" si="12"/>
        <v>2</v>
      </c>
      <c r="M103">
        <v>7</v>
      </c>
      <c r="N103">
        <v>5</v>
      </c>
      <c r="O103" s="32">
        <f t="shared" si="13"/>
        <v>2</v>
      </c>
      <c r="P103">
        <v>8</v>
      </c>
      <c r="Q103">
        <v>5</v>
      </c>
      <c r="R103" s="32">
        <f t="shared" si="14"/>
        <v>3</v>
      </c>
      <c r="S103">
        <v>7</v>
      </c>
      <c r="T103">
        <v>5</v>
      </c>
      <c r="U103" s="32">
        <f t="shared" si="15"/>
        <v>2</v>
      </c>
      <c r="V103">
        <v>7</v>
      </c>
      <c r="W103">
        <v>5</v>
      </c>
      <c r="X103" s="32">
        <f t="shared" si="16"/>
        <v>2</v>
      </c>
      <c r="Y103">
        <v>8</v>
      </c>
      <c r="Z103">
        <v>5</v>
      </c>
      <c r="AA103" s="32">
        <f t="shared" si="17"/>
        <v>3</v>
      </c>
    </row>
    <row r="104" spans="1:27" x14ac:dyDescent="0.45">
      <c r="A104">
        <v>6</v>
      </c>
      <c r="B104">
        <v>6</v>
      </c>
      <c r="C104" s="32">
        <f t="shared" si="9"/>
        <v>0</v>
      </c>
      <c r="D104">
        <v>6</v>
      </c>
      <c r="E104">
        <v>6</v>
      </c>
      <c r="F104" s="32">
        <f t="shared" si="10"/>
        <v>0</v>
      </c>
      <c r="G104">
        <v>8</v>
      </c>
      <c r="H104">
        <v>5</v>
      </c>
      <c r="I104" s="32">
        <f t="shared" si="11"/>
        <v>3</v>
      </c>
      <c r="J104">
        <v>8</v>
      </c>
      <c r="K104">
        <v>6</v>
      </c>
      <c r="L104" s="32">
        <f t="shared" si="12"/>
        <v>2</v>
      </c>
      <c r="M104">
        <v>7</v>
      </c>
      <c r="N104">
        <v>5</v>
      </c>
      <c r="O104" s="32">
        <f t="shared" si="13"/>
        <v>2</v>
      </c>
      <c r="P104">
        <v>8</v>
      </c>
      <c r="Q104">
        <v>5</v>
      </c>
      <c r="R104" s="32">
        <f t="shared" si="14"/>
        <v>3</v>
      </c>
      <c r="S104">
        <v>7</v>
      </c>
      <c r="T104">
        <v>5</v>
      </c>
      <c r="U104" s="32">
        <f t="shared" si="15"/>
        <v>2</v>
      </c>
      <c r="V104">
        <v>7</v>
      </c>
      <c r="W104">
        <v>5</v>
      </c>
      <c r="X104" s="32">
        <f t="shared" si="16"/>
        <v>2</v>
      </c>
      <c r="Y104">
        <v>8</v>
      </c>
      <c r="Z104">
        <v>5</v>
      </c>
      <c r="AA104" s="32">
        <f t="shared" si="17"/>
        <v>3</v>
      </c>
    </row>
    <row r="105" spans="1:27" x14ac:dyDescent="0.45">
      <c r="A105">
        <v>6</v>
      </c>
      <c r="B105">
        <v>6</v>
      </c>
      <c r="C105" s="32">
        <f t="shared" si="9"/>
        <v>0</v>
      </c>
      <c r="D105">
        <v>6</v>
      </c>
      <c r="E105">
        <v>6</v>
      </c>
      <c r="F105" s="32">
        <f t="shared" si="10"/>
        <v>0</v>
      </c>
      <c r="G105">
        <v>8</v>
      </c>
      <c r="H105">
        <v>5</v>
      </c>
      <c r="I105" s="32">
        <f t="shared" si="11"/>
        <v>3</v>
      </c>
      <c r="J105">
        <v>8</v>
      </c>
      <c r="K105">
        <v>6</v>
      </c>
      <c r="L105" s="32">
        <f t="shared" si="12"/>
        <v>2</v>
      </c>
      <c r="M105">
        <v>7</v>
      </c>
      <c r="N105">
        <v>5</v>
      </c>
      <c r="O105" s="32">
        <f t="shared" si="13"/>
        <v>2</v>
      </c>
      <c r="P105">
        <v>8</v>
      </c>
      <c r="Q105">
        <v>5</v>
      </c>
      <c r="R105" s="32">
        <f t="shared" si="14"/>
        <v>3</v>
      </c>
      <c r="S105">
        <v>7</v>
      </c>
      <c r="T105">
        <v>5</v>
      </c>
      <c r="U105" s="32">
        <f t="shared" si="15"/>
        <v>2</v>
      </c>
      <c r="V105">
        <v>7</v>
      </c>
      <c r="W105">
        <v>5</v>
      </c>
      <c r="X105" s="32">
        <f t="shared" si="16"/>
        <v>2</v>
      </c>
      <c r="Y105">
        <v>8</v>
      </c>
      <c r="Z105">
        <v>6</v>
      </c>
      <c r="AA105" s="32">
        <f t="shared" si="17"/>
        <v>2</v>
      </c>
    </row>
    <row r="106" spans="1:27" x14ac:dyDescent="0.45">
      <c r="A106">
        <v>6</v>
      </c>
      <c r="B106">
        <v>6</v>
      </c>
      <c r="C106" s="32">
        <f t="shared" si="9"/>
        <v>0</v>
      </c>
      <c r="D106">
        <v>6</v>
      </c>
      <c r="E106">
        <v>6</v>
      </c>
      <c r="F106" s="32">
        <f t="shared" si="10"/>
        <v>0</v>
      </c>
      <c r="G106">
        <v>8</v>
      </c>
      <c r="H106">
        <v>5</v>
      </c>
      <c r="I106" s="32">
        <f t="shared" si="11"/>
        <v>3</v>
      </c>
      <c r="J106">
        <v>8</v>
      </c>
      <c r="K106">
        <v>6</v>
      </c>
      <c r="L106" s="32">
        <f t="shared" si="12"/>
        <v>2</v>
      </c>
      <c r="M106">
        <v>7</v>
      </c>
      <c r="N106">
        <v>5</v>
      </c>
      <c r="O106" s="32">
        <f t="shared" si="13"/>
        <v>2</v>
      </c>
      <c r="P106">
        <v>8</v>
      </c>
      <c r="Q106">
        <v>5</v>
      </c>
      <c r="R106" s="32">
        <f t="shared" si="14"/>
        <v>3</v>
      </c>
      <c r="S106">
        <v>7</v>
      </c>
      <c r="T106">
        <v>5</v>
      </c>
      <c r="U106" s="32">
        <f t="shared" si="15"/>
        <v>2</v>
      </c>
      <c r="V106">
        <v>7</v>
      </c>
      <c r="W106">
        <v>5</v>
      </c>
      <c r="X106" s="32">
        <f t="shared" si="16"/>
        <v>2</v>
      </c>
      <c r="Y106">
        <v>8</v>
      </c>
      <c r="Z106">
        <v>6</v>
      </c>
      <c r="AA106" s="32">
        <f t="shared" si="17"/>
        <v>2</v>
      </c>
    </row>
    <row r="107" spans="1:27" x14ac:dyDescent="0.45">
      <c r="A107">
        <v>6</v>
      </c>
      <c r="B107">
        <v>6</v>
      </c>
      <c r="C107" s="32">
        <f t="shared" si="9"/>
        <v>0</v>
      </c>
      <c r="D107">
        <v>6</v>
      </c>
      <c r="E107">
        <v>6</v>
      </c>
      <c r="F107" s="32">
        <f t="shared" si="10"/>
        <v>0</v>
      </c>
      <c r="G107">
        <v>8</v>
      </c>
      <c r="H107">
        <v>5</v>
      </c>
      <c r="I107" s="32">
        <f t="shared" si="11"/>
        <v>3</v>
      </c>
      <c r="J107">
        <v>8</v>
      </c>
      <c r="K107">
        <v>6</v>
      </c>
      <c r="L107" s="32">
        <f t="shared" si="12"/>
        <v>2</v>
      </c>
      <c r="M107">
        <v>7</v>
      </c>
      <c r="N107">
        <v>5</v>
      </c>
      <c r="O107" s="32">
        <f t="shared" si="13"/>
        <v>2</v>
      </c>
      <c r="P107">
        <v>8</v>
      </c>
      <c r="Q107">
        <v>5</v>
      </c>
      <c r="R107" s="32">
        <f t="shared" si="14"/>
        <v>3</v>
      </c>
      <c r="S107">
        <v>7</v>
      </c>
      <c r="T107">
        <v>5</v>
      </c>
      <c r="U107" s="32">
        <f t="shared" si="15"/>
        <v>2</v>
      </c>
      <c r="V107">
        <v>7</v>
      </c>
      <c r="W107">
        <v>5</v>
      </c>
      <c r="X107" s="32">
        <f t="shared" si="16"/>
        <v>2</v>
      </c>
      <c r="Y107">
        <v>8</v>
      </c>
      <c r="Z107">
        <v>6</v>
      </c>
      <c r="AA107" s="32">
        <f t="shared" si="17"/>
        <v>2</v>
      </c>
    </row>
    <row r="108" spans="1:27" x14ac:dyDescent="0.45">
      <c r="A108">
        <v>7</v>
      </c>
      <c r="B108">
        <v>6</v>
      </c>
      <c r="C108" s="32">
        <f t="shared" si="9"/>
        <v>1</v>
      </c>
      <c r="D108">
        <v>6</v>
      </c>
      <c r="E108">
        <v>6</v>
      </c>
      <c r="F108" s="32">
        <f t="shared" si="10"/>
        <v>0</v>
      </c>
      <c r="G108">
        <v>8</v>
      </c>
      <c r="H108">
        <v>5</v>
      </c>
      <c r="I108" s="32">
        <f t="shared" si="11"/>
        <v>3</v>
      </c>
      <c r="J108">
        <v>8</v>
      </c>
      <c r="K108">
        <v>6</v>
      </c>
      <c r="L108" s="32">
        <f t="shared" si="12"/>
        <v>2</v>
      </c>
      <c r="M108">
        <v>7</v>
      </c>
      <c r="N108">
        <v>5</v>
      </c>
      <c r="O108" s="32">
        <f t="shared" si="13"/>
        <v>2</v>
      </c>
      <c r="P108">
        <v>8</v>
      </c>
      <c r="Q108">
        <v>5</v>
      </c>
      <c r="R108" s="32">
        <f t="shared" si="14"/>
        <v>3</v>
      </c>
      <c r="S108">
        <v>7</v>
      </c>
      <c r="T108">
        <v>5</v>
      </c>
      <c r="U108" s="32">
        <f t="shared" si="15"/>
        <v>2</v>
      </c>
      <c r="V108">
        <v>7</v>
      </c>
      <c r="W108">
        <v>5</v>
      </c>
      <c r="X108" s="32">
        <f t="shared" si="16"/>
        <v>2</v>
      </c>
      <c r="Y108">
        <v>8</v>
      </c>
      <c r="Z108">
        <v>6</v>
      </c>
      <c r="AA108" s="32">
        <f t="shared" si="17"/>
        <v>2</v>
      </c>
    </row>
    <row r="109" spans="1:27" x14ac:dyDescent="0.45">
      <c r="A109">
        <v>7</v>
      </c>
      <c r="B109">
        <v>6</v>
      </c>
      <c r="C109" s="32">
        <f t="shared" si="9"/>
        <v>1</v>
      </c>
      <c r="D109">
        <v>6</v>
      </c>
      <c r="E109">
        <v>6</v>
      </c>
      <c r="F109" s="32">
        <f t="shared" si="10"/>
        <v>0</v>
      </c>
      <c r="G109">
        <v>8</v>
      </c>
      <c r="H109">
        <v>5</v>
      </c>
      <c r="I109" s="32">
        <f t="shared" si="11"/>
        <v>3</v>
      </c>
      <c r="J109">
        <v>8</v>
      </c>
      <c r="K109">
        <v>6</v>
      </c>
      <c r="L109" s="32">
        <f t="shared" si="12"/>
        <v>2</v>
      </c>
      <c r="M109">
        <v>7</v>
      </c>
      <c r="N109">
        <v>5</v>
      </c>
      <c r="O109" s="32">
        <f t="shared" si="13"/>
        <v>2</v>
      </c>
      <c r="P109">
        <v>8</v>
      </c>
      <c r="Q109">
        <v>5</v>
      </c>
      <c r="R109" s="32">
        <f t="shared" si="14"/>
        <v>3</v>
      </c>
      <c r="S109">
        <v>7</v>
      </c>
      <c r="T109">
        <v>5</v>
      </c>
      <c r="U109" s="32">
        <f t="shared" si="15"/>
        <v>2</v>
      </c>
      <c r="V109">
        <v>7</v>
      </c>
      <c r="W109">
        <v>5</v>
      </c>
      <c r="X109" s="32">
        <f t="shared" si="16"/>
        <v>2</v>
      </c>
      <c r="Y109">
        <v>8</v>
      </c>
      <c r="Z109">
        <v>6</v>
      </c>
      <c r="AA109" s="32">
        <f t="shared" si="17"/>
        <v>2</v>
      </c>
    </row>
    <row r="110" spans="1:27" x14ac:dyDescent="0.45">
      <c r="A110">
        <v>7</v>
      </c>
      <c r="B110">
        <v>6</v>
      </c>
      <c r="C110" s="32">
        <f t="shared" si="9"/>
        <v>1</v>
      </c>
      <c r="D110">
        <v>6</v>
      </c>
      <c r="E110">
        <v>6</v>
      </c>
      <c r="F110" s="32">
        <f t="shared" si="10"/>
        <v>0</v>
      </c>
      <c r="G110">
        <v>8</v>
      </c>
      <c r="H110">
        <v>5</v>
      </c>
      <c r="I110" s="32">
        <f t="shared" si="11"/>
        <v>3</v>
      </c>
      <c r="J110">
        <v>8</v>
      </c>
      <c r="K110">
        <v>6</v>
      </c>
      <c r="L110" s="32">
        <f t="shared" si="12"/>
        <v>2</v>
      </c>
      <c r="M110">
        <v>7</v>
      </c>
      <c r="N110">
        <v>5</v>
      </c>
      <c r="O110" s="32">
        <f t="shared" si="13"/>
        <v>2</v>
      </c>
      <c r="P110">
        <v>8</v>
      </c>
      <c r="Q110">
        <v>5</v>
      </c>
      <c r="R110" s="32">
        <f t="shared" si="14"/>
        <v>3</v>
      </c>
      <c r="S110">
        <v>7</v>
      </c>
      <c r="T110">
        <v>5</v>
      </c>
      <c r="U110" s="32">
        <f t="shared" si="15"/>
        <v>2</v>
      </c>
      <c r="V110">
        <v>7</v>
      </c>
      <c r="W110">
        <v>5</v>
      </c>
      <c r="X110" s="32">
        <f t="shared" si="16"/>
        <v>2</v>
      </c>
      <c r="Y110">
        <v>8</v>
      </c>
      <c r="Z110">
        <v>6</v>
      </c>
      <c r="AA110" s="32">
        <f t="shared" si="17"/>
        <v>2</v>
      </c>
    </row>
    <row r="111" spans="1:27" x14ac:dyDescent="0.45">
      <c r="A111">
        <v>7</v>
      </c>
      <c r="B111">
        <v>6</v>
      </c>
      <c r="C111" s="32">
        <f t="shared" si="9"/>
        <v>1</v>
      </c>
      <c r="D111">
        <v>7</v>
      </c>
      <c r="E111">
        <v>6</v>
      </c>
      <c r="F111" s="32">
        <f t="shared" si="10"/>
        <v>1</v>
      </c>
      <c r="G111">
        <v>8</v>
      </c>
      <c r="H111">
        <v>5</v>
      </c>
      <c r="I111" s="32">
        <f t="shared" si="11"/>
        <v>3</v>
      </c>
      <c r="J111">
        <v>8</v>
      </c>
      <c r="K111">
        <v>6</v>
      </c>
      <c r="L111" s="32">
        <f t="shared" si="12"/>
        <v>2</v>
      </c>
      <c r="M111">
        <v>7</v>
      </c>
      <c r="N111">
        <v>5</v>
      </c>
      <c r="O111" s="32">
        <f t="shared" si="13"/>
        <v>2</v>
      </c>
      <c r="P111">
        <v>8</v>
      </c>
      <c r="Q111">
        <v>5</v>
      </c>
      <c r="R111" s="32">
        <f t="shared" si="14"/>
        <v>3</v>
      </c>
      <c r="S111">
        <v>7</v>
      </c>
      <c r="T111">
        <v>5</v>
      </c>
      <c r="U111" s="32">
        <f t="shared" si="15"/>
        <v>2</v>
      </c>
      <c r="V111">
        <v>7</v>
      </c>
      <c r="W111">
        <v>5</v>
      </c>
      <c r="X111" s="32">
        <f t="shared" si="16"/>
        <v>2</v>
      </c>
      <c r="Y111">
        <v>8</v>
      </c>
      <c r="Z111">
        <v>6</v>
      </c>
      <c r="AA111" s="32">
        <f t="shared" si="17"/>
        <v>2</v>
      </c>
    </row>
    <row r="112" spans="1:27" x14ac:dyDescent="0.45">
      <c r="A112">
        <v>7</v>
      </c>
      <c r="B112">
        <v>6</v>
      </c>
      <c r="C112" s="32">
        <f t="shared" si="9"/>
        <v>1</v>
      </c>
      <c r="D112">
        <v>7</v>
      </c>
      <c r="E112">
        <v>6</v>
      </c>
      <c r="F112" s="32">
        <f t="shared" si="10"/>
        <v>1</v>
      </c>
      <c r="G112">
        <v>8</v>
      </c>
      <c r="H112">
        <v>5</v>
      </c>
      <c r="I112" s="32">
        <f t="shared" si="11"/>
        <v>3</v>
      </c>
      <c r="J112">
        <v>8</v>
      </c>
      <c r="K112">
        <v>6</v>
      </c>
      <c r="L112" s="32">
        <f t="shared" si="12"/>
        <v>2</v>
      </c>
      <c r="M112">
        <v>7</v>
      </c>
      <c r="N112">
        <v>5</v>
      </c>
      <c r="O112" s="32">
        <f t="shared" si="13"/>
        <v>2</v>
      </c>
      <c r="P112">
        <v>8</v>
      </c>
      <c r="Q112">
        <v>5</v>
      </c>
      <c r="R112" s="32">
        <f t="shared" si="14"/>
        <v>3</v>
      </c>
      <c r="S112">
        <v>7</v>
      </c>
      <c r="T112">
        <v>5</v>
      </c>
      <c r="U112" s="32">
        <f t="shared" si="15"/>
        <v>2</v>
      </c>
      <c r="V112">
        <v>7</v>
      </c>
      <c r="W112">
        <v>5</v>
      </c>
      <c r="X112" s="32">
        <f t="shared" si="16"/>
        <v>2</v>
      </c>
      <c r="Y112">
        <v>8</v>
      </c>
      <c r="Z112">
        <v>6</v>
      </c>
      <c r="AA112" s="32">
        <f t="shared" si="17"/>
        <v>2</v>
      </c>
    </row>
    <row r="113" spans="1:27" x14ac:dyDescent="0.45">
      <c r="A113">
        <v>7</v>
      </c>
      <c r="B113">
        <v>6</v>
      </c>
      <c r="C113" s="32">
        <f t="shared" si="9"/>
        <v>1</v>
      </c>
      <c r="D113">
        <v>7</v>
      </c>
      <c r="E113">
        <v>6</v>
      </c>
      <c r="F113" s="32">
        <f t="shared" si="10"/>
        <v>1</v>
      </c>
      <c r="G113">
        <v>8</v>
      </c>
      <c r="H113">
        <v>5</v>
      </c>
      <c r="I113" s="32">
        <f t="shared" si="11"/>
        <v>3</v>
      </c>
      <c r="J113">
        <v>8</v>
      </c>
      <c r="K113">
        <v>6</v>
      </c>
      <c r="L113" s="32">
        <f t="shared" si="12"/>
        <v>2</v>
      </c>
      <c r="M113">
        <v>7</v>
      </c>
      <c r="N113">
        <v>5</v>
      </c>
      <c r="O113" s="32">
        <f t="shared" si="13"/>
        <v>2</v>
      </c>
      <c r="P113">
        <v>8</v>
      </c>
      <c r="Q113">
        <v>5</v>
      </c>
      <c r="R113" s="32">
        <f t="shared" si="14"/>
        <v>3</v>
      </c>
      <c r="S113">
        <v>7</v>
      </c>
      <c r="T113">
        <v>5</v>
      </c>
      <c r="U113" s="32">
        <f t="shared" si="15"/>
        <v>2</v>
      </c>
      <c r="V113">
        <v>7</v>
      </c>
      <c r="W113">
        <v>5</v>
      </c>
      <c r="X113" s="32">
        <f t="shared" si="16"/>
        <v>2</v>
      </c>
      <c r="Y113">
        <v>8</v>
      </c>
      <c r="Z113">
        <v>6</v>
      </c>
      <c r="AA113" s="32">
        <f t="shared" si="17"/>
        <v>2</v>
      </c>
    </row>
    <row r="114" spans="1:27" x14ac:dyDescent="0.45">
      <c r="A114">
        <v>7</v>
      </c>
      <c r="B114">
        <v>6</v>
      </c>
      <c r="C114" s="32">
        <f t="shared" si="9"/>
        <v>1</v>
      </c>
      <c r="D114">
        <v>7</v>
      </c>
      <c r="E114">
        <v>6</v>
      </c>
      <c r="F114" s="32">
        <f t="shared" si="10"/>
        <v>1</v>
      </c>
      <c r="G114">
        <v>8</v>
      </c>
      <c r="H114">
        <v>5</v>
      </c>
      <c r="I114" s="32">
        <f t="shared" si="11"/>
        <v>3</v>
      </c>
      <c r="J114">
        <v>8</v>
      </c>
      <c r="K114">
        <v>6</v>
      </c>
      <c r="L114" s="32">
        <f t="shared" si="12"/>
        <v>2</v>
      </c>
      <c r="M114">
        <v>7</v>
      </c>
      <c r="N114">
        <v>5</v>
      </c>
      <c r="O114" s="32">
        <f t="shared" si="13"/>
        <v>2</v>
      </c>
      <c r="P114">
        <v>8</v>
      </c>
      <c r="Q114">
        <v>5</v>
      </c>
      <c r="R114" s="32">
        <f t="shared" si="14"/>
        <v>3</v>
      </c>
      <c r="S114">
        <v>7</v>
      </c>
      <c r="T114">
        <v>5</v>
      </c>
      <c r="U114" s="32">
        <f t="shared" si="15"/>
        <v>2</v>
      </c>
      <c r="V114">
        <v>7</v>
      </c>
      <c r="W114">
        <v>5</v>
      </c>
      <c r="X114" s="32">
        <f t="shared" si="16"/>
        <v>2</v>
      </c>
      <c r="Y114">
        <v>8</v>
      </c>
      <c r="Z114">
        <v>6</v>
      </c>
      <c r="AA114" s="32">
        <f t="shared" si="17"/>
        <v>2</v>
      </c>
    </row>
    <row r="115" spans="1:27" x14ac:dyDescent="0.45">
      <c r="A115">
        <v>7</v>
      </c>
      <c r="B115">
        <v>6</v>
      </c>
      <c r="C115" s="32">
        <f t="shared" si="9"/>
        <v>1</v>
      </c>
      <c r="D115">
        <v>7</v>
      </c>
      <c r="E115">
        <v>6</v>
      </c>
      <c r="F115" s="32">
        <f t="shared" si="10"/>
        <v>1</v>
      </c>
      <c r="G115">
        <v>8</v>
      </c>
      <c r="H115">
        <v>5</v>
      </c>
      <c r="I115" s="32">
        <f t="shared" si="11"/>
        <v>3</v>
      </c>
      <c r="J115">
        <v>8</v>
      </c>
      <c r="K115">
        <v>6</v>
      </c>
      <c r="L115" s="32">
        <f t="shared" si="12"/>
        <v>2</v>
      </c>
      <c r="M115">
        <v>7</v>
      </c>
      <c r="N115">
        <v>5</v>
      </c>
      <c r="O115" s="32">
        <f t="shared" si="13"/>
        <v>2</v>
      </c>
      <c r="P115">
        <v>8</v>
      </c>
      <c r="Q115">
        <v>5</v>
      </c>
      <c r="R115" s="32">
        <f t="shared" si="14"/>
        <v>3</v>
      </c>
      <c r="S115">
        <v>7</v>
      </c>
      <c r="T115">
        <v>5</v>
      </c>
      <c r="U115" s="32">
        <f t="shared" si="15"/>
        <v>2</v>
      </c>
      <c r="V115">
        <v>7</v>
      </c>
      <c r="W115">
        <v>5</v>
      </c>
      <c r="X115" s="32">
        <f t="shared" si="16"/>
        <v>2</v>
      </c>
      <c r="Y115">
        <v>8</v>
      </c>
      <c r="Z115">
        <v>6</v>
      </c>
      <c r="AA115" s="32">
        <f t="shared" si="17"/>
        <v>2</v>
      </c>
    </row>
    <row r="116" spans="1:27" x14ac:dyDescent="0.45">
      <c r="A116">
        <v>7</v>
      </c>
      <c r="B116">
        <v>6</v>
      </c>
      <c r="C116" s="32">
        <f t="shared" si="9"/>
        <v>1</v>
      </c>
      <c r="D116">
        <v>7</v>
      </c>
      <c r="E116">
        <v>6</v>
      </c>
      <c r="F116" s="32">
        <f t="shared" si="10"/>
        <v>1</v>
      </c>
      <c r="G116">
        <v>8</v>
      </c>
      <c r="H116">
        <v>5</v>
      </c>
      <c r="I116" s="32">
        <f t="shared" si="11"/>
        <v>3</v>
      </c>
      <c r="J116">
        <v>8</v>
      </c>
      <c r="K116">
        <v>6</v>
      </c>
      <c r="L116" s="32">
        <f t="shared" si="12"/>
        <v>2</v>
      </c>
      <c r="M116">
        <v>7</v>
      </c>
      <c r="N116">
        <v>5</v>
      </c>
      <c r="O116" s="32">
        <f t="shared" si="13"/>
        <v>2</v>
      </c>
      <c r="P116">
        <v>8</v>
      </c>
      <c r="Q116">
        <v>5</v>
      </c>
      <c r="R116" s="32">
        <f t="shared" si="14"/>
        <v>3</v>
      </c>
      <c r="S116">
        <v>7</v>
      </c>
      <c r="T116">
        <v>5</v>
      </c>
      <c r="U116" s="32">
        <f t="shared" si="15"/>
        <v>2</v>
      </c>
      <c r="V116">
        <v>7</v>
      </c>
      <c r="W116">
        <v>5</v>
      </c>
      <c r="X116" s="32">
        <f t="shared" si="16"/>
        <v>2</v>
      </c>
      <c r="Y116">
        <v>8</v>
      </c>
      <c r="Z116">
        <v>6</v>
      </c>
      <c r="AA116" s="32">
        <f t="shared" si="17"/>
        <v>2</v>
      </c>
    </row>
    <row r="117" spans="1:27" x14ac:dyDescent="0.45">
      <c r="A117">
        <v>7</v>
      </c>
      <c r="B117">
        <v>6</v>
      </c>
      <c r="C117" s="32">
        <f t="shared" si="9"/>
        <v>1</v>
      </c>
      <c r="D117">
        <v>7</v>
      </c>
      <c r="E117">
        <v>6</v>
      </c>
      <c r="F117" s="32">
        <f t="shared" si="10"/>
        <v>1</v>
      </c>
      <c r="G117">
        <v>8</v>
      </c>
      <c r="H117">
        <v>5</v>
      </c>
      <c r="I117" s="32">
        <f t="shared" si="11"/>
        <v>3</v>
      </c>
      <c r="J117">
        <v>8</v>
      </c>
      <c r="K117">
        <v>6</v>
      </c>
      <c r="L117" s="32">
        <f t="shared" si="12"/>
        <v>2</v>
      </c>
      <c r="M117">
        <v>7</v>
      </c>
      <c r="N117">
        <v>5</v>
      </c>
      <c r="O117" s="32">
        <f t="shared" si="13"/>
        <v>2</v>
      </c>
      <c r="P117">
        <v>8</v>
      </c>
      <c r="Q117">
        <v>5</v>
      </c>
      <c r="R117" s="32">
        <f t="shared" si="14"/>
        <v>3</v>
      </c>
      <c r="S117">
        <v>7</v>
      </c>
      <c r="T117">
        <v>5</v>
      </c>
      <c r="U117" s="32">
        <f t="shared" si="15"/>
        <v>2</v>
      </c>
      <c r="V117">
        <v>7</v>
      </c>
      <c r="W117">
        <v>5</v>
      </c>
      <c r="X117" s="32">
        <f t="shared" si="16"/>
        <v>2</v>
      </c>
      <c r="Y117">
        <v>8</v>
      </c>
      <c r="Z117">
        <v>6</v>
      </c>
      <c r="AA117" s="32">
        <f t="shared" si="17"/>
        <v>2</v>
      </c>
    </row>
    <row r="118" spans="1:27" x14ac:dyDescent="0.45">
      <c r="A118">
        <v>7</v>
      </c>
      <c r="B118">
        <v>6</v>
      </c>
      <c r="C118" s="32">
        <f t="shared" si="9"/>
        <v>1</v>
      </c>
      <c r="D118">
        <v>7</v>
      </c>
      <c r="E118">
        <v>6</v>
      </c>
      <c r="F118" s="32">
        <f t="shared" si="10"/>
        <v>1</v>
      </c>
      <c r="G118">
        <v>8</v>
      </c>
      <c r="H118">
        <v>5</v>
      </c>
      <c r="I118" s="32">
        <f t="shared" si="11"/>
        <v>3</v>
      </c>
      <c r="J118">
        <v>8</v>
      </c>
      <c r="K118">
        <v>6</v>
      </c>
      <c r="L118" s="32">
        <f t="shared" si="12"/>
        <v>2</v>
      </c>
      <c r="M118">
        <v>7</v>
      </c>
      <c r="N118">
        <v>5</v>
      </c>
      <c r="O118" s="32">
        <f t="shared" si="13"/>
        <v>2</v>
      </c>
      <c r="P118">
        <v>8</v>
      </c>
      <c r="Q118">
        <v>5</v>
      </c>
      <c r="R118" s="32">
        <f t="shared" si="14"/>
        <v>3</v>
      </c>
      <c r="S118">
        <v>7</v>
      </c>
      <c r="T118">
        <v>5</v>
      </c>
      <c r="U118" s="32">
        <f t="shared" si="15"/>
        <v>2</v>
      </c>
      <c r="V118">
        <v>7</v>
      </c>
      <c r="W118">
        <v>5</v>
      </c>
      <c r="X118" s="32">
        <f t="shared" si="16"/>
        <v>2</v>
      </c>
      <c r="Y118">
        <v>8</v>
      </c>
      <c r="Z118">
        <v>6</v>
      </c>
      <c r="AA118" s="32">
        <f t="shared" si="17"/>
        <v>2</v>
      </c>
    </row>
    <row r="119" spans="1:27" x14ac:dyDescent="0.45">
      <c r="A119">
        <v>7</v>
      </c>
      <c r="B119">
        <v>6</v>
      </c>
      <c r="C119" s="32">
        <f t="shared" si="9"/>
        <v>1</v>
      </c>
      <c r="D119">
        <v>7</v>
      </c>
      <c r="E119">
        <v>6</v>
      </c>
      <c r="F119" s="32">
        <f t="shared" si="10"/>
        <v>1</v>
      </c>
      <c r="G119">
        <v>8</v>
      </c>
      <c r="H119">
        <v>5</v>
      </c>
      <c r="I119" s="32">
        <f t="shared" si="11"/>
        <v>3</v>
      </c>
      <c r="J119">
        <v>8</v>
      </c>
      <c r="K119">
        <v>6</v>
      </c>
      <c r="L119" s="32">
        <f t="shared" si="12"/>
        <v>2</v>
      </c>
      <c r="M119">
        <v>7</v>
      </c>
      <c r="N119">
        <v>5</v>
      </c>
      <c r="O119" s="32">
        <f t="shared" si="13"/>
        <v>2</v>
      </c>
      <c r="P119">
        <v>8</v>
      </c>
      <c r="Q119">
        <v>5</v>
      </c>
      <c r="R119" s="32">
        <f t="shared" si="14"/>
        <v>3</v>
      </c>
      <c r="S119">
        <v>7</v>
      </c>
      <c r="T119">
        <v>5</v>
      </c>
      <c r="U119" s="32">
        <f t="shared" si="15"/>
        <v>2</v>
      </c>
      <c r="V119">
        <v>7</v>
      </c>
      <c r="W119">
        <v>5</v>
      </c>
      <c r="X119" s="32">
        <f t="shared" si="16"/>
        <v>2</v>
      </c>
      <c r="Y119">
        <v>8</v>
      </c>
      <c r="Z119">
        <v>6</v>
      </c>
      <c r="AA119" s="32">
        <f t="shared" si="17"/>
        <v>2</v>
      </c>
    </row>
    <row r="120" spans="1:27" x14ac:dyDescent="0.45">
      <c r="A120">
        <v>7</v>
      </c>
      <c r="B120">
        <v>6</v>
      </c>
      <c r="C120" s="32">
        <f t="shared" si="9"/>
        <v>1</v>
      </c>
      <c r="D120">
        <v>7</v>
      </c>
      <c r="E120">
        <v>6</v>
      </c>
      <c r="F120" s="32">
        <f t="shared" si="10"/>
        <v>1</v>
      </c>
      <c r="G120">
        <v>8</v>
      </c>
      <c r="H120">
        <v>5</v>
      </c>
      <c r="I120" s="32">
        <f t="shared" si="11"/>
        <v>3</v>
      </c>
      <c r="J120">
        <v>8</v>
      </c>
      <c r="K120">
        <v>6</v>
      </c>
      <c r="L120" s="32">
        <f t="shared" si="12"/>
        <v>2</v>
      </c>
      <c r="M120">
        <v>7</v>
      </c>
      <c r="N120">
        <v>5</v>
      </c>
      <c r="O120" s="32">
        <f t="shared" si="13"/>
        <v>2</v>
      </c>
      <c r="P120">
        <v>8</v>
      </c>
      <c r="Q120">
        <v>5</v>
      </c>
      <c r="R120" s="32">
        <f t="shared" si="14"/>
        <v>3</v>
      </c>
      <c r="S120">
        <v>7</v>
      </c>
      <c r="T120">
        <v>5</v>
      </c>
      <c r="U120" s="32">
        <f t="shared" si="15"/>
        <v>2</v>
      </c>
      <c r="V120">
        <v>7</v>
      </c>
      <c r="W120">
        <v>5</v>
      </c>
      <c r="X120" s="32">
        <f t="shared" si="16"/>
        <v>2</v>
      </c>
      <c r="Y120">
        <v>8</v>
      </c>
      <c r="Z120">
        <v>6</v>
      </c>
      <c r="AA120" s="32">
        <f t="shared" si="17"/>
        <v>2</v>
      </c>
    </row>
    <row r="121" spans="1:27" x14ac:dyDescent="0.45">
      <c r="A121">
        <v>7</v>
      </c>
      <c r="B121">
        <v>6</v>
      </c>
      <c r="C121" s="32">
        <f t="shared" si="9"/>
        <v>1</v>
      </c>
      <c r="D121">
        <v>7</v>
      </c>
      <c r="E121">
        <v>6</v>
      </c>
      <c r="F121" s="32">
        <f t="shared" si="10"/>
        <v>1</v>
      </c>
      <c r="G121">
        <v>8</v>
      </c>
      <c r="H121">
        <v>5</v>
      </c>
      <c r="I121" s="32">
        <f t="shared" si="11"/>
        <v>3</v>
      </c>
      <c r="J121">
        <v>8</v>
      </c>
      <c r="K121">
        <v>6</v>
      </c>
      <c r="L121" s="32">
        <f t="shared" si="12"/>
        <v>2</v>
      </c>
      <c r="M121">
        <v>7</v>
      </c>
      <c r="N121">
        <v>5</v>
      </c>
      <c r="O121" s="32">
        <f t="shared" si="13"/>
        <v>2</v>
      </c>
      <c r="P121">
        <v>8</v>
      </c>
      <c r="Q121">
        <v>5</v>
      </c>
      <c r="R121" s="32">
        <f t="shared" si="14"/>
        <v>3</v>
      </c>
      <c r="S121">
        <v>7</v>
      </c>
      <c r="T121">
        <v>5</v>
      </c>
      <c r="U121" s="32">
        <f t="shared" si="15"/>
        <v>2</v>
      </c>
      <c r="V121">
        <v>7</v>
      </c>
      <c r="W121">
        <v>5</v>
      </c>
      <c r="X121" s="32">
        <f t="shared" si="16"/>
        <v>2</v>
      </c>
      <c r="Y121">
        <v>8</v>
      </c>
      <c r="Z121">
        <v>6</v>
      </c>
      <c r="AA121" s="32">
        <f t="shared" si="17"/>
        <v>2</v>
      </c>
    </row>
    <row r="122" spans="1:27" x14ac:dyDescent="0.45">
      <c r="A122">
        <v>7</v>
      </c>
      <c r="B122">
        <v>6</v>
      </c>
      <c r="C122" s="32">
        <f t="shared" si="9"/>
        <v>1</v>
      </c>
      <c r="D122">
        <v>7</v>
      </c>
      <c r="E122">
        <v>6</v>
      </c>
      <c r="F122" s="32">
        <f t="shared" si="10"/>
        <v>1</v>
      </c>
      <c r="G122">
        <v>8</v>
      </c>
      <c r="H122">
        <v>5</v>
      </c>
      <c r="I122" s="32">
        <f t="shared" si="11"/>
        <v>3</v>
      </c>
      <c r="J122">
        <v>8</v>
      </c>
      <c r="K122">
        <v>6</v>
      </c>
      <c r="L122" s="32">
        <f t="shared" si="12"/>
        <v>2</v>
      </c>
      <c r="M122">
        <v>7</v>
      </c>
      <c r="N122">
        <v>5</v>
      </c>
      <c r="O122" s="32">
        <f t="shared" si="13"/>
        <v>2</v>
      </c>
      <c r="P122">
        <v>8</v>
      </c>
      <c r="Q122">
        <v>5</v>
      </c>
      <c r="R122" s="32">
        <f t="shared" si="14"/>
        <v>3</v>
      </c>
      <c r="S122">
        <v>7</v>
      </c>
      <c r="T122">
        <v>5</v>
      </c>
      <c r="U122" s="32">
        <f t="shared" si="15"/>
        <v>2</v>
      </c>
      <c r="V122">
        <v>7</v>
      </c>
      <c r="W122">
        <v>5</v>
      </c>
      <c r="X122" s="32">
        <f t="shared" si="16"/>
        <v>2</v>
      </c>
      <c r="Y122">
        <v>8</v>
      </c>
      <c r="Z122">
        <v>6</v>
      </c>
      <c r="AA122" s="32">
        <f t="shared" si="17"/>
        <v>2</v>
      </c>
    </row>
    <row r="123" spans="1:27" x14ac:dyDescent="0.45">
      <c r="A123">
        <v>7</v>
      </c>
      <c r="B123">
        <v>6</v>
      </c>
      <c r="C123" s="32">
        <f t="shared" si="9"/>
        <v>1</v>
      </c>
      <c r="D123">
        <v>7</v>
      </c>
      <c r="E123">
        <v>6</v>
      </c>
      <c r="F123" s="32">
        <f t="shared" si="10"/>
        <v>1</v>
      </c>
      <c r="G123">
        <v>8</v>
      </c>
      <c r="H123">
        <v>5</v>
      </c>
      <c r="I123" s="32">
        <f t="shared" si="11"/>
        <v>3</v>
      </c>
      <c r="J123">
        <v>8</v>
      </c>
      <c r="K123">
        <v>6</v>
      </c>
      <c r="L123" s="32">
        <f t="shared" si="12"/>
        <v>2</v>
      </c>
      <c r="M123">
        <v>7</v>
      </c>
      <c r="N123">
        <v>5</v>
      </c>
      <c r="O123" s="32">
        <f t="shared" si="13"/>
        <v>2</v>
      </c>
      <c r="P123">
        <v>8</v>
      </c>
      <c r="Q123">
        <v>5</v>
      </c>
      <c r="R123" s="32">
        <f t="shared" si="14"/>
        <v>3</v>
      </c>
      <c r="S123">
        <v>7</v>
      </c>
      <c r="T123">
        <v>5</v>
      </c>
      <c r="U123" s="32">
        <f t="shared" si="15"/>
        <v>2</v>
      </c>
      <c r="V123">
        <v>7</v>
      </c>
      <c r="W123">
        <v>5</v>
      </c>
      <c r="X123" s="32">
        <f t="shared" si="16"/>
        <v>2</v>
      </c>
      <c r="Y123">
        <v>8</v>
      </c>
      <c r="Z123">
        <v>6</v>
      </c>
      <c r="AA123" s="32">
        <f t="shared" si="17"/>
        <v>2</v>
      </c>
    </row>
    <row r="124" spans="1:27" x14ac:dyDescent="0.45">
      <c r="A124">
        <v>7</v>
      </c>
      <c r="B124">
        <v>6</v>
      </c>
      <c r="C124" s="32">
        <f t="shared" si="9"/>
        <v>1</v>
      </c>
      <c r="D124">
        <v>7</v>
      </c>
      <c r="E124">
        <v>6</v>
      </c>
      <c r="F124" s="32">
        <f t="shared" si="10"/>
        <v>1</v>
      </c>
      <c r="G124">
        <v>8</v>
      </c>
      <c r="H124">
        <v>5</v>
      </c>
      <c r="I124" s="32">
        <f t="shared" si="11"/>
        <v>3</v>
      </c>
      <c r="J124">
        <v>8</v>
      </c>
      <c r="K124">
        <v>6</v>
      </c>
      <c r="L124" s="32">
        <f t="shared" si="12"/>
        <v>2</v>
      </c>
      <c r="M124">
        <v>7</v>
      </c>
      <c r="N124">
        <v>5</v>
      </c>
      <c r="O124" s="32">
        <f t="shared" si="13"/>
        <v>2</v>
      </c>
      <c r="P124">
        <v>8</v>
      </c>
      <c r="Q124">
        <v>5</v>
      </c>
      <c r="R124" s="32">
        <f t="shared" si="14"/>
        <v>3</v>
      </c>
      <c r="S124">
        <v>7</v>
      </c>
      <c r="T124">
        <v>5</v>
      </c>
      <c r="U124" s="32">
        <f t="shared" si="15"/>
        <v>2</v>
      </c>
      <c r="V124">
        <v>7</v>
      </c>
      <c r="W124">
        <v>5</v>
      </c>
      <c r="X124" s="32">
        <f t="shared" si="16"/>
        <v>2</v>
      </c>
      <c r="Y124">
        <v>9</v>
      </c>
      <c r="Z124">
        <v>6</v>
      </c>
      <c r="AA124" s="32">
        <f t="shared" si="17"/>
        <v>3</v>
      </c>
    </row>
    <row r="125" spans="1:27" x14ac:dyDescent="0.45">
      <c r="A125">
        <v>7</v>
      </c>
      <c r="B125">
        <v>6</v>
      </c>
      <c r="C125" s="32">
        <f t="shared" si="9"/>
        <v>1</v>
      </c>
      <c r="D125">
        <v>7</v>
      </c>
      <c r="E125">
        <v>6</v>
      </c>
      <c r="F125" s="32">
        <f t="shared" si="10"/>
        <v>1</v>
      </c>
      <c r="G125">
        <v>8</v>
      </c>
      <c r="H125">
        <v>5</v>
      </c>
      <c r="I125" s="32">
        <f t="shared" si="11"/>
        <v>3</v>
      </c>
      <c r="J125">
        <v>8</v>
      </c>
      <c r="K125">
        <v>6</v>
      </c>
      <c r="L125" s="32">
        <f t="shared" si="12"/>
        <v>2</v>
      </c>
      <c r="M125">
        <v>7</v>
      </c>
      <c r="N125">
        <v>5</v>
      </c>
      <c r="O125" s="32">
        <f t="shared" si="13"/>
        <v>2</v>
      </c>
      <c r="P125">
        <v>8</v>
      </c>
      <c r="Q125">
        <v>5</v>
      </c>
      <c r="R125" s="32">
        <f t="shared" si="14"/>
        <v>3</v>
      </c>
      <c r="S125">
        <v>7</v>
      </c>
      <c r="T125">
        <v>5</v>
      </c>
      <c r="U125" s="32">
        <f t="shared" si="15"/>
        <v>2</v>
      </c>
      <c r="V125">
        <v>7</v>
      </c>
      <c r="W125">
        <v>5</v>
      </c>
      <c r="X125" s="32">
        <f t="shared" si="16"/>
        <v>2</v>
      </c>
      <c r="Y125">
        <v>9</v>
      </c>
      <c r="Z125">
        <v>6</v>
      </c>
      <c r="AA125" s="32">
        <f t="shared" si="17"/>
        <v>3</v>
      </c>
    </row>
    <row r="126" spans="1:27" x14ac:dyDescent="0.45">
      <c r="A126">
        <v>7</v>
      </c>
      <c r="B126">
        <v>6</v>
      </c>
      <c r="C126" s="32">
        <f t="shared" si="9"/>
        <v>1</v>
      </c>
      <c r="D126">
        <v>7</v>
      </c>
      <c r="E126">
        <v>6</v>
      </c>
      <c r="F126" s="32">
        <f t="shared" si="10"/>
        <v>1</v>
      </c>
      <c r="G126">
        <v>8</v>
      </c>
      <c r="H126">
        <v>5</v>
      </c>
      <c r="I126" s="32">
        <f t="shared" si="11"/>
        <v>3</v>
      </c>
      <c r="J126">
        <v>8</v>
      </c>
      <c r="K126">
        <v>6</v>
      </c>
      <c r="L126" s="32">
        <f t="shared" si="12"/>
        <v>2</v>
      </c>
      <c r="M126">
        <v>7</v>
      </c>
      <c r="N126">
        <v>5</v>
      </c>
      <c r="O126" s="32">
        <f t="shared" si="13"/>
        <v>2</v>
      </c>
      <c r="P126">
        <v>8</v>
      </c>
      <c r="Q126">
        <v>6</v>
      </c>
      <c r="R126" s="32">
        <f t="shared" si="14"/>
        <v>2</v>
      </c>
      <c r="S126">
        <v>7</v>
      </c>
      <c r="T126">
        <v>5</v>
      </c>
      <c r="U126" s="32">
        <f t="shared" si="15"/>
        <v>2</v>
      </c>
      <c r="V126">
        <v>7</v>
      </c>
      <c r="W126">
        <v>5</v>
      </c>
      <c r="X126" s="32">
        <f t="shared" si="16"/>
        <v>2</v>
      </c>
      <c r="Y126">
        <v>9</v>
      </c>
      <c r="Z126">
        <v>6</v>
      </c>
      <c r="AA126" s="32">
        <f t="shared" si="17"/>
        <v>3</v>
      </c>
    </row>
    <row r="127" spans="1:27" x14ac:dyDescent="0.45">
      <c r="A127">
        <v>7</v>
      </c>
      <c r="B127">
        <v>6</v>
      </c>
      <c r="C127" s="32">
        <f t="shared" si="9"/>
        <v>1</v>
      </c>
      <c r="D127">
        <v>7</v>
      </c>
      <c r="E127">
        <v>6</v>
      </c>
      <c r="F127" s="32">
        <f t="shared" si="10"/>
        <v>1</v>
      </c>
      <c r="G127">
        <v>8</v>
      </c>
      <c r="H127">
        <v>5</v>
      </c>
      <c r="I127" s="32">
        <f t="shared" si="11"/>
        <v>3</v>
      </c>
      <c r="J127">
        <v>8</v>
      </c>
      <c r="K127">
        <v>6</v>
      </c>
      <c r="L127" s="32">
        <f t="shared" si="12"/>
        <v>2</v>
      </c>
      <c r="M127">
        <v>7</v>
      </c>
      <c r="N127">
        <v>5</v>
      </c>
      <c r="O127" s="32">
        <f t="shared" si="13"/>
        <v>2</v>
      </c>
      <c r="P127">
        <v>8</v>
      </c>
      <c r="Q127">
        <v>6</v>
      </c>
      <c r="R127" s="32">
        <f t="shared" si="14"/>
        <v>2</v>
      </c>
      <c r="S127">
        <v>7</v>
      </c>
      <c r="T127">
        <v>5</v>
      </c>
      <c r="U127" s="32">
        <f t="shared" si="15"/>
        <v>2</v>
      </c>
      <c r="V127">
        <v>7</v>
      </c>
      <c r="W127">
        <v>5</v>
      </c>
      <c r="X127" s="32">
        <f t="shared" si="16"/>
        <v>2</v>
      </c>
      <c r="Y127">
        <v>9</v>
      </c>
      <c r="Z127">
        <v>6</v>
      </c>
      <c r="AA127" s="32">
        <f t="shared" si="17"/>
        <v>3</v>
      </c>
    </row>
    <row r="128" spans="1:27" x14ac:dyDescent="0.45">
      <c r="A128">
        <v>7</v>
      </c>
      <c r="B128">
        <v>6</v>
      </c>
      <c r="C128" s="32">
        <f t="shared" si="9"/>
        <v>1</v>
      </c>
      <c r="D128">
        <v>7</v>
      </c>
      <c r="E128">
        <v>6</v>
      </c>
      <c r="F128" s="32">
        <f t="shared" si="10"/>
        <v>1</v>
      </c>
      <c r="G128">
        <v>8</v>
      </c>
      <c r="H128">
        <v>5</v>
      </c>
      <c r="I128" s="32">
        <f t="shared" si="11"/>
        <v>3</v>
      </c>
      <c r="J128">
        <v>8</v>
      </c>
      <c r="K128">
        <v>6</v>
      </c>
      <c r="L128" s="32">
        <f t="shared" si="12"/>
        <v>2</v>
      </c>
      <c r="M128">
        <v>7</v>
      </c>
      <c r="N128">
        <v>5</v>
      </c>
      <c r="O128" s="32">
        <f t="shared" si="13"/>
        <v>2</v>
      </c>
      <c r="P128">
        <v>8</v>
      </c>
      <c r="Q128">
        <v>6</v>
      </c>
      <c r="R128" s="32">
        <f t="shared" si="14"/>
        <v>2</v>
      </c>
      <c r="S128">
        <v>7</v>
      </c>
      <c r="T128">
        <v>5</v>
      </c>
      <c r="U128" s="32">
        <f t="shared" si="15"/>
        <v>2</v>
      </c>
      <c r="V128">
        <v>7</v>
      </c>
      <c r="W128">
        <v>5</v>
      </c>
      <c r="X128" s="32">
        <f t="shared" si="16"/>
        <v>2</v>
      </c>
      <c r="Y128">
        <v>9</v>
      </c>
      <c r="Z128">
        <v>6</v>
      </c>
      <c r="AA128" s="32">
        <f t="shared" si="17"/>
        <v>3</v>
      </c>
    </row>
    <row r="129" spans="1:27" x14ac:dyDescent="0.45">
      <c r="A129">
        <v>7</v>
      </c>
      <c r="B129">
        <v>6</v>
      </c>
      <c r="C129" s="32">
        <f t="shared" si="9"/>
        <v>1</v>
      </c>
      <c r="D129">
        <v>7</v>
      </c>
      <c r="E129">
        <v>6</v>
      </c>
      <c r="F129" s="32">
        <f t="shared" si="10"/>
        <v>1</v>
      </c>
      <c r="G129">
        <v>8</v>
      </c>
      <c r="H129">
        <v>5</v>
      </c>
      <c r="I129" s="32">
        <f t="shared" si="11"/>
        <v>3</v>
      </c>
      <c r="J129">
        <v>8</v>
      </c>
      <c r="K129">
        <v>6</v>
      </c>
      <c r="L129" s="32">
        <f t="shared" si="12"/>
        <v>2</v>
      </c>
      <c r="M129">
        <v>7</v>
      </c>
      <c r="N129">
        <v>5</v>
      </c>
      <c r="O129" s="32">
        <f t="shared" si="13"/>
        <v>2</v>
      </c>
      <c r="P129">
        <v>8</v>
      </c>
      <c r="Q129">
        <v>6</v>
      </c>
      <c r="R129" s="32">
        <f t="shared" si="14"/>
        <v>2</v>
      </c>
      <c r="S129">
        <v>7</v>
      </c>
      <c r="T129">
        <v>5</v>
      </c>
      <c r="U129" s="32">
        <f t="shared" si="15"/>
        <v>2</v>
      </c>
      <c r="V129">
        <v>7</v>
      </c>
      <c r="W129">
        <v>5</v>
      </c>
      <c r="X129" s="32">
        <f t="shared" si="16"/>
        <v>2</v>
      </c>
      <c r="Y129">
        <v>9</v>
      </c>
      <c r="Z129">
        <v>6</v>
      </c>
      <c r="AA129" s="32">
        <f t="shared" si="17"/>
        <v>3</v>
      </c>
    </row>
    <row r="130" spans="1:27" x14ac:dyDescent="0.45">
      <c r="A130">
        <v>7</v>
      </c>
      <c r="B130">
        <v>6</v>
      </c>
      <c r="C130" s="32">
        <f t="shared" si="9"/>
        <v>1</v>
      </c>
      <c r="D130">
        <v>7</v>
      </c>
      <c r="E130">
        <v>6</v>
      </c>
      <c r="F130" s="32">
        <f t="shared" si="10"/>
        <v>1</v>
      </c>
      <c r="G130">
        <v>8</v>
      </c>
      <c r="H130">
        <v>5</v>
      </c>
      <c r="I130" s="32">
        <f t="shared" si="11"/>
        <v>3</v>
      </c>
      <c r="J130">
        <v>8</v>
      </c>
      <c r="K130">
        <v>6</v>
      </c>
      <c r="L130" s="32">
        <f t="shared" si="12"/>
        <v>2</v>
      </c>
      <c r="M130">
        <v>7</v>
      </c>
      <c r="N130">
        <v>5</v>
      </c>
      <c r="O130" s="32">
        <f t="shared" si="13"/>
        <v>2</v>
      </c>
      <c r="P130">
        <v>8</v>
      </c>
      <c r="Q130">
        <v>6</v>
      </c>
      <c r="R130" s="32">
        <f t="shared" si="14"/>
        <v>2</v>
      </c>
      <c r="S130">
        <v>7</v>
      </c>
      <c r="T130">
        <v>5</v>
      </c>
      <c r="U130" s="32">
        <f t="shared" si="15"/>
        <v>2</v>
      </c>
      <c r="V130">
        <v>7</v>
      </c>
      <c r="W130">
        <v>5</v>
      </c>
      <c r="X130" s="32">
        <f t="shared" si="16"/>
        <v>2</v>
      </c>
      <c r="Y130">
        <v>9</v>
      </c>
      <c r="Z130">
        <v>6</v>
      </c>
      <c r="AA130" s="32">
        <f t="shared" si="17"/>
        <v>3</v>
      </c>
    </row>
    <row r="131" spans="1:27" x14ac:dyDescent="0.45">
      <c r="A131">
        <v>7</v>
      </c>
      <c r="B131">
        <v>6</v>
      </c>
      <c r="C131" s="32">
        <f t="shared" ref="C131:C194" si="18">ABS(B131-A131)</f>
        <v>1</v>
      </c>
      <c r="D131">
        <v>7</v>
      </c>
      <c r="E131">
        <v>6</v>
      </c>
      <c r="F131" s="32">
        <f t="shared" ref="F131:F194" si="19">ABS(E131-D131)</f>
        <v>1</v>
      </c>
      <c r="G131">
        <v>8</v>
      </c>
      <c r="H131">
        <v>5</v>
      </c>
      <c r="I131" s="32">
        <f t="shared" ref="I131:I194" si="20">ABS(H131-G131)</f>
        <v>3</v>
      </c>
      <c r="J131">
        <v>8</v>
      </c>
      <c r="K131">
        <v>7</v>
      </c>
      <c r="L131" s="32">
        <f t="shared" ref="L131:L194" si="21">ABS(K131-J131)</f>
        <v>1</v>
      </c>
      <c r="M131">
        <v>7</v>
      </c>
      <c r="N131">
        <v>5</v>
      </c>
      <c r="O131" s="32">
        <f t="shared" ref="O131:O194" si="22">ABS(N131-M131)</f>
        <v>2</v>
      </c>
      <c r="P131">
        <v>8</v>
      </c>
      <c r="Q131">
        <v>6</v>
      </c>
      <c r="R131" s="32">
        <f t="shared" ref="R131:R194" si="23">ABS(Q131-P131)</f>
        <v>2</v>
      </c>
      <c r="S131">
        <v>7</v>
      </c>
      <c r="T131">
        <v>5</v>
      </c>
      <c r="U131" s="32">
        <f t="shared" ref="U131:U194" si="24">ABS(T131-S131)</f>
        <v>2</v>
      </c>
      <c r="V131">
        <v>7</v>
      </c>
      <c r="W131">
        <v>5</v>
      </c>
      <c r="X131" s="32">
        <f t="shared" ref="X131:X194" si="25">ABS(W131-V131)</f>
        <v>2</v>
      </c>
      <c r="Y131">
        <v>9</v>
      </c>
      <c r="Z131">
        <v>6</v>
      </c>
      <c r="AA131" s="32">
        <f t="shared" ref="AA131:AA194" si="26">ABS(Z131-Y131)</f>
        <v>3</v>
      </c>
    </row>
    <row r="132" spans="1:27" x14ac:dyDescent="0.45">
      <c r="A132">
        <v>7</v>
      </c>
      <c r="B132">
        <v>6</v>
      </c>
      <c r="C132" s="32">
        <f t="shared" si="18"/>
        <v>1</v>
      </c>
      <c r="D132">
        <v>7</v>
      </c>
      <c r="E132">
        <v>7</v>
      </c>
      <c r="F132" s="32">
        <f t="shared" si="19"/>
        <v>0</v>
      </c>
      <c r="G132">
        <v>8</v>
      </c>
      <c r="H132">
        <v>5</v>
      </c>
      <c r="I132" s="32">
        <f t="shared" si="20"/>
        <v>3</v>
      </c>
      <c r="J132">
        <v>8</v>
      </c>
      <c r="K132">
        <v>7</v>
      </c>
      <c r="L132" s="32">
        <f t="shared" si="21"/>
        <v>1</v>
      </c>
      <c r="M132">
        <v>7</v>
      </c>
      <c r="N132">
        <v>5</v>
      </c>
      <c r="O132" s="32">
        <f t="shared" si="22"/>
        <v>2</v>
      </c>
      <c r="P132">
        <v>8</v>
      </c>
      <c r="Q132">
        <v>6</v>
      </c>
      <c r="R132" s="32">
        <f t="shared" si="23"/>
        <v>2</v>
      </c>
      <c r="S132">
        <v>7</v>
      </c>
      <c r="T132">
        <v>5</v>
      </c>
      <c r="U132" s="32">
        <f t="shared" si="24"/>
        <v>2</v>
      </c>
      <c r="V132">
        <v>7</v>
      </c>
      <c r="W132">
        <v>6</v>
      </c>
      <c r="X132" s="32">
        <f t="shared" si="25"/>
        <v>1</v>
      </c>
      <c r="Y132">
        <v>9</v>
      </c>
      <c r="Z132">
        <v>6</v>
      </c>
      <c r="AA132" s="32">
        <f t="shared" si="26"/>
        <v>3</v>
      </c>
    </row>
    <row r="133" spans="1:27" x14ac:dyDescent="0.45">
      <c r="A133">
        <v>7</v>
      </c>
      <c r="B133">
        <v>6</v>
      </c>
      <c r="C133" s="32">
        <f t="shared" si="18"/>
        <v>1</v>
      </c>
      <c r="D133">
        <v>7</v>
      </c>
      <c r="E133">
        <v>7</v>
      </c>
      <c r="F133" s="32">
        <f t="shared" si="19"/>
        <v>0</v>
      </c>
      <c r="G133">
        <v>8</v>
      </c>
      <c r="H133">
        <v>5</v>
      </c>
      <c r="I133" s="32">
        <f t="shared" si="20"/>
        <v>3</v>
      </c>
      <c r="J133">
        <v>8</v>
      </c>
      <c r="K133">
        <v>7</v>
      </c>
      <c r="L133" s="32">
        <f t="shared" si="21"/>
        <v>1</v>
      </c>
      <c r="M133">
        <v>7</v>
      </c>
      <c r="N133">
        <v>5</v>
      </c>
      <c r="O133" s="32">
        <f t="shared" si="22"/>
        <v>2</v>
      </c>
      <c r="P133">
        <v>8</v>
      </c>
      <c r="Q133">
        <v>6</v>
      </c>
      <c r="R133" s="32">
        <f t="shared" si="23"/>
        <v>2</v>
      </c>
      <c r="S133">
        <v>7</v>
      </c>
      <c r="T133">
        <v>5</v>
      </c>
      <c r="U133" s="32">
        <f t="shared" si="24"/>
        <v>2</v>
      </c>
      <c r="V133">
        <v>7</v>
      </c>
      <c r="W133">
        <v>6</v>
      </c>
      <c r="X133" s="32">
        <f t="shared" si="25"/>
        <v>1</v>
      </c>
      <c r="Y133">
        <v>9</v>
      </c>
      <c r="Z133">
        <v>6</v>
      </c>
      <c r="AA133" s="32">
        <f t="shared" si="26"/>
        <v>3</v>
      </c>
    </row>
    <row r="134" spans="1:27" x14ac:dyDescent="0.45">
      <c r="A134">
        <v>7</v>
      </c>
      <c r="B134">
        <v>6</v>
      </c>
      <c r="C134" s="32">
        <f t="shared" si="18"/>
        <v>1</v>
      </c>
      <c r="D134">
        <v>7</v>
      </c>
      <c r="E134">
        <v>7</v>
      </c>
      <c r="F134" s="32">
        <f t="shared" si="19"/>
        <v>0</v>
      </c>
      <c r="G134">
        <v>8</v>
      </c>
      <c r="H134">
        <v>5</v>
      </c>
      <c r="I134" s="32">
        <f t="shared" si="20"/>
        <v>3</v>
      </c>
      <c r="J134">
        <v>8</v>
      </c>
      <c r="K134">
        <v>7</v>
      </c>
      <c r="L134" s="32">
        <f t="shared" si="21"/>
        <v>1</v>
      </c>
      <c r="M134">
        <v>7</v>
      </c>
      <c r="N134">
        <v>5</v>
      </c>
      <c r="O134" s="32">
        <f t="shared" si="22"/>
        <v>2</v>
      </c>
      <c r="P134">
        <v>8</v>
      </c>
      <c r="Q134">
        <v>6</v>
      </c>
      <c r="R134" s="32">
        <f t="shared" si="23"/>
        <v>2</v>
      </c>
      <c r="S134">
        <v>7</v>
      </c>
      <c r="T134">
        <v>5</v>
      </c>
      <c r="U134" s="32">
        <f t="shared" si="24"/>
        <v>2</v>
      </c>
      <c r="V134">
        <v>7</v>
      </c>
      <c r="W134">
        <v>6</v>
      </c>
      <c r="X134" s="32">
        <f t="shared" si="25"/>
        <v>1</v>
      </c>
      <c r="Y134">
        <v>9</v>
      </c>
      <c r="Z134">
        <v>6</v>
      </c>
      <c r="AA134" s="32">
        <f t="shared" si="26"/>
        <v>3</v>
      </c>
    </row>
    <row r="135" spans="1:27" x14ac:dyDescent="0.45">
      <c r="A135">
        <v>7</v>
      </c>
      <c r="B135">
        <v>6</v>
      </c>
      <c r="C135" s="32">
        <f t="shared" si="18"/>
        <v>1</v>
      </c>
      <c r="D135">
        <v>7</v>
      </c>
      <c r="E135">
        <v>7</v>
      </c>
      <c r="F135" s="32">
        <f t="shared" si="19"/>
        <v>0</v>
      </c>
      <c r="G135">
        <v>8</v>
      </c>
      <c r="H135">
        <v>5</v>
      </c>
      <c r="I135" s="32">
        <f t="shared" si="20"/>
        <v>3</v>
      </c>
      <c r="J135">
        <v>8</v>
      </c>
      <c r="K135">
        <v>7</v>
      </c>
      <c r="L135" s="32">
        <f t="shared" si="21"/>
        <v>1</v>
      </c>
      <c r="M135">
        <v>7</v>
      </c>
      <c r="N135">
        <v>5</v>
      </c>
      <c r="O135" s="32">
        <f t="shared" si="22"/>
        <v>2</v>
      </c>
      <c r="P135">
        <v>8</v>
      </c>
      <c r="Q135">
        <v>6</v>
      </c>
      <c r="R135" s="32">
        <f t="shared" si="23"/>
        <v>2</v>
      </c>
      <c r="S135">
        <v>7</v>
      </c>
      <c r="T135">
        <v>5</v>
      </c>
      <c r="U135" s="32">
        <f t="shared" si="24"/>
        <v>2</v>
      </c>
      <c r="V135">
        <v>7</v>
      </c>
      <c r="W135">
        <v>6</v>
      </c>
      <c r="X135" s="32">
        <f t="shared" si="25"/>
        <v>1</v>
      </c>
      <c r="Y135">
        <v>9</v>
      </c>
      <c r="Z135">
        <v>6</v>
      </c>
      <c r="AA135" s="32">
        <f t="shared" si="26"/>
        <v>3</v>
      </c>
    </row>
    <row r="136" spans="1:27" x14ac:dyDescent="0.45">
      <c r="A136">
        <v>7</v>
      </c>
      <c r="B136">
        <v>6</v>
      </c>
      <c r="C136" s="32">
        <f t="shared" si="18"/>
        <v>1</v>
      </c>
      <c r="D136">
        <v>7</v>
      </c>
      <c r="E136">
        <v>7</v>
      </c>
      <c r="F136" s="32">
        <f t="shared" si="19"/>
        <v>0</v>
      </c>
      <c r="G136">
        <v>8</v>
      </c>
      <c r="H136">
        <v>5</v>
      </c>
      <c r="I136" s="32">
        <f t="shared" si="20"/>
        <v>3</v>
      </c>
      <c r="J136">
        <v>8</v>
      </c>
      <c r="K136">
        <v>7</v>
      </c>
      <c r="L136" s="32">
        <f t="shared" si="21"/>
        <v>1</v>
      </c>
      <c r="M136">
        <v>7</v>
      </c>
      <c r="N136">
        <v>5</v>
      </c>
      <c r="O136" s="32">
        <f t="shared" si="22"/>
        <v>2</v>
      </c>
      <c r="P136">
        <v>8</v>
      </c>
      <c r="Q136">
        <v>6</v>
      </c>
      <c r="R136" s="32">
        <f t="shared" si="23"/>
        <v>2</v>
      </c>
      <c r="S136">
        <v>7</v>
      </c>
      <c r="T136">
        <v>5</v>
      </c>
      <c r="U136" s="32">
        <f t="shared" si="24"/>
        <v>2</v>
      </c>
      <c r="V136">
        <v>7</v>
      </c>
      <c r="W136">
        <v>6</v>
      </c>
      <c r="X136" s="32">
        <f t="shared" si="25"/>
        <v>1</v>
      </c>
      <c r="Y136">
        <v>9</v>
      </c>
      <c r="Z136">
        <v>6</v>
      </c>
      <c r="AA136" s="32">
        <f t="shared" si="26"/>
        <v>3</v>
      </c>
    </row>
    <row r="137" spans="1:27" x14ac:dyDescent="0.45">
      <c r="A137">
        <v>7</v>
      </c>
      <c r="B137">
        <v>6</v>
      </c>
      <c r="C137" s="32">
        <f t="shared" si="18"/>
        <v>1</v>
      </c>
      <c r="D137">
        <v>7</v>
      </c>
      <c r="E137">
        <v>7</v>
      </c>
      <c r="F137" s="32">
        <f t="shared" si="19"/>
        <v>0</v>
      </c>
      <c r="G137">
        <v>8</v>
      </c>
      <c r="H137">
        <v>5</v>
      </c>
      <c r="I137" s="32">
        <f t="shared" si="20"/>
        <v>3</v>
      </c>
      <c r="J137">
        <v>8</v>
      </c>
      <c r="K137">
        <v>7</v>
      </c>
      <c r="L137" s="32">
        <f t="shared" si="21"/>
        <v>1</v>
      </c>
      <c r="M137">
        <v>7</v>
      </c>
      <c r="N137">
        <v>5</v>
      </c>
      <c r="O137" s="32">
        <f t="shared" si="22"/>
        <v>2</v>
      </c>
      <c r="P137">
        <v>8</v>
      </c>
      <c r="Q137">
        <v>6</v>
      </c>
      <c r="R137" s="32">
        <f t="shared" si="23"/>
        <v>2</v>
      </c>
      <c r="S137">
        <v>7</v>
      </c>
      <c r="T137">
        <v>5</v>
      </c>
      <c r="U137" s="32">
        <f t="shared" si="24"/>
        <v>2</v>
      </c>
      <c r="V137">
        <v>7</v>
      </c>
      <c r="W137">
        <v>6</v>
      </c>
      <c r="X137" s="32">
        <f t="shared" si="25"/>
        <v>1</v>
      </c>
      <c r="Y137">
        <v>9</v>
      </c>
      <c r="Z137">
        <v>6</v>
      </c>
      <c r="AA137" s="32">
        <f t="shared" si="26"/>
        <v>3</v>
      </c>
    </row>
    <row r="138" spans="1:27" x14ac:dyDescent="0.45">
      <c r="A138">
        <v>7</v>
      </c>
      <c r="B138">
        <v>6</v>
      </c>
      <c r="C138" s="32">
        <f t="shared" si="18"/>
        <v>1</v>
      </c>
      <c r="D138">
        <v>7</v>
      </c>
      <c r="E138">
        <v>7</v>
      </c>
      <c r="F138" s="32">
        <f t="shared" si="19"/>
        <v>0</v>
      </c>
      <c r="G138">
        <v>8</v>
      </c>
      <c r="H138">
        <v>5</v>
      </c>
      <c r="I138" s="32">
        <f t="shared" si="20"/>
        <v>3</v>
      </c>
      <c r="J138">
        <v>8</v>
      </c>
      <c r="K138">
        <v>7</v>
      </c>
      <c r="L138" s="32">
        <f t="shared" si="21"/>
        <v>1</v>
      </c>
      <c r="M138">
        <v>7</v>
      </c>
      <c r="N138">
        <v>6</v>
      </c>
      <c r="O138" s="32">
        <f t="shared" si="22"/>
        <v>1</v>
      </c>
      <c r="P138">
        <v>8</v>
      </c>
      <c r="Q138">
        <v>6</v>
      </c>
      <c r="R138" s="32">
        <f t="shared" si="23"/>
        <v>2</v>
      </c>
      <c r="S138">
        <v>7</v>
      </c>
      <c r="T138">
        <v>5</v>
      </c>
      <c r="U138" s="32">
        <f t="shared" si="24"/>
        <v>2</v>
      </c>
      <c r="V138">
        <v>7</v>
      </c>
      <c r="W138">
        <v>6</v>
      </c>
      <c r="X138" s="32">
        <f t="shared" si="25"/>
        <v>1</v>
      </c>
      <c r="Y138">
        <v>9</v>
      </c>
      <c r="Z138">
        <v>6</v>
      </c>
      <c r="AA138" s="32">
        <f t="shared" si="26"/>
        <v>3</v>
      </c>
    </row>
    <row r="139" spans="1:27" x14ac:dyDescent="0.45">
      <c r="A139">
        <v>7</v>
      </c>
      <c r="B139">
        <v>6</v>
      </c>
      <c r="C139" s="32">
        <f t="shared" si="18"/>
        <v>1</v>
      </c>
      <c r="D139">
        <v>7</v>
      </c>
      <c r="E139">
        <v>7</v>
      </c>
      <c r="F139" s="32">
        <f t="shared" si="19"/>
        <v>0</v>
      </c>
      <c r="G139">
        <v>8</v>
      </c>
      <c r="H139">
        <v>5</v>
      </c>
      <c r="I139" s="32">
        <f t="shared" si="20"/>
        <v>3</v>
      </c>
      <c r="J139">
        <v>8</v>
      </c>
      <c r="K139">
        <v>7</v>
      </c>
      <c r="L139" s="32">
        <f t="shared" si="21"/>
        <v>1</v>
      </c>
      <c r="M139">
        <v>7</v>
      </c>
      <c r="N139">
        <v>6</v>
      </c>
      <c r="O139" s="32">
        <f t="shared" si="22"/>
        <v>1</v>
      </c>
      <c r="P139">
        <v>8</v>
      </c>
      <c r="Q139">
        <v>6</v>
      </c>
      <c r="R139" s="32">
        <f t="shared" si="23"/>
        <v>2</v>
      </c>
      <c r="S139">
        <v>7</v>
      </c>
      <c r="T139">
        <v>5</v>
      </c>
      <c r="U139" s="32">
        <f t="shared" si="24"/>
        <v>2</v>
      </c>
      <c r="V139">
        <v>7</v>
      </c>
      <c r="W139">
        <v>6</v>
      </c>
      <c r="X139" s="32">
        <f t="shared" si="25"/>
        <v>1</v>
      </c>
      <c r="Y139">
        <v>9</v>
      </c>
      <c r="Z139">
        <v>6</v>
      </c>
      <c r="AA139" s="32">
        <f t="shared" si="26"/>
        <v>3</v>
      </c>
    </row>
    <row r="140" spans="1:27" x14ac:dyDescent="0.45">
      <c r="A140">
        <v>7</v>
      </c>
      <c r="B140">
        <v>6</v>
      </c>
      <c r="C140" s="32">
        <f t="shared" si="18"/>
        <v>1</v>
      </c>
      <c r="D140">
        <v>7</v>
      </c>
      <c r="E140">
        <v>7</v>
      </c>
      <c r="F140" s="32">
        <f t="shared" si="19"/>
        <v>0</v>
      </c>
      <c r="G140">
        <v>8</v>
      </c>
      <c r="H140">
        <v>5</v>
      </c>
      <c r="I140" s="32">
        <f t="shared" si="20"/>
        <v>3</v>
      </c>
      <c r="J140">
        <v>8</v>
      </c>
      <c r="K140">
        <v>7</v>
      </c>
      <c r="L140" s="32">
        <f t="shared" si="21"/>
        <v>1</v>
      </c>
      <c r="M140">
        <v>7</v>
      </c>
      <c r="N140">
        <v>6</v>
      </c>
      <c r="O140" s="32">
        <f t="shared" si="22"/>
        <v>1</v>
      </c>
      <c r="P140">
        <v>8</v>
      </c>
      <c r="Q140">
        <v>6</v>
      </c>
      <c r="R140" s="32">
        <f t="shared" si="23"/>
        <v>2</v>
      </c>
      <c r="S140">
        <v>7</v>
      </c>
      <c r="T140">
        <v>5</v>
      </c>
      <c r="U140" s="32">
        <f t="shared" si="24"/>
        <v>2</v>
      </c>
      <c r="V140">
        <v>7</v>
      </c>
      <c r="W140">
        <v>6</v>
      </c>
      <c r="X140" s="32">
        <f t="shared" si="25"/>
        <v>1</v>
      </c>
      <c r="Y140">
        <v>9</v>
      </c>
      <c r="Z140">
        <v>6</v>
      </c>
      <c r="AA140" s="32">
        <f t="shared" si="26"/>
        <v>3</v>
      </c>
    </row>
    <row r="141" spans="1:27" x14ac:dyDescent="0.45">
      <c r="A141">
        <v>7</v>
      </c>
      <c r="B141">
        <v>6</v>
      </c>
      <c r="C141" s="32">
        <f t="shared" si="18"/>
        <v>1</v>
      </c>
      <c r="D141">
        <v>7</v>
      </c>
      <c r="E141">
        <v>7</v>
      </c>
      <c r="F141" s="32">
        <f t="shared" si="19"/>
        <v>0</v>
      </c>
      <c r="G141">
        <v>8</v>
      </c>
      <c r="H141">
        <v>5</v>
      </c>
      <c r="I141" s="32">
        <f t="shared" si="20"/>
        <v>3</v>
      </c>
      <c r="J141">
        <v>8</v>
      </c>
      <c r="K141">
        <v>7</v>
      </c>
      <c r="L141" s="32">
        <f t="shared" si="21"/>
        <v>1</v>
      </c>
      <c r="M141">
        <v>7</v>
      </c>
      <c r="N141">
        <v>6</v>
      </c>
      <c r="O141" s="32">
        <f t="shared" si="22"/>
        <v>1</v>
      </c>
      <c r="P141">
        <v>8</v>
      </c>
      <c r="Q141">
        <v>6</v>
      </c>
      <c r="R141" s="32">
        <f t="shared" si="23"/>
        <v>2</v>
      </c>
      <c r="S141">
        <v>7</v>
      </c>
      <c r="T141">
        <v>5</v>
      </c>
      <c r="U141" s="32">
        <f t="shared" si="24"/>
        <v>2</v>
      </c>
      <c r="V141">
        <v>7</v>
      </c>
      <c r="W141">
        <v>6</v>
      </c>
      <c r="X141" s="32">
        <f t="shared" si="25"/>
        <v>1</v>
      </c>
      <c r="Y141">
        <v>9</v>
      </c>
      <c r="Z141">
        <v>6</v>
      </c>
      <c r="AA141" s="32">
        <f t="shared" si="26"/>
        <v>3</v>
      </c>
    </row>
    <row r="142" spans="1:27" x14ac:dyDescent="0.45">
      <c r="A142">
        <v>7</v>
      </c>
      <c r="B142">
        <v>6</v>
      </c>
      <c r="C142" s="32">
        <f t="shared" si="18"/>
        <v>1</v>
      </c>
      <c r="D142">
        <v>7</v>
      </c>
      <c r="E142">
        <v>7</v>
      </c>
      <c r="F142" s="32">
        <f t="shared" si="19"/>
        <v>0</v>
      </c>
      <c r="G142">
        <v>8</v>
      </c>
      <c r="H142">
        <v>5</v>
      </c>
      <c r="I142" s="32">
        <f t="shared" si="20"/>
        <v>3</v>
      </c>
      <c r="J142">
        <v>8</v>
      </c>
      <c r="K142">
        <v>7</v>
      </c>
      <c r="L142" s="32">
        <f t="shared" si="21"/>
        <v>1</v>
      </c>
      <c r="M142">
        <v>7</v>
      </c>
      <c r="N142">
        <v>6</v>
      </c>
      <c r="O142" s="32">
        <f t="shared" si="22"/>
        <v>1</v>
      </c>
      <c r="P142">
        <v>8</v>
      </c>
      <c r="Q142">
        <v>6</v>
      </c>
      <c r="R142" s="32">
        <f t="shared" si="23"/>
        <v>2</v>
      </c>
      <c r="S142">
        <v>7</v>
      </c>
      <c r="T142">
        <v>5</v>
      </c>
      <c r="U142" s="32">
        <f t="shared" si="24"/>
        <v>2</v>
      </c>
      <c r="V142">
        <v>7</v>
      </c>
      <c r="W142">
        <v>6</v>
      </c>
      <c r="X142" s="32">
        <f t="shared" si="25"/>
        <v>1</v>
      </c>
      <c r="Y142">
        <v>9</v>
      </c>
      <c r="Z142">
        <v>6</v>
      </c>
      <c r="AA142" s="32">
        <f t="shared" si="26"/>
        <v>3</v>
      </c>
    </row>
    <row r="143" spans="1:27" x14ac:dyDescent="0.45">
      <c r="A143">
        <v>7</v>
      </c>
      <c r="B143">
        <v>6</v>
      </c>
      <c r="C143" s="32">
        <f t="shared" si="18"/>
        <v>1</v>
      </c>
      <c r="D143">
        <v>7</v>
      </c>
      <c r="E143">
        <v>7</v>
      </c>
      <c r="F143" s="32">
        <f t="shared" si="19"/>
        <v>0</v>
      </c>
      <c r="G143">
        <v>8</v>
      </c>
      <c r="H143">
        <v>5</v>
      </c>
      <c r="I143" s="32">
        <f t="shared" si="20"/>
        <v>3</v>
      </c>
      <c r="J143">
        <v>8</v>
      </c>
      <c r="K143">
        <v>7</v>
      </c>
      <c r="L143" s="32">
        <f t="shared" si="21"/>
        <v>1</v>
      </c>
      <c r="M143">
        <v>7</v>
      </c>
      <c r="N143">
        <v>6</v>
      </c>
      <c r="O143" s="32">
        <f t="shared" si="22"/>
        <v>1</v>
      </c>
      <c r="P143">
        <v>8</v>
      </c>
      <c r="Q143">
        <v>6</v>
      </c>
      <c r="R143" s="32">
        <f t="shared" si="23"/>
        <v>2</v>
      </c>
      <c r="S143">
        <v>7</v>
      </c>
      <c r="T143">
        <v>5</v>
      </c>
      <c r="U143" s="32">
        <f t="shared" si="24"/>
        <v>2</v>
      </c>
      <c r="V143">
        <v>7</v>
      </c>
      <c r="W143">
        <v>6</v>
      </c>
      <c r="X143" s="32">
        <f t="shared" si="25"/>
        <v>1</v>
      </c>
      <c r="Y143">
        <v>9</v>
      </c>
      <c r="Z143">
        <v>6</v>
      </c>
      <c r="AA143" s="32">
        <f t="shared" si="26"/>
        <v>3</v>
      </c>
    </row>
    <row r="144" spans="1:27" x14ac:dyDescent="0.45">
      <c r="A144">
        <v>7</v>
      </c>
      <c r="B144">
        <v>6</v>
      </c>
      <c r="C144" s="32">
        <f t="shared" si="18"/>
        <v>1</v>
      </c>
      <c r="D144">
        <v>7</v>
      </c>
      <c r="E144">
        <v>7</v>
      </c>
      <c r="F144" s="32">
        <f t="shared" si="19"/>
        <v>0</v>
      </c>
      <c r="G144">
        <v>8</v>
      </c>
      <c r="H144">
        <v>5</v>
      </c>
      <c r="I144" s="32">
        <f t="shared" si="20"/>
        <v>3</v>
      </c>
      <c r="J144">
        <v>8</v>
      </c>
      <c r="K144">
        <v>7</v>
      </c>
      <c r="L144" s="32">
        <f t="shared" si="21"/>
        <v>1</v>
      </c>
      <c r="M144">
        <v>7</v>
      </c>
      <c r="N144">
        <v>6</v>
      </c>
      <c r="O144" s="32">
        <f t="shared" si="22"/>
        <v>1</v>
      </c>
      <c r="P144">
        <v>8</v>
      </c>
      <c r="Q144">
        <v>6</v>
      </c>
      <c r="R144" s="32">
        <f t="shared" si="23"/>
        <v>2</v>
      </c>
      <c r="S144">
        <v>7</v>
      </c>
      <c r="T144">
        <v>5</v>
      </c>
      <c r="U144" s="32">
        <f t="shared" si="24"/>
        <v>2</v>
      </c>
      <c r="V144">
        <v>7</v>
      </c>
      <c r="W144">
        <v>6</v>
      </c>
      <c r="X144" s="32">
        <f t="shared" si="25"/>
        <v>1</v>
      </c>
      <c r="Y144">
        <v>9</v>
      </c>
      <c r="Z144">
        <v>6</v>
      </c>
      <c r="AA144" s="32">
        <f t="shared" si="26"/>
        <v>3</v>
      </c>
    </row>
    <row r="145" spans="1:27" x14ac:dyDescent="0.45">
      <c r="A145">
        <v>7</v>
      </c>
      <c r="B145">
        <v>6</v>
      </c>
      <c r="C145" s="32">
        <f t="shared" si="18"/>
        <v>1</v>
      </c>
      <c r="D145">
        <v>7</v>
      </c>
      <c r="E145">
        <v>7</v>
      </c>
      <c r="F145" s="32">
        <f t="shared" si="19"/>
        <v>0</v>
      </c>
      <c r="G145">
        <v>8</v>
      </c>
      <c r="H145">
        <v>5</v>
      </c>
      <c r="I145" s="32">
        <f t="shared" si="20"/>
        <v>3</v>
      </c>
      <c r="J145">
        <v>9</v>
      </c>
      <c r="K145">
        <v>7</v>
      </c>
      <c r="L145" s="32">
        <f t="shared" si="21"/>
        <v>2</v>
      </c>
      <c r="M145">
        <v>7</v>
      </c>
      <c r="N145">
        <v>6</v>
      </c>
      <c r="O145" s="32">
        <f t="shared" si="22"/>
        <v>1</v>
      </c>
      <c r="P145">
        <v>8</v>
      </c>
      <c r="Q145">
        <v>6</v>
      </c>
      <c r="R145" s="32">
        <f t="shared" si="23"/>
        <v>2</v>
      </c>
      <c r="S145">
        <v>7</v>
      </c>
      <c r="T145">
        <v>5</v>
      </c>
      <c r="U145" s="32">
        <f t="shared" si="24"/>
        <v>2</v>
      </c>
      <c r="V145">
        <v>7</v>
      </c>
      <c r="W145">
        <v>6</v>
      </c>
      <c r="X145" s="32">
        <f t="shared" si="25"/>
        <v>1</v>
      </c>
      <c r="Y145">
        <v>9</v>
      </c>
      <c r="Z145">
        <v>6</v>
      </c>
      <c r="AA145" s="32">
        <f t="shared" si="26"/>
        <v>3</v>
      </c>
    </row>
    <row r="146" spans="1:27" x14ac:dyDescent="0.45">
      <c r="A146">
        <v>7</v>
      </c>
      <c r="B146">
        <v>6</v>
      </c>
      <c r="C146" s="32">
        <f t="shared" si="18"/>
        <v>1</v>
      </c>
      <c r="D146">
        <v>7</v>
      </c>
      <c r="E146">
        <v>7</v>
      </c>
      <c r="F146" s="32">
        <f t="shared" si="19"/>
        <v>0</v>
      </c>
      <c r="G146">
        <v>8</v>
      </c>
      <c r="H146">
        <v>5</v>
      </c>
      <c r="I146" s="32">
        <f t="shared" si="20"/>
        <v>3</v>
      </c>
      <c r="J146">
        <v>9</v>
      </c>
      <c r="K146">
        <v>7</v>
      </c>
      <c r="L146" s="32">
        <f t="shared" si="21"/>
        <v>2</v>
      </c>
      <c r="M146">
        <v>7</v>
      </c>
      <c r="N146">
        <v>6</v>
      </c>
      <c r="O146" s="32">
        <f t="shared" si="22"/>
        <v>1</v>
      </c>
      <c r="P146">
        <v>8</v>
      </c>
      <c r="Q146">
        <v>6</v>
      </c>
      <c r="R146" s="32">
        <f t="shared" si="23"/>
        <v>2</v>
      </c>
      <c r="S146">
        <v>7</v>
      </c>
      <c r="T146">
        <v>5</v>
      </c>
      <c r="U146" s="32">
        <f t="shared" si="24"/>
        <v>2</v>
      </c>
      <c r="V146">
        <v>7</v>
      </c>
      <c r="W146">
        <v>6</v>
      </c>
      <c r="X146" s="32">
        <f t="shared" si="25"/>
        <v>1</v>
      </c>
      <c r="Y146">
        <v>9</v>
      </c>
      <c r="Z146">
        <v>6</v>
      </c>
      <c r="AA146" s="32">
        <f t="shared" si="26"/>
        <v>3</v>
      </c>
    </row>
    <row r="147" spans="1:27" x14ac:dyDescent="0.45">
      <c r="A147">
        <v>7</v>
      </c>
      <c r="B147">
        <v>6</v>
      </c>
      <c r="C147" s="32">
        <f t="shared" si="18"/>
        <v>1</v>
      </c>
      <c r="D147">
        <v>7</v>
      </c>
      <c r="E147">
        <v>7</v>
      </c>
      <c r="F147" s="32">
        <f t="shared" si="19"/>
        <v>0</v>
      </c>
      <c r="G147">
        <v>8</v>
      </c>
      <c r="H147">
        <v>5</v>
      </c>
      <c r="I147" s="32">
        <f t="shared" si="20"/>
        <v>3</v>
      </c>
      <c r="J147">
        <v>9</v>
      </c>
      <c r="K147">
        <v>7</v>
      </c>
      <c r="L147" s="32">
        <f t="shared" si="21"/>
        <v>2</v>
      </c>
      <c r="M147">
        <v>7</v>
      </c>
      <c r="N147">
        <v>6</v>
      </c>
      <c r="O147" s="32">
        <f t="shared" si="22"/>
        <v>1</v>
      </c>
      <c r="P147">
        <v>8</v>
      </c>
      <c r="Q147">
        <v>6</v>
      </c>
      <c r="R147" s="32">
        <f t="shared" si="23"/>
        <v>2</v>
      </c>
      <c r="S147">
        <v>7</v>
      </c>
      <c r="T147">
        <v>5</v>
      </c>
      <c r="U147" s="32">
        <f t="shared" si="24"/>
        <v>2</v>
      </c>
      <c r="V147">
        <v>7</v>
      </c>
      <c r="W147">
        <v>6</v>
      </c>
      <c r="X147" s="32">
        <f t="shared" si="25"/>
        <v>1</v>
      </c>
      <c r="Y147">
        <v>9</v>
      </c>
      <c r="Z147">
        <v>6</v>
      </c>
      <c r="AA147" s="32">
        <f t="shared" si="26"/>
        <v>3</v>
      </c>
    </row>
    <row r="148" spans="1:27" x14ac:dyDescent="0.45">
      <c r="A148">
        <v>7</v>
      </c>
      <c r="B148">
        <v>6</v>
      </c>
      <c r="C148" s="32">
        <f t="shared" si="18"/>
        <v>1</v>
      </c>
      <c r="D148">
        <v>7</v>
      </c>
      <c r="E148">
        <v>7</v>
      </c>
      <c r="F148" s="32">
        <f t="shared" si="19"/>
        <v>0</v>
      </c>
      <c r="G148">
        <v>8</v>
      </c>
      <c r="H148">
        <v>5</v>
      </c>
      <c r="I148" s="32">
        <f t="shared" si="20"/>
        <v>3</v>
      </c>
      <c r="J148">
        <v>9</v>
      </c>
      <c r="K148">
        <v>7</v>
      </c>
      <c r="L148" s="32">
        <f t="shared" si="21"/>
        <v>2</v>
      </c>
      <c r="M148">
        <v>7</v>
      </c>
      <c r="N148">
        <v>6</v>
      </c>
      <c r="O148" s="32">
        <f t="shared" si="22"/>
        <v>1</v>
      </c>
      <c r="P148">
        <v>8</v>
      </c>
      <c r="Q148">
        <v>6</v>
      </c>
      <c r="R148" s="32">
        <f t="shared" si="23"/>
        <v>2</v>
      </c>
      <c r="S148">
        <v>7</v>
      </c>
      <c r="T148">
        <v>5</v>
      </c>
      <c r="U148" s="32">
        <f t="shared" si="24"/>
        <v>2</v>
      </c>
      <c r="V148">
        <v>7</v>
      </c>
      <c r="W148">
        <v>6</v>
      </c>
      <c r="X148" s="32">
        <f t="shared" si="25"/>
        <v>1</v>
      </c>
      <c r="Y148">
        <v>9</v>
      </c>
      <c r="Z148">
        <v>6</v>
      </c>
      <c r="AA148" s="32">
        <f t="shared" si="26"/>
        <v>3</v>
      </c>
    </row>
    <row r="149" spans="1:27" x14ac:dyDescent="0.45">
      <c r="A149">
        <v>7</v>
      </c>
      <c r="B149">
        <v>6</v>
      </c>
      <c r="C149" s="32">
        <f t="shared" si="18"/>
        <v>1</v>
      </c>
      <c r="D149">
        <v>7</v>
      </c>
      <c r="E149">
        <v>7</v>
      </c>
      <c r="F149" s="32">
        <f t="shared" si="19"/>
        <v>0</v>
      </c>
      <c r="G149">
        <v>8</v>
      </c>
      <c r="H149">
        <v>5</v>
      </c>
      <c r="I149" s="32">
        <f t="shared" si="20"/>
        <v>3</v>
      </c>
      <c r="J149">
        <v>9</v>
      </c>
      <c r="K149">
        <v>7</v>
      </c>
      <c r="L149" s="32">
        <f t="shared" si="21"/>
        <v>2</v>
      </c>
      <c r="M149">
        <v>7</v>
      </c>
      <c r="N149">
        <v>6</v>
      </c>
      <c r="O149" s="32">
        <f t="shared" si="22"/>
        <v>1</v>
      </c>
      <c r="P149">
        <v>8</v>
      </c>
      <c r="Q149">
        <v>6</v>
      </c>
      <c r="R149" s="32">
        <f t="shared" si="23"/>
        <v>2</v>
      </c>
      <c r="S149">
        <v>7</v>
      </c>
      <c r="T149">
        <v>5</v>
      </c>
      <c r="U149" s="32">
        <f t="shared" si="24"/>
        <v>2</v>
      </c>
      <c r="V149">
        <v>7</v>
      </c>
      <c r="W149">
        <v>6</v>
      </c>
      <c r="X149" s="32">
        <f t="shared" si="25"/>
        <v>1</v>
      </c>
      <c r="Y149">
        <v>9</v>
      </c>
      <c r="Z149">
        <v>6</v>
      </c>
      <c r="AA149" s="32">
        <f t="shared" si="26"/>
        <v>3</v>
      </c>
    </row>
    <row r="150" spans="1:27" x14ac:dyDescent="0.45">
      <c r="A150">
        <v>7</v>
      </c>
      <c r="B150">
        <v>6</v>
      </c>
      <c r="C150" s="32">
        <f t="shared" si="18"/>
        <v>1</v>
      </c>
      <c r="D150">
        <v>7</v>
      </c>
      <c r="E150">
        <v>7</v>
      </c>
      <c r="F150" s="32">
        <f t="shared" si="19"/>
        <v>0</v>
      </c>
      <c r="G150">
        <v>8</v>
      </c>
      <c r="H150">
        <v>5</v>
      </c>
      <c r="I150" s="32">
        <f t="shared" si="20"/>
        <v>3</v>
      </c>
      <c r="J150">
        <v>9</v>
      </c>
      <c r="K150">
        <v>7</v>
      </c>
      <c r="L150" s="32">
        <f t="shared" si="21"/>
        <v>2</v>
      </c>
      <c r="M150">
        <v>7</v>
      </c>
      <c r="N150">
        <v>6</v>
      </c>
      <c r="O150" s="32">
        <f t="shared" si="22"/>
        <v>1</v>
      </c>
      <c r="P150">
        <v>8</v>
      </c>
      <c r="Q150">
        <v>6</v>
      </c>
      <c r="R150" s="32">
        <f t="shared" si="23"/>
        <v>2</v>
      </c>
      <c r="S150">
        <v>7</v>
      </c>
      <c r="T150">
        <v>5</v>
      </c>
      <c r="U150" s="32">
        <f t="shared" si="24"/>
        <v>2</v>
      </c>
      <c r="V150">
        <v>7</v>
      </c>
      <c r="W150">
        <v>6</v>
      </c>
      <c r="X150" s="32">
        <f t="shared" si="25"/>
        <v>1</v>
      </c>
      <c r="Y150">
        <v>9</v>
      </c>
      <c r="Z150">
        <v>6</v>
      </c>
      <c r="AA150" s="32">
        <f t="shared" si="26"/>
        <v>3</v>
      </c>
    </row>
    <row r="151" spans="1:27" x14ac:dyDescent="0.45">
      <c r="A151">
        <v>7</v>
      </c>
      <c r="B151">
        <v>6</v>
      </c>
      <c r="C151" s="32">
        <f t="shared" si="18"/>
        <v>1</v>
      </c>
      <c r="D151">
        <v>7</v>
      </c>
      <c r="E151">
        <v>7</v>
      </c>
      <c r="F151" s="32">
        <f t="shared" si="19"/>
        <v>0</v>
      </c>
      <c r="G151">
        <v>8</v>
      </c>
      <c r="H151">
        <v>5</v>
      </c>
      <c r="I151" s="32">
        <f t="shared" si="20"/>
        <v>3</v>
      </c>
      <c r="J151">
        <v>9</v>
      </c>
      <c r="K151">
        <v>7</v>
      </c>
      <c r="L151" s="32">
        <f t="shared" si="21"/>
        <v>2</v>
      </c>
      <c r="M151">
        <v>7</v>
      </c>
      <c r="N151">
        <v>6</v>
      </c>
      <c r="O151" s="32">
        <f t="shared" si="22"/>
        <v>1</v>
      </c>
      <c r="P151">
        <v>8</v>
      </c>
      <c r="Q151">
        <v>6</v>
      </c>
      <c r="R151" s="32">
        <f t="shared" si="23"/>
        <v>2</v>
      </c>
      <c r="S151">
        <v>7</v>
      </c>
      <c r="T151">
        <v>5</v>
      </c>
      <c r="U151" s="32">
        <f t="shared" si="24"/>
        <v>2</v>
      </c>
      <c r="V151">
        <v>7</v>
      </c>
      <c r="W151">
        <v>6</v>
      </c>
      <c r="X151" s="32">
        <f t="shared" si="25"/>
        <v>1</v>
      </c>
      <c r="Y151">
        <v>9</v>
      </c>
      <c r="Z151">
        <v>6</v>
      </c>
      <c r="AA151" s="32">
        <f t="shared" si="26"/>
        <v>3</v>
      </c>
    </row>
    <row r="152" spans="1:27" x14ac:dyDescent="0.45">
      <c r="A152">
        <v>7</v>
      </c>
      <c r="B152">
        <v>6</v>
      </c>
      <c r="C152" s="32">
        <f t="shared" si="18"/>
        <v>1</v>
      </c>
      <c r="D152">
        <v>7</v>
      </c>
      <c r="E152">
        <v>7</v>
      </c>
      <c r="F152" s="32">
        <f t="shared" si="19"/>
        <v>0</v>
      </c>
      <c r="G152">
        <v>8</v>
      </c>
      <c r="H152">
        <v>5</v>
      </c>
      <c r="I152" s="32">
        <f t="shared" si="20"/>
        <v>3</v>
      </c>
      <c r="J152">
        <v>9</v>
      </c>
      <c r="K152">
        <v>7</v>
      </c>
      <c r="L152" s="32">
        <f t="shared" si="21"/>
        <v>2</v>
      </c>
      <c r="M152">
        <v>7</v>
      </c>
      <c r="N152">
        <v>6</v>
      </c>
      <c r="O152" s="32">
        <f t="shared" si="22"/>
        <v>1</v>
      </c>
      <c r="P152">
        <v>8</v>
      </c>
      <c r="Q152">
        <v>6</v>
      </c>
      <c r="R152" s="32">
        <f t="shared" si="23"/>
        <v>2</v>
      </c>
      <c r="S152">
        <v>7</v>
      </c>
      <c r="T152">
        <v>5</v>
      </c>
      <c r="U152" s="32">
        <f t="shared" si="24"/>
        <v>2</v>
      </c>
      <c r="V152">
        <v>7</v>
      </c>
      <c r="W152">
        <v>6</v>
      </c>
      <c r="X152" s="32">
        <f t="shared" si="25"/>
        <v>1</v>
      </c>
      <c r="Y152">
        <v>9</v>
      </c>
      <c r="Z152">
        <v>6</v>
      </c>
      <c r="AA152" s="32">
        <f t="shared" si="26"/>
        <v>3</v>
      </c>
    </row>
    <row r="153" spans="1:27" x14ac:dyDescent="0.45">
      <c r="A153">
        <v>7</v>
      </c>
      <c r="B153">
        <v>6</v>
      </c>
      <c r="C153" s="32">
        <f t="shared" si="18"/>
        <v>1</v>
      </c>
      <c r="D153">
        <v>7</v>
      </c>
      <c r="E153">
        <v>7</v>
      </c>
      <c r="F153" s="32">
        <f t="shared" si="19"/>
        <v>0</v>
      </c>
      <c r="G153">
        <v>8</v>
      </c>
      <c r="H153">
        <v>5</v>
      </c>
      <c r="I153" s="32">
        <f t="shared" si="20"/>
        <v>3</v>
      </c>
      <c r="J153">
        <v>9</v>
      </c>
      <c r="K153">
        <v>7</v>
      </c>
      <c r="L153" s="32">
        <f t="shared" si="21"/>
        <v>2</v>
      </c>
      <c r="M153">
        <v>7</v>
      </c>
      <c r="N153">
        <v>6</v>
      </c>
      <c r="O153" s="32">
        <f t="shared" si="22"/>
        <v>1</v>
      </c>
      <c r="P153">
        <v>8</v>
      </c>
      <c r="Q153">
        <v>6</v>
      </c>
      <c r="R153" s="32">
        <f t="shared" si="23"/>
        <v>2</v>
      </c>
      <c r="S153">
        <v>7</v>
      </c>
      <c r="T153">
        <v>5</v>
      </c>
      <c r="U153" s="32">
        <f t="shared" si="24"/>
        <v>2</v>
      </c>
      <c r="V153">
        <v>7</v>
      </c>
      <c r="W153">
        <v>6</v>
      </c>
      <c r="X153" s="32">
        <f t="shared" si="25"/>
        <v>1</v>
      </c>
      <c r="Y153">
        <v>9</v>
      </c>
      <c r="Z153">
        <v>6</v>
      </c>
      <c r="AA153" s="32">
        <f t="shared" si="26"/>
        <v>3</v>
      </c>
    </row>
    <row r="154" spans="1:27" x14ac:dyDescent="0.45">
      <c r="A154">
        <v>7</v>
      </c>
      <c r="B154">
        <v>6</v>
      </c>
      <c r="C154" s="32">
        <f t="shared" si="18"/>
        <v>1</v>
      </c>
      <c r="D154">
        <v>7</v>
      </c>
      <c r="E154">
        <v>7</v>
      </c>
      <c r="F154" s="32">
        <f t="shared" si="19"/>
        <v>0</v>
      </c>
      <c r="G154">
        <v>8</v>
      </c>
      <c r="H154">
        <v>5</v>
      </c>
      <c r="I154" s="32">
        <f t="shared" si="20"/>
        <v>3</v>
      </c>
      <c r="J154">
        <v>9</v>
      </c>
      <c r="K154">
        <v>7</v>
      </c>
      <c r="L154" s="32">
        <f t="shared" si="21"/>
        <v>2</v>
      </c>
      <c r="M154">
        <v>7</v>
      </c>
      <c r="N154">
        <v>6</v>
      </c>
      <c r="O154" s="32">
        <f t="shared" si="22"/>
        <v>1</v>
      </c>
      <c r="P154">
        <v>8</v>
      </c>
      <c r="Q154">
        <v>6</v>
      </c>
      <c r="R154" s="32">
        <f t="shared" si="23"/>
        <v>2</v>
      </c>
      <c r="S154">
        <v>7</v>
      </c>
      <c r="T154">
        <v>5</v>
      </c>
      <c r="U154" s="32">
        <f t="shared" si="24"/>
        <v>2</v>
      </c>
      <c r="V154">
        <v>7</v>
      </c>
      <c r="W154">
        <v>6</v>
      </c>
      <c r="X154" s="32">
        <f t="shared" si="25"/>
        <v>1</v>
      </c>
      <c r="Y154">
        <v>9</v>
      </c>
      <c r="Z154">
        <v>6</v>
      </c>
      <c r="AA154" s="32">
        <f t="shared" si="26"/>
        <v>3</v>
      </c>
    </row>
    <row r="155" spans="1:27" x14ac:dyDescent="0.45">
      <c r="A155">
        <v>7</v>
      </c>
      <c r="B155">
        <v>6</v>
      </c>
      <c r="C155" s="32">
        <f t="shared" si="18"/>
        <v>1</v>
      </c>
      <c r="D155">
        <v>7</v>
      </c>
      <c r="E155">
        <v>7</v>
      </c>
      <c r="F155" s="32">
        <f t="shared" si="19"/>
        <v>0</v>
      </c>
      <c r="G155">
        <v>8</v>
      </c>
      <c r="H155">
        <v>5</v>
      </c>
      <c r="I155" s="32">
        <f t="shared" si="20"/>
        <v>3</v>
      </c>
      <c r="J155">
        <v>9</v>
      </c>
      <c r="K155">
        <v>7</v>
      </c>
      <c r="L155" s="32">
        <f t="shared" si="21"/>
        <v>2</v>
      </c>
      <c r="M155">
        <v>7</v>
      </c>
      <c r="N155">
        <v>6</v>
      </c>
      <c r="O155" s="32">
        <f t="shared" si="22"/>
        <v>1</v>
      </c>
      <c r="P155">
        <v>8</v>
      </c>
      <c r="Q155">
        <v>6</v>
      </c>
      <c r="R155" s="32">
        <f t="shared" si="23"/>
        <v>2</v>
      </c>
      <c r="S155">
        <v>7</v>
      </c>
      <c r="T155">
        <v>5</v>
      </c>
      <c r="U155" s="32">
        <f t="shared" si="24"/>
        <v>2</v>
      </c>
      <c r="V155">
        <v>7</v>
      </c>
      <c r="W155">
        <v>6</v>
      </c>
      <c r="X155" s="32">
        <f t="shared" si="25"/>
        <v>1</v>
      </c>
      <c r="Y155">
        <v>9</v>
      </c>
      <c r="Z155">
        <v>6</v>
      </c>
      <c r="AA155" s="32">
        <f t="shared" si="26"/>
        <v>3</v>
      </c>
    </row>
    <row r="156" spans="1:27" x14ac:dyDescent="0.45">
      <c r="A156">
        <v>7</v>
      </c>
      <c r="B156">
        <v>6</v>
      </c>
      <c r="C156" s="32">
        <f t="shared" si="18"/>
        <v>1</v>
      </c>
      <c r="D156">
        <v>7</v>
      </c>
      <c r="E156">
        <v>7</v>
      </c>
      <c r="F156" s="32">
        <f t="shared" si="19"/>
        <v>0</v>
      </c>
      <c r="G156">
        <v>8</v>
      </c>
      <c r="H156">
        <v>5</v>
      </c>
      <c r="I156" s="32">
        <f t="shared" si="20"/>
        <v>3</v>
      </c>
      <c r="J156">
        <v>9</v>
      </c>
      <c r="K156">
        <v>7</v>
      </c>
      <c r="L156" s="32">
        <f t="shared" si="21"/>
        <v>2</v>
      </c>
      <c r="M156">
        <v>7</v>
      </c>
      <c r="N156">
        <v>6</v>
      </c>
      <c r="O156" s="32">
        <f t="shared" si="22"/>
        <v>1</v>
      </c>
      <c r="P156">
        <v>8</v>
      </c>
      <c r="Q156">
        <v>6</v>
      </c>
      <c r="R156" s="32">
        <f t="shared" si="23"/>
        <v>2</v>
      </c>
      <c r="S156">
        <v>7</v>
      </c>
      <c r="T156">
        <v>5</v>
      </c>
      <c r="U156" s="32">
        <f t="shared" si="24"/>
        <v>2</v>
      </c>
      <c r="V156">
        <v>7</v>
      </c>
      <c r="W156">
        <v>6</v>
      </c>
      <c r="X156" s="32">
        <f t="shared" si="25"/>
        <v>1</v>
      </c>
      <c r="Y156">
        <v>9</v>
      </c>
      <c r="Z156">
        <v>7</v>
      </c>
      <c r="AA156" s="32">
        <f t="shared" si="26"/>
        <v>2</v>
      </c>
    </row>
    <row r="157" spans="1:27" x14ac:dyDescent="0.45">
      <c r="A157">
        <v>7</v>
      </c>
      <c r="B157">
        <v>6</v>
      </c>
      <c r="C157" s="32">
        <f t="shared" si="18"/>
        <v>1</v>
      </c>
      <c r="D157">
        <v>7</v>
      </c>
      <c r="E157">
        <v>7</v>
      </c>
      <c r="F157" s="32">
        <f t="shared" si="19"/>
        <v>0</v>
      </c>
      <c r="G157">
        <v>8</v>
      </c>
      <c r="H157">
        <v>5</v>
      </c>
      <c r="I157" s="32">
        <f t="shared" si="20"/>
        <v>3</v>
      </c>
      <c r="J157">
        <v>9</v>
      </c>
      <c r="K157">
        <v>7</v>
      </c>
      <c r="L157" s="32">
        <f t="shared" si="21"/>
        <v>2</v>
      </c>
      <c r="M157">
        <v>7</v>
      </c>
      <c r="N157">
        <v>6</v>
      </c>
      <c r="O157" s="32">
        <f t="shared" si="22"/>
        <v>1</v>
      </c>
      <c r="P157">
        <v>8</v>
      </c>
      <c r="Q157">
        <v>6</v>
      </c>
      <c r="R157" s="32">
        <f t="shared" si="23"/>
        <v>2</v>
      </c>
      <c r="S157">
        <v>7</v>
      </c>
      <c r="T157">
        <v>5</v>
      </c>
      <c r="U157" s="32">
        <f t="shared" si="24"/>
        <v>2</v>
      </c>
      <c r="V157">
        <v>7</v>
      </c>
      <c r="W157">
        <v>6</v>
      </c>
      <c r="X157" s="32">
        <f t="shared" si="25"/>
        <v>1</v>
      </c>
      <c r="Y157">
        <v>9</v>
      </c>
      <c r="Z157">
        <v>7</v>
      </c>
      <c r="AA157" s="32">
        <f t="shared" si="26"/>
        <v>2</v>
      </c>
    </row>
    <row r="158" spans="1:27" x14ac:dyDescent="0.45">
      <c r="A158">
        <v>7</v>
      </c>
      <c r="B158">
        <v>6</v>
      </c>
      <c r="C158" s="32">
        <f t="shared" si="18"/>
        <v>1</v>
      </c>
      <c r="D158">
        <v>7</v>
      </c>
      <c r="E158">
        <v>7</v>
      </c>
      <c r="F158" s="32">
        <f t="shared" si="19"/>
        <v>0</v>
      </c>
      <c r="G158">
        <v>8</v>
      </c>
      <c r="H158">
        <v>5</v>
      </c>
      <c r="I158" s="32">
        <f t="shared" si="20"/>
        <v>3</v>
      </c>
      <c r="J158">
        <v>9</v>
      </c>
      <c r="K158">
        <v>7</v>
      </c>
      <c r="L158" s="32">
        <f t="shared" si="21"/>
        <v>2</v>
      </c>
      <c r="M158">
        <v>7</v>
      </c>
      <c r="N158">
        <v>6</v>
      </c>
      <c r="O158" s="32">
        <f t="shared" si="22"/>
        <v>1</v>
      </c>
      <c r="P158">
        <v>8</v>
      </c>
      <c r="Q158">
        <v>6</v>
      </c>
      <c r="R158" s="32">
        <f t="shared" si="23"/>
        <v>2</v>
      </c>
      <c r="S158">
        <v>7</v>
      </c>
      <c r="T158">
        <v>5</v>
      </c>
      <c r="U158" s="32">
        <f t="shared" si="24"/>
        <v>2</v>
      </c>
      <c r="V158">
        <v>7</v>
      </c>
      <c r="W158">
        <v>6</v>
      </c>
      <c r="X158" s="32">
        <f t="shared" si="25"/>
        <v>1</v>
      </c>
      <c r="Y158">
        <v>9</v>
      </c>
      <c r="Z158">
        <v>7</v>
      </c>
      <c r="AA158" s="32">
        <f t="shared" si="26"/>
        <v>2</v>
      </c>
    </row>
    <row r="159" spans="1:27" x14ac:dyDescent="0.45">
      <c r="A159">
        <v>7</v>
      </c>
      <c r="B159">
        <v>7</v>
      </c>
      <c r="C159" s="32">
        <f t="shared" si="18"/>
        <v>0</v>
      </c>
      <c r="D159">
        <v>7</v>
      </c>
      <c r="E159">
        <v>7</v>
      </c>
      <c r="F159" s="32">
        <f t="shared" si="19"/>
        <v>0</v>
      </c>
      <c r="G159">
        <v>8</v>
      </c>
      <c r="H159">
        <v>5</v>
      </c>
      <c r="I159" s="32">
        <f t="shared" si="20"/>
        <v>3</v>
      </c>
      <c r="J159">
        <v>9</v>
      </c>
      <c r="K159">
        <v>7</v>
      </c>
      <c r="L159" s="32">
        <f t="shared" si="21"/>
        <v>2</v>
      </c>
      <c r="M159">
        <v>7</v>
      </c>
      <c r="N159">
        <v>6</v>
      </c>
      <c r="O159" s="32">
        <f t="shared" si="22"/>
        <v>1</v>
      </c>
      <c r="P159">
        <v>8</v>
      </c>
      <c r="Q159">
        <v>6</v>
      </c>
      <c r="R159" s="32">
        <f t="shared" si="23"/>
        <v>2</v>
      </c>
      <c r="S159">
        <v>7</v>
      </c>
      <c r="T159">
        <v>5</v>
      </c>
      <c r="U159" s="32">
        <f t="shared" si="24"/>
        <v>2</v>
      </c>
      <c r="V159">
        <v>7</v>
      </c>
      <c r="W159">
        <v>6</v>
      </c>
      <c r="X159" s="32">
        <f t="shared" si="25"/>
        <v>1</v>
      </c>
      <c r="Y159">
        <v>9</v>
      </c>
      <c r="Z159">
        <v>7</v>
      </c>
      <c r="AA159" s="32">
        <f t="shared" si="26"/>
        <v>2</v>
      </c>
    </row>
    <row r="160" spans="1:27" x14ac:dyDescent="0.45">
      <c r="A160">
        <v>7</v>
      </c>
      <c r="B160">
        <v>7</v>
      </c>
      <c r="C160" s="32">
        <f t="shared" si="18"/>
        <v>0</v>
      </c>
      <c r="D160">
        <v>7</v>
      </c>
      <c r="E160">
        <v>7</v>
      </c>
      <c r="F160" s="32">
        <f t="shared" si="19"/>
        <v>0</v>
      </c>
      <c r="G160">
        <v>8</v>
      </c>
      <c r="H160">
        <v>5</v>
      </c>
      <c r="I160" s="32">
        <f t="shared" si="20"/>
        <v>3</v>
      </c>
      <c r="J160">
        <v>9</v>
      </c>
      <c r="K160">
        <v>7</v>
      </c>
      <c r="L160" s="32">
        <f t="shared" si="21"/>
        <v>2</v>
      </c>
      <c r="M160">
        <v>7</v>
      </c>
      <c r="N160">
        <v>6</v>
      </c>
      <c r="O160" s="32">
        <f t="shared" si="22"/>
        <v>1</v>
      </c>
      <c r="P160">
        <v>8</v>
      </c>
      <c r="Q160">
        <v>6</v>
      </c>
      <c r="R160" s="32">
        <f t="shared" si="23"/>
        <v>2</v>
      </c>
      <c r="S160">
        <v>7</v>
      </c>
      <c r="T160">
        <v>5</v>
      </c>
      <c r="U160" s="32">
        <f t="shared" si="24"/>
        <v>2</v>
      </c>
      <c r="V160">
        <v>7</v>
      </c>
      <c r="W160">
        <v>6</v>
      </c>
      <c r="X160" s="32">
        <f t="shared" si="25"/>
        <v>1</v>
      </c>
      <c r="Y160">
        <v>9</v>
      </c>
      <c r="Z160">
        <v>7</v>
      </c>
      <c r="AA160" s="32">
        <f t="shared" si="26"/>
        <v>2</v>
      </c>
    </row>
    <row r="161" spans="1:27" x14ac:dyDescent="0.45">
      <c r="A161">
        <v>7</v>
      </c>
      <c r="B161">
        <v>7</v>
      </c>
      <c r="C161" s="32">
        <f t="shared" si="18"/>
        <v>0</v>
      </c>
      <c r="D161">
        <v>7</v>
      </c>
      <c r="E161">
        <v>7</v>
      </c>
      <c r="F161" s="32">
        <f t="shared" si="19"/>
        <v>0</v>
      </c>
      <c r="G161">
        <v>8</v>
      </c>
      <c r="H161">
        <v>5</v>
      </c>
      <c r="I161" s="32">
        <f t="shared" si="20"/>
        <v>3</v>
      </c>
      <c r="J161">
        <v>9</v>
      </c>
      <c r="K161">
        <v>7</v>
      </c>
      <c r="L161" s="32">
        <f t="shared" si="21"/>
        <v>2</v>
      </c>
      <c r="M161">
        <v>7</v>
      </c>
      <c r="N161">
        <v>6</v>
      </c>
      <c r="O161" s="32">
        <f t="shared" si="22"/>
        <v>1</v>
      </c>
      <c r="P161">
        <v>8</v>
      </c>
      <c r="Q161">
        <v>6</v>
      </c>
      <c r="R161" s="32">
        <f t="shared" si="23"/>
        <v>2</v>
      </c>
      <c r="S161">
        <v>7</v>
      </c>
      <c r="T161">
        <v>5</v>
      </c>
      <c r="U161" s="32">
        <f t="shared" si="24"/>
        <v>2</v>
      </c>
      <c r="V161">
        <v>7</v>
      </c>
      <c r="W161">
        <v>6</v>
      </c>
      <c r="X161" s="32">
        <f t="shared" si="25"/>
        <v>1</v>
      </c>
      <c r="Y161">
        <v>9</v>
      </c>
      <c r="Z161">
        <v>7</v>
      </c>
      <c r="AA161" s="32">
        <f t="shared" si="26"/>
        <v>2</v>
      </c>
    </row>
    <row r="162" spans="1:27" x14ac:dyDescent="0.45">
      <c r="A162">
        <v>7</v>
      </c>
      <c r="B162">
        <v>7</v>
      </c>
      <c r="C162" s="32">
        <f t="shared" si="18"/>
        <v>0</v>
      </c>
      <c r="D162">
        <v>7</v>
      </c>
      <c r="E162">
        <v>7</v>
      </c>
      <c r="F162" s="32">
        <f t="shared" si="19"/>
        <v>0</v>
      </c>
      <c r="G162">
        <v>8</v>
      </c>
      <c r="H162">
        <v>5</v>
      </c>
      <c r="I162" s="32">
        <f t="shared" si="20"/>
        <v>3</v>
      </c>
      <c r="J162">
        <v>9</v>
      </c>
      <c r="K162">
        <v>7</v>
      </c>
      <c r="L162" s="32">
        <f t="shared" si="21"/>
        <v>2</v>
      </c>
      <c r="M162">
        <v>7</v>
      </c>
      <c r="N162">
        <v>6</v>
      </c>
      <c r="O162" s="32">
        <f t="shared" si="22"/>
        <v>1</v>
      </c>
      <c r="P162">
        <v>8</v>
      </c>
      <c r="Q162">
        <v>6</v>
      </c>
      <c r="R162" s="32">
        <f t="shared" si="23"/>
        <v>2</v>
      </c>
      <c r="S162">
        <v>7</v>
      </c>
      <c r="T162">
        <v>5</v>
      </c>
      <c r="U162" s="32">
        <f t="shared" si="24"/>
        <v>2</v>
      </c>
      <c r="V162">
        <v>7</v>
      </c>
      <c r="W162">
        <v>6</v>
      </c>
      <c r="X162" s="32">
        <f t="shared" si="25"/>
        <v>1</v>
      </c>
      <c r="Y162">
        <v>9</v>
      </c>
      <c r="Z162">
        <v>7</v>
      </c>
      <c r="AA162" s="32">
        <f t="shared" si="26"/>
        <v>2</v>
      </c>
    </row>
    <row r="163" spans="1:27" x14ac:dyDescent="0.45">
      <c r="A163">
        <v>7</v>
      </c>
      <c r="B163">
        <v>7</v>
      </c>
      <c r="C163" s="32">
        <f t="shared" si="18"/>
        <v>0</v>
      </c>
      <c r="D163">
        <v>7</v>
      </c>
      <c r="E163">
        <v>7</v>
      </c>
      <c r="F163" s="32">
        <f t="shared" si="19"/>
        <v>0</v>
      </c>
      <c r="G163">
        <v>8</v>
      </c>
      <c r="H163">
        <v>5</v>
      </c>
      <c r="I163" s="32">
        <f t="shared" si="20"/>
        <v>3</v>
      </c>
      <c r="J163">
        <v>9</v>
      </c>
      <c r="K163">
        <v>7</v>
      </c>
      <c r="L163" s="32">
        <f t="shared" si="21"/>
        <v>2</v>
      </c>
      <c r="M163">
        <v>7</v>
      </c>
      <c r="N163">
        <v>6</v>
      </c>
      <c r="O163" s="32">
        <f t="shared" si="22"/>
        <v>1</v>
      </c>
      <c r="P163">
        <v>8</v>
      </c>
      <c r="Q163">
        <v>6</v>
      </c>
      <c r="R163" s="32">
        <f t="shared" si="23"/>
        <v>2</v>
      </c>
      <c r="S163">
        <v>7</v>
      </c>
      <c r="T163">
        <v>5</v>
      </c>
      <c r="U163" s="32">
        <f t="shared" si="24"/>
        <v>2</v>
      </c>
      <c r="V163">
        <v>7</v>
      </c>
      <c r="W163">
        <v>6</v>
      </c>
      <c r="X163" s="32">
        <f t="shared" si="25"/>
        <v>1</v>
      </c>
      <c r="Y163">
        <v>9</v>
      </c>
      <c r="Z163">
        <v>7</v>
      </c>
      <c r="AA163" s="32">
        <f t="shared" si="26"/>
        <v>2</v>
      </c>
    </row>
    <row r="164" spans="1:27" x14ac:dyDescent="0.45">
      <c r="A164">
        <v>7</v>
      </c>
      <c r="B164">
        <v>7</v>
      </c>
      <c r="C164" s="32">
        <f t="shared" si="18"/>
        <v>0</v>
      </c>
      <c r="D164">
        <v>7</v>
      </c>
      <c r="E164">
        <v>7</v>
      </c>
      <c r="F164" s="32">
        <f t="shared" si="19"/>
        <v>0</v>
      </c>
      <c r="G164">
        <v>8</v>
      </c>
      <c r="H164">
        <v>5</v>
      </c>
      <c r="I164" s="32">
        <f t="shared" si="20"/>
        <v>3</v>
      </c>
      <c r="J164">
        <v>9</v>
      </c>
      <c r="K164">
        <v>7</v>
      </c>
      <c r="L164" s="32">
        <f t="shared" si="21"/>
        <v>2</v>
      </c>
      <c r="M164">
        <v>7</v>
      </c>
      <c r="N164">
        <v>6</v>
      </c>
      <c r="O164" s="32">
        <f t="shared" si="22"/>
        <v>1</v>
      </c>
      <c r="P164">
        <v>8</v>
      </c>
      <c r="Q164">
        <v>6</v>
      </c>
      <c r="R164" s="32">
        <f t="shared" si="23"/>
        <v>2</v>
      </c>
      <c r="S164">
        <v>7</v>
      </c>
      <c r="T164">
        <v>5</v>
      </c>
      <c r="U164" s="32">
        <f t="shared" si="24"/>
        <v>2</v>
      </c>
      <c r="V164">
        <v>7</v>
      </c>
      <c r="W164">
        <v>6</v>
      </c>
      <c r="X164" s="32">
        <f t="shared" si="25"/>
        <v>1</v>
      </c>
      <c r="Y164">
        <v>9</v>
      </c>
      <c r="Z164">
        <v>7</v>
      </c>
      <c r="AA164" s="32">
        <f t="shared" si="26"/>
        <v>2</v>
      </c>
    </row>
    <row r="165" spans="1:27" x14ac:dyDescent="0.45">
      <c r="A165">
        <v>7</v>
      </c>
      <c r="B165">
        <v>7</v>
      </c>
      <c r="C165" s="32">
        <f t="shared" si="18"/>
        <v>0</v>
      </c>
      <c r="D165">
        <v>7</v>
      </c>
      <c r="E165">
        <v>7</v>
      </c>
      <c r="F165" s="32">
        <f t="shared" si="19"/>
        <v>0</v>
      </c>
      <c r="G165">
        <v>8</v>
      </c>
      <c r="H165">
        <v>5</v>
      </c>
      <c r="I165" s="32">
        <f t="shared" si="20"/>
        <v>3</v>
      </c>
      <c r="J165">
        <v>9</v>
      </c>
      <c r="K165">
        <v>7</v>
      </c>
      <c r="L165" s="32">
        <f t="shared" si="21"/>
        <v>2</v>
      </c>
      <c r="M165">
        <v>7</v>
      </c>
      <c r="N165">
        <v>6</v>
      </c>
      <c r="O165" s="32">
        <f t="shared" si="22"/>
        <v>1</v>
      </c>
      <c r="P165">
        <v>8</v>
      </c>
      <c r="Q165">
        <v>6</v>
      </c>
      <c r="R165" s="32">
        <f t="shared" si="23"/>
        <v>2</v>
      </c>
      <c r="S165">
        <v>7</v>
      </c>
      <c r="T165">
        <v>5</v>
      </c>
      <c r="U165" s="32">
        <f t="shared" si="24"/>
        <v>2</v>
      </c>
      <c r="V165">
        <v>7</v>
      </c>
      <c r="W165">
        <v>6</v>
      </c>
      <c r="X165" s="32">
        <f t="shared" si="25"/>
        <v>1</v>
      </c>
      <c r="Y165">
        <v>9</v>
      </c>
      <c r="Z165">
        <v>7</v>
      </c>
      <c r="AA165" s="32">
        <f t="shared" si="26"/>
        <v>2</v>
      </c>
    </row>
    <row r="166" spans="1:27" x14ac:dyDescent="0.45">
      <c r="A166">
        <v>7</v>
      </c>
      <c r="B166">
        <v>7</v>
      </c>
      <c r="C166" s="32">
        <f t="shared" si="18"/>
        <v>0</v>
      </c>
      <c r="D166">
        <v>7</v>
      </c>
      <c r="E166">
        <v>7</v>
      </c>
      <c r="F166" s="32">
        <f t="shared" si="19"/>
        <v>0</v>
      </c>
      <c r="G166">
        <v>8</v>
      </c>
      <c r="H166">
        <v>5</v>
      </c>
      <c r="I166" s="32">
        <f t="shared" si="20"/>
        <v>3</v>
      </c>
      <c r="J166">
        <v>9</v>
      </c>
      <c r="K166">
        <v>7</v>
      </c>
      <c r="L166" s="32">
        <f t="shared" si="21"/>
        <v>2</v>
      </c>
      <c r="M166">
        <v>7</v>
      </c>
      <c r="N166">
        <v>6</v>
      </c>
      <c r="O166" s="32">
        <f t="shared" si="22"/>
        <v>1</v>
      </c>
      <c r="P166">
        <v>8</v>
      </c>
      <c r="Q166">
        <v>6</v>
      </c>
      <c r="R166" s="32">
        <f t="shared" si="23"/>
        <v>2</v>
      </c>
      <c r="S166">
        <v>7</v>
      </c>
      <c r="T166">
        <v>5</v>
      </c>
      <c r="U166" s="32">
        <f t="shared" si="24"/>
        <v>2</v>
      </c>
      <c r="V166">
        <v>7</v>
      </c>
      <c r="W166">
        <v>6</v>
      </c>
      <c r="X166" s="32">
        <f t="shared" si="25"/>
        <v>1</v>
      </c>
      <c r="Y166">
        <v>9</v>
      </c>
      <c r="Z166">
        <v>7</v>
      </c>
      <c r="AA166" s="32">
        <f t="shared" si="26"/>
        <v>2</v>
      </c>
    </row>
    <row r="167" spans="1:27" x14ac:dyDescent="0.45">
      <c r="A167">
        <v>7</v>
      </c>
      <c r="B167">
        <v>7</v>
      </c>
      <c r="C167" s="32">
        <f t="shared" si="18"/>
        <v>0</v>
      </c>
      <c r="D167">
        <v>7</v>
      </c>
      <c r="E167">
        <v>7</v>
      </c>
      <c r="F167" s="32">
        <f t="shared" si="19"/>
        <v>0</v>
      </c>
      <c r="G167">
        <v>8</v>
      </c>
      <c r="H167">
        <v>5</v>
      </c>
      <c r="I167" s="32">
        <f t="shared" si="20"/>
        <v>3</v>
      </c>
      <c r="J167">
        <v>9</v>
      </c>
      <c r="K167">
        <v>7</v>
      </c>
      <c r="L167" s="32">
        <f t="shared" si="21"/>
        <v>2</v>
      </c>
      <c r="M167">
        <v>7</v>
      </c>
      <c r="N167">
        <v>6</v>
      </c>
      <c r="O167" s="32">
        <f t="shared" si="22"/>
        <v>1</v>
      </c>
      <c r="P167">
        <v>8</v>
      </c>
      <c r="Q167">
        <v>6</v>
      </c>
      <c r="R167" s="32">
        <f t="shared" si="23"/>
        <v>2</v>
      </c>
      <c r="S167">
        <v>8</v>
      </c>
      <c r="T167">
        <v>5</v>
      </c>
      <c r="U167" s="32">
        <f t="shared" si="24"/>
        <v>3</v>
      </c>
      <c r="V167">
        <v>7</v>
      </c>
      <c r="W167">
        <v>6</v>
      </c>
      <c r="X167" s="32">
        <f t="shared" si="25"/>
        <v>1</v>
      </c>
      <c r="Y167">
        <v>9</v>
      </c>
      <c r="Z167">
        <v>7</v>
      </c>
      <c r="AA167" s="32">
        <f t="shared" si="26"/>
        <v>2</v>
      </c>
    </row>
    <row r="168" spans="1:27" x14ac:dyDescent="0.45">
      <c r="A168">
        <v>7</v>
      </c>
      <c r="B168">
        <v>7</v>
      </c>
      <c r="C168" s="32">
        <f t="shared" si="18"/>
        <v>0</v>
      </c>
      <c r="D168">
        <v>7</v>
      </c>
      <c r="E168">
        <v>7</v>
      </c>
      <c r="F168" s="32">
        <f t="shared" si="19"/>
        <v>0</v>
      </c>
      <c r="G168">
        <v>8</v>
      </c>
      <c r="H168">
        <v>5</v>
      </c>
      <c r="I168" s="32">
        <f t="shared" si="20"/>
        <v>3</v>
      </c>
      <c r="J168">
        <v>9</v>
      </c>
      <c r="K168">
        <v>7</v>
      </c>
      <c r="L168" s="32">
        <f t="shared" si="21"/>
        <v>2</v>
      </c>
      <c r="M168">
        <v>7</v>
      </c>
      <c r="N168">
        <v>6</v>
      </c>
      <c r="O168" s="32">
        <f t="shared" si="22"/>
        <v>1</v>
      </c>
      <c r="P168">
        <v>8</v>
      </c>
      <c r="Q168">
        <v>6</v>
      </c>
      <c r="R168" s="32">
        <f t="shared" si="23"/>
        <v>2</v>
      </c>
      <c r="S168">
        <v>8</v>
      </c>
      <c r="T168">
        <v>5</v>
      </c>
      <c r="U168" s="32">
        <f t="shared" si="24"/>
        <v>3</v>
      </c>
      <c r="V168">
        <v>7</v>
      </c>
      <c r="W168">
        <v>6</v>
      </c>
      <c r="X168" s="32">
        <f t="shared" si="25"/>
        <v>1</v>
      </c>
      <c r="Y168">
        <v>9</v>
      </c>
      <c r="Z168">
        <v>7</v>
      </c>
      <c r="AA168" s="32">
        <f t="shared" si="26"/>
        <v>2</v>
      </c>
    </row>
    <row r="169" spans="1:27" x14ac:dyDescent="0.45">
      <c r="A169">
        <v>7</v>
      </c>
      <c r="B169">
        <v>7</v>
      </c>
      <c r="C169" s="32">
        <f t="shared" si="18"/>
        <v>0</v>
      </c>
      <c r="D169">
        <v>7</v>
      </c>
      <c r="E169">
        <v>7</v>
      </c>
      <c r="F169" s="32">
        <f t="shared" si="19"/>
        <v>0</v>
      </c>
      <c r="G169">
        <v>8</v>
      </c>
      <c r="H169">
        <v>5</v>
      </c>
      <c r="I169" s="32">
        <f t="shared" si="20"/>
        <v>3</v>
      </c>
      <c r="J169">
        <v>9</v>
      </c>
      <c r="K169">
        <v>7</v>
      </c>
      <c r="L169" s="32">
        <f t="shared" si="21"/>
        <v>2</v>
      </c>
      <c r="M169">
        <v>7</v>
      </c>
      <c r="N169">
        <v>6</v>
      </c>
      <c r="O169" s="32">
        <f t="shared" si="22"/>
        <v>1</v>
      </c>
      <c r="P169">
        <v>8</v>
      </c>
      <c r="Q169">
        <v>6</v>
      </c>
      <c r="R169" s="32">
        <f t="shared" si="23"/>
        <v>2</v>
      </c>
      <c r="S169">
        <v>8</v>
      </c>
      <c r="T169">
        <v>5</v>
      </c>
      <c r="U169" s="32">
        <f t="shared" si="24"/>
        <v>3</v>
      </c>
      <c r="V169">
        <v>7</v>
      </c>
      <c r="W169">
        <v>6</v>
      </c>
      <c r="X169" s="32">
        <f t="shared" si="25"/>
        <v>1</v>
      </c>
      <c r="Y169">
        <v>9</v>
      </c>
      <c r="Z169">
        <v>7</v>
      </c>
      <c r="AA169" s="32">
        <f t="shared" si="26"/>
        <v>2</v>
      </c>
    </row>
    <row r="170" spans="1:27" x14ac:dyDescent="0.45">
      <c r="A170">
        <v>7</v>
      </c>
      <c r="B170">
        <v>7</v>
      </c>
      <c r="C170" s="32">
        <f t="shared" si="18"/>
        <v>0</v>
      </c>
      <c r="D170">
        <v>7</v>
      </c>
      <c r="E170">
        <v>7</v>
      </c>
      <c r="F170" s="32">
        <f t="shared" si="19"/>
        <v>0</v>
      </c>
      <c r="G170">
        <v>8</v>
      </c>
      <c r="H170">
        <v>5</v>
      </c>
      <c r="I170" s="32">
        <f t="shared" si="20"/>
        <v>3</v>
      </c>
      <c r="J170">
        <v>9</v>
      </c>
      <c r="K170">
        <v>7</v>
      </c>
      <c r="L170" s="32">
        <f t="shared" si="21"/>
        <v>2</v>
      </c>
      <c r="M170">
        <v>7</v>
      </c>
      <c r="N170">
        <v>6</v>
      </c>
      <c r="O170" s="32">
        <f t="shared" si="22"/>
        <v>1</v>
      </c>
      <c r="P170">
        <v>8</v>
      </c>
      <c r="Q170">
        <v>6</v>
      </c>
      <c r="R170" s="32">
        <f t="shared" si="23"/>
        <v>2</v>
      </c>
      <c r="S170">
        <v>8</v>
      </c>
      <c r="T170">
        <v>5</v>
      </c>
      <c r="U170" s="32">
        <f t="shared" si="24"/>
        <v>3</v>
      </c>
      <c r="V170">
        <v>7</v>
      </c>
      <c r="W170">
        <v>6</v>
      </c>
      <c r="X170" s="32">
        <f t="shared" si="25"/>
        <v>1</v>
      </c>
      <c r="Y170">
        <v>9</v>
      </c>
      <c r="Z170">
        <v>7</v>
      </c>
      <c r="AA170" s="32">
        <f t="shared" si="26"/>
        <v>2</v>
      </c>
    </row>
    <row r="171" spans="1:27" x14ac:dyDescent="0.45">
      <c r="A171">
        <v>7</v>
      </c>
      <c r="B171">
        <v>7</v>
      </c>
      <c r="C171" s="32">
        <f t="shared" si="18"/>
        <v>0</v>
      </c>
      <c r="D171">
        <v>7</v>
      </c>
      <c r="E171">
        <v>7</v>
      </c>
      <c r="F171" s="32">
        <f t="shared" si="19"/>
        <v>0</v>
      </c>
      <c r="G171">
        <v>8</v>
      </c>
      <c r="H171">
        <v>5</v>
      </c>
      <c r="I171" s="32">
        <f t="shared" si="20"/>
        <v>3</v>
      </c>
      <c r="J171">
        <v>9</v>
      </c>
      <c r="K171">
        <v>7</v>
      </c>
      <c r="L171" s="32">
        <f t="shared" si="21"/>
        <v>2</v>
      </c>
      <c r="M171">
        <v>7</v>
      </c>
      <c r="N171">
        <v>6</v>
      </c>
      <c r="O171" s="32">
        <f t="shared" si="22"/>
        <v>1</v>
      </c>
      <c r="P171">
        <v>8</v>
      </c>
      <c r="Q171">
        <v>6</v>
      </c>
      <c r="R171" s="32">
        <f t="shared" si="23"/>
        <v>2</v>
      </c>
      <c r="S171">
        <v>8</v>
      </c>
      <c r="T171">
        <v>5</v>
      </c>
      <c r="U171" s="32">
        <f t="shared" si="24"/>
        <v>3</v>
      </c>
      <c r="V171">
        <v>7</v>
      </c>
      <c r="W171">
        <v>6</v>
      </c>
      <c r="X171" s="32">
        <f t="shared" si="25"/>
        <v>1</v>
      </c>
      <c r="Y171">
        <v>9</v>
      </c>
      <c r="Z171">
        <v>7</v>
      </c>
      <c r="AA171" s="32">
        <f t="shared" si="26"/>
        <v>2</v>
      </c>
    </row>
    <row r="172" spans="1:27" x14ac:dyDescent="0.45">
      <c r="A172">
        <v>7</v>
      </c>
      <c r="B172">
        <v>7</v>
      </c>
      <c r="C172" s="32">
        <f t="shared" si="18"/>
        <v>0</v>
      </c>
      <c r="D172">
        <v>7</v>
      </c>
      <c r="E172">
        <v>7</v>
      </c>
      <c r="F172" s="32">
        <f t="shared" si="19"/>
        <v>0</v>
      </c>
      <c r="G172">
        <v>8</v>
      </c>
      <c r="H172">
        <v>5</v>
      </c>
      <c r="I172" s="32">
        <f t="shared" si="20"/>
        <v>3</v>
      </c>
      <c r="J172">
        <v>9</v>
      </c>
      <c r="K172">
        <v>7</v>
      </c>
      <c r="L172" s="32">
        <f t="shared" si="21"/>
        <v>2</v>
      </c>
      <c r="M172">
        <v>7</v>
      </c>
      <c r="N172">
        <v>6</v>
      </c>
      <c r="O172" s="32">
        <f t="shared" si="22"/>
        <v>1</v>
      </c>
      <c r="P172">
        <v>8</v>
      </c>
      <c r="Q172">
        <v>6</v>
      </c>
      <c r="R172" s="32">
        <f t="shared" si="23"/>
        <v>2</v>
      </c>
      <c r="S172">
        <v>8</v>
      </c>
      <c r="T172">
        <v>5</v>
      </c>
      <c r="U172" s="32">
        <f t="shared" si="24"/>
        <v>3</v>
      </c>
      <c r="V172">
        <v>7</v>
      </c>
      <c r="W172">
        <v>6</v>
      </c>
      <c r="X172" s="32">
        <f t="shared" si="25"/>
        <v>1</v>
      </c>
      <c r="Y172">
        <v>9</v>
      </c>
      <c r="Z172">
        <v>7</v>
      </c>
      <c r="AA172" s="32">
        <f t="shared" si="26"/>
        <v>2</v>
      </c>
    </row>
    <row r="173" spans="1:27" x14ac:dyDescent="0.45">
      <c r="A173">
        <v>7</v>
      </c>
      <c r="B173">
        <v>7</v>
      </c>
      <c r="C173" s="32">
        <f t="shared" si="18"/>
        <v>0</v>
      </c>
      <c r="D173">
        <v>7</v>
      </c>
      <c r="E173">
        <v>7</v>
      </c>
      <c r="F173" s="32">
        <f t="shared" si="19"/>
        <v>0</v>
      </c>
      <c r="G173">
        <v>8</v>
      </c>
      <c r="H173">
        <v>5</v>
      </c>
      <c r="I173" s="32">
        <f t="shared" si="20"/>
        <v>3</v>
      </c>
      <c r="J173">
        <v>9</v>
      </c>
      <c r="K173">
        <v>7</v>
      </c>
      <c r="L173" s="32">
        <f t="shared" si="21"/>
        <v>2</v>
      </c>
      <c r="M173">
        <v>7</v>
      </c>
      <c r="N173">
        <v>6</v>
      </c>
      <c r="O173" s="32">
        <f t="shared" si="22"/>
        <v>1</v>
      </c>
      <c r="P173">
        <v>8</v>
      </c>
      <c r="Q173">
        <v>6</v>
      </c>
      <c r="R173" s="32">
        <f t="shared" si="23"/>
        <v>2</v>
      </c>
      <c r="S173">
        <v>8</v>
      </c>
      <c r="T173">
        <v>5</v>
      </c>
      <c r="U173" s="32">
        <f t="shared" si="24"/>
        <v>3</v>
      </c>
      <c r="V173">
        <v>7</v>
      </c>
      <c r="W173">
        <v>6</v>
      </c>
      <c r="X173" s="32">
        <f t="shared" si="25"/>
        <v>1</v>
      </c>
      <c r="Y173">
        <v>9</v>
      </c>
      <c r="Z173">
        <v>7</v>
      </c>
      <c r="AA173" s="32">
        <f t="shared" si="26"/>
        <v>2</v>
      </c>
    </row>
    <row r="174" spans="1:27" x14ac:dyDescent="0.45">
      <c r="A174">
        <v>7</v>
      </c>
      <c r="B174">
        <v>7</v>
      </c>
      <c r="C174" s="32">
        <f t="shared" si="18"/>
        <v>0</v>
      </c>
      <c r="D174">
        <v>7</v>
      </c>
      <c r="E174">
        <v>7</v>
      </c>
      <c r="F174" s="32">
        <f t="shared" si="19"/>
        <v>0</v>
      </c>
      <c r="G174">
        <v>8</v>
      </c>
      <c r="H174">
        <v>6</v>
      </c>
      <c r="I174" s="32">
        <f t="shared" si="20"/>
        <v>2</v>
      </c>
      <c r="J174">
        <v>9</v>
      </c>
      <c r="K174">
        <v>7</v>
      </c>
      <c r="L174" s="32">
        <f t="shared" si="21"/>
        <v>2</v>
      </c>
      <c r="M174">
        <v>7</v>
      </c>
      <c r="N174">
        <v>6</v>
      </c>
      <c r="O174" s="32">
        <f t="shared" si="22"/>
        <v>1</v>
      </c>
      <c r="P174">
        <v>8</v>
      </c>
      <c r="Q174">
        <v>6</v>
      </c>
      <c r="R174" s="32">
        <f t="shared" si="23"/>
        <v>2</v>
      </c>
      <c r="S174">
        <v>8</v>
      </c>
      <c r="T174">
        <v>5</v>
      </c>
      <c r="U174" s="32">
        <f t="shared" si="24"/>
        <v>3</v>
      </c>
      <c r="V174">
        <v>7</v>
      </c>
      <c r="W174">
        <v>6</v>
      </c>
      <c r="X174" s="32">
        <f t="shared" si="25"/>
        <v>1</v>
      </c>
      <c r="Y174">
        <v>9</v>
      </c>
      <c r="Z174">
        <v>7</v>
      </c>
      <c r="AA174" s="32">
        <f t="shared" si="26"/>
        <v>2</v>
      </c>
    </row>
    <row r="175" spans="1:27" x14ac:dyDescent="0.45">
      <c r="A175">
        <v>7</v>
      </c>
      <c r="B175">
        <v>7</v>
      </c>
      <c r="C175" s="32">
        <f t="shared" si="18"/>
        <v>0</v>
      </c>
      <c r="D175">
        <v>7</v>
      </c>
      <c r="E175">
        <v>7</v>
      </c>
      <c r="F175" s="32">
        <f t="shared" si="19"/>
        <v>0</v>
      </c>
      <c r="G175">
        <v>8</v>
      </c>
      <c r="H175">
        <v>6</v>
      </c>
      <c r="I175" s="32">
        <f t="shared" si="20"/>
        <v>2</v>
      </c>
      <c r="J175">
        <v>9</v>
      </c>
      <c r="K175">
        <v>7</v>
      </c>
      <c r="L175" s="32">
        <f t="shared" si="21"/>
        <v>2</v>
      </c>
      <c r="M175">
        <v>7</v>
      </c>
      <c r="N175">
        <v>6</v>
      </c>
      <c r="O175" s="32">
        <f t="shared" si="22"/>
        <v>1</v>
      </c>
      <c r="P175">
        <v>8</v>
      </c>
      <c r="Q175">
        <v>7</v>
      </c>
      <c r="R175" s="32">
        <f t="shared" si="23"/>
        <v>1</v>
      </c>
      <c r="S175">
        <v>8</v>
      </c>
      <c r="T175">
        <v>5</v>
      </c>
      <c r="U175" s="32">
        <f t="shared" si="24"/>
        <v>3</v>
      </c>
      <c r="V175">
        <v>7</v>
      </c>
      <c r="W175">
        <v>6</v>
      </c>
      <c r="X175" s="32">
        <f t="shared" si="25"/>
        <v>1</v>
      </c>
      <c r="Y175">
        <v>9</v>
      </c>
      <c r="Z175">
        <v>7</v>
      </c>
      <c r="AA175" s="32">
        <f t="shared" si="26"/>
        <v>2</v>
      </c>
    </row>
    <row r="176" spans="1:27" x14ac:dyDescent="0.45">
      <c r="A176">
        <v>7</v>
      </c>
      <c r="B176">
        <v>7</v>
      </c>
      <c r="C176" s="32">
        <f t="shared" si="18"/>
        <v>0</v>
      </c>
      <c r="D176">
        <v>7</v>
      </c>
      <c r="E176">
        <v>7</v>
      </c>
      <c r="F176" s="32">
        <f t="shared" si="19"/>
        <v>0</v>
      </c>
      <c r="G176">
        <v>8</v>
      </c>
      <c r="H176">
        <v>6</v>
      </c>
      <c r="I176" s="32">
        <f t="shared" si="20"/>
        <v>2</v>
      </c>
      <c r="J176">
        <v>9</v>
      </c>
      <c r="K176">
        <v>7</v>
      </c>
      <c r="L176" s="32">
        <f t="shared" si="21"/>
        <v>2</v>
      </c>
      <c r="M176">
        <v>7</v>
      </c>
      <c r="N176">
        <v>6</v>
      </c>
      <c r="O176" s="32">
        <f t="shared" si="22"/>
        <v>1</v>
      </c>
      <c r="P176">
        <v>8</v>
      </c>
      <c r="Q176">
        <v>7</v>
      </c>
      <c r="R176" s="32">
        <f t="shared" si="23"/>
        <v>1</v>
      </c>
      <c r="S176">
        <v>8</v>
      </c>
      <c r="T176">
        <v>5</v>
      </c>
      <c r="U176" s="32">
        <f t="shared" si="24"/>
        <v>3</v>
      </c>
      <c r="V176">
        <v>7</v>
      </c>
      <c r="W176">
        <v>6</v>
      </c>
      <c r="X176" s="32">
        <f t="shared" si="25"/>
        <v>1</v>
      </c>
      <c r="Y176">
        <v>9</v>
      </c>
      <c r="Z176">
        <v>7</v>
      </c>
      <c r="AA176" s="32">
        <f t="shared" si="26"/>
        <v>2</v>
      </c>
    </row>
    <row r="177" spans="1:27" x14ac:dyDescent="0.45">
      <c r="A177">
        <v>7</v>
      </c>
      <c r="B177">
        <v>7</v>
      </c>
      <c r="C177" s="32">
        <f t="shared" si="18"/>
        <v>0</v>
      </c>
      <c r="D177">
        <v>7</v>
      </c>
      <c r="E177">
        <v>7</v>
      </c>
      <c r="F177" s="32">
        <f t="shared" si="19"/>
        <v>0</v>
      </c>
      <c r="G177">
        <v>8</v>
      </c>
      <c r="H177">
        <v>6</v>
      </c>
      <c r="I177" s="32">
        <f t="shared" si="20"/>
        <v>2</v>
      </c>
      <c r="J177">
        <v>9</v>
      </c>
      <c r="K177">
        <v>7</v>
      </c>
      <c r="L177" s="32">
        <f t="shared" si="21"/>
        <v>2</v>
      </c>
      <c r="M177">
        <v>7</v>
      </c>
      <c r="N177">
        <v>6</v>
      </c>
      <c r="O177" s="32">
        <f t="shared" si="22"/>
        <v>1</v>
      </c>
      <c r="P177">
        <v>9</v>
      </c>
      <c r="Q177">
        <v>7</v>
      </c>
      <c r="R177" s="32">
        <f t="shared" si="23"/>
        <v>2</v>
      </c>
      <c r="S177">
        <v>8</v>
      </c>
      <c r="T177">
        <v>5</v>
      </c>
      <c r="U177" s="32">
        <f t="shared" si="24"/>
        <v>3</v>
      </c>
      <c r="V177">
        <v>7</v>
      </c>
      <c r="W177">
        <v>6</v>
      </c>
      <c r="X177" s="32">
        <f t="shared" si="25"/>
        <v>1</v>
      </c>
      <c r="Y177">
        <v>9</v>
      </c>
      <c r="Z177">
        <v>7</v>
      </c>
      <c r="AA177" s="32">
        <f t="shared" si="26"/>
        <v>2</v>
      </c>
    </row>
    <row r="178" spans="1:27" x14ac:dyDescent="0.45">
      <c r="A178">
        <v>7</v>
      </c>
      <c r="B178">
        <v>7</v>
      </c>
      <c r="C178" s="32">
        <f t="shared" si="18"/>
        <v>0</v>
      </c>
      <c r="D178">
        <v>7</v>
      </c>
      <c r="E178">
        <v>7</v>
      </c>
      <c r="F178" s="32">
        <f t="shared" si="19"/>
        <v>0</v>
      </c>
      <c r="G178">
        <v>8</v>
      </c>
      <c r="H178">
        <v>6</v>
      </c>
      <c r="I178" s="32">
        <f t="shared" si="20"/>
        <v>2</v>
      </c>
      <c r="J178">
        <v>9</v>
      </c>
      <c r="K178">
        <v>7</v>
      </c>
      <c r="L178" s="32">
        <f t="shared" si="21"/>
        <v>2</v>
      </c>
      <c r="M178">
        <v>7</v>
      </c>
      <c r="N178">
        <v>6</v>
      </c>
      <c r="O178" s="32">
        <f t="shared" si="22"/>
        <v>1</v>
      </c>
      <c r="P178">
        <v>9</v>
      </c>
      <c r="Q178">
        <v>7</v>
      </c>
      <c r="R178" s="32">
        <f t="shared" si="23"/>
        <v>2</v>
      </c>
      <c r="S178">
        <v>8</v>
      </c>
      <c r="T178">
        <v>5</v>
      </c>
      <c r="U178" s="32">
        <f t="shared" si="24"/>
        <v>3</v>
      </c>
      <c r="V178">
        <v>7</v>
      </c>
      <c r="W178">
        <v>6</v>
      </c>
      <c r="X178" s="32">
        <f t="shared" si="25"/>
        <v>1</v>
      </c>
      <c r="Y178">
        <v>9</v>
      </c>
      <c r="Z178">
        <v>7</v>
      </c>
      <c r="AA178" s="32">
        <f t="shared" si="26"/>
        <v>2</v>
      </c>
    </row>
    <row r="179" spans="1:27" x14ac:dyDescent="0.45">
      <c r="A179">
        <v>7</v>
      </c>
      <c r="B179">
        <v>7</v>
      </c>
      <c r="C179" s="32">
        <f t="shared" si="18"/>
        <v>0</v>
      </c>
      <c r="D179">
        <v>7</v>
      </c>
      <c r="E179">
        <v>7</v>
      </c>
      <c r="F179" s="32">
        <f t="shared" si="19"/>
        <v>0</v>
      </c>
      <c r="G179">
        <v>8</v>
      </c>
      <c r="H179">
        <v>6</v>
      </c>
      <c r="I179" s="32">
        <f t="shared" si="20"/>
        <v>2</v>
      </c>
      <c r="J179">
        <v>9</v>
      </c>
      <c r="K179">
        <v>7</v>
      </c>
      <c r="L179" s="32">
        <f t="shared" si="21"/>
        <v>2</v>
      </c>
      <c r="M179">
        <v>8</v>
      </c>
      <c r="N179">
        <v>6</v>
      </c>
      <c r="O179" s="32">
        <f t="shared" si="22"/>
        <v>2</v>
      </c>
      <c r="P179">
        <v>9</v>
      </c>
      <c r="Q179">
        <v>7</v>
      </c>
      <c r="R179" s="32">
        <f t="shared" si="23"/>
        <v>2</v>
      </c>
      <c r="S179">
        <v>8</v>
      </c>
      <c r="T179">
        <v>5</v>
      </c>
      <c r="U179" s="32">
        <f t="shared" si="24"/>
        <v>3</v>
      </c>
      <c r="V179">
        <v>7</v>
      </c>
      <c r="W179">
        <v>6</v>
      </c>
      <c r="X179" s="32">
        <f t="shared" si="25"/>
        <v>1</v>
      </c>
      <c r="Y179">
        <v>9</v>
      </c>
      <c r="Z179">
        <v>7</v>
      </c>
      <c r="AA179" s="32">
        <f t="shared" si="26"/>
        <v>2</v>
      </c>
    </row>
    <row r="180" spans="1:27" x14ac:dyDescent="0.45">
      <c r="A180">
        <v>7</v>
      </c>
      <c r="B180">
        <v>7</v>
      </c>
      <c r="C180" s="32">
        <f t="shared" si="18"/>
        <v>0</v>
      </c>
      <c r="D180">
        <v>7</v>
      </c>
      <c r="E180">
        <v>7</v>
      </c>
      <c r="F180" s="32">
        <f t="shared" si="19"/>
        <v>0</v>
      </c>
      <c r="G180">
        <v>8</v>
      </c>
      <c r="H180">
        <v>6</v>
      </c>
      <c r="I180" s="32">
        <f t="shared" si="20"/>
        <v>2</v>
      </c>
      <c r="J180">
        <v>9</v>
      </c>
      <c r="K180">
        <v>7</v>
      </c>
      <c r="L180" s="32">
        <f t="shared" si="21"/>
        <v>2</v>
      </c>
      <c r="M180">
        <v>8</v>
      </c>
      <c r="N180">
        <v>6</v>
      </c>
      <c r="O180" s="32">
        <f t="shared" si="22"/>
        <v>2</v>
      </c>
      <c r="P180">
        <v>9</v>
      </c>
      <c r="Q180">
        <v>7</v>
      </c>
      <c r="R180" s="32">
        <f t="shared" si="23"/>
        <v>2</v>
      </c>
      <c r="S180">
        <v>8</v>
      </c>
      <c r="T180">
        <v>5</v>
      </c>
      <c r="U180" s="32">
        <f t="shared" si="24"/>
        <v>3</v>
      </c>
      <c r="V180">
        <v>7</v>
      </c>
      <c r="W180">
        <v>6</v>
      </c>
      <c r="X180" s="32">
        <f t="shared" si="25"/>
        <v>1</v>
      </c>
      <c r="Y180">
        <v>9</v>
      </c>
      <c r="Z180">
        <v>7</v>
      </c>
      <c r="AA180" s="32">
        <f t="shared" si="26"/>
        <v>2</v>
      </c>
    </row>
    <row r="181" spans="1:27" x14ac:dyDescent="0.45">
      <c r="A181">
        <v>7</v>
      </c>
      <c r="B181">
        <v>7</v>
      </c>
      <c r="C181" s="32">
        <f t="shared" si="18"/>
        <v>0</v>
      </c>
      <c r="D181">
        <v>7</v>
      </c>
      <c r="E181">
        <v>7</v>
      </c>
      <c r="F181" s="32">
        <f t="shared" si="19"/>
        <v>0</v>
      </c>
      <c r="G181">
        <v>8</v>
      </c>
      <c r="H181">
        <v>6</v>
      </c>
      <c r="I181" s="32">
        <f t="shared" si="20"/>
        <v>2</v>
      </c>
      <c r="J181">
        <v>9</v>
      </c>
      <c r="K181">
        <v>7</v>
      </c>
      <c r="L181" s="32">
        <f t="shared" si="21"/>
        <v>2</v>
      </c>
      <c r="M181">
        <v>8</v>
      </c>
      <c r="N181">
        <v>6</v>
      </c>
      <c r="O181" s="32">
        <f t="shared" si="22"/>
        <v>2</v>
      </c>
      <c r="P181">
        <v>9</v>
      </c>
      <c r="Q181">
        <v>7</v>
      </c>
      <c r="R181" s="32">
        <f t="shared" si="23"/>
        <v>2</v>
      </c>
      <c r="S181">
        <v>8</v>
      </c>
      <c r="T181">
        <v>5</v>
      </c>
      <c r="U181" s="32">
        <f t="shared" si="24"/>
        <v>3</v>
      </c>
      <c r="V181">
        <v>8</v>
      </c>
      <c r="W181">
        <v>6</v>
      </c>
      <c r="X181" s="32">
        <f t="shared" si="25"/>
        <v>2</v>
      </c>
      <c r="Y181">
        <v>9</v>
      </c>
      <c r="Z181">
        <v>7</v>
      </c>
      <c r="AA181" s="32">
        <f t="shared" si="26"/>
        <v>2</v>
      </c>
    </row>
    <row r="182" spans="1:27" x14ac:dyDescent="0.45">
      <c r="A182">
        <v>7</v>
      </c>
      <c r="B182">
        <v>7</v>
      </c>
      <c r="C182" s="32">
        <f t="shared" si="18"/>
        <v>0</v>
      </c>
      <c r="D182">
        <v>7</v>
      </c>
      <c r="E182">
        <v>7</v>
      </c>
      <c r="F182" s="32">
        <f t="shared" si="19"/>
        <v>0</v>
      </c>
      <c r="G182">
        <v>8</v>
      </c>
      <c r="H182">
        <v>6</v>
      </c>
      <c r="I182" s="32">
        <f t="shared" si="20"/>
        <v>2</v>
      </c>
      <c r="J182">
        <v>9</v>
      </c>
      <c r="K182">
        <v>7</v>
      </c>
      <c r="L182" s="32">
        <f t="shared" si="21"/>
        <v>2</v>
      </c>
      <c r="M182">
        <v>8</v>
      </c>
      <c r="N182">
        <v>6</v>
      </c>
      <c r="O182" s="32">
        <f t="shared" si="22"/>
        <v>2</v>
      </c>
      <c r="P182">
        <v>9</v>
      </c>
      <c r="Q182">
        <v>7</v>
      </c>
      <c r="R182" s="32">
        <f t="shared" si="23"/>
        <v>2</v>
      </c>
      <c r="S182">
        <v>8</v>
      </c>
      <c r="T182">
        <v>5</v>
      </c>
      <c r="U182" s="32">
        <f t="shared" si="24"/>
        <v>3</v>
      </c>
      <c r="V182">
        <v>8</v>
      </c>
      <c r="W182">
        <v>6</v>
      </c>
      <c r="X182" s="32">
        <f t="shared" si="25"/>
        <v>2</v>
      </c>
      <c r="Y182">
        <v>9</v>
      </c>
      <c r="Z182">
        <v>7</v>
      </c>
      <c r="AA182" s="32">
        <f t="shared" si="26"/>
        <v>2</v>
      </c>
    </row>
    <row r="183" spans="1:27" x14ac:dyDescent="0.45">
      <c r="A183">
        <v>7</v>
      </c>
      <c r="B183">
        <v>7</v>
      </c>
      <c r="C183" s="32">
        <f t="shared" si="18"/>
        <v>0</v>
      </c>
      <c r="D183">
        <v>7</v>
      </c>
      <c r="E183">
        <v>7</v>
      </c>
      <c r="F183" s="32">
        <f t="shared" si="19"/>
        <v>0</v>
      </c>
      <c r="G183">
        <v>8</v>
      </c>
      <c r="H183">
        <v>6</v>
      </c>
      <c r="I183" s="32">
        <f t="shared" si="20"/>
        <v>2</v>
      </c>
      <c r="J183">
        <v>9</v>
      </c>
      <c r="K183">
        <v>7</v>
      </c>
      <c r="L183" s="32">
        <f t="shared" si="21"/>
        <v>2</v>
      </c>
      <c r="M183">
        <v>8</v>
      </c>
      <c r="N183">
        <v>6</v>
      </c>
      <c r="O183" s="32">
        <f t="shared" si="22"/>
        <v>2</v>
      </c>
      <c r="P183">
        <v>9</v>
      </c>
      <c r="Q183">
        <v>7</v>
      </c>
      <c r="R183" s="32">
        <f t="shared" si="23"/>
        <v>2</v>
      </c>
      <c r="S183">
        <v>8</v>
      </c>
      <c r="T183">
        <v>5</v>
      </c>
      <c r="U183" s="32">
        <f t="shared" si="24"/>
        <v>3</v>
      </c>
      <c r="V183">
        <v>8</v>
      </c>
      <c r="W183">
        <v>6</v>
      </c>
      <c r="X183" s="32">
        <f t="shared" si="25"/>
        <v>2</v>
      </c>
      <c r="Y183">
        <v>9</v>
      </c>
      <c r="Z183">
        <v>7</v>
      </c>
      <c r="AA183" s="32">
        <f t="shared" si="26"/>
        <v>2</v>
      </c>
    </row>
    <row r="184" spans="1:27" x14ac:dyDescent="0.45">
      <c r="A184">
        <v>7</v>
      </c>
      <c r="B184">
        <v>7</v>
      </c>
      <c r="C184" s="32">
        <f t="shared" si="18"/>
        <v>0</v>
      </c>
      <c r="D184">
        <v>7</v>
      </c>
      <c r="E184">
        <v>7</v>
      </c>
      <c r="F184" s="32">
        <f t="shared" si="19"/>
        <v>0</v>
      </c>
      <c r="G184">
        <v>8</v>
      </c>
      <c r="H184">
        <v>6</v>
      </c>
      <c r="I184" s="32">
        <f t="shared" si="20"/>
        <v>2</v>
      </c>
      <c r="J184">
        <v>9</v>
      </c>
      <c r="K184">
        <v>7</v>
      </c>
      <c r="L184" s="32">
        <f t="shared" si="21"/>
        <v>2</v>
      </c>
      <c r="M184">
        <v>8</v>
      </c>
      <c r="N184">
        <v>6</v>
      </c>
      <c r="O184" s="32">
        <f t="shared" si="22"/>
        <v>2</v>
      </c>
      <c r="P184">
        <v>9</v>
      </c>
      <c r="Q184">
        <v>7</v>
      </c>
      <c r="R184" s="32">
        <f t="shared" si="23"/>
        <v>2</v>
      </c>
      <c r="S184">
        <v>8</v>
      </c>
      <c r="T184">
        <v>5</v>
      </c>
      <c r="U184" s="32">
        <f t="shared" si="24"/>
        <v>3</v>
      </c>
      <c r="V184">
        <v>8</v>
      </c>
      <c r="W184">
        <v>6</v>
      </c>
      <c r="X184" s="32">
        <f t="shared" si="25"/>
        <v>2</v>
      </c>
      <c r="Y184">
        <v>9</v>
      </c>
      <c r="Z184">
        <v>7</v>
      </c>
      <c r="AA184" s="32">
        <f t="shared" si="26"/>
        <v>2</v>
      </c>
    </row>
    <row r="185" spans="1:27" x14ac:dyDescent="0.45">
      <c r="A185">
        <v>7</v>
      </c>
      <c r="B185">
        <v>7</v>
      </c>
      <c r="C185" s="32">
        <f t="shared" si="18"/>
        <v>0</v>
      </c>
      <c r="D185">
        <v>7</v>
      </c>
      <c r="E185">
        <v>7</v>
      </c>
      <c r="F185" s="32">
        <f t="shared" si="19"/>
        <v>0</v>
      </c>
      <c r="G185">
        <v>8</v>
      </c>
      <c r="H185">
        <v>6</v>
      </c>
      <c r="I185" s="32">
        <f t="shared" si="20"/>
        <v>2</v>
      </c>
      <c r="J185">
        <v>9</v>
      </c>
      <c r="K185">
        <v>7</v>
      </c>
      <c r="L185" s="32">
        <f t="shared" si="21"/>
        <v>2</v>
      </c>
      <c r="M185">
        <v>8</v>
      </c>
      <c r="N185">
        <v>6</v>
      </c>
      <c r="O185" s="32">
        <f t="shared" si="22"/>
        <v>2</v>
      </c>
      <c r="P185">
        <v>9</v>
      </c>
      <c r="Q185">
        <v>7</v>
      </c>
      <c r="R185" s="32">
        <f t="shared" si="23"/>
        <v>2</v>
      </c>
      <c r="S185">
        <v>8</v>
      </c>
      <c r="T185">
        <v>5</v>
      </c>
      <c r="U185" s="32">
        <f t="shared" si="24"/>
        <v>3</v>
      </c>
      <c r="V185">
        <v>8</v>
      </c>
      <c r="W185">
        <v>6</v>
      </c>
      <c r="X185" s="32">
        <f t="shared" si="25"/>
        <v>2</v>
      </c>
      <c r="Y185">
        <v>9</v>
      </c>
      <c r="Z185">
        <v>7</v>
      </c>
      <c r="AA185" s="32">
        <f t="shared" si="26"/>
        <v>2</v>
      </c>
    </row>
    <row r="186" spans="1:27" x14ac:dyDescent="0.45">
      <c r="A186">
        <v>7</v>
      </c>
      <c r="B186">
        <v>7</v>
      </c>
      <c r="C186" s="32">
        <f t="shared" si="18"/>
        <v>0</v>
      </c>
      <c r="D186">
        <v>7</v>
      </c>
      <c r="E186">
        <v>7</v>
      </c>
      <c r="F186" s="32">
        <f t="shared" si="19"/>
        <v>0</v>
      </c>
      <c r="G186">
        <v>8</v>
      </c>
      <c r="H186">
        <v>6</v>
      </c>
      <c r="I186" s="32">
        <f t="shared" si="20"/>
        <v>2</v>
      </c>
      <c r="J186">
        <v>9</v>
      </c>
      <c r="K186">
        <v>7</v>
      </c>
      <c r="L186" s="32">
        <f t="shared" si="21"/>
        <v>2</v>
      </c>
      <c r="M186">
        <v>8</v>
      </c>
      <c r="N186">
        <v>6</v>
      </c>
      <c r="O186" s="32">
        <f t="shared" si="22"/>
        <v>2</v>
      </c>
      <c r="P186">
        <v>9</v>
      </c>
      <c r="Q186">
        <v>7</v>
      </c>
      <c r="R186" s="32">
        <f t="shared" si="23"/>
        <v>2</v>
      </c>
      <c r="S186">
        <v>8</v>
      </c>
      <c r="T186">
        <v>5</v>
      </c>
      <c r="U186" s="32">
        <f t="shared" si="24"/>
        <v>3</v>
      </c>
      <c r="V186">
        <v>8</v>
      </c>
      <c r="W186">
        <v>6</v>
      </c>
      <c r="X186" s="32">
        <f t="shared" si="25"/>
        <v>2</v>
      </c>
      <c r="Y186">
        <v>9</v>
      </c>
      <c r="Z186">
        <v>7</v>
      </c>
      <c r="AA186" s="32">
        <f t="shared" si="26"/>
        <v>2</v>
      </c>
    </row>
    <row r="187" spans="1:27" x14ac:dyDescent="0.45">
      <c r="A187">
        <v>7</v>
      </c>
      <c r="B187">
        <v>7</v>
      </c>
      <c r="C187" s="32">
        <f t="shared" si="18"/>
        <v>0</v>
      </c>
      <c r="D187">
        <v>7</v>
      </c>
      <c r="E187">
        <v>7</v>
      </c>
      <c r="F187" s="32">
        <f t="shared" si="19"/>
        <v>0</v>
      </c>
      <c r="G187">
        <v>8</v>
      </c>
      <c r="H187">
        <v>6</v>
      </c>
      <c r="I187" s="32">
        <f t="shared" si="20"/>
        <v>2</v>
      </c>
      <c r="J187">
        <v>9</v>
      </c>
      <c r="K187">
        <v>7</v>
      </c>
      <c r="L187" s="32">
        <f t="shared" si="21"/>
        <v>2</v>
      </c>
      <c r="M187">
        <v>8</v>
      </c>
      <c r="N187">
        <v>6</v>
      </c>
      <c r="O187" s="32">
        <f t="shared" si="22"/>
        <v>2</v>
      </c>
      <c r="P187">
        <v>9</v>
      </c>
      <c r="Q187">
        <v>7</v>
      </c>
      <c r="R187" s="32">
        <f t="shared" si="23"/>
        <v>2</v>
      </c>
      <c r="S187">
        <v>8</v>
      </c>
      <c r="T187">
        <v>5</v>
      </c>
      <c r="U187" s="32">
        <f t="shared" si="24"/>
        <v>3</v>
      </c>
      <c r="V187">
        <v>8</v>
      </c>
      <c r="W187">
        <v>6</v>
      </c>
      <c r="X187" s="32">
        <f t="shared" si="25"/>
        <v>2</v>
      </c>
      <c r="Y187">
        <v>9</v>
      </c>
      <c r="Z187">
        <v>7</v>
      </c>
      <c r="AA187" s="32">
        <f t="shared" si="26"/>
        <v>2</v>
      </c>
    </row>
    <row r="188" spans="1:27" x14ac:dyDescent="0.45">
      <c r="A188">
        <v>7</v>
      </c>
      <c r="B188">
        <v>7</v>
      </c>
      <c r="C188" s="32">
        <f t="shared" si="18"/>
        <v>0</v>
      </c>
      <c r="D188">
        <v>7</v>
      </c>
      <c r="E188">
        <v>7</v>
      </c>
      <c r="F188" s="32">
        <f t="shared" si="19"/>
        <v>0</v>
      </c>
      <c r="G188">
        <v>8</v>
      </c>
      <c r="H188">
        <v>6</v>
      </c>
      <c r="I188" s="32">
        <f t="shared" si="20"/>
        <v>2</v>
      </c>
      <c r="J188">
        <v>9</v>
      </c>
      <c r="K188">
        <v>7</v>
      </c>
      <c r="L188" s="32">
        <f t="shared" si="21"/>
        <v>2</v>
      </c>
      <c r="M188">
        <v>8</v>
      </c>
      <c r="N188">
        <v>6</v>
      </c>
      <c r="O188" s="32">
        <f t="shared" si="22"/>
        <v>2</v>
      </c>
      <c r="P188">
        <v>9</v>
      </c>
      <c r="Q188">
        <v>7</v>
      </c>
      <c r="R188" s="32">
        <f t="shared" si="23"/>
        <v>2</v>
      </c>
      <c r="S188">
        <v>8</v>
      </c>
      <c r="T188">
        <v>6</v>
      </c>
      <c r="U188" s="32">
        <f t="shared" si="24"/>
        <v>2</v>
      </c>
      <c r="V188">
        <v>8</v>
      </c>
      <c r="W188">
        <v>6</v>
      </c>
      <c r="X188" s="32">
        <f t="shared" si="25"/>
        <v>2</v>
      </c>
      <c r="Y188">
        <v>9</v>
      </c>
      <c r="Z188">
        <v>7</v>
      </c>
      <c r="AA188" s="32">
        <f t="shared" si="26"/>
        <v>2</v>
      </c>
    </row>
    <row r="189" spans="1:27" x14ac:dyDescent="0.45">
      <c r="A189">
        <v>7</v>
      </c>
      <c r="B189">
        <v>7</v>
      </c>
      <c r="C189" s="32">
        <f t="shared" si="18"/>
        <v>0</v>
      </c>
      <c r="D189">
        <v>7</v>
      </c>
      <c r="E189">
        <v>7</v>
      </c>
      <c r="F189" s="32">
        <f t="shared" si="19"/>
        <v>0</v>
      </c>
      <c r="G189">
        <v>8</v>
      </c>
      <c r="H189">
        <v>6</v>
      </c>
      <c r="I189" s="32">
        <f t="shared" si="20"/>
        <v>2</v>
      </c>
      <c r="J189">
        <v>9</v>
      </c>
      <c r="K189">
        <v>7</v>
      </c>
      <c r="L189" s="32">
        <f t="shared" si="21"/>
        <v>2</v>
      </c>
      <c r="M189">
        <v>8</v>
      </c>
      <c r="N189">
        <v>6</v>
      </c>
      <c r="O189" s="32">
        <f t="shared" si="22"/>
        <v>2</v>
      </c>
      <c r="P189">
        <v>9</v>
      </c>
      <c r="Q189">
        <v>7</v>
      </c>
      <c r="R189" s="32">
        <f t="shared" si="23"/>
        <v>2</v>
      </c>
      <c r="S189">
        <v>8</v>
      </c>
      <c r="T189">
        <v>6</v>
      </c>
      <c r="U189" s="32">
        <f t="shared" si="24"/>
        <v>2</v>
      </c>
      <c r="V189">
        <v>8</v>
      </c>
      <c r="W189">
        <v>6</v>
      </c>
      <c r="X189" s="32">
        <f t="shared" si="25"/>
        <v>2</v>
      </c>
      <c r="Y189">
        <v>9</v>
      </c>
      <c r="Z189">
        <v>7</v>
      </c>
      <c r="AA189" s="32">
        <f t="shared" si="26"/>
        <v>2</v>
      </c>
    </row>
    <row r="190" spans="1:27" x14ac:dyDescent="0.45">
      <c r="A190">
        <v>7</v>
      </c>
      <c r="B190">
        <v>7</v>
      </c>
      <c r="C190" s="32">
        <f t="shared" si="18"/>
        <v>0</v>
      </c>
      <c r="D190">
        <v>7</v>
      </c>
      <c r="E190">
        <v>7</v>
      </c>
      <c r="F190" s="32">
        <f t="shared" si="19"/>
        <v>0</v>
      </c>
      <c r="G190">
        <v>8</v>
      </c>
      <c r="H190">
        <v>6</v>
      </c>
      <c r="I190" s="32">
        <f t="shared" si="20"/>
        <v>2</v>
      </c>
      <c r="J190">
        <v>9</v>
      </c>
      <c r="K190">
        <v>7</v>
      </c>
      <c r="L190" s="32">
        <f t="shared" si="21"/>
        <v>2</v>
      </c>
      <c r="M190">
        <v>8</v>
      </c>
      <c r="N190">
        <v>6</v>
      </c>
      <c r="O190" s="32">
        <f t="shared" si="22"/>
        <v>2</v>
      </c>
      <c r="P190">
        <v>9</v>
      </c>
      <c r="Q190">
        <v>7</v>
      </c>
      <c r="R190" s="32">
        <f t="shared" si="23"/>
        <v>2</v>
      </c>
      <c r="S190">
        <v>8</v>
      </c>
      <c r="T190">
        <v>6</v>
      </c>
      <c r="U190" s="32">
        <f t="shared" si="24"/>
        <v>2</v>
      </c>
      <c r="V190">
        <v>8</v>
      </c>
      <c r="W190">
        <v>6</v>
      </c>
      <c r="X190" s="32">
        <f t="shared" si="25"/>
        <v>2</v>
      </c>
      <c r="Y190">
        <v>9</v>
      </c>
      <c r="Z190">
        <v>7</v>
      </c>
      <c r="AA190" s="32">
        <f t="shared" si="26"/>
        <v>2</v>
      </c>
    </row>
    <row r="191" spans="1:27" x14ac:dyDescent="0.45">
      <c r="A191">
        <v>7</v>
      </c>
      <c r="B191">
        <v>7</v>
      </c>
      <c r="C191" s="32">
        <f t="shared" si="18"/>
        <v>0</v>
      </c>
      <c r="D191">
        <v>7</v>
      </c>
      <c r="E191">
        <v>7</v>
      </c>
      <c r="F191" s="32">
        <f t="shared" si="19"/>
        <v>0</v>
      </c>
      <c r="G191">
        <v>8</v>
      </c>
      <c r="H191">
        <v>6</v>
      </c>
      <c r="I191" s="32">
        <f t="shared" si="20"/>
        <v>2</v>
      </c>
      <c r="J191">
        <v>9</v>
      </c>
      <c r="K191">
        <v>7</v>
      </c>
      <c r="L191" s="32">
        <f t="shared" si="21"/>
        <v>2</v>
      </c>
      <c r="M191">
        <v>8</v>
      </c>
      <c r="N191">
        <v>6</v>
      </c>
      <c r="O191" s="32">
        <f t="shared" si="22"/>
        <v>2</v>
      </c>
      <c r="P191">
        <v>9</v>
      </c>
      <c r="Q191">
        <v>7</v>
      </c>
      <c r="R191" s="32">
        <f t="shared" si="23"/>
        <v>2</v>
      </c>
      <c r="S191">
        <v>8</v>
      </c>
      <c r="T191">
        <v>6</v>
      </c>
      <c r="U191" s="32">
        <f t="shared" si="24"/>
        <v>2</v>
      </c>
      <c r="V191">
        <v>8</v>
      </c>
      <c r="W191">
        <v>6</v>
      </c>
      <c r="X191" s="32">
        <f t="shared" si="25"/>
        <v>2</v>
      </c>
      <c r="Y191">
        <v>9</v>
      </c>
      <c r="Z191">
        <v>7</v>
      </c>
      <c r="AA191" s="32">
        <f t="shared" si="26"/>
        <v>2</v>
      </c>
    </row>
    <row r="192" spans="1:27" x14ac:dyDescent="0.45">
      <c r="A192">
        <v>7</v>
      </c>
      <c r="B192">
        <v>7</v>
      </c>
      <c r="C192" s="32">
        <f t="shared" si="18"/>
        <v>0</v>
      </c>
      <c r="D192">
        <v>7</v>
      </c>
      <c r="E192">
        <v>7</v>
      </c>
      <c r="F192" s="32">
        <f t="shared" si="19"/>
        <v>0</v>
      </c>
      <c r="G192">
        <v>8</v>
      </c>
      <c r="H192">
        <v>6</v>
      </c>
      <c r="I192" s="32">
        <f t="shared" si="20"/>
        <v>2</v>
      </c>
      <c r="J192">
        <v>9</v>
      </c>
      <c r="K192">
        <v>7</v>
      </c>
      <c r="L192" s="32">
        <f t="shared" si="21"/>
        <v>2</v>
      </c>
      <c r="M192">
        <v>8</v>
      </c>
      <c r="N192">
        <v>6</v>
      </c>
      <c r="O192" s="32">
        <f t="shared" si="22"/>
        <v>2</v>
      </c>
      <c r="P192">
        <v>9</v>
      </c>
      <c r="Q192">
        <v>7</v>
      </c>
      <c r="R192" s="32">
        <f t="shared" si="23"/>
        <v>2</v>
      </c>
      <c r="S192">
        <v>8</v>
      </c>
      <c r="T192">
        <v>6</v>
      </c>
      <c r="U192" s="32">
        <f t="shared" si="24"/>
        <v>2</v>
      </c>
      <c r="V192">
        <v>8</v>
      </c>
      <c r="W192">
        <v>6</v>
      </c>
      <c r="X192" s="32">
        <f t="shared" si="25"/>
        <v>2</v>
      </c>
      <c r="Y192">
        <v>9</v>
      </c>
      <c r="Z192">
        <v>7</v>
      </c>
      <c r="AA192" s="32">
        <f t="shared" si="26"/>
        <v>2</v>
      </c>
    </row>
    <row r="193" spans="1:27" x14ac:dyDescent="0.45">
      <c r="A193">
        <v>7</v>
      </c>
      <c r="B193">
        <v>7</v>
      </c>
      <c r="C193" s="32">
        <f t="shared" si="18"/>
        <v>0</v>
      </c>
      <c r="D193">
        <v>7</v>
      </c>
      <c r="E193">
        <v>7</v>
      </c>
      <c r="F193" s="32">
        <f t="shared" si="19"/>
        <v>0</v>
      </c>
      <c r="G193">
        <v>8</v>
      </c>
      <c r="H193">
        <v>6</v>
      </c>
      <c r="I193" s="32">
        <f t="shared" si="20"/>
        <v>2</v>
      </c>
      <c r="J193">
        <v>9</v>
      </c>
      <c r="K193">
        <v>7</v>
      </c>
      <c r="L193" s="32">
        <f t="shared" si="21"/>
        <v>2</v>
      </c>
      <c r="M193">
        <v>8</v>
      </c>
      <c r="N193">
        <v>6</v>
      </c>
      <c r="O193" s="32">
        <f t="shared" si="22"/>
        <v>2</v>
      </c>
      <c r="P193">
        <v>9</v>
      </c>
      <c r="Q193">
        <v>7</v>
      </c>
      <c r="R193" s="32">
        <f t="shared" si="23"/>
        <v>2</v>
      </c>
      <c r="S193">
        <v>8</v>
      </c>
      <c r="T193">
        <v>6</v>
      </c>
      <c r="U193" s="32">
        <f t="shared" si="24"/>
        <v>2</v>
      </c>
      <c r="V193">
        <v>8</v>
      </c>
      <c r="W193">
        <v>6</v>
      </c>
      <c r="X193" s="32">
        <f t="shared" si="25"/>
        <v>2</v>
      </c>
      <c r="Y193">
        <v>9</v>
      </c>
      <c r="Z193">
        <v>7</v>
      </c>
      <c r="AA193" s="32">
        <f t="shared" si="26"/>
        <v>2</v>
      </c>
    </row>
    <row r="194" spans="1:27" x14ac:dyDescent="0.45">
      <c r="A194">
        <v>7</v>
      </c>
      <c r="B194">
        <v>7</v>
      </c>
      <c r="C194" s="32">
        <f t="shared" si="18"/>
        <v>0</v>
      </c>
      <c r="D194">
        <v>7</v>
      </c>
      <c r="E194">
        <v>7</v>
      </c>
      <c r="F194" s="32">
        <f t="shared" si="19"/>
        <v>0</v>
      </c>
      <c r="G194">
        <v>8</v>
      </c>
      <c r="H194">
        <v>6</v>
      </c>
      <c r="I194" s="32">
        <f t="shared" si="20"/>
        <v>2</v>
      </c>
      <c r="J194">
        <v>9</v>
      </c>
      <c r="K194">
        <v>7</v>
      </c>
      <c r="L194" s="32">
        <f t="shared" si="21"/>
        <v>2</v>
      </c>
      <c r="M194">
        <v>8</v>
      </c>
      <c r="N194">
        <v>6</v>
      </c>
      <c r="O194" s="32">
        <f t="shared" si="22"/>
        <v>2</v>
      </c>
      <c r="P194">
        <v>9</v>
      </c>
      <c r="Q194">
        <v>7</v>
      </c>
      <c r="R194" s="32">
        <f t="shared" si="23"/>
        <v>2</v>
      </c>
      <c r="S194">
        <v>8</v>
      </c>
      <c r="T194">
        <v>6</v>
      </c>
      <c r="U194" s="32">
        <f t="shared" si="24"/>
        <v>2</v>
      </c>
      <c r="V194">
        <v>8</v>
      </c>
      <c r="W194">
        <v>6</v>
      </c>
      <c r="X194" s="32">
        <f t="shared" si="25"/>
        <v>2</v>
      </c>
      <c r="Y194">
        <v>9</v>
      </c>
      <c r="Z194">
        <v>7</v>
      </c>
      <c r="AA194" s="32">
        <f t="shared" si="26"/>
        <v>2</v>
      </c>
    </row>
    <row r="195" spans="1:27" x14ac:dyDescent="0.45">
      <c r="A195">
        <v>7</v>
      </c>
      <c r="B195">
        <v>7</v>
      </c>
      <c r="C195" s="32">
        <f t="shared" ref="C195:C258" si="27">ABS(B195-A195)</f>
        <v>0</v>
      </c>
      <c r="D195">
        <v>7</v>
      </c>
      <c r="E195">
        <v>7</v>
      </c>
      <c r="F195" s="32">
        <f t="shared" ref="F195:F258" si="28">ABS(E195-D195)</f>
        <v>0</v>
      </c>
      <c r="G195">
        <v>8</v>
      </c>
      <c r="H195">
        <v>6</v>
      </c>
      <c r="I195" s="32">
        <f t="shared" ref="I195:I258" si="29">ABS(H195-G195)</f>
        <v>2</v>
      </c>
      <c r="J195">
        <v>9</v>
      </c>
      <c r="K195">
        <v>7</v>
      </c>
      <c r="L195" s="32">
        <f t="shared" ref="L195:L258" si="30">ABS(K195-J195)</f>
        <v>2</v>
      </c>
      <c r="M195">
        <v>8</v>
      </c>
      <c r="N195">
        <v>6</v>
      </c>
      <c r="O195" s="32">
        <f t="shared" ref="O195:O258" si="31">ABS(N195-M195)</f>
        <v>2</v>
      </c>
      <c r="P195">
        <v>9</v>
      </c>
      <c r="Q195">
        <v>7</v>
      </c>
      <c r="R195" s="32">
        <f t="shared" ref="R195:R258" si="32">ABS(Q195-P195)</f>
        <v>2</v>
      </c>
      <c r="S195">
        <v>8</v>
      </c>
      <c r="T195">
        <v>6</v>
      </c>
      <c r="U195" s="32">
        <f t="shared" ref="U195:U258" si="33">ABS(T195-S195)</f>
        <v>2</v>
      </c>
      <c r="V195">
        <v>8</v>
      </c>
      <c r="W195">
        <v>6</v>
      </c>
      <c r="X195" s="32">
        <f t="shared" ref="X195:X258" si="34">ABS(W195-V195)</f>
        <v>2</v>
      </c>
      <c r="Y195">
        <v>9</v>
      </c>
      <c r="Z195">
        <v>7</v>
      </c>
      <c r="AA195" s="32">
        <f t="shared" ref="AA195:AA258" si="35">ABS(Z195-Y195)</f>
        <v>2</v>
      </c>
    </row>
    <row r="196" spans="1:27" x14ac:dyDescent="0.45">
      <c r="A196">
        <v>7</v>
      </c>
      <c r="B196">
        <v>7</v>
      </c>
      <c r="C196" s="32">
        <f t="shared" si="27"/>
        <v>0</v>
      </c>
      <c r="D196">
        <v>7</v>
      </c>
      <c r="E196">
        <v>7</v>
      </c>
      <c r="F196" s="32">
        <f t="shared" si="28"/>
        <v>0</v>
      </c>
      <c r="G196">
        <v>8</v>
      </c>
      <c r="H196">
        <v>6</v>
      </c>
      <c r="I196" s="32">
        <f t="shared" si="29"/>
        <v>2</v>
      </c>
      <c r="J196">
        <v>9</v>
      </c>
      <c r="K196">
        <v>7</v>
      </c>
      <c r="L196" s="32">
        <f t="shared" si="30"/>
        <v>2</v>
      </c>
      <c r="M196">
        <v>8</v>
      </c>
      <c r="N196">
        <v>6</v>
      </c>
      <c r="O196" s="32">
        <f t="shared" si="31"/>
        <v>2</v>
      </c>
      <c r="P196">
        <v>9</v>
      </c>
      <c r="Q196">
        <v>7</v>
      </c>
      <c r="R196" s="32">
        <f t="shared" si="32"/>
        <v>2</v>
      </c>
      <c r="S196">
        <v>8</v>
      </c>
      <c r="T196">
        <v>6</v>
      </c>
      <c r="U196" s="32">
        <f t="shared" si="33"/>
        <v>2</v>
      </c>
      <c r="V196">
        <v>8</v>
      </c>
      <c r="W196">
        <v>6</v>
      </c>
      <c r="X196" s="32">
        <f t="shared" si="34"/>
        <v>2</v>
      </c>
      <c r="Y196">
        <v>9</v>
      </c>
      <c r="Z196">
        <v>7</v>
      </c>
      <c r="AA196" s="32">
        <f t="shared" si="35"/>
        <v>2</v>
      </c>
    </row>
    <row r="197" spans="1:27" x14ac:dyDescent="0.45">
      <c r="A197">
        <v>7</v>
      </c>
      <c r="B197">
        <v>7</v>
      </c>
      <c r="C197" s="32">
        <f t="shared" si="27"/>
        <v>0</v>
      </c>
      <c r="D197">
        <v>7</v>
      </c>
      <c r="E197">
        <v>7</v>
      </c>
      <c r="F197" s="32">
        <f t="shared" si="28"/>
        <v>0</v>
      </c>
      <c r="G197">
        <v>8</v>
      </c>
      <c r="H197">
        <v>6</v>
      </c>
      <c r="I197" s="32">
        <f t="shared" si="29"/>
        <v>2</v>
      </c>
      <c r="J197">
        <v>9</v>
      </c>
      <c r="K197">
        <v>7</v>
      </c>
      <c r="L197" s="32">
        <f t="shared" si="30"/>
        <v>2</v>
      </c>
      <c r="M197">
        <v>8</v>
      </c>
      <c r="N197">
        <v>6</v>
      </c>
      <c r="O197" s="32">
        <f t="shared" si="31"/>
        <v>2</v>
      </c>
      <c r="P197">
        <v>9</v>
      </c>
      <c r="Q197">
        <v>7</v>
      </c>
      <c r="R197" s="32">
        <f t="shared" si="32"/>
        <v>2</v>
      </c>
      <c r="S197">
        <v>8</v>
      </c>
      <c r="T197">
        <v>6</v>
      </c>
      <c r="U197" s="32">
        <f t="shared" si="33"/>
        <v>2</v>
      </c>
      <c r="V197">
        <v>8</v>
      </c>
      <c r="W197">
        <v>6</v>
      </c>
      <c r="X197" s="32">
        <f t="shared" si="34"/>
        <v>2</v>
      </c>
      <c r="Y197">
        <v>9</v>
      </c>
      <c r="Z197">
        <v>7</v>
      </c>
      <c r="AA197" s="32">
        <f t="shared" si="35"/>
        <v>2</v>
      </c>
    </row>
    <row r="198" spans="1:27" x14ac:dyDescent="0.45">
      <c r="A198">
        <v>7</v>
      </c>
      <c r="B198">
        <v>7</v>
      </c>
      <c r="C198" s="32">
        <f t="shared" si="27"/>
        <v>0</v>
      </c>
      <c r="D198">
        <v>7</v>
      </c>
      <c r="E198">
        <v>7</v>
      </c>
      <c r="F198" s="32">
        <f t="shared" si="28"/>
        <v>0</v>
      </c>
      <c r="G198">
        <v>8</v>
      </c>
      <c r="H198">
        <v>6</v>
      </c>
      <c r="I198" s="32">
        <f t="shared" si="29"/>
        <v>2</v>
      </c>
      <c r="J198">
        <v>9</v>
      </c>
      <c r="K198">
        <v>7</v>
      </c>
      <c r="L198" s="32">
        <f t="shared" si="30"/>
        <v>2</v>
      </c>
      <c r="M198">
        <v>8</v>
      </c>
      <c r="N198">
        <v>6</v>
      </c>
      <c r="O198" s="32">
        <f t="shared" si="31"/>
        <v>2</v>
      </c>
      <c r="P198">
        <v>9</v>
      </c>
      <c r="Q198">
        <v>7</v>
      </c>
      <c r="R198" s="32">
        <f t="shared" si="32"/>
        <v>2</v>
      </c>
      <c r="S198">
        <v>8</v>
      </c>
      <c r="T198">
        <v>6</v>
      </c>
      <c r="U198" s="32">
        <f t="shared" si="33"/>
        <v>2</v>
      </c>
      <c r="V198">
        <v>8</v>
      </c>
      <c r="W198">
        <v>6</v>
      </c>
      <c r="X198" s="32">
        <f t="shared" si="34"/>
        <v>2</v>
      </c>
      <c r="Y198">
        <v>9</v>
      </c>
      <c r="Z198">
        <v>7</v>
      </c>
      <c r="AA198" s="32">
        <f t="shared" si="35"/>
        <v>2</v>
      </c>
    </row>
    <row r="199" spans="1:27" x14ac:dyDescent="0.45">
      <c r="A199">
        <v>7</v>
      </c>
      <c r="B199">
        <v>7</v>
      </c>
      <c r="C199" s="32">
        <f t="shared" si="27"/>
        <v>0</v>
      </c>
      <c r="D199">
        <v>7</v>
      </c>
      <c r="E199">
        <v>7</v>
      </c>
      <c r="F199" s="32">
        <f t="shared" si="28"/>
        <v>0</v>
      </c>
      <c r="G199">
        <v>8</v>
      </c>
      <c r="H199">
        <v>6</v>
      </c>
      <c r="I199" s="32">
        <f t="shared" si="29"/>
        <v>2</v>
      </c>
      <c r="J199">
        <v>9</v>
      </c>
      <c r="K199">
        <v>7</v>
      </c>
      <c r="L199" s="32">
        <f t="shared" si="30"/>
        <v>2</v>
      </c>
      <c r="M199">
        <v>8</v>
      </c>
      <c r="N199">
        <v>6</v>
      </c>
      <c r="O199" s="32">
        <f t="shared" si="31"/>
        <v>2</v>
      </c>
      <c r="P199">
        <v>9</v>
      </c>
      <c r="Q199">
        <v>7</v>
      </c>
      <c r="R199" s="32">
        <f t="shared" si="32"/>
        <v>2</v>
      </c>
      <c r="S199">
        <v>8</v>
      </c>
      <c r="T199">
        <v>6</v>
      </c>
      <c r="U199" s="32">
        <f t="shared" si="33"/>
        <v>2</v>
      </c>
      <c r="V199">
        <v>8</v>
      </c>
      <c r="W199">
        <v>7</v>
      </c>
      <c r="X199" s="32">
        <f t="shared" si="34"/>
        <v>1</v>
      </c>
      <c r="Y199">
        <v>9</v>
      </c>
      <c r="Z199">
        <v>7</v>
      </c>
      <c r="AA199" s="32">
        <f t="shared" si="35"/>
        <v>2</v>
      </c>
    </row>
    <row r="200" spans="1:27" x14ac:dyDescent="0.45">
      <c r="A200">
        <v>7</v>
      </c>
      <c r="B200">
        <v>7</v>
      </c>
      <c r="C200" s="32">
        <f t="shared" si="27"/>
        <v>0</v>
      </c>
      <c r="D200">
        <v>7</v>
      </c>
      <c r="E200">
        <v>7</v>
      </c>
      <c r="F200" s="32">
        <f t="shared" si="28"/>
        <v>0</v>
      </c>
      <c r="G200">
        <v>8</v>
      </c>
      <c r="H200">
        <v>6</v>
      </c>
      <c r="I200" s="32">
        <f t="shared" si="29"/>
        <v>2</v>
      </c>
      <c r="J200">
        <v>9</v>
      </c>
      <c r="K200">
        <v>7</v>
      </c>
      <c r="L200" s="32">
        <f t="shared" si="30"/>
        <v>2</v>
      </c>
      <c r="M200">
        <v>8</v>
      </c>
      <c r="N200">
        <v>7</v>
      </c>
      <c r="O200" s="32">
        <f t="shared" si="31"/>
        <v>1</v>
      </c>
      <c r="P200">
        <v>9</v>
      </c>
      <c r="Q200">
        <v>7</v>
      </c>
      <c r="R200" s="32">
        <f t="shared" si="32"/>
        <v>2</v>
      </c>
      <c r="S200">
        <v>8</v>
      </c>
      <c r="T200">
        <v>6</v>
      </c>
      <c r="U200" s="32">
        <f t="shared" si="33"/>
        <v>2</v>
      </c>
      <c r="V200">
        <v>8</v>
      </c>
      <c r="W200">
        <v>7</v>
      </c>
      <c r="X200" s="32">
        <f t="shared" si="34"/>
        <v>1</v>
      </c>
      <c r="Y200">
        <v>9</v>
      </c>
      <c r="Z200">
        <v>7</v>
      </c>
      <c r="AA200" s="32">
        <f t="shared" si="35"/>
        <v>2</v>
      </c>
    </row>
    <row r="201" spans="1:27" x14ac:dyDescent="0.45">
      <c r="A201">
        <v>7</v>
      </c>
      <c r="B201">
        <v>7</v>
      </c>
      <c r="C201" s="32">
        <f t="shared" si="27"/>
        <v>0</v>
      </c>
      <c r="D201">
        <v>7</v>
      </c>
      <c r="E201">
        <v>7</v>
      </c>
      <c r="F201" s="32">
        <f t="shared" si="28"/>
        <v>0</v>
      </c>
      <c r="G201">
        <v>8</v>
      </c>
      <c r="H201">
        <v>6</v>
      </c>
      <c r="I201" s="32">
        <f t="shared" si="29"/>
        <v>2</v>
      </c>
      <c r="J201">
        <v>9</v>
      </c>
      <c r="K201">
        <v>7</v>
      </c>
      <c r="L201" s="32">
        <f t="shared" si="30"/>
        <v>2</v>
      </c>
      <c r="M201">
        <v>8</v>
      </c>
      <c r="N201">
        <v>7</v>
      </c>
      <c r="O201" s="32">
        <f t="shared" si="31"/>
        <v>1</v>
      </c>
      <c r="P201">
        <v>9</v>
      </c>
      <c r="Q201">
        <v>7</v>
      </c>
      <c r="R201" s="32">
        <f t="shared" si="32"/>
        <v>2</v>
      </c>
      <c r="S201">
        <v>8</v>
      </c>
      <c r="T201">
        <v>6</v>
      </c>
      <c r="U201" s="32">
        <f t="shared" si="33"/>
        <v>2</v>
      </c>
      <c r="V201">
        <v>8</v>
      </c>
      <c r="W201">
        <v>7</v>
      </c>
      <c r="X201" s="32">
        <f t="shared" si="34"/>
        <v>1</v>
      </c>
      <c r="Y201">
        <v>9</v>
      </c>
      <c r="Z201">
        <v>7</v>
      </c>
      <c r="AA201" s="32">
        <f t="shared" si="35"/>
        <v>2</v>
      </c>
    </row>
    <row r="202" spans="1:27" x14ac:dyDescent="0.45">
      <c r="A202">
        <v>7</v>
      </c>
      <c r="B202">
        <v>7</v>
      </c>
      <c r="C202" s="32">
        <f t="shared" si="27"/>
        <v>0</v>
      </c>
      <c r="D202">
        <v>7</v>
      </c>
      <c r="E202">
        <v>7</v>
      </c>
      <c r="F202" s="32">
        <f t="shared" si="28"/>
        <v>0</v>
      </c>
      <c r="G202">
        <v>8</v>
      </c>
      <c r="H202">
        <v>6</v>
      </c>
      <c r="I202" s="32">
        <f t="shared" si="29"/>
        <v>2</v>
      </c>
      <c r="J202">
        <v>9</v>
      </c>
      <c r="K202">
        <v>7</v>
      </c>
      <c r="L202" s="32">
        <f t="shared" si="30"/>
        <v>2</v>
      </c>
      <c r="M202">
        <v>8</v>
      </c>
      <c r="N202">
        <v>7</v>
      </c>
      <c r="O202" s="32">
        <f t="shared" si="31"/>
        <v>1</v>
      </c>
      <c r="P202">
        <v>9</v>
      </c>
      <c r="Q202">
        <v>7</v>
      </c>
      <c r="R202" s="32">
        <f t="shared" si="32"/>
        <v>2</v>
      </c>
      <c r="S202">
        <v>8</v>
      </c>
      <c r="T202">
        <v>6</v>
      </c>
      <c r="U202" s="32">
        <f t="shared" si="33"/>
        <v>2</v>
      </c>
      <c r="V202">
        <v>8</v>
      </c>
      <c r="W202">
        <v>7</v>
      </c>
      <c r="X202" s="32">
        <f t="shared" si="34"/>
        <v>1</v>
      </c>
      <c r="Y202">
        <v>9</v>
      </c>
      <c r="Z202">
        <v>7</v>
      </c>
      <c r="AA202" s="32">
        <f t="shared" si="35"/>
        <v>2</v>
      </c>
    </row>
    <row r="203" spans="1:27" x14ac:dyDescent="0.45">
      <c r="A203">
        <v>7</v>
      </c>
      <c r="B203">
        <v>7</v>
      </c>
      <c r="C203" s="32">
        <f t="shared" si="27"/>
        <v>0</v>
      </c>
      <c r="D203">
        <v>7</v>
      </c>
      <c r="E203">
        <v>7</v>
      </c>
      <c r="F203" s="32">
        <f t="shared" si="28"/>
        <v>0</v>
      </c>
      <c r="G203">
        <v>8</v>
      </c>
      <c r="H203">
        <v>6</v>
      </c>
      <c r="I203" s="32">
        <f t="shared" si="29"/>
        <v>2</v>
      </c>
      <c r="J203">
        <v>9</v>
      </c>
      <c r="K203">
        <v>7</v>
      </c>
      <c r="L203" s="32">
        <f t="shared" si="30"/>
        <v>2</v>
      </c>
      <c r="M203">
        <v>8</v>
      </c>
      <c r="N203">
        <v>7</v>
      </c>
      <c r="O203" s="32">
        <f t="shared" si="31"/>
        <v>1</v>
      </c>
      <c r="P203">
        <v>9</v>
      </c>
      <c r="Q203">
        <v>7</v>
      </c>
      <c r="R203" s="32">
        <f t="shared" si="32"/>
        <v>2</v>
      </c>
      <c r="S203">
        <v>8</v>
      </c>
      <c r="T203">
        <v>6</v>
      </c>
      <c r="U203" s="32">
        <f t="shared" si="33"/>
        <v>2</v>
      </c>
      <c r="V203">
        <v>8</v>
      </c>
      <c r="W203">
        <v>7</v>
      </c>
      <c r="X203" s="32">
        <f t="shared" si="34"/>
        <v>1</v>
      </c>
      <c r="Y203">
        <v>9</v>
      </c>
      <c r="Z203">
        <v>7</v>
      </c>
      <c r="AA203" s="32">
        <f t="shared" si="35"/>
        <v>2</v>
      </c>
    </row>
    <row r="204" spans="1:27" x14ac:dyDescent="0.45">
      <c r="A204">
        <v>7</v>
      </c>
      <c r="B204">
        <v>7</v>
      </c>
      <c r="C204" s="32">
        <f t="shared" si="27"/>
        <v>0</v>
      </c>
      <c r="D204">
        <v>7</v>
      </c>
      <c r="E204">
        <v>7</v>
      </c>
      <c r="F204" s="32">
        <f t="shared" si="28"/>
        <v>0</v>
      </c>
      <c r="G204">
        <v>8</v>
      </c>
      <c r="H204">
        <v>6</v>
      </c>
      <c r="I204" s="32">
        <f t="shared" si="29"/>
        <v>2</v>
      </c>
      <c r="J204">
        <v>9</v>
      </c>
      <c r="K204">
        <v>7</v>
      </c>
      <c r="L204" s="32">
        <f t="shared" si="30"/>
        <v>2</v>
      </c>
      <c r="M204">
        <v>8</v>
      </c>
      <c r="N204">
        <v>7</v>
      </c>
      <c r="O204" s="32">
        <f t="shared" si="31"/>
        <v>1</v>
      </c>
      <c r="P204">
        <v>9</v>
      </c>
      <c r="Q204">
        <v>7</v>
      </c>
      <c r="R204" s="32">
        <f t="shared" si="32"/>
        <v>2</v>
      </c>
      <c r="S204">
        <v>8</v>
      </c>
      <c r="T204">
        <v>6</v>
      </c>
      <c r="U204" s="32">
        <f t="shared" si="33"/>
        <v>2</v>
      </c>
      <c r="V204">
        <v>8</v>
      </c>
      <c r="W204">
        <v>7</v>
      </c>
      <c r="X204" s="32">
        <f t="shared" si="34"/>
        <v>1</v>
      </c>
      <c r="Y204">
        <v>9</v>
      </c>
      <c r="Z204">
        <v>7</v>
      </c>
      <c r="AA204" s="32">
        <f t="shared" si="35"/>
        <v>2</v>
      </c>
    </row>
    <row r="205" spans="1:27" x14ac:dyDescent="0.45">
      <c r="A205">
        <v>7</v>
      </c>
      <c r="B205">
        <v>7</v>
      </c>
      <c r="C205" s="32">
        <f t="shared" si="27"/>
        <v>0</v>
      </c>
      <c r="D205">
        <v>7</v>
      </c>
      <c r="E205">
        <v>7</v>
      </c>
      <c r="F205" s="32">
        <f t="shared" si="28"/>
        <v>0</v>
      </c>
      <c r="G205">
        <v>8</v>
      </c>
      <c r="H205">
        <v>6</v>
      </c>
      <c r="I205" s="32">
        <f t="shared" si="29"/>
        <v>2</v>
      </c>
      <c r="J205">
        <v>9</v>
      </c>
      <c r="K205">
        <v>7</v>
      </c>
      <c r="L205" s="32">
        <f t="shared" si="30"/>
        <v>2</v>
      </c>
      <c r="M205">
        <v>8</v>
      </c>
      <c r="N205">
        <v>7</v>
      </c>
      <c r="O205" s="32">
        <f t="shared" si="31"/>
        <v>1</v>
      </c>
      <c r="P205">
        <v>9</v>
      </c>
      <c r="Q205">
        <v>7</v>
      </c>
      <c r="R205" s="32">
        <f t="shared" si="32"/>
        <v>2</v>
      </c>
      <c r="S205">
        <v>8</v>
      </c>
      <c r="T205">
        <v>6</v>
      </c>
      <c r="U205" s="32">
        <f t="shared" si="33"/>
        <v>2</v>
      </c>
      <c r="V205">
        <v>8</v>
      </c>
      <c r="W205">
        <v>7</v>
      </c>
      <c r="X205" s="32">
        <f t="shared" si="34"/>
        <v>1</v>
      </c>
      <c r="Y205">
        <v>9</v>
      </c>
      <c r="Z205">
        <v>7</v>
      </c>
      <c r="AA205" s="32">
        <f t="shared" si="35"/>
        <v>2</v>
      </c>
    </row>
    <row r="206" spans="1:27" x14ac:dyDescent="0.45">
      <c r="A206">
        <v>7</v>
      </c>
      <c r="B206">
        <v>7</v>
      </c>
      <c r="C206" s="32">
        <f t="shared" si="27"/>
        <v>0</v>
      </c>
      <c r="D206">
        <v>7</v>
      </c>
      <c r="E206">
        <v>7</v>
      </c>
      <c r="F206" s="32">
        <f t="shared" si="28"/>
        <v>0</v>
      </c>
      <c r="G206">
        <v>8</v>
      </c>
      <c r="H206">
        <v>6</v>
      </c>
      <c r="I206" s="32">
        <f t="shared" si="29"/>
        <v>2</v>
      </c>
      <c r="J206">
        <v>9</v>
      </c>
      <c r="K206">
        <v>7</v>
      </c>
      <c r="L206" s="32">
        <f t="shared" si="30"/>
        <v>2</v>
      </c>
      <c r="M206">
        <v>8</v>
      </c>
      <c r="N206">
        <v>7</v>
      </c>
      <c r="O206" s="32">
        <f t="shared" si="31"/>
        <v>1</v>
      </c>
      <c r="P206">
        <v>9</v>
      </c>
      <c r="Q206">
        <v>7</v>
      </c>
      <c r="R206" s="32">
        <f t="shared" si="32"/>
        <v>2</v>
      </c>
      <c r="S206">
        <v>8</v>
      </c>
      <c r="T206">
        <v>6</v>
      </c>
      <c r="U206" s="32">
        <f t="shared" si="33"/>
        <v>2</v>
      </c>
      <c r="V206">
        <v>8</v>
      </c>
      <c r="W206">
        <v>7</v>
      </c>
      <c r="X206" s="32">
        <f t="shared" si="34"/>
        <v>1</v>
      </c>
      <c r="Y206">
        <v>9</v>
      </c>
      <c r="Z206">
        <v>7</v>
      </c>
      <c r="AA206" s="32">
        <f t="shared" si="35"/>
        <v>2</v>
      </c>
    </row>
    <row r="207" spans="1:27" x14ac:dyDescent="0.45">
      <c r="A207">
        <v>7</v>
      </c>
      <c r="B207">
        <v>7</v>
      </c>
      <c r="C207" s="32">
        <f t="shared" si="27"/>
        <v>0</v>
      </c>
      <c r="D207">
        <v>8</v>
      </c>
      <c r="E207">
        <v>7</v>
      </c>
      <c r="F207" s="32">
        <f t="shared" si="28"/>
        <v>1</v>
      </c>
      <c r="G207">
        <v>8</v>
      </c>
      <c r="H207">
        <v>6</v>
      </c>
      <c r="I207" s="32">
        <f t="shared" si="29"/>
        <v>2</v>
      </c>
      <c r="J207">
        <v>9</v>
      </c>
      <c r="K207">
        <v>7</v>
      </c>
      <c r="L207" s="32">
        <f t="shared" si="30"/>
        <v>2</v>
      </c>
      <c r="M207">
        <v>8</v>
      </c>
      <c r="N207">
        <v>7</v>
      </c>
      <c r="O207" s="32">
        <f t="shared" si="31"/>
        <v>1</v>
      </c>
      <c r="P207">
        <v>9</v>
      </c>
      <c r="Q207">
        <v>7</v>
      </c>
      <c r="R207" s="32">
        <f t="shared" si="32"/>
        <v>2</v>
      </c>
      <c r="S207">
        <v>8</v>
      </c>
      <c r="T207">
        <v>6</v>
      </c>
      <c r="U207" s="32">
        <f t="shared" si="33"/>
        <v>2</v>
      </c>
      <c r="V207">
        <v>8</v>
      </c>
      <c r="W207">
        <v>7</v>
      </c>
      <c r="X207" s="32">
        <f t="shared" si="34"/>
        <v>1</v>
      </c>
      <c r="Y207">
        <v>9</v>
      </c>
      <c r="Z207">
        <v>7</v>
      </c>
      <c r="AA207" s="32">
        <f t="shared" si="35"/>
        <v>2</v>
      </c>
    </row>
    <row r="208" spans="1:27" x14ac:dyDescent="0.45">
      <c r="A208">
        <v>7</v>
      </c>
      <c r="B208">
        <v>7</v>
      </c>
      <c r="C208" s="32">
        <f t="shared" si="27"/>
        <v>0</v>
      </c>
      <c r="D208">
        <v>8</v>
      </c>
      <c r="E208">
        <v>7</v>
      </c>
      <c r="F208" s="32">
        <f t="shared" si="28"/>
        <v>1</v>
      </c>
      <c r="G208">
        <v>8</v>
      </c>
      <c r="H208">
        <v>6</v>
      </c>
      <c r="I208" s="32">
        <f t="shared" si="29"/>
        <v>2</v>
      </c>
      <c r="J208">
        <v>9</v>
      </c>
      <c r="K208">
        <v>8</v>
      </c>
      <c r="L208" s="32">
        <f t="shared" si="30"/>
        <v>1</v>
      </c>
      <c r="M208">
        <v>8</v>
      </c>
      <c r="N208">
        <v>7</v>
      </c>
      <c r="O208" s="32">
        <f t="shared" si="31"/>
        <v>1</v>
      </c>
      <c r="P208">
        <v>9</v>
      </c>
      <c r="Q208">
        <v>7</v>
      </c>
      <c r="R208" s="32">
        <f t="shared" si="32"/>
        <v>2</v>
      </c>
      <c r="S208">
        <v>8</v>
      </c>
      <c r="T208">
        <v>6</v>
      </c>
      <c r="U208" s="32">
        <f t="shared" si="33"/>
        <v>2</v>
      </c>
      <c r="V208">
        <v>8</v>
      </c>
      <c r="W208">
        <v>7</v>
      </c>
      <c r="X208" s="32">
        <f t="shared" si="34"/>
        <v>1</v>
      </c>
      <c r="Y208">
        <v>9</v>
      </c>
      <c r="Z208">
        <v>7</v>
      </c>
      <c r="AA208" s="32">
        <f t="shared" si="35"/>
        <v>2</v>
      </c>
    </row>
    <row r="209" spans="1:27" x14ac:dyDescent="0.45">
      <c r="A209">
        <v>7</v>
      </c>
      <c r="B209">
        <v>7</v>
      </c>
      <c r="C209" s="32">
        <f t="shared" si="27"/>
        <v>0</v>
      </c>
      <c r="D209">
        <v>8</v>
      </c>
      <c r="E209">
        <v>7</v>
      </c>
      <c r="F209" s="32">
        <f t="shared" si="28"/>
        <v>1</v>
      </c>
      <c r="G209">
        <v>8</v>
      </c>
      <c r="H209">
        <v>7</v>
      </c>
      <c r="I209" s="32">
        <f t="shared" si="29"/>
        <v>1</v>
      </c>
      <c r="J209">
        <v>9</v>
      </c>
      <c r="K209">
        <v>8</v>
      </c>
      <c r="L209" s="32">
        <f t="shared" si="30"/>
        <v>1</v>
      </c>
      <c r="M209">
        <v>8</v>
      </c>
      <c r="N209">
        <v>7</v>
      </c>
      <c r="O209" s="32">
        <f t="shared" si="31"/>
        <v>1</v>
      </c>
      <c r="P209">
        <v>9</v>
      </c>
      <c r="Q209">
        <v>7</v>
      </c>
      <c r="R209" s="32">
        <f t="shared" si="32"/>
        <v>2</v>
      </c>
      <c r="S209">
        <v>8</v>
      </c>
      <c r="T209">
        <v>6</v>
      </c>
      <c r="U209" s="32">
        <f t="shared" si="33"/>
        <v>2</v>
      </c>
      <c r="V209">
        <v>8</v>
      </c>
      <c r="W209">
        <v>7</v>
      </c>
      <c r="X209" s="32">
        <f t="shared" si="34"/>
        <v>1</v>
      </c>
      <c r="Y209">
        <v>9</v>
      </c>
      <c r="Z209">
        <v>7</v>
      </c>
      <c r="AA209" s="32">
        <f t="shared" si="35"/>
        <v>2</v>
      </c>
    </row>
    <row r="210" spans="1:27" x14ac:dyDescent="0.45">
      <c r="A210">
        <v>7</v>
      </c>
      <c r="B210">
        <v>7</v>
      </c>
      <c r="C210" s="32">
        <f t="shared" si="27"/>
        <v>0</v>
      </c>
      <c r="D210">
        <v>8</v>
      </c>
      <c r="E210">
        <v>7</v>
      </c>
      <c r="F210" s="32">
        <f t="shared" si="28"/>
        <v>1</v>
      </c>
      <c r="G210">
        <v>8</v>
      </c>
      <c r="H210">
        <v>7</v>
      </c>
      <c r="I210" s="32">
        <f t="shared" si="29"/>
        <v>1</v>
      </c>
      <c r="J210">
        <v>9</v>
      </c>
      <c r="K210">
        <v>8</v>
      </c>
      <c r="L210" s="32">
        <f t="shared" si="30"/>
        <v>1</v>
      </c>
      <c r="M210">
        <v>8</v>
      </c>
      <c r="N210">
        <v>7</v>
      </c>
      <c r="O210" s="32">
        <f t="shared" si="31"/>
        <v>1</v>
      </c>
      <c r="P210">
        <v>9</v>
      </c>
      <c r="Q210">
        <v>7</v>
      </c>
      <c r="R210" s="32">
        <f t="shared" si="32"/>
        <v>2</v>
      </c>
      <c r="S210">
        <v>8</v>
      </c>
      <c r="T210">
        <v>6</v>
      </c>
      <c r="U210" s="32">
        <f t="shared" si="33"/>
        <v>2</v>
      </c>
      <c r="V210">
        <v>8</v>
      </c>
      <c r="W210">
        <v>7</v>
      </c>
      <c r="X210" s="32">
        <f t="shared" si="34"/>
        <v>1</v>
      </c>
      <c r="Y210">
        <v>9</v>
      </c>
      <c r="Z210">
        <v>7</v>
      </c>
      <c r="AA210" s="32">
        <f t="shared" si="35"/>
        <v>2</v>
      </c>
    </row>
    <row r="211" spans="1:27" x14ac:dyDescent="0.45">
      <c r="A211">
        <v>7</v>
      </c>
      <c r="B211">
        <v>7</v>
      </c>
      <c r="C211" s="32">
        <f t="shared" si="27"/>
        <v>0</v>
      </c>
      <c r="D211">
        <v>8</v>
      </c>
      <c r="E211">
        <v>7</v>
      </c>
      <c r="F211" s="32">
        <f t="shared" si="28"/>
        <v>1</v>
      </c>
      <c r="G211">
        <v>8</v>
      </c>
      <c r="H211">
        <v>7</v>
      </c>
      <c r="I211" s="32">
        <f t="shared" si="29"/>
        <v>1</v>
      </c>
      <c r="J211">
        <v>9</v>
      </c>
      <c r="K211">
        <v>8</v>
      </c>
      <c r="L211" s="32">
        <f t="shared" si="30"/>
        <v>1</v>
      </c>
      <c r="M211">
        <v>8</v>
      </c>
      <c r="N211">
        <v>7</v>
      </c>
      <c r="O211" s="32">
        <f t="shared" si="31"/>
        <v>1</v>
      </c>
      <c r="P211">
        <v>9</v>
      </c>
      <c r="Q211">
        <v>7</v>
      </c>
      <c r="R211" s="32">
        <f t="shared" si="32"/>
        <v>2</v>
      </c>
      <c r="S211">
        <v>8</v>
      </c>
      <c r="T211">
        <v>6</v>
      </c>
      <c r="U211" s="32">
        <f t="shared" si="33"/>
        <v>2</v>
      </c>
      <c r="V211">
        <v>8</v>
      </c>
      <c r="W211">
        <v>7</v>
      </c>
      <c r="X211" s="32">
        <f t="shared" si="34"/>
        <v>1</v>
      </c>
      <c r="Y211">
        <v>9</v>
      </c>
      <c r="Z211">
        <v>7</v>
      </c>
      <c r="AA211" s="32">
        <f t="shared" si="35"/>
        <v>2</v>
      </c>
    </row>
    <row r="212" spans="1:27" x14ac:dyDescent="0.45">
      <c r="A212">
        <v>7</v>
      </c>
      <c r="B212">
        <v>7</v>
      </c>
      <c r="C212" s="32">
        <f t="shared" si="27"/>
        <v>0</v>
      </c>
      <c r="D212">
        <v>8</v>
      </c>
      <c r="E212">
        <v>7</v>
      </c>
      <c r="F212" s="32">
        <f t="shared" si="28"/>
        <v>1</v>
      </c>
      <c r="G212">
        <v>8</v>
      </c>
      <c r="H212">
        <v>7</v>
      </c>
      <c r="I212" s="32">
        <f t="shared" si="29"/>
        <v>1</v>
      </c>
      <c r="J212">
        <v>9</v>
      </c>
      <c r="K212">
        <v>8</v>
      </c>
      <c r="L212" s="32">
        <f t="shared" si="30"/>
        <v>1</v>
      </c>
      <c r="M212">
        <v>8</v>
      </c>
      <c r="N212">
        <v>7</v>
      </c>
      <c r="O212" s="32">
        <f t="shared" si="31"/>
        <v>1</v>
      </c>
      <c r="P212">
        <v>9</v>
      </c>
      <c r="Q212">
        <v>7</v>
      </c>
      <c r="R212" s="32">
        <f t="shared" si="32"/>
        <v>2</v>
      </c>
      <c r="S212">
        <v>8</v>
      </c>
      <c r="T212">
        <v>6</v>
      </c>
      <c r="U212" s="32">
        <f t="shared" si="33"/>
        <v>2</v>
      </c>
      <c r="V212">
        <v>8</v>
      </c>
      <c r="W212">
        <v>7</v>
      </c>
      <c r="X212" s="32">
        <f t="shared" si="34"/>
        <v>1</v>
      </c>
      <c r="Y212">
        <v>9</v>
      </c>
      <c r="Z212">
        <v>7</v>
      </c>
      <c r="AA212" s="32">
        <f t="shared" si="35"/>
        <v>2</v>
      </c>
    </row>
    <row r="213" spans="1:27" x14ac:dyDescent="0.45">
      <c r="A213">
        <v>7</v>
      </c>
      <c r="B213">
        <v>7</v>
      </c>
      <c r="C213" s="32">
        <f t="shared" si="27"/>
        <v>0</v>
      </c>
      <c r="D213">
        <v>8</v>
      </c>
      <c r="E213">
        <v>8</v>
      </c>
      <c r="F213" s="32">
        <f t="shared" si="28"/>
        <v>0</v>
      </c>
      <c r="G213">
        <v>8</v>
      </c>
      <c r="H213">
        <v>7</v>
      </c>
      <c r="I213" s="32">
        <f t="shared" si="29"/>
        <v>1</v>
      </c>
      <c r="J213">
        <v>9</v>
      </c>
      <c r="K213">
        <v>8</v>
      </c>
      <c r="L213" s="32">
        <f t="shared" si="30"/>
        <v>1</v>
      </c>
      <c r="M213">
        <v>8</v>
      </c>
      <c r="N213">
        <v>7</v>
      </c>
      <c r="O213" s="32">
        <f t="shared" si="31"/>
        <v>1</v>
      </c>
      <c r="P213">
        <v>9</v>
      </c>
      <c r="Q213">
        <v>7</v>
      </c>
      <c r="R213" s="32">
        <f t="shared" si="32"/>
        <v>2</v>
      </c>
      <c r="S213">
        <v>8</v>
      </c>
      <c r="T213">
        <v>6</v>
      </c>
      <c r="U213" s="32">
        <f t="shared" si="33"/>
        <v>2</v>
      </c>
      <c r="V213">
        <v>8</v>
      </c>
      <c r="W213">
        <v>7</v>
      </c>
      <c r="X213" s="32">
        <f t="shared" si="34"/>
        <v>1</v>
      </c>
      <c r="Y213">
        <v>9</v>
      </c>
      <c r="Z213">
        <v>7</v>
      </c>
      <c r="AA213" s="32">
        <f t="shared" si="35"/>
        <v>2</v>
      </c>
    </row>
    <row r="214" spans="1:27" x14ac:dyDescent="0.45">
      <c r="A214">
        <v>7</v>
      </c>
      <c r="B214">
        <v>7</v>
      </c>
      <c r="C214" s="32">
        <f t="shared" si="27"/>
        <v>0</v>
      </c>
      <c r="D214">
        <v>8</v>
      </c>
      <c r="E214">
        <v>8</v>
      </c>
      <c r="F214" s="32">
        <f t="shared" si="28"/>
        <v>0</v>
      </c>
      <c r="G214">
        <v>9</v>
      </c>
      <c r="H214">
        <v>7</v>
      </c>
      <c r="I214" s="32">
        <f t="shared" si="29"/>
        <v>2</v>
      </c>
      <c r="J214">
        <v>9</v>
      </c>
      <c r="K214">
        <v>8</v>
      </c>
      <c r="L214" s="32">
        <f t="shared" si="30"/>
        <v>1</v>
      </c>
      <c r="M214">
        <v>8</v>
      </c>
      <c r="N214">
        <v>7</v>
      </c>
      <c r="O214" s="32">
        <f t="shared" si="31"/>
        <v>1</v>
      </c>
      <c r="P214">
        <v>9</v>
      </c>
      <c r="Q214">
        <v>7</v>
      </c>
      <c r="R214" s="32">
        <f t="shared" si="32"/>
        <v>2</v>
      </c>
      <c r="S214">
        <v>8</v>
      </c>
      <c r="T214">
        <v>6</v>
      </c>
      <c r="U214" s="32">
        <f t="shared" si="33"/>
        <v>2</v>
      </c>
      <c r="V214">
        <v>8</v>
      </c>
      <c r="W214">
        <v>7</v>
      </c>
      <c r="X214" s="32">
        <f t="shared" si="34"/>
        <v>1</v>
      </c>
      <c r="Y214">
        <v>9</v>
      </c>
      <c r="Z214">
        <v>7</v>
      </c>
      <c r="AA214" s="32">
        <f t="shared" si="35"/>
        <v>2</v>
      </c>
    </row>
    <row r="215" spans="1:27" x14ac:dyDescent="0.45">
      <c r="A215">
        <v>7</v>
      </c>
      <c r="B215">
        <v>7</v>
      </c>
      <c r="C215" s="32">
        <f t="shared" si="27"/>
        <v>0</v>
      </c>
      <c r="D215">
        <v>8</v>
      </c>
      <c r="E215">
        <v>8</v>
      </c>
      <c r="F215" s="32">
        <f t="shared" si="28"/>
        <v>0</v>
      </c>
      <c r="G215">
        <v>9</v>
      </c>
      <c r="H215">
        <v>7</v>
      </c>
      <c r="I215" s="32">
        <f t="shared" si="29"/>
        <v>2</v>
      </c>
      <c r="J215">
        <v>9</v>
      </c>
      <c r="K215">
        <v>8</v>
      </c>
      <c r="L215" s="32">
        <f t="shared" si="30"/>
        <v>1</v>
      </c>
      <c r="M215">
        <v>8</v>
      </c>
      <c r="N215">
        <v>7</v>
      </c>
      <c r="O215" s="32">
        <f t="shared" si="31"/>
        <v>1</v>
      </c>
      <c r="P215">
        <v>9</v>
      </c>
      <c r="Q215">
        <v>7</v>
      </c>
      <c r="R215" s="32">
        <f t="shared" si="32"/>
        <v>2</v>
      </c>
      <c r="S215">
        <v>8</v>
      </c>
      <c r="T215">
        <v>6</v>
      </c>
      <c r="U215" s="32">
        <f t="shared" si="33"/>
        <v>2</v>
      </c>
      <c r="V215">
        <v>8</v>
      </c>
      <c r="W215">
        <v>7</v>
      </c>
      <c r="X215" s="32">
        <f t="shared" si="34"/>
        <v>1</v>
      </c>
      <c r="Y215">
        <v>9</v>
      </c>
      <c r="Z215">
        <v>7</v>
      </c>
      <c r="AA215" s="32">
        <f t="shared" si="35"/>
        <v>2</v>
      </c>
    </row>
    <row r="216" spans="1:27" x14ac:dyDescent="0.45">
      <c r="A216">
        <v>7</v>
      </c>
      <c r="B216">
        <v>7</v>
      </c>
      <c r="C216" s="32">
        <f t="shared" si="27"/>
        <v>0</v>
      </c>
      <c r="D216">
        <v>8</v>
      </c>
      <c r="E216">
        <v>8</v>
      </c>
      <c r="F216" s="32">
        <f t="shared" si="28"/>
        <v>0</v>
      </c>
      <c r="G216">
        <v>9</v>
      </c>
      <c r="H216">
        <v>7</v>
      </c>
      <c r="I216" s="32">
        <f t="shared" si="29"/>
        <v>2</v>
      </c>
      <c r="J216">
        <v>9</v>
      </c>
      <c r="K216">
        <v>8</v>
      </c>
      <c r="L216" s="32">
        <f t="shared" si="30"/>
        <v>1</v>
      </c>
      <c r="M216">
        <v>8</v>
      </c>
      <c r="N216">
        <v>7</v>
      </c>
      <c r="O216" s="32">
        <f t="shared" si="31"/>
        <v>1</v>
      </c>
      <c r="P216">
        <v>9</v>
      </c>
      <c r="Q216">
        <v>7</v>
      </c>
      <c r="R216" s="32">
        <f t="shared" si="32"/>
        <v>2</v>
      </c>
      <c r="S216">
        <v>8</v>
      </c>
      <c r="T216">
        <v>6</v>
      </c>
      <c r="U216" s="32">
        <f t="shared" si="33"/>
        <v>2</v>
      </c>
      <c r="V216">
        <v>8</v>
      </c>
      <c r="W216">
        <v>7</v>
      </c>
      <c r="X216" s="32">
        <f t="shared" si="34"/>
        <v>1</v>
      </c>
      <c r="Y216">
        <v>9</v>
      </c>
      <c r="Z216">
        <v>7</v>
      </c>
      <c r="AA216" s="32">
        <f t="shared" si="35"/>
        <v>2</v>
      </c>
    </row>
    <row r="217" spans="1:27" x14ac:dyDescent="0.45">
      <c r="A217">
        <v>7</v>
      </c>
      <c r="B217">
        <v>7</v>
      </c>
      <c r="C217" s="32">
        <f t="shared" si="27"/>
        <v>0</v>
      </c>
      <c r="D217">
        <v>8</v>
      </c>
      <c r="E217">
        <v>8</v>
      </c>
      <c r="F217" s="32">
        <f t="shared" si="28"/>
        <v>0</v>
      </c>
      <c r="G217">
        <v>9</v>
      </c>
      <c r="H217">
        <v>7</v>
      </c>
      <c r="I217" s="32">
        <f t="shared" si="29"/>
        <v>2</v>
      </c>
      <c r="J217">
        <v>9</v>
      </c>
      <c r="K217">
        <v>8</v>
      </c>
      <c r="L217" s="32">
        <f t="shared" si="30"/>
        <v>1</v>
      </c>
      <c r="M217">
        <v>8</v>
      </c>
      <c r="N217">
        <v>7</v>
      </c>
      <c r="O217" s="32">
        <f t="shared" si="31"/>
        <v>1</v>
      </c>
      <c r="P217">
        <v>9</v>
      </c>
      <c r="Q217">
        <v>7</v>
      </c>
      <c r="R217" s="32">
        <f t="shared" si="32"/>
        <v>2</v>
      </c>
      <c r="S217">
        <v>8</v>
      </c>
      <c r="T217">
        <v>6</v>
      </c>
      <c r="U217" s="32">
        <f t="shared" si="33"/>
        <v>2</v>
      </c>
      <c r="V217">
        <v>8</v>
      </c>
      <c r="W217">
        <v>7</v>
      </c>
      <c r="X217" s="32">
        <f t="shared" si="34"/>
        <v>1</v>
      </c>
      <c r="Y217">
        <v>9</v>
      </c>
      <c r="Z217">
        <v>7</v>
      </c>
      <c r="AA217" s="32">
        <f t="shared" si="35"/>
        <v>2</v>
      </c>
    </row>
    <row r="218" spans="1:27" x14ac:dyDescent="0.45">
      <c r="A218">
        <v>7</v>
      </c>
      <c r="B218">
        <v>7</v>
      </c>
      <c r="C218" s="32">
        <f t="shared" si="27"/>
        <v>0</v>
      </c>
      <c r="D218">
        <v>8</v>
      </c>
      <c r="E218">
        <v>8</v>
      </c>
      <c r="F218" s="32">
        <f t="shared" si="28"/>
        <v>0</v>
      </c>
      <c r="G218">
        <v>9</v>
      </c>
      <c r="H218">
        <v>7</v>
      </c>
      <c r="I218" s="32">
        <f t="shared" si="29"/>
        <v>2</v>
      </c>
      <c r="J218">
        <v>9</v>
      </c>
      <c r="K218">
        <v>8</v>
      </c>
      <c r="L218" s="32">
        <f t="shared" si="30"/>
        <v>1</v>
      </c>
      <c r="M218">
        <v>8</v>
      </c>
      <c r="N218">
        <v>7</v>
      </c>
      <c r="O218" s="32">
        <f t="shared" si="31"/>
        <v>1</v>
      </c>
      <c r="P218">
        <v>9</v>
      </c>
      <c r="Q218">
        <v>7</v>
      </c>
      <c r="R218" s="32">
        <f t="shared" si="32"/>
        <v>2</v>
      </c>
      <c r="S218">
        <v>8</v>
      </c>
      <c r="T218">
        <v>6</v>
      </c>
      <c r="U218" s="32">
        <f t="shared" si="33"/>
        <v>2</v>
      </c>
      <c r="V218">
        <v>8</v>
      </c>
      <c r="W218">
        <v>7</v>
      </c>
      <c r="X218" s="32">
        <f t="shared" si="34"/>
        <v>1</v>
      </c>
      <c r="Y218">
        <v>9</v>
      </c>
      <c r="Z218">
        <v>7</v>
      </c>
      <c r="AA218" s="32">
        <f t="shared" si="35"/>
        <v>2</v>
      </c>
    </row>
    <row r="219" spans="1:27" x14ac:dyDescent="0.45">
      <c r="A219">
        <v>7</v>
      </c>
      <c r="B219">
        <v>7</v>
      </c>
      <c r="C219" s="32">
        <f t="shared" si="27"/>
        <v>0</v>
      </c>
      <c r="D219">
        <v>8</v>
      </c>
      <c r="E219">
        <v>8</v>
      </c>
      <c r="F219" s="32">
        <f t="shared" si="28"/>
        <v>0</v>
      </c>
      <c r="G219">
        <v>9</v>
      </c>
      <c r="H219">
        <v>7</v>
      </c>
      <c r="I219" s="32">
        <f t="shared" si="29"/>
        <v>2</v>
      </c>
      <c r="J219">
        <v>9</v>
      </c>
      <c r="K219">
        <v>8</v>
      </c>
      <c r="L219" s="32">
        <f t="shared" si="30"/>
        <v>1</v>
      </c>
      <c r="M219">
        <v>8</v>
      </c>
      <c r="N219">
        <v>7</v>
      </c>
      <c r="O219" s="32">
        <f t="shared" si="31"/>
        <v>1</v>
      </c>
      <c r="P219">
        <v>9</v>
      </c>
      <c r="Q219">
        <v>7</v>
      </c>
      <c r="R219" s="32">
        <f t="shared" si="32"/>
        <v>2</v>
      </c>
      <c r="S219">
        <v>8</v>
      </c>
      <c r="T219">
        <v>6</v>
      </c>
      <c r="U219" s="32">
        <f t="shared" si="33"/>
        <v>2</v>
      </c>
      <c r="V219">
        <v>8</v>
      </c>
      <c r="W219">
        <v>7</v>
      </c>
      <c r="X219" s="32">
        <f t="shared" si="34"/>
        <v>1</v>
      </c>
      <c r="Y219">
        <v>9</v>
      </c>
      <c r="Z219">
        <v>7</v>
      </c>
      <c r="AA219" s="32">
        <f t="shared" si="35"/>
        <v>2</v>
      </c>
    </row>
    <row r="220" spans="1:27" x14ac:dyDescent="0.45">
      <c r="A220">
        <v>7</v>
      </c>
      <c r="B220">
        <v>7</v>
      </c>
      <c r="C220" s="32">
        <f t="shared" si="27"/>
        <v>0</v>
      </c>
      <c r="D220">
        <v>8</v>
      </c>
      <c r="E220">
        <v>8</v>
      </c>
      <c r="F220" s="32">
        <f t="shared" si="28"/>
        <v>0</v>
      </c>
      <c r="G220">
        <v>9</v>
      </c>
      <c r="H220">
        <v>7</v>
      </c>
      <c r="I220" s="32">
        <f t="shared" si="29"/>
        <v>2</v>
      </c>
      <c r="J220">
        <v>9</v>
      </c>
      <c r="K220">
        <v>8</v>
      </c>
      <c r="L220" s="32">
        <f t="shared" si="30"/>
        <v>1</v>
      </c>
      <c r="M220">
        <v>8</v>
      </c>
      <c r="N220">
        <v>7</v>
      </c>
      <c r="O220" s="32">
        <f t="shared" si="31"/>
        <v>1</v>
      </c>
      <c r="P220">
        <v>9</v>
      </c>
      <c r="Q220">
        <v>7</v>
      </c>
      <c r="R220" s="32">
        <f t="shared" si="32"/>
        <v>2</v>
      </c>
      <c r="S220">
        <v>8</v>
      </c>
      <c r="T220">
        <v>6</v>
      </c>
      <c r="U220" s="32">
        <f t="shared" si="33"/>
        <v>2</v>
      </c>
      <c r="V220">
        <v>8</v>
      </c>
      <c r="W220">
        <v>7</v>
      </c>
      <c r="X220" s="32">
        <f t="shared" si="34"/>
        <v>1</v>
      </c>
      <c r="Y220">
        <v>9</v>
      </c>
      <c r="Z220">
        <v>7</v>
      </c>
      <c r="AA220" s="32">
        <f t="shared" si="35"/>
        <v>2</v>
      </c>
    </row>
    <row r="221" spans="1:27" x14ac:dyDescent="0.45">
      <c r="A221">
        <v>7</v>
      </c>
      <c r="B221">
        <v>7</v>
      </c>
      <c r="C221" s="32">
        <f t="shared" si="27"/>
        <v>0</v>
      </c>
      <c r="D221">
        <v>8</v>
      </c>
      <c r="E221">
        <v>8</v>
      </c>
      <c r="F221" s="32">
        <f t="shared" si="28"/>
        <v>0</v>
      </c>
      <c r="G221">
        <v>9</v>
      </c>
      <c r="H221">
        <v>7</v>
      </c>
      <c r="I221" s="32">
        <f t="shared" si="29"/>
        <v>2</v>
      </c>
      <c r="J221">
        <v>9</v>
      </c>
      <c r="K221">
        <v>8</v>
      </c>
      <c r="L221" s="32">
        <f t="shared" si="30"/>
        <v>1</v>
      </c>
      <c r="M221">
        <v>8</v>
      </c>
      <c r="N221">
        <v>7</v>
      </c>
      <c r="O221" s="32">
        <f t="shared" si="31"/>
        <v>1</v>
      </c>
      <c r="P221">
        <v>9</v>
      </c>
      <c r="Q221">
        <v>7</v>
      </c>
      <c r="R221" s="32">
        <f t="shared" si="32"/>
        <v>2</v>
      </c>
      <c r="S221">
        <v>8</v>
      </c>
      <c r="T221">
        <v>6</v>
      </c>
      <c r="U221" s="32">
        <f t="shared" si="33"/>
        <v>2</v>
      </c>
      <c r="V221">
        <v>8</v>
      </c>
      <c r="W221">
        <v>7</v>
      </c>
      <c r="X221" s="32">
        <f t="shared" si="34"/>
        <v>1</v>
      </c>
      <c r="Y221">
        <v>9</v>
      </c>
      <c r="Z221">
        <v>7</v>
      </c>
      <c r="AA221" s="32">
        <f t="shared" si="35"/>
        <v>2</v>
      </c>
    </row>
    <row r="222" spans="1:27" x14ac:dyDescent="0.45">
      <c r="A222">
        <v>7</v>
      </c>
      <c r="B222">
        <v>7</v>
      </c>
      <c r="C222" s="32">
        <f t="shared" si="27"/>
        <v>0</v>
      </c>
      <c r="D222">
        <v>8</v>
      </c>
      <c r="E222">
        <v>8</v>
      </c>
      <c r="F222" s="32">
        <f t="shared" si="28"/>
        <v>0</v>
      </c>
      <c r="G222">
        <v>9</v>
      </c>
      <c r="H222">
        <v>7</v>
      </c>
      <c r="I222" s="32">
        <f t="shared" si="29"/>
        <v>2</v>
      </c>
      <c r="J222">
        <v>9</v>
      </c>
      <c r="K222">
        <v>8</v>
      </c>
      <c r="L222" s="32">
        <f t="shared" si="30"/>
        <v>1</v>
      </c>
      <c r="M222">
        <v>8</v>
      </c>
      <c r="N222">
        <v>7</v>
      </c>
      <c r="O222" s="32">
        <f t="shared" si="31"/>
        <v>1</v>
      </c>
      <c r="P222">
        <v>9</v>
      </c>
      <c r="Q222">
        <v>7</v>
      </c>
      <c r="R222" s="32">
        <f t="shared" si="32"/>
        <v>2</v>
      </c>
      <c r="S222">
        <v>8</v>
      </c>
      <c r="T222">
        <v>6</v>
      </c>
      <c r="U222" s="32">
        <f t="shared" si="33"/>
        <v>2</v>
      </c>
      <c r="V222">
        <v>8</v>
      </c>
      <c r="W222">
        <v>7</v>
      </c>
      <c r="X222" s="32">
        <f t="shared" si="34"/>
        <v>1</v>
      </c>
      <c r="Y222">
        <v>9</v>
      </c>
      <c r="Z222">
        <v>7</v>
      </c>
      <c r="AA222" s="32">
        <f t="shared" si="35"/>
        <v>2</v>
      </c>
    </row>
    <row r="223" spans="1:27" x14ac:dyDescent="0.45">
      <c r="A223">
        <v>7</v>
      </c>
      <c r="B223">
        <v>7</v>
      </c>
      <c r="C223" s="32">
        <f t="shared" si="27"/>
        <v>0</v>
      </c>
      <c r="D223">
        <v>8</v>
      </c>
      <c r="E223">
        <v>8</v>
      </c>
      <c r="F223" s="32">
        <f t="shared" si="28"/>
        <v>0</v>
      </c>
      <c r="G223">
        <v>9</v>
      </c>
      <c r="H223">
        <v>7</v>
      </c>
      <c r="I223" s="32">
        <f t="shared" si="29"/>
        <v>2</v>
      </c>
      <c r="J223">
        <v>9</v>
      </c>
      <c r="K223">
        <v>8</v>
      </c>
      <c r="L223" s="32">
        <f t="shared" si="30"/>
        <v>1</v>
      </c>
      <c r="M223">
        <v>8</v>
      </c>
      <c r="N223">
        <v>7</v>
      </c>
      <c r="O223" s="32">
        <f t="shared" si="31"/>
        <v>1</v>
      </c>
      <c r="P223">
        <v>9</v>
      </c>
      <c r="Q223">
        <v>7</v>
      </c>
      <c r="R223" s="32">
        <f t="shared" si="32"/>
        <v>2</v>
      </c>
      <c r="S223">
        <v>8</v>
      </c>
      <c r="T223">
        <v>6</v>
      </c>
      <c r="U223" s="32">
        <f t="shared" si="33"/>
        <v>2</v>
      </c>
      <c r="V223">
        <v>8</v>
      </c>
      <c r="W223">
        <v>7</v>
      </c>
      <c r="X223" s="32">
        <f t="shared" si="34"/>
        <v>1</v>
      </c>
      <c r="Y223">
        <v>9</v>
      </c>
      <c r="Z223">
        <v>7</v>
      </c>
      <c r="AA223" s="32">
        <f t="shared" si="35"/>
        <v>2</v>
      </c>
    </row>
    <row r="224" spans="1:27" x14ac:dyDescent="0.45">
      <c r="A224">
        <v>7</v>
      </c>
      <c r="B224">
        <v>7</v>
      </c>
      <c r="C224" s="32">
        <f t="shared" si="27"/>
        <v>0</v>
      </c>
      <c r="D224">
        <v>8</v>
      </c>
      <c r="E224">
        <v>8</v>
      </c>
      <c r="F224" s="32">
        <f t="shared" si="28"/>
        <v>0</v>
      </c>
      <c r="G224">
        <v>9</v>
      </c>
      <c r="H224">
        <v>7</v>
      </c>
      <c r="I224" s="32">
        <f t="shared" si="29"/>
        <v>2</v>
      </c>
      <c r="J224">
        <v>9</v>
      </c>
      <c r="K224">
        <v>8</v>
      </c>
      <c r="L224" s="32">
        <f t="shared" si="30"/>
        <v>1</v>
      </c>
      <c r="M224">
        <v>8</v>
      </c>
      <c r="N224">
        <v>7</v>
      </c>
      <c r="O224" s="32">
        <f t="shared" si="31"/>
        <v>1</v>
      </c>
      <c r="P224">
        <v>9</v>
      </c>
      <c r="Q224">
        <v>7</v>
      </c>
      <c r="R224" s="32">
        <f t="shared" si="32"/>
        <v>2</v>
      </c>
      <c r="S224">
        <v>8</v>
      </c>
      <c r="T224">
        <v>6</v>
      </c>
      <c r="U224" s="32">
        <f t="shared" si="33"/>
        <v>2</v>
      </c>
      <c r="V224">
        <v>8</v>
      </c>
      <c r="W224">
        <v>7</v>
      </c>
      <c r="X224" s="32">
        <f t="shared" si="34"/>
        <v>1</v>
      </c>
      <c r="Y224">
        <v>9</v>
      </c>
      <c r="Z224">
        <v>7</v>
      </c>
      <c r="AA224" s="32">
        <f t="shared" si="35"/>
        <v>2</v>
      </c>
    </row>
    <row r="225" spans="1:27" x14ac:dyDescent="0.45">
      <c r="A225">
        <v>7</v>
      </c>
      <c r="B225">
        <v>7</v>
      </c>
      <c r="C225" s="32">
        <f t="shared" si="27"/>
        <v>0</v>
      </c>
      <c r="D225">
        <v>8</v>
      </c>
      <c r="E225">
        <v>8</v>
      </c>
      <c r="F225" s="32">
        <f t="shared" si="28"/>
        <v>0</v>
      </c>
      <c r="G225">
        <v>9</v>
      </c>
      <c r="H225">
        <v>7</v>
      </c>
      <c r="I225" s="32">
        <f t="shared" si="29"/>
        <v>2</v>
      </c>
      <c r="J225">
        <v>9</v>
      </c>
      <c r="K225">
        <v>8</v>
      </c>
      <c r="L225" s="32">
        <f t="shared" si="30"/>
        <v>1</v>
      </c>
      <c r="M225">
        <v>8</v>
      </c>
      <c r="N225">
        <v>7</v>
      </c>
      <c r="O225" s="32">
        <f t="shared" si="31"/>
        <v>1</v>
      </c>
      <c r="P225">
        <v>9</v>
      </c>
      <c r="Q225">
        <v>7</v>
      </c>
      <c r="R225" s="32">
        <f t="shared" si="32"/>
        <v>2</v>
      </c>
      <c r="S225">
        <v>8</v>
      </c>
      <c r="T225">
        <v>6</v>
      </c>
      <c r="U225" s="32">
        <f t="shared" si="33"/>
        <v>2</v>
      </c>
      <c r="V225">
        <v>8</v>
      </c>
      <c r="W225">
        <v>7</v>
      </c>
      <c r="X225" s="32">
        <f t="shared" si="34"/>
        <v>1</v>
      </c>
      <c r="Y225">
        <v>9</v>
      </c>
      <c r="Z225">
        <v>7</v>
      </c>
      <c r="AA225" s="32">
        <f t="shared" si="35"/>
        <v>2</v>
      </c>
    </row>
    <row r="226" spans="1:27" x14ac:dyDescent="0.45">
      <c r="A226">
        <v>7</v>
      </c>
      <c r="B226">
        <v>7</v>
      </c>
      <c r="C226" s="32">
        <f t="shared" si="27"/>
        <v>0</v>
      </c>
      <c r="D226">
        <v>8</v>
      </c>
      <c r="E226">
        <v>8</v>
      </c>
      <c r="F226" s="32">
        <f t="shared" si="28"/>
        <v>0</v>
      </c>
      <c r="G226">
        <v>9</v>
      </c>
      <c r="H226">
        <v>7</v>
      </c>
      <c r="I226" s="32">
        <f t="shared" si="29"/>
        <v>2</v>
      </c>
      <c r="J226">
        <v>9</v>
      </c>
      <c r="K226">
        <v>8</v>
      </c>
      <c r="L226" s="32">
        <f t="shared" si="30"/>
        <v>1</v>
      </c>
      <c r="M226">
        <v>8</v>
      </c>
      <c r="N226">
        <v>7</v>
      </c>
      <c r="O226" s="32">
        <f t="shared" si="31"/>
        <v>1</v>
      </c>
      <c r="P226">
        <v>9</v>
      </c>
      <c r="Q226">
        <v>7</v>
      </c>
      <c r="R226" s="32">
        <f t="shared" si="32"/>
        <v>2</v>
      </c>
      <c r="S226">
        <v>8</v>
      </c>
      <c r="T226">
        <v>6</v>
      </c>
      <c r="U226" s="32">
        <f t="shared" si="33"/>
        <v>2</v>
      </c>
      <c r="V226">
        <v>8</v>
      </c>
      <c r="W226">
        <v>7</v>
      </c>
      <c r="X226" s="32">
        <f t="shared" si="34"/>
        <v>1</v>
      </c>
      <c r="Y226">
        <v>9</v>
      </c>
      <c r="Z226">
        <v>7</v>
      </c>
      <c r="AA226" s="32">
        <f t="shared" si="35"/>
        <v>2</v>
      </c>
    </row>
    <row r="227" spans="1:27" x14ac:dyDescent="0.45">
      <c r="A227">
        <v>7</v>
      </c>
      <c r="B227">
        <v>7</v>
      </c>
      <c r="C227" s="32">
        <f t="shared" si="27"/>
        <v>0</v>
      </c>
      <c r="D227">
        <v>8</v>
      </c>
      <c r="E227">
        <v>8</v>
      </c>
      <c r="F227" s="32">
        <f t="shared" si="28"/>
        <v>0</v>
      </c>
      <c r="G227">
        <v>9</v>
      </c>
      <c r="H227">
        <v>7</v>
      </c>
      <c r="I227" s="32">
        <f t="shared" si="29"/>
        <v>2</v>
      </c>
      <c r="J227">
        <v>9</v>
      </c>
      <c r="K227">
        <v>8</v>
      </c>
      <c r="L227" s="32">
        <f t="shared" si="30"/>
        <v>1</v>
      </c>
      <c r="M227">
        <v>8</v>
      </c>
      <c r="N227">
        <v>7</v>
      </c>
      <c r="O227" s="32">
        <f t="shared" si="31"/>
        <v>1</v>
      </c>
      <c r="P227">
        <v>9</v>
      </c>
      <c r="Q227">
        <v>7</v>
      </c>
      <c r="R227" s="32">
        <f t="shared" si="32"/>
        <v>2</v>
      </c>
      <c r="S227">
        <v>8</v>
      </c>
      <c r="T227">
        <v>6</v>
      </c>
      <c r="U227" s="32">
        <f t="shared" si="33"/>
        <v>2</v>
      </c>
      <c r="V227">
        <v>8</v>
      </c>
      <c r="W227">
        <v>7</v>
      </c>
      <c r="X227" s="32">
        <f t="shared" si="34"/>
        <v>1</v>
      </c>
      <c r="Y227">
        <v>9</v>
      </c>
      <c r="Z227">
        <v>7</v>
      </c>
      <c r="AA227" s="32">
        <f t="shared" si="35"/>
        <v>2</v>
      </c>
    </row>
    <row r="228" spans="1:27" x14ac:dyDescent="0.45">
      <c r="A228">
        <v>7</v>
      </c>
      <c r="B228">
        <v>7</v>
      </c>
      <c r="C228" s="32">
        <f t="shared" si="27"/>
        <v>0</v>
      </c>
      <c r="D228">
        <v>8</v>
      </c>
      <c r="E228">
        <v>8</v>
      </c>
      <c r="F228" s="32">
        <f t="shared" si="28"/>
        <v>0</v>
      </c>
      <c r="G228">
        <v>9</v>
      </c>
      <c r="H228">
        <v>7</v>
      </c>
      <c r="I228" s="32">
        <f t="shared" si="29"/>
        <v>2</v>
      </c>
      <c r="J228">
        <v>9</v>
      </c>
      <c r="K228">
        <v>8</v>
      </c>
      <c r="L228" s="32">
        <f t="shared" si="30"/>
        <v>1</v>
      </c>
      <c r="M228">
        <v>8</v>
      </c>
      <c r="N228">
        <v>7</v>
      </c>
      <c r="O228" s="32">
        <f t="shared" si="31"/>
        <v>1</v>
      </c>
      <c r="P228">
        <v>9</v>
      </c>
      <c r="Q228">
        <v>7</v>
      </c>
      <c r="R228" s="32">
        <f t="shared" si="32"/>
        <v>2</v>
      </c>
      <c r="S228">
        <v>8</v>
      </c>
      <c r="T228">
        <v>6</v>
      </c>
      <c r="U228" s="32">
        <f t="shared" si="33"/>
        <v>2</v>
      </c>
      <c r="V228">
        <v>8</v>
      </c>
      <c r="W228">
        <v>7</v>
      </c>
      <c r="X228" s="32">
        <f t="shared" si="34"/>
        <v>1</v>
      </c>
      <c r="Y228">
        <v>9</v>
      </c>
      <c r="Z228">
        <v>7</v>
      </c>
      <c r="AA228" s="32">
        <f t="shared" si="35"/>
        <v>2</v>
      </c>
    </row>
    <row r="229" spans="1:27" x14ac:dyDescent="0.45">
      <c r="A229">
        <v>7</v>
      </c>
      <c r="B229">
        <v>7</v>
      </c>
      <c r="C229" s="32">
        <f t="shared" si="27"/>
        <v>0</v>
      </c>
      <c r="D229">
        <v>8</v>
      </c>
      <c r="E229">
        <v>8</v>
      </c>
      <c r="F229" s="32">
        <f t="shared" si="28"/>
        <v>0</v>
      </c>
      <c r="G229">
        <v>9</v>
      </c>
      <c r="H229">
        <v>7</v>
      </c>
      <c r="I229" s="32">
        <f t="shared" si="29"/>
        <v>2</v>
      </c>
      <c r="J229">
        <v>9</v>
      </c>
      <c r="K229">
        <v>8</v>
      </c>
      <c r="L229" s="32">
        <f t="shared" si="30"/>
        <v>1</v>
      </c>
      <c r="M229">
        <v>8</v>
      </c>
      <c r="N229">
        <v>7</v>
      </c>
      <c r="O229" s="32">
        <f t="shared" si="31"/>
        <v>1</v>
      </c>
      <c r="P229">
        <v>9</v>
      </c>
      <c r="Q229">
        <v>7</v>
      </c>
      <c r="R229" s="32">
        <f t="shared" si="32"/>
        <v>2</v>
      </c>
      <c r="S229">
        <v>8</v>
      </c>
      <c r="T229">
        <v>6</v>
      </c>
      <c r="U229" s="32">
        <f t="shared" si="33"/>
        <v>2</v>
      </c>
      <c r="V229">
        <v>8</v>
      </c>
      <c r="W229">
        <v>7</v>
      </c>
      <c r="X229" s="32">
        <f t="shared" si="34"/>
        <v>1</v>
      </c>
      <c r="Y229">
        <v>9</v>
      </c>
      <c r="Z229">
        <v>7</v>
      </c>
      <c r="AA229" s="32">
        <f t="shared" si="35"/>
        <v>2</v>
      </c>
    </row>
    <row r="230" spans="1:27" x14ac:dyDescent="0.45">
      <c r="A230">
        <v>7</v>
      </c>
      <c r="B230">
        <v>7</v>
      </c>
      <c r="C230" s="32">
        <f t="shared" si="27"/>
        <v>0</v>
      </c>
      <c r="D230">
        <v>8</v>
      </c>
      <c r="E230">
        <v>8</v>
      </c>
      <c r="F230" s="32">
        <f t="shared" si="28"/>
        <v>0</v>
      </c>
      <c r="G230">
        <v>9</v>
      </c>
      <c r="H230">
        <v>7</v>
      </c>
      <c r="I230" s="32">
        <f t="shared" si="29"/>
        <v>2</v>
      </c>
      <c r="J230">
        <v>9</v>
      </c>
      <c r="K230">
        <v>8</v>
      </c>
      <c r="L230" s="32">
        <f t="shared" si="30"/>
        <v>1</v>
      </c>
      <c r="M230">
        <v>8</v>
      </c>
      <c r="N230">
        <v>7</v>
      </c>
      <c r="O230" s="32">
        <f t="shared" si="31"/>
        <v>1</v>
      </c>
      <c r="P230">
        <v>9</v>
      </c>
      <c r="Q230">
        <v>7</v>
      </c>
      <c r="R230" s="32">
        <f t="shared" si="32"/>
        <v>2</v>
      </c>
      <c r="S230">
        <v>8</v>
      </c>
      <c r="T230">
        <v>6</v>
      </c>
      <c r="U230" s="32">
        <f t="shared" si="33"/>
        <v>2</v>
      </c>
      <c r="V230">
        <v>8</v>
      </c>
      <c r="W230">
        <v>7</v>
      </c>
      <c r="X230" s="32">
        <f t="shared" si="34"/>
        <v>1</v>
      </c>
      <c r="Y230">
        <v>9</v>
      </c>
      <c r="Z230">
        <v>7</v>
      </c>
      <c r="AA230" s="32">
        <f t="shared" si="35"/>
        <v>2</v>
      </c>
    </row>
    <row r="231" spans="1:27" x14ac:dyDescent="0.45">
      <c r="A231">
        <v>7</v>
      </c>
      <c r="B231">
        <v>7</v>
      </c>
      <c r="C231" s="32">
        <f t="shared" si="27"/>
        <v>0</v>
      </c>
      <c r="D231">
        <v>8</v>
      </c>
      <c r="E231">
        <v>8</v>
      </c>
      <c r="F231" s="32">
        <f t="shared" si="28"/>
        <v>0</v>
      </c>
      <c r="G231">
        <v>9</v>
      </c>
      <c r="H231">
        <v>7</v>
      </c>
      <c r="I231" s="32">
        <f t="shared" si="29"/>
        <v>2</v>
      </c>
      <c r="J231">
        <v>9</v>
      </c>
      <c r="K231">
        <v>8</v>
      </c>
      <c r="L231" s="32">
        <f t="shared" si="30"/>
        <v>1</v>
      </c>
      <c r="M231">
        <v>8</v>
      </c>
      <c r="N231">
        <v>7</v>
      </c>
      <c r="O231" s="32">
        <f t="shared" si="31"/>
        <v>1</v>
      </c>
      <c r="P231">
        <v>9</v>
      </c>
      <c r="Q231">
        <v>7</v>
      </c>
      <c r="R231" s="32">
        <f t="shared" si="32"/>
        <v>2</v>
      </c>
      <c r="S231">
        <v>8</v>
      </c>
      <c r="T231">
        <v>6</v>
      </c>
      <c r="U231" s="32">
        <f t="shared" si="33"/>
        <v>2</v>
      </c>
      <c r="V231">
        <v>8</v>
      </c>
      <c r="W231">
        <v>7</v>
      </c>
      <c r="X231" s="32">
        <f t="shared" si="34"/>
        <v>1</v>
      </c>
      <c r="Y231">
        <v>9</v>
      </c>
      <c r="Z231">
        <v>8</v>
      </c>
      <c r="AA231" s="32">
        <f t="shared" si="35"/>
        <v>1</v>
      </c>
    </row>
    <row r="232" spans="1:27" x14ac:dyDescent="0.45">
      <c r="A232">
        <v>7</v>
      </c>
      <c r="B232">
        <v>7</v>
      </c>
      <c r="C232" s="32">
        <f t="shared" si="27"/>
        <v>0</v>
      </c>
      <c r="D232">
        <v>8</v>
      </c>
      <c r="E232">
        <v>8</v>
      </c>
      <c r="F232" s="32">
        <f t="shared" si="28"/>
        <v>0</v>
      </c>
      <c r="G232">
        <v>9</v>
      </c>
      <c r="H232">
        <v>7</v>
      </c>
      <c r="I232" s="32">
        <f t="shared" si="29"/>
        <v>2</v>
      </c>
      <c r="J232">
        <v>9</v>
      </c>
      <c r="K232">
        <v>8</v>
      </c>
      <c r="L232" s="32">
        <f t="shared" si="30"/>
        <v>1</v>
      </c>
      <c r="M232">
        <v>8</v>
      </c>
      <c r="N232">
        <v>7</v>
      </c>
      <c r="O232" s="32">
        <f t="shared" si="31"/>
        <v>1</v>
      </c>
      <c r="P232">
        <v>9</v>
      </c>
      <c r="Q232">
        <v>7</v>
      </c>
      <c r="R232" s="32">
        <f t="shared" si="32"/>
        <v>2</v>
      </c>
      <c r="S232">
        <v>8</v>
      </c>
      <c r="T232">
        <v>6</v>
      </c>
      <c r="U232" s="32">
        <f t="shared" si="33"/>
        <v>2</v>
      </c>
      <c r="V232">
        <v>8</v>
      </c>
      <c r="W232">
        <v>7</v>
      </c>
      <c r="X232" s="32">
        <f t="shared" si="34"/>
        <v>1</v>
      </c>
      <c r="Y232">
        <v>9</v>
      </c>
      <c r="Z232">
        <v>8</v>
      </c>
      <c r="AA232" s="32">
        <f t="shared" si="35"/>
        <v>1</v>
      </c>
    </row>
    <row r="233" spans="1:27" x14ac:dyDescent="0.45">
      <c r="A233">
        <v>7</v>
      </c>
      <c r="B233">
        <v>7</v>
      </c>
      <c r="C233" s="32">
        <f t="shared" si="27"/>
        <v>0</v>
      </c>
      <c r="D233">
        <v>8</v>
      </c>
      <c r="E233">
        <v>8</v>
      </c>
      <c r="F233" s="32">
        <f t="shared" si="28"/>
        <v>0</v>
      </c>
      <c r="G233">
        <v>9</v>
      </c>
      <c r="H233">
        <v>7</v>
      </c>
      <c r="I233" s="32">
        <f t="shared" si="29"/>
        <v>2</v>
      </c>
      <c r="J233">
        <v>9</v>
      </c>
      <c r="K233">
        <v>8</v>
      </c>
      <c r="L233" s="32">
        <f t="shared" si="30"/>
        <v>1</v>
      </c>
      <c r="M233">
        <v>8</v>
      </c>
      <c r="N233">
        <v>7</v>
      </c>
      <c r="O233" s="32">
        <f t="shared" si="31"/>
        <v>1</v>
      </c>
      <c r="P233">
        <v>9</v>
      </c>
      <c r="Q233">
        <v>7</v>
      </c>
      <c r="R233" s="32">
        <f t="shared" si="32"/>
        <v>2</v>
      </c>
      <c r="S233">
        <v>8</v>
      </c>
      <c r="T233">
        <v>6</v>
      </c>
      <c r="U233" s="32">
        <f t="shared" si="33"/>
        <v>2</v>
      </c>
      <c r="V233">
        <v>8</v>
      </c>
      <c r="W233">
        <v>7</v>
      </c>
      <c r="X233" s="32">
        <f t="shared" si="34"/>
        <v>1</v>
      </c>
      <c r="Y233">
        <v>9</v>
      </c>
      <c r="Z233">
        <v>8</v>
      </c>
      <c r="AA233" s="32">
        <f t="shared" si="35"/>
        <v>1</v>
      </c>
    </row>
    <row r="234" spans="1:27" x14ac:dyDescent="0.45">
      <c r="A234">
        <v>7</v>
      </c>
      <c r="B234">
        <v>7</v>
      </c>
      <c r="C234" s="32">
        <f t="shared" si="27"/>
        <v>0</v>
      </c>
      <c r="D234">
        <v>8</v>
      </c>
      <c r="E234">
        <v>8</v>
      </c>
      <c r="F234" s="32">
        <f t="shared" si="28"/>
        <v>0</v>
      </c>
      <c r="G234">
        <v>9</v>
      </c>
      <c r="H234">
        <v>7</v>
      </c>
      <c r="I234" s="32">
        <f t="shared" si="29"/>
        <v>2</v>
      </c>
      <c r="J234">
        <v>9</v>
      </c>
      <c r="K234">
        <v>8</v>
      </c>
      <c r="L234" s="32">
        <f t="shared" si="30"/>
        <v>1</v>
      </c>
      <c r="M234">
        <v>8</v>
      </c>
      <c r="N234">
        <v>7</v>
      </c>
      <c r="O234" s="32">
        <f t="shared" si="31"/>
        <v>1</v>
      </c>
      <c r="P234">
        <v>9</v>
      </c>
      <c r="Q234">
        <v>7</v>
      </c>
      <c r="R234" s="32">
        <f t="shared" si="32"/>
        <v>2</v>
      </c>
      <c r="S234">
        <v>8</v>
      </c>
      <c r="T234">
        <v>6</v>
      </c>
      <c r="U234" s="32">
        <f t="shared" si="33"/>
        <v>2</v>
      </c>
      <c r="V234">
        <v>8</v>
      </c>
      <c r="W234">
        <v>7</v>
      </c>
      <c r="X234" s="32">
        <f t="shared" si="34"/>
        <v>1</v>
      </c>
      <c r="Y234">
        <v>9</v>
      </c>
      <c r="Z234">
        <v>8</v>
      </c>
      <c r="AA234" s="32">
        <f t="shared" si="35"/>
        <v>1</v>
      </c>
    </row>
    <row r="235" spans="1:27" x14ac:dyDescent="0.45">
      <c r="A235">
        <v>7</v>
      </c>
      <c r="B235">
        <v>7</v>
      </c>
      <c r="C235" s="32">
        <f t="shared" si="27"/>
        <v>0</v>
      </c>
      <c r="D235">
        <v>8</v>
      </c>
      <c r="E235">
        <v>8</v>
      </c>
      <c r="F235" s="32">
        <f t="shared" si="28"/>
        <v>0</v>
      </c>
      <c r="G235">
        <v>9</v>
      </c>
      <c r="H235">
        <v>7</v>
      </c>
      <c r="I235" s="32">
        <f t="shared" si="29"/>
        <v>2</v>
      </c>
      <c r="J235">
        <v>9</v>
      </c>
      <c r="K235">
        <v>8</v>
      </c>
      <c r="L235" s="32">
        <f t="shared" si="30"/>
        <v>1</v>
      </c>
      <c r="M235">
        <v>8</v>
      </c>
      <c r="N235">
        <v>7</v>
      </c>
      <c r="O235" s="32">
        <f t="shared" si="31"/>
        <v>1</v>
      </c>
      <c r="P235">
        <v>9</v>
      </c>
      <c r="Q235">
        <v>7</v>
      </c>
      <c r="R235" s="32">
        <f t="shared" si="32"/>
        <v>2</v>
      </c>
      <c r="S235">
        <v>8</v>
      </c>
      <c r="T235">
        <v>6</v>
      </c>
      <c r="U235" s="32">
        <f t="shared" si="33"/>
        <v>2</v>
      </c>
      <c r="V235">
        <v>8</v>
      </c>
      <c r="W235">
        <v>7</v>
      </c>
      <c r="X235" s="32">
        <f t="shared" si="34"/>
        <v>1</v>
      </c>
      <c r="Y235">
        <v>9</v>
      </c>
      <c r="Z235">
        <v>8</v>
      </c>
      <c r="AA235" s="32">
        <f t="shared" si="35"/>
        <v>1</v>
      </c>
    </row>
    <row r="236" spans="1:27" x14ac:dyDescent="0.45">
      <c r="A236">
        <v>7</v>
      </c>
      <c r="B236">
        <v>7</v>
      </c>
      <c r="C236" s="32">
        <f t="shared" si="27"/>
        <v>0</v>
      </c>
      <c r="D236">
        <v>8</v>
      </c>
      <c r="E236">
        <v>8</v>
      </c>
      <c r="F236" s="32">
        <f t="shared" si="28"/>
        <v>0</v>
      </c>
      <c r="G236">
        <v>9</v>
      </c>
      <c r="H236">
        <v>7</v>
      </c>
      <c r="I236" s="32">
        <f t="shared" si="29"/>
        <v>2</v>
      </c>
      <c r="J236">
        <v>9</v>
      </c>
      <c r="K236">
        <v>8</v>
      </c>
      <c r="L236" s="32">
        <f t="shared" si="30"/>
        <v>1</v>
      </c>
      <c r="M236">
        <v>8</v>
      </c>
      <c r="N236">
        <v>7</v>
      </c>
      <c r="O236" s="32">
        <f t="shared" si="31"/>
        <v>1</v>
      </c>
      <c r="P236">
        <v>9</v>
      </c>
      <c r="Q236">
        <v>7</v>
      </c>
      <c r="R236" s="32">
        <f t="shared" si="32"/>
        <v>2</v>
      </c>
      <c r="S236">
        <v>8</v>
      </c>
      <c r="T236">
        <v>6</v>
      </c>
      <c r="U236" s="32">
        <f t="shared" si="33"/>
        <v>2</v>
      </c>
      <c r="V236">
        <v>8</v>
      </c>
      <c r="W236">
        <v>7</v>
      </c>
      <c r="X236" s="32">
        <f t="shared" si="34"/>
        <v>1</v>
      </c>
      <c r="Y236">
        <v>9</v>
      </c>
      <c r="Z236">
        <v>8</v>
      </c>
      <c r="AA236" s="32">
        <f t="shared" si="35"/>
        <v>1</v>
      </c>
    </row>
    <row r="237" spans="1:27" x14ac:dyDescent="0.45">
      <c r="A237">
        <v>7</v>
      </c>
      <c r="B237">
        <v>8</v>
      </c>
      <c r="C237" s="32">
        <f t="shared" si="27"/>
        <v>1</v>
      </c>
      <c r="D237">
        <v>8</v>
      </c>
      <c r="E237">
        <v>8</v>
      </c>
      <c r="F237" s="32">
        <f t="shared" si="28"/>
        <v>0</v>
      </c>
      <c r="G237">
        <v>9</v>
      </c>
      <c r="H237">
        <v>7</v>
      </c>
      <c r="I237" s="32">
        <f t="shared" si="29"/>
        <v>2</v>
      </c>
      <c r="J237">
        <v>9</v>
      </c>
      <c r="K237">
        <v>8</v>
      </c>
      <c r="L237" s="32">
        <f t="shared" si="30"/>
        <v>1</v>
      </c>
      <c r="M237">
        <v>8</v>
      </c>
      <c r="N237">
        <v>7</v>
      </c>
      <c r="O237" s="32">
        <f t="shared" si="31"/>
        <v>1</v>
      </c>
      <c r="P237">
        <v>9</v>
      </c>
      <c r="Q237">
        <v>7</v>
      </c>
      <c r="R237" s="32">
        <f t="shared" si="32"/>
        <v>2</v>
      </c>
      <c r="S237">
        <v>8</v>
      </c>
      <c r="T237">
        <v>6</v>
      </c>
      <c r="U237" s="32">
        <f t="shared" si="33"/>
        <v>2</v>
      </c>
      <c r="V237">
        <v>8</v>
      </c>
      <c r="W237">
        <v>7</v>
      </c>
      <c r="X237" s="32">
        <f t="shared" si="34"/>
        <v>1</v>
      </c>
      <c r="Y237">
        <v>9</v>
      </c>
      <c r="Z237">
        <v>8</v>
      </c>
      <c r="AA237" s="32">
        <f t="shared" si="35"/>
        <v>1</v>
      </c>
    </row>
    <row r="238" spans="1:27" x14ac:dyDescent="0.45">
      <c r="A238">
        <v>7</v>
      </c>
      <c r="B238">
        <v>8</v>
      </c>
      <c r="C238" s="32">
        <f t="shared" si="27"/>
        <v>1</v>
      </c>
      <c r="D238">
        <v>8</v>
      </c>
      <c r="E238">
        <v>8</v>
      </c>
      <c r="F238" s="32">
        <f t="shared" si="28"/>
        <v>0</v>
      </c>
      <c r="G238">
        <v>9</v>
      </c>
      <c r="H238">
        <v>7</v>
      </c>
      <c r="I238" s="32">
        <f t="shared" si="29"/>
        <v>2</v>
      </c>
      <c r="J238">
        <v>9</v>
      </c>
      <c r="K238">
        <v>8</v>
      </c>
      <c r="L238" s="32">
        <f t="shared" si="30"/>
        <v>1</v>
      </c>
      <c r="M238">
        <v>8</v>
      </c>
      <c r="N238">
        <v>7</v>
      </c>
      <c r="O238" s="32">
        <f t="shared" si="31"/>
        <v>1</v>
      </c>
      <c r="P238">
        <v>9</v>
      </c>
      <c r="Q238">
        <v>7</v>
      </c>
      <c r="R238" s="32">
        <f t="shared" si="32"/>
        <v>2</v>
      </c>
      <c r="S238">
        <v>8</v>
      </c>
      <c r="T238">
        <v>7</v>
      </c>
      <c r="U238" s="32">
        <f t="shared" si="33"/>
        <v>1</v>
      </c>
      <c r="V238">
        <v>8</v>
      </c>
      <c r="W238">
        <v>7</v>
      </c>
      <c r="X238" s="32">
        <f t="shared" si="34"/>
        <v>1</v>
      </c>
      <c r="Y238">
        <v>9</v>
      </c>
      <c r="Z238">
        <v>8</v>
      </c>
      <c r="AA238" s="32">
        <f t="shared" si="35"/>
        <v>1</v>
      </c>
    </row>
    <row r="239" spans="1:27" x14ac:dyDescent="0.45">
      <c r="A239">
        <v>7</v>
      </c>
      <c r="B239">
        <v>8</v>
      </c>
      <c r="C239" s="32">
        <f t="shared" si="27"/>
        <v>1</v>
      </c>
      <c r="D239">
        <v>8</v>
      </c>
      <c r="E239">
        <v>8</v>
      </c>
      <c r="F239" s="32">
        <f t="shared" si="28"/>
        <v>0</v>
      </c>
      <c r="G239">
        <v>9</v>
      </c>
      <c r="H239">
        <v>7</v>
      </c>
      <c r="I239" s="32">
        <f t="shared" si="29"/>
        <v>2</v>
      </c>
      <c r="J239">
        <v>9</v>
      </c>
      <c r="K239">
        <v>8</v>
      </c>
      <c r="L239" s="32">
        <f t="shared" si="30"/>
        <v>1</v>
      </c>
      <c r="M239">
        <v>8</v>
      </c>
      <c r="N239">
        <v>7</v>
      </c>
      <c r="O239" s="32">
        <f t="shared" si="31"/>
        <v>1</v>
      </c>
      <c r="P239">
        <v>9</v>
      </c>
      <c r="Q239">
        <v>7</v>
      </c>
      <c r="R239" s="32">
        <f t="shared" si="32"/>
        <v>2</v>
      </c>
      <c r="S239">
        <v>8</v>
      </c>
      <c r="T239">
        <v>7</v>
      </c>
      <c r="U239" s="32">
        <f t="shared" si="33"/>
        <v>1</v>
      </c>
      <c r="V239">
        <v>8</v>
      </c>
      <c r="W239">
        <v>7</v>
      </c>
      <c r="X239" s="32">
        <f t="shared" si="34"/>
        <v>1</v>
      </c>
      <c r="Y239">
        <v>9</v>
      </c>
      <c r="Z239">
        <v>8</v>
      </c>
      <c r="AA239" s="32">
        <f t="shared" si="35"/>
        <v>1</v>
      </c>
    </row>
    <row r="240" spans="1:27" x14ac:dyDescent="0.45">
      <c r="A240">
        <v>7</v>
      </c>
      <c r="B240">
        <v>8</v>
      </c>
      <c r="C240" s="32">
        <f t="shared" si="27"/>
        <v>1</v>
      </c>
      <c r="D240">
        <v>8</v>
      </c>
      <c r="E240">
        <v>8</v>
      </c>
      <c r="F240" s="32">
        <f t="shared" si="28"/>
        <v>0</v>
      </c>
      <c r="G240">
        <v>9</v>
      </c>
      <c r="H240">
        <v>7</v>
      </c>
      <c r="I240" s="32">
        <f t="shared" si="29"/>
        <v>2</v>
      </c>
      <c r="J240">
        <v>9</v>
      </c>
      <c r="K240">
        <v>8</v>
      </c>
      <c r="L240" s="32">
        <f t="shared" si="30"/>
        <v>1</v>
      </c>
      <c r="M240">
        <v>8</v>
      </c>
      <c r="N240">
        <v>7</v>
      </c>
      <c r="O240" s="32">
        <f t="shared" si="31"/>
        <v>1</v>
      </c>
      <c r="P240">
        <v>9</v>
      </c>
      <c r="Q240">
        <v>7</v>
      </c>
      <c r="R240" s="32">
        <f t="shared" si="32"/>
        <v>2</v>
      </c>
      <c r="S240">
        <v>8</v>
      </c>
      <c r="T240">
        <v>7</v>
      </c>
      <c r="U240" s="32">
        <f t="shared" si="33"/>
        <v>1</v>
      </c>
      <c r="V240">
        <v>8</v>
      </c>
      <c r="W240">
        <v>7</v>
      </c>
      <c r="X240" s="32">
        <f t="shared" si="34"/>
        <v>1</v>
      </c>
      <c r="Y240">
        <v>9</v>
      </c>
      <c r="Z240">
        <v>8</v>
      </c>
      <c r="AA240" s="32">
        <f t="shared" si="35"/>
        <v>1</v>
      </c>
    </row>
    <row r="241" spans="1:27" x14ac:dyDescent="0.45">
      <c r="A241">
        <v>7</v>
      </c>
      <c r="B241">
        <v>8</v>
      </c>
      <c r="C241" s="32">
        <f t="shared" si="27"/>
        <v>1</v>
      </c>
      <c r="D241">
        <v>8</v>
      </c>
      <c r="E241">
        <v>8</v>
      </c>
      <c r="F241" s="32">
        <f t="shared" si="28"/>
        <v>0</v>
      </c>
      <c r="G241">
        <v>9</v>
      </c>
      <c r="H241">
        <v>7</v>
      </c>
      <c r="I241" s="32">
        <f t="shared" si="29"/>
        <v>2</v>
      </c>
      <c r="J241">
        <v>9</v>
      </c>
      <c r="K241">
        <v>8</v>
      </c>
      <c r="L241" s="32">
        <f t="shared" si="30"/>
        <v>1</v>
      </c>
      <c r="M241">
        <v>8</v>
      </c>
      <c r="N241">
        <v>7</v>
      </c>
      <c r="O241" s="32">
        <f t="shared" si="31"/>
        <v>1</v>
      </c>
      <c r="P241">
        <v>9</v>
      </c>
      <c r="Q241">
        <v>7</v>
      </c>
      <c r="R241" s="32">
        <f t="shared" si="32"/>
        <v>2</v>
      </c>
      <c r="S241">
        <v>8</v>
      </c>
      <c r="T241">
        <v>7</v>
      </c>
      <c r="U241" s="32">
        <f t="shared" si="33"/>
        <v>1</v>
      </c>
      <c r="V241">
        <v>8</v>
      </c>
      <c r="W241">
        <v>7</v>
      </c>
      <c r="X241" s="32">
        <f t="shared" si="34"/>
        <v>1</v>
      </c>
      <c r="Y241">
        <v>9</v>
      </c>
      <c r="Z241">
        <v>8</v>
      </c>
      <c r="AA241" s="32">
        <f t="shared" si="35"/>
        <v>1</v>
      </c>
    </row>
    <row r="242" spans="1:27" x14ac:dyDescent="0.45">
      <c r="A242">
        <v>7</v>
      </c>
      <c r="B242">
        <v>8</v>
      </c>
      <c r="C242" s="32">
        <f t="shared" si="27"/>
        <v>1</v>
      </c>
      <c r="D242">
        <v>8</v>
      </c>
      <c r="E242">
        <v>8</v>
      </c>
      <c r="F242" s="32">
        <f t="shared" si="28"/>
        <v>0</v>
      </c>
      <c r="G242">
        <v>9</v>
      </c>
      <c r="H242">
        <v>7</v>
      </c>
      <c r="I242" s="32">
        <f t="shared" si="29"/>
        <v>2</v>
      </c>
      <c r="J242">
        <v>9</v>
      </c>
      <c r="K242">
        <v>8</v>
      </c>
      <c r="L242" s="32">
        <f t="shared" si="30"/>
        <v>1</v>
      </c>
      <c r="M242">
        <v>8</v>
      </c>
      <c r="N242">
        <v>7</v>
      </c>
      <c r="O242" s="32">
        <f t="shared" si="31"/>
        <v>1</v>
      </c>
      <c r="P242">
        <v>9</v>
      </c>
      <c r="Q242">
        <v>7</v>
      </c>
      <c r="R242" s="32">
        <f t="shared" si="32"/>
        <v>2</v>
      </c>
      <c r="S242">
        <v>8</v>
      </c>
      <c r="T242">
        <v>7</v>
      </c>
      <c r="U242" s="32">
        <f t="shared" si="33"/>
        <v>1</v>
      </c>
      <c r="V242">
        <v>8</v>
      </c>
      <c r="W242">
        <v>7</v>
      </c>
      <c r="X242" s="32">
        <f t="shared" si="34"/>
        <v>1</v>
      </c>
      <c r="Y242">
        <v>9</v>
      </c>
      <c r="Z242">
        <v>8</v>
      </c>
      <c r="AA242" s="32">
        <f t="shared" si="35"/>
        <v>1</v>
      </c>
    </row>
    <row r="243" spans="1:27" x14ac:dyDescent="0.45">
      <c r="A243">
        <v>7</v>
      </c>
      <c r="B243">
        <v>8</v>
      </c>
      <c r="C243" s="32">
        <f t="shared" si="27"/>
        <v>1</v>
      </c>
      <c r="D243">
        <v>8</v>
      </c>
      <c r="E243">
        <v>8</v>
      </c>
      <c r="F243" s="32">
        <f t="shared" si="28"/>
        <v>0</v>
      </c>
      <c r="G243">
        <v>9</v>
      </c>
      <c r="H243">
        <v>7</v>
      </c>
      <c r="I243" s="32">
        <f t="shared" si="29"/>
        <v>2</v>
      </c>
      <c r="J243">
        <v>9</v>
      </c>
      <c r="K243">
        <v>8</v>
      </c>
      <c r="L243" s="32">
        <f t="shared" si="30"/>
        <v>1</v>
      </c>
      <c r="M243">
        <v>8</v>
      </c>
      <c r="N243">
        <v>7</v>
      </c>
      <c r="O243" s="32">
        <f t="shared" si="31"/>
        <v>1</v>
      </c>
      <c r="P243">
        <v>9</v>
      </c>
      <c r="Q243">
        <v>7</v>
      </c>
      <c r="R243" s="32">
        <f t="shared" si="32"/>
        <v>2</v>
      </c>
      <c r="S243">
        <v>8</v>
      </c>
      <c r="T243">
        <v>7</v>
      </c>
      <c r="U243" s="32">
        <f t="shared" si="33"/>
        <v>1</v>
      </c>
      <c r="V243">
        <v>8</v>
      </c>
      <c r="W243">
        <v>7</v>
      </c>
      <c r="X243" s="32">
        <f t="shared" si="34"/>
        <v>1</v>
      </c>
      <c r="Y243">
        <v>9</v>
      </c>
      <c r="Z243">
        <v>8</v>
      </c>
      <c r="AA243" s="32">
        <f t="shared" si="35"/>
        <v>1</v>
      </c>
    </row>
    <row r="244" spans="1:27" x14ac:dyDescent="0.45">
      <c r="A244">
        <v>7</v>
      </c>
      <c r="B244">
        <v>8</v>
      </c>
      <c r="C244" s="32">
        <f t="shared" si="27"/>
        <v>1</v>
      </c>
      <c r="D244">
        <v>8</v>
      </c>
      <c r="E244">
        <v>8</v>
      </c>
      <c r="F244" s="32">
        <f t="shared" si="28"/>
        <v>0</v>
      </c>
      <c r="G244">
        <v>9</v>
      </c>
      <c r="H244">
        <v>7</v>
      </c>
      <c r="I244" s="32">
        <f t="shared" si="29"/>
        <v>2</v>
      </c>
      <c r="J244">
        <v>9</v>
      </c>
      <c r="K244">
        <v>8</v>
      </c>
      <c r="L244" s="32">
        <f t="shared" si="30"/>
        <v>1</v>
      </c>
      <c r="M244">
        <v>8</v>
      </c>
      <c r="N244">
        <v>7</v>
      </c>
      <c r="O244" s="32">
        <f t="shared" si="31"/>
        <v>1</v>
      </c>
      <c r="P244">
        <v>9</v>
      </c>
      <c r="Q244">
        <v>7</v>
      </c>
      <c r="R244" s="32">
        <f t="shared" si="32"/>
        <v>2</v>
      </c>
      <c r="S244">
        <v>8</v>
      </c>
      <c r="T244">
        <v>7</v>
      </c>
      <c r="U244" s="32">
        <f t="shared" si="33"/>
        <v>1</v>
      </c>
      <c r="V244">
        <v>8</v>
      </c>
      <c r="W244">
        <v>7</v>
      </c>
      <c r="X244" s="32">
        <f t="shared" si="34"/>
        <v>1</v>
      </c>
      <c r="Y244">
        <v>9</v>
      </c>
      <c r="Z244">
        <v>8</v>
      </c>
      <c r="AA244" s="32">
        <f t="shared" si="35"/>
        <v>1</v>
      </c>
    </row>
    <row r="245" spans="1:27" x14ac:dyDescent="0.45">
      <c r="A245">
        <v>7</v>
      </c>
      <c r="B245">
        <v>8</v>
      </c>
      <c r="C245" s="32">
        <f t="shared" si="27"/>
        <v>1</v>
      </c>
      <c r="D245">
        <v>8</v>
      </c>
      <c r="E245">
        <v>8</v>
      </c>
      <c r="F245" s="32">
        <f t="shared" si="28"/>
        <v>0</v>
      </c>
      <c r="G245">
        <v>9</v>
      </c>
      <c r="H245">
        <v>7</v>
      </c>
      <c r="I245" s="32">
        <f t="shared" si="29"/>
        <v>2</v>
      </c>
      <c r="J245">
        <v>9</v>
      </c>
      <c r="K245">
        <v>8</v>
      </c>
      <c r="L245" s="32">
        <f t="shared" si="30"/>
        <v>1</v>
      </c>
      <c r="M245">
        <v>8</v>
      </c>
      <c r="N245">
        <v>7</v>
      </c>
      <c r="O245" s="32">
        <f t="shared" si="31"/>
        <v>1</v>
      </c>
      <c r="P245">
        <v>9</v>
      </c>
      <c r="Q245">
        <v>7</v>
      </c>
      <c r="R245" s="32">
        <f t="shared" si="32"/>
        <v>2</v>
      </c>
      <c r="S245">
        <v>8</v>
      </c>
      <c r="T245">
        <v>7</v>
      </c>
      <c r="U245" s="32">
        <f t="shared" si="33"/>
        <v>1</v>
      </c>
      <c r="V245">
        <v>8</v>
      </c>
      <c r="W245">
        <v>7</v>
      </c>
      <c r="X245" s="32">
        <f t="shared" si="34"/>
        <v>1</v>
      </c>
      <c r="Y245">
        <v>9</v>
      </c>
      <c r="Z245">
        <v>8</v>
      </c>
      <c r="AA245" s="32">
        <f t="shared" si="35"/>
        <v>1</v>
      </c>
    </row>
    <row r="246" spans="1:27" x14ac:dyDescent="0.45">
      <c r="A246">
        <v>7</v>
      </c>
      <c r="B246">
        <v>8</v>
      </c>
      <c r="C246" s="32">
        <f t="shared" si="27"/>
        <v>1</v>
      </c>
      <c r="D246">
        <v>8</v>
      </c>
      <c r="E246">
        <v>8</v>
      </c>
      <c r="F246" s="32">
        <f t="shared" si="28"/>
        <v>0</v>
      </c>
      <c r="G246">
        <v>9</v>
      </c>
      <c r="H246">
        <v>7</v>
      </c>
      <c r="I246" s="32">
        <f t="shared" si="29"/>
        <v>2</v>
      </c>
      <c r="J246">
        <v>9</v>
      </c>
      <c r="K246">
        <v>8</v>
      </c>
      <c r="L246" s="32">
        <f t="shared" si="30"/>
        <v>1</v>
      </c>
      <c r="M246">
        <v>8</v>
      </c>
      <c r="N246">
        <v>7</v>
      </c>
      <c r="O246" s="32">
        <f t="shared" si="31"/>
        <v>1</v>
      </c>
      <c r="P246">
        <v>9</v>
      </c>
      <c r="Q246">
        <v>7</v>
      </c>
      <c r="R246" s="32">
        <f t="shared" si="32"/>
        <v>2</v>
      </c>
      <c r="S246">
        <v>8</v>
      </c>
      <c r="T246">
        <v>7</v>
      </c>
      <c r="U246" s="32">
        <f t="shared" si="33"/>
        <v>1</v>
      </c>
      <c r="V246">
        <v>8</v>
      </c>
      <c r="W246">
        <v>7</v>
      </c>
      <c r="X246" s="32">
        <f t="shared" si="34"/>
        <v>1</v>
      </c>
      <c r="Y246">
        <v>9</v>
      </c>
      <c r="Z246">
        <v>8</v>
      </c>
      <c r="AA246" s="32">
        <f t="shared" si="35"/>
        <v>1</v>
      </c>
    </row>
    <row r="247" spans="1:27" x14ac:dyDescent="0.45">
      <c r="A247">
        <v>7</v>
      </c>
      <c r="B247">
        <v>8</v>
      </c>
      <c r="C247" s="32">
        <f t="shared" si="27"/>
        <v>1</v>
      </c>
      <c r="D247">
        <v>8</v>
      </c>
      <c r="E247">
        <v>8</v>
      </c>
      <c r="F247" s="32">
        <f t="shared" si="28"/>
        <v>0</v>
      </c>
      <c r="G247">
        <v>9</v>
      </c>
      <c r="H247">
        <v>7</v>
      </c>
      <c r="I247" s="32">
        <f t="shared" si="29"/>
        <v>2</v>
      </c>
      <c r="J247">
        <v>9</v>
      </c>
      <c r="K247">
        <v>8</v>
      </c>
      <c r="L247" s="32">
        <f t="shared" si="30"/>
        <v>1</v>
      </c>
      <c r="M247">
        <v>8</v>
      </c>
      <c r="N247">
        <v>7</v>
      </c>
      <c r="O247" s="32">
        <f t="shared" si="31"/>
        <v>1</v>
      </c>
      <c r="P247">
        <v>9</v>
      </c>
      <c r="Q247">
        <v>7</v>
      </c>
      <c r="R247" s="32">
        <f t="shared" si="32"/>
        <v>2</v>
      </c>
      <c r="S247">
        <v>8</v>
      </c>
      <c r="T247">
        <v>7</v>
      </c>
      <c r="U247" s="32">
        <f t="shared" si="33"/>
        <v>1</v>
      </c>
      <c r="V247">
        <v>8</v>
      </c>
      <c r="W247">
        <v>7</v>
      </c>
      <c r="X247" s="32">
        <f t="shared" si="34"/>
        <v>1</v>
      </c>
      <c r="Y247">
        <v>9</v>
      </c>
      <c r="Z247">
        <v>8</v>
      </c>
      <c r="AA247" s="32">
        <f t="shared" si="35"/>
        <v>1</v>
      </c>
    </row>
    <row r="248" spans="1:27" x14ac:dyDescent="0.45">
      <c r="A248">
        <v>7</v>
      </c>
      <c r="B248">
        <v>8</v>
      </c>
      <c r="C248" s="32">
        <f t="shared" si="27"/>
        <v>1</v>
      </c>
      <c r="D248">
        <v>8</v>
      </c>
      <c r="E248">
        <v>8</v>
      </c>
      <c r="F248" s="32">
        <f t="shared" si="28"/>
        <v>0</v>
      </c>
      <c r="G248">
        <v>9</v>
      </c>
      <c r="H248">
        <v>7</v>
      </c>
      <c r="I248" s="32">
        <f t="shared" si="29"/>
        <v>2</v>
      </c>
      <c r="J248">
        <v>9</v>
      </c>
      <c r="K248">
        <v>8</v>
      </c>
      <c r="L248" s="32">
        <f t="shared" si="30"/>
        <v>1</v>
      </c>
      <c r="M248">
        <v>8</v>
      </c>
      <c r="N248">
        <v>7</v>
      </c>
      <c r="O248" s="32">
        <f t="shared" si="31"/>
        <v>1</v>
      </c>
      <c r="P248">
        <v>9</v>
      </c>
      <c r="Q248">
        <v>7</v>
      </c>
      <c r="R248" s="32">
        <f t="shared" si="32"/>
        <v>2</v>
      </c>
      <c r="S248">
        <v>8</v>
      </c>
      <c r="T248">
        <v>7</v>
      </c>
      <c r="U248" s="32">
        <f t="shared" si="33"/>
        <v>1</v>
      </c>
      <c r="V248">
        <v>8</v>
      </c>
      <c r="W248">
        <v>7</v>
      </c>
      <c r="X248" s="32">
        <f t="shared" si="34"/>
        <v>1</v>
      </c>
      <c r="Y248">
        <v>9</v>
      </c>
      <c r="Z248">
        <v>8</v>
      </c>
      <c r="AA248" s="32">
        <f t="shared" si="35"/>
        <v>1</v>
      </c>
    </row>
    <row r="249" spans="1:27" x14ac:dyDescent="0.45">
      <c r="A249">
        <v>7</v>
      </c>
      <c r="B249">
        <v>8</v>
      </c>
      <c r="C249" s="32">
        <f t="shared" si="27"/>
        <v>1</v>
      </c>
      <c r="D249">
        <v>8</v>
      </c>
      <c r="E249">
        <v>8</v>
      </c>
      <c r="F249" s="32">
        <f t="shared" si="28"/>
        <v>0</v>
      </c>
      <c r="G249">
        <v>9</v>
      </c>
      <c r="H249">
        <v>7</v>
      </c>
      <c r="I249" s="32">
        <f t="shared" si="29"/>
        <v>2</v>
      </c>
      <c r="J249">
        <v>9</v>
      </c>
      <c r="K249">
        <v>8</v>
      </c>
      <c r="L249" s="32">
        <f t="shared" si="30"/>
        <v>1</v>
      </c>
      <c r="M249">
        <v>8</v>
      </c>
      <c r="N249">
        <v>7</v>
      </c>
      <c r="O249" s="32">
        <f t="shared" si="31"/>
        <v>1</v>
      </c>
      <c r="P249">
        <v>9</v>
      </c>
      <c r="Q249">
        <v>7</v>
      </c>
      <c r="R249" s="32">
        <f t="shared" si="32"/>
        <v>2</v>
      </c>
      <c r="S249">
        <v>8</v>
      </c>
      <c r="T249">
        <v>7</v>
      </c>
      <c r="U249" s="32">
        <f t="shared" si="33"/>
        <v>1</v>
      </c>
      <c r="V249">
        <v>8</v>
      </c>
      <c r="W249">
        <v>7</v>
      </c>
      <c r="X249" s="32">
        <f t="shared" si="34"/>
        <v>1</v>
      </c>
      <c r="Y249">
        <v>9</v>
      </c>
      <c r="Z249">
        <v>8</v>
      </c>
      <c r="AA249" s="32">
        <f t="shared" si="35"/>
        <v>1</v>
      </c>
    </row>
    <row r="250" spans="1:27" x14ac:dyDescent="0.45">
      <c r="A250">
        <v>7</v>
      </c>
      <c r="B250">
        <v>8</v>
      </c>
      <c r="C250" s="32">
        <f t="shared" si="27"/>
        <v>1</v>
      </c>
      <c r="D250">
        <v>8</v>
      </c>
      <c r="E250">
        <v>8</v>
      </c>
      <c r="F250" s="32">
        <f t="shared" si="28"/>
        <v>0</v>
      </c>
      <c r="G250">
        <v>9</v>
      </c>
      <c r="H250">
        <v>7</v>
      </c>
      <c r="I250" s="32">
        <f t="shared" si="29"/>
        <v>2</v>
      </c>
      <c r="J250">
        <v>9</v>
      </c>
      <c r="K250">
        <v>8</v>
      </c>
      <c r="L250" s="32">
        <f t="shared" si="30"/>
        <v>1</v>
      </c>
      <c r="M250">
        <v>8</v>
      </c>
      <c r="N250">
        <v>7</v>
      </c>
      <c r="O250" s="32">
        <f t="shared" si="31"/>
        <v>1</v>
      </c>
      <c r="P250">
        <v>9</v>
      </c>
      <c r="Q250">
        <v>8</v>
      </c>
      <c r="R250" s="32">
        <f t="shared" si="32"/>
        <v>1</v>
      </c>
      <c r="S250">
        <v>8</v>
      </c>
      <c r="T250">
        <v>7</v>
      </c>
      <c r="U250" s="32">
        <f t="shared" si="33"/>
        <v>1</v>
      </c>
      <c r="V250">
        <v>8</v>
      </c>
      <c r="W250">
        <v>7</v>
      </c>
      <c r="X250" s="32">
        <f t="shared" si="34"/>
        <v>1</v>
      </c>
      <c r="Y250">
        <v>9</v>
      </c>
      <c r="Z250">
        <v>8</v>
      </c>
      <c r="AA250" s="32">
        <f t="shared" si="35"/>
        <v>1</v>
      </c>
    </row>
    <row r="251" spans="1:27" x14ac:dyDescent="0.45">
      <c r="A251">
        <v>7</v>
      </c>
      <c r="B251">
        <v>8</v>
      </c>
      <c r="C251" s="32">
        <f t="shared" si="27"/>
        <v>1</v>
      </c>
      <c r="D251">
        <v>8</v>
      </c>
      <c r="E251">
        <v>8</v>
      </c>
      <c r="F251" s="32">
        <f t="shared" si="28"/>
        <v>0</v>
      </c>
      <c r="G251">
        <v>9</v>
      </c>
      <c r="H251">
        <v>7</v>
      </c>
      <c r="I251" s="32">
        <f t="shared" si="29"/>
        <v>2</v>
      </c>
      <c r="J251">
        <v>9</v>
      </c>
      <c r="K251">
        <v>8</v>
      </c>
      <c r="L251" s="32">
        <f t="shared" si="30"/>
        <v>1</v>
      </c>
      <c r="M251">
        <v>8</v>
      </c>
      <c r="N251">
        <v>7</v>
      </c>
      <c r="O251" s="32">
        <f t="shared" si="31"/>
        <v>1</v>
      </c>
      <c r="P251">
        <v>9</v>
      </c>
      <c r="Q251">
        <v>8</v>
      </c>
      <c r="R251" s="32">
        <f t="shared" si="32"/>
        <v>1</v>
      </c>
      <c r="S251">
        <v>8</v>
      </c>
      <c r="T251">
        <v>7</v>
      </c>
      <c r="U251" s="32">
        <f t="shared" si="33"/>
        <v>1</v>
      </c>
      <c r="V251">
        <v>8</v>
      </c>
      <c r="W251">
        <v>7</v>
      </c>
      <c r="X251" s="32">
        <f t="shared" si="34"/>
        <v>1</v>
      </c>
      <c r="Y251">
        <v>9</v>
      </c>
      <c r="Z251">
        <v>8</v>
      </c>
      <c r="AA251" s="32">
        <f t="shared" si="35"/>
        <v>1</v>
      </c>
    </row>
    <row r="252" spans="1:27" x14ac:dyDescent="0.45">
      <c r="A252">
        <v>7</v>
      </c>
      <c r="B252">
        <v>8</v>
      </c>
      <c r="C252" s="32">
        <f t="shared" si="27"/>
        <v>1</v>
      </c>
      <c r="D252">
        <v>8</v>
      </c>
      <c r="E252">
        <v>8</v>
      </c>
      <c r="F252" s="32">
        <f t="shared" si="28"/>
        <v>0</v>
      </c>
      <c r="G252">
        <v>9</v>
      </c>
      <c r="H252">
        <v>7</v>
      </c>
      <c r="I252" s="32">
        <f t="shared" si="29"/>
        <v>2</v>
      </c>
      <c r="J252">
        <v>9</v>
      </c>
      <c r="K252">
        <v>8</v>
      </c>
      <c r="L252" s="32">
        <f t="shared" si="30"/>
        <v>1</v>
      </c>
      <c r="M252">
        <v>8</v>
      </c>
      <c r="N252">
        <v>7</v>
      </c>
      <c r="O252" s="32">
        <f t="shared" si="31"/>
        <v>1</v>
      </c>
      <c r="P252">
        <v>9</v>
      </c>
      <c r="Q252">
        <v>8</v>
      </c>
      <c r="R252" s="32">
        <f t="shared" si="32"/>
        <v>1</v>
      </c>
      <c r="S252">
        <v>8</v>
      </c>
      <c r="T252">
        <v>7</v>
      </c>
      <c r="U252" s="32">
        <f t="shared" si="33"/>
        <v>1</v>
      </c>
      <c r="V252">
        <v>8</v>
      </c>
      <c r="W252">
        <v>7</v>
      </c>
      <c r="X252" s="32">
        <f t="shared" si="34"/>
        <v>1</v>
      </c>
      <c r="Y252">
        <v>9</v>
      </c>
      <c r="Z252">
        <v>8</v>
      </c>
      <c r="AA252" s="32">
        <f t="shared" si="35"/>
        <v>1</v>
      </c>
    </row>
    <row r="253" spans="1:27" x14ac:dyDescent="0.45">
      <c r="A253">
        <v>7</v>
      </c>
      <c r="B253">
        <v>8</v>
      </c>
      <c r="C253" s="32">
        <f t="shared" si="27"/>
        <v>1</v>
      </c>
      <c r="D253">
        <v>8</v>
      </c>
      <c r="E253">
        <v>8</v>
      </c>
      <c r="F253" s="32">
        <f t="shared" si="28"/>
        <v>0</v>
      </c>
      <c r="G253">
        <v>9</v>
      </c>
      <c r="H253">
        <v>7</v>
      </c>
      <c r="I253" s="32">
        <f t="shared" si="29"/>
        <v>2</v>
      </c>
      <c r="J253">
        <v>9</v>
      </c>
      <c r="K253">
        <v>8</v>
      </c>
      <c r="L253" s="32">
        <f t="shared" si="30"/>
        <v>1</v>
      </c>
      <c r="M253">
        <v>8</v>
      </c>
      <c r="N253">
        <v>7</v>
      </c>
      <c r="O253" s="32">
        <f t="shared" si="31"/>
        <v>1</v>
      </c>
      <c r="P253">
        <v>9</v>
      </c>
      <c r="Q253">
        <v>8</v>
      </c>
      <c r="R253" s="32">
        <f t="shared" si="32"/>
        <v>1</v>
      </c>
      <c r="S253">
        <v>8</v>
      </c>
      <c r="T253">
        <v>7</v>
      </c>
      <c r="U253" s="32">
        <f t="shared" si="33"/>
        <v>1</v>
      </c>
      <c r="V253">
        <v>8</v>
      </c>
      <c r="W253">
        <v>7</v>
      </c>
      <c r="X253" s="32">
        <f t="shared" si="34"/>
        <v>1</v>
      </c>
      <c r="Y253">
        <v>9</v>
      </c>
      <c r="Z253">
        <v>8</v>
      </c>
      <c r="AA253" s="32">
        <f t="shared" si="35"/>
        <v>1</v>
      </c>
    </row>
    <row r="254" spans="1:27" x14ac:dyDescent="0.45">
      <c r="A254">
        <v>7</v>
      </c>
      <c r="B254">
        <v>8</v>
      </c>
      <c r="C254" s="32">
        <f t="shared" si="27"/>
        <v>1</v>
      </c>
      <c r="D254">
        <v>8</v>
      </c>
      <c r="E254">
        <v>8</v>
      </c>
      <c r="F254" s="32">
        <f t="shared" si="28"/>
        <v>0</v>
      </c>
      <c r="G254">
        <v>9</v>
      </c>
      <c r="H254">
        <v>7</v>
      </c>
      <c r="I254" s="32">
        <f t="shared" si="29"/>
        <v>2</v>
      </c>
      <c r="J254">
        <v>9</v>
      </c>
      <c r="K254">
        <v>8</v>
      </c>
      <c r="L254" s="32">
        <f t="shared" si="30"/>
        <v>1</v>
      </c>
      <c r="M254">
        <v>8</v>
      </c>
      <c r="N254">
        <v>7</v>
      </c>
      <c r="O254" s="32">
        <f t="shared" si="31"/>
        <v>1</v>
      </c>
      <c r="P254">
        <v>9</v>
      </c>
      <c r="Q254">
        <v>8</v>
      </c>
      <c r="R254" s="32">
        <f t="shared" si="32"/>
        <v>1</v>
      </c>
      <c r="S254">
        <v>8</v>
      </c>
      <c r="T254">
        <v>7</v>
      </c>
      <c r="U254" s="32">
        <f t="shared" si="33"/>
        <v>1</v>
      </c>
      <c r="V254">
        <v>8</v>
      </c>
      <c r="W254">
        <v>7</v>
      </c>
      <c r="X254" s="32">
        <f t="shared" si="34"/>
        <v>1</v>
      </c>
      <c r="Y254">
        <v>9</v>
      </c>
      <c r="Z254">
        <v>8</v>
      </c>
      <c r="AA254" s="32">
        <f t="shared" si="35"/>
        <v>1</v>
      </c>
    </row>
    <row r="255" spans="1:27" x14ac:dyDescent="0.45">
      <c r="A255">
        <v>7</v>
      </c>
      <c r="B255">
        <v>8</v>
      </c>
      <c r="C255" s="32">
        <f t="shared" si="27"/>
        <v>1</v>
      </c>
      <c r="D255">
        <v>8</v>
      </c>
      <c r="E255">
        <v>8</v>
      </c>
      <c r="F255" s="32">
        <f t="shared" si="28"/>
        <v>0</v>
      </c>
      <c r="G255">
        <v>9</v>
      </c>
      <c r="H255">
        <v>7</v>
      </c>
      <c r="I255" s="32">
        <f t="shared" si="29"/>
        <v>2</v>
      </c>
      <c r="J255">
        <v>9</v>
      </c>
      <c r="K255">
        <v>8</v>
      </c>
      <c r="L255" s="32">
        <f t="shared" si="30"/>
        <v>1</v>
      </c>
      <c r="M255">
        <v>8</v>
      </c>
      <c r="N255">
        <v>7</v>
      </c>
      <c r="O255" s="32">
        <f t="shared" si="31"/>
        <v>1</v>
      </c>
      <c r="P255">
        <v>9</v>
      </c>
      <c r="Q255">
        <v>8</v>
      </c>
      <c r="R255" s="32">
        <f t="shared" si="32"/>
        <v>1</v>
      </c>
      <c r="S255">
        <v>8</v>
      </c>
      <c r="T255">
        <v>7</v>
      </c>
      <c r="U255" s="32">
        <f t="shared" si="33"/>
        <v>1</v>
      </c>
      <c r="V255">
        <v>8</v>
      </c>
      <c r="W255">
        <v>7</v>
      </c>
      <c r="X255" s="32">
        <f t="shared" si="34"/>
        <v>1</v>
      </c>
      <c r="Y255">
        <v>9</v>
      </c>
      <c r="Z255">
        <v>8</v>
      </c>
      <c r="AA255" s="32">
        <f t="shared" si="35"/>
        <v>1</v>
      </c>
    </row>
    <row r="256" spans="1:27" x14ac:dyDescent="0.45">
      <c r="A256">
        <v>7</v>
      </c>
      <c r="B256">
        <v>8</v>
      </c>
      <c r="C256" s="32">
        <f t="shared" si="27"/>
        <v>1</v>
      </c>
      <c r="D256">
        <v>8</v>
      </c>
      <c r="E256">
        <v>8</v>
      </c>
      <c r="F256" s="32">
        <f t="shared" si="28"/>
        <v>0</v>
      </c>
      <c r="G256">
        <v>9</v>
      </c>
      <c r="H256">
        <v>7</v>
      </c>
      <c r="I256" s="32">
        <f t="shared" si="29"/>
        <v>2</v>
      </c>
      <c r="J256">
        <v>9</v>
      </c>
      <c r="K256">
        <v>8</v>
      </c>
      <c r="L256" s="32">
        <f t="shared" si="30"/>
        <v>1</v>
      </c>
      <c r="M256">
        <v>8</v>
      </c>
      <c r="N256">
        <v>7</v>
      </c>
      <c r="O256" s="32">
        <f t="shared" si="31"/>
        <v>1</v>
      </c>
      <c r="P256">
        <v>9</v>
      </c>
      <c r="Q256">
        <v>8</v>
      </c>
      <c r="R256" s="32">
        <f t="shared" si="32"/>
        <v>1</v>
      </c>
      <c r="S256">
        <v>8</v>
      </c>
      <c r="T256">
        <v>7</v>
      </c>
      <c r="U256" s="32">
        <f t="shared" si="33"/>
        <v>1</v>
      </c>
      <c r="V256">
        <v>8</v>
      </c>
      <c r="W256">
        <v>7</v>
      </c>
      <c r="X256" s="32">
        <f t="shared" si="34"/>
        <v>1</v>
      </c>
      <c r="Y256">
        <v>9</v>
      </c>
      <c r="Z256">
        <v>8</v>
      </c>
      <c r="AA256" s="32">
        <f t="shared" si="35"/>
        <v>1</v>
      </c>
    </row>
    <row r="257" spans="1:27" x14ac:dyDescent="0.45">
      <c r="A257">
        <v>7</v>
      </c>
      <c r="B257">
        <v>8</v>
      </c>
      <c r="C257" s="32">
        <f t="shared" si="27"/>
        <v>1</v>
      </c>
      <c r="D257">
        <v>8</v>
      </c>
      <c r="E257">
        <v>8</v>
      </c>
      <c r="F257" s="32">
        <f t="shared" si="28"/>
        <v>0</v>
      </c>
      <c r="G257">
        <v>9</v>
      </c>
      <c r="H257">
        <v>7</v>
      </c>
      <c r="I257" s="32">
        <f t="shared" si="29"/>
        <v>2</v>
      </c>
      <c r="J257">
        <v>9</v>
      </c>
      <c r="K257">
        <v>8</v>
      </c>
      <c r="L257" s="32">
        <f t="shared" si="30"/>
        <v>1</v>
      </c>
      <c r="M257">
        <v>8</v>
      </c>
      <c r="N257">
        <v>7</v>
      </c>
      <c r="O257" s="32">
        <f t="shared" si="31"/>
        <v>1</v>
      </c>
      <c r="P257">
        <v>9</v>
      </c>
      <c r="Q257">
        <v>8</v>
      </c>
      <c r="R257" s="32">
        <f t="shared" si="32"/>
        <v>1</v>
      </c>
      <c r="S257">
        <v>8</v>
      </c>
      <c r="T257">
        <v>7</v>
      </c>
      <c r="U257" s="32">
        <f t="shared" si="33"/>
        <v>1</v>
      </c>
      <c r="V257">
        <v>8</v>
      </c>
      <c r="W257">
        <v>7</v>
      </c>
      <c r="X257" s="32">
        <f t="shared" si="34"/>
        <v>1</v>
      </c>
      <c r="Y257">
        <v>9</v>
      </c>
      <c r="Z257">
        <v>8</v>
      </c>
      <c r="AA257" s="32">
        <f t="shared" si="35"/>
        <v>1</v>
      </c>
    </row>
    <row r="258" spans="1:27" x14ac:dyDescent="0.45">
      <c r="A258">
        <v>7</v>
      </c>
      <c r="B258">
        <v>8</v>
      </c>
      <c r="C258" s="32">
        <f t="shared" si="27"/>
        <v>1</v>
      </c>
      <c r="D258">
        <v>8</v>
      </c>
      <c r="E258">
        <v>8</v>
      </c>
      <c r="F258" s="32">
        <f t="shared" si="28"/>
        <v>0</v>
      </c>
      <c r="G258">
        <v>9</v>
      </c>
      <c r="H258">
        <v>7</v>
      </c>
      <c r="I258" s="32">
        <f t="shared" si="29"/>
        <v>2</v>
      </c>
      <c r="J258">
        <v>9</v>
      </c>
      <c r="K258">
        <v>8</v>
      </c>
      <c r="L258" s="32">
        <f t="shared" si="30"/>
        <v>1</v>
      </c>
      <c r="M258">
        <v>8</v>
      </c>
      <c r="N258">
        <v>7</v>
      </c>
      <c r="O258" s="32">
        <f t="shared" si="31"/>
        <v>1</v>
      </c>
      <c r="P258">
        <v>9</v>
      </c>
      <c r="Q258">
        <v>8</v>
      </c>
      <c r="R258" s="32">
        <f t="shared" si="32"/>
        <v>1</v>
      </c>
      <c r="S258">
        <v>8</v>
      </c>
      <c r="T258">
        <v>7</v>
      </c>
      <c r="U258" s="32">
        <f t="shared" si="33"/>
        <v>1</v>
      </c>
      <c r="V258">
        <v>8</v>
      </c>
      <c r="W258">
        <v>7</v>
      </c>
      <c r="X258" s="32">
        <f t="shared" si="34"/>
        <v>1</v>
      </c>
      <c r="Y258">
        <v>9</v>
      </c>
      <c r="Z258">
        <v>8</v>
      </c>
      <c r="AA258" s="32">
        <f t="shared" si="35"/>
        <v>1</v>
      </c>
    </row>
    <row r="259" spans="1:27" x14ac:dyDescent="0.45">
      <c r="A259">
        <v>7</v>
      </c>
      <c r="B259">
        <v>8</v>
      </c>
      <c r="C259" s="32">
        <f t="shared" ref="C259:C322" si="36">ABS(B259-A259)</f>
        <v>1</v>
      </c>
      <c r="D259">
        <v>8</v>
      </c>
      <c r="E259">
        <v>8</v>
      </c>
      <c r="F259" s="32">
        <f t="shared" ref="F259:F322" si="37">ABS(E259-D259)</f>
        <v>0</v>
      </c>
      <c r="G259">
        <v>9</v>
      </c>
      <c r="H259">
        <v>7</v>
      </c>
      <c r="I259" s="32">
        <f t="shared" ref="I259:I322" si="38">ABS(H259-G259)</f>
        <v>2</v>
      </c>
      <c r="J259">
        <v>9</v>
      </c>
      <c r="K259">
        <v>8</v>
      </c>
      <c r="L259" s="32">
        <f t="shared" ref="L259:L322" si="39">ABS(K259-J259)</f>
        <v>1</v>
      </c>
      <c r="M259">
        <v>8</v>
      </c>
      <c r="N259">
        <v>7</v>
      </c>
      <c r="O259" s="32">
        <f t="shared" ref="O259:O322" si="40">ABS(N259-M259)</f>
        <v>1</v>
      </c>
      <c r="P259">
        <v>9</v>
      </c>
      <c r="Q259">
        <v>8</v>
      </c>
      <c r="R259" s="32">
        <f t="shared" ref="R259:R322" si="41">ABS(Q259-P259)</f>
        <v>1</v>
      </c>
      <c r="S259">
        <v>8</v>
      </c>
      <c r="T259">
        <v>7</v>
      </c>
      <c r="U259" s="32">
        <f t="shared" ref="U259:U322" si="42">ABS(T259-S259)</f>
        <v>1</v>
      </c>
      <c r="V259">
        <v>8</v>
      </c>
      <c r="W259">
        <v>7</v>
      </c>
      <c r="X259" s="32">
        <f t="shared" ref="X259:X322" si="43">ABS(W259-V259)</f>
        <v>1</v>
      </c>
      <c r="Y259">
        <v>9</v>
      </c>
      <c r="Z259">
        <v>8</v>
      </c>
      <c r="AA259" s="32">
        <f t="shared" ref="AA259:AA322" si="44">ABS(Z259-Y259)</f>
        <v>1</v>
      </c>
    </row>
    <row r="260" spans="1:27" x14ac:dyDescent="0.45">
      <c r="A260">
        <v>7</v>
      </c>
      <c r="B260">
        <v>8</v>
      </c>
      <c r="C260" s="32">
        <f t="shared" si="36"/>
        <v>1</v>
      </c>
      <c r="D260">
        <v>8</v>
      </c>
      <c r="E260">
        <v>8</v>
      </c>
      <c r="F260" s="32">
        <f t="shared" si="37"/>
        <v>0</v>
      </c>
      <c r="G260">
        <v>9</v>
      </c>
      <c r="H260">
        <v>7</v>
      </c>
      <c r="I260" s="32">
        <f t="shared" si="38"/>
        <v>2</v>
      </c>
      <c r="J260">
        <v>9</v>
      </c>
      <c r="K260">
        <v>8</v>
      </c>
      <c r="L260" s="32">
        <f t="shared" si="39"/>
        <v>1</v>
      </c>
      <c r="M260">
        <v>8</v>
      </c>
      <c r="N260">
        <v>7</v>
      </c>
      <c r="O260" s="32">
        <f t="shared" si="40"/>
        <v>1</v>
      </c>
      <c r="P260">
        <v>9</v>
      </c>
      <c r="Q260">
        <v>8</v>
      </c>
      <c r="R260" s="32">
        <f t="shared" si="41"/>
        <v>1</v>
      </c>
      <c r="S260">
        <v>8</v>
      </c>
      <c r="T260">
        <v>7</v>
      </c>
      <c r="U260" s="32">
        <f t="shared" si="42"/>
        <v>1</v>
      </c>
      <c r="V260">
        <v>8</v>
      </c>
      <c r="W260">
        <v>7</v>
      </c>
      <c r="X260" s="32">
        <f t="shared" si="43"/>
        <v>1</v>
      </c>
      <c r="Y260">
        <v>9</v>
      </c>
      <c r="Z260">
        <v>8</v>
      </c>
      <c r="AA260" s="32">
        <f t="shared" si="44"/>
        <v>1</v>
      </c>
    </row>
    <row r="261" spans="1:27" x14ac:dyDescent="0.45">
      <c r="A261">
        <v>7</v>
      </c>
      <c r="B261">
        <v>8</v>
      </c>
      <c r="C261" s="32">
        <f t="shared" si="36"/>
        <v>1</v>
      </c>
      <c r="D261">
        <v>8</v>
      </c>
      <c r="E261">
        <v>8</v>
      </c>
      <c r="F261" s="32">
        <f t="shared" si="37"/>
        <v>0</v>
      </c>
      <c r="G261">
        <v>9</v>
      </c>
      <c r="H261">
        <v>7</v>
      </c>
      <c r="I261" s="32">
        <f t="shared" si="38"/>
        <v>2</v>
      </c>
      <c r="J261">
        <v>9</v>
      </c>
      <c r="K261">
        <v>8</v>
      </c>
      <c r="L261" s="32">
        <f t="shared" si="39"/>
        <v>1</v>
      </c>
      <c r="M261">
        <v>8</v>
      </c>
      <c r="N261">
        <v>7</v>
      </c>
      <c r="O261" s="32">
        <f t="shared" si="40"/>
        <v>1</v>
      </c>
      <c r="P261">
        <v>9</v>
      </c>
      <c r="Q261">
        <v>8</v>
      </c>
      <c r="R261" s="32">
        <f t="shared" si="41"/>
        <v>1</v>
      </c>
      <c r="S261">
        <v>8</v>
      </c>
      <c r="T261">
        <v>7</v>
      </c>
      <c r="U261" s="32">
        <f t="shared" si="42"/>
        <v>1</v>
      </c>
      <c r="V261">
        <v>8</v>
      </c>
      <c r="W261">
        <v>7</v>
      </c>
      <c r="X261" s="32">
        <f t="shared" si="43"/>
        <v>1</v>
      </c>
      <c r="Y261">
        <v>9</v>
      </c>
      <c r="Z261">
        <v>8</v>
      </c>
      <c r="AA261" s="32">
        <f t="shared" si="44"/>
        <v>1</v>
      </c>
    </row>
    <row r="262" spans="1:27" x14ac:dyDescent="0.45">
      <c r="A262">
        <v>7</v>
      </c>
      <c r="B262">
        <v>8</v>
      </c>
      <c r="C262" s="32">
        <f t="shared" si="36"/>
        <v>1</v>
      </c>
      <c r="D262">
        <v>8</v>
      </c>
      <c r="E262">
        <v>8</v>
      </c>
      <c r="F262" s="32">
        <f t="shared" si="37"/>
        <v>0</v>
      </c>
      <c r="G262">
        <v>9</v>
      </c>
      <c r="H262">
        <v>8</v>
      </c>
      <c r="I262" s="32">
        <f t="shared" si="38"/>
        <v>1</v>
      </c>
      <c r="J262">
        <v>9</v>
      </c>
      <c r="K262">
        <v>8</v>
      </c>
      <c r="L262" s="32">
        <f t="shared" si="39"/>
        <v>1</v>
      </c>
      <c r="M262">
        <v>8</v>
      </c>
      <c r="N262">
        <v>7</v>
      </c>
      <c r="O262" s="32">
        <f t="shared" si="40"/>
        <v>1</v>
      </c>
      <c r="P262">
        <v>9</v>
      </c>
      <c r="Q262">
        <v>8</v>
      </c>
      <c r="R262" s="32">
        <f t="shared" si="41"/>
        <v>1</v>
      </c>
      <c r="S262">
        <v>8</v>
      </c>
      <c r="T262">
        <v>7</v>
      </c>
      <c r="U262" s="32">
        <f t="shared" si="42"/>
        <v>1</v>
      </c>
      <c r="V262">
        <v>8</v>
      </c>
      <c r="W262">
        <v>7</v>
      </c>
      <c r="X262" s="32">
        <f t="shared" si="43"/>
        <v>1</v>
      </c>
      <c r="Y262">
        <v>9</v>
      </c>
      <c r="Z262">
        <v>8</v>
      </c>
      <c r="AA262" s="32">
        <f t="shared" si="44"/>
        <v>1</v>
      </c>
    </row>
    <row r="263" spans="1:27" x14ac:dyDescent="0.45">
      <c r="A263">
        <v>7</v>
      </c>
      <c r="B263">
        <v>8</v>
      </c>
      <c r="C263" s="32">
        <f t="shared" si="36"/>
        <v>1</v>
      </c>
      <c r="D263">
        <v>8</v>
      </c>
      <c r="E263">
        <v>8</v>
      </c>
      <c r="F263" s="32">
        <f t="shared" si="37"/>
        <v>0</v>
      </c>
      <c r="G263">
        <v>9</v>
      </c>
      <c r="H263">
        <v>8</v>
      </c>
      <c r="I263" s="32">
        <f t="shared" si="38"/>
        <v>1</v>
      </c>
      <c r="J263">
        <v>9</v>
      </c>
      <c r="K263">
        <v>8</v>
      </c>
      <c r="L263" s="32">
        <f t="shared" si="39"/>
        <v>1</v>
      </c>
      <c r="M263">
        <v>8</v>
      </c>
      <c r="N263">
        <v>7</v>
      </c>
      <c r="O263" s="32">
        <f t="shared" si="40"/>
        <v>1</v>
      </c>
      <c r="P263">
        <v>9</v>
      </c>
      <c r="Q263">
        <v>8</v>
      </c>
      <c r="R263" s="32">
        <f t="shared" si="41"/>
        <v>1</v>
      </c>
      <c r="S263">
        <v>8</v>
      </c>
      <c r="T263">
        <v>7</v>
      </c>
      <c r="U263" s="32">
        <f t="shared" si="42"/>
        <v>1</v>
      </c>
      <c r="V263">
        <v>8</v>
      </c>
      <c r="W263">
        <v>7</v>
      </c>
      <c r="X263" s="32">
        <f t="shared" si="43"/>
        <v>1</v>
      </c>
      <c r="Y263">
        <v>9</v>
      </c>
      <c r="Z263">
        <v>8</v>
      </c>
      <c r="AA263" s="32">
        <f t="shared" si="44"/>
        <v>1</v>
      </c>
    </row>
    <row r="264" spans="1:27" x14ac:dyDescent="0.45">
      <c r="A264">
        <v>7</v>
      </c>
      <c r="B264">
        <v>8</v>
      </c>
      <c r="C264" s="32">
        <f t="shared" si="36"/>
        <v>1</v>
      </c>
      <c r="D264">
        <v>8</v>
      </c>
      <c r="E264">
        <v>8</v>
      </c>
      <c r="F264" s="32">
        <f t="shared" si="37"/>
        <v>0</v>
      </c>
      <c r="G264">
        <v>9</v>
      </c>
      <c r="H264">
        <v>8</v>
      </c>
      <c r="I264" s="32">
        <f t="shared" si="38"/>
        <v>1</v>
      </c>
      <c r="J264">
        <v>9</v>
      </c>
      <c r="K264">
        <v>8</v>
      </c>
      <c r="L264" s="32">
        <f t="shared" si="39"/>
        <v>1</v>
      </c>
      <c r="M264">
        <v>8</v>
      </c>
      <c r="N264">
        <v>7</v>
      </c>
      <c r="O264" s="32">
        <f t="shared" si="40"/>
        <v>1</v>
      </c>
      <c r="P264">
        <v>9</v>
      </c>
      <c r="Q264">
        <v>8</v>
      </c>
      <c r="R264" s="32">
        <f t="shared" si="41"/>
        <v>1</v>
      </c>
      <c r="S264">
        <v>8</v>
      </c>
      <c r="T264">
        <v>7</v>
      </c>
      <c r="U264" s="32">
        <f t="shared" si="42"/>
        <v>1</v>
      </c>
      <c r="V264">
        <v>8</v>
      </c>
      <c r="W264">
        <v>7</v>
      </c>
      <c r="X264" s="32">
        <f t="shared" si="43"/>
        <v>1</v>
      </c>
      <c r="Y264">
        <v>9</v>
      </c>
      <c r="Z264">
        <v>8</v>
      </c>
      <c r="AA264" s="32">
        <f t="shared" si="44"/>
        <v>1</v>
      </c>
    </row>
    <row r="265" spans="1:27" x14ac:dyDescent="0.45">
      <c r="A265">
        <v>7</v>
      </c>
      <c r="B265">
        <v>8</v>
      </c>
      <c r="C265" s="32">
        <f t="shared" si="36"/>
        <v>1</v>
      </c>
      <c r="D265">
        <v>8</v>
      </c>
      <c r="E265">
        <v>8</v>
      </c>
      <c r="F265" s="32">
        <f t="shared" si="37"/>
        <v>0</v>
      </c>
      <c r="G265">
        <v>9</v>
      </c>
      <c r="H265">
        <v>8</v>
      </c>
      <c r="I265" s="32">
        <f t="shared" si="38"/>
        <v>1</v>
      </c>
      <c r="J265">
        <v>9</v>
      </c>
      <c r="K265">
        <v>8</v>
      </c>
      <c r="L265" s="32">
        <f t="shared" si="39"/>
        <v>1</v>
      </c>
      <c r="M265">
        <v>8</v>
      </c>
      <c r="N265">
        <v>7</v>
      </c>
      <c r="O265" s="32">
        <f t="shared" si="40"/>
        <v>1</v>
      </c>
      <c r="P265">
        <v>9</v>
      </c>
      <c r="Q265">
        <v>8</v>
      </c>
      <c r="R265" s="32">
        <f t="shared" si="41"/>
        <v>1</v>
      </c>
      <c r="S265">
        <v>8</v>
      </c>
      <c r="T265">
        <v>7</v>
      </c>
      <c r="U265" s="32">
        <f t="shared" si="42"/>
        <v>1</v>
      </c>
      <c r="V265">
        <v>8</v>
      </c>
      <c r="W265">
        <v>7</v>
      </c>
      <c r="X265" s="32">
        <f t="shared" si="43"/>
        <v>1</v>
      </c>
      <c r="Y265">
        <v>9</v>
      </c>
      <c r="Z265">
        <v>8</v>
      </c>
      <c r="AA265" s="32">
        <f t="shared" si="44"/>
        <v>1</v>
      </c>
    </row>
    <row r="266" spans="1:27" x14ac:dyDescent="0.45">
      <c r="A266">
        <v>7</v>
      </c>
      <c r="B266">
        <v>8</v>
      </c>
      <c r="C266" s="32">
        <f t="shared" si="36"/>
        <v>1</v>
      </c>
      <c r="D266">
        <v>8</v>
      </c>
      <c r="E266">
        <v>8</v>
      </c>
      <c r="F266" s="32">
        <f t="shared" si="37"/>
        <v>0</v>
      </c>
      <c r="G266">
        <v>9</v>
      </c>
      <c r="H266">
        <v>8</v>
      </c>
      <c r="I266" s="32">
        <f t="shared" si="38"/>
        <v>1</v>
      </c>
      <c r="J266">
        <v>9</v>
      </c>
      <c r="K266">
        <v>8</v>
      </c>
      <c r="L266" s="32">
        <f t="shared" si="39"/>
        <v>1</v>
      </c>
      <c r="M266">
        <v>8</v>
      </c>
      <c r="N266">
        <v>7</v>
      </c>
      <c r="O266" s="32">
        <f t="shared" si="40"/>
        <v>1</v>
      </c>
      <c r="P266">
        <v>9</v>
      </c>
      <c r="Q266">
        <v>8</v>
      </c>
      <c r="R266" s="32">
        <f t="shared" si="41"/>
        <v>1</v>
      </c>
      <c r="S266">
        <v>8</v>
      </c>
      <c r="T266">
        <v>7</v>
      </c>
      <c r="U266" s="32">
        <f t="shared" si="42"/>
        <v>1</v>
      </c>
      <c r="V266">
        <v>8</v>
      </c>
      <c r="W266">
        <v>7</v>
      </c>
      <c r="X266" s="32">
        <f t="shared" si="43"/>
        <v>1</v>
      </c>
      <c r="Y266">
        <v>9</v>
      </c>
      <c r="Z266">
        <v>8</v>
      </c>
      <c r="AA266" s="32">
        <f t="shared" si="44"/>
        <v>1</v>
      </c>
    </row>
    <row r="267" spans="1:27" x14ac:dyDescent="0.45">
      <c r="A267">
        <v>7</v>
      </c>
      <c r="B267">
        <v>8</v>
      </c>
      <c r="C267" s="32">
        <f t="shared" si="36"/>
        <v>1</v>
      </c>
      <c r="D267">
        <v>8</v>
      </c>
      <c r="E267">
        <v>8</v>
      </c>
      <c r="F267" s="32">
        <f t="shared" si="37"/>
        <v>0</v>
      </c>
      <c r="G267">
        <v>9</v>
      </c>
      <c r="H267">
        <v>8</v>
      </c>
      <c r="I267" s="32">
        <f t="shared" si="38"/>
        <v>1</v>
      </c>
      <c r="J267">
        <v>9</v>
      </c>
      <c r="K267">
        <v>8</v>
      </c>
      <c r="L267" s="32">
        <f t="shared" si="39"/>
        <v>1</v>
      </c>
      <c r="M267">
        <v>8</v>
      </c>
      <c r="N267">
        <v>7</v>
      </c>
      <c r="O267" s="32">
        <f t="shared" si="40"/>
        <v>1</v>
      </c>
      <c r="P267">
        <v>9</v>
      </c>
      <c r="Q267">
        <v>8</v>
      </c>
      <c r="R267" s="32">
        <f t="shared" si="41"/>
        <v>1</v>
      </c>
      <c r="S267">
        <v>8</v>
      </c>
      <c r="T267">
        <v>7</v>
      </c>
      <c r="U267" s="32">
        <f t="shared" si="42"/>
        <v>1</v>
      </c>
      <c r="V267">
        <v>8</v>
      </c>
      <c r="W267">
        <v>7</v>
      </c>
      <c r="X267" s="32">
        <f t="shared" si="43"/>
        <v>1</v>
      </c>
      <c r="Y267">
        <v>9</v>
      </c>
      <c r="Z267">
        <v>8</v>
      </c>
      <c r="AA267" s="32">
        <f t="shared" si="44"/>
        <v>1</v>
      </c>
    </row>
    <row r="268" spans="1:27" x14ac:dyDescent="0.45">
      <c r="A268">
        <v>7</v>
      </c>
      <c r="B268">
        <v>8</v>
      </c>
      <c r="C268" s="32">
        <f t="shared" si="36"/>
        <v>1</v>
      </c>
      <c r="D268">
        <v>8</v>
      </c>
      <c r="E268">
        <v>8</v>
      </c>
      <c r="F268" s="32">
        <f t="shared" si="37"/>
        <v>0</v>
      </c>
      <c r="G268">
        <v>9</v>
      </c>
      <c r="H268">
        <v>8</v>
      </c>
      <c r="I268" s="32">
        <f t="shared" si="38"/>
        <v>1</v>
      </c>
      <c r="J268">
        <v>9</v>
      </c>
      <c r="K268">
        <v>8</v>
      </c>
      <c r="L268" s="32">
        <f t="shared" si="39"/>
        <v>1</v>
      </c>
      <c r="M268">
        <v>8</v>
      </c>
      <c r="N268">
        <v>7</v>
      </c>
      <c r="O268" s="32">
        <f t="shared" si="40"/>
        <v>1</v>
      </c>
      <c r="P268">
        <v>9</v>
      </c>
      <c r="Q268">
        <v>8</v>
      </c>
      <c r="R268" s="32">
        <f t="shared" si="41"/>
        <v>1</v>
      </c>
      <c r="S268">
        <v>8</v>
      </c>
      <c r="T268">
        <v>7</v>
      </c>
      <c r="U268" s="32">
        <f t="shared" si="42"/>
        <v>1</v>
      </c>
      <c r="V268">
        <v>8</v>
      </c>
      <c r="W268">
        <v>7</v>
      </c>
      <c r="X268" s="32">
        <f t="shared" si="43"/>
        <v>1</v>
      </c>
      <c r="Y268">
        <v>9</v>
      </c>
      <c r="Z268">
        <v>8</v>
      </c>
      <c r="AA268" s="32">
        <f t="shared" si="44"/>
        <v>1</v>
      </c>
    </row>
    <row r="269" spans="1:27" x14ac:dyDescent="0.45">
      <c r="A269">
        <v>7</v>
      </c>
      <c r="B269">
        <v>8</v>
      </c>
      <c r="C269" s="32">
        <f t="shared" si="36"/>
        <v>1</v>
      </c>
      <c r="D269">
        <v>8</v>
      </c>
      <c r="E269">
        <v>8</v>
      </c>
      <c r="F269" s="32">
        <f t="shared" si="37"/>
        <v>0</v>
      </c>
      <c r="G269">
        <v>9</v>
      </c>
      <c r="H269">
        <v>8</v>
      </c>
      <c r="I269" s="32">
        <f t="shared" si="38"/>
        <v>1</v>
      </c>
      <c r="J269">
        <v>9</v>
      </c>
      <c r="K269">
        <v>8</v>
      </c>
      <c r="L269" s="32">
        <f t="shared" si="39"/>
        <v>1</v>
      </c>
      <c r="M269">
        <v>8</v>
      </c>
      <c r="N269">
        <v>7</v>
      </c>
      <c r="O269" s="32">
        <f t="shared" si="40"/>
        <v>1</v>
      </c>
      <c r="P269">
        <v>9</v>
      </c>
      <c r="Q269">
        <v>8</v>
      </c>
      <c r="R269" s="32">
        <f t="shared" si="41"/>
        <v>1</v>
      </c>
      <c r="S269">
        <v>8</v>
      </c>
      <c r="T269">
        <v>7</v>
      </c>
      <c r="U269" s="32">
        <f t="shared" si="42"/>
        <v>1</v>
      </c>
      <c r="V269">
        <v>8</v>
      </c>
      <c r="W269">
        <v>7</v>
      </c>
      <c r="X269" s="32">
        <f t="shared" si="43"/>
        <v>1</v>
      </c>
      <c r="Y269">
        <v>9</v>
      </c>
      <c r="Z269">
        <v>8</v>
      </c>
      <c r="AA269" s="32">
        <f t="shared" si="44"/>
        <v>1</v>
      </c>
    </row>
    <row r="270" spans="1:27" x14ac:dyDescent="0.45">
      <c r="A270">
        <v>7</v>
      </c>
      <c r="B270">
        <v>8</v>
      </c>
      <c r="C270" s="32">
        <f t="shared" si="36"/>
        <v>1</v>
      </c>
      <c r="D270">
        <v>8</v>
      </c>
      <c r="E270">
        <v>8</v>
      </c>
      <c r="F270" s="32">
        <f t="shared" si="37"/>
        <v>0</v>
      </c>
      <c r="G270">
        <v>9</v>
      </c>
      <c r="H270">
        <v>8</v>
      </c>
      <c r="I270" s="32">
        <f t="shared" si="38"/>
        <v>1</v>
      </c>
      <c r="J270">
        <v>9</v>
      </c>
      <c r="K270">
        <v>8</v>
      </c>
      <c r="L270" s="32">
        <f t="shared" si="39"/>
        <v>1</v>
      </c>
      <c r="M270">
        <v>8</v>
      </c>
      <c r="N270">
        <v>7</v>
      </c>
      <c r="O270" s="32">
        <f t="shared" si="40"/>
        <v>1</v>
      </c>
      <c r="P270">
        <v>9</v>
      </c>
      <c r="Q270">
        <v>8</v>
      </c>
      <c r="R270" s="32">
        <f t="shared" si="41"/>
        <v>1</v>
      </c>
      <c r="S270">
        <v>8</v>
      </c>
      <c r="T270">
        <v>7</v>
      </c>
      <c r="U270" s="32">
        <f t="shared" si="42"/>
        <v>1</v>
      </c>
      <c r="V270">
        <v>8</v>
      </c>
      <c r="W270">
        <v>7</v>
      </c>
      <c r="X270" s="32">
        <f t="shared" si="43"/>
        <v>1</v>
      </c>
      <c r="Y270">
        <v>9</v>
      </c>
      <c r="Z270">
        <v>8</v>
      </c>
      <c r="AA270" s="32">
        <f t="shared" si="44"/>
        <v>1</v>
      </c>
    </row>
    <row r="271" spans="1:27" x14ac:dyDescent="0.45">
      <c r="A271">
        <v>7</v>
      </c>
      <c r="B271">
        <v>8</v>
      </c>
      <c r="C271" s="32">
        <f t="shared" si="36"/>
        <v>1</v>
      </c>
      <c r="D271">
        <v>8</v>
      </c>
      <c r="E271">
        <v>8</v>
      </c>
      <c r="F271" s="32">
        <f t="shared" si="37"/>
        <v>0</v>
      </c>
      <c r="G271">
        <v>9</v>
      </c>
      <c r="H271">
        <v>8</v>
      </c>
      <c r="I271" s="32">
        <f t="shared" si="38"/>
        <v>1</v>
      </c>
      <c r="J271">
        <v>9</v>
      </c>
      <c r="K271">
        <v>8</v>
      </c>
      <c r="L271" s="32">
        <f t="shared" si="39"/>
        <v>1</v>
      </c>
      <c r="M271">
        <v>8</v>
      </c>
      <c r="N271">
        <v>7</v>
      </c>
      <c r="O271" s="32">
        <f t="shared" si="40"/>
        <v>1</v>
      </c>
      <c r="P271">
        <v>9</v>
      </c>
      <c r="Q271">
        <v>8</v>
      </c>
      <c r="R271" s="32">
        <f t="shared" si="41"/>
        <v>1</v>
      </c>
      <c r="S271">
        <v>8</v>
      </c>
      <c r="T271">
        <v>7</v>
      </c>
      <c r="U271" s="32">
        <f t="shared" si="42"/>
        <v>1</v>
      </c>
      <c r="V271">
        <v>8</v>
      </c>
      <c r="W271">
        <v>7</v>
      </c>
      <c r="X271" s="32">
        <f t="shared" si="43"/>
        <v>1</v>
      </c>
      <c r="Y271">
        <v>9</v>
      </c>
      <c r="Z271">
        <v>8</v>
      </c>
      <c r="AA271" s="32">
        <f t="shared" si="44"/>
        <v>1</v>
      </c>
    </row>
    <row r="272" spans="1:27" x14ac:dyDescent="0.45">
      <c r="A272">
        <v>7</v>
      </c>
      <c r="B272">
        <v>8</v>
      </c>
      <c r="C272" s="32">
        <f t="shared" si="36"/>
        <v>1</v>
      </c>
      <c r="D272">
        <v>8</v>
      </c>
      <c r="E272">
        <v>8</v>
      </c>
      <c r="F272" s="32">
        <f t="shared" si="37"/>
        <v>0</v>
      </c>
      <c r="G272">
        <v>9</v>
      </c>
      <c r="H272">
        <v>8</v>
      </c>
      <c r="I272" s="32">
        <f t="shared" si="38"/>
        <v>1</v>
      </c>
      <c r="J272">
        <v>9</v>
      </c>
      <c r="K272">
        <v>8</v>
      </c>
      <c r="L272" s="32">
        <f t="shared" si="39"/>
        <v>1</v>
      </c>
      <c r="M272">
        <v>8</v>
      </c>
      <c r="N272">
        <v>7</v>
      </c>
      <c r="O272" s="32">
        <f t="shared" si="40"/>
        <v>1</v>
      </c>
      <c r="P272">
        <v>9</v>
      </c>
      <c r="Q272">
        <v>8</v>
      </c>
      <c r="R272" s="32">
        <f t="shared" si="41"/>
        <v>1</v>
      </c>
      <c r="S272">
        <v>8</v>
      </c>
      <c r="T272">
        <v>7</v>
      </c>
      <c r="U272" s="32">
        <f t="shared" si="42"/>
        <v>1</v>
      </c>
      <c r="V272">
        <v>8</v>
      </c>
      <c r="W272">
        <v>7</v>
      </c>
      <c r="X272" s="32">
        <f t="shared" si="43"/>
        <v>1</v>
      </c>
      <c r="Y272">
        <v>9</v>
      </c>
      <c r="Z272">
        <v>8</v>
      </c>
      <c r="AA272" s="32">
        <f t="shared" si="44"/>
        <v>1</v>
      </c>
    </row>
    <row r="273" spans="1:27" x14ac:dyDescent="0.45">
      <c r="A273">
        <v>7</v>
      </c>
      <c r="B273">
        <v>8</v>
      </c>
      <c r="C273" s="32">
        <f t="shared" si="36"/>
        <v>1</v>
      </c>
      <c r="D273">
        <v>8</v>
      </c>
      <c r="E273">
        <v>8</v>
      </c>
      <c r="F273" s="32">
        <f t="shared" si="37"/>
        <v>0</v>
      </c>
      <c r="G273">
        <v>9</v>
      </c>
      <c r="H273">
        <v>8</v>
      </c>
      <c r="I273" s="32">
        <f t="shared" si="38"/>
        <v>1</v>
      </c>
      <c r="J273">
        <v>9</v>
      </c>
      <c r="K273">
        <v>8</v>
      </c>
      <c r="L273" s="32">
        <f t="shared" si="39"/>
        <v>1</v>
      </c>
      <c r="M273">
        <v>8</v>
      </c>
      <c r="N273">
        <v>7</v>
      </c>
      <c r="O273" s="32">
        <f t="shared" si="40"/>
        <v>1</v>
      </c>
      <c r="P273">
        <v>9</v>
      </c>
      <c r="Q273">
        <v>8</v>
      </c>
      <c r="R273" s="32">
        <f t="shared" si="41"/>
        <v>1</v>
      </c>
      <c r="S273">
        <v>8</v>
      </c>
      <c r="T273">
        <v>7</v>
      </c>
      <c r="U273" s="32">
        <f t="shared" si="42"/>
        <v>1</v>
      </c>
      <c r="V273">
        <v>8</v>
      </c>
      <c r="W273">
        <v>7</v>
      </c>
      <c r="X273" s="32">
        <f t="shared" si="43"/>
        <v>1</v>
      </c>
      <c r="Y273">
        <v>9</v>
      </c>
      <c r="Z273">
        <v>8</v>
      </c>
      <c r="AA273" s="32">
        <f t="shared" si="44"/>
        <v>1</v>
      </c>
    </row>
    <row r="274" spans="1:27" x14ac:dyDescent="0.45">
      <c r="A274">
        <v>7</v>
      </c>
      <c r="B274">
        <v>8</v>
      </c>
      <c r="C274" s="32">
        <f t="shared" si="36"/>
        <v>1</v>
      </c>
      <c r="D274">
        <v>8</v>
      </c>
      <c r="E274">
        <v>8</v>
      </c>
      <c r="F274" s="32">
        <f t="shared" si="37"/>
        <v>0</v>
      </c>
      <c r="G274">
        <v>9</v>
      </c>
      <c r="H274">
        <v>8</v>
      </c>
      <c r="I274" s="32">
        <f t="shared" si="38"/>
        <v>1</v>
      </c>
      <c r="J274">
        <v>9</v>
      </c>
      <c r="K274">
        <v>8</v>
      </c>
      <c r="L274" s="32">
        <f t="shared" si="39"/>
        <v>1</v>
      </c>
      <c r="M274">
        <v>8</v>
      </c>
      <c r="N274">
        <v>7</v>
      </c>
      <c r="O274" s="32">
        <f t="shared" si="40"/>
        <v>1</v>
      </c>
      <c r="P274">
        <v>9</v>
      </c>
      <c r="Q274">
        <v>8</v>
      </c>
      <c r="R274" s="32">
        <f t="shared" si="41"/>
        <v>1</v>
      </c>
      <c r="S274">
        <v>8</v>
      </c>
      <c r="T274">
        <v>7</v>
      </c>
      <c r="U274" s="32">
        <f t="shared" si="42"/>
        <v>1</v>
      </c>
      <c r="V274">
        <v>8</v>
      </c>
      <c r="W274">
        <v>7</v>
      </c>
      <c r="X274" s="32">
        <f t="shared" si="43"/>
        <v>1</v>
      </c>
      <c r="Y274">
        <v>9</v>
      </c>
      <c r="Z274">
        <v>8</v>
      </c>
      <c r="AA274" s="32">
        <f t="shared" si="44"/>
        <v>1</v>
      </c>
    </row>
    <row r="275" spans="1:27" x14ac:dyDescent="0.45">
      <c r="A275">
        <v>7</v>
      </c>
      <c r="B275">
        <v>8</v>
      </c>
      <c r="C275" s="32">
        <f t="shared" si="36"/>
        <v>1</v>
      </c>
      <c r="D275">
        <v>8</v>
      </c>
      <c r="E275">
        <v>8</v>
      </c>
      <c r="F275" s="32">
        <f t="shared" si="37"/>
        <v>0</v>
      </c>
      <c r="G275">
        <v>9</v>
      </c>
      <c r="H275">
        <v>8</v>
      </c>
      <c r="I275" s="32">
        <f t="shared" si="38"/>
        <v>1</v>
      </c>
      <c r="J275">
        <v>9</v>
      </c>
      <c r="K275">
        <v>8</v>
      </c>
      <c r="L275" s="32">
        <f t="shared" si="39"/>
        <v>1</v>
      </c>
      <c r="M275">
        <v>8</v>
      </c>
      <c r="N275">
        <v>7</v>
      </c>
      <c r="O275" s="32">
        <f t="shared" si="40"/>
        <v>1</v>
      </c>
      <c r="P275">
        <v>9</v>
      </c>
      <c r="Q275">
        <v>8</v>
      </c>
      <c r="R275" s="32">
        <f t="shared" si="41"/>
        <v>1</v>
      </c>
      <c r="S275">
        <v>8</v>
      </c>
      <c r="T275">
        <v>7</v>
      </c>
      <c r="U275" s="32">
        <f t="shared" si="42"/>
        <v>1</v>
      </c>
      <c r="V275">
        <v>8</v>
      </c>
      <c r="W275">
        <v>7</v>
      </c>
      <c r="X275" s="32">
        <f t="shared" si="43"/>
        <v>1</v>
      </c>
      <c r="Y275">
        <v>9</v>
      </c>
      <c r="Z275">
        <v>8</v>
      </c>
      <c r="AA275" s="32">
        <f t="shared" si="44"/>
        <v>1</v>
      </c>
    </row>
    <row r="276" spans="1:27" x14ac:dyDescent="0.45">
      <c r="A276">
        <v>7</v>
      </c>
      <c r="B276">
        <v>8</v>
      </c>
      <c r="C276" s="32">
        <f t="shared" si="36"/>
        <v>1</v>
      </c>
      <c r="D276">
        <v>8</v>
      </c>
      <c r="E276">
        <v>8</v>
      </c>
      <c r="F276" s="32">
        <f t="shared" si="37"/>
        <v>0</v>
      </c>
      <c r="G276">
        <v>9</v>
      </c>
      <c r="H276">
        <v>8</v>
      </c>
      <c r="I276" s="32">
        <f t="shared" si="38"/>
        <v>1</v>
      </c>
      <c r="J276">
        <v>9</v>
      </c>
      <c r="K276">
        <v>8</v>
      </c>
      <c r="L276" s="32">
        <f t="shared" si="39"/>
        <v>1</v>
      </c>
      <c r="M276">
        <v>8</v>
      </c>
      <c r="N276">
        <v>7</v>
      </c>
      <c r="O276" s="32">
        <f t="shared" si="40"/>
        <v>1</v>
      </c>
      <c r="P276">
        <v>9</v>
      </c>
      <c r="Q276">
        <v>8</v>
      </c>
      <c r="R276" s="32">
        <f t="shared" si="41"/>
        <v>1</v>
      </c>
      <c r="S276">
        <v>8</v>
      </c>
      <c r="T276">
        <v>7</v>
      </c>
      <c r="U276" s="32">
        <f t="shared" si="42"/>
        <v>1</v>
      </c>
      <c r="V276">
        <v>8</v>
      </c>
      <c r="W276">
        <v>7</v>
      </c>
      <c r="X276" s="32">
        <f t="shared" si="43"/>
        <v>1</v>
      </c>
      <c r="Y276">
        <v>9</v>
      </c>
      <c r="Z276">
        <v>8</v>
      </c>
      <c r="AA276" s="32">
        <f t="shared" si="44"/>
        <v>1</v>
      </c>
    </row>
    <row r="277" spans="1:27" x14ac:dyDescent="0.45">
      <c r="A277">
        <v>7</v>
      </c>
      <c r="B277">
        <v>8</v>
      </c>
      <c r="C277" s="32">
        <f t="shared" si="36"/>
        <v>1</v>
      </c>
      <c r="D277">
        <v>8</v>
      </c>
      <c r="E277">
        <v>8</v>
      </c>
      <c r="F277" s="32">
        <f t="shared" si="37"/>
        <v>0</v>
      </c>
      <c r="G277">
        <v>9</v>
      </c>
      <c r="H277">
        <v>8</v>
      </c>
      <c r="I277" s="32">
        <f t="shared" si="38"/>
        <v>1</v>
      </c>
      <c r="J277">
        <v>9</v>
      </c>
      <c r="K277">
        <v>8</v>
      </c>
      <c r="L277" s="32">
        <f t="shared" si="39"/>
        <v>1</v>
      </c>
      <c r="M277">
        <v>8</v>
      </c>
      <c r="N277">
        <v>8</v>
      </c>
      <c r="O277" s="32">
        <f t="shared" si="40"/>
        <v>0</v>
      </c>
      <c r="P277">
        <v>9</v>
      </c>
      <c r="Q277">
        <v>8</v>
      </c>
      <c r="R277" s="32">
        <f t="shared" si="41"/>
        <v>1</v>
      </c>
      <c r="S277">
        <v>8</v>
      </c>
      <c r="T277">
        <v>7</v>
      </c>
      <c r="U277" s="32">
        <f t="shared" si="42"/>
        <v>1</v>
      </c>
      <c r="V277">
        <v>8</v>
      </c>
      <c r="W277">
        <v>7</v>
      </c>
      <c r="X277" s="32">
        <f t="shared" si="43"/>
        <v>1</v>
      </c>
      <c r="Y277">
        <v>9</v>
      </c>
      <c r="Z277">
        <v>8</v>
      </c>
      <c r="AA277" s="32">
        <f t="shared" si="44"/>
        <v>1</v>
      </c>
    </row>
    <row r="278" spans="1:27" x14ac:dyDescent="0.45">
      <c r="A278">
        <v>7</v>
      </c>
      <c r="B278">
        <v>8</v>
      </c>
      <c r="C278" s="32">
        <f t="shared" si="36"/>
        <v>1</v>
      </c>
      <c r="D278">
        <v>8</v>
      </c>
      <c r="E278">
        <v>8</v>
      </c>
      <c r="F278" s="32">
        <f t="shared" si="37"/>
        <v>0</v>
      </c>
      <c r="G278">
        <v>9</v>
      </c>
      <c r="H278">
        <v>8</v>
      </c>
      <c r="I278" s="32">
        <f t="shared" si="38"/>
        <v>1</v>
      </c>
      <c r="J278">
        <v>9</v>
      </c>
      <c r="K278">
        <v>8</v>
      </c>
      <c r="L278" s="32">
        <f t="shared" si="39"/>
        <v>1</v>
      </c>
      <c r="M278">
        <v>8</v>
      </c>
      <c r="N278">
        <v>8</v>
      </c>
      <c r="O278" s="32">
        <f t="shared" si="40"/>
        <v>0</v>
      </c>
      <c r="P278">
        <v>9</v>
      </c>
      <c r="Q278">
        <v>8</v>
      </c>
      <c r="R278" s="32">
        <f t="shared" si="41"/>
        <v>1</v>
      </c>
      <c r="S278">
        <v>8</v>
      </c>
      <c r="T278">
        <v>7</v>
      </c>
      <c r="U278" s="32">
        <f t="shared" si="42"/>
        <v>1</v>
      </c>
      <c r="V278">
        <v>8</v>
      </c>
      <c r="W278">
        <v>7</v>
      </c>
      <c r="X278" s="32">
        <f t="shared" si="43"/>
        <v>1</v>
      </c>
      <c r="Y278">
        <v>9</v>
      </c>
      <c r="Z278">
        <v>8</v>
      </c>
      <c r="AA278" s="32">
        <f t="shared" si="44"/>
        <v>1</v>
      </c>
    </row>
    <row r="279" spans="1:27" x14ac:dyDescent="0.45">
      <c r="A279">
        <v>7</v>
      </c>
      <c r="B279">
        <v>8</v>
      </c>
      <c r="C279" s="32">
        <f t="shared" si="36"/>
        <v>1</v>
      </c>
      <c r="D279">
        <v>8</v>
      </c>
      <c r="E279">
        <v>8</v>
      </c>
      <c r="F279" s="32">
        <f t="shared" si="37"/>
        <v>0</v>
      </c>
      <c r="G279">
        <v>9</v>
      </c>
      <c r="H279">
        <v>8</v>
      </c>
      <c r="I279" s="32">
        <f t="shared" si="38"/>
        <v>1</v>
      </c>
      <c r="J279">
        <v>9</v>
      </c>
      <c r="K279">
        <v>8</v>
      </c>
      <c r="L279" s="32">
        <f t="shared" si="39"/>
        <v>1</v>
      </c>
      <c r="M279">
        <v>8</v>
      </c>
      <c r="N279">
        <v>8</v>
      </c>
      <c r="O279" s="32">
        <f t="shared" si="40"/>
        <v>0</v>
      </c>
      <c r="P279">
        <v>9</v>
      </c>
      <c r="Q279">
        <v>8</v>
      </c>
      <c r="R279" s="32">
        <f t="shared" si="41"/>
        <v>1</v>
      </c>
      <c r="S279">
        <v>8</v>
      </c>
      <c r="T279">
        <v>7</v>
      </c>
      <c r="U279" s="32">
        <f t="shared" si="42"/>
        <v>1</v>
      </c>
      <c r="V279">
        <v>8</v>
      </c>
      <c r="W279">
        <v>7</v>
      </c>
      <c r="X279" s="32">
        <f t="shared" si="43"/>
        <v>1</v>
      </c>
      <c r="Y279">
        <v>9</v>
      </c>
      <c r="Z279">
        <v>8</v>
      </c>
      <c r="AA279" s="32">
        <f t="shared" si="44"/>
        <v>1</v>
      </c>
    </row>
    <row r="280" spans="1:27" x14ac:dyDescent="0.45">
      <c r="A280">
        <v>7</v>
      </c>
      <c r="B280">
        <v>8</v>
      </c>
      <c r="C280" s="32">
        <f t="shared" si="36"/>
        <v>1</v>
      </c>
      <c r="D280">
        <v>8</v>
      </c>
      <c r="E280">
        <v>8</v>
      </c>
      <c r="F280" s="32">
        <f t="shared" si="37"/>
        <v>0</v>
      </c>
      <c r="G280">
        <v>9</v>
      </c>
      <c r="H280">
        <v>8</v>
      </c>
      <c r="I280" s="32">
        <f t="shared" si="38"/>
        <v>1</v>
      </c>
      <c r="J280">
        <v>9</v>
      </c>
      <c r="K280">
        <v>8</v>
      </c>
      <c r="L280" s="32">
        <f t="shared" si="39"/>
        <v>1</v>
      </c>
      <c r="M280">
        <v>8</v>
      </c>
      <c r="N280">
        <v>8</v>
      </c>
      <c r="O280" s="32">
        <f t="shared" si="40"/>
        <v>0</v>
      </c>
      <c r="P280">
        <v>9</v>
      </c>
      <c r="Q280">
        <v>8</v>
      </c>
      <c r="R280" s="32">
        <f t="shared" si="41"/>
        <v>1</v>
      </c>
      <c r="S280">
        <v>8</v>
      </c>
      <c r="T280">
        <v>7</v>
      </c>
      <c r="U280" s="32">
        <f t="shared" si="42"/>
        <v>1</v>
      </c>
      <c r="V280">
        <v>8</v>
      </c>
      <c r="W280">
        <v>7</v>
      </c>
      <c r="X280" s="32">
        <f t="shared" si="43"/>
        <v>1</v>
      </c>
      <c r="Y280">
        <v>9</v>
      </c>
      <c r="Z280">
        <v>8</v>
      </c>
      <c r="AA280" s="32">
        <f t="shared" si="44"/>
        <v>1</v>
      </c>
    </row>
    <row r="281" spans="1:27" x14ac:dyDescent="0.45">
      <c r="A281">
        <v>7</v>
      </c>
      <c r="B281">
        <v>8</v>
      </c>
      <c r="C281" s="32">
        <f t="shared" si="36"/>
        <v>1</v>
      </c>
      <c r="D281">
        <v>8</v>
      </c>
      <c r="E281">
        <v>8</v>
      </c>
      <c r="F281" s="32">
        <f t="shared" si="37"/>
        <v>0</v>
      </c>
      <c r="G281">
        <v>9</v>
      </c>
      <c r="H281">
        <v>8</v>
      </c>
      <c r="I281" s="32">
        <f t="shared" si="38"/>
        <v>1</v>
      </c>
      <c r="J281">
        <v>9</v>
      </c>
      <c r="K281">
        <v>8</v>
      </c>
      <c r="L281" s="32">
        <f t="shared" si="39"/>
        <v>1</v>
      </c>
      <c r="M281">
        <v>8</v>
      </c>
      <c r="N281">
        <v>8</v>
      </c>
      <c r="O281" s="32">
        <f t="shared" si="40"/>
        <v>0</v>
      </c>
      <c r="P281">
        <v>9</v>
      </c>
      <c r="Q281">
        <v>8</v>
      </c>
      <c r="R281" s="32">
        <f t="shared" si="41"/>
        <v>1</v>
      </c>
      <c r="S281">
        <v>8</v>
      </c>
      <c r="T281">
        <v>7</v>
      </c>
      <c r="U281" s="32">
        <f t="shared" si="42"/>
        <v>1</v>
      </c>
      <c r="V281">
        <v>8</v>
      </c>
      <c r="W281">
        <v>7</v>
      </c>
      <c r="X281" s="32">
        <f t="shared" si="43"/>
        <v>1</v>
      </c>
      <c r="Y281">
        <v>9</v>
      </c>
      <c r="Z281">
        <v>8</v>
      </c>
      <c r="AA281" s="32">
        <f t="shared" si="44"/>
        <v>1</v>
      </c>
    </row>
    <row r="282" spans="1:27" x14ac:dyDescent="0.45">
      <c r="A282">
        <v>7</v>
      </c>
      <c r="B282">
        <v>8</v>
      </c>
      <c r="C282" s="32">
        <f t="shared" si="36"/>
        <v>1</v>
      </c>
      <c r="D282">
        <v>8</v>
      </c>
      <c r="E282">
        <v>8</v>
      </c>
      <c r="F282" s="32">
        <f t="shared" si="37"/>
        <v>0</v>
      </c>
      <c r="G282">
        <v>9</v>
      </c>
      <c r="H282">
        <v>8</v>
      </c>
      <c r="I282" s="32">
        <f t="shared" si="38"/>
        <v>1</v>
      </c>
      <c r="J282">
        <v>9</v>
      </c>
      <c r="K282">
        <v>8</v>
      </c>
      <c r="L282" s="32">
        <f t="shared" si="39"/>
        <v>1</v>
      </c>
      <c r="M282">
        <v>8</v>
      </c>
      <c r="N282">
        <v>8</v>
      </c>
      <c r="O282" s="32">
        <f t="shared" si="40"/>
        <v>0</v>
      </c>
      <c r="P282">
        <v>9</v>
      </c>
      <c r="Q282">
        <v>8</v>
      </c>
      <c r="R282" s="32">
        <f t="shared" si="41"/>
        <v>1</v>
      </c>
      <c r="S282">
        <v>8</v>
      </c>
      <c r="T282">
        <v>7</v>
      </c>
      <c r="U282" s="32">
        <f t="shared" si="42"/>
        <v>1</v>
      </c>
      <c r="V282">
        <v>8</v>
      </c>
      <c r="W282">
        <v>7</v>
      </c>
      <c r="X282" s="32">
        <f t="shared" si="43"/>
        <v>1</v>
      </c>
      <c r="Y282">
        <v>9</v>
      </c>
      <c r="Z282">
        <v>8</v>
      </c>
      <c r="AA282" s="32">
        <f t="shared" si="44"/>
        <v>1</v>
      </c>
    </row>
    <row r="283" spans="1:27" x14ac:dyDescent="0.45">
      <c r="A283">
        <v>8</v>
      </c>
      <c r="B283">
        <v>8</v>
      </c>
      <c r="C283" s="32">
        <f t="shared" si="36"/>
        <v>0</v>
      </c>
      <c r="D283">
        <v>8</v>
      </c>
      <c r="E283">
        <v>8</v>
      </c>
      <c r="F283" s="32">
        <f t="shared" si="37"/>
        <v>0</v>
      </c>
      <c r="G283">
        <v>9</v>
      </c>
      <c r="H283">
        <v>8</v>
      </c>
      <c r="I283" s="32">
        <f t="shared" si="38"/>
        <v>1</v>
      </c>
      <c r="J283">
        <v>9</v>
      </c>
      <c r="K283">
        <v>8</v>
      </c>
      <c r="L283" s="32">
        <f t="shared" si="39"/>
        <v>1</v>
      </c>
      <c r="M283">
        <v>8</v>
      </c>
      <c r="N283">
        <v>8</v>
      </c>
      <c r="O283" s="32">
        <f t="shared" si="40"/>
        <v>0</v>
      </c>
      <c r="P283">
        <v>9</v>
      </c>
      <c r="Q283">
        <v>8</v>
      </c>
      <c r="R283" s="32">
        <f t="shared" si="41"/>
        <v>1</v>
      </c>
      <c r="S283">
        <v>8</v>
      </c>
      <c r="T283">
        <v>7</v>
      </c>
      <c r="U283" s="32">
        <f t="shared" si="42"/>
        <v>1</v>
      </c>
      <c r="V283">
        <v>8</v>
      </c>
      <c r="W283">
        <v>8</v>
      </c>
      <c r="X283" s="32">
        <f t="shared" si="43"/>
        <v>0</v>
      </c>
      <c r="Y283">
        <v>9</v>
      </c>
      <c r="Z283">
        <v>8</v>
      </c>
      <c r="AA283" s="32">
        <f t="shared" si="44"/>
        <v>1</v>
      </c>
    </row>
    <row r="284" spans="1:27" x14ac:dyDescent="0.45">
      <c r="A284">
        <v>8</v>
      </c>
      <c r="B284">
        <v>8</v>
      </c>
      <c r="C284" s="32">
        <f t="shared" si="36"/>
        <v>0</v>
      </c>
      <c r="D284">
        <v>8</v>
      </c>
      <c r="E284">
        <v>8</v>
      </c>
      <c r="F284" s="32">
        <f t="shared" si="37"/>
        <v>0</v>
      </c>
      <c r="G284">
        <v>9</v>
      </c>
      <c r="H284">
        <v>8</v>
      </c>
      <c r="I284" s="32">
        <f t="shared" si="38"/>
        <v>1</v>
      </c>
      <c r="J284">
        <v>9</v>
      </c>
      <c r="K284">
        <v>8</v>
      </c>
      <c r="L284" s="32">
        <f t="shared" si="39"/>
        <v>1</v>
      </c>
      <c r="M284">
        <v>8</v>
      </c>
      <c r="N284">
        <v>8</v>
      </c>
      <c r="O284" s="32">
        <f t="shared" si="40"/>
        <v>0</v>
      </c>
      <c r="P284">
        <v>9</v>
      </c>
      <c r="Q284">
        <v>8</v>
      </c>
      <c r="R284" s="32">
        <f t="shared" si="41"/>
        <v>1</v>
      </c>
      <c r="S284">
        <v>8</v>
      </c>
      <c r="T284">
        <v>7</v>
      </c>
      <c r="U284" s="32">
        <f t="shared" si="42"/>
        <v>1</v>
      </c>
      <c r="V284">
        <v>8</v>
      </c>
      <c r="W284">
        <v>8</v>
      </c>
      <c r="X284" s="32">
        <f t="shared" si="43"/>
        <v>0</v>
      </c>
      <c r="Y284">
        <v>9</v>
      </c>
      <c r="Z284">
        <v>8</v>
      </c>
      <c r="AA284" s="32">
        <f t="shared" si="44"/>
        <v>1</v>
      </c>
    </row>
    <row r="285" spans="1:27" x14ac:dyDescent="0.45">
      <c r="A285">
        <v>8</v>
      </c>
      <c r="B285">
        <v>8</v>
      </c>
      <c r="C285" s="32">
        <f t="shared" si="36"/>
        <v>0</v>
      </c>
      <c r="D285">
        <v>8</v>
      </c>
      <c r="E285">
        <v>8</v>
      </c>
      <c r="F285" s="32">
        <f t="shared" si="37"/>
        <v>0</v>
      </c>
      <c r="G285">
        <v>9</v>
      </c>
      <c r="H285">
        <v>8</v>
      </c>
      <c r="I285" s="32">
        <f t="shared" si="38"/>
        <v>1</v>
      </c>
      <c r="J285">
        <v>9</v>
      </c>
      <c r="K285">
        <v>8</v>
      </c>
      <c r="L285" s="32">
        <f t="shared" si="39"/>
        <v>1</v>
      </c>
      <c r="M285">
        <v>8</v>
      </c>
      <c r="N285">
        <v>8</v>
      </c>
      <c r="O285" s="32">
        <f t="shared" si="40"/>
        <v>0</v>
      </c>
      <c r="P285">
        <v>9</v>
      </c>
      <c r="Q285">
        <v>8</v>
      </c>
      <c r="R285" s="32">
        <f t="shared" si="41"/>
        <v>1</v>
      </c>
      <c r="S285">
        <v>8</v>
      </c>
      <c r="T285">
        <v>7</v>
      </c>
      <c r="U285" s="32">
        <f t="shared" si="42"/>
        <v>1</v>
      </c>
      <c r="V285">
        <v>8</v>
      </c>
      <c r="W285">
        <v>8</v>
      </c>
      <c r="X285" s="32">
        <f t="shared" si="43"/>
        <v>0</v>
      </c>
      <c r="Y285">
        <v>9</v>
      </c>
      <c r="Z285">
        <v>8</v>
      </c>
      <c r="AA285" s="32">
        <f t="shared" si="44"/>
        <v>1</v>
      </c>
    </row>
    <row r="286" spans="1:27" x14ac:dyDescent="0.45">
      <c r="A286">
        <v>8</v>
      </c>
      <c r="B286">
        <v>8</v>
      </c>
      <c r="C286" s="32">
        <f t="shared" si="36"/>
        <v>0</v>
      </c>
      <c r="D286">
        <v>8</v>
      </c>
      <c r="E286">
        <v>8</v>
      </c>
      <c r="F286" s="32">
        <f t="shared" si="37"/>
        <v>0</v>
      </c>
      <c r="G286">
        <v>9</v>
      </c>
      <c r="H286">
        <v>8</v>
      </c>
      <c r="I286" s="32">
        <f t="shared" si="38"/>
        <v>1</v>
      </c>
      <c r="J286">
        <v>9</v>
      </c>
      <c r="K286">
        <v>8</v>
      </c>
      <c r="L286" s="32">
        <f t="shared" si="39"/>
        <v>1</v>
      </c>
      <c r="M286">
        <v>8</v>
      </c>
      <c r="N286">
        <v>8</v>
      </c>
      <c r="O286" s="32">
        <f t="shared" si="40"/>
        <v>0</v>
      </c>
      <c r="P286">
        <v>9</v>
      </c>
      <c r="Q286">
        <v>8</v>
      </c>
      <c r="R286" s="32">
        <f t="shared" si="41"/>
        <v>1</v>
      </c>
      <c r="S286">
        <v>8</v>
      </c>
      <c r="T286">
        <v>7</v>
      </c>
      <c r="U286" s="32">
        <f t="shared" si="42"/>
        <v>1</v>
      </c>
      <c r="V286">
        <v>8</v>
      </c>
      <c r="W286">
        <v>8</v>
      </c>
      <c r="X286" s="32">
        <f t="shared" si="43"/>
        <v>0</v>
      </c>
      <c r="Y286">
        <v>9</v>
      </c>
      <c r="Z286">
        <v>8</v>
      </c>
      <c r="AA286" s="32">
        <f t="shared" si="44"/>
        <v>1</v>
      </c>
    </row>
    <row r="287" spans="1:27" x14ac:dyDescent="0.45">
      <c r="A287">
        <v>8</v>
      </c>
      <c r="B287">
        <v>8</v>
      </c>
      <c r="C287" s="32">
        <f t="shared" si="36"/>
        <v>0</v>
      </c>
      <c r="D287">
        <v>8</v>
      </c>
      <c r="E287">
        <v>8</v>
      </c>
      <c r="F287" s="32">
        <f t="shared" si="37"/>
        <v>0</v>
      </c>
      <c r="G287">
        <v>9</v>
      </c>
      <c r="H287">
        <v>8</v>
      </c>
      <c r="I287" s="32">
        <f t="shared" si="38"/>
        <v>1</v>
      </c>
      <c r="J287">
        <v>9</v>
      </c>
      <c r="K287">
        <v>8</v>
      </c>
      <c r="L287" s="32">
        <f t="shared" si="39"/>
        <v>1</v>
      </c>
      <c r="M287">
        <v>8</v>
      </c>
      <c r="N287">
        <v>8</v>
      </c>
      <c r="O287" s="32">
        <f t="shared" si="40"/>
        <v>0</v>
      </c>
      <c r="P287">
        <v>9</v>
      </c>
      <c r="Q287">
        <v>8</v>
      </c>
      <c r="R287" s="32">
        <f t="shared" si="41"/>
        <v>1</v>
      </c>
      <c r="S287">
        <v>8</v>
      </c>
      <c r="T287">
        <v>7</v>
      </c>
      <c r="U287" s="32">
        <f t="shared" si="42"/>
        <v>1</v>
      </c>
      <c r="V287">
        <v>8</v>
      </c>
      <c r="W287">
        <v>8</v>
      </c>
      <c r="X287" s="32">
        <f t="shared" si="43"/>
        <v>0</v>
      </c>
      <c r="Y287">
        <v>9</v>
      </c>
      <c r="Z287">
        <v>8</v>
      </c>
      <c r="AA287" s="32">
        <f t="shared" si="44"/>
        <v>1</v>
      </c>
    </row>
    <row r="288" spans="1:27" x14ac:dyDescent="0.45">
      <c r="A288">
        <v>8</v>
      </c>
      <c r="B288">
        <v>8</v>
      </c>
      <c r="C288" s="32">
        <f t="shared" si="36"/>
        <v>0</v>
      </c>
      <c r="D288">
        <v>8</v>
      </c>
      <c r="E288">
        <v>8</v>
      </c>
      <c r="F288" s="32">
        <f t="shared" si="37"/>
        <v>0</v>
      </c>
      <c r="G288">
        <v>9</v>
      </c>
      <c r="H288">
        <v>8</v>
      </c>
      <c r="I288" s="32">
        <f t="shared" si="38"/>
        <v>1</v>
      </c>
      <c r="J288">
        <v>9</v>
      </c>
      <c r="K288">
        <v>8</v>
      </c>
      <c r="L288" s="32">
        <f t="shared" si="39"/>
        <v>1</v>
      </c>
      <c r="M288">
        <v>8</v>
      </c>
      <c r="N288">
        <v>8</v>
      </c>
      <c r="O288" s="32">
        <f t="shared" si="40"/>
        <v>0</v>
      </c>
      <c r="P288">
        <v>9</v>
      </c>
      <c r="Q288">
        <v>8</v>
      </c>
      <c r="R288" s="32">
        <f t="shared" si="41"/>
        <v>1</v>
      </c>
      <c r="S288">
        <v>8</v>
      </c>
      <c r="T288">
        <v>7</v>
      </c>
      <c r="U288" s="32">
        <f t="shared" si="42"/>
        <v>1</v>
      </c>
      <c r="V288">
        <v>8</v>
      </c>
      <c r="W288">
        <v>8</v>
      </c>
      <c r="X288" s="32">
        <f t="shared" si="43"/>
        <v>0</v>
      </c>
      <c r="Y288">
        <v>9</v>
      </c>
      <c r="Z288">
        <v>8</v>
      </c>
      <c r="AA288" s="32">
        <f t="shared" si="44"/>
        <v>1</v>
      </c>
    </row>
    <row r="289" spans="1:27" x14ac:dyDescent="0.45">
      <c r="A289">
        <v>8</v>
      </c>
      <c r="B289">
        <v>8</v>
      </c>
      <c r="C289" s="32">
        <f t="shared" si="36"/>
        <v>0</v>
      </c>
      <c r="D289">
        <v>8</v>
      </c>
      <c r="E289">
        <v>8</v>
      </c>
      <c r="F289" s="32">
        <f t="shared" si="37"/>
        <v>0</v>
      </c>
      <c r="G289">
        <v>9</v>
      </c>
      <c r="H289">
        <v>8</v>
      </c>
      <c r="I289" s="32">
        <f t="shared" si="38"/>
        <v>1</v>
      </c>
      <c r="J289">
        <v>9</v>
      </c>
      <c r="K289">
        <v>8</v>
      </c>
      <c r="L289" s="32">
        <f t="shared" si="39"/>
        <v>1</v>
      </c>
      <c r="M289">
        <v>8</v>
      </c>
      <c r="N289">
        <v>8</v>
      </c>
      <c r="O289" s="32">
        <f t="shared" si="40"/>
        <v>0</v>
      </c>
      <c r="P289">
        <v>9</v>
      </c>
      <c r="Q289">
        <v>8</v>
      </c>
      <c r="R289" s="32">
        <f t="shared" si="41"/>
        <v>1</v>
      </c>
      <c r="S289">
        <v>8</v>
      </c>
      <c r="T289">
        <v>7</v>
      </c>
      <c r="U289" s="32">
        <f t="shared" si="42"/>
        <v>1</v>
      </c>
      <c r="V289">
        <v>8</v>
      </c>
      <c r="W289">
        <v>8</v>
      </c>
      <c r="X289" s="32">
        <f t="shared" si="43"/>
        <v>0</v>
      </c>
      <c r="Y289">
        <v>9</v>
      </c>
      <c r="Z289">
        <v>8</v>
      </c>
      <c r="AA289" s="32">
        <f t="shared" si="44"/>
        <v>1</v>
      </c>
    </row>
    <row r="290" spans="1:27" x14ac:dyDescent="0.45">
      <c r="A290">
        <v>8</v>
      </c>
      <c r="B290">
        <v>8</v>
      </c>
      <c r="C290" s="32">
        <f t="shared" si="36"/>
        <v>0</v>
      </c>
      <c r="D290">
        <v>8</v>
      </c>
      <c r="E290">
        <v>8</v>
      </c>
      <c r="F290" s="32">
        <f t="shared" si="37"/>
        <v>0</v>
      </c>
      <c r="G290">
        <v>9</v>
      </c>
      <c r="H290">
        <v>8</v>
      </c>
      <c r="I290" s="32">
        <f t="shared" si="38"/>
        <v>1</v>
      </c>
      <c r="J290">
        <v>9</v>
      </c>
      <c r="K290">
        <v>8</v>
      </c>
      <c r="L290" s="32">
        <f t="shared" si="39"/>
        <v>1</v>
      </c>
      <c r="M290">
        <v>8</v>
      </c>
      <c r="N290">
        <v>8</v>
      </c>
      <c r="O290" s="32">
        <f t="shared" si="40"/>
        <v>0</v>
      </c>
      <c r="P290">
        <v>9</v>
      </c>
      <c r="Q290">
        <v>8</v>
      </c>
      <c r="R290" s="32">
        <f t="shared" si="41"/>
        <v>1</v>
      </c>
      <c r="S290">
        <v>8</v>
      </c>
      <c r="T290">
        <v>7</v>
      </c>
      <c r="U290" s="32">
        <f t="shared" si="42"/>
        <v>1</v>
      </c>
      <c r="V290">
        <v>8</v>
      </c>
      <c r="W290">
        <v>8</v>
      </c>
      <c r="X290" s="32">
        <f t="shared" si="43"/>
        <v>0</v>
      </c>
      <c r="Y290">
        <v>9</v>
      </c>
      <c r="Z290">
        <v>8</v>
      </c>
      <c r="AA290" s="32">
        <f t="shared" si="44"/>
        <v>1</v>
      </c>
    </row>
    <row r="291" spans="1:27" x14ac:dyDescent="0.45">
      <c r="A291">
        <v>8</v>
      </c>
      <c r="B291">
        <v>8</v>
      </c>
      <c r="C291" s="32">
        <f t="shared" si="36"/>
        <v>0</v>
      </c>
      <c r="D291">
        <v>8</v>
      </c>
      <c r="E291">
        <v>8</v>
      </c>
      <c r="F291" s="32">
        <f t="shared" si="37"/>
        <v>0</v>
      </c>
      <c r="G291">
        <v>9</v>
      </c>
      <c r="H291">
        <v>8</v>
      </c>
      <c r="I291" s="32">
        <f t="shared" si="38"/>
        <v>1</v>
      </c>
      <c r="J291">
        <v>9</v>
      </c>
      <c r="K291">
        <v>8</v>
      </c>
      <c r="L291" s="32">
        <f t="shared" si="39"/>
        <v>1</v>
      </c>
      <c r="M291">
        <v>8</v>
      </c>
      <c r="N291">
        <v>8</v>
      </c>
      <c r="O291" s="32">
        <f t="shared" si="40"/>
        <v>0</v>
      </c>
      <c r="P291">
        <v>9</v>
      </c>
      <c r="Q291">
        <v>8</v>
      </c>
      <c r="R291" s="32">
        <f t="shared" si="41"/>
        <v>1</v>
      </c>
      <c r="S291">
        <v>8</v>
      </c>
      <c r="T291">
        <v>8</v>
      </c>
      <c r="U291" s="32">
        <f t="shared" si="42"/>
        <v>0</v>
      </c>
      <c r="V291">
        <v>8</v>
      </c>
      <c r="W291">
        <v>8</v>
      </c>
      <c r="X291" s="32">
        <f t="shared" si="43"/>
        <v>0</v>
      </c>
      <c r="Y291">
        <v>9</v>
      </c>
      <c r="Z291">
        <v>8</v>
      </c>
      <c r="AA291" s="32">
        <f t="shared" si="44"/>
        <v>1</v>
      </c>
    </row>
    <row r="292" spans="1:27" x14ac:dyDescent="0.45">
      <c r="A292">
        <v>8</v>
      </c>
      <c r="B292">
        <v>8</v>
      </c>
      <c r="C292" s="32">
        <f t="shared" si="36"/>
        <v>0</v>
      </c>
      <c r="D292">
        <v>8</v>
      </c>
      <c r="E292">
        <v>8</v>
      </c>
      <c r="F292" s="32">
        <f t="shared" si="37"/>
        <v>0</v>
      </c>
      <c r="G292">
        <v>9</v>
      </c>
      <c r="H292">
        <v>8</v>
      </c>
      <c r="I292" s="32">
        <f t="shared" si="38"/>
        <v>1</v>
      </c>
      <c r="J292">
        <v>9</v>
      </c>
      <c r="K292">
        <v>8</v>
      </c>
      <c r="L292" s="32">
        <f t="shared" si="39"/>
        <v>1</v>
      </c>
      <c r="M292">
        <v>8</v>
      </c>
      <c r="N292">
        <v>8</v>
      </c>
      <c r="O292" s="32">
        <f t="shared" si="40"/>
        <v>0</v>
      </c>
      <c r="P292">
        <v>9</v>
      </c>
      <c r="Q292">
        <v>8</v>
      </c>
      <c r="R292" s="32">
        <f t="shared" si="41"/>
        <v>1</v>
      </c>
      <c r="S292">
        <v>8</v>
      </c>
      <c r="T292">
        <v>8</v>
      </c>
      <c r="U292" s="32">
        <f t="shared" si="42"/>
        <v>0</v>
      </c>
      <c r="V292">
        <v>8</v>
      </c>
      <c r="W292">
        <v>8</v>
      </c>
      <c r="X292" s="32">
        <f t="shared" si="43"/>
        <v>0</v>
      </c>
      <c r="Y292">
        <v>9</v>
      </c>
      <c r="Z292">
        <v>8</v>
      </c>
      <c r="AA292" s="32">
        <f t="shared" si="44"/>
        <v>1</v>
      </c>
    </row>
    <row r="293" spans="1:27" x14ac:dyDescent="0.45">
      <c r="A293">
        <v>8</v>
      </c>
      <c r="B293">
        <v>8</v>
      </c>
      <c r="C293" s="32">
        <f t="shared" si="36"/>
        <v>0</v>
      </c>
      <c r="D293">
        <v>8</v>
      </c>
      <c r="E293">
        <v>8</v>
      </c>
      <c r="F293" s="32">
        <f t="shared" si="37"/>
        <v>0</v>
      </c>
      <c r="G293">
        <v>9</v>
      </c>
      <c r="H293">
        <v>8</v>
      </c>
      <c r="I293" s="32">
        <f t="shared" si="38"/>
        <v>1</v>
      </c>
      <c r="J293">
        <v>9</v>
      </c>
      <c r="K293">
        <v>8</v>
      </c>
      <c r="L293" s="32">
        <f t="shared" si="39"/>
        <v>1</v>
      </c>
      <c r="M293">
        <v>8</v>
      </c>
      <c r="N293">
        <v>8</v>
      </c>
      <c r="O293" s="32">
        <f t="shared" si="40"/>
        <v>0</v>
      </c>
      <c r="P293">
        <v>9</v>
      </c>
      <c r="Q293">
        <v>8</v>
      </c>
      <c r="R293" s="32">
        <f t="shared" si="41"/>
        <v>1</v>
      </c>
      <c r="S293">
        <v>8</v>
      </c>
      <c r="T293">
        <v>8</v>
      </c>
      <c r="U293" s="32">
        <f t="shared" si="42"/>
        <v>0</v>
      </c>
      <c r="V293">
        <v>8</v>
      </c>
      <c r="W293">
        <v>8</v>
      </c>
      <c r="X293" s="32">
        <f t="shared" si="43"/>
        <v>0</v>
      </c>
      <c r="Y293">
        <v>9</v>
      </c>
      <c r="Z293">
        <v>8</v>
      </c>
      <c r="AA293" s="32">
        <f t="shared" si="44"/>
        <v>1</v>
      </c>
    </row>
    <row r="294" spans="1:27" x14ac:dyDescent="0.45">
      <c r="A294">
        <v>8</v>
      </c>
      <c r="B294">
        <v>8</v>
      </c>
      <c r="C294" s="32">
        <f t="shared" si="36"/>
        <v>0</v>
      </c>
      <c r="D294">
        <v>8</v>
      </c>
      <c r="E294">
        <v>8</v>
      </c>
      <c r="F294" s="32">
        <f t="shared" si="37"/>
        <v>0</v>
      </c>
      <c r="G294">
        <v>9</v>
      </c>
      <c r="H294">
        <v>8</v>
      </c>
      <c r="I294" s="32">
        <f t="shared" si="38"/>
        <v>1</v>
      </c>
      <c r="J294">
        <v>9</v>
      </c>
      <c r="K294">
        <v>8</v>
      </c>
      <c r="L294" s="32">
        <f t="shared" si="39"/>
        <v>1</v>
      </c>
      <c r="M294">
        <v>8</v>
      </c>
      <c r="N294">
        <v>8</v>
      </c>
      <c r="O294" s="32">
        <f t="shared" si="40"/>
        <v>0</v>
      </c>
      <c r="P294">
        <v>9</v>
      </c>
      <c r="Q294">
        <v>8</v>
      </c>
      <c r="R294" s="32">
        <f t="shared" si="41"/>
        <v>1</v>
      </c>
      <c r="S294">
        <v>8</v>
      </c>
      <c r="T294">
        <v>8</v>
      </c>
      <c r="U294" s="32">
        <f t="shared" si="42"/>
        <v>0</v>
      </c>
      <c r="V294">
        <v>8</v>
      </c>
      <c r="W294">
        <v>8</v>
      </c>
      <c r="X294" s="32">
        <f t="shared" si="43"/>
        <v>0</v>
      </c>
      <c r="Y294">
        <v>9</v>
      </c>
      <c r="Z294">
        <v>8</v>
      </c>
      <c r="AA294" s="32">
        <f t="shared" si="44"/>
        <v>1</v>
      </c>
    </row>
    <row r="295" spans="1:27" x14ac:dyDescent="0.45">
      <c r="A295">
        <v>8</v>
      </c>
      <c r="B295">
        <v>8</v>
      </c>
      <c r="C295" s="32">
        <f t="shared" si="36"/>
        <v>0</v>
      </c>
      <c r="D295">
        <v>8</v>
      </c>
      <c r="E295">
        <v>8</v>
      </c>
      <c r="F295" s="32">
        <f t="shared" si="37"/>
        <v>0</v>
      </c>
      <c r="G295">
        <v>9</v>
      </c>
      <c r="H295">
        <v>8</v>
      </c>
      <c r="I295" s="32">
        <f t="shared" si="38"/>
        <v>1</v>
      </c>
      <c r="J295">
        <v>9</v>
      </c>
      <c r="K295">
        <v>8</v>
      </c>
      <c r="L295" s="32">
        <f t="shared" si="39"/>
        <v>1</v>
      </c>
      <c r="M295">
        <v>8</v>
      </c>
      <c r="N295">
        <v>8</v>
      </c>
      <c r="O295" s="32">
        <f t="shared" si="40"/>
        <v>0</v>
      </c>
      <c r="P295">
        <v>9</v>
      </c>
      <c r="Q295">
        <v>8</v>
      </c>
      <c r="R295" s="32">
        <f t="shared" si="41"/>
        <v>1</v>
      </c>
      <c r="S295">
        <v>8</v>
      </c>
      <c r="T295">
        <v>8</v>
      </c>
      <c r="U295" s="32">
        <f t="shared" si="42"/>
        <v>0</v>
      </c>
      <c r="V295">
        <v>8</v>
      </c>
      <c r="W295">
        <v>8</v>
      </c>
      <c r="X295" s="32">
        <f t="shared" si="43"/>
        <v>0</v>
      </c>
      <c r="Y295">
        <v>9</v>
      </c>
      <c r="Z295">
        <v>8</v>
      </c>
      <c r="AA295" s="32">
        <f t="shared" si="44"/>
        <v>1</v>
      </c>
    </row>
    <row r="296" spans="1:27" x14ac:dyDescent="0.45">
      <c r="A296">
        <v>8</v>
      </c>
      <c r="B296">
        <v>8</v>
      </c>
      <c r="C296" s="32">
        <f t="shared" si="36"/>
        <v>0</v>
      </c>
      <c r="D296">
        <v>8</v>
      </c>
      <c r="E296">
        <v>8</v>
      </c>
      <c r="F296" s="32">
        <f t="shared" si="37"/>
        <v>0</v>
      </c>
      <c r="G296">
        <v>9</v>
      </c>
      <c r="H296">
        <v>8</v>
      </c>
      <c r="I296" s="32">
        <f t="shared" si="38"/>
        <v>1</v>
      </c>
      <c r="J296">
        <v>9</v>
      </c>
      <c r="K296">
        <v>8</v>
      </c>
      <c r="L296" s="32">
        <f t="shared" si="39"/>
        <v>1</v>
      </c>
      <c r="M296">
        <v>8</v>
      </c>
      <c r="N296">
        <v>8</v>
      </c>
      <c r="O296" s="32">
        <f t="shared" si="40"/>
        <v>0</v>
      </c>
      <c r="P296">
        <v>9</v>
      </c>
      <c r="Q296">
        <v>8</v>
      </c>
      <c r="R296" s="32">
        <f t="shared" si="41"/>
        <v>1</v>
      </c>
      <c r="S296">
        <v>8</v>
      </c>
      <c r="T296">
        <v>8</v>
      </c>
      <c r="U296" s="32">
        <f t="shared" si="42"/>
        <v>0</v>
      </c>
      <c r="V296">
        <v>8</v>
      </c>
      <c r="W296">
        <v>8</v>
      </c>
      <c r="X296" s="32">
        <f t="shared" si="43"/>
        <v>0</v>
      </c>
      <c r="Y296">
        <v>9</v>
      </c>
      <c r="Z296">
        <v>8</v>
      </c>
      <c r="AA296" s="32">
        <f t="shared" si="44"/>
        <v>1</v>
      </c>
    </row>
    <row r="297" spans="1:27" x14ac:dyDescent="0.45">
      <c r="A297">
        <v>8</v>
      </c>
      <c r="B297">
        <v>8</v>
      </c>
      <c r="C297" s="32">
        <f t="shared" si="36"/>
        <v>0</v>
      </c>
      <c r="D297">
        <v>8</v>
      </c>
      <c r="E297">
        <v>8</v>
      </c>
      <c r="F297" s="32">
        <f t="shared" si="37"/>
        <v>0</v>
      </c>
      <c r="G297">
        <v>9</v>
      </c>
      <c r="H297">
        <v>8</v>
      </c>
      <c r="I297" s="32">
        <f t="shared" si="38"/>
        <v>1</v>
      </c>
      <c r="J297">
        <v>9</v>
      </c>
      <c r="K297">
        <v>8</v>
      </c>
      <c r="L297" s="32">
        <f t="shared" si="39"/>
        <v>1</v>
      </c>
      <c r="M297">
        <v>8</v>
      </c>
      <c r="N297">
        <v>8</v>
      </c>
      <c r="O297" s="32">
        <f t="shared" si="40"/>
        <v>0</v>
      </c>
      <c r="P297">
        <v>9</v>
      </c>
      <c r="Q297">
        <v>8</v>
      </c>
      <c r="R297" s="32">
        <f t="shared" si="41"/>
        <v>1</v>
      </c>
      <c r="S297">
        <v>8</v>
      </c>
      <c r="T297">
        <v>8</v>
      </c>
      <c r="U297" s="32">
        <f t="shared" si="42"/>
        <v>0</v>
      </c>
      <c r="V297">
        <v>8</v>
      </c>
      <c r="W297">
        <v>8</v>
      </c>
      <c r="X297" s="32">
        <f t="shared" si="43"/>
        <v>0</v>
      </c>
      <c r="Y297">
        <v>9</v>
      </c>
      <c r="Z297">
        <v>8</v>
      </c>
      <c r="AA297" s="32">
        <f t="shared" si="44"/>
        <v>1</v>
      </c>
    </row>
    <row r="298" spans="1:27" x14ac:dyDescent="0.45">
      <c r="A298">
        <v>8</v>
      </c>
      <c r="B298">
        <v>8</v>
      </c>
      <c r="C298" s="32">
        <f t="shared" si="36"/>
        <v>0</v>
      </c>
      <c r="D298">
        <v>8</v>
      </c>
      <c r="E298">
        <v>8</v>
      </c>
      <c r="F298" s="32">
        <f t="shared" si="37"/>
        <v>0</v>
      </c>
      <c r="G298">
        <v>9</v>
      </c>
      <c r="H298">
        <v>8</v>
      </c>
      <c r="I298" s="32">
        <f t="shared" si="38"/>
        <v>1</v>
      </c>
      <c r="J298">
        <v>9</v>
      </c>
      <c r="K298">
        <v>8</v>
      </c>
      <c r="L298" s="32">
        <f t="shared" si="39"/>
        <v>1</v>
      </c>
      <c r="M298">
        <v>8</v>
      </c>
      <c r="N298">
        <v>8</v>
      </c>
      <c r="O298" s="32">
        <f t="shared" si="40"/>
        <v>0</v>
      </c>
      <c r="P298">
        <v>9</v>
      </c>
      <c r="Q298">
        <v>8</v>
      </c>
      <c r="R298" s="32">
        <f t="shared" si="41"/>
        <v>1</v>
      </c>
      <c r="S298">
        <v>8</v>
      </c>
      <c r="T298">
        <v>8</v>
      </c>
      <c r="U298" s="32">
        <f t="shared" si="42"/>
        <v>0</v>
      </c>
      <c r="V298">
        <v>8</v>
      </c>
      <c r="W298">
        <v>8</v>
      </c>
      <c r="X298" s="32">
        <f t="shared" si="43"/>
        <v>0</v>
      </c>
      <c r="Y298">
        <v>9</v>
      </c>
      <c r="Z298">
        <v>8</v>
      </c>
      <c r="AA298" s="32">
        <f t="shared" si="44"/>
        <v>1</v>
      </c>
    </row>
    <row r="299" spans="1:27" x14ac:dyDescent="0.45">
      <c r="A299">
        <v>8</v>
      </c>
      <c r="B299">
        <v>8</v>
      </c>
      <c r="C299" s="32">
        <f t="shared" si="36"/>
        <v>0</v>
      </c>
      <c r="D299">
        <v>8</v>
      </c>
      <c r="E299">
        <v>8</v>
      </c>
      <c r="F299" s="32">
        <f t="shared" si="37"/>
        <v>0</v>
      </c>
      <c r="G299">
        <v>9</v>
      </c>
      <c r="H299">
        <v>8</v>
      </c>
      <c r="I299" s="32">
        <f t="shared" si="38"/>
        <v>1</v>
      </c>
      <c r="J299">
        <v>9</v>
      </c>
      <c r="K299">
        <v>8</v>
      </c>
      <c r="L299" s="32">
        <f t="shared" si="39"/>
        <v>1</v>
      </c>
      <c r="M299">
        <v>8</v>
      </c>
      <c r="N299">
        <v>8</v>
      </c>
      <c r="O299" s="32">
        <f t="shared" si="40"/>
        <v>0</v>
      </c>
      <c r="P299">
        <v>9</v>
      </c>
      <c r="Q299">
        <v>8</v>
      </c>
      <c r="R299" s="32">
        <f t="shared" si="41"/>
        <v>1</v>
      </c>
      <c r="S299">
        <v>8</v>
      </c>
      <c r="T299">
        <v>8</v>
      </c>
      <c r="U299" s="32">
        <f t="shared" si="42"/>
        <v>0</v>
      </c>
      <c r="V299">
        <v>8</v>
      </c>
      <c r="W299">
        <v>8</v>
      </c>
      <c r="X299" s="32">
        <f t="shared" si="43"/>
        <v>0</v>
      </c>
      <c r="Y299">
        <v>9</v>
      </c>
      <c r="Z299">
        <v>8</v>
      </c>
      <c r="AA299" s="32">
        <f t="shared" si="44"/>
        <v>1</v>
      </c>
    </row>
    <row r="300" spans="1:27" x14ac:dyDescent="0.45">
      <c r="A300">
        <v>8</v>
      </c>
      <c r="B300">
        <v>8</v>
      </c>
      <c r="C300" s="32">
        <f t="shared" si="36"/>
        <v>0</v>
      </c>
      <c r="D300">
        <v>8</v>
      </c>
      <c r="E300">
        <v>8</v>
      </c>
      <c r="F300" s="32">
        <f t="shared" si="37"/>
        <v>0</v>
      </c>
      <c r="G300">
        <v>9</v>
      </c>
      <c r="H300">
        <v>8</v>
      </c>
      <c r="I300" s="32">
        <f t="shared" si="38"/>
        <v>1</v>
      </c>
      <c r="J300">
        <v>9</v>
      </c>
      <c r="K300">
        <v>8</v>
      </c>
      <c r="L300" s="32">
        <f t="shared" si="39"/>
        <v>1</v>
      </c>
      <c r="M300">
        <v>8</v>
      </c>
      <c r="N300">
        <v>8</v>
      </c>
      <c r="O300" s="32">
        <f t="shared" si="40"/>
        <v>0</v>
      </c>
      <c r="P300">
        <v>9</v>
      </c>
      <c r="Q300">
        <v>8</v>
      </c>
      <c r="R300" s="32">
        <f t="shared" si="41"/>
        <v>1</v>
      </c>
      <c r="S300">
        <v>8</v>
      </c>
      <c r="T300">
        <v>8</v>
      </c>
      <c r="U300" s="32">
        <f t="shared" si="42"/>
        <v>0</v>
      </c>
      <c r="V300">
        <v>8</v>
      </c>
      <c r="W300">
        <v>8</v>
      </c>
      <c r="X300" s="32">
        <f t="shared" si="43"/>
        <v>0</v>
      </c>
      <c r="Y300">
        <v>9</v>
      </c>
      <c r="Z300">
        <v>8</v>
      </c>
      <c r="AA300" s="32">
        <f t="shared" si="44"/>
        <v>1</v>
      </c>
    </row>
    <row r="301" spans="1:27" x14ac:dyDescent="0.45">
      <c r="A301">
        <v>8</v>
      </c>
      <c r="B301">
        <v>8</v>
      </c>
      <c r="C301" s="32">
        <f t="shared" si="36"/>
        <v>0</v>
      </c>
      <c r="D301">
        <v>8</v>
      </c>
      <c r="E301">
        <v>8</v>
      </c>
      <c r="F301" s="32">
        <f t="shared" si="37"/>
        <v>0</v>
      </c>
      <c r="G301">
        <v>9</v>
      </c>
      <c r="H301">
        <v>8</v>
      </c>
      <c r="I301" s="32">
        <f t="shared" si="38"/>
        <v>1</v>
      </c>
      <c r="J301">
        <v>9</v>
      </c>
      <c r="K301">
        <v>8</v>
      </c>
      <c r="L301" s="32">
        <f t="shared" si="39"/>
        <v>1</v>
      </c>
      <c r="M301">
        <v>8</v>
      </c>
      <c r="N301">
        <v>8</v>
      </c>
      <c r="O301" s="32">
        <f t="shared" si="40"/>
        <v>0</v>
      </c>
      <c r="P301">
        <v>9</v>
      </c>
      <c r="Q301">
        <v>8</v>
      </c>
      <c r="R301" s="32">
        <f t="shared" si="41"/>
        <v>1</v>
      </c>
      <c r="S301">
        <v>8</v>
      </c>
      <c r="T301">
        <v>8</v>
      </c>
      <c r="U301" s="32">
        <f t="shared" si="42"/>
        <v>0</v>
      </c>
      <c r="V301">
        <v>8</v>
      </c>
      <c r="W301">
        <v>8</v>
      </c>
      <c r="X301" s="32">
        <f t="shared" si="43"/>
        <v>0</v>
      </c>
      <c r="Y301">
        <v>9</v>
      </c>
      <c r="Z301">
        <v>8</v>
      </c>
      <c r="AA301" s="32">
        <f t="shared" si="44"/>
        <v>1</v>
      </c>
    </row>
    <row r="302" spans="1:27" x14ac:dyDescent="0.45">
      <c r="A302">
        <v>8</v>
      </c>
      <c r="B302">
        <v>8</v>
      </c>
      <c r="C302" s="32">
        <f t="shared" si="36"/>
        <v>0</v>
      </c>
      <c r="D302">
        <v>8</v>
      </c>
      <c r="E302">
        <v>8</v>
      </c>
      <c r="F302" s="32">
        <f t="shared" si="37"/>
        <v>0</v>
      </c>
      <c r="G302">
        <v>9</v>
      </c>
      <c r="H302">
        <v>8</v>
      </c>
      <c r="I302" s="32">
        <f t="shared" si="38"/>
        <v>1</v>
      </c>
      <c r="J302">
        <v>9</v>
      </c>
      <c r="K302">
        <v>8</v>
      </c>
      <c r="L302" s="32">
        <f t="shared" si="39"/>
        <v>1</v>
      </c>
      <c r="M302">
        <v>8</v>
      </c>
      <c r="N302">
        <v>8</v>
      </c>
      <c r="O302" s="32">
        <f t="shared" si="40"/>
        <v>0</v>
      </c>
      <c r="P302">
        <v>9</v>
      </c>
      <c r="Q302">
        <v>8</v>
      </c>
      <c r="R302" s="32">
        <f t="shared" si="41"/>
        <v>1</v>
      </c>
      <c r="S302">
        <v>8</v>
      </c>
      <c r="T302">
        <v>8</v>
      </c>
      <c r="U302" s="32">
        <f t="shared" si="42"/>
        <v>0</v>
      </c>
      <c r="V302">
        <v>8</v>
      </c>
      <c r="W302">
        <v>8</v>
      </c>
      <c r="X302" s="32">
        <f t="shared" si="43"/>
        <v>0</v>
      </c>
      <c r="Y302">
        <v>9</v>
      </c>
      <c r="Z302">
        <v>8</v>
      </c>
      <c r="AA302" s="32">
        <f t="shared" si="44"/>
        <v>1</v>
      </c>
    </row>
    <row r="303" spans="1:27" x14ac:dyDescent="0.45">
      <c r="A303">
        <v>8</v>
      </c>
      <c r="B303">
        <v>8</v>
      </c>
      <c r="C303" s="32">
        <f t="shared" si="36"/>
        <v>0</v>
      </c>
      <c r="D303">
        <v>8</v>
      </c>
      <c r="E303">
        <v>8</v>
      </c>
      <c r="F303" s="32">
        <f t="shared" si="37"/>
        <v>0</v>
      </c>
      <c r="G303">
        <v>9</v>
      </c>
      <c r="H303">
        <v>8</v>
      </c>
      <c r="I303" s="32">
        <f t="shared" si="38"/>
        <v>1</v>
      </c>
      <c r="J303">
        <v>9</v>
      </c>
      <c r="K303">
        <v>9</v>
      </c>
      <c r="L303" s="32">
        <f t="shared" si="39"/>
        <v>0</v>
      </c>
      <c r="M303">
        <v>8</v>
      </c>
      <c r="N303">
        <v>8</v>
      </c>
      <c r="O303" s="32">
        <f t="shared" si="40"/>
        <v>0</v>
      </c>
      <c r="P303">
        <v>9</v>
      </c>
      <c r="Q303">
        <v>8</v>
      </c>
      <c r="R303" s="32">
        <f t="shared" si="41"/>
        <v>1</v>
      </c>
      <c r="S303">
        <v>8</v>
      </c>
      <c r="T303">
        <v>8</v>
      </c>
      <c r="U303" s="32">
        <f t="shared" si="42"/>
        <v>0</v>
      </c>
      <c r="V303">
        <v>8</v>
      </c>
      <c r="W303">
        <v>8</v>
      </c>
      <c r="X303" s="32">
        <f t="shared" si="43"/>
        <v>0</v>
      </c>
      <c r="Y303">
        <v>9</v>
      </c>
      <c r="Z303">
        <v>8</v>
      </c>
      <c r="AA303" s="32">
        <f t="shared" si="44"/>
        <v>1</v>
      </c>
    </row>
    <row r="304" spans="1:27" x14ac:dyDescent="0.45">
      <c r="A304">
        <v>8</v>
      </c>
      <c r="B304">
        <v>8</v>
      </c>
      <c r="C304" s="32">
        <f t="shared" si="36"/>
        <v>0</v>
      </c>
      <c r="D304">
        <v>8</v>
      </c>
      <c r="E304">
        <v>9</v>
      </c>
      <c r="F304" s="32">
        <f t="shared" si="37"/>
        <v>1</v>
      </c>
      <c r="G304">
        <v>9</v>
      </c>
      <c r="H304">
        <v>8</v>
      </c>
      <c r="I304" s="32">
        <f t="shared" si="38"/>
        <v>1</v>
      </c>
      <c r="J304">
        <v>9</v>
      </c>
      <c r="K304">
        <v>9</v>
      </c>
      <c r="L304" s="32">
        <f t="shared" si="39"/>
        <v>0</v>
      </c>
      <c r="M304">
        <v>8</v>
      </c>
      <c r="N304">
        <v>8</v>
      </c>
      <c r="O304" s="32">
        <f t="shared" si="40"/>
        <v>0</v>
      </c>
      <c r="P304">
        <v>9</v>
      </c>
      <c r="Q304">
        <v>8</v>
      </c>
      <c r="R304" s="32">
        <f t="shared" si="41"/>
        <v>1</v>
      </c>
      <c r="S304">
        <v>8</v>
      </c>
      <c r="T304">
        <v>8</v>
      </c>
      <c r="U304" s="32">
        <f t="shared" si="42"/>
        <v>0</v>
      </c>
      <c r="V304">
        <v>8</v>
      </c>
      <c r="W304">
        <v>8</v>
      </c>
      <c r="X304" s="32">
        <f t="shared" si="43"/>
        <v>0</v>
      </c>
      <c r="Y304">
        <v>9</v>
      </c>
      <c r="Z304">
        <v>8</v>
      </c>
      <c r="AA304" s="32">
        <f t="shared" si="44"/>
        <v>1</v>
      </c>
    </row>
    <row r="305" spans="1:27" x14ac:dyDescent="0.45">
      <c r="A305">
        <v>8</v>
      </c>
      <c r="B305">
        <v>8</v>
      </c>
      <c r="C305" s="32">
        <f t="shared" si="36"/>
        <v>0</v>
      </c>
      <c r="D305">
        <v>8</v>
      </c>
      <c r="E305">
        <v>9</v>
      </c>
      <c r="F305" s="32">
        <f t="shared" si="37"/>
        <v>1</v>
      </c>
      <c r="G305">
        <v>9</v>
      </c>
      <c r="H305">
        <v>8</v>
      </c>
      <c r="I305" s="32">
        <f t="shared" si="38"/>
        <v>1</v>
      </c>
      <c r="J305">
        <v>9</v>
      </c>
      <c r="K305">
        <v>9</v>
      </c>
      <c r="L305" s="32">
        <f t="shared" si="39"/>
        <v>0</v>
      </c>
      <c r="M305">
        <v>8</v>
      </c>
      <c r="N305">
        <v>8</v>
      </c>
      <c r="O305" s="32">
        <f t="shared" si="40"/>
        <v>0</v>
      </c>
      <c r="P305">
        <v>9</v>
      </c>
      <c r="Q305">
        <v>8</v>
      </c>
      <c r="R305" s="32">
        <f t="shared" si="41"/>
        <v>1</v>
      </c>
      <c r="S305">
        <v>8</v>
      </c>
      <c r="T305">
        <v>8</v>
      </c>
      <c r="U305" s="32">
        <f t="shared" si="42"/>
        <v>0</v>
      </c>
      <c r="V305">
        <v>8</v>
      </c>
      <c r="W305">
        <v>8</v>
      </c>
      <c r="X305" s="32">
        <f t="shared" si="43"/>
        <v>0</v>
      </c>
      <c r="Y305">
        <v>9</v>
      </c>
      <c r="Z305">
        <v>8</v>
      </c>
      <c r="AA305" s="32">
        <f t="shared" si="44"/>
        <v>1</v>
      </c>
    </row>
    <row r="306" spans="1:27" x14ac:dyDescent="0.45">
      <c r="A306">
        <v>8</v>
      </c>
      <c r="B306">
        <v>8</v>
      </c>
      <c r="C306" s="32">
        <f t="shared" si="36"/>
        <v>0</v>
      </c>
      <c r="D306">
        <v>8</v>
      </c>
      <c r="E306">
        <v>9</v>
      </c>
      <c r="F306" s="32">
        <f t="shared" si="37"/>
        <v>1</v>
      </c>
      <c r="G306">
        <v>9</v>
      </c>
      <c r="H306">
        <v>8</v>
      </c>
      <c r="I306" s="32">
        <f t="shared" si="38"/>
        <v>1</v>
      </c>
      <c r="J306">
        <v>9</v>
      </c>
      <c r="K306">
        <v>9</v>
      </c>
      <c r="L306" s="32">
        <f t="shared" si="39"/>
        <v>0</v>
      </c>
      <c r="M306">
        <v>8</v>
      </c>
      <c r="N306">
        <v>8</v>
      </c>
      <c r="O306" s="32">
        <f t="shared" si="40"/>
        <v>0</v>
      </c>
      <c r="P306">
        <v>9</v>
      </c>
      <c r="Q306">
        <v>8</v>
      </c>
      <c r="R306" s="32">
        <f t="shared" si="41"/>
        <v>1</v>
      </c>
      <c r="S306">
        <v>8</v>
      </c>
      <c r="T306">
        <v>8</v>
      </c>
      <c r="U306" s="32">
        <f t="shared" si="42"/>
        <v>0</v>
      </c>
      <c r="V306">
        <v>8</v>
      </c>
      <c r="W306">
        <v>8</v>
      </c>
      <c r="X306" s="32">
        <f t="shared" si="43"/>
        <v>0</v>
      </c>
      <c r="Y306">
        <v>9</v>
      </c>
      <c r="Z306">
        <v>8</v>
      </c>
      <c r="AA306" s="32">
        <f t="shared" si="44"/>
        <v>1</v>
      </c>
    </row>
    <row r="307" spans="1:27" x14ac:dyDescent="0.45">
      <c r="A307">
        <v>8</v>
      </c>
      <c r="B307">
        <v>8</v>
      </c>
      <c r="C307" s="32">
        <f t="shared" si="36"/>
        <v>0</v>
      </c>
      <c r="D307">
        <v>8</v>
      </c>
      <c r="E307">
        <v>9</v>
      </c>
      <c r="F307" s="32">
        <f t="shared" si="37"/>
        <v>1</v>
      </c>
      <c r="G307">
        <v>9</v>
      </c>
      <c r="H307">
        <v>8</v>
      </c>
      <c r="I307" s="32">
        <f t="shared" si="38"/>
        <v>1</v>
      </c>
      <c r="J307">
        <v>9</v>
      </c>
      <c r="K307">
        <v>9</v>
      </c>
      <c r="L307" s="32">
        <f t="shared" si="39"/>
        <v>0</v>
      </c>
      <c r="M307">
        <v>8</v>
      </c>
      <c r="N307">
        <v>8</v>
      </c>
      <c r="O307" s="32">
        <f t="shared" si="40"/>
        <v>0</v>
      </c>
      <c r="P307">
        <v>9</v>
      </c>
      <c r="Q307">
        <v>8</v>
      </c>
      <c r="R307" s="32">
        <f t="shared" si="41"/>
        <v>1</v>
      </c>
      <c r="S307">
        <v>8</v>
      </c>
      <c r="T307">
        <v>8</v>
      </c>
      <c r="U307" s="32">
        <f t="shared" si="42"/>
        <v>0</v>
      </c>
      <c r="V307">
        <v>8</v>
      </c>
      <c r="W307">
        <v>8</v>
      </c>
      <c r="X307" s="32">
        <f t="shared" si="43"/>
        <v>0</v>
      </c>
      <c r="Y307">
        <v>9</v>
      </c>
      <c r="Z307">
        <v>8</v>
      </c>
      <c r="AA307" s="32">
        <f t="shared" si="44"/>
        <v>1</v>
      </c>
    </row>
    <row r="308" spans="1:27" x14ac:dyDescent="0.45">
      <c r="A308">
        <v>8</v>
      </c>
      <c r="B308">
        <v>8</v>
      </c>
      <c r="C308" s="32">
        <f t="shared" si="36"/>
        <v>0</v>
      </c>
      <c r="D308">
        <v>8</v>
      </c>
      <c r="E308">
        <v>9</v>
      </c>
      <c r="F308" s="32">
        <f t="shared" si="37"/>
        <v>1</v>
      </c>
      <c r="G308">
        <v>9</v>
      </c>
      <c r="H308">
        <v>8</v>
      </c>
      <c r="I308" s="32">
        <f t="shared" si="38"/>
        <v>1</v>
      </c>
      <c r="J308">
        <v>9</v>
      </c>
      <c r="K308">
        <v>9</v>
      </c>
      <c r="L308" s="32">
        <f t="shared" si="39"/>
        <v>0</v>
      </c>
      <c r="M308">
        <v>8</v>
      </c>
      <c r="N308">
        <v>8</v>
      </c>
      <c r="O308" s="32">
        <f t="shared" si="40"/>
        <v>0</v>
      </c>
      <c r="P308">
        <v>9</v>
      </c>
      <c r="Q308">
        <v>8</v>
      </c>
      <c r="R308" s="32">
        <f t="shared" si="41"/>
        <v>1</v>
      </c>
      <c r="S308">
        <v>8</v>
      </c>
      <c r="T308">
        <v>8</v>
      </c>
      <c r="U308" s="32">
        <f t="shared" si="42"/>
        <v>0</v>
      </c>
      <c r="V308">
        <v>8</v>
      </c>
      <c r="W308">
        <v>8</v>
      </c>
      <c r="X308" s="32">
        <f t="shared" si="43"/>
        <v>0</v>
      </c>
      <c r="Y308">
        <v>9</v>
      </c>
      <c r="Z308">
        <v>8</v>
      </c>
      <c r="AA308" s="32">
        <f t="shared" si="44"/>
        <v>1</v>
      </c>
    </row>
    <row r="309" spans="1:27" x14ac:dyDescent="0.45">
      <c r="A309">
        <v>8</v>
      </c>
      <c r="B309">
        <v>8</v>
      </c>
      <c r="C309" s="32">
        <f t="shared" si="36"/>
        <v>0</v>
      </c>
      <c r="D309">
        <v>8</v>
      </c>
      <c r="E309">
        <v>9</v>
      </c>
      <c r="F309" s="32">
        <f t="shared" si="37"/>
        <v>1</v>
      </c>
      <c r="G309">
        <v>9</v>
      </c>
      <c r="H309">
        <v>8</v>
      </c>
      <c r="I309" s="32">
        <f t="shared" si="38"/>
        <v>1</v>
      </c>
      <c r="J309">
        <v>9</v>
      </c>
      <c r="K309">
        <v>9</v>
      </c>
      <c r="L309" s="32">
        <f t="shared" si="39"/>
        <v>0</v>
      </c>
      <c r="M309">
        <v>8</v>
      </c>
      <c r="N309">
        <v>8</v>
      </c>
      <c r="O309" s="32">
        <f t="shared" si="40"/>
        <v>0</v>
      </c>
      <c r="P309">
        <v>9</v>
      </c>
      <c r="Q309">
        <v>8</v>
      </c>
      <c r="R309" s="32">
        <f t="shared" si="41"/>
        <v>1</v>
      </c>
      <c r="S309">
        <v>8</v>
      </c>
      <c r="T309">
        <v>8</v>
      </c>
      <c r="U309" s="32">
        <f t="shared" si="42"/>
        <v>0</v>
      </c>
      <c r="V309">
        <v>8</v>
      </c>
      <c r="W309">
        <v>8</v>
      </c>
      <c r="X309" s="32">
        <f t="shared" si="43"/>
        <v>0</v>
      </c>
      <c r="Y309">
        <v>9</v>
      </c>
      <c r="Z309">
        <v>8</v>
      </c>
      <c r="AA309" s="32">
        <f t="shared" si="44"/>
        <v>1</v>
      </c>
    </row>
    <row r="310" spans="1:27" x14ac:dyDescent="0.45">
      <c r="A310">
        <v>8</v>
      </c>
      <c r="B310">
        <v>8</v>
      </c>
      <c r="C310" s="32">
        <f t="shared" si="36"/>
        <v>0</v>
      </c>
      <c r="D310">
        <v>8</v>
      </c>
      <c r="E310">
        <v>9</v>
      </c>
      <c r="F310" s="32">
        <f t="shared" si="37"/>
        <v>1</v>
      </c>
      <c r="G310">
        <v>9</v>
      </c>
      <c r="H310">
        <v>8</v>
      </c>
      <c r="I310" s="32">
        <f t="shared" si="38"/>
        <v>1</v>
      </c>
      <c r="J310">
        <v>9</v>
      </c>
      <c r="K310">
        <v>9</v>
      </c>
      <c r="L310" s="32">
        <f t="shared" si="39"/>
        <v>0</v>
      </c>
      <c r="M310">
        <v>8</v>
      </c>
      <c r="N310">
        <v>8</v>
      </c>
      <c r="O310" s="32">
        <f t="shared" si="40"/>
        <v>0</v>
      </c>
      <c r="P310">
        <v>9</v>
      </c>
      <c r="Q310">
        <v>8</v>
      </c>
      <c r="R310" s="32">
        <f t="shared" si="41"/>
        <v>1</v>
      </c>
      <c r="S310">
        <v>8</v>
      </c>
      <c r="T310">
        <v>8</v>
      </c>
      <c r="U310" s="32">
        <f t="shared" si="42"/>
        <v>0</v>
      </c>
      <c r="V310">
        <v>8</v>
      </c>
      <c r="W310">
        <v>8</v>
      </c>
      <c r="X310" s="32">
        <f t="shared" si="43"/>
        <v>0</v>
      </c>
      <c r="Y310">
        <v>9</v>
      </c>
      <c r="Z310">
        <v>8</v>
      </c>
      <c r="AA310" s="32">
        <f t="shared" si="44"/>
        <v>1</v>
      </c>
    </row>
    <row r="311" spans="1:27" x14ac:dyDescent="0.45">
      <c r="A311">
        <v>8</v>
      </c>
      <c r="B311">
        <v>8</v>
      </c>
      <c r="C311" s="32">
        <f t="shared" si="36"/>
        <v>0</v>
      </c>
      <c r="D311">
        <v>8</v>
      </c>
      <c r="E311">
        <v>9</v>
      </c>
      <c r="F311" s="32">
        <f t="shared" si="37"/>
        <v>1</v>
      </c>
      <c r="G311">
        <v>9</v>
      </c>
      <c r="H311">
        <v>8</v>
      </c>
      <c r="I311" s="32">
        <f t="shared" si="38"/>
        <v>1</v>
      </c>
      <c r="J311">
        <v>9</v>
      </c>
      <c r="K311">
        <v>9</v>
      </c>
      <c r="L311" s="32">
        <f t="shared" si="39"/>
        <v>0</v>
      </c>
      <c r="M311">
        <v>8</v>
      </c>
      <c r="N311">
        <v>8</v>
      </c>
      <c r="O311" s="32">
        <f t="shared" si="40"/>
        <v>0</v>
      </c>
      <c r="P311">
        <v>9</v>
      </c>
      <c r="Q311">
        <v>8</v>
      </c>
      <c r="R311" s="32">
        <f t="shared" si="41"/>
        <v>1</v>
      </c>
      <c r="S311">
        <v>8</v>
      </c>
      <c r="T311">
        <v>8</v>
      </c>
      <c r="U311" s="32">
        <f t="shared" si="42"/>
        <v>0</v>
      </c>
      <c r="V311">
        <v>8</v>
      </c>
      <c r="W311">
        <v>8</v>
      </c>
      <c r="X311" s="32">
        <f t="shared" si="43"/>
        <v>0</v>
      </c>
      <c r="Y311">
        <v>9</v>
      </c>
      <c r="Z311">
        <v>8</v>
      </c>
      <c r="AA311" s="32">
        <f t="shared" si="44"/>
        <v>1</v>
      </c>
    </row>
    <row r="312" spans="1:27" x14ac:dyDescent="0.45">
      <c r="A312">
        <v>8</v>
      </c>
      <c r="B312">
        <v>8</v>
      </c>
      <c r="C312" s="32">
        <f t="shared" si="36"/>
        <v>0</v>
      </c>
      <c r="D312">
        <v>8</v>
      </c>
      <c r="E312">
        <v>9</v>
      </c>
      <c r="F312" s="32">
        <f t="shared" si="37"/>
        <v>1</v>
      </c>
      <c r="G312">
        <v>9</v>
      </c>
      <c r="H312">
        <v>8</v>
      </c>
      <c r="I312" s="32">
        <f t="shared" si="38"/>
        <v>1</v>
      </c>
      <c r="J312">
        <v>9</v>
      </c>
      <c r="K312">
        <v>9</v>
      </c>
      <c r="L312" s="32">
        <f t="shared" si="39"/>
        <v>0</v>
      </c>
      <c r="M312">
        <v>8</v>
      </c>
      <c r="N312">
        <v>8</v>
      </c>
      <c r="O312" s="32">
        <f t="shared" si="40"/>
        <v>0</v>
      </c>
      <c r="P312">
        <v>9</v>
      </c>
      <c r="Q312">
        <v>8</v>
      </c>
      <c r="R312" s="32">
        <f t="shared" si="41"/>
        <v>1</v>
      </c>
      <c r="S312">
        <v>8</v>
      </c>
      <c r="T312">
        <v>8</v>
      </c>
      <c r="U312" s="32">
        <f t="shared" si="42"/>
        <v>0</v>
      </c>
      <c r="V312">
        <v>8</v>
      </c>
      <c r="W312">
        <v>8</v>
      </c>
      <c r="X312" s="32">
        <f t="shared" si="43"/>
        <v>0</v>
      </c>
      <c r="Y312">
        <v>9</v>
      </c>
      <c r="Z312">
        <v>8</v>
      </c>
      <c r="AA312" s="32">
        <f t="shared" si="44"/>
        <v>1</v>
      </c>
    </row>
    <row r="313" spans="1:27" x14ac:dyDescent="0.45">
      <c r="A313">
        <v>8</v>
      </c>
      <c r="B313">
        <v>8</v>
      </c>
      <c r="C313" s="32">
        <f t="shared" si="36"/>
        <v>0</v>
      </c>
      <c r="D313">
        <v>8</v>
      </c>
      <c r="E313">
        <v>9</v>
      </c>
      <c r="F313" s="32">
        <f t="shared" si="37"/>
        <v>1</v>
      </c>
      <c r="G313">
        <v>9</v>
      </c>
      <c r="H313">
        <v>8</v>
      </c>
      <c r="I313" s="32">
        <f t="shared" si="38"/>
        <v>1</v>
      </c>
      <c r="J313">
        <v>9</v>
      </c>
      <c r="K313">
        <v>9</v>
      </c>
      <c r="L313" s="32">
        <f t="shared" si="39"/>
        <v>0</v>
      </c>
      <c r="M313">
        <v>8</v>
      </c>
      <c r="N313">
        <v>8</v>
      </c>
      <c r="O313" s="32">
        <f t="shared" si="40"/>
        <v>0</v>
      </c>
      <c r="P313">
        <v>9</v>
      </c>
      <c r="Q313">
        <v>8</v>
      </c>
      <c r="R313" s="32">
        <f t="shared" si="41"/>
        <v>1</v>
      </c>
      <c r="S313">
        <v>8</v>
      </c>
      <c r="T313">
        <v>8</v>
      </c>
      <c r="U313" s="32">
        <f t="shared" si="42"/>
        <v>0</v>
      </c>
      <c r="V313">
        <v>8</v>
      </c>
      <c r="W313">
        <v>8</v>
      </c>
      <c r="X313" s="32">
        <f t="shared" si="43"/>
        <v>0</v>
      </c>
      <c r="Y313">
        <v>9</v>
      </c>
      <c r="Z313">
        <v>8</v>
      </c>
      <c r="AA313" s="32">
        <f t="shared" si="44"/>
        <v>1</v>
      </c>
    </row>
    <row r="314" spans="1:27" x14ac:dyDescent="0.45">
      <c r="A314">
        <v>8</v>
      </c>
      <c r="B314">
        <v>8</v>
      </c>
      <c r="C314" s="32">
        <f t="shared" si="36"/>
        <v>0</v>
      </c>
      <c r="D314">
        <v>8</v>
      </c>
      <c r="E314">
        <v>9</v>
      </c>
      <c r="F314" s="32">
        <f t="shared" si="37"/>
        <v>1</v>
      </c>
      <c r="G314">
        <v>9</v>
      </c>
      <c r="H314">
        <v>8</v>
      </c>
      <c r="I314" s="32">
        <f t="shared" si="38"/>
        <v>1</v>
      </c>
      <c r="J314">
        <v>9</v>
      </c>
      <c r="K314">
        <v>9</v>
      </c>
      <c r="L314" s="32">
        <f t="shared" si="39"/>
        <v>0</v>
      </c>
      <c r="M314">
        <v>8</v>
      </c>
      <c r="N314">
        <v>8</v>
      </c>
      <c r="O314" s="32">
        <f t="shared" si="40"/>
        <v>0</v>
      </c>
      <c r="P314">
        <v>9</v>
      </c>
      <c r="Q314">
        <v>8</v>
      </c>
      <c r="R314" s="32">
        <f t="shared" si="41"/>
        <v>1</v>
      </c>
      <c r="S314">
        <v>8</v>
      </c>
      <c r="T314">
        <v>8</v>
      </c>
      <c r="U314" s="32">
        <f t="shared" si="42"/>
        <v>0</v>
      </c>
      <c r="V314">
        <v>9</v>
      </c>
      <c r="W314">
        <v>8</v>
      </c>
      <c r="X314" s="32">
        <f t="shared" si="43"/>
        <v>1</v>
      </c>
      <c r="Y314">
        <v>9</v>
      </c>
      <c r="Z314">
        <v>8</v>
      </c>
      <c r="AA314" s="32">
        <f t="shared" si="44"/>
        <v>1</v>
      </c>
    </row>
    <row r="315" spans="1:27" x14ac:dyDescent="0.45">
      <c r="A315">
        <v>8</v>
      </c>
      <c r="B315">
        <v>8</v>
      </c>
      <c r="C315" s="32">
        <f t="shared" si="36"/>
        <v>0</v>
      </c>
      <c r="D315">
        <v>8</v>
      </c>
      <c r="E315">
        <v>9</v>
      </c>
      <c r="F315" s="32">
        <f t="shared" si="37"/>
        <v>1</v>
      </c>
      <c r="G315">
        <v>9</v>
      </c>
      <c r="H315">
        <v>8</v>
      </c>
      <c r="I315" s="32">
        <f t="shared" si="38"/>
        <v>1</v>
      </c>
      <c r="J315">
        <v>9</v>
      </c>
      <c r="K315">
        <v>9</v>
      </c>
      <c r="L315" s="32">
        <f t="shared" si="39"/>
        <v>0</v>
      </c>
      <c r="M315">
        <v>8</v>
      </c>
      <c r="N315">
        <v>8</v>
      </c>
      <c r="O315" s="32">
        <f t="shared" si="40"/>
        <v>0</v>
      </c>
      <c r="P315">
        <v>9</v>
      </c>
      <c r="Q315">
        <v>8</v>
      </c>
      <c r="R315" s="32">
        <f t="shared" si="41"/>
        <v>1</v>
      </c>
      <c r="S315">
        <v>8</v>
      </c>
      <c r="T315">
        <v>8</v>
      </c>
      <c r="U315" s="32">
        <f t="shared" si="42"/>
        <v>0</v>
      </c>
      <c r="V315">
        <v>9</v>
      </c>
      <c r="W315">
        <v>8</v>
      </c>
      <c r="X315" s="32">
        <f t="shared" si="43"/>
        <v>1</v>
      </c>
      <c r="Y315">
        <v>9</v>
      </c>
      <c r="Z315">
        <v>8</v>
      </c>
      <c r="AA315" s="32">
        <f t="shared" si="44"/>
        <v>1</v>
      </c>
    </row>
    <row r="316" spans="1:27" x14ac:dyDescent="0.45">
      <c r="A316">
        <v>8</v>
      </c>
      <c r="B316">
        <v>9</v>
      </c>
      <c r="C316" s="32">
        <f t="shared" si="36"/>
        <v>1</v>
      </c>
      <c r="D316">
        <v>8</v>
      </c>
      <c r="E316">
        <v>9</v>
      </c>
      <c r="F316" s="32">
        <f t="shared" si="37"/>
        <v>1</v>
      </c>
      <c r="G316">
        <v>9</v>
      </c>
      <c r="H316">
        <v>8</v>
      </c>
      <c r="I316" s="32">
        <f t="shared" si="38"/>
        <v>1</v>
      </c>
      <c r="J316">
        <v>9</v>
      </c>
      <c r="K316">
        <v>9</v>
      </c>
      <c r="L316" s="32">
        <f t="shared" si="39"/>
        <v>0</v>
      </c>
      <c r="M316">
        <v>8</v>
      </c>
      <c r="N316">
        <v>8</v>
      </c>
      <c r="O316" s="32">
        <f t="shared" si="40"/>
        <v>0</v>
      </c>
      <c r="P316">
        <v>9</v>
      </c>
      <c r="Q316">
        <v>8</v>
      </c>
      <c r="R316" s="32">
        <f t="shared" si="41"/>
        <v>1</v>
      </c>
      <c r="S316">
        <v>8</v>
      </c>
      <c r="T316">
        <v>8</v>
      </c>
      <c r="U316" s="32">
        <f t="shared" si="42"/>
        <v>0</v>
      </c>
      <c r="V316">
        <v>9</v>
      </c>
      <c r="W316">
        <v>8</v>
      </c>
      <c r="X316" s="32">
        <f t="shared" si="43"/>
        <v>1</v>
      </c>
      <c r="Y316">
        <v>9</v>
      </c>
      <c r="Z316">
        <v>8</v>
      </c>
      <c r="AA316" s="32">
        <f t="shared" si="44"/>
        <v>1</v>
      </c>
    </row>
    <row r="317" spans="1:27" x14ac:dyDescent="0.45">
      <c r="A317">
        <v>8</v>
      </c>
      <c r="B317">
        <v>9</v>
      </c>
      <c r="C317" s="32">
        <f t="shared" si="36"/>
        <v>1</v>
      </c>
      <c r="D317">
        <v>8</v>
      </c>
      <c r="E317">
        <v>9</v>
      </c>
      <c r="F317" s="32">
        <f t="shared" si="37"/>
        <v>1</v>
      </c>
      <c r="G317">
        <v>9</v>
      </c>
      <c r="H317">
        <v>8</v>
      </c>
      <c r="I317" s="32">
        <f t="shared" si="38"/>
        <v>1</v>
      </c>
      <c r="J317">
        <v>9</v>
      </c>
      <c r="K317">
        <v>9</v>
      </c>
      <c r="L317" s="32">
        <f t="shared" si="39"/>
        <v>0</v>
      </c>
      <c r="M317">
        <v>8</v>
      </c>
      <c r="N317">
        <v>8</v>
      </c>
      <c r="O317" s="32">
        <f t="shared" si="40"/>
        <v>0</v>
      </c>
      <c r="P317">
        <v>9</v>
      </c>
      <c r="Q317">
        <v>8</v>
      </c>
      <c r="R317" s="32">
        <f t="shared" si="41"/>
        <v>1</v>
      </c>
      <c r="S317">
        <v>8</v>
      </c>
      <c r="T317">
        <v>8</v>
      </c>
      <c r="U317" s="32">
        <f t="shared" si="42"/>
        <v>0</v>
      </c>
      <c r="V317">
        <v>9</v>
      </c>
      <c r="W317">
        <v>8</v>
      </c>
      <c r="X317" s="32">
        <f t="shared" si="43"/>
        <v>1</v>
      </c>
      <c r="Y317">
        <v>9</v>
      </c>
      <c r="Z317">
        <v>8</v>
      </c>
      <c r="AA317" s="32">
        <f t="shared" si="44"/>
        <v>1</v>
      </c>
    </row>
    <row r="318" spans="1:27" x14ac:dyDescent="0.45">
      <c r="A318">
        <v>8</v>
      </c>
      <c r="B318">
        <v>9</v>
      </c>
      <c r="C318" s="32">
        <f t="shared" si="36"/>
        <v>1</v>
      </c>
      <c r="D318">
        <v>8</v>
      </c>
      <c r="E318">
        <v>9</v>
      </c>
      <c r="F318" s="32">
        <f t="shared" si="37"/>
        <v>1</v>
      </c>
      <c r="G318">
        <v>9</v>
      </c>
      <c r="H318">
        <v>8</v>
      </c>
      <c r="I318" s="32">
        <f t="shared" si="38"/>
        <v>1</v>
      </c>
      <c r="J318">
        <v>9</v>
      </c>
      <c r="K318">
        <v>9</v>
      </c>
      <c r="L318" s="32">
        <f t="shared" si="39"/>
        <v>0</v>
      </c>
      <c r="M318">
        <v>8</v>
      </c>
      <c r="N318">
        <v>8</v>
      </c>
      <c r="O318" s="32">
        <f t="shared" si="40"/>
        <v>0</v>
      </c>
      <c r="P318">
        <v>9</v>
      </c>
      <c r="Q318">
        <v>8</v>
      </c>
      <c r="R318" s="32">
        <f t="shared" si="41"/>
        <v>1</v>
      </c>
      <c r="S318">
        <v>8</v>
      </c>
      <c r="T318">
        <v>8</v>
      </c>
      <c r="U318" s="32">
        <f t="shared" si="42"/>
        <v>0</v>
      </c>
      <c r="V318">
        <v>9</v>
      </c>
      <c r="W318">
        <v>8</v>
      </c>
      <c r="X318" s="32">
        <f t="shared" si="43"/>
        <v>1</v>
      </c>
      <c r="Y318">
        <v>9</v>
      </c>
      <c r="Z318">
        <v>8</v>
      </c>
      <c r="AA318" s="32">
        <f t="shared" si="44"/>
        <v>1</v>
      </c>
    </row>
    <row r="319" spans="1:27" x14ac:dyDescent="0.45">
      <c r="A319">
        <v>8</v>
      </c>
      <c r="B319">
        <v>9</v>
      </c>
      <c r="C319" s="32">
        <f t="shared" si="36"/>
        <v>1</v>
      </c>
      <c r="D319">
        <v>8</v>
      </c>
      <c r="E319">
        <v>9</v>
      </c>
      <c r="F319" s="32">
        <f t="shared" si="37"/>
        <v>1</v>
      </c>
      <c r="G319">
        <v>9</v>
      </c>
      <c r="H319">
        <v>8</v>
      </c>
      <c r="I319" s="32">
        <f t="shared" si="38"/>
        <v>1</v>
      </c>
      <c r="J319">
        <v>9</v>
      </c>
      <c r="K319">
        <v>9</v>
      </c>
      <c r="L319" s="32">
        <f t="shared" si="39"/>
        <v>0</v>
      </c>
      <c r="M319">
        <v>8</v>
      </c>
      <c r="N319">
        <v>8</v>
      </c>
      <c r="O319" s="32">
        <f t="shared" si="40"/>
        <v>0</v>
      </c>
      <c r="P319">
        <v>9</v>
      </c>
      <c r="Q319">
        <v>8</v>
      </c>
      <c r="R319" s="32">
        <f t="shared" si="41"/>
        <v>1</v>
      </c>
      <c r="S319">
        <v>8</v>
      </c>
      <c r="T319">
        <v>8</v>
      </c>
      <c r="U319" s="32">
        <f t="shared" si="42"/>
        <v>0</v>
      </c>
      <c r="V319">
        <v>9</v>
      </c>
      <c r="W319">
        <v>8</v>
      </c>
      <c r="X319" s="32">
        <f t="shared" si="43"/>
        <v>1</v>
      </c>
      <c r="Y319">
        <v>9</v>
      </c>
      <c r="Z319">
        <v>9</v>
      </c>
      <c r="AA319" s="32">
        <f t="shared" si="44"/>
        <v>0</v>
      </c>
    </row>
    <row r="320" spans="1:27" x14ac:dyDescent="0.45">
      <c r="A320">
        <v>8</v>
      </c>
      <c r="B320">
        <v>9</v>
      </c>
      <c r="C320" s="32">
        <f t="shared" si="36"/>
        <v>1</v>
      </c>
      <c r="D320">
        <v>8</v>
      </c>
      <c r="E320">
        <v>9</v>
      </c>
      <c r="F320" s="32">
        <f t="shared" si="37"/>
        <v>1</v>
      </c>
      <c r="G320">
        <v>9</v>
      </c>
      <c r="H320">
        <v>8</v>
      </c>
      <c r="I320" s="32">
        <f t="shared" si="38"/>
        <v>1</v>
      </c>
      <c r="J320">
        <v>9</v>
      </c>
      <c r="K320">
        <v>9</v>
      </c>
      <c r="L320" s="32">
        <f t="shared" si="39"/>
        <v>0</v>
      </c>
      <c r="M320">
        <v>8</v>
      </c>
      <c r="N320">
        <v>8</v>
      </c>
      <c r="O320" s="32">
        <f t="shared" si="40"/>
        <v>0</v>
      </c>
      <c r="P320">
        <v>9</v>
      </c>
      <c r="Q320">
        <v>9</v>
      </c>
      <c r="R320" s="32">
        <f t="shared" si="41"/>
        <v>0</v>
      </c>
      <c r="S320">
        <v>8</v>
      </c>
      <c r="T320">
        <v>8</v>
      </c>
      <c r="U320" s="32">
        <f t="shared" si="42"/>
        <v>0</v>
      </c>
      <c r="V320">
        <v>9</v>
      </c>
      <c r="W320">
        <v>8</v>
      </c>
      <c r="X320" s="32">
        <f t="shared" si="43"/>
        <v>1</v>
      </c>
      <c r="Y320">
        <v>9</v>
      </c>
      <c r="Z320">
        <v>9</v>
      </c>
      <c r="AA320" s="32">
        <f t="shared" si="44"/>
        <v>0</v>
      </c>
    </row>
    <row r="321" spans="1:27" x14ac:dyDescent="0.45">
      <c r="A321">
        <v>8</v>
      </c>
      <c r="B321">
        <v>9</v>
      </c>
      <c r="C321" s="32">
        <f t="shared" si="36"/>
        <v>1</v>
      </c>
      <c r="D321">
        <v>8</v>
      </c>
      <c r="E321">
        <v>9</v>
      </c>
      <c r="F321" s="32">
        <f t="shared" si="37"/>
        <v>1</v>
      </c>
      <c r="G321">
        <v>9</v>
      </c>
      <c r="H321">
        <v>8</v>
      </c>
      <c r="I321" s="32">
        <f t="shared" si="38"/>
        <v>1</v>
      </c>
      <c r="J321">
        <v>9</v>
      </c>
      <c r="K321">
        <v>9</v>
      </c>
      <c r="L321" s="32">
        <f t="shared" si="39"/>
        <v>0</v>
      </c>
      <c r="M321">
        <v>8</v>
      </c>
      <c r="N321">
        <v>8</v>
      </c>
      <c r="O321" s="32">
        <f t="shared" si="40"/>
        <v>0</v>
      </c>
      <c r="P321">
        <v>9</v>
      </c>
      <c r="Q321">
        <v>9</v>
      </c>
      <c r="R321" s="32">
        <f t="shared" si="41"/>
        <v>0</v>
      </c>
      <c r="S321">
        <v>8</v>
      </c>
      <c r="T321">
        <v>8</v>
      </c>
      <c r="U321" s="32">
        <f t="shared" si="42"/>
        <v>0</v>
      </c>
      <c r="V321">
        <v>9</v>
      </c>
      <c r="W321">
        <v>8</v>
      </c>
      <c r="X321" s="32">
        <f t="shared" si="43"/>
        <v>1</v>
      </c>
      <c r="Y321">
        <v>9</v>
      </c>
      <c r="Z321">
        <v>9</v>
      </c>
      <c r="AA321" s="32">
        <f t="shared" si="44"/>
        <v>0</v>
      </c>
    </row>
    <row r="322" spans="1:27" x14ac:dyDescent="0.45">
      <c r="A322">
        <v>8</v>
      </c>
      <c r="B322">
        <v>9</v>
      </c>
      <c r="C322" s="32">
        <f t="shared" si="36"/>
        <v>1</v>
      </c>
      <c r="D322">
        <v>8</v>
      </c>
      <c r="E322">
        <v>9</v>
      </c>
      <c r="F322" s="32">
        <f t="shared" si="37"/>
        <v>1</v>
      </c>
      <c r="G322">
        <v>9</v>
      </c>
      <c r="H322">
        <v>8</v>
      </c>
      <c r="I322" s="32">
        <f t="shared" si="38"/>
        <v>1</v>
      </c>
      <c r="J322">
        <v>9</v>
      </c>
      <c r="K322">
        <v>9</v>
      </c>
      <c r="L322" s="32">
        <f t="shared" si="39"/>
        <v>0</v>
      </c>
      <c r="M322">
        <v>8</v>
      </c>
      <c r="N322">
        <v>8</v>
      </c>
      <c r="O322" s="32">
        <f t="shared" si="40"/>
        <v>0</v>
      </c>
      <c r="P322">
        <v>9</v>
      </c>
      <c r="Q322">
        <v>9</v>
      </c>
      <c r="R322" s="32">
        <f t="shared" si="41"/>
        <v>0</v>
      </c>
      <c r="S322">
        <v>8</v>
      </c>
      <c r="T322">
        <v>8</v>
      </c>
      <c r="U322" s="32">
        <f t="shared" si="42"/>
        <v>0</v>
      </c>
      <c r="V322">
        <v>9</v>
      </c>
      <c r="W322">
        <v>8</v>
      </c>
      <c r="X322" s="32">
        <f t="shared" si="43"/>
        <v>1</v>
      </c>
      <c r="Y322">
        <v>9</v>
      </c>
      <c r="Z322">
        <v>9</v>
      </c>
      <c r="AA322" s="32">
        <f t="shared" si="44"/>
        <v>0</v>
      </c>
    </row>
    <row r="323" spans="1:27" x14ac:dyDescent="0.45">
      <c r="A323">
        <v>8</v>
      </c>
      <c r="B323">
        <v>9</v>
      </c>
      <c r="C323" s="32">
        <f t="shared" ref="C323:C386" si="45">ABS(B323-A323)</f>
        <v>1</v>
      </c>
      <c r="D323">
        <v>8</v>
      </c>
      <c r="E323">
        <v>9</v>
      </c>
      <c r="F323" s="32">
        <f t="shared" ref="F323:F386" si="46">ABS(E323-D323)</f>
        <v>1</v>
      </c>
      <c r="G323">
        <v>9</v>
      </c>
      <c r="H323">
        <v>8</v>
      </c>
      <c r="I323" s="32">
        <f t="shared" ref="I323:I386" si="47">ABS(H323-G323)</f>
        <v>1</v>
      </c>
      <c r="J323">
        <v>9</v>
      </c>
      <c r="K323">
        <v>9</v>
      </c>
      <c r="L323" s="32">
        <f t="shared" ref="L323:L386" si="48">ABS(K323-J323)</f>
        <v>0</v>
      </c>
      <c r="M323">
        <v>8</v>
      </c>
      <c r="N323">
        <v>8</v>
      </c>
      <c r="O323" s="32">
        <f t="shared" ref="O323:O386" si="49">ABS(N323-M323)</f>
        <v>0</v>
      </c>
      <c r="P323">
        <v>9</v>
      </c>
      <c r="Q323">
        <v>9</v>
      </c>
      <c r="R323" s="32">
        <f t="shared" ref="R323:R386" si="50">ABS(Q323-P323)</f>
        <v>0</v>
      </c>
      <c r="S323">
        <v>8</v>
      </c>
      <c r="T323">
        <v>8</v>
      </c>
      <c r="U323" s="32">
        <f t="shared" ref="U323:U386" si="51">ABS(T323-S323)</f>
        <v>0</v>
      </c>
      <c r="V323">
        <v>9</v>
      </c>
      <c r="W323">
        <v>8</v>
      </c>
      <c r="X323" s="32">
        <f t="shared" ref="X323:X386" si="52">ABS(W323-V323)</f>
        <v>1</v>
      </c>
      <c r="Y323">
        <v>9</v>
      </c>
      <c r="Z323">
        <v>9</v>
      </c>
      <c r="AA323" s="32">
        <f t="shared" ref="AA323:AA386" si="53">ABS(Z323-Y323)</f>
        <v>0</v>
      </c>
    </row>
    <row r="324" spans="1:27" x14ac:dyDescent="0.45">
      <c r="A324">
        <v>8</v>
      </c>
      <c r="B324">
        <v>9</v>
      </c>
      <c r="C324" s="32">
        <f t="shared" si="45"/>
        <v>1</v>
      </c>
      <c r="D324">
        <v>8</v>
      </c>
      <c r="E324">
        <v>9</v>
      </c>
      <c r="F324" s="32">
        <f t="shared" si="46"/>
        <v>1</v>
      </c>
      <c r="G324">
        <v>9</v>
      </c>
      <c r="H324">
        <v>8</v>
      </c>
      <c r="I324" s="32">
        <f t="shared" si="47"/>
        <v>1</v>
      </c>
      <c r="J324">
        <v>9</v>
      </c>
      <c r="K324">
        <v>9</v>
      </c>
      <c r="L324" s="32">
        <f t="shared" si="48"/>
        <v>0</v>
      </c>
      <c r="M324">
        <v>9</v>
      </c>
      <c r="N324">
        <v>8</v>
      </c>
      <c r="O324" s="32">
        <f t="shared" si="49"/>
        <v>1</v>
      </c>
      <c r="P324">
        <v>9</v>
      </c>
      <c r="Q324">
        <v>9</v>
      </c>
      <c r="R324" s="32">
        <f t="shared" si="50"/>
        <v>0</v>
      </c>
      <c r="S324">
        <v>8</v>
      </c>
      <c r="T324">
        <v>8</v>
      </c>
      <c r="U324" s="32">
        <f t="shared" si="51"/>
        <v>0</v>
      </c>
      <c r="V324">
        <v>9</v>
      </c>
      <c r="W324">
        <v>8</v>
      </c>
      <c r="X324" s="32">
        <f t="shared" si="52"/>
        <v>1</v>
      </c>
      <c r="Y324">
        <v>9</v>
      </c>
      <c r="Z324">
        <v>9</v>
      </c>
      <c r="AA324" s="32">
        <f t="shared" si="53"/>
        <v>0</v>
      </c>
    </row>
    <row r="325" spans="1:27" x14ac:dyDescent="0.45">
      <c r="A325">
        <v>8</v>
      </c>
      <c r="B325">
        <v>9</v>
      </c>
      <c r="C325" s="32">
        <f t="shared" si="45"/>
        <v>1</v>
      </c>
      <c r="D325">
        <v>8</v>
      </c>
      <c r="E325">
        <v>9</v>
      </c>
      <c r="F325" s="32">
        <f t="shared" si="46"/>
        <v>1</v>
      </c>
      <c r="G325">
        <v>9</v>
      </c>
      <c r="H325">
        <v>8</v>
      </c>
      <c r="I325" s="32">
        <f t="shared" si="47"/>
        <v>1</v>
      </c>
      <c r="J325">
        <v>9</v>
      </c>
      <c r="K325">
        <v>9</v>
      </c>
      <c r="L325" s="32">
        <f t="shared" si="48"/>
        <v>0</v>
      </c>
      <c r="M325">
        <v>9</v>
      </c>
      <c r="N325">
        <v>8</v>
      </c>
      <c r="O325" s="32">
        <f t="shared" si="49"/>
        <v>1</v>
      </c>
      <c r="P325">
        <v>9</v>
      </c>
      <c r="Q325">
        <v>9</v>
      </c>
      <c r="R325" s="32">
        <f t="shared" si="50"/>
        <v>0</v>
      </c>
      <c r="S325">
        <v>8</v>
      </c>
      <c r="T325">
        <v>8</v>
      </c>
      <c r="U325" s="32">
        <f t="shared" si="51"/>
        <v>0</v>
      </c>
      <c r="V325">
        <v>9</v>
      </c>
      <c r="W325">
        <v>8</v>
      </c>
      <c r="X325" s="32">
        <f t="shared" si="52"/>
        <v>1</v>
      </c>
      <c r="Y325">
        <v>9</v>
      </c>
      <c r="Z325">
        <v>9</v>
      </c>
      <c r="AA325" s="32">
        <f t="shared" si="53"/>
        <v>0</v>
      </c>
    </row>
    <row r="326" spans="1:27" x14ac:dyDescent="0.45">
      <c r="A326">
        <v>8</v>
      </c>
      <c r="B326">
        <v>9</v>
      </c>
      <c r="C326" s="32">
        <f t="shared" si="45"/>
        <v>1</v>
      </c>
      <c r="D326">
        <v>8</v>
      </c>
      <c r="E326">
        <v>9</v>
      </c>
      <c r="F326" s="32">
        <f t="shared" si="46"/>
        <v>1</v>
      </c>
      <c r="G326">
        <v>9</v>
      </c>
      <c r="H326">
        <v>8</v>
      </c>
      <c r="I326" s="32">
        <f t="shared" si="47"/>
        <v>1</v>
      </c>
      <c r="J326">
        <v>9</v>
      </c>
      <c r="K326">
        <v>9</v>
      </c>
      <c r="L326" s="32">
        <f t="shared" si="48"/>
        <v>0</v>
      </c>
      <c r="M326">
        <v>9</v>
      </c>
      <c r="N326">
        <v>8</v>
      </c>
      <c r="O326" s="32">
        <f t="shared" si="49"/>
        <v>1</v>
      </c>
      <c r="P326">
        <v>9</v>
      </c>
      <c r="Q326">
        <v>9</v>
      </c>
      <c r="R326" s="32">
        <f t="shared" si="50"/>
        <v>0</v>
      </c>
      <c r="S326">
        <v>8</v>
      </c>
      <c r="T326">
        <v>8</v>
      </c>
      <c r="U326" s="32">
        <f t="shared" si="51"/>
        <v>0</v>
      </c>
      <c r="V326">
        <v>9</v>
      </c>
      <c r="W326">
        <v>8</v>
      </c>
      <c r="X326" s="32">
        <f t="shared" si="52"/>
        <v>1</v>
      </c>
      <c r="Y326">
        <v>9</v>
      </c>
      <c r="Z326">
        <v>9</v>
      </c>
      <c r="AA326" s="32">
        <f t="shared" si="53"/>
        <v>0</v>
      </c>
    </row>
    <row r="327" spans="1:27" x14ac:dyDescent="0.45">
      <c r="A327">
        <v>8</v>
      </c>
      <c r="B327">
        <v>9</v>
      </c>
      <c r="C327" s="32">
        <f t="shared" si="45"/>
        <v>1</v>
      </c>
      <c r="D327">
        <v>8</v>
      </c>
      <c r="E327">
        <v>9</v>
      </c>
      <c r="F327" s="32">
        <f t="shared" si="46"/>
        <v>1</v>
      </c>
      <c r="G327">
        <v>9</v>
      </c>
      <c r="H327">
        <v>8</v>
      </c>
      <c r="I327" s="32">
        <f t="shared" si="47"/>
        <v>1</v>
      </c>
      <c r="J327">
        <v>9</v>
      </c>
      <c r="K327">
        <v>9</v>
      </c>
      <c r="L327" s="32">
        <f t="shared" si="48"/>
        <v>0</v>
      </c>
      <c r="M327">
        <v>9</v>
      </c>
      <c r="N327">
        <v>8</v>
      </c>
      <c r="O327" s="32">
        <f t="shared" si="49"/>
        <v>1</v>
      </c>
      <c r="P327">
        <v>9</v>
      </c>
      <c r="Q327">
        <v>9</v>
      </c>
      <c r="R327" s="32">
        <f t="shared" si="50"/>
        <v>0</v>
      </c>
      <c r="S327">
        <v>8</v>
      </c>
      <c r="T327">
        <v>8</v>
      </c>
      <c r="U327" s="32">
        <f t="shared" si="51"/>
        <v>0</v>
      </c>
      <c r="V327">
        <v>9</v>
      </c>
      <c r="W327">
        <v>8</v>
      </c>
      <c r="X327" s="32">
        <f t="shared" si="52"/>
        <v>1</v>
      </c>
      <c r="Y327">
        <v>9</v>
      </c>
      <c r="Z327">
        <v>9</v>
      </c>
      <c r="AA327" s="32">
        <f t="shared" si="53"/>
        <v>0</v>
      </c>
    </row>
    <row r="328" spans="1:27" x14ac:dyDescent="0.45">
      <c r="A328">
        <v>8</v>
      </c>
      <c r="B328">
        <v>9</v>
      </c>
      <c r="C328" s="32">
        <f t="shared" si="45"/>
        <v>1</v>
      </c>
      <c r="D328">
        <v>8</v>
      </c>
      <c r="E328">
        <v>9</v>
      </c>
      <c r="F328" s="32">
        <f t="shared" si="46"/>
        <v>1</v>
      </c>
      <c r="G328">
        <v>9</v>
      </c>
      <c r="H328">
        <v>8</v>
      </c>
      <c r="I328" s="32">
        <f t="shared" si="47"/>
        <v>1</v>
      </c>
      <c r="J328">
        <v>9</v>
      </c>
      <c r="K328">
        <v>9</v>
      </c>
      <c r="L328" s="32">
        <f t="shared" si="48"/>
        <v>0</v>
      </c>
      <c r="M328">
        <v>9</v>
      </c>
      <c r="N328">
        <v>8</v>
      </c>
      <c r="O328" s="32">
        <f t="shared" si="49"/>
        <v>1</v>
      </c>
      <c r="P328">
        <v>9</v>
      </c>
      <c r="Q328">
        <v>9</v>
      </c>
      <c r="R328" s="32">
        <f t="shared" si="50"/>
        <v>0</v>
      </c>
      <c r="S328">
        <v>8</v>
      </c>
      <c r="T328">
        <v>8</v>
      </c>
      <c r="U328" s="32">
        <f t="shared" si="51"/>
        <v>0</v>
      </c>
      <c r="V328">
        <v>9</v>
      </c>
      <c r="W328">
        <v>8</v>
      </c>
      <c r="X328" s="32">
        <f t="shared" si="52"/>
        <v>1</v>
      </c>
      <c r="Y328">
        <v>9</v>
      </c>
      <c r="Z328">
        <v>9</v>
      </c>
      <c r="AA328" s="32">
        <f t="shared" si="53"/>
        <v>0</v>
      </c>
    </row>
    <row r="329" spans="1:27" x14ac:dyDescent="0.45">
      <c r="A329">
        <v>8</v>
      </c>
      <c r="B329">
        <v>9</v>
      </c>
      <c r="C329" s="32">
        <f t="shared" si="45"/>
        <v>1</v>
      </c>
      <c r="D329">
        <v>8</v>
      </c>
      <c r="E329">
        <v>9</v>
      </c>
      <c r="F329" s="32">
        <f t="shared" si="46"/>
        <v>1</v>
      </c>
      <c r="G329">
        <v>9</v>
      </c>
      <c r="H329">
        <v>8</v>
      </c>
      <c r="I329" s="32">
        <f t="shared" si="47"/>
        <v>1</v>
      </c>
      <c r="J329">
        <v>9</v>
      </c>
      <c r="K329">
        <v>9</v>
      </c>
      <c r="L329" s="32">
        <f t="shared" si="48"/>
        <v>0</v>
      </c>
      <c r="M329">
        <v>9</v>
      </c>
      <c r="N329">
        <v>8</v>
      </c>
      <c r="O329" s="32">
        <f t="shared" si="49"/>
        <v>1</v>
      </c>
      <c r="P329">
        <v>9</v>
      </c>
      <c r="Q329">
        <v>9</v>
      </c>
      <c r="R329" s="32">
        <f t="shared" si="50"/>
        <v>0</v>
      </c>
      <c r="S329">
        <v>8</v>
      </c>
      <c r="T329">
        <v>8</v>
      </c>
      <c r="U329" s="32">
        <f t="shared" si="51"/>
        <v>0</v>
      </c>
      <c r="V329">
        <v>9</v>
      </c>
      <c r="W329">
        <v>8</v>
      </c>
      <c r="X329" s="32">
        <f t="shared" si="52"/>
        <v>1</v>
      </c>
      <c r="Y329">
        <v>9</v>
      </c>
      <c r="Z329">
        <v>9</v>
      </c>
      <c r="AA329" s="32">
        <f t="shared" si="53"/>
        <v>0</v>
      </c>
    </row>
    <row r="330" spans="1:27" x14ac:dyDescent="0.45">
      <c r="A330">
        <v>8</v>
      </c>
      <c r="B330">
        <v>9</v>
      </c>
      <c r="C330" s="32">
        <f t="shared" si="45"/>
        <v>1</v>
      </c>
      <c r="D330">
        <v>8</v>
      </c>
      <c r="E330">
        <v>9</v>
      </c>
      <c r="F330" s="32">
        <f t="shared" si="46"/>
        <v>1</v>
      </c>
      <c r="G330">
        <v>9</v>
      </c>
      <c r="H330">
        <v>8</v>
      </c>
      <c r="I330" s="32">
        <f t="shared" si="47"/>
        <v>1</v>
      </c>
      <c r="J330">
        <v>9</v>
      </c>
      <c r="K330">
        <v>9</v>
      </c>
      <c r="L330" s="32">
        <f t="shared" si="48"/>
        <v>0</v>
      </c>
      <c r="M330">
        <v>9</v>
      </c>
      <c r="N330">
        <v>8</v>
      </c>
      <c r="O330" s="32">
        <f t="shared" si="49"/>
        <v>1</v>
      </c>
      <c r="P330">
        <v>9</v>
      </c>
      <c r="Q330">
        <v>9</v>
      </c>
      <c r="R330" s="32">
        <f t="shared" si="50"/>
        <v>0</v>
      </c>
      <c r="S330">
        <v>8</v>
      </c>
      <c r="T330">
        <v>8</v>
      </c>
      <c r="U330" s="32">
        <f t="shared" si="51"/>
        <v>0</v>
      </c>
      <c r="V330">
        <v>9</v>
      </c>
      <c r="W330">
        <v>8</v>
      </c>
      <c r="X330" s="32">
        <f t="shared" si="52"/>
        <v>1</v>
      </c>
      <c r="Y330">
        <v>9</v>
      </c>
      <c r="Z330">
        <v>9</v>
      </c>
      <c r="AA330" s="32">
        <f t="shared" si="53"/>
        <v>0</v>
      </c>
    </row>
    <row r="331" spans="1:27" x14ac:dyDescent="0.45">
      <c r="A331">
        <v>8</v>
      </c>
      <c r="B331">
        <v>9</v>
      </c>
      <c r="C331" s="32">
        <f t="shared" si="45"/>
        <v>1</v>
      </c>
      <c r="D331">
        <v>8</v>
      </c>
      <c r="E331">
        <v>9</v>
      </c>
      <c r="F331" s="32">
        <f t="shared" si="46"/>
        <v>1</v>
      </c>
      <c r="G331">
        <v>9</v>
      </c>
      <c r="H331">
        <v>8</v>
      </c>
      <c r="I331" s="32">
        <f t="shared" si="47"/>
        <v>1</v>
      </c>
      <c r="J331">
        <v>9</v>
      </c>
      <c r="K331">
        <v>9</v>
      </c>
      <c r="L331" s="32">
        <f t="shared" si="48"/>
        <v>0</v>
      </c>
      <c r="M331">
        <v>9</v>
      </c>
      <c r="N331">
        <v>8</v>
      </c>
      <c r="O331" s="32">
        <f t="shared" si="49"/>
        <v>1</v>
      </c>
      <c r="P331">
        <v>9</v>
      </c>
      <c r="Q331">
        <v>9</v>
      </c>
      <c r="R331" s="32">
        <f t="shared" si="50"/>
        <v>0</v>
      </c>
      <c r="S331">
        <v>8</v>
      </c>
      <c r="T331">
        <v>8</v>
      </c>
      <c r="U331" s="32">
        <f t="shared" si="51"/>
        <v>0</v>
      </c>
      <c r="V331">
        <v>9</v>
      </c>
      <c r="W331">
        <v>8</v>
      </c>
      <c r="X331" s="32">
        <f t="shared" si="52"/>
        <v>1</v>
      </c>
      <c r="Y331">
        <v>9</v>
      </c>
      <c r="Z331">
        <v>9</v>
      </c>
      <c r="AA331" s="32">
        <f t="shared" si="53"/>
        <v>0</v>
      </c>
    </row>
    <row r="332" spans="1:27" x14ac:dyDescent="0.45">
      <c r="A332">
        <v>8</v>
      </c>
      <c r="B332">
        <v>9</v>
      </c>
      <c r="C332" s="32">
        <f t="shared" si="45"/>
        <v>1</v>
      </c>
      <c r="D332">
        <v>8</v>
      </c>
      <c r="E332">
        <v>9</v>
      </c>
      <c r="F332" s="32">
        <f t="shared" si="46"/>
        <v>1</v>
      </c>
      <c r="G332">
        <v>9</v>
      </c>
      <c r="H332">
        <v>8</v>
      </c>
      <c r="I332" s="32">
        <f t="shared" si="47"/>
        <v>1</v>
      </c>
      <c r="J332">
        <v>9</v>
      </c>
      <c r="K332">
        <v>9</v>
      </c>
      <c r="L332" s="32">
        <f t="shared" si="48"/>
        <v>0</v>
      </c>
      <c r="M332">
        <v>9</v>
      </c>
      <c r="N332">
        <v>8</v>
      </c>
      <c r="O332" s="32">
        <f t="shared" si="49"/>
        <v>1</v>
      </c>
      <c r="P332">
        <v>9</v>
      </c>
      <c r="Q332">
        <v>9</v>
      </c>
      <c r="R332" s="32">
        <f t="shared" si="50"/>
        <v>0</v>
      </c>
      <c r="S332">
        <v>9</v>
      </c>
      <c r="T332">
        <v>8</v>
      </c>
      <c r="U332" s="32">
        <f t="shared" si="51"/>
        <v>1</v>
      </c>
      <c r="V332">
        <v>9</v>
      </c>
      <c r="W332">
        <v>8</v>
      </c>
      <c r="X332" s="32">
        <f t="shared" si="52"/>
        <v>1</v>
      </c>
      <c r="Y332">
        <v>9</v>
      </c>
      <c r="Z332">
        <v>9</v>
      </c>
      <c r="AA332" s="32">
        <f t="shared" si="53"/>
        <v>0</v>
      </c>
    </row>
    <row r="333" spans="1:27" x14ac:dyDescent="0.45">
      <c r="A333">
        <v>8</v>
      </c>
      <c r="B333">
        <v>9</v>
      </c>
      <c r="C333" s="32">
        <f t="shared" si="45"/>
        <v>1</v>
      </c>
      <c r="D333">
        <v>8</v>
      </c>
      <c r="E333">
        <v>9</v>
      </c>
      <c r="F333" s="32">
        <f t="shared" si="46"/>
        <v>1</v>
      </c>
      <c r="G333">
        <v>9</v>
      </c>
      <c r="H333">
        <v>9</v>
      </c>
      <c r="I333" s="32">
        <f t="shared" si="47"/>
        <v>0</v>
      </c>
      <c r="J333">
        <v>9</v>
      </c>
      <c r="K333">
        <v>9</v>
      </c>
      <c r="L333" s="32">
        <f t="shared" si="48"/>
        <v>0</v>
      </c>
      <c r="M333">
        <v>9</v>
      </c>
      <c r="N333">
        <v>9</v>
      </c>
      <c r="O333" s="32">
        <f t="shared" si="49"/>
        <v>0</v>
      </c>
      <c r="P333">
        <v>9</v>
      </c>
      <c r="Q333">
        <v>9</v>
      </c>
      <c r="R333" s="32">
        <f t="shared" si="50"/>
        <v>0</v>
      </c>
      <c r="S333">
        <v>9</v>
      </c>
      <c r="T333">
        <v>8</v>
      </c>
      <c r="U333" s="32">
        <f t="shared" si="51"/>
        <v>1</v>
      </c>
      <c r="V333">
        <v>9</v>
      </c>
      <c r="W333">
        <v>8</v>
      </c>
      <c r="X333" s="32">
        <f t="shared" si="52"/>
        <v>1</v>
      </c>
      <c r="Y333">
        <v>9</v>
      </c>
      <c r="Z333">
        <v>9</v>
      </c>
      <c r="AA333" s="32">
        <f t="shared" si="53"/>
        <v>0</v>
      </c>
    </row>
    <row r="334" spans="1:27" x14ac:dyDescent="0.45">
      <c r="A334">
        <v>8</v>
      </c>
      <c r="B334">
        <v>9</v>
      </c>
      <c r="C334" s="32">
        <f t="shared" si="45"/>
        <v>1</v>
      </c>
      <c r="D334">
        <v>8</v>
      </c>
      <c r="E334">
        <v>9</v>
      </c>
      <c r="F334" s="32">
        <f t="shared" si="46"/>
        <v>1</v>
      </c>
      <c r="G334">
        <v>9</v>
      </c>
      <c r="H334">
        <v>9</v>
      </c>
      <c r="I334" s="32">
        <f t="shared" si="47"/>
        <v>0</v>
      </c>
      <c r="J334">
        <v>9</v>
      </c>
      <c r="K334">
        <v>9</v>
      </c>
      <c r="L334" s="32">
        <f t="shared" si="48"/>
        <v>0</v>
      </c>
      <c r="M334">
        <v>9</v>
      </c>
      <c r="N334">
        <v>9</v>
      </c>
      <c r="O334" s="32">
        <f t="shared" si="49"/>
        <v>0</v>
      </c>
      <c r="P334">
        <v>9</v>
      </c>
      <c r="Q334">
        <v>9</v>
      </c>
      <c r="R334" s="32">
        <f t="shared" si="50"/>
        <v>0</v>
      </c>
      <c r="S334">
        <v>9</v>
      </c>
      <c r="T334">
        <v>8</v>
      </c>
      <c r="U334" s="32">
        <f t="shared" si="51"/>
        <v>1</v>
      </c>
      <c r="V334">
        <v>9</v>
      </c>
      <c r="W334">
        <v>8</v>
      </c>
      <c r="X334" s="32">
        <f t="shared" si="52"/>
        <v>1</v>
      </c>
      <c r="Y334">
        <v>9</v>
      </c>
      <c r="Z334">
        <v>9</v>
      </c>
      <c r="AA334" s="32">
        <f t="shared" si="53"/>
        <v>0</v>
      </c>
    </row>
    <row r="335" spans="1:27" x14ac:dyDescent="0.45">
      <c r="A335">
        <v>8</v>
      </c>
      <c r="B335">
        <v>9</v>
      </c>
      <c r="C335" s="32">
        <f t="shared" si="45"/>
        <v>1</v>
      </c>
      <c r="D335">
        <v>8</v>
      </c>
      <c r="E335">
        <v>9</v>
      </c>
      <c r="F335" s="32">
        <f t="shared" si="46"/>
        <v>1</v>
      </c>
      <c r="G335">
        <v>9</v>
      </c>
      <c r="H335">
        <v>9</v>
      </c>
      <c r="I335" s="32">
        <f t="shared" si="47"/>
        <v>0</v>
      </c>
      <c r="J335">
        <v>9</v>
      </c>
      <c r="K335">
        <v>9</v>
      </c>
      <c r="L335" s="32">
        <f t="shared" si="48"/>
        <v>0</v>
      </c>
      <c r="M335">
        <v>9</v>
      </c>
      <c r="N335">
        <v>9</v>
      </c>
      <c r="O335" s="32">
        <f t="shared" si="49"/>
        <v>0</v>
      </c>
      <c r="P335">
        <v>9</v>
      </c>
      <c r="Q335">
        <v>9</v>
      </c>
      <c r="R335" s="32">
        <f t="shared" si="50"/>
        <v>0</v>
      </c>
      <c r="S335">
        <v>9</v>
      </c>
      <c r="T335">
        <v>8</v>
      </c>
      <c r="U335" s="32">
        <f t="shared" si="51"/>
        <v>1</v>
      </c>
      <c r="V335">
        <v>9</v>
      </c>
      <c r="W335">
        <v>8</v>
      </c>
      <c r="X335" s="32">
        <f t="shared" si="52"/>
        <v>1</v>
      </c>
      <c r="Y335">
        <v>9</v>
      </c>
      <c r="Z335">
        <v>9</v>
      </c>
      <c r="AA335" s="32">
        <f t="shared" si="53"/>
        <v>0</v>
      </c>
    </row>
    <row r="336" spans="1:27" x14ac:dyDescent="0.45">
      <c r="A336">
        <v>8</v>
      </c>
      <c r="B336">
        <v>9</v>
      </c>
      <c r="C336" s="32">
        <f t="shared" si="45"/>
        <v>1</v>
      </c>
      <c r="D336">
        <v>8</v>
      </c>
      <c r="E336">
        <v>9</v>
      </c>
      <c r="F336" s="32">
        <f t="shared" si="46"/>
        <v>1</v>
      </c>
      <c r="G336">
        <v>9</v>
      </c>
      <c r="H336">
        <v>9</v>
      </c>
      <c r="I336" s="32">
        <f t="shared" si="47"/>
        <v>0</v>
      </c>
      <c r="J336">
        <v>9</v>
      </c>
      <c r="K336">
        <v>9</v>
      </c>
      <c r="L336" s="32">
        <f t="shared" si="48"/>
        <v>0</v>
      </c>
      <c r="M336">
        <v>9</v>
      </c>
      <c r="N336">
        <v>9</v>
      </c>
      <c r="O336" s="32">
        <f t="shared" si="49"/>
        <v>0</v>
      </c>
      <c r="P336">
        <v>9</v>
      </c>
      <c r="Q336">
        <v>9</v>
      </c>
      <c r="R336" s="32">
        <f t="shared" si="50"/>
        <v>0</v>
      </c>
      <c r="S336">
        <v>9</v>
      </c>
      <c r="T336">
        <v>8</v>
      </c>
      <c r="U336" s="32">
        <f t="shared" si="51"/>
        <v>1</v>
      </c>
      <c r="V336">
        <v>9</v>
      </c>
      <c r="W336">
        <v>8</v>
      </c>
      <c r="X336" s="32">
        <f t="shared" si="52"/>
        <v>1</v>
      </c>
      <c r="Y336">
        <v>9</v>
      </c>
      <c r="Z336">
        <v>9</v>
      </c>
      <c r="AA336" s="32">
        <f t="shared" si="53"/>
        <v>0</v>
      </c>
    </row>
    <row r="337" spans="1:27" x14ac:dyDescent="0.45">
      <c r="A337">
        <v>8</v>
      </c>
      <c r="B337">
        <v>9</v>
      </c>
      <c r="C337" s="32">
        <f t="shared" si="45"/>
        <v>1</v>
      </c>
      <c r="D337">
        <v>8</v>
      </c>
      <c r="E337">
        <v>9</v>
      </c>
      <c r="F337" s="32">
        <f t="shared" si="46"/>
        <v>1</v>
      </c>
      <c r="G337">
        <v>9</v>
      </c>
      <c r="H337">
        <v>9</v>
      </c>
      <c r="I337" s="32">
        <f t="shared" si="47"/>
        <v>0</v>
      </c>
      <c r="J337">
        <v>9</v>
      </c>
      <c r="K337">
        <v>9</v>
      </c>
      <c r="L337" s="32">
        <f t="shared" si="48"/>
        <v>0</v>
      </c>
      <c r="M337">
        <v>9</v>
      </c>
      <c r="N337">
        <v>9</v>
      </c>
      <c r="O337" s="32">
        <f t="shared" si="49"/>
        <v>0</v>
      </c>
      <c r="P337">
        <v>9</v>
      </c>
      <c r="Q337">
        <v>9</v>
      </c>
      <c r="R337" s="32">
        <f t="shared" si="50"/>
        <v>0</v>
      </c>
      <c r="S337">
        <v>9</v>
      </c>
      <c r="T337">
        <v>8</v>
      </c>
      <c r="U337" s="32">
        <f t="shared" si="51"/>
        <v>1</v>
      </c>
      <c r="V337">
        <v>9</v>
      </c>
      <c r="W337">
        <v>8</v>
      </c>
      <c r="X337" s="32">
        <f t="shared" si="52"/>
        <v>1</v>
      </c>
      <c r="Y337">
        <v>9</v>
      </c>
      <c r="Z337">
        <v>9</v>
      </c>
      <c r="AA337" s="32">
        <f t="shared" si="53"/>
        <v>0</v>
      </c>
    </row>
    <row r="338" spans="1:27" x14ac:dyDescent="0.45">
      <c r="A338">
        <v>8</v>
      </c>
      <c r="B338">
        <v>9</v>
      </c>
      <c r="C338" s="32">
        <f t="shared" si="45"/>
        <v>1</v>
      </c>
      <c r="D338">
        <v>8</v>
      </c>
      <c r="E338">
        <v>9</v>
      </c>
      <c r="F338" s="32">
        <f t="shared" si="46"/>
        <v>1</v>
      </c>
      <c r="G338">
        <v>9</v>
      </c>
      <c r="H338">
        <v>9</v>
      </c>
      <c r="I338" s="32">
        <f t="shared" si="47"/>
        <v>0</v>
      </c>
      <c r="J338">
        <v>9</v>
      </c>
      <c r="K338">
        <v>9</v>
      </c>
      <c r="L338" s="32">
        <f t="shared" si="48"/>
        <v>0</v>
      </c>
      <c r="M338">
        <v>9</v>
      </c>
      <c r="N338">
        <v>9</v>
      </c>
      <c r="O338" s="32">
        <f t="shared" si="49"/>
        <v>0</v>
      </c>
      <c r="P338">
        <v>9</v>
      </c>
      <c r="Q338">
        <v>9</v>
      </c>
      <c r="R338" s="32">
        <f t="shared" si="50"/>
        <v>0</v>
      </c>
      <c r="S338">
        <v>9</v>
      </c>
      <c r="T338">
        <v>8</v>
      </c>
      <c r="U338" s="32">
        <f t="shared" si="51"/>
        <v>1</v>
      </c>
      <c r="V338">
        <v>9</v>
      </c>
      <c r="W338">
        <v>8</v>
      </c>
      <c r="X338" s="32">
        <f t="shared" si="52"/>
        <v>1</v>
      </c>
      <c r="Y338">
        <v>9</v>
      </c>
      <c r="Z338">
        <v>9</v>
      </c>
      <c r="AA338" s="32">
        <f t="shared" si="53"/>
        <v>0</v>
      </c>
    </row>
    <row r="339" spans="1:27" x14ac:dyDescent="0.45">
      <c r="A339">
        <v>8</v>
      </c>
      <c r="B339">
        <v>9</v>
      </c>
      <c r="C339" s="32">
        <f t="shared" si="45"/>
        <v>1</v>
      </c>
      <c r="D339">
        <v>8</v>
      </c>
      <c r="E339">
        <v>9</v>
      </c>
      <c r="F339" s="32">
        <f t="shared" si="46"/>
        <v>1</v>
      </c>
      <c r="G339">
        <v>9</v>
      </c>
      <c r="H339">
        <v>9</v>
      </c>
      <c r="I339" s="32">
        <f t="shared" si="47"/>
        <v>0</v>
      </c>
      <c r="J339">
        <v>9</v>
      </c>
      <c r="K339">
        <v>9</v>
      </c>
      <c r="L339" s="32">
        <f t="shared" si="48"/>
        <v>0</v>
      </c>
      <c r="M339">
        <v>9</v>
      </c>
      <c r="N339">
        <v>9</v>
      </c>
      <c r="O339" s="32">
        <f t="shared" si="49"/>
        <v>0</v>
      </c>
      <c r="P339">
        <v>9</v>
      </c>
      <c r="Q339">
        <v>9</v>
      </c>
      <c r="R339" s="32">
        <f t="shared" si="50"/>
        <v>0</v>
      </c>
      <c r="S339">
        <v>9</v>
      </c>
      <c r="T339">
        <v>8</v>
      </c>
      <c r="U339" s="32">
        <f t="shared" si="51"/>
        <v>1</v>
      </c>
      <c r="V339">
        <v>9</v>
      </c>
      <c r="W339">
        <v>8</v>
      </c>
      <c r="X339" s="32">
        <f t="shared" si="52"/>
        <v>1</v>
      </c>
      <c r="Y339">
        <v>9</v>
      </c>
      <c r="Z339">
        <v>9</v>
      </c>
      <c r="AA339" s="32">
        <f t="shared" si="53"/>
        <v>0</v>
      </c>
    </row>
    <row r="340" spans="1:27" x14ac:dyDescent="0.45">
      <c r="A340">
        <v>8</v>
      </c>
      <c r="B340">
        <v>9</v>
      </c>
      <c r="C340" s="32">
        <f t="shared" si="45"/>
        <v>1</v>
      </c>
      <c r="D340">
        <v>8</v>
      </c>
      <c r="E340">
        <v>9</v>
      </c>
      <c r="F340" s="32">
        <f t="shared" si="46"/>
        <v>1</v>
      </c>
      <c r="G340">
        <v>9</v>
      </c>
      <c r="H340">
        <v>9</v>
      </c>
      <c r="I340" s="32">
        <f t="shared" si="47"/>
        <v>0</v>
      </c>
      <c r="J340">
        <v>9</v>
      </c>
      <c r="K340">
        <v>9</v>
      </c>
      <c r="L340" s="32">
        <f t="shared" si="48"/>
        <v>0</v>
      </c>
      <c r="M340">
        <v>9</v>
      </c>
      <c r="N340">
        <v>9</v>
      </c>
      <c r="O340" s="32">
        <f t="shared" si="49"/>
        <v>0</v>
      </c>
      <c r="P340">
        <v>9</v>
      </c>
      <c r="Q340">
        <v>9</v>
      </c>
      <c r="R340" s="32">
        <f t="shared" si="50"/>
        <v>0</v>
      </c>
      <c r="S340">
        <v>9</v>
      </c>
      <c r="T340">
        <v>8</v>
      </c>
      <c r="U340" s="32">
        <f t="shared" si="51"/>
        <v>1</v>
      </c>
      <c r="V340">
        <v>9</v>
      </c>
      <c r="W340">
        <v>8</v>
      </c>
      <c r="X340" s="32">
        <f t="shared" si="52"/>
        <v>1</v>
      </c>
      <c r="Y340">
        <v>9</v>
      </c>
      <c r="Z340">
        <v>9</v>
      </c>
      <c r="AA340" s="32">
        <f t="shared" si="53"/>
        <v>0</v>
      </c>
    </row>
    <row r="341" spans="1:27" x14ac:dyDescent="0.45">
      <c r="A341">
        <v>8</v>
      </c>
      <c r="B341">
        <v>9</v>
      </c>
      <c r="C341" s="32">
        <f t="shared" si="45"/>
        <v>1</v>
      </c>
      <c r="D341">
        <v>8</v>
      </c>
      <c r="E341">
        <v>9</v>
      </c>
      <c r="F341" s="32">
        <f t="shared" si="46"/>
        <v>1</v>
      </c>
      <c r="G341">
        <v>9</v>
      </c>
      <c r="H341">
        <v>9</v>
      </c>
      <c r="I341" s="32">
        <f t="shared" si="47"/>
        <v>0</v>
      </c>
      <c r="J341">
        <v>9</v>
      </c>
      <c r="K341">
        <v>9</v>
      </c>
      <c r="L341" s="32">
        <f t="shared" si="48"/>
        <v>0</v>
      </c>
      <c r="M341">
        <v>9</v>
      </c>
      <c r="N341">
        <v>9</v>
      </c>
      <c r="O341" s="32">
        <f t="shared" si="49"/>
        <v>0</v>
      </c>
      <c r="P341">
        <v>9</v>
      </c>
      <c r="Q341">
        <v>9</v>
      </c>
      <c r="R341" s="32">
        <f t="shared" si="50"/>
        <v>0</v>
      </c>
      <c r="S341">
        <v>9</v>
      </c>
      <c r="T341">
        <v>9</v>
      </c>
      <c r="U341" s="32">
        <f t="shared" si="51"/>
        <v>0</v>
      </c>
      <c r="V341">
        <v>9</v>
      </c>
      <c r="W341">
        <v>8</v>
      </c>
      <c r="X341" s="32">
        <f t="shared" si="52"/>
        <v>1</v>
      </c>
      <c r="Y341">
        <v>9</v>
      </c>
      <c r="Z341">
        <v>9</v>
      </c>
      <c r="AA341" s="32">
        <f t="shared" si="53"/>
        <v>0</v>
      </c>
    </row>
    <row r="342" spans="1:27" x14ac:dyDescent="0.45">
      <c r="A342">
        <v>8</v>
      </c>
      <c r="B342">
        <v>9</v>
      </c>
      <c r="C342" s="32">
        <f t="shared" si="45"/>
        <v>1</v>
      </c>
      <c r="D342">
        <v>8</v>
      </c>
      <c r="E342">
        <v>9</v>
      </c>
      <c r="F342" s="32">
        <f t="shared" si="46"/>
        <v>1</v>
      </c>
      <c r="G342">
        <v>9</v>
      </c>
      <c r="H342">
        <v>9</v>
      </c>
      <c r="I342" s="32">
        <f t="shared" si="47"/>
        <v>0</v>
      </c>
      <c r="J342">
        <v>9</v>
      </c>
      <c r="K342">
        <v>9</v>
      </c>
      <c r="L342" s="32">
        <f t="shared" si="48"/>
        <v>0</v>
      </c>
      <c r="M342">
        <v>9</v>
      </c>
      <c r="N342">
        <v>9</v>
      </c>
      <c r="O342" s="32">
        <f t="shared" si="49"/>
        <v>0</v>
      </c>
      <c r="P342">
        <v>9</v>
      </c>
      <c r="Q342">
        <v>9</v>
      </c>
      <c r="R342" s="32">
        <f t="shared" si="50"/>
        <v>0</v>
      </c>
      <c r="S342">
        <v>9</v>
      </c>
      <c r="T342">
        <v>9</v>
      </c>
      <c r="U342" s="32">
        <f t="shared" si="51"/>
        <v>0</v>
      </c>
      <c r="V342">
        <v>9</v>
      </c>
      <c r="W342">
        <v>8</v>
      </c>
      <c r="X342" s="32">
        <f t="shared" si="52"/>
        <v>1</v>
      </c>
      <c r="Y342">
        <v>9</v>
      </c>
      <c r="Z342">
        <v>9</v>
      </c>
      <c r="AA342" s="32">
        <f t="shared" si="53"/>
        <v>0</v>
      </c>
    </row>
    <row r="343" spans="1:27" x14ac:dyDescent="0.45">
      <c r="A343">
        <v>8</v>
      </c>
      <c r="B343">
        <v>9</v>
      </c>
      <c r="C343" s="32">
        <f t="shared" si="45"/>
        <v>1</v>
      </c>
      <c r="D343">
        <v>8</v>
      </c>
      <c r="E343">
        <v>9</v>
      </c>
      <c r="F343" s="32">
        <f t="shared" si="46"/>
        <v>1</v>
      </c>
      <c r="G343">
        <v>9</v>
      </c>
      <c r="H343">
        <v>9</v>
      </c>
      <c r="I343" s="32">
        <f t="shared" si="47"/>
        <v>0</v>
      </c>
      <c r="J343">
        <v>9</v>
      </c>
      <c r="K343">
        <v>9</v>
      </c>
      <c r="L343" s="32">
        <f t="shared" si="48"/>
        <v>0</v>
      </c>
      <c r="M343">
        <v>9</v>
      </c>
      <c r="N343">
        <v>9</v>
      </c>
      <c r="O343" s="32">
        <f t="shared" si="49"/>
        <v>0</v>
      </c>
      <c r="P343">
        <v>9</v>
      </c>
      <c r="Q343">
        <v>9</v>
      </c>
      <c r="R343" s="32">
        <f t="shared" si="50"/>
        <v>0</v>
      </c>
      <c r="S343">
        <v>9</v>
      </c>
      <c r="T343">
        <v>9</v>
      </c>
      <c r="U343" s="32">
        <f t="shared" si="51"/>
        <v>0</v>
      </c>
      <c r="V343">
        <v>9</v>
      </c>
      <c r="W343">
        <v>8</v>
      </c>
      <c r="X343" s="32">
        <f t="shared" si="52"/>
        <v>1</v>
      </c>
      <c r="Y343">
        <v>9</v>
      </c>
      <c r="Z343">
        <v>9</v>
      </c>
      <c r="AA343" s="32">
        <f t="shared" si="53"/>
        <v>0</v>
      </c>
    </row>
    <row r="344" spans="1:27" x14ac:dyDescent="0.45">
      <c r="A344">
        <v>8</v>
      </c>
      <c r="B344">
        <v>9</v>
      </c>
      <c r="C344" s="32">
        <f t="shared" si="45"/>
        <v>1</v>
      </c>
      <c r="D344">
        <v>9</v>
      </c>
      <c r="E344">
        <v>9</v>
      </c>
      <c r="F344" s="32">
        <f t="shared" si="46"/>
        <v>0</v>
      </c>
      <c r="G344">
        <v>9</v>
      </c>
      <c r="H344">
        <v>9</v>
      </c>
      <c r="I344" s="32">
        <f t="shared" si="47"/>
        <v>0</v>
      </c>
      <c r="J344">
        <v>9</v>
      </c>
      <c r="K344">
        <v>9</v>
      </c>
      <c r="L344" s="32">
        <f t="shared" si="48"/>
        <v>0</v>
      </c>
      <c r="M344">
        <v>9</v>
      </c>
      <c r="N344">
        <v>9</v>
      </c>
      <c r="O344" s="32">
        <f t="shared" si="49"/>
        <v>0</v>
      </c>
      <c r="P344">
        <v>9</v>
      </c>
      <c r="Q344">
        <v>9</v>
      </c>
      <c r="R344" s="32">
        <f t="shared" si="50"/>
        <v>0</v>
      </c>
      <c r="S344">
        <v>9</v>
      </c>
      <c r="T344">
        <v>9</v>
      </c>
      <c r="U344" s="32">
        <f t="shared" si="51"/>
        <v>0</v>
      </c>
      <c r="V344">
        <v>9</v>
      </c>
      <c r="W344">
        <v>8</v>
      </c>
      <c r="X344" s="32">
        <f t="shared" si="52"/>
        <v>1</v>
      </c>
      <c r="Y344">
        <v>9</v>
      </c>
      <c r="Z344">
        <v>9</v>
      </c>
      <c r="AA344" s="32">
        <f t="shared" si="53"/>
        <v>0</v>
      </c>
    </row>
    <row r="345" spans="1:27" x14ac:dyDescent="0.45">
      <c r="A345">
        <v>8</v>
      </c>
      <c r="B345">
        <v>9</v>
      </c>
      <c r="C345" s="32">
        <f t="shared" si="45"/>
        <v>1</v>
      </c>
      <c r="D345">
        <v>9</v>
      </c>
      <c r="E345">
        <v>9</v>
      </c>
      <c r="F345" s="32">
        <f t="shared" si="46"/>
        <v>0</v>
      </c>
      <c r="G345">
        <v>9</v>
      </c>
      <c r="H345">
        <v>9</v>
      </c>
      <c r="I345" s="32">
        <f t="shared" si="47"/>
        <v>0</v>
      </c>
      <c r="J345">
        <v>9</v>
      </c>
      <c r="K345">
        <v>9</v>
      </c>
      <c r="L345" s="32">
        <f t="shared" si="48"/>
        <v>0</v>
      </c>
      <c r="M345">
        <v>9</v>
      </c>
      <c r="N345">
        <v>9</v>
      </c>
      <c r="O345" s="32">
        <f t="shared" si="49"/>
        <v>0</v>
      </c>
      <c r="P345">
        <v>9</v>
      </c>
      <c r="Q345">
        <v>9</v>
      </c>
      <c r="R345" s="32">
        <f t="shared" si="50"/>
        <v>0</v>
      </c>
      <c r="S345">
        <v>9</v>
      </c>
      <c r="T345">
        <v>9</v>
      </c>
      <c r="U345" s="32">
        <f t="shared" si="51"/>
        <v>0</v>
      </c>
      <c r="V345">
        <v>9</v>
      </c>
      <c r="W345">
        <v>9</v>
      </c>
      <c r="X345" s="32">
        <f t="shared" si="52"/>
        <v>0</v>
      </c>
      <c r="Y345">
        <v>9</v>
      </c>
      <c r="Z345">
        <v>9</v>
      </c>
      <c r="AA345" s="32">
        <f t="shared" si="53"/>
        <v>0</v>
      </c>
    </row>
    <row r="346" spans="1:27" x14ac:dyDescent="0.45">
      <c r="A346">
        <v>8</v>
      </c>
      <c r="B346">
        <v>9</v>
      </c>
      <c r="C346" s="32">
        <f t="shared" si="45"/>
        <v>1</v>
      </c>
      <c r="D346">
        <v>9</v>
      </c>
      <c r="E346">
        <v>9</v>
      </c>
      <c r="F346" s="32">
        <f t="shared" si="46"/>
        <v>0</v>
      </c>
      <c r="G346">
        <v>9</v>
      </c>
      <c r="H346">
        <v>9</v>
      </c>
      <c r="I346" s="32">
        <f t="shared" si="47"/>
        <v>0</v>
      </c>
      <c r="J346">
        <v>9</v>
      </c>
      <c r="K346">
        <v>9</v>
      </c>
      <c r="L346" s="32">
        <f t="shared" si="48"/>
        <v>0</v>
      </c>
      <c r="M346">
        <v>9</v>
      </c>
      <c r="N346">
        <v>9</v>
      </c>
      <c r="O346" s="32">
        <f t="shared" si="49"/>
        <v>0</v>
      </c>
      <c r="P346">
        <v>9</v>
      </c>
      <c r="Q346">
        <v>9</v>
      </c>
      <c r="R346" s="32">
        <f t="shared" si="50"/>
        <v>0</v>
      </c>
      <c r="S346">
        <v>9</v>
      </c>
      <c r="T346">
        <v>9</v>
      </c>
      <c r="U346" s="32">
        <f t="shared" si="51"/>
        <v>0</v>
      </c>
      <c r="V346">
        <v>9</v>
      </c>
      <c r="W346">
        <v>9</v>
      </c>
      <c r="X346" s="32">
        <f t="shared" si="52"/>
        <v>0</v>
      </c>
      <c r="Y346">
        <v>9</v>
      </c>
      <c r="Z346">
        <v>10</v>
      </c>
      <c r="AA346" s="32">
        <f t="shared" si="53"/>
        <v>1</v>
      </c>
    </row>
    <row r="347" spans="1:27" x14ac:dyDescent="0.45">
      <c r="A347">
        <v>8</v>
      </c>
      <c r="B347">
        <v>9</v>
      </c>
      <c r="C347" s="32">
        <f t="shared" si="45"/>
        <v>1</v>
      </c>
      <c r="D347">
        <v>9</v>
      </c>
      <c r="E347">
        <v>9</v>
      </c>
      <c r="F347" s="32">
        <f t="shared" si="46"/>
        <v>0</v>
      </c>
      <c r="G347">
        <v>9</v>
      </c>
      <c r="H347">
        <v>9</v>
      </c>
      <c r="I347" s="32">
        <f t="shared" si="47"/>
        <v>0</v>
      </c>
      <c r="J347">
        <v>9</v>
      </c>
      <c r="K347">
        <v>9</v>
      </c>
      <c r="L347" s="32">
        <f t="shared" si="48"/>
        <v>0</v>
      </c>
      <c r="M347">
        <v>9</v>
      </c>
      <c r="N347">
        <v>9</v>
      </c>
      <c r="O347" s="32">
        <f t="shared" si="49"/>
        <v>0</v>
      </c>
      <c r="P347">
        <v>9</v>
      </c>
      <c r="Q347">
        <v>9</v>
      </c>
      <c r="R347" s="32">
        <f t="shared" si="50"/>
        <v>0</v>
      </c>
      <c r="S347">
        <v>9</v>
      </c>
      <c r="T347">
        <v>9</v>
      </c>
      <c r="U347" s="32">
        <f t="shared" si="51"/>
        <v>0</v>
      </c>
      <c r="V347">
        <v>9</v>
      </c>
      <c r="W347">
        <v>9</v>
      </c>
      <c r="X347" s="32">
        <f t="shared" si="52"/>
        <v>0</v>
      </c>
      <c r="Y347">
        <v>9</v>
      </c>
      <c r="Z347">
        <v>10</v>
      </c>
      <c r="AA347" s="32">
        <f t="shared" si="53"/>
        <v>1</v>
      </c>
    </row>
    <row r="348" spans="1:27" x14ac:dyDescent="0.45">
      <c r="A348">
        <v>8</v>
      </c>
      <c r="B348">
        <v>9</v>
      </c>
      <c r="C348" s="32">
        <f t="shared" si="45"/>
        <v>1</v>
      </c>
      <c r="D348">
        <v>9</v>
      </c>
      <c r="E348">
        <v>9</v>
      </c>
      <c r="F348" s="32">
        <f t="shared" si="46"/>
        <v>0</v>
      </c>
      <c r="G348">
        <v>9</v>
      </c>
      <c r="H348">
        <v>9</v>
      </c>
      <c r="I348" s="32">
        <f t="shared" si="47"/>
        <v>0</v>
      </c>
      <c r="J348">
        <v>9</v>
      </c>
      <c r="K348">
        <v>9</v>
      </c>
      <c r="L348" s="32">
        <f t="shared" si="48"/>
        <v>0</v>
      </c>
      <c r="M348">
        <v>9</v>
      </c>
      <c r="N348">
        <v>9</v>
      </c>
      <c r="O348" s="32">
        <f t="shared" si="49"/>
        <v>0</v>
      </c>
      <c r="P348">
        <v>9</v>
      </c>
      <c r="Q348">
        <v>9</v>
      </c>
      <c r="R348" s="32">
        <f t="shared" si="50"/>
        <v>0</v>
      </c>
      <c r="S348">
        <v>9</v>
      </c>
      <c r="T348">
        <v>9</v>
      </c>
      <c r="U348" s="32">
        <f t="shared" si="51"/>
        <v>0</v>
      </c>
      <c r="V348">
        <v>9</v>
      </c>
      <c r="W348">
        <v>9</v>
      </c>
      <c r="X348" s="32">
        <f t="shared" si="52"/>
        <v>0</v>
      </c>
      <c r="Y348">
        <v>9</v>
      </c>
      <c r="Z348">
        <v>10</v>
      </c>
      <c r="AA348" s="32">
        <f t="shared" si="53"/>
        <v>1</v>
      </c>
    </row>
    <row r="349" spans="1:27" x14ac:dyDescent="0.45">
      <c r="A349">
        <v>8</v>
      </c>
      <c r="B349">
        <v>10</v>
      </c>
      <c r="C349" s="32">
        <f t="shared" si="45"/>
        <v>2</v>
      </c>
      <c r="D349">
        <v>9</v>
      </c>
      <c r="E349">
        <v>9</v>
      </c>
      <c r="F349" s="32">
        <f t="shared" si="46"/>
        <v>0</v>
      </c>
      <c r="G349">
        <v>9</v>
      </c>
      <c r="H349">
        <v>9</v>
      </c>
      <c r="I349" s="32">
        <f t="shared" si="47"/>
        <v>0</v>
      </c>
      <c r="J349">
        <v>9</v>
      </c>
      <c r="K349">
        <v>9</v>
      </c>
      <c r="L349" s="32">
        <f t="shared" si="48"/>
        <v>0</v>
      </c>
      <c r="M349">
        <v>9</v>
      </c>
      <c r="N349">
        <v>9</v>
      </c>
      <c r="O349" s="32">
        <f t="shared" si="49"/>
        <v>0</v>
      </c>
      <c r="P349">
        <v>9</v>
      </c>
      <c r="Q349">
        <v>9</v>
      </c>
      <c r="R349" s="32">
        <f t="shared" si="50"/>
        <v>0</v>
      </c>
      <c r="S349">
        <v>9</v>
      </c>
      <c r="T349">
        <v>9</v>
      </c>
      <c r="U349" s="32">
        <f t="shared" si="51"/>
        <v>0</v>
      </c>
      <c r="V349">
        <v>9</v>
      </c>
      <c r="W349">
        <v>9</v>
      </c>
      <c r="X349" s="32">
        <f t="shared" si="52"/>
        <v>0</v>
      </c>
      <c r="Y349">
        <v>9</v>
      </c>
      <c r="Z349">
        <v>10</v>
      </c>
      <c r="AA349" s="32">
        <f t="shared" si="53"/>
        <v>1</v>
      </c>
    </row>
    <row r="350" spans="1:27" x14ac:dyDescent="0.45">
      <c r="A350">
        <v>8</v>
      </c>
      <c r="B350">
        <v>10</v>
      </c>
      <c r="C350" s="32">
        <f t="shared" si="45"/>
        <v>2</v>
      </c>
      <c r="D350">
        <v>9</v>
      </c>
      <c r="E350">
        <v>9</v>
      </c>
      <c r="F350" s="32">
        <f t="shared" si="46"/>
        <v>0</v>
      </c>
      <c r="G350">
        <v>9</v>
      </c>
      <c r="H350">
        <v>9</v>
      </c>
      <c r="I350" s="32">
        <f t="shared" si="47"/>
        <v>0</v>
      </c>
      <c r="J350">
        <v>9</v>
      </c>
      <c r="K350">
        <v>9</v>
      </c>
      <c r="L350" s="32">
        <f t="shared" si="48"/>
        <v>0</v>
      </c>
      <c r="M350">
        <v>9</v>
      </c>
      <c r="N350">
        <v>9</v>
      </c>
      <c r="O350" s="32">
        <f t="shared" si="49"/>
        <v>0</v>
      </c>
      <c r="P350">
        <v>9</v>
      </c>
      <c r="Q350">
        <v>9</v>
      </c>
      <c r="R350" s="32">
        <f t="shared" si="50"/>
        <v>0</v>
      </c>
      <c r="S350">
        <v>9</v>
      </c>
      <c r="T350">
        <v>9</v>
      </c>
      <c r="U350" s="32">
        <f t="shared" si="51"/>
        <v>0</v>
      </c>
      <c r="V350">
        <v>9</v>
      </c>
      <c r="W350">
        <v>9</v>
      </c>
      <c r="X350" s="32">
        <f t="shared" si="52"/>
        <v>0</v>
      </c>
      <c r="Y350">
        <v>9</v>
      </c>
      <c r="Z350">
        <v>10</v>
      </c>
      <c r="AA350" s="32">
        <f t="shared" si="53"/>
        <v>1</v>
      </c>
    </row>
    <row r="351" spans="1:27" x14ac:dyDescent="0.45">
      <c r="A351">
        <v>8</v>
      </c>
      <c r="B351">
        <v>10</v>
      </c>
      <c r="C351" s="32">
        <f t="shared" si="45"/>
        <v>2</v>
      </c>
      <c r="D351">
        <v>9</v>
      </c>
      <c r="E351">
        <v>9</v>
      </c>
      <c r="F351" s="32">
        <f t="shared" si="46"/>
        <v>0</v>
      </c>
      <c r="G351">
        <v>9</v>
      </c>
      <c r="H351">
        <v>9</v>
      </c>
      <c r="I351" s="32">
        <f t="shared" si="47"/>
        <v>0</v>
      </c>
      <c r="J351">
        <v>9</v>
      </c>
      <c r="K351">
        <v>9</v>
      </c>
      <c r="L351" s="32">
        <f t="shared" si="48"/>
        <v>0</v>
      </c>
      <c r="M351">
        <v>9</v>
      </c>
      <c r="N351">
        <v>9</v>
      </c>
      <c r="O351" s="32">
        <f t="shared" si="49"/>
        <v>0</v>
      </c>
      <c r="P351">
        <v>9</v>
      </c>
      <c r="Q351">
        <v>9</v>
      </c>
      <c r="R351" s="32">
        <f t="shared" si="50"/>
        <v>0</v>
      </c>
      <c r="S351">
        <v>9</v>
      </c>
      <c r="T351">
        <v>9</v>
      </c>
      <c r="U351" s="32">
        <f t="shared" si="51"/>
        <v>0</v>
      </c>
      <c r="V351">
        <v>9</v>
      </c>
      <c r="W351">
        <v>9</v>
      </c>
      <c r="X351" s="32">
        <f t="shared" si="52"/>
        <v>0</v>
      </c>
      <c r="Y351">
        <v>9</v>
      </c>
      <c r="Z351">
        <v>10</v>
      </c>
      <c r="AA351" s="32">
        <f t="shared" si="53"/>
        <v>1</v>
      </c>
    </row>
    <row r="352" spans="1:27" x14ac:dyDescent="0.45">
      <c r="A352">
        <v>8</v>
      </c>
      <c r="B352">
        <v>10</v>
      </c>
      <c r="C352" s="32">
        <f t="shared" si="45"/>
        <v>2</v>
      </c>
      <c r="D352">
        <v>9</v>
      </c>
      <c r="E352">
        <v>10</v>
      </c>
      <c r="F352" s="32">
        <f t="shared" si="46"/>
        <v>1</v>
      </c>
      <c r="G352">
        <v>9</v>
      </c>
      <c r="H352">
        <v>9</v>
      </c>
      <c r="I352" s="32">
        <f t="shared" si="47"/>
        <v>0</v>
      </c>
      <c r="J352">
        <v>9</v>
      </c>
      <c r="K352">
        <v>9</v>
      </c>
      <c r="L352" s="32">
        <f t="shared" si="48"/>
        <v>0</v>
      </c>
      <c r="M352">
        <v>9</v>
      </c>
      <c r="N352">
        <v>9</v>
      </c>
      <c r="O352" s="32">
        <f t="shared" si="49"/>
        <v>0</v>
      </c>
      <c r="P352">
        <v>9</v>
      </c>
      <c r="Q352">
        <v>9</v>
      </c>
      <c r="R352" s="32">
        <f t="shared" si="50"/>
        <v>0</v>
      </c>
      <c r="S352">
        <v>9</v>
      </c>
      <c r="T352">
        <v>9</v>
      </c>
      <c r="U352" s="32">
        <f t="shared" si="51"/>
        <v>0</v>
      </c>
      <c r="V352">
        <v>9</v>
      </c>
      <c r="W352">
        <v>9</v>
      </c>
      <c r="X352" s="32">
        <f t="shared" si="52"/>
        <v>0</v>
      </c>
      <c r="Y352">
        <v>9</v>
      </c>
      <c r="Z352">
        <v>10</v>
      </c>
      <c r="AA352" s="32">
        <f t="shared" si="53"/>
        <v>1</v>
      </c>
    </row>
    <row r="353" spans="1:27" x14ac:dyDescent="0.45">
      <c r="A353">
        <v>8</v>
      </c>
      <c r="B353">
        <v>10</v>
      </c>
      <c r="C353" s="32">
        <f t="shared" si="45"/>
        <v>2</v>
      </c>
      <c r="D353">
        <v>9</v>
      </c>
      <c r="E353">
        <v>10</v>
      </c>
      <c r="F353" s="32">
        <f t="shared" si="46"/>
        <v>1</v>
      </c>
      <c r="G353">
        <v>9</v>
      </c>
      <c r="H353">
        <v>9</v>
      </c>
      <c r="I353" s="32">
        <f t="shared" si="47"/>
        <v>0</v>
      </c>
      <c r="J353">
        <v>9</v>
      </c>
      <c r="K353">
        <v>9</v>
      </c>
      <c r="L353" s="32">
        <f t="shared" si="48"/>
        <v>0</v>
      </c>
      <c r="M353">
        <v>9</v>
      </c>
      <c r="N353">
        <v>9</v>
      </c>
      <c r="O353" s="32">
        <f t="shared" si="49"/>
        <v>0</v>
      </c>
      <c r="P353">
        <v>9</v>
      </c>
      <c r="Q353">
        <v>9</v>
      </c>
      <c r="R353" s="32">
        <f t="shared" si="50"/>
        <v>0</v>
      </c>
      <c r="S353">
        <v>9</v>
      </c>
      <c r="T353">
        <v>9</v>
      </c>
      <c r="U353" s="32">
        <f t="shared" si="51"/>
        <v>0</v>
      </c>
      <c r="V353">
        <v>9</v>
      </c>
      <c r="W353">
        <v>9</v>
      </c>
      <c r="X353" s="32">
        <f t="shared" si="52"/>
        <v>0</v>
      </c>
      <c r="Y353">
        <v>9</v>
      </c>
      <c r="Z353">
        <v>10</v>
      </c>
      <c r="AA353" s="32">
        <f t="shared" si="53"/>
        <v>1</v>
      </c>
    </row>
    <row r="354" spans="1:27" x14ac:dyDescent="0.45">
      <c r="A354">
        <v>8</v>
      </c>
      <c r="B354">
        <v>10</v>
      </c>
      <c r="C354" s="32">
        <f t="shared" si="45"/>
        <v>2</v>
      </c>
      <c r="D354">
        <v>9</v>
      </c>
      <c r="E354">
        <v>10</v>
      </c>
      <c r="F354" s="32">
        <f t="shared" si="46"/>
        <v>1</v>
      </c>
      <c r="G354">
        <v>9</v>
      </c>
      <c r="H354">
        <v>9</v>
      </c>
      <c r="I354" s="32">
        <f t="shared" si="47"/>
        <v>0</v>
      </c>
      <c r="J354">
        <v>9</v>
      </c>
      <c r="K354">
        <v>9</v>
      </c>
      <c r="L354" s="32">
        <f t="shared" si="48"/>
        <v>0</v>
      </c>
      <c r="M354">
        <v>9</v>
      </c>
      <c r="N354">
        <v>9</v>
      </c>
      <c r="O354" s="32">
        <f t="shared" si="49"/>
        <v>0</v>
      </c>
      <c r="P354">
        <v>9</v>
      </c>
      <c r="Q354">
        <v>9</v>
      </c>
      <c r="R354" s="32">
        <f t="shared" si="50"/>
        <v>0</v>
      </c>
      <c r="S354">
        <v>9</v>
      </c>
      <c r="T354">
        <v>9</v>
      </c>
      <c r="U354" s="32">
        <f t="shared" si="51"/>
        <v>0</v>
      </c>
      <c r="V354">
        <v>9</v>
      </c>
      <c r="W354">
        <v>9</v>
      </c>
      <c r="X354" s="32">
        <f t="shared" si="52"/>
        <v>0</v>
      </c>
      <c r="Y354">
        <v>9</v>
      </c>
      <c r="Z354">
        <v>10</v>
      </c>
      <c r="AA354" s="32">
        <f t="shared" si="53"/>
        <v>1</v>
      </c>
    </row>
    <row r="355" spans="1:27" x14ac:dyDescent="0.45">
      <c r="A355">
        <v>8</v>
      </c>
      <c r="B355">
        <v>10</v>
      </c>
      <c r="C355" s="32">
        <f t="shared" si="45"/>
        <v>2</v>
      </c>
      <c r="D355">
        <v>9</v>
      </c>
      <c r="E355">
        <v>10</v>
      </c>
      <c r="F355" s="32">
        <f t="shared" si="46"/>
        <v>1</v>
      </c>
      <c r="G355">
        <v>9</v>
      </c>
      <c r="H355">
        <v>9</v>
      </c>
      <c r="I355" s="32">
        <f t="shared" si="47"/>
        <v>0</v>
      </c>
      <c r="J355">
        <v>9</v>
      </c>
      <c r="K355">
        <v>9</v>
      </c>
      <c r="L355" s="32">
        <f t="shared" si="48"/>
        <v>0</v>
      </c>
      <c r="M355">
        <v>9</v>
      </c>
      <c r="N355">
        <v>9</v>
      </c>
      <c r="O355" s="32">
        <f t="shared" si="49"/>
        <v>0</v>
      </c>
      <c r="P355">
        <v>9</v>
      </c>
      <c r="Q355">
        <v>9</v>
      </c>
      <c r="R355" s="32">
        <f t="shared" si="50"/>
        <v>0</v>
      </c>
      <c r="S355">
        <v>9</v>
      </c>
      <c r="T355">
        <v>9</v>
      </c>
      <c r="U355" s="32">
        <f t="shared" si="51"/>
        <v>0</v>
      </c>
      <c r="V355">
        <v>9</v>
      </c>
      <c r="W355">
        <v>9</v>
      </c>
      <c r="X355" s="32">
        <f t="shared" si="52"/>
        <v>0</v>
      </c>
      <c r="Y355">
        <v>9</v>
      </c>
      <c r="Z355">
        <v>10</v>
      </c>
      <c r="AA355" s="32">
        <f t="shared" si="53"/>
        <v>1</v>
      </c>
    </row>
    <row r="356" spans="1:27" x14ac:dyDescent="0.45">
      <c r="A356">
        <v>8</v>
      </c>
      <c r="B356">
        <v>10</v>
      </c>
      <c r="C356" s="32">
        <f t="shared" si="45"/>
        <v>2</v>
      </c>
      <c r="D356">
        <v>9</v>
      </c>
      <c r="E356">
        <v>10</v>
      </c>
      <c r="F356" s="32">
        <f t="shared" si="46"/>
        <v>1</v>
      </c>
      <c r="G356">
        <v>9</v>
      </c>
      <c r="H356">
        <v>9</v>
      </c>
      <c r="I356" s="32">
        <f t="shared" si="47"/>
        <v>0</v>
      </c>
      <c r="J356">
        <v>9</v>
      </c>
      <c r="K356">
        <v>9</v>
      </c>
      <c r="L356" s="32">
        <f t="shared" si="48"/>
        <v>0</v>
      </c>
      <c r="M356">
        <v>9</v>
      </c>
      <c r="N356">
        <v>9</v>
      </c>
      <c r="O356" s="32">
        <f t="shared" si="49"/>
        <v>0</v>
      </c>
      <c r="P356">
        <v>9</v>
      </c>
      <c r="Q356">
        <v>9</v>
      </c>
      <c r="R356" s="32">
        <f t="shared" si="50"/>
        <v>0</v>
      </c>
      <c r="S356">
        <v>9</v>
      </c>
      <c r="T356">
        <v>9</v>
      </c>
      <c r="U356" s="32">
        <f t="shared" si="51"/>
        <v>0</v>
      </c>
      <c r="V356">
        <v>9</v>
      </c>
      <c r="W356">
        <v>9</v>
      </c>
      <c r="X356" s="32">
        <f t="shared" si="52"/>
        <v>0</v>
      </c>
      <c r="Y356">
        <v>9</v>
      </c>
      <c r="Z356">
        <v>10</v>
      </c>
      <c r="AA356" s="32">
        <f t="shared" si="53"/>
        <v>1</v>
      </c>
    </row>
    <row r="357" spans="1:27" x14ac:dyDescent="0.45">
      <c r="A357">
        <v>8</v>
      </c>
      <c r="B357">
        <v>10</v>
      </c>
      <c r="C357" s="32">
        <f t="shared" si="45"/>
        <v>2</v>
      </c>
      <c r="D357">
        <v>9</v>
      </c>
      <c r="E357">
        <v>10</v>
      </c>
      <c r="F357" s="32">
        <f t="shared" si="46"/>
        <v>1</v>
      </c>
      <c r="G357">
        <v>9</v>
      </c>
      <c r="H357">
        <v>9</v>
      </c>
      <c r="I357" s="32">
        <f t="shared" si="47"/>
        <v>0</v>
      </c>
      <c r="J357">
        <v>9</v>
      </c>
      <c r="K357">
        <v>9</v>
      </c>
      <c r="L357" s="32">
        <f t="shared" si="48"/>
        <v>0</v>
      </c>
      <c r="M357">
        <v>9</v>
      </c>
      <c r="N357">
        <v>9</v>
      </c>
      <c r="O357" s="32">
        <f t="shared" si="49"/>
        <v>0</v>
      </c>
      <c r="P357">
        <v>9</v>
      </c>
      <c r="Q357">
        <v>10</v>
      </c>
      <c r="R357" s="32">
        <f t="shared" si="50"/>
        <v>1</v>
      </c>
      <c r="S357">
        <v>9</v>
      </c>
      <c r="T357">
        <v>9</v>
      </c>
      <c r="U357" s="32">
        <f t="shared" si="51"/>
        <v>0</v>
      </c>
      <c r="V357">
        <v>9</v>
      </c>
      <c r="W357">
        <v>9</v>
      </c>
      <c r="X357" s="32">
        <f t="shared" si="52"/>
        <v>0</v>
      </c>
      <c r="Y357">
        <v>9</v>
      </c>
      <c r="Z357">
        <v>10</v>
      </c>
      <c r="AA357" s="32">
        <f t="shared" si="53"/>
        <v>1</v>
      </c>
    </row>
    <row r="358" spans="1:27" x14ac:dyDescent="0.45">
      <c r="A358">
        <v>8</v>
      </c>
      <c r="B358">
        <v>10</v>
      </c>
      <c r="C358" s="32">
        <f t="shared" si="45"/>
        <v>2</v>
      </c>
      <c r="D358">
        <v>9</v>
      </c>
      <c r="E358">
        <v>10</v>
      </c>
      <c r="F358" s="32">
        <f t="shared" si="46"/>
        <v>1</v>
      </c>
      <c r="G358">
        <v>9</v>
      </c>
      <c r="H358">
        <v>9</v>
      </c>
      <c r="I358" s="32">
        <f t="shared" si="47"/>
        <v>0</v>
      </c>
      <c r="J358">
        <v>9</v>
      </c>
      <c r="K358">
        <v>9</v>
      </c>
      <c r="L358" s="32">
        <f t="shared" si="48"/>
        <v>0</v>
      </c>
      <c r="M358">
        <v>9</v>
      </c>
      <c r="N358">
        <v>9</v>
      </c>
      <c r="O358" s="32">
        <f t="shared" si="49"/>
        <v>0</v>
      </c>
      <c r="P358">
        <v>9</v>
      </c>
      <c r="Q358">
        <v>10</v>
      </c>
      <c r="R358" s="32">
        <f t="shared" si="50"/>
        <v>1</v>
      </c>
      <c r="S358">
        <v>9</v>
      </c>
      <c r="T358">
        <v>9</v>
      </c>
      <c r="U358" s="32">
        <f t="shared" si="51"/>
        <v>0</v>
      </c>
      <c r="V358">
        <v>9</v>
      </c>
      <c r="W358">
        <v>9</v>
      </c>
      <c r="X358" s="32">
        <f t="shared" si="52"/>
        <v>0</v>
      </c>
      <c r="Y358">
        <v>9</v>
      </c>
      <c r="Z358">
        <v>10</v>
      </c>
      <c r="AA358" s="32">
        <f t="shared" si="53"/>
        <v>1</v>
      </c>
    </row>
    <row r="359" spans="1:27" x14ac:dyDescent="0.45">
      <c r="A359">
        <v>8</v>
      </c>
      <c r="B359">
        <v>10</v>
      </c>
      <c r="C359" s="32">
        <f t="shared" si="45"/>
        <v>2</v>
      </c>
      <c r="D359">
        <v>9</v>
      </c>
      <c r="E359">
        <v>10</v>
      </c>
      <c r="F359" s="32">
        <f t="shared" si="46"/>
        <v>1</v>
      </c>
      <c r="G359">
        <v>9</v>
      </c>
      <c r="H359">
        <v>9</v>
      </c>
      <c r="I359" s="32">
        <f t="shared" si="47"/>
        <v>0</v>
      </c>
      <c r="J359">
        <v>9</v>
      </c>
      <c r="K359">
        <v>9</v>
      </c>
      <c r="L359" s="32">
        <f t="shared" si="48"/>
        <v>0</v>
      </c>
      <c r="M359">
        <v>9</v>
      </c>
      <c r="N359">
        <v>9</v>
      </c>
      <c r="O359" s="32">
        <f t="shared" si="49"/>
        <v>0</v>
      </c>
      <c r="P359">
        <v>9</v>
      </c>
      <c r="Q359">
        <v>10</v>
      </c>
      <c r="R359" s="32">
        <f t="shared" si="50"/>
        <v>1</v>
      </c>
      <c r="S359">
        <v>9</v>
      </c>
      <c r="T359">
        <v>9</v>
      </c>
      <c r="U359" s="32">
        <f t="shared" si="51"/>
        <v>0</v>
      </c>
      <c r="V359">
        <v>9</v>
      </c>
      <c r="W359">
        <v>9</v>
      </c>
      <c r="X359" s="32">
        <f t="shared" si="52"/>
        <v>0</v>
      </c>
      <c r="Y359">
        <v>9</v>
      </c>
      <c r="Z359">
        <v>10</v>
      </c>
      <c r="AA359" s="32">
        <f t="shared" si="53"/>
        <v>1</v>
      </c>
    </row>
    <row r="360" spans="1:27" x14ac:dyDescent="0.45">
      <c r="A360">
        <v>8</v>
      </c>
      <c r="B360">
        <v>10</v>
      </c>
      <c r="C360" s="32">
        <f t="shared" si="45"/>
        <v>2</v>
      </c>
      <c r="D360">
        <v>9</v>
      </c>
      <c r="E360">
        <v>10</v>
      </c>
      <c r="F360" s="32">
        <f t="shared" si="46"/>
        <v>1</v>
      </c>
      <c r="G360">
        <v>9</v>
      </c>
      <c r="H360">
        <v>9</v>
      </c>
      <c r="I360" s="32">
        <f t="shared" si="47"/>
        <v>0</v>
      </c>
      <c r="J360">
        <v>9</v>
      </c>
      <c r="K360">
        <v>9</v>
      </c>
      <c r="L360" s="32">
        <f t="shared" si="48"/>
        <v>0</v>
      </c>
      <c r="M360">
        <v>9</v>
      </c>
      <c r="N360">
        <v>9</v>
      </c>
      <c r="O360" s="32">
        <f t="shared" si="49"/>
        <v>0</v>
      </c>
      <c r="P360">
        <v>9</v>
      </c>
      <c r="Q360">
        <v>10</v>
      </c>
      <c r="R360" s="32">
        <f t="shared" si="50"/>
        <v>1</v>
      </c>
      <c r="S360">
        <v>9</v>
      </c>
      <c r="T360">
        <v>9</v>
      </c>
      <c r="U360" s="32">
        <f t="shared" si="51"/>
        <v>0</v>
      </c>
      <c r="V360">
        <v>9</v>
      </c>
      <c r="W360">
        <v>9</v>
      </c>
      <c r="X360" s="32">
        <f t="shared" si="52"/>
        <v>0</v>
      </c>
      <c r="Y360">
        <v>9</v>
      </c>
      <c r="Z360">
        <v>10</v>
      </c>
      <c r="AA360" s="32">
        <f t="shared" si="53"/>
        <v>1</v>
      </c>
    </row>
    <row r="361" spans="1:27" x14ac:dyDescent="0.45">
      <c r="A361">
        <v>8</v>
      </c>
      <c r="B361">
        <v>10</v>
      </c>
      <c r="C361" s="32">
        <f t="shared" si="45"/>
        <v>2</v>
      </c>
      <c r="D361">
        <v>9</v>
      </c>
      <c r="E361">
        <v>10</v>
      </c>
      <c r="F361" s="32">
        <f t="shared" si="46"/>
        <v>1</v>
      </c>
      <c r="G361">
        <v>9</v>
      </c>
      <c r="H361">
        <v>9</v>
      </c>
      <c r="I361" s="32">
        <f t="shared" si="47"/>
        <v>0</v>
      </c>
      <c r="J361">
        <v>9</v>
      </c>
      <c r="K361">
        <v>9</v>
      </c>
      <c r="L361" s="32">
        <f t="shared" si="48"/>
        <v>0</v>
      </c>
      <c r="M361">
        <v>9</v>
      </c>
      <c r="N361">
        <v>9</v>
      </c>
      <c r="O361" s="32">
        <f t="shared" si="49"/>
        <v>0</v>
      </c>
      <c r="P361">
        <v>9</v>
      </c>
      <c r="Q361">
        <v>10</v>
      </c>
      <c r="R361" s="32">
        <f t="shared" si="50"/>
        <v>1</v>
      </c>
      <c r="S361">
        <v>9</v>
      </c>
      <c r="T361">
        <v>9</v>
      </c>
      <c r="U361" s="32">
        <f t="shared" si="51"/>
        <v>0</v>
      </c>
      <c r="V361">
        <v>9</v>
      </c>
      <c r="W361">
        <v>9</v>
      </c>
      <c r="X361" s="32">
        <f t="shared" si="52"/>
        <v>0</v>
      </c>
      <c r="Y361">
        <v>9</v>
      </c>
      <c r="Z361">
        <v>10</v>
      </c>
      <c r="AA361" s="32">
        <f t="shared" si="53"/>
        <v>1</v>
      </c>
    </row>
    <row r="362" spans="1:27" x14ac:dyDescent="0.45">
      <c r="A362">
        <v>8</v>
      </c>
      <c r="B362">
        <v>10</v>
      </c>
      <c r="C362" s="32">
        <f t="shared" si="45"/>
        <v>2</v>
      </c>
      <c r="D362">
        <v>9</v>
      </c>
      <c r="E362">
        <v>10</v>
      </c>
      <c r="F362" s="32">
        <f t="shared" si="46"/>
        <v>1</v>
      </c>
      <c r="G362">
        <v>9</v>
      </c>
      <c r="H362">
        <v>9</v>
      </c>
      <c r="I362" s="32">
        <f t="shared" si="47"/>
        <v>0</v>
      </c>
      <c r="J362">
        <v>9</v>
      </c>
      <c r="K362">
        <v>9</v>
      </c>
      <c r="L362" s="32">
        <f t="shared" si="48"/>
        <v>0</v>
      </c>
      <c r="M362">
        <v>9</v>
      </c>
      <c r="N362">
        <v>9</v>
      </c>
      <c r="O362" s="32">
        <f t="shared" si="49"/>
        <v>0</v>
      </c>
      <c r="P362">
        <v>9</v>
      </c>
      <c r="Q362">
        <v>10</v>
      </c>
      <c r="R362" s="32">
        <f t="shared" si="50"/>
        <v>1</v>
      </c>
      <c r="S362">
        <v>9</v>
      </c>
      <c r="T362">
        <v>9</v>
      </c>
      <c r="U362" s="32">
        <f t="shared" si="51"/>
        <v>0</v>
      </c>
      <c r="V362">
        <v>9</v>
      </c>
      <c r="W362">
        <v>9</v>
      </c>
      <c r="X362" s="32">
        <f t="shared" si="52"/>
        <v>0</v>
      </c>
      <c r="Y362">
        <v>9</v>
      </c>
      <c r="Z362">
        <v>10</v>
      </c>
      <c r="AA362" s="32">
        <f t="shared" si="53"/>
        <v>1</v>
      </c>
    </row>
    <row r="363" spans="1:27" x14ac:dyDescent="0.45">
      <c r="A363">
        <v>8</v>
      </c>
      <c r="B363">
        <v>10</v>
      </c>
      <c r="C363" s="32">
        <f t="shared" si="45"/>
        <v>2</v>
      </c>
      <c r="D363">
        <v>9</v>
      </c>
      <c r="E363">
        <v>10</v>
      </c>
      <c r="F363" s="32">
        <f t="shared" si="46"/>
        <v>1</v>
      </c>
      <c r="G363">
        <v>9</v>
      </c>
      <c r="H363">
        <v>9</v>
      </c>
      <c r="I363" s="32">
        <f t="shared" si="47"/>
        <v>0</v>
      </c>
      <c r="J363">
        <v>9</v>
      </c>
      <c r="K363">
        <v>9</v>
      </c>
      <c r="L363" s="32">
        <f t="shared" si="48"/>
        <v>0</v>
      </c>
      <c r="M363">
        <v>9</v>
      </c>
      <c r="N363">
        <v>9</v>
      </c>
      <c r="O363" s="32">
        <f t="shared" si="49"/>
        <v>0</v>
      </c>
      <c r="P363">
        <v>9</v>
      </c>
      <c r="Q363">
        <v>10</v>
      </c>
      <c r="R363" s="32">
        <f t="shared" si="50"/>
        <v>1</v>
      </c>
      <c r="S363">
        <v>9</v>
      </c>
      <c r="T363">
        <v>9</v>
      </c>
      <c r="U363" s="32">
        <f t="shared" si="51"/>
        <v>0</v>
      </c>
      <c r="V363">
        <v>9</v>
      </c>
      <c r="W363">
        <v>9</v>
      </c>
      <c r="X363" s="32">
        <f t="shared" si="52"/>
        <v>0</v>
      </c>
      <c r="Y363">
        <v>9</v>
      </c>
      <c r="Z363">
        <v>10</v>
      </c>
      <c r="AA363" s="32">
        <f t="shared" si="53"/>
        <v>1</v>
      </c>
    </row>
    <row r="364" spans="1:27" x14ac:dyDescent="0.45">
      <c r="A364">
        <v>8</v>
      </c>
      <c r="B364">
        <v>10</v>
      </c>
      <c r="C364" s="32">
        <f t="shared" si="45"/>
        <v>2</v>
      </c>
      <c r="D364">
        <v>9</v>
      </c>
      <c r="E364">
        <v>10</v>
      </c>
      <c r="F364" s="32">
        <f t="shared" si="46"/>
        <v>1</v>
      </c>
      <c r="G364">
        <v>9</v>
      </c>
      <c r="H364">
        <v>9</v>
      </c>
      <c r="I364" s="32">
        <f t="shared" si="47"/>
        <v>0</v>
      </c>
      <c r="J364">
        <v>9</v>
      </c>
      <c r="K364">
        <v>10</v>
      </c>
      <c r="L364" s="32">
        <f t="shared" si="48"/>
        <v>1</v>
      </c>
      <c r="M364">
        <v>9</v>
      </c>
      <c r="N364">
        <v>10</v>
      </c>
      <c r="O364" s="32">
        <f t="shared" si="49"/>
        <v>1</v>
      </c>
      <c r="P364">
        <v>9</v>
      </c>
      <c r="Q364">
        <v>10</v>
      </c>
      <c r="R364" s="32">
        <f t="shared" si="50"/>
        <v>1</v>
      </c>
      <c r="S364">
        <v>9</v>
      </c>
      <c r="T364">
        <v>9</v>
      </c>
      <c r="U364" s="32">
        <f t="shared" si="51"/>
        <v>0</v>
      </c>
      <c r="V364">
        <v>9</v>
      </c>
      <c r="W364">
        <v>9</v>
      </c>
      <c r="X364" s="32">
        <f t="shared" si="52"/>
        <v>0</v>
      </c>
      <c r="Y364">
        <v>9</v>
      </c>
      <c r="Z364">
        <v>10</v>
      </c>
      <c r="AA364" s="32">
        <f t="shared" si="53"/>
        <v>1</v>
      </c>
    </row>
    <row r="365" spans="1:27" x14ac:dyDescent="0.45">
      <c r="A365">
        <v>8</v>
      </c>
      <c r="B365">
        <v>10</v>
      </c>
      <c r="C365" s="32">
        <f t="shared" si="45"/>
        <v>2</v>
      </c>
      <c r="D365">
        <v>9</v>
      </c>
      <c r="E365">
        <v>10</v>
      </c>
      <c r="F365" s="32">
        <f t="shared" si="46"/>
        <v>1</v>
      </c>
      <c r="G365">
        <v>9</v>
      </c>
      <c r="H365">
        <v>9</v>
      </c>
      <c r="I365" s="32">
        <f t="shared" si="47"/>
        <v>0</v>
      </c>
      <c r="J365">
        <v>9</v>
      </c>
      <c r="K365">
        <v>10</v>
      </c>
      <c r="L365" s="32">
        <f t="shared" si="48"/>
        <v>1</v>
      </c>
      <c r="M365">
        <v>9</v>
      </c>
      <c r="N365">
        <v>10</v>
      </c>
      <c r="O365" s="32">
        <f t="shared" si="49"/>
        <v>1</v>
      </c>
      <c r="P365">
        <v>9</v>
      </c>
      <c r="Q365">
        <v>10</v>
      </c>
      <c r="R365" s="32">
        <f t="shared" si="50"/>
        <v>1</v>
      </c>
      <c r="S365">
        <v>9</v>
      </c>
      <c r="T365">
        <v>9</v>
      </c>
      <c r="U365" s="32">
        <f t="shared" si="51"/>
        <v>0</v>
      </c>
      <c r="V365">
        <v>9</v>
      </c>
      <c r="W365">
        <v>9</v>
      </c>
      <c r="X365" s="32">
        <f t="shared" si="52"/>
        <v>0</v>
      </c>
      <c r="Y365">
        <v>9</v>
      </c>
      <c r="Z365">
        <v>10</v>
      </c>
      <c r="AA365" s="32">
        <f t="shared" si="53"/>
        <v>1</v>
      </c>
    </row>
    <row r="366" spans="1:27" x14ac:dyDescent="0.45">
      <c r="A366">
        <v>8</v>
      </c>
      <c r="B366">
        <v>10</v>
      </c>
      <c r="C366" s="32">
        <f t="shared" si="45"/>
        <v>2</v>
      </c>
      <c r="D366">
        <v>9</v>
      </c>
      <c r="E366">
        <v>10</v>
      </c>
      <c r="F366" s="32">
        <f t="shared" si="46"/>
        <v>1</v>
      </c>
      <c r="G366">
        <v>9</v>
      </c>
      <c r="H366">
        <v>9</v>
      </c>
      <c r="I366" s="32">
        <f t="shared" si="47"/>
        <v>0</v>
      </c>
      <c r="J366">
        <v>9</v>
      </c>
      <c r="K366">
        <v>10</v>
      </c>
      <c r="L366" s="32">
        <f t="shared" si="48"/>
        <v>1</v>
      </c>
      <c r="M366">
        <v>9</v>
      </c>
      <c r="N366">
        <v>10</v>
      </c>
      <c r="O366" s="32">
        <f t="shared" si="49"/>
        <v>1</v>
      </c>
      <c r="P366">
        <v>9</v>
      </c>
      <c r="Q366">
        <v>10</v>
      </c>
      <c r="R366" s="32">
        <f t="shared" si="50"/>
        <v>1</v>
      </c>
      <c r="S366">
        <v>9</v>
      </c>
      <c r="T366">
        <v>9</v>
      </c>
      <c r="U366" s="32">
        <f t="shared" si="51"/>
        <v>0</v>
      </c>
      <c r="V366">
        <v>9</v>
      </c>
      <c r="W366">
        <v>9</v>
      </c>
      <c r="X366" s="32">
        <f t="shared" si="52"/>
        <v>0</v>
      </c>
      <c r="Y366">
        <v>9</v>
      </c>
      <c r="Z366">
        <v>10</v>
      </c>
      <c r="AA366" s="32">
        <f t="shared" si="53"/>
        <v>1</v>
      </c>
    </row>
    <row r="367" spans="1:27" x14ac:dyDescent="0.45">
      <c r="A367">
        <v>9</v>
      </c>
      <c r="B367">
        <v>10</v>
      </c>
      <c r="C367" s="32">
        <f t="shared" si="45"/>
        <v>1</v>
      </c>
      <c r="D367">
        <v>9</v>
      </c>
      <c r="E367">
        <v>10</v>
      </c>
      <c r="F367" s="32">
        <f t="shared" si="46"/>
        <v>1</v>
      </c>
      <c r="G367">
        <v>9</v>
      </c>
      <c r="H367">
        <v>9</v>
      </c>
      <c r="I367" s="32">
        <f t="shared" si="47"/>
        <v>0</v>
      </c>
      <c r="J367">
        <v>9</v>
      </c>
      <c r="K367">
        <v>10</v>
      </c>
      <c r="L367" s="32">
        <f t="shared" si="48"/>
        <v>1</v>
      </c>
      <c r="M367">
        <v>9</v>
      </c>
      <c r="N367">
        <v>10</v>
      </c>
      <c r="O367" s="32">
        <f t="shared" si="49"/>
        <v>1</v>
      </c>
      <c r="P367">
        <v>9</v>
      </c>
      <c r="Q367">
        <v>10</v>
      </c>
      <c r="R367" s="32">
        <f t="shared" si="50"/>
        <v>1</v>
      </c>
      <c r="S367">
        <v>9</v>
      </c>
      <c r="T367">
        <v>10</v>
      </c>
      <c r="U367" s="32">
        <f t="shared" si="51"/>
        <v>1</v>
      </c>
      <c r="V367">
        <v>9</v>
      </c>
      <c r="W367">
        <v>9</v>
      </c>
      <c r="X367" s="32">
        <f t="shared" si="52"/>
        <v>0</v>
      </c>
      <c r="Y367">
        <v>9</v>
      </c>
      <c r="Z367">
        <v>10</v>
      </c>
      <c r="AA367" s="32">
        <f t="shared" si="53"/>
        <v>1</v>
      </c>
    </row>
    <row r="368" spans="1:27" x14ac:dyDescent="0.45">
      <c r="A368">
        <v>9</v>
      </c>
      <c r="B368">
        <v>10</v>
      </c>
      <c r="C368" s="32">
        <f t="shared" si="45"/>
        <v>1</v>
      </c>
      <c r="D368">
        <v>9</v>
      </c>
      <c r="E368">
        <v>10</v>
      </c>
      <c r="F368" s="32">
        <f t="shared" si="46"/>
        <v>1</v>
      </c>
      <c r="G368">
        <v>9</v>
      </c>
      <c r="H368">
        <v>9</v>
      </c>
      <c r="I368" s="32">
        <f t="shared" si="47"/>
        <v>0</v>
      </c>
      <c r="J368">
        <v>9</v>
      </c>
      <c r="K368">
        <v>10</v>
      </c>
      <c r="L368" s="32">
        <f t="shared" si="48"/>
        <v>1</v>
      </c>
      <c r="M368">
        <v>9</v>
      </c>
      <c r="N368">
        <v>10</v>
      </c>
      <c r="O368" s="32">
        <f t="shared" si="49"/>
        <v>1</v>
      </c>
      <c r="P368">
        <v>9</v>
      </c>
      <c r="Q368">
        <v>10</v>
      </c>
      <c r="R368" s="32">
        <f t="shared" si="50"/>
        <v>1</v>
      </c>
      <c r="S368">
        <v>9</v>
      </c>
      <c r="T368">
        <v>10</v>
      </c>
      <c r="U368" s="32">
        <f t="shared" si="51"/>
        <v>1</v>
      </c>
      <c r="V368">
        <v>9</v>
      </c>
      <c r="W368">
        <v>9</v>
      </c>
      <c r="X368" s="32">
        <f t="shared" si="52"/>
        <v>0</v>
      </c>
      <c r="Y368">
        <v>9</v>
      </c>
      <c r="Z368">
        <v>10</v>
      </c>
      <c r="AA368" s="32">
        <f t="shared" si="53"/>
        <v>1</v>
      </c>
    </row>
    <row r="369" spans="1:27" x14ac:dyDescent="0.45">
      <c r="A369">
        <v>9</v>
      </c>
      <c r="B369">
        <v>10</v>
      </c>
      <c r="C369" s="32">
        <f t="shared" si="45"/>
        <v>1</v>
      </c>
      <c r="D369">
        <v>9</v>
      </c>
      <c r="E369">
        <v>10</v>
      </c>
      <c r="F369" s="32">
        <f t="shared" si="46"/>
        <v>1</v>
      </c>
      <c r="G369">
        <v>9</v>
      </c>
      <c r="H369">
        <v>10</v>
      </c>
      <c r="I369" s="32">
        <f t="shared" si="47"/>
        <v>1</v>
      </c>
      <c r="J369">
        <v>9</v>
      </c>
      <c r="K369">
        <v>10</v>
      </c>
      <c r="L369" s="32">
        <f t="shared" si="48"/>
        <v>1</v>
      </c>
      <c r="M369">
        <v>9</v>
      </c>
      <c r="N369">
        <v>10</v>
      </c>
      <c r="O369" s="32">
        <f t="shared" si="49"/>
        <v>1</v>
      </c>
      <c r="P369">
        <v>9</v>
      </c>
      <c r="Q369">
        <v>10</v>
      </c>
      <c r="R369" s="32">
        <f t="shared" si="50"/>
        <v>1</v>
      </c>
      <c r="S369">
        <v>9</v>
      </c>
      <c r="T369">
        <v>10</v>
      </c>
      <c r="U369" s="32">
        <f t="shared" si="51"/>
        <v>1</v>
      </c>
      <c r="V369">
        <v>9</v>
      </c>
      <c r="W369">
        <v>9</v>
      </c>
      <c r="X369" s="32">
        <f t="shared" si="52"/>
        <v>0</v>
      </c>
      <c r="Y369">
        <v>9</v>
      </c>
      <c r="Z369">
        <v>10</v>
      </c>
      <c r="AA369" s="32">
        <f t="shared" si="53"/>
        <v>1</v>
      </c>
    </row>
    <row r="370" spans="1:27" x14ac:dyDescent="0.45">
      <c r="A370">
        <v>9</v>
      </c>
      <c r="B370">
        <v>10</v>
      </c>
      <c r="C370" s="32">
        <f t="shared" si="45"/>
        <v>1</v>
      </c>
      <c r="D370">
        <v>9</v>
      </c>
      <c r="E370">
        <v>10</v>
      </c>
      <c r="F370" s="32">
        <f t="shared" si="46"/>
        <v>1</v>
      </c>
      <c r="G370">
        <v>9</v>
      </c>
      <c r="H370">
        <v>10</v>
      </c>
      <c r="I370" s="32">
        <f t="shared" si="47"/>
        <v>1</v>
      </c>
      <c r="J370">
        <v>9</v>
      </c>
      <c r="K370">
        <v>10</v>
      </c>
      <c r="L370" s="32">
        <f t="shared" si="48"/>
        <v>1</v>
      </c>
      <c r="M370">
        <v>9</v>
      </c>
      <c r="N370">
        <v>10</v>
      </c>
      <c r="O370" s="32">
        <f t="shared" si="49"/>
        <v>1</v>
      </c>
      <c r="P370">
        <v>9</v>
      </c>
      <c r="Q370">
        <v>10</v>
      </c>
      <c r="R370" s="32">
        <f t="shared" si="50"/>
        <v>1</v>
      </c>
      <c r="S370">
        <v>9</v>
      </c>
      <c r="T370">
        <v>10</v>
      </c>
      <c r="U370" s="32">
        <f t="shared" si="51"/>
        <v>1</v>
      </c>
      <c r="V370">
        <v>9</v>
      </c>
      <c r="W370">
        <v>10</v>
      </c>
      <c r="X370" s="32">
        <f t="shared" si="52"/>
        <v>1</v>
      </c>
      <c r="Y370">
        <v>9</v>
      </c>
      <c r="Z370">
        <v>10</v>
      </c>
      <c r="AA370" s="32">
        <f t="shared" si="53"/>
        <v>1</v>
      </c>
    </row>
    <row r="371" spans="1:27" x14ac:dyDescent="0.45">
      <c r="A371">
        <v>9</v>
      </c>
      <c r="B371">
        <v>10</v>
      </c>
      <c r="C371" s="32">
        <f t="shared" si="45"/>
        <v>1</v>
      </c>
      <c r="D371">
        <v>9</v>
      </c>
      <c r="E371">
        <v>10</v>
      </c>
      <c r="F371" s="32">
        <f t="shared" si="46"/>
        <v>1</v>
      </c>
      <c r="G371">
        <v>9</v>
      </c>
      <c r="H371">
        <v>10</v>
      </c>
      <c r="I371" s="32">
        <f t="shared" si="47"/>
        <v>1</v>
      </c>
      <c r="J371">
        <v>9</v>
      </c>
      <c r="K371">
        <v>10</v>
      </c>
      <c r="L371" s="32">
        <f t="shared" si="48"/>
        <v>1</v>
      </c>
      <c r="M371">
        <v>9</v>
      </c>
      <c r="N371">
        <v>10</v>
      </c>
      <c r="O371" s="32">
        <f t="shared" si="49"/>
        <v>1</v>
      </c>
      <c r="P371">
        <v>9</v>
      </c>
      <c r="Q371">
        <v>10</v>
      </c>
      <c r="R371" s="32">
        <f t="shared" si="50"/>
        <v>1</v>
      </c>
      <c r="S371">
        <v>9</v>
      </c>
      <c r="T371">
        <v>10</v>
      </c>
      <c r="U371" s="32">
        <f t="shared" si="51"/>
        <v>1</v>
      </c>
      <c r="V371">
        <v>9</v>
      </c>
      <c r="W371">
        <v>10</v>
      </c>
      <c r="X371" s="32">
        <f t="shared" si="52"/>
        <v>1</v>
      </c>
      <c r="Y371">
        <v>9</v>
      </c>
      <c r="Z371">
        <v>10</v>
      </c>
      <c r="AA371" s="32">
        <f t="shared" si="53"/>
        <v>1</v>
      </c>
    </row>
    <row r="372" spans="1:27" x14ac:dyDescent="0.45">
      <c r="A372">
        <v>9</v>
      </c>
      <c r="B372">
        <v>10</v>
      </c>
      <c r="C372" s="32">
        <f t="shared" si="45"/>
        <v>1</v>
      </c>
      <c r="D372">
        <v>9</v>
      </c>
      <c r="E372">
        <v>10</v>
      </c>
      <c r="F372" s="32">
        <f t="shared" si="46"/>
        <v>1</v>
      </c>
      <c r="G372">
        <v>9</v>
      </c>
      <c r="H372">
        <v>10</v>
      </c>
      <c r="I372" s="32">
        <f t="shared" si="47"/>
        <v>1</v>
      </c>
      <c r="J372">
        <v>9</v>
      </c>
      <c r="K372">
        <v>10</v>
      </c>
      <c r="L372" s="32">
        <f t="shared" si="48"/>
        <v>1</v>
      </c>
      <c r="M372">
        <v>9</v>
      </c>
      <c r="N372">
        <v>10</v>
      </c>
      <c r="O372" s="32">
        <f t="shared" si="49"/>
        <v>1</v>
      </c>
      <c r="P372">
        <v>9</v>
      </c>
      <c r="Q372">
        <v>10</v>
      </c>
      <c r="R372" s="32">
        <f t="shared" si="50"/>
        <v>1</v>
      </c>
      <c r="S372">
        <v>9</v>
      </c>
      <c r="T372">
        <v>10</v>
      </c>
      <c r="U372" s="32">
        <f t="shared" si="51"/>
        <v>1</v>
      </c>
      <c r="V372">
        <v>9</v>
      </c>
      <c r="W372">
        <v>10</v>
      </c>
      <c r="X372" s="32">
        <f t="shared" si="52"/>
        <v>1</v>
      </c>
      <c r="Y372">
        <v>9</v>
      </c>
      <c r="Z372">
        <v>10</v>
      </c>
      <c r="AA372" s="32">
        <f t="shared" si="53"/>
        <v>1</v>
      </c>
    </row>
    <row r="373" spans="1:27" x14ac:dyDescent="0.45">
      <c r="A373">
        <v>9</v>
      </c>
      <c r="B373">
        <v>10</v>
      </c>
      <c r="C373" s="32">
        <f t="shared" si="45"/>
        <v>1</v>
      </c>
      <c r="D373">
        <v>9</v>
      </c>
      <c r="E373">
        <v>10</v>
      </c>
      <c r="F373" s="32">
        <f t="shared" si="46"/>
        <v>1</v>
      </c>
      <c r="G373">
        <v>9</v>
      </c>
      <c r="H373">
        <v>10</v>
      </c>
      <c r="I373" s="32">
        <f t="shared" si="47"/>
        <v>1</v>
      </c>
      <c r="J373">
        <v>9</v>
      </c>
      <c r="K373">
        <v>10</v>
      </c>
      <c r="L373" s="32">
        <f t="shared" si="48"/>
        <v>1</v>
      </c>
      <c r="M373">
        <v>9</v>
      </c>
      <c r="N373">
        <v>10</v>
      </c>
      <c r="O373" s="32">
        <f t="shared" si="49"/>
        <v>1</v>
      </c>
      <c r="P373">
        <v>9</v>
      </c>
      <c r="Q373">
        <v>10</v>
      </c>
      <c r="R373" s="32">
        <f t="shared" si="50"/>
        <v>1</v>
      </c>
      <c r="S373">
        <v>9</v>
      </c>
      <c r="T373">
        <v>10</v>
      </c>
      <c r="U373" s="32">
        <f t="shared" si="51"/>
        <v>1</v>
      </c>
      <c r="V373">
        <v>9</v>
      </c>
      <c r="W373">
        <v>10</v>
      </c>
      <c r="X373" s="32">
        <f t="shared" si="52"/>
        <v>1</v>
      </c>
      <c r="Y373">
        <v>9</v>
      </c>
      <c r="Z373">
        <v>10</v>
      </c>
      <c r="AA373" s="32">
        <f t="shared" si="53"/>
        <v>1</v>
      </c>
    </row>
    <row r="374" spans="1:27" x14ac:dyDescent="0.45">
      <c r="A374">
        <v>9</v>
      </c>
      <c r="B374">
        <v>10</v>
      </c>
      <c r="C374" s="32">
        <f t="shared" si="45"/>
        <v>1</v>
      </c>
      <c r="D374">
        <v>9</v>
      </c>
      <c r="E374">
        <v>10</v>
      </c>
      <c r="F374" s="32">
        <f t="shared" si="46"/>
        <v>1</v>
      </c>
      <c r="G374">
        <v>9</v>
      </c>
      <c r="H374">
        <v>10</v>
      </c>
      <c r="I374" s="32">
        <f t="shared" si="47"/>
        <v>1</v>
      </c>
      <c r="J374">
        <v>9</v>
      </c>
      <c r="K374">
        <v>10</v>
      </c>
      <c r="L374" s="32">
        <f t="shared" si="48"/>
        <v>1</v>
      </c>
      <c r="M374">
        <v>9</v>
      </c>
      <c r="N374">
        <v>10</v>
      </c>
      <c r="O374" s="32">
        <f t="shared" si="49"/>
        <v>1</v>
      </c>
      <c r="P374">
        <v>9</v>
      </c>
      <c r="Q374">
        <v>10</v>
      </c>
      <c r="R374" s="32">
        <f t="shared" si="50"/>
        <v>1</v>
      </c>
      <c r="S374">
        <v>9</v>
      </c>
      <c r="T374">
        <v>10</v>
      </c>
      <c r="U374" s="32">
        <f t="shared" si="51"/>
        <v>1</v>
      </c>
      <c r="V374">
        <v>9</v>
      </c>
      <c r="W374">
        <v>10</v>
      </c>
      <c r="X374" s="32">
        <f t="shared" si="52"/>
        <v>1</v>
      </c>
      <c r="Y374">
        <v>9</v>
      </c>
      <c r="Z374">
        <v>10</v>
      </c>
      <c r="AA374" s="32">
        <f t="shared" si="53"/>
        <v>1</v>
      </c>
    </row>
    <row r="375" spans="1:27" x14ac:dyDescent="0.45">
      <c r="A375">
        <v>9</v>
      </c>
      <c r="B375">
        <v>10</v>
      </c>
      <c r="C375" s="32">
        <f t="shared" si="45"/>
        <v>1</v>
      </c>
      <c r="D375">
        <v>9</v>
      </c>
      <c r="E375">
        <v>10</v>
      </c>
      <c r="F375" s="32">
        <f t="shared" si="46"/>
        <v>1</v>
      </c>
      <c r="G375">
        <v>9</v>
      </c>
      <c r="H375">
        <v>10</v>
      </c>
      <c r="I375" s="32">
        <f t="shared" si="47"/>
        <v>1</v>
      </c>
      <c r="J375">
        <v>9</v>
      </c>
      <c r="K375">
        <v>10</v>
      </c>
      <c r="L375" s="32">
        <f t="shared" si="48"/>
        <v>1</v>
      </c>
      <c r="M375">
        <v>9</v>
      </c>
      <c r="N375">
        <v>10</v>
      </c>
      <c r="O375" s="32">
        <f t="shared" si="49"/>
        <v>1</v>
      </c>
      <c r="P375">
        <v>9</v>
      </c>
      <c r="Q375">
        <v>10</v>
      </c>
      <c r="R375" s="32">
        <f t="shared" si="50"/>
        <v>1</v>
      </c>
      <c r="S375">
        <v>9</v>
      </c>
      <c r="T375">
        <v>10</v>
      </c>
      <c r="U375" s="32">
        <f t="shared" si="51"/>
        <v>1</v>
      </c>
      <c r="V375">
        <v>9</v>
      </c>
      <c r="W375">
        <v>10</v>
      </c>
      <c r="X375" s="32">
        <f t="shared" si="52"/>
        <v>1</v>
      </c>
      <c r="Y375">
        <v>9</v>
      </c>
      <c r="Z375">
        <v>10</v>
      </c>
      <c r="AA375" s="32">
        <f t="shared" si="53"/>
        <v>1</v>
      </c>
    </row>
    <row r="376" spans="1:27" x14ac:dyDescent="0.45">
      <c r="A376">
        <v>9</v>
      </c>
      <c r="B376">
        <v>10</v>
      </c>
      <c r="C376" s="32">
        <f t="shared" si="45"/>
        <v>1</v>
      </c>
      <c r="D376">
        <v>9</v>
      </c>
      <c r="E376">
        <v>10</v>
      </c>
      <c r="F376" s="32">
        <f t="shared" si="46"/>
        <v>1</v>
      </c>
      <c r="G376">
        <v>9</v>
      </c>
      <c r="H376">
        <v>10</v>
      </c>
      <c r="I376" s="32">
        <f t="shared" si="47"/>
        <v>1</v>
      </c>
      <c r="J376">
        <v>9</v>
      </c>
      <c r="K376">
        <v>10</v>
      </c>
      <c r="L376" s="32">
        <f t="shared" si="48"/>
        <v>1</v>
      </c>
      <c r="M376">
        <v>9</v>
      </c>
      <c r="N376">
        <v>10</v>
      </c>
      <c r="O376" s="32">
        <f t="shared" si="49"/>
        <v>1</v>
      </c>
      <c r="P376">
        <v>9</v>
      </c>
      <c r="Q376">
        <v>10</v>
      </c>
      <c r="R376" s="32">
        <f t="shared" si="50"/>
        <v>1</v>
      </c>
      <c r="S376">
        <v>9</v>
      </c>
      <c r="T376">
        <v>10</v>
      </c>
      <c r="U376" s="32">
        <f t="shared" si="51"/>
        <v>1</v>
      </c>
      <c r="V376">
        <v>9</v>
      </c>
      <c r="W376">
        <v>10</v>
      </c>
      <c r="X376" s="32">
        <f t="shared" si="52"/>
        <v>1</v>
      </c>
      <c r="Y376">
        <v>9</v>
      </c>
      <c r="Z376">
        <v>10</v>
      </c>
      <c r="AA376" s="32">
        <f t="shared" si="53"/>
        <v>1</v>
      </c>
    </row>
    <row r="377" spans="1:27" x14ac:dyDescent="0.45">
      <c r="A377">
        <v>9</v>
      </c>
      <c r="B377">
        <v>10</v>
      </c>
      <c r="C377" s="32">
        <f t="shared" si="45"/>
        <v>1</v>
      </c>
      <c r="D377">
        <v>9</v>
      </c>
      <c r="E377">
        <v>10</v>
      </c>
      <c r="F377" s="32">
        <f t="shared" si="46"/>
        <v>1</v>
      </c>
      <c r="G377">
        <v>9</v>
      </c>
      <c r="H377">
        <v>10</v>
      </c>
      <c r="I377" s="32">
        <f t="shared" si="47"/>
        <v>1</v>
      </c>
      <c r="J377">
        <v>9</v>
      </c>
      <c r="K377">
        <v>10</v>
      </c>
      <c r="L377" s="32">
        <f t="shared" si="48"/>
        <v>1</v>
      </c>
      <c r="M377">
        <v>9</v>
      </c>
      <c r="N377">
        <v>10</v>
      </c>
      <c r="O377" s="32">
        <f t="shared" si="49"/>
        <v>1</v>
      </c>
      <c r="P377">
        <v>9</v>
      </c>
      <c r="Q377">
        <v>10</v>
      </c>
      <c r="R377" s="32">
        <f t="shared" si="50"/>
        <v>1</v>
      </c>
      <c r="S377">
        <v>9</v>
      </c>
      <c r="T377">
        <v>10</v>
      </c>
      <c r="U377" s="32">
        <f t="shared" si="51"/>
        <v>1</v>
      </c>
      <c r="V377">
        <v>9</v>
      </c>
      <c r="W377">
        <v>10</v>
      </c>
      <c r="X377" s="32">
        <f t="shared" si="52"/>
        <v>1</v>
      </c>
      <c r="Y377">
        <v>9</v>
      </c>
      <c r="Z377">
        <v>10</v>
      </c>
      <c r="AA377" s="32">
        <f t="shared" si="53"/>
        <v>1</v>
      </c>
    </row>
    <row r="378" spans="1:27" x14ac:dyDescent="0.45">
      <c r="A378">
        <v>9</v>
      </c>
      <c r="B378">
        <v>10</v>
      </c>
      <c r="C378" s="32">
        <f t="shared" si="45"/>
        <v>1</v>
      </c>
      <c r="D378">
        <v>9</v>
      </c>
      <c r="E378">
        <v>10</v>
      </c>
      <c r="F378" s="32">
        <f t="shared" si="46"/>
        <v>1</v>
      </c>
      <c r="G378">
        <v>9</v>
      </c>
      <c r="H378">
        <v>10</v>
      </c>
      <c r="I378" s="32">
        <f t="shared" si="47"/>
        <v>1</v>
      </c>
      <c r="J378">
        <v>9</v>
      </c>
      <c r="K378">
        <v>10</v>
      </c>
      <c r="L378" s="32">
        <f t="shared" si="48"/>
        <v>1</v>
      </c>
      <c r="M378">
        <v>9</v>
      </c>
      <c r="N378">
        <v>10</v>
      </c>
      <c r="O378" s="32">
        <f t="shared" si="49"/>
        <v>1</v>
      </c>
      <c r="P378">
        <v>9</v>
      </c>
      <c r="Q378">
        <v>10</v>
      </c>
      <c r="R378" s="32">
        <f t="shared" si="50"/>
        <v>1</v>
      </c>
      <c r="S378">
        <v>9</v>
      </c>
      <c r="T378">
        <v>10</v>
      </c>
      <c r="U378" s="32">
        <f t="shared" si="51"/>
        <v>1</v>
      </c>
      <c r="V378">
        <v>9</v>
      </c>
      <c r="W378">
        <v>10</v>
      </c>
      <c r="X378" s="32">
        <f t="shared" si="52"/>
        <v>1</v>
      </c>
      <c r="Y378">
        <v>9</v>
      </c>
      <c r="Z378">
        <v>10</v>
      </c>
      <c r="AA378" s="32">
        <f t="shared" si="53"/>
        <v>1</v>
      </c>
    </row>
    <row r="379" spans="1:27" x14ac:dyDescent="0.45">
      <c r="A379">
        <v>9</v>
      </c>
      <c r="B379">
        <v>10</v>
      </c>
      <c r="C379" s="32">
        <f t="shared" si="45"/>
        <v>1</v>
      </c>
      <c r="D379">
        <v>9</v>
      </c>
      <c r="E379">
        <v>10</v>
      </c>
      <c r="F379" s="32">
        <f t="shared" si="46"/>
        <v>1</v>
      </c>
      <c r="G379">
        <v>9</v>
      </c>
      <c r="H379">
        <v>10</v>
      </c>
      <c r="I379" s="32">
        <f t="shared" si="47"/>
        <v>1</v>
      </c>
      <c r="J379">
        <v>9</v>
      </c>
      <c r="K379">
        <v>10</v>
      </c>
      <c r="L379" s="32">
        <f t="shared" si="48"/>
        <v>1</v>
      </c>
      <c r="M379">
        <v>9</v>
      </c>
      <c r="N379">
        <v>10</v>
      </c>
      <c r="O379" s="32">
        <f t="shared" si="49"/>
        <v>1</v>
      </c>
      <c r="P379">
        <v>9</v>
      </c>
      <c r="Q379">
        <v>10</v>
      </c>
      <c r="R379" s="32">
        <f t="shared" si="50"/>
        <v>1</v>
      </c>
      <c r="S379">
        <v>9</v>
      </c>
      <c r="T379">
        <v>10</v>
      </c>
      <c r="U379" s="32">
        <f t="shared" si="51"/>
        <v>1</v>
      </c>
      <c r="V379">
        <v>9</v>
      </c>
      <c r="W379">
        <v>10</v>
      </c>
      <c r="X379" s="32">
        <f t="shared" si="52"/>
        <v>1</v>
      </c>
      <c r="Y379">
        <v>9</v>
      </c>
      <c r="Z379">
        <v>10</v>
      </c>
      <c r="AA379" s="32">
        <f t="shared" si="53"/>
        <v>1</v>
      </c>
    </row>
    <row r="380" spans="1:27" x14ac:dyDescent="0.45">
      <c r="A380">
        <v>9</v>
      </c>
      <c r="B380">
        <v>10</v>
      </c>
      <c r="C380" s="32">
        <f t="shared" si="45"/>
        <v>1</v>
      </c>
      <c r="D380">
        <v>9</v>
      </c>
      <c r="E380">
        <v>10</v>
      </c>
      <c r="F380" s="32">
        <f t="shared" si="46"/>
        <v>1</v>
      </c>
      <c r="G380">
        <v>9</v>
      </c>
      <c r="H380">
        <v>10</v>
      </c>
      <c r="I380" s="32">
        <f t="shared" si="47"/>
        <v>1</v>
      </c>
      <c r="J380">
        <v>9</v>
      </c>
      <c r="K380">
        <v>10</v>
      </c>
      <c r="L380" s="32">
        <f t="shared" si="48"/>
        <v>1</v>
      </c>
      <c r="M380">
        <v>9</v>
      </c>
      <c r="N380">
        <v>10</v>
      </c>
      <c r="O380" s="32">
        <f t="shared" si="49"/>
        <v>1</v>
      </c>
      <c r="P380">
        <v>9</v>
      </c>
      <c r="Q380">
        <v>10</v>
      </c>
      <c r="R380" s="32">
        <f t="shared" si="50"/>
        <v>1</v>
      </c>
      <c r="S380">
        <v>9</v>
      </c>
      <c r="T380">
        <v>10</v>
      </c>
      <c r="U380" s="32">
        <f t="shared" si="51"/>
        <v>1</v>
      </c>
      <c r="V380">
        <v>9</v>
      </c>
      <c r="W380">
        <v>10</v>
      </c>
      <c r="X380" s="32">
        <f t="shared" si="52"/>
        <v>1</v>
      </c>
      <c r="Y380">
        <v>9</v>
      </c>
      <c r="Z380">
        <v>10</v>
      </c>
      <c r="AA380" s="32">
        <f t="shared" si="53"/>
        <v>1</v>
      </c>
    </row>
    <row r="381" spans="1:27" x14ac:dyDescent="0.45">
      <c r="A381">
        <v>9</v>
      </c>
      <c r="B381">
        <v>10</v>
      </c>
      <c r="C381" s="32">
        <f t="shared" si="45"/>
        <v>1</v>
      </c>
      <c r="D381">
        <v>9</v>
      </c>
      <c r="E381">
        <v>10</v>
      </c>
      <c r="F381" s="32">
        <f t="shared" si="46"/>
        <v>1</v>
      </c>
      <c r="G381">
        <v>9</v>
      </c>
      <c r="H381">
        <v>10</v>
      </c>
      <c r="I381" s="32">
        <f t="shared" si="47"/>
        <v>1</v>
      </c>
      <c r="J381">
        <v>9</v>
      </c>
      <c r="K381">
        <v>10</v>
      </c>
      <c r="L381" s="32">
        <f t="shared" si="48"/>
        <v>1</v>
      </c>
      <c r="M381">
        <v>9</v>
      </c>
      <c r="N381">
        <v>10</v>
      </c>
      <c r="O381" s="32">
        <f t="shared" si="49"/>
        <v>1</v>
      </c>
      <c r="P381">
        <v>9</v>
      </c>
      <c r="Q381">
        <v>10</v>
      </c>
      <c r="R381" s="32">
        <f t="shared" si="50"/>
        <v>1</v>
      </c>
      <c r="S381">
        <v>9</v>
      </c>
      <c r="T381">
        <v>10</v>
      </c>
      <c r="U381" s="32">
        <f t="shared" si="51"/>
        <v>1</v>
      </c>
      <c r="V381">
        <v>9</v>
      </c>
      <c r="W381">
        <v>10</v>
      </c>
      <c r="X381" s="32">
        <f t="shared" si="52"/>
        <v>1</v>
      </c>
      <c r="Y381">
        <v>9</v>
      </c>
      <c r="Z381">
        <v>10</v>
      </c>
      <c r="AA381" s="32">
        <f t="shared" si="53"/>
        <v>1</v>
      </c>
    </row>
    <row r="382" spans="1:27" x14ac:dyDescent="0.45">
      <c r="A382">
        <v>9</v>
      </c>
      <c r="B382">
        <v>10</v>
      </c>
      <c r="C382" s="32">
        <f t="shared" si="45"/>
        <v>1</v>
      </c>
      <c r="D382">
        <v>9</v>
      </c>
      <c r="E382">
        <v>10</v>
      </c>
      <c r="F382" s="32">
        <f t="shared" si="46"/>
        <v>1</v>
      </c>
      <c r="G382">
        <v>9</v>
      </c>
      <c r="H382">
        <v>10</v>
      </c>
      <c r="I382" s="32">
        <f t="shared" si="47"/>
        <v>1</v>
      </c>
      <c r="J382">
        <v>9</v>
      </c>
      <c r="K382">
        <v>10</v>
      </c>
      <c r="L382" s="32">
        <f t="shared" si="48"/>
        <v>1</v>
      </c>
      <c r="M382">
        <v>9</v>
      </c>
      <c r="N382">
        <v>10</v>
      </c>
      <c r="O382" s="32">
        <f t="shared" si="49"/>
        <v>1</v>
      </c>
      <c r="P382">
        <v>9</v>
      </c>
      <c r="Q382">
        <v>10</v>
      </c>
      <c r="R382" s="32">
        <f t="shared" si="50"/>
        <v>1</v>
      </c>
      <c r="S382">
        <v>9</v>
      </c>
      <c r="T382">
        <v>10</v>
      </c>
      <c r="U382" s="32">
        <f t="shared" si="51"/>
        <v>1</v>
      </c>
      <c r="V382">
        <v>9</v>
      </c>
      <c r="W382">
        <v>10</v>
      </c>
      <c r="X382" s="32">
        <f t="shared" si="52"/>
        <v>1</v>
      </c>
      <c r="Y382">
        <v>9</v>
      </c>
      <c r="Z382">
        <v>10</v>
      </c>
      <c r="AA382" s="32">
        <f t="shared" si="53"/>
        <v>1</v>
      </c>
    </row>
    <row r="383" spans="1:27" x14ac:dyDescent="0.45">
      <c r="A383">
        <v>9</v>
      </c>
      <c r="B383">
        <v>10</v>
      </c>
      <c r="C383" s="32">
        <f t="shared" si="45"/>
        <v>1</v>
      </c>
      <c r="D383">
        <v>9</v>
      </c>
      <c r="E383">
        <v>10</v>
      </c>
      <c r="F383" s="32">
        <f t="shared" si="46"/>
        <v>1</v>
      </c>
      <c r="G383">
        <v>9</v>
      </c>
      <c r="H383">
        <v>10</v>
      </c>
      <c r="I383" s="32">
        <f t="shared" si="47"/>
        <v>1</v>
      </c>
      <c r="J383">
        <v>9</v>
      </c>
      <c r="K383">
        <v>10</v>
      </c>
      <c r="L383" s="32">
        <f t="shared" si="48"/>
        <v>1</v>
      </c>
      <c r="M383">
        <v>9</v>
      </c>
      <c r="N383">
        <v>10</v>
      </c>
      <c r="O383" s="32">
        <f t="shared" si="49"/>
        <v>1</v>
      </c>
      <c r="P383">
        <v>9</v>
      </c>
      <c r="Q383">
        <v>10</v>
      </c>
      <c r="R383" s="32">
        <f t="shared" si="50"/>
        <v>1</v>
      </c>
      <c r="S383">
        <v>9</v>
      </c>
      <c r="T383">
        <v>10</v>
      </c>
      <c r="U383" s="32">
        <f t="shared" si="51"/>
        <v>1</v>
      </c>
      <c r="V383">
        <v>9</v>
      </c>
      <c r="W383">
        <v>10</v>
      </c>
      <c r="X383" s="32">
        <f t="shared" si="52"/>
        <v>1</v>
      </c>
      <c r="Y383">
        <v>9</v>
      </c>
      <c r="Z383">
        <v>10</v>
      </c>
      <c r="AA383" s="32">
        <f t="shared" si="53"/>
        <v>1</v>
      </c>
    </row>
    <row r="384" spans="1:27" x14ac:dyDescent="0.45">
      <c r="A384">
        <v>9</v>
      </c>
      <c r="B384">
        <v>10</v>
      </c>
      <c r="C384" s="32">
        <f t="shared" si="45"/>
        <v>1</v>
      </c>
      <c r="D384">
        <v>9</v>
      </c>
      <c r="E384">
        <v>10</v>
      </c>
      <c r="F384" s="32">
        <f t="shared" si="46"/>
        <v>1</v>
      </c>
      <c r="G384">
        <v>9</v>
      </c>
      <c r="H384">
        <v>10</v>
      </c>
      <c r="I384" s="32">
        <f t="shared" si="47"/>
        <v>1</v>
      </c>
      <c r="J384">
        <v>9</v>
      </c>
      <c r="K384">
        <v>10</v>
      </c>
      <c r="L384" s="32">
        <f t="shared" si="48"/>
        <v>1</v>
      </c>
      <c r="M384">
        <v>9</v>
      </c>
      <c r="N384">
        <v>10</v>
      </c>
      <c r="O384" s="32">
        <f t="shared" si="49"/>
        <v>1</v>
      </c>
      <c r="P384">
        <v>9</v>
      </c>
      <c r="Q384">
        <v>10</v>
      </c>
      <c r="R384" s="32">
        <f t="shared" si="50"/>
        <v>1</v>
      </c>
      <c r="S384">
        <v>9</v>
      </c>
      <c r="T384">
        <v>10</v>
      </c>
      <c r="U384" s="32">
        <f t="shared" si="51"/>
        <v>1</v>
      </c>
      <c r="V384">
        <v>9</v>
      </c>
      <c r="W384">
        <v>10</v>
      </c>
      <c r="X384" s="32">
        <f t="shared" si="52"/>
        <v>1</v>
      </c>
      <c r="Y384">
        <v>9</v>
      </c>
      <c r="Z384">
        <v>10</v>
      </c>
      <c r="AA384" s="32">
        <f t="shared" si="53"/>
        <v>1</v>
      </c>
    </row>
    <row r="385" spans="1:27" x14ac:dyDescent="0.45">
      <c r="A385">
        <v>9</v>
      </c>
      <c r="B385">
        <v>10</v>
      </c>
      <c r="C385" s="32">
        <f t="shared" si="45"/>
        <v>1</v>
      </c>
      <c r="D385">
        <v>9</v>
      </c>
      <c r="E385">
        <v>10</v>
      </c>
      <c r="F385" s="32">
        <f t="shared" si="46"/>
        <v>1</v>
      </c>
      <c r="G385">
        <v>9</v>
      </c>
      <c r="H385">
        <v>10</v>
      </c>
      <c r="I385" s="32">
        <f t="shared" si="47"/>
        <v>1</v>
      </c>
      <c r="J385">
        <v>10</v>
      </c>
      <c r="K385">
        <v>10</v>
      </c>
      <c r="L385" s="32">
        <f t="shared" si="48"/>
        <v>0</v>
      </c>
      <c r="M385">
        <v>9</v>
      </c>
      <c r="N385">
        <v>10</v>
      </c>
      <c r="O385" s="32">
        <f t="shared" si="49"/>
        <v>1</v>
      </c>
      <c r="P385">
        <v>9</v>
      </c>
      <c r="Q385">
        <v>10</v>
      </c>
      <c r="R385" s="32">
        <f t="shared" si="50"/>
        <v>1</v>
      </c>
      <c r="S385">
        <v>9</v>
      </c>
      <c r="T385">
        <v>10</v>
      </c>
      <c r="U385" s="32">
        <f t="shared" si="51"/>
        <v>1</v>
      </c>
      <c r="V385">
        <v>9</v>
      </c>
      <c r="W385">
        <v>10</v>
      </c>
      <c r="X385" s="32">
        <f t="shared" si="52"/>
        <v>1</v>
      </c>
      <c r="Y385">
        <v>9</v>
      </c>
      <c r="Z385">
        <v>10</v>
      </c>
      <c r="AA385" s="32">
        <f t="shared" si="53"/>
        <v>1</v>
      </c>
    </row>
    <row r="386" spans="1:27" x14ac:dyDescent="0.45">
      <c r="A386">
        <v>9</v>
      </c>
      <c r="B386">
        <v>10</v>
      </c>
      <c r="C386" s="32">
        <f t="shared" si="45"/>
        <v>1</v>
      </c>
      <c r="D386">
        <v>9</v>
      </c>
      <c r="E386">
        <v>10</v>
      </c>
      <c r="F386" s="32">
        <f t="shared" si="46"/>
        <v>1</v>
      </c>
      <c r="G386">
        <v>9</v>
      </c>
      <c r="H386">
        <v>10</v>
      </c>
      <c r="I386" s="32">
        <f t="shared" si="47"/>
        <v>1</v>
      </c>
      <c r="J386">
        <v>10</v>
      </c>
      <c r="K386">
        <v>10</v>
      </c>
      <c r="L386" s="32">
        <f t="shared" si="48"/>
        <v>0</v>
      </c>
      <c r="M386">
        <v>9</v>
      </c>
      <c r="N386">
        <v>10</v>
      </c>
      <c r="O386" s="32">
        <f t="shared" si="49"/>
        <v>1</v>
      </c>
      <c r="P386">
        <v>9</v>
      </c>
      <c r="Q386">
        <v>10</v>
      </c>
      <c r="R386" s="32">
        <f t="shared" si="50"/>
        <v>1</v>
      </c>
      <c r="S386">
        <v>9</v>
      </c>
      <c r="T386">
        <v>10</v>
      </c>
      <c r="U386" s="32">
        <f t="shared" si="51"/>
        <v>1</v>
      </c>
      <c r="V386">
        <v>9</v>
      </c>
      <c r="W386">
        <v>10</v>
      </c>
      <c r="X386" s="32">
        <f t="shared" si="52"/>
        <v>1</v>
      </c>
      <c r="Y386">
        <v>9</v>
      </c>
      <c r="Z386">
        <v>10</v>
      </c>
      <c r="AA386" s="32">
        <f t="shared" si="53"/>
        <v>1</v>
      </c>
    </row>
    <row r="387" spans="1:27" x14ac:dyDescent="0.45">
      <c r="A387">
        <v>9</v>
      </c>
      <c r="B387">
        <v>10</v>
      </c>
      <c r="C387" s="32">
        <f t="shared" ref="C387:C404" si="54">ABS(B387-A387)</f>
        <v>1</v>
      </c>
      <c r="D387">
        <v>9</v>
      </c>
      <c r="E387">
        <v>10</v>
      </c>
      <c r="F387" s="32">
        <f t="shared" ref="F387:F404" si="55">ABS(E387-D387)</f>
        <v>1</v>
      </c>
      <c r="G387">
        <v>9</v>
      </c>
      <c r="H387">
        <v>10</v>
      </c>
      <c r="I387" s="32">
        <f t="shared" ref="I387:I404" si="56">ABS(H387-G387)</f>
        <v>1</v>
      </c>
      <c r="J387">
        <v>10</v>
      </c>
      <c r="K387">
        <v>10</v>
      </c>
      <c r="L387" s="32">
        <f t="shared" ref="L387:L404" si="57">ABS(K387-J387)</f>
        <v>0</v>
      </c>
      <c r="M387">
        <v>9</v>
      </c>
      <c r="N387">
        <v>10</v>
      </c>
      <c r="O387" s="32">
        <f t="shared" ref="O387:O404" si="58">ABS(N387-M387)</f>
        <v>1</v>
      </c>
      <c r="P387">
        <v>9</v>
      </c>
      <c r="Q387">
        <v>10</v>
      </c>
      <c r="R387" s="32">
        <f t="shared" ref="R387:R404" si="59">ABS(Q387-P387)</f>
        <v>1</v>
      </c>
      <c r="S387">
        <v>9</v>
      </c>
      <c r="T387">
        <v>10</v>
      </c>
      <c r="U387" s="32">
        <f t="shared" ref="U387:U404" si="60">ABS(T387-S387)</f>
        <v>1</v>
      </c>
      <c r="V387">
        <v>9</v>
      </c>
      <c r="W387">
        <v>10</v>
      </c>
      <c r="X387" s="32">
        <f t="shared" ref="X387:X404" si="61">ABS(W387-V387)</f>
        <v>1</v>
      </c>
      <c r="Y387">
        <v>10</v>
      </c>
      <c r="Z387">
        <v>10</v>
      </c>
      <c r="AA387" s="32">
        <f t="shared" ref="AA387:AA404" si="62">ABS(Z387-Y387)</f>
        <v>0</v>
      </c>
    </row>
    <row r="388" spans="1:27" x14ac:dyDescent="0.45">
      <c r="A388">
        <v>9</v>
      </c>
      <c r="B388">
        <v>10</v>
      </c>
      <c r="C388" s="32">
        <f t="shared" si="54"/>
        <v>1</v>
      </c>
      <c r="D388">
        <v>9</v>
      </c>
      <c r="E388">
        <v>10</v>
      </c>
      <c r="F388" s="32">
        <f t="shared" si="55"/>
        <v>1</v>
      </c>
      <c r="G388">
        <v>9</v>
      </c>
      <c r="H388">
        <v>10</v>
      </c>
      <c r="I388" s="32">
        <f t="shared" si="56"/>
        <v>1</v>
      </c>
      <c r="J388">
        <v>10</v>
      </c>
      <c r="K388">
        <v>10</v>
      </c>
      <c r="L388" s="32">
        <f t="shared" si="57"/>
        <v>0</v>
      </c>
      <c r="M388">
        <v>9</v>
      </c>
      <c r="N388">
        <v>10</v>
      </c>
      <c r="O388" s="32">
        <f t="shared" si="58"/>
        <v>1</v>
      </c>
      <c r="P388">
        <v>9</v>
      </c>
      <c r="Q388">
        <v>10</v>
      </c>
      <c r="R388" s="32">
        <f t="shared" si="59"/>
        <v>1</v>
      </c>
      <c r="S388">
        <v>9</v>
      </c>
      <c r="T388">
        <v>10</v>
      </c>
      <c r="U388" s="32">
        <f t="shared" si="60"/>
        <v>1</v>
      </c>
      <c r="V388">
        <v>9</v>
      </c>
      <c r="W388">
        <v>10</v>
      </c>
      <c r="X388" s="32">
        <f t="shared" si="61"/>
        <v>1</v>
      </c>
      <c r="Y388">
        <v>10</v>
      </c>
      <c r="Z388">
        <v>10</v>
      </c>
      <c r="AA388" s="32">
        <f t="shared" si="62"/>
        <v>0</v>
      </c>
    </row>
    <row r="389" spans="1:27" x14ac:dyDescent="0.45">
      <c r="A389">
        <v>9</v>
      </c>
      <c r="B389">
        <v>10</v>
      </c>
      <c r="C389" s="32">
        <f t="shared" si="54"/>
        <v>1</v>
      </c>
      <c r="D389">
        <v>9</v>
      </c>
      <c r="E389">
        <v>10</v>
      </c>
      <c r="F389" s="32">
        <f t="shared" si="55"/>
        <v>1</v>
      </c>
      <c r="G389">
        <v>9</v>
      </c>
      <c r="H389">
        <v>10</v>
      </c>
      <c r="I389" s="32">
        <f t="shared" si="56"/>
        <v>1</v>
      </c>
      <c r="J389">
        <v>10</v>
      </c>
      <c r="K389">
        <v>10</v>
      </c>
      <c r="L389" s="32">
        <f t="shared" si="57"/>
        <v>0</v>
      </c>
      <c r="M389">
        <v>9</v>
      </c>
      <c r="N389">
        <v>10</v>
      </c>
      <c r="O389" s="32">
        <f t="shared" si="58"/>
        <v>1</v>
      </c>
      <c r="P389">
        <v>9</v>
      </c>
      <c r="Q389">
        <v>10</v>
      </c>
      <c r="R389" s="32">
        <f t="shared" si="59"/>
        <v>1</v>
      </c>
      <c r="S389">
        <v>9</v>
      </c>
      <c r="T389">
        <v>10</v>
      </c>
      <c r="U389" s="32">
        <f t="shared" si="60"/>
        <v>1</v>
      </c>
      <c r="V389">
        <v>9</v>
      </c>
      <c r="W389">
        <v>10</v>
      </c>
      <c r="X389" s="32">
        <f t="shared" si="61"/>
        <v>1</v>
      </c>
      <c r="Y389">
        <v>10</v>
      </c>
      <c r="Z389">
        <v>10</v>
      </c>
      <c r="AA389" s="32">
        <f t="shared" si="62"/>
        <v>0</v>
      </c>
    </row>
    <row r="390" spans="1:27" x14ac:dyDescent="0.45">
      <c r="A390">
        <v>9</v>
      </c>
      <c r="B390">
        <v>10</v>
      </c>
      <c r="C390" s="32">
        <f t="shared" si="54"/>
        <v>1</v>
      </c>
      <c r="D390">
        <v>9</v>
      </c>
      <c r="E390">
        <v>10</v>
      </c>
      <c r="F390" s="32">
        <f t="shared" si="55"/>
        <v>1</v>
      </c>
      <c r="G390">
        <v>9</v>
      </c>
      <c r="H390">
        <v>10</v>
      </c>
      <c r="I390" s="32">
        <f t="shared" si="56"/>
        <v>1</v>
      </c>
      <c r="J390">
        <v>10</v>
      </c>
      <c r="K390">
        <v>10</v>
      </c>
      <c r="L390" s="32">
        <f t="shared" si="57"/>
        <v>0</v>
      </c>
      <c r="M390">
        <v>9</v>
      </c>
      <c r="N390">
        <v>10</v>
      </c>
      <c r="O390" s="32">
        <f t="shared" si="58"/>
        <v>1</v>
      </c>
      <c r="P390">
        <v>9</v>
      </c>
      <c r="Q390">
        <v>10</v>
      </c>
      <c r="R390" s="32">
        <f t="shared" si="59"/>
        <v>1</v>
      </c>
      <c r="S390">
        <v>9</v>
      </c>
      <c r="T390">
        <v>10</v>
      </c>
      <c r="U390" s="32">
        <f t="shared" si="60"/>
        <v>1</v>
      </c>
      <c r="V390">
        <v>9</v>
      </c>
      <c r="W390">
        <v>10</v>
      </c>
      <c r="X390" s="32">
        <f t="shared" si="61"/>
        <v>1</v>
      </c>
      <c r="Y390">
        <v>10</v>
      </c>
      <c r="Z390">
        <v>10</v>
      </c>
      <c r="AA390" s="32">
        <f t="shared" si="62"/>
        <v>0</v>
      </c>
    </row>
    <row r="391" spans="1:27" x14ac:dyDescent="0.45">
      <c r="A391">
        <v>9</v>
      </c>
      <c r="B391">
        <v>10</v>
      </c>
      <c r="C391" s="32">
        <f t="shared" si="54"/>
        <v>1</v>
      </c>
      <c r="D391">
        <v>9</v>
      </c>
      <c r="E391">
        <v>10</v>
      </c>
      <c r="F391" s="32">
        <f t="shared" si="55"/>
        <v>1</v>
      </c>
      <c r="G391">
        <v>9</v>
      </c>
      <c r="H391">
        <v>10</v>
      </c>
      <c r="I391" s="32">
        <f t="shared" si="56"/>
        <v>1</v>
      </c>
      <c r="J391">
        <v>10</v>
      </c>
      <c r="K391">
        <v>10</v>
      </c>
      <c r="L391" s="32">
        <f t="shared" si="57"/>
        <v>0</v>
      </c>
      <c r="M391">
        <v>9</v>
      </c>
      <c r="N391">
        <v>10</v>
      </c>
      <c r="O391" s="32">
        <f t="shared" si="58"/>
        <v>1</v>
      </c>
      <c r="P391">
        <v>9</v>
      </c>
      <c r="Q391">
        <v>10</v>
      </c>
      <c r="R391" s="32">
        <f t="shared" si="59"/>
        <v>1</v>
      </c>
      <c r="S391">
        <v>9</v>
      </c>
      <c r="T391">
        <v>10</v>
      </c>
      <c r="U391" s="32">
        <f t="shared" si="60"/>
        <v>1</v>
      </c>
      <c r="V391">
        <v>9</v>
      </c>
      <c r="W391">
        <v>10</v>
      </c>
      <c r="X391" s="32">
        <f t="shared" si="61"/>
        <v>1</v>
      </c>
      <c r="Y391">
        <v>10</v>
      </c>
      <c r="Z391">
        <v>10</v>
      </c>
      <c r="AA391" s="32">
        <f t="shared" si="62"/>
        <v>0</v>
      </c>
    </row>
    <row r="392" spans="1:27" x14ac:dyDescent="0.45">
      <c r="A392">
        <v>9</v>
      </c>
      <c r="B392">
        <v>10</v>
      </c>
      <c r="C392" s="32">
        <f t="shared" si="54"/>
        <v>1</v>
      </c>
      <c r="D392">
        <v>9</v>
      </c>
      <c r="E392">
        <v>10</v>
      </c>
      <c r="F392" s="32">
        <f t="shared" si="55"/>
        <v>1</v>
      </c>
      <c r="G392">
        <v>9</v>
      </c>
      <c r="H392">
        <v>10</v>
      </c>
      <c r="I392" s="32">
        <f t="shared" si="56"/>
        <v>1</v>
      </c>
      <c r="J392">
        <v>10</v>
      </c>
      <c r="K392">
        <v>10</v>
      </c>
      <c r="L392" s="32">
        <f t="shared" si="57"/>
        <v>0</v>
      </c>
      <c r="M392">
        <v>9</v>
      </c>
      <c r="N392">
        <v>10</v>
      </c>
      <c r="O392" s="32">
        <f t="shared" si="58"/>
        <v>1</v>
      </c>
      <c r="P392">
        <v>9</v>
      </c>
      <c r="Q392">
        <v>10</v>
      </c>
      <c r="R392" s="32">
        <f t="shared" si="59"/>
        <v>1</v>
      </c>
      <c r="S392">
        <v>9</v>
      </c>
      <c r="T392">
        <v>10</v>
      </c>
      <c r="U392" s="32">
        <f t="shared" si="60"/>
        <v>1</v>
      </c>
      <c r="V392">
        <v>9</v>
      </c>
      <c r="W392">
        <v>10</v>
      </c>
      <c r="X392" s="32">
        <f t="shared" si="61"/>
        <v>1</v>
      </c>
      <c r="Y392">
        <v>10</v>
      </c>
      <c r="Z392">
        <v>10</v>
      </c>
      <c r="AA392" s="32">
        <f t="shared" si="62"/>
        <v>0</v>
      </c>
    </row>
    <row r="393" spans="1:27" x14ac:dyDescent="0.45">
      <c r="A393">
        <v>9</v>
      </c>
      <c r="B393">
        <v>10</v>
      </c>
      <c r="C393" s="32">
        <f t="shared" si="54"/>
        <v>1</v>
      </c>
      <c r="D393">
        <v>9</v>
      </c>
      <c r="E393">
        <v>10</v>
      </c>
      <c r="F393" s="32">
        <f t="shared" si="55"/>
        <v>1</v>
      </c>
      <c r="G393">
        <v>9</v>
      </c>
      <c r="H393">
        <v>10</v>
      </c>
      <c r="I393" s="32">
        <f t="shared" si="56"/>
        <v>1</v>
      </c>
      <c r="J393">
        <v>10</v>
      </c>
      <c r="K393">
        <v>10</v>
      </c>
      <c r="L393" s="32">
        <f t="shared" si="57"/>
        <v>0</v>
      </c>
      <c r="M393">
        <v>9</v>
      </c>
      <c r="N393">
        <v>10</v>
      </c>
      <c r="O393" s="32">
        <f t="shared" si="58"/>
        <v>1</v>
      </c>
      <c r="P393">
        <v>9</v>
      </c>
      <c r="Q393">
        <v>10</v>
      </c>
      <c r="R393" s="32">
        <f t="shared" si="59"/>
        <v>1</v>
      </c>
      <c r="S393">
        <v>9</v>
      </c>
      <c r="T393">
        <v>10</v>
      </c>
      <c r="U393" s="32">
        <f t="shared" si="60"/>
        <v>1</v>
      </c>
      <c r="V393">
        <v>9</v>
      </c>
      <c r="W393">
        <v>10</v>
      </c>
      <c r="X393" s="32">
        <f t="shared" si="61"/>
        <v>1</v>
      </c>
      <c r="Y393">
        <v>10</v>
      </c>
      <c r="Z393">
        <v>10</v>
      </c>
      <c r="AA393" s="32">
        <f t="shared" si="62"/>
        <v>0</v>
      </c>
    </row>
    <row r="394" spans="1:27" x14ac:dyDescent="0.45">
      <c r="A394">
        <v>9</v>
      </c>
      <c r="B394">
        <v>10</v>
      </c>
      <c r="C394" s="32">
        <f t="shared" si="54"/>
        <v>1</v>
      </c>
      <c r="D394">
        <v>9</v>
      </c>
      <c r="E394">
        <v>10</v>
      </c>
      <c r="F394" s="32">
        <f t="shared" si="55"/>
        <v>1</v>
      </c>
      <c r="G394">
        <v>9</v>
      </c>
      <c r="H394">
        <v>10</v>
      </c>
      <c r="I394" s="32">
        <f t="shared" si="56"/>
        <v>1</v>
      </c>
      <c r="J394">
        <v>10</v>
      </c>
      <c r="K394">
        <v>10</v>
      </c>
      <c r="L394" s="32">
        <f t="shared" si="57"/>
        <v>0</v>
      </c>
      <c r="M394">
        <v>9</v>
      </c>
      <c r="N394">
        <v>10</v>
      </c>
      <c r="O394" s="32">
        <f t="shared" si="58"/>
        <v>1</v>
      </c>
      <c r="P394">
        <v>9</v>
      </c>
      <c r="Q394">
        <v>10</v>
      </c>
      <c r="R394" s="32">
        <f t="shared" si="59"/>
        <v>1</v>
      </c>
      <c r="S394">
        <v>9</v>
      </c>
      <c r="T394">
        <v>10</v>
      </c>
      <c r="U394" s="32">
        <f t="shared" si="60"/>
        <v>1</v>
      </c>
      <c r="V394">
        <v>9</v>
      </c>
      <c r="W394">
        <v>10</v>
      </c>
      <c r="X394" s="32">
        <f t="shared" si="61"/>
        <v>1</v>
      </c>
      <c r="Y394">
        <v>10</v>
      </c>
      <c r="Z394">
        <v>10</v>
      </c>
      <c r="AA394" s="32">
        <f t="shared" si="62"/>
        <v>0</v>
      </c>
    </row>
    <row r="395" spans="1:27" x14ac:dyDescent="0.45">
      <c r="A395">
        <v>9</v>
      </c>
      <c r="B395">
        <v>10</v>
      </c>
      <c r="C395" s="32">
        <f t="shared" si="54"/>
        <v>1</v>
      </c>
      <c r="D395">
        <v>9</v>
      </c>
      <c r="E395">
        <v>10</v>
      </c>
      <c r="F395" s="32">
        <f t="shared" si="55"/>
        <v>1</v>
      </c>
      <c r="G395">
        <v>9</v>
      </c>
      <c r="H395">
        <v>10</v>
      </c>
      <c r="I395" s="32">
        <f t="shared" si="56"/>
        <v>1</v>
      </c>
      <c r="J395">
        <v>10</v>
      </c>
      <c r="K395">
        <v>10</v>
      </c>
      <c r="L395" s="32">
        <f t="shared" si="57"/>
        <v>0</v>
      </c>
      <c r="M395">
        <v>9</v>
      </c>
      <c r="N395">
        <v>10</v>
      </c>
      <c r="O395" s="32">
        <f t="shared" si="58"/>
        <v>1</v>
      </c>
      <c r="P395">
        <v>9</v>
      </c>
      <c r="Q395">
        <v>10</v>
      </c>
      <c r="R395" s="32">
        <f t="shared" si="59"/>
        <v>1</v>
      </c>
      <c r="S395">
        <v>9</v>
      </c>
      <c r="T395">
        <v>10</v>
      </c>
      <c r="U395" s="32">
        <f t="shared" si="60"/>
        <v>1</v>
      </c>
      <c r="V395">
        <v>9</v>
      </c>
      <c r="W395">
        <v>10</v>
      </c>
      <c r="X395" s="32">
        <f t="shared" si="61"/>
        <v>1</v>
      </c>
      <c r="Y395">
        <v>10</v>
      </c>
      <c r="Z395">
        <v>10</v>
      </c>
      <c r="AA395" s="32">
        <f t="shared" si="62"/>
        <v>0</v>
      </c>
    </row>
    <row r="396" spans="1:27" x14ac:dyDescent="0.45">
      <c r="A396">
        <v>9</v>
      </c>
      <c r="B396">
        <v>10</v>
      </c>
      <c r="C396" s="32">
        <f t="shared" si="54"/>
        <v>1</v>
      </c>
      <c r="D396">
        <v>9</v>
      </c>
      <c r="E396">
        <v>10</v>
      </c>
      <c r="F396" s="32">
        <f t="shared" si="55"/>
        <v>1</v>
      </c>
      <c r="G396">
        <v>9</v>
      </c>
      <c r="H396">
        <v>10</v>
      </c>
      <c r="I396" s="32">
        <f t="shared" si="56"/>
        <v>1</v>
      </c>
      <c r="J396">
        <v>10</v>
      </c>
      <c r="K396">
        <v>10</v>
      </c>
      <c r="L396" s="32">
        <f t="shared" si="57"/>
        <v>0</v>
      </c>
      <c r="M396">
        <v>9</v>
      </c>
      <c r="N396">
        <v>10</v>
      </c>
      <c r="O396" s="32">
        <f t="shared" si="58"/>
        <v>1</v>
      </c>
      <c r="P396">
        <v>9</v>
      </c>
      <c r="Q396">
        <v>10</v>
      </c>
      <c r="R396" s="32">
        <f t="shared" si="59"/>
        <v>1</v>
      </c>
      <c r="S396">
        <v>9</v>
      </c>
      <c r="T396">
        <v>10</v>
      </c>
      <c r="U396" s="32">
        <f t="shared" si="60"/>
        <v>1</v>
      </c>
      <c r="V396">
        <v>9</v>
      </c>
      <c r="W396">
        <v>10</v>
      </c>
      <c r="X396" s="32">
        <f t="shared" si="61"/>
        <v>1</v>
      </c>
      <c r="Y396">
        <v>10</v>
      </c>
      <c r="Z396">
        <v>10</v>
      </c>
      <c r="AA396" s="32">
        <f t="shared" si="62"/>
        <v>0</v>
      </c>
    </row>
    <row r="397" spans="1:27" x14ac:dyDescent="0.45">
      <c r="A397">
        <v>9</v>
      </c>
      <c r="B397">
        <v>10</v>
      </c>
      <c r="C397" s="32">
        <f t="shared" si="54"/>
        <v>1</v>
      </c>
      <c r="D397">
        <v>9</v>
      </c>
      <c r="E397">
        <v>10</v>
      </c>
      <c r="F397" s="32">
        <f t="shared" si="55"/>
        <v>1</v>
      </c>
      <c r="G397">
        <v>9</v>
      </c>
      <c r="H397">
        <v>10</v>
      </c>
      <c r="I397" s="32">
        <f t="shared" si="56"/>
        <v>1</v>
      </c>
      <c r="J397">
        <v>10</v>
      </c>
      <c r="K397">
        <v>10</v>
      </c>
      <c r="L397" s="32">
        <f t="shared" si="57"/>
        <v>0</v>
      </c>
      <c r="M397">
        <v>9</v>
      </c>
      <c r="N397">
        <v>10</v>
      </c>
      <c r="O397" s="32">
        <f t="shared" si="58"/>
        <v>1</v>
      </c>
      <c r="P397">
        <v>9</v>
      </c>
      <c r="Q397">
        <v>10</v>
      </c>
      <c r="R397" s="32">
        <f t="shared" si="59"/>
        <v>1</v>
      </c>
      <c r="S397">
        <v>9</v>
      </c>
      <c r="T397">
        <v>10</v>
      </c>
      <c r="U397" s="32">
        <f t="shared" si="60"/>
        <v>1</v>
      </c>
      <c r="V397">
        <v>9</v>
      </c>
      <c r="W397">
        <v>10</v>
      </c>
      <c r="X397" s="32">
        <f t="shared" si="61"/>
        <v>1</v>
      </c>
      <c r="Y397">
        <v>10</v>
      </c>
      <c r="Z397">
        <v>10</v>
      </c>
      <c r="AA397" s="32">
        <f t="shared" si="62"/>
        <v>0</v>
      </c>
    </row>
    <row r="398" spans="1:27" x14ac:dyDescent="0.45">
      <c r="A398">
        <v>9</v>
      </c>
      <c r="B398">
        <v>10</v>
      </c>
      <c r="C398" s="32">
        <f t="shared" si="54"/>
        <v>1</v>
      </c>
      <c r="D398">
        <v>9</v>
      </c>
      <c r="E398">
        <v>10</v>
      </c>
      <c r="F398" s="32">
        <f t="shared" si="55"/>
        <v>1</v>
      </c>
      <c r="G398">
        <v>9</v>
      </c>
      <c r="H398">
        <v>10</v>
      </c>
      <c r="I398" s="32">
        <f t="shared" si="56"/>
        <v>1</v>
      </c>
      <c r="J398">
        <v>10</v>
      </c>
      <c r="K398">
        <v>10</v>
      </c>
      <c r="L398" s="32">
        <f t="shared" si="57"/>
        <v>0</v>
      </c>
      <c r="M398">
        <v>9</v>
      </c>
      <c r="N398">
        <v>10</v>
      </c>
      <c r="O398" s="32">
        <f t="shared" si="58"/>
        <v>1</v>
      </c>
      <c r="P398">
        <v>9</v>
      </c>
      <c r="Q398">
        <v>10</v>
      </c>
      <c r="R398" s="32">
        <f t="shared" si="59"/>
        <v>1</v>
      </c>
      <c r="S398">
        <v>9</v>
      </c>
      <c r="T398">
        <v>10</v>
      </c>
      <c r="U398" s="32">
        <f t="shared" si="60"/>
        <v>1</v>
      </c>
      <c r="V398">
        <v>9</v>
      </c>
      <c r="W398">
        <v>10</v>
      </c>
      <c r="X398" s="32">
        <f t="shared" si="61"/>
        <v>1</v>
      </c>
      <c r="Y398">
        <v>10</v>
      </c>
      <c r="Z398">
        <v>10</v>
      </c>
      <c r="AA398" s="32">
        <f t="shared" si="62"/>
        <v>0</v>
      </c>
    </row>
    <row r="399" spans="1:27" x14ac:dyDescent="0.45">
      <c r="A399">
        <v>9</v>
      </c>
      <c r="B399">
        <v>10</v>
      </c>
      <c r="C399" s="32">
        <f t="shared" si="54"/>
        <v>1</v>
      </c>
      <c r="D399">
        <v>9</v>
      </c>
      <c r="E399">
        <v>10</v>
      </c>
      <c r="F399" s="32">
        <f t="shared" si="55"/>
        <v>1</v>
      </c>
      <c r="G399">
        <v>9</v>
      </c>
      <c r="H399">
        <v>10</v>
      </c>
      <c r="I399" s="32">
        <f t="shared" si="56"/>
        <v>1</v>
      </c>
      <c r="J399">
        <v>10</v>
      </c>
      <c r="K399">
        <v>10</v>
      </c>
      <c r="L399" s="32">
        <f t="shared" si="57"/>
        <v>0</v>
      </c>
      <c r="M399">
        <v>9</v>
      </c>
      <c r="N399">
        <v>10</v>
      </c>
      <c r="O399" s="32">
        <f t="shared" si="58"/>
        <v>1</v>
      </c>
      <c r="P399">
        <v>9</v>
      </c>
      <c r="Q399">
        <v>10</v>
      </c>
      <c r="R399" s="32">
        <f t="shared" si="59"/>
        <v>1</v>
      </c>
      <c r="S399">
        <v>9</v>
      </c>
      <c r="T399">
        <v>10</v>
      </c>
      <c r="U399" s="32">
        <f t="shared" si="60"/>
        <v>1</v>
      </c>
      <c r="V399">
        <v>9</v>
      </c>
      <c r="W399">
        <v>10</v>
      </c>
      <c r="X399" s="32">
        <f t="shared" si="61"/>
        <v>1</v>
      </c>
      <c r="Y399">
        <v>10</v>
      </c>
      <c r="Z399">
        <v>10</v>
      </c>
      <c r="AA399" s="32">
        <f t="shared" si="62"/>
        <v>0</v>
      </c>
    </row>
    <row r="400" spans="1:27" x14ac:dyDescent="0.45">
      <c r="A400">
        <v>9</v>
      </c>
      <c r="B400">
        <v>10</v>
      </c>
      <c r="C400" s="32">
        <f t="shared" si="54"/>
        <v>1</v>
      </c>
      <c r="D400">
        <v>9</v>
      </c>
      <c r="E400">
        <v>10</v>
      </c>
      <c r="F400" s="32">
        <f t="shared" si="55"/>
        <v>1</v>
      </c>
      <c r="G400">
        <v>9</v>
      </c>
      <c r="H400">
        <v>10</v>
      </c>
      <c r="I400" s="32">
        <f t="shared" si="56"/>
        <v>1</v>
      </c>
      <c r="J400">
        <v>10</v>
      </c>
      <c r="K400">
        <v>10</v>
      </c>
      <c r="L400" s="32">
        <f t="shared" si="57"/>
        <v>0</v>
      </c>
      <c r="M400">
        <v>9</v>
      </c>
      <c r="N400">
        <v>10</v>
      </c>
      <c r="O400" s="32">
        <f t="shared" si="58"/>
        <v>1</v>
      </c>
      <c r="P400">
        <v>9</v>
      </c>
      <c r="Q400">
        <v>10</v>
      </c>
      <c r="R400" s="32">
        <f t="shared" si="59"/>
        <v>1</v>
      </c>
      <c r="S400">
        <v>9</v>
      </c>
      <c r="T400">
        <v>10</v>
      </c>
      <c r="U400" s="32">
        <f t="shared" si="60"/>
        <v>1</v>
      </c>
      <c r="V400">
        <v>9</v>
      </c>
      <c r="W400">
        <v>10</v>
      </c>
      <c r="X400" s="32">
        <f t="shared" si="61"/>
        <v>1</v>
      </c>
      <c r="Y400">
        <v>10</v>
      </c>
      <c r="Z400">
        <v>10</v>
      </c>
      <c r="AA400" s="32">
        <f t="shared" si="62"/>
        <v>0</v>
      </c>
    </row>
    <row r="401" spans="1:27" x14ac:dyDescent="0.45">
      <c r="A401">
        <v>9</v>
      </c>
      <c r="B401">
        <v>10</v>
      </c>
      <c r="C401" s="32">
        <f t="shared" si="54"/>
        <v>1</v>
      </c>
      <c r="D401">
        <v>9</v>
      </c>
      <c r="E401">
        <v>10</v>
      </c>
      <c r="F401" s="32">
        <f t="shared" si="55"/>
        <v>1</v>
      </c>
      <c r="G401">
        <v>9</v>
      </c>
      <c r="H401">
        <v>10</v>
      </c>
      <c r="I401" s="32">
        <f t="shared" si="56"/>
        <v>1</v>
      </c>
      <c r="J401">
        <v>10</v>
      </c>
      <c r="K401">
        <v>10</v>
      </c>
      <c r="L401" s="32">
        <f t="shared" si="57"/>
        <v>0</v>
      </c>
      <c r="M401">
        <v>9</v>
      </c>
      <c r="N401">
        <v>10</v>
      </c>
      <c r="O401" s="32">
        <f t="shared" si="58"/>
        <v>1</v>
      </c>
      <c r="P401">
        <v>9</v>
      </c>
      <c r="Q401">
        <v>10</v>
      </c>
      <c r="R401" s="32">
        <f t="shared" si="59"/>
        <v>1</v>
      </c>
      <c r="S401">
        <v>9</v>
      </c>
      <c r="T401">
        <v>10</v>
      </c>
      <c r="U401" s="32">
        <f t="shared" si="60"/>
        <v>1</v>
      </c>
      <c r="V401">
        <v>9</v>
      </c>
      <c r="W401">
        <v>10</v>
      </c>
      <c r="X401" s="32">
        <f t="shared" si="61"/>
        <v>1</v>
      </c>
      <c r="Y401">
        <v>10</v>
      </c>
      <c r="Z401">
        <v>10</v>
      </c>
      <c r="AA401" s="32">
        <f t="shared" si="62"/>
        <v>0</v>
      </c>
    </row>
    <row r="402" spans="1:27" x14ac:dyDescent="0.45">
      <c r="A402">
        <v>9</v>
      </c>
      <c r="B402">
        <v>10</v>
      </c>
      <c r="C402" s="32">
        <f t="shared" si="54"/>
        <v>1</v>
      </c>
      <c r="D402">
        <v>9</v>
      </c>
      <c r="E402">
        <v>10</v>
      </c>
      <c r="F402" s="32">
        <f t="shared" si="55"/>
        <v>1</v>
      </c>
      <c r="G402">
        <v>9</v>
      </c>
      <c r="H402">
        <v>10</v>
      </c>
      <c r="I402" s="32">
        <f t="shared" si="56"/>
        <v>1</v>
      </c>
      <c r="J402">
        <v>10</v>
      </c>
      <c r="K402">
        <v>10</v>
      </c>
      <c r="L402" s="32">
        <f t="shared" si="57"/>
        <v>0</v>
      </c>
      <c r="M402">
        <v>9</v>
      </c>
      <c r="N402">
        <v>10</v>
      </c>
      <c r="O402" s="32">
        <f t="shared" si="58"/>
        <v>1</v>
      </c>
      <c r="P402">
        <v>10</v>
      </c>
      <c r="Q402">
        <v>10</v>
      </c>
      <c r="R402" s="32">
        <f t="shared" si="59"/>
        <v>0</v>
      </c>
      <c r="S402">
        <v>9</v>
      </c>
      <c r="T402">
        <v>10</v>
      </c>
      <c r="U402" s="32">
        <f t="shared" si="60"/>
        <v>1</v>
      </c>
      <c r="V402">
        <v>9</v>
      </c>
      <c r="W402">
        <v>10</v>
      </c>
      <c r="X402" s="32">
        <f t="shared" si="61"/>
        <v>1</v>
      </c>
      <c r="Y402">
        <v>10</v>
      </c>
      <c r="Z402">
        <v>10</v>
      </c>
      <c r="AA402" s="32">
        <f t="shared" si="62"/>
        <v>0</v>
      </c>
    </row>
    <row r="403" spans="1:27" x14ac:dyDescent="0.45">
      <c r="A403">
        <v>9</v>
      </c>
      <c r="B403">
        <v>10</v>
      </c>
      <c r="C403" s="32">
        <f t="shared" si="54"/>
        <v>1</v>
      </c>
      <c r="D403">
        <v>9</v>
      </c>
      <c r="E403">
        <v>10</v>
      </c>
      <c r="F403" s="32">
        <f t="shared" si="55"/>
        <v>1</v>
      </c>
      <c r="G403">
        <v>9</v>
      </c>
      <c r="H403">
        <v>10</v>
      </c>
      <c r="I403" s="32">
        <f t="shared" si="56"/>
        <v>1</v>
      </c>
      <c r="J403">
        <v>10</v>
      </c>
      <c r="K403">
        <v>10</v>
      </c>
      <c r="L403" s="32">
        <f t="shared" si="57"/>
        <v>0</v>
      </c>
      <c r="M403">
        <v>9</v>
      </c>
      <c r="N403">
        <v>10</v>
      </c>
      <c r="O403" s="32">
        <f t="shared" si="58"/>
        <v>1</v>
      </c>
      <c r="P403">
        <v>10</v>
      </c>
      <c r="Q403">
        <v>10</v>
      </c>
      <c r="R403" s="32">
        <f t="shared" si="59"/>
        <v>0</v>
      </c>
      <c r="S403">
        <v>9</v>
      </c>
      <c r="T403">
        <v>10</v>
      </c>
      <c r="U403" s="32">
        <f t="shared" si="60"/>
        <v>1</v>
      </c>
      <c r="V403">
        <v>9</v>
      </c>
      <c r="W403">
        <v>10</v>
      </c>
      <c r="X403" s="32">
        <f t="shared" si="61"/>
        <v>1</v>
      </c>
      <c r="Y403">
        <v>10</v>
      </c>
      <c r="Z403">
        <v>10</v>
      </c>
      <c r="AA403" s="32">
        <f t="shared" si="62"/>
        <v>0</v>
      </c>
    </row>
    <row r="404" spans="1:27" x14ac:dyDescent="0.45">
      <c r="A404">
        <v>10</v>
      </c>
      <c r="B404" s="36">
        <v>10</v>
      </c>
      <c r="C404" s="32">
        <f t="shared" si="54"/>
        <v>0</v>
      </c>
      <c r="D404">
        <v>9</v>
      </c>
      <c r="E404">
        <v>10</v>
      </c>
      <c r="F404" s="32">
        <f t="shared" si="55"/>
        <v>1</v>
      </c>
      <c r="G404">
        <v>10</v>
      </c>
      <c r="H404">
        <v>10</v>
      </c>
      <c r="I404" s="32">
        <f t="shared" si="56"/>
        <v>0</v>
      </c>
      <c r="J404">
        <v>10</v>
      </c>
      <c r="K404">
        <v>10</v>
      </c>
      <c r="L404" s="32">
        <f t="shared" si="57"/>
        <v>0</v>
      </c>
      <c r="M404">
        <v>10</v>
      </c>
      <c r="N404">
        <v>10</v>
      </c>
      <c r="O404" s="32">
        <f t="shared" si="58"/>
        <v>0</v>
      </c>
      <c r="P404">
        <v>10</v>
      </c>
      <c r="Q404">
        <v>10</v>
      </c>
      <c r="R404" s="32">
        <f t="shared" si="59"/>
        <v>0</v>
      </c>
      <c r="S404">
        <v>10</v>
      </c>
      <c r="T404">
        <v>10</v>
      </c>
      <c r="U404" s="32">
        <f t="shared" si="60"/>
        <v>0</v>
      </c>
      <c r="V404">
        <v>10</v>
      </c>
      <c r="W404">
        <v>10</v>
      </c>
      <c r="X404" s="32">
        <f t="shared" si="61"/>
        <v>0</v>
      </c>
      <c r="Y404">
        <v>10</v>
      </c>
      <c r="Z404">
        <v>10</v>
      </c>
      <c r="AA404" s="32">
        <f t="shared" si="62"/>
        <v>0</v>
      </c>
    </row>
    <row r="405" spans="1:27" x14ac:dyDescent="0.45">
      <c r="C405">
        <f>AVERAGE(C2:C404)</f>
        <v>0.96277915632754341</v>
      </c>
      <c r="F405">
        <f>AVERAGE(F2:F404)</f>
        <v>0.74193548387096775</v>
      </c>
      <c r="I405">
        <f>AVERAGE(I2:I404)</f>
        <v>2.1885856079404467</v>
      </c>
      <c r="L405">
        <f>AVERAGE(L2:L404)</f>
        <v>1.5558312655086848</v>
      </c>
      <c r="O405">
        <f>AVERAGE(O2:O404)</f>
        <v>1.4069478908188586</v>
      </c>
      <c r="R405">
        <f>AVERAGE(R2:R404)</f>
        <v>2.1687344913151363</v>
      </c>
      <c r="U405">
        <f>AVERAGE(U2:U404)</f>
        <v>1.8858560794044665</v>
      </c>
      <c r="X405">
        <f>AVERAGE(X2:X404)</f>
        <v>1.2605459057071959</v>
      </c>
      <c r="AA405">
        <f>AVERAGE(AA2:AA404)</f>
        <v>1.9106699751861043</v>
      </c>
    </row>
  </sheetData>
  <sortState xmlns:xlrd2="http://schemas.microsoft.com/office/spreadsheetml/2017/richdata2" ref="Y2:Y404">
    <sortCondition ref="Y2:Y40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68"/>
  <sheetViews>
    <sheetView workbookViewId="0">
      <selection activeCell="D13" sqref="D13"/>
    </sheetView>
  </sheetViews>
  <sheetFormatPr defaultRowHeight="14.25" x14ac:dyDescent="0.45"/>
  <cols>
    <col min="1" max="1" width="8.9296875" bestFit="1" customWidth="1"/>
    <col min="2" max="2" width="10" customWidth="1"/>
    <col min="3" max="3" width="12.53125" customWidth="1"/>
    <col min="4" max="4" width="17.19921875" customWidth="1"/>
    <col min="5" max="5" width="13.33203125" bestFit="1" customWidth="1"/>
    <col min="6" max="6" width="15.06640625" customWidth="1"/>
    <col min="7" max="7" width="17.06640625" bestFit="1" customWidth="1"/>
    <col min="8" max="8" width="16.73046875" bestFit="1" customWidth="1"/>
    <col min="9" max="9" width="17.265625" bestFit="1" customWidth="1"/>
    <col min="10" max="10" width="12.86328125" bestFit="1" customWidth="1"/>
    <col min="11" max="11" width="12.53125" bestFit="1" customWidth="1"/>
    <col min="12" max="12" width="13.06640625" bestFit="1" customWidth="1"/>
  </cols>
  <sheetData>
    <row r="1" spans="1:13" x14ac:dyDescent="0.45">
      <c r="A1" s="1" t="s">
        <v>4</v>
      </c>
      <c r="B1" s="1" t="s">
        <v>5</v>
      </c>
      <c r="C1" s="1" t="s">
        <v>6</v>
      </c>
      <c r="D1" s="5" t="s">
        <v>35</v>
      </c>
      <c r="E1" s="5" t="s">
        <v>205</v>
      </c>
      <c r="F1" s="5" t="s">
        <v>204</v>
      </c>
      <c r="G1" s="1" t="s">
        <v>7</v>
      </c>
      <c r="H1" s="1" t="s">
        <v>8</v>
      </c>
      <c r="I1" s="1" t="s">
        <v>9</v>
      </c>
      <c r="J1" s="1" t="s">
        <v>10</v>
      </c>
      <c r="K1" s="1" t="s">
        <v>11</v>
      </c>
      <c r="L1" s="1" t="s">
        <v>12</v>
      </c>
    </row>
    <row r="2" spans="1:13" x14ac:dyDescent="0.45">
      <c r="A2" s="4" t="s">
        <v>13</v>
      </c>
      <c r="B2" s="33">
        <f>step3_combined_data!U405</f>
        <v>1.9280397022332507</v>
      </c>
      <c r="C2" s="15">
        <f>CM_REPORT!E7</f>
        <v>0.42431761786600497</v>
      </c>
      <c r="D2" s="24">
        <f>CM_REPORT!E8</f>
        <v>-1.9408656441905845E-2</v>
      </c>
      <c r="E2" s="34">
        <f>(ABS(J2-G2)+ABS(K2-H2)+ABS(L2-I2))/2</f>
        <v>0.27047146401985112</v>
      </c>
      <c r="F2" s="37">
        <f>EMD!C405</f>
        <v>0.96277915632754341</v>
      </c>
      <c r="G2" s="15">
        <f>step3_combined_data!T406/step3_combined_data!T409</f>
        <v>0.13647642679900746</v>
      </c>
      <c r="H2" s="15">
        <f>step3_combined_data!T407/step3_combined_data!T409</f>
        <v>0.4466501240694789</v>
      </c>
      <c r="I2" s="15">
        <f>step3_combined_data!T408/step3_combined_data!T409</f>
        <v>0.41687344913151364</v>
      </c>
      <c r="J2" s="15">
        <f>step3_combined_data!R406/step3_combined_data!R409</f>
        <v>1.488833746898263E-2</v>
      </c>
      <c r="K2" s="15">
        <f>step3_combined_data!R407/step3_combined_data!R409</f>
        <v>0.71712158808933002</v>
      </c>
      <c r="L2" s="15">
        <f>step3_combined_data!R408/step3_combined_data!R409</f>
        <v>0.26799007444168732</v>
      </c>
      <c r="M2" s="25">
        <f>J2+K2+L2</f>
        <v>1</v>
      </c>
    </row>
    <row r="3" spans="1:13" x14ac:dyDescent="0.45">
      <c r="A3" s="4" t="s">
        <v>14</v>
      </c>
      <c r="B3" s="33">
        <f>step3_combined_data!Z405</f>
        <v>1.903225806451613</v>
      </c>
      <c r="C3" s="15">
        <f>CM_REPORT!E16</f>
        <v>0.42679900744416871</v>
      </c>
      <c r="D3" s="24">
        <f>CM_REPORT!E17</f>
        <v>-1.976370775140433E-2</v>
      </c>
      <c r="E3" s="34">
        <f t="shared" ref="E3:E10" si="0">(ABS(J3-G3)+ABS(K3-H3)+ABS(L3-I3))/2</f>
        <v>0.11910669975186106</v>
      </c>
      <c r="F3" s="37">
        <f>EMD!F405</f>
        <v>0.74193548387096775</v>
      </c>
      <c r="G3" s="15">
        <f>step3_combined_data!Y406/step3_combined_data!Y409</f>
        <v>0.11166253101736973</v>
      </c>
      <c r="H3" s="15">
        <f>step3_combined_data!Y407/step3_combined_data!Y409</f>
        <v>0.41191066997518611</v>
      </c>
      <c r="I3" s="15">
        <f>step3_combined_data!Y408/step3_combined_data!Y409</f>
        <v>0.47642679900744417</v>
      </c>
      <c r="J3" s="15">
        <f>step3_combined_data!W406/step3_combined_data!W409</f>
        <v>1.2406947890818859E-2</v>
      </c>
      <c r="K3" s="15">
        <f>step3_combined_data!W407/step3_combined_data!W409</f>
        <v>0.53101736972704716</v>
      </c>
      <c r="L3" s="15">
        <f>step3_combined_data!W408/step3_combined_data!W409</f>
        <v>0.45657568238213397</v>
      </c>
      <c r="M3" s="25">
        <f t="shared" ref="M3:M10" si="1">J3+K3+L3</f>
        <v>1</v>
      </c>
    </row>
    <row r="4" spans="1:13" x14ac:dyDescent="0.45">
      <c r="A4" s="4" t="s">
        <v>15</v>
      </c>
      <c r="B4" s="33">
        <f>step3_combined_data!AE405</f>
        <v>2.5459057071960296</v>
      </c>
      <c r="C4" s="15">
        <f>CM_REPORT!E26</f>
        <v>0.40198511166253104</v>
      </c>
      <c r="D4" s="24">
        <f>CM_REPORT!E27</f>
        <v>6.939694866752312E-2</v>
      </c>
      <c r="E4" s="34">
        <f t="shared" si="0"/>
        <v>0.4491315136476427</v>
      </c>
      <c r="F4" s="37">
        <f>EMD!I405</f>
        <v>2.1885856079404467</v>
      </c>
      <c r="G4" s="15">
        <f>step3_combined_data!AD406/step3_combined_data!AD409</f>
        <v>0.20595533498759305</v>
      </c>
      <c r="H4" s="15">
        <f>step3_combined_data!AD407/step3_combined_data!AD409</f>
        <v>0.43920595533498757</v>
      </c>
      <c r="I4" s="15">
        <f>step3_combined_data!AD408/step3_combined_data!AD409</f>
        <v>0.35483870967741937</v>
      </c>
      <c r="J4" s="15">
        <f>step3_combined_data!AB406/step3_combined_data!AB409</f>
        <v>2.4813895781637717E-3</v>
      </c>
      <c r="K4" s="15">
        <f>step3_combined_data!AB407/step3_combined_data!AB409</f>
        <v>0.19354838709677419</v>
      </c>
      <c r="L4" s="15">
        <f>step3_combined_data!AB408/step3_combined_data!AB409</f>
        <v>0.80397022332506207</v>
      </c>
      <c r="M4" s="25">
        <f t="shared" si="1"/>
        <v>1</v>
      </c>
    </row>
    <row r="5" spans="1:13" x14ac:dyDescent="0.45">
      <c r="A5" s="4" t="s">
        <v>16</v>
      </c>
      <c r="B5" s="33">
        <f>step3_combined_data!AJ405</f>
        <v>1.8263027295285359</v>
      </c>
      <c r="C5" s="15">
        <f>CM_REPORT!E36</f>
        <v>0.50124069478908184</v>
      </c>
      <c r="D5" s="24">
        <f>CM_REPORT!E37</f>
        <v>7.4735118888747371E-2</v>
      </c>
      <c r="E5" s="34">
        <f t="shared" si="0"/>
        <v>0.4813895781637717</v>
      </c>
      <c r="F5" s="37">
        <f>EMD!L405</f>
        <v>1.5558312655086848</v>
      </c>
      <c r="G5" s="15">
        <f>step3_combined_data!AI406/step3_combined_data!AI409</f>
        <v>5.2109181141439205E-2</v>
      </c>
      <c r="H5" s="15">
        <f>step3_combined_data!AI407/step3_combined_data!AI409</f>
        <v>0.45905707196029777</v>
      </c>
      <c r="I5" s="15">
        <f>step3_combined_data!AI408/step3_combined_data!AI409</f>
        <v>0.48883374689826303</v>
      </c>
      <c r="J5" s="15">
        <f>step3_combined_data!AG406/step3_combined_data!AG409</f>
        <v>0</v>
      </c>
      <c r="K5" s="15">
        <f>step3_combined_data!AG407/step3_combined_data!AG409</f>
        <v>2.9776674937965261E-2</v>
      </c>
      <c r="L5" s="15">
        <f>step3_combined_data!AG408/step3_combined_data!AG409</f>
        <v>0.97022332506203479</v>
      </c>
      <c r="M5" s="25">
        <f t="shared" si="1"/>
        <v>1</v>
      </c>
    </row>
    <row r="6" spans="1:13" x14ac:dyDescent="0.45">
      <c r="A6" s="4" t="s">
        <v>17</v>
      </c>
      <c r="B6" s="33">
        <f>step3_combined_data!AO405</f>
        <v>2.096774193548387</v>
      </c>
      <c r="C6" s="15">
        <f>CM_REPORT!E46</f>
        <v>0.45635910224438903</v>
      </c>
      <c r="D6" s="24">
        <f>CM_REPORT!E47</f>
        <v>6.2073879883885574E-2</v>
      </c>
      <c r="E6" s="34">
        <f t="shared" si="0"/>
        <v>0.19360407913219435</v>
      </c>
      <c r="F6" s="37">
        <f>EMD!O405</f>
        <v>1.4069478908188586</v>
      </c>
      <c r="G6" s="15">
        <f>step3_combined_data!AN406/step3_combined_data!AN409</f>
        <v>0.14143920595533499</v>
      </c>
      <c r="H6" s="15">
        <f>step3_combined_data!AN407/step3_combined_data!AN409</f>
        <v>0.54094292803970223</v>
      </c>
      <c r="I6" s="15">
        <f>step3_combined_data!AN408/step3_combined_data!AN409</f>
        <v>0.31761786600496278</v>
      </c>
      <c r="J6" s="15">
        <f>step3_combined_data!AL406/step3_combined_data!AL409</f>
        <v>9.9750623441396506E-3</v>
      </c>
      <c r="K6" s="15">
        <f>step3_combined_data!AL407/step3_combined_data!AL409</f>
        <v>0.47880299251870323</v>
      </c>
      <c r="L6" s="15">
        <f>step3_combined_data!AL408/step3_combined_data!AL409</f>
        <v>0.51122194513715713</v>
      </c>
      <c r="M6" s="25">
        <f t="shared" si="1"/>
        <v>1</v>
      </c>
    </row>
    <row r="7" spans="1:13" x14ac:dyDescent="0.45">
      <c r="A7" s="4" t="s">
        <v>18</v>
      </c>
      <c r="B7" s="33">
        <f>step3_combined_data!AT405</f>
        <v>2.498759305210918</v>
      </c>
      <c r="C7" s="15">
        <f>CM_REPORT!E56</f>
        <v>0.35910224438902744</v>
      </c>
      <c r="D7" s="24">
        <f>CM_REPORT!E57</f>
        <v>-0.10529543557224114</v>
      </c>
      <c r="E7" s="34">
        <f t="shared" si="0"/>
        <v>0.5530404757337426</v>
      </c>
      <c r="F7" s="37">
        <f>EMD!R405</f>
        <v>2.1687344913151363</v>
      </c>
      <c r="G7" s="15">
        <f>step3_combined_data!AS406/step3_combined_data!AS409</f>
        <v>0.17369727047146402</v>
      </c>
      <c r="H7" s="15">
        <f>step3_combined_data!AS407/step3_combined_data!AS409</f>
        <v>0.44168734491315137</v>
      </c>
      <c r="I7" s="15">
        <f>step3_combined_data!AS408/step3_combined_data!AS409</f>
        <v>0.38461538461538464</v>
      </c>
      <c r="J7" s="15">
        <f>step3_combined_data!AQ406/step3_combined_data!AQ409</f>
        <v>0</v>
      </c>
      <c r="K7" s="15">
        <f>step3_combined_data!AQ407/step3_combined_data!AQ409</f>
        <v>6.2344139650872821E-2</v>
      </c>
      <c r="L7" s="15">
        <f>step3_combined_data!AQ408/step3_combined_data!AQ409</f>
        <v>0.93765586034912718</v>
      </c>
      <c r="M7" s="25">
        <f t="shared" si="1"/>
        <v>1</v>
      </c>
    </row>
    <row r="8" spans="1:13" x14ac:dyDescent="0.45">
      <c r="A8" s="4" t="s">
        <v>19</v>
      </c>
      <c r="B8" s="33">
        <f>step3_combined_data!AY405</f>
        <v>2.4565756823821339</v>
      </c>
      <c r="C8" s="15">
        <f>CM_REPORT!E66</f>
        <v>0.3940149625935162</v>
      </c>
      <c r="D8" s="24">
        <f>CM_REPORT!E67</f>
        <v>3.0562594002046624E-3</v>
      </c>
      <c r="E8" s="34">
        <f t="shared" si="0"/>
        <v>0.2832063761192552</v>
      </c>
      <c r="F8" s="37">
        <f>EMD!U405</f>
        <v>1.8858560794044665</v>
      </c>
      <c r="G8" s="15">
        <f>step3_combined_data!AX406/step3_combined_data!AX409</f>
        <v>0.17866004962779156</v>
      </c>
      <c r="H8" s="15">
        <f>step3_combined_data!AX407/step3_combined_data!AX409</f>
        <v>0.53846153846153844</v>
      </c>
      <c r="I8" s="15">
        <f>step3_combined_data!AX408/step3_combined_data!AX409</f>
        <v>0.28287841191066998</v>
      </c>
      <c r="J8" s="15">
        <f>step3_combined_data!AV406/step3_combined_data!AV409</f>
        <v>2.4937655860349127E-3</v>
      </c>
      <c r="K8" s="15">
        <f>step3_combined_data!AV407/step3_combined_data!AV409</f>
        <v>0.4314214463840399</v>
      </c>
      <c r="L8" s="15">
        <f>step3_combined_data!AV408/step3_combined_data!AV409</f>
        <v>0.56608478802992523</v>
      </c>
      <c r="M8" s="25">
        <f t="shared" si="1"/>
        <v>1</v>
      </c>
    </row>
    <row r="9" spans="1:13" x14ac:dyDescent="0.45">
      <c r="A9" s="4" t="s">
        <v>20</v>
      </c>
      <c r="B9" s="33">
        <f>step3_combined_data!BD405</f>
        <v>2.0049627791563274</v>
      </c>
      <c r="C9" s="15">
        <f>CM_REPORT!E75</f>
        <v>0.43391521197007482</v>
      </c>
      <c r="D9" s="24">
        <f>CM_REPORT!E76</f>
        <v>1.083245373225384E-2</v>
      </c>
      <c r="E9" s="34">
        <f t="shared" si="0"/>
        <v>0.24839266597773552</v>
      </c>
      <c r="F9" s="37">
        <f>EMD!X405</f>
        <v>1.2605459057071959</v>
      </c>
      <c r="G9" s="15">
        <f>step3_combined_data!BC406/step3_combined_data!BC409</f>
        <v>0.11414392059553349</v>
      </c>
      <c r="H9" s="15">
        <f>step3_combined_data!BC407/step3_combined_data!BC409</f>
        <v>0.5831265508684863</v>
      </c>
      <c r="I9" s="15">
        <f>step3_combined_data!BC408/step3_combined_data!BC409</f>
        <v>0.30272952853598017</v>
      </c>
      <c r="J9" s="15">
        <f>step3_combined_data!BA406/step3_combined_data!BA409</f>
        <v>0</v>
      </c>
      <c r="K9" s="15">
        <f>step3_combined_data!BA407/step3_combined_data!BA409</f>
        <v>0.44887780548628431</v>
      </c>
      <c r="L9" s="15">
        <f>step3_combined_data!BA408/step3_combined_data!BA409</f>
        <v>0.55112219451371569</v>
      </c>
      <c r="M9" s="25">
        <f t="shared" si="1"/>
        <v>1</v>
      </c>
    </row>
    <row r="10" spans="1:13" x14ac:dyDescent="0.45">
      <c r="A10" s="4" t="s">
        <v>21</v>
      </c>
      <c r="B10" s="33">
        <f>step3_combined_data!BI405</f>
        <v>2.2655086848635237</v>
      </c>
      <c r="C10" s="15">
        <f>CM_REPORT!E85</f>
        <v>0.43391521197007482</v>
      </c>
      <c r="D10" s="24">
        <f>CM_REPORT!E86</f>
        <v>3.0877050542259814E-3</v>
      </c>
      <c r="E10" s="34">
        <f t="shared" si="0"/>
        <v>0.53083172960897995</v>
      </c>
      <c r="F10" s="37">
        <f>EMD!AA405</f>
        <v>1.9106699751861043</v>
      </c>
      <c r="G10" s="15">
        <f>step3_combined_data!BH406/step3_combined_data!BH409</f>
        <v>8.6848635235732011E-2</v>
      </c>
      <c r="H10" s="15">
        <f>step3_combined_data!BH407/step3_combined_data!BH409</f>
        <v>0.4813895781637717</v>
      </c>
      <c r="I10" s="15">
        <f>step3_combined_data!BH408/step3_combined_data!BH409</f>
        <v>0.4317617866004963</v>
      </c>
      <c r="J10" s="15">
        <f>step3_combined_data!BF406/step3_combined_data!BF409</f>
        <v>0</v>
      </c>
      <c r="K10" s="15">
        <f>step3_combined_data!BF407/step3_combined_data!BF409</f>
        <v>3.7406483790523692E-2</v>
      </c>
      <c r="L10" s="15">
        <f>step3_combined_data!BF408/step3_combined_data!BF409</f>
        <v>0.96259351620947631</v>
      </c>
      <c r="M10" s="25">
        <f t="shared" si="1"/>
        <v>1</v>
      </c>
    </row>
    <row r="13" spans="1:13" x14ac:dyDescent="0.45">
      <c r="C13" s="29"/>
      <c r="E13" s="27" t="s">
        <v>38</v>
      </c>
      <c r="F13" t="s">
        <v>168</v>
      </c>
      <c r="G13" s="29" t="s">
        <v>169</v>
      </c>
    </row>
    <row r="14" spans="1:13" x14ac:dyDescent="0.45">
      <c r="C14" s="25"/>
      <c r="E14" s="28" t="s">
        <v>166</v>
      </c>
      <c r="F14">
        <v>159</v>
      </c>
      <c r="G14" s="25">
        <f>GETPIVOTDATA("Giới tính của bạn:",$E$13,"Giới tính của bạn:","Male")/GETPIVOTDATA("Giới tính của bạn:",$E$13)</f>
        <v>0.39454094292803971</v>
      </c>
    </row>
    <row r="15" spans="1:13" x14ac:dyDescent="0.45">
      <c r="C15" s="25"/>
      <c r="E15" s="28" t="s">
        <v>167</v>
      </c>
      <c r="F15">
        <v>244</v>
      </c>
      <c r="G15" s="25">
        <f>GETPIVOTDATA("Giới tính của bạn:",$E$13,"Giới tính của bạn:","Female")/GETPIVOTDATA("Giới tính của bạn:",$E$13)</f>
        <v>0.60545905707196035</v>
      </c>
    </row>
    <row r="16" spans="1:13" x14ac:dyDescent="0.45">
      <c r="C16" s="25"/>
      <c r="E16" s="28" t="s">
        <v>34</v>
      </c>
      <c r="F16">
        <v>403</v>
      </c>
      <c r="G16" s="25">
        <f>G14+G15</f>
        <v>1</v>
      </c>
    </row>
    <row r="19" spans="3:7" x14ac:dyDescent="0.45">
      <c r="C19" s="29"/>
      <c r="E19" s="27" t="s">
        <v>39</v>
      </c>
      <c r="F19" t="s">
        <v>215</v>
      </c>
    </row>
    <row r="20" spans="3:7" x14ac:dyDescent="0.45">
      <c r="C20" s="25"/>
      <c r="E20" s="28" t="s">
        <v>189</v>
      </c>
      <c r="F20">
        <v>55</v>
      </c>
      <c r="G20" s="38">
        <f>GETPIVOTDATA("Độ tuổi của bạn:",$E$19,"Độ tuổi của bạn:","18 - 24")/GETPIVOTDATA("Độ tuổi của bạn:",$E$19)</f>
        <v>0.13647642679900746</v>
      </c>
    </row>
    <row r="21" spans="3:7" x14ac:dyDescent="0.45">
      <c r="C21" s="25"/>
      <c r="E21" s="28" t="s">
        <v>81</v>
      </c>
      <c r="F21">
        <v>79</v>
      </c>
      <c r="G21" s="38">
        <f>GETPIVOTDATA("Độ tuổi của bạn:",$E$19,"Độ tuổi của bạn:","25 - 29")/GETPIVOTDATA("Độ tuổi của bạn:",$E$19)</f>
        <v>0.19602977667493796</v>
      </c>
    </row>
    <row r="22" spans="3:7" x14ac:dyDescent="0.45">
      <c r="C22" s="25"/>
      <c r="E22" s="28" t="s">
        <v>73</v>
      </c>
      <c r="F22">
        <v>132</v>
      </c>
      <c r="G22" s="38">
        <f>GETPIVOTDATA("Độ tuổi của bạn:",$E$19,"Độ tuổi của bạn:","30 - 39")/GETPIVOTDATA("Độ tuổi của bạn:",$E$19)</f>
        <v>0.32754342431761785</v>
      </c>
    </row>
    <row r="23" spans="3:7" x14ac:dyDescent="0.45">
      <c r="E23" s="28" t="s">
        <v>79</v>
      </c>
      <c r="F23">
        <v>79</v>
      </c>
      <c r="G23" s="38">
        <f>GETPIVOTDATA("Độ tuổi của bạn:",$E$19,"Độ tuổi của bạn:","40 - 49")/GETPIVOTDATA("Độ tuổi của bạn:",$E$19)</f>
        <v>0.19602977667493796</v>
      </c>
    </row>
    <row r="24" spans="3:7" x14ac:dyDescent="0.45">
      <c r="E24" s="28" t="s">
        <v>191</v>
      </c>
      <c r="F24">
        <v>31</v>
      </c>
      <c r="G24" s="38">
        <f>GETPIVOTDATA("Độ tuổi của bạn:",$E$19,"Độ tuổi của bạn:","50 - 54")/GETPIVOTDATA("Độ tuổi của bạn:",$E$19)</f>
        <v>7.6923076923076927E-2</v>
      </c>
    </row>
    <row r="25" spans="3:7" x14ac:dyDescent="0.45">
      <c r="C25" s="29"/>
      <c r="E25" s="28" t="s">
        <v>193</v>
      </c>
      <c r="F25">
        <v>27</v>
      </c>
      <c r="G25" s="38">
        <f>GETPIVOTDATA("Độ tuổi của bạn:",$E$19,"Độ tuổi của bạn:","55 - 64")/GETPIVOTDATA("Độ tuổi của bạn:",$E$19)</f>
        <v>6.699751861042183E-2</v>
      </c>
    </row>
    <row r="26" spans="3:7" x14ac:dyDescent="0.45">
      <c r="C26" s="25"/>
      <c r="E26" s="28" t="s">
        <v>34</v>
      </c>
      <c r="F26">
        <v>403</v>
      </c>
      <c r="G26" s="38">
        <f>SUM(G20:G25)</f>
        <v>0.99999999999999989</v>
      </c>
    </row>
    <row r="27" spans="3:7" x14ac:dyDescent="0.45">
      <c r="C27" s="25"/>
    </row>
    <row r="28" spans="3:7" x14ac:dyDescent="0.45">
      <c r="C28" s="25"/>
    </row>
    <row r="29" spans="3:7" x14ac:dyDescent="0.45">
      <c r="E29" s="27" t="s">
        <v>40</v>
      </c>
      <c r="F29" t="s">
        <v>216</v>
      </c>
      <c r="G29" s="29" t="s">
        <v>169</v>
      </c>
    </row>
    <row r="30" spans="3:7" x14ac:dyDescent="0.45">
      <c r="E30" s="28" t="s">
        <v>80</v>
      </c>
      <c r="F30">
        <v>14</v>
      </c>
      <c r="G30" s="38">
        <f>GETPIVOTDATA("Khu vực bạn đang sinh sống:",$E$29,"Khu vực bạn đang sinh sống:","Nông thôn")/GETPIVOTDATA("Khu vực bạn đang sinh sống:",$E$29)</f>
        <v>3.4739454094292806E-2</v>
      </c>
    </row>
    <row r="31" spans="3:7" x14ac:dyDescent="0.45">
      <c r="C31" s="29"/>
      <c r="E31" s="28" t="s">
        <v>74</v>
      </c>
      <c r="F31">
        <v>389</v>
      </c>
      <c r="G31" s="38">
        <f>GETPIVOTDATA("Khu vực bạn đang sinh sống:",$E$29,"Khu vực bạn đang sinh sống:","Thành thị")/GETPIVOTDATA("Khu vực bạn đang sinh sống:",$E$29)</f>
        <v>0.9652605459057072</v>
      </c>
    </row>
    <row r="32" spans="3:7" x14ac:dyDescent="0.45">
      <c r="C32" s="25"/>
      <c r="E32" s="28" t="s">
        <v>34</v>
      </c>
      <c r="F32">
        <v>403</v>
      </c>
      <c r="G32" s="25">
        <f>G30+G31</f>
        <v>1</v>
      </c>
    </row>
    <row r="33" spans="3:7" x14ac:dyDescent="0.45">
      <c r="C33" s="25"/>
    </row>
    <row r="34" spans="3:7" x14ac:dyDescent="0.45">
      <c r="C34" s="25"/>
    </row>
    <row r="35" spans="3:7" x14ac:dyDescent="0.45">
      <c r="C35" s="25"/>
      <c r="E35" s="27" t="s">
        <v>41</v>
      </c>
      <c r="F35" t="s">
        <v>217</v>
      </c>
    </row>
    <row r="36" spans="3:7" x14ac:dyDescent="0.45">
      <c r="C36" s="25"/>
      <c r="E36" s="28" t="s">
        <v>190</v>
      </c>
      <c r="F36">
        <v>8</v>
      </c>
      <c r="G36" s="38">
        <f>GETPIVOTDATA("Trình độ học vấn cao nhất:",$E$35,"Trình độ học vấn cao nhất:","Cao đẳng")/GETPIVOTDATA("Trình độ học vấn cao nhất:",$E$35)</f>
        <v>1.9851116625310174E-2</v>
      </c>
    </row>
    <row r="37" spans="3:7" x14ac:dyDescent="0.45">
      <c r="C37" s="25"/>
      <c r="E37" s="28" t="s">
        <v>77</v>
      </c>
      <c r="F37">
        <v>274</v>
      </c>
      <c r="G37" s="38">
        <f>GETPIVOTDATA("Trình độ học vấn cao nhất:",$E$35,"Trình độ học vấn cao nhất:","Đại học")/GETPIVOTDATA("Trình độ học vấn cao nhất:",$E$35)</f>
        <v>0.67990074441687343</v>
      </c>
    </row>
    <row r="38" spans="3:7" x14ac:dyDescent="0.45">
      <c r="C38" s="25"/>
      <c r="E38" s="28" t="s">
        <v>75</v>
      </c>
      <c r="F38">
        <v>117</v>
      </c>
      <c r="G38" s="38">
        <f>GETPIVOTDATA("Trình độ học vấn cao nhất:",$E$35,"Trình độ học vấn cao nhất:","Sau Đại học")/GETPIVOTDATA("Trình độ học vấn cao nhất:",$E$35)</f>
        <v>0.29032258064516131</v>
      </c>
    </row>
    <row r="39" spans="3:7" x14ac:dyDescent="0.45">
      <c r="E39" s="28" t="s">
        <v>192</v>
      </c>
      <c r="F39">
        <v>4</v>
      </c>
      <c r="G39" s="38">
        <f>GETPIVOTDATA("Trình độ học vấn cao nhất:",$E$35,"Trình độ học vấn cao nhất:","Trung học phổ thông")/GETPIVOTDATA("Trình độ học vấn cao nhất:",$E$35)</f>
        <v>9.9255583126550868E-3</v>
      </c>
    </row>
    <row r="40" spans="3:7" x14ac:dyDescent="0.45">
      <c r="E40" s="28" t="s">
        <v>34</v>
      </c>
      <c r="F40">
        <v>403</v>
      </c>
      <c r="G40" s="25">
        <f>SUM(G36:G39)</f>
        <v>0.99999999999999989</v>
      </c>
    </row>
    <row r="41" spans="3:7" x14ac:dyDescent="0.45">
      <c r="C41" s="29"/>
    </row>
    <row r="42" spans="3:7" x14ac:dyDescent="0.45">
      <c r="C42" s="25"/>
    </row>
    <row r="43" spans="3:7" x14ac:dyDescent="0.45">
      <c r="C43" s="25"/>
      <c r="E43" s="27" t="s">
        <v>42</v>
      </c>
      <c r="F43" t="s">
        <v>218</v>
      </c>
    </row>
    <row r="44" spans="3:7" x14ac:dyDescent="0.45">
      <c r="C44" s="25"/>
      <c r="E44" s="28" t="s">
        <v>197</v>
      </c>
      <c r="F44">
        <v>9</v>
      </c>
      <c r="G44" s="38">
        <f>GETPIVOTDATA("Tình trạng việc làm chính:",$E$43,"Tình trạng việc làm chính:","Khác (Về hưu, nội trợ, sinh viên)")/GETPIVOTDATA("Tình trạng việc làm chính:",$E$43)</f>
        <v>2.2332506203473945E-2</v>
      </c>
    </row>
    <row r="45" spans="3:7" x14ac:dyDescent="0.45">
      <c r="C45" s="25"/>
      <c r="E45" s="28" t="s">
        <v>100</v>
      </c>
      <c r="F45">
        <v>377</v>
      </c>
      <c r="G45" s="38">
        <f>GETPIVOTDATA("Tình trạng việc làm chính:",$E$43,"Tình trạng việc làm chính:","Khu vực chính thức (Có Hợp đồng lao động, đóng BHXH)")/GETPIVOTDATA("Tình trạng việc làm chính:",$E$43)</f>
        <v>0.93548387096774188</v>
      </c>
    </row>
    <row r="46" spans="3:7" x14ac:dyDescent="0.45">
      <c r="C46" s="25"/>
      <c r="E46" s="28" t="s">
        <v>103</v>
      </c>
      <c r="F46">
        <v>17</v>
      </c>
      <c r="G46" s="38">
        <f>GETPIVOTDATA("Tình trạng việc làm chính:",$E$43,"Tình trạng việc làm chính:","Khu vực phi chính thức (Lao động tự do, không có HĐLĐ)")/GETPIVOTDATA("Tình trạng việc làm chính:",$E$43)</f>
        <v>4.2183622828784122E-2</v>
      </c>
    </row>
    <row r="47" spans="3:7" x14ac:dyDescent="0.45">
      <c r="E47" s="28" t="s">
        <v>34</v>
      </c>
      <c r="F47">
        <v>403</v>
      </c>
      <c r="G47" s="38">
        <f>SUM(G44:G46)</f>
        <v>0.99999999999999989</v>
      </c>
    </row>
    <row r="50" spans="5:7" x14ac:dyDescent="0.45">
      <c r="E50" s="27" t="s">
        <v>220</v>
      </c>
      <c r="F50" t="s">
        <v>219</v>
      </c>
    </row>
    <row r="51" spans="5:7" x14ac:dyDescent="0.45">
      <c r="E51" s="28" t="s">
        <v>194</v>
      </c>
      <c r="F51">
        <v>41</v>
      </c>
      <c r="G51"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TNCN)","Dưới 12 triệu VNĐ")/GETPIVOTDATA("Thu nhập bình quân tháng theo Hợp đồng lao động của bạn là bao nhiêu? (Vui lòng điền tổng thu nhập trước khi khấu trừ các loại Bảo hiểm (BHXH, BHYT, BHTN) và Thuế TNCN)",$E$50)</f>
        <v>0.10173697270471464</v>
      </c>
    </row>
    <row r="52" spans="5:7" x14ac:dyDescent="0.45">
      <c r="E52" s="28" t="s">
        <v>108</v>
      </c>
      <c r="F52">
        <v>35</v>
      </c>
      <c r="G52"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TNCN)","Trên 102 triệu VNĐ")/GETPIVOTDATA("Thu nhập bình quân tháng theo Hợp đồng lao động của bạn là bao nhiêu? (Vui lòng điền tổng thu nhập trước khi khấu trừ các loại Bảo hiểm (BHXH, BHYT, BHTN) và Thuế TNCN)",$E$50)</f>
        <v>8.6848635235732011E-2</v>
      </c>
    </row>
    <row r="53" spans="5:7" x14ac:dyDescent="0.45">
      <c r="E53" s="28" t="s">
        <v>104</v>
      </c>
      <c r="F53">
        <v>79</v>
      </c>
      <c r="G53"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12 - 18 triệu VNĐ")/GETPIVOTDATA("Thu nhập bình quân tháng theo Hợp đồng lao động của bạn là bao nhiêu? (Vui lòng điền tổng thu nhập trước khi khấu trừ các loại Bảo hiểm (BHXH, BHYT, BHTN) và Thuế TNCN)",$E$50)</f>
        <v>0.19602977667493796</v>
      </c>
    </row>
    <row r="54" spans="5:7" x14ac:dyDescent="0.45">
      <c r="E54" s="28" t="s">
        <v>196</v>
      </c>
      <c r="F54">
        <v>41</v>
      </c>
      <c r="G54"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18 - 23 triệu VNĐ")/GETPIVOTDATA("Thu nhập bình quân tháng theo Hợp đồng lao động của bạn là bao nhiêu? (Vui lòng điền tổng thu nhập trước khi khấu trừ các loại Bảo hiểm (BHXH, BHYT, BHTN) và Thuế TNCN)",$E$50)</f>
        <v>0.10173697270471464</v>
      </c>
    </row>
    <row r="55" spans="5:7" x14ac:dyDescent="0.45">
      <c r="E55" s="28" t="s">
        <v>101</v>
      </c>
      <c r="F55">
        <v>53</v>
      </c>
      <c r="G55"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23 - 32 triệu VNĐ")/GETPIVOTDATA("Thu nhập bình quân tháng theo Hợp đồng lao động của bạn là bao nhiêu? (Vui lòng điền tổng thu nhập trước khi khấu trừ các loại Bảo hiểm (BHXH, BHYT, BHTN) và Thuế TNCN)",$E$50)</f>
        <v>0.13151364764267989</v>
      </c>
    </row>
    <row r="56" spans="5:7" x14ac:dyDescent="0.45">
      <c r="E56" s="28" t="s">
        <v>109</v>
      </c>
      <c r="F56">
        <v>53</v>
      </c>
      <c r="G56"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32 - 48 triệu VNĐ")/GETPIVOTDATA("Thu nhập bình quân tháng theo Hợp đồng lao động của bạn là bao nhiêu? (Vui lòng điền tổng thu nhập trước khi khấu trừ các loại Bảo hiểm (BHXH, BHYT, BHTN) và Thuế TNCN)",$E$50)</f>
        <v>0.13151364764267989</v>
      </c>
    </row>
    <row r="57" spans="5:7" x14ac:dyDescent="0.45">
      <c r="E57" s="28" t="s">
        <v>111</v>
      </c>
      <c r="F57">
        <v>62</v>
      </c>
      <c r="G57"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48 - 70 triệu VNĐ")/GETPIVOTDATA("Thu nhập bình quân tháng theo Hợp đồng lao động của bạn là bao nhiêu? (Vui lòng điền tổng thu nhập trước khi khấu trừ các loại Bảo hiểm (BHXH, BHYT, BHTN) và Thuế TNCN)",$E$50)</f>
        <v>0.15384615384615385</v>
      </c>
    </row>
    <row r="58" spans="5:7" x14ac:dyDescent="0.45">
      <c r="E58" s="28" t="s">
        <v>107</v>
      </c>
      <c r="F58">
        <v>39</v>
      </c>
      <c r="G58" s="38">
        <f>GETPIVOTDATA("Thu nhập bình quân tháng theo Hợp đồng lao động của bạn là bao nhiêu? (Vui lòng điền tổng thu nhập trước khi khấu trừ các loại Bảo hiểm (BHXH, BHYT, BHTN) và Thuế TNCN)",$E$50,"Thu nhập bình quân tháng theo Hợp đồng lao động của bạn là bao nhiêu? (Vui lòng điền tổng thu nhập trước khi khấu trừ các loại Bảo hiểm (BHXH, BHYT, BHTN) và Thuế TNCN)","Từ 70 - 102 triệu VNĐ")/GETPIVOTDATA("Thu nhập bình quân tháng theo Hợp đồng lao động của bạn là bao nhiêu? (Vui lòng điền tổng thu nhập trước khi khấu trừ các loại Bảo hiểm (BHXH, BHYT, BHTN) và Thuế TNCN)",$E$50)</f>
        <v>9.6774193548387094E-2</v>
      </c>
    </row>
    <row r="59" spans="5:7" x14ac:dyDescent="0.45">
      <c r="E59" s="28" t="s">
        <v>34</v>
      </c>
      <c r="F59">
        <v>403</v>
      </c>
      <c r="G59" s="38">
        <f>SUM(G51:G58)</f>
        <v>1</v>
      </c>
    </row>
    <row r="62" spans="5:7" x14ac:dyDescent="0.45">
      <c r="E62" s="27" t="s">
        <v>42</v>
      </c>
      <c r="F62" t="s">
        <v>221</v>
      </c>
    </row>
    <row r="63" spans="5:7" x14ac:dyDescent="0.45">
      <c r="E63" s="28" t="s">
        <v>110</v>
      </c>
      <c r="F63">
        <v>153</v>
      </c>
      <c r="G63" s="38">
        <f>GETPIVOTDATA("Số người phụ thuộc (con nhỏ, cha mẹ già...) đủ điều kiện giảm trừ gia cảnh:",$E$62,"Số người phụ thuộc (con nhỏ, cha mẹ già...) đủ điều kiện giảm trừ gia cảnh:","0 người")/GETPIVOTDATA("Số người phụ thuộc (con nhỏ, cha mẹ già...) đủ điều kiện giảm trừ gia cảnh:",$E$62)</f>
        <v>0.37965260545905705</v>
      </c>
    </row>
    <row r="64" spans="5:7" x14ac:dyDescent="0.45">
      <c r="E64" s="28" t="s">
        <v>102</v>
      </c>
      <c r="F64">
        <v>79</v>
      </c>
      <c r="G64" s="38">
        <f>GETPIVOTDATA("Số người phụ thuộc (con nhỏ, cha mẹ già...) đủ điều kiện giảm trừ gia cảnh:",$E$62,"Số người phụ thuộc (con nhỏ, cha mẹ già...) đủ điều kiện giảm trừ gia cảnh:","1 người")/GETPIVOTDATA("Số người phụ thuộc (con nhỏ, cha mẹ già...) đủ điều kiện giảm trừ gia cảnh:",$E$62)</f>
        <v>0.19602977667493796</v>
      </c>
    </row>
    <row r="65" spans="5:7" x14ac:dyDescent="0.45">
      <c r="E65" s="28" t="s">
        <v>105</v>
      </c>
      <c r="F65">
        <v>88</v>
      </c>
      <c r="G65" s="38">
        <f>GETPIVOTDATA("Số người phụ thuộc (con nhỏ, cha mẹ già...) đủ điều kiện giảm trừ gia cảnh:",$E$62,"Số người phụ thuộc (con nhỏ, cha mẹ già...) đủ điều kiện giảm trừ gia cảnh:","2 người")/GETPIVOTDATA("Số người phụ thuộc (con nhỏ, cha mẹ già...) đủ điều kiện giảm trừ gia cảnh:",$E$62)</f>
        <v>0.21836228287841192</v>
      </c>
    </row>
    <row r="66" spans="5:7" x14ac:dyDescent="0.45">
      <c r="E66" s="28" t="s">
        <v>106</v>
      </c>
      <c r="F66">
        <v>45</v>
      </c>
      <c r="G66" s="38">
        <f>GETPIVOTDATA("Số người phụ thuộc (con nhỏ, cha mẹ già...) đủ điều kiện giảm trừ gia cảnh:",$E$62,"Số người phụ thuộc (con nhỏ, cha mẹ già...) đủ điều kiện giảm trừ gia cảnh:","3 người")/GETPIVOTDATA("Số người phụ thuộc (con nhỏ, cha mẹ già...) đủ điều kiện giảm trừ gia cảnh:",$E$62)</f>
        <v>0.11166253101736973</v>
      </c>
    </row>
    <row r="67" spans="5:7" x14ac:dyDescent="0.45">
      <c r="E67" s="28" t="s">
        <v>195</v>
      </c>
      <c r="F67">
        <v>38</v>
      </c>
      <c r="G67" s="38">
        <f>GETPIVOTDATA("Số người phụ thuộc (con nhỏ, cha mẹ già...) đủ điều kiện giảm trừ gia cảnh:",$E$62,"Số người phụ thuộc (con nhỏ, cha mẹ già...) đủ điều kiện giảm trừ gia cảnh:","4 người trở lên")/GETPIVOTDATA("Số người phụ thuộc (con nhỏ, cha mẹ già...) đủ điều kiện giảm trừ gia cảnh:",$E$62)</f>
        <v>9.4292803970223327E-2</v>
      </c>
    </row>
    <row r="68" spans="5:7" x14ac:dyDescent="0.45">
      <c r="E68" s="28" t="s">
        <v>34</v>
      </c>
      <c r="F68">
        <v>403</v>
      </c>
      <c r="G68" s="38">
        <f>SUM(G63:G67)</f>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E655-95C4-471B-9EC9-F76FA853AAF6}">
  <dimension ref="A1:K86"/>
  <sheetViews>
    <sheetView workbookViewId="0">
      <selection activeCell="E86" sqref="E86"/>
    </sheetView>
  </sheetViews>
  <sheetFormatPr defaultRowHeight="14.25" x14ac:dyDescent="0.45"/>
  <cols>
    <col min="2" max="2" width="16.73046875" bestFit="1" customWidth="1"/>
  </cols>
  <sheetData>
    <row r="1" spans="1:11" x14ac:dyDescent="0.45">
      <c r="A1" s="40" t="s">
        <v>22</v>
      </c>
      <c r="B1" s="40"/>
      <c r="C1" s="39" t="s">
        <v>23</v>
      </c>
      <c r="D1" s="39"/>
      <c r="E1" s="39"/>
      <c r="F1" s="1" t="s">
        <v>34</v>
      </c>
    </row>
    <row r="2" spans="1:11" x14ac:dyDescent="0.45">
      <c r="A2" s="40"/>
      <c r="B2" s="40"/>
      <c r="C2" s="1" t="s">
        <v>1</v>
      </c>
      <c r="D2" s="1" t="s">
        <v>2</v>
      </c>
      <c r="E2" s="1" t="s">
        <v>3</v>
      </c>
      <c r="F2" s="4"/>
    </row>
    <row r="3" spans="1:11" x14ac:dyDescent="0.45">
      <c r="A3" s="39" t="s">
        <v>24</v>
      </c>
      <c r="B3" s="1" t="s">
        <v>1</v>
      </c>
      <c r="C3" s="3">
        <f>CM_ENF1!B2</f>
        <v>0</v>
      </c>
      <c r="D3" s="4">
        <f>CM_ENF1!C2</f>
        <v>3</v>
      </c>
      <c r="E3" s="4">
        <f>CM_ENF1!D2</f>
        <v>3</v>
      </c>
      <c r="F3" s="6">
        <f>SUM(C3:E3)</f>
        <v>6</v>
      </c>
    </row>
    <row r="4" spans="1:11" x14ac:dyDescent="0.45">
      <c r="A4" s="39"/>
      <c r="B4" s="1" t="s">
        <v>2</v>
      </c>
      <c r="C4" s="4">
        <f>CM_ENF1!B3</f>
        <v>39</v>
      </c>
      <c r="D4" s="3">
        <f>CM_ENF1!C3</f>
        <v>128</v>
      </c>
      <c r="E4" s="4">
        <f>CM_ENF1!D3</f>
        <v>122</v>
      </c>
      <c r="F4" s="6">
        <f t="shared" ref="F4:F5" si="0">SUM(C4:E4)</f>
        <v>289</v>
      </c>
    </row>
    <row r="5" spans="1:11" x14ac:dyDescent="0.45">
      <c r="A5" s="39"/>
      <c r="B5" s="1" t="s">
        <v>3</v>
      </c>
      <c r="C5" s="4">
        <f>CM_ENF1!B4</f>
        <v>16</v>
      </c>
      <c r="D5" s="4">
        <f>CM_ENF1!C4</f>
        <v>49</v>
      </c>
      <c r="E5" s="3">
        <f>CM_ENF1!D4</f>
        <v>43</v>
      </c>
      <c r="F5" s="6">
        <f t="shared" si="0"/>
        <v>108</v>
      </c>
      <c r="G5" s="26" t="s">
        <v>36</v>
      </c>
      <c r="H5" s="26" t="s">
        <v>165</v>
      </c>
      <c r="I5" s="26" t="s">
        <v>163</v>
      </c>
      <c r="J5" s="26" t="s">
        <v>164</v>
      </c>
    </row>
    <row r="6" spans="1:11" x14ac:dyDescent="0.45">
      <c r="A6" s="2"/>
      <c r="B6" s="1" t="s">
        <v>34</v>
      </c>
      <c r="C6" s="6">
        <f>SUM(C3:C5)</f>
        <v>55</v>
      </c>
      <c r="D6" s="6">
        <f>SUM(D3:D5)</f>
        <v>180</v>
      </c>
      <c r="E6" s="6">
        <f>SUM(E3:E5)</f>
        <v>168</v>
      </c>
      <c r="F6" s="6">
        <f>SUM(C6:E6)</f>
        <v>403</v>
      </c>
      <c r="G6" s="8">
        <f>C3+D4+E5</f>
        <v>171</v>
      </c>
      <c r="H6" s="8">
        <f>(C6*F3)+(D6*F4)+(E6*F5)</f>
        <v>70494</v>
      </c>
      <c r="I6" s="8">
        <f>(C6^2)+(D6^2)+(E6^2)</f>
        <v>63649</v>
      </c>
      <c r="J6" s="8">
        <f>(F3^2)+(F4^2)+(F5^2)</f>
        <v>95221</v>
      </c>
      <c r="K6" s="10"/>
    </row>
    <row r="7" spans="1:11" x14ac:dyDescent="0.45">
      <c r="A7" s="4"/>
      <c r="B7" s="5" t="s">
        <v>25</v>
      </c>
      <c r="C7" s="6"/>
      <c r="D7" s="6"/>
      <c r="E7" s="16">
        <f>(C3+D4+E5)/F6</f>
        <v>0.42431761786600497</v>
      </c>
      <c r="F7" s="4"/>
    </row>
    <row r="8" spans="1:11" x14ac:dyDescent="0.45">
      <c r="A8" s="4"/>
      <c r="B8" s="5" t="s">
        <v>35</v>
      </c>
      <c r="C8" s="4"/>
      <c r="D8" s="4"/>
      <c r="E8" s="9">
        <f>(G6*F6-H6)/SQRT((F6^2-I6)*(F6^2-J6))</f>
        <v>-1.9408656441905845E-2</v>
      </c>
      <c r="F8" s="4"/>
    </row>
    <row r="10" spans="1:11" x14ac:dyDescent="0.45">
      <c r="A10" s="40" t="s">
        <v>26</v>
      </c>
      <c r="B10" s="40"/>
      <c r="C10" s="39" t="s">
        <v>23</v>
      </c>
      <c r="D10" s="39"/>
      <c r="E10" s="39"/>
      <c r="F10" s="1" t="s">
        <v>34</v>
      </c>
    </row>
    <row r="11" spans="1:11" x14ac:dyDescent="0.45">
      <c r="A11" s="40"/>
      <c r="B11" s="40"/>
      <c r="C11" s="1" t="s">
        <v>1</v>
      </c>
      <c r="D11" s="1" t="s">
        <v>2</v>
      </c>
      <c r="E11" s="1" t="s">
        <v>3</v>
      </c>
      <c r="F11" s="4"/>
    </row>
    <row r="12" spans="1:11" x14ac:dyDescent="0.45">
      <c r="A12" s="39" t="s">
        <v>24</v>
      </c>
      <c r="B12" s="1" t="s">
        <v>1</v>
      </c>
      <c r="C12" s="3">
        <f>CM_ENF2!B2</f>
        <v>0</v>
      </c>
      <c r="D12" s="4">
        <f>CM_ENF2!C2</f>
        <v>3</v>
      </c>
      <c r="E12" s="4">
        <f>CM_ENF2!D2</f>
        <v>2</v>
      </c>
      <c r="F12" s="6">
        <f>SUM(C12:E12)</f>
        <v>5</v>
      </c>
    </row>
    <row r="13" spans="1:11" x14ac:dyDescent="0.45">
      <c r="A13" s="39"/>
      <c r="B13" s="1" t="s">
        <v>2</v>
      </c>
      <c r="C13" s="4">
        <f>CM_ENF2!B3</f>
        <v>26</v>
      </c>
      <c r="D13" s="3">
        <f>CM_ENF2!C3</f>
        <v>85</v>
      </c>
      <c r="E13" s="4">
        <f>CM_ENF2!D3</f>
        <v>103</v>
      </c>
      <c r="F13" s="6">
        <f t="shared" ref="F13:F14" si="1">SUM(C13:E13)</f>
        <v>214</v>
      </c>
    </row>
    <row r="14" spans="1:11" x14ac:dyDescent="0.45">
      <c r="A14" s="39"/>
      <c r="B14" s="1" t="s">
        <v>3</v>
      </c>
      <c r="C14" s="4">
        <f>CM_ENF2!B4</f>
        <v>19</v>
      </c>
      <c r="D14" s="4">
        <f>CM_ENF2!C4</f>
        <v>78</v>
      </c>
      <c r="E14" s="3">
        <f>CM_ENF2!D4</f>
        <v>87</v>
      </c>
      <c r="F14" s="6">
        <f t="shared" si="1"/>
        <v>184</v>
      </c>
      <c r="G14" s="26" t="s">
        <v>36</v>
      </c>
      <c r="H14" s="26" t="s">
        <v>165</v>
      </c>
      <c r="I14" s="26" t="s">
        <v>163</v>
      </c>
      <c r="J14" s="26" t="s">
        <v>164</v>
      </c>
    </row>
    <row r="15" spans="1:11" x14ac:dyDescent="0.45">
      <c r="A15" s="2"/>
      <c r="B15" s="1" t="s">
        <v>34</v>
      </c>
      <c r="C15" s="6">
        <f>SUM(C12:C14)</f>
        <v>45</v>
      </c>
      <c r="D15" s="6">
        <f>SUM(D12:D14)</f>
        <v>166</v>
      </c>
      <c r="E15" s="6">
        <f>SUM(E12:E14)</f>
        <v>192</v>
      </c>
      <c r="F15" s="6">
        <f>SUM(C15:E15)</f>
        <v>403</v>
      </c>
      <c r="G15" s="8">
        <f>C12+D13+E14</f>
        <v>172</v>
      </c>
      <c r="H15" s="8">
        <f>(C15*F12)+(D15*F13)+(E15*F14)</f>
        <v>71077</v>
      </c>
      <c r="I15" s="8">
        <f>(C15^2)+(D15^2)+(E15^2)</f>
        <v>66445</v>
      </c>
      <c r="J15" s="8">
        <f>(F12^2)+(F13^2)+(F14^2)</f>
        <v>79677</v>
      </c>
      <c r="K15" s="10"/>
    </row>
    <row r="16" spans="1:11" x14ac:dyDescent="0.45">
      <c r="A16" s="4"/>
      <c r="B16" s="5" t="s">
        <v>25</v>
      </c>
      <c r="C16" s="6"/>
      <c r="D16" s="6"/>
      <c r="E16" s="16">
        <f>(C12+D13+E14)/F15</f>
        <v>0.42679900744416871</v>
      </c>
      <c r="F16" s="4"/>
    </row>
    <row r="17" spans="1:11" x14ac:dyDescent="0.45">
      <c r="A17" s="4"/>
      <c r="B17" s="5" t="s">
        <v>35</v>
      </c>
      <c r="C17" s="4"/>
      <c r="D17" s="4"/>
      <c r="E17" s="9">
        <f>(G15*F15-H15)/SQRT((F15^2-I15)*(F15^2-J15))</f>
        <v>-1.976370775140433E-2</v>
      </c>
      <c r="F17" s="4"/>
    </row>
    <row r="20" spans="1:11" x14ac:dyDescent="0.45">
      <c r="A20" s="40" t="s">
        <v>27</v>
      </c>
      <c r="B20" s="40"/>
      <c r="C20" s="39" t="s">
        <v>23</v>
      </c>
      <c r="D20" s="39"/>
      <c r="E20" s="39"/>
      <c r="F20" s="1" t="s">
        <v>34</v>
      </c>
    </row>
    <row r="21" spans="1:11" x14ac:dyDescent="0.45">
      <c r="A21" s="40"/>
      <c r="B21" s="40"/>
      <c r="C21" s="1" t="s">
        <v>1</v>
      </c>
      <c r="D21" s="1" t="s">
        <v>2</v>
      </c>
      <c r="E21" s="1" t="s">
        <v>3</v>
      </c>
      <c r="F21" s="4"/>
    </row>
    <row r="22" spans="1:11" x14ac:dyDescent="0.45">
      <c r="A22" s="39" t="s">
        <v>24</v>
      </c>
      <c r="B22" s="1" t="s">
        <v>1</v>
      </c>
      <c r="C22" s="3">
        <f>CM_FAC1!B2</f>
        <v>1</v>
      </c>
      <c r="D22" s="4">
        <f>CM_FAC1!C2</f>
        <v>0</v>
      </c>
      <c r="E22" s="4">
        <f>CM_FAC1!D2</f>
        <v>0</v>
      </c>
      <c r="F22" s="6">
        <f>SUM(C22:E22)</f>
        <v>1</v>
      </c>
    </row>
    <row r="23" spans="1:11" x14ac:dyDescent="0.45">
      <c r="A23" s="39"/>
      <c r="B23" s="1" t="s">
        <v>2</v>
      </c>
      <c r="C23" s="4">
        <f>CM_FAC1!B3</f>
        <v>18</v>
      </c>
      <c r="D23" s="3">
        <f>CM_FAC1!C3</f>
        <v>39</v>
      </c>
      <c r="E23" s="4">
        <f>CM_FAC1!D3</f>
        <v>21</v>
      </c>
      <c r="F23" s="6">
        <f t="shared" ref="F23:F24" si="2">SUM(C23:E23)</f>
        <v>78</v>
      </c>
    </row>
    <row r="24" spans="1:11" x14ac:dyDescent="0.45">
      <c r="A24" s="39"/>
      <c r="B24" s="1" t="s">
        <v>3</v>
      </c>
      <c r="C24" s="4">
        <f>CM_FAC1!B4</f>
        <v>64</v>
      </c>
      <c r="D24" s="4">
        <f>CM_FAC1!C4</f>
        <v>138</v>
      </c>
      <c r="E24" s="3">
        <f>CM_FAC1!D4</f>
        <v>122</v>
      </c>
      <c r="F24" s="6">
        <f t="shared" si="2"/>
        <v>324</v>
      </c>
      <c r="G24" s="26" t="s">
        <v>36</v>
      </c>
      <c r="H24" s="26" t="s">
        <v>165</v>
      </c>
      <c r="I24" s="26" t="s">
        <v>163</v>
      </c>
      <c r="J24" s="26" t="s">
        <v>164</v>
      </c>
    </row>
    <row r="25" spans="1:11" x14ac:dyDescent="0.45">
      <c r="A25" s="2"/>
      <c r="B25" s="1" t="s">
        <v>34</v>
      </c>
      <c r="C25" s="6">
        <f>SUM(C22:C24)</f>
        <v>83</v>
      </c>
      <c r="D25" s="6">
        <f>SUM(D22:D24)</f>
        <v>177</v>
      </c>
      <c r="E25" s="6">
        <f>SUM(E22:E24)</f>
        <v>143</v>
      </c>
      <c r="F25" s="6">
        <f>SUM(C25:E25)</f>
        <v>403</v>
      </c>
      <c r="G25" s="8">
        <f>C22+D23+E24</f>
        <v>162</v>
      </c>
      <c r="H25" s="8">
        <f>(C25*F22)+(D25*F23)+(E25*F24)</f>
        <v>60221</v>
      </c>
      <c r="I25" s="8">
        <f>(C25^2)+(D25^2)+(E25^2)</f>
        <v>58667</v>
      </c>
      <c r="J25" s="8">
        <f>(F22^2)+(F23^2)+(F24^2)</f>
        <v>111061</v>
      </c>
      <c r="K25" s="10"/>
    </row>
    <row r="26" spans="1:11" x14ac:dyDescent="0.45">
      <c r="A26" s="4"/>
      <c r="B26" s="5" t="s">
        <v>25</v>
      </c>
      <c r="C26" s="6"/>
      <c r="D26" s="6"/>
      <c r="E26" s="16">
        <f>(C22+D23+E24)/F25</f>
        <v>0.40198511166253104</v>
      </c>
      <c r="F26" s="4"/>
    </row>
    <row r="27" spans="1:11" x14ac:dyDescent="0.45">
      <c r="A27" s="4"/>
      <c r="B27" s="5" t="s">
        <v>35</v>
      </c>
      <c r="C27" s="4"/>
      <c r="D27" s="4"/>
      <c r="E27" s="9">
        <f>(G25*F25-H25)/SQRT((F25^2-I25)*(F25^2-J25))</f>
        <v>6.939694866752312E-2</v>
      </c>
      <c r="F27" s="4"/>
    </row>
    <row r="30" spans="1:11" x14ac:dyDescent="0.45">
      <c r="A30" s="40" t="s">
        <v>28</v>
      </c>
      <c r="B30" s="40"/>
      <c r="C30" s="39" t="s">
        <v>23</v>
      </c>
      <c r="D30" s="39"/>
      <c r="E30" s="39"/>
      <c r="F30" s="1" t="s">
        <v>34</v>
      </c>
    </row>
    <row r="31" spans="1:11" x14ac:dyDescent="0.45">
      <c r="A31" s="40"/>
      <c r="B31" s="40"/>
      <c r="C31" s="1" t="s">
        <v>1</v>
      </c>
      <c r="D31" s="1" t="s">
        <v>2</v>
      </c>
      <c r="E31" s="1" t="s">
        <v>3</v>
      </c>
      <c r="F31" s="4"/>
    </row>
    <row r="32" spans="1:11" x14ac:dyDescent="0.45">
      <c r="A32" s="39" t="s">
        <v>24</v>
      </c>
      <c r="B32" s="1" t="s">
        <v>1</v>
      </c>
      <c r="C32" s="3">
        <f>CM_FAC2!B2</f>
        <v>0</v>
      </c>
      <c r="D32" s="4">
        <f>CM_FAC2!C2</f>
        <v>0</v>
      </c>
      <c r="E32" s="4">
        <f>CM_FAC2!D2</f>
        <v>0</v>
      </c>
      <c r="F32" s="6">
        <f>SUM(C32:E32)</f>
        <v>0</v>
      </c>
    </row>
    <row r="33" spans="1:11" x14ac:dyDescent="0.45">
      <c r="A33" s="39"/>
      <c r="B33" s="1" t="s">
        <v>2</v>
      </c>
      <c r="C33" s="4">
        <f>CM_FAC2!B3</f>
        <v>1</v>
      </c>
      <c r="D33" s="3">
        <f>CM_FAC2!C3</f>
        <v>8</v>
      </c>
      <c r="E33" s="4">
        <f>CM_FAC2!D3</f>
        <v>3</v>
      </c>
      <c r="F33" s="6">
        <f t="shared" ref="F33:F34" si="3">SUM(C33:E33)</f>
        <v>12</v>
      </c>
    </row>
    <row r="34" spans="1:11" x14ac:dyDescent="0.45">
      <c r="A34" s="39"/>
      <c r="B34" s="1" t="s">
        <v>3</v>
      </c>
      <c r="C34" s="4">
        <f>CM_FAC2!B4</f>
        <v>20</v>
      </c>
      <c r="D34" s="4">
        <f>CM_FAC2!C4</f>
        <v>177</v>
      </c>
      <c r="E34" s="3">
        <f>CM_FAC2!D4</f>
        <v>194</v>
      </c>
      <c r="F34" s="6">
        <f t="shared" si="3"/>
        <v>391</v>
      </c>
      <c r="G34" s="26" t="s">
        <v>36</v>
      </c>
      <c r="H34" s="26" t="s">
        <v>165</v>
      </c>
      <c r="I34" s="26" t="s">
        <v>163</v>
      </c>
      <c r="J34" s="26" t="s">
        <v>164</v>
      </c>
    </row>
    <row r="35" spans="1:11" x14ac:dyDescent="0.45">
      <c r="A35" s="2"/>
      <c r="B35" s="1" t="s">
        <v>34</v>
      </c>
      <c r="C35" s="6">
        <f>SUM(C32:C34)</f>
        <v>21</v>
      </c>
      <c r="D35" s="6">
        <f>SUM(D32:D34)</f>
        <v>185</v>
      </c>
      <c r="E35" s="6">
        <f>SUM(E32:E34)</f>
        <v>197</v>
      </c>
      <c r="F35" s="6">
        <f>SUM(C35:E35)</f>
        <v>403</v>
      </c>
      <c r="G35" s="8">
        <f>C32+D33+E34</f>
        <v>202</v>
      </c>
      <c r="H35" s="8">
        <f>(C35*F32)+(D35*F33)+(E35*F34)</f>
        <v>79247</v>
      </c>
      <c r="I35" s="8">
        <f>(C35^2)+(D35^2)+(E35^2)</f>
        <v>73475</v>
      </c>
      <c r="J35" s="8">
        <f>(F32^2)+(F33^2)+(F34^2)</f>
        <v>153025</v>
      </c>
      <c r="K35" s="10"/>
    </row>
    <row r="36" spans="1:11" x14ac:dyDescent="0.45">
      <c r="A36" s="4"/>
      <c r="B36" s="5" t="s">
        <v>25</v>
      </c>
      <c r="C36" s="6"/>
      <c r="D36" s="6"/>
      <c r="E36" s="16">
        <f>(C32+D33+E34)/F35</f>
        <v>0.50124069478908184</v>
      </c>
      <c r="F36" s="4"/>
    </row>
    <row r="37" spans="1:11" x14ac:dyDescent="0.45">
      <c r="A37" s="4"/>
      <c r="B37" s="5" t="s">
        <v>35</v>
      </c>
      <c r="C37" s="4"/>
      <c r="D37" s="4"/>
      <c r="E37" s="9">
        <f>(G35*F35-H35)/SQRT((F35^2-I35)*(F35^2-J35))</f>
        <v>7.4735118888747371E-2</v>
      </c>
      <c r="F37" s="4"/>
    </row>
    <row r="40" spans="1:11" x14ac:dyDescent="0.45">
      <c r="A40" s="40" t="s">
        <v>29</v>
      </c>
      <c r="B40" s="40"/>
      <c r="C40" s="39" t="s">
        <v>23</v>
      </c>
      <c r="D40" s="39"/>
      <c r="E40" s="39"/>
      <c r="F40" s="1" t="s">
        <v>34</v>
      </c>
    </row>
    <row r="41" spans="1:11" x14ac:dyDescent="0.45">
      <c r="A41" s="40"/>
      <c r="B41" s="40"/>
      <c r="C41" s="1" t="s">
        <v>1</v>
      </c>
      <c r="D41" s="1" t="s">
        <v>2</v>
      </c>
      <c r="E41" s="1" t="s">
        <v>3</v>
      </c>
      <c r="F41" s="4"/>
    </row>
    <row r="42" spans="1:11" x14ac:dyDescent="0.45">
      <c r="A42" s="39" t="s">
        <v>24</v>
      </c>
      <c r="B42" s="1" t="s">
        <v>1</v>
      </c>
      <c r="C42" s="3">
        <f>CM_TRU1!B2</f>
        <v>0</v>
      </c>
      <c r="D42" s="4">
        <f>CM_TRU1!C2</f>
        <v>2</v>
      </c>
      <c r="E42" s="4">
        <f>CM_TRU1!D2</f>
        <v>2</v>
      </c>
      <c r="F42" s="6">
        <f>SUM(C42:E42)</f>
        <v>4</v>
      </c>
    </row>
    <row r="43" spans="1:11" x14ac:dyDescent="0.45">
      <c r="A43" s="39"/>
      <c r="B43" s="1" t="s">
        <v>2</v>
      </c>
      <c r="C43" s="4">
        <f>CM_TRU1!B3</f>
        <v>28</v>
      </c>
      <c r="D43" s="3">
        <f>CM_TRU1!C3</f>
        <v>111</v>
      </c>
      <c r="E43" s="4">
        <f>CM_TRU1!D3</f>
        <v>53</v>
      </c>
      <c r="F43" s="6">
        <f t="shared" ref="F43:F44" si="4">SUM(C43:E43)</f>
        <v>192</v>
      </c>
    </row>
    <row r="44" spans="1:11" x14ac:dyDescent="0.45">
      <c r="A44" s="39"/>
      <c r="B44" s="1" t="s">
        <v>3</v>
      </c>
      <c r="C44" s="4">
        <f>CM_TRU1!B4</f>
        <v>29</v>
      </c>
      <c r="D44" s="4">
        <f>CM_TRU1!C4</f>
        <v>104</v>
      </c>
      <c r="E44" s="3">
        <f>CM_TRU1!D4</f>
        <v>72</v>
      </c>
      <c r="F44" s="6">
        <f t="shared" si="4"/>
        <v>205</v>
      </c>
      <c r="G44" s="26" t="s">
        <v>36</v>
      </c>
      <c r="H44" s="26" t="s">
        <v>165</v>
      </c>
      <c r="I44" s="26" t="s">
        <v>163</v>
      </c>
      <c r="J44" s="26" t="s">
        <v>164</v>
      </c>
    </row>
    <row r="45" spans="1:11" x14ac:dyDescent="0.45">
      <c r="A45" s="2"/>
      <c r="B45" s="1" t="s">
        <v>34</v>
      </c>
      <c r="C45" s="6">
        <f>SUM(C42:C44)</f>
        <v>57</v>
      </c>
      <c r="D45" s="6">
        <f>SUM(D42:D44)</f>
        <v>217</v>
      </c>
      <c r="E45" s="6">
        <f>SUM(E42:E44)</f>
        <v>127</v>
      </c>
      <c r="F45" s="6">
        <f>SUM(C45:E45)</f>
        <v>401</v>
      </c>
      <c r="G45" s="8">
        <f>C42+D43+E44</f>
        <v>183</v>
      </c>
      <c r="H45" s="8">
        <f>(C45*F42)+(D45*F43)+(E45*F44)</f>
        <v>67927</v>
      </c>
      <c r="I45" s="8">
        <f>(C45^2)+(D45^2)+(E45^2)</f>
        <v>66467</v>
      </c>
      <c r="J45" s="8">
        <f>(F42^2)+(F43^2)+(F44^2)</f>
        <v>78905</v>
      </c>
      <c r="K45" s="10"/>
    </row>
    <row r="46" spans="1:11" x14ac:dyDescent="0.45">
      <c r="A46" s="4"/>
      <c r="B46" s="5" t="s">
        <v>25</v>
      </c>
      <c r="C46" s="6"/>
      <c r="D46" s="6"/>
      <c r="E46" s="16">
        <f>(C42+D43+E44)/F45</f>
        <v>0.45635910224438903</v>
      </c>
      <c r="F46" s="4"/>
    </row>
    <row r="47" spans="1:11" x14ac:dyDescent="0.45">
      <c r="A47" s="4"/>
      <c r="B47" s="5" t="s">
        <v>35</v>
      </c>
      <c r="C47" s="4"/>
      <c r="D47" s="4"/>
      <c r="E47" s="9">
        <f>(G45*F45-H45)/SQRT((F45^2-I45)*(F45^2-J45))</f>
        <v>6.2073879883885574E-2</v>
      </c>
      <c r="F47" s="4"/>
    </row>
    <row r="50" spans="1:11" x14ac:dyDescent="0.45">
      <c r="A50" s="40" t="s">
        <v>30</v>
      </c>
      <c r="B50" s="40"/>
      <c r="C50" s="39" t="s">
        <v>23</v>
      </c>
      <c r="D50" s="39"/>
      <c r="E50" s="39"/>
      <c r="F50" s="1" t="s">
        <v>34</v>
      </c>
    </row>
    <row r="51" spans="1:11" x14ac:dyDescent="0.45">
      <c r="A51" s="40"/>
      <c r="B51" s="40"/>
      <c r="C51" s="1" t="s">
        <v>1</v>
      </c>
      <c r="D51" s="1" t="s">
        <v>2</v>
      </c>
      <c r="E51" s="1" t="s">
        <v>3</v>
      </c>
      <c r="F51" s="4"/>
    </row>
    <row r="52" spans="1:11" x14ac:dyDescent="0.45">
      <c r="A52" s="39" t="s">
        <v>24</v>
      </c>
      <c r="B52" s="1" t="s">
        <v>1</v>
      </c>
      <c r="C52" s="3">
        <f>CM_TRU2!B2</f>
        <v>0</v>
      </c>
      <c r="D52" s="4">
        <f>CM_TRU2!C2</f>
        <v>0</v>
      </c>
      <c r="E52" s="4">
        <f>CM_TRU2!D2</f>
        <v>0</v>
      </c>
      <c r="F52" s="6">
        <f>SUM(C52:E52)</f>
        <v>0</v>
      </c>
    </row>
    <row r="53" spans="1:11" x14ac:dyDescent="0.45">
      <c r="A53" s="39"/>
      <c r="B53" s="1" t="s">
        <v>2</v>
      </c>
      <c r="C53" s="4">
        <f>CM_TRU2!B3</f>
        <v>7</v>
      </c>
      <c r="D53" s="3">
        <f>CM_TRU2!C3</f>
        <v>4</v>
      </c>
      <c r="E53" s="4">
        <f>CM_TRU2!D3</f>
        <v>14</v>
      </c>
      <c r="F53" s="6">
        <f t="shared" ref="F53:F54" si="5">SUM(C53:E53)</f>
        <v>25</v>
      </c>
    </row>
    <row r="54" spans="1:11" x14ac:dyDescent="0.45">
      <c r="A54" s="39"/>
      <c r="B54" s="1" t="s">
        <v>3</v>
      </c>
      <c r="C54" s="4">
        <f>CM_TRU2!B4</f>
        <v>63</v>
      </c>
      <c r="D54" s="4">
        <f>CM_TRU2!C4</f>
        <v>173</v>
      </c>
      <c r="E54" s="3">
        <f>CM_TRU2!D4</f>
        <v>140</v>
      </c>
      <c r="F54" s="6">
        <f t="shared" si="5"/>
        <v>376</v>
      </c>
      <c r="G54" s="26" t="s">
        <v>36</v>
      </c>
      <c r="H54" s="26" t="s">
        <v>165</v>
      </c>
      <c r="I54" s="26" t="s">
        <v>163</v>
      </c>
      <c r="J54" s="26" t="s">
        <v>164</v>
      </c>
    </row>
    <row r="55" spans="1:11" x14ac:dyDescent="0.45">
      <c r="A55" s="2"/>
      <c r="B55" s="1" t="s">
        <v>34</v>
      </c>
      <c r="C55" s="6">
        <f>SUM(C52:C54)</f>
        <v>70</v>
      </c>
      <c r="D55" s="6">
        <f>SUM(D52:D54)</f>
        <v>177</v>
      </c>
      <c r="E55" s="6">
        <f>SUM(E52:E54)</f>
        <v>154</v>
      </c>
      <c r="F55" s="6">
        <f>SUM(C55:E55)</f>
        <v>401</v>
      </c>
      <c r="G55" s="8">
        <f>C52+D53+E54</f>
        <v>144</v>
      </c>
      <c r="H55" s="8">
        <f>(C55*F52)+(D55*F53)+(E55*F54)</f>
        <v>62329</v>
      </c>
      <c r="I55" s="8">
        <f>(C55^2)+(D55^2)+(E55^2)</f>
        <v>59945</v>
      </c>
      <c r="J55" s="8">
        <f>(F52^2)+(F53^2)+(F54^2)</f>
        <v>142001</v>
      </c>
      <c r="K55" s="10"/>
    </row>
    <row r="56" spans="1:11" x14ac:dyDescent="0.45">
      <c r="A56" s="4"/>
      <c r="B56" s="5" t="s">
        <v>25</v>
      </c>
      <c r="C56" s="6"/>
      <c r="D56" s="6"/>
      <c r="E56" s="16">
        <f>(C52+D53+E54)/F55</f>
        <v>0.35910224438902744</v>
      </c>
      <c r="F56" s="4"/>
    </row>
    <row r="57" spans="1:11" x14ac:dyDescent="0.45">
      <c r="A57" s="4"/>
      <c r="B57" s="5" t="s">
        <v>35</v>
      </c>
      <c r="C57" s="4"/>
      <c r="D57" s="4"/>
      <c r="E57" s="9">
        <f>(G55*F55-H55)/SQRT((F55^2-I55)*(F55^2-J55))</f>
        <v>-0.10529543557224114</v>
      </c>
      <c r="F57" s="4"/>
    </row>
    <row r="60" spans="1:11" x14ac:dyDescent="0.45">
      <c r="A60" s="40" t="s">
        <v>31</v>
      </c>
      <c r="B60" s="40"/>
      <c r="C60" s="39" t="s">
        <v>23</v>
      </c>
      <c r="D60" s="39"/>
      <c r="E60" s="39"/>
      <c r="F60" s="1" t="s">
        <v>34</v>
      </c>
    </row>
    <row r="61" spans="1:11" x14ac:dyDescent="0.45">
      <c r="A61" s="40"/>
      <c r="B61" s="40"/>
      <c r="C61" s="13" t="s">
        <v>1</v>
      </c>
      <c r="D61" s="1" t="s">
        <v>2</v>
      </c>
      <c r="E61" s="1" t="s">
        <v>3</v>
      </c>
      <c r="F61" s="4"/>
    </row>
    <row r="62" spans="1:11" x14ac:dyDescent="0.45">
      <c r="A62" s="39" t="s">
        <v>24</v>
      </c>
      <c r="B62" s="11" t="s">
        <v>1</v>
      </c>
      <c r="C62" s="3">
        <f>CM_TRU3!B2</f>
        <v>0</v>
      </c>
      <c r="D62">
        <f>CM_TRU3!C2</f>
        <v>1</v>
      </c>
      <c r="E62">
        <f>CM_TRU3!D2</f>
        <v>0</v>
      </c>
      <c r="F62" s="6">
        <f>SUM(C62:E62)</f>
        <v>1</v>
      </c>
    </row>
    <row r="63" spans="1:11" x14ac:dyDescent="0.45">
      <c r="A63" s="39"/>
      <c r="B63" s="1" t="s">
        <v>2</v>
      </c>
      <c r="C63">
        <f>CM_TRU3!B3</f>
        <v>34</v>
      </c>
      <c r="D63" s="3">
        <f>CM_TRU3!C3</f>
        <v>92</v>
      </c>
      <c r="E63">
        <f>CM_TRU3!D3</f>
        <v>47</v>
      </c>
      <c r="F63" s="6">
        <f t="shared" ref="F63:F64" si="6">SUM(C63:E63)</f>
        <v>173</v>
      </c>
    </row>
    <row r="64" spans="1:11" x14ac:dyDescent="0.45">
      <c r="A64" s="39"/>
      <c r="B64" s="1" t="s">
        <v>3</v>
      </c>
      <c r="C64">
        <f>CM_TRU3!B4</f>
        <v>38</v>
      </c>
      <c r="D64">
        <f>CM_TRU3!C4</f>
        <v>123</v>
      </c>
      <c r="E64" s="3">
        <f>CM_TRU3!D4</f>
        <v>66</v>
      </c>
      <c r="F64" s="12">
        <f t="shared" si="6"/>
        <v>227</v>
      </c>
      <c r="G64" s="26" t="s">
        <v>36</v>
      </c>
      <c r="H64" s="26" t="s">
        <v>165</v>
      </c>
      <c r="I64" s="26" t="s">
        <v>163</v>
      </c>
      <c r="J64" s="26" t="s">
        <v>164</v>
      </c>
    </row>
    <row r="65" spans="1:11" x14ac:dyDescent="0.45">
      <c r="A65" s="2"/>
      <c r="B65" s="1" t="s">
        <v>34</v>
      </c>
      <c r="C65" s="6">
        <f>SUM(C62:C64)</f>
        <v>72</v>
      </c>
      <c r="D65" s="6">
        <f>SUM(D62:D64)</f>
        <v>216</v>
      </c>
      <c r="E65" s="14">
        <f>SUM(E62:E64)</f>
        <v>113</v>
      </c>
      <c r="F65" s="6">
        <f>SUM(C65:E65)</f>
        <v>401</v>
      </c>
      <c r="G65" s="8">
        <f>C62+D63+E64</f>
        <v>158</v>
      </c>
      <c r="H65" s="8">
        <f>(C65*F62)+(D65*F63)+(E65*F64)</f>
        <v>63091</v>
      </c>
      <c r="I65" s="8">
        <f>(C65^2)+(D65^2)+(E65^2)</f>
        <v>64609</v>
      </c>
      <c r="J65" s="8">
        <f>(F62^2)+(F63^2)+(F64^2)</f>
        <v>81459</v>
      </c>
      <c r="K65" s="10"/>
    </row>
    <row r="66" spans="1:11" x14ac:dyDescent="0.45">
      <c r="A66" s="4"/>
      <c r="B66" s="5" t="s">
        <v>25</v>
      </c>
      <c r="C66" s="6"/>
      <c r="D66" s="6"/>
      <c r="E66" s="16">
        <f>(C62+D63+E64)/F65</f>
        <v>0.3940149625935162</v>
      </c>
      <c r="F66" s="4"/>
    </row>
    <row r="67" spans="1:11" x14ac:dyDescent="0.45">
      <c r="A67" s="4"/>
      <c r="B67" s="5" t="s">
        <v>35</v>
      </c>
      <c r="C67" s="4"/>
      <c r="D67" s="4"/>
      <c r="E67" s="9">
        <f>(G65*F65-H65)/SQRT((F65^2-I65)*(F65^2-J65))</f>
        <v>3.0562594002046624E-3</v>
      </c>
      <c r="F67" s="4"/>
    </row>
    <row r="69" spans="1:11" x14ac:dyDescent="0.45">
      <c r="A69" s="40" t="s">
        <v>32</v>
      </c>
      <c r="B69" s="40"/>
      <c r="C69" s="39" t="s">
        <v>23</v>
      </c>
      <c r="D69" s="39"/>
      <c r="E69" s="39"/>
      <c r="F69" s="1" t="s">
        <v>34</v>
      </c>
    </row>
    <row r="70" spans="1:11" x14ac:dyDescent="0.45">
      <c r="A70" s="40"/>
      <c r="B70" s="40"/>
      <c r="C70" s="1" t="s">
        <v>1</v>
      </c>
      <c r="D70" s="1" t="s">
        <v>2</v>
      </c>
      <c r="E70" s="1" t="s">
        <v>3</v>
      </c>
      <c r="F70" s="4"/>
    </row>
    <row r="71" spans="1:11" x14ac:dyDescent="0.45">
      <c r="A71" s="39" t="s">
        <v>24</v>
      </c>
      <c r="B71" s="1" t="s">
        <v>1</v>
      </c>
      <c r="C71" s="3">
        <f>CM_TRU4!B2</f>
        <v>0</v>
      </c>
      <c r="D71" s="4">
        <f>CM_TRU4!C2</f>
        <v>25</v>
      </c>
      <c r="E71" s="4">
        <f>CM_TRU4!D2</f>
        <v>21</v>
      </c>
      <c r="F71" s="6">
        <f>SUM(C71:E71)</f>
        <v>46</v>
      </c>
    </row>
    <row r="72" spans="1:11" x14ac:dyDescent="0.45">
      <c r="A72" s="39"/>
      <c r="B72" s="1" t="s">
        <v>2</v>
      </c>
      <c r="C72" s="4">
        <f>CM_TRU4!B3</f>
        <v>0</v>
      </c>
      <c r="D72" s="3">
        <f>CM_TRU4!C3</f>
        <v>104</v>
      </c>
      <c r="E72" s="4">
        <f>CM_TRU4!D3</f>
        <v>130</v>
      </c>
      <c r="F72" s="6">
        <f t="shared" ref="F72:F73" si="7">SUM(C72:E72)</f>
        <v>234</v>
      </c>
    </row>
    <row r="73" spans="1:11" x14ac:dyDescent="0.45">
      <c r="A73" s="39"/>
      <c r="B73" s="1" t="s">
        <v>3</v>
      </c>
      <c r="C73" s="4">
        <f>CM_TRU4!B4</f>
        <v>0</v>
      </c>
      <c r="D73" s="4">
        <f>CM_TRU4!C4</f>
        <v>51</v>
      </c>
      <c r="E73" s="3">
        <f>CM_TRU4!D4</f>
        <v>70</v>
      </c>
      <c r="F73" s="6">
        <f t="shared" si="7"/>
        <v>121</v>
      </c>
      <c r="G73" s="26" t="s">
        <v>36</v>
      </c>
      <c r="H73" s="26" t="s">
        <v>165</v>
      </c>
      <c r="I73" s="26" t="s">
        <v>163</v>
      </c>
      <c r="J73" s="26" t="s">
        <v>164</v>
      </c>
    </row>
    <row r="74" spans="1:11" x14ac:dyDescent="0.45">
      <c r="A74" s="2"/>
      <c r="B74" s="1" t="s">
        <v>34</v>
      </c>
      <c r="C74" s="6">
        <f>SUM(C71:C73)</f>
        <v>0</v>
      </c>
      <c r="D74" s="6">
        <f>SUM(D71:D73)</f>
        <v>180</v>
      </c>
      <c r="E74" s="6">
        <f>SUM(E71:E73)</f>
        <v>221</v>
      </c>
      <c r="F74" s="6">
        <f>SUM(C74:E74)</f>
        <v>401</v>
      </c>
      <c r="G74" s="8">
        <f>C71+D72+E73</f>
        <v>174</v>
      </c>
      <c r="H74" s="8">
        <f>(C74*F71)+(D74*F72)+(E74*F73)</f>
        <v>68861</v>
      </c>
      <c r="I74" s="8">
        <f>(C74^2)+(D74^2)+(E74^2)</f>
        <v>81241</v>
      </c>
      <c r="J74" s="8">
        <f>(F71^2)+(F72^2)+(F73^2)</f>
        <v>71513</v>
      </c>
      <c r="K74" s="10"/>
    </row>
    <row r="75" spans="1:11" x14ac:dyDescent="0.45">
      <c r="A75" s="4"/>
      <c r="B75" s="5" t="s">
        <v>25</v>
      </c>
      <c r="C75" s="6"/>
      <c r="D75" s="6"/>
      <c r="E75" s="16">
        <f>(C71+D72+E73)/F74</f>
        <v>0.43391521197007482</v>
      </c>
      <c r="F75" s="4"/>
    </row>
    <row r="76" spans="1:11" x14ac:dyDescent="0.45">
      <c r="A76" s="4"/>
      <c r="B76" s="5" t="s">
        <v>35</v>
      </c>
      <c r="C76" s="4"/>
      <c r="D76" s="4"/>
      <c r="E76" s="9">
        <f>(G74*F74-H74)/SQRT((F74^2-I74)*(F74^2-J74))</f>
        <v>1.083245373225384E-2</v>
      </c>
      <c r="F76" s="4"/>
    </row>
    <row r="79" spans="1:11" x14ac:dyDescent="0.45">
      <c r="A79" s="40" t="s">
        <v>33</v>
      </c>
      <c r="B79" s="40"/>
      <c r="C79" s="39" t="s">
        <v>23</v>
      </c>
      <c r="D79" s="39"/>
      <c r="E79" s="39"/>
      <c r="F79" s="1" t="s">
        <v>34</v>
      </c>
    </row>
    <row r="80" spans="1:11" x14ac:dyDescent="0.45">
      <c r="A80" s="40"/>
      <c r="B80" s="40"/>
      <c r="C80" s="1" t="s">
        <v>1</v>
      </c>
      <c r="D80" s="1" t="s">
        <v>2</v>
      </c>
      <c r="E80" s="1" t="s">
        <v>3</v>
      </c>
      <c r="F80" s="4"/>
    </row>
    <row r="81" spans="1:11" x14ac:dyDescent="0.45">
      <c r="A81" s="39" t="s">
        <v>24</v>
      </c>
      <c r="B81" s="1" t="s">
        <v>1</v>
      </c>
      <c r="C81" s="7">
        <f>CM_OUT1!B2</f>
        <v>0</v>
      </c>
      <c r="D81">
        <f>CM_OUT1!C2</f>
        <v>0</v>
      </c>
      <c r="E81">
        <f>CM_OUT1!D2</f>
        <v>0</v>
      </c>
      <c r="F81" s="6">
        <f>SUM(C81:E81)</f>
        <v>0</v>
      </c>
    </row>
    <row r="82" spans="1:11" x14ac:dyDescent="0.45">
      <c r="A82" s="39"/>
      <c r="B82" s="1" t="s">
        <v>2</v>
      </c>
      <c r="C82">
        <f>CM_OUT1!B3</f>
        <v>0</v>
      </c>
      <c r="D82" s="7">
        <f>CM_OUT1!C3</f>
        <v>8</v>
      </c>
      <c r="E82">
        <f>CM_OUT1!D3</f>
        <v>7</v>
      </c>
      <c r="F82" s="6">
        <f t="shared" ref="F82:F83" si="8">SUM(C82:E82)</f>
        <v>15</v>
      </c>
    </row>
    <row r="83" spans="1:11" x14ac:dyDescent="0.45">
      <c r="A83" s="39"/>
      <c r="B83" s="1" t="s">
        <v>3</v>
      </c>
      <c r="C83">
        <f>CM_OUT1!B4</f>
        <v>35</v>
      </c>
      <c r="D83">
        <f>CM_OUT1!C4</f>
        <v>185</v>
      </c>
      <c r="E83" s="7">
        <f>CM_OUT1!D4</f>
        <v>166</v>
      </c>
      <c r="F83" s="6">
        <f t="shared" si="8"/>
        <v>386</v>
      </c>
      <c r="G83" s="26" t="s">
        <v>36</v>
      </c>
      <c r="H83" s="26" t="s">
        <v>165</v>
      </c>
      <c r="I83" s="26" t="s">
        <v>163</v>
      </c>
      <c r="J83" s="26" t="s">
        <v>164</v>
      </c>
    </row>
    <row r="84" spans="1:11" x14ac:dyDescent="0.45">
      <c r="A84" s="2"/>
      <c r="B84" s="1" t="s">
        <v>34</v>
      </c>
      <c r="C84" s="6">
        <f>SUM(C81:C83)</f>
        <v>35</v>
      </c>
      <c r="D84" s="6">
        <f>SUM(D81:D83)</f>
        <v>193</v>
      </c>
      <c r="E84" s="6">
        <f>SUM(E81:E83)</f>
        <v>173</v>
      </c>
      <c r="F84" s="6">
        <f>SUM(C84:E84)</f>
        <v>401</v>
      </c>
      <c r="G84" s="8">
        <f>C81+D82+E83</f>
        <v>174</v>
      </c>
      <c r="H84" s="8">
        <f>(C84*F81)+(D84*F82)+(E84*F83)</f>
        <v>69673</v>
      </c>
      <c r="I84" s="8">
        <f>(C84^2)+(D84^2)+(E84^2)</f>
        <v>68403</v>
      </c>
      <c r="J84" s="8">
        <f>(F81^2)+(F82^2)+(F83^2)</f>
        <v>149221</v>
      </c>
      <c r="K84" s="10"/>
    </row>
    <row r="85" spans="1:11" x14ac:dyDescent="0.45">
      <c r="A85" s="4"/>
      <c r="B85" s="5" t="s">
        <v>25</v>
      </c>
      <c r="C85" s="6"/>
      <c r="D85" s="6"/>
      <c r="E85" s="16">
        <f>(C81+D82+E83)/F84</f>
        <v>0.43391521197007482</v>
      </c>
      <c r="F85" s="4"/>
    </row>
    <row r="86" spans="1:11" x14ac:dyDescent="0.45">
      <c r="A86" s="4"/>
      <c r="B86" s="5" t="s">
        <v>35</v>
      </c>
      <c r="C86" s="4"/>
      <c r="D86" s="4"/>
      <c r="E86" s="9">
        <f>(G84*F84-H84)/SQRT((F84^2-I84)*(F84^2-J84))</f>
        <v>3.0877050542259814E-3</v>
      </c>
      <c r="F86" s="4"/>
    </row>
  </sheetData>
  <mergeCells count="27">
    <mergeCell ref="A52:A54"/>
    <mergeCell ref="A60:B61"/>
    <mergeCell ref="C60:E60"/>
    <mergeCell ref="A62:A64"/>
    <mergeCell ref="A69:B70"/>
    <mergeCell ref="C69:E69"/>
    <mergeCell ref="A1:B2"/>
    <mergeCell ref="C1:E1"/>
    <mergeCell ref="A3:A5"/>
    <mergeCell ref="A10:B11"/>
    <mergeCell ref="C10:E10"/>
    <mergeCell ref="A71:A73"/>
    <mergeCell ref="A79:B80"/>
    <mergeCell ref="C79:E79"/>
    <mergeCell ref="A81:A83"/>
    <mergeCell ref="A12:A14"/>
    <mergeCell ref="A20:B21"/>
    <mergeCell ref="C20:E20"/>
    <mergeCell ref="A22:A24"/>
    <mergeCell ref="A30:B31"/>
    <mergeCell ref="C30:E30"/>
    <mergeCell ref="A32:A34"/>
    <mergeCell ref="A40:B41"/>
    <mergeCell ref="C40:E40"/>
    <mergeCell ref="A42:A44"/>
    <mergeCell ref="A50:B51"/>
    <mergeCell ref="C50:E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selection activeCell="D5" sqref="D5"/>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COUNTIFS(step3_combined_data!$T$2:$T$404,"Oppose", step3_combined_data!$R$2:$R$404,"Oppose")</f>
        <v>0</v>
      </c>
      <c r="C2" s="4">
        <f>COUNTIFS(step3_combined_data!$T$2:$T$404,"Neutral", step3_combined_data!$R$2:$R$404,"Oppose")</f>
        <v>3</v>
      </c>
      <c r="D2" s="4">
        <f>COUNTIFS(step3_combined_data!$T$2:$T$404,"Support", step3_combined_data!$R$2:$R$404,"Oppose")</f>
        <v>3</v>
      </c>
    </row>
    <row r="3" spans="1:4" x14ac:dyDescent="0.45">
      <c r="A3" s="1" t="s">
        <v>2</v>
      </c>
      <c r="B3" s="4">
        <f>COUNTIFS(step3_combined_data!$T$2:$T$404,"Oppose", step3_combined_data!$R$2:$R$404,"Neutral")</f>
        <v>39</v>
      </c>
      <c r="C3" s="4">
        <f>COUNTIFS(step3_combined_data!$T$2:$T$404,"Neutral", step3_combined_data!$R$2:$R$404,"Neutral")</f>
        <v>128</v>
      </c>
      <c r="D3" s="4">
        <f>COUNTIFS(step3_combined_data!$T$2:$T$404,"Support", step3_combined_data!$R$2:$R$404,"Neutral")</f>
        <v>122</v>
      </c>
    </row>
    <row r="4" spans="1:4" x14ac:dyDescent="0.45">
      <c r="A4" s="1" t="s">
        <v>3</v>
      </c>
      <c r="B4" s="4">
        <f>COUNTIFS(step3_combined_data!$T$2:$T$404,"Oppose", step3_combined_data!$R$2:$R$404,"Support")</f>
        <v>16</v>
      </c>
      <c r="C4" s="4">
        <f>COUNTIFS(step3_combined_data!$T$2:$T$404,"Neutral", step3_combined_data!$R$2:$R$404,"Support")</f>
        <v>49</v>
      </c>
      <c r="D4" s="4">
        <f>COUNTIFS(step3_combined_data!$T$2:$T$404,"Support", step3_combined_data!$R$2:$R$404,"Support")</f>
        <v>43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E2" sqref="E2"/>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COUNTIFS(step3_combined_data!$Y$2:$Y$404,"Oppose", step3_combined_data!$W$2:$W$404,"Oppose")</f>
        <v>0</v>
      </c>
      <c r="C2" s="4">
        <f>COUNTIFS(step3_combined_data!$Y$2:$Y$404,"Neutral", step3_combined_data!$W$2:$W$404,"Oppose")</f>
        <v>3</v>
      </c>
      <c r="D2" s="4">
        <f>COUNTIFS(step3_combined_data!$Y$2:$Y$404,"Support", step3_combined_data!$W$2:$W$404,"Oppose")</f>
        <v>2</v>
      </c>
    </row>
    <row r="3" spans="1:4" x14ac:dyDescent="0.45">
      <c r="A3" s="1" t="s">
        <v>2</v>
      </c>
      <c r="B3" s="4">
        <f>COUNTIFS(step3_combined_data!$Y$2:$Y$404,"Oppose", step3_combined_data!$W$2:$W$404,"Neutral")</f>
        <v>26</v>
      </c>
      <c r="C3" s="4">
        <f>COUNTIFS(step3_combined_data!$Y$2:$Y$404,"Neutral", step3_combined_data!$W$2:$W$404,"Neutral")</f>
        <v>85</v>
      </c>
      <c r="D3" s="4">
        <f>COUNTIFS(step3_combined_data!$Y$2:$Y$404,"Support", step3_combined_data!$W$2:$W$404,"Neutral")</f>
        <v>103</v>
      </c>
    </row>
    <row r="4" spans="1:4" x14ac:dyDescent="0.45">
      <c r="A4" s="1" t="s">
        <v>3</v>
      </c>
      <c r="B4" s="4">
        <f>COUNTIFS(step3_combined_data!$Y$2:$Y$404,"Oppose", step3_combined_data!$W$2:$W$404,"Support")</f>
        <v>19</v>
      </c>
      <c r="C4" s="4">
        <f>COUNTIFS(step3_combined_data!$Y$2:$Y$404,"Neutral", step3_combined_data!$W$2:$W$404,"Support")</f>
        <v>78</v>
      </c>
      <c r="D4" s="4">
        <f>COUNTIFS(step3_combined_data!$Y$2:$Y$404,"Support", step3_combined_data!$W$2:$W$404,"Support")</f>
        <v>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COUNTIFS(step3_combined_data!$AD$2:$AD$404,"Oppose", step3_combined_data!$AB$2:$AB$404,"Oppose")</f>
        <v>1</v>
      </c>
      <c r="C2" s="4">
        <f>COUNTIFS(step3_combined_data!$AD$2:$AD$404,"Neutral", step3_combined_data!$AB$2:$AB$404,"Oppose")</f>
        <v>0</v>
      </c>
      <c r="D2" s="4">
        <f>COUNTIFS(step3_combined_data!$AD$2:$AD$404,"Support", step3_combined_data!$AB$2:$AB$404,"Oppose")</f>
        <v>0</v>
      </c>
    </row>
    <row r="3" spans="1:4" x14ac:dyDescent="0.45">
      <c r="A3" s="1" t="s">
        <v>2</v>
      </c>
      <c r="B3" s="4">
        <f>COUNTIFS(step3_combined_data!$AD$2:$AD$404,"Oppose", step3_combined_data!$AB$2:$AB$404,"Neutral")</f>
        <v>18</v>
      </c>
      <c r="C3" s="4">
        <f>COUNTIFS(step3_combined_data!$AD$2:$AD$404,"Neutral", step3_combined_data!$AB$2:$AB$404,"Neutral")</f>
        <v>39</v>
      </c>
      <c r="D3" s="4">
        <f>COUNTIFS(step3_combined_data!$AD$2:$AD$404,"Support", step3_combined_data!$AB$2:$AB$404,"Neutral")</f>
        <v>21</v>
      </c>
    </row>
    <row r="4" spans="1:4" x14ac:dyDescent="0.45">
      <c r="A4" s="1" t="s">
        <v>3</v>
      </c>
      <c r="B4" s="4">
        <f>COUNTIFS(step3_combined_data!$AD$2:$AD$404,"Oppose", step3_combined_data!$AB$2:$AB$404,"Support")</f>
        <v>64</v>
      </c>
      <c r="C4" s="4">
        <f>COUNTIFS(step3_combined_data!$AD$2:$AD$404,"Neutral", step3_combined_data!$AB$2:$AB$404,"Support")</f>
        <v>138</v>
      </c>
      <c r="D4" s="4">
        <f>COUNTIFS(step3_combined_data!$AD$2:$AD$404,"Support", step3_combined_data!$AB$2:$AB$404,"Support")</f>
        <v>122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2" sqref="B2:D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COUNTIFS(step3_combined_data!$AI$2:$AI$404,"Oppose", step3_combined_data!$AG$2:$AG$404,"Oppose")</f>
        <v>0</v>
      </c>
      <c r="C2" s="4">
        <f>COUNTIFS(step3_combined_data!$AI$2:$AI$404,"Neutral", step3_combined_data!$AG$2:$AG$404,"Oppose")</f>
        <v>0</v>
      </c>
      <c r="D2" s="4">
        <f>COUNTIFS(step3_combined_data!$AI$2:$AI$404,"Support", step3_combined_data!$AG$2:$AG$404,"Oppose")</f>
        <v>0</v>
      </c>
    </row>
    <row r="3" spans="1:4" x14ac:dyDescent="0.45">
      <c r="A3" s="1" t="s">
        <v>2</v>
      </c>
      <c r="B3" s="4">
        <f>COUNTIFS(step3_combined_data!$AI$2:$AI$404,"Oppose", step3_combined_data!$AG$2:$AG$404,"Neutral")</f>
        <v>1</v>
      </c>
      <c r="C3" s="4">
        <f>COUNTIFS(step3_combined_data!$AI$2:$AI$404,"Neutral", step3_combined_data!$AG$2:$AG$404,"Neutral")</f>
        <v>8</v>
      </c>
      <c r="D3" s="4">
        <f>COUNTIFS(step3_combined_data!$AI$2:$AI$404,"Support", step3_combined_data!$AG$2:$AG$404,"Neutral")</f>
        <v>3</v>
      </c>
    </row>
    <row r="4" spans="1:4" x14ac:dyDescent="0.45">
      <c r="A4" s="1" t="s">
        <v>3</v>
      </c>
      <c r="B4" s="4">
        <f>COUNTIFS(step3_combined_data!$AI$2:$AI$404,"Oppose", step3_combined_data!$AG$2:$AG$404,"Support")</f>
        <v>20</v>
      </c>
      <c r="C4" s="4">
        <f>COUNTIFS(step3_combined_data!$AI$2:$AI$404,"Neutral", step3_combined_data!$AG$2:$AG$404,"Support")</f>
        <v>177</v>
      </c>
      <c r="D4" s="4">
        <f>COUNTIFS(step3_combined_data!$AI$2:$AI$404,"Support", step3_combined_data!$AG$2:$AG$404,"Support")</f>
        <v>194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COUNTIFS(step3_combined_data!$AN$2:$AN$404,"Oppose", step3_combined_data!$AL$2:$AL$404,"Oppose")</f>
        <v>0</v>
      </c>
      <c r="C2" s="4">
        <f>COUNTIFS(step3_combined_data!$AN$2:$AN$404,"Neutral", step3_combined_data!$AL$2:$AL$404,"Oppose")</f>
        <v>2</v>
      </c>
      <c r="D2" s="4">
        <f>COUNTIFS(step3_combined_data!$AN$2:$AN$404,"Support", step3_combined_data!$AL$2:$AL$404,"Oppose")</f>
        <v>2</v>
      </c>
    </row>
    <row r="3" spans="1:4" x14ac:dyDescent="0.45">
      <c r="A3" s="1" t="s">
        <v>2</v>
      </c>
      <c r="B3" s="4">
        <f>COUNTIFS(step3_combined_data!$AN$2:$AN$404,"Oppose", step3_combined_data!$AL$2:$AL$404,"Neutral")</f>
        <v>28</v>
      </c>
      <c r="C3" s="4">
        <f>COUNTIFS(step3_combined_data!$AN$2:$AN$404,"Neutral", step3_combined_data!$AL$2:$AL$404,"Neutral")</f>
        <v>111</v>
      </c>
      <c r="D3" s="4">
        <f>COUNTIFS(step3_combined_data!$AN$2:$AN$404,"Support", step3_combined_data!$AL$2:$AL$404,"Neutral")</f>
        <v>53</v>
      </c>
    </row>
    <row r="4" spans="1:4" x14ac:dyDescent="0.45">
      <c r="A4" s="1" t="s">
        <v>3</v>
      </c>
      <c r="B4" s="4">
        <f>COUNTIFS(step3_combined_data!$AN$2:$AN$404,"Oppose", step3_combined_data!$AL$2:$AL$404,"Support")</f>
        <v>29</v>
      </c>
      <c r="C4" s="4">
        <f>COUNTIFS(step3_combined_data!$AN$2:$AN$404,"Neutral", step3_combined_data!$AL$2:$AL$404,"Support")</f>
        <v>104</v>
      </c>
      <c r="D4" s="4">
        <f>COUNTIFS(step3_combined_data!$AN$2:$AN$404,"Support", step3_combined_data!$AL$2:$AL$404,"Support")</f>
        <v>72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COUNTIFS(step3_combined_data!$AS$2:$AS$404,"Oppose", step3_combined_data!$AQ$2:$AQ$404,"Oppose")</f>
        <v>0</v>
      </c>
      <c r="C2" s="4">
        <f>COUNTIFS(step3_combined_data!$AS$2:$AS$404,"Neutral", step3_combined_data!$AQ$2:$AQ$404,"Oppose")</f>
        <v>0</v>
      </c>
      <c r="D2" s="4">
        <f>COUNTIFS(step3_combined_data!$AS$2:$AS$404,"Support", step3_combined_data!$AQ$2:$AQ$404,"Oppose")</f>
        <v>0</v>
      </c>
    </row>
    <row r="3" spans="1:4" x14ac:dyDescent="0.45">
      <c r="A3" s="1" t="s">
        <v>2</v>
      </c>
      <c r="B3" s="4">
        <f>COUNTIFS(step3_combined_data!$AS$2:$AS$404,"Oppose", step3_combined_data!$AQ$2:$AQ$404,"Neutral")</f>
        <v>7</v>
      </c>
      <c r="C3" s="4">
        <f>COUNTIFS(step3_combined_data!$AS$2:$AS$404,"Neutral", step3_combined_data!$AQ$2:$AQ$404,"Neutral")</f>
        <v>4</v>
      </c>
      <c r="D3" s="4">
        <f>COUNTIFS(step3_combined_data!$AS$2:$AS$404,"Support", step3_combined_data!$AQ$2:$AQ$404,"Neutral")</f>
        <v>14</v>
      </c>
    </row>
    <row r="4" spans="1:4" x14ac:dyDescent="0.45">
      <c r="A4" s="1" t="s">
        <v>3</v>
      </c>
      <c r="B4" s="4">
        <f>COUNTIFS(step3_combined_data!$AS$2:$AS$404,"Oppose", step3_combined_data!$AQ$2:$AQ$404,"Support")</f>
        <v>63</v>
      </c>
      <c r="C4" s="4">
        <f>COUNTIFS(step3_combined_data!$AS$2:$AS$404,"Neutral", step3_combined_data!$AQ$2:$AQ$404,"Support")</f>
        <v>173</v>
      </c>
      <c r="D4" s="4">
        <f>COUNTIFS(step3_combined_data!$AS$2:$AS$404,"Support", step3_combined_data!$AQ$2:$AQ$404,"Support")</f>
        <v>140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COUNTIFS(step3_combined_data!$AX$2:$AX$404,"Oppose", step3_combined_data!$AV$2:$AV$404,"Oppose")</f>
        <v>0</v>
      </c>
      <c r="C2" s="4">
        <f>COUNTIFS(step3_combined_data!$AX$2:$AX$404,"Neutral", step3_combined_data!$AV$2:$AV$404,"Oppose")</f>
        <v>1</v>
      </c>
      <c r="D2" s="4">
        <f>COUNTIFS(step3_combined_data!$AX$2:$AX$404,"Support", step3_combined_data!$AV$2:$AV$404,"Oppose")</f>
        <v>0</v>
      </c>
    </row>
    <row r="3" spans="1:4" x14ac:dyDescent="0.45">
      <c r="A3" s="1" t="s">
        <v>2</v>
      </c>
      <c r="B3" s="4">
        <f>COUNTIFS(step3_combined_data!$AX$2:$AX$404,"Oppose", step3_combined_data!$AV$2:$AV$404,"Neutral")</f>
        <v>34</v>
      </c>
      <c r="C3" s="4">
        <f>COUNTIFS(step3_combined_data!$AX$2:$AX$404,"Neutral", step3_combined_data!$AV$2:$AV$404,"Neutral")</f>
        <v>92</v>
      </c>
      <c r="D3" s="4">
        <f>COUNTIFS(step3_combined_data!$AX$2:$AX$404,"Support", step3_combined_data!$AV$2:$AV$404,"Neutral")</f>
        <v>47</v>
      </c>
    </row>
    <row r="4" spans="1:4" x14ac:dyDescent="0.45">
      <c r="A4" s="1" t="s">
        <v>3</v>
      </c>
      <c r="B4" s="4">
        <f>COUNTIFS(step3_combined_data!$AX$2:$AX$404,"Oppose", step3_combined_data!$AV$2:$AV$404,"Support")</f>
        <v>38</v>
      </c>
      <c r="C4" s="4">
        <f>COUNTIFS(step3_combined_data!$AX$2:$AX$404,"Neutral", step3_combined_data!$AV$2:$AV$404,"Support")</f>
        <v>123</v>
      </c>
      <c r="D4" s="4">
        <f>COUNTIFS(step3_combined_data!$AX$2:$AX$404,"Support", step3_combined_data!$AV$2:$AV$404,"Support")</f>
        <v>66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COUNTIFS(step3_combined_data!$BA$2:$BA$404,"Oppose", step3_combined_data!$BC$2:$BC$404,"Oppose")</f>
        <v>0</v>
      </c>
      <c r="C2" s="4">
        <f>COUNTIFS(step3_combined_data!$BA$2:$BA$404,"Neutral", step3_combined_data!$BC$2:$BC$404,"Oppose")</f>
        <v>25</v>
      </c>
      <c r="D2" s="4">
        <f>COUNTIFS(step3_combined_data!$BA$2:$BA$404,"Support", step3_combined_data!$BC$2:$BC$404,"Oppose")</f>
        <v>21</v>
      </c>
    </row>
    <row r="3" spans="1:4" x14ac:dyDescent="0.45">
      <c r="A3" s="1" t="s">
        <v>2</v>
      </c>
      <c r="B3" s="4">
        <f>COUNTIFS(step3_combined_data!$BA$2:$BA$404,"Oppose", step3_combined_data!$BC$2:$BC$404,"Neutral")</f>
        <v>0</v>
      </c>
      <c r="C3" s="4">
        <f>COUNTIFS(step3_combined_data!$BA$2:$BA$404,"Neutral", step3_combined_data!$BC$2:$BC$404,"Neutral")</f>
        <v>104</v>
      </c>
      <c r="D3" s="4">
        <f>COUNTIFS(step3_combined_data!$BA$2:$BA$404,"Support", step3_combined_data!$BC$2:$BC$404,"Neutral")</f>
        <v>130</v>
      </c>
    </row>
    <row r="4" spans="1:4" x14ac:dyDescent="0.45">
      <c r="A4" s="1" t="s">
        <v>3</v>
      </c>
      <c r="B4" s="4">
        <f>COUNTIFS(step3_combined_data!$BA$2:$BA$404,"Oppose", step3_combined_data!$BC$2:$BC$404,"Support")</f>
        <v>0</v>
      </c>
      <c r="C4" s="4">
        <f>COUNTIFS(step3_combined_data!$BA$2:$BA$404,"Neutral", step3_combined_data!$BC$2:$BC$404,"Support")</f>
        <v>51</v>
      </c>
      <c r="D4" s="4">
        <f>COUNTIFS(step3_combined_data!$BA$2:$BA$404,"Support", step3_combined_data!$BC$2:$BC$404,"Support")</f>
        <v>70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
  <sheetViews>
    <sheetView workbookViewId="0">
      <selection activeCell="E4" sqref="E4"/>
    </sheetView>
  </sheetViews>
  <sheetFormatPr defaultRowHeight="14.25" x14ac:dyDescent="0.45"/>
  <sheetData>
    <row r="1" spans="1:4" x14ac:dyDescent="0.45">
      <c r="A1" s="1" t="s">
        <v>0</v>
      </c>
      <c r="B1" s="1" t="s">
        <v>1</v>
      </c>
      <c r="C1" s="1" t="s">
        <v>2</v>
      </c>
      <c r="D1" s="1" t="s">
        <v>3</v>
      </c>
    </row>
    <row r="2" spans="1:4" x14ac:dyDescent="0.45">
      <c r="A2" s="1" t="s">
        <v>1</v>
      </c>
      <c r="B2" s="4">
        <f>COUNTIFS(step3_combined_data!$BH$2:$BH$404,"Oppose", step3_combined_data!$BF$2:$BF$404,"Oppose")</f>
        <v>0</v>
      </c>
      <c r="C2" s="4">
        <f>COUNTIFS(step3_combined_data!$BH$2:$BH$404,"Neutral", step3_combined_data!$BF$2:$BF$404,"Oppose")</f>
        <v>0</v>
      </c>
      <c r="D2" s="4">
        <f>COUNTIFS(step3_combined_data!$BH$2:$BH$404,"Support", step3_combined_data!$BF$2:$BF$404,"Oppose")</f>
        <v>0</v>
      </c>
    </row>
    <row r="3" spans="1:4" x14ac:dyDescent="0.45">
      <c r="A3" s="1" t="s">
        <v>2</v>
      </c>
      <c r="B3" s="4">
        <f>COUNTIFS(step3_combined_data!$BH$2:$BH$404,"Oppose", step3_combined_data!$BF$2:$BF$404,"Neutral")</f>
        <v>0</v>
      </c>
      <c r="C3" s="4">
        <f>COUNTIFS(step3_combined_data!$BH$2:$BH$404,"Neutral", step3_combined_data!$BF$2:$BF$404,"Neutral")</f>
        <v>8</v>
      </c>
      <c r="D3" s="4">
        <f>COUNTIFS(step3_combined_data!$BH$2:$BH$404,"Support", step3_combined_data!$BF$2:$BF$404,"Neutral")</f>
        <v>7</v>
      </c>
    </row>
    <row r="4" spans="1:4" x14ac:dyDescent="0.45">
      <c r="A4" s="1" t="s">
        <v>3</v>
      </c>
      <c r="B4" s="4">
        <f>COUNTIFS(step3_combined_data!$BH$2:$BH$404,"Oppose", step3_combined_data!$BF$2:$BF$404,"Support")</f>
        <v>35</v>
      </c>
      <c r="C4" s="4">
        <f>COUNTIFS(step3_combined_data!$BH$2:$BH$404,"Neutral", step3_combined_data!$BF$2:$BF$404,"Support")</f>
        <v>185</v>
      </c>
      <c r="D4" s="4">
        <f>COUNTIFS(step3_combined_data!$BH$2:$BH$404,"Support", step3_combined_data!$BF$2:$BF$404,"Support")</f>
        <v>166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81ACCC-8CB7-4DA7-B1DC-559BBAE466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step3_validation</vt:lpstr>
      <vt:lpstr>survey_responses</vt:lpstr>
      <vt:lpstr>step3_combined_data</vt:lpstr>
      <vt:lpstr>AIx</vt:lpstr>
      <vt:lpstr>Insights</vt:lpstr>
      <vt:lpstr>EMD</vt:lpstr>
      <vt:lpstr>SUMMARY_REPORT</vt:lpstr>
      <vt:lpstr>CM_REPORT</vt:lpstr>
      <vt:lpstr>CM_ENF1</vt:lpstr>
      <vt:lpstr>CM_ENF2</vt:lpstr>
      <vt:lpstr>CM_FAC1</vt:lpstr>
      <vt:lpstr>CM_FAC2</vt:lpstr>
      <vt:lpstr>CM_TRU1</vt:lpstr>
      <vt:lpstr>CM_TRU2</vt:lpstr>
      <vt:lpstr>CM_TRU3</vt:lpstr>
      <vt:lpstr>CM_TRU4</vt:lpstr>
      <vt:lpstr>CM_OUT1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MPP26-170LM Pham Binh Phuong Duy</cp:lastModifiedBy>
  <dcterms:created xsi:type="dcterms:W3CDTF">2026-01-02T17:02:25Z</dcterms:created>
  <dcterms:modified xsi:type="dcterms:W3CDTF">2026-02-03T08:33:40Z</dcterms:modified>
</cp:coreProperties>
</file>